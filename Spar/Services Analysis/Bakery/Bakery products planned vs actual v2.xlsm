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6CA784C4-0683-4966-A41D-A68F22A033CC}" xr6:coauthVersionLast="47" xr6:coauthVersionMax="47" xr10:uidLastSave="{00000000-0000-0000-0000-000000000000}"/>
  <bookViews>
    <workbookView xWindow="-110" yWindow="-110" windowWidth="19420" windowHeight="10300" firstSheet="5" activeTab="6" xr2:uid="{E73BFAA0-D4BB-4FC6-A02B-94A6B3604F4B}"/>
  </bookViews>
  <sheets>
    <sheet name="All bakery products" sheetId="1" r:id="rId1"/>
    <sheet name="Actuals import" sheetId="14" r:id="rId2"/>
    <sheet name="Actuals Pivot" sheetId="13" r:id="rId3"/>
    <sheet name="Merged data" sheetId="12" r:id="rId4"/>
    <sheet name="Actuals Unpivoted" sheetId="7" r:id="rId5"/>
    <sheet name="Pivot Production plan" sheetId="3" r:id="rId6"/>
    <sheet name="Actuals data" sheetId="18" r:id="rId7"/>
  </sheets>
  <definedNames>
    <definedName name="_xlnm._FilterDatabase" localSheetId="0" hidden="1">'All bakery products'!$A$3:$L$290</definedName>
    <definedName name="Bake_prod">'All bakery products'!$A$3:$K$290</definedName>
    <definedName name="ExternalData_3" localSheetId="3" hidden="1">'Merged data'!$A$1:$O$355</definedName>
    <definedName name="_xlnm.Print_Area" localSheetId="5">'Pivot Production plan'!$A$1:$J$57</definedName>
    <definedName name="_xlnm.Print_Titles" localSheetId="5">'Pivot Production plan'!$1:$3</definedName>
  </definedNames>
  <calcPr calcId="191029" iterateCount="1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7" i="1" l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48E3A2-7ACD-4EFE-93CA-4BC375FA1272}" keepAlive="1" name="Query - Actuals data" description="Connection to the 'Actuals data' query in the workbook." type="5" refreshedVersion="8" background="1" saveData="1">
    <dbPr connection="Provider=Microsoft.Mashup.OleDb.1;Data Source=$Workbook$;Location=&quot;Actuals data&quot;;Extended Properties=&quot;&quot;" command="SELECT * FROM [Actuals data]"/>
  </connection>
  <connection id="2" xr16:uid="{FF39924E-6638-4761-AC18-710E184EEB4C}" keepAlive="1" name="Query - Bake_prod" description="Connection to the 'Bake_prod' query in the workbook." type="5" refreshedVersion="8" background="1" saveData="1">
    <dbPr connection="Provider=Microsoft.Mashup.OleDb.1;Data Source=$Workbook$;Location=Bake_prod;Extended Properties=&quot;&quot;" command="SELECT * FROM [Bake_prod]"/>
  </connection>
  <connection id="3" xr16:uid="{FEB524FF-4E78-4A8D-934B-778788DCDFAB}" keepAlive="1" name="Query - Merged data(1)" description="Connection to the 'Merged data' query in the workbook." type="5" refreshedVersion="8" background="1" saveData="1">
    <dbPr connection="Provider=Microsoft.Mashup.OleDb.1;Data Source=$Workbook$;Location=&quot;Merged data&quot;;Extended Properties=&quot;&quot;" command="SELECT * FROM [Merged data]"/>
  </connection>
</connections>
</file>

<file path=xl/sharedStrings.xml><?xml version="1.0" encoding="utf-8"?>
<sst xmlns="http://schemas.openxmlformats.org/spreadsheetml/2006/main" count="5366" uniqueCount="341">
  <si>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</si>
  <si>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</si>
  <si>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</si>
  <si>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</si>
  <si>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</si>
  <si>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</si>
  <si>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</si>
  <si>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</si>
  <si>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</si>
  <si>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</si>
  <si>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</si>
  <si>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</si>
  <si>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</si>
  <si>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</si>
  <si>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</si>
  <si>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</si>
  <si>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</si>
  <si>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</si>
  <si>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</si>
  <si>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</si>
  <si>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</si>
  <si>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</si>
  <si>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</si>
  <si>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</si>
  <si>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</si>
  <si>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</si>
  <si>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</si>
  <si>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</si>
  <si>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</si>
  <si>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</si>
  <si>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</si>
  <si>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</si>
  <si>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</si>
  <si>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</si>
  <si>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</si>
  <si>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</si>
  <si>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</si>
  <si>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</si>
  <si>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</si>
  <si>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</si>
  <si>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</si>
  <si>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</si>
  <si>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</si>
  <si>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</si>
  <si>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</si>
  <si>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</si>
  <si>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</si>
  <si>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</si>
  <si>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</si>
  <si>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</si>
  <si>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</si>
  <si>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</si>
  <si>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</si>
  <si>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</si>
  <si>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</si>
  <si>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</si>
  <si>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</si>
  <si>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</si>
  <si>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</si>
  <si>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</si>
  <si>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</si>
  <si>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</si>
  <si>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</si>
  <si>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</si>
  <si>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</si>
  <si>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</si>
  <si>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</si>
  <si>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</si>
  <si>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</si>
  <si>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</si>
  <si>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</si>
  <si>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</si>
  <si>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</si>
  <si>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</si>
  <si>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</si>
  <si>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</si>
  <si>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</si>
  <si>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</si>
  <si>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</si>
  <si>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</si>
  <si>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</si>
  <si>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</si>
  <si>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</si>
  <si>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</si>
  <si>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</si>
  <si>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</si>
  <si>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</si>
  <si>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</si>
  <si>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</si>
  <si>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</si>
  <si>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</si>
  <si>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</si>
  <si>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</si>
  <si>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</si>
  <si>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</si>
  <si>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</si>
  <si>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</si>
  <si>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</si>
  <si>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</si>
  <si>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</si>
  <si>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</si>
  <si>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</si>
  <si>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</si>
  <si>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</si>
  <si>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</si>
  <si>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</si>
  <si>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</si>
  <si>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</si>
  <si>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</si>
  <si>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</si>
  <si>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</si>
  <si>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</si>
  <si>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</si>
  <si>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</si>
  <si>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</si>
  <si>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</si>
  <si>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</si>
  <si>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</si>
  <si>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</si>
  <si>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</si>
  <si>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</si>
  <si>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</si>
  <si>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</si>
  <si>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</si>
  <si>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</si>
  <si>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</si>
  <si>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</si>
  <si>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</si>
  <si>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</si>
  <si>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</si>
  <si>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</si>
  <si>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</si>
  <si>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</si>
  <si>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</si>
  <si>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</si>
  <si>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</si>
  <si>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</si>
  <si>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</si>
  <si>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</si>
  <si>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</si>
  <si>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</si>
  <si>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</si>
  <si>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</si>
  <si>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</si>
  <si>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</si>
  <si>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</si>
  <si>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</si>
  <si>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</si>
  <si>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</si>
  <si>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</si>
  <si>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</si>
  <si>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</si>
  <si>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</si>
  <si>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</si>
  <si>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</si>
  <si>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</si>
  <si>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</si>
  <si>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</si>
  <si>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</si>
  <si>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</si>
  <si>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</si>
  <si>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</si>
  <si>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</si>
  <si>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</si>
  <si>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</si>
  <si>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</si>
  <si>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</si>
  <si>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</si>
  <si>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</si>
  <si>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</si>
  <si>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</si>
  <si>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</si>
  <si>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</si>
  <si>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</si>
  <si>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</si>
  <si>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</si>
  <si>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</si>
  <si>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</si>
  <si>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</si>
  <si>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</si>
  <si>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</si>
  <si>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</si>
  <si>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</si>
  <si>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</si>
  <si>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</si>
  <si>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</si>
  <si>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</si>
  <si>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</si>
  <si>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</si>
  <si>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</si>
  <si>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</si>
  <si>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</si>
  <si>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</si>
  <si>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</si>
  <si>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</si>
  <si>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</si>
  <si>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</si>
  <si>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</si>
  <si>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</si>
  <si>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</si>
  <si>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</si>
  <si>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</si>
  <si>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</si>
  <si>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</si>
  <si>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</si>
  <si>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</si>
  <si>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</si>
  <si>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</si>
  <si>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</si>
  <si>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</si>
  <si>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</si>
  <si>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</si>
  <si>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</si>
  <si>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</si>
  <si>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</si>
  <si>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</si>
  <si>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</si>
  <si>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</si>
  <si>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</si>
  <si>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</si>
  <si>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</si>
  <si>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</si>
  <si>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</si>
  <si>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</si>
  <si>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</si>
  <si>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</si>
  <si>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</si>
  <si>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</si>
  <si>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</si>
  <si>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</si>
  <si>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</si>
  <si>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</si>
  <si>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</si>
  <si>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</si>
  <si>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</si>
  <si>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</si>
  <si>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</si>
  <si>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</si>
  <si>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</si>
  <si>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</si>
  <si>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</si>
  <si>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</si>
  <si>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</si>
  <si>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</si>
  <si>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</si>
  <si>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</si>
  <si>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</si>
  <si>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</si>
  <si>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</si>
  <si>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</si>
  <si>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</si>
  <si>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</si>
  <si>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</si>
  <si>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</si>
  <si>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</si>
  <si>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</si>
  <si>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</si>
  <si>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</si>
  <si>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</si>
  <si>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</si>
  <si>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</si>
  <si>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</si>
  <si>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</si>
  <si>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</si>
  <si>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</si>
  <si>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</si>
  <si>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</si>
  <si>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</si>
  <si>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</si>
  <si>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</si>
  <si>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</si>
  <si>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</si>
  <si>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</si>
  <si>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</si>
  <si>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</si>
  <si>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</si>
  <si>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</si>
  <si>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</si>
  <si>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</si>
  <si>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</si>
  <si>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</si>
  <si>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</si>
  <si>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</si>
  <si>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</si>
  <si>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</si>
  <si>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</si>
  <si>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</si>
  <si>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</si>
  <si>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</si>
  <si>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</si>
  <si>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&gt;Sub-Department</t>
  </si>
  <si>
    <t>Total prod</t>
  </si>
  <si>
    <t>Potential Sales</t>
  </si>
  <si>
    <t>CP of potential sales</t>
  </si>
  <si>
    <t>Potential GP</t>
  </si>
  <si>
    <t>Potential GP%</t>
  </si>
  <si>
    <t>Grand Total</t>
  </si>
  <si>
    <t>101 Total</t>
  </si>
  <si>
    <t>102 Total</t>
  </si>
  <si>
    <t>104 Total</t>
  </si>
  <si>
    <t>106 Total</t>
  </si>
  <si>
    <t>117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</si>
  <si>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</si>
  <si>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</si>
  <si>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</si>
  <si>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</si>
  <si>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</si>
  <si>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</si>
  <si>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</si>
  <si>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</si>
  <si>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</si>
  <si>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</si>
  <si>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</si>
  <si>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</si>
  <si>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</si>
  <si>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</si>
  <si>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</si>
  <si>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</si>
  <si>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</si>
  <si>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Actuals data.Date</t>
  </si>
  <si>
    <t>Actuals data.Day</t>
  </si>
  <si>
    <t>Actuals data.Sales excl. VAT</t>
  </si>
  <si>
    <t>Actuals data.Sales Quantity</t>
  </si>
  <si>
    <t>118 Total</t>
  </si>
  <si>
    <t>119 Total</t>
  </si>
  <si>
    <t>120 Total</t>
  </si>
  <si>
    <t>Total Actual Sales</t>
  </si>
  <si>
    <t>Actual Sales</t>
  </si>
  <si>
    <t>Total Actual Qty</t>
  </si>
  <si>
    <t>Actual Qty</t>
  </si>
  <si>
    <t>(blank)</t>
  </si>
  <si>
    <t>103 Total</t>
  </si>
  <si>
    <t>107 Total</t>
  </si>
  <si>
    <t>109 Total</t>
  </si>
  <si>
    <t>112 Total</t>
  </si>
  <si>
    <t>113 Total</t>
  </si>
  <si>
    <t>1138 Total</t>
  </si>
  <si>
    <t>1821 Total</t>
  </si>
  <si>
    <t>column c</t>
  </si>
  <si>
    <t>17/06/26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</si>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</sst>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##0;\-###0"/>
    <numFmt numFmtId="165" formatCode="#,##0.0"/>
    <numFmt numFmtId="166" formatCode="#,##0.00_ ;\-#,##0.00\ "/>
    <numFmt numFmtId="167" formatCode="0.0"/>
    <numFmt numFmtId="168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sz val="8"/>
      <name val="MS Sans Serif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79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vertical="top"/>
      <protection locked="0"/>
    </xf>
    <xf numFmtId="4" fontId="0" fillId="0" borderId="0" xfId="0" applyNumberFormat="1" applyAlignment="1">
      <alignment horizontal="left" vertical="top"/>
      <protection locked="0"/>
    </xf>
    <xf numFmtId="165" fontId="0" fillId="2" borderId="0" xfId="0" applyNumberFormat="1" applyFill="1" applyAlignment="1">
      <alignment horizontal="left" vertical="top" wrapText="1"/>
      <protection locked="0"/>
    </xf>
    <xf numFmtId="165" fontId="1" fillId="0" borderId="0" xfId="0" applyNumberFormat="1" applyFont="1" applyAlignment="1">
      <alignment horizontal="right" vertical="top"/>
      <protection locked="0"/>
    </xf>
    <xf numFmtId="165" fontId="0" fillId="0" borderId="0" xfId="0" applyNumberFormat="1" applyAlignment="1">
      <alignment vertical="top"/>
      <protection locked="0"/>
    </xf>
    <xf numFmtId="165" fontId="0" fillId="0" borderId="0" xfId="0" applyNumberFormat="1" applyAlignment="1">
      <alignment horizontal="left" vertical="top"/>
      <protection locked="0"/>
    </xf>
    <xf numFmtId="3" fontId="0" fillId="2" borderId="0" xfId="0" applyNumberFormat="1" applyFill="1" applyAlignment="1">
      <alignment horizontal="right" vertical="top" wrapText="1"/>
      <protection locked="0"/>
    </xf>
    <xf numFmtId="166" fontId="0" fillId="2" borderId="0" xfId="1" applyNumberFormat="1" applyFont="1" applyFill="1" applyAlignment="1">
      <alignment horizontal="right" vertical="top" wrapText="1"/>
      <protection locked="0"/>
    </xf>
    <xf numFmtId="4" fontId="0" fillId="3" borderId="0" xfId="0" applyNumberFormat="1" applyFill="1" applyAlignment="1">
      <alignment horizontal="right" vertical="top"/>
      <protection locked="0"/>
    </xf>
    <xf numFmtId="3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166" fontId="0" fillId="4" borderId="0" xfId="1" applyNumberFormat="1" applyFont="1" applyFill="1" applyAlignment="1">
      <alignment horizontal="right" vertical="top"/>
      <protection locked="0"/>
    </xf>
    <xf numFmtId="167" fontId="0" fillId="4" borderId="0" xfId="1" applyNumberFormat="1" applyFont="1" applyFill="1" applyAlignment="1">
      <alignment horizontal="righ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5" fillId="5" borderId="1" xfId="0" applyFont="1" applyFill="1" applyBorder="1" applyAlignment="1">
      <alignment horizontal="center" vertical="top" wrapText="1"/>
      <protection locked="0"/>
    </xf>
    <xf numFmtId="164" fontId="0" fillId="0" borderId="1" xfId="0" applyNumberFormat="1" applyBorder="1" applyAlignment="1">
      <alignment horizontal="left" vertical="center"/>
      <protection locked="0"/>
    </xf>
    <xf numFmtId="1" fontId="0" fillId="0" borderId="1" xfId="0" applyNumberFormat="1" applyBorder="1" applyAlignment="1">
      <alignment horizontal="left" vertical="center"/>
      <protection locked="0"/>
    </xf>
    <xf numFmtId="0" fontId="0" fillId="0" borderId="1" xfId="0" applyBorder="1" applyAlignment="1">
      <alignment horizontal="left" vertical="center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6" fontId="0" fillId="0" borderId="1" xfId="0" applyNumberFormat="1" applyBorder="1" applyAlignment="1">
      <alignment horizontal="right" vertical="center"/>
      <protection locked="0"/>
    </xf>
    <xf numFmtId="168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0" fillId="7" borderId="1" xfId="0" applyFill="1" applyBorder="1" applyAlignment="1">
      <alignment horizontal="left" vertical="center"/>
      <protection locked="0"/>
    </xf>
    <xf numFmtId="1" fontId="0" fillId="7" borderId="1" xfId="0" applyNumberFormat="1" applyFill="1" applyBorder="1" applyAlignment="1">
      <alignment horizontal="left" vertical="center"/>
      <protection locked="0"/>
    </xf>
    <xf numFmtId="3" fontId="0" fillId="7" borderId="1" xfId="0" applyNumberFormat="1" applyFill="1" applyBorder="1" applyAlignment="1">
      <alignment horizontal="right" vertical="center"/>
      <protection locked="0"/>
    </xf>
    <xf numFmtId="4" fontId="0" fillId="7" borderId="1" xfId="0" applyNumberFormat="1" applyFill="1" applyBorder="1" applyAlignment="1">
      <alignment horizontal="right" vertical="center"/>
      <protection locked="0"/>
    </xf>
    <xf numFmtId="166" fontId="0" fillId="7" borderId="1" xfId="0" applyNumberFormat="1" applyFill="1" applyBorder="1" applyAlignment="1">
      <alignment horizontal="right" vertical="center"/>
      <protection locked="0"/>
    </xf>
    <xf numFmtId="168" fontId="0" fillId="7" borderId="1" xfId="0" applyNumberFormat="1" applyFill="1" applyBorder="1" applyAlignment="1">
      <alignment horizontal="right" vertical="center"/>
      <protection locked="0"/>
    </xf>
    <xf numFmtId="164" fontId="3" fillId="6" borderId="1" xfId="0" applyNumberFormat="1" applyFont="1" applyFill="1" applyBorder="1" applyAlignment="1">
      <alignment horizontal="left" vertical="center"/>
      <protection locked="0"/>
    </xf>
    <xf numFmtId="0" fontId="3" fillId="6" borderId="1" xfId="0" applyFont="1" applyFill="1" applyBorder="1" applyAlignment="1">
      <alignment horizontal="left" vertical="center"/>
      <protection locked="0"/>
    </xf>
    <xf numFmtId="3" fontId="3" fillId="6" borderId="1" xfId="0" applyNumberFormat="1" applyFont="1" applyFill="1" applyBorder="1" applyAlignment="1">
      <alignment horizontal="right" vertical="center"/>
      <protection locked="0"/>
    </xf>
    <xf numFmtId="4" fontId="3" fillId="6" borderId="1" xfId="0" applyNumberFormat="1" applyFont="1" applyFill="1" applyBorder="1" applyAlignment="1">
      <alignment horizontal="right" vertical="center"/>
      <protection locked="0"/>
    </xf>
    <xf numFmtId="166" fontId="3" fillId="6" borderId="1" xfId="0" applyNumberFormat="1" applyFont="1" applyFill="1" applyBorder="1" applyAlignment="1">
      <alignment horizontal="right" vertical="center"/>
      <protection locked="0"/>
    </xf>
    <xf numFmtId="168" fontId="3" fillId="6" borderId="1" xfId="0" applyNumberFormat="1" applyFont="1" applyFill="1" applyBorder="1" applyAlignment="1">
      <alignment horizontal="right" vertical="center"/>
      <protection locked="0"/>
    </xf>
    <xf numFmtId="164" fontId="0" fillId="7" borderId="1" xfId="0" applyNumberFormat="1" applyFill="1" applyBorder="1" applyAlignment="1">
      <alignment horizontal="left" vertical="center"/>
      <protection locked="0"/>
    </xf>
    <xf numFmtId="164" fontId="5" fillId="5" borderId="1" xfId="0" applyNumberFormat="1" applyFont="1" applyFill="1" applyBorder="1" applyAlignment="1">
      <alignment horizontal="left" vertical="center"/>
      <protection locked="0"/>
    </xf>
    <xf numFmtId="0" fontId="5" fillId="5" borderId="1" xfId="0" applyFont="1" applyFill="1" applyBorder="1" applyAlignment="1">
      <alignment horizontal="left" vertical="center"/>
      <protection locked="0"/>
    </xf>
    <xf numFmtId="3" fontId="5" fillId="5" borderId="1" xfId="0" applyNumberFormat="1" applyFont="1" applyFill="1" applyBorder="1" applyAlignment="1">
      <alignment horizontal="right" vertical="center"/>
      <protection locked="0"/>
    </xf>
    <xf numFmtId="4" fontId="5" fillId="5" borderId="1" xfId="0" applyNumberFormat="1" applyFont="1" applyFill="1" applyBorder="1" applyAlignment="1">
      <alignment horizontal="right" vertical="center"/>
      <protection locked="0"/>
    </xf>
    <xf numFmtId="166" fontId="5" fillId="5" borderId="1" xfId="0" applyNumberFormat="1" applyFont="1" applyFill="1" applyBorder="1" applyAlignment="1">
      <alignment horizontal="right" vertical="center"/>
      <protection locked="0"/>
    </xf>
    <xf numFmtId="168" fontId="5" fillId="5" borderId="1" xfId="0" applyNumberFormat="1" applyFont="1" applyFill="1" applyBorder="1" applyAlignment="1">
      <alignment horizontal="right" vertical="center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5" fillId="5" borderId="0" xfId="0" applyFont="1" applyFill="1" applyAlignment="1">
      <alignment vertical="top"/>
      <protection locked="0"/>
    </xf>
    <xf numFmtId="14" fontId="0" fillId="0" borderId="0" xfId="0" applyNumberFormat="1" applyAlignment="1">
      <alignment vertical="top"/>
      <protection locked="0"/>
    </xf>
    <xf numFmtId="0" fontId="5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14" fontId="0" fillId="0" borderId="0" xfId="0" applyNumberFormat="1" applyAlignment="1">
      <alignment horizontal="right" vertical="top"/>
      <protection locked="0"/>
    </xf>
    <xf numFmtId="14" fontId="0" fillId="0" borderId="0" xfId="0" applyNumberFormat="1" applyAlignment="1">
      <alignment horizontal="right" vertical="top" wrapText="1"/>
      <protection locked="0"/>
    </xf>
    <xf numFmtId="0" fontId="0" fillId="0" borderId="0" xfId="0" applyAlignment="1">
      <alignment horizontal="right" vertical="top" wrapText="1"/>
      <protection locked="0"/>
    </xf>
    <xf numFmtId="49" fontId="0" fillId="8" borderId="0" xfId="0" applyNumberFormat="1" applyFill="1" applyAlignment="1">
      <alignment horizontal="left" vertical="top"/>
      <protection locked="0"/>
    </xf>
    <xf numFmtId="164" fontId="0" fillId="8" borderId="0" xfId="0" applyNumberFormat="1" applyFill="1" applyAlignment="1">
      <alignment horizontal="right" vertical="top"/>
      <protection locked="0"/>
    </xf>
    <xf numFmtId="1" fontId="0" fillId="8" borderId="0" xfId="0" applyNumberFormat="1" applyFill="1" applyAlignment="1">
      <alignment horizontal="right" vertical="top"/>
      <protection locked="0"/>
    </xf>
    <xf numFmtId="4" fontId="0" fillId="8" borderId="0" xfId="0" applyNumberFormat="1" applyFill="1" applyAlignment="1">
      <alignment horizontal="right" vertical="top"/>
      <protection locked="0"/>
    </xf>
    <xf numFmtId="0" fontId="3" fillId="0" borderId="0" xfId="0" applyFont="1" applyAlignment="1">
      <alignment vertical="top"/>
      <protection locked="0"/>
    </xf>
    <xf numFmtId="49" fontId="0" fillId="0" borderId="0" xfId="0" applyNumberFormat="1" applyAlignment="1">
      <alignment vertical="top"/>
      <protection locked="0"/>
    </xf>
    <xf numFmtId="49" fontId="3" fillId="0" borderId="0" xfId="0" applyNumberFormat="1" applyFont="1" applyAlignment="1">
      <alignment vertical="top"/>
      <protection locked="0"/>
    </xf>
    <xf numFmtId="4" fontId="3" fillId="0" borderId="0" xfId="0" applyNumberFormat="1" applyFont="1" applyAlignment="1">
      <alignment vertical="top"/>
      <protection locked="0"/>
    </xf>
    <xf numFmtId="0" fontId="4" fillId="0" borderId="1" xfId="0" applyFont="1" applyBorder="1" applyAlignment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35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8" formatCode="0.0%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4" formatCode="#,##0.00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ans Serif"/>
        <scheme val="none"/>
      </font>
      <fill>
        <patternFill patternType="solid">
          <fgColor indexed="64"/>
          <bgColor rgb="FF4472C4"/>
        </patternFill>
      </fill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1.454385763886" createdVersion="8" refreshedVersion="8" minRefreshableVersion="3" recordCount="354" xr:uid="{2CC2B16E-D7EA-4BBB-B874-EBD28A24F8FC}">
  <cacheSource type="worksheet">
    <worksheetSource name="Merged_data_1"/>
  </cacheSource>
  <cacheFields count="15">
    <cacheField name="Supplier Name" numFmtId="0">
      <sharedItems/>
    </cacheField>
    <cacheField name="&gt;Sub-Department" numFmtId="0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0">
      <sharedItems containsSemiMixedTypes="0" containsString="0" containsNumber="1" containsInteger="1" minValue="32062" maxValue="67301" count="273">
        <n v="59381"/>
        <n v="32067"/>
        <n v="59425"/>
        <n v="32127"/>
        <n v="34690"/>
        <n v="34141"/>
        <n v="32152"/>
        <n v="32859"/>
        <n v="34070"/>
        <n v="32153"/>
        <n v="34041"/>
        <n v="50037"/>
        <n v="32855"/>
        <n v="34046"/>
        <n v="34042"/>
        <n v="32857"/>
        <n v="34091"/>
        <n v="32858"/>
        <n v="57073"/>
        <n v="34024"/>
        <n v="41464"/>
        <n v="51680"/>
        <n v="33997"/>
        <n v="34023"/>
        <n v="34022"/>
        <n v="32860"/>
        <n v="61947"/>
        <n v="32062"/>
        <n v="32863"/>
        <n v="32063"/>
        <n v="34053"/>
        <n v="32864"/>
        <n v="34011"/>
        <n v="32872"/>
        <n v="33019"/>
        <n v="34121"/>
        <n v="33031"/>
        <n v="58767"/>
        <n v="33995"/>
        <n v="58512"/>
        <n v="57167"/>
        <n v="34004"/>
        <n v="34119"/>
        <n v="42401"/>
        <n v="34008"/>
        <n v="34687"/>
        <n v="60832"/>
        <n v="34015"/>
        <n v="34088"/>
        <n v="62788"/>
        <n v="34092"/>
        <n v="54547"/>
        <n v="57071"/>
        <n v="34132"/>
        <n v="34113"/>
        <n v="40158"/>
        <n v="53528"/>
        <n v="34086"/>
        <n v="53497"/>
        <n v="54228"/>
        <n v="34006"/>
        <n v="34059"/>
        <n v="65681"/>
        <n v="34068"/>
        <n v="62390"/>
        <n v="32862"/>
        <n v="56350"/>
        <n v="62622"/>
        <n v="34052"/>
        <n v="61950"/>
        <n v="32871"/>
        <n v="54546"/>
        <n v="39750"/>
        <n v="43420"/>
        <n v="58763"/>
        <n v="34102"/>
        <n v="62621"/>
        <n v="62627"/>
        <n v="66806"/>
        <n v="61018"/>
        <n v="54617"/>
        <n v="61949"/>
        <n v="33027"/>
        <n v="34019"/>
        <n v="34047"/>
        <n v="63800"/>
        <n v="38977"/>
        <n v="67140"/>
        <n v="52943"/>
        <n v="39422"/>
        <n v="61939"/>
        <n v="42990"/>
        <n v="42797"/>
        <n v="61938"/>
        <n v="61937"/>
        <n v="32131"/>
        <n v="55481"/>
        <n v="32128"/>
        <n v="40065"/>
        <n v="55095"/>
        <n v="48861"/>
        <n v="33023"/>
        <n v="32066"/>
        <n v="34039"/>
        <n v="61940"/>
        <n v="32149"/>
        <n v="33036"/>
        <n v="33025"/>
        <n v="61942"/>
        <n v="53212"/>
        <n v="53410"/>
        <n v="32150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ANANA BREAD"/>
        <s v="BROWN BREAD STD"/>
        <s v="SMALL MALVA PUDDING"/>
        <s v="OUMA BROOD"/>
        <s v="WHAMMY BURGER BUNS"/>
        <s v="DOUGHNUT CUSTARD"/>
        <s v="HAMBURGER BUNS 6'S"/>
        <s v="WHITE BREAD DOUGH"/>
        <s v="DOUGHNUT RING C/TAIL"/>
        <s v="MINI LOAF"/>
        <s v="CHEESE BUNS 6'S"/>
        <s v="ECLAIRS CARAMEL"/>
        <s v="MOSBOLLE"/>
        <s v="MINI OUMA BROOD"/>
        <s v="BACON AVO &amp; FETA PIZZA"/>
        <s v="CHEESE &amp; GARLIC ROLLS 6'S"/>
        <s v="HAMBURGER BUNS"/>
        <s v="FOCACCIA  CHICKEN MAYO"/>
        <s v="FOCACCIA"/>
        <s v="OUPA BROOD"/>
        <s v="CONEY ROLL 6'S"/>
        <s v="FRENCH LOAF"/>
        <s v="DUMPIE WHITE BREAD"/>
        <s v="DUMPIE BROWN BREAD"/>
        <s v="HOTDOG ROLLS 6'S"/>
        <s v="CUSTARD DELIGHT"/>
        <s v="ARTISAN FETA &amp; SPINACH LOAF"/>
        <s v="KOEKSISTERS MEDIUM"/>
        <s v="ARTISAN CHEESE &amp; ONION BREAD"/>
        <s v="RAISIN BREAD"/>
        <s v="KOEKSISTERS SMALL"/>
        <s v="CHEESE LOAF"/>
        <s v="MEDIUM MILKTART"/>
        <s v="POEDING ASSORTED"/>
        <s v="HOTDOG ROLLS BULK"/>
        <s v="SLICE MILK TART"/>
        <s v="TOMATO,ONION &amp; CHEESE SQUARE"/>
        <s v="DOUGHNUT IMITATION CREAM"/>
        <s v="MEDITERRANEAN SQUARE"/>
        <s v="GATSBY ROLL"/>
        <s v="BREAD SLICES"/>
        <s v="HAMBURGER BUNS BULK"/>
        <s v="BANANA BREAD MINI"/>
        <s v="C/TAIL ECLAIR"/>
        <s v="HOTDOG ROLLS"/>
        <s v="WHITE BREAD STD BULK"/>
        <s v="CHOCOLATE ECLAIRS WITH IMM CREAM"/>
        <s v="BULK C/TAIL BUNS"/>
        <s v="MEATY SQUARE"/>
        <s v="CHEESE BUNS"/>
        <s v=" MINI GATSBY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VETKOEK COCKTAIL"/>
        <s v="MADEIRA LOAF MINI"/>
        <s v="JAM DOUGHNUT"/>
        <s v="FOCACCIA SLICE"/>
        <s v="SEEDED HAMBURGER ROLLS 6'S"/>
        <s v="POTBREAD"/>
        <s v="LARGE CRUNCHIE BISCUIT"/>
        <s v="LEMON MEGANGUE TARTLETTE"/>
        <s v="BABY FOCACCIA"/>
        <s v="PARTY WHEEL 15'S"/>
        <s v="CINNAMON BUN"/>
        <s v="C/TAIL SEEDED BUNS"/>
        <s v="CROISSANT IMMATATION CREAM LARGE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CARAMEL DOUGHNUT"/>
        <s v=" C/TAIL BUNS"/>
        <s v="SAGO PUDDING"/>
        <s v="CREAM HORN"/>
        <s v="MADEIRA COCANUT SLICE"/>
        <s v="MALVA PUDDING MED"/>
        <s v="GANASH TOPPED  RING DOUGHNUT"/>
        <s v="SCHOOL BUN 8'S"/>
        <s v="CUSTARD BUNS 3'S"/>
        <s v="CARROT CAKE SLICE"/>
        <s v="BEESTING ROLL"/>
        <s v="CAKE SLICE ASSORTED"/>
        <s v="DOUGHNUT IMITAT CREAM 2'S"/>
        <s v="CAPE MELAY DOUGHNUT"/>
        <s v="KOEKSISTERS SMALL 6'S"/>
        <s v="SCONES 6'S"/>
        <s v="ASSORTED LARGE CUPCAKE"/>
        <s v="LAMINGTON WITH IMMITATION CREAM"/>
        <s v="GARLIC TWIST"/>
        <s v="DOUGHNUT CINNAMON &amp; SUGAR 4S"/>
        <s v="TEMPTING TREATS PLATTER"/>
        <s v="SCONES GEVUL"/>
        <s v="SCONE 2'S"/>
        <s v="ASS DELIGHTS"/>
        <s v="KOEKSISTERS MED  3'S"/>
        <s v="DOUGHNUT C/TAIL IMMITATION CREAM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 count="89">
        <n v="13.99"/>
        <n v="34.99"/>
        <n v="10.99"/>
        <n v="11.99"/>
        <n v="16.989999999999998"/>
        <n v="5"/>
        <n v="12.99"/>
        <n v="20.99"/>
        <n v="8.99"/>
        <n v="6.99"/>
        <n v="25.99"/>
        <n v="17.989999999999998"/>
        <n v="19.989999999999998"/>
        <n v="9.5"/>
        <n v="130"/>
        <n v="3.8"/>
        <n v="36.99"/>
        <n v="37.99"/>
        <n v="21.99"/>
        <n v="14.99"/>
        <n v="5.99"/>
        <n v="28.99"/>
        <n v="24.99"/>
        <n v="15.99"/>
        <n v="9.99"/>
        <n v="39.99"/>
        <n v="3.3"/>
        <n v="26.99"/>
        <n v="1"/>
        <n v="10"/>
        <n v="29.99"/>
        <n v="1.5"/>
        <n v="4.99"/>
        <n v="3.99"/>
        <n v="79.989999999999995"/>
        <n v="3.2"/>
        <n v="33.99"/>
        <n v="4"/>
        <n v="30.99"/>
        <n v="23.99"/>
        <n v="18.989999999999998"/>
        <n v="2"/>
        <n v="31.99"/>
        <n v="27.99"/>
        <n v="50"/>
        <n v="400"/>
        <n v="52"/>
        <n v="26.97"/>
        <n v="3.5"/>
        <n v="49.99"/>
        <n v="47.99"/>
        <n v="100"/>
        <n v="3"/>
        <n v="32.99"/>
        <n v="2.5"/>
        <n v="5.49"/>
        <n v="10.85"/>
        <n v="7.99"/>
        <n v="330.99"/>
        <n v="5.4"/>
        <n v="269.99"/>
        <n v="35.99"/>
        <n v="70.989999999999995"/>
        <n v="216.99"/>
        <n v="30"/>
        <n v="402.99"/>
        <n v="99.99"/>
        <n v="20"/>
        <n v="313.99"/>
        <n v="15"/>
        <n v="112.99"/>
        <n v="114.99"/>
        <n v="282.99"/>
        <n v="189.99"/>
        <n v="69.989999999999995"/>
        <n v="120"/>
        <n v="199.99"/>
        <n v="44.99"/>
        <n v="80"/>
        <n v="385"/>
        <n v="65.989999999999995"/>
        <n v="160"/>
        <n v="140"/>
        <n v="59.99"/>
        <n v="70"/>
        <n v="55"/>
        <n v="60"/>
        <n v="38"/>
        <n v="0"/>
      </sharedItems>
    </cacheField>
    <cacheField name="List Cost" numFmtId="0">
      <sharedItems containsSemiMixedTypes="0" containsString="0" containsNumber="1" minValue="0.59" maxValue="210" count="250">
        <n v="7.36"/>
        <n v="15.91"/>
        <n v="6.3"/>
        <n v="6.02"/>
        <n v="7.7"/>
        <n v="3.3388749999999998"/>
        <n v="6.77"/>
        <n v="11.1"/>
        <n v="7.46"/>
        <n v="6.81"/>
        <n v="4.5599999999999996"/>
        <n v="3.15"/>
        <n v="13.4"/>
        <n v="9.14"/>
        <n v="12.2"/>
        <n v="4.1500000000000004"/>
        <n v="68.680000000000007"/>
        <n v="12.24"/>
        <n v="1.8573999999999999"/>
        <n v="2.0770666666666702"/>
        <n v="16.05"/>
        <n v="16.5"/>
        <n v="7.73"/>
        <n v="12.14"/>
        <n v="7.62"/>
        <n v="2.85"/>
        <n v="2.72"/>
        <n v="8.93"/>
        <n v="9.68"/>
        <n v="9.4"/>
        <n v="8.5"/>
        <n v="6.74"/>
        <n v="5"/>
        <n v="2.63"/>
        <n v="11.79"/>
        <n v="5.5"/>
        <n v="1.85"/>
        <n v="9.1199999999999992"/>
        <n v="7.04"/>
        <n v="8.2200000000000006"/>
        <n v="10.66"/>
        <n v="7.4"/>
        <n v="0.65"/>
        <n v="6.62"/>
        <n v="4.32"/>
        <n v="1.9688000000000001"/>
        <n v="3.1788888888888902"/>
        <n v="0.68"/>
        <n v="2.52"/>
        <n v="3.23"/>
        <n v="12.66"/>
        <n v="2.1095999999999999"/>
        <n v="2.1385999999999998"/>
        <n v="6.05"/>
        <n v="14.86"/>
        <n v="10"/>
        <n v="32.200000000000003"/>
        <n v="7.37"/>
        <n v="3.8"/>
        <n v="16.03"/>
        <n v="0.59"/>
        <n v="7.43"/>
        <n v="5.14"/>
        <n v="2.61"/>
        <n v="14.15"/>
        <n v="8.1"/>
        <n v="6.19"/>
        <n v="2.5299999999999998"/>
        <n v="16.100000000000001"/>
        <n v="8.3665000000000003"/>
        <n v="1.62"/>
        <n v="4.99"/>
        <n v="12.88"/>
        <n v="17.418749999999999"/>
        <n v="2.2599999999999998"/>
        <n v="12.4"/>
        <n v="6.28"/>
        <n v="7.94"/>
        <n v="3.12"/>
        <n v="2.120625"/>
        <n v="11.87"/>
        <n v="9.6999999999999993"/>
        <n v="15.17"/>
        <n v="8.3000000000000007"/>
        <n v="5.09"/>
        <n v="10.85"/>
        <n v="5.12"/>
        <n v="4.84"/>
        <n v="3.43"/>
        <n v="2.67"/>
        <n v="9.1300000000000008"/>
        <n v="5.0999999999999996"/>
        <n v="11"/>
        <n v="15.7"/>
        <n v="1.38"/>
        <n v="30"/>
        <n v="10.23"/>
        <n v="4.5"/>
        <n v="5.62"/>
        <n v="3.28"/>
        <n v="13"/>
        <n v="204.01"/>
        <n v="2.95"/>
        <n v="3.73"/>
        <n v="15.38"/>
        <n v="28.2"/>
        <n v="4.53"/>
        <n v="5.13"/>
        <n v="6.35"/>
        <n v="7.86"/>
        <n v="9.9600000000000009"/>
        <n v="3.1"/>
        <n v="10.039999999999999"/>
        <n v="3.26"/>
        <n v="13.68"/>
        <n v="2.12"/>
        <n v="12.33"/>
        <n v="26.72"/>
        <n v="6.69"/>
        <n v="3.4432999999999998"/>
        <n v="1.3"/>
        <n v="5.44"/>
        <n v="7.99"/>
        <n v="1.29"/>
        <n v="27.08"/>
        <n v="17.68"/>
        <n v="3.77"/>
        <n v="5.7054999999999998"/>
        <n v="16.841833333333302"/>
        <n v="19.462499999999999"/>
        <n v="3.71"/>
        <n v="28.95"/>
        <n v="22.26"/>
        <n v="16.43"/>
        <n v="12.413"/>
        <n v="14.6126666666667"/>
        <n v="25"/>
        <n v="6.88"/>
        <n v="8.31"/>
        <n v="13.19"/>
        <n v="15.39"/>
        <n v="44.62"/>
        <n v="5.87"/>
        <n v="7.72"/>
        <n v="10.44"/>
        <n v="3.31"/>
        <n v="7.6"/>
        <n v="29.01"/>
        <n v="2.7884166666666701"/>
        <n v="5.2888333333333302"/>
        <n v="5.9984999999999999"/>
        <n v="3.6635833333333299"/>
        <n v="4.1159999999999997"/>
        <n v="4.1161666666666701"/>
        <n v="4.3630833333333303"/>
        <n v="5.6589999999999998"/>
        <n v="172.26333333333301"/>
        <n v="182.6"/>
        <n v="14.814500000000001"/>
        <n v="15.703250000000001"/>
        <n v="2.6173000000000002"/>
        <n v="2.9407999999999999"/>
        <n v="2.5465"/>
        <n v="2.8072499999999998"/>
        <n v="6.2521428571428599"/>
        <n v="6.6272857142857102"/>
        <n v="8.2398749999999996"/>
        <n v="10.989750000000001"/>
        <n v="141.47833333333301"/>
        <n v="41.475000000000001"/>
        <n v="179.16"/>
        <n v="6.2"/>
        <n v="9.5"/>
        <n v="12.5"/>
        <n v="7.8"/>
        <n v="8.0500000000000007"/>
        <n v="9.99"/>
        <n v="11.11"/>
        <n v="18.7"/>
        <n v="54"/>
        <n v="18.260000000000002"/>
        <n v="210"/>
        <n v="20.81"/>
        <n v="54.67"/>
        <n v="163.47229999999999"/>
        <n v="6.99"/>
        <n v="45"/>
        <n v="7.77"/>
        <n v="5.04"/>
        <n v="1.5"/>
        <n v="4.26"/>
        <n v="2.5"/>
        <n v="3.39"/>
        <n v="2.3199999999999998"/>
        <n v="20.95"/>
        <n v="57"/>
        <n v="61"/>
        <n v="12.52"/>
        <n v="13.76"/>
        <n v="24.65"/>
        <n v="25.03"/>
        <n v="7.38"/>
        <n v="14.34"/>
        <n v="28.67"/>
        <n v="6.67"/>
        <n v="36.1"/>
        <n v="29.47"/>
        <n v="58.51"/>
        <n v="9.83"/>
        <n v="15.3"/>
        <n v="15.41"/>
        <n v="2.97"/>
        <n v="10.37"/>
        <n v="32.549999999999997"/>
        <n v="5.54"/>
        <n v="107.69199999999999"/>
        <n v="126.16"/>
        <n v="26.64"/>
        <n v="8.43"/>
        <n v="8.11"/>
        <n v="64.849999999999994"/>
        <n v="52.03"/>
        <n v="54.36"/>
        <n v="6.5"/>
        <n v="62.39"/>
        <n v="36.909999999999997"/>
        <n v="64.900000000000006"/>
        <n v="51.82"/>
        <n v="54.64"/>
        <n v="62.47"/>
        <n v="201.52"/>
        <n v="46.29"/>
        <n v="106.8"/>
        <n v="53.89"/>
        <n v="18"/>
        <n v="92.6"/>
        <n v="23.44"/>
        <n v="42.68"/>
        <n v="72.88"/>
        <n v="32.450000000000003"/>
        <n v="62.14"/>
        <n v="82.1"/>
        <n v="48.14"/>
        <n v="33.18"/>
        <n v="18.920000000000002"/>
        <n v="37.380000000000003"/>
        <n v="42.18"/>
        <n v="120.14"/>
        <n v="17.149999999999999"/>
        <n v="29.25"/>
      </sharedItems>
    </cacheField>
    <cacheField name="Total prod" numFmtId="0">
      <sharedItems containsSemiMixedTypes="0" containsString="0" containsNumber="1" minValue="0" maxValue="780" count="28">
        <n v="780"/>
        <n v="8"/>
        <n v="240"/>
        <n v="32"/>
        <n v="184"/>
        <n v="144"/>
        <n v="6"/>
        <n v="104.666666666667"/>
        <n v="0"/>
        <n v="86"/>
        <n v="70"/>
        <n v="65"/>
        <n v="50"/>
        <n v="48"/>
        <n v="40"/>
        <n v="36"/>
        <n v="34"/>
        <n v="30"/>
        <n v="28"/>
        <n v="24"/>
        <n v="16"/>
        <n v="12"/>
        <n v="213"/>
        <n v="10"/>
        <n v="15"/>
        <n v="5"/>
        <n v="3"/>
        <n v="93"/>
      </sharedItems>
    </cacheField>
    <cacheField name="Potential Sales" numFmtId="0">
      <sharedItems containsSemiMixedTypes="0" containsString="0" containsNumber="1" minValue="0" maxValue="10912.2"/>
    </cacheField>
    <cacheField name="CP of potential sales" numFmtId="0">
      <sharedItems containsSemiMixedTypes="0" containsString="0" containsNumber="1" minValue="0" maxValue="5740.8"/>
    </cacheField>
    <cacheField name="Potential GP" numFmtId="0">
      <sharedItems containsSemiMixedTypes="0" containsString="0" containsNumber="1" minValue="0" maxValue="5171.4000000000005"/>
    </cacheField>
    <cacheField name="Potential GP%" numFmtId="0">
      <sharedItems containsSemiMixedTypes="0" containsString="0" containsNumber="1" minValue="0" maxValue="89.400170427179418"/>
    </cacheField>
    <cacheField name="Actuals data.Date" numFmtId="14">
      <sharedItems containsNonDate="0" containsDate="1" containsString="0" containsBlank="1" minDate="2015-06-26T00:00:00" maxDate="2016-06-27T00:00:00" count="3">
        <d v="2015-06-26T00:00:00"/>
        <d v="2016-06-26T00:00:00"/>
        <m/>
      </sharedItems>
    </cacheField>
    <cacheField name="Actuals data.Day" numFmtId="0">
      <sharedItems containsBlank="1" count="3">
        <s v="Monday"/>
        <s v="Tuesday"/>
        <m/>
      </sharedItems>
    </cacheField>
    <cacheField name="Actuals data.Sales excl. VAT" numFmtId="0">
      <sharedItems containsString="0" containsBlank="1" containsNumber="1" minValue="3.3043478260869565" maxValue="6217.391304347826"/>
    </cacheField>
    <cacheField name="Actuals data.Sales Quantity" numFmtId="0">
      <sharedItems containsString="0" containsBlank="1" containsNumber="1" minValue="0.20200000000000001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1.454386574071" createdVersion="8" refreshedVersion="8" recordCount="290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&gt;Sub-Department" numFmtId="164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1">
      <sharedItems containsSemiMixedTypes="0" containsString="0" containsNumber="1" containsInteger="1" minValue="32062" maxValue="67301" count="273">
        <n v="59381"/>
        <n v="59425"/>
        <n v="34690"/>
        <n v="34141"/>
        <n v="32859"/>
        <n v="34070"/>
        <n v="34041"/>
        <n v="50037"/>
        <n v="34046"/>
        <n v="34042"/>
        <n v="34091"/>
        <n v="57073"/>
        <n v="34024"/>
        <n v="41464"/>
        <n v="51680"/>
        <n v="33997"/>
        <n v="34023"/>
        <n v="34022"/>
        <n v="32067"/>
        <n v="61947"/>
        <n v="32062"/>
        <n v="32063"/>
        <n v="34053"/>
        <n v="34011"/>
        <n v="32860"/>
        <n v="34121"/>
        <n v="58767"/>
        <n v="58512"/>
        <n v="57167"/>
        <n v="32858"/>
        <n v="34119"/>
        <n v="42401"/>
        <n v="34687"/>
        <n v="60832"/>
        <n v="34088"/>
        <n v="62788"/>
        <n v="34092"/>
        <n v="54547"/>
        <n v="34004"/>
        <n v="57071"/>
        <n v="34132"/>
        <n v="34113"/>
        <n v="40158"/>
        <n v="53528"/>
        <n v="34086"/>
        <n v="53497"/>
        <n v="54228"/>
        <n v="34006"/>
        <n v="34059"/>
        <n v="65681"/>
        <n v="62390"/>
        <n v="32862"/>
        <n v="56350"/>
        <n v="62622"/>
        <n v="34052"/>
        <n v="61950"/>
        <n v="32871"/>
        <n v="34068"/>
        <n v="54546"/>
        <n v="39750"/>
        <n v="43420"/>
        <n v="58763"/>
        <n v="62621"/>
        <n v="62627"/>
        <n v="66806"/>
        <n v="61018"/>
        <n v="54617"/>
        <n v="61949"/>
        <n v="33027"/>
        <n v="34019"/>
        <n v="34047"/>
        <n v="63800"/>
        <n v="67140"/>
        <n v="52943"/>
        <n v="32127"/>
        <n v="61939"/>
        <n v="33995"/>
        <n v="42990"/>
        <n v="34008"/>
        <n v="61938"/>
        <n v="42797"/>
        <n v="61937"/>
        <n v="32131"/>
        <n v="33031"/>
        <n v="32872"/>
        <n v="32152"/>
        <n v="55481"/>
        <n v="34015"/>
        <n v="32855"/>
        <n v="39422"/>
        <n v="38977"/>
        <n v="32128"/>
        <n v="32153"/>
        <n v="40065"/>
        <n v="32864"/>
        <n v="32863"/>
        <n v="48861"/>
        <n v="33019"/>
        <n v="33023"/>
        <n v="32066"/>
        <n v="34039"/>
        <n v="55095"/>
        <n v="61940"/>
        <n v="32149"/>
        <n v="33036"/>
        <n v="33025"/>
        <n v="61942"/>
        <n v="53212"/>
        <n v="53410"/>
        <n v="32857"/>
        <n v="32150"/>
        <n v="34102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ROWN BREAD STD"/>
        <s v="OUMA BROOD"/>
        <s v="WHAMMY BURGER BUNS"/>
        <s v="HAMBURGER BUNS 6'S"/>
        <s v="WHITE BREAD DOUGH"/>
        <s v="MINI LOAF"/>
        <s v="CHEESE BUNS 6'S"/>
        <s v="MOSBOLLE"/>
        <s v="MINI OUMA BROOD"/>
        <s v="CHEESE &amp; GARLIC ROLLS 6'S"/>
        <s v="FOCACCIA  CHICKEN MAYO"/>
        <s v="FOCACCIA"/>
        <s v="OUPA BROOD"/>
        <s v="CONEY ROLL 6'S"/>
        <s v="FRENCH LOAF"/>
        <s v="DUMPIE WHITE BREAD"/>
        <s v="DUMPIE BROWN BREAD"/>
        <s v="BANANA BREAD"/>
        <s v="CUSTARD DELIGHT"/>
        <s v="ARTISAN FETA &amp; SPINACH LOAF"/>
        <s v="ARTISAN CHEESE &amp; ONION BREAD"/>
        <s v="RAISIN BREAD"/>
        <s v="CHEESE LOAF"/>
        <s v="HOTDOG ROLLS 6'S"/>
        <s v="HOTDOG ROLLS BULK"/>
        <s v="TOMATO,ONION &amp; CHEESE SQUARE"/>
        <s v="MEDITERRANEAN SQUARE"/>
        <s v="GATSBY ROLL"/>
        <s v="HAMBURGER BUNS"/>
        <s v="HAMBURGER BUNS BULK"/>
        <s v="BANANA BREAD MINI"/>
        <s v="HOTDOG ROLLS"/>
        <s v="WHITE BREAD STD BULK"/>
        <s v="BULK C/TAIL BUNS"/>
        <s v="MEATY SQUARE"/>
        <s v="CHEESE BUNS"/>
        <s v=" MINI GATSBY"/>
        <s v="BREAD SLICES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MADEIRA LOAF MINI"/>
        <s v="JAM DOUGHNUT"/>
        <s v="FOCACCIA SLICE"/>
        <s v="SEEDED HAMBURGER ROLLS 6'S"/>
        <s v="POTBREAD"/>
        <s v="LARGE CRUNCHIE BISCUIT"/>
        <s v="LEMON MEGANGUE TARTLETTE"/>
        <s v="VETKOEK COCKTAIL"/>
        <s v="BABY FOCACCIA"/>
        <s v="PARTY WHEEL 15'S"/>
        <s v="CINNAMON BUN"/>
        <s v="C/TAIL SEEDED BUNS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 C/TAIL BUNS"/>
        <s v="SAGO PUDDING"/>
        <s v="SMALL MALVA PUDDING"/>
        <s v="MADEIRA COCANUT SLICE"/>
        <s v="DOUGHNUT IMITATION CREAM"/>
        <s v="MALVA PUDDING MED"/>
        <s v="C/TAIL ECLAIR"/>
        <s v="SCHOOL BUN 8'S"/>
        <s v="GANASH TOPPED  RING DOUGHNUT"/>
        <s v="CUSTARD BUNS 3'S"/>
        <s v="CARROT CAKE SLICE"/>
        <s v="SLICE MILK TART"/>
        <s v="MEDIUM MILKTART"/>
        <s v="DOUGHNUT CUSTARD"/>
        <s v="BEESTING ROLL"/>
        <s v="CHOCOLATE ECLAIRS WITH IMM CREAM"/>
        <s v="ECLAIRS CARAMEL"/>
        <s v="CREAM HORN"/>
        <s v="CARAMEL DOUGHNUT"/>
        <s v="CAKE SLICE ASSORTED"/>
        <s v="DOUGHNUT RING C/TAIL"/>
        <s v="DOUGHNUT IMITAT CREAM 2'S"/>
        <s v="KOEKSISTERS SMALL"/>
        <s v="KOEKSISTERS MEDIUM"/>
        <s v="KOEKSISTERS SMALL 6'S"/>
        <s v="POEDING ASSORTED"/>
        <s v="SCONES 6'S"/>
        <s v="ASSORTED LARGE CUPCAKE"/>
        <s v="LAMINGTON WITH IMMITATION CREAM"/>
        <s v="CAPE MELAY DOUGHNUT"/>
        <s v="GARLIC TWIST"/>
        <s v="DOUGHNUT CINNAMON &amp; SUGAR 4S"/>
        <s v="TEMPTING TREATS PLATTER"/>
        <s v="SCONES GEVUL"/>
        <s v="SCONE 2'S"/>
        <s v="ASS DELIGHTS"/>
        <s v="KOEKSISTERS MED  3'S"/>
        <s v="BACON AVO &amp; FETA PIZZA"/>
        <s v="DOUGHNUT C/TAIL IMMITATION CREAM"/>
        <s v="CROISSANT IMMATATION CREAM LARGE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6">
      <sharedItems containsSemiMixedTypes="0" containsString="0" containsNumber="1" minValue="0" maxValue="10912.2"/>
    </cacheField>
    <cacheField name="CP of potential sales" numFmtId="166">
      <sharedItems containsSemiMixedTypes="0" containsString="0" containsNumber="1" minValue="0" maxValue="5740.8"/>
    </cacheField>
    <cacheField name="Potential GP" numFmtId="166">
      <sharedItems containsSemiMixedTypes="0" containsString="0" containsNumber="1" minValue="0" maxValue="5171.4000000000005"/>
    </cacheField>
    <cacheField name="Potential GP%" numFmtId="167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4">
  <r>
    <s v="BAKERY PRODUCTS"/>
    <x v="0"/>
    <x v="0"/>
    <x v="0"/>
    <x v="0"/>
    <x v="0"/>
    <x v="0"/>
    <n v="10912.2"/>
    <n v="5740.8"/>
    <n v="5171.4000000000005"/>
    <n v="47.390993566833458"/>
    <x v="0"/>
    <x v="0"/>
    <n v="1216.5217391304348"/>
    <n v="100"/>
  </r>
  <r>
    <s v="BAKERY PRODUCTS"/>
    <x v="0"/>
    <x v="0"/>
    <x v="0"/>
    <x v="0"/>
    <x v="0"/>
    <x v="0"/>
    <n v="10912.2"/>
    <n v="5740.8"/>
    <n v="5171.4000000000005"/>
    <n v="47.390993566833458"/>
    <x v="1"/>
    <x v="1"/>
    <n v="1094.8695652173913"/>
    <n v="90"/>
  </r>
  <r>
    <s v="BAKERY PRODUCTS"/>
    <x v="0"/>
    <x v="1"/>
    <x v="1"/>
    <x v="1"/>
    <x v="1"/>
    <x v="1"/>
    <n v="279.92"/>
    <n v="127.28"/>
    <n v="152.64000000000001"/>
    <n v="54.529865675907409"/>
    <x v="1"/>
    <x v="1"/>
    <n v="121.70434782608696"/>
    <n v="4"/>
  </r>
  <r>
    <s v="BAKERY PRODUCTS"/>
    <x v="0"/>
    <x v="2"/>
    <x v="2"/>
    <x v="2"/>
    <x v="2"/>
    <x v="2"/>
    <n v="2637.6"/>
    <n v="1512"/>
    <n v="1125.5999999999999"/>
    <n v="42.675159235668787"/>
    <x v="0"/>
    <x v="0"/>
    <n v="659.4"/>
    <n v="60"/>
  </r>
  <r>
    <s v="BAKERY PRODUCTS"/>
    <x v="1"/>
    <x v="3"/>
    <x v="3"/>
    <x v="3"/>
    <x v="3"/>
    <x v="3"/>
    <n v="383.68"/>
    <n v="192.64"/>
    <n v="191.04000000000002"/>
    <n v="49.791492910758976"/>
    <x v="0"/>
    <x v="0"/>
    <n v="125.11304347826086"/>
    <n v="12"/>
  </r>
  <r>
    <s v="BAKERY PRODUCTS"/>
    <x v="1"/>
    <x v="3"/>
    <x v="3"/>
    <x v="3"/>
    <x v="3"/>
    <x v="3"/>
    <n v="383.68"/>
    <n v="192.64"/>
    <n v="191.04000000000002"/>
    <n v="49.791492910758976"/>
    <x v="1"/>
    <x v="1"/>
    <n v="93.834782608695647"/>
    <n v="9"/>
  </r>
  <r>
    <s v="BAKERY PRODUCTS"/>
    <x v="0"/>
    <x v="4"/>
    <x v="4"/>
    <x v="4"/>
    <x v="4"/>
    <x v="4"/>
    <n v="3126.16"/>
    <n v="1416.8"/>
    <n v="1709.36"/>
    <n v="54.679223072395523"/>
    <x v="0"/>
    <x v="0"/>
    <n v="457.99130434782614"/>
    <n v="31"/>
  </r>
  <r>
    <s v="BAKERY PRODUCTS"/>
    <x v="0"/>
    <x v="4"/>
    <x v="4"/>
    <x v="4"/>
    <x v="4"/>
    <x v="4"/>
    <n v="3126.16"/>
    <n v="1416.8"/>
    <n v="1709.36"/>
    <n v="54.679223072395523"/>
    <x v="1"/>
    <x v="1"/>
    <n v="398.89565217391305"/>
    <n v="27"/>
  </r>
  <r>
    <s v="GOOSEBUMPS DISTR.(BREAD STOP)"/>
    <x v="0"/>
    <x v="5"/>
    <x v="5"/>
    <x v="5"/>
    <x v="5"/>
    <x v="5"/>
    <n v="720"/>
    <n v="480.798"/>
    <n v="239.202"/>
    <n v="33.222499999999997"/>
    <x v="2"/>
    <x v="2"/>
    <m/>
    <m/>
  </r>
  <r>
    <s v="BAKERY PRODUCTS"/>
    <x v="1"/>
    <x v="6"/>
    <x v="6"/>
    <x v="6"/>
    <x v="6"/>
    <x v="6"/>
    <n v="77.94"/>
    <n v="40.619999999999997"/>
    <n v="37.32"/>
    <n v="47.882986913010015"/>
    <x v="0"/>
    <x v="0"/>
    <n v="67.77391304347826"/>
    <n v="6"/>
  </r>
  <r>
    <s v="BAKERY PRODUCTS"/>
    <x v="1"/>
    <x v="6"/>
    <x v="6"/>
    <x v="6"/>
    <x v="6"/>
    <x v="6"/>
    <n v="77.94"/>
    <n v="40.619999999999997"/>
    <n v="37.32"/>
    <n v="47.882986913010015"/>
    <x v="1"/>
    <x v="1"/>
    <n v="22.591304347826089"/>
    <n v="2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1"/>
    <x v="1"/>
    <n v="200.77391304347827"/>
    <n v="11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1"/>
    <x v="1"/>
    <n v="200.77391304347827"/>
    <n v="11"/>
  </r>
  <r>
    <s v="BAKERY PRODUCTS"/>
    <x v="0"/>
    <x v="7"/>
    <x v="7"/>
    <x v="7"/>
    <x v="8"/>
    <x v="8"/>
    <n v="0"/>
    <n v="0"/>
    <n v="0"/>
    <n v="0"/>
    <x v="0"/>
    <x v="0"/>
    <n v="146.01739130434785"/>
    <n v="8"/>
  </r>
  <r>
    <s v="BAKERY PRODUCTS"/>
    <x v="0"/>
    <x v="7"/>
    <x v="7"/>
    <x v="7"/>
    <x v="8"/>
    <x v="8"/>
    <n v="0"/>
    <n v="0"/>
    <n v="0"/>
    <n v="0"/>
    <x v="1"/>
    <x v="1"/>
    <n v="200.77391304347827"/>
    <n v="11"/>
  </r>
  <r>
    <s v="BAKERY PRODUCTS"/>
    <x v="0"/>
    <x v="7"/>
    <x v="7"/>
    <x v="7"/>
    <x v="8"/>
    <x v="8"/>
    <n v="0"/>
    <n v="0"/>
    <n v="0"/>
    <n v="0"/>
    <x v="0"/>
    <x v="0"/>
    <n v="146.01739130434785"/>
    <n v="8"/>
  </r>
  <r>
    <s v="BAKERY PRODUCTS"/>
    <x v="0"/>
    <x v="7"/>
    <x v="7"/>
    <x v="7"/>
    <x v="8"/>
    <x v="8"/>
    <n v="0"/>
    <n v="0"/>
    <n v="0"/>
    <n v="0"/>
    <x v="1"/>
    <x v="1"/>
    <n v="200.77391304347827"/>
    <n v="11"/>
  </r>
  <r>
    <s v="BAKERY PRODUCTS"/>
    <x v="0"/>
    <x v="8"/>
    <x v="8"/>
    <x v="6"/>
    <x v="9"/>
    <x v="9"/>
    <n v="1117.1400000000001"/>
    <n v="585.66"/>
    <n v="531.48000000000013"/>
    <n v="47.575057736720559"/>
    <x v="0"/>
    <x v="0"/>
    <n v="169.43478260869566"/>
    <n v="15"/>
  </r>
  <r>
    <s v="BAKERY PRODUCTS"/>
    <x v="0"/>
    <x v="8"/>
    <x v="8"/>
    <x v="6"/>
    <x v="9"/>
    <x v="9"/>
    <n v="1117.1400000000001"/>
    <n v="585.66"/>
    <n v="531.48000000000013"/>
    <n v="47.575057736720559"/>
    <x v="1"/>
    <x v="1"/>
    <n v="101.66086956521738"/>
    <n v="9"/>
  </r>
  <r>
    <s v="BAKERY PRODUCTS"/>
    <x v="1"/>
    <x v="9"/>
    <x v="9"/>
    <x v="8"/>
    <x v="10"/>
    <x v="8"/>
    <n v="0"/>
    <n v="0"/>
    <n v="0"/>
    <n v="0"/>
    <x v="0"/>
    <x v="0"/>
    <n v="46.904347826086955"/>
    <n v="6"/>
  </r>
  <r>
    <s v="BAKERY PRODUCTS"/>
    <x v="1"/>
    <x v="9"/>
    <x v="9"/>
    <x v="8"/>
    <x v="10"/>
    <x v="8"/>
    <n v="0"/>
    <n v="0"/>
    <n v="0"/>
    <n v="0"/>
    <x v="1"/>
    <x v="1"/>
    <n v="62.539130434782606"/>
    <n v="8"/>
  </r>
  <r>
    <s v="BAKERY PRODUCTS"/>
    <x v="0"/>
    <x v="10"/>
    <x v="10"/>
    <x v="9"/>
    <x v="11"/>
    <x v="10"/>
    <n v="489.3"/>
    <n v="220.5"/>
    <n v="268.8"/>
    <n v="54.935622317596568"/>
    <x v="0"/>
    <x v="0"/>
    <n v="66.860869565217399"/>
    <n v="11"/>
  </r>
  <r>
    <s v="BAKERY PRODUCTS"/>
    <x v="0"/>
    <x v="10"/>
    <x v="10"/>
    <x v="9"/>
    <x v="11"/>
    <x v="10"/>
    <n v="489.3"/>
    <n v="220.5"/>
    <n v="268.8"/>
    <n v="54.935622317596568"/>
    <x v="1"/>
    <x v="1"/>
    <n v="42.547826086956519"/>
    <n v="7"/>
  </r>
  <r>
    <s v="GOOSEBUMPS DISTR.(BREAD STOP)"/>
    <x v="0"/>
    <x v="11"/>
    <x v="11"/>
    <x v="10"/>
    <x v="12"/>
    <x v="11"/>
    <n v="1689.35"/>
    <n v="871"/>
    <n v="818.34999999999991"/>
    <n v="48.441708349365136"/>
    <x v="0"/>
    <x v="0"/>
    <n v="158.20000000000002"/>
    <n v="7"/>
  </r>
  <r>
    <s v="GOOSEBUMPS DISTR.(BREAD STOP)"/>
    <x v="0"/>
    <x v="11"/>
    <x v="11"/>
    <x v="10"/>
    <x v="12"/>
    <x v="11"/>
    <n v="1689.35"/>
    <n v="871"/>
    <n v="818.34999999999991"/>
    <n v="48.441708349365136"/>
    <x v="1"/>
    <x v="1"/>
    <n v="158.20000000000002"/>
    <n v="7"/>
  </r>
  <r>
    <s v="BAKERY PRODUCTS"/>
    <x v="1"/>
    <x v="12"/>
    <x v="12"/>
    <x v="11"/>
    <x v="13"/>
    <x v="6"/>
    <n v="107.94"/>
    <n v="54.84"/>
    <n v="53.099999999999994"/>
    <n v="49.193996664813781"/>
    <x v="0"/>
    <x v="0"/>
    <n v="46.930434782608693"/>
    <n v="3"/>
  </r>
  <r>
    <s v="BAKERY PRODUCTS"/>
    <x v="1"/>
    <x v="12"/>
    <x v="12"/>
    <x v="11"/>
    <x v="13"/>
    <x v="6"/>
    <n v="107.94"/>
    <n v="54.84"/>
    <n v="53.099999999999994"/>
    <n v="49.193996664813781"/>
    <x v="1"/>
    <x v="1"/>
    <n v="31.286956521739128"/>
    <n v="2"/>
  </r>
  <r>
    <s v="BAKERY PRODUCTS"/>
    <x v="0"/>
    <x v="13"/>
    <x v="13"/>
    <x v="12"/>
    <x v="14"/>
    <x v="12"/>
    <n v="999.49999999999989"/>
    <n v="610"/>
    <n v="389.49999999999989"/>
    <n v="38.969484742371179"/>
    <x v="0"/>
    <x v="0"/>
    <n v="86.913043478260875"/>
    <n v="5"/>
  </r>
  <r>
    <s v="BAKERY PRODUCTS"/>
    <x v="0"/>
    <x v="13"/>
    <x v="13"/>
    <x v="12"/>
    <x v="14"/>
    <x v="12"/>
    <n v="999.49999999999989"/>
    <n v="610"/>
    <n v="389.49999999999989"/>
    <n v="38.969484742371179"/>
    <x v="1"/>
    <x v="1"/>
    <n v="69.530434782608694"/>
    <n v="4"/>
  </r>
  <r>
    <s v="BAKERY PRODUCTS"/>
    <x v="0"/>
    <x v="14"/>
    <x v="14"/>
    <x v="13"/>
    <x v="15"/>
    <x v="13"/>
    <n v="456"/>
    <n v="199.20000000000002"/>
    <n v="256.79999999999995"/>
    <n v="56.315789473684198"/>
    <x v="0"/>
    <x v="0"/>
    <n v="49.565217391304344"/>
    <n v="6"/>
  </r>
  <r>
    <s v="BAKERY PRODUCTS"/>
    <x v="0"/>
    <x v="14"/>
    <x v="14"/>
    <x v="13"/>
    <x v="15"/>
    <x v="13"/>
    <n v="456"/>
    <n v="199.20000000000002"/>
    <n v="256.79999999999995"/>
    <n v="56.315789473684198"/>
    <x v="1"/>
    <x v="1"/>
    <n v="90.869565217391312"/>
    <n v="11"/>
  </r>
  <r>
    <s v="BAKERY PRODUCTS"/>
    <x v="1"/>
    <x v="15"/>
    <x v="15"/>
    <x v="14"/>
    <x v="16"/>
    <x v="8"/>
    <n v="0"/>
    <n v="0"/>
    <n v="0"/>
    <n v="0"/>
    <x v="0"/>
    <x v="0"/>
    <n v="113.04347826086956"/>
    <n v="1"/>
  </r>
  <r>
    <s v="BAKERY PRODUCTS"/>
    <x v="0"/>
    <x v="16"/>
    <x v="16"/>
    <x v="12"/>
    <x v="17"/>
    <x v="14"/>
    <n v="799.59999999999991"/>
    <n v="489.6"/>
    <n v="309.99999999999989"/>
    <n v="38.769384692346165"/>
    <x v="0"/>
    <x v="0"/>
    <n v="86.913043478260875"/>
    <n v="5"/>
  </r>
  <r>
    <s v="BAKERY PRODUCTS"/>
    <x v="0"/>
    <x v="16"/>
    <x v="16"/>
    <x v="12"/>
    <x v="17"/>
    <x v="14"/>
    <n v="799.59999999999991"/>
    <n v="489.6"/>
    <n v="309.99999999999989"/>
    <n v="38.769384692346165"/>
    <x v="1"/>
    <x v="1"/>
    <n v="86.913043478260875"/>
    <n v="5"/>
  </r>
  <r>
    <s v="GOOSEBUMPS DISTR.(BREAD STOP)"/>
    <x v="0"/>
    <x v="17"/>
    <x v="17"/>
    <x v="15"/>
    <x v="18"/>
    <x v="8"/>
    <n v="0"/>
    <n v="0"/>
    <n v="0"/>
    <n v="0"/>
    <x v="0"/>
    <x v="0"/>
    <n v="19.826086956521738"/>
    <n v="6"/>
  </r>
  <r>
    <s v="GOOSEBUMPS DISTR.(BREAD STOP)"/>
    <x v="0"/>
    <x v="17"/>
    <x v="17"/>
    <x v="15"/>
    <x v="18"/>
    <x v="8"/>
    <n v="0"/>
    <n v="0"/>
    <n v="0"/>
    <n v="0"/>
    <x v="1"/>
    <x v="1"/>
    <n v="102.43478260869566"/>
    <n v="31"/>
  </r>
  <r>
    <s v="GOOSEBUMPS DISTR.(BREAD STOP)"/>
    <x v="0"/>
    <x v="17"/>
    <x v="17"/>
    <x v="15"/>
    <x v="18"/>
    <x v="8"/>
    <n v="0"/>
    <n v="0"/>
    <n v="0"/>
    <n v="0"/>
    <x v="0"/>
    <x v="0"/>
    <n v="19.826086956521738"/>
    <n v="6"/>
  </r>
  <r>
    <s v="GOOSEBUMPS DISTR.(BREAD STOP)"/>
    <x v="0"/>
    <x v="17"/>
    <x v="17"/>
    <x v="15"/>
    <x v="18"/>
    <x v="8"/>
    <n v="0"/>
    <n v="0"/>
    <n v="0"/>
    <n v="0"/>
    <x v="1"/>
    <x v="1"/>
    <n v="102.43478260869566"/>
    <n v="31"/>
  </r>
  <r>
    <s v="VECTOR LOG.(PTY)LTD GOOSEBUMPS"/>
    <x v="0"/>
    <x v="17"/>
    <x v="17"/>
    <x v="15"/>
    <x v="19"/>
    <x v="8"/>
    <n v="0"/>
    <n v="0"/>
    <n v="0"/>
    <n v="0"/>
    <x v="0"/>
    <x v="0"/>
    <n v="19.826086956521738"/>
    <n v="6"/>
  </r>
  <r>
    <s v="VECTOR LOG.(PTY)LTD GOOSEBUMPS"/>
    <x v="0"/>
    <x v="17"/>
    <x v="17"/>
    <x v="15"/>
    <x v="19"/>
    <x v="8"/>
    <n v="0"/>
    <n v="0"/>
    <n v="0"/>
    <n v="0"/>
    <x v="1"/>
    <x v="1"/>
    <n v="102.43478260869566"/>
    <n v="31"/>
  </r>
  <r>
    <s v="VECTOR LOG.(PTY)LTD GOOSEBUMPS"/>
    <x v="0"/>
    <x v="17"/>
    <x v="17"/>
    <x v="15"/>
    <x v="19"/>
    <x v="8"/>
    <n v="0"/>
    <n v="0"/>
    <n v="0"/>
    <n v="0"/>
    <x v="0"/>
    <x v="0"/>
    <n v="19.826086956521738"/>
    <n v="6"/>
  </r>
  <r>
    <s v="VECTOR LOG.(PTY)LTD GOOSEBUMPS"/>
    <x v="0"/>
    <x v="17"/>
    <x v="17"/>
    <x v="15"/>
    <x v="19"/>
    <x v="8"/>
    <n v="0"/>
    <n v="0"/>
    <n v="0"/>
    <n v="0"/>
    <x v="1"/>
    <x v="1"/>
    <n v="102.43478260869566"/>
    <n v="31"/>
  </r>
  <r>
    <s v="BAKERY PRODUCTS"/>
    <x v="0"/>
    <x v="18"/>
    <x v="18"/>
    <x v="16"/>
    <x v="20"/>
    <x v="15"/>
    <n v="1331.64"/>
    <n v="577.80000000000007"/>
    <n v="753.84"/>
    <n v="56.609894566098937"/>
    <x v="0"/>
    <x v="0"/>
    <n v="225.15652173913043"/>
    <n v="7"/>
  </r>
  <r>
    <s v="BAKERY PRODUCTS"/>
    <x v="0"/>
    <x v="18"/>
    <x v="18"/>
    <x v="16"/>
    <x v="20"/>
    <x v="15"/>
    <n v="1331.64"/>
    <n v="577.80000000000007"/>
    <n v="753.84"/>
    <n v="56.609894566098937"/>
    <x v="1"/>
    <x v="1"/>
    <n v="32.165217391304353"/>
    <n v="1"/>
  </r>
  <r>
    <s v="BAKERY PRODUCTS"/>
    <x v="0"/>
    <x v="19"/>
    <x v="19"/>
    <x v="17"/>
    <x v="21"/>
    <x v="15"/>
    <n v="1367.64"/>
    <n v="594"/>
    <n v="773.6400000000001"/>
    <n v="56.567517767833642"/>
    <x v="0"/>
    <x v="0"/>
    <n v="165.17391304347825"/>
    <n v="5"/>
  </r>
  <r>
    <s v="BAKERY PRODUCTS"/>
    <x v="0"/>
    <x v="19"/>
    <x v="19"/>
    <x v="17"/>
    <x v="21"/>
    <x v="15"/>
    <n v="1367.64"/>
    <n v="594"/>
    <n v="773.6400000000001"/>
    <n v="56.567517767833642"/>
    <x v="1"/>
    <x v="1"/>
    <n v="33.03478260869565"/>
    <n v="1"/>
  </r>
  <r>
    <s v="BAKERY PRODUCTS"/>
    <x v="0"/>
    <x v="20"/>
    <x v="20"/>
    <x v="4"/>
    <x v="22"/>
    <x v="15"/>
    <n v="611.64"/>
    <n v="278.28000000000003"/>
    <n v="333.35999999999996"/>
    <n v="54.502648616833426"/>
    <x v="2"/>
    <x v="2"/>
    <m/>
    <m/>
  </r>
  <r>
    <s v="GOOSEBUMPS DISTR.(BREAD STOP)"/>
    <x v="0"/>
    <x v="21"/>
    <x v="21"/>
    <x v="18"/>
    <x v="23"/>
    <x v="16"/>
    <n v="747.66"/>
    <n v="412.76"/>
    <n v="334.9"/>
    <n v="44.793087767166895"/>
    <x v="0"/>
    <x v="0"/>
    <n v="57.365217391304348"/>
    <n v="3"/>
  </r>
  <r>
    <s v="GOOSEBUMPS DISTR.(BREAD STOP)"/>
    <x v="0"/>
    <x v="21"/>
    <x v="21"/>
    <x v="18"/>
    <x v="23"/>
    <x v="16"/>
    <n v="747.66"/>
    <n v="412.76"/>
    <n v="334.9"/>
    <n v="44.793087767166895"/>
    <x v="1"/>
    <x v="1"/>
    <n v="19.121739130434783"/>
    <n v="1"/>
  </r>
  <r>
    <s v="BAKERY PRODUCTS"/>
    <x v="0"/>
    <x v="22"/>
    <x v="22"/>
    <x v="19"/>
    <x v="24"/>
    <x v="17"/>
    <n v="449.7"/>
    <n v="228.6"/>
    <n v="221.1"/>
    <n v="49.166110740493664"/>
    <x v="0"/>
    <x v="0"/>
    <n v="39.104347826086958"/>
    <n v="3"/>
  </r>
  <r>
    <s v="BAKERY PRODUCTS"/>
    <x v="0"/>
    <x v="22"/>
    <x v="22"/>
    <x v="19"/>
    <x v="24"/>
    <x v="17"/>
    <n v="449.7"/>
    <n v="228.6"/>
    <n v="221.1"/>
    <n v="49.166110740493664"/>
    <x v="1"/>
    <x v="1"/>
    <n v="52.139130434782608"/>
    <n v="4"/>
  </r>
  <r>
    <s v="BAKERY PRODUCTS"/>
    <x v="0"/>
    <x v="23"/>
    <x v="23"/>
    <x v="9"/>
    <x v="25"/>
    <x v="18"/>
    <n v="195.72"/>
    <n v="79.8"/>
    <n v="115.92"/>
    <n v="59.227467811158796"/>
    <x v="0"/>
    <x v="0"/>
    <n v="30.39130434782609"/>
    <n v="5"/>
  </r>
  <r>
    <s v="BAKERY PRODUCTS"/>
    <x v="0"/>
    <x v="23"/>
    <x v="23"/>
    <x v="9"/>
    <x v="25"/>
    <x v="18"/>
    <n v="195.72"/>
    <n v="79.8"/>
    <n v="115.92"/>
    <n v="59.227467811158796"/>
    <x v="1"/>
    <x v="1"/>
    <n v="24.31304347826087"/>
    <n v="4"/>
  </r>
  <r>
    <s v="BAKERY PRODUCTS"/>
    <x v="0"/>
    <x v="24"/>
    <x v="24"/>
    <x v="20"/>
    <x v="26"/>
    <x v="19"/>
    <n v="143.76"/>
    <n v="65.28"/>
    <n v="78.47999999999999"/>
    <n v="54.590984974958253"/>
    <x v="0"/>
    <x v="0"/>
    <n v="26.043478260869563"/>
    <n v="5"/>
  </r>
  <r>
    <s v="BAKERY PRODUCTS"/>
    <x v="0"/>
    <x v="25"/>
    <x v="25"/>
    <x v="7"/>
    <x v="7"/>
    <x v="8"/>
    <n v="0"/>
    <n v="0"/>
    <n v="0"/>
    <n v="0"/>
    <x v="0"/>
    <x v="0"/>
    <n v="365.04347826086956"/>
    <n v="20"/>
  </r>
  <r>
    <s v="BAKERY PRODUCTS"/>
    <x v="0"/>
    <x v="25"/>
    <x v="25"/>
    <x v="7"/>
    <x v="7"/>
    <x v="8"/>
    <n v="0"/>
    <n v="0"/>
    <n v="0"/>
    <n v="0"/>
    <x v="1"/>
    <x v="1"/>
    <n v="200.77391304347825"/>
    <n v="11"/>
  </r>
  <r>
    <s v="BAKERY PRODUCTS"/>
    <x v="0"/>
    <x v="26"/>
    <x v="26"/>
    <x v="21"/>
    <x v="27"/>
    <x v="1"/>
    <n v="231.92"/>
    <n v="71.44"/>
    <n v="160.47999999999999"/>
    <n v="69.196274577440491"/>
    <x v="0"/>
    <x v="0"/>
    <n v="25.208695652173912"/>
    <n v="1"/>
  </r>
  <r>
    <s v="BAKERY PRODUCTS"/>
    <x v="0"/>
    <x v="26"/>
    <x v="26"/>
    <x v="21"/>
    <x v="27"/>
    <x v="1"/>
    <n v="231.92"/>
    <n v="71.44"/>
    <n v="160.47999999999999"/>
    <n v="69.196274577440491"/>
    <x v="1"/>
    <x v="1"/>
    <n v="25.208695652173912"/>
    <n v="1"/>
  </r>
  <r>
    <s v="BAKERY PRODUCTS"/>
    <x v="0"/>
    <x v="27"/>
    <x v="27"/>
    <x v="22"/>
    <x v="28"/>
    <x v="6"/>
    <n v="149.94"/>
    <n v="58.08"/>
    <n v="91.86"/>
    <n v="61.264505802320933"/>
    <x v="2"/>
    <x v="2"/>
    <m/>
    <m/>
  </r>
  <r>
    <s v="ROSSOUW D"/>
    <x v="1"/>
    <x v="28"/>
    <x v="28"/>
    <x v="11"/>
    <x v="29"/>
    <x v="8"/>
    <n v="0"/>
    <n v="0"/>
    <n v="0"/>
    <n v="0"/>
    <x v="0"/>
    <x v="0"/>
    <n v="78.217391304347828"/>
    <n v="5"/>
  </r>
  <r>
    <s v="ROSSOUW D"/>
    <x v="1"/>
    <x v="28"/>
    <x v="28"/>
    <x v="11"/>
    <x v="29"/>
    <x v="8"/>
    <n v="0"/>
    <n v="0"/>
    <n v="0"/>
    <n v="0"/>
    <x v="1"/>
    <x v="1"/>
    <n v="62.573913043478257"/>
    <n v="4"/>
  </r>
  <r>
    <s v="BAKERY PRODUCTS"/>
    <x v="0"/>
    <x v="29"/>
    <x v="29"/>
    <x v="12"/>
    <x v="30"/>
    <x v="6"/>
    <n v="119.94"/>
    <n v="51"/>
    <n v="68.94"/>
    <n v="57.478739369684838"/>
    <x v="2"/>
    <x v="2"/>
    <m/>
    <m/>
  </r>
  <r>
    <s v="BAKERY PRODUCTS"/>
    <x v="0"/>
    <x v="30"/>
    <x v="30"/>
    <x v="23"/>
    <x v="31"/>
    <x v="6"/>
    <n v="95.94"/>
    <n v="40.44"/>
    <n v="55.5"/>
    <n v="57.848655409631021"/>
    <x v="0"/>
    <x v="0"/>
    <n v="41.713043478260872"/>
    <n v="3"/>
  </r>
  <r>
    <s v="BAKERY PRODUCTS"/>
    <x v="0"/>
    <x v="30"/>
    <x v="30"/>
    <x v="23"/>
    <x v="31"/>
    <x v="6"/>
    <n v="95.94"/>
    <n v="40.44"/>
    <n v="55.5"/>
    <n v="57.848655409631021"/>
    <x v="1"/>
    <x v="1"/>
    <n v="55.617391304347827"/>
    <n v="4"/>
  </r>
  <r>
    <s v="ROSSOUW D"/>
    <x v="1"/>
    <x v="31"/>
    <x v="31"/>
    <x v="24"/>
    <x v="32"/>
    <x v="8"/>
    <n v="0"/>
    <n v="0"/>
    <n v="0"/>
    <n v="0"/>
    <x v="1"/>
    <x v="1"/>
    <n v="34.747826086956522"/>
    <n v="4"/>
  </r>
  <r>
    <s v="BAKERY PRODUCTS"/>
    <x v="0"/>
    <x v="32"/>
    <x v="32"/>
    <x v="12"/>
    <x v="33"/>
    <x v="6"/>
    <n v="119.94"/>
    <n v="15.78"/>
    <n v="104.16"/>
    <n v="86.843421710855424"/>
    <x v="2"/>
    <x v="2"/>
    <m/>
    <m/>
  </r>
  <r>
    <s v="BAKERY PRODUCTS"/>
    <x v="1"/>
    <x v="33"/>
    <x v="33"/>
    <x v="25"/>
    <x v="34"/>
    <x v="1"/>
    <n v="319.92"/>
    <n v="94.32"/>
    <n v="225.60000000000002"/>
    <n v="70.517629407351848"/>
    <x v="0"/>
    <x v="0"/>
    <n v="69.547826086956519"/>
    <n v="2"/>
  </r>
  <r>
    <s v="BAKERY PRODUCTS"/>
    <x v="1"/>
    <x v="34"/>
    <x v="34"/>
    <x v="19"/>
    <x v="35"/>
    <x v="8"/>
    <n v="0"/>
    <n v="0"/>
    <n v="0"/>
    <n v="0"/>
    <x v="1"/>
    <x v="1"/>
    <n v="26.069565217391304"/>
    <n v="2"/>
  </r>
  <r>
    <s v="BAKERY PRODUCTS"/>
    <x v="0"/>
    <x v="35"/>
    <x v="35"/>
    <x v="26"/>
    <x v="36"/>
    <x v="8"/>
    <n v="0"/>
    <n v="0"/>
    <n v="0"/>
    <n v="0"/>
    <x v="2"/>
    <x v="2"/>
    <m/>
    <m/>
  </r>
  <r>
    <s v="BAKERY PRODUCTS"/>
    <x v="1"/>
    <x v="36"/>
    <x v="36"/>
    <x v="11"/>
    <x v="37"/>
    <x v="1"/>
    <n v="143.91999999999999"/>
    <n v="72.959999999999994"/>
    <n v="70.959999999999994"/>
    <n v="49.305169538632576"/>
    <x v="0"/>
    <x v="0"/>
    <n v="140.7913043478261"/>
    <n v="9"/>
  </r>
  <r>
    <s v="BAKERY PRODUCTS"/>
    <x v="0"/>
    <x v="37"/>
    <x v="37"/>
    <x v="12"/>
    <x v="38"/>
    <x v="8"/>
    <n v="0"/>
    <n v="0"/>
    <n v="0"/>
    <n v="0"/>
    <x v="0"/>
    <x v="0"/>
    <n v="121.67826086956522"/>
    <n v="7"/>
  </r>
  <r>
    <s v="BAKERY PRODUCTS"/>
    <x v="0"/>
    <x v="37"/>
    <x v="37"/>
    <x v="12"/>
    <x v="38"/>
    <x v="8"/>
    <n v="0"/>
    <n v="0"/>
    <n v="0"/>
    <n v="0"/>
    <x v="1"/>
    <x v="1"/>
    <n v="52.14782608695652"/>
    <n v="3"/>
  </r>
  <r>
    <s v="BAKERY PRODUCTS"/>
    <x v="1"/>
    <x v="38"/>
    <x v="38"/>
    <x v="23"/>
    <x v="39"/>
    <x v="20"/>
    <n v="255.84"/>
    <n v="131.52000000000001"/>
    <n v="124.32"/>
    <n v="48.592870544090054"/>
    <x v="0"/>
    <x v="0"/>
    <n v="278.08695652173913"/>
    <n v="20"/>
  </r>
  <r>
    <s v="BAKERY PRODUCTS"/>
    <x v="1"/>
    <x v="38"/>
    <x v="38"/>
    <x v="23"/>
    <x v="39"/>
    <x v="20"/>
    <n v="255.84"/>
    <n v="131.52000000000001"/>
    <n v="124.32"/>
    <n v="48.592870544090054"/>
    <x v="1"/>
    <x v="1"/>
    <n v="97.330434782608705"/>
    <n v="7"/>
  </r>
  <r>
    <s v="BAKERY PRODUCTS"/>
    <x v="0"/>
    <x v="39"/>
    <x v="39"/>
    <x v="27"/>
    <x v="40"/>
    <x v="8"/>
    <n v="0"/>
    <n v="0"/>
    <n v="0"/>
    <n v="0"/>
    <x v="0"/>
    <x v="0"/>
    <n v="70.408695652173918"/>
    <n v="3"/>
  </r>
  <r>
    <s v="BAKERY PRODUCTS"/>
    <x v="0"/>
    <x v="39"/>
    <x v="39"/>
    <x v="27"/>
    <x v="40"/>
    <x v="8"/>
    <n v="0"/>
    <n v="0"/>
    <n v="0"/>
    <n v="0"/>
    <x v="1"/>
    <x v="1"/>
    <n v="70.408695652173918"/>
    <n v="3"/>
  </r>
  <r>
    <s v="BAKERY PRODUCTS"/>
    <x v="0"/>
    <x v="40"/>
    <x v="40"/>
    <x v="4"/>
    <x v="41"/>
    <x v="8"/>
    <n v="0"/>
    <n v="0"/>
    <n v="0"/>
    <n v="0"/>
    <x v="2"/>
    <x v="2"/>
    <m/>
    <m/>
  </r>
  <r>
    <s v="BAKERY PRODUCTS"/>
    <x v="0"/>
    <x v="41"/>
    <x v="41"/>
    <x v="28"/>
    <x v="42"/>
    <x v="8"/>
    <n v="0"/>
    <n v="0"/>
    <n v="0"/>
    <n v="0"/>
    <x v="0"/>
    <x v="0"/>
    <n v="30.434782608695652"/>
    <n v="35"/>
  </r>
  <r>
    <s v="BAKERY PRODUCTS"/>
    <x v="0"/>
    <x v="41"/>
    <x v="41"/>
    <x v="28"/>
    <x v="42"/>
    <x v="8"/>
    <n v="0"/>
    <n v="0"/>
    <n v="0"/>
    <n v="0"/>
    <x v="1"/>
    <x v="1"/>
    <n v="6.9565217391304346"/>
    <n v="8"/>
  </r>
  <r>
    <s v="BAKERY PRODUCTS"/>
    <x v="0"/>
    <x v="42"/>
    <x v="42"/>
    <x v="26"/>
    <x v="36"/>
    <x v="8"/>
    <n v="0"/>
    <n v="0"/>
    <n v="0"/>
    <n v="0"/>
    <x v="0"/>
    <x v="0"/>
    <n v="229.56521739130434"/>
    <n v="80"/>
  </r>
  <r>
    <s v="BAKERY PRODUCTS"/>
    <x v="0"/>
    <x v="43"/>
    <x v="43"/>
    <x v="19"/>
    <x v="43"/>
    <x v="8"/>
    <n v="0"/>
    <n v="0"/>
    <n v="0"/>
    <n v="0"/>
    <x v="1"/>
    <x v="1"/>
    <n v="130.34782608695653"/>
    <n v="10"/>
  </r>
  <r>
    <s v="BAKERY PRODUCTS"/>
    <x v="1"/>
    <x v="44"/>
    <x v="44"/>
    <x v="20"/>
    <x v="44"/>
    <x v="21"/>
    <n v="71.88"/>
    <n v="51.84"/>
    <n v="20.039999999999992"/>
    <n v="27.879799666110173"/>
    <x v="0"/>
    <x v="0"/>
    <n v="72.921739130434787"/>
    <n v="14"/>
  </r>
  <r>
    <s v="BAKERY PRODUCTS"/>
    <x v="1"/>
    <x v="44"/>
    <x v="44"/>
    <x v="20"/>
    <x v="44"/>
    <x v="21"/>
    <n v="71.88"/>
    <n v="51.84"/>
    <n v="20.039999999999992"/>
    <n v="27.879799666110173"/>
    <x v="1"/>
    <x v="1"/>
    <n v="67.713043478260872"/>
    <n v="13"/>
  </r>
  <r>
    <s v="GOOSEBUMPS DISTR.(BREAD STOP)"/>
    <x v="0"/>
    <x v="45"/>
    <x v="45"/>
    <x v="15"/>
    <x v="45"/>
    <x v="8"/>
    <n v="0"/>
    <n v="0"/>
    <n v="0"/>
    <n v="0"/>
    <x v="0"/>
    <x v="0"/>
    <n v="19.826086956521738"/>
    <n v="6"/>
  </r>
  <r>
    <s v="GOOSEBUMPS DISTR.(BREAD STOP)"/>
    <x v="0"/>
    <x v="45"/>
    <x v="45"/>
    <x v="15"/>
    <x v="45"/>
    <x v="8"/>
    <n v="0"/>
    <n v="0"/>
    <n v="0"/>
    <n v="0"/>
    <x v="1"/>
    <x v="1"/>
    <n v="3.3043478260869565"/>
    <n v="1"/>
  </r>
  <r>
    <s v="GOOSEBUMPS DISTR.(BREAD STOP)"/>
    <x v="0"/>
    <x v="45"/>
    <x v="45"/>
    <x v="15"/>
    <x v="45"/>
    <x v="8"/>
    <n v="0"/>
    <n v="0"/>
    <n v="0"/>
    <n v="0"/>
    <x v="0"/>
    <x v="0"/>
    <n v="19.826086956521738"/>
    <n v="6"/>
  </r>
  <r>
    <s v="GOOSEBUMPS DISTR.(BREAD STOP)"/>
    <x v="0"/>
    <x v="45"/>
    <x v="45"/>
    <x v="15"/>
    <x v="45"/>
    <x v="8"/>
    <n v="0"/>
    <n v="0"/>
    <n v="0"/>
    <n v="0"/>
    <x v="1"/>
    <x v="1"/>
    <n v="3.3043478260869565"/>
    <n v="1"/>
  </r>
  <r>
    <s v="VECTOR LOG.(PTY)LTD GOOSEBUMPS"/>
    <x v="0"/>
    <x v="45"/>
    <x v="45"/>
    <x v="15"/>
    <x v="19"/>
    <x v="8"/>
    <n v="0"/>
    <n v="0"/>
    <n v="0"/>
    <n v="0"/>
    <x v="0"/>
    <x v="0"/>
    <n v="19.826086956521738"/>
    <n v="6"/>
  </r>
  <r>
    <s v="VECTOR LOG.(PTY)LTD GOOSEBUMPS"/>
    <x v="0"/>
    <x v="45"/>
    <x v="45"/>
    <x v="15"/>
    <x v="19"/>
    <x v="8"/>
    <n v="0"/>
    <n v="0"/>
    <n v="0"/>
    <n v="0"/>
    <x v="1"/>
    <x v="1"/>
    <n v="3.3043478260869565"/>
    <n v="1"/>
  </r>
  <r>
    <s v="VECTOR LOG.(PTY)LTD GOOSEBUMPS"/>
    <x v="0"/>
    <x v="45"/>
    <x v="45"/>
    <x v="15"/>
    <x v="19"/>
    <x v="8"/>
    <n v="0"/>
    <n v="0"/>
    <n v="0"/>
    <n v="0"/>
    <x v="0"/>
    <x v="0"/>
    <n v="19.826086956521738"/>
    <n v="6"/>
  </r>
  <r>
    <s v="VECTOR LOG.(PTY)LTD GOOSEBUMPS"/>
    <x v="0"/>
    <x v="45"/>
    <x v="45"/>
    <x v="15"/>
    <x v="19"/>
    <x v="8"/>
    <n v="0"/>
    <n v="0"/>
    <n v="0"/>
    <n v="0"/>
    <x v="1"/>
    <x v="1"/>
    <n v="3.3043478260869565"/>
    <n v="1"/>
  </r>
  <r>
    <s v="BAKERY PRODUCTS"/>
    <x v="0"/>
    <x v="46"/>
    <x v="46"/>
    <x v="29"/>
    <x v="0"/>
    <x v="8"/>
    <n v="0"/>
    <n v="0"/>
    <n v="0"/>
    <n v="0"/>
    <x v="2"/>
    <x v="2"/>
    <m/>
    <m/>
  </r>
  <r>
    <s v="GOOSEBUMPS DISTR.(BREAD STOP)"/>
    <x v="1"/>
    <x v="47"/>
    <x v="47"/>
    <x v="30"/>
    <x v="46"/>
    <x v="6"/>
    <n v="179.94"/>
    <n v="19.073333333333341"/>
    <n v="160.86666666666665"/>
    <n v="89.400170427179418"/>
    <x v="0"/>
    <x v="0"/>
    <n v="78.234782608695653"/>
    <n v="3"/>
  </r>
  <r>
    <s v="GOOSEBUMPS DISTR.(BREAD STOP)"/>
    <x v="1"/>
    <x v="47"/>
    <x v="47"/>
    <x v="30"/>
    <x v="46"/>
    <x v="6"/>
    <n v="179.94"/>
    <n v="19.073333333333341"/>
    <n v="160.86666666666665"/>
    <n v="89.400170427179418"/>
    <x v="1"/>
    <x v="1"/>
    <n v="26.078260869565216"/>
    <n v="1"/>
  </r>
  <r>
    <s v="BAKERY PRODUCTS"/>
    <x v="0"/>
    <x v="48"/>
    <x v="48"/>
    <x v="31"/>
    <x v="47"/>
    <x v="8"/>
    <n v="0"/>
    <n v="0"/>
    <n v="0"/>
    <n v="0"/>
    <x v="1"/>
    <x v="1"/>
    <n v="117.39130434782609"/>
    <n v="90"/>
  </r>
  <r>
    <s v="BAKERY PRODUCTS"/>
    <x v="0"/>
    <x v="49"/>
    <x v="49"/>
    <x v="27"/>
    <x v="40"/>
    <x v="8"/>
    <n v="0"/>
    <n v="0"/>
    <n v="0"/>
    <n v="0"/>
    <x v="2"/>
    <x v="2"/>
    <m/>
    <m/>
  </r>
  <r>
    <s v="BAKERY PRODUCTS"/>
    <x v="0"/>
    <x v="50"/>
    <x v="50"/>
    <x v="32"/>
    <x v="48"/>
    <x v="8"/>
    <n v="0"/>
    <n v="0"/>
    <n v="0"/>
    <n v="0"/>
    <x v="0"/>
    <x v="0"/>
    <n v="30.373913043478261"/>
    <n v="7"/>
  </r>
  <r>
    <s v="BAKERY PRODUCTS"/>
    <x v="0"/>
    <x v="50"/>
    <x v="50"/>
    <x v="32"/>
    <x v="48"/>
    <x v="8"/>
    <n v="0"/>
    <n v="0"/>
    <n v="0"/>
    <n v="0"/>
    <x v="1"/>
    <x v="1"/>
    <n v="8.6782608695652179"/>
    <n v="2"/>
  </r>
  <r>
    <s v="BAKERY PRODUCTS"/>
    <x v="0"/>
    <x v="51"/>
    <x v="51"/>
    <x v="24"/>
    <x v="49"/>
    <x v="8"/>
    <n v="0"/>
    <n v="0"/>
    <n v="0"/>
    <n v="0"/>
    <x v="2"/>
    <x v="2"/>
    <m/>
    <m/>
  </r>
  <r>
    <s v="BAKERY PRODUCTS"/>
    <x v="0"/>
    <x v="52"/>
    <x v="52"/>
    <x v="30"/>
    <x v="50"/>
    <x v="8"/>
    <n v="0"/>
    <n v="0"/>
    <n v="0"/>
    <n v="0"/>
    <x v="2"/>
    <x v="2"/>
    <m/>
    <m/>
  </r>
  <r>
    <s v="GOOSEBUMPS DISTR.(BREAD STOP)"/>
    <x v="0"/>
    <x v="53"/>
    <x v="53"/>
    <x v="33"/>
    <x v="51"/>
    <x v="8"/>
    <n v="0"/>
    <n v="0"/>
    <n v="0"/>
    <n v="0"/>
    <x v="2"/>
    <x v="2"/>
    <m/>
    <m/>
  </r>
  <r>
    <s v="GOOSEBUMPS DISTR.(BREAD STOP)"/>
    <x v="0"/>
    <x v="54"/>
    <x v="54"/>
    <x v="33"/>
    <x v="52"/>
    <x v="8"/>
    <n v="0"/>
    <n v="0"/>
    <n v="0"/>
    <n v="0"/>
    <x v="2"/>
    <x v="2"/>
    <m/>
    <m/>
  </r>
  <r>
    <s v="GOOSEBUMPS DISTR.(BREAD STOP)"/>
    <x v="0"/>
    <x v="55"/>
    <x v="55"/>
    <x v="3"/>
    <x v="53"/>
    <x v="8"/>
    <n v="0"/>
    <n v="0"/>
    <n v="0"/>
    <n v="0"/>
    <x v="2"/>
    <x v="2"/>
    <m/>
    <m/>
  </r>
  <r>
    <s v="BAKERY PRODUCTS"/>
    <x v="0"/>
    <x v="55"/>
    <x v="55"/>
    <x v="3"/>
    <x v="53"/>
    <x v="8"/>
    <n v="0"/>
    <n v="0"/>
    <n v="0"/>
    <n v="0"/>
    <x v="2"/>
    <x v="2"/>
    <m/>
    <m/>
  </r>
  <r>
    <s v="BAKERY PRODUCTS"/>
    <x v="0"/>
    <x v="56"/>
    <x v="56"/>
    <x v="21"/>
    <x v="54"/>
    <x v="8"/>
    <n v="0"/>
    <n v="0"/>
    <n v="0"/>
    <n v="0"/>
    <x v="2"/>
    <x v="2"/>
    <m/>
    <m/>
  </r>
  <r>
    <s v="BAKERY PRODUCTS"/>
    <x v="0"/>
    <x v="57"/>
    <x v="57"/>
    <x v="30"/>
    <x v="55"/>
    <x v="8"/>
    <n v="0"/>
    <n v="0"/>
    <n v="0"/>
    <n v="0"/>
    <x v="0"/>
    <x v="0"/>
    <n v="5.2695652173913041"/>
    <n v="0.20200000000000001"/>
  </r>
  <r>
    <s v="BAKERY PRODUCTS"/>
    <x v="0"/>
    <x v="58"/>
    <x v="58"/>
    <x v="34"/>
    <x v="56"/>
    <x v="8"/>
    <n v="0"/>
    <n v="0"/>
    <n v="0"/>
    <n v="0"/>
    <x v="2"/>
    <x v="2"/>
    <m/>
    <m/>
  </r>
  <r>
    <s v="BAKERY PRODUCTS"/>
    <x v="0"/>
    <x v="59"/>
    <x v="59"/>
    <x v="0"/>
    <x v="57"/>
    <x v="8"/>
    <n v="0"/>
    <n v="0"/>
    <n v="0"/>
    <n v="0"/>
    <x v="2"/>
    <x v="2"/>
    <m/>
    <m/>
  </r>
  <r>
    <s v="BAKERY PRODUCTS"/>
    <x v="0"/>
    <x v="60"/>
    <x v="60"/>
    <x v="2"/>
    <x v="2"/>
    <x v="8"/>
    <n v="0"/>
    <n v="0"/>
    <n v="0"/>
    <n v="0"/>
    <x v="2"/>
    <x v="2"/>
    <m/>
    <m/>
  </r>
  <r>
    <s v="BAKERY PRODUCTS"/>
    <x v="0"/>
    <x v="61"/>
    <x v="61"/>
    <x v="9"/>
    <x v="58"/>
    <x v="8"/>
    <n v="0"/>
    <n v="0"/>
    <n v="0"/>
    <n v="0"/>
    <x v="2"/>
    <x v="2"/>
    <m/>
    <m/>
  </r>
  <r>
    <s v="BAKERY PRODUCTS"/>
    <x v="0"/>
    <x v="62"/>
    <x v="62"/>
    <x v="30"/>
    <x v="59"/>
    <x v="8"/>
    <n v="0"/>
    <n v="0"/>
    <n v="0"/>
    <n v="0"/>
    <x v="2"/>
    <x v="2"/>
    <m/>
    <m/>
  </r>
  <r>
    <s v="BAKERY PRODUCTS"/>
    <x v="0"/>
    <x v="63"/>
    <x v="63"/>
    <x v="31"/>
    <x v="60"/>
    <x v="8"/>
    <n v="0"/>
    <n v="0"/>
    <n v="0"/>
    <n v="0"/>
    <x v="0"/>
    <x v="0"/>
    <n v="20.869565217391305"/>
    <n v="16"/>
  </r>
  <r>
    <s v="BAKERY PRODUCTS"/>
    <x v="0"/>
    <x v="64"/>
    <x v="64"/>
    <x v="12"/>
    <x v="61"/>
    <x v="8"/>
    <n v="0"/>
    <n v="0"/>
    <n v="0"/>
    <n v="0"/>
    <x v="2"/>
    <x v="2"/>
    <m/>
    <m/>
  </r>
  <r>
    <s v="BAKERY PRODUCTS"/>
    <x v="0"/>
    <x v="65"/>
    <x v="65"/>
    <x v="24"/>
    <x v="62"/>
    <x v="8"/>
    <n v="0"/>
    <n v="0"/>
    <n v="0"/>
    <n v="0"/>
    <x v="2"/>
    <x v="2"/>
    <m/>
    <m/>
  </r>
  <r>
    <s v="BAKERY PRODUCTS"/>
    <x v="0"/>
    <x v="66"/>
    <x v="66"/>
    <x v="32"/>
    <x v="63"/>
    <x v="8"/>
    <n v="0"/>
    <n v="0"/>
    <n v="0"/>
    <n v="0"/>
    <x v="2"/>
    <x v="2"/>
    <m/>
    <m/>
  </r>
  <r>
    <s v="BAKERY PRODUCTS"/>
    <x v="0"/>
    <x v="67"/>
    <x v="67"/>
    <x v="27"/>
    <x v="64"/>
    <x v="8"/>
    <n v="0"/>
    <n v="0"/>
    <n v="0"/>
    <n v="0"/>
    <x v="0"/>
    <x v="0"/>
    <n v="70.408695652173918"/>
    <n v="3"/>
  </r>
  <r>
    <s v="BAKERY PRODUCTS"/>
    <x v="0"/>
    <x v="68"/>
    <x v="68"/>
    <x v="22"/>
    <x v="65"/>
    <x v="8"/>
    <n v="0"/>
    <n v="0"/>
    <n v="0"/>
    <n v="0"/>
    <x v="2"/>
    <x v="2"/>
    <m/>
    <m/>
  </r>
  <r>
    <s v="BAKERY PRODUCTS"/>
    <x v="0"/>
    <x v="69"/>
    <x v="69"/>
    <x v="29"/>
    <x v="66"/>
    <x v="8"/>
    <n v="0"/>
    <n v="0"/>
    <n v="0"/>
    <n v="0"/>
    <x v="2"/>
    <x v="2"/>
    <m/>
    <m/>
  </r>
  <r>
    <s v="BAKERY PRODUCTS"/>
    <x v="0"/>
    <x v="70"/>
    <x v="70"/>
    <x v="8"/>
    <x v="32"/>
    <x v="8"/>
    <n v="0"/>
    <n v="0"/>
    <n v="0"/>
    <n v="0"/>
    <x v="2"/>
    <x v="2"/>
    <m/>
    <m/>
  </r>
  <r>
    <s v="BAKERY PRODUCTS"/>
    <x v="0"/>
    <x v="71"/>
    <x v="71"/>
    <x v="20"/>
    <x v="67"/>
    <x v="8"/>
    <n v="0"/>
    <n v="0"/>
    <n v="0"/>
    <n v="0"/>
    <x v="2"/>
    <x v="2"/>
    <m/>
    <m/>
  </r>
  <r>
    <s v="BAKERY PRODUCTS"/>
    <x v="0"/>
    <x v="72"/>
    <x v="72"/>
    <x v="25"/>
    <x v="68"/>
    <x v="8"/>
    <n v="0"/>
    <n v="0"/>
    <n v="0"/>
    <n v="0"/>
    <x v="2"/>
    <x v="2"/>
    <m/>
    <m/>
  </r>
  <r>
    <s v="GOOSEBUMPS DISTR.(BREAD STOP)"/>
    <x v="0"/>
    <x v="73"/>
    <x v="73"/>
    <x v="0"/>
    <x v="69"/>
    <x v="8"/>
    <n v="0"/>
    <n v="0"/>
    <n v="0"/>
    <n v="0"/>
    <x v="2"/>
    <x v="2"/>
    <m/>
    <m/>
  </r>
  <r>
    <s v="BAKERY PRODUCTS"/>
    <x v="0"/>
    <x v="74"/>
    <x v="74"/>
    <x v="35"/>
    <x v="70"/>
    <x v="8"/>
    <n v="0"/>
    <n v="0"/>
    <n v="0"/>
    <n v="0"/>
    <x v="2"/>
    <x v="2"/>
    <m/>
    <m/>
  </r>
  <r>
    <s v="BAKERY PRODUCTS"/>
    <x v="1"/>
    <x v="75"/>
    <x v="75"/>
    <x v="24"/>
    <x v="71"/>
    <x v="8"/>
    <n v="0"/>
    <n v="0"/>
    <n v="0"/>
    <n v="0"/>
    <x v="1"/>
    <x v="1"/>
    <n v="43.434782608695656"/>
    <n v="5"/>
  </r>
  <r>
    <s v="BAKERY PRODUCTS"/>
    <x v="0"/>
    <x v="76"/>
    <x v="76"/>
    <x v="27"/>
    <x v="64"/>
    <x v="8"/>
    <n v="0"/>
    <n v="0"/>
    <n v="0"/>
    <n v="0"/>
    <x v="2"/>
    <x v="2"/>
    <m/>
    <m/>
  </r>
  <r>
    <s v="BAKERY PRODUCTS"/>
    <x v="0"/>
    <x v="77"/>
    <x v="77"/>
    <x v="7"/>
    <x v="72"/>
    <x v="8"/>
    <n v="0"/>
    <n v="0"/>
    <n v="0"/>
    <n v="0"/>
    <x v="2"/>
    <x v="2"/>
    <m/>
    <m/>
  </r>
  <r>
    <s v="VECTOR LOG.(PTY)LTD GOOSEBUMPS"/>
    <x v="0"/>
    <x v="78"/>
    <x v="78"/>
    <x v="36"/>
    <x v="73"/>
    <x v="8"/>
    <n v="0"/>
    <n v="0"/>
    <n v="0"/>
    <n v="0"/>
    <x v="2"/>
    <x v="2"/>
    <m/>
    <m/>
  </r>
  <r>
    <s v="BAKERY PRODUCTS"/>
    <x v="0"/>
    <x v="79"/>
    <x v="79"/>
    <x v="37"/>
    <x v="74"/>
    <x v="8"/>
    <n v="0"/>
    <n v="0"/>
    <n v="0"/>
    <n v="0"/>
    <x v="2"/>
    <x v="2"/>
    <m/>
    <m/>
  </r>
  <r>
    <s v="BAKERY PRODUCTS"/>
    <x v="0"/>
    <x v="80"/>
    <x v="80"/>
    <x v="38"/>
    <x v="75"/>
    <x v="8"/>
    <n v="0"/>
    <n v="0"/>
    <n v="0"/>
    <n v="0"/>
    <x v="2"/>
    <x v="2"/>
    <m/>
    <m/>
  </r>
  <r>
    <s v="BAKERY PRODUCTS"/>
    <x v="0"/>
    <x v="81"/>
    <x v="81"/>
    <x v="29"/>
    <x v="76"/>
    <x v="8"/>
    <n v="0"/>
    <n v="0"/>
    <n v="0"/>
    <n v="0"/>
    <x v="2"/>
    <x v="2"/>
    <m/>
    <m/>
  </r>
  <r>
    <s v="BAKERY PRODUCTS"/>
    <x v="0"/>
    <x v="82"/>
    <x v="82"/>
    <x v="12"/>
    <x v="77"/>
    <x v="8"/>
    <n v="0"/>
    <n v="0"/>
    <n v="0"/>
    <n v="0"/>
    <x v="2"/>
    <x v="2"/>
    <m/>
    <m/>
  </r>
  <r>
    <s v="BAKERY PRODUCTS"/>
    <x v="0"/>
    <x v="83"/>
    <x v="83"/>
    <x v="20"/>
    <x v="78"/>
    <x v="8"/>
    <n v="0"/>
    <n v="0"/>
    <n v="0"/>
    <n v="0"/>
    <x v="2"/>
    <x v="2"/>
    <m/>
    <m/>
  </r>
  <r>
    <s v="GOOSEBUMPS DISTR.(BREAD STOP)"/>
    <x v="0"/>
    <x v="84"/>
    <x v="84"/>
    <x v="33"/>
    <x v="79"/>
    <x v="8"/>
    <n v="0"/>
    <n v="0"/>
    <n v="0"/>
    <n v="0"/>
    <x v="2"/>
    <x v="2"/>
    <m/>
    <m/>
  </r>
  <r>
    <s v="BAKERY PRODUCTS"/>
    <x v="0"/>
    <x v="85"/>
    <x v="85"/>
    <x v="39"/>
    <x v="80"/>
    <x v="8"/>
    <n v="0"/>
    <n v="0"/>
    <n v="0"/>
    <n v="0"/>
    <x v="2"/>
    <x v="2"/>
    <m/>
    <m/>
  </r>
  <r>
    <s v="BAKERY PRODUCTS"/>
    <x v="1"/>
    <x v="86"/>
    <x v="86"/>
    <x v="40"/>
    <x v="81"/>
    <x v="8"/>
    <n v="0"/>
    <n v="0"/>
    <n v="0"/>
    <n v="0"/>
    <x v="0"/>
    <x v="0"/>
    <n v="132.10434782608695"/>
    <n v="8"/>
  </r>
  <r>
    <s v="BAKERY PRODUCTS"/>
    <x v="1"/>
    <x v="86"/>
    <x v="86"/>
    <x v="40"/>
    <x v="81"/>
    <x v="8"/>
    <n v="0"/>
    <n v="0"/>
    <n v="0"/>
    <n v="0"/>
    <x v="1"/>
    <x v="1"/>
    <n v="132.10434782608695"/>
    <n v="8"/>
  </r>
  <r>
    <s v="BAKERY PRODUCTS"/>
    <x v="0"/>
    <x v="87"/>
    <x v="87"/>
    <x v="41"/>
    <x v="47"/>
    <x v="8"/>
    <n v="0"/>
    <n v="0"/>
    <n v="0"/>
    <n v="0"/>
    <x v="2"/>
    <x v="2"/>
    <m/>
    <m/>
  </r>
  <r>
    <s v="BAKERY PRODUCTS"/>
    <x v="1"/>
    <x v="88"/>
    <x v="88"/>
    <x v="42"/>
    <x v="82"/>
    <x v="22"/>
    <n v="6813.87"/>
    <n v="3231.21"/>
    <n v="3582.66"/>
    <n v="52.578930915911229"/>
    <x v="0"/>
    <x v="0"/>
    <n v="194.04347826086956"/>
    <n v="6.976"/>
  </r>
  <r>
    <s v="BAKERY PRODUCTS"/>
    <x v="1"/>
    <x v="88"/>
    <x v="88"/>
    <x v="42"/>
    <x v="82"/>
    <x v="22"/>
    <n v="6813.87"/>
    <n v="3231.21"/>
    <n v="3582.66"/>
    <n v="52.578930915911229"/>
    <x v="1"/>
    <x v="1"/>
    <n v="133.09565217391304"/>
    <n v="4.7850000000000001"/>
  </r>
  <r>
    <s v="BAKERY PRODUCTS"/>
    <x v="1"/>
    <x v="89"/>
    <x v="89"/>
    <x v="23"/>
    <x v="83"/>
    <x v="6"/>
    <n v="95.94"/>
    <n v="49.800000000000004"/>
    <n v="46.139999999999993"/>
    <n v="48.092557848655403"/>
    <x v="0"/>
    <x v="0"/>
    <n v="13.904347826086957"/>
    <n v="1"/>
  </r>
  <r>
    <s v="BAKERY PRODUCTS"/>
    <x v="1"/>
    <x v="89"/>
    <x v="89"/>
    <x v="23"/>
    <x v="83"/>
    <x v="6"/>
    <n v="95.94"/>
    <n v="49.800000000000004"/>
    <n v="46.139999999999993"/>
    <n v="48.092557848655403"/>
    <x v="1"/>
    <x v="1"/>
    <n v="13.904347826086957"/>
    <n v="1"/>
  </r>
  <r>
    <s v="BAKERY PRODUCTS"/>
    <x v="1"/>
    <x v="90"/>
    <x v="90"/>
    <x v="29"/>
    <x v="84"/>
    <x v="19"/>
    <n v="240"/>
    <n v="122.16"/>
    <n v="117.84"/>
    <n v="49.1"/>
    <x v="1"/>
    <x v="1"/>
    <n v="147.82608695652175"/>
    <n v="17"/>
  </r>
  <r>
    <s v="BAKERY PRODUCTS"/>
    <x v="1"/>
    <x v="91"/>
    <x v="91"/>
    <x v="12"/>
    <x v="85"/>
    <x v="20"/>
    <n v="319.83999999999997"/>
    <n v="173.6"/>
    <n v="146.23999999999998"/>
    <n v="45.722861430715355"/>
    <x v="0"/>
    <x v="0"/>
    <n v="121.67826086956522"/>
    <n v="7"/>
  </r>
  <r>
    <s v="BAKERY PRODUCTS"/>
    <x v="1"/>
    <x v="91"/>
    <x v="91"/>
    <x v="12"/>
    <x v="85"/>
    <x v="20"/>
    <n v="319.83999999999997"/>
    <n v="173.6"/>
    <n v="146.23999999999998"/>
    <n v="45.722861430715355"/>
    <x v="1"/>
    <x v="1"/>
    <n v="173.82608695652175"/>
    <n v="10"/>
  </r>
  <r>
    <s v="BAKERY PRODUCTS"/>
    <x v="1"/>
    <x v="92"/>
    <x v="92"/>
    <x v="3"/>
    <x v="86"/>
    <x v="23"/>
    <n v="119.9"/>
    <n v="51.2"/>
    <n v="68.7"/>
    <n v="57.2977481234362"/>
    <x v="0"/>
    <x v="0"/>
    <n v="125.11304347826086"/>
    <n v="12"/>
  </r>
  <r>
    <s v="BAKERY PRODUCTS"/>
    <x v="1"/>
    <x v="92"/>
    <x v="92"/>
    <x v="3"/>
    <x v="86"/>
    <x v="23"/>
    <n v="119.9"/>
    <n v="51.2"/>
    <n v="68.7"/>
    <n v="57.2977481234362"/>
    <x v="1"/>
    <x v="1"/>
    <n v="72.982608695652175"/>
    <n v="7"/>
  </r>
  <r>
    <s v="BAKERY PRODUCTS"/>
    <x v="1"/>
    <x v="92"/>
    <x v="92"/>
    <x v="3"/>
    <x v="86"/>
    <x v="23"/>
    <n v="119.9"/>
    <n v="51.2"/>
    <n v="68.7"/>
    <n v="57.2977481234362"/>
    <x v="0"/>
    <x v="0"/>
    <n v="125.11304347826086"/>
    <n v="12"/>
  </r>
  <r>
    <s v="BAKERY PRODUCTS"/>
    <x v="1"/>
    <x v="92"/>
    <x v="92"/>
    <x v="3"/>
    <x v="86"/>
    <x v="23"/>
    <n v="119.9"/>
    <n v="51.2"/>
    <n v="68.7"/>
    <n v="57.2977481234362"/>
    <x v="1"/>
    <x v="1"/>
    <n v="72.982608695652175"/>
    <n v="7"/>
  </r>
  <r>
    <s v="GOOSEBUMPS DISTR.(BREAD STOP)"/>
    <x v="1"/>
    <x v="92"/>
    <x v="92"/>
    <x v="3"/>
    <x v="87"/>
    <x v="8"/>
    <n v="0"/>
    <n v="0"/>
    <n v="0"/>
    <n v="0"/>
    <x v="0"/>
    <x v="0"/>
    <n v="125.11304347826086"/>
    <n v="12"/>
  </r>
  <r>
    <s v="GOOSEBUMPS DISTR.(BREAD STOP)"/>
    <x v="1"/>
    <x v="92"/>
    <x v="92"/>
    <x v="3"/>
    <x v="87"/>
    <x v="8"/>
    <n v="0"/>
    <n v="0"/>
    <n v="0"/>
    <n v="0"/>
    <x v="1"/>
    <x v="1"/>
    <n v="72.982608695652175"/>
    <n v="7"/>
  </r>
  <r>
    <s v="GOOSEBUMPS DISTR.(BREAD STOP)"/>
    <x v="1"/>
    <x v="92"/>
    <x v="92"/>
    <x v="3"/>
    <x v="87"/>
    <x v="8"/>
    <n v="0"/>
    <n v="0"/>
    <n v="0"/>
    <n v="0"/>
    <x v="0"/>
    <x v="0"/>
    <n v="125.11304347826086"/>
    <n v="12"/>
  </r>
  <r>
    <s v="GOOSEBUMPS DISTR.(BREAD STOP)"/>
    <x v="1"/>
    <x v="92"/>
    <x v="92"/>
    <x v="3"/>
    <x v="87"/>
    <x v="8"/>
    <n v="0"/>
    <n v="0"/>
    <n v="0"/>
    <n v="0"/>
    <x v="1"/>
    <x v="1"/>
    <n v="72.982608695652175"/>
    <n v="7"/>
  </r>
  <r>
    <s v="BAKERY PRODUCTS"/>
    <x v="1"/>
    <x v="93"/>
    <x v="93"/>
    <x v="29"/>
    <x v="88"/>
    <x v="21"/>
    <n v="120"/>
    <n v="41.160000000000004"/>
    <n v="78.84"/>
    <n v="65.7"/>
    <x v="0"/>
    <x v="0"/>
    <n v="26.086956521739129"/>
    <n v="3"/>
  </r>
  <r>
    <s v="BAKERY PRODUCTS"/>
    <x v="1"/>
    <x v="94"/>
    <x v="94"/>
    <x v="29"/>
    <x v="89"/>
    <x v="23"/>
    <n v="100"/>
    <n v="26.7"/>
    <n v="73.3"/>
    <n v="73.3"/>
    <x v="0"/>
    <x v="0"/>
    <n v="104.34782608695652"/>
    <n v="12"/>
  </r>
  <r>
    <s v="BAKERY PRODUCTS"/>
    <x v="1"/>
    <x v="95"/>
    <x v="95"/>
    <x v="40"/>
    <x v="90"/>
    <x v="1"/>
    <n v="151.91999999999999"/>
    <n v="73.040000000000006"/>
    <n v="78.879999999999981"/>
    <n v="51.922064244339118"/>
    <x v="2"/>
    <x v="2"/>
    <m/>
    <m/>
  </r>
  <r>
    <s v="BAKERY PRODUCTS"/>
    <x v="1"/>
    <x v="96"/>
    <x v="96"/>
    <x v="3"/>
    <x v="91"/>
    <x v="6"/>
    <n v="71.94"/>
    <n v="30.599999999999998"/>
    <n v="41.34"/>
    <n v="57.46455379482903"/>
    <x v="0"/>
    <x v="0"/>
    <n v="83.408695652173918"/>
    <n v="8"/>
  </r>
  <r>
    <s v="BAKERY PRODUCTS"/>
    <x v="1"/>
    <x v="96"/>
    <x v="96"/>
    <x v="3"/>
    <x v="91"/>
    <x v="6"/>
    <n v="71.94"/>
    <n v="30.599999999999998"/>
    <n v="41.34"/>
    <n v="57.46455379482903"/>
    <x v="1"/>
    <x v="1"/>
    <n v="52.130434782608695"/>
    <n v="5"/>
  </r>
  <r>
    <s v="BAKERY PRODUCTS"/>
    <x v="1"/>
    <x v="97"/>
    <x v="97"/>
    <x v="40"/>
    <x v="92"/>
    <x v="8"/>
    <n v="0"/>
    <n v="0"/>
    <n v="0"/>
    <n v="0"/>
    <x v="2"/>
    <x v="2"/>
    <m/>
    <m/>
  </r>
  <r>
    <s v="BAKERY PRODUCTS"/>
    <x v="1"/>
    <x v="98"/>
    <x v="98"/>
    <x v="43"/>
    <x v="93"/>
    <x v="8"/>
    <n v="0"/>
    <n v="0"/>
    <n v="0"/>
    <n v="0"/>
    <x v="2"/>
    <x v="2"/>
    <m/>
    <m/>
  </r>
  <r>
    <s v="ROSSOUW D"/>
    <x v="1"/>
    <x v="99"/>
    <x v="99"/>
    <x v="5"/>
    <x v="94"/>
    <x v="8"/>
    <n v="0"/>
    <n v="0"/>
    <n v="0"/>
    <n v="0"/>
    <x v="1"/>
    <x v="1"/>
    <n v="30.434782608695652"/>
    <n v="7"/>
  </r>
  <r>
    <s v="ROSSOUW D"/>
    <x v="1"/>
    <x v="100"/>
    <x v="100"/>
    <x v="44"/>
    <x v="95"/>
    <x v="8"/>
    <n v="0"/>
    <n v="0"/>
    <n v="0"/>
    <n v="0"/>
    <x v="2"/>
    <x v="2"/>
    <m/>
    <m/>
  </r>
  <r>
    <s v="BAKERY PRODUCTS"/>
    <x v="1"/>
    <x v="101"/>
    <x v="101"/>
    <x v="12"/>
    <x v="96"/>
    <x v="8"/>
    <n v="0"/>
    <n v="0"/>
    <n v="0"/>
    <n v="0"/>
    <x v="2"/>
    <x v="2"/>
    <m/>
    <m/>
  </r>
  <r>
    <s v="BAKERY PRODUCTS"/>
    <x v="1"/>
    <x v="102"/>
    <x v="102"/>
    <x v="29"/>
    <x v="97"/>
    <x v="8"/>
    <n v="0"/>
    <n v="0"/>
    <n v="0"/>
    <n v="0"/>
    <x v="2"/>
    <x v="2"/>
    <m/>
    <m/>
  </r>
  <r>
    <s v="BAKERY PRODUCTS"/>
    <x v="1"/>
    <x v="103"/>
    <x v="103"/>
    <x v="3"/>
    <x v="98"/>
    <x v="8"/>
    <n v="0"/>
    <n v="0"/>
    <n v="0"/>
    <n v="0"/>
    <x v="2"/>
    <x v="2"/>
    <m/>
    <m/>
  </r>
  <r>
    <s v="BAKERY PRODUCTS"/>
    <x v="1"/>
    <x v="104"/>
    <x v="104"/>
    <x v="29"/>
    <x v="99"/>
    <x v="8"/>
    <n v="0"/>
    <n v="0"/>
    <n v="0"/>
    <n v="0"/>
    <x v="2"/>
    <x v="2"/>
    <m/>
    <m/>
  </r>
  <r>
    <s v="BAKERY PRODUCTS"/>
    <x v="1"/>
    <x v="105"/>
    <x v="105"/>
    <x v="22"/>
    <x v="100"/>
    <x v="8"/>
    <n v="0"/>
    <n v="0"/>
    <n v="0"/>
    <n v="0"/>
    <x v="2"/>
    <x v="2"/>
    <m/>
    <m/>
  </r>
  <r>
    <s v="BAKERY PRODUCTS"/>
    <x v="1"/>
    <x v="106"/>
    <x v="106"/>
    <x v="45"/>
    <x v="101"/>
    <x v="8"/>
    <n v="0"/>
    <n v="0"/>
    <n v="0"/>
    <n v="0"/>
    <x v="2"/>
    <x v="2"/>
    <m/>
    <m/>
  </r>
  <r>
    <s v="BAKERY PRODUCTS"/>
    <x v="1"/>
    <x v="107"/>
    <x v="107"/>
    <x v="20"/>
    <x v="102"/>
    <x v="8"/>
    <n v="0"/>
    <n v="0"/>
    <n v="0"/>
    <n v="0"/>
    <x v="2"/>
    <x v="2"/>
    <m/>
    <m/>
  </r>
  <r>
    <s v="BAKERY PRODUCTS"/>
    <x v="1"/>
    <x v="108"/>
    <x v="108"/>
    <x v="29"/>
    <x v="103"/>
    <x v="8"/>
    <n v="0"/>
    <n v="0"/>
    <n v="0"/>
    <n v="0"/>
    <x v="2"/>
    <x v="2"/>
    <m/>
    <m/>
  </r>
  <r>
    <s v="BAKERY PRODUCTS"/>
    <x v="1"/>
    <x v="109"/>
    <x v="109"/>
    <x v="30"/>
    <x v="104"/>
    <x v="8"/>
    <n v="0"/>
    <n v="0"/>
    <n v="0"/>
    <n v="0"/>
    <x v="2"/>
    <x v="2"/>
    <m/>
    <m/>
  </r>
  <r>
    <s v="ROSSOUW D"/>
    <x v="1"/>
    <x v="110"/>
    <x v="110"/>
    <x v="46"/>
    <x v="105"/>
    <x v="8"/>
    <n v="0"/>
    <n v="0"/>
    <n v="0"/>
    <n v="0"/>
    <x v="2"/>
    <x v="2"/>
    <m/>
    <m/>
  </r>
  <r>
    <s v="BAKERY PRODUCTS"/>
    <x v="1"/>
    <x v="111"/>
    <x v="111"/>
    <x v="8"/>
    <x v="106"/>
    <x v="8"/>
    <n v="0"/>
    <n v="0"/>
    <n v="0"/>
    <n v="0"/>
    <x v="2"/>
    <x v="2"/>
    <m/>
    <m/>
  </r>
  <r>
    <s v="BAKERY PRODUCTS"/>
    <x v="1"/>
    <x v="112"/>
    <x v="112"/>
    <x v="23"/>
    <x v="107"/>
    <x v="8"/>
    <n v="0"/>
    <n v="0"/>
    <n v="0"/>
    <n v="0"/>
    <x v="2"/>
    <x v="2"/>
    <m/>
    <m/>
  </r>
  <r>
    <s v="BAKERY PRODUCTS"/>
    <x v="1"/>
    <x v="113"/>
    <x v="113"/>
    <x v="3"/>
    <x v="108"/>
    <x v="8"/>
    <n v="0"/>
    <n v="0"/>
    <n v="0"/>
    <n v="0"/>
    <x v="2"/>
    <x v="2"/>
    <m/>
    <m/>
  </r>
  <r>
    <s v="BAKERY PRODUCTS"/>
    <x v="1"/>
    <x v="114"/>
    <x v="114"/>
    <x v="23"/>
    <x v="109"/>
    <x v="8"/>
    <n v="0"/>
    <n v="0"/>
    <n v="0"/>
    <n v="0"/>
    <x v="2"/>
    <x v="2"/>
    <m/>
    <m/>
  </r>
  <r>
    <s v="BAKERY PRODUCTS"/>
    <x v="1"/>
    <x v="115"/>
    <x v="115"/>
    <x v="18"/>
    <x v="110"/>
    <x v="8"/>
    <n v="0"/>
    <n v="0"/>
    <n v="0"/>
    <n v="0"/>
    <x v="2"/>
    <x v="2"/>
    <m/>
    <m/>
  </r>
  <r>
    <s v="BAKERY PRODUCTS"/>
    <x v="1"/>
    <x v="116"/>
    <x v="116"/>
    <x v="8"/>
    <x v="71"/>
    <x v="8"/>
    <n v="0"/>
    <n v="0"/>
    <n v="0"/>
    <n v="0"/>
    <x v="2"/>
    <x v="2"/>
    <m/>
    <m/>
  </r>
  <r>
    <s v="BAKERY PRODUCTS"/>
    <x v="1"/>
    <x v="117"/>
    <x v="117"/>
    <x v="20"/>
    <x v="111"/>
    <x v="8"/>
    <n v="0"/>
    <n v="0"/>
    <n v="0"/>
    <n v="0"/>
    <x v="2"/>
    <x v="2"/>
    <m/>
    <m/>
  </r>
  <r>
    <s v="BAKERY PRODUCTS"/>
    <x v="1"/>
    <x v="118"/>
    <x v="118"/>
    <x v="11"/>
    <x v="112"/>
    <x v="8"/>
    <n v="0"/>
    <n v="0"/>
    <n v="0"/>
    <n v="0"/>
    <x v="2"/>
    <x v="2"/>
    <m/>
    <m/>
  </r>
  <r>
    <s v="BAKERY PRODUCTS"/>
    <x v="1"/>
    <x v="119"/>
    <x v="119"/>
    <x v="24"/>
    <x v="113"/>
    <x v="8"/>
    <n v="0"/>
    <n v="0"/>
    <n v="0"/>
    <n v="0"/>
    <x v="2"/>
    <x v="2"/>
    <m/>
    <m/>
  </r>
  <r>
    <s v="BAKERY PRODUCTS"/>
    <x v="1"/>
    <x v="120"/>
    <x v="120"/>
    <x v="47"/>
    <x v="114"/>
    <x v="8"/>
    <n v="0"/>
    <n v="0"/>
    <n v="0"/>
    <n v="0"/>
    <x v="2"/>
    <x v="2"/>
    <m/>
    <m/>
  </r>
  <r>
    <s v="BAKERY PRODUCTS"/>
    <x v="1"/>
    <x v="121"/>
    <x v="121"/>
    <x v="48"/>
    <x v="115"/>
    <x v="8"/>
    <n v="0"/>
    <n v="0"/>
    <n v="0"/>
    <n v="0"/>
    <x v="2"/>
    <x v="2"/>
    <m/>
    <m/>
  </r>
  <r>
    <s v="BAKERY PRODUCTS"/>
    <x v="1"/>
    <x v="122"/>
    <x v="122"/>
    <x v="18"/>
    <x v="116"/>
    <x v="8"/>
    <n v="0"/>
    <n v="0"/>
    <n v="0"/>
    <n v="0"/>
    <x v="2"/>
    <x v="2"/>
    <m/>
    <m/>
  </r>
  <r>
    <s v="BAKERY PRODUCTS"/>
    <x v="1"/>
    <x v="123"/>
    <x v="123"/>
    <x v="49"/>
    <x v="117"/>
    <x v="8"/>
    <n v="0"/>
    <n v="0"/>
    <n v="0"/>
    <n v="0"/>
    <x v="2"/>
    <x v="2"/>
    <m/>
    <m/>
  </r>
  <r>
    <s v="BAKERY PRODUCTS"/>
    <x v="1"/>
    <x v="124"/>
    <x v="124"/>
    <x v="6"/>
    <x v="118"/>
    <x v="8"/>
    <n v="0"/>
    <n v="0"/>
    <n v="0"/>
    <n v="0"/>
    <x v="2"/>
    <x v="2"/>
    <m/>
    <m/>
  </r>
  <r>
    <s v="BAKERY PRODUCTS"/>
    <x v="1"/>
    <x v="125"/>
    <x v="125"/>
    <x v="29"/>
    <x v="119"/>
    <x v="8"/>
    <n v="0"/>
    <n v="0"/>
    <n v="0"/>
    <n v="0"/>
    <x v="2"/>
    <x v="2"/>
    <m/>
    <m/>
  </r>
  <r>
    <s v="BAKERY PRODUCTS"/>
    <x v="1"/>
    <x v="126"/>
    <x v="126"/>
    <x v="33"/>
    <x v="120"/>
    <x v="8"/>
    <n v="0"/>
    <n v="0"/>
    <n v="0"/>
    <n v="0"/>
    <x v="2"/>
    <x v="2"/>
    <m/>
    <m/>
  </r>
  <r>
    <s v="BAKERY PRODUCTS"/>
    <x v="1"/>
    <x v="127"/>
    <x v="127"/>
    <x v="0"/>
    <x v="121"/>
    <x v="8"/>
    <n v="0"/>
    <n v="0"/>
    <n v="0"/>
    <n v="0"/>
    <x v="2"/>
    <x v="2"/>
    <m/>
    <m/>
  </r>
  <r>
    <s v="ROSSOUW D"/>
    <x v="1"/>
    <x v="128"/>
    <x v="128"/>
    <x v="4"/>
    <x v="122"/>
    <x v="8"/>
    <n v="0"/>
    <n v="0"/>
    <n v="0"/>
    <n v="0"/>
    <x v="0"/>
    <x v="0"/>
    <n v="14.77391304347826"/>
    <n v="1"/>
  </r>
  <r>
    <s v="BAKERY PRODUCTS"/>
    <x v="1"/>
    <x v="129"/>
    <x v="129"/>
    <x v="32"/>
    <x v="123"/>
    <x v="8"/>
    <n v="0"/>
    <n v="0"/>
    <n v="0"/>
    <n v="0"/>
    <x v="2"/>
    <x v="2"/>
    <m/>
    <m/>
  </r>
  <r>
    <s v="BAKERY PRODUCTS"/>
    <x v="1"/>
    <x v="130"/>
    <x v="130"/>
    <x v="20"/>
    <x v="111"/>
    <x v="8"/>
    <n v="0"/>
    <n v="0"/>
    <n v="0"/>
    <n v="0"/>
    <x v="1"/>
    <x v="1"/>
    <n v="15.626086956521739"/>
    <n v="3"/>
  </r>
  <r>
    <s v="BAKERY PRODUCTS"/>
    <x v="1"/>
    <x v="131"/>
    <x v="131"/>
    <x v="50"/>
    <x v="124"/>
    <x v="8"/>
    <n v="0"/>
    <n v="0"/>
    <n v="0"/>
    <n v="0"/>
    <x v="2"/>
    <x v="2"/>
    <m/>
    <m/>
  </r>
  <r>
    <s v="BAKERY PRODUCTS"/>
    <x v="1"/>
    <x v="132"/>
    <x v="132"/>
    <x v="25"/>
    <x v="125"/>
    <x v="8"/>
    <n v="0"/>
    <n v="0"/>
    <n v="0"/>
    <n v="0"/>
    <x v="2"/>
    <x v="2"/>
    <m/>
    <m/>
  </r>
  <r>
    <s v="BAKERY PRODUCTS"/>
    <x v="1"/>
    <x v="133"/>
    <x v="133"/>
    <x v="29"/>
    <x v="126"/>
    <x v="8"/>
    <n v="0"/>
    <n v="0"/>
    <n v="0"/>
    <n v="0"/>
    <x v="2"/>
    <x v="2"/>
    <m/>
    <m/>
  </r>
  <r>
    <s v="GOOSEBUMPS DISTR.(BREAD STOP)"/>
    <x v="1"/>
    <x v="134"/>
    <x v="134"/>
    <x v="2"/>
    <x v="127"/>
    <x v="8"/>
    <n v="0"/>
    <n v="0"/>
    <n v="0"/>
    <n v="0"/>
    <x v="2"/>
    <x v="2"/>
    <m/>
    <m/>
  </r>
  <r>
    <s v="GOOSEBUMPS DISTR.(BREAD STOP)"/>
    <x v="1"/>
    <x v="135"/>
    <x v="135"/>
    <x v="17"/>
    <x v="128"/>
    <x v="8"/>
    <n v="0"/>
    <n v="0"/>
    <n v="0"/>
    <n v="0"/>
    <x v="1"/>
    <x v="1"/>
    <n v="33.03478260869565"/>
    <n v="1"/>
  </r>
  <r>
    <s v="GOOSEBUMPS DISTR.(BREAD STOP)"/>
    <x v="1"/>
    <x v="135"/>
    <x v="135"/>
    <x v="17"/>
    <x v="128"/>
    <x v="8"/>
    <n v="0"/>
    <n v="0"/>
    <n v="0"/>
    <n v="0"/>
    <x v="1"/>
    <x v="1"/>
    <n v="33.03478260869565"/>
    <n v="1"/>
  </r>
  <r>
    <s v="VECTOR LOG.(PTY)LTD GOOSEBUMPS"/>
    <x v="1"/>
    <x v="135"/>
    <x v="135"/>
    <x v="17"/>
    <x v="129"/>
    <x v="8"/>
    <n v="0"/>
    <n v="0"/>
    <n v="0"/>
    <n v="0"/>
    <x v="1"/>
    <x v="1"/>
    <n v="33.03478260869565"/>
    <n v="1"/>
  </r>
  <r>
    <s v="VECTOR LOG.(PTY)LTD GOOSEBUMPS"/>
    <x v="1"/>
    <x v="135"/>
    <x v="135"/>
    <x v="17"/>
    <x v="129"/>
    <x v="8"/>
    <n v="0"/>
    <n v="0"/>
    <n v="0"/>
    <n v="0"/>
    <x v="1"/>
    <x v="1"/>
    <n v="33.03478260869565"/>
    <n v="1"/>
  </r>
  <r>
    <s v="BAKERY PRODUCTS"/>
    <x v="1"/>
    <x v="136"/>
    <x v="136"/>
    <x v="29"/>
    <x v="130"/>
    <x v="8"/>
    <n v="0"/>
    <n v="0"/>
    <n v="0"/>
    <n v="0"/>
    <x v="2"/>
    <x v="2"/>
    <m/>
    <m/>
  </r>
  <r>
    <s v="BAKERY PRODUCTS"/>
    <x v="1"/>
    <x v="137"/>
    <x v="137"/>
    <x v="30"/>
    <x v="131"/>
    <x v="8"/>
    <n v="0"/>
    <n v="0"/>
    <n v="0"/>
    <n v="0"/>
    <x v="2"/>
    <x v="2"/>
    <m/>
    <m/>
  </r>
  <r>
    <s v="BAKERY PRODUCTS"/>
    <x v="1"/>
    <x v="138"/>
    <x v="138"/>
    <x v="51"/>
    <x v="132"/>
    <x v="8"/>
    <n v="0"/>
    <n v="0"/>
    <n v="0"/>
    <n v="0"/>
    <x v="2"/>
    <x v="2"/>
    <m/>
    <m/>
  </r>
  <r>
    <s v="BAKERY PRODUCTS"/>
    <x v="1"/>
    <x v="139"/>
    <x v="139"/>
    <x v="30"/>
    <x v="133"/>
    <x v="8"/>
    <n v="0"/>
    <n v="0"/>
    <n v="0"/>
    <n v="0"/>
    <x v="2"/>
    <x v="2"/>
    <m/>
    <m/>
  </r>
  <r>
    <s v="BAKERY PRODUCTS"/>
    <x v="1"/>
    <x v="140"/>
    <x v="140"/>
    <x v="20"/>
    <x v="111"/>
    <x v="8"/>
    <n v="0"/>
    <n v="0"/>
    <n v="0"/>
    <n v="0"/>
    <x v="2"/>
    <x v="2"/>
    <m/>
    <m/>
  </r>
  <r>
    <s v="BAKERY PRODUCTS"/>
    <x v="1"/>
    <x v="141"/>
    <x v="141"/>
    <x v="20"/>
    <x v="111"/>
    <x v="8"/>
    <n v="0"/>
    <n v="0"/>
    <n v="0"/>
    <n v="0"/>
    <x v="1"/>
    <x v="1"/>
    <n v="10.417391304347827"/>
    <n v="2"/>
  </r>
  <r>
    <s v="GOOSEBUMPS DISTR.(BREAD STOP)"/>
    <x v="1"/>
    <x v="142"/>
    <x v="142"/>
    <x v="21"/>
    <x v="134"/>
    <x v="8"/>
    <n v="0"/>
    <n v="0"/>
    <n v="0"/>
    <n v="0"/>
    <x v="2"/>
    <x v="2"/>
    <m/>
    <m/>
  </r>
  <r>
    <s v="VECTOR LOG.(PTY)LTD GOOSEBUMPS"/>
    <x v="1"/>
    <x v="142"/>
    <x v="142"/>
    <x v="21"/>
    <x v="135"/>
    <x v="8"/>
    <n v="0"/>
    <n v="0"/>
    <n v="0"/>
    <n v="0"/>
    <x v="2"/>
    <x v="2"/>
    <m/>
    <m/>
  </r>
  <r>
    <s v="BAKERY PRODUCTS"/>
    <x v="1"/>
    <x v="143"/>
    <x v="143"/>
    <x v="25"/>
    <x v="136"/>
    <x v="8"/>
    <n v="0"/>
    <n v="0"/>
    <n v="0"/>
    <n v="0"/>
    <x v="2"/>
    <x v="2"/>
    <m/>
    <m/>
  </r>
  <r>
    <s v="BAKERY PRODUCTS"/>
    <x v="1"/>
    <x v="144"/>
    <x v="144"/>
    <x v="52"/>
    <x v="123"/>
    <x v="8"/>
    <n v="0"/>
    <n v="0"/>
    <n v="0"/>
    <n v="0"/>
    <x v="2"/>
    <x v="2"/>
    <m/>
    <m/>
  </r>
  <r>
    <s v="BAKERY PRODUCTS"/>
    <x v="1"/>
    <x v="145"/>
    <x v="145"/>
    <x v="20"/>
    <x v="111"/>
    <x v="8"/>
    <n v="0"/>
    <n v="0"/>
    <n v="0"/>
    <n v="0"/>
    <x v="2"/>
    <x v="2"/>
    <m/>
    <m/>
  </r>
  <r>
    <s v="BAKERY PRODUCTS"/>
    <x v="1"/>
    <x v="146"/>
    <x v="146"/>
    <x v="6"/>
    <x v="137"/>
    <x v="8"/>
    <n v="0"/>
    <n v="0"/>
    <n v="0"/>
    <n v="0"/>
    <x v="2"/>
    <x v="2"/>
    <m/>
    <m/>
  </r>
  <r>
    <s v="BAKERY PRODUCTS"/>
    <x v="1"/>
    <x v="147"/>
    <x v="147"/>
    <x v="23"/>
    <x v="138"/>
    <x v="8"/>
    <n v="0"/>
    <n v="0"/>
    <n v="0"/>
    <n v="0"/>
    <x v="2"/>
    <x v="2"/>
    <m/>
    <m/>
  </r>
  <r>
    <s v="BAKERY PRODUCTS"/>
    <x v="1"/>
    <x v="148"/>
    <x v="148"/>
    <x v="30"/>
    <x v="131"/>
    <x v="8"/>
    <n v="0"/>
    <n v="0"/>
    <n v="0"/>
    <n v="0"/>
    <x v="2"/>
    <x v="2"/>
    <m/>
    <m/>
  </r>
  <r>
    <s v="BAKERY PRODUCTS"/>
    <x v="1"/>
    <x v="149"/>
    <x v="149"/>
    <x v="10"/>
    <x v="139"/>
    <x v="8"/>
    <n v="0"/>
    <n v="0"/>
    <n v="0"/>
    <n v="0"/>
    <x v="2"/>
    <x v="2"/>
    <m/>
    <m/>
  </r>
  <r>
    <s v="BAKERY PRODUCTS"/>
    <x v="1"/>
    <x v="150"/>
    <x v="150"/>
    <x v="53"/>
    <x v="140"/>
    <x v="8"/>
    <n v="0"/>
    <n v="0"/>
    <n v="0"/>
    <n v="0"/>
    <x v="2"/>
    <x v="2"/>
    <m/>
    <m/>
  </r>
  <r>
    <s v="BAKERY PRODUCTS"/>
    <x v="1"/>
    <x v="151"/>
    <x v="151"/>
    <x v="20"/>
    <x v="111"/>
    <x v="8"/>
    <n v="0"/>
    <n v="0"/>
    <n v="0"/>
    <n v="0"/>
    <x v="2"/>
    <x v="2"/>
    <m/>
    <m/>
  </r>
  <r>
    <s v="GOOSEBUMPS DISTR.(BREAD STOP)"/>
    <x v="1"/>
    <x v="152"/>
    <x v="152"/>
    <x v="34"/>
    <x v="141"/>
    <x v="8"/>
    <n v="0"/>
    <n v="0"/>
    <n v="0"/>
    <n v="0"/>
    <x v="2"/>
    <x v="2"/>
    <m/>
    <m/>
  </r>
  <r>
    <s v="BAKERY PRODUCTS"/>
    <x v="1"/>
    <x v="153"/>
    <x v="153"/>
    <x v="3"/>
    <x v="142"/>
    <x v="8"/>
    <n v="0"/>
    <n v="0"/>
    <n v="0"/>
    <n v="0"/>
    <x v="2"/>
    <x v="2"/>
    <m/>
    <m/>
  </r>
  <r>
    <s v="BAKERY PRODUCTS"/>
    <x v="1"/>
    <x v="154"/>
    <x v="154"/>
    <x v="19"/>
    <x v="143"/>
    <x v="8"/>
    <n v="0"/>
    <n v="0"/>
    <n v="0"/>
    <n v="0"/>
    <x v="2"/>
    <x v="2"/>
    <m/>
    <m/>
  </r>
  <r>
    <s v="BAKERY PRODUCTS"/>
    <x v="1"/>
    <x v="155"/>
    <x v="155"/>
    <x v="0"/>
    <x v="13"/>
    <x v="8"/>
    <n v="0"/>
    <n v="0"/>
    <n v="0"/>
    <n v="0"/>
    <x v="2"/>
    <x v="2"/>
    <m/>
    <m/>
  </r>
  <r>
    <s v="BAKERY PRODUCTS"/>
    <x v="1"/>
    <x v="156"/>
    <x v="156"/>
    <x v="50"/>
    <x v="144"/>
    <x v="8"/>
    <n v="0"/>
    <n v="0"/>
    <n v="0"/>
    <n v="0"/>
    <x v="2"/>
    <x v="2"/>
    <m/>
    <m/>
  </r>
  <r>
    <s v="BAKERY PRODUCTS"/>
    <x v="1"/>
    <x v="157"/>
    <x v="157"/>
    <x v="20"/>
    <x v="145"/>
    <x v="8"/>
    <n v="0"/>
    <n v="0"/>
    <n v="0"/>
    <n v="0"/>
    <x v="2"/>
    <x v="2"/>
    <m/>
    <m/>
  </r>
  <r>
    <s v="GOOSEBUMPS DISTR.(BREAD STOP)"/>
    <x v="1"/>
    <x v="158"/>
    <x v="158"/>
    <x v="34"/>
    <x v="141"/>
    <x v="8"/>
    <n v="0"/>
    <n v="0"/>
    <n v="0"/>
    <n v="0"/>
    <x v="2"/>
    <x v="2"/>
    <m/>
    <m/>
  </r>
  <r>
    <s v="BAKERY PRODUCTS"/>
    <x v="1"/>
    <x v="159"/>
    <x v="159"/>
    <x v="3"/>
    <x v="146"/>
    <x v="8"/>
    <n v="0"/>
    <n v="0"/>
    <n v="0"/>
    <n v="0"/>
    <x v="2"/>
    <x v="2"/>
    <m/>
    <m/>
  </r>
  <r>
    <s v="BAKERY PRODUCTS"/>
    <x v="1"/>
    <x v="160"/>
    <x v="160"/>
    <x v="20"/>
    <x v="111"/>
    <x v="8"/>
    <n v="0"/>
    <n v="0"/>
    <n v="0"/>
    <n v="0"/>
    <x v="2"/>
    <x v="2"/>
    <m/>
    <m/>
  </r>
  <r>
    <s v="BAKERY PRODUCTS"/>
    <x v="1"/>
    <x v="161"/>
    <x v="161"/>
    <x v="20"/>
    <x v="111"/>
    <x v="8"/>
    <n v="0"/>
    <n v="0"/>
    <n v="0"/>
    <n v="0"/>
    <x v="2"/>
    <x v="2"/>
    <m/>
    <m/>
  </r>
  <r>
    <s v="BAKERY PRODUCTS"/>
    <x v="1"/>
    <x v="162"/>
    <x v="162"/>
    <x v="25"/>
    <x v="147"/>
    <x v="8"/>
    <n v="0"/>
    <n v="0"/>
    <n v="0"/>
    <n v="0"/>
    <x v="2"/>
    <x v="2"/>
    <m/>
    <m/>
  </r>
  <r>
    <s v="BAKERY PRODUCTS"/>
    <x v="1"/>
    <x v="163"/>
    <x v="163"/>
    <x v="54"/>
    <x v="123"/>
    <x v="8"/>
    <n v="0"/>
    <n v="0"/>
    <n v="0"/>
    <n v="0"/>
    <x v="2"/>
    <x v="2"/>
    <m/>
    <m/>
  </r>
  <r>
    <s v="BAKERY PRODUCTS"/>
    <x v="1"/>
    <x v="164"/>
    <x v="164"/>
    <x v="30"/>
    <x v="131"/>
    <x v="8"/>
    <n v="0"/>
    <n v="0"/>
    <n v="0"/>
    <n v="0"/>
    <x v="2"/>
    <x v="2"/>
    <m/>
    <m/>
  </r>
  <r>
    <s v="GOOSEBUMPS DISTR.(BREAD STOP)"/>
    <x v="1"/>
    <x v="165"/>
    <x v="165"/>
    <x v="55"/>
    <x v="148"/>
    <x v="8"/>
    <n v="0"/>
    <n v="0"/>
    <n v="0"/>
    <n v="0"/>
    <x v="2"/>
    <x v="2"/>
    <m/>
    <m/>
  </r>
  <r>
    <s v="GOOSEBUMPS DISTR.(BREAD STOP)"/>
    <x v="1"/>
    <x v="166"/>
    <x v="166"/>
    <x v="56"/>
    <x v="149"/>
    <x v="8"/>
    <n v="0"/>
    <n v="0"/>
    <n v="0"/>
    <n v="0"/>
    <x v="2"/>
    <x v="2"/>
    <m/>
    <m/>
  </r>
  <r>
    <s v="VECTOR LOG.(PTY)LTD GOOSEBUMPS"/>
    <x v="1"/>
    <x v="166"/>
    <x v="166"/>
    <x v="56"/>
    <x v="150"/>
    <x v="8"/>
    <n v="0"/>
    <n v="0"/>
    <n v="0"/>
    <n v="0"/>
    <x v="2"/>
    <x v="2"/>
    <m/>
    <m/>
  </r>
  <r>
    <s v="GOOSEBUMPS DISTR.(BREAD STOP)"/>
    <x v="1"/>
    <x v="167"/>
    <x v="167"/>
    <x v="57"/>
    <x v="151"/>
    <x v="8"/>
    <n v="0"/>
    <n v="0"/>
    <n v="0"/>
    <n v="0"/>
    <x v="2"/>
    <x v="2"/>
    <m/>
    <m/>
  </r>
  <r>
    <s v="VECTOR LOG.(PTY)LTD GOOSEBUMPS"/>
    <x v="1"/>
    <x v="167"/>
    <x v="167"/>
    <x v="57"/>
    <x v="152"/>
    <x v="8"/>
    <n v="0"/>
    <n v="0"/>
    <n v="0"/>
    <n v="0"/>
    <x v="2"/>
    <x v="2"/>
    <m/>
    <m/>
  </r>
  <r>
    <s v="GOOSEBUMPS DISTR.(BREAD STOP)"/>
    <x v="1"/>
    <x v="168"/>
    <x v="168"/>
    <x v="57"/>
    <x v="153"/>
    <x v="8"/>
    <n v="0"/>
    <n v="0"/>
    <n v="0"/>
    <n v="0"/>
    <x v="2"/>
    <x v="2"/>
    <m/>
    <m/>
  </r>
  <r>
    <s v="VECTOR LOG.(PTY)LTD GOOSEBUMPS"/>
    <x v="1"/>
    <x v="168"/>
    <x v="168"/>
    <x v="57"/>
    <x v="154"/>
    <x v="8"/>
    <n v="0"/>
    <n v="0"/>
    <n v="0"/>
    <n v="0"/>
    <x v="2"/>
    <x v="2"/>
    <m/>
    <m/>
  </r>
  <r>
    <s v="GOOSEBUMPS DISTR.(BREAD STOP)"/>
    <x v="1"/>
    <x v="169"/>
    <x v="169"/>
    <x v="56"/>
    <x v="155"/>
    <x v="8"/>
    <n v="0"/>
    <n v="0"/>
    <n v="0"/>
    <n v="0"/>
    <x v="2"/>
    <x v="2"/>
    <m/>
    <m/>
  </r>
  <r>
    <s v="VECTOR LOG.(PTY)LTD GOOSEBUMPS"/>
    <x v="1"/>
    <x v="169"/>
    <x v="169"/>
    <x v="56"/>
    <x v="150"/>
    <x v="8"/>
    <n v="0"/>
    <n v="0"/>
    <n v="0"/>
    <n v="0"/>
    <x v="2"/>
    <x v="2"/>
    <m/>
    <m/>
  </r>
  <r>
    <s v="GOOSEBUMPS DISTR.(BREAD STOP)"/>
    <x v="1"/>
    <x v="170"/>
    <x v="170"/>
    <x v="58"/>
    <x v="156"/>
    <x v="8"/>
    <n v="0"/>
    <n v="0"/>
    <n v="0"/>
    <n v="0"/>
    <x v="2"/>
    <x v="2"/>
    <m/>
    <m/>
  </r>
  <r>
    <s v="VECTOR LOG.(PTY)LTD GOOSEBUMPS"/>
    <x v="1"/>
    <x v="170"/>
    <x v="170"/>
    <x v="58"/>
    <x v="157"/>
    <x v="8"/>
    <n v="0"/>
    <n v="0"/>
    <n v="0"/>
    <n v="0"/>
    <x v="2"/>
    <x v="2"/>
    <m/>
    <m/>
  </r>
  <r>
    <s v="GOOSEBUMPS DISTR.(BREAD STOP)"/>
    <x v="1"/>
    <x v="171"/>
    <x v="171"/>
    <x v="21"/>
    <x v="158"/>
    <x v="8"/>
    <n v="0"/>
    <n v="0"/>
    <n v="0"/>
    <n v="0"/>
    <x v="2"/>
    <x v="2"/>
    <m/>
    <m/>
  </r>
  <r>
    <s v="VECTOR LOG.(PTY)LTD GOOSEBUMPS"/>
    <x v="1"/>
    <x v="171"/>
    <x v="171"/>
    <x v="21"/>
    <x v="159"/>
    <x v="8"/>
    <n v="0"/>
    <n v="0"/>
    <n v="0"/>
    <n v="0"/>
    <x v="2"/>
    <x v="2"/>
    <m/>
    <m/>
  </r>
  <r>
    <s v="GOOSEBUMPS DISTR.(BREAD STOP)"/>
    <x v="1"/>
    <x v="172"/>
    <x v="172"/>
    <x v="59"/>
    <x v="160"/>
    <x v="8"/>
    <n v="0"/>
    <n v="0"/>
    <n v="0"/>
    <n v="0"/>
    <x v="2"/>
    <x v="2"/>
    <m/>
    <m/>
  </r>
  <r>
    <s v="VECTOR LOG.(PTY)LTD GOOSEBUMPS"/>
    <x v="1"/>
    <x v="172"/>
    <x v="172"/>
    <x v="59"/>
    <x v="161"/>
    <x v="8"/>
    <n v="0"/>
    <n v="0"/>
    <n v="0"/>
    <n v="0"/>
    <x v="2"/>
    <x v="2"/>
    <m/>
    <m/>
  </r>
  <r>
    <s v="GOOSEBUMPS DISTR.(BREAD STOP)"/>
    <x v="1"/>
    <x v="173"/>
    <x v="173"/>
    <x v="32"/>
    <x v="162"/>
    <x v="8"/>
    <n v="0"/>
    <n v="0"/>
    <n v="0"/>
    <n v="0"/>
    <x v="2"/>
    <x v="2"/>
    <m/>
    <m/>
  </r>
  <r>
    <s v="VECTOR LOG.(PTY)LTD GOOSEBUMPS"/>
    <x v="1"/>
    <x v="173"/>
    <x v="173"/>
    <x v="32"/>
    <x v="163"/>
    <x v="8"/>
    <n v="0"/>
    <n v="0"/>
    <n v="0"/>
    <n v="0"/>
    <x v="2"/>
    <x v="2"/>
    <m/>
    <m/>
  </r>
  <r>
    <s v="GOOSEBUMPS DISTR.(BREAD STOP)"/>
    <x v="1"/>
    <x v="174"/>
    <x v="174"/>
    <x v="3"/>
    <x v="164"/>
    <x v="8"/>
    <n v="0"/>
    <n v="0"/>
    <n v="0"/>
    <n v="0"/>
    <x v="2"/>
    <x v="2"/>
    <m/>
    <m/>
  </r>
  <r>
    <s v="VECTOR LOG.(PTY)LTD GOOSEBUMPS"/>
    <x v="1"/>
    <x v="174"/>
    <x v="174"/>
    <x v="3"/>
    <x v="165"/>
    <x v="8"/>
    <n v="0"/>
    <n v="0"/>
    <n v="0"/>
    <n v="0"/>
    <x v="2"/>
    <x v="2"/>
    <m/>
    <m/>
  </r>
  <r>
    <s v="GOOSEBUMPS DISTR.(BREAD STOP)"/>
    <x v="1"/>
    <x v="175"/>
    <x v="175"/>
    <x v="18"/>
    <x v="166"/>
    <x v="8"/>
    <n v="0"/>
    <n v="0"/>
    <n v="0"/>
    <n v="0"/>
    <x v="2"/>
    <x v="2"/>
    <m/>
    <m/>
  </r>
  <r>
    <s v="VECTOR LOG.(PTY)LTD GOOSEBUMPS"/>
    <x v="1"/>
    <x v="175"/>
    <x v="175"/>
    <x v="18"/>
    <x v="167"/>
    <x v="8"/>
    <n v="0"/>
    <n v="0"/>
    <n v="0"/>
    <n v="0"/>
    <x v="2"/>
    <x v="2"/>
    <m/>
    <m/>
  </r>
  <r>
    <s v="GOOSEBUMPS DISTR.(BREAD STOP)"/>
    <x v="1"/>
    <x v="176"/>
    <x v="176"/>
    <x v="60"/>
    <x v="168"/>
    <x v="8"/>
    <n v="0"/>
    <n v="0"/>
    <n v="0"/>
    <n v="0"/>
    <x v="2"/>
    <x v="2"/>
    <m/>
    <m/>
  </r>
  <r>
    <s v="GOOSEBUMPS DISTR.(BREAD STOP)"/>
    <x v="1"/>
    <x v="177"/>
    <x v="177"/>
    <x v="34"/>
    <x v="169"/>
    <x v="8"/>
    <n v="0"/>
    <n v="0"/>
    <n v="0"/>
    <n v="0"/>
    <x v="2"/>
    <x v="2"/>
    <m/>
    <m/>
  </r>
  <r>
    <s v="GOOSEBUMPS DISTR.(BREAD STOP)"/>
    <x v="1"/>
    <x v="178"/>
    <x v="178"/>
    <x v="34"/>
    <x v="169"/>
    <x v="8"/>
    <n v="0"/>
    <n v="0"/>
    <n v="0"/>
    <n v="0"/>
    <x v="2"/>
    <x v="2"/>
    <m/>
    <m/>
  </r>
  <r>
    <s v="GOOSEBUMPS DISTR.(BREAD STOP)"/>
    <x v="1"/>
    <x v="179"/>
    <x v="179"/>
    <x v="34"/>
    <x v="169"/>
    <x v="8"/>
    <n v="0"/>
    <n v="0"/>
    <n v="0"/>
    <n v="0"/>
    <x v="2"/>
    <x v="2"/>
    <m/>
    <m/>
  </r>
  <r>
    <s v="VECTOR LOG.(PTY)LTD GOOSEBUMPS"/>
    <x v="1"/>
    <x v="180"/>
    <x v="180"/>
    <x v="58"/>
    <x v="170"/>
    <x v="8"/>
    <n v="0"/>
    <n v="0"/>
    <n v="0"/>
    <n v="0"/>
    <x v="2"/>
    <x v="2"/>
    <m/>
    <m/>
  </r>
  <r>
    <s v="VECTOR LOG.(PTY)LTD GOOSEBUMPS"/>
    <x v="1"/>
    <x v="181"/>
    <x v="181"/>
    <x v="56"/>
    <x v="155"/>
    <x v="8"/>
    <n v="0"/>
    <n v="0"/>
    <n v="0"/>
    <n v="0"/>
    <x v="2"/>
    <x v="2"/>
    <m/>
    <m/>
  </r>
  <r>
    <s v="BAKERY PRODUCTS"/>
    <x v="1"/>
    <x v="182"/>
    <x v="182"/>
    <x v="23"/>
    <x v="171"/>
    <x v="8"/>
    <n v="0"/>
    <n v="0"/>
    <n v="0"/>
    <n v="0"/>
    <x v="2"/>
    <x v="2"/>
    <m/>
    <m/>
  </r>
  <r>
    <s v="BAKERY PRODUCTS"/>
    <x v="1"/>
    <x v="183"/>
    <x v="183"/>
    <x v="0"/>
    <x v="58"/>
    <x v="8"/>
    <n v="0"/>
    <n v="0"/>
    <n v="0"/>
    <n v="0"/>
    <x v="2"/>
    <x v="2"/>
    <m/>
    <m/>
  </r>
  <r>
    <s v="BAKERY PRODUCTS"/>
    <x v="1"/>
    <x v="184"/>
    <x v="184"/>
    <x v="38"/>
    <x v="172"/>
    <x v="8"/>
    <n v="0"/>
    <n v="0"/>
    <n v="0"/>
    <n v="0"/>
    <x v="2"/>
    <x v="2"/>
    <m/>
    <m/>
  </r>
  <r>
    <s v="BAKERY PRODUCTS"/>
    <x v="1"/>
    <x v="185"/>
    <x v="185"/>
    <x v="61"/>
    <x v="173"/>
    <x v="8"/>
    <n v="0"/>
    <n v="0"/>
    <n v="0"/>
    <n v="0"/>
    <x v="2"/>
    <x v="2"/>
    <m/>
    <m/>
  </r>
  <r>
    <s v="BAKERY PRODUCTS"/>
    <x v="1"/>
    <x v="186"/>
    <x v="186"/>
    <x v="27"/>
    <x v="174"/>
    <x v="8"/>
    <n v="0"/>
    <n v="0"/>
    <n v="0"/>
    <n v="0"/>
    <x v="2"/>
    <x v="2"/>
    <m/>
    <m/>
  </r>
  <r>
    <s v="BAKERY PRODUCTS"/>
    <x v="1"/>
    <x v="187"/>
    <x v="95"/>
    <x v="27"/>
    <x v="174"/>
    <x v="8"/>
    <n v="0"/>
    <n v="0"/>
    <n v="0"/>
    <n v="0"/>
    <x v="2"/>
    <x v="2"/>
    <m/>
    <m/>
  </r>
  <r>
    <s v="BAKERY PRODUCTS"/>
    <x v="1"/>
    <x v="188"/>
    <x v="187"/>
    <x v="23"/>
    <x v="175"/>
    <x v="8"/>
    <n v="0"/>
    <n v="0"/>
    <n v="0"/>
    <n v="0"/>
    <x v="2"/>
    <x v="2"/>
    <m/>
    <m/>
  </r>
  <r>
    <s v="BAKERY PRODUCTS"/>
    <x v="1"/>
    <x v="189"/>
    <x v="188"/>
    <x v="23"/>
    <x v="176"/>
    <x v="8"/>
    <n v="0"/>
    <n v="0"/>
    <n v="0"/>
    <n v="0"/>
    <x v="2"/>
    <x v="2"/>
    <m/>
    <m/>
  </r>
  <r>
    <s v="BAKERY PRODUCTS"/>
    <x v="2"/>
    <x v="190"/>
    <x v="189"/>
    <x v="18"/>
    <x v="177"/>
    <x v="8"/>
    <n v="0"/>
    <n v="0"/>
    <n v="0"/>
    <n v="0"/>
    <x v="2"/>
    <x v="2"/>
    <m/>
    <m/>
  </r>
  <r>
    <s v="BAKERY PRODUCTS"/>
    <x v="2"/>
    <x v="191"/>
    <x v="190"/>
    <x v="62"/>
    <x v="178"/>
    <x v="8"/>
    <n v="0"/>
    <n v="0"/>
    <n v="0"/>
    <n v="0"/>
    <x v="2"/>
    <x v="2"/>
    <m/>
    <m/>
  </r>
  <r>
    <s v="BAKERY PRODUCTS"/>
    <x v="2"/>
    <x v="192"/>
    <x v="191"/>
    <x v="63"/>
    <x v="179"/>
    <x v="8"/>
    <n v="0"/>
    <n v="0"/>
    <n v="0"/>
    <n v="0"/>
    <x v="2"/>
    <x v="2"/>
    <m/>
    <m/>
  </r>
  <r>
    <s v="BAKERY PRODUCTS"/>
    <x v="2"/>
    <x v="193"/>
    <x v="192"/>
    <x v="64"/>
    <x v="180"/>
    <x v="8"/>
    <n v="0"/>
    <n v="0"/>
    <n v="0"/>
    <n v="0"/>
    <x v="2"/>
    <x v="2"/>
    <m/>
    <m/>
  </r>
  <r>
    <s v="BAKERY PRODUCTS"/>
    <x v="2"/>
    <x v="194"/>
    <x v="193"/>
    <x v="65"/>
    <x v="181"/>
    <x v="8"/>
    <n v="0"/>
    <n v="0"/>
    <n v="0"/>
    <n v="0"/>
    <x v="2"/>
    <x v="2"/>
    <m/>
    <m/>
  </r>
  <r>
    <s v="BAKERY PRODUCTS"/>
    <x v="2"/>
    <x v="195"/>
    <x v="194"/>
    <x v="64"/>
    <x v="182"/>
    <x v="8"/>
    <n v="0"/>
    <n v="0"/>
    <n v="0"/>
    <n v="0"/>
    <x v="2"/>
    <x v="2"/>
    <m/>
    <m/>
  </r>
  <r>
    <s v="BAKERY PRODUCTS"/>
    <x v="2"/>
    <x v="196"/>
    <x v="195"/>
    <x v="66"/>
    <x v="183"/>
    <x v="8"/>
    <n v="0"/>
    <n v="0"/>
    <n v="0"/>
    <n v="0"/>
    <x v="2"/>
    <x v="2"/>
    <m/>
    <m/>
  </r>
  <r>
    <s v="BAKERY PRODUCTS"/>
    <x v="2"/>
    <x v="197"/>
    <x v="196"/>
    <x v="67"/>
    <x v="96"/>
    <x v="8"/>
    <n v="0"/>
    <n v="0"/>
    <n v="0"/>
    <n v="0"/>
    <x v="2"/>
    <x v="2"/>
    <m/>
    <m/>
  </r>
  <r>
    <s v="BAKERY PRODUCTS"/>
    <x v="2"/>
    <x v="198"/>
    <x v="197"/>
    <x v="68"/>
    <x v="184"/>
    <x v="8"/>
    <n v="0"/>
    <n v="0"/>
    <n v="0"/>
    <n v="0"/>
    <x v="2"/>
    <x v="2"/>
    <m/>
    <m/>
  </r>
  <r>
    <s v="BAKERY PRODUCTS"/>
    <x v="2"/>
    <x v="199"/>
    <x v="198"/>
    <x v="69"/>
    <x v="185"/>
    <x v="8"/>
    <n v="0"/>
    <n v="0"/>
    <n v="0"/>
    <n v="0"/>
    <x v="2"/>
    <x v="2"/>
    <m/>
    <m/>
  </r>
  <r>
    <s v="BAKERY PRODUCTS"/>
    <x v="2"/>
    <x v="200"/>
    <x v="199"/>
    <x v="69"/>
    <x v="90"/>
    <x v="8"/>
    <n v="0"/>
    <n v="0"/>
    <n v="0"/>
    <n v="0"/>
    <x v="2"/>
    <x v="2"/>
    <m/>
    <m/>
  </r>
  <r>
    <s v="BAKERY PRODUCTS"/>
    <x v="2"/>
    <x v="201"/>
    <x v="200"/>
    <x v="70"/>
    <x v="186"/>
    <x v="8"/>
    <n v="0"/>
    <n v="0"/>
    <n v="0"/>
    <n v="0"/>
    <x v="2"/>
    <x v="2"/>
    <m/>
    <m/>
  </r>
  <r>
    <s v="BAKERY PRODUCTS"/>
    <x v="2"/>
    <x v="202"/>
    <x v="201"/>
    <x v="69"/>
    <x v="96"/>
    <x v="8"/>
    <n v="0"/>
    <n v="0"/>
    <n v="0"/>
    <n v="0"/>
    <x v="2"/>
    <x v="2"/>
    <m/>
    <m/>
  </r>
  <r>
    <s v="BAKERY PRODUCTS"/>
    <x v="2"/>
    <x v="203"/>
    <x v="202"/>
    <x v="69"/>
    <x v="187"/>
    <x v="8"/>
    <n v="0"/>
    <n v="0"/>
    <n v="0"/>
    <n v="0"/>
    <x v="2"/>
    <x v="2"/>
    <m/>
    <m/>
  </r>
  <r>
    <s v="BAKERY PRODUCTS"/>
    <x v="2"/>
    <x v="204"/>
    <x v="203"/>
    <x v="29"/>
    <x v="188"/>
    <x v="8"/>
    <n v="0"/>
    <n v="0"/>
    <n v="0"/>
    <n v="0"/>
    <x v="2"/>
    <x v="2"/>
    <m/>
    <m/>
  </r>
  <r>
    <s v="BAKERY PRODUCTS"/>
    <x v="2"/>
    <x v="205"/>
    <x v="204"/>
    <x v="29"/>
    <x v="189"/>
    <x v="8"/>
    <n v="0"/>
    <n v="0"/>
    <n v="0"/>
    <n v="0"/>
    <x v="2"/>
    <x v="2"/>
    <m/>
    <m/>
  </r>
  <r>
    <s v="BAKERY PRODUCTS"/>
    <x v="2"/>
    <x v="206"/>
    <x v="205"/>
    <x v="69"/>
    <x v="190"/>
    <x v="8"/>
    <n v="0"/>
    <n v="0"/>
    <n v="0"/>
    <n v="0"/>
    <x v="2"/>
    <x v="2"/>
    <m/>
    <m/>
  </r>
  <r>
    <s v="BAKERY PRODUCTS"/>
    <x v="2"/>
    <x v="207"/>
    <x v="206"/>
    <x v="29"/>
    <x v="191"/>
    <x v="8"/>
    <n v="0"/>
    <n v="0"/>
    <n v="0"/>
    <n v="0"/>
    <x v="2"/>
    <x v="2"/>
    <m/>
    <m/>
  </r>
  <r>
    <s v="BAKERY PRODUCTS"/>
    <x v="2"/>
    <x v="208"/>
    <x v="207"/>
    <x v="29"/>
    <x v="192"/>
    <x v="8"/>
    <n v="0"/>
    <n v="0"/>
    <n v="0"/>
    <n v="0"/>
    <x v="2"/>
    <x v="2"/>
    <m/>
    <m/>
  </r>
  <r>
    <s v="BAKERY PRODUCTS"/>
    <x v="2"/>
    <x v="209"/>
    <x v="208"/>
    <x v="29"/>
    <x v="193"/>
    <x v="8"/>
    <n v="0"/>
    <n v="0"/>
    <n v="0"/>
    <n v="0"/>
    <x v="2"/>
    <x v="2"/>
    <m/>
    <m/>
  </r>
  <r>
    <s v="BAKERY PRODUCTS"/>
    <x v="2"/>
    <x v="210"/>
    <x v="209"/>
    <x v="29"/>
    <x v="10"/>
    <x v="8"/>
    <n v="0"/>
    <n v="0"/>
    <n v="0"/>
    <n v="0"/>
    <x v="2"/>
    <x v="2"/>
    <m/>
    <m/>
  </r>
  <r>
    <s v="BAKERY PRODUCTS"/>
    <x v="2"/>
    <x v="211"/>
    <x v="210"/>
    <x v="71"/>
    <x v="194"/>
    <x v="8"/>
    <n v="0"/>
    <n v="0"/>
    <n v="0"/>
    <n v="0"/>
    <x v="2"/>
    <x v="2"/>
    <m/>
    <m/>
  </r>
  <r>
    <s v="BAKERY PRODUCTS"/>
    <x v="2"/>
    <x v="212"/>
    <x v="211"/>
    <x v="72"/>
    <x v="195"/>
    <x v="8"/>
    <n v="0"/>
    <n v="0"/>
    <n v="0"/>
    <n v="0"/>
    <x v="2"/>
    <x v="2"/>
    <m/>
    <m/>
  </r>
  <r>
    <s v="BAKERY PRODUCTS"/>
    <x v="2"/>
    <x v="213"/>
    <x v="212"/>
    <x v="73"/>
    <x v="196"/>
    <x v="8"/>
    <n v="0"/>
    <n v="0"/>
    <n v="0"/>
    <n v="0"/>
    <x v="2"/>
    <x v="2"/>
    <m/>
    <m/>
  </r>
  <r>
    <s v="BAKERY PRODUCTS"/>
    <x v="3"/>
    <x v="214"/>
    <x v="213"/>
    <x v="30"/>
    <x v="197"/>
    <x v="24"/>
    <n v="449.84999999999997"/>
    <n v="187.79999999999998"/>
    <n v="262.04999999999995"/>
    <n v="58.252750916972317"/>
    <x v="2"/>
    <x v="2"/>
    <m/>
    <m/>
  </r>
  <r>
    <s v="BAKERY PRODUCTS"/>
    <x v="3"/>
    <x v="215"/>
    <x v="214"/>
    <x v="49"/>
    <x v="198"/>
    <x v="23"/>
    <n v="499.90000000000003"/>
    <n v="137.6"/>
    <n v="362.30000000000007"/>
    <n v="72.474494898979799"/>
    <x v="0"/>
    <x v="0"/>
    <n v="43.469565217391306"/>
    <n v="1"/>
  </r>
  <r>
    <s v="BAKERY PRODUCTS"/>
    <x v="3"/>
    <x v="215"/>
    <x v="214"/>
    <x v="49"/>
    <x v="198"/>
    <x v="23"/>
    <n v="499.90000000000003"/>
    <n v="137.6"/>
    <n v="362.30000000000007"/>
    <n v="72.474494898979799"/>
    <x v="1"/>
    <x v="1"/>
    <n v="130.40869565217392"/>
    <n v="3"/>
  </r>
  <r>
    <s v="BAKERY PRODUCTS"/>
    <x v="3"/>
    <x v="216"/>
    <x v="215"/>
    <x v="49"/>
    <x v="199"/>
    <x v="25"/>
    <n v="249.95000000000002"/>
    <n v="123.25"/>
    <n v="126.70000000000002"/>
    <n v="50.690138027605528"/>
    <x v="2"/>
    <x v="2"/>
    <m/>
    <m/>
  </r>
  <r>
    <s v="BAKERY PRODUCTS"/>
    <x v="3"/>
    <x v="217"/>
    <x v="216"/>
    <x v="49"/>
    <x v="200"/>
    <x v="26"/>
    <n v="149.97"/>
    <n v="75.09"/>
    <n v="74.88"/>
    <n v="49.929985997199438"/>
    <x v="2"/>
    <x v="2"/>
    <m/>
    <m/>
  </r>
  <r>
    <s v="BAKERY PRODUCTS"/>
    <x v="3"/>
    <x v="218"/>
    <x v="217"/>
    <x v="30"/>
    <x v="201"/>
    <x v="8"/>
    <n v="0"/>
    <n v="0"/>
    <n v="0"/>
    <n v="0"/>
    <x v="1"/>
    <x v="1"/>
    <n v="130.39130434782606"/>
    <n v="5"/>
  </r>
  <r>
    <s v="BAKERY PRODUCTS"/>
    <x v="3"/>
    <x v="219"/>
    <x v="218"/>
    <x v="30"/>
    <x v="202"/>
    <x v="8"/>
    <n v="0"/>
    <n v="0"/>
    <n v="0"/>
    <n v="0"/>
    <x v="2"/>
    <x v="2"/>
    <m/>
    <m/>
  </r>
  <r>
    <s v="BAKERY PRODUCTS"/>
    <x v="3"/>
    <x v="220"/>
    <x v="219"/>
    <x v="49"/>
    <x v="203"/>
    <x v="8"/>
    <n v="0"/>
    <n v="0"/>
    <n v="0"/>
    <n v="0"/>
    <x v="1"/>
    <x v="1"/>
    <n v="43.469565217391306"/>
    <n v="1"/>
  </r>
  <r>
    <s v="BAKERY PRODUCTS"/>
    <x v="3"/>
    <x v="221"/>
    <x v="220"/>
    <x v="0"/>
    <x v="204"/>
    <x v="8"/>
    <n v="0"/>
    <n v="0"/>
    <n v="0"/>
    <n v="0"/>
    <x v="0"/>
    <x v="0"/>
    <n v="48.660869565217389"/>
    <n v="4"/>
  </r>
  <r>
    <s v="BAKERY PRODUCTS"/>
    <x v="3"/>
    <x v="221"/>
    <x v="220"/>
    <x v="0"/>
    <x v="204"/>
    <x v="8"/>
    <n v="0"/>
    <n v="0"/>
    <n v="0"/>
    <n v="0"/>
    <x v="1"/>
    <x v="1"/>
    <n v="12.165217391304347"/>
    <n v="1"/>
  </r>
  <r>
    <s v="BAKERY PRODUCTS"/>
    <x v="3"/>
    <x v="222"/>
    <x v="221"/>
    <x v="69"/>
    <x v="201"/>
    <x v="8"/>
    <n v="0"/>
    <n v="0"/>
    <n v="0"/>
    <n v="0"/>
    <x v="2"/>
    <x v="2"/>
    <m/>
    <m/>
  </r>
  <r>
    <s v="BAKERY PRODUCTS"/>
    <x v="3"/>
    <x v="223"/>
    <x v="222"/>
    <x v="74"/>
    <x v="205"/>
    <x v="8"/>
    <n v="0"/>
    <n v="0"/>
    <n v="0"/>
    <n v="0"/>
    <x v="2"/>
    <x v="2"/>
    <m/>
    <m/>
  </r>
  <r>
    <s v="BAKERY PRODUCTS"/>
    <x v="3"/>
    <x v="224"/>
    <x v="223"/>
    <x v="69"/>
    <x v="206"/>
    <x v="8"/>
    <n v="0"/>
    <n v="0"/>
    <n v="0"/>
    <n v="0"/>
    <x v="2"/>
    <x v="2"/>
    <m/>
    <m/>
  </r>
  <r>
    <s v="BAKERY PRODUCTS"/>
    <x v="3"/>
    <x v="225"/>
    <x v="224"/>
    <x v="75"/>
    <x v="207"/>
    <x v="8"/>
    <n v="0"/>
    <n v="0"/>
    <n v="0"/>
    <n v="0"/>
    <x v="2"/>
    <x v="2"/>
    <m/>
    <m/>
  </r>
  <r>
    <s v="BAKERY PRODUCTS"/>
    <x v="4"/>
    <x v="226"/>
    <x v="225"/>
    <x v="40"/>
    <x v="208"/>
    <x v="27"/>
    <n v="1766.07"/>
    <n v="914.19"/>
    <n v="851.87999999999988"/>
    <n v="48.235913638757232"/>
    <x v="0"/>
    <x v="0"/>
    <n v="132.10434782608695"/>
    <n v="8"/>
  </r>
  <r>
    <s v="BAKERY PRODUCTS"/>
    <x v="4"/>
    <x v="226"/>
    <x v="225"/>
    <x v="40"/>
    <x v="208"/>
    <x v="27"/>
    <n v="1766.07"/>
    <n v="914.19"/>
    <n v="851.87999999999988"/>
    <n v="48.235913638757232"/>
    <x v="1"/>
    <x v="1"/>
    <n v="49.539130434782606"/>
    <n v="3"/>
  </r>
  <r>
    <s v="BAKERY PRODUCTS"/>
    <x v="4"/>
    <x v="227"/>
    <x v="226"/>
    <x v="27"/>
    <x v="209"/>
    <x v="8"/>
    <n v="0"/>
    <n v="0"/>
    <n v="0"/>
    <n v="0"/>
    <x v="2"/>
    <x v="2"/>
    <m/>
    <m/>
  </r>
  <r>
    <s v="BAKERY PRODUCTS"/>
    <x v="4"/>
    <x v="228"/>
    <x v="227"/>
    <x v="43"/>
    <x v="210"/>
    <x v="8"/>
    <n v="0"/>
    <n v="0"/>
    <n v="0"/>
    <n v="0"/>
    <x v="2"/>
    <x v="2"/>
    <m/>
    <m/>
  </r>
  <r>
    <s v="BAKERY PRODUCTS"/>
    <x v="4"/>
    <x v="229"/>
    <x v="228"/>
    <x v="32"/>
    <x v="211"/>
    <x v="8"/>
    <n v="0"/>
    <n v="0"/>
    <n v="0"/>
    <n v="0"/>
    <x v="2"/>
    <x v="2"/>
    <m/>
    <m/>
  </r>
  <r>
    <s v="BAKERY PRODUCTS"/>
    <x v="4"/>
    <x v="230"/>
    <x v="229"/>
    <x v="39"/>
    <x v="212"/>
    <x v="8"/>
    <n v="0"/>
    <n v="0"/>
    <n v="0"/>
    <n v="0"/>
    <x v="2"/>
    <x v="2"/>
    <m/>
    <m/>
  </r>
  <r>
    <s v="BAKERY PRODUCTS"/>
    <x v="5"/>
    <x v="231"/>
    <x v="230"/>
    <x v="49"/>
    <x v="213"/>
    <x v="8"/>
    <n v="0"/>
    <n v="0"/>
    <n v="0"/>
    <n v="0"/>
    <x v="2"/>
    <x v="2"/>
    <m/>
    <m/>
  </r>
  <r>
    <s v="BAKERY PRODUCTS"/>
    <x v="6"/>
    <x v="232"/>
    <x v="231"/>
    <x v="57"/>
    <x v="214"/>
    <x v="8"/>
    <n v="0"/>
    <n v="0"/>
    <n v="0"/>
    <n v="0"/>
    <x v="2"/>
    <x v="2"/>
    <m/>
    <m/>
  </r>
  <r>
    <s v="GOOSEBUMPS DISTR.(BREAD STOP)"/>
    <x v="6"/>
    <x v="233"/>
    <x v="232"/>
    <x v="73"/>
    <x v="215"/>
    <x v="8"/>
    <n v="0"/>
    <n v="0"/>
    <n v="0"/>
    <n v="0"/>
    <x v="2"/>
    <x v="2"/>
    <m/>
    <m/>
  </r>
  <r>
    <s v="BAKERY PRODUCTS"/>
    <x v="7"/>
    <x v="234"/>
    <x v="233"/>
    <x v="76"/>
    <x v="216"/>
    <x v="8"/>
    <n v="0"/>
    <n v="0"/>
    <n v="0"/>
    <n v="0"/>
    <x v="2"/>
    <x v="2"/>
    <m/>
    <m/>
  </r>
  <r>
    <s v="BAKERY PRODUCTS"/>
    <x v="8"/>
    <x v="235"/>
    <x v="234"/>
    <x v="77"/>
    <x v="217"/>
    <x v="8"/>
    <n v="0"/>
    <n v="0"/>
    <n v="0"/>
    <n v="0"/>
    <x v="2"/>
    <x v="2"/>
    <m/>
    <m/>
  </r>
  <r>
    <s v="BAKERY PRODUCTS"/>
    <x v="9"/>
    <x v="236"/>
    <x v="235"/>
    <x v="12"/>
    <x v="218"/>
    <x v="19"/>
    <n v="479.76"/>
    <n v="202.32"/>
    <n v="277.44"/>
    <n v="57.82891445722862"/>
    <x v="2"/>
    <x v="2"/>
    <m/>
    <m/>
  </r>
  <r>
    <s v="BAKERY PRODUCTS"/>
    <x v="9"/>
    <x v="237"/>
    <x v="236"/>
    <x v="23"/>
    <x v="219"/>
    <x v="6"/>
    <n v="95.94"/>
    <n v="48.66"/>
    <n v="47.28"/>
    <n v="49.280800500312701"/>
    <x v="2"/>
    <x v="2"/>
    <m/>
    <m/>
  </r>
  <r>
    <s v="BAKERY PRODUCTS"/>
    <x v="9"/>
    <x v="238"/>
    <x v="237"/>
    <x v="29"/>
    <x v="192"/>
    <x v="8"/>
    <n v="0"/>
    <n v="0"/>
    <n v="0"/>
    <n v="0"/>
    <x v="2"/>
    <x v="2"/>
    <m/>
    <m/>
  </r>
  <r>
    <s v="BAKERY PRODUCTS"/>
    <x v="10"/>
    <x v="239"/>
    <x v="238"/>
    <x v="75"/>
    <x v="220"/>
    <x v="8"/>
    <n v="0"/>
    <n v="0"/>
    <n v="0"/>
    <n v="0"/>
    <x v="0"/>
    <x v="0"/>
    <n v="104.34782608695652"/>
    <n v="1"/>
  </r>
  <r>
    <s v="BAKERY PRODUCTS"/>
    <x v="10"/>
    <x v="239"/>
    <x v="238"/>
    <x v="75"/>
    <x v="220"/>
    <x v="8"/>
    <n v="0"/>
    <n v="0"/>
    <n v="0"/>
    <n v="0"/>
    <x v="1"/>
    <x v="1"/>
    <n v="104.34782608695652"/>
    <n v="1"/>
  </r>
  <r>
    <s v="BAKERY PRODUCTS"/>
    <x v="10"/>
    <x v="240"/>
    <x v="239"/>
    <x v="24"/>
    <x v="106"/>
    <x v="8"/>
    <n v="0"/>
    <n v="0"/>
    <n v="0"/>
    <n v="0"/>
    <x v="0"/>
    <x v="0"/>
    <n v="17.373913043478261"/>
    <n v="2"/>
  </r>
  <r>
    <s v="BAKERY PRODUCTS"/>
    <x v="10"/>
    <x v="240"/>
    <x v="239"/>
    <x v="24"/>
    <x v="106"/>
    <x v="8"/>
    <n v="0"/>
    <n v="0"/>
    <n v="0"/>
    <n v="0"/>
    <x v="1"/>
    <x v="1"/>
    <n v="86.869565217391312"/>
    <n v="10"/>
  </r>
  <r>
    <s v="BAKERY PRODUCTS"/>
    <x v="10"/>
    <x v="241"/>
    <x v="240"/>
    <x v="51"/>
    <x v="221"/>
    <x v="8"/>
    <n v="0"/>
    <n v="0"/>
    <n v="0"/>
    <n v="0"/>
    <x v="0"/>
    <x v="0"/>
    <n v="86.956521739130437"/>
    <n v="1"/>
  </r>
  <r>
    <s v="BAKERY PRODUCTS"/>
    <x v="10"/>
    <x v="242"/>
    <x v="241"/>
    <x v="51"/>
    <x v="222"/>
    <x v="8"/>
    <n v="0"/>
    <n v="0"/>
    <n v="0"/>
    <n v="0"/>
    <x v="2"/>
    <x v="2"/>
    <m/>
    <m/>
  </r>
  <r>
    <s v="BAKERY PRODUCTS"/>
    <x v="10"/>
    <x v="243"/>
    <x v="242"/>
    <x v="23"/>
    <x v="223"/>
    <x v="8"/>
    <n v="0"/>
    <n v="0"/>
    <n v="0"/>
    <n v="0"/>
    <x v="2"/>
    <x v="2"/>
    <m/>
    <m/>
  </r>
  <r>
    <s v="BAKERY PRODUCTS"/>
    <x v="10"/>
    <x v="244"/>
    <x v="243"/>
    <x v="75"/>
    <x v="224"/>
    <x v="8"/>
    <n v="0"/>
    <n v="0"/>
    <n v="0"/>
    <n v="0"/>
    <x v="2"/>
    <x v="2"/>
    <m/>
    <m/>
  </r>
  <r>
    <s v="BAKERY PRODUCTS"/>
    <x v="10"/>
    <x v="245"/>
    <x v="244"/>
    <x v="78"/>
    <x v="225"/>
    <x v="8"/>
    <n v="0"/>
    <n v="0"/>
    <n v="0"/>
    <n v="0"/>
    <x v="2"/>
    <x v="2"/>
    <m/>
    <m/>
  </r>
  <r>
    <s v="BAKERY PRODUCTS"/>
    <x v="10"/>
    <x v="246"/>
    <x v="245"/>
    <x v="14"/>
    <x v="226"/>
    <x v="8"/>
    <n v="0"/>
    <n v="0"/>
    <n v="0"/>
    <n v="0"/>
    <x v="2"/>
    <x v="2"/>
    <m/>
    <m/>
  </r>
  <r>
    <s v="BAKERY PRODUCTS"/>
    <x v="10"/>
    <x v="247"/>
    <x v="246"/>
    <x v="51"/>
    <x v="227"/>
    <x v="8"/>
    <n v="0"/>
    <n v="0"/>
    <n v="0"/>
    <n v="0"/>
    <x v="2"/>
    <x v="2"/>
    <m/>
    <m/>
  </r>
  <r>
    <s v="BAKERY PRODUCTS"/>
    <x v="11"/>
    <x v="248"/>
    <x v="247"/>
    <x v="34"/>
    <x v="228"/>
    <x v="8"/>
    <n v="0"/>
    <n v="0"/>
    <n v="0"/>
    <n v="0"/>
    <x v="0"/>
    <x v="0"/>
    <n v="69.556521739130432"/>
    <n v="1"/>
  </r>
  <r>
    <s v="BAKERY PRODUCTS"/>
    <x v="11"/>
    <x v="249"/>
    <x v="248"/>
    <x v="75"/>
    <x v="229"/>
    <x v="8"/>
    <n v="0"/>
    <n v="0"/>
    <n v="0"/>
    <n v="0"/>
    <x v="2"/>
    <x v="2"/>
    <m/>
    <m/>
  </r>
  <r>
    <s v="BAKERY PRODUCTS"/>
    <x v="11"/>
    <x v="250"/>
    <x v="249"/>
    <x v="79"/>
    <x v="230"/>
    <x v="8"/>
    <n v="0"/>
    <n v="0"/>
    <n v="0"/>
    <n v="0"/>
    <x v="2"/>
    <x v="2"/>
    <m/>
    <m/>
  </r>
  <r>
    <s v="BAKERY PRODUCTS"/>
    <x v="11"/>
    <x v="251"/>
    <x v="250"/>
    <x v="80"/>
    <x v="231"/>
    <x v="8"/>
    <n v="0"/>
    <n v="0"/>
    <n v="0"/>
    <n v="0"/>
    <x v="2"/>
    <x v="2"/>
    <m/>
    <m/>
  </r>
  <r>
    <s v="BAKERY PRODUCTS"/>
    <x v="11"/>
    <x v="252"/>
    <x v="251"/>
    <x v="81"/>
    <x v="232"/>
    <x v="8"/>
    <n v="0"/>
    <n v="0"/>
    <n v="0"/>
    <n v="0"/>
    <x v="2"/>
    <x v="2"/>
    <m/>
    <m/>
  </r>
  <r>
    <s v="BAKERY PRODUCTS"/>
    <x v="11"/>
    <x v="253"/>
    <x v="252"/>
    <x v="51"/>
    <x v="233"/>
    <x v="8"/>
    <n v="0"/>
    <n v="0"/>
    <n v="0"/>
    <n v="0"/>
    <x v="2"/>
    <x v="2"/>
    <m/>
    <m/>
  </r>
  <r>
    <s v="BAKERY PRODUCTS"/>
    <x v="11"/>
    <x v="254"/>
    <x v="253"/>
    <x v="8"/>
    <x v="58"/>
    <x v="8"/>
    <n v="0"/>
    <n v="0"/>
    <n v="0"/>
    <n v="0"/>
    <x v="2"/>
    <x v="2"/>
    <m/>
    <m/>
  </r>
  <r>
    <s v="BAKERY PRODUCTS"/>
    <x v="11"/>
    <x v="255"/>
    <x v="254"/>
    <x v="61"/>
    <x v="234"/>
    <x v="8"/>
    <n v="0"/>
    <n v="0"/>
    <n v="0"/>
    <n v="0"/>
    <x v="2"/>
    <x v="2"/>
    <m/>
    <m/>
  </r>
  <r>
    <s v="BAKERY PRODUCTS"/>
    <x v="11"/>
    <x v="256"/>
    <x v="255"/>
    <x v="82"/>
    <x v="235"/>
    <x v="8"/>
    <n v="0"/>
    <n v="0"/>
    <n v="0"/>
    <n v="0"/>
    <x v="2"/>
    <x v="2"/>
    <m/>
    <m/>
  </r>
  <r>
    <s v="BAKERY PRODUCTS"/>
    <x v="11"/>
    <x v="257"/>
    <x v="256"/>
    <x v="83"/>
    <x v="236"/>
    <x v="8"/>
    <n v="0"/>
    <n v="0"/>
    <n v="0"/>
    <n v="0"/>
    <x v="2"/>
    <x v="2"/>
    <m/>
    <m/>
  </r>
  <r>
    <s v="BAKERY PRODUCTS"/>
    <x v="11"/>
    <x v="258"/>
    <x v="257"/>
    <x v="34"/>
    <x v="237"/>
    <x v="8"/>
    <n v="0"/>
    <n v="0"/>
    <n v="0"/>
    <n v="0"/>
    <x v="2"/>
    <x v="2"/>
    <m/>
    <m/>
  </r>
  <r>
    <s v="BAKERY PRODUCTS"/>
    <x v="11"/>
    <x v="259"/>
    <x v="258"/>
    <x v="81"/>
    <x v="238"/>
    <x v="8"/>
    <n v="0"/>
    <n v="0"/>
    <n v="0"/>
    <n v="0"/>
    <x v="2"/>
    <x v="2"/>
    <m/>
    <m/>
  </r>
  <r>
    <s v="BAKERY PRODUCTS"/>
    <x v="11"/>
    <x v="260"/>
    <x v="259"/>
    <x v="74"/>
    <x v="239"/>
    <x v="8"/>
    <n v="0"/>
    <n v="0"/>
    <n v="0"/>
    <n v="0"/>
    <x v="2"/>
    <x v="2"/>
    <m/>
    <m/>
  </r>
  <r>
    <s v="BAKERY PRODUCTS"/>
    <x v="11"/>
    <x v="261"/>
    <x v="260"/>
    <x v="82"/>
    <x v="240"/>
    <x v="8"/>
    <n v="0"/>
    <n v="0"/>
    <n v="0"/>
    <n v="0"/>
    <x v="2"/>
    <x v="2"/>
    <m/>
    <m/>
  </r>
  <r>
    <s v="BAKERY PRODUCTS"/>
    <x v="11"/>
    <x v="262"/>
    <x v="261"/>
    <x v="75"/>
    <x v="241"/>
    <x v="8"/>
    <n v="0"/>
    <n v="0"/>
    <n v="0"/>
    <n v="0"/>
    <x v="2"/>
    <x v="2"/>
    <m/>
    <m/>
  </r>
  <r>
    <s v="BAKERY PRODUCTS"/>
    <x v="11"/>
    <x v="263"/>
    <x v="262"/>
    <x v="84"/>
    <x v="242"/>
    <x v="8"/>
    <n v="0"/>
    <n v="0"/>
    <n v="0"/>
    <n v="0"/>
    <x v="2"/>
    <x v="2"/>
    <m/>
    <m/>
  </r>
  <r>
    <s v="BAKERY PRODUCTS"/>
    <x v="12"/>
    <x v="264"/>
    <x v="263"/>
    <x v="85"/>
    <x v="243"/>
    <x v="8"/>
    <n v="0"/>
    <n v="0"/>
    <n v="0"/>
    <n v="0"/>
    <x v="1"/>
    <x v="1"/>
    <n v="6217.391304347826"/>
    <n v="130"/>
  </r>
  <r>
    <s v="BAKERY PRODUCTS"/>
    <x v="12"/>
    <x v="265"/>
    <x v="264"/>
    <x v="86"/>
    <x v="243"/>
    <x v="8"/>
    <n v="0"/>
    <n v="0"/>
    <n v="0"/>
    <n v="0"/>
    <x v="1"/>
    <x v="1"/>
    <n v="1043.4782608695652"/>
    <n v="20"/>
  </r>
  <r>
    <s v="BAKERY PRODUCTS"/>
    <x v="12"/>
    <x v="266"/>
    <x v="265"/>
    <x v="30"/>
    <x v="116"/>
    <x v="8"/>
    <n v="0"/>
    <n v="0"/>
    <n v="0"/>
    <n v="0"/>
    <x v="2"/>
    <x v="2"/>
    <m/>
    <m/>
  </r>
  <r>
    <s v="BAKERY PRODUCTS"/>
    <x v="12"/>
    <x v="267"/>
    <x v="266"/>
    <x v="87"/>
    <x v="244"/>
    <x v="8"/>
    <n v="0"/>
    <n v="0"/>
    <n v="0"/>
    <n v="0"/>
    <x v="2"/>
    <x v="2"/>
    <m/>
    <m/>
  </r>
  <r>
    <s v="BAKERY PRODUCTS"/>
    <x v="12"/>
    <x v="268"/>
    <x v="267"/>
    <x v="74"/>
    <x v="245"/>
    <x v="8"/>
    <n v="0"/>
    <n v="0"/>
    <n v="0"/>
    <n v="0"/>
    <x v="2"/>
    <x v="2"/>
    <m/>
    <m/>
  </r>
  <r>
    <s v="BAKERY PRODUCTS"/>
    <x v="12"/>
    <x v="269"/>
    <x v="268"/>
    <x v="74"/>
    <x v="246"/>
    <x v="8"/>
    <n v="0"/>
    <n v="0"/>
    <n v="0"/>
    <n v="0"/>
    <x v="2"/>
    <x v="2"/>
    <m/>
    <m/>
  </r>
  <r>
    <s v="GOOSEBUMPS DISTR.(BREAD STOP)"/>
    <x v="13"/>
    <x v="270"/>
    <x v="269"/>
    <x v="88"/>
    <x v="247"/>
    <x v="8"/>
    <n v="0"/>
    <n v="0"/>
    <n v="0"/>
    <n v="0"/>
    <x v="2"/>
    <x v="2"/>
    <m/>
    <m/>
  </r>
  <r>
    <s v="ROSSOUW D"/>
    <x v="14"/>
    <x v="271"/>
    <x v="270"/>
    <x v="12"/>
    <x v="248"/>
    <x v="8"/>
    <n v="0"/>
    <n v="0"/>
    <n v="0"/>
    <n v="0"/>
    <x v="2"/>
    <x v="2"/>
    <m/>
    <m/>
  </r>
  <r>
    <s v="ROSSOUW D"/>
    <x v="14"/>
    <x v="272"/>
    <x v="271"/>
    <x v="30"/>
    <x v="249"/>
    <x v="8"/>
    <n v="0"/>
    <n v="0"/>
    <n v="0"/>
    <n v="0"/>
    <x v="2"/>
    <x v="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s v="BAKERY PRODUCTS"/>
    <x v="0"/>
    <x v="0"/>
    <x v="0"/>
    <n v="13.99"/>
    <n v="7.36"/>
    <n v="780"/>
    <n v="10912.2"/>
    <n v="5740.8"/>
    <n v="5171.4000000000005"/>
    <n v="47.390993566833458"/>
  </r>
  <r>
    <s v="BAKERY PRODUCTS"/>
    <x v="0"/>
    <x v="1"/>
    <x v="1"/>
    <n v="10.99"/>
    <n v="6.3"/>
    <n v="240"/>
    <n v="2637.6"/>
    <n v="1512"/>
    <n v="1125.5999999999999"/>
    <n v="42.675159235668787"/>
  </r>
  <r>
    <s v="BAKERY PRODUCTS"/>
    <x v="0"/>
    <x v="2"/>
    <x v="2"/>
    <n v="16.989999999999998"/>
    <n v="7.7"/>
    <n v="184"/>
    <n v="3126.16"/>
    <n v="1416.8"/>
    <n v="1709.36"/>
    <n v="54.679223072395523"/>
  </r>
  <r>
    <s v="GOOSEBUMPS DISTR.(BREAD STOP)"/>
    <x v="0"/>
    <x v="3"/>
    <x v="3"/>
    <n v="5"/>
    <n v="3.3388749999999998"/>
    <n v="144"/>
    <n v="720"/>
    <n v="480.798"/>
    <n v="239.202"/>
    <n v="33.222499999999997"/>
  </r>
  <r>
    <s v="GOOSEBUMPS DISTR.(BREAD STOP)"/>
    <x v="0"/>
    <x v="4"/>
    <x v="4"/>
    <n v="20.99"/>
    <n v="11.1"/>
    <n v="104.666666666667"/>
    <n v="2196.9533333333402"/>
    <n v="1161.8000000000036"/>
    <n v="1035.1533333333366"/>
    <n v="47.117675083373037"/>
  </r>
  <r>
    <s v="BAKERY PRODUCTS"/>
    <x v="0"/>
    <x v="5"/>
    <x v="5"/>
    <n v="12.99"/>
    <n v="6.81"/>
    <n v="86"/>
    <n v="1117.1400000000001"/>
    <n v="585.66"/>
    <n v="531.48000000000013"/>
    <n v="47.575057736720559"/>
  </r>
  <r>
    <s v="BAKERY PRODUCTS"/>
    <x v="0"/>
    <x v="6"/>
    <x v="6"/>
    <n v="6.99"/>
    <n v="3.15"/>
    <n v="70"/>
    <n v="489.3"/>
    <n v="220.5"/>
    <n v="268.8"/>
    <n v="54.935622317596568"/>
  </r>
  <r>
    <s v="GOOSEBUMPS DISTR.(BREAD STOP)"/>
    <x v="0"/>
    <x v="7"/>
    <x v="7"/>
    <n v="25.99"/>
    <n v="13.4"/>
    <n v="65"/>
    <n v="1689.35"/>
    <n v="871"/>
    <n v="818.34999999999991"/>
    <n v="48.441708349365136"/>
  </r>
  <r>
    <s v="BAKERY PRODUCTS"/>
    <x v="0"/>
    <x v="8"/>
    <x v="8"/>
    <n v="19.989999999999998"/>
    <n v="12.2"/>
    <n v="50"/>
    <n v="999.49999999999989"/>
    <n v="610"/>
    <n v="389.49999999999989"/>
    <n v="38.969484742371179"/>
  </r>
  <r>
    <s v="BAKERY PRODUCTS"/>
    <x v="0"/>
    <x v="9"/>
    <x v="9"/>
    <n v="9.5"/>
    <n v="4.1500000000000004"/>
    <n v="48"/>
    <n v="456"/>
    <n v="199.20000000000002"/>
    <n v="256.79999999999995"/>
    <n v="56.315789473684198"/>
  </r>
  <r>
    <s v="BAKERY PRODUCTS"/>
    <x v="0"/>
    <x v="10"/>
    <x v="10"/>
    <n v="19.989999999999998"/>
    <n v="12.24"/>
    <n v="40"/>
    <n v="799.59999999999991"/>
    <n v="489.6"/>
    <n v="309.99999999999989"/>
    <n v="38.769384692346165"/>
  </r>
  <r>
    <s v="BAKERY PRODUCTS"/>
    <x v="0"/>
    <x v="11"/>
    <x v="11"/>
    <n v="36.99"/>
    <n v="16.05"/>
    <n v="36"/>
    <n v="1331.64"/>
    <n v="577.80000000000007"/>
    <n v="753.84"/>
    <n v="56.609894566098937"/>
  </r>
  <r>
    <s v="BAKERY PRODUCTS"/>
    <x v="0"/>
    <x v="12"/>
    <x v="12"/>
    <n v="37.99"/>
    <n v="16.5"/>
    <n v="36"/>
    <n v="1367.64"/>
    <n v="594"/>
    <n v="773.6400000000001"/>
    <n v="56.567517767833642"/>
  </r>
  <r>
    <s v="BAKERY PRODUCTS"/>
    <x v="0"/>
    <x v="13"/>
    <x v="13"/>
    <n v="16.989999999999998"/>
    <n v="7.73"/>
    <n v="36"/>
    <n v="611.64"/>
    <n v="278.28000000000003"/>
    <n v="333.35999999999996"/>
    <n v="54.502648616833426"/>
  </r>
  <r>
    <s v="GOOSEBUMPS DISTR.(BREAD STOP)"/>
    <x v="0"/>
    <x v="14"/>
    <x v="14"/>
    <n v="21.99"/>
    <n v="12.14"/>
    <n v="34"/>
    <n v="747.66"/>
    <n v="412.76"/>
    <n v="334.9"/>
    <n v="44.793087767166895"/>
  </r>
  <r>
    <s v="BAKERY PRODUCTS"/>
    <x v="0"/>
    <x v="15"/>
    <x v="15"/>
    <n v="14.99"/>
    <n v="7.62"/>
    <n v="30"/>
    <n v="449.7"/>
    <n v="228.6"/>
    <n v="221.1"/>
    <n v="49.166110740493664"/>
  </r>
  <r>
    <s v="BAKERY PRODUCTS"/>
    <x v="0"/>
    <x v="16"/>
    <x v="16"/>
    <n v="6.99"/>
    <n v="2.85"/>
    <n v="28"/>
    <n v="195.72"/>
    <n v="79.8"/>
    <n v="115.92"/>
    <n v="59.227467811158796"/>
  </r>
  <r>
    <s v="BAKERY PRODUCTS"/>
    <x v="0"/>
    <x v="17"/>
    <x v="17"/>
    <n v="5.99"/>
    <n v="2.72"/>
    <n v="24"/>
    <n v="143.76"/>
    <n v="65.28"/>
    <n v="78.47999999999999"/>
    <n v="54.590984974958253"/>
  </r>
  <r>
    <s v="BAKERY PRODUCTS"/>
    <x v="0"/>
    <x v="18"/>
    <x v="18"/>
    <n v="34.99"/>
    <n v="15.91"/>
    <n v="8"/>
    <n v="279.92"/>
    <n v="127.28"/>
    <n v="152.64000000000001"/>
    <n v="54.529865675907409"/>
  </r>
  <r>
    <s v="BAKERY PRODUCTS"/>
    <x v="0"/>
    <x v="19"/>
    <x v="19"/>
    <n v="28.99"/>
    <n v="8.93"/>
    <n v="8"/>
    <n v="231.92"/>
    <n v="71.44"/>
    <n v="160.47999999999999"/>
    <n v="69.196274577440491"/>
  </r>
  <r>
    <s v="BAKERY PRODUCTS"/>
    <x v="0"/>
    <x v="20"/>
    <x v="20"/>
    <n v="24.99"/>
    <n v="9.68"/>
    <n v="6"/>
    <n v="149.94"/>
    <n v="58.08"/>
    <n v="91.86"/>
    <n v="61.264505802320933"/>
  </r>
  <r>
    <s v="BAKERY PRODUCTS"/>
    <x v="0"/>
    <x v="21"/>
    <x v="21"/>
    <n v="19.989999999999998"/>
    <n v="8.5"/>
    <n v="6"/>
    <n v="119.94"/>
    <n v="51"/>
    <n v="68.94"/>
    <n v="57.478739369684838"/>
  </r>
  <r>
    <s v="BAKERY PRODUCTS"/>
    <x v="0"/>
    <x v="22"/>
    <x v="22"/>
    <n v="15.99"/>
    <n v="6.74"/>
    <n v="6"/>
    <n v="95.94"/>
    <n v="40.44"/>
    <n v="55.5"/>
    <n v="57.848655409631021"/>
  </r>
  <r>
    <s v="BAKERY PRODUCTS"/>
    <x v="0"/>
    <x v="23"/>
    <x v="23"/>
    <n v="19.989999999999998"/>
    <n v="2.63"/>
    <n v="6"/>
    <n v="119.94"/>
    <n v="15.78"/>
    <n v="104.16"/>
    <n v="86.843421710855424"/>
  </r>
  <r>
    <s v="BAKERY PRODUCTS"/>
    <x v="0"/>
    <x v="24"/>
    <x v="24"/>
    <n v="20.99"/>
    <n v="11.1"/>
    <n v="0"/>
    <n v="0"/>
    <n v="0"/>
    <n v="0"/>
    <n v="0"/>
  </r>
  <r>
    <s v="BAKERY PRODUCTS"/>
    <x v="0"/>
    <x v="4"/>
    <x v="4"/>
    <n v="20.99"/>
    <n v="7.46"/>
    <n v="0"/>
    <n v="0"/>
    <n v="0"/>
    <n v="0"/>
    <n v="0"/>
  </r>
  <r>
    <s v="BAKERY PRODUCTS"/>
    <x v="0"/>
    <x v="25"/>
    <x v="25"/>
    <n v="3.3"/>
    <n v="1.85"/>
    <n v="0"/>
    <n v="0"/>
    <n v="0"/>
    <n v="0"/>
    <n v="0"/>
  </r>
  <r>
    <s v="BAKERY PRODUCTS"/>
    <x v="0"/>
    <x v="26"/>
    <x v="26"/>
    <n v="19.989999999999998"/>
    <n v="7.04"/>
    <n v="0"/>
    <n v="0"/>
    <n v="0"/>
    <n v="0"/>
    <n v="0"/>
  </r>
  <r>
    <s v="BAKERY PRODUCTS"/>
    <x v="0"/>
    <x v="27"/>
    <x v="27"/>
    <n v="26.99"/>
    <n v="10.66"/>
    <n v="0"/>
    <n v="0"/>
    <n v="0"/>
    <n v="0"/>
    <n v="0"/>
  </r>
  <r>
    <s v="BAKERY PRODUCTS"/>
    <x v="0"/>
    <x v="28"/>
    <x v="28"/>
    <n v="16.989999999999998"/>
    <n v="7.4"/>
    <n v="0"/>
    <n v="0"/>
    <n v="0"/>
    <n v="0"/>
    <n v="0"/>
  </r>
  <r>
    <s v="GOOSEBUMPS DISTR.(BREAD STOP)"/>
    <x v="0"/>
    <x v="29"/>
    <x v="29"/>
    <n v="3.8"/>
    <n v="1.8573999999999999"/>
    <n v="0"/>
    <n v="0"/>
    <n v="0"/>
    <n v="0"/>
    <n v="0"/>
  </r>
  <r>
    <s v="VECTOR LOG.(PTY)LTD GOOSEBUMPS"/>
    <x v="0"/>
    <x v="29"/>
    <x v="29"/>
    <n v="3.8"/>
    <n v="2.0770666666666702"/>
    <n v="0"/>
    <n v="0"/>
    <n v="0"/>
    <n v="0"/>
    <n v="0"/>
  </r>
  <r>
    <s v="BAKERY PRODUCTS"/>
    <x v="0"/>
    <x v="30"/>
    <x v="30"/>
    <n v="3.3"/>
    <n v="1.85"/>
    <n v="0"/>
    <n v="0"/>
    <n v="0"/>
    <n v="0"/>
    <n v="0"/>
  </r>
  <r>
    <s v="BAKERY PRODUCTS"/>
    <x v="0"/>
    <x v="31"/>
    <x v="31"/>
    <n v="14.99"/>
    <n v="6.62"/>
    <n v="0"/>
    <n v="0"/>
    <n v="0"/>
    <n v="0"/>
    <n v="0"/>
  </r>
  <r>
    <s v="GOOSEBUMPS DISTR.(BREAD STOP)"/>
    <x v="0"/>
    <x v="32"/>
    <x v="32"/>
    <n v="3.8"/>
    <n v="1.9688000000000001"/>
    <n v="0"/>
    <n v="0"/>
    <n v="0"/>
    <n v="0"/>
    <n v="0"/>
  </r>
  <r>
    <s v="VECTOR LOG.(PTY)LTD GOOSEBUMPS"/>
    <x v="0"/>
    <x v="32"/>
    <x v="32"/>
    <n v="3.8"/>
    <n v="2.0770666666666702"/>
    <n v="0"/>
    <n v="0"/>
    <n v="0"/>
    <n v="0"/>
    <n v="0"/>
  </r>
  <r>
    <s v="BAKERY PRODUCTS"/>
    <x v="0"/>
    <x v="33"/>
    <x v="33"/>
    <n v="10"/>
    <n v="7.36"/>
    <n v="0"/>
    <n v="0"/>
    <n v="0"/>
    <n v="0"/>
    <n v="0"/>
  </r>
  <r>
    <s v="BAKERY PRODUCTS"/>
    <x v="0"/>
    <x v="34"/>
    <x v="34"/>
    <n v="1.5"/>
    <n v="0.68"/>
    <n v="0"/>
    <n v="0"/>
    <n v="0"/>
    <n v="0"/>
    <n v="0"/>
  </r>
  <r>
    <s v="BAKERY PRODUCTS"/>
    <x v="0"/>
    <x v="35"/>
    <x v="35"/>
    <n v="26.99"/>
    <n v="10.66"/>
    <n v="0"/>
    <n v="0"/>
    <n v="0"/>
    <n v="0"/>
    <n v="0"/>
  </r>
  <r>
    <s v="BAKERY PRODUCTS"/>
    <x v="0"/>
    <x v="36"/>
    <x v="36"/>
    <n v="4.99"/>
    <n v="2.52"/>
    <n v="0"/>
    <n v="0"/>
    <n v="0"/>
    <n v="0"/>
    <n v="0"/>
  </r>
  <r>
    <s v="BAKERY PRODUCTS"/>
    <x v="0"/>
    <x v="37"/>
    <x v="37"/>
    <n v="9.99"/>
    <n v="3.23"/>
    <n v="0"/>
    <n v="0"/>
    <n v="0"/>
    <n v="0"/>
    <n v="0"/>
  </r>
  <r>
    <s v="BAKERY PRODUCTS"/>
    <x v="0"/>
    <x v="38"/>
    <x v="38"/>
    <n v="1"/>
    <n v="0.65"/>
    <n v="0"/>
    <n v="0"/>
    <n v="0"/>
    <n v="0"/>
    <n v="0"/>
  </r>
  <r>
    <s v="BAKERY PRODUCTS"/>
    <x v="0"/>
    <x v="39"/>
    <x v="39"/>
    <n v="29.99"/>
    <n v="12.66"/>
    <n v="0"/>
    <n v="0"/>
    <n v="0"/>
    <n v="0"/>
    <n v="0"/>
  </r>
  <r>
    <s v="GOOSEBUMPS DISTR.(BREAD STOP)"/>
    <x v="0"/>
    <x v="40"/>
    <x v="40"/>
    <n v="3.99"/>
    <n v="2.1095999999999999"/>
    <n v="0"/>
    <n v="0"/>
    <n v="0"/>
    <n v="0"/>
    <n v="0"/>
  </r>
  <r>
    <s v="GOOSEBUMPS DISTR.(BREAD STOP)"/>
    <x v="0"/>
    <x v="41"/>
    <x v="41"/>
    <n v="3.99"/>
    <n v="2.1385999999999998"/>
    <n v="0"/>
    <n v="0"/>
    <n v="0"/>
    <n v="0"/>
    <n v="0"/>
  </r>
  <r>
    <s v="GOOSEBUMPS DISTR.(BREAD STOP)"/>
    <x v="0"/>
    <x v="42"/>
    <x v="42"/>
    <n v="11.99"/>
    <n v="6.05"/>
    <n v="0"/>
    <n v="0"/>
    <n v="0"/>
    <n v="0"/>
    <n v="0"/>
  </r>
  <r>
    <s v="BAKERY PRODUCTS"/>
    <x v="0"/>
    <x v="42"/>
    <x v="42"/>
    <n v="11.99"/>
    <n v="6.05"/>
    <n v="0"/>
    <n v="0"/>
    <n v="0"/>
    <n v="0"/>
    <n v="0"/>
  </r>
  <r>
    <s v="BAKERY PRODUCTS"/>
    <x v="0"/>
    <x v="43"/>
    <x v="43"/>
    <n v="28.99"/>
    <n v="14.86"/>
    <n v="0"/>
    <n v="0"/>
    <n v="0"/>
    <n v="0"/>
    <n v="0"/>
  </r>
  <r>
    <s v="BAKERY PRODUCTS"/>
    <x v="0"/>
    <x v="44"/>
    <x v="44"/>
    <n v="29.99"/>
    <n v="10"/>
    <n v="0"/>
    <n v="0"/>
    <n v="0"/>
    <n v="0"/>
    <n v="0"/>
  </r>
  <r>
    <s v="BAKERY PRODUCTS"/>
    <x v="0"/>
    <x v="45"/>
    <x v="45"/>
    <n v="79.989999999999995"/>
    <n v="32.200000000000003"/>
    <n v="0"/>
    <n v="0"/>
    <n v="0"/>
    <n v="0"/>
    <n v="0"/>
  </r>
  <r>
    <s v="BAKERY PRODUCTS"/>
    <x v="0"/>
    <x v="46"/>
    <x v="46"/>
    <n v="13.99"/>
    <n v="7.37"/>
    <n v="0"/>
    <n v="0"/>
    <n v="0"/>
    <n v="0"/>
    <n v="0"/>
  </r>
  <r>
    <s v="BAKERY PRODUCTS"/>
    <x v="0"/>
    <x v="47"/>
    <x v="47"/>
    <n v="10.99"/>
    <n v="6.3"/>
    <n v="0"/>
    <n v="0"/>
    <n v="0"/>
    <n v="0"/>
    <n v="0"/>
  </r>
  <r>
    <s v="BAKERY PRODUCTS"/>
    <x v="0"/>
    <x v="48"/>
    <x v="48"/>
    <n v="6.99"/>
    <n v="3.8"/>
    <n v="0"/>
    <n v="0"/>
    <n v="0"/>
    <n v="0"/>
    <n v="0"/>
  </r>
  <r>
    <s v="BAKERY PRODUCTS"/>
    <x v="0"/>
    <x v="49"/>
    <x v="49"/>
    <n v="29.99"/>
    <n v="16.03"/>
    <n v="0"/>
    <n v="0"/>
    <n v="0"/>
    <n v="0"/>
    <n v="0"/>
  </r>
  <r>
    <s v="BAKERY PRODUCTS"/>
    <x v="0"/>
    <x v="50"/>
    <x v="50"/>
    <n v="19.989999999999998"/>
    <n v="7.43"/>
    <n v="0"/>
    <n v="0"/>
    <n v="0"/>
    <n v="0"/>
    <n v="0"/>
  </r>
  <r>
    <s v="BAKERY PRODUCTS"/>
    <x v="0"/>
    <x v="51"/>
    <x v="51"/>
    <n v="9.99"/>
    <n v="5.14"/>
    <n v="0"/>
    <n v="0"/>
    <n v="0"/>
    <n v="0"/>
    <n v="0"/>
  </r>
  <r>
    <s v="BAKERY PRODUCTS"/>
    <x v="0"/>
    <x v="52"/>
    <x v="52"/>
    <n v="4.99"/>
    <n v="2.61"/>
    <n v="0"/>
    <n v="0"/>
    <n v="0"/>
    <n v="0"/>
    <n v="0"/>
  </r>
  <r>
    <s v="BAKERY PRODUCTS"/>
    <x v="0"/>
    <x v="53"/>
    <x v="53"/>
    <n v="26.99"/>
    <n v="14.15"/>
    <n v="0"/>
    <n v="0"/>
    <n v="0"/>
    <n v="0"/>
    <n v="0"/>
  </r>
  <r>
    <s v="BAKERY PRODUCTS"/>
    <x v="0"/>
    <x v="54"/>
    <x v="54"/>
    <n v="24.99"/>
    <n v="8.1"/>
    <n v="0"/>
    <n v="0"/>
    <n v="0"/>
    <n v="0"/>
    <n v="0"/>
  </r>
  <r>
    <s v="BAKERY PRODUCTS"/>
    <x v="0"/>
    <x v="55"/>
    <x v="55"/>
    <n v="10"/>
    <n v="6.19"/>
    <n v="0"/>
    <n v="0"/>
    <n v="0"/>
    <n v="0"/>
    <n v="0"/>
  </r>
  <r>
    <s v="BAKERY PRODUCTS"/>
    <x v="0"/>
    <x v="56"/>
    <x v="56"/>
    <n v="8.99"/>
    <n v="5"/>
    <n v="0"/>
    <n v="0"/>
    <n v="0"/>
    <n v="0"/>
    <n v="0"/>
  </r>
  <r>
    <s v="BAKERY PRODUCTS"/>
    <x v="0"/>
    <x v="57"/>
    <x v="57"/>
    <n v="1.5"/>
    <n v="0.59"/>
    <n v="0"/>
    <n v="0"/>
    <n v="0"/>
    <n v="0"/>
    <n v="0"/>
  </r>
  <r>
    <s v="BAKERY PRODUCTS"/>
    <x v="0"/>
    <x v="58"/>
    <x v="58"/>
    <n v="5.99"/>
    <n v="2.5299999999999998"/>
    <n v="0"/>
    <n v="0"/>
    <n v="0"/>
    <n v="0"/>
    <n v="0"/>
  </r>
  <r>
    <s v="BAKERY PRODUCTS"/>
    <x v="0"/>
    <x v="59"/>
    <x v="59"/>
    <n v="39.99"/>
    <n v="16.100000000000001"/>
    <n v="0"/>
    <n v="0"/>
    <n v="0"/>
    <n v="0"/>
    <n v="0"/>
  </r>
  <r>
    <s v="GOOSEBUMPS DISTR.(BREAD STOP)"/>
    <x v="0"/>
    <x v="60"/>
    <x v="60"/>
    <n v="13.99"/>
    <n v="8.3665000000000003"/>
    <n v="0"/>
    <n v="0"/>
    <n v="0"/>
    <n v="0"/>
    <n v="0"/>
  </r>
  <r>
    <s v="BAKERY PRODUCTS"/>
    <x v="0"/>
    <x v="61"/>
    <x v="61"/>
    <n v="3.2"/>
    <n v="1.62"/>
    <n v="0"/>
    <n v="0"/>
    <n v="0"/>
    <n v="0"/>
    <n v="0"/>
  </r>
  <r>
    <s v="BAKERY PRODUCTS"/>
    <x v="0"/>
    <x v="62"/>
    <x v="62"/>
    <n v="26.99"/>
    <n v="14.15"/>
    <n v="0"/>
    <n v="0"/>
    <n v="0"/>
    <n v="0"/>
    <n v="0"/>
  </r>
  <r>
    <s v="BAKERY PRODUCTS"/>
    <x v="0"/>
    <x v="63"/>
    <x v="63"/>
    <n v="20.99"/>
    <n v="12.88"/>
    <n v="0"/>
    <n v="0"/>
    <n v="0"/>
    <n v="0"/>
    <n v="0"/>
  </r>
  <r>
    <s v="VECTOR LOG.(PTY)LTD GOOSEBUMPS"/>
    <x v="0"/>
    <x v="64"/>
    <x v="64"/>
    <n v="33.99"/>
    <n v="17.418749999999999"/>
    <n v="0"/>
    <n v="0"/>
    <n v="0"/>
    <n v="0"/>
    <n v="0"/>
  </r>
  <r>
    <s v="BAKERY PRODUCTS"/>
    <x v="0"/>
    <x v="65"/>
    <x v="65"/>
    <n v="4"/>
    <n v="2.2599999999999998"/>
    <n v="0"/>
    <n v="0"/>
    <n v="0"/>
    <n v="0"/>
    <n v="0"/>
  </r>
  <r>
    <s v="BAKERY PRODUCTS"/>
    <x v="0"/>
    <x v="66"/>
    <x v="66"/>
    <n v="30.99"/>
    <n v="12.4"/>
    <n v="0"/>
    <n v="0"/>
    <n v="0"/>
    <n v="0"/>
    <n v="0"/>
  </r>
  <r>
    <s v="BAKERY PRODUCTS"/>
    <x v="0"/>
    <x v="67"/>
    <x v="67"/>
    <n v="10"/>
    <n v="6.28"/>
    <n v="0"/>
    <n v="0"/>
    <n v="0"/>
    <n v="0"/>
    <n v="0"/>
  </r>
  <r>
    <s v="BAKERY PRODUCTS"/>
    <x v="0"/>
    <x v="68"/>
    <x v="68"/>
    <n v="19.989999999999998"/>
    <n v="7.94"/>
    <n v="0"/>
    <n v="0"/>
    <n v="0"/>
    <n v="0"/>
    <n v="0"/>
  </r>
  <r>
    <s v="BAKERY PRODUCTS"/>
    <x v="0"/>
    <x v="69"/>
    <x v="69"/>
    <n v="5.99"/>
    <n v="3.12"/>
    <n v="0"/>
    <n v="0"/>
    <n v="0"/>
    <n v="0"/>
    <n v="0"/>
  </r>
  <r>
    <s v="GOOSEBUMPS DISTR.(BREAD STOP)"/>
    <x v="0"/>
    <x v="70"/>
    <x v="70"/>
    <n v="3.99"/>
    <n v="2.120625"/>
    <n v="0"/>
    <n v="0"/>
    <n v="0"/>
    <n v="0"/>
    <n v="0"/>
  </r>
  <r>
    <s v="BAKERY PRODUCTS"/>
    <x v="0"/>
    <x v="71"/>
    <x v="71"/>
    <n v="23.99"/>
    <n v="11.87"/>
    <n v="0"/>
    <n v="0"/>
    <n v="0"/>
    <n v="0"/>
    <n v="0"/>
  </r>
  <r>
    <s v="BAKERY PRODUCTS"/>
    <x v="0"/>
    <x v="72"/>
    <x v="72"/>
    <n v="2"/>
    <n v="0.68"/>
    <n v="0"/>
    <n v="0"/>
    <n v="0"/>
    <n v="0"/>
    <n v="0"/>
  </r>
  <r>
    <s v="BAKERY PRODUCTS"/>
    <x v="1"/>
    <x v="73"/>
    <x v="73"/>
    <n v="31.99"/>
    <n v="15.17"/>
    <n v="213"/>
    <n v="6813.87"/>
    <n v="3231.21"/>
    <n v="3582.66"/>
    <n v="52.578930915911229"/>
  </r>
  <r>
    <s v="BAKERY PRODUCTS"/>
    <x v="1"/>
    <x v="74"/>
    <x v="74"/>
    <n v="11.99"/>
    <n v="6.02"/>
    <n v="32"/>
    <n v="383.68"/>
    <n v="192.64"/>
    <n v="191.04000000000002"/>
    <n v="49.791492910758976"/>
  </r>
  <r>
    <s v="BAKERY PRODUCTS"/>
    <x v="1"/>
    <x v="75"/>
    <x v="75"/>
    <n v="10"/>
    <n v="5.09"/>
    <n v="24"/>
    <n v="240"/>
    <n v="122.16"/>
    <n v="117.84"/>
    <n v="49.1"/>
  </r>
  <r>
    <s v="BAKERY PRODUCTS"/>
    <x v="1"/>
    <x v="76"/>
    <x v="76"/>
    <n v="15.99"/>
    <n v="8.2200000000000006"/>
    <n v="16"/>
    <n v="255.84"/>
    <n v="131.52000000000001"/>
    <n v="124.32"/>
    <n v="48.592870544090054"/>
  </r>
  <r>
    <s v="BAKERY PRODUCTS"/>
    <x v="1"/>
    <x v="77"/>
    <x v="77"/>
    <n v="19.989999999999998"/>
    <n v="10.85"/>
    <n v="16"/>
    <n v="319.83999999999997"/>
    <n v="173.6"/>
    <n v="146.23999999999998"/>
    <n v="45.722861430715355"/>
  </r>
  <r>
    <s v="BAKERY PRODUCTS"/>
    <x v="1"/>
    <x v="78"/>
    <x v="78"/>
    <n v="5.99"/>
    <n v="4.32"/>
    <n v="12"/>
    <n v="71.88"/>
    <n v="51.84"/>
    <n v="20.039999999999992"/>
    <n v="27.879799666110173"/>
  </r>
  <r>
    <s v="BAKERY PRODUCTS"/>
    <x v="1"/>
    <x v="79"/>
    <x v="79"/>
    <n v="10"/>
    <n v="3.43"/>
    <n v="12"/>
    <n v="120"/>
    <n v="41.160000000000004"/>
    <n v="78.84"/>
    <n v="65.7"/>
  </r>
  <r>
    <s v="BAKERY PRODUCTS"/>
    <x v="1"/>
    <x v="80"/>
    <x v="80"/>
    <n v="11.99"/>
    <n v="5.12"/>
    <n v="10"/>
    <n v="119.9"/>
    <n v="51.2"/>
    <n v="68.7"/>
    <n v="57.2977481234362"/>
  </r>
  <r>
    <s v="BAKERY PRODUCTS"/>
    <x v="1"/>
    <x v="81"/>
    <x v="81"/>
    <n v="10"/>
    <n v="2.67"/>
    <n v="10"/>
    <n v="100"/>
    <n v="26.7"/>
    <n v="73.3"/>
    <n v="73.3"/>
  </r>
  <r>
    <s v="BAKERY PRODUCTS"/>
    <x v="1"/>
    <x v="82"/>
    <x v="82"/>
    <n v="18.989999999999998"/>
    <n v="9.1300000000000008"/>
    <n v="8"/>
    <n v="151.91999999999999"/>
    <n v="73.040000000000006"/>
    <n v="78.879999999999981"/>
    <n v="51.922064244339118"/>
  </r>
  <r>
    <s v="BAKERY PRODUCTS"/>
    <x v="1"/>
    <x v="83"/>
    <x v="83"/>
    <n v="17.989999999999998"/>
    <n v="9.1199999999999992"/>
    <n v="8"/>
    <n v="143.91999999999999"/>
    <n v="72.959999999999994"/>
    <n v="70.959999999999994"/>
    <n v="49.305169538632576"/>
  </r>
  <r>
    <s v="BAKERY PRODUCTS"/>
    <x v="1"/>
    <x v="84"/>
    <x v="84"/>
    <n v="39.99"/>
    <n v="11.79"/>
    <n v="8"/>
    <n v="319.92"/>
    <n v="94.32"/>
    <n v="225.60000000000002"/>
    <n v="70.517629407351848"/>
  </r>
  <r>
    <s v="BAKERY PRODUCTS"/>
    <x v="1"/>
    <x v="85"/>
    <x v="85"/>
    <n v="12.99"/>
    <n v="6.77"/>
    <n v="6"/>
    <n v="77.94"/>
    <n v="40.619999999999997"/>
    <n v="37.32"/>
    <n v="47.882986913010015"/>
  </r>
  <r>
    <s v="BAKERY PRODUCTS"/>
    <x v="1"/>
    <x v="86"/>
    <x v="86"/>
    <n v="11.99"/>
    <n v="5.0999999999999996"/>
    <n v="6"/>
    <n v="71.94"/>
    <n v="30.599999999999998"/>
    <n v="41.34"/>
    <n v="57.46455379482903"/>
  </r>
  <r>
    <s v="GOOSEBUMPS DISTR.(BREAD STOP)"/>
    <x v="1"/>
    <x v="87"/>
    <x v="87"/>
    <n v="29.99"/>
    <n v="3.1788888888888902"/>
    <n v="6"/>
    <n v="179.94"/>
    <n v="19.073333333333341"/>
    <n v="160.86666666666665"/>
    <n v="89.400170427179418"/>
  </r>
  <r>
    <s v="BAKERY PRODUCTS"/>
    <x v="1"/>
    <x v="88"/>
    <x v="88"/>
    <n v="17.989999999999998"/>
    <n v="9.14"/>
    <n v="6"/>
    <n v="107.94"/>
    <n v="54.84"/>
    <n v="53.099999999999994"/>
    <n v="49.193996664813781"/>
  </r>
  <r>
    <s v="BAKERY PRODUCTS"/>
    <x v="1"/>
    <x v="89"/>
    <x v="89"/>
    <n v="15.99"/>
    <n v="8.3000000000000007"/>
    <n v="6"/>
    <n v="95.94"/>
    <n v="49.800000000000004"/>
    <n v="46.139999999999993"/>
    <n v="48.092557848655403"/>
  </r>
  <r>
    <s v="BAKERY PRODUCTS"/>
    <x v="1"/>
    <x v="90"/>
    <x v="90"/>
    <n v="18.989999999999998"/>
    <n v="9.6999999999999993"/>
    <n v="0"/>
    <n v="0"/>
    <n v="0"/>
    <n v="0"/>
    <n v="0"/>
  </r>
  <r>
    <s v="BAKERY PRODUCTS"/>
    <x v="1"/>
    <x v="91"/>
    <x v="91"/>
    <n v="18.989999999999998"/>
    <n v="11"/>
    <n v="0"/>
    <n v="0"/>
    <n v="0"/>
    <n v="0"/>
    <n v="0"/>
  </r>
  <r>
    <s v="GOOSEBUMPS DISTR.(BREAD STOP)"/>
    <x v="1"/>
    <x v="80"/>
    <x v="80"/>
    <n v="11.99"/>
    <n v="4.84"/>
    <n v="0"/>
    <n v="0"/>
    <n v="0"/>
    <n v="0"/>
    <n v="0"/>
  </r>
  <r>
    <s v="BAKERY PRODUCTS"/>
    <x v="1"/>
    <x v="92"/>
    <x v="92"/>
    <n v="8.99"/>
    <n v="4.5599999999999996"/>
    <n v="0"/>
    <n v="0"/>
    <n v="0"/>
    <n v="0"/>
    <n v="0"/>
  </r>
  <r>
    <s v="BAKERY PRODUCTS"/>
    <x v="1"/>
    <x v="93"/>
    <x v="93"/>
    <n v="27.99"/>
    <n v="15.7"/>
    <n v="0"/>
    <n v="0"/>
    <n v="0"/>
    <n v="0"/>
    <n v="0"/>
  </r>
  <r>
    <s v="ROSSOUW D"/>
    <x v="1"/>
    <x v="94"/>
    <x v="94"/>
    <n v="9.99"/>
    <n v="5"/>
    <n v="0"/>
    <n v="0"/>
    <n v="0"/>
    <n v="0"/>
    <n v="0"/>
  </r>
  <r>
    <s v="ROSSOUW D"/>
    <x v="1"/>
    <x v="95"/>
    <x v="95"/>
    <n v="17.989999999999998"/>
    <n v="9.4"/>
    <n v="0"/>
    <n v="0"/>
    <n v="0"/>
    <n v="0"/>
    <n v="0"/>
  </r>
  <r>
    <s v="ROSSOUW D"/>
    <x v="1"/>
    <x v="96"/>
    <x v="96"/>
    <n v="50"/>
    <n v="30"/>
    <n v="0"/>
    <n v="0"/>
    <n v="0"/>
    <n v="0"/>
    <n v="0"/>
  </r>
  <r>
    <s v="BAKERY PRODUCTS"/>
    <x v="1"/>
    <x v="97"/>
    <x v="97"/>
    <n v="14.99"/>
    <n v="5.5"/>
    <n v="0"/>
    <n v="0"/>
    <n v="0"/>
    <n v="0"/>
    <n v="0"/>
  </r>
  <r>
    <s v="BAKERY PRODUCTS"/>
    <x v="1"/>
    <x v="98"/>
    <x v="98"/>
    <n v="19.989999999999998"/>
    <n v="10.23"/>
    <n v="0"/>
    <n v="0"/>
    <n v="0"/>
    <n v="0"/>
    <n v="0"/>
  </r>
  <r>
    <s v="BAKERY PRODUCTS"/>
    <x v="1"/>
    <x v="99"/>
    <x v="99"/>
    <n v="10"/>
    <n v="4.5"/>
    <n v="0"/>
    <n v="0"/>
    <n v="0"/>
    <n v="0"/>
    <n v="0"/>
  </r>
  <r>
    <s v="BAKERY PRODUCTS"/>
    <x v="1"/>
    <x v="100"/>
    <x v="100"/>
    <n v="11.99"/>
    <n v="5.62"/>
    <n v="0"/>
    <n v="0"/>
    <n v="0"/>
    <n v="0"/>
    <n v="0"/>
  </r>
  <r>
    <s v="ROSSOUW D"/>
    <x v="1"/>
    <x v="101"/>
    <x v="101"/>
    <n v="5"/>
    <n v="1.38"/>
    <n v="0"/>
    <n v="0"/>
    <n v="0"/>
    <n v="0"/>
    <n v="0"/>
  </r>
  <r>
    <s v="BAKERY PRODUCTS"/>
    <x v="1"/>
    <x v="102"/>
    <x v="102"/>
    <n v="10"/>
    <n v="3.28"/>
    <n v="0"/>
    <n v="0"/>
    <n v="0"/>
    <n v="0"/>
    <n v="0"/>
  </r>
  <r>
    <s v="BAKERY PRODUCTS"/>
    <x v="1"/>
    <x v="103"/>
    <x v="103"/>
    <n v="24.99"/>
    <n v="13"/>
    <n v="0"/>
    <n v="0"/>
    <n v="0"/>
    <n v="0"/>
    <n v="0"/>
  </r>
  <r>
    <s v="BAKERY PRODUCTS"/>
    <x v="1"/>
    <x v="104"/>
    <x v="104"/>
    <n v="400"/>
    <n v="204.01"/>
    <n v="0"/>
    <n v="0"/>
    <n v="0"/>
    <n v="0"/>
    <n v="0"/>
  </r>
  <r>
    <s v="BAKERY PRODUCTS"/>
    <x v="1"/>
    <x v="105"/>
    <x v="105"/>
    <n v="5.99"/>
    <n v="2.95"/>
    <n v="0"/>
    <n v="0"/>
    <n v="0"/>
    <n v="0"/>
    <n v="0"/>
  </r>
  <r>
    <s v="BAKERY PRODUCTS"/>
    <x v="1"/>
    <x v="106"/>
    <x v="106"/>
    <n v="10"/>
    <n v="3.73"/>
    <n v="0"/>
    <n v="0"/>
    <n v="0"/>
    <n v="0"/>
    <n v="0"/>
  </r>
  <r>
    <s v="BAKERY PRODUCTS"/>
    <x v="1"/>
    <x v="107"/>
    <x v="107"/>
    <n v="29.99"/>
    <n v="15.38"/>
    <n v="0"/>
    <n v="0"/>
    <n v="0"/>
    <n v="0"/>
    <n v="0"/>
  </r>
  <r>
    <s v="ROSSOUW D"/>
    <x v="1"/>
    <x v="108"/>
    <x v="108"/>
    <n v="52"/>
    <n v="28.2"/>
    <n v="0"/>
    <n v="0"/>
    <n v="0"/>
    <n v="0"/>
    <n v="0"/>
  </r>
  <r>
    <s v="BAKERY PRODUCTS"/>
    <x v="1"/>
    <x v="109"/>
    <x v="109"/>
    <n v="130"/>
    <n v="68.680000000000007"/>
    <n v="0"/>
    <n v="0"/>
    <n v="0"/>
    <n v="0"/>
    <n v="0"/>
  </r>
  <r>
    <s v="BAKERY PRODUCTS"/>
    <x v="1"/>
    <x v="110"/>
    <x v="110"/>
    <n v="8.99"/>
    <n v="4.53"/>
    <n v="0"/>
    <n v="0"/>
    <n v="0"/>
    <n v="0"/>
    <n v="0"/>
  </r>
  <r>
    <s v="BAKERY PRODUCTS"/>
    <x v="1"/>
    <x v="111"/>
    <x v="111"/>
    <n v="9.99"/>
    <n v="4.99"/>
    <n v="0"/>
    <n v="0"/>
    <n v="0"/>
    <n v="0"/>
    <n v="0"/>
  </r>
  <r>
    <s v="BAKERY PRODUCTS"/>
    <x v="1"/>
    <x v="112"/>
    <x v="112"/>
    <n v="15.99"/>
    <n v="5.13"/>
    <n v="0"/>
    <n v="0"/>
    <n v="0"/>
    <n v="0"/>
    <n v="0"/>
  </r>
  <r>
    <s v="BAKERY PRODUCTS"/>
    <x v="1"/>
    <x v="113"/>
    <x v="113"/>
    <n v="11.99"/>
    <n v="6.35"/>
    <n v="0"/>
    <n v="0"/>
    <n v="0"/>
    <n v="0"/>
    <n v="0"/>
  </r>
  <r>
    <s v="BAKERY PRODUCTS"/>
    <x v="1"/>
    <x v="114"/>
    <x v="114"/>
    <n v="15.99"/>
    <n v="7.86"/>
    <n v="0"/>
    <n v="0"/>
    <n v="0"/>
    <n v="0"/>
    <n v="0"/>
  </r>
  <r>
    <s v="BAKERY PRODUCTS"/>
    <x v="1"/>
    <x v="115"/>
    <x v="115"/>
    <n v="21.99"/>
    <n v="9.9600000000000009"/>
    <n v="0"/>
    <n v="0"/>
    <n v="0"/>
    <n v="0"/>
    <n v="0"/>
  </r>
  <r>
    <s v="BAKERY PRODUCTS"/>
    <x v="1"/>
    <x v="116"/>
    <x v="116"/>
    <n v="8.99"/>
    <n v="4.99"/>
    <n v="0"/>
    <n v="0"/>
    <n v="0"/>
    <n v="0"/>
    <n v="0"/>
  </r>
  <r>
    <s v="BAKERY PRODUCTS"/>
    <x v="1"/>
    <x v="117"/>
    <x v="117"/>
    <n v="5.99"/>
    <n v="3.1"/>
    <n v="0"/>
    <n v="0"/>
    <n v="0"/>
    <n v="0"/>
    <n v="0"/>
  </r>
  <r>
    <s v="BAKERY PRODUCTS"/>
    <x v="1"/>
    <x v="118"/>
    <x v="118"/>
    <n v="17.989999999999998"/>
    <n v="10.039999999999999"/>
    <n v="0"/>
    <n v="0"/>
    <n v="0"/>
    <n v="0"/>
    <n v="0"/>
  </r>
  <r>
    <s v="BAKERY PRODUCTS"/>
    <x v="1"/>
    <x v="119"/>
    <x v="119"/>
    <n v="9.99"/>
    <n v="3.26"/>
    <n v="0"/>
    <n v="0"/>
    <n v="0"/>
    <n v="0"/>
    <n v="0"/>
  </r>
  <r>
    <s v="BAKERY PRODUCTS"/>
    <x v="1"/>
    <x v="120"/>
    <x v="120"/>
    <n v="26.97"/>
    <n v="13.68"/>
    <n v="0"/>
    <n v="0"/>
    <n v="0"/>
    <n v="0"/>
    <n v="0"/>
  </r>
  <r>
    <s v="BAKERY PRODUCTS"/>
    <x v="1"/>
    <x v="121"/>
    <x v="121"/>
    <n v="3.5"/>
    <n v="2.12"/>
    <n v="0"/>
    <n v="0"/>
    <n v="0"/>
    <n v="0"/>
    <n v="0"/>
  </r>
  <r>
    <s v="BAKERY PRODUCTS"/>
    <x v="1"/>
    <x v="122"/>
    <x v="122"/>
    <n v="21.99"/>
    <n v="12.33"/>
    <n v="0"/>
    <n v="0"/>
    <n v="0"/>
    <n v="0"/>
    <n v="0"/>
  </r>
  <r>
    <s v="BAKERY PRODUCTS"/>
    <x v="1"/>
    <x v="123"/>
    <x v="123"/>
    <n v="49.99"/>
    <n v="26.72"/>
    <n v="0"/>
    <n v="0"/>
    <n v="0"/>
    <n v="0"/>
    <n v="0"/>
  </r>
  <r>
    <s v="BAKERY PRODUCTS"/>
    <x v="1"/>
    <x v="124"/>
    <x v="124"/>
    <n v="12.99"/>
    <n v="6.69"/>
    <n v="0"/>
    <n v="0"/>
    <n v="0"/>
    <n v="0"/>
    <n v="0"/>
  </r>
  <r>
    <s v="BAKERY PRODUCTS"/>
    <x v="1"/>
    <x v="125"/>
    <x v="125"/>
    <n v="10"/>
    <n v="3.4432999999999998"/>
    <n v="0"/>
    <n v="0"/>
    <n v="0"/>
    <n v="0"/>
    <n v="0"/>
  </r>
  <r>
    <s v="BAKERY PRODUCTS"/>
    <x v="1"/>
    <x v="126"/>
    <x v="126"/>
    <n v="3.99"/>
    <n v="1.3"/>
    <n v="0"/>
    <n v="0"/>
    <n v="0"/>
    <n v="0"/>
    <n v="0"/>
  </r>
  <r>
    <s v="BAKERY PRODUCTS"/>
    <x v="1"/>
    <x v="127"/>
    <x v="127"/>
    <n v="13.99"/>
    <n v="5.44"/>
    <n v="0"/>
    <n v="0"/>
    <n v="0"/>
    <n v="0"/>
    <n v="0"/>
  </r>
  <r>
    <s v="ROSSOUW D"/>
    <x v="1"/>
    <x v="128"/>
    <x v="128"/>
    <n v="16.989999999999998"/>
    <n v="7.99"/>
    <n v="0"/>
    <n v="0"/>
    <n v="0"/>
    <n v="0"/>
    <n v="0"/>
  </r>
  <r>
    <s v="BAKERY PRODUCTS"/>
    <x v="1"/>
    <x v="129"/>
    <x v="129"/>
    <n v="4.99"/>
    <n v="1.29"/>
    <n v="0"/>
    <n v="0"/>
    <n v="0"/>
    <n v="0"/>
    <n v="0"/>
  </r>
  <r>
    <s v="BAKERY PRODUCTS"/>
    <x v="1"/>
    <x v="130"/>
    <x v="130"/>
    <n v="5.99"/>
    <n v="3.1"/>
    <n v="0"/>
    <n v="0"/>
    <n v="0"/>
    <n v="0"/>
    <n v="0"/>
  </r>
  <r>
    <s v="BAKERY PRODUCTS"/>
    <x v="1"/>
    <x v="131"/>
    <x v="131"/>
    <n v="47.99"/>
    <n v="27.08"/>
    <n v="0"/>
    <n v="0"/>
    <n v="0"/>
    <n v="0"/>
    <n v="0"/>
  </r>
  <r>
    <s v="BAKERY PRODUCTS"/>
    <x v="1"/>
    <x v="132"/>
    <x v="132"/>
    <n v="39.99"/>
    <n v="17.68"/>
    <n v="0"/>
    <n v="0"/>
    <n v="0"/>
    <n v="0"/>
    <n v="0"/>
  </r>
  <r>
    <s v="BAKERY PRODUCTS"/>
    <x v="1"/>
    <x v="133"/>
    <x v="133"/>
    <n v="10"/>
    <n v="3.77"/>
    <n v="0"/>
    <n v="0"/>
    <n v="0"/>
    <n v="0"/>
    <n v="0"/>
  </r>
  <r>
    <s v="GOOSEBUMPS DISTR.(BREAD STOP)"/>
    <x v="1"/>
    <x v="134"/>
    <x v="134"/>
    <n v="10.99"/>
    <n v="5.7054999999999998"/>
    <n v="0"/>
    <n v="0"/>
    <n v="0"/>
    <n v="0"/>
    <n v="0"/>
  </r>
  <r>
    <s v="GOOSEBUMPS DISTR.(BREAD STOP)"/>
    <x v="1"/>
    <x v="135"/>
    <x v="135"/>
    <n v="37.99"/>
    <n v="16.841833333333302"/>
    <n v="0"/>
    <n v="0"/>
    <n v="0"/>
    <n v="0"/>
    <n v="0"/>
  </r>
  <r>
    <s v="VECTOR LOG.(PTY)LTD GOOSEBUMPS"/>
    <x v="1"/>
    <x v="135"/>
    <x v="135"/>
    <n v="37.99"/>
    <n v="19.462499999999999"/>
    <n v="0"/>
    <n v="0"/>
    <n v="0"/>
    <n v="0"/>
    <n v="0"/>
  </r>
  <r>
    <s v="BAKERY PRODUCTS"/>
    <x v="1"/>
    <x v="136"/>
    <x v="136"/>
    <n v="10"/>
    <n v="3.71"/>
    <n v="0"/>
    <n v="0"/>
    <n v="0"/>
    <n v="0"/>
    <n v="0"/>
  </r>
  <r>
    <s v="BAKERY PRODUCTS"/>
    <x v="1"/>
    <x v="137"/>
    <x v="137"/>
    <n v="29.99"/>
    <n v="28.95"/>
    <n v="0"/>
    <n v="0"/>
    <n v="0"/>
    <n v="0"/>
    <n v="0"/>
  </r>
  <r>
    <s v="BAKERY PRODUCTS"/>
    <x v="1"/>
    <x v="138"/>
    <x v="138"/>
    <n v="100"/>
    <n v="22.26"/>
    <n v="0"/>
    <n v="0"/>
    <n v="0"/>
    <n v="0"/>
    <n v="0"/>
  </r>
  <r>
    <s v="BAKERY PRODUCTS"/>
    <x v="1"/>
    <x v="139"/>
    <x v="139"/>
    <n v="29.99"/>
    <n v="16.43"/>
    <n v="0"/>
    <n v="0"/>
    <n v="0"/>
    <n v="0"/>
    <n v="0"/>
  </r>
  <r>
    <s v="BAKERY PRODUCTS"/>
    <x v="1"/>
    <x v="140"/>
    <x v="140"/>
    <n v="5.99"/>
    <n v="3.1"/>
    <n v="0"/>
    <n v="0"/>
    <n v="0"/>
    <n v="0"/>
    <n v="0"/>
  </r>
  <r>
    <s v="BAKERY PRODUCTS"/>
    <x v="1"/>
    <x v="141"/>
    <x v="141"/>
    <n v="5.99"/>
    <n v="3.1"/>
    <n v="0"/>
    <n v="0"/>
    <n v="0"/>
    <n v="0"/>
    <n v="0"/>
  </r>
  <r>
    <s v="GOOSEBUMPS DISTR.(BREAD STOP)"/>
    <x v="1"/>
    <x v="142"/>
    <x v="142"/>
    <n v="28.99"/>
    <n v="12.413"/>
    <n v="0"/>
    <n v="0"/>
    <n v="0"/>
    <n v="0"/>
    <n v="0"/>
  </r>
  <r>
    <s v="VECTOR LOG.(PTY)LTD GOOSEBUMPS"/>
    <x v="1"/>
    <x v="142"/>
    <x v="142"/>
    <n v="28.99"/>
    <n v="14.6126666666667"/>
    <n v="0"/>
    <n v="0"/>
    <n v="0"/>
    <n v="0"/>
    <n v="0"/>
  </r>
  <r>
    <s v="BAKERY PRODUCTS"/>
    <x v="1"/>
    <x v="143"/>
    <x v="143"/>
    <n v="39.99"/>
    <n v="25"/>
    <n v="0"/>
    <n v="0"/>
    <n v="0"/>
    <n v="0"/>
    <n v="0"/>
  </r>
  <r>
    <s v="BAKERY PRODUCTS"/>
    <x v="1"/>
    <x v="144"/>
    <x v="144"/>
    <n v="3"/>
    <n v="1.29"/>
    <n v="0"/>
    <n v="0"/>
    <n v="0"/>
    <n v="0"/>
    <n v="0"/>
  </r>
  <r>
    <s v="BAKERY PRODUCTS"/>
    <x v="1"/>
    <x v="145"/>
    <x v="145"/>
    <n v="5.99"/>
    <n v="3.1"/>
    <n v="0"/>
    <n v="0"/>
    <n v="0"/>
    <n v="0"/>
    <n v="0"/>
  </r>
  <r>
    <s v="BAKERY PRODUCTS"/>
    <x v="1"/>
    <x v="146"/>
    <x v="146"/>
    <n v="12.99"/>
    <n v="6.88"/>
    <n v="0"/>
    <n v="0"/>
    <n v="0"/>
    <n v="0"/>
    <n v="0"/>
  </r>
  <r>
    <s v="BAKERY PRODUCTS"/>
    <x v="1"/>
    <x v="147"/>
    <x v="147"/>
    <n v="15.99"/>
    <n v="8.31"/>
    <n v="0"/>
    <n v="0"/>
    <n v="0"/>
    <n v="0"/>
    <n v="0"/>
  </r>
  <r>
    <s v="BAKERY PRODUCTS"/>
    <x v="1"/>
    <x v="148"/>
    <x v="148"/>
    <n v="29.99"/>
    <n v="28.95"/>
    <n v="0"/>
    <n v="0"/>
    <n v="0"/>
    <n v="0"/>
    <n v="0"/>
  </r>
  <r>
    <s v="BAKERY PRODUCTS"/>
    <x v="1"/>
    <x v="149"/>
    <x v="149"/>
    <n v="25.99"/>
    <n v="13.19"/>
    <n v="0"/>
    <n v="0"/>
    <n v="0"/>
    <n v="0"/>
    <n v="0"/>
  </r>
  <r>
    <s v="BAKERY PRODUCTS"/>
    <x v="1"/>
    <x v="150"/>
    <x v="150"/>
    <n v="32.99"/>
    <n v="15.39"/>
    <n v="0"/>
    <n v="0"/>
    <n v="0"/>
    <n v="0"/>
    <n v="0"/>
  </r>
  <r>
    <s v="BAKERY PRODUCTS"/>
    <x v="1"/>
    <x v="151"/>
    <x v="151"/>
    <n v="5.99"/>
    <n v="3.1"/>
    <n v="0"/>
    <n v="0"/>
    <n v="0"/>
    <n v="0"/>
    <n v="0"/>
  </r>
  <r>
    <s v="GOOSEBUMPS DISTR.(BREAD STOP)"/>
    <x v="1"/>
    <x v="152"/>
    <x v="152"/>
    <n v="79.989999999999995"/>
    <n v="44.62"/>
    <n v="0"/>
    <n v="0"/>
    <n v="0"/>
    <n v="0"/>
    <n v="0"/>
  </r>
  <r>
    <s v="BAKERY PRODUCTS"/>
    <x v="1"/>
    <x v="153"/>
    <x v="153"/>
    <n v="11.99"/>
    <n v="5.87"/>
    <n v="0"/>
    <n v="0"/>
    <n v="0"/>
    <n v="0"/>
    <n v="0"/>
  </r>
  <r>
    <s v="BAKERY PRODUCTS"/>
    <x v="1"/>
    <x v="154"/>
    <x v="154"/>
    <n v="14.99"/>
    <n v="7.72"/>
    <n v="0"/>
    <n v="0"/>
    <n v="0"/>
    <n v="0"/>
    <n v="0"/>
  </r>
  <r>
    <s v="BAKERY PRODUCTS"/>
    <x v="1"/>
    <x v="155"/>
    <x v="155"/>
    <n v="13.99"/>
    <n v="9.14"/>
    <n v="0"/>
    <n v="0"/>
    <n v="0"/>
    <n v="0"/>
    <n v="0"/>
  </r>
  <r>
    <s v="BAKERY PRODUCTS"/>
    <x v="1"/>
    <x v="156"/>
    <x v="156"/>
    <n v="47.99"/>
    <n v="10.44"/>
    <n v="0"/>
    <n v="0"/>
    <n v="0"/>
    <n v="0"/>
    <n v="0"/>
  </r>
  <r>
    <s v="BAKERY PRODUCTS"/>
    <x v="1"/>
    <x v="157"/>
    <x v="157"/>
    <n v="5.99"/>
    <n v="3.31"/>
    <n v="0"/>
    <n v="0"/>
    <n v="0"/>
    <n v="0"/>
    <n v="0"/>
  </r>
  <r>
    <s v="GOOSEBUMPS DISTR.(BREAD STOP)"/>
    <x v="1"/>
    <x v="158"/>
    <x v="158"/>
    <n v="79.989999999999995"/>
    <n v="44.62"/>
    <n v="0"/>
    <n v="0"/>
    <n v="0"/>
    <n v="0"/>
    <n v="0"/>
  </r>
  <r>
    <s v="BAKERY PRODUCTS"/>
    <x v="1"/>
    <x v="159"/>
    <x v="159"/>
    <n v="11.99"/>
    <n v="7.6"/>
    <n v="0"/>
    <n v="0"/>
    <n v="0"/>
    <n v="0"/>
    <n v="0"/>
  </r>
  <r>
    <s v="BAKERY PRODUCTS"/>
    <x v="1"/>
    <x v="160"/>
    <x v="160"/>
    <n v="5.99"/>
    <n v="3.1"/>
    <n v="0"/>
    <n v="0"/>
    <n v="0"/>
    <n v="0"/>
    <n v="0"/>
  </r>
  <r>
    <s v="BAKERY PRODUCTS"/>
    <x v="1"/>
    <x v="161"/>
    <x v="161"/>
    <n v="5.99"/>
    <n v="3.1"/>
    <n v="0"/>
    <n v="0"/>
    <n v="0"/>
    <n v="0"/>
    <n v="0"/>
  </r>
  <r>
    <s v="BAKERY PRODUCTS"/>
    <x v="1"/>
    <x v="162"/>
    <x v="162"/>
    <n v="39.99"/>
    <n v="29.01"/>
    <n v="0"/>
    <n v="0"/>
    <n v="0"/>
    <n v="0"/>
    <n v="0"/>
  </r>
  <r>
    <s v="BAKERY PRODUCTS"/>
    <x v="1"/>
    <x v="163"/>
    <x v="163"/>
    <n v="2.5"/>
    <n v="1.29"/>
    <n v="0"/>
    <n v="0"/>
    <n v="0"/>
    <n v="0"/>
    <n v="0"/>
  </r>
  <r>
    <s v="BAKERY PRODUCTS"/>
    <x v="1"/>
    <x v="164"/>
    <x v="164"/>
    <n v="29.99"/>
    <n v="28.95"/>
    <n v="0"/>
    <n v="0"/>
    <n v="0"/>
    <n v="0"/>
    <n v="0"/>
  </r>
  <r>
    <s v="GOOSEBUMPS DISTR.(BREAD STOP)"/>
    <x v="1"/>
    <x v="165"/>
    <x v="165"/>
    <n v="5.49"/>
    <n v="2.7884166666666701"/>
    <n v="0"/>
    <n v="0"/>
    <n v="0"/>
    <n v="0"/>
    <n v="0"/>
  </r>
  <r>
    <s v="GOOSEBUMPS DISTR.(BREAD STOP)"/>
    <x v="1"/>
    <x v="166"/>
    <x v="166"/>
    <n v="10.85"/>
    <n v="5.2888333333333302"/>
    <n v="0"/>
    <n v="0"/>
    <n v="0"/>
    <n v="0"/>
    <n v="0"/>
  </r>
  <r>
    <s v="VECTOR LOG.(PTY)LTD GOOSEBUMPS"/>
    <x v="1"/>
    <x v="166"/>
    <x v="166"/>
    <n v="10.85"/>
    <n v="5.9984999999999999"/>
    <n v="0"/>
    <n v="0"/>
    <n v="0"/>
    <n v="0"/>
    <n v="0"/>
  </r>
  <r>
    <s v="GOOSEBUMPS DISTR.(BREAD STOP)"/>
    <x v="1"/>
    <x v="167"/>
    <x v="167"/>
    <n v="7.99"/>
    <n v="3.6635833333333299"/>
    <n v="0"/>
    <n v="0"/>
    <n v="0"/>
    <n v="0"/>
    <n v="0"/>
  </r>
  <r>
    <s v="VECTOR LOG.(PTY)LTD GOOSEBUMPS"/>
    <x v="1"/>
    <x v="167"/>
    <x v="167"/>
    <n v="7.99"/>
    <n v="4.1159999999999997"/>
    <n v="0"/>
    <n v="0"/>
    <n v="0"/>
    <n v="0"/>
    <n v="0"/>
  </r>
  <r>
    <s v="GOOSEBUMPS DISTR.(BREAD STOP)"/>
    <x v="1"/>
    <x v="168"/>
    <x v="168"/>
    <n v="7.99"/>
    <n v="4.1161666666666701"/>
    <n v="0"/>
    <n v="0"/>
    <n v="0"/>
    <n v="0"/>
    <n v="0"/>
  </r>
  <r>
    <s v="VECTOR LOG.(PTY)LTD GOOSEBUMPS"/>
    <x v="1"/>
    <x v="168"/>
    <x v="168"/>
    <n v="7.99"/>
    <n v="4.3630833333333303"/>
    <n v="0"/>
    <n v="0"/>
    <n v="0"/>
    <n v="0"/>
    <n v="0"/>
  </r>
  <r>
    <s v="GOOSEBUMPS DISTR.(BREAD STOP)"/>
    <x v="1"/>
    <x v="169"/>
    <x v="169"/>
    <n v="10.85"/>
    <n v="5.6589999999999998"/>
    <n v="0"/>
    <n v="0"/>
    <n v="0"/>
    <n v="0"/>
    <n v="0"/>
  </r>
  <r>
    <s v="VECTOR LOG.(PTY)LTD GOOSEBUMPS"/>
    <x v="1"/>
    <x v="169"/>
    <x v="169"/>
    <n v="10.85"/>
    <n v="5.9984999999999999"/>
    <n v="0"/>
    <n v="0"/>
    <n v="0"/>
    <n v="0"/>
    <n v="0"/>
  </r>
  <r>
    <s v="GOOSEBUMPS DISTR.(BREAD STOP)"/>
    <x v="1"/>
    <x v="170"/>
    <x v="170"/>
    <n v="330.99"/>
    <n v="172.26333333333301"/>
    <n v="0"/>
    <n v="0"/>
    <n v="0"/>
    <n v="0"/>
    <n v="0"/>
  </r>
  <r>
    <s v="VECTOR LOG.(PTY)LTD GOOSEBUMPS"/>
    <x v="1"/>
    <x v="170"/>
    <x v="170"/>
    <n v="330.99"/>
    <n v="182.6"/>
    <n v="0"/>
    <n v="0"/>
    <n v="0"/>
    <n v="0"/>
    <n v="0"/>
  </r>
  <r>
    <s v="GOOSEBUMPS DISTR.(BREAD STOP)"/>
    <x v="1"/>
    <x v="171"/>
    <x v="171"/>
    <n v="28.99"/>
    <n v="14.814500000000001"/>
    <n v="0"/>
    <n v="0"/>
    <n v="0"/>
    <n v="0"/>
    <n v="0"/>
  </r>
  <r>
    <s v="VECTOR LOG.(PTY)LTD GOOSEBUMPS"/>
    <x v="1"/>
    <x v="171"/>
    <x v="171"/>
    <n v="28.99"/>
    <n v="15.703250000000001"/>
    <n v="0"/>
    <n v="0"/>
    <n v="0"/>
    <n v="0"/>
    <n v="0"/>
  </r>
  <r>
    <s v="GOOSEBUMPS DISTR.(BREAD STOP)"/>
    <x v="1"/>
    <x v="172"/>
    <x v="172"/>
    <n v="5.4"/>
    <n v="2.6173000000000002"/>
    <n v="0"/>
    <n v="0"/>
    <n v="0"/>
    <n v="0"/>
    <n v="0"/>
  </r>
  <r>
    <s v="VECTOR LOG.(PTY)LTD GOOSEBUMPS"/>
    <x v="1"/>
    <x v="172"/>
    <x v="172"/>
    <n v="5.4"/>
    <n v="2.9407999999999999"/>
    <n v="0"/>
    <n v="0"/>
    <n v="0"/>
    <n v="0"/>
    <n v="0"/>
  </r>
  <r>
    <s v="GOOSEBUMPS DISTR.(BREAD STOP)"/>
    <x v="1"/>
    <x v="173"/>
    <x v="173"/>
    <n v="4.99"/>
    <n v="2.5465"/>
    <n v="0"/>
    <n v="0"/>
    <n v="0"/>
    <n v="0"/>
    <n v="0"/>
  </r>
  <r>
    <s v="VECTOR LOG.(PTY)LTD GOOSEBUMPS"/>
    <x v="1"/>
    <x v="173"/>
    <x v="173"/>
    <n v="4.99"/>
    <n v="2.8072499999999998"/>
    <n v="0"/>
    <n v="0"/>
    <n v="0"/>
    <n v="0"/>
    <n v="0"/>
  </r>
  <r>
    <s v="GOOSEBUMPS DISTR.(BREAD STOP)"/>
    <x v="1"/>
    <x v="174"/>
    <x v="174"/>
    <n v="11.99"/>
    <n v="6.2521428571428599"/>
    <n v="0"/>
    <n v="0"/>
    <n v="0"/>
    <n v="0"/>
    <n v="0"/>
  </r>
  <r>
    <s v="VECTOR LOG.(PTY)LTD GOOSEBUMPS"/>
    <x v="1"/>
    <x v="174"/>
    <x v="174"/>
    <n v="11.99"/>
    <n v="6.6272857142857102"/>
    <n v="0"/>
    <n v="0"/>
    <n v="0"/>
    <n v="0"/>
    <n v="0"/>
  </r>
  <r>
    <s v="GOOSEBUMPS DISTR.(BREAD STOP)"/>
    <x v="1"/>
    <x v="175"/>
    <x v="175"/>
    <n v="21.99"/>
    <n v="8.2398749999999996"/>
    <n v="0"/>
    <n v="0"/>
    <n v="0"/>
    <n v="0"/>
    <n v="0"/>
  </r>
  <r>
    <s v="VECTOR LOG.(PTY)LTD GOOSEBUMPS"/>
    <x v="1"/>
    <x v="175"/>
    <x v="175"/>
    <n v="21.99"/>
    <n v="10.989750000000001"/>
    <n v="0"/>
    <n v="0"/>
    <n v="0"/>
    <n v="0"/>
    <n v="0"/>
  </r>
  <r>
    <s v="GOOSEBUMPS DISTR.(BREAD STOP)"/>
    <x v="1"/>
    <x v="176"/>
    <x v="176"/>
    <n v="269.99"/>
    <n v="141.47833333333301"/>
    <n v="0"/>
    <n v="0"/>
    <n v="0"/>
    <n v="0"/>
    <n v="0"/>
  </r>
  <r>
    <s v="GOOSEBUMPS DISTR.(BREAD STOP)"/>
    <x v="1"/>
    <x v="177"/>
    <x v="177"/>
    <n v="79.989999999999995"/>
    <n v="41.475000000000001"/>
    <n v="0"/>
    <n v="0"/>
    <n v="0"/>
    <n v="0"/>
    <n v="0"/>
  </r>
  <r>
    <s v="GOOSEBUMPS DISTR.(BREAD STOP)"/>
    <x v="1"/>
    <x v="178"/>
    <x v="178"/>
    <n v="79.989999999999995"/>
    <n v="41.475000000000001"/>
    <n v="0"/>
    <n v="0"/>
    <n v="0"/>
    <n v="0"/>
    <n v="0"/>
  </r>
  <r>
    <s v="GOOSEBUMPS DISTR.(BREAD STOP)"/>
    <x v="1"/>
    <x v="179"/>
    <x v="179"/>
    <n v="79.989999999999995"/>
    <n v="41.475000000000001"/>
    <n v="0"/>
    <n v="0"/>
    <n v="0"/>
    <n v="0"/>
    <n v="0"/>
  </r>
  <r>
    <s v="VECTOR LOG.(PTY)LTD GOOSEBUMPS"/>
    <x v="1"/>
    <x v="180"/>
    <x v="180"/>
    <n v="330.99"/>
    <n v="179.16"/>
    <n v="0"/>
    <n v="0"/>
    <n v="0"/>
    <n v="0"/>
    <n v="0"/>
  </r>
  <r>
    <s v="VECTOR LOG.(PTY)LTD GOOSEBUMPS"/>
    <x v="1"/>
    <x v="181"/>
    <x v="181"/>
    <n v="10.85"/>
    <n v="5.6589999999999998"/>
    <n v="0"/>
    <n v="0"/>
    <n v="0"/>
    <n v="0"/>
    <n v="0"/>
  </r>
  <r>
    <s v="BAKERY PRODUCTS"/>
    <x v="1"/>
    <x v="182"/>
    <x v="182"/>
    <n v="15.99"/>
    <n v="6.2"/>
    <n v="0"/>
    <n v="0"/>
    <n v="0"/>
    <n v="0"/>
    <n v="0"/>
  </r>
  <r>
    <s v="BAKERY PRODUCTS"/>
    <x v="1"/>
    <x v="183"/>
    <x v="183"/>
    <n v="13.99"/>
    <n v="3.8"/>
    <n v="0"/>
    <n v="0"/>
    <n v="0"/>
    <n v="0"/>
    <n v="0"/>
  </r>
  <r>
    <s v="BAKERY PRODUCTS"/>
    <x v="1"/>
    <x v="184"/>
    <x v="184"/>
    <n v="30.99"/>
    <n v="9.5"/>
    <n v="0"/>
    <n v="0"/>
    <n v="0"/>
    <n v="0"/>
    <n v="0"/>
  </r>
  <r>
    <s v="BAKERY PRODUCTS"/>
    <x v="1"/>
    <x v="185"/>
    <x v="185"/>
    <n v="35.99"/>
    <n v="12.5"/>
    <n v="0"/>
    <n v="0"/>
    <n v="0"/>
    <n v="0"/>
    <n v="0"/>
  </r>
  <r>
    <s v="BAKERY PRODUCTS"/>
    <x v="1"/>
    <x v="186"/>
    <x v="186"/>
    <n v="26.99"/>
    <n v="7.8"/>
    <n v="0"/>
    <n v="0"/>
    <n v="0"/>
    <n v="0"/>
    <n v="0"/>
  </r>
  <r>
    <s v="BAKERY PRODUCTS"/>
    <x v="1"/>
    <x v="187"/>
    <x v="82"/>
    <n v="26.99"/>
    <n v="7.8"/>
    <n v="0"/>
    <n v="0"/>
    <n v="0"/>
    <n v="0"/>
    <n v="0"/>
  </r>
  <r>
    <s v="BAKERY PRODUCTS"/>
    <x v="1"/>
    <x v="188"/>
    <x v="187"/>
    <n v="15.99"/>
    <n v="8.0500000000000007"/>
    <n v="0"/>
    <n v="0"/>
    <n v="0"/>
    <n v="0"/>
    <n v="0"/>
  </r>
  <r>
    <s v="BAKERY PRODUCTS"/>
    <x v="1"/>
    <x v="189"/>
    <x v="188"/>
    <n v="15.99"/>
    <n v="9.99"/>
    <n v="0"/>
    <n v="0"/>
    <n v="0"/>
    <n v="0"/>
    <n v="0"/>
  </r>
  <r>
    <s v="BAKERY PRODUCTS"/>
    <x v="2"/>
    <x v="190"/>
    <x v="189"/>
    <n v="21.99"/>
    <n v="11.11"/>
    <n v="0"/>
    <n v="0"/>
    <n v="0"/>
    <n v="0"/>
    <n v="0"/>
  </r>
  <r>
    <s v="BAKERY PRODUCTS"/>
    <x v="2"/>
    <x v="191"/>
    <x v="190"/>
    <n v="70.989999999999995"/>
    <n v="18.7"/>
    <n v="0"/>
    <n v="0"/>
    <n v="0"/>
    <n v="0"/>
    <n v="0"/>
  </r>
  <r>
    <s v="BAKERY PRODUCTS"/>
    <x v="2"/>
    <x v="192"/>
    <x v="191"/>
    <n v="216.99"/>
    <n v="54"/>
    <n v="0"/>
    <n v="0"/>
    <n v="0"/>
    <n v="0"/>
    <n v="0"/>
  </r>
  <r>
    <s v="BAKERY PRODUCTS"/>
    <x v="2"/>
    <x v="193"/>
    <x v="192"/>
    <n v="30"/>
    <n v="18.260000000000002"/>
    <n v="0"/>
    <n v="0"/>
    <n v="0"/>
    <n v="0"/>
    <n v="0"/>
  </r>
  <r>
    <s v="BAKERY PRODUCTS"/>
    <x v="2"/>
    <x v="194"/>
    <x v="193"/>
    <n v="402.99"/>
    <n v="210"/>
    <n v="0"/>
    <n v="0"/>
    <n v="0"/>
    <n v="0"/>
    <n v="0"/>
  </r>
  <r>
    <s v="BAKERY PRODUCTS"/>
    <x v="2"/>
    <x v="195"/>
    <x v="194"/>
    <n v="30"/>
    <n v="20.81"/>
    <n v="0"/>
    <n v="0"/>
    <n v="0"/>
    <n v="0"/>
    <n v="0"/>
  </r>
  <r>
    <s v="BAKERY PRODUCTS"/>
    <x v="2"/>
    <x v="196"/>
    <x v="195"/>
    <n v="99.99"/>
    <n v="54.67"/>
    <n v="0"/>
    <n v="0"/>
    <n v="0"/>
    <n v="0"/>
    <n v="0"/>
  </r>
  <r>
    <s v="BAKERY PRODUCTS"/>
    <x v="2"/>
    <x v="197"/>
    <x v="196"/>
    <n v="20"/>
    <n v="10.23"/>
    <n v="0"/>
    <n v="0"/>
    <n v="0"/>
    <n v="0"/>
    <n v="0"/>
  </r>
  <r>
    <s v="BAKERY PRODUCTS"/>
    <x v="2"/>
    <x v="198"/>
    <x v="197"/>
    <n v="313.99"/>
    <n v="163.47229999999999"/>
    <n v="0"/>
    <n v="0"/>
    <n v="0"/>
    <n v="0"/>
    <n v="0"/>
  </r>
  <r>
    <s v="BAKERY PRODUCTS"/>
    <x v="2"/>
    <x v="199"/>
    <x v="198"/>
    <n v="15"/>
    <n v="6.99"/>
    <n v="0"/>
    <n v="0"/>
    <n v="0"/>
    <n v="0"/>
    <n v="0"/>
  </r>
  <r>
    <s v="BAKERY PRODUCTS"/>
    <x v="2"/>
    <x v="200"/>
    <x v="199"/>
    <n v="15"/>
    <n v="9.1300000000000008"/>
    <n v="0"/>
    <n v="0"/>
    <n v="0"/>
    <n v="0"/>
    <n v="0"/>
  </r>
  <r>
    <s v="BAKERY PRODUCTS"/>
    <x v="2"/>
    <x v="201"/>
    <x v="200"/>
    <n v="112.99"/>
    <n v="45"/>
    <n v="0"/>
    <n v="0"/>
    <n v="0"/>
    <n v="0"/>
    <n v="0"/>
  </r>
  <r>
    <s v="BAKERY PRODUCTS"/>
    <x v="2"/>
    <x v="202"/>
    <x v="201"/>
    <n v="15"/>
    <n v="10.23"/>
    <n v="0"/>
    <n v="0"/>
    <n v="0"/>
    <n v="0"/>
    <n v="0"/>
  </r>
  <r>
    <s v="BAKERY PRODUCTS"/>
    <x v="2"/>
    <x v="203"/>
    <x v="202"/>
    <n v="15"/>
    <n v="7.77"/>
    <n v="0"/>
    <n v="0"/>
    <n v="0"/>
    <n v="0"/>
    <n v="0"/>
  </r>
  <r>
    <s v="BAKERY PRODUCTS"/>
    <x v="2"/>
    <x v="204"/>
    <x v="203"/>
    <n v="10"/>
    <n v="5.04"/>
    <n v="0"/>
    <n v="0"/>
    <n v="0"/>
    <n v="0"/>
    <n v="0"/>
  </r>
  <r>
    <s v="BAKERY PRODUCTS"/>
    <x v="2"/>
    <x v="205"/>
    <x v="204"/>
    <n v="10"/>
    <n v="1.5"/>
    <n v="0"/>
    <n v="0"/>
    <n v="0"/>
    <n v="0"/>
    <n v="0"/>
  </r>
  <r>
    <s v="BAKERY PRODUCTS"/>
    <x v="2"/>
    <x v="206"/>
    <x v="205"/>
    <n v="15"/>
    <n v="4.26"/>
    <n v="0"/>
    <n v="0"/>
    <n v="0"/>
    <n v="0"/>
    <n v="0"/>
  </r>
  <r>
    <s v="BAKERY PRODUCTS"/>
    <x v="2"/>
    <x v="207"/>
    <x v="206"/>
    <n v="10"/>
    <n v="2.5"/>
    <n v="0"/>
    <n v="0"/>
    <n v="0"/>
    <n v="0"/>
    <n v="0"/>
  </r>
  <r>
    <s v="BAKERY PRODUCTS"/>
    <x v="2"/>
    <x v="208"/>
    <x v="207"/>
    <n v="10"/>
    <n v="3.39"/>
    <n v="0"/>
    <n v="0"/>
    <n v="0"/>
    <n v="0"/>
    <n v="0"/>
  </r>
  <r>
    <s v="BAKERY PRODUCTS"/>
    <x v="2"/>
    <x v="209"/>
    <x v="208"/>
    <n v="10"/>
    <n v="2.3199999999999998"/>
    <n v="0"/>
    <n v="0"/>
    <n v="0"/>
    <n v="0"/>
    <n v="0"/>
  </r>
  <r>
    <s v="BAKERY PRODUCTS"/>
    <x v="2"/>
    <x v="210"/>
    <x v="209"/>
    <n v="10"/>
    <n v="4.5599999999999996"/>
    <n v="0"/>
    <n v="0"/>
    <n v="0"/>
    <n v="0"/>
    <n v="0"/>
  </r>
  <r>
    <s v="BAKERY PRODUCTS"/>
    <x v="2"/>
    <x v="211"/>
    <x v="210"/>
    <n v="114.99"/>
    <n v="20.95"/>
    <n v="0"/>
    <n v="0"/>
    <n v="0"/>
    <n v="0"/>
    <n v="0"/>
  </r>
  <r>
    <s v="BAKERY PRODUCTS"/>
    <x v="2"/>
    <x v="212"/>
    <x v="211"/>
    <n v="282.99"/>
    <n v="57"/>
    <n v="0"/>
    <n v="0"/>
    <n v="0"/>
    <n v="0"/>
    <n v="0"/>
  </r>
  <r>
    <s v="BAKERY PRODUCTS"/>
    <x v="2"/>
    <x v="213"/>
    <x v="212"/>
    <n v="189.99"/>
    <n v="61"/>
    <n v="0"/>
    <n v="0"/>
    <n v="0"/>
    <n v="0"/>
    <n v="0"/>
  </r>
  <r>
    <s v="BAKERY PRODUCTS"/>
    <x v="3"/>
    <x v="214"/>
    <x v="213"/>
    <n v="29.99"/>
    <n v="12.52"/>
    <n v="15"/>
    <n v="449.84999999999997"/>
    <n v="187.79999999999998"/>
    <n v="262.04999999999995"/>
    <n v="58.252750916972317"/>
  </r>
  <r>
    <s v="BAKERY PRODUCTS"/>
    <x v="3"/>
    <x v="215"/>
    <x v="214"/>
    <n v="49.99"/>
    <n v="13.76"/>
    <n v="10"/>
    <n v="499.90000000000003"/>
    <n v="137.6"/>
    <n v="362.30000000000007"/>
    <n v="72.474494898979799"/>
  </r>
  <r>
    <s v="BAKERY PRODUCTS"/>
    <x v="3"/>
    <x v="216"/>
    <x v="215"/>
    <n v="49.99"/>
    <n v="24.65"/>
    <n v="5"/>
    <n v="249.95000000000002"/>
    <n v="123.25"/>
    <n v="126.70000000000002"/>
    <n v="50.690138027605528"/>
  </r>
  <r>
    <s v="BAKERY PRODUCTS"/>
    <x v="3"/>
    <x v="217"/>
    <x v="216"/>
    <n v="49.99"/>
    <n v="25.03"/>
    <n v="3"/>
    <n v="149.97"/>
    <n v="75.09"/>
    <n v="74.88"/>
    <n v="49.929985997199438"/>
  </r>
  <r>
    <s v="BAKERY PRODUCTS"/>
    <x v="3"/>
    <x v="218"/>
    <x v="217"/>
    <n v="29.99"/>
    <n v="7.38"/>
    <n v="0"/>
    <n v="0"/>
    <n v="0"/>
    <n v="0"/>
    <n v="0"/>
  </r>
  <r>
    <s v="BAKERY PRODUCTS"/>
    <x v="3"/>
    <x v="219"/>
    <x v="218"/>
    <n v="29.99"/>
    <n v="14.34"/>
    <n v="0"/>
    <n v="0"/>
    <n v="0"/>
    <n v="0"/>
    <n v="0"/>
  </r>
  <r>
    <s v="BAKERY PRODUCTS"/>
    <x v="3"/>
    <x v="220"/>
    <x v="219"/>
    <n v="49.99"/>
    <n v="28.67"/>
    <n v="0"/>
    <n v="0"/>
    <n v="0"/>
    <n v="0"/>
    <n v="0"/>
  </r>
  <r>
    <s v="BAKERY PRODUCTS"/>
    <x v="3"/>
    <x v="221"/>
    <x v="220"/>
    <n v="13.99"/>
    <n v="6.67"/>
    <n v="0"/>
    <n v="0"/>
    <n v="0"/>
    <n v="0"/>
    <n v="0"/>
  </r>
  <r>
    <s v="BAKERY PRODUCTS"/>
    <x v="3"/>
    <x v="222"/>
    <x v="221"/>
    <n v="15"/>
    <n v="7.38"/>
    <n v="0"/>
    <n v="0"/>
    <n v="0"/>
    <n v="0"/>
    <n v="0"/>
  </r>
  <r>
    <s v="BAKERY PRODUCTS"/>
    <x v="3"/>
    <x v="223"/>
    <x v="222"/>
    <n v="69.989999999999995"/>
    <n v="36.1"/>
    <n v="0"/>
    <n v="0"/>
    <n v="0"/>
    <n v="0"/>
    <n v="0"/>
  </r>
  <r>
    <s v="BAKERY PRODUCTS"/>
    <x v="3"/>
    <x v="224"/>
    <x v="223"/>
    <n v="15"/>
    <n v="29.47"/>
    <n v="0"/>
    <n v="0"/>
    <n v="0"/>
    <n v="0"/>
    <n v="0"/>
  </r>
  <r>
    <s v="BAKERY PRODUCTS"/>
    <x v="3"/>
    <x v="225"/>
    <x v="224"/>
    <n v="120"/>
    <n v="58.51"/>
    <n v="0"/>
    <n v="0"/>
    <n v="0"/>
    <n v="0"/>
    <n v="0"/>
  </r>
  <r>
    <s v="BAKERY PRODUCTS"/>
    <x v="4"/>
    <x v="226"/>
    <x v="225"/>
    <n v="18.989999999999998"/>
    <n v="9.83"/>
    <n v="93"/>
    <n v="1766.07"/>
    <n v="914.19"/>
    <n v="851.87999999999988"/>
    <n v="48.235913638757232"/>
  </r>
  <r>
    <s v="BAKERY PRODUCTS"/>
    <x v="4"/>
    <x v="227"/>
    <x v="226"/>
    <n v="26.99"/>
    <n v="15.3"/>
    <n v="0"/>
    <n v="0"/>
    <n v="0"/>
    <n v="0"/>
    <n v="0"/>
  </r>
  <r>
    <s v="BAKERY PRODUCTS"/>
    <x v="4"/>
    <x v="228"/>
    <x v="227"/>
    <n v="27.99"/>
    <n v="15.41"/>
    <n v="0"/>
    <n v="0"/>
    <n v="0"/>
    <n v="0"/>
    <n v="0"/>
  </r>
  <r>
    <s v="BAKERY PRODUCTS"/>
    <x v="4"/>
    <x v="229"/>
    <x v="228"/>
    <n v="4.99"/>
    <n v="2.97"/>
    <n v="0"/>
    <n v="0"/>
    <n v="0"/>
    <n v="0"/>
    <n v="0"/>
  </r>
  <r>
    <s v="BAKERY PRODUCTS"/>
    <x v="4"/>
    <x v="230"/>
    <x v="229"/>
    <n v="23.99"/>
    <n v="10.37"/>
    <n v="0"/>
    <n v="0"/>
    <n v="0"/>
    <n v="0"/>
    <n v="0"/>
  </r>
  <r>
    <s v="BAKERY PRODUCTS"/>
    <x v="5"/>
    <x v="231"/>
    <x v="230"/>
    <n v="49.99"/>
    <n v="32.549999999999997"/>
    <n v="0"/>
    <n v="0"/>
    <n v="0"/>
    <n v="0"/>
    <n v="0"/>
  </r>
  <r>
    <s v="BAKERY PRODUCTS"/>
    <x v="6"/>
    <x v="232"/>
    <x v="231"/>
    <n v="7.99"/>
    <n v="5.54"/>
    <n v="0"/>
    <n v="0"/>
    <n v="0"/>
    <n v="0"/>
    <n v="0"/>
  </r>
  <r>
    <s v="GOOSEBUMPS DISTR.(BREAD STOP)"/>
    <x v="6"/>
    <x v="233"/>
    <x v="232"/>
    <n v="189.99"/>
    <n v="107.69199999999999"/>
    <n v="0"/>
    <n v="0"/>
    <n v="0"/>
    <n v="0"/>
    <n v="0"/>
  </r>
  <r>
    <s v="BAKERY PRODUCTS"/>
    <x v="7"/>
    <x v="234"/>
    <x v="233"/>
    <n v="199.99"/>
    <n v="126.16"/>
    <n v="0"/>
    <n v="0"/>
    <n v="0"/>
    <n v="0"/>
    <n v="0"/>
  </r>
  <r>
    <s v="BAKERY PRODUCTS"/>
    <x v="8"/>
    <x v="235"/>
    <x v="234"/>
    <n v="44.99"/>
    <n v="26.64"/>
    <n v="0"/>
    <n v="0"/>
    <n v="0"/>
    <n v="0"/>
    <n v="0"/>
  </r>
  <r>
    <s v="BAKERY PRODUCTS"/>
    <x v="9"/>
    <x v="236"/>
    <x v="235"/>
    <n v="19.989999999999998"/>
    <n v="8.43"/>
    <n v="24"/>
    <n v="479.76"/>
    <n v="202.32"/>
    <n v="277.44"/>
    <n v="57.82891445722862"/>
  </r>
  <r>
    <s v="BAKERY PRODUCTS"/>
    <x v="9"/>
    <x v="237"/>
    <x v="236"/>
    <n v="15.99"/>
    <n v="8.11"/>
    <n v="6"/>
    <n v="95.94"/>
    <n v="48.66"/>
    <n v="47.28"/>
    <n v="49.280800500312701"/>
  </r>
  <r>
    <s v="BAKERY PRODUCTS"/>
    <x v="9"/>
    <x v="238"/>
    <x v="237"/>
    <n v="10"/>
    <n v="3.39"/>
    <n v="0"/>
    <n v="0"/>
    <n v="0"/>
    <n v="0"/>
    <n v="0"/>
  </r>
  <r>
    <s v="BAKERY PRODUCTS"/>
    <x v="10"/>
    <x v="239"/>
    <x v="238"/>
    <n v="120"/>
    <n v="64.849999999999994"/>
    <n v="0"/>
    <n v="0"/>
    <n v="0"/>
    <n v="0"/>
    <n v="0"/>
  </r>
  <r>
    <s v="BAKERY PRODUCTS"/>
    <x v="10"/>
    <x v="240"/>
    <x v="239"/>
    <n v="9.99"/>
    <n v="4.53"/>
    <n v="0"/>
    <n v="0"/>
    <n v="0"/>
    <n v="0"/>
    <n v="0"/>
  </r>
  <r>
    <s v="BAKERY PRODUCTS"/>
    <x v="10"/>
    <x v="241"/>
    <x v="240"/>
    <n v="100"/>
    <n v="52.03"/>
    <n v="0"/>
    <n v="0"/>
    <n v="0"/>
    <n v="0"/>
    <n v="0"/>
  </r>
  <r>
    <s v="BAKERY PRODUCTS"/>
    <x v="10"/>
    <x v="242"/>
    <x v="241"/>
    <n v="100"/>
    <n v="54.36"/>
    <n v="0"/>
    <n v="0"/>
    <n v="0"/>
    <n v="0"/>
    <n v="0"/>
  </r>
  <r>
    <s v="BAKERY PRODUCTS"/>
    <x v="10"/>
    <x v="243"/>
    <x v="242"/>
    <n v="15.99"/>
    <n v="6.5"/>
    <n v="0"/>
    <n v="0"/>
    <n v="0"/>
    <n v="0"/>
    <n v="0"/>
  </r>
  <r>
    <s v="BAKERY PRODUCTS"/>
    <x v="10"/>
    <x v="244"/>
    <x v="243"/>
    <n v="120"/>
    <n v="62.39"/>
    <n v="0"/>
    <n v="0"/>
    <n v="0"/>
    <n v="0"/>
    <n v="0"/>
  </r>
  <r>
    <s v="BAKERY PRODUCTS"/>
    <x v="10"/>
    <x v="245"/>
    <x v="244"/>
    <n v="80"/>
    <n v="36.909999999999997"/>
    <n v="0"/>
    <n v="0"/>
    <n v="0"/>
    <n v="0"/>
    <n v="0"/>
  </r>
  <r>
    <s v="BAKERY PRODUCTS"/>
    <x v="10"/>
    <x v="246"/>
    <x v="245"/>
    <n v="130"/>
    <n v="64.900000000000006"/>
    <n v="0"/>
    <n v="0"/>
    <n v="0"/>
    <n v="0"/>
    <n v="0"/>
  </r>
  <r>
    <s v="BAKERY PRODUCTS"/>
    <x v="10"/>
    <x v="247"/>
    <x v="246"/>
    <n v="100"/>
    <n v="51.82"/>
    <n v="0"/>
    <n v="0"/>
    <n v="0"/>
    <n v="0"/>
    <n v="0"/>
  </r>
  <r>
    <s v="BAKERY PRODUCTS"/>
    <x v="11"/>
    <x v="248"/>
    <x v="247"/>
    <n v="79.989999999999995"/>
    <n v="54.64"/>
    <n v="0"/>
    <n v="0"/>
    <n v="0"/>
    <n v="0"/>
    <n v="0"/>
  </r>
  <r>
    <s v="BAKERY PRODUCTS"/>
    <x v="11"/>
    <x v="249"/>
    <x v="248"/>
    <n v="120"/>
    <n v="62.47"/>
    <n v="0"/>
    <n v="0"/>
    <n v="0"/>
    <n v="0"/>
    <n v="0"/>
  </r>
  <r>
    <s v="BAKERY PRODUCTS"/>
    <x v="11"/>
    <x v="250"/>
    <x v="249"/>
    <n v="385"/>
    <n v="201.52"/>
    <n v="0"/>
    <n v="0"/>
    <n v="0"/>
    <n v="0"/>
    <n v="0"/>
  </r>
  <r>
    <s v="BAKERY PRODUCTS"/>
    <x v="11"/>
    <x v="251"/>
    <x v="250"/>
    <n v="65.989999999999995"/>
    <n v="46.29"/>
    <n v="0"/>
    <n v="0"/>
    <n v="0"/>
    <n v="0"/>
    <n v="0"/>
  </r>
  <r>
    <s v="BAKERY PRODUCTS"/>
    <x v="11"/>
    <x v="252"/>
    <x v="251"/>
    <n v="160"/>
    <n v="106.8"/>
    <n v="0"/>
    <n v="0"/>
    <n v="0"/>
    <n v="0"/>
    <n v="0"/>
  </r>
  <r>
    <s v="BAKERY PRODUCTS"/>
    <x v="11"/>
    <x v="253"/>
    <x v="252"/>
    <n v="100"/>
    <n v="53.89"/>
    <n v="0"/>
    <n v="0"/>
    <n v="0"/>
    <n v="0"/>
    <n v="0"/>
  </r>
  <r>
    <s v="BAKERY PRODUCTS"/>
    <x v="11"/>
    <x v="254"/>
    <x v="253"/>
    <n v="8.99"/>
    <n v="3.8"/>
    <n v="0"/>
    <n v="0"/>
    <n v="0"/>
    <n v="0"/>
    <n v="0"/>
  </r>
  <r>
    <s v="BAKERY PRODUCTS"/>
    <x v="11"/>
    <x v="255"/>
    <x v="254"/>
    <n v="35.99"/>
    <n v="18"/>
    <n v="0"/>
    <n v="0"/>
    <n v="0"/>
    <n v="0"/>
    <n v="0"/>
  </r>
  <r>
    <s v="BAKERY PRODUCTS"/>
    <x v="11"/>
    <x v="256"/>
    <x v="255"/>
    <n v="140"/>
    <n v="92.6"/>
    <n v="0"/>
    <n v="0"/>
    <n v="0"/>
    <n v="0"/>
    <n v="0"/>
  </r>
  <r>
    <s v="BAKERY PRODUCTS"/>
    <x v="11"/>
    <x v="257"/>
    <x v="256"/>
    <n v="59.99"/>
    <n v="23.44"/>
    <n v="0"/>
    <n v="0"/>
    <n v="0"/>
    <n v="0"/>
    <n v="0"/>
  </r>
  <r>
    <s v="BAKERY PRODUCTS"/>
    <x v="11"/>
    <x v="258"/>
    <x v="257"/>
    <n v="79.989999999999995"/>
    <n v="42.68"/>
    <n v="0"/>
    <n v="0"/>
    <n v="0"/>
    <n v="0"/>
    <n v="0"/>
  </r>
  <r>
    <s v="BAKERY PRODUCTS"/>
    <x v="11"/>
    <x v="259"/>
    <x v="258"/>
    <n v="160"/>
    <n v="72.88"/>
    <n v="0"/>
    <n v="0"/>
    <n v="0"/>
    <n v="0"/>
    <n v="0"/>
  </r>
  <r>
    <s v="BAKERY PRODUCTS"/>
    <x v="11"/>
    <x v="260"/>
    <x v="259"/>
    <n v="69.989999999999995"/>
    <n v="32.450000000000003"/>
    <n v="0"/>
    <n v="0"/>
    <n v="0"/>
    <n v="0"/>
    <n v="0"/>
  </r>
  <r>
    <s v="BAKERY PRODUCTS"/>
    <x v="11"/>
    <x v="261"/>
    <x v="260"/>
    <n v="140"/>
    <n v="62.14"/>
    <n v="0"/>
    <n v="0"/>
    <n v="0"/>
    <n v="0"/>
    <n v="0"/>
  </r>
  <r>
    <s v="BAKERY PRODUCTS"/>
    <x v="11"/>
    <x v="262"/>
    <x v="261"/>
    <n v="120"/>
    <n v="82.1"/>
    <n v="0"/>
    <n v="0"/>
    <n v="0"/>
    <n v="0"/>
    <n v="0"/>
  </r>
  <r>
    <s v="BAKERY PRODUCTS"/>
    <x v="11"/>
    <x v="263"/>
    <x v="262"/>
    <n v="70"/>
    <n v="48.14"/>
    <n v="0"/>
    <n v="0"/>
    <n v="0"/>
    <n v="0"/>
    <n v="0"/>
  </r>
  <r>
    <s v="BAKERY PRODUCTS"/>
    <x v="12"/>
    <x v="264"/>
    <x v="263"/>
    <n v="55"/>
    <n v="33.18"/>
    <n v="0"/>
    <n v="0"/>
    <n v="0"/>
    <n v="0"/>
    <n v="0"/>
  </r>
  <r>
    <s v="BAKERY PRODUCTS"/>
    <x v="12"/>
    <x v="265"/>
    <x v="264"/>
    <n v="60"/>
    <n v="33.18"/>
    <n v="0"/>
    <n v="0"/>
    <n v="0"/>
    <n v="0"/>
    <n v="0"/>
  </r>
  <r>
    <s v="BAKERY PRODUCTS"/>
    <x v="12"/>
    <x v="266"/>
    <x v="265"/>
    <n v="29.99"/>
    <n v="12.33"/>
    <n v="0"/>
    <n v="0"/>
    <n v="0"/>
    <n v="0"/>
    <n v="0"/>
  </r>
  <r>
    <s v="BAKERY PRODUCTS"/>
    <x v="12"/>
    <x v="267"/>
    <x v="266"/>
    <n v="38"/>
    <n v="18.920000000000002"/>
    <n v="0"/>
    <n v="0"/>
    <n v="0"/>
    <n v="0"/>
    <n v="0"/>
  </r>
  <r>
    <s v="BAKERY PRODUCTS"/>
    <x v="12"/>
    <x v="268"/>
    <x v="267"/>
    <n v="69.989999999999995"/>
    <n v="37.380000000000003"/>
    <n v="0"/>
    <n v="0"/>
    <n v="0"/>
    <n v="0"/>
    <n v="0"/>
  </r>
  <r>
    <s v="BAKERY PRODUCTS"/>
    <x v="12"/>
    <x v="269"/>
    <x v="268"/>
    <n v="69.989999999999995"/>
    <n v="42.18"/>
    <n v="0"/>
    <n v="0"/>
    <n v="0"/>
    <n v="0"/>
    <n v="0"/>
  </r>
  <r>
    <s v="GOOSEBUMPS DISTR.(BREAD STOP)"/>
    <x v="13"/>
    <x v="270"/>
    <x v="269"/>
    <n v="0"/>
    <n v="120.14"/>
    <n v="0"/>
    <n v="0"/>
    <n v="0"/>
    <n v="0"/>
    <n v="0"/>
  </r>
  <r>
    <s v="ROSSOUW D"/>
    <x v="14"/>
    <x v="271"/>
    <x v="270"/>
    <n v="19.989999999999998"/>
    <n v="17.149999999999999"/>
    <n v="0"/>
    <n v="0"/>
    <n v="0"/>
    <n v="0"/>
    <n v="0"/>
  </r>
  <r>
    <s v="ROSSOUW D"/>
    <x v="14"/>
    <x v="272"/>
    <x v="271"/>
    <n v="29.99"/>
    <n v="29.25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3C606-0C2F-49F9-B848-B8DBFB65CFDF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compact="0" compactData="0">
  <location ref="A1:N308" firstHeaderRow="0" firstDataRow="3" firstDataCol="6"/>
  <pivotFields count="15">
    <pivotField compact="0" outline="0" showAll="0"/>
    <pivotField name="Sub-Department" axis="axisRow" compact="0" outline="0" showAll="0">
      <items count="16">
        <item x="0"/>
        <item x="1"/>
        <item x="3"/>
        <item x="4"/>
        <item x="10"/>
        <item x="11"/>
        <item x="12"/>
        <item x="2"/>
        <item x="5"/>
        <item x="6"/>
        <item x="7"/>
        <item x="8"/>
        <item x="9"/>
        <item x="13"/>
        <item x="14"/>
        <item t="default"/>
      </items>
    </pivotField>
    <pivotField axis="axisRow" compact="0" outline="0" showAll="0" defaultSubtotal="0">
      <items count="273">
        <item x="1"/>
        <item x="3"/>
        <item x="6"/>
        <item x="9"/>
        <item x="12"/>
        <item x="15"/>
        <item x="17"/>
        <item x="7"/>
        <item x="25"/>
        <item x="28"/>
        <item x="31"/>
        <item x="33"/>
        <item x="130"/>
        <item x="34"/>
        <item x="36"/>
        <item x="38"/>
        <item x="22"/>
        <item x="41"/>
        <item x="44"/>
        <item x="241"/>
        <item x="47"/>
        <item x="24"/>
        <item x="23"/>
        <item x="19"/>
        <item x="239"/>
        <item x="10"/>
        <item x="14"/>
        <item x="13"/>
        <item x="30"/>
        <item x="63"/>
        <item x="8"/>
        <item x="220"/>
        <item x="215"/>
        <item x="57"/>
        <item x="48"/>
        <item x="16"/>
        <item x="50"/>
        <item x="75"/>
        <item x="248"/>
        <item x="218"/>
        <item x="42"/>
        <item x="45"/>
        <item x="4"/>
        <item x="86"/>
        <item x="89"/>
        <item x="240"/>
        <item x="43"/>
        <item x="92"/>
        <item x="91"/>
        <item x="221"/>
        <item x="135"/>
        <item x="11"/>
        <item x="21"/>
        <item x="88"/>
        <item x="226"/>
        <item x="99"/>
        <item x="96"/>
        <item x="18"/>
        <item x="128"/>
        <item x="39"/>
        <item x="37"/>
        <item x="0"/>
        <item x="2"/>
        <item x="141"/>
        <item x="94"/>
        <item x="93"/>
        <item x="90"/>
        <item x="26"/>
        <item x="264"/>
        <item x="67"/>
        <item x="265"/>
        <item x="5"/>
        <item x="20"/>
        <item x="27"/>
        <item x="29"/>
        <item x="32"/>
        <item x="35"/>
        <item x="40"/>
        <item x="46"/>
        <item x="49"/>
        <item x="51"/>
        <item x="52"/>
        <item x="53"/>
        <item x="54"/>
        <item x="55"/>
        <item x="56"/>
        <item x="58"/>
        <item x="59"/>
        <item x="60"/>
        <item x="61"/>
        <item x="62"/>
        <item x="64"/>
        <item x="65"/>
        <item x="66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7"/>
        <item x="95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6"/>
        <item x="217"/>
        <item x="219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42"/>
        <item x="243"/>
        <item x="244"/>
        <item x="245"/>
        <item x="246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6"/>
        <item x="267"/>
        <item x="268"/>
        <item x="269"/>
        <item x="270"/>
        <item x="271"/>
        <item x="272"/>
      </items>
    </pivotField>
    <pivotField axis="axisRow" compact="0" outline="0" showAll="0" defaultSubtotal="0">
      <items count="272">
        <item x="15"/>
        <item x="1"/>
        <item x="43"/>
        <item x="96"/>
        <item x="219"/>
        <item x="214"/>
        <item x="220"/>
        <item x="57"/>
        <item x="41"/>
        <item x="225"/>
        <item x="2"/>
        <item x="263"/>
        <item x="48"/>
        <item x="264"/>
        <item x="44"/>
        <item x="99"/>
        <item x="86"/>
        <item x="16"/>
        <item x="50"/>
        <item x="11"/>
        <item x="135"/>
        <item x="240"/>
        <item x="47"/>
        <item x="21"/>
        <item x="89"/>
        <item x="75"/>
        <item x="94"/>
        <item x="26"/>
        <item x="247"/>
        <item x="6"/>
        <item x="38"/>
        <item x="9"/>
        <item x="24"/>
        <item x="23"/>
        <item x="12"/>
        <item x="19"/>
        <item x="18"/>
        <item x="22"/>
        <item x="92"/>
        <item x="217"/>
        <item x="17"/>
        <item x="7"/>
        <item x="42"/>
        <item x="238"/>
        <item x="45"/>
        <item x="25"/>
        <item x="28"/>
        <item x="31"/>
        <item x="90"/>
        <item x="91"/>
        <item x="39"/>
        <item x="33"/>
        <item x="10"/>
        <item x="130"/>
        <item x="141"/>
        <item x="14"/>
        <item x="13"/>
        <item x="4"/>
        <item x="239"/>
        <item x="34"/>
        <item x="30"/>
        <item x="88"/>
        <item x="93"/>
        <item x="128"/>
        <item x="67"/>
        <item x="36"/>
        <item x="3"/>
        <item x="37"/>
        <item x="63"/>
        <item x="8"/>
        <item x="0"/>
        <item x="5"/>
        <item x="20"/>
        <item x="27"/>
        <item x="29"/>
        <item x="32"/>
        <item x="35"/>
        <item x="40"/>
        <item x="46"/>
        <item x="49"/>
        <item x="51"/>
        <item x="52"/>
        <item x="53"/>
        <item x="54"/>
        <item x="55"/>
        <item x="56"/>
        <item x="58"/>
        <item x="59"/>
        <item x="60"/>
        <item x="61"/>
        <item x="62"/>
        <item x="64"/>
        <item x="65"/>
        <item x="66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7"/>
        <item x="95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6"/>
        <item x="218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41"/>
        <item x="242"/>
        <item x="243"/>
        <item x="244"/>
        <item x="245"/>
        <item x="246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5"/>
        <item x="266"/>
        <item x="267"/>
        <item x="268"/>
        <item x="269"/>
        <item x="270"/>
        <item x="271"/>
      </items>
    </pivotField>
    <pivotField axis="axisRow" compact="0" numFmtId="4" outline="0" showAll="0" defaultSubtotal="0">
      <items count="89">
        <item x="28"/>
        <item x="31"/>
        <item x="26"/>
        <item x="15"/>
        <item x="32"/>
        <item x="5"/>
        <item x="20"/>
        <item x="9"/>
        <item x="8"/>
        <item x="13"/>
        <item x="24"/>
        <item x="29"/>
        <item x="2"/>
        <item x="3"/>
        <item x="6"/>
        <item x="0"/>
        <item x="19"/>
        <item x="23"/>
        <item x="4"/>
        <item x="11"/>
        <item x="40"/>
        <item x="12"/>
        <item x="7"/>
        <item x="18"/>
        <item x="10"/>
        <item x="27"/>
        <item x="21"/>
        <item x="30"/>
        <item x="42"/>
        <item x="1"/>
        <item x="16"/>
        <item x="17"/>
        <item x="25"/>
        <item x="49"/>
        <item x="85"/>
        <item x="86"/>
        <item x="34"/>
        <item x="51"/>
        <item x="75"/>
        <item x="14"/>
        <item x="22"/>
        <item x="33"/>
        <item x="35"/>
        <item x="36"/>
        <item x="37"/>
        <item x="38"/>
        <item x="39"/>
        <item x="41"/>
        <item x="43"/>
        <item x="44"/>
        <item x="45"/>
        <item x="46"/>
        <item x="47"/>
        <item x="48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7"/>
        <item x="88"/>
      </items>
    </pivotField>
    <pivotField axis="axisRow" compact="0" numFmtId="4" outline="0" showAll="0" defaultSubtotal="0">
      <items count="250">
        <item x="60"/>
        <item x="42"/>
        <item x="47"/>
        <item x="94"/>
        <item x="36"/>
        <item x="18"/>
        <item x="45"/>
        <item x="19"/>
        <item x="48"/>
        <item x="89"/>
        <item x="26"/>
        <item x="25"/>
        <item x="111"/>
        <item x="11"/>
        <item x="46"/>
        <item x="88"/>
        <item x="15"/>
        <item x="44"/>
        <item x="106"/>
        <item x="10"/>
        <item x="87"/>
        <item x="71"/>
        <item x="32"/>
        <item x="84"/>
        <item x="91"/>
        <item x="86"/>
        <item x="35"/>
        <item x="3"/>
        <item x="2"/>
        <item x="43"/>
        <item x="204"/>
        <item x="31"/>
        <item x="6"/>
        <item x="9"/>
        <item x="38"/>
        <item x="0"/>
        <item x="201"/>
        <item x="8"/>
        <item x="24"/>
        <item x="4"/>
        <item x="122"/>
        <item x="39"/>
        <item x="83"/>
        <item x="27"/>
        <item x="37"/>
        <item x="13"/>
        <item x="29"/>
        <item x="81"/>
        <item x="208"/>
        <item x="55"/>
        <item x="40"/>
        <item x="85"/>
        <item x="7"/>
        <item x="34"/>
        <item x="23"/>
        <item x="14"/>
        <item x="17"/>
        <item x="12"/>
        <item x="198"/>
        <item x="64"/>
        <item x="82"/>
        <item x="1"/>
        <item x="20"/>
        <item x="21"/>
        <item x="128"/>
        <item x="129"/>
        <item x="203"/>
        <item x="243"/>
        <item x="221"/>
        <item x="228"/>
        <item x="220"/>
        <item x="16"/>
        <item x="5"/>
        <item x="22"/>
        <item x="28"/>
        <item x="30"/>
        <item x="33"/>
        <item x="41"/>
        <item x="49"/>
        <item x="50"/>
        <item x="51"/>
        <item x="52"/>
        <item x="53"/>
        <item x="54"/>
        <item x="56"/>
        <item x="57"/>
        <item x="58"/>
        <item x="59"/>
        <item x="61"/>
        <item x="62"/>
        <item x="63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90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0"/>
        <item x="202"/>
        <item x="205"/>
        <item x="206"/>
        <item x="207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2"/>
        <item x="223"/>
        <item x="224"/>
        <item x="225"/>
        <item x="226"/>
        <item x="227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4"/>
        <item x="245"/>
        <item x="246"/>
        <item x="247"/>
        <item x="248"/>
        <item x="249"/>
      </items>
    </pivotField>
    <pivotField axis="axisRow" compact="0" numFmtId="165" outline="0" showAll="0">
      <items count="29">
        <item x="8"/>
        <item x="6"/>
        <item x="1"/>
        <item x="23"/>
        <item x="21"/>
        <item x="20"/>
        <item x="19"/>
        <item x="18"/>
        <item x="17"/>
        <item x="3"/>
        <item x="16"/>
        <item x="15"/>
        <item x="14"/>
        <item x="13"/>
        <item x="12"/>
        <item x="11"/>
        <item x="10"/>
        <item x="9"/>
        <item x="27"/>
        <item x="7"/>
        <item x="4"/>
        <item x="22"/>
        <item x="2"/>
        <item x="0"/>
        <item x="5"/>
        <item x="24"/>
        <item x="25"/>
        <item x="2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Col" compact="0" numFmtId="14" outline="0" showAll="0" defaultSubtotal="0">
      <items count="3">
        <item x="0"/>
        <item x="1"/>
        <item x="2"/>
      </items>
    </pivotField>
    <pivotField axis="axisCol" compact="0" outline="0" showAll="0">
      <items count="4">
        <item x="0"/>
        <item x="1"/>
        <item x="2"/>
        <item t="default"/>
      </items>
    </pivotField>
    <pivotField dataField="1" compact="0" outline="0" showAll="0"/>
    <pivotField dataField="1" compact="0" outline="0" showAll="0"/>
  </pivotFields>
  <rowFields count="6">
    <field x="1"/>
    <field x="2"/>
    <field x="3"/>
    <field x="4"/>
    <field x="5"/>
    <field x="6"/>
  </rowFields>
  <rowItems count="305">
    <i>
      <x/>
      <x/>
      <x v="1"/>
      <x v="29"/>
      <x v="61"/>
      <x v="2"/>
    </i>
    <i r="1">
      <x v="6"/>
      <x v="40"/>
      <x v="3"/>
      <x v="5"/>
      <x/>
    </i>
    <i r="4">
      <x v="7"/>
      <x/>
    </i>
    <i r="1">
      <x v="7"/>
      <x v="41"/>
      <x v="22"/>
      <x v="37"/>
      <x/>
    </i>
    <i r="4">
      <x v="52"/>
      <x v="19"/>
    </i>
    <i r="1">
      <x v="8"/>
      <x v="45"/>
      <x v="22"/>
      <x v="52"/>
      <x/>
    </i>
    <i r="1">
      <x v="16"/>
      <x v="37"/>
      <x v="16"/>
      <x v="38"/>
      <x v="8"/>
    </i>
    <i r="1">
      <x v="17"/>
      <x v="8"/>
      <x/>
      <x v="1"/>
      <x/>
    </i>
    <i r="1">
      <x v="21"/>
      <x v="32"/>
      <x v="6"/>
      <x v="10"/>
      <x v="6"/>
    </i>
    <i r="1">
      <x v="22"/>
      <x v="33"/>
      <x v="7"/>
      <x v="11"/>
      <x v="7"/>
    </i>
    <i r="1">
      <x v="23"/>
      <x v="35"/>
      <x v="31"/>
      <x v="63"/>
      <x v="11"/>
    </i>
    <i r="1">
      <x v="25"/>
      <x v="52"/>
      <x v="7"/>
      <x v="13"/>
      <x v="16"/>
    </i>
    <i r="1">
      <x v="26"/>
      <x v="55"/>
      <x v="9"/>
      <x v="16"/>
      <x v="13"/>
    </i>
    <i r="1">
      <x v="27"/>
      <x v="56"/>
      <x v="21"/>
      <x v="55"/>
      <x v="14"/>
    </i>
    <i r="1">
      <x v="28"/>
      <x v="60"/>
      <x v="17"/>
      <x v="31"/>
      <x v="1"/>
    </i>
    <i r="1">
      <x v="29"/>
      <x v="68"/>
      <x v="1"/>
      <x/>
      <x/>
    </i>
    <i r="1">
      <x v="30"/>
      <x v="69"/>
      <x v="14"/>
      <x v="33"/>
      <x v="17"/>
    </i>
    <i r="1">
      <x v="33"/>
      <x v="7"/>
      <x v="27"/>
      <x v="49"/>
      <x/>
    </i>
    <i r="1">
      <x v="34"/>
      <x v="12"/>
      <x v="1"/>
      <x v="2"/>
      <x/>
    </i>
    <i r="1">
      <x v="35"/>
      <x v="17"/>
      <x v="21"/>
      <x v="56"/>
      <x v="12"/>
    </i>
    <i r="1">
      <x v="36"/>
      <x v="18"/>
      <x v="4"/>
      <x v="8"/>
      <x/>
    </i>
    <i r="1">
      <x v="40"/>
      <x v="42"/>
      <x v="2"/>
      <x v="4"/>
      <x/>
    </i>
    <i r="1">
      <x v="41"/>
      <x v="44"/>
      <x v="3"/>
      <x v="6"/>
      <x/>
    </i>
    <i r="4">
      <x v="7"/>
      <x/>
    </i>
    <i r="1">
      <x v="42"/>
      <x v="57"/>
      <x v="18"/>
      <x v="39"/>
      <x v="20"/>
    </i>
    <i r="1">
      <x v="46"/>
      <x v="2"/>
      <x v="16"/>
      <x v="29"/>
      <x/>
    </i>
    <i r="1">
      <x v="51"/>
      <x v="19"/>
      <x v="24"/>
      <x v="57"/>
      <x v="15"/>
    </i>
    <i r="1">
      <x v="52"/>
      <x v="23"/>
      <x v="23"/>
      <x v="54"/>
      <x v="10"/>
    </i>
    <i r="1">
      <x v="57"/>
      <x v="36"/>
      <x v="30"/>
      <x v="62"/>
      <x v="11"/>
    </i>
    <i r="1">
      <x v="59"/>
      <x v="50"/>
      <x v="25"/>
      <x v="50"/>
      <x/>
    </i>
    <i r="1">
      <x v="60"/>
      <x v="67"/>
      <x v="21"/>
      <x v="34"/>
      <x/>
    </i>
    <i r="1">
      <x v="61"/>
      <x v="70"/>
      <x v="15"/>
      <x v="35"/>
      <x v="23"/>
    </i>
    <i r="1">
      <x v="62"/>
      <x v="10"/>
      <x v="12"/>
      <x v="28"/>
      <x v="22"/>
    </i>
    <i r="1">
      <x v="67"/>
      <x v="27"/>
      <x v="26"/>
      <x v="43"/>
      <x v="2"/>
    </i>
    <i r="1">
      <x v="69"/>
      <x v="64"/>
      <x v="25"/>
      <x v="59"/>
      <x/>
    </i>
    <i r="1">
      <x v="71"/>
      <x v="71"/>
      <x v="5"/>
      <x v="72"/>
      <x v="24"/>
    </i>
    <i r="1">
      <x v="72"/>
      <x v="72"/>
      <x v="18"/>
      <x v="73"/>
      <x v="11"/>
    </i>
    <i r="1">
      <x v="73"/>
      <x v="73"/>
      <x v="40"/>
      <x v="74"/>
      <x v="1"/>
    </i>
    <i r="1">
      <x v="74"/>
      <x v="74"/>
      <x v="21"/>
      <x v="75"/>
      <x v="1"/>
    </i>
    <i r="1">
      <x v="75"/>
      <x v="75"/>
      <x v="21"/>
      <x v="76"/>
      <x v="1"/>
    </i>
    <i r="1">
      <x v="76"/>
      <x v="76"/>
      <x v="2"/>
      <x v="4"/>
      <x/>
    </i>
    <i r="1">
      <x v="77"/>
      <x v="77"/>
      <x v="18"/>
      <x v="77"/>
      <x/>
    </i>
    <i r="1">
      <x v="78"/>
      <x v="78"/>
      <x v="11"/>
      <x v="35"/>
      <x/>
    </i>
    <i r="1">
      <x v="79"/>
      <x v="79"/>
      <x v="25"/>
      <x v="50"/>
      <x/>
    </i>
    <i r="1">
      <x v="80"/>
      <x v="80"/>
      <x v="10"/>
      <x v="78"/>
      <x/>
    </i>
    <i r="1">
      <x v="81"/>
      <x v="81"/>
      <x v="27"/>
      <x v="79"/>
      <x/>
    </i>
    <i r="1">
      <x v="82"/>
      <x v="82"/>
      <x v="41"/>
      <x v="80"/>
      <x/>
    </i>
    <i r="1">
      <x v="83"/>
      <x v="83"/>
      <x v="41"/>
      <x v="81"/>
      <x/>
    </i>
    <i r="1">
      <x v="84"/>
      <x v="84"/>
      <x v="13"/>
      <x v="82"/>
      <x/>
    </i>
    <i r="1">
      <x v="85"/>
      <x v="85"/>
      <x v="26"/>
      <x v="83"/>
      <x/>
    </i>
    <i r="1">
      <x v="86"/>
      <x v="86"/>
      <x v="36"/>
      <x v="84"/>
      <x/>
    </i>
    <i r="1">
      <x v="87"/>
      <x v="87"/>
      <x v="15"/>
      <x v="85"/>
      <x/>
    </i>
    <i r="1">
      <x v="88"/>
      <x v="88"/>
      <x v="12"/>
      <x v="28"/>
      <x/>
    </i>
    <i r="1">
      <x v="89"/>
      <x v="89"/>
      <x v="7"/>
      <x v="86"/>
      <x/>
    </i>
    <i r="1">
      <x v="90"/>
      <x v="90"/>
      <x v="27"/>
      <x v="87"/>
      <x/>
    </i>
    <i r="1">
      <x v="91"/>
      <x v="91"/>
      <x v="21"/>
      <x v="88"/>
      <x/>
    </i>
    <i r="1">
      <x v="92"/>
      <x v="92"/>
      <x v="10"/>
      <x v="89"/>
      <x/>
    </i>
    <i r="1">
      <x v="93"/>
      <x v="93"/>
      <x v="4"/>
      <x v="90"/>
      <x/>
    </i>
    <i r="1">
      <x v="94"/>
      <x v="94"/>
      <x v="40"/>
      <x v="91"/>
      <x/>
    </i>
    <i r="1">
      <x v="95"/>
      <x v="95"/>
      <x v="11"/>
      <x v="92"/>
      <x/>
    </i>
    <i r="1">
      <x v="96"/>
      <x v="96"/>
      <x v="8"/>
      <x v="22"/>
      <x/>
    </i>
    <i r="1">
      <x v="97"/>
      <x v="97"/>
      <x v="6"/>
      <x v="93"/>
      <x/>
    </i>
    <i r="1">
      <x v="98"/>
      <x v="98"/>
      <x v="32"/>
      <x v="94"/>
      <x/>
    </i>
    <i r="1">
      <x v="99"/>
      <x v="99"/>
      <x v="15"/>
      <x v="95"/>
      <x/>
    </i>
    <i r="1">
      <x v="100"/>
      <x v="100"/>
      <x v="42"/>
      <x v="96"/>
      <x/>
    </i>
    <i r="1">
      <x v="101"/>
      <x v="101"/>
      <x v="25"/>
      <x v="59"/>
      <x/>
    </i>
    <i r="1">
      <x v="102"/>
      <x v="102"/>
      <x v="22"/>
      <x v="97"/>
      <x/>
    </i>
    <i r="1">
      <x v="103"/>
      <x v="103"/>
      <x v="43"/>
      <x v="98"/>
      <x/>
    </i>
    <i r="1">
      <x v="104"/>
      <x v="104"/>
      <x v="44"/>
      <x v="99"/>
      <x/>
    </i>
    <i r="1">
      <x v="105"/>
      <x v="105"/>
      <x v="45"/>
      <x v="100"/>
      <x/>
    </i>
    <i r="1">
      <x v="106"/>
      <x v="106"/>
      <x v="11"/>
      <x v="101"/>
      <x/>
    </i>
    <i r="1">
      <x v="107"/>
      <x v="107"/>
      <x v="21"/>
      <x v="102"/>
      <x/>
    </i>
    <i r="1">
      <x v="108"/>
      <x v="108"/>
      <x v="6"/>
      <x v="103"/>
      <x/>
    </i>
    <i r="1">
      <x v="109"/>
      <x v="109"/>
      <x v="41"/>
      <x v="104"/>
      <x/>
    </i>
    <i r="1">
      <x v="110"/>
      <x v="110"/>
      <x v="46"/>
      <x v="105"/>
      <x/>
    </i>
    <i r="1">
      <x v="111"/>
      <x v="111"/>
      <x v="47"/>
      <x v="2"/>
      <x/>
    </i>
    <i t="default">
      <x/>
    </i>
    <i>
      <x v="1"/>
      <x v="1"/>
      <x v="66"/>
      <x v="13"/>
      <x v="27"/>
      <x v="9"/>
    </i>
    <i r="1">
      <x v="2"/>
      <x v="29"/>
      <x v="14"/>
      <x v="32"/>
      <x v="1"/>
    </i>
    <i r="1">
      <x v="3"/>
      <x v="31"/>
      <x v="8"/>
      <x v="19"/>
      <x/>
    </i>
    <i r="1">
      <x v="4"/>
      <x v="34"/>
      <x v="19"/>
      <x v="45"/>
      <x v="1"/>
    </i>
    <i r="1">
      <x v="5"/>
      <x/>
      <x v="39"/>
      <x v="71"/>
      <x/>
    </i>
    <i r="1">
      <x v="9"/>
      <x v="46"/>
      <x v="19"/>
      <x v="46"/>
      <x/>
    </i>
    <i r="1">
      <x v="10"/>
      <x v="47"/>
      <x v="10"/>
      <x v="22"/>
      <x/>
    </i>
    <i r="1">
      <x v="11"/>
      <x v="51"/>
      <x v="32"/>
      <x v="53"/>
      <x v="2"/>
    </i>
    <i r="1">
      <x v="12"/>
      <x v="53"/>
      <x v="6"/>
      <x v="12"/>
      <x/>
    </i>
    <i r="1">
      <x v="13"/>
      <x v="59"/>
      <x v="16"/>
      <x v="26"/>
      <x/>
    </i>
    <i r="1">
      <x v="14"/>
      <x v="65"/>
      <x v="19"/>
      <x v="44"/>
      <x v="2"/>
    </i>
    <i r="1">
      <x v="15"/>
      <x v="30"/>
      <x v="17"/>
      <x v="41"/>
      <x v="5"/>
    </i>
    <i r="1">
      <x v="18"/>
      <x v="14"/>
      <x v="6"/>
      <x v="17"/>
      <x v="4"/>
    </i>
    <i r="1">
      <x v="20"/>
      <x v="22"/>
      <x v="27"/>
      <x v="14"/>
      <x v="1"/>
    </i>
    <i r="1">
      <x v="37"/>
      <x v="25"/>
      <x v="10"/>
      <x v="21"/>
      <x/>
    </i>
    <i r="1">
      <x v="43"/>
      <x v="16"/>
      <x v="20"/>
      <x v="47"/>
      <x/>
    </i>
    <i r="1">
      <x v="44"/>
      <x v="24"/>
      <x v="17"/>
      <x v="42"/>
      <x v="1"/>
    </i>
    <i r="1">
      <x v="47"/>
      <x v="38"/>
      <x v="13"/>
      <x v="20"/>
      <x/>
    </i>
    <i r="4">
      <x v="25"/>
      <x v="3"/>
    </i>
    <i r="1">
      <x v="48"/>
      <x v="49"/>
      <x v="21"/>
      <x v="51"/>
      <x v="5"/>
    </i>
    <i r="1">
      <x v="50"/>
      <x v="20"/>
      <x v="31"/>
      <x v="64"/>
      <x/>
    </i>
    <i r="4">
      <x v="65"/>
      <x/>
    </i>
    <i r="1">
      <x v="53"/>
      <x v="61"/>
      <x v="28"/>
      <x v="60"/>
      <x v="21"/>
    </i>
    <i r="1">
      <x v="55"/>
      <x v="15"/>
      <x v="5"/>
      <x v="3"/>
      <x/>
    </i>
    <i r="1">
      <x v="56"/>
      <x v="3"/>
      <x v="13"/>
      <x v="24"/>
      <x v="1"/>
    </i>
    <i r="1">
      <x v="58"/>
      <x v="63"/>
      <x v="18"/>
      <x v="40"/>
      <x/>
    </i>
    <i r="1">
      <x v="63"/>
      <x v="54"/>
      <x v="6"/>
      <x v="12"/>
      <x/>
    </i>
    <i r="1">
      <x v="64"/>
      <x v="26"/>
      <x v="11"/>
      <x v="9"/>
      <x v="3"/>
    </i>
    <i r="1">
      <x v="65"/>
      <x v="62"/>
      <x v="11"/>
      <x v="15"/>
      <x v="4"/>
    </i>
    <i r="1">
      <x v="66"/>
      <x v="48"/>
      <x v="11"/>
      <x v="23"/>
      <x v="6"/>
    </i>
    <i r="1">
      <x v="112"/>
      <x v="112"/>
      <x v="20"/>
      <x v="106"/>
      <x v="2"/>
    </i>
    <i r="1">
      <x v="113"/>
      <x v="113"/>
      <x v="20"/>
      <x v="107"/>
      <x/>
    </i>
    <i r="1">
      <x v="114"/>
      <x v="114"/>
      <x v="48"/>
      <x v="108"/>
      <x/>
    </i>
    <i r="1">
      <x v="115"/>
      <x v="115"/>
      <x v="49"/>
      <x v="109"/>
      <x/>
    </i>
    <i r="1">
      <x v="116"/>
      <x v="116"/>
      <x v="21"/>
      <x v="110"/>
      <x/>
    </i>
    <i r="1">
      <x v="117"/>
      <x v="117"/>
      <x v="11"/>
      <x v="111"/>
      <x/>
    </i>
    <i r="1">
      <x v="118"/>
      <x v="118"/>
      <x v="13"/>
      <x v="112"/>
      <x/>
    </i>
    <i r="1">
      <x v="119"/>
      <x v="119"/>
      <x v="11"/>
      <x v="113"/>
      <x/>
    </i>
    <i r="1">
      <x v="120"/>
      <x v="120"/>
      <x v="40"/>
      <x v="114"/>
      <x/>
    </i>
    <i r="1">
      <x v="121"/>
      <x v="121"/>
      <x v="50"/>
      <x v="115"/>
      <x/>
    </i>
    <i r="1">
      <x v="122"/>
      <x v="122"/>
      <x v="6"/>
      <x v="116"/>
      <x/>
    </i>
    <i r="1">
      <x v="123"/>
      <x v="123"/>
      <x v="11"/>
      <x v="117"/>
      <x/>
    </i>
    <i r="1">
      <x v="124"/>
      <x v="124"/>
      <x v="27"/>
      <x v="118"/>
      <x/>
    </i>
    <i r="1">
      <x v="125"/>
      <x v="125"/>
      <x v="51"/>
      <x v="119"/>
      <x/>
    </i>
    <i r="1">
      <x v="126"/>
      <x v="126"/>
      <x v="8"/>
      <x v="18"/>
      <x/>
    </i>
    <i r="1">
      <x v="127"/>
      <x v="127"/>
      <x v="17"/>
      <x v="120"/>
      <x/>
    </i>
    <i r="1">
      <x v="128"/>
      <x v="128"/>
      <x v="13"/>
      <x v="121"/>
      <x/>
    </i>
    <i r="1">
      <x v="129"/>
      <x v="129"/>
      <x v="17"/>
      <x v="122"/>
      <x/>
    </i>
    <i r="1">
      <x v="130"/>
      <x v="130"/>
      <x v="23"/>
      <x v="123"/>
      <x/>
    </i>
    <i r="1">
      <x v="131"/>
      <x v="131"/>
      <x v="8"/>
      <x v="21"/>
      <x/>
    </i>
    <i r="1">
      <x v="132"/>
      <x v="132"/>
      <x v="6"/>
      <x v="12"/>
      <x/>
    </i>
    <i r="1">
      <x v="133"/>
      <x v="133"/>
      <x v="19"/>
      <x v="124"/>
      <x/>
    </i>
    <i r="1">
      <x v="134"/>
      <x v="134"/>
      <x v="10"/>
      <x v="125"/>
      <x/>
    </i>
    <i r="1">
      <x v="135"/>
      <x v="135"/>
      <x v="52"/>
      <x v="126"/>
      <x/>
    </i>
    <i r="1">
      <x v="136"/>
      <x v="136"/>
      <x v="53"/>
      <x v="127"/>
      <x/>
    </i>
    <i r="1">
      <x v="137"/>
      <x v="137"/>
      <x v="23"/>
      <x v="128"/>
      <x/>
    </i>
    <i r="1">
      <x v="138"/>
      <x v="138"/>
      <x v="33"/>
      <x v="129"/>
      <x/>
    </i>
    <i r="1">
      <x v="139"/>
      <x v="139"/>
      <x v="14"/>
      <x v="130"/>
      <x/>
    </i>
    <i r="1">
      <x v="140"/>
      <x v="140"/>
      <x v="11"/>
      <x v="131"/>
      <x/>
    </i>
    <i r="1">
      <x v="141"/>
      <x v="141"/>
      <x v="41"/>
      <x v="132"/>
      <x/>
    </i>
    <i r="1">
      <x v="142"/>
      <x v="142"/>
      <x v="15"/>
      <x v="133"/>
      <x/>
    </i>
    <i r="1">
      <x v="143"/>
      <x v="143"/>
      <x v="4"/>
      <x v="134"/>
      <x/>
    </i>
    <i r="1">
      <x v="144"/>
      <x v="144"/>
      <x v="54"/>
      <x v="135"/>
      <x/>
    </i>
    <i r="1">
      <x v="145"/>
      <x v="145"/>
      <x v="32"/>
      <x v="136"/>
      <x/>
    </i>
    <i r="1">
      <x v="146"/>
      <x v="146"/>
      <x v="11"/>
      <x v="137"/>
      <x/>
    </i>
    <i r="1">
      <x v="147"/>
      <x v="147"/>
      <x v="12"/>
      <x v="138"/>
      <x/>
    </i>
    <i r="1">
      <x v="148"/>
      <x v="148"/>
      <x v="11"/>
      <x v="139"/>
      <x/>
    </i>
    <i r="1">
      <x v="149"/>
      <x v="149"/>
      <x v="27"/>
      <x v="140"/>
      <x/>
    </i>
    <i r="1">
      <x v="150"/>
      <x v="150"/>
      <x v="37"/>
      <x v="141"/>
      <x/>
    </i>
    <i r="1">
      <x v="151"/>
      <x v="151"/>
      <x v="27"/>
      <x v="142"/>
      <x/>
    </i>
    <i r="1">
      <x v="152"/>
      <x v="152"/>
      <x v="6"/>
      <x v="12"/>
      <x/>
    </i>
    <i r="1">
      <x v="153"/>
      <x v="153"/>
      <x v="26"/>
      <x v="143"/>
      <x/>
    </i>
    <i r="4">
      <x v="144"/>
      <x/>
    </i>
    <i r="1">
      <x v="154"/>
      <x v="154"/>
      <x v="32"/>
      <x v="145"/>
      <x/>
    </i>
    <i r="1">
      <x v="155"/>
      <x v="155"/>
      <x v="55"/>
      <x v="134"/>
      <x/>
    </i>
    <i r="1">
      <x v="156"/>
      <x v="156"/>
      <x v="6"/>
      <x v="12"/>
      <x/>
    </i>
    <i r="1">
      <x v="157"/>
      <x v="157"/>
      <x v="14"/>
      <x v="146"/>
      <x/>
    </i>
    <i r="1">
      <x v="158"/>
      <x v="158"/>
      <x v="17"/>
      <x v="147"/>
      <x/>
    </i>
    <i r="1">
      <x v="159"/>
      <x v="159"/>
      <x v="27"/>
      <x v="140"/>
      <x/>
    </i>
    <i r="1">
      <x v="160"/>
      <x v="160"/>
      <x v="24"/>
      <x v="148"/>
      <x/>
    </i>
    <i r="1">
      <x v="161"/>
      <x v="161"/>
      <x v="56"/>
      <x v="149"/>
      <x/>
    </i>
    <i r="1">
      <x v="162"/>
      <x v="162"/>
      <x v="6"/>
      <x v="12"/>
      <x/>
    </i>
    <i r="1">
      <x v="163"/>
      <x v="163"/>
      <x v="36"/>
      <x v="150"/>
      <x/>
    </i>
    <i r="1">
      <x v="164"/>
      <x v="164"/>
      <x v="13"/>
      <x v="151"/>
      <x/>
    </i>
    <i r="1">
      <x v="165"/>
      <x v="165"/>
      <x v="16"/>
      <x v="152"/>
      <x/>
    </i>
    <i r="1">
      <x v="166"/>
      <x v="166"/>
      <x v="15"/>
      <x v="45"/>
      <x/>
    </i>
    <i r="1">
      <x v="167"/>
      <x v="167"/>
      <x v="54"/>
      <x v="153"/>
      <x/>
    </i>
    <i r="1">
      <x v="168"/>
      <x v="168"/>
      <x v="6"/>
      <x v="154"/>
      <x/>
    </i>
    <i r="1">
      <x v="169"/>
      <x v="169"/>
      <x v="36"/>
      <x v="150"/>
      <x/>
    </i>
    <i r="1">
      <x v="170"/>
      <x v="170"/>
      <x v="13"/>
      <x v="155"/>
      <x/>
    </i>
    <i r="1">
      <x v="171"/>
      <x v="171"/>
      <x v="6"/>
      <x v="12"/>
      <x/>
    </i>
    <i r="1">
      <x v="172"/>
      <x v="172"/>
      <x v="6"/>
      <x v="12"/>
      <x/>
    </i>
    <i r="1">
      <x v="173"/>
      <x v="173"/>
      <x v="32"/>
      <x v="156"/>
      <x/>
    </i>
    <i r="1">
      <x v="174"/>
      <x v="174"/>
      <x v="57"/>
      <x v="134"/>
      <x/>
    </i>
    <i r="1">
      <x v="175"/>
      <x v="175"/>
      <x v="27"/>
      <x v="140"/>
      <x/>
    </i>
    <i r="1">
      <x v="176"/>
      <x v="176"/>
      <x v="58"/>
      <x v="157"/>
      <x/>
    </i>
    <i r="1">
      <x v="177"/>
      <x v="177"/>
      <x v="59"/>
      <x v="158"/>
      <x/>
    </i>
    <i r="4">
      <x v="159"/>
      <x/>
    </i>
    <i r="1">
      <x v="178"/>
      <x v="178"/>
      <x v="60"/>
      <x v="160"/>
      <x/>
    </i>
    <i r="4">
      <x v="161"/>
      <x/>
    </i>
    <i r="1">
      <x v="179"/>
      <x v="179"/>
      <x v="60"/>
      <x v="162"/>
      <x/>
    </i>
    <i r="4">
      <x v="163"/>
      <x/>
    </i>
    <i r="1">
      <x v="180"/>
      <x v="180"/>
      <x v="59"/>
      <x v="159"/>
      <x/>
    </i>
    <i r="4">
      <x v="164"/>
      <x/>
    </i>
    <i r="1">
      <x v="181"/>
      <x v="181"/>
      <x v="61"/>
      <x v="165"/>
      <x/>
    </i>
    <i r="4">
      <x v="166"/>
      <x/>
    </i>
    <i r="1">
      <x v="182"/>
      <x v="182"/>
      <x v="26"/>
      <x v="167"/>
      <x/>
    </i>
    <i r="4">
      <x v="168"/>
      <x/>
    </i>
    <i r="1">
      <x v="183"/>
      <x v="183"/>
      <x v="62"/>
      <x v="169"/>
      <x/>
    </i>
    <i r="4">
      <x v="170"/>
      <x/>
    </i>
    <i r="1">
      <x v="184"/>
      <x v="184"/>
      <x v="4"/>
      <x v="171"/>
      <x/>
    </i>
    <i r="4">
      <x v="172"/>
      <x/>
    </i>
    <i r="1">
      <x v="185"/>
      <x v="185"/>
      <x v="13"/>
      <x v="173"/>
      <x/>
    </i>
    <i r="4">
      <x v="174"/>
      <x/>
    </i>
    <i r="1">
      <x v="186"/>
      <x v="186"/>
      <x v="23"/>
      <x v="175"/>
      <x/>
    </i>
    <i r="4">
      <x v="176"/>
      <x/>
    </i>
    <i r="1">
      <x v="187"/>
      <x v="187"/>
      <x v="63"/>
      <x v="177"/>
      <x/>
    </i>
    <i r="1">
      <x v="188"/>
      <x v="188"/>
      <x v="36"/>
      <x v="178"/>
      <x/>
    </i>
    <i r="1">
      <x v="189"/>
      <x v="189"/>
      <x v="36"/>
      <x v="178"/>
      <x/>
    </i>
    <i r="1">
      <x v="190"/>
      <x v="190"/>
      <x v="36"/>
      <x v="178"/>
      <x/>
    </i>
    <i r="1">
      <x v="191"/>
      <x v="191"/>
      <x v="61"/>
      <x v="179"/>
      <x/>
    </i>
    <i r="1">
      <x v="192"/>
      <x v="192"/>
      <x v="59"/>
      <x v="164"/>
      <x/>
    </i>
    <i r="1">
      <x v="193"/>
      <x v="193"/>
      <x v="17"/>
      <x v="180"/>
      <x/>
    </i>
    <i r="1">
      <x v="194"/>
      <x v="194"/>
      <x v="15"/>
      <x v="86"/>
      <x/>
    </i>
    <i r="1">
      <x v="195"/>
      <x v="195"/>
      <x v="45"/>
      <x v="181"/>
      <x/>
    </i>
    <i r="1">
      <x v="196"/>
      <x v="196"/>
      <x v="64"/>
      <x v="182"/>
      <x/>
    </i>
    <i r="1">
      <x v="197"/>
      <x v="197"/>
      <x v="25"/>
      <x v="183"/>
      <x/>
    </i>
    <i r="1">
      <x v="198"/>
      <x v="112"/>
      <x v="25"/>
      <x v="183"/>
      <x/>
    </i>
    <i r="1">
      <x v="199"/>
      <x v="198"/>
      <x v="17"/>
      <x v="184"/>
      <x/>
    </i>
    <i r="1">
      <x v="200"/>
      <x v="199"/>
      <x v="17"/>
      <x v="185"/>
      <x/>
    </i>
    <i t="default">
      <x v="1"/>
    </i>
    <i>
      <x v="2"/>
      <x v="31"/>
      <x v="4"/>
      <x v="33"/>
      <x v="66"/>
      <x/>
    </i>
    <i r="1">
      <x v="32"/>
      <x v="5"/>
      <x v="33"/>
      <x v="58"/>
      <x v="3"/>
    </i>
    <i r="1">
      <x v="39"/>
      <x v="39"/>
      <x v="27"/>
      <x v="36"/>
      <x/>
    </i>
    <i r="1">
      <x v="49"/>
      <x v="6"/>
      <x v="15"/>
      <x v="30"/>
      <x/>
    </i>
    <i r="1">
      <x v="225"/>
      <x v="224"/>
      <x v="27"/>
      <x v="206"/>
      <x v="25"/>
    </i>
    <i r="1">
      <x v="226"/>
      <x v="225"/>
      <x v="33"/>
      <x v="207"/>
      <x v="26"/>
    </i>
    <i r="1">
      <x v="227"/>
      <x v="226"/>
      <x v="33"/>
      <x v="208"/>
      <x v="27"/>
    </i>
    <i r="1">
      <x v="228"/>
      <x v="227"/>
      <x v="27"/>
      <x v="209"/>
      <x/>
    </i>
    <i r="1">
      <x v="229"/>
      <x v="228"/>
      <x v="72"/>
      <x v="36"/>
      <x/>
    </i>
    <i r="1">
      <x v="230"/>
      <x v="229"/>
      <x v="77"/>
      <x v="210"/>
      <x/>
    </i>
    <i r="1">
      <x v="231"/>
      <x v="230"/>
      <x v="72"/>
      <x v="211"/>
      <x/>
    </i>
    <i r="1">
      <x v="232"/>
      <x v="231"/>
      <x v="38"/>
      <x v="212"/>
      <x/>
    </i>
    <i t="default">
      <x v="2"/>
    </i>
    <i>
      <x v="3"/>
      <x v="54"/>
      <x v="9"/>
      <x v="20"/>
      <x v="48"/>
      <x v="18"/>
    </i>
    <i r="1">
      <x v="233"/>
      <x v="232"/>
      <x v="25"/>
      <x v="213"/>
      <x/>
    </i>
    <i r="1">
      <x v="234"/>
      <x v="233"/>
      <x v="48"/>
      <x v="214"/>
      <x/>
    </i>
    <i r="1">
      <x v="235"/>
      <x v="234"/>
      <x v="4"/>
      <x v="215"/>
      <x/>
    </i>
    <i r="1">
      <x v="236"/>
      <x v="235"/>
      <x v="46"/>
      <x v="216"/>
      <x/>
    </i>
    <i t="default">
      <x v="3"/>
    </i>
    <i>
      <x v="4"/>
      <x v="19"/>
      <x v="21"/>
      <x v="37"/>
      <x v="68"/>
      <x/>
    </i>
    <i r="1">
      <x v="24"/>
      <x v="43"/>
      <x v="38"/>
      <x v="70"/>
      <x/>
    </i>
    <i r="1">
      <x v="45"/>
      <x v="58"/>
      <x v="10"/>
      <x v="18"/>
      <x/>
    </i>
    <i r="1">
      <x v="245"/>
      <x v="244"/>
      <x v="37"/>
      <x v="224"/>
      <x/>
    </i>
    <i r="1">
      <x v="246"/>
      <x v="245"/>
      <x v="17"/>
      <x v="225"/>
      <x/>
    </i>
    <i r="1">
      <x v="247"/>
      <x v="246"/>
      <x v="38"/>
      <x v="226"/>
      <x/>
    </i>
    <i r="1">
      <x v="248"/>
      <x v="247"/>
      <x v="80"/>
      <x v="227"/>
      <x/>
    </i>
    <i r="1">
      <x v="249"/>
      <x v="248"/>
      <x v="39"/>
      <x v="228"/>
      <x/>
    </i>
    <i r="1">
      <x v="250"/>
      <x v="249"/>
      <x v="37"/>
      <x v="229"/>
      <x/>
    </i>
    <i t="default">
      <x v="4"/>
    </i>
    <i>
      <x v="5"/>
      <x v="38"/>
      <x v="28"/>
      <x v="36"/>
      <x v="69"/>
      <x/>
    </i>
    <i r="1">
      <x v="251"/>
      <x v="250"/>
      <x v="38"/>
      <x v="230"/>
      <x/>
    </i>
    <i r="1">
      <x v="252"/>
      <x v="251"/>
      <x v="81"/>
      <x v="231"/>
      <x/>
    </i>
    <i r="1">
      <x v="253"/>
      <x v="252"/>
      <x v="82"/>
      <x v="232"/>
      <x/>
    </i>
    <i r="1">
      <x v="254"/>
      <x v="253"/>
      <x v="83"/>
      <x v="233"/>
      <x/>
    </i>
    <i r="1">
      <x v="255"/>
      <x v="254"/>
      <x v="37"/>
      <x v="234"/>
      <x/>
    </i>
    <i r="1">
      <x v="256"/>
      <x v="255"/>
      <x v="8"/>
      <x v="86"/>
      <x/>
    </i>
    <i r="1">
      <x v="257"/>
      <x v="256"/>
      <x v="64"/>
      <x v="235"/>
      <x/>
    </i>
    <i r="1">
      <x v="258"/>
      <x v="257"/>
      <x v="84"/>
      <x v="236"/>
      <x/>
    </i>
    <i r="1">
      <x v="259"/>
      <x v="258"/>
      <x v="85"/>
      <x v="237"/>
      <x/>
    </i>
    <i r="1">
      <x v="260"/>
      <x v="259"/>
      <x v="36"/>
      <x v="238"/>
      <x/>
    </i>
    <i r="1">
      <x v="261"/>
      <x v="260"/>
      <x v="83"/>
      <x v="239"/>
      <x/>
    </i>
    <i r="1">
      <x v="262"/>
      <x v="261"/>
      <x v="77"/>
      <x v="240"/>
      <x/>
    </i>
    <i r="1">
      <x v="263"/>
      <x v="262"/>
      <x v="84"/>
      <x v="241"/>
      <x/>
    </i>
    <i r="1">
      <x v="264"/>
      <x v="263"/>
      <x v="38"/>
      <x v="242"/>
      <x/>
    </i>
    <i r="1">
      <x v="265"/>
      <x v="264"/>
      <x v="86"/>
      <x v="243"/>
      <x/>
    </i>
    <i t="default">
      <x v="5"/>
    </i>
    <i>
      <x v="6"/>
      <x v="68"/>
      <x v="11"/>
      <x v="34"/>
      <x v="67"/>
      <x/>
    </i>
    <i r="1">
      <x v="70"/>
      <x v="13"/>
      <x v="35"/>
      <x v="67"/>
      <x/>
    </i>
    <i r="1">
      <x v="266"/>
      <x v="265"/>
      <x v="27"/>
      <x v="128"/>
      <x/>
    </i>
    <i r="1">
      <x v="267"/>
      <x v="266"/>
      <x v="87"/>
      <x v="244"/>
      <x/>
    </i>
    <i r="1">
      <x v="268"/>
      <x v="267"/>
      <x v="77"/>
      <x v="245"/>
      <x/>
    </i>
    <i r="1">
      <x v="269"/>
      <x v="268"/>
      <x v="77"/>
      <x v="246"/>
      <x/>
    </i>
    <i t="default">
      <x v="6"/>
    </i>
    <i>
      <x v="7"/>
      <x v="201"/>
      <x v="200"/>
      <x v="23"/>
      <x v="186"/>
      <x/>
    </i>
    <i r="1">
      <x v="202"/>
      <x v="201"/>
      <x v="65"/>
      <x v="187"/>
      <x/>
    </i>
    <i r="1">
      <x v="203"/>
      <x v="202"/>
      <x v="66"/>
      <x v="188"/>
      <x/>
    </i>
    <i r="1">
      <x v="204"/>
      <x v="203"/>
      <x v="67"/>
      <x v="189"/>
      <x/>
    </i>
    <i r="1">
      <x v="205"/>
      <x v="204"/>
      <x v="68"/>
      <x v="190"/>
      <x/>
    </i>
    <i r="1">
      <x v="206"/>
      <x v="205"/>
      <x v="67"/>
      <x v="191"/>
      <x/>
    </i>
    <i r="1">
      <x v="207"/>
      <x v="206"/>
      <x v="69"/>
      <x v="192"/>
      <x/>
    </i>
    <i r="1">
      <x v="208"/>
      <x v="207"/>
      <x v="70"/>
      <x v="110"/>
      <x/>
    </i>
    <i r="1">
      <x v="209"/>
      <x v="208"/>
      <x v="71"/>
      <x v="193"/>
      <x/>
    </i>
    <i r="1">
      <x v="210"/>
      <x v="209"/>
      <x v="72"/>
      <x v="194"/>
      <x/>
    </i>
    <i r="1">
      <x v="211"/>
      <x v="210"/>
      <x v="72"/>
      <x v="106"/>
      <x/>
    </i>
    <i r="1">
      <x v="212"/>
      <x v="211"/>
      <x v="73"/>
      <x v="195"/>
      <x/>
    </i>
    <i r="1">
      <x v="213"/>
      <x v="212"/>
      <x v="72"/>
      <x v="110"/>
      <x/>
    </i>
    <i r="1">
      <x v="214"/>
      <x v="213"/>
      <x v="72"/>
      <x v="196"/>
      <x/>
    </i>
    <i r="1">
      <x v="215"/>
      <x v="214"/>
      <x v="11"/>
      <x v="197"/>
      <x/>
    </i>
    <i r="1">
      <x v="216"/>
      <x v="215"/>
      <x v="11"/>
      <x v="198"/>
      <x/>
    </i>
    <i r="1">
      <x v="217"/>
      <x v="216"/>
      <x v="72"/>
      <x v="199"/>
      <x/>
    </i>
    <i r="1">
      <x v="218"/>
      <x v="217"/>
      <x v="11"/>
      <x v="200"/>
      <x/>
    </i>
    <i r="1">
      <x v="219"/>
      <x v="218"/>
      <x v="11"/>
      <x v="201"/>
      <x/>
    </i>
    <i r="1">
      <x v="220"/>
      <x v="219"/>
      <x v="11"/>
      <x v="202"/>
      <x/>
    </i>
    <i r="1">
      <x v="221"/>
      <x v="220"/>
      <x v="11"/>
      <x v="19"/>
      <x/>
    </i>
    <i r="1">
      <x v="222"/>
      <x v="221"/>
      <x v="74"/>
      <x v="203"/>
      <x/>
    </i>
    <i r="1">
      <x v="223"/>
      <x v="222"/>
      <x v="75"/>
      <x v="204"/>
      <x/>
    </i>
    <i r="1">
      <x v="224"/>
      <x v="223"/>
      <x v="76"/>
      <x v="205"/>
      <x/>
    </i>
    <i t="default">
      <x v="7"/>
    </i>
    <i>
      <x v="8"/>
      <x v="237"/>
      <x v="236"/>
      <x v="33"/>
      <x v="217"/>
      <x/>
    </i>
    <i t="default">
      <x v="8"/>
    </i>
    <i>
      <x v="9"/>
      <x v="238"/>
      <x v="237"/>
      <x v="60"/>
      <x v="218"/>
      <x/>
    </i>
    <i r="1">
      <x v="239"/>
      <x v="238"/>
      <x v="76"/>
      <x v="219"/>
      <x/>
    </i>
    <i t="default">
      <x v="9"/>
    </i>
    <i>
      <x v="10"/>
      <x v="240"/>
      <x v="239"/>
      <x v="78"/>
      <x v="220"/>
      <x/>
    </i>
    <i t="default">
      <x v="10"/>
    </i>
    <i>
      <x v="11"/>
      <x v="241"/>
      <x v="240"/>
      <x v="79"/>
      <x v="221"/>
      <x/>
    </i>
    <i t="default">
      <x v="11"/>
    </i>
    <i>
      <x v="12"/>
      <x v="242"/>
      <x v="241"/>
      <x v="21"/>
      <x v="222"/>
      <x v="6"/>
    </i>
    <i r="1">
      <x v="243"/>
      <x v="242"/>
      <x v="17"/>
      <x v="223"/>
      <x v="1"/>
    </i>
    <i r="1">
      <x v="244"/>
      <x v="243"/>
      <x v="11"/>
      <x v="201"/>
      <x/>
    </i>
    <i t="default">
      <x v="12"/>
    </i>
    <i>
      <x v="13"/>
      <x v="270"/>
      <x v="269"/>
      <x v="88"/>
      <x v="247"/>
      <x/>
    </i>
    <i t="default">
      <x v="13"/>
    </i>
    <i>
      <x v="14"/>
      <x v="271"/>
      <x v="270"/>
      <x v="21"/>
      <x v="248"/>
      <x/>
    </i>
    <i r="1">
      <x v="272"/>
      <x v="271"/>
      <x v="27"/>
      <x v="249"/>
      <x/>
    </i>
    <i t="default">
      <x v="14"/>
    </i>
    <i t="grand">
      <x/>
    </i>
  </rowItems>
  <colFields count="3">
    <field x="11"/>
    <field x="12"/>
    <field x="-2"/>
  </colFields>
  <colItems count="8">
    <i>
      <x/>
      <x/>
      <x/>
    </i>
    <i r="2" i="1">
      <x v="1"/>
    </i>
    <i>
      <x v="1"/>
      <x v="1"/>
      <x/>
    </i>
    <i r="2" i="1">
      <x v="1"/>
    </i>
    <i>
      <x v="2"/>
      <x v="2"/>
      <x/>
    </i>
    <i r="2" i="1">
      <x v="1"/>
    </i>
    <i t="grand">
      <x/>
    </i>
    <i t="grand" i="1">
      <x/>
    </i>
  </colItems>
  <dataFields count="2">
    <dataField name="Actual Sales" fld="13" baseField="6" baseItem="2" numFmtId="4"/>
    <dataField name="Actual Qty" fld="14" baseField="6" baseItem="2"/>
  </dataFields>
  <formats count="19">
    <format dxfId="34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29"/>
          </reference>
        </references>
      </pivotArea>
    </format>
    <format dxfId="348">
      <pivotArea outline="0" fieldPosition="0">
        <references count="1">
          <reference field="4294967294" count="1">
            <x v="0"/>
          </reference>
        </references>
      </pivotArea>
    </format>
    <format dxfId="347">
      <pivotArea outline="0" fieldPosition="0">
        <references count="9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29"/>
          </reference>
          <reference field="5" count="1" selected="0">
            <x v="61"/>
          </reference>
          <reference field="6" count="1" selected="0">
            <x v="2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346">
      <pivotArea field="1" type="button" dataOnly="0" labelOnly="1" outline="0" axis="axisRow" fieldPosition="0"/>
    </format>
    <format dxfId="345">
      <pivotArea field="2" type="button" dataOnly="0" labelOnly="1" outline="0" axis="axisRow" fieldPosition="1"/>
    </format>
    <format dxfId="344">
      <pivotArea field="3" type="button" dataOnly="0" labelOnly="1" outline="0" axis="axisRow" fieldPosition="2"/>
    </format>
    <format dxfId="343">
      <pivotArea field="4" type="button" dataOnly="0" labelOnly="1" outline="0" axis="axisRow" fieldPosition="3"/>
    </format>
    <format dxfId="342">
      <pivotArea field="5" type="button" dataOnly="0" labelOnly="1" outline="0" axis="axisRow" fieldPosition="4"/>
    </format>
    <format dxfId="341">
      <pivotArea field="6" type="button" dataOnly="0" labelOnly="1" outline="0" axis="axisRow" fieldPosition="5"/>
    </format>
    <format dxfId="340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9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8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337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1"/>
          </reference>
          <reference field="12" count="1" selected="0">
            <x v="1"/>
          </reference>
        </references>
      </pivotArea>
    </format>
    <format dxfId="336">
      <pivotArea dataOnly="0" labelOnly="1" outline="0" fieldPosition="0">
        <references count="1">
          <reference field="11" count="0"/>
        </references>
      </pivotArea>
    </format>
    <format dxfId="335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4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332">
      <pivotArea dataOnly="0" labelOnly="1" outline="0" fieldPosition="0">
        <references count="2">
          <reference field="11" count="1" selected="0">
            <x v="1"/>
          </reference>
          <reference field="12" count="1">
            <x v="1"/>
          </reference>
        </references>
      </pivotArea>
    </format>
    <format dxfId="331">
      <pivotArea dataOnly="0" labelOnly="1" outline="0" fieldPosition="0">
        <references count="2">
          <reference field="11" count="1" selected="0">
            <x v="2"/>
          </reference>
          <reference field="1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J57" firstHeaderRow="1" firstDataRow="2" firstDataCol="3"/>
  <pivotFields count="12">
    <pivotField compact="0" outline="0" showAll="0" includeNewItemsInFilter="1"/>
    <pivotField name="Sub-Department" axis="axisRow" compact="0" numFmtId="164" outline="0" showAll="0" includeNewItemsInFilter="1" sortType="ascending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compact="0" numFmtId="1" outline="0" showAll="0" includeNewItemsInFilter="1" sortType="descending" defaultSubtotal="0">
      <items count="273">
        <item x="20"/>
        <item x="21"/>
        <item x="99"/>
        <item x="18"/>
        <item x="156"/>
        <item x="144"/>
        <item x="74"/>
        <item x="91"/>
        <item x="256"/>
        <item x="82"/>
        <item x="103"/>
        <item x="110"/>
        <item x="146"/>
        <item x="85"/>
        <item x="92"/>
        <item x="153"/>
        <item x="88"/>
        <item x="109"/>
        <item x="29"/>
        <item x="4"/>
        <item x="24"/>
        <item x="51"/>
        <item x="95"/>
        <item x="94"/>
        <item x="157"/>
        <item x="121"/>
        <item x="56"/>
        <item x="84"/>
        <item x="131"/>
        <item x="130"/>
        <item x="260"/>
        <item x="97"/>
        <item x="246"/>
        <item x="98"/>
        <item x="105"/>
        <item x="68"/>
        <item x="83"/>
        <item x="142"/>
        <item x="104"/>
        <item x="257"/>
        <item x="255"/>
        <item x="193"/>
        <item x="205"/>
        <item x="197"/>
        <item x="206"/>
        <item x="202"/>
        <item x="207"/>
        <item x="208"/>
        <item x="199"/>
        <item x="203"/>
        <item x="209"/>
        <item x="210"/>
        <item x="204"/>
        <item x="200"/>
        <item x="195"/>
        <item x="190"/>
        <item x="247"/>
        <item x="76"/>
        <item x="15"/>
        <item x="271"/>
        <item x="249"/>
        <item x="38"/>
        <item x="47"/>
        <item x="78"/>
        <item x="23"/>
        <item x="241"/>
        <item x="87"/>
        <item x="69"/>
        <item x="150"/>
        <item x="17"/>
        <item x="16"/>
        <item x="12"/>
        <item x="244"/>
        <item x="228"/>
        <item x="227"/>
        <item x="239"/>
        <item x="236"/>
        <item x="139"/>
        <item x="100"/>
        <item x="245"/>
        <item x="6"/>
        <item x="9"/>
        <item x="8"/>
        <item x="70"/>
        <item x="54"/>
        <item x="22"/>
        <item x="242"/>
        <item x="48"/>
        <item x="132"/>
        <item x="57"/>
        <item x="5"/>
        <item x="122"/>
        <item x="223"/>
        <item x="211"/>
        <item x="217"/>
        <item x="220"/>
        <item x="219"/>
        <item x="216"/>
        <item x="215"/>
        <item x="44"/>
        <item x="196"/>
        <item x="34"/>
        <item x="162"/>
        <item x="126"/>
        <item x="10"/>
        <item x="36"/>
        <item x="212"/>
        <item x="214"/>
        <item x="194"/>
        <item x="192"/>
        <item x="111"/>
        <item x="248"/>
        <item x="113"/>
        <item x="41"/>
        <item x="218"/>
        <item x="30"/>
        <item x="116"/>
        <item x="25"/>
        <item x="149"/>
        <item x="266"/>
        <item x="40"/>
        <item x="198"/>
        <item x="213"/>
        <item x="201"/>
        <item x="123"/>
        <item x="250"/>
        <item x="3"/>
        <item x="191"/>
        <item x="32"/>
        <item x="2"/>
        <item x="166"/>
        <item x="167"/>
        <item x="168"/>
        <item x="90"/>
        <item x="169"/>
        <item x="170"/>
        <item x="171"/>
        <item x="89"/>
        <item x="59"/>
        <item x="172"/>
        <item x="93"/>
        <item x="42"/>
        <item x="240"/>
        <item x="173"/>
        <item x="222"/>
        <item x="243"/>
        <item x="272"/>
        <item x="13"/>
        <item x="237"/>
        <item x="229"/>
        <item x="31"/>
        <item x="165"/>
        <item x="80"/>
        <item x="77"/>
        <item x="221"/>
        <item x="60"/>
        <item x="235"/>
        <item x="143"/>
        <item x="134"/>
        <item x="233"/>
        <item x="135"/>
        <item x="174"/>
        <item x="96"/>
        <item x="7"/>
        <item x="114"/>
        <item x="14"/>
        <item x="73"/>
        <item x="129"/>
        <item x="119"/>
        <item x="138"/>
        <item x="107"/>
        <item x="118"/>
        <item x="112"/>
        <item x="108"/>
        <item x="45"/>
        <item x="43"/>
        <item x="226"/>
        <item x="230"/>
        <item x="46"/>
        <item x="115"/>
        <item x="58"/>
        <item x="37"/>
        <item x="66"/>
        <item x="175"/>
        <item x="101"/>
        <item x="86"/>
        <item x="127"/>
        <item x="52"/>
        <item x="176"/>
        <item x="224"/>
        <item x="39"/>
        <item x="11"/>
        <item x="28"/>
        <item x="270"/>
        <item x="163"/>
        <item x="128"/>
        <item x="225"/>
        <item x="27"/>
        <item x="61"/>
        <item x="26"/>
        <item x="117"/>
        <item x="145"/>
        <item x="140"/>
        <item x="160"/>
        <item x="161"/>
        <item x="0"/>
        <item x="1"/>
        <item x="141"/>
        <item x="252"/>
        <item x="33"/>
        <item x="151"/>
        <item x="65"/>
        <item x="238"/>
        <item x="177"/>
        <item x="178"/>
        <item x="179"/>
        <item x="158"/>
        <item x="152"/>
        <item x="81"/>
        <item x="79"/>
        <item x="75"/>
        <item x="102"/>
        <item x="125"/>
        <item x="106"/>
        <item x="136"/>
        <item x="19"/>
        <item x="67"/>
        <item x="55"/>
        <item x="234"/>
        <item x="133"/>
        <item x="50"/>
        <item x="253"/>
        <item x="124"/>
        <item x="264"/>
        <item x="232"/>
        <item x="251"/>
        <item x="62"/>
        <item x="53"/>
        <item x="147"/>
        <item x="63"/>
        <item x="265"/>
        <item x="35"/>
        <item x="120"/>
        <item x="258"/>
        <item x="71"/>
        <item x="180"/>
        <item x="231"/>
        <item x="261"/>
        <item x="254"/>
        <item x="259"/>
        <item x="269"/>
        <item x="268"/>
        <item x="267"/>
        <item x="262"/>
        <item x="263"/>
        <item x="154"/>
        <item x="49"/>
        <item x="181"/>
        <item x="155"/>
        <item x="159"/>
        <item x="64"/>
        <item x="164"/>
        <item x="148"/>
        <item x="137"/>
        <item x="72"/>
        <item x="182"/>
        <item x="183"/>
        <item x="184"/>
        <item x="185"/>
        <item x="186"/>
        <item x="187"/>
        <item x="188"/>
        <item x="18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254"/>
        <item x="122"/>
        <item x="190"/>
        <item x="180"/>
        <item x="33"/>
        <item x="0"/>
        <item x="5"/>
        <item x="3"/>
        <item x="57"/>
        <item x="249"/>
        <item x="246"/>
        <item x="123"/>
        <item x="187"/>
        <item x="269"/>
        <item x="194"/>
        <item x="199"/>
        <item x="203"/>
        <item x="208"/>
        <item x="202"/>
        <item x="198"/>
        <item x="207"/>
        <item x="206"/>
        <item x="201"/>
        <item x="205"/>
        <item x="196"/>
        <item x="204"/>
        <item x="192"/>
        <item x="209"/>
        <item x="26"/>
        <item x="104"/>
        <item x="132"/>
        <item x="229"/>
        <item x="48"/>
        <item x="242"/>
        <item x="74"/>
        <item x="142"/>
        <item x="83"/>
        <item x="62"/>
        <item x="53"/>
        <item x="65"/>
        <item x="68"/>
        <item x="128"/>
        <item x="105"/>
        <item x="98"/>
        <item x="106"/>
        <item x="79"/>
        <item x="127"/>
        <item x="245"/>
        <item x="73"/>
        <item x="200"/>
        <item x="212"/>
        <item x="197"/>
        <item x="251"/>
        <item x="133"/>
        <item x="136"/>
        <item x="241"/>
        <item x="138"/>
        <item x="22"/>
        <item x="54"/>
        <item x="40"/>
        <item x="97"/>
        <item x="239"/>
        <item x="66"/>
        <item x="234"/>
        <item x="259"/>
        <item x="115"/>
        <item x="147"/>
        <item x="45"/>
        <item x="59"/>
        <item x="13"/>
        <item x="2"/>
        <item x="252"/>
        <item x="70"/>
        <item x="8"/>
        <item x="183"/>
        <item x="184"/>
        <item x="182"/>
        <item x="185"/>
        <item x="258"/>
        <item x="230"/>
        <item x="179"/>
        <item x="177"/>
        <item x="178"/>
        <item x="9"/>
        <item x="160"/>
        <item x="141"/>
        <item x="151"/>
        <item x="161"/>
        <item x="130"/>
        <item x="140"/>
        <item x="145"/>
        <item x="117"/>
        <item x="6"/>
        <item x="137"/>
        <item x="164"/>
        <item x="148"/>
        <item x="257"/>
        <item x="224"/>
        <item x="84"/>
        <item x="27"/>
        <item x="35"/>
        <item x="221"/>
        <item x="244"/>
        <item x="77"/>
        <item x="131"/>
        <item x="152"/>
        <item x="50"/>
        <item x="158"/>
        <item x="43"/>
        <item x="75"/>
        <item x="271"/>
        <item x="223"/>
        <item x="256"/>
        <item x="56"/>
        <item x="121"/>
        <item x="157"/>
        <item x="67"/>
        <item x="55"/>
        <item x="100"/>
        <item x="96"/>
        <item x="94"/>
        <item x="95"/>
        <item x="108"/>
        <item x="265"/>
        <item x="175"/>
        <item x="42"/>
        <item x="114"/>
        <item x="149"/>
        <item x="51"/>
        <item x="139"/>
        <item x="195"/>
        <item x="25"/>
        <item x="24"/>
        <item x="32"/>
        <item x="235"/>
        <item x="237"/>
        <item x="116"/>
        <item x="238"/>
        <item x="30"/>
        <item x="4"/>
        <item x="29"/>
        <item x="217"/>
        <item x="170"/>
        <item x="173"/>
        <item x="171"/>
        <item x="64"/>
        <item x="169"/>
        <item x="166"/>
        <item x="174"/>
        <item x="172"/>
        <item x="232"/>
        <item x="168"/>
        <item x="167"/>
        <item x="176"/>
        <item x="233"/>
        <item x="28"/>
        <item x="102"/>
        <item x="226"/>
        <item x="228"/>
        <item x="227"/>
        <item x="80"/>
        <item x="189"/>
        <item x="15"/>
        <item x="243"/>
        <item x="52"/>
        <item x="39"/>
        <item x="11"/>
        <item x="12"/>
        <item x="153"/>
        <item x="88"/>
        <item x="16"/>
        <item x="17"/>
        <item x="92"/>
        <item x="76"/>
        <item x="93"/>
        <item x="85"/>
        <item x="146"/>
        <item x="103"/>
        <item x="110"/>
        <item x="113"/>
        <item x="247"/>
        <item x="19"/>
        <item x="150"/>
        <item x="81"/>
        <item x="111"/>
        <item x="69"/>
        <item x="261"/>
        <item x="89"/>
        <item x="14"/>
        <item x="41"/>
        <item x="191"/>
        <item x="193"/>
        <item x="154"/>
        <item x="49"/>
        <item x="60"/>
        <item x="143"/>
        <item x="87"/>
        <item x="125"/>
        <item x="186"/>
        <item x="213"/>
        <item x="240"/>
        <item x="211"/>
        <item x="134"/>
        <item x="23"/>
        <item x="135"/>
        <item x="7"/>
        <item x="36"/>
        <item x="10"/>
        <item x="46"/>
        <item x="71"/>
        <item x="82"/>
        <item x="255"/>
        <item x="90"/>
        <item x="188"/>
        <item x="101"/>
        <item x="91"/>
        <item x="120"/>
        <item x="61"/>
        <item x="126"/>
        <item x="156"/>
        <item x="162"/>
        <item x="78"/>
        <item x="165"/>
        <item x="253"/>
        <item x="144"/>
        <item x="268"/>
        <item x="264"/>
        <item x="34"/>
        <item x="263"/>
        <item x="250"/>
        <item x="47"/>
        <item x="63"/>
        <item x="1"/>
        <item x="225"/>
        <item x="38"/>
        <item x="44"/>
        <item x="124"/>
        <item x="248"/>
        <item x="155"/>
        <item x="260"/>
        <item x="220"/>
        <item x="215"/>
        <item x="214"/>
        <item x="219"/>
        <item x="218"/>
        <item x="216"/>
        <item x="86"/>
        <item x="231"/>
        <item x="31"/>
        <item x="18"/>
        <item x="210"/>
        <item x="222"/>
        <item x="109"/>
        <item x="58"/>
        <item x="119"/>
        <item x="129"/>
        <item x="99"/>
        <item x="107"/>
        <item x="20"/>
        <item x="21"/>
        <item x="159"/>
        <item x="118"/>
        <item x="270"/>
        <item x="262"/>
        <item x="181"/>
        <item x="37"/>
        <item x="236"/>
        <item x="266"/>
        <item x="267"/>
        <item x="112"/>
        <item x="72"/>
        <item x="1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compact="0" numFmtId="167" outline="0" showAll="0" includeNewItemsInFilter="1"/>
    <pivotField dataField="1" compact="0" outline="0" dragToRow="0" dragToCol="0" dragToPage="0" showAll="0" defaultSubtotal="0"/>
  </pivotFields>
  <rowFields count="3">
    <field x="1"/>
    <field x="2"/>
    <field x="3"/>
  </rowFields>
  <rowItems count="54">
    <i>
      <x/>
      <x v="205"/>
      <x v="5"/>
    </i>
    <i r="1">
      <x v="206"/>
      <x v="232"/>
    </i>
    <i r="1">
      <x v="129"/>
      <x v="70"/>
    </i>
    <i r="1">
      <x v="126"/>
      <x v="7"/>
    </i>
    <i r="1">
      <x v="19"/>
      <x v="139"/>
    </i>
    <i r="1">
      <x v="90"/>
      <x v="6"/>
    </i>
    <i r="1">
      <x v="80"/>
      <x v="92"/>
    </i>
    <i r="1">
      <x v="163"/>
      <x v="205"/>
    </i>
    <i r="1">
      <x v="82"/>
      <x v="73"/>
    </i>
    <i r="1">
      <x v="81"/>
      <x v="83"/>
    </i>
    <i r="1">
      <x v="104"/>
      <x v="207"/>
    </i>
    <i r="1">
      <x v="71"/>
      <x v="167"/>
    </i>
    <i r="1">
      <x v="191"/>
      <x v="166"/>
    </i>
    <i r="1">
      <x v="147"/>
      <x v="69"/>
    </i>
    <i r="1">
      <x v="165"/>
      <x v="188"/>
    </i>
    <i r="1">
      <x v="58"/>
      <x v="162"/>
    </i>
    <i r="1">
      <x v="70"/>
      <x v="170"/>
    </i>
    <i r="1">
      <x v="69"/>
      <x v="171"/>
    </i>
    <i r="1">
      <x v="225"/>
      <x v="181"/>
    </i>
    <i r="1">
      <x v="3"/>
      <x v="249"/>
    </i>
    <i r="1">
      <x v="85"/>
      <x v="57"/>
    </i>
    <i r="1">
      <x/>
      <x v="258"/>
    </i>
    <i r="1">
      <x v="1"/>
      <x v="259"/>
    </i>
    <i r="1">
      <x v="64"/>
      <x v="203"/>
    </i>
    <i t="default">
      <x/>
    </i>
    <i>
      <x v="1"/>
      <x v="166"/>
      <x v="48"/>
    </i>
    <i r="1">
      <x v="6"/>
      <x v="34"/>
    </i>
    <i r="1">
      <x v="220"/>
      <x v="109"/>
    </i>
    <i r="1">
      <x v="57"/>
      <x v="173"/>
    </i>
    <i r="1">
      <x v="153"/>
      <x v="103"/>
    </i>
    <i r="1">
      <x v="219"/>
      <x v="45"/>
    </i>
    <i r="1">
      <x v="63"/>
      <x v="221"/>
    </i>
    <i r="1">
      <x v="218"/>
      <x v="183"/>
    </i>
    <i r="1">
      <x v="152"/>
      <x v="160"/>
    </i>
    <i r="1">
      <x v="9"/>
      <x v="210"/>
    </i>
    <i r="1">
      <x v="36"/>
      <x v="36"/>
    </i>
    <i r="1">
      <x v="27"/>
      <x v="98"/>
    </i>
    <i r="1">
      <x v="13"/>
      <x v="175"/>
    </i>
    <i r="1">
      <x v="16"/>
      <x v="169"/>
    </i>
    <i r="1">
      <x v="137"/>
      <x v="187"/>
    </i>
    <i r="1">
      <x v="185"/>
      <x v="246"/>
    </i>
    <i r="1">
      <x v="66"/>
      <x v="196"/>
    </i>
    <i t="default">
      <x v="1"/>
    </i>
    <i>
      <x v="3"/>
      <x v="107"/>
      <x v="199"/>
    </i>
    <i r="1">
      <x v="98"/>
      <x v="242"/>
    </i>
    <i r="1">
      <x v="97"/>
      <x v="241"/>
    </i>
    <i r="1">
      <x v="94"/>
      <x v="245"/>
    </i>
    <i t="default">
      <x v="3"/>
    </i>
    <i>
      <x v="4"/>
      <x v="176"/>
      <x v="233"/>
    </i>
    <i t="default">
      <x v="4"/>
    </i>
    <i>
      <x v="9"/>
      <x v="76"/>
      <x v="134"/>
    </i>
    <i r="1">
      <x v="148"/>
      <x v="266"/>
    </i>
    <i t="default">
      <x v="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6"/>
    <dataField name="CP of Plan Sales" fld="8" baseField="3" baseItem="13" numFmtId="166"/>
    <dataField name="Plan GP" fld="9" baseField="3" baseItem="13" numFmtId="166"/>
    <dataField name="Planned GP%" fld="11" baseField="3" baseItem="5" numFmtId="168"/>
  </dataFields>
  <formats count="325">
    <format dxfId="324">
      <pivotArea field="1" type="button" dataOnly="0" labelOnly="1" outline="0" axis="axisRow" fieldPosition="0"/>
    </format>
    <format dxfId="323">
      <pivotArea field="2" type="button" dataOnly="0" labelOnly="1" outline="0" axis="axisRow" fieldPosition="1"/>
    </format>
    <format dxfId="322">
      <pivotArea field="3" type="button" dataOnly="0" labelOnly="1" outline="0" axis="axisRow" fieldPosition="2"/>
    </format>
    <format dxfId="32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0">
      <pivotArea field="1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field="3" type="button" dataOnly="0" labelOnly="1" outline="0" axis="axisRow" fieldPosition="2"/>
    </format>
    <format dxfId="31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6">
      <pivotArea field="1" type="button" dataOnly="0" labelOnly="1" outline="0" axis="axisRow" fieldPosition="0"/>
    </format>
    <format dxfId="315">
      <pivotArea field="2" type="button" dataOnly="0" labelOnly="1" outline="0" axis="axisRow" fieldPosition="1"/>
    </format>
    <format dxfId="314">
      <pivotArea field="3" type="button" dataOnly="0" labelOnly="1" outline="0" axis="axisRow" fieldPosition="2"/>
    </format>
    <format dxfId="3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2">
      <pivotArea field="1" type="button" dataOnly="0" labelOnly="1" outline="0" axis="axisRow" fieldPosition="0"/>
    </format>
    <format dxfId="311">
      <pivotArea field="2" type="button" dataOnly="0" labelOnly="1" outline="0" axis="axisRow" fieldPosition="1"/>
    </format>
    <format dxfId="310">
      <pivotArea field="3" type="button" dataOnly="0" labelOnly="1" outline="0" axis="axisRow" fieldPosition="2"/>
    </format>
    <format dxfId="30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08">
      <pivotArea outline="0" fieldPosition="0">
        <references count="1">
          <reference field="1" count="1" selected="0" defaultSubtotal="1">
            <x v="0"/>
          </reference>
        </references>
      </pivotArea>
    </format>
    <format dxfId="307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06">
      <pivotArea outline="0" fieldPosition="0">
        <references count="1">
          <reference field="1" count="1" selected="0" defaultSubtotal="1">
            <x v="0"/>
          </reference>
        </references>
      </pivotArea>
    </format>
    <format dxfId="305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04">
      <pivotArea outline="0" fieldPosition="0">
        <references count="1">
          <reference field="1" count="1" selected="0" defaultSubtotal="1">
            <x v="1"/>
          </reference>
        </references>
      </pivotArea>
    </format>
    <format dxfId="303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02">
      <pivotArea outline="0" fieldPosition="0">
        <references count="1">
          <reference field="1" count="1" selected="0" defaultSubtotal="1">
            <x v="1"/>
          </reference>
        </references>
      </pivotArea>
    </format>
    <format dxfId="301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00">
      <pivotArea outline="0" fieldPosition="0">
        <references count="1">
          <reference field="1" count="1" selected="0" defaultSubtotal="1">
            <x v="3"/>
          </reference>
        </references>
      </pivotArea>
    </format>
    <format dxfId="299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298">
      <pivotArea outline="0" fieldPosition="0">
        <references count="1">
          <reference field="1" count="1" selected="0" defaultSubtotal="1">
            <x v="3"/>
          </reference>
        </references>
      </pivotArea>
    </format>
    <format dxfId="297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296">
      <pivotArea outline="0" fieldPosition="0">
        <references count="1">
          <reference field="1" count="1" selected="0" defaultSubtotal="1">
            <x v="4"/>
          </reference>
        </references>
      </pivotArea>
    </format>
    <format dxfId="295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294">
      <pivotArea outline="0" fieldPosition="0">
        <references count="1">
          <reference field="1" count="1" selected="0" defaultSubtotal="1">
            <x v="4"/>
          </reference>
        </references>
      </pivotArea>
    </format>
    <format dxfId="293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292">
      <pivotArea outline="0" fieldPosition="0">
        <references count="1">
          <reference field="1" count="1" selected="0" defaultSubtotal="1">
            <x v="9"/>
          </reference>
        </references>
      </pivotArea>
    </format>
    <format dxfId="291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290">
      <pivotArea outline="0" fieldPosition="0">
        <references count="1">
          <reference field="1" count="1" selected="0" defaultSubtotal="1">
            <x v="9"/>
          </reference>
        </references>
      </pivotArea>
    </format>
    <format dxfId="289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288">
      <pivotArea grandRow="1" outline="0" collapsedLevelsAreSubtotals="1" fieldPosition="0"/>
    </format>
    <format dxfId="287">
      <pivotArea dataOnly="0" labelOnly="1" grandRow="1" outline="0" fieldPosition="0"/>
    </format>
    <format dxfId="286">
      <pivotArea grandRow="1" outline="0" collapsedLevelsAreSubtotals="1" fieldPosition="0"/>
    </format>
    <format dxfId="285">
      <pivotArea dataOnly="0" labelOnly="1" grandRow="1" outline="0" fieldPosition="0"/>
    </format>
    <format dxfId="284">
      <pivotArea grandRow="1" outline="0" collapsedLevelsAreSubtotals="1" fieldPosition="0"/>
    </format>
    <format dxfId="283">
      <pivotArea dataOnly="0" labelOnly="1" grandRow="1" outline="0" fieldPosition="0"/>
    </format>
    <format dxfId="282">
      <pivotArea grandRow="1" outline="0" collapsedLevelsAreSubtotals="1" fieldPosition="0"/>
    </format>
    <format dxfId="281">
      <pivotArea dataOnly="0" labelOnly="1" grandRow="1" outline="0" fieldPosition="0"/>
    </format>
    <format dxfId="280">
      <pivotArea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 selected="0">
            <x v="232"/>
          </reference>
        </references>
      </pivotArea>
    </format>
    <format dxfId="279">
      <pivotArea dataOnly="0" labelOnly="1" outline="0" offset="IV2" fieldPosition="0">
        <references count="1">
          <reference field="1" count="1">
            <x v="0"/>
          </reference>
        </references>
      </pivotArea>
    </format>
    <format dxfId="278">
      <pivotArea dataOnly="0" labelOnly="1" outline="0" fieldPosition="0">
        <references count="2">
          <reference field="1" count="1" selected="0">
            <x v="0"/>
          </reference>
          <reference field="2" count="1">
            <x v="206"/>
          </reference>
        </references>
      </pivotArea>
    </format>
    <format dxfId="27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276">
      <pivotArea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 selected="0">
            <x v="7"/>
          </reference>
        </references>
      </pivotArea>
    </format>
    <format dxfId="275">
      <pivotArea dataOnly="0" labelOnly="1" outline="0" offset="IV4" fieldPosition="0">
        <references count="1">
          <reference field="1" count="1">
            <x v="0"/>
          </reference>
        </references>
      </pivotArea>
    </format>
    <format dxfId="274">
      <pivotArea dataOnly="0" labelOnly="1" outline="0" fieldPosition="0">
        <references count="2">
          <reference field="1" count="1" selected="0">
            <x v="0"/>
          </reference>
          <reference field="2" count="1">
            <x v="126"/>
          </reference>
        </references>
      </pivotArea>
    </format>
    <format dxfId="2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272">
      <pivotArea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 selected="0">
            <x v="6"/>
          </reference>
        </references>
      </pivotArea>
    </format>
    <format dxfId="271">
      <pivotArea dataOnly="0" labelOnly="1" outline="0" offset="IV6" fieldPosition="0">
        <references count="1">
          <reference field="1" count="1">
            <x v="0"/>
          </reference>
        </references>
      </pivotArea>
    </format>
    <format dxfId="270">
      <pivotArea dataOnly="0" labelOnly="1" outline="0" fieldPosition="0">
        <references count="2">
          <reference field="1" count="1" selected="0">
            <x v="0"/>
          </reference>
          <reference field="2" count="1">
            <x v="90"/>
          </reference>
        </references>
      </pivotArea>
    </format>
    <format dxfId="2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268">
      <pivotArea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205"/>
          </reference>
        </references>
      </pivotArea>
    </format>
    <format dxfId="267">
      <pivotArea dataOnly="0" labelOnly="1" outline="0" offset="IV8" fieldPosition="0">
        <references count="1">
          <reference field="1" count="1">
            <x v="0"/>
          </reference>
        </references>
      </pivotArea>
    </format>
    <format dxfId="266">
      <pivotArea dataOnly="0" labelOnly="1" outline="0" fieldPosition="0">
        <references count="2">
          <reference field="1" count="1" selected="0">
            <x v="0"/>
          </reference>
          <reference field="2" count="1">
            <x v="163"/>
          </reference>
        </references>
      </pivotArea>
    </format>
    <format dxfId="2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264">
      <pivotArea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 selected="0">
            <x v="83"/>
          </reference>
        </references>
      </pivotArea>
    </format>
    <format dxfId="263">
      <pivotArea dataOnly="0" labelOnly="1" outline="0" offset="IV10" fieldPosition="0">
        <references count="1">
          <reference field="1" count="1">
            <x v="0"/>
          </reference>
        </references>
      </pivotArea>
    </format>
    <format dxfId="262">
      <pivotArea dataOnly="0" labelOnly="1" outline="0" fieldPosition="0">
        <references count="2">
          <reference field="1" count="1" selected="0">
            <x v="0"/>
          </reference>
          <reference field="2" count="1">
            <x v="81"/>
          </reference>
        </references>
      </pivotArea>
    </format>
    <format dxfId="2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260">
      <pivotArea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 selected="0">
            <x v="167"/>
          </reference>
        </references>
      </pivotArea>
    </format>
    <format dxfId="259">
      <pivotArea dataOnly="0" labelOnly="1" outline="0" offset="IV12" fieldPosition="0">
        <references count="1">
          <reference field="1" count="1">
            <x v="0"/>
          </reference>
        </references>
      </pivotArea>
    </format>
    <format dxfId="258">
      <pivotArea dataOnly="0" labelOnly="1" outline="0" fieldPosition="0">
        <references count="2">
          <reference field="1" count="1" selected="0">
            <x v="0"/>
          </reference>
          <reference field="2" count="1">
            <x v="71"/>
          </reference>
        </references>
      </pivotArea>
    </format>
    <format dxfId="2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256">
      <pivotArea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 selected="0">
            <x v="69"/>
          </reference>
        </references>
      </pivotArea>
    </format>
    <format dxfId="255">
      <pivotArea dataOnly="0" labelOnly="1" outline="0" offset="IV14" fieldPosition="0">
        <references count="1">
          <reference field="1" count="1">
            <x v="0"/>
          </reference>
        </references>
      </pivotArea>
    </format>
    <format dxfId="254">
      <pivotArea dataOnly="0" labelOnly="1" outline="0" fieldPosition="0">
        <references count="2">
          <reference field="1" count="1" selected="0">
            <x v="0"/>
          </reference>
          <reference field="2" count="1">
            <x v="147"/>
          </reference>
        </references>
      </pivotArea>
    </format>
    <format dxfId="2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252">
      <pivotArea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 selected="0">
            <x v="162"/>
          </reference>
        </references>
      </pivotArea>
    </format>
    <format dxfId="251">
      <pivotArea dataOnly="0" labelOnly="1" outline="0" offset="IV16" fieldPosition="0">
        <references count="1">
          <reference field="1" count="1">
            <x v="0"/>
          </reference>
        </references>
      </pivotArea>
    </format>
    <format dxfId="250">
      <pivotArea dataOnly="0" labelOnly="1" outline="0" fieldPosition="0">
        <references count="2">
          <reference field="1" count="1" selected="0">
            <x v="0"/>
          </reference>
          <reference field="2" count="1">
            <x v="58"/>
          </reference>
        </references>
      </pivotArea>
    </format>
    <format dxfId="24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248">
      <pivotArea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 selected="0">
            <x v="171"/>
          </reference>
        </references>
      </pivotArea>
    </format>
    <format dxfId="247">
      <pivotArea dataOnly="0" labelOnly="1" outline="0" offset="IV18" fieldPosition="0">
        <references count="1">
          <reference field="1" count="1">
            <x v="0"/>
          </reference>
        </references>
      </pivotArea>
    </format>
    <format dxfId="246">
      <pivotArea dataOnly="0" labelOnly="1" outline="0" fieldPosition="0">
        <references count="2">
          <reference field="1" count="1" selected="0">
            <x v="0"/>
          </reference>
          <reference field="2" count="1">
            <x v="69"/>
          </reference>
        </references>
      </pivotArea>
    </format>
    <format dxfId="24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244">
      <pivotArea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 selected="0">
            <x v="249"/>
          </reference>
        </references>
      </pivotArea>
    </format>
    <format dxfId="243">
      <pivotArea dataOnly="0" labelOnly="1" outline="0" offset="IV20" fieldPosition="0">
        <references count="1">
          <reference field="1" count="1">
            <x v="0"/>
          </reference>
        </references>
      </pivotArea>
    </format>
    <format dxfId="242">
      <pivotArea dataOnly="0" labelOnly="1" outline="0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24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240">
      <pivotArea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 selected="0">
            <x v="258"/>
          </reference>
        </references>
      </pivotArea>
    </format>
    <format dxfId="239">
      <pivotArea dataOnly="0" labelOnly="1" outline="0" offset="IV22" fieldPosition="0">
        <references count="1">
          <reference field="1" count="1">
            <x v="0"/>
          </reference>
        </references>
      </pivotArea>
    </format>
    <format dxfId="238">
      <pivotArea dataOnly="0" labelOnly="1" outline="0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23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236">
      <pivotArea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 selected="0">
            <x v="203"/>
          </reference>
        </references>
      </pivotArea>
    </format>
    <format dxfId="235">
      <pivotArea dataOnly="0" labelOnly="1" outline="0" offset="IV256" fieldPosition="0">
        <references count="1">
          <reference field="1" count="1">
            <x v="0"/>
          </reference>
        </references>
      </pivotArea>
    </format>
    <format dxfId="234">
      <pivotArea dataOnly="0" labelOnly="1" outline="0" fieldPosition="0">
        <references count="2">
          <reference field="1" count="1" selected="0">
            <x v="0"/>
          </reference>
          <reference field="2" count="1">
            <x v="64"/>
          </reference>
        </references>
      </pivotArea>
    </format>
    <format dxfId="23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232">
      <pivotArea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 selected="0">
            <x v="34"/>
          </reference>
        </references>
      </pivotArea>
    </format>
    <format dxfId="231">
      <pivotArea dataOnly="0" labelOnly="1" outline="0" offset="IV2" fieldPosition="0">
        <references count="1">
          <reference field="1" count="1">
            <x v="1"/>
          </reference>
        </references>
      </pivotArea>
    </format>
    <format dxfId="230">
      <pivotArea dataOnly="0" labelOnly="1" outline="0" fieldPosition="0">
        <references count="2">
          <reference field="1" count="1" selected="0">
            <x v="1"/>
          </reference>
          <reference field="2" count="1">
            <x v="6"/>
          </reference>
        </references>
      </pivotArea>
    </format>
    <format dxfId="22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228">
      <pivotArea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 selected="0">
            <x v="173"/>
          </reference>
        </references>
      </pivotArea>
    </format>
    <format dxfId="227">
      <pivotArea dataOnly="0" labelOnly="1" outline="0" offset="IV4" fieldPosition="0">
        <references count="1">
          <reference field="1" count="1">
            <x v="1"/>
          </reference>
        </references>
      </pivotArea>
    </format>
    <format dxfId="226">
      <pivotArea dataOnly="0" labelOnly="1" outline="0" fieldPosition="0">
        <references count="2">
          <reference field="1" count="1" selected="0">
            <x v="1"/>
          </reference>
          <reference field="2" count="1">
            <x v="57"/>
          </reference>
        </references>
      </pivotArea>
    </format>
    <format dxfId="22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224">
      <pivotArea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 selected="0">
            <x v="45"/>
          </reference>
        </references>
      </pivotArea>
    </format>
    <format dxfId="223">
      <pivotArea dataOnly="0" labelOnly="1" outline="0" offset="IV6" fieldPosition="0">
        <references count="1">
          <reference field="1" count="1">
            <x v="1"/>
          </reference>
        </references>
      </pivotArea>
    </format>
    <format dxfId="222">
      <pivotArea dataOnly="0" labelOnly="1" outline="0" fieldPosition="0">
        <references count="2">
          <reference field="1" count="1" selected="0">
            <x v="1"/>
          </reference>
          <reference field="2" count="1">
            <x v="219"/>
          </reference>
        </references>
      </pivotArea>
    </format>
    <format dxfId="22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220">
      <pivotArea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3"/>
          </reference>
        </references>
      </pivotArea>
    </format>
    <format dxfId="219">
      <pivotArea dataOnly="0" labelOnly="1" outline="0" offset="IV8" fieldPosition="0">
        <references count="1">
          <reference field="1" count="1">
            <x v="1"/>
          </reference>
        </references>
      </pivotArea>
    </format>
    <format dxfId="218">
      <pivotArea dataOnly="0" labelOnly="1" outline="0" fieldPosition="0">
        <references count="2">
          <reference field="1" count="1" selected="0">
            <x v="1"/>
          </reference>
          <reference field="2" count="1">
            <x v="218"/>
          </reference>
        </references>
      </pivotArea>
    </format>
    <format dxfId="21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216">
      <pivotArea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 selected="0">
            <x v="210"/>
          </reference>
        </references>
      </pivotArea>
    </format>
    <format dxfId="215">
      <pivotArea dataOnly="0" labelOnly="1" outline="0" offset="IV10" fieldPosition="0">
        <references count="1">
          <reference field="1" count="1">
            <x v="1"/>
          </reference>
        </references>
      </pivotArea>
    </format>
    <format dxfId="214">
      <pivotArea dataOnly="0" labelOnly="1" outline="0" fieldPosition="0">
        <references count="2">
          <reference field="1" count="1" selected="0">
            <x v="1"/>
          </reference>
          <reference field="2" count="1">
            <x v="9"/>
          </reference>
        </references>
      </pivotArea>
    </format>
    <format dxfId="21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212">
      <pivotArea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 selected="0">
            <x v="98"/>
          </reference>
        </references>
      </pivotArea>
    </format>
    <format dxfId="211">
      <pivotArea dataOnly="0" labelOnly="1" outline="0" offset="IV12" fieldPosition="0">
        <references count="1">
          <reference field="1" count="1">
            <x v="1"/>
          </reference>
        </references>
      </pivotArea>
    </format>
    <format dxfId="210">
      <pivotArea dataOnly="0" labelOnly="1" outline="0" fieldPosition="0">
        <references count="2">
          <reference field="1" count="1" selected="0">
            <x v="1"/>
          </reference>
          <reference field="2" count="1">
            <x v="27"/>
          </reference>
        </references>
      </pivotArea>
    </format>
    <format dxfId="20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208">
      <pivotArea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 selected="0">
            <x v="169"/>
          </reference>
        </references>
      </pivotArea>
    </format>
    <format dxfId="207">
      <pivotArea dataOnly="0" labelOnly="1" outline="0" offset="IV14" fieldPosition="0">
        <references count="1">
          <reference field="1" count="1">
            <x v="1"/>
          </reference>
        </references>
      </pivotArea>
    </format>
    <format dxfId="206">
      <pivotArea dataOnly="0" labelOnly="1" outline="0" fieldPosition="0">
        <references count="2">
          <reference field="1" count="1" selected="0">
            <x v="1"/>
          </reference>
          <reference field="2" count="1">
            <x v="16"/>
          </reference>
        </references>
      </pivotArea>
    </format>
    <format dxfId="20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204">
      <pivotArea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 selected="0">
            <x v="246"/>
          </reference>
        </references>
      </pivotArea>
    </format>
    <format dxfId="203">
      <pivotArea dataOnly="0" labelOnly="1" outline="0" offset="IV16" fieldPosition="0">
        <references count="1">
          <reference field="1" count="1">
            <x v="1"/>
          </reference>
        </references>
      </pivotArea>
    </format>
    <format dxfId="202">
      <pivotArea dataOnly="0" labelOnly="1" outline="0" fieldPosition="0">
        <references count="2">
          <reference field="1" count="1" selected="0">
            <x v="1"/>
          </reference>
          <reference field="2" count="1">
            <x v="185"/>
          </reference>
        </references>
      </pivotArea>
    </format>
    <format dxfId="20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200">
      <pivotArea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 selected="0">
            <x v="199"/>
          </reference>
        </references>
      </pivotArea>
    </format>
    <format dxfId="199">
      <pivotArea dataOnly="0" labelOnly="1" outline="0" offset="IV1" fieldPosition="0">
        <references count="1">
          <reference field="1" count="1">
            <x v="3"/>
          </reference>
        </references>
      </pivotArea>
    </format>
    <format dxfId="198">
      <pivotArea dataOnly="0" labelOnly="1" outline="0" fieldPosition="0">
        <references count="2">
          <reference field="1" count="1" selected="0">
            <x v="3"/>
          </reference>
          <reference field="2" count="1">
            <x v="107"/>
          </reference>
        </references>
      </pivotArea>
    </format>
    <format dxfId="19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96">
      <pivotArea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 selected="0">
            <x v="241"/>
          </reference>
        </references>
      </pivotArea>
    </format>
    <format dxfId="195">
      <pivotArea dataOnly="0" labelOnly="1" outline="0" offset="IV3" fieldPosition="0">
        <references count="1">
          <reference field="1" count="1">
            <x v="3"/>
          </reference>
        </references>
      </pivotArea>
    </format>
    <format dxfId="194">
      <pivotArea dataOnly="0" labelOnly="1" outline="0" fieldPosition="0">
        <references count="2">
          <reference field="1" count="1" selected="0">
            <x v="3"/>
          </reference>
          <reference field="2" count="1">
            <x v="97"/>
          </reference>
        </references>
      </pivotArea>
    </format>
    <format dxfId="19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92">
      <pivotArea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 selected="0">
            <x v="233"/>
          </reference>
        </references>
      </pivotArea>
    </format>
    <format dxfId="191">
      <pivotArea dataOnly="0" labelOnly="1" outline="0" fieldPosition="0">
        <references count="1">
          <reference field="1" count="1">
            <x v="4"/>
          </reference>
        </references>
      </pivotArea>
    </format>
    <format dxfId="190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89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88">
      <pivotArea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 selected="0">
            <x v="266"/>
          </reference>
        </references>
      </pivotArea>
    </format>
    <format dxfId="187">
      <pivotArea dataOnly="0" labelOnly="1" outline="0" offset="IV256" fieldPosition="0">
        <references count="1">
          <reference field="1" count="1">
            <x v="9"/>
          </reference>
        </references>
      </pivotArea>
    </format>
    <format dxfId="186">
      <pivotArea dataOnly="0" labelOnly="1" outline="0" fieldPosition="0">
        <references count="2">
          <reference field="1" count="1" selected="0">
            <x v="9"/>
          </reference>
          <reference field="2" count="1">
            <x v="148"/>
          </reference>
        </references>
      </pivotArea>
    </format>
    <format dxfId="185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84">
      <pivotArea outline="0" collapsedLevelsAreSubtotals="1" fieldPosition="0"/>
    </format>
    <format dxfId="183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82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81">
      <pivotArea dataOnly="0" labelOnly="1" grandRow="1" outline="0" fieldPosition="0"/>
    </format>
    <format dxfId="180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79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78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77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76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7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7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7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7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7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1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16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16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16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1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16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16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16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1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16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15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15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1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15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15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15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1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15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15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15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14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14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4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4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4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14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14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14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14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4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13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13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13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13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13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13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3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132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3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130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2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128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27">
      <pivotArea field="1" type="button" dataOnly="0" labelOnly="1" outline="0" axis="axisRow" fieldPosition="0"/>
    </format>
    <format dxfId="126">
      <pivotArea field="2" type="button" dataOnly="0" labelOnly="1" outline="0" axis="axisRow" fieldPosition="1"/>
    </format>
    <format dxfId="125">
      <pivotArea field="3" type="button" dataOnly="0" labelOnly="1" outline="0" axis="axisRow" fieldPosition="2"/>
    </format>
    <format dxfId="12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3">
      <pivotArea outline="0" fieldPosition="0">
        <references count="1">
          <reference field="4294967294" count="1">
            <x v="6"/>
          </reference>
        </references>
      </pivotArea>
    </format>
    <format dxfId="122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type="origin" dataOnly="0" labelOnly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field="1" type="button" dataOnly="0" labelOnly="1" outline="0" axis="axisRow" fieldPosition="0"/>
    </format>
    <format dxfId="115">
      <pivotArea field="2" type="button" dataOnly="0" labelOnly="1" outline="0" axis="axisRow" fieldPosition="1"/>
    </format>
    <format dxfId="114">
      <pivotArea field="3" type="button" dataOnly="0" labelOnly="1" outline="0" axis="axisRow" fieldPosition="2"/>
    </format>
    <format dxfId="113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12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09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08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07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06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0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0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0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0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0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0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9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9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9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9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9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9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9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9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9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9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8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8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8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8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8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8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8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8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8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8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7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7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7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7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7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7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7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7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7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7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6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6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6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6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6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6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6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5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58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5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54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49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48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4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4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4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4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4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4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3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3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3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3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3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3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3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3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3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2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2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2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2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2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2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2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2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2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2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1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1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1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1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1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1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2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70BD888-9DCB-4D37-80BB-2711D2C1371C}" autoFormatId="16" applyNumberFormats="0" applyBorderFormats="0" applyFontFormats="0" applyPatternFormats="0" applyAlignmentFormats="0" applyWidthHeightFormats="0">
  <queryTableRefresh nextId="16">
    <queryTableFields count="15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  <queryTableField id="12" name="Actuals data.Date" tableColumnId="12"/>
      <queryTableField id="13" name="Actuals data.Day" tableColumnId="13"/>
      <queryTableField id="14" name="Actuals data.Sales excl. VAT" tableColumnId="14"/>
      <queryTableField id="15" name="Actuals data.Sales Quantity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8861AA-AD3D-42F2-82F7-BA9AC8460490}" name="Merged_data_1" displayName="Merged_data_1" ref="A1:O355" tableType="queryTable" totalsRowShown="0">
  <autoFilter ref="A1:O355" xr:uid="{1C8861AA-AD3D-42F2-82F7-BA9AC8460490}"/>
  <tableColumns count="15">
    <tableColumn id="1" xr3:uid="{D97FC4D1-AEFE-40CC-A938-F7E918E4C19D}" uniqueName="1" name="Supplier Name" queryTableFieldId="1" dataDxfId="330"/>
    <tableColumn id="2" xr3:uid="{2E6D8CA6-2F70-4967-8DCB-0BD1AAEEEE46}" uniqueName="2" name="&gt;Sub-Department" queryTableFieldId="2"/>
    <tableColumn id="3" xr3:uid="{4BD3C4E7-DD1B-46E9-8D61-A4CA32EB49A8}" uniqueName="3" name="Product Code" queryTableFieldId="3"/>
    <tableColumn id="4" xr3:uid="{A0E35E6D-4714-4F56-9402-703A66188287}" uniqueName="4" name="Product Description" queryTableFieldId="4" dataDxfId="329"/>
    <tableColumn id="5" xr3:uid="{85A47178-97B8-4D86-B9EF-91BE9D68EC6B}" uniqueName="5" name="SP" queryTableFieldId="5"/>
    <tableColumn id="6" xr3:uid="{B33FCC98-6A20-461B-B118-414310F43FEC}" uniqueName="6" name="List Cost" queryTableFieldId="6"/>
    <tableColumn id="7" xr3:uid="{49743905-8961-40A6-B372-640231AEE9D9}" uniqueName="7" name="Total prod" queryTableFieldId="7"/>
    <tableColumn id="8" xr3:uid="{5AB82110-936F-4431-80A4-A367C4BE5B77}" uniqueName="8" name="Potential Sales" queryTableFieldId="8"/>
    <tableColumn id="9" xr3:uid="{1183E4CD-84DE-463C-8D06-BE91A4BCA45A}" uniqueName="9" name="CP of potential sales" queryTableFieldId="9"/>
    <tableColumn id="10" xr3:uid="{5E69081E-509F-4DA5-94FD-6DBE2525C75E}" uniqueName="10" name="Potential GP" queryTableFieldId="10"/>
    <tableColumn id="11" xr3:uid="{29E242DC-D1DA-4F1B-9A37-0BEBB296CA37}" uniqueName="11" name="Potential GP%" queryTableFieldId="11"/>
    <tableColumn id="12" xr3:uid="{B9A057A3-0621-484A-B71F-C9E35965FFF4}" uniqueName="12" name="Actuals data.Date" queryTableFieldId="12" dataDxfId="328"/>
    <tableColumn id="13" xr3:uid="{FE13A594-A3C6-437E-8A25-499FEC41D772}" uniqueName="13" name="Actuals data.Day" queryTableFieldId="13" dataDxfId="327"/>
    <tableColumn id="14" xr3:uid="{D3F4ECDD-1CF5-4A46-8B8C-117CC43D8730}" uniqueName="14" name="Actuals data.Sales excl. VAT" queryTableFieldId="14"/>
    <tableColumn id="15" xr3:uid="{89532A7E-901A-4503-9BE6-14D9F0DF54DA}" uniqueName="15" name="Actuals data.Sales Quantity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644A15-B6B2-4C82-9483-6F76BEB67CE3}" name="Table2" displayName="Table2" ref="A1:J123" totalsRowShown="0" headerRowDxfId="326">
  <autoFilter ref="A1:J123" xr:uid="{08644A15-B6B2-4C82-9483-6F76BEB67CE3}"/>
  <tableColumns count="10">
    <tableColumn id="1" xr3:uid="{400E0A59-AF21-49BC-8C5D-A6379E53F0C5}" name="Supplier Name"/>
    <tableColumn id="2" xr3:uid="{BED43ADB-01AC-4923-BE30-094B7E62FAF7}" name="Sub-Department"/>
    <tableColumn id="3" xr3:uid="{860B9E2B-C08E-474A-96DB-DE3ECAB25FD4}" name="Product Code"/>
    <tableColumn id="4" xr3:uid="{714A5BD6-1AD0-497D-9D8C-A9B704C6BE75}" name="Product Description"/>
    <tableColumn id="5" xr3:uid="{54A8DEF5-2481-4C66-81FF-2A6293A3AC15}" name="SP"/>
    <tableColumn id="6" xr3:uid="{B10C2E5E-DA2E-47BF-A85B-4900EBCA7771}" name="List Cost"/>
    <tableColumn id="7" xr3:uid="{1E06D311-795A-45B7-B77B-10E043E3F2F5}" name="Date"/>
    <tableColumn id="8" xr3:uid="{D9F78221-1BC5-46C0-805A-6E8D619A3690}" name="Day"/>
    <tableColumn id="9" xr3:uid="{CFFD4A08-A6AF-45FA-A154-332B10449289}" name="Sales excl. VAT" dataDxfId="325"/>
    <tableColumn id="10" xr3:uid="{3A3A023D-829C-4543-94FD-B45CCC4D8F0D}" name="Sales Quant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AA290"/>
  <sheetViews>
    <sheetView workbookViewId="0">
      <pane ySplit="3" topLeftCell="A276" activePane="bottomLeft" state="frozen"/>
      <selection pane="bottomLeft" activeCell="A291" sqref="A291:XFD291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3" customWidth="1"/>
    <col min="7" max="7" width="8.19921875" style="9" customWidth="1"/>
    <col min="8" max="8" width="9.3984375" style="13" bestFit="1" customWidth="1"/>
    <col min="9" max="9" width="8.8984375" style="13" bestFit="1" customWidth="1"/>
    <col min="10" max="10" width="9.3984375" style="13" bestFit="1" customWidth="1"/>
    <col min="11" max="12" width="8.19921875" style="13" customWidth="1"/>
    <col min="13" max="15" width="12.69921875" style="13" hidden="1" customWidth="1"/>
    <col min="16" max="16" width="12.69921875" style="9" hidden="1" customWidth="1"/>
    <col min="17" max="20" width="12.69921875" style="13" hidden="1" customWidth="1"/>
    <col min="21" max="21" width="12.69921875" style="17" hidden="1" customWidth="1"/>
    <col min="22" max="22" width="0" style="61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61" t="s">
        <v>312</v>
      </c>
      <c r="W1" s="1" t="s">
        <v>313</v>
      </c>
      <c r="X1" s="1" t="s">
        <v>314</v>
      </c>
      <c r="Y1" s="1" t="s">
        <v>313</v>
      </c>
    </row>
    <row r="2" spans="1:25" ht="16.5" customHeight="1" x14ac:dyDescent="0.35">
      <c r="V2" s="61" t="s">
        <v>315</v>
      </c>
      <c r="W2" s="1" t="s">
        <v>313</v>
      </c>
      <c r="X2" s="1" t="s">
        <v>316</v>
      </c>
      <c r="Y2" s="1" t="s">
        <v>313</v>
      </c>
    </row>
    <row r="3" spans="1:25" ht="46.5" customHeight="1" x14ac:dyDescent="0.35">
      <c r="A3" s="2" t="s">
        <v>0</v>
      </c>
      <c r="B3" s="2" t="s">
        <v>290</v>
      </c>
      <c r="C3" s="2" t="s">
        <v>1</v>
      </c>
      <c r="D3" s="2" t="s">
        <v>2</v>
      </c>
      <c r="E3" s="2" t="s">
        <v>3</v>
      </c>
      <c r="F3" s="10" t="s">
        <v>4</v>
      </c>
      <c r="G3" s="18" t="s">
        <v>291</v>
      </c>
      <c r="H3" s="19" t="s">
        <v>292</v>
      </c>
      <c r="I3" s="19" t="s">
        <v>293</v>
      </c>
      <c r="J3" s="19" t="s">
        <v>294</v>
      </c>
      <c r="K3" s="19" t="s">
        <v>295</v>
      </c>
      <c r="L3" s="10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4" t="s">
        <v>13</v>
      </c>
      <c r="V3" s="61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51</v>
      </c>
      <c r="E4" s="6">
        <v>24.99</v>
      </c>
      <c r="F4" s="20">
        <v>9.68</v>
      </c>
      <c r="G4" s="21">
        <v>6</v>
      </c>
      <c r="H4" s="23">
        <f t="shared" ref="H4:H67" si="0">E4*G4</f>
        <v>149.94</v>
      </c>
      <c r="I4" s="23">
        <f t="shared" ref="I4:I67" si="1">F4*G4</f>
        <v>58.08</v>
      </c>
      <c r="J4" s="23">
        <f t="shared" ref="J4:J67" si="2">H4-I4</f>
        <v>91.86</v>
      </c>
      <c r="K4" s="24">
        <f>IFERROR(J4/H4*100,0)</f>
        <v>61.264505802320933</v>
      </c>
      <c r="L4" s="20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5">
        <v>39.294893641966624</v>
      </c>
      <c r="V4" s="61" t="e">
        <f>LOOKUP($C4,#REF!,#REF!)</f>
        <v>#REF!</v>
      </c>
      <c r="W4" s="61" t="e">
        <f>LOOKUP($C4,#REF!,#REF!)</f>
        <v>#REF!</v>
      </c>
      <c r="X4" s="61" t="e">
        <f>LOOKUP($C4,#REF!,#REF!)</f>
        <v>#REF!</v>
      </c>
      <c r="Y4" s="61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52</v>
      </c>
      <c r="E5" s="6">
        <v>19.989999999999998</v>
      </c>
      <c r="F5" s="20">
        <v>8.5</v>
      </c>
      <c r="G5" s="21">
        <v>6</v>
      </c>
      <c r="H5" s="23">
        <f t="shared" si="0"/>
        <v>119.94</v>
      </c>
      <c r="I5" s="23">
        <f t="shared" si="1"/>
        <v>51</v>
      </c>
      <c r="J5" s="23">
        <f t="shared" si="2"/>
        <v>68.94</v>
      </c>
      <c r="K5" s="24">
        <f t="shared" ref="K5:K68" si="3">IFERROR(J5/H5*100,0)</f>
        <v>57.478739369684838</v>
      </c>
      <c r="L5" s="20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5">
        <v>28.823673053404008</v>
      </c>
      <c r="V5" s="61" t="e">
        <f>LOOKUP($C5,#REF!,#REF!)</f>
        <v>#REF!</v>
      </c>
      <c r="W5" s="61" t="e">
        <f>LOOKUP($C5,#REF!,#REF!)</f>
        <v>#REF!</v>
      </c>
      <c r="X5" s="61" t="e">
        <f>LOOKUP($C5,#REF!,#REF!)</f>
        <v>#REF!</v>
      </c>
      <c r="Y5" s="61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114</v>
      </c>
      <c r="E6" s="6">
        <v>10</v>
      </c>
      <c r="F6" s="20">
        <v>4.5</v>
      </c>
      <c r="G6" s="21">
        <v>0</v>
      </c>
      <c r="H6" s="23">
        <f t="shared" si="0"/>
        <v>0</v>
      </c>
      <c r="I6" s="23">
        <f t="shared" si="1"/>
        <v>0</v>
      </c>
      <c r="J6" s="23">
        <f t="shared" si="2"/>
        <v>0</v>
      </c>
      <c r="K6" s="24">
        <f t="shared" si="3"/>
        <v>0</v>
      </c>
      <c r="L6" s="20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5">
        <v>39.017520756666606</v>
      </c>
      <c r="V6" s="61" t="e">
        <f>LOOKUP($C6,#REF!,#REF!)</f>
        <v>#REF!</v>
      </c>
      <c r="W6" s="61" t="e">
        <f>LOOKUP($C6,#REF!,#REF!)</f>
        <v>#REF!</v>
      </c>
      <c r="X6" s="61" t="e">
        <f>LOOKUP($C6,#REF!,#REF!)</f>
        <v>#REF!</v>
      </c>
      <c r="Y6" s="61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29</v>
      </c>
      <c r="E7" s="6">
        <v>34.99</v>
      </c>
      <c r="F7" s="20">
        <v>15.91</v>
      </c>
      <c r="G7" s="21">
        <v>8</v>
      </c>
      <c r="H7" s="23">
        <f t="shared" si="0"/>
        <v>279.92</v>
      </c>
      <c r="I7" s="23">
        <f t="shared" si="1"/>
        <v>127.28</v>
      </c>
      <c r="J7" s="23">
        <f t="shared" si="2"/>
        <v>152.64000000000001</v>
      </c>
      <c r="K7" s="24">
        <f t="shared" si="3"/>
        <v>54.529865675907409</v>
      </c>
      <c r="L7" s="20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5">
        <v>41.565058745421659</v>
      </c>
      <c r="V7" s="61" t="e">
        <f>LOOKUP($C7,#REF!,#REF!)</f>
        <v>#REF!</v>
      </c>
      <c r="W7" s="61" t="e">
        <f>LOOKUP($C7,#REF!,#REF!)</f>
        <v>#REF!</v>
      </c>
      <c r="X7" s="61" t="e">
        <f>LOOKUP($C7,#REF!,#REF!)</f>
        <v>#REF!</v>
      </c>
      <c r="Y7" s="61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174</v>
      </c>
      <c r="E8" s="6">
        <v>47.99</v>
      </c>
      <c r="F8" s="20">
        <v>10.44</v>
      </c>
      <c r="G8" s="21">
        <v>0</v>
      </c>
      <c r="H8" s="23">
        <f t="shared" si="0"/>
        <v>0</v>
      </c>
      <c r="I8" s="23">
        <f t="shared" si="1"/>
        <v>0</v>
      </c>
      <c r="J8" s="23">
        <f t="shared" si="2"/>
        <v>0</v>
      </c>
      <c r="K8" s="24">
        <f t="shared" si="3"/>
        <v>0</v>
      </c>
      <c r="L8" s="20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5">
        <v>100</v>
      </c>
      <c r="V8" s="61" t="e">
        <f>LOOKUP($C8,#REF!,#REF!)</f>
        <v>#REF!</v>
      </c>
      <c r="W8" s="61" t="e">
        <f>LOOKUP($C8,#REF!,#REF!)</f>
        <v>#REF!</v>
      </c>
      <c r="X8" s="61" t="e">
        <f>LOOKUP($C8,#REF!,#REF!)</f>
        <v>#REF!</v>
      </c>
      <c r="Y8" s="61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162</v>
      </c>
      <c r="E9" s="6">
        <v>3</v>
      </c>
      <c r="F9" s="20">
        <v>1.29</v>
      </c>
      <c r="G9" s="21">
        <v>0</v>
      </c>
      <c r="H9" s="23">
        <f t="shared" si="0"/>
        <v>0</v>
      </c>
      <c r="I9" s="23">
        <f t="shared" si="1"/>
        <v>0</v>
      </c>
      <c r="J9" s="23">
        <f t="shared" si="2"/>
        <v>0</v>
      </c>
      <c r="K9" s="24">
        <f t="shared" si="3"/>
        <v>0</v>
      </c>
      <c r="L9" s="20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5">
        <v>38.898134184931834</v>
      </c>
      <c r="V9" s="61" t="e">
        <f>LOOKUP($C9,#REF!,#REF!)</f>
        <v>#REF!</v>
      </c>
      <c r="W9" s="61" t="e">
        <f>LOOKUP($C9,#REF!,#REF!)</f>
        <v>#REF!</v>
      </c>
      <c r="X9" s="61" t="e">
        <f>LOOKUP($C9,#REF!,#REF!)</f>
        <v>#REF!</v>
      </c>
      <c r="Y9" s="61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92</v>
      </c>
      <c r="E10" s="6">
        <v>11.99</v>
      </c>
      <c r="F10" s="20">
        <v>6.02</v>
      </c>
      <c r="G10" s="21">
        <v>32</v>
      </c>
      <c r="H10" s="23">
        <f t="shared" si="0"/>
        <v>383.68</v>
      </c>
      <c r="I10" s="23">
        <f t="shared" si="1"/>
        <v>192.64</v>
      </c>
      <c r="J10" s="23">
        <f t="shared" si="2"/>
        <v>191.04000000000002</v>
      </c>
      <c r="K10" s="24">
        <f t="shared" si="3"/>
        <v>49.791492910758976</v>
      </c>
      <c r="L10" s="20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5">
        <v>38.898134184931834</v>
      </c>
      <c r="V10" s="61" t="e">
        <f>LOOKUP($C10,#REF!,#REF!)</f>
        <v>#REF!</v>
      </c>
      <c r="W10" s="61" t="e">
        <f>LOOKUP($C10,#REF!,#REF!)</f>
        <v>#REF!</v>
      </c>
      <c r="X10" s="61" t="e">
        <f>LOOKUP($C10,#REF!,#REF!)</f>
        <v>#REF!</v>
      </c>
      <c r="Y10" s="61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273</v>
      </c>
      <c r="E11" s="6">
        <v>140</v>
      </c>
      <c r="F11" s="20">
        <v>92.6</v>
      </c>
      <c r="G11" s="21">
        <v>0</v>
      </c>
      <c r="H11" s="23">
        <f t="shared" si="0"/>
        <v>0</v>
      </c>
      <c r="I11" s="23">
        <f t="shared" si="1"/>
        <v>0</v>
      </c>
      <c r="J11" s="23">
        <f t="shared" si="2"/>
        <v>0</v>
      </c>
      <c r="K11" s="24">
        <f t="shared" si="3"/>
        <v>0</v>
      </c>
      <c r="L11" s="20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5">
        <v>65.274492414680239</v>
      </c>
      <c r="V11" s="61" t="e">
        <f>LOOKUP($C11,#REF!,#REF!)</f>
        <v>#REF!</v>
      </c>
      <c r="W11" s="61" t="e">
        <f>LOOKUP($C11,#REF!,#REF!)</f>
        <v>#REF!</v>
      </c>
      <c r="X11" s="61" t="e">
        <f>LOOKUP($C11,#REF!,#REF!)</f>
        <v>#REF!</v>
      </c>
      <c r="Y11" s="61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94</v>
      </c>
      <c r="E12" s="6">
        <v>18.989999999999998</v>
      </c>
      <c r="F12" s="20">
        <v>9.1300000000000008</v>
      </c>
      <c r="G12" s="21">
        <v>8</v>
      </c>
      <c r="H12" s="23">
        <f t="shared" si="0"/>
        <v>151.91999999999999</v>
      </c>
      <c r="I12" s="23">
        <f t="shared" si="1"/>
        <v>73.040000000000006</v>
      </c>
      <c r="J12" s="23">
        <f t="shared" si="2"/>
        <v>78.879999999999981</v>
      </c>
      <c r="K12" s="24">
        <f t="shared" si="3"/>
        <v>51.922064244339118</v>
      </c>
      <c r="L12" s="20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5">
        <v>40.830905363116436</v>
      </c>
      <c r="V12" s="61">
        <f>IFERROR(LOOKUP($C12,#REF!,#REF!),0)</f>
        <v>0</v>
      </c>
      <c r="W12" s="61">
        <f>IFERROR(LOOKUP($C12,#REF!,#REF!),0)</f>
        <v>0</v>
      </c>
      <c r="X12" s="61">
        <f>IFERROR(LOOKUP($C12,#REF!,#REF!),0)</f>
        <v>0</v>
      </c>
      <c r="Y12" s="61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118</v>
      </c>
      <c r="E13" s="6">
        <v>24.99</v>
      </c>
      <c r="F13" s="20">
        <v>13</v>
      </c>
      <c r="G13" s="21">
        <v>0</v>
      </c>
      <c r="H13" s="23">
        <f t="shared" si="0"/>
        <v>0</v>
      </c>
      <c r="I13" s="23">
        <f t="shared" si="1"/>
        <v>0</v>
      </c>
      <c r="J13" s="23">
        <f t="shared" si="2"/>
        <v>0</v>
      </c>
      <c r="K13" s="24">
        <f t="shared" si="3"/>
        <v>0</v>
      </c>
      <c r="L13" s="20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5">
        <v>42.224488836511668</v>
      </c>
      <c r="V13" s="61">
        <f>IFERROR(LOOKUP($C13,#REF!,#REF!),0)</f>
        <v>0</v>
      </c>
      <c r="W13" s="61">
        <f>IFERROR(LOOKUP($C13,#REF!,#REF!),0)</f>
        <v>0</v>
      </c>
      <c r="X13" s="61">
        <f>IFERROR(LOOKUP($C13,#REF!,#REF!),0)</f>
        <v>0</v>
      </c>
      <c r="Y13" s="61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128</v>
      </c>
      <c r="E14" s="6">
        <v>8.99</v>
      </c>
      <c r="F14" s="20">
        <v>4.53</v>
      </c>
      <c r="G14" s="21">
        <v>0</v>
      </c>
      <c r="H14" s="23">
        <f t="shared" si="0"/>
        <v>0</v>
      </c>
      <c r="I14" s="23">
        <f t="shared" si="1"/>
        <v>0</v>
      </c>
      <c r="J14" s="23">
        <f t="shared" si="2"/>
        <v>0</v>
      </c>
      <c r="K14" s="24">
        <f t="shared" si="3"/>
        <v>0</v>
      </c>
      <c r="L14" s="20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5">
        <v>37.146613845278239</v>
      </c>
      <c r="V14" s="61">
        <f>IFERROR(LOOKUP($C14,#REF!,#REF!),0)</f>
        <v>0</v>
      </c>
      <c r="W14" s="61">
        <f>IFERROR(LOOKUP($C14,#REF!,#REF!),0)</f>
        <v>0</v>
      </c>
      <c r="X14" s="61">
        <f>IFERROR(LOOKUP($C14,#REF!,#REF!),0)</f>
        <v>0</v>
      </c>
      <c r="Y14" s="61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164</v>
      </c>
      <c r="E15" s="6">
        <v>12.99</v>
      </c>
      <c r="F15" s="20">
        <v>6.88</v>
      </c>
      <c r="G15" s="21">
        <v>0</v>
      </c>
      <c r="H15" s="23">
        <f t="shared" si="0"/>
        <v>0</v>
      </c>
      <c r="I15" s="23">
        <f t="shared" si="1"/>
        <v>0</v>
      </c>
      <c r="J15" s="23">
        <f t="shared" si="2"/>
        <v>0</v>
      </c>
      <c r="K15" s="24">
        <f t="shared" si="3"/>
        <v>0</v>
      </c>
      <c r="L15" s="20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5">
        <v>40.339816262705256</v>
      </c>
      <c r="V15" s="61">
        <f>IFERROR(LOOKUP($C15,#REF!,#REF!),0)</f>
        <v>0</v>
      </c>
      <c r="W15" s="61">
        <f>IFERROR(LOOKUP($C15,#REF!,#REF!),0)</f>
        <v>0</v>
      </c>
      <c r="X15" s="61">
        <f>IFERROR(LOOKUP($C15,#REF!,#REF!),0)</f>
        <v>0</v>
      </c>
      <c r="Y15" s="61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100</v>
      </c>
      <c r="E16" s="6">
        <v>12.99</v>
      </c>
      <c r="F16" s="20">
        <v>6.77</v>
      </c>
      <c r="G16" s="21">
        <v>6</v>
      </c>
      <c r="H16" s="23">
        <f t="shared" si="0"/>
        <v>77.94</v>
      </c>
      <c r="I16" s="23">
        <f t="shared" si="1"/>
        <v>40.619999999999997</v>
      </c>
      <c r="J16" s="23">
        <f t="shared" si="2"/>
        <v>37.32</v>
      </c>
      <c r="K16" s="24">
        <f t="shared" si="3"/>
        <v>47.882986913010015</v>
      </c>
      <c r="L16" s="20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5">
        <v>40.274689179017678</v>
      </c>
      <c r="V16" s="61">
        <f>IFERROR(LOOKUP($C16,#REF!,#REF!),0)</f>
        <v>0</v>
      </c>
      <c r="W16" s="61">
        <f>IFERROR(LOOKUP($C16,#REF!,#REF!),0)</f>
        <v>0</v>
      </c>
      <c r="X16" s="61">
        <f>IFERROR(LOOKUP($C16,#REF!,#REF!),0)</f>
        <v>0</v>
      </c>
      <c r="Y16" s="61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102</v>
      </c>
      <c r="E17" s="6">
        <v>8.99</v>
      </c>
      <c r="F17" s="20">
        <v>4.5599999999999996</v>
      </c>
      <c r="G17" s="21">
        <v>0</v>
      </c>
      <c r="H17" s="23">
        <f t="shared" si="0"/>
        <v>0</v>
      </c>
      <c r="I17" s="23">
        <f t="shared" si="1"/>
        <v>0</v>
      </c>
      <c r="J17" s="23">
        <f t="shared" si="2"/>
        <v>0</v>
      </c>
      <c r="K17" s="24">
        <f t="shared" si="3"/>
        <v>0</v>
      </c>
      <c r="L17" s="20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5">
        <v>48.481196659448969</v>
      </c>
      <c r="V17" s="61">
        <f>IFERROR(LOOKUP($C17,#REF!,#REF!),0)</f>
        <v>0</v>
      </c>
      <c r="W17" s="61">
        <f>IFERROR(LOOKUP($C17,#REF!,#REF!),0)</f>
        <v>0</v>
      </c>
      <c r="X17" s="61">
        <f>IFERROR(LOOKUP($C17,#REF!,#REF!),0)</f>
        <v>0</v>
      </c>
      <c r="Y17" s="61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171</v>
      </c>
      <c r="E18" s="6">
        <v>11.99</v>
      </c>
      <c r="F18" s="20">
        <v>5.87</v>
      </c>
      <c r="G18" s="21">
        <v>0</v>
      </c>
      <c r="H18" s="23">
        <f t="shared" si="0"/>
        <v>0</v>
      </c>
      <c r="I18" s="23">
        <f t="shared" si="1"/>
        <v>0</v>
      </c>
      <c r="J18" s="23">
        <f t="shared" si="2"/>
        <v>0</v>
      </c>
      <c r="K18" s="24">
        <f t="shared" si="3"/>
        <v>0</v>
      </c>
      <c r="L18" s="20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5">
        <v>22.649620303230041</v>
      </c>
      <c r="V18" s="61">
        <f>IFERROR(LOOKUP($C18,#REF!,#REF!),0)</f>
        <v>0</v>
      </c>
      <c r="W18" s="61">
        <f>IFERROR(LOOKUP($C18,#REF!,#REF!),0)</f>
        <v>0</v>
      </c>
      <c r="X18" s="61">
        <f>IFERROR(LOOKUP($C18,#REF!,#REF!),0)</f>
        <v>0</v>
      </c>
      <c r="Y18" s="61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110</v>
      </c>
      <c r="E19" s="6">
        <v>17.989999999999998</v>
      </c>
      <c r="F19" s="20">
        <v>9.14</v>
      </c>
      <c r="G19" s="21">
        <v>6</v>
      </c>
      <c r="H19" s="23">
        <f t="shared" si="0"/>
        <v>107.94</v>
      </c>
      <c r="I19" s="23">
        <f t="shared" si="1"/>
        <v>54.84</v>
      </c>
      <c r="J19" s="23">
        <f t="shared" si="2"/>
        <v>53.099999999999994</v>
      </c>
      <c r="K19" s="24">
        <f t="shared" si="3"/>
        <v>49.193996664813781</v>
      </c>
      <c r="L19" s="20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5">
        <v>44.658202513075892</v>
      </c>
      <c r="V19" s="61">
        <f>IFERROR(LOOKUP($C19,#REF!,#REF!),0)</f>
        <v>0</v>
      </c>
      <c r="W19" s="61">
        <f>IFERROR(LOOKUP($C19,#REF!,#REF!),0)</f>
        <v>0</v>
      </c>
      <c r="X19" s="61">
        <f>IFERROR(LOOKUP($C19,#REF!,#REF!),0)</f>
        <v>0</v>
      </c>
      <c r="Y19" s="61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127</v>
      </c>
      <c r="E20" s="6">
        <v>130</v>
      </c>
      <c r="F20" s="20">
        <v>68.680000000000007</v>
      </c>
      <c r="G20" s="21">
        <v>0</v>
      </c>
      <c r="H20" s="23">
        <f t="shared" si="0"/>
        <v>0</v>
      </c>
      <c r="I20" s="23">
        <f t="shared" si="1"/>
        <v>0</v>
      </c>
      <c r="J20" s="23">
        <f t="shared" si="2"/>
        <v>0</v>
      </c>
      <c r="K20" s="24">
        <f t="shared" si="3"/>
        <v>0</v>
      </c>
      <c r="L20" s="20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5">
        <v>41.220722673492141</v>
      </c>
      <c r="V20" s="61">
        <f>IFERROR(LOOKUP($C20,#REF!,#REF!),0)</f>
        <v>0</v>
      </c>
      <c r="W20" s="61">
        <f>IFERROR(LOOKUP($C20,#REF!,#REF!),0)</f>
        <v>0</v>
      </c>
      <c r="X20" s="61">
        <f>IFERROR(LOOKUP($C20,#REF!,#REF!),0)</f>
        <v>0</v>
      </c>
      <c r="Y20" s="61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20">
        <v>7.46</v>
      </c>
      <c r="G21" s="21">
        <v>0</v>
      </c>
      <c r="H21" s="23">
        <f t="shared" si="0"/>
        <v>0</v>
      </c>
      <c r="I21" s="23">
        <f t="shared" si="1"/>
        <v>0</v>
      </c>
      <c r="J21" s="23">
        <f t="shared" si="2"/>
        <v>0</v>
      </c>
      <c r="K21" s="24">
        <f t="shared" si="3"/>
        <v>0</v>
      </c>
      <c r="L21" s="20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5">
        <v>34.160979238915615</v>
      </c>
      <c r="V21" s="61">
        <f>IFERROR(LOOKUP($C21,#REF!,#REF!),0)</f>
        <v>0</v>
      </c>
      <c r="W21" s="61">
        <f>IFERROR(LOOKUP($C21,#REF!,#REF!),0)</f>
        <v>0</v>
      </c>
      <c r="X21" s="61">
        <f>IFERROR(LOOKUP($C21,#REF!,#REF!),0)</f>
        <v>0</v>
      </c>
      <c r="Y21" s="61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20.99</v>
      </c>
      <c r="F22" s="20">
        <v>11.1</v>
      </c>
      <c r="G22" s="21">
        <v>0</v>
      </c>
      <c r="H22" s="23">
        <f t="shared" si="0"/>
        <v>0</v>
      </c>
      <c r="I22" s="23">
        <f t="shared" si="1"/>
        <v>0</v>
      </c>
      <c r="J22" s="23">
        <f t="shared" si="2"/>
        <v>0</v>
      </c>
      <c r="K22" s="24">
        <f t="shared" si="3"/>
        <v>0</v>
      </c>
      <c r="L22" s="20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5">
        <v>21.32395407450619</v>
      </c>
      <c r="V22" s="61">
        <f>IFERROR(LOOKUP($C22,#REF!,#REF!),0)</f>
        <v>0</v>
      </c>
      <c r="W22" s="61">
        <f>IFERROR(LOOKUP($C22,#REF!,#REF!),0)</f>
        <v>0</v>
      </c>
      <c r="X22" s="61">
        <f>IFERROR(LOOKUP($C22,#REF!,#REF!),0)</f>
        <v>0</v>
      </c>
      <c r="Y22" s="61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68</v>
      </c>
      <c r="E23" s="6">
        <v>9.99</v>
      </c>
      <c r="F23" s="20">
        <v>5.14</v>
      </c>
      <c r="G23" s="21">
        <v>0</v>
      </c>
      <c r="H23" s="23">
        <f t="shared" si="0"/>
        <v>0</v>
      </c>
      <c r="I23" s="23">
        <f t="shared" si="1"/>
        <v>0</v>
      </c>
      <c r="J23" s="23">
        <f t="shared" si="2"/>
        <v>0</v>
      </c>
      <c r="K23" s="24">
        <f t="shared" si="3"/>
        <v>0</v>
      </c>
      <c r="L23" s="20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5">
        <v>39.145316229875277</v>
      </c>
      <c r="V23" s="61">
        <f>IFERROR(LOOKUP($C23,#REF!,#REF!),0)</f>
        <v>0</v>
      </c>
      <c r="W23" s="61">
        <f>IFERROR(LOOKUP($C23,#REF!,#REF!),0)</f>
        <v>0</v>
      </c>
      <c r="X23" s="61">
        <f>IFERROR(LOOKUP($C23,#REF!,#REF!),0)</f>
        <v>0</v>
      </c>
      <c r="Y23" s="61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175</v>
      </c>
      <c r="E24" s="6">
        <v>5.99</v>
      </c>
      <c r="F24" s="20">
        <v>3.31</v>
      </c>
      <c r="G24" s="21">
        <v>0</v>
      </c>
      <c r="H24" s="23">
        <f t="shared" si="0"/>
        <v>0</v>
      </c>
      <c r="I24" s="23">
        <f t="shared" si="1"/>
        <v>0</v>
      </c>
      <c r="J24" s="23">
        <f t="shared" si="2"/>
        <v>0</v>
      </c>
      <c r="K24" s="24">
        <f t="shared" si="3"/>
        <v>0</v>
      </c>
      <c r="L24" s="20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5">
        <v>71.530957852198824</v>
      </c>
      <c r="V24" s="61">
        <f>IFERROR(LOOKUP($C24,#REF!,#REF!),0)</f>
        <v>0</v>
      </c>
      <c r="W24" s="61">
        <f>IFERROR(LOOKUP($C24,#REF!,#REF!),0)</f>
        <v>0</v>
      </c>
      <c r="X24" s="61">
        <f>IFERROR(LOOKUP($C24,#REF!,#REF!),0)</f>
        <v>0</v>
      </c>
      <c r="Y24" s="61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139</v>
      </c>
      <c r="E25" s="6">
        <v>3.5</v>
      </c>
      <c r="F25" s="20">
        <v>2.12</v>
      </c>
      <c r="G25" s="21">
        <v>0</v>
      </c>
      <c r="H25" s="23">
        <f t="shared" si="0"/>
        <v>0</v>
      </c>
      <c r="I25" s="23">
        <f t="shared" si="1"/>
        <v>0</v>
      </c>
      <c r="J25" s="23">
        <f t="shared" si="2"/>
        <v>0</v>
      </c>
      <c r="K25" s="24">
        <f t="shared" si="3"/>
        <v>0</v>
      </c>
      <c r="L25" s="20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5">
        <v>59.419244028716548</v>
      </c>
      <c r="V25" s="61">
        <f>IFERROR(LOOKUP($C25,#REF!,#REF!),0)</f>
        <v>0</v>
      </c>
      <c r="W25" s="61">
        <f>IFERROR(LOOKUP($C25,#REF!,#REF!),0)</f>
        <v>0</v>
      </c>
      <c r="X25" s="61">
        <f>IFERROR(LOOKUP($C25,#REF!,#REF!),0)</f>
        <v>0</v>
      </c>
      <c r="Y25" s="61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73</v>
      </c>
      <c r="E26" s="6">
        <v>8.99</v>
      </c>
      <c r="F26" s="20">
        <v>5</v>
      </c>
      <c r="G26" s="21">
        <v>0</v>
      </c>
      <c r="H26" s="23">
        <f t="shared" si="0"/>
        <v>0</v>
      </c>
      <c r="I26" s="23">
        <f t="shared" si="1"/>
        <v>0</v>
      </c>
      <c r="J26" s="23">
        <f t="shared" si="2"/>
        <v>0</v>
      </c>
      <c r="K26" s="24">
        <f t="shared" si="3"/>
        <v>0</v>
      </c>
      <c r="L26" s="20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5">
        <v>33.368309132036671</v>
      </c>
      <c r="V26" s="61">
        <f>IFERROR(LOOKUP($C26,#REF!,#REF!),0)</f>
        <v>0</v>
      </c>
      <c r="W26" s="61">
        <f>IFERROR(LOOKUP($C26,#REF!,#REF!),0)</f>
        <v>0</v>
      </c>
      <c r="X26" s="61">
        <f>IFERROR(LOOKUP($C26,#REF!,#REF!),0)</f>
        <v>0</v>
      </c>
      <c r="Y26" s="61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98</v>
      </c>
      <c r="E27" s="6">
        <v>39.99</v>
      </c>
      <c r="F27" s="20">
        <v>11.79</v>
      </c>
      <c r="G27" s="21">
        <v>8</v>
      </c>
      <c r="H27" s="23">
        <f t="shared" si="0"/>
        <v>319.92</v>
      </c>
      <c r="I27" s="23">
        <f t="shared" si="1"/>
        <v>94.32</v>
      </c>
      <c r="J27" s="23">
        <f t="shared" si="2"/>
        <v>225.60000000000002</v>
      </c>
      <c r="K27" s="24">
        <f t="shared" si="3"/>
        <v>70.517629407351848</v>
      </c>
      <c r="L27" s="20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5">
        <v>36.18869047619048</v>
      </c>
      <c r="V27" s="61">
        <f>IFERROR(LOOKUP($C27,#REF!,#REF!),0)</f>
        <v>0</v>
      </c>
      <c r="W27" s="61">
        <f>IFERROR(LOOKUP($C27,#REF!,#REF!),0)</f>
        <v>0</v>
      </c>
      <c r="X27" s="61">
        <f>IFERROR(LOOKUP($C27,#REF!,#REF!),0)</f>
        <v>0</v>
      </c>
      <c r="Y27" s="61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149</v>
      </c>
      <c r="E28" s="6">
        <v>47.99</v>
      </c>
      <c r="F28" s="20">
        <v>27.08</v>
      </c>
      <c r="G28" s="21">
        <v>0</v>
      </c>
      <c r="H28" s="23">
        <f t="shared" si="0"/>
        <v>0</v>
      </c>
      <c r="I28" s="23">
        <f t="shared" si="1"/>
        <v>0</v>
      </c>
      <c r="J28" s="23">
        <f t="shared" si="2"/>
        <v>0</v>
      </c>
      <c r="K28" s="24">
        <f t="shared" si="3"/>
        <v>0</v>
      </c>
      <c r="L28" s="20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5">
        <v>42.002430614599909</v>
      </c>
      <c r="V28" s="61">
        <f>IFERROR(LOOKUP($C28,#REF!,#REF!),0)</f>
        <v>0</v>
      </c>
      <c r="W28" s="61">
        <f>IFERROR(LOOKUP($C28,#REF!,#REF!),0)</f>
        <v>0</v>
      </c>
      <c r="X28" s="61">
        <f>IFERROR(LOOKUP($C28,#REF!,#REF!),0)</f>
        <v>0</v>
      </c>
      <c r="Y28" s="61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148</v>
      </c>
      <c r="E29" s="6">
        <v>5.99</v>
      </c>
      <c r="F29" s="20">
        <v>3.1</v>
      </c>
      <c r="G29" s="21">
        <v>0</v>
      </c>
      <c r="H29" s="23">
        <f t="shared" si="0"/>
        <v>0</v>
      </c>
      <c r="I29" s="23">
        <f t="shared" si="1"/>
        <v>0</v>
      </c>
      <c r="J29" s="23">
        <f t="shared" si="2"/>
        <v>0</v>
      </c>
      <c r="K29" s="24">
        <f t="shared" si="3"/>
        <v>0</v>
      </c>
      <c r="L29" s="20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5">
        <v>63.105748647040848</v>
      </c>
      <c r="V29" s="61">
        <f>IFERROR(LOOKUP($C29,#REF!,#REF!),0)</f>
        <v>0</v>
      </c>
      <c r="W29" s="61">
        <f>IFERROR(LOOKUP($C29,#REF!,#REF!),0)</f>
        <v>0</v>
      </c>
      <c r="X29" s="61">
        <f>IFERROR(LOOKUP($C29,#REF!,#REF!),0)</f>
        <v>0</v>
      </c>
      <c r="Y29" s="61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277</v>
      </c>
      <c r="E30" s="6">
        <v>69.989999999999995</v>
      </c>
      <c r="F30" s="20">
        <v>32.450000000000003</v>
      </c>
      <c r="G30" s="21">
        <v>0</v>
      </c>
      <c r="H30" s="23">
        <f t="shared" si="0"/>
        <v>0</v>
      </c>
      <c r="I30" s="23">
        <f t="shared" si="1"/>
        <v>0</v>
      </c>
      <c r="J30" s="23">
        <f t="shared" si="2"/>
        <v>0</v>
      </c>
      <c r="K30" s="24">
        <f t="shared" si="3"/>
        <v>0</v>
      </c>
      <c r="L30" s="20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5">
        <v>53.682094453137054</v>
      </c>
      <c r="V30" s="61">
        <f>IFERROR(LOOKUP($C30,#REF!,#REF!),0)</f>
        <v>0</v>
      </c>
      <c r="W30" s="61">
        <f>IFERROR(LOOKUP($C30,#REF!,#REF!),0)</f>
        <v>0</v>
      </c>
      <c r="X30" s="61">
        <f>IFERROR(LOOKUP($C30,#REF!,#REF!),0)</f>
        <v>0</v>
      </c>
      <c r="Y30" s="61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112</v>
      </c>
      <c r="E31" s="6">
        <v>14.99</v>
      </c>
      <c r="F31" s="20">
        <v>5.5</v>
      </c>
      <c r="G31" s="21">
        <v>0</v>
      </c>
      <c r="H31" s="23">
        <f t="shared" si="0"/>
        <v>0</v>
      </c>
      <c r="I31" s="23">
        <f t="shared" si="1"/>
        <v>0</v>
      </c>
      <c r="J31" s="23">
        <f t="shared" si="2"/>
        <v>0</v>
      </c>
      <c r="K31" s="24">
        <f t="shared" si="3"/>
        <v>0</v>
      </c>
      <c r="L31" s="20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5">
        <v>52.772258876422661</v>
      </c>
      <c r="V31" s="61">
        <f>IFERROR(LOOKUP($C31,#REF!,#REF!),0)</f>
        <v>0</v>
      </c>
      <c r="W31" s="61">
        <f>IFERROR(LOOKUP($C31,#REF!,#REF!),0)</f>
        <v>0</v>
      </c>
      <c r="X31" s="61">
        <f>IFERROR(LOOKUP($C31,#REF!,#REF!),0)</f>
        <v>0</v>
      </c>
      <c r="Y31" s="61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263</v>
      </c>
      <c r="E32" s="6">
        <v>130</v>
      </c>
      <c r="F32" s="20">
        <v>64.900000000000006</v>
      </c>
      <c r="G32" s="21">
        <v>0</v>
      </c>
      <c r="H32" s="23">
        <f t="shared" si="0"/>
        <v>0</v>
      </c>
      <c r="I32" s="23">
        <f t="shared" si="1"/>
        <v>0</v>
      </c>
      <c r="J32" s="23">
        <f t="shared" si="2"/>
        <v>0</v>
      </c>
      <c r="K32" s="24">
        <f t="shared" si="3"/>
        <v>0</v>
      </c>
      <c r="L32" s="20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5">
        <v>52.772258876422661</v>
      </c>
      <c r="V32" s="61">
        <f>IFERROR(LOOKUP($C32,#REF!,#REF!),0)</f>
        <v>0</v>
      </c>
      <c r="W32" s="61">
        <f>IFERROR(LOOKUP($C32,#REF!,#REF!),0)</f>
        <v>0</v>
      </c>
      <c r="X32" s="61">
        <f>IFERROR(LOOKUP($C32,#REF!,#REF!),0)</f>
        <v>0</v>
      </c>
      <c r="Y32" s="61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113</v>
      </c>
      <c r="E33" s="6">
        <v>19.989999999999998</v>
      </c>
      <c r="F33" s="20">
        <v>10.23</v>
      </c>
      <c r="G33" s="21">
        <v>0</v>
      </c>
      <c r="H33" s="23">
        <f t="shared" si="0"/>
        <v>0</v>
      </c>
      <c r="I33" s="23">
        <f t="shared" si="1"/>
        <v>0</v>
      </c>
      <c r="J33" s="23">
        <f t="shared" si="2"/>
        <v>0</v>
      </c>
      <c r="K33" s="24">
        <f t="shared" si="3"/>
        <v>0</v>
      </c>
      <c r="L33" s="20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5">
        <v>40.003340397615169</v>
      </c>
      <c r="V33" s="61">
        <f>IFERROR(LOOKUP($C33,#REF!,#REF!),0)</f>
        <v>0</v>
      </c>
      <c r="W33" s="61">
        <f>IFERROR(LOOKUP($C33,#REF!,#REF!),0)</f>
        <v>0</v>
      </c>
      <c r="X33" s="61">
        <f>IFERROR(LOOKUP($C33,#REF!,#REF!),0)</f>
        <v>0</v>
      </c>
      <c r="Y33" s="61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121</v>
      </c>
      <c r="E34" s="6">
        <v>5.99</v>
      </c>
      <c r="F34" s="20">
        <v>2.95</v>
      </c>
      <c r="G34" s="21">
        <v>0</v>
      </c>
      <c r="H34" s="23">
        <f t="shared" si="0"/>
        <v>0</v>
      </c>
      <c r="I34" s="23">
        <f t="shared" si="1"/>
        <v>0</v>
      </c>
      <c r="J34" s="23">
        <f t="shared" si="2"/>
        <v>0</v>
      </c>
      <c r="K34" s="24">
        <f t="shared" si="3"/>
        <v>0</v>
      </c>
      <c r="L34" s="20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5">
        <v>30.14139850057574</v>
      </c>
      <c r="V34" s="61">
        <f>IFERROR(LOOKUP($C34,#REF!,#REF!),0)</f>
        <v>0</v>
      </c>
      <c r="W34" s="61">
        <f>IFERROR(LOOKUP($C34,#REF!,#REF!),0)</f>
        <v>0</v>
      </c>
      <c r="X34" s="61">
        <f>IFERROR(LOOKUP($C34,#REF!,#REF!),0)</f>
        <v>0</v>
      </c>
      <c r="Y34" s="61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85</v>
      </c>
      <c r="E35" s="6">
        <v>19.989999999999998</v>
      </c>
      <c r="F35" s="20">
        <v>7.94</v>
      </c>
      <c r="G35" s="21">
        <v>0</v>
      </c>
      <c r="H35" s="23">
        <f t="shared" si="0"/>
        <v>0</v>
      </c>
      <c r="I35" s="23">
        <f t="shared" si="1"/>
        <v>0</v>
      </c>
      <c r="J35" s="23">
        <f t="shared" si="2"/>
        <v>0</v>
      </c>
      <c r="K35" s="24">
        <f t="shared" si="3"/>
        <v>0</v>
      </c>
      <c r="L35" s="20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5">
        <v>44.843723713619667</v>
      </c>
      <c r="V35" s="61">
        <f>IFERROR(LOOKUP($C35,#REF!,#REF!),0)</f>
        <v>0</v>
      </c>
      <c r="W35" s="61">
        <f>IFERROR(LOOKUP($C35,#REF!,#REF!),0)</f>
        <v>0</v>
      </c>
      <c r="X35" s="61">
        <f>IFERROR(LOOKUP($C35,#REF!,#REF!),0)</f>
        <v>0</v>
      </c>
      <c r="Y35" s="61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97</v>
      </c>
      <c r="E36" s="6">
        <v>17.989999999999998</v>
      </c>
      <c r="F36" s="20">
        <v>9.1199999999999992</v>
      </c>
      <c r="G36" s="21">
        <v>8</v>
      </c>
      <c r="H36" s="23">
        <f t="shared" si="0"/>
        <v>143.91999999999999</v>
      </c>
      <c r="I36" s="23">
        <f t="shared" si="1"/>
        <v>72.959999999999994</v>
      </c>
      <c r="J36" s="23">
        <f t="shared" si="2"/>
        <v>70.959999999999994</v>
      </c>
      <c r="K36" s="24">
        <f t="shared" si="3"/>
        <v>49.305169538632576</v>
      </c>
      <c r="L36" s="20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5">
        <v>41.344676370807363</v>
      </c>
      <c r="V36" s="61">
        <f>IFERROR(LOOKUP($C36,#REF!,#REF!),0)</f>
        <v>0</v>
      </c>
      <c r="W36" s="61">
        <f>IFERROR(LOOKUP($C36,#REF!,#REF!),0)</f>
        <v>0</v>
      </c>
      <c r="X36" s="61">
        <f>IFERROR(LOOKUP($C36,#REF!,#REF!),0)</f>
        <v>0</v>
      </c>
      <c r="Y36" s="61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119</v>
      </c>
      <c r="E37" s="6">
        <v>400</v>
      </c>
      <c r="F37" s="20">
        <v>204.01</v>
      </c>
      <c r="G37" s="21">
        <v>0</v>
      </c>
      <c r="H37" s="23">
        <f t="shared" si="0"/>
        <v>0</v>
      </c>
      <c r="I37" s="23">
        <f t="shared" si="1"/>
        <v>0</v>
      </c>
      <c r="J37" s="23">
        <f t="shared" si="2"/>
        <v>0</v>
      </c>
      <c r="K37" s="24">
        <f t="shared" si="3"/>
        <v>0</v>
      </c>
      <c r="L37" s="20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5">
        <v>41.545552310065631</v>
      </c>
      <c r="V37" s="61">
        <f>IFERROR(LOOKUP($C37,#REF!,#REF!),0)</f>
        <v>0</v>
      </c>
      <c r="W37" s="61">
        <f>IFERROR(LOOKUP($C37,#REF!,#REF!),0)</f>
        <v>0</v>
      </c>
      <c r="X37" s="61">
        <f>IFERROR(LOOKUP($C37,#REF!,#REF!),0)</f>
        <v>0</v>
      </c>
      <c r="Y37" s="61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274</v>
      </c>
      <c r="E38" s="6">
        <v>59.99</v>
      </c>
      <c r="F38" s="20">
        <v>23.44</v>
      </c>
      <c r="G38" s="21">
        <v>0</v>
      </c>
      <c r="H38" s="23">
        <f t="shared" si="0"/>
        <v>0</v>
      </c>
      <c r="I38" s="23">
        <f t="shared" si="1"/>
        <v>0</v>
      </c>
      <c r="J38" s="23">
        <f t="shared" si="2"/>
        <v>0</v>
      </c>
      <c r="K38" s="24">
        <f t="shared" si="3"/>
        <v>0</v>
      </c>
      <c r="L38" s="20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5">
        <v>46.204236800122914</v>
      </c>
      <c r="V38" s="61">
        <f>IFERROR(LOOKUP($C38,#REF!,#REF!),0)</f>
        <v>0</v>
      </c>
      <c r="W38" s="61">
        <f>IFERROR(LOOKUP($C38,#REF!,#REF!),0)</f>
        <v>0</v>
      </c>
      <c r="X38" s="61">
        <f>IFERROR(LOOKUP($C38,#REF!,#REF!),0)</f>
        <v>0</v>
      </c>
      <c r="Y38" s="61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272</v>
      </c>
      <c r="E39" s="6">
        <v>35.99</v>
      </c>
      <c r="F39" s="20">
        <v>18</v>
      </c>
      <c r="G39" s="21">
        <v>0</v>
      </c>
      <c r="H39" s="23">
        <f t="shared" si="0"/>
        <v>0</v>
      </c>
      <c r="I39" s="23">
        <f t="shared" si="1"/>
        <v>0</v>
      </c>
      <c r="J39" s="23">
        <f t="shared" si="2"/>
        <v>0</v>
      </c>
      <c r="K39" s="24">
        <f t="shared" si="3"/>
        <v>0</v>
      </c>
      <c r="L39" s="20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5">
        <v>54.521914497282822</v>
      </c>
      <c r="V39" s="61">
        <f>IFERROR(LOOKUP($C39,#REF!,#REF!),0)</f>
        <v>0</v>
      </c>
      <c r="W39" s="61">
        <f>IFERROR(LOOKUP($C39,#REF!,#REF!),0)</f>
        <v>0</v>
      </c>
      <c r="X39" s="61">
        <f>IFERROR(LOOKUP($C39,#REF!,#REF!),0)</f>
        <v>0</v>
      </c>
      <c r="Y39" s="61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210</v>
      </c>
      <c r="E40" s="6">
        <v>30</v>
      </c>
      <c r="F40" s="20">
        <v>18.260000000000002</v>
      </c>
      <c r="G40" s="21">
        <v>0</v>
      </c>
      <c r="H40" s="23">
        <f t="shared" si="0"/>
        <v>0</v>
      </c>
      <c r="I40" s="23">
        <f t="shared" si="1"/>
        <v>0</v>
      </c>
      <c r="J40" s="23">
        <f t="shared" si="2"/>
        <v>0</v>
      </c>
      <c r="K40" s="24">
        <f t="shared" si="3"/>
        <v>0</v>
      </c>
      <c r="L40" s="20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5">
        <v>30.463346757453891</v>
      </c>
      <c r="V40" s="61">
        <f>IFERROR(LOOKUP($C40,#REF!,#REF!),0)</f>
        <v>0</v>
      </c>
      <c r="W40" s="61">
        <f>IFERROR(LOOKUP($C40,#REF!,#REF!),0)</f>
        <v>0</v>
      </c>
      <c r="X40" s="61">
        <f>IFERROR(LOOKUP($C40,#REF!,#REF!),0)</f>
        <v>0</v>
      </c>
      <c r="Y40" s="61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222</v>
      </c>
      <c r="E41" s="6">
        <v>10</v>
      </c>
      <c r="F41" s="20">
        <v>1.5</v>
      </c>
      <c r="G41" s="21">
        <v>0</v>
      </c>
      <c r="H41" s="23">
        <f t="shared" si="0"/>
        <v>0</v>
      </c>
      <c r="I41" s="23">
        <f t="shared" si="1"/>
        <v>0</v>
      </c>
      <c r="J41" s="23">
        <f t="shared" si="2"/>
        <v>0</v>
      </c>
      <c r="K41" s="24">
        <f t="shared" si="3"/>
        <v>0</v>
      </c>
      <c r="L41" s="20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5">
        <v>16.938568215095824</v>
      </c>
      <c r="V41" s="61">
        <f>IFERROR(LOOKUP($C41,#REF!,#REF!),0)</f>
        <v>0</v>
      </c>
      <c r="W41" s="61">
        <f>IFERROR(LOOKUP($C41,#REF!,#REF!),0)</f>
        <v>0</v>
      </c>
      <c r="X41" s="61">
        <f>IFERROR(LOOKUP($C41,#REF!,#REF!),0)</f>
        <v>0</v>
      </c>
      <c r="Y41" s="61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214</v>
      </c>
      <c r="E42" s="6">
        <v>20</v>
      </c>
      <c r="F42" s="20">
        <v>10.23</v>
      </c>
      <c r="G42" s="21">
        <v>0</v>
      </c>
      <c r="H42" s="23">
        <f t="shared" si="0"/>
        <v>0</v>
      </c>
      <c r="I42" s="23">
        <f t="shared" si="1"/>
        <v>0</v>
      </c>
      <c r="J42" s="23">
        <f t="shared" si="2"/>
        <v>0</v>
      </c>
      <c r="K42" s="24">
        <f t="shared" si="3"/>
        <v>0</v>
      </c>
      <c r="L42" s="20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5">
        <v>49.277186062073852</v>
      </c>
      <c r="V42" s="61">
        <f>IFERROR(LOOKUP($C42,#REF!,#REF!),0)</f>
        <v>0</v>
      </c>
      <c r="W42" s="61">
        <f>IFERROR(LOOKUP($C42,#REF!,#REF!),0)</f>
        <v>0</v>
      </c>
      <c r="X42" s="61">
        <f>IFERROR(LOOKUP($C42,#REF!,#REF!),0)</f>
        <v>0</v>
      </c>
      <c r="Y42" s="61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223</v>
      </c>
      <c r="E43" s="6">
        <v>15</v>
      </c>
      <c r="F43" s="20">
        <v>4.26</v>
      </c>
      <c r="G43" s="21">
        <v>0</v>
      </c>
      <c r="H43" s="23">
        <f t="shared" si="0"/>
        <v>0</v>
      </c>
      <c r="I43" s="23">
        <f t="shared" si="1"/>
        <v>0</v>
      </c>
      <c r="J43" s="23">
        <f t="shared" si="2"/>
        <v>0</v>
      </c>
      <c r="K43" s="24">
        <f t="shared" si="3"/>
        <v>0</v>
      </c>
      <c r="L43" s="20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5">
        <v>40.132916666666659</v>
      </c>
      <c r="V43" s="61">
        <f>IFERROR(LOOKUP($C43,#REF!,#REF!),0)</f>
        <v>0</v>
      </c>
      <c r="W43" s="61">
        <f>IFERROR(LOOKUP($C43,#REF!,#REF!),0)</f>
        <v>0</v>
      </c>
      <c r="X43" s="61">
        <f>IFERROR(LOOKUP($C43,#REF!,#REF!),0)</f>
        <v>0</v>
      </c>
      <c r="Y43" s="61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219</v>
      </c>
      <c r="E44" s="6">
        <v>15</v>
      </c>
      <c r="F44" s="20">
        <v>10.23</v>
      </c>
      <c r="G44" s="21">
        <v>0</v>
      </c>
      <c r="H44" s="23">
        <f t="shared" si="0"/>
        <v>0</v>
      </c>
      <c r="I44" s="23">
        <f t="shared" si="1"/>
        <v>0</v>
      </c>
      <c r="J44" s="23">
        <f t="shared" si="2"/>
        <v>0</v>
      </c>
      <c r="K44" s="24">
        <f t="shared" si="3"/>
        <v>0</v>
      </c>
      <c r="L44" s="20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5">
        <v>49.500423065960135</v>
      </c>
      <c r="V44" s="61">
        <f>IFERROR(LOOKUP($C44,#REF!,#REF!),0)</f>
        <v>0</v>
      </c>
      <c r="W44" s="61">
        <f>IFERROR(LOOKUP($C44,#REF!,#REF!),0)</f>
        <v>0</v>
      </c>
      <c r="X44" s="61">
        <f>IFERROR(LOOKUP($C44,#REF!,#REF!),0)</f>
        <v>0</v>
      </c>
      <c r="Y44" s="61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224</v>
      </c>
      <c r="E45" s="6">
        <v>10</v>
      </c>
      <c r="F45" s="20">
        <v>2.5</v>
      </c>
      <c r="G45" s="21">
        <v>0</v>
      </c>
      <c r="H45" s="23">
        <f t="shared" si="0"/>
        <v>0</v>
      </c>
      <c r="I45" s="23">
        <f t="shared" si="1"/>
        <v>0</v>
      </c>
      <c r="J45" s="23">
        <f t="shared" si="2"/>
        <v>0</v>
      </c>
      <c r="K45" s="24">
        <f t="shared" si="3"/>
        <v>0</v>
      </c>
      <c r="L45" s="20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5">
        <v>36.158778140929712</v>
      </c>
      <c r="V45" s="61">
        <f>IFERROR(LOOKUP($C45,#REF!,#REF!),0)</f>
        <v>0</v>
      </c>
      <c r="W45" s="61">
        <f>IFERROR(LOOKUP($C45,#REF!,#REF!),0)</f>
        <v>0</v>
      </c>
      <c r="X45" s="61">
        <f>IFERROR(LOOKUP($C45,#REF!,#REF!),0)</f>
        <v>0</v>
      </c>
      <c r="Y45" s="61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225</v>
      </c>
      <c r="E46" s="6">
        <v>10</v>
      </c>
      <c r="F46" s="20">
        <v>3.39</v>
      </c>
      <c r="G46" s="21">
        <v>0</v>
      </c>
      <c r="H46" s="23">
        <f t="shared" si="0"/>
        <v>0</v>
      </c>
      <c r="I46" s="23">
        <f t="shared" si="1"/>
        <v>0</v>
      </c>
      <c r="J46" s="23">
        <f t="shared" si="2"/>
        <v>0</v>
      </c>
      <c r="K46" s="24">
        <f t="shared" si="3"/>
        <v>0</v>
      </c>
      <c r="L46" s="20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5">
        <v>68.119548593252532</v>
      </c>
      <c r="V46" s="61">
        <f>IFERROR(LOOKUP($C46,#REF!,#REF!),0)</f>
        <v>0</v>
      </c>
      <c r="W46" s="61">
        <f>IFERROR(LOOKUP($C46,#REF!,#REF!),0)</f>
        <v>0</v>
      </c>
      <c r="X46" s="61">
        <f>IFERROR(LOOKUP($C46,#REF!,#REF!),0)</f>
        <v>0</v>
      </c>
      <c r="Y46" s="61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216</v>
      </c>
      <c r="E47" s="6">
        <v>15</v>
      </c>
      <c r="F47" s="20">
        <v>6.99</v>
      </c>
      <c r="G47" s="21">
        <v>0</v>
      </c>
      <c r="H47" s="23">
        <f t="shared" si="0"/>
        <v>0</v>
      </c>
      <c r="I47" s="23">
        <f t="shared" si="1"/>
        <v>0</v>
      </c>
      <c r="J47" s="23">
        <f t="shared" si="2"/>
        <v>0</v>
      </c>
      <c r="K47" s="24">
        <f t="shared" si="3"/>
        <v>0</v>
      </c>
      <c r="L47" s="20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5">
        <v>39.766495193597848</v>
      </c>
      <c r="V47" s="61">
        <f>IFERROR(LOOKUP($C47,#REF!,#REF!),0)</f>
        <v>0</v>
      </c>
      <c r="W47" s="61">
        <f>IFERROR(LOOKUP($C47,#REF!,#REF!),0)</f>
        <v>0</v>
      </c>
      <c r="X47" s="61">
        <f>IFERROR(LOOKUP($C47,#REF!,#REF!),0)</f>
        <v>0</v>
      </c>
      <c r="Y47" s="61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220</v>
      </c>
      <c r="E48" s="6">
        <v>15</v>
      </c>
      <c r="F48" s="20">
        <v>7.77</v>
      </c>
      <c r="G48" s="21">
        <v>0</v>
      </c>
      <c r="H48" s="23">
        <f t="shared" si="0"/>
        <v>0</v>
      </c>
      <c r="I48" s="23">
        <f t="shared" si="1"/>
        <v>0</v>
      </c>
      <c r="J48" s="23">
        <f t="shared" si="2"/>
        <v>0</v>
      </c>
      <c r="K48" s="24">
        <f t="shared" si="3"/>
        <v>0</v>
      </c>
      <c r="L48" s="20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5">
        <v>35.25332338236155</v>
      </c>
      <c r="V48" s="61">
        <f>IFERROR(LOOKUP($C48,#REF!,#REF!),0)</f>
        <v>0</v>
      </c>
      <c r="W48" s="61">
        <f>IFERROR(LOOKUP($C48,#REF!,#REF!),0)</f>
        <v>0</v>
      </c>
      <c r="X48" s="61">
        <f>IFERROR(LOOKUP($C48,#REF!,#REF!),0)</f>
        <v>0</v>
      </c>
      <c r="Y48" s="61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226</v>
      </c>
      <c r="E49" s="6">
        <v>10</v>
      </c>
      <c r="F49" s="20">
        <v>2.3199999999999998</v>
      </c>
      <c r="G49" s="21">
        <v>0</v>
      </c>
      <c r="H49" s="23">
        <f t="shared" si="0"/>
        <v>0</v>
      </c>
      <c r="I49" s="23">
        <f t="shared" si="1"/>
        <v>0</v>
      </c>
      <c r="J49" s="23">
        <f t="shared" si="2"/>
        <v>0</v>
      </c>
      <c r="K49" s="24">
        <f t="shared" si="3"/>
        <v>0</v>
      </c>
      <c r="L49" s="20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5">
        <v>29.489593179646256</v>
      </c>
      <c r="V49" s="61">
        <f>IFERROR(LOOKUP($C49,#REF!,#REF!),0)</f>
        <v>0</v>
      </c>
      <c r="W49" s="61">
        <f>IFERROR(LOOKUP($C49,#REF!,#REF!),0)</f>
        <v>0</v>
      </c>
      <c r="X49" s="61">
        <f>IFERROR(LOOKUP($C49,#REF!,#REF!),0)</f>
        <v>0</v>
      </c>
      <c r="Y49" s="61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227</v>
      </c>
      <c r="E50" s="6">
        <v>10</v>
      </c>
      <c r="F50" s="20">
        <v>4.5599999999999996</v>
      </c>
      <c r="G50" s="21">
        <v>0</v>
      </c>
      <c r="H50" s="23">
        <f t="shared" si="0"/>
        <v>0</v>
      </c>
      <c r="I50" s="23">
        <f t="shared" si="1"/>
        <v>0</v>
      </c>
      <c r="J50" s="23">
        <f t="shared" si="2"/>
        <v>0</v>
      </c>
      <c r="K50" s="24">
        <f t="shared" si="3"/>
        <v>0</v>
      </c>
      <c r="L50" s="20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5">
        <v>51.013501645563863</v>
      </c>
      <c r="V50" s="61">
        <f>IFERROR(LOOKUP($C50,#REF!,#REF!),0)</f>
        <v>0</v>
      </c>
      <c r="W50" s="61">
        <f>IFERROR(LOOKUP($C50,#REF!,#REF!),0)</f>
        <v>0</v>
      </c>
      <c r="X50" s="61">
        <f>IFERROR(LOOKUP($C50,#REF!,#REF!),0)</f>
        <v>0</v>
      </c>
      <c r="Y50" s="61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221</v>
      </c>
      <c r="E51" s="6">
        <v>10</v>
      </c>
      <c r="F51" s="20">
        <v>5.04</v>
      </c>
      <c r="G51" s="21">
        <v>0</v>
      </c>
      <c r="H51" s="23">
        <f t="shared" si="0"/>
        <v>0</v>
      </c>
      <c r="I51" s="23">
        <f t="shared" si="1"/>
        <v>0</v>
      </c>
      <c r="J51" s="23">
        <f t="shared" si="2"/>
        <v>0</v>
      </c>
      <c r="K51" s="24">
        <f t="shared" si="3"/>
        <v>0</v>
      </c>
      <c r="L51" s="20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5">
        <v>87.423725912399959</v>
      </c>
      <c r="V51" s="61">
        <f>IFERROR(LOOKUP($C51,#REF!,#REF!),0)</f>
        <v>0</v>
      </c>
      <c r="W51" s="61">
        <f>IFERROR(LOOKUP($C51,#REF!,#REF!),0)</f>
        <v>0</v>
      </c>
      <c r="X51" s="61">
        <f>IFERROR(LOOKUP($C51,#REF!,#REF!),0)</f>
        <v>0</v>
      </c>
      <c r="Y51" s="61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217</v>
      </c>
      <c r="E52" s="6">
        <v>15</v>
      </c>
      <c r="F52" s="20">
        <v>9.1300000000000008</v>
      </c>
      <c r="G52" s="21">
        <v>0</v>
      </c>
      <c r="H52" s="23">
        <f t="shared" si="0"/>
        <v>0</v>
      </c>
      <c r="I52" s="23">
        <f t="shared" si="1"/>
        <v>0</v>
      </c>
      <c r="J52" s="23">
        <f t="shared" si="2"/>
        <v>0</v>
      </c>
      <c r="K52" s="24">
        <f t="shared" si="3"/>
        <v>0</v>
      </c>
      <c r="L52" s="20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5">
        <v>47.110636176576634</v>
      </c>
      <c r="V52" s="61">
        <f>IFERROR(LOOKUP($C52,#REF!,#REF!),0)</f>
        <v>0</v>
      </c>
      <c r="W52" s="61">
        <f>IFERROR(LOOKUP($C52,#REF!,#REF!),0)</f>
        <v>0</v>
      </c>
      <c r="X52" s="61">
        <f>IFERROR(LOOKUP($C52,#REF!,#REF!),0)</f>
        <v>0</v>
      </c>
      <c r="Y52" s="61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212</v>
      </c>
      <c r="E53" s="6">
        <v>30</v>
      </c>
      <c r="F53" s="20">
        <v>20.81</v>
      </c>
      <c r="G53" s="21">
        <v>0</v>
      </c>
      <c r="H53" s="23">
        <f t="shared" si="0"/>
        <v>0</v>
      </c>
      <c r="I53" s="23">
        <f t="shared" si="1"/>
        <v>0</v>
      </c>
      <c r="J53" s="23">
        <f t="shared" si="2"/>
        <v>0</v>
      </c>
      <c r="K53" s="24">
        <f t="shared" si="3"/>
        <v>0</v>
      </c>
      <c r="L53" s="20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5">
        <v>100</v>
      </c>
      <c r="V53" s="61">
        <f>IFERROR(LOOKUP($C53,#REF!,#REF!),0)</f>
        <v>0</v>
      </c>
      <c r="W53" s="61">
        <f>IFERROR(LOOKUP($C53,#REF!,#REF!),0)</f>
        <v>0</v>
      </c>
      <c r="X53" s="61">
        <f>IFERROR(LOOKUP($C53,#REF!,#REF!),0)</f>
        <v>0</v>
      </c>
      <c r="Y53" s="61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207</v>
      </c>
      <c r="E54" s="6">
        <v>21.99</v>
      </c>
      <c r="F54" s="20">
        <v>11.11</v>
      </c>
      <c r="G54" s="21">
        <v>0</v>
      </c>
      <c r="H54" s="23">
        <f t="shared" si="0"/>
        <v>0</v>
      </c>
      <c r="I54" s="23">
        <f t="shared" si="1"/>
        <v>0</v>
      </c>
      <c r="J54" s="23">
        <f t="shared" si="2"/>
        <v>0</v>
      </c>
      <c r="K54" s="24">
        <f t="shared" si="3"/>
        <v>0</v>
      </c>
      <c r="L54" s="20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5">
        <v>38.877694439896793</v>
      </c>
      <c r="V54" s="61">
        <f>IFERROR(LOOKUP($C54,#REF!,#REF!),0)</f>
        <v>0</v>
      </c>
      <c r="W54" s="61">
        <f>IFERROR(LOOKUP($C54,#REF!,#REF!),0)</f>
        <v>0</v>
      </c>
      <c r="X54" s="61">
        <f>IFERROR(LOOKUP($C54,#REF!,#REF!),0)</f>
        <v>0</v>
      </c>
      <c r="Y54" s="61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264</v>
      </c>
      <c r="E55" s="6">
        <v>100</v>
      </c>
      <c r="F55" s="20">
        <v>51.82</v>
      </c>
      <c r="G55" s="21">
        <v>0</v>
      </c>
      <c r="H55" s="23">
        <f t="shared" si="0"/>
        <v>0</v>
      </c>
      <c r="I55" s="23">
        <f t="shared" si="1"/>
        <v>0</v>
      </c>
      <c r="J55" s="23">
        <f t="shared" si="2"/>
        <v>0</v>
      </c>
      <c r="K55" s="24">
        <f t="shared" si="3"/>
        <v>0</v>
      </c>
      <c r="L55" s="20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5">
        <v>38.877694439896793</v>
      </c>
      <c r="V55" s="61">
        <f>IFERROR(LOOKUP($C55,#REF!,#REF!),0)</f>
        <v>0</v>
      </c>
      <c r="W55" s="61">
        <f>IFERROR(LOOKUP($C55,#REF!,#REF!),0)</f>
        <v>0</v>
      </c>
      <c r="X55" s="61">
        <f>IFERROR(LOOKUP($C55,#REF!,#REF!),0)</f>
        <v>0</v>
      </c>
      <c r="Y55" s="61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91</v>
      </c>
      <c r="E56" s="6">
        <v>15.99</v>
      </c>
      <c r="F56" s="20">
        <v>8.2200000000000006</v>
      </c>
      <c r="G56" s="21">
        <v>16</v>
      </c>
      <c r="H56" s="23">
        <f t="shared" si="0"/>
        <v>255.84</v>
      </c>
      <c r="I56" s="23">
        <f t="shared" si="1"/>
        <v>131.52000000000001</v>
      </c>
      <c r="J56" s="23">
        <f t="shared" si="2"/>
        <v>124.32</v>
      </c>
      <c r="K56" s="24">
        <f t="shared" si="3"/>
        <v>48.592870544090054</v>
      </c>
      <c r="L56" s="20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5">
        <v>45.247054244247749</v>
      </c>
      <c r="V56" s="61">
        <f>IFERROR(LOOKUP($C56,#REF!,#REF!),0)</f>
        <v>0</v>
      </c>
      <c r="W56" s="61">
        <f>IFERROR(LOOKUP($C56,#REF!,#REF!),0)</f>
        <v>0</v>
      </c>
      <c r="X56" s="61">
        <f>IFERROR(LOOKUP($C56,#REF!,#REF!),0)</f>
        <v>0</v>
      </c>
      <c r="Y56" s="61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39</v>
      </c>
      <c r="E57" s="6">
        <v>14.99</v>
      </c>
      <c r="F57" s="20">
        <v>7.62</v>
      </c>
      <c r="G57" s="21">
        <v>30</v>
      </c>
      <c r="H57" s="23">
        <f t="shared" si="0"/>
        <v>449.7</v>
      </c>
      <c r="I57" s="23">
        <f t="shared" si="1"/>
        <v>228.6</v>
      </c>
      <c r="J57" s="23">
        <f t="shared" si="2"/>
        <v>221.1</v>
      </c>
      <c r="K57" s="24">
        <f t="shared" si="3"/>
        <v>49.166110740493664</v>
      </c>
      <c r="L57" s="20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5">
        <v>40.945606799343878</v>
      </c>
      <c r="V57" s="61">
        <f>IFERROR(LOOKUP($C57,#REF!,#REF!),0)</f>
        <v>0</v>
      </c>
      <c r="W57" s="61">
        <f>IFERROR(LOOKUP($C57,#REF!,#REF!),0)</f>
        <v>0</v>
      </c>
      <c r="X57" s="61">
        <f>IFERROR(LOOKUP($C57,#REF!,#REF!),0)</f>
        <v>0</v>
      </c>
      <c r="Y57" s="61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266</v>
      </c>
      <c r="E58" s="6">
        <v>120</v>
      </c>
      <c r="F58" s="20">
        <v>62.47</v>
      </c>
      <c r="G58" s="21">
        <v>0</v>
      </c>
      <c r="H58" s="23">
        <f t="shared" si="0"/>
        <v>0</v>
      </c>
      <c r="I58" s="23">
        <f t="shared" si="1"/>
        <v>0</v>
      </c>
      <c r="J58" s="23">
        <f t="shared" si="2"/>
        <v>0</v>
      </c>
      <c r="K58" s="24">
        <f t="shared" si="3"/>
        <v>0</v>
      </c>
      <c r="L58" s="20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5">
        <v>0.27869090909090971</v>
      </c>
      <c r="V58" s="61">
        <f>IFERROR(LOOKUP($C58,#REF!,#REF!),0)</f>
        <v>0</v>
      </c>
      <c r="W58" s="61">
        <f>IFERROR(LOOKUP($C58,#REF!,#REF!),0)</f>
        <v>0</v>
      </c>
      <c r="X58" s="61">
        <f>IFERROR(LOOKUP($C58,#REF!,#REF!),0)</f>
        <v>0</v>
      </c>
      <c r="Y58" s="61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50</v>
      </c>
      <c r="E59" s="6">
        <v>1</v>
      </c>
      <c r="F59" s="20">
        <v>0.65</v>
      </c>
      <c r="G59" s="21">
        <v>0</v>
      </c>
      <c r="H59" s="23">
        <f t="shared" si="0"/>
        <v>0</v>
      </c>
      <c r="I59" s="23">
        <f t="shared" si="1"/>
        <v>0</v>
      </c>
      <c r="J59" s="23">
        <f t="shared" si="2"/>
        <v>0</v>
      </c>
      <c r="K59" s="24">
        <f t="shared" si="3"/>
        <v>0</v>
      </c>
      <c r="L59" s="20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5">
        <v>62.311920632380392</v>
      </c>
      <c r="V59" s="61">
        <f>IFERROR(LOOKUP($C59,#REF!,#REF!),0)</f>
        <v>0</v>
      </c>
      <c r="W59" s="61">
        <f>IFERROR(LOOKUP($C59,#REF!,#REF!),0)</f>
        <v>0</v>
      </c>
      <c r="X59" s="61">
        <f>IFERROR(LOOKUP($C59,#REF!,#REF!),0)</f>
        <v>0</v>
      </c>
      <c r="Y59" s="61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63</v>
      </c>
      <c r="E60" s="6">
        <v>10.99</v>
      </c>
      <c r="F60" s="20">
        <v>6.3</v>
      </c>
      <c r="G60" s="21">
        <v>0</v>
      </c>
      <c r="H60" s="23">
        <f t="shared" si="0"/>
        <v>0</v>
      </c>
      <c r="I60" s="23">
        <f t="shared" si="1"/>
        <v>0</v>
      </c>
      <c r="J60" s="23">
        <f t="shared" si="2"/>
        <v>0</v>
      </c>
      <c r="K60" s="24">
        <f t="shared" si="3"/>
        <v>0</v>
      </c>
      <c r="L60" s="20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5">
        <v>48.125312542619454</v>
      </c>
      <c r="V60" s="61">
        <f>IFERROR(LOOKUP($C60,#REF!,#REF!),0)</f>
        <v>0</v>
      </c>
      <c r="W60" s="61">
        <f>IFERROR(LOOKUP($C60,#REF!,#REF!),0)</f>
        <v>0</v>
      </c>
      <c r="X60" s="61">
        <f>IFERROR(LOOKUP($C60,#REF!,#REF!),0)</f>
        <v>0</v>
      </c>
      <c r="Y60" s="61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104</v>
      </c>
      <c r="E61" s="6">
        <v>5.99</v>
      </c>
      <c r="F61" s="20">
        <v>4.32</v>
      </c>
      <c r="G61" s="21">
        <v>12</v>
      </c>
      <c r="H61" s="23">
        <f t="shared" si="0"/>
        <v>71.88</v>
      </c>
      <c r="I61" s="23">
        <f t="shared" si="1"/>
        <v>51.84</v>
      </c>
      <c r="J61" s="23">
        <f t="shared" si="2"/>
        <v>20.039999999999992</v>
      </c>
      <c r="K61" s="24">
        <f t="shared" si="3"/>
        <v>27.879799666110173</v>
      </c>
      <c r="L61" s="20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5">
        <v>41.469299097254925</v>
      </c>
      <c r="V61" s="61">
        <f>IFERROR(LOOKUP($C61,#REF!,#REF!),0)</f>
        <v>0</v>
      </c>
      <c r="W61" s="61">
        <f>IFERROR(LOOKUP($C61,#REF!,#REF!),0)</f>
        <v>0</v>
      </c>
      <c r="X61" s="61">
        <f>IFERROR(LOOKUP($C61,#REF!,#REF!),0)</f>
        <v>0</v>
      </c>
      <c r="Y61" s="61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66</v>
      </c>
      <c r="E62" s="6">
        <v>19.989999999999998</v>
      </c>
      <c r="F62" s="20">
        <v>2.63</v>
      </c>
      <c r="G62" s="21">
        <v>6</v>
      </c>
      <c r="H62" s="23">
        <f t="shared" si="0"/>
        <v>119.94</v>
      </c>
      <c r="I62" s="23">
        <f t="shared" si="1"/>
        <v>15.78</v>
      </c>
      <c r="J62" s="23">
        <f t="shared" si="2"/>
        <v>104.16</v>
      </c>
      <c r="K62" s="24">
        <f t="shared" si="3"/>
        <v>86.843421710855424</v>
      </c>
      <c r="L62" s="20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5">
        <v>60.082722787081345</v>
      </c>
      <c r="V62" s="61">
        <f>IFERROR(LOOKUP($C62,#REF!,#REF!),0)</f>
        <v>0</v>
      </c>
      <c r="W62" s="61">
        <f>IFERROR(LOOKUP($C62,#REF!,#REF!),0)</f>
        <v>0</v>
      </c>
      <c r="X62" s="61">
        <f>IFERROR(LOOKUP($C62,#REF!,#REF!),0)</f>
        <v>0</v>
      </c>
      <c r="Y62" s="61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258</v>
      </c>
      <c r="E63" s="6">
        <v>100</v>
      </c>
      <c r="F63" s="20">
        <v>52.03</v>
      </c>
      <c r="G63" s="21">
        <v>0</v>
      </c>
      <c r="H63" s="23">
        <f t="shared" si="0"/>
        <v>0</v>
      </c>
      <c r="I63" s="23">
        <f t="shared" si="1"/>
        <v>0</v>
      </c>
      <c r="J63" s="23">
        <f t="shared" si="2"/>
        <v>0</v>
      </c>
      <c r="K63" s="24">
        <f t="shared" si="3"/>
        <v>0</v>
      </c>
      <c r="L63" s="20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5">
        <v>37.344172593163755</v>
      </c>
      <c r="V63" s="61">
        <f>IFERROR(LOOKUP($C63,#REF!,#REF!),0)</f>
        <v>0</v>
      </c>
      <c r="W63" s="61">
        <f>IFERROR(LOOKUP($C63,#REF!,#REF!),0)</f>
        <v>0</v>
      </c>
      <c r="X63" s="61">
        <f>IFERROR(LOOKUP($C63,#REF!,#REF!),0)</f>
        <v>0</v>
      </c>
      <c r="Y63" s="61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86</v>
      </c>
      <c r="E64" s="6">
        <v>5.99</v>
      </c>
      <c r="F64" s="20">
        <v>3.12</v>
      </c>
      <c r="G64" s="21">
        <v>0</v>
      </c>
      <c r="H64" s="23">
        <f t="shared" si="0"/>
        <v>0</v>
      </c>
      <c r="I64" s="23">
        <f t="shared" si="1"/>
        <v>0</v>
      </c>
      <c r="J64" s="23">
        <f t="shared" si="2"/>
        <v>0</v>
      </c>
      <c r="K64" s="24">
        <f t="shared" si="3"/>
        <v>0</v>
      </c>
      <c r="L64" s="20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5">
        <v>33.758880787441683</v>
      </c>
      <c r="V64" s="61">
        <f>IFERROR(LOOKUP($C64,#REF!,#REF!),0)</f>
        <v>0</v>
      </c>
      <c r="W64" s="61">
        <f>IFERROR(LOOKUP($C64,#REF!,#REF!),0)</f>
        <v>0</v>
      </c>
      <c r="X64" s="61">
        <f>IFERROR(LOOKUP($C64,#REF!,#REF!),0)</f>
        <v>0</v>
      </c>
      <c r="Y64" s="61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168</v>
      </c>
      <c r="E65" s="6">
        <v>32.99</v>
      </c>
      <c r="F65" s="20">
        <v>15.39</v>
      </c>
      <c r="G65" s="21">
        <v>0</v>
      </c>
      <c r="H65" s="23">
        <f t="shared" si="0"/>
        <v>0</v>
      </c>
      <c r="I65" s="23">
        <f t="shared" si="1"/>
        <v>0</v>
      </c>
      <c r="J65" s="23">
        <f t="shared" si="2"/>
        <v>0</v>
      </c>
      <c r="K65" s="24">
        <f t="shared" si="3"/>
        <v>0</v>
      </c>
      <c r="L65" s="20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5">
        <v>100</v>
      </c>
      <c r="V65" s="61">
        <f>IFERROR(LOOKUP($C65,#REF!,#REF!),0)</f>
        <v>0</v>
      </c>
      <c r="W65" s="61">
        <f>IFERROR(LOOKUP($C65,#REF!,#REF!),0)</f>
        <v>0</v>
      </c>
      <c r="X65" s="61">
        <f>IFERROR(LOOKUP($C65,#REF!,#REF!),0)</f>
        <v>0</v>
      </c>
      <c r="Y65" s="61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54</v>
      </c>
      <c r="E66" s="6">
        <v>5.99</v>
      </c>
      <c r="F66" s="20">
        <v>2.72</v>
      </c>
      <c r="G66" s="21">
        <v>24</v>
      </c>
      <c r="H66" s="23">
        <f t="shared" si="0"/>
        <v>143.76</v>
      </c>
      <c r="I66" s="23">
        <f t="shared" si="1"/>
        <v>65.28</v>
      </c>
      <c r="J66" s="23">
        <f t="shared" si="2"/>
        <v>78.47999999999999</v>
      </c>
      <c r="K66" s="24">
        <f t="shared" si="3"/>
        <v>54.590984974958253</v>
      </c>
      <c r="L66" s="20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5">
        <v>57.792053997184468</v>
      </c>
      <c r="V66" s="61">
        <f>IFERROR(LOOKUP($C66,#REF!,#REF!),0)</f>
        <v>0</v>
      </c>
      <c r="W66" s="61">
        <f>IFERROR(LOOKUP($C66,#REF!,#REF!),0)</f>
        <v>0</v>
      </c>
      <c r="X66" s="61">
        <f>IFERROR(LOOKUP($C66,#REF!,#REF!),0)</f>
        <v>0</v>
      </c>
      <c r="Y66" s="61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48</v>
      </c>
      <c r="E67" s="6">
        <v>6.99</v>
      </c>
      <c r="F67" s="20">
        <v>2.85</v>
      </c>
      <c r="G67" s="21">
        <v>28</v>
      </c>
      <c r="H67" s="23">
        <f t="shared" si="0"/>
        <v>195.72</v>
      </c>
      <c r="I67" s="23">
        <f t="shared" si="1"/>
        <v>79.8</v>
      </c>
      <c r="J67" s="23">
        <f t="shared" si="2"/>
        <v>115.92</v>
      </c>
      <c r="K67" s="24">
        <f t="shared" si="3"/>
        <v>59.227467811158796</v>
      </c>
      <c r="L67" s="20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5">
        <v>51.825543753333179</v>
      </c>
      <c r="V67" s="61">
        <f>IFERROR(LOOKUP($C67,#REF!,#REF!),0)</f>
        <v>0</v>
      </c>
      <c r="W67" s="61">
        <f>IFERROR(LOOKUP($C67,#REF!,#REF!),0)</f>
        <v>0</v>
      </c>
      <c r="X67" s="61">
        <f>IFERROR(LOOKUP($C67,#REF!,#REF!),0)</f>
        <v>0</v>
      </c>
      <c r="Y67" s="61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20">
        <v>16.5</v>
      </c>
      <c r="G68" s="21">
        <v>36</v>
      </c>
      <c r="H68" s="23">
        <f t="shared" ref="H68:H131" si="4">E68*G68</f>
        <v>1367.64</v>
      </c>
      <c r="I68" s="23">
        <f t="shared" ref="I68:I131" si="5">F68*G68</f>
        <v>594</v>
      </c>
      <c r="J68" s="23">
        <f t="shared" ref="J68:J131" si="6">H68-I68</f>
        <v>773.6400000000001</v>
      </c>
      <c r="K68" s="24">
        <f t="shared" si="3"/>
        <v>56.567517767833642</v>
      </c>
      <c r="L68" s="20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5">
        <v>39.344704279218753</v>
      </c>
      <c r="V68" s="61">
        <f>IFERROR(LOOKUP($C68,#REF!,#REF!),0)</f>
        <v>0</v>
      </c>
      <c r="W68" s="61">
        <f>IFERROR(LOOKUP($C68,#REF!,#REF!),0)</f>
        <v>0</v>
      </c>
      <c r="X68" s="61">
        <f>IFERROR(LOOKUP($C68,#REF!,#REF!),0)</f>
        <v>0</v>
      </c>
      <c r="Y68" s="61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261</v>
      </c>
      <c r="E69" s="6">
        <v>120</v>
      </c>
      <c r="F69" s="20">
        <v>62.39</v>
      </c>
      <c r="G69" s="21">
        <v>0</v>
      </c>
      <c r="H69" s="23">
        <f t="shared" si="4"/>
        <v>0</v>
      </c>
      <c r="I69" s="23">
        <f t="shared" si="5"/>
        <v>0</v>
      </c>
      <c r="J69" s="23">
        <f t="shared" si="6"/>
        <v>0</v>
      </c>
      <c r="K69" s="24">
        <f t="shared" ref="K69:K132" si="7">IFERROR(J69/H69*100,0)</f>
        <v>0</v>
      </c>
      <c r="L69" s="20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5">
        <v>54.573617795061878</v>
      </c>
      <c r="V69" s="61">
        <f>IFERROR(LOOKUP($C69,#REF!,#REF!),0)</f>
        <v>0</v>
      </c>
      <c r="W69" s="61">
        <f>IFERROR(LOOKUP($C69,#REF!,#REF!),0)</f>
        <v>0</v>
      </c>
      <c r="X69" s="61">
        <f>IFERROR(LOOKUP($C69,#REF!,#REF!),0)</f>
        <v>0</v>
      </c>
      <c r="Y69" s="61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245</v>
      </c>
      <c r="E70" s="6">
        <v>27.99</v>
      </c>
      <c r="F70" s="20">
        <v>15.41</v>
      </c>
      <c r="G70" s="21">
        <v>0</v>
      </c>
      <c r="H70" s="23">
        <f t="shared" si="4"/>
        <v>0</v>
      </c>
      <c r="I70" s="23">
        <f t="shared" si="5"/>
        <v>0</v>
      </c>
      <c r="J70" s="23">
        <f t="shared" si="6"/>
        <v>0</v>
      </c>
      <c r="K70" s="24">
        <f t="shared" si="7"/>
        <v>0</v>
      </c>
      <c r="L70" s="20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5">
        <v>53.44229938091631</v>
      </c>
      <c r="V70" s="61">
        <f>IFERROR(LOOKUP($C70,#REF!,#REF!),0)</f>
        <v>0</v>
      </c>
      <c r="W70" s="61">
        <f>IFERROR(LOOKUP($C70,#REF!,#REF!),0)</f>
        <v>0</v>
      </c>
      <c r="X70" s="61">
        <f>IFERROR(LOOKUP($C70,#REF!,#REF!),0)</f>
        <v>0</v>
      </c>
      <c r="Y70" s="61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244</v>
      </c>
      <c r="E71" s="6">
        <v>26.99</v>
      </c>
      <c r="F71" s="20">
        <v>15.3</v>
      </c>
      <c r="G71" s="21">
        <v>0</v>
      </c>
      <c r="H71" s="23">
        <f t="shared" si="4"/>
        <v>0</v>
      </c>
      <c r="I71" s="23">
        <f t="shared" si="5"/>
        <v>0</v>
      </c>
      <c r="J71" s="23">
        <f t="shared" si="6"/>
        <v>0</v>
      </c>
      <c r="K71" s="24">
        <f t="shared" si="7"/>
        <v>0</v>
      </c>
      <c r="L71" s="20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5">
        <v>46.080705593620998</v>
      </c>
      <c r="V71" s="61">
        <f>IFERROR(LOOKUP($C71,#REF!,#REF!),0)</f>
        <v>0</v>
      </c>
      <c r="W71" s="61">
        <f>IFERROR(LOOKUP($C71,#REF!,#REF!),0)</f>
        <v>0</v>
      </c>
      <c r="X71" s="61">
        <f>IFERROR(LOOKUP($C71,#REF!,#REF!),0)</f>
        <v>0</v>
      </c>
      <c r="Y71" s="61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256</v>
      </c>
      <c r="E72" s="6">
        <v>120</v>
      </c>
      <c r="F72" s="20">
        <v>64.849999999999994</v>
      </c>
      <c r="G72" s="21">
        <v>0</v>
      </c>
      <c r="H72" s="23">
        <f t="shared" si="4"/>
        <v>0</v>
      </c>
      <c r="I72" s="23">
        <f t="shared" si="5"/>
        <v>0</v>
      </c>
      <c r="J72" s="23">
        <f t="shared" si="6"/>
        <v>0</v>
      </c>
      <c r="K72" s="24">
        <f t="shared" si="7"/>
        <v>0</v>
      </c>
      <c r="L72" s="20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5">
        <v>41.824434727128448</v>
      </c>
      <c r="V72" s="61">
        <f>IFERROR(LOOKUP($C72,#REF!,#REF!),0)</f>
        <v>0</v>
      </c>
      <c r="W72" s="61">
        <f>IFERROR(LOOKUP($C72,#REF!,#REF!),0)</f>
        <v>0</v>
      </c>
      <c r="X72" s="61">
        <f>IFERROR(LOOKUP($C72,#REF!,#REF!),0)</f>
        <v>0</v>
      </c>
      <c r="Y72" s="61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253</v>
      </c>
      <c r="E73" s="6">
        <v>19.989999999999998</v>
      </c>
      <c r="F73" s="20">
        <v>8.43</v>
      </c>
      <c r="G73" s="21">
        <v>24</v>
      </c>
      <c r="H73" s="23">
        <f t="shared" si="4"/>
        <v>479.76</v>
      </c>
      <c r="I73" s="23">
        <f t="shared" si="5"/>
        <v>202.32</v>
      </c>
      <c r="J73" s="23">
        <f t="shared" si="6"/>
        <v>277.44</v>
      </c>
      <c r="K73" s="24">
        <f t="shared" si="7"/>
        <v>57.82891445722862</v>
      </c>
      <c r="L73" s="20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5">
        <v>39.805714285714267</v>
      </c>
      <c r="V73" s="61">
        <f>IFERROR(LOOKUP($C73,#REF!,#REF!),0)</f>
        <v>0</v>
      </c>
      <c r="W73" s="61">
        <f>IFERROR(LOOKUP($C73,#REF!,#REF!),0)</f>
        <v>0</v>
      </c>
      <c r="X73" s="61">
        <f>IFERROR(LOOKUP($C73,#REF!,#REF!),0)</f>
        <v>0</v>
      </c>
      <c r="Y73" s="61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157</v>
      </c>
      <c r="E74" s="6">
        <v>29.99</v>
      </c>
      <c r="F74" s="20">
        <v>16.43</v>
      </c>
      <c r="G74" s="21">
        <v>0</v>
      </c>
      <c r="H74" s="23">
        <f t="shared" si="4"/>
        <v>0</v>
      </c>
      <c r="I74" s="23">
        <f t="shared" si="5"/>
        <v>0</v>
      </c>
      <c r="J74" s="23">
        <f t="shared" si="6"/>
        <v>0</v>
      </c>
      <c r="K74" s="24">
        <f t="shared" si="7"/>
        <v>0</v>
      </c>
      <c r="L74" s="20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5">
        <v>52.565179234749507</v>
      </c>
      <c r="V74" s="61">
        <f>IFERROR(LOOKUP($C74,#REF!,#REF!),0)</f>
        <v>0</v>
      </c>
      <c r="W74" s="61">
        <f>IFERROR(LOOKUP($C74,#REF!,#REF!),0)</f>
        <v>0</v>
      </c>
      <c r="X74" s="61">
        <f>IFERROR(LOOKUP($C74,#REF!,#REF!),0)</f>
        <v>0</v>
      </c>
      <c r="Y74" s="61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115</v>
      </c>
      <c r="E75" s="6">
        <v>11.99</v>
      </c>
      <c r="F75" s="20">
        <v>5.62</v>
      </c>
      <c r="G75" s="21">
        <v>0</v>
      </c>
      <c r="H75" s="23">
        <f t="shared" si="4"/>
        <v>0</v>
      </c>
      <c r="I75" s="23">
        <f t="shared" si="5"/>
        <v>0</v>
      </c>
      <c r="J75" s="23">
        <f t="shared" si="6"/>
        <v>0</v>
      </c>
      <c r="K75" s="24">
        <f t="shared" si="7"/>
        <v>0</v>
      </c>
      <c r="L75" s="20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5">
        <v>53.072216763702329</v>
      </c>
      <c r="V75" s="61">
        <f>IFERROR(LOOKUP($C75,#REF!,#REF!),0)</f>
        <v>0</v>
      </c>
      <c r="W75" s="61">
        <f>IFERROR(LOOKUP($C75,#REF!,#REF!),0)</f>
        <v>0</v>
      </c>
      <c r="X75" s="61">
        <f>IFERROR(LOOKUP($C75,#REF!,#REF!),0)</f>
        <v>0</v>
      </c>
      <c r="Y75" s="61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262</v>
      </c>
      <c r="E76" s="6">
        <v>80</v>
      </c>
      <c r="F76" s="20">
        <v>36.909999999999997</v>
      </c>
      <c r="G76" s="21">
        <v>0</v>
      </c>
      <c r="H76" s="23">
        <f t="shared" si="4"/>
        <v>0</v>
      </c>
      <c r="I76" s="23">
        <f t="shared" si="5"/>
        <v>0</v>
      </c>
      <c r="J76" s="23">
        <f t="shared" si="6"/>
        <v>0</v>
      </c>
      <c r="K76" s="24">
        <f t="shared" si="7"/>
        <v>0</v>
      </c>
      <c r="L76" s="20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5">
        <v>68.223953874377571</v>
      </c>
      <c r="V76" s="61">
        <f>IFERROR(LOOKUP($C76,#REF!,#REF!),0)</f>
        <v>0</v>
      </c>
      <c r="W76" s="61">
        <f>IFERROR(LOOKUP($C76,#REF!,#REF!),0)</f>
        <v>0</v>
      </c>
      <c r="X76" s="61">
        <f>IFERROR(LOOKUP($C76,#REF!,#REF!),0)</f>
        <v>0</v>
      </c>
      <c r="Y76" s="61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43</v>
      </c>
      <c r="E77" s="6">
        <v>6.99</v>
      </c>
      <c r="F77" s="20">
        <v>3.15</v>
      </c>
      <c r="G77" s="21">
        <v>70</v>
      </c>
      <c r="H77" s="23">
        <f t="shared" si="4"/>
        <v>489.3</v>
      </c>
      <c r="I77" s="23">
        <f t="shared" si="5"/>
        <v>220.5</v>
      </c>
      <c r="J77" s="23">
        <f t="shared" si="6"/>
        <v>268.8</v>
      </c>
      <c r="K77" s="24">
        <f t="shared" si="7"/>
        <v>54.935622317596568</v>
      </c>
      <c r="L77" s="20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5">
        <v>34.788279651896239</v>
      </c>
      <c r="V77" s="61">
        <f>IFERROR(LOOKUP($C77,#REF!,#REF!),0)</f>
        <v>0</v>
      </c>
      <c r="W77" s="61">
        <f>IFERROR(LOOKUP($C77,#REF!,#REF!),0)</f>
        <v>0</v>
      </c>
      <c r="X77" s="61">
        <f>IFERROR(LOOKUP($C77,#REF!,#REF!),0)</f>
        <v>0</v>
      </c>
      <c r="Y77" s="61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31</v>
      </c>
      <c r="E78" s="6">
        <v>9.5</v>
      </c>
      <c r="F78" s="20">
        <v>4.1500000000000004</v>
      </c>
      <c r="G78" s="21">
        <v>48</v>
      </c>
      <c r="H78" s="23">
        <f t="shared" si="4"/>
        <v>456</v>
      </c>
      <c r="I78" s="23">
        <f t="shared" si="5"/>
        <v>199.20000000000002</v>
      </c>
      <c r="J78" s="23">
        <f t="shared" si="6"/>
        <v>256.79999999999995</v>
      </c>
      <c r="K78" s="24">
        <f t="shared" si="7"/>
        <v>56.315789473684198</v>
      </c>
      <c r="L78" s="20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5">
        <v>62.170140559706219</v>
      </c>
      <c r="V78" s="61">
        <f>IFERROR(LOOKUP($C78,#REF!,#REF!),0)</f>
        <v>0</v>
      </c>
      <c r="W78" s="61">
        <f>IFERROR(LOOKUP($C78,#REF!,#REF!),0)</f>
        <v>0</v>
      </c>
      <c r="X78" s="61">
        <f>IFERROR(LOOKUP($C78,#REF!,#REF!),0)</f>
        <v>0</v>
      </c>
      <c r="Y78" s="61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37</v>
      </c>
      <c r="E79" s="6">
        <v>19.989999999999998</v>
      </c>
      <c r="F79" s="20">
        <v>12.2</v>
      </c>
      <c r="G79" s="21">
        <v>50</v>
      </c>
      <c r="H79" s="23">
        <f t="shared" si="4"/>
        <v>999.49999999999989</v>
      </c>
      <c r="I79" s="23">
        <f t="shared" si="5"/>
        <v>610</v>
      </c>
      <c r="J79" s="23">
        <f t="shared" si="6"/>
        <v>389.49999999999989</v>
      </c>
      <c r="K79" s="24">
        <f t="shared" si="7"/>
        <v>38.969484742371179</v>
      </c>
      <c r="L79" s="20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5">
        <v>62.817817817817811</v>
      </c>
      <c r="V79" s="61">
        <f>IFERROR(LOOKUP($C79,#REF!,#REF!),0)</f>
        <v>0</v>
      </c>
      <c r="W79" s="61">
        <f>IFERROR(LOOKUP($C79,#REF!,#REF!),0)</f>
        <v>0</v>
      </c>
      <c r="X79" s="61">
        <f>IFERROR(LOOKUP($C79,#REF!,#REF!),0)</f>
        <v>0</v>
      </c>
      <c r="Y79" s="61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71</v>
      </c>
      <c r="E80" s="6">
        <v>24.99</v>
      </c>
      <c r="F80" s="20">
        <v>8.1</v>
      </c>
      <c r="G80" s="21">
        <v>0</v>
      </c>
      <c r="H80" s="23">
        <f t="shared" si="4"/>
        <v>0</v>
      </c>
      <c r="I80" s="23">
        <f t="shared" si="5"/>
        <v>0</v>
      </c>
      <c r="J80" s="23">
        <f t="shared" si="6"/>
        <v>0</v>
      </c>
      <c r="K80" s="24">
        <f t="shared" si="7"/>
        <v>0</v>
      </c>
      <c r="L80" s="20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5">
        <v>33.215094434742902</v>
      </c>
      <c r="V80" s="61">
        <f>IFERROR(LOOKUP($C80,#REF!,#REF!),0)</f>
        <v>0</v>
      </c>
      <c r="W80" s="61">
        <f>IFERROR(LOOKUP($C80,#REF!,#REF!),0)</f>
        <v>0</v>
      </c>
      <c r="X80" s="61">
        <f>IFERROR(LOOKUP($C80,#REF!,#REF!),0)</f>
        <v>0</v>
      </c>
      <c r="Y80" s="61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57</v>
      </c>
      <c r="E81" s="6">
        <v>15.99</v>
      </c>
      <c r="F81" s="20">
        <v>6.74</v>
      </c>
      <c r="G81" s="21">
        <v>6</v>
      </c>
      <c r="H81" s="23">
        <f t="shared" si="4"/>
        <v>95.94</v>
      </c>
      <c r="I81" s="23">
        <f t="shared" si="5"/>
        <v>40.44</v>
      </c>
      <c r="J81" s="23">
        <f t="shared" si="6"/>
        <v>55.5</v>
      </c>
      <c r="K81" s="24">
        <f t="shared" si="7"/>
        <v>57.848655409631021</v>
      </c>
      <c r="L81" s="20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5">
        <v>40.154069069069067</v>
      </c>
      <c r="V81" s="61">
        <f>IFERROR(LOOKUP($C81,#REF!,#REF!),0)</f>
        <v>0</v>
      </c>
      <c r="W81" s="61">
        <f>IFERROR(LOOKUP($C81,#REF!,#REF!),0)</f>
        <v>0</v>
      </c>
      <c r="X81" s="61">
        <f>IFERROR(LOOKUP($C81,#REF!,#REF!),0)</f>
        <v>0</v>
      </c>
      <c r="Y81" s="61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259</v>
      </c>
      <c r="E82" s="6">
        <v>100</v>
      </c>
      <c r="F82" s="20">
        <v>54.36</v>
      </c>
      <c r="G82" s="21">
        <v>0</v>
      </c>
      <c r="H82" s="23">
        <f t="shared" si="4"/>
        <v>0</v>
      </c>
      <c r="I82" s="23">
        <f t="shared" si="5"/>
        <v>0</v>
      </c>
      <c r="J82" s="23">
        <f t="shared" si="6"/>
        <v>0</v>
      </c>
      <c r="K82" s="24">
        <f t="shared" si="7"/>
        <v>0</v>
      </c>
      <c r="L82" s="20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5">
        <v>25.205024067388681</v>
      </c>
      <c r="V82" s="61">
        <f>IFERROR(LOOKUP($C82,#REF!,#REF!),0)</f>
        <v>0</v>
      </c>
      <c r="W82" s="61">
        <f>IFERROR(LOOKUP($C82,#REF!,#REF!),0)</f>
        <v>0</v>
      </c>
      <c r="X82" s="61">
        <f>IFERROR(LOOKUP($C82,#REF!,#REF!),0)</f>
        <v>0</v>
      </c>
      <c r="Y82" s="61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64</v>
      </c>
      <c r="E83" s="6">
        <v>6.99</v>
      </c>
      <c r="F83" s="20">
        <v>3.8</v>
      </c>
      <c r="G83" s="21">
        <v>0</v>
      </c>
      <c r="H83" s="23">
        <f t="shared" si="4"/>
        <v>0</v>
      </c>
      <c r="I83" s="23">
        <f t="shared" si="5"/>
        <v>0</v>
      </c>
      <c r="J83" s="23">
        <f t="shared" si="6"/>
        <v>0</v>
      </c>
      <c r="K83" s="24">
        <f t="shared" si="7"/>
        <v>0</v>
      </c>
      <c r="L83" s="20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5">
        <v>34.485677710843369</v>
      </c>
      <c r="V83" s="61">
        <f>IFERROR(LOOKUP($C83,#REF!,#REF!),0)</f>
        <v>0</v>
      </c>
      <c r="W83" s="61">
        <f>IFERROR(LOOKUP($C83,#REF!,#REF!),0)</f>
        <v>0</v>
      </c>
      <c r="X83" s="61">
        <f>IFERROR(LOOKUP($C83,#REF!,#REF!),0)</f>
        <v>0</v>
      </c>
      <c r="Y83" s="61">
        <f>IFERROR(LOOKUP($C83,#REF!,#REF!),0)</f>
        <v>0</v>
      </c>
    </row>
    <row r="84" spans="1:25" ht="16.5" customHeight="1" x14ac:dyDescent="0.35">
      <c r="A84" s="3" t="s">
        <v>14</v>
      </c>
      <c r="B84" s="4">
        <v>102</v>
      </c>
      <c r="C84" s="5">
        <v>34061</v>
      </c>
      <c r="D84" s="3" t="s">
        <v>150</v>
      </c>
      <c r="E84" s="6">
        <v>39.99</v>
      </c>
      <c r="F84" s="20">
        <v>17.68</v>
      </c>
      <c r="G84" s="21">
        <v>0</v>
      </c>
      <c r="H84" s="23">
        <f t="shared" si="4"/>
        <v>0</v>
      </c>
      <c r="I84" s="23">
        <f t="shared" si="5"/>
        <v>0</v>
      </c>
      <c r="J84" s="23">
        <f t="shared" si="6"/>
        <v>0</v>
      </c>
      <c r="K84" s="24">
        <f t="shared" si="7"/>
        <v>0</v>
      </c>
      <c r="L84" s="20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5">
        <v>47.852852852852834</v>
      </c>
      <c r="V84" s="61">
        <f>IFERROR(LOOKUP($C84,#REF!,#REF!),0)</f>
        <v>0</v>
      </c>
      <c r="W84" s="61">
        <f>IFERROR(LOOKUP($C84,#REF!,#REF!),0)</f>
        <v>0</v>
      </c>
      <c r="X84" s="61">
        <f>IFERROR(LOOKUP($C84,#REF!,#REF!),0)</f>
        <v>0</v>
      </c>
      <c r="Y84" s="61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74</v>
      </c>
      <c r="E85" s="6">
        <v>1.5</v>
      </c>
      <c r="F85" s="20">
        <v>0.59</v>
      </c>
      <c r="G85" s="21">
        <v>0</v>
      </c>
      <c r="H85" s="23">
        <f t="shared" si="4"/>
        <v>0</v>
      </c>
      <c r="I85" s="23">
        <f t="shared" si="5"/>
        <v>0</v>
      </c>
      <c r="J85" s="23">
        <f t="shared" si="6"/>
        <v>0</v>
      </c>
      <c r="K85" s="24">
        <f t="shared" si="7"/>
        <v>0</v>
      </c>
      <c r="L85" s="20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5">
        <v>41.819796981727102</v>
      </c>
      <c r="V85" s="61">
        <f>IFERROR(LOOKUP($C85,#REF!,#REF!),0)</f>
        <v>0</v>
      </c>
      <c r="W85" s="61">
        <f>IFERROR(LOOKUP($C85,#REF!,#REF!),0)</f>
        <v>0</v>
      </c>
      <c r="X85" s="61">
        <f>IFERROR(LOOKUP($C85,#REF!,#REF!),0)</f>
        <v>0</v>
      </c>
      <c r="Y85" s="61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140</v>
      </c>
      <c r="E86" s="6">
        <v>21.99</v>
      </c>
      <c r="F86" s="20">
        <v>12.33</v>
      </c>
      <c r="G86" s="21">
        <v>0</v>
      </c>
      <c r="H86" s="23">
        <f t="shared" si="4"/>
        <v>0</v>
      </c>
      <c r="I86" s="23">
        <f t="shared" si="5"/>
        <v>0</v>
      </c>
      <c r="J86" s="23">
        <f t="shared" si="6"/>
        <v>0</v>
      </c>
      <c r="K86" s="24">
        <f t="shared" si="7"/>
        <v>0</v>
      </c>
      <c r="L86" s="20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5">
        <v>40.306441525953716</v>
      </c>
      <c r="V86" s="61">
        <f>IFERROR(LOOKUP($C86,#REF!,#REF!),0)</f>
        <v>0</v>
      </c>
      <c r="W86" s="61">
        <f>IFERROR(LOOKUP($C86,#REF!,#REF!),0)</f>
        <v>0</v>
      </c>
      <c r="X86" s="61">
        <f>IFERROR(LOOKUP($C86,#REF!,#REF!),0)</f>
        <v>0</v>
      </c>
      <c r="Y86" s="61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240</v>
      </c>
      <c r="E87" s="6">
        <v>69.989999999999995</v>
      </c>
      <c r="F87" s="20">
        <v>36.1</v>
      </c>
      <c r="G87" s="21">
        <v>0</v>
      </c>
      <c r="H87" s="23">
        <f t="shared" si="4"/>
        <v>0</v>
      </c>
      <c r="I87" s="23">
        <f t="shared" si="5"/>
        <v>0</v>
      </c>
      <c r="J87" s="23">
        <f t="shared" si="6"/>
        <v>0</v>
      </c>
      <c r="K87" s="24">
        <f t="shared" si="7"/>
        <v>0</v>
      </c>
      <c r="L87" s="20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5">
        <v>55.343875514438942</v>
      </c>
      <c r="V87" s="61">
        <f>IFERROR(LOOKUP($C87,#REF!,#REF!),0)</f>
        <v>0</v>
      </c>
      <c r="W87" s="61">
        <f>IFERROR(LOOKUP($C87,#REF!,#REF!),0)</f>
        <v>0</v>
      </c>
      <c r="X87" s="61">
        <f>IFERROR(LOOKUP($C87,#REF!,#REF!),0)</f>
        <v>0</v>
      </c>
      <c r="Y87" s="61">
        <f>IFERROR(LOOKUP($C87,#REF!,#REF!),0)</f>
        <v>0</v>
      </c>
    </row>
    <row r="88" spans="1:25" ht="16.5" customHeight="1" x14ac:dyDescent="0.35">
      <c r="A88" s="3" t="s">
        <v>14</v>
      </c>
      <c r="B88" s="4">
        <v>103</v>
      </c>
      <c r="C88" s="5">
        <v>34076</v>
      </c>
      <c r="D88" s="3" t="s">
        <v>228</v>
      </c>
      <c r="E88" s="6">
        <v>114.99</v>
      </c>
      <c r="F88" s="20">
        <v>20.95</v>
      </c>
      <c r="G88" s="21">
        <v>0</v>
      </c>
      <c r="H88" s="23">
        <f t="shared" si="4"/>
        <v>0</v>
      </c>
      <c r="I88" s="23">
        <f t="shared" si="5"/>
        <v>0</v>
      </c>
      <c r="J88" s="23">
        <f t="shared" si="6"/>
        <v>0</v>
      </c>
      <c r="K88" s="24">
        <f t="shared" si="7"/>
        <v>0</v>
      </c>
      <c r="L88" s="20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5">
        <v>43.363939899833063</v>
      </c>
      <c r="V88" s="61">
        <f>IFERROR(LOOKUP($C88,#REF!,#REF!),0)</f>
        <v>0</v>
      </c>
      <c r="W88" s="61">
        <f>IFERROR(LOOKUP($C88,#REF!,#REF!),0)</f>
        <v>0</v>
      </c>
      <c r="X88" s="61">
        <f>IFERROR(LOOKUP($C88,#REF!,#REF!),0)</f>
        <v>0</v>
      </c>
      <c r="Y88" s="61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236</v>
      </c>
      <c r="E89" s="6">
        <v>49.99</v>
      </c>
      <c r="F89" s="20">
        <v>25.03</v>
      </c>
      <c r="G89" s="21">
        <v>3</v>
      </c>
      <c r="H89" s="23">
        <f t="shared" si="4"/>
        <v>149.97</v>
      </c>
      <c r="I89" s="23">
        <f t="shared" si="5"/>
        <v>75.09</v>
      </c>
      <c r="J89" s="23">
        <f t="shared" si="6"/>
        <v>74.88</v>
      </c>
      <c r="K89" s="24">
        <f t="shared" si="7"/>
        <v>49.929985997199438</v>
      </c>
      <c r="L89" s="20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5">
        <v>51.020652694871671</v>
      </c>
      <c r="V89" s="61">
        <f>IFERROR(LOOKUP($C89,#REF!,#REF!),0)</f>
        <v>0</v>
      </c>
      <c r="W89" s="61">
        <f>IFERROR(LOOKUP($C89,#REF!,#REF!),0)</f>
        <v>0</v>
      </c>
      <c r="X89" s="61">
        <f>IFERROR(LOOKUP($C89,#REF!,#REF!),0)</f>
        <v>0</v>
      </c>
      <c r="Y89" s="61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234</v>
      </c>
      <c r="E90" s="6">
        <v>49.99</v>
      </c>
      <c r="F90" s="20">
        <v>28.67</v>
      </c>
      <c r="G90" s="21">
        <v>0</v>
      </c>
      <c r="H90" s="23">
        <f t="shared" si="4"/>
        <v>0</v>
      </c>
      <c r="I90" s="23">
        <f t="shared" si="5"/>
        <v>0</v>
      </c>
      <c r="J90" s="23">
        <f t="shared" si="6"/>
        <v>0</v>
      </c>
      <c r="K90" s="24">
        <f t="shared" si="7"/>
        <v>0</v>
      </c>
      <c r="L90" s="20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5">
        <v>42.842444965149525</v>
      </c>
      <c r="V90" s="61">
        <f>IFERROR(LOOKUP($C90,#REF!,#REF!),0)</f>
        <v>0</v>
      </c>
      <c r="W90" s="61">
        <f>IFERROR(LOOKUP($C90,#REF!,#REF!),0)</f>
        <v>0</v>
      </c>
      <c r="X90" s="61">
        <f>IFERROR(LOOKUP($C90,#REF!,#REF!),0)</f>
        <v>0</v>
      </c>
      <c r="Y90" s="61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232</v>
      </c>
      <c r="E91" s="6">
        <v>29.99</v>
      </c>
      <c r="F91" s="20">
        <v>14.34</v>
      </c>
      <c r="G91" s="21">
        <v>0</v>
      </c>
      <c r="H91" s="23">
        <f t="shared" si="4"/>
        <v>0</v>
      </c>
      <c r="I91" s="23">
        <f t="shared" si="5"/>
        <v>0</v>
      </c>
      <c r="J91" s="23">
        <f t="shared" si="6"/>
        <v>0</v>
      </c>
      <c r="K91" s="24">
        <f t="shared" si="7"/>
        <v>0</v>
      </c>
      <c r="L91" s="20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5">
        <v>51.357144279553644</v>
      </c>
      <c r="V91" s="61">
        <f>IFERROR(LOOKUP($C91,#REF!,#REF!),0)</f>
        <v>0</v>
      </c>
      <c r="W91" s="61">
        <f>IFERROR(LOOKUP($C91,#REF!,#REF!),0)</f>
        <v>0</v>
      </c>
      <c r="X91" s="61">
        <f>IFERROR(LOOKUP($C91,#REF!,#REF!),0)</f>
        <v>0</v>
      </c>
      <c r="Y91" s="61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237</v>
      </c>
      <c r="E92" s="6">
        <v>49.99</v>
      </c>
      <c r="F92" s="20">
        <v>24.65</v>
      </c>
      <c r="G92" s="21">
        <v>5</v>
      </c>
      <c r="H92" s="23">
        <f t="shared" si="4"/>
        <v>249.95000000000002</v>
      </c>
      <c r="I92" s="23">
        <f t="shared" si="5"/>
        <v>123.25</v>
      </c>
      <c r="J92" s="23">
        <f t="shared" si="6"/>
        <v>126.70000000000002</v>
      </c>
      <c r="K92" s="24">
        <f t="shared" si="7"/>
        <v>50.690138027605528</v>
      </c>
      <c r="L92" s="20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5">
        <v>47.614970114427067</v>
      </c>
      <c r="V92" s="61">
        <f>IFERROR(LOOKUP($C92,#REF!,#REF!),0)</f>
        <v>0</v>
      </c>
      <c r="W92" s="61">
        <f>IFERROR(LOOKUP($C92,#REF!,#REF!),0)</f>
        <v>0</v>
      </c>
      <c r="X92" s="61">
        <f>IFERROR(LOOKUP($C92,#REF!,#REF!),0)</f>
        <v>0</v>
      </c>
      <c r="Y92" s="61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22" t="s">
        <v>233</v>
      </c>
      <c r="E93" s="20">
        <v>49.99</v>
      </c>
      <c r="F93" s="20">
        <v>13.76</v>
      </c>
      <c r="G93" s="21">
        <v>10</v>
      </c>
      <c r="H93" s="23">
        <f t="shared" si="4"/>
        <v>499.90000000000003</v>
      </c>
      <c r="I93" s="23">
        <f t="shared" si="5"/>
        <v>137.6</v>
      </c>
      <c r="J93" s="23">
        <f t="shared" si="6"/>
        <v>362.30000000000007</v>
      </c>
      <c r="K93" s="24">
        <f t="shared" si="7"/>
        <v>72.474494898979799</v>
      </c>
      <c r="L93" s="20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5">
        <v>38.882023143087196</v>
      </c>
      <c r="V93" s="61">
        <f>IFERROR(LOOKUP($C93,#REF!,#REF!),0)</f>
        <v>0</v>
      </c>
      <c r="W93" s="61">
        <f>IFERROR(LOOKUP($C93,#REF!,#REF!),0)</f>
        <v>0</v>
      </c>
      <c r="X93" s="61">
        <f>IFERROR(LOOKUP($C93,#REF!,#REF!),0)</f>
        <v>0</v>
      </c>
      <c r="Y93" s="61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60</v>
      </c>
      <c r="E94" s="6">
        <v>29.99</v>
      </c>
      <c r="F94" s="20">
        <v>10</v>
      </c>
      <c r="G94" s="21">
        <v>0</v>
      </c>
      <c r="H94" s="23">
        <f t="shared" si="4"/>
        <v>0</v>
      </c>
      <c r="I94" s="23">
        <f t="shared" si="5"/>
        <v>0</v>
      </c>
      <c r="J94" s="23">
        <f t="shared" si="6"/>
        <v>0</v>
      </c>
      <c r="K94" s="24">
        <f t="shared" si="7"/>
        <v>0</v>
      </c>
      <c r="L94" s="20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5">
        <v>69.245147995503956</v>
      </c>
      <c r="V94" s="61">
        <f>IFERROR(LOOKUP($C94,#REF!,#REF!),0)</f>
        <v>0</v>
      </c>
      <c r="W94" s="61">
        <f>IFERROR(LOOKUP($C94,#REF!,#REF!),0)</f>
        <v>0</v>
      </c>
      <c r="X94" s="61">
        <f>IFERROR(LOOKUP($C94,#REF!,#REF!),0)</f>
        <v>0</v>
      </c>
      <c r="Y94" s="61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213</v>
      </c>
      <c r="E95" s="6">
        <v>99.99</v>
      </c>
      <c r="F95" s="20">
        <v>54.67</v>
      </c>
      <c r="G95" s="21">
        <v>0</v>
      </c>
      <c r="H95" s="23">
        <f t="shared" si="4"/>
        <v>0</v>
      </c>
      <c r="I95" s="23">
        <f t="shared" si="5"/>
        <v>0</v>
      </c>
      <c r="J95" s="23">
        <f t="shared" si="6"/>
        <v>0</v>
      </c>
      <c r="K95" s="24">
        <f t="shared" si="7"/>
        <v>0</v>
      </c>
      <c r="L95" s="20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5">
        <v>56.990380455528687</v>
      </c>
      <c r="V95" s="61">
        <f>IFERROR(LOOKUP($C95,#REF!,#REF!),0)</f>
        <v>0</v>
      </c>
      <c r="W95" s="61">
        <f>IFERROR(LOOKUP($C95,#REF!,#REF!),0)</f>
        <v>0</v>
      </c>
      <c r="X95" s="61">
        <f>IFERROR(LOOKUP($C95,#REF!,#REF!),0)</f>
        <v>0</v>
      </c>
      <c r="Y95" s="61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44</v>
      </c>
      <c r="E96" s="6">
        <v>1.5</v>
      </c>
      <c r="F96" s="20">
        <v>0.68</v>
      </c>
      <c r="G96" s="21">
        <v>0</v>
      </c>
      <c r="H96" s="23">
        <f t="shared" si="4"/>
        <v>0</v>
      </c>
      <c r="I96" s="23">
        <f t="shared" si="5"/>
        <v>0</v>
      </c>
      <c r="J96" s="23">
        <f t="shared" si="6"/>
        <v>0</v>
      </c>
      <c r="K96" s="24">
        <f t="shared" si="7"/>
        <v>0</v>
      </c>
      <c r="L96" s="20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5">
        <v>38.134986449864513</v>
      </c>
      <c r="V96" s="61">
        <f>IFERROR(LOOKUP($C96,#REF!,#REF!),0)</f>
        <v>0</v>
      </c>
      <c r="W96" s="61">
        <f>IFERROR(LOOKUP($C96,#REF!,#REF!),0)</f>
        <v>0</v>
      </c>
      <c r="X96" s="61">
        <f>IFERROR(LOOKUP($C96,#REF!,#REF!),0)</f>
        <v>0</v>
      </c>
      <c r="Y96" s="61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180</v>
      </c>
      <c r="E97" s="6">
        <v>39.99</v>
      </c>
      <c r="F97" s="20">
        <v>29.01</v>
      </c>
      <c r="G97" s="21">
        <v>0</v>
      </c>
      <c r="H97" s="23">
        <f t="shared" si="4"/>
        <v>0</v>
      </c>
      <c r="I97" s="23">
        <f t="shared" si="5"/>
        <v>0</v>
      </c>
      <c r="J97" s="23">
        <f t="shared" si="6"/>
        <v>0</v>
      </c>
      <c r="K97" s="24">
        <f t="shared" si="7"/>
        <v>0</v>
      </c>
      <c r="L97" s="20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5">
        <v>35.396179421103504</v>
      </c>
      <c r="V97" s="61">
        <f>IFERROR(LOOKUP($C97,#REF!,#REF!),0)</f>
        <v>0</v>
      </c>
      <c r="W97" s="61">
        <f>IFERROR(LOOKUP($C97,#REF!,#REF!),0)</f>
        <v>0</v>
      </c>
      <c r="X97" s="61">
        <f>IFERROR(LOOKUP($C97,#REF!,#REF!),0)</f>
        <v>0</v>
      </c>
      <c r="Y97" s="61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144</v>
      </c>
      <c r="E98" s="6">
        <v>3.99</v>
      </c>
      <c r="F98" s="20">
        <v>1.3</v>
      </c>
      <c r="G98" s="21">
        <v>0</v>
      </c>
      <c r="H98" s="23">
        <f t="shared" si="4"/>
        <v>0</v>
      </c>
      <c r="I98" s="23">
        <f t="shared" si="5"/>
        <v>0</v>
      </c>
      <c r="J98" s="23">
        <f t="shared" si="6"/>
        <v>0</v>
      </c>
      <c r="K98" s="24">
        <f t="shared" si="7"/>
        <v>0</v>
      </c>
      <c r="L98" s="20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5">
        <v>38.191288367815837</v>
      </c>
      <c r="V98" s="61">
        <f>IFERROR(LOOKUP($C98,#REF!,#REF!),0)</f>
        <v>0</v>
      </c>
      <c r="W98" s="61">
        <f>IFERROR(LOOKUP($C98,#REF!,#REF!),0)</f>
        <v>0</v>
      </c>
      <c r="X98" s="61">
        <f>IFERROR(LOOKUP($C98,#REF!,#REF!),0)</f>
        <v>0</v>
      </c>
      <c r="Y98" s="61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28</v>
      </c>
      <c r="E99" s="6">
        <v>19.989999999999998</v>
      </c>
      <c r="F99" s="20">
        <v>12.24</v>
      </c>
      <c r="G99" s="21">
        <v>40</v>
      </c>
      <c r="H99" s="23">
        <f t="shared" si="4"/>
        <v>799.59999999999991</v>
      </c>
      <c r="I99" s="23">
        <f t="shared" si="5"/>
        <v>489.6</v>
      </c>
      <c r="J99" s="23">
        <f t="shared" si="6"/>
        <v>309.99999999999989</v>
      </c>
      <c r="K99" s="24">
        <f t="shared" si="7"/>
        <v>38.769384692346165</v>
      </c>
      <c r="L99" s="20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5">
        <v>36.686316541622027</v>
      </c>
      <c r="V99" s="61">
        <f>IFERROR(LOOKUP($C99,#REF!,#REF!),0)</f>
        <v>0</v>
      </c>
      <c r="W99" s="61">
        <f>IFERROR(LOOKUP($C99,#REF!,#REF!),0)</f>
        <v>0</v>
      </c>
      <c r="X99" s="61">
        <f>IFERROR(LOOKUP($C99,#REF!,#REF!),0)</f>
        <v>0</v>
      </c>
      <c r="Y99" s="61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47</v>
      </c>
      <c r="E100" s="6">
        <v>4.99</v>
      </c>
      <c r="F100" s="20">
        <v>2.52</v>
      </c>
      <c r="G100" s="21">
        <v>0</v>
      </c>
      <c r="H100" s="23">
        <f t="shared" si="4"/>
        <v>0</v>
      </c>
      <c r="I100" s="23">
        <f t="shared" si="5"/>
        <v>0</v>
      </c>
      <c r="J100" s="23">
        <f t="shared" si="6"/>
        <v>0</v>
      </c>
      <c r="K100" s="24">
        <f t="shared" si="7"/>
        <v>0</v>
      </c>
      <c r="L100" s="20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5">
        <v>51.404388714733514</v>
      </c>
      <c r="V100" s="61">
        <f>IFERROR(LOOKUP($C100,#REF!,#REF!),0)</f>
        <v>0</v>
      </c>
      <c r="W100" s="61">
        <f>IFERROR(LOOKUP($C100,#REF!,#REF!),0)</f>
        <v>0</v>
      </c>
      <c r="X100" s="61">
        <f>IFERROR(LOOKUP($C100,#REF!,#REF!),0)</f>
        <v>0</v>
      </c>
      <c r="Y100" s="61">
        <f>IFERROR(LOOKUP($C100,#REF!,#REF!),0)</f>
        <v>0</v>
      </c>
    </row>
    <row r="101" spans="1:25" ht="16.5" customHeight="1" x14ac:dyDescent="0.35">
      <c r="A101" s="3" t="s">
        <v>14</v>
      </c>
      <c r="B101" s="4">
        <v>103</v>
      </c>
      <c r="C101" s="5">
        <v>34094</v>
      </c>
      <c r="D101" s="3" t="s">
        <v>229</v>
      </c>
      <c r="E101" s="6">
        <v>282.99</v>
      </c>
      <c r="F101" s="20">
        <v>57</v>
      </c>
      <c r="G101" s="21">
        <v>0</v>
      </c>
      <c r="H101" s="23">
        <f t="shared" si="4"/>
        <v>0</v>
      </c>
      <c r="I101" s="23">
        <f t="shared" si="5"/>
        <v>0</v>
      </c>
      <c r="J101" s="23">
        <f t="shared" si="6"/>
        <v>0</v>
      </c>
      <c r="K101" s="24">
        <f t="shared" si="7"/>
        <v>0</v>
      </c>
      <c r="L101" s="20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5">
        <v>39.26932989690723</v>
      </c>
      <c r="V101" s="61">
        <f>IFERROR(LOOKUP($C101,#REF!,#REF!),0)</f>
        <v>0</v>
      </c>
      <c r="W101" s="61">
        <f>IFERROR(LOOKUP($C101,#REF!,#REF!),0)</f>
        <v>0</v>
      </c>
      <c r="X101" s="61">
        <f>IFERROR(LOOKUP($C101,#REF!,#REF!),0)</f>
        <v>0</v>
      </c>
      <c r="Y101" s="61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235</v>
      </c>
      <c r="E102" s="6">
        <v>29.99</v>
      </c>
      <c r="F102" s="20">
        <v>12.52</v>
      </c>
      <c r="G102" s="21">
        <v>15</v>
      </c>
      <c r="H102" s="23">
        <f t="shared" si="4"/>
        <v>449.84999999999997</v>
      </c>
      <c r="I102" s="23">
        <f t="shared" si="5"/>
        <v>187.79999999999998</v>
      </c>
      <c r="J102" s="23">
        <f t="shared" si="6"/>
        <v>262.04999999999995</v>
      </c>
      <c r="K102" s="24">
        <f t="shared" si="7"/>
        <v>58.252750916972317</v>
      </c>
      <c r="L102" s="20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5">
        <v>39.244615384615386</v>
      </c>
      <c r="V102" s="61">
        <f>IFERROR(LOOKUP($C102,#REF!,#REF!),0)</f>
        <v>0</v>
      </c>
      <c r="W102" s="61">
        <f>IFERROR(LOOKUP($C102,#REF!,#REF!),0)</f>
        <v>0</v>
      </c>
      <c r="X102" s="61">
        <f>IFERROR(LOOKUP($C102,#REF!,#REF!),0)</f>
        <v>0</v>
      </c>
      <c r="Y102" s="61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211</v>
      </c>
      <c r="E103" s="6">
        <v>402.99</v>
      </c>
      <c r="F103" s="20">
        <v>210</v>
      </c>
      <c r="G103" s="21">
        <v>0</v>
      </c>
      <c r="H103" s="23">
        <f t="shared" si="4"/>
        <v>0</v>
      </c>
      <c r="I103" s="23">
        <f t="shared" si="5"/>
        <v>0</v>
      </c>
      <c r="J103" s="23">
        <f t="shared" si="6"/>
        <v>0</v>
      </c>
      <c r="K103" s="24">
        <f t="shared" si="7"/>
        <v>0</v>
      </c>
      <c r="L103" s="20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5">
        <v>41.990686845168817</v>
      </c>
      <c r="V103" s="61">
        <f>IFERROR(LOOKUP($C103,#REF!,#REF!),0)</f>
        <v>0</v>
      </c>
      <c r="W103" s="61">
        <f>IFERROR(LOOKUP($C103,#REF!,#REF!),0)</f>
        <v>0</v>
      </c>
      <c r="X103" s="61">
        <f>IFERROR(LOOKUP($C103,#REF!,#REF!),0)</f>
        <v>0</v>
      </c>
      <c r="Y103" s="61">
        <f>IFERROR(LOOKUP($C103,#REF!,#REF!),0)</f>
        <v>0</v>
      </c>
    </row>
    <row r="104" spans="1:25" ht="16.5" customHeight="1" x14ac:dyDescent="0.35">
      <c r="A104" s="3" t="s">
        <v>14</v>
      </c>
      <c r="B104" s="4">
        <v>103</v>
      </c>
      <c r="C104" s="5">
        <v>34101</v>
      </c>
      <c r="D104" s="3" t="s">
        <v>209</v>
      </c>
      <c r="E104" s="6">
        <v>216.99</v>
      </c>
      <c r="F104" s="20">
        <v>54</v>
      </c>
      <c r="G104" s="21">
        <v>0</v>
      </c>
      <c r="H104" s="23">
        <f t="shared" si="4"/>
        <v>0</v>
      </c>
      <c r="I104" s="23">
        <f t="shared" si="5"/>
        <v>0</v>
      </c>
      <c r="J104" s="23">
        <f t="shared" si="6"/>
        <v>0</v>
      </c>
      <c r="K104" s="24">
        <f t="shared" si="7"/>
        <v>0</v>
      </c>
      <c r="L104" s="20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5">
        <v>42.557557557557551</v>
      </c>
      <c r="V104" s="61">
        <f>IFERROR(LOOKUP($C104,#REF!,#REF!),0)</f>
        <v>0</v>
      </c>
      <c r="W104" s="61">
        <f>IFERROR(LOOKUP($C104,#REF!,#REF!),0)</f>
        <v>0</v>
      </c>
      <c r="X104" s="61">
        <f>IFERROR(LOOKUP($C104,#REF!,#REF!),0)</f>
        <v>0</v>
      </c>
      <c r="Y104" s="61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129</v>
      </c>
      <c r="E105" s="6">
        <v>9.99</v>
      </c>
      <c r="F105" s="20">
        <v>4.99</v>
      </c>
      <c r="G105" s="21">
        <v>0</v>
      </c>
      <c r="H105" s="23">
        <f t="shared" si="4"/>
        <v>0</v>
      </c>
      <c r="I105" s="23">
        <f t="shared" si="5"/>
        <v>0</v>
      </c>
      <c r="J105" s="23">
        <f t="shared" si="6"/>
        <v>0</v>
      </c>
      <c r="K105" s="24">
        <f t="shared" si="7"/>
        <v>0</v>
      </c>
      <c r="L105" s="20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5">
        <v>20.187648955075833</v>
      </c>
      <c r="V105" s="61">
        <f>IFERROR(LOOKUP($C105,#REF!,#REF!),0)</f>
        <v>0</v>
      </c>
      <c r="W105" s="61">
        <f>IFERROR(LOOKUP($C105,#REF!,#REF!),0)</f>
        <v>0</v>
      </c>
      <c r="X105" s="61">
        <f>IFERROR(LOOKUP($C105,#REF!,#REF!),0)</f>
        <v>0</v>
      </c>
      <c r="Y105" s="61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265</v>
      </c>
      <c r="E106" s="6">
        <v>79.989999999999995</v>
      </c>
      <c r="F106" s="20">
        <v>54.64</v>
      </c>
      <c r="G106" s="21">
        <v>0</v>
      </c>
      <c r="H106" s="23">
        <f t="shared" si="4"/>
        <v>0</v>
      </c>
      <c r="I106" s="23">
        <f t="shared" si="5"/>
        <v>0</v>
      </c>
      <c r="J106" s="23">
        <f t="shared" si="6"/>
        <v>0</v>
      </c>
      <c r="K106" s="24">
        <f t="shared" si="7"/>
        <v>0</v>
      </c>
      <c r="L106" s="20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5">
        <v>21.054767025089614</v>
      </c>
      <c r="V106" s="61">
        <f>IFERROR(LOOKUP($C106,#REF!,#REF!),0)</f>
        <v>0</v>
      </c>
      <c r="W106" s="61">
        <f>IFERROR(LOOKUP($C106,#REF!,#REF!),0)</f>
        <v>0</v>
      </c>
      <c r="X106" s="61">
        <f>IFERROR(LOOKUP($C106,#REF!,#REF!),0)</f>
        <v>0</v>
      </c>
      <c r="Y106" s="61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131</v>
      </c>
      <c r="E107" s="6">
        <v>11.99</v>
      </c>
      <c r="F107" s="20">
        <v>6.35</v>
      </c>
      <c r="G107" s="21">
        <v>0</v>
      </c>
      <c r="H107" s="23">
        <f t="shared" si="4"/>
        <v>0</v>
      </c>
      <c r="I107" s="23">
        <f t="shared" si="5"/>
        <v>0</v>
      </c>
      <c r="J107" s="23">
        <f t="shared" si="6"/>
        <v>0</v>
      </c>
      <c r="K107" s="24">
        <f t="shared" si="7"/>
        <v>0</v>
      </c>
      <c r="L107" s="20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5">
        <v>63.10506566604127</v>
      </c>
      <c r="V107" s="61">
        <f>IFERROR(LOOKUP($C107,#REF!,#REF!),0)</f>
        <v>0</v>
      </c>
      <c r="W107" s="61">
        <f>IFERROR(LOOKUP($C107,#REF!,#REF!),0)</f>
        <v>0</v>
      </c>
      <c r="X107" s="61">
        <f>IFERROR(LOOKUP($C107,#REF!,#REF!),0)</f>
        <v>0</v>
      </c>
      <c r="Y107" s="61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231</v>
      </c>
      <c r="E108" s="6">
        <v>29.99</v>
      </c>
      <c r="F108" s="20">
        <v>7.38</v>
      </c>
      <c r="G108" s="21">
        <v>0</v>
      </c>
      <c r="H108" s="23">
        <f t="shared" si="4"/>
        <v>0</v>
      </c>
      <c r="I108" s="23">
        <f t="shared" si="5"/>
        <v>0</v>
      </c>
      <c r="J108" s="23">
        <f t="shared" si="6"/>
        <v>0</v>
      </c>
      <c r="K108" s="24">
        <f t="shared" si="7"/>
        <v>0</v>
      </c>
      <c r="L108" s="20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5">
        <v>39.042485823666567</v>
      </c>
      <c r="V108" s="61">
        <f>IFERROR(LOOKUP($C108,#REF!,#REF!),0)</f>
        <v>0</v>
      </c>
      <c r="W108" s="61">
        <f>IFERROR(LOOKUP($C108,#REF!,#REF!),0)</f>
        <v>0</v>
      </c>
      <c r="X108" s="61">
        <f>IFERROR(LOOKUP($C108,#REF!,#REF!),0)</f>
        <v>0</v>
      </c>
      <c r="Y108" s="61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36</v>
      </c>
      <c r="E109" s="6">
        <v>3.3</v>
      </c>
      <c r="F109" s="20">
        <v>1.85</v>
      </c>
      <c r="G109" s="21">
        <v>0</v>
      </c>
      <c r="H109" s="23">
        <f t="shared" si="4"/>
        <v>0</v>
      </c>
      <c r="I109" s="23">
        <f t="shared" si="5"/>
        <v>0</v>
      </c>
      <c r="J109" s="23">
        <f t="shared" si="6"/>
        <v>0</v>
      </c>
      <c r="K109" s="24">
        <f t="shared" si="7"/>
        <v>0</v>
      </c>
      <c r="L109" s="20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5">
        <v>43.420965425825692</v>
      </c>
      <c r="V109" s="61">
        <f>IFERROR(LOOKUP($C109,#REF!,#REF!),0)</f>
        <v>0</v>
      </c>
      <c r="W109" s="61">
        <f>IFERROR(LOOKUP($C109,#REF!,#REF!),0)</f>
        <v>0</v>
      </c>
      <c r="X109" s="61">
        <f>IFERROR(LOOKUP($C109,#REF!,#REF!),0)</f>
        <v>0</v>
      </c>
      <c r="Y109" s="61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134</v>
      </c>
      <c r="E110" s="6">
        <v>8.99</v>
      </c>
      <c r="F110" s="20">
        <v>4.99</v>
      </c>
      <c r="G110" s="21">
        <v>0</v>
      </c>
      <c r="H110" s="23">
        <f t="shared" si="4"/>
        <v>0</v>
      </c>
      <c r="I110" s="23">
        <f t="shared" si="5"/>
        <v>0</v>
      </c>
      <c r="J110" s="23">
        <f t="shared" si="6"/>
        <v>0</v>
      </c>
      <c r="K110" s="24">
        <f t="shared" si="7"/>
        <v>0</v>
      </c>
      <c r="L110" s="20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5">
        <v>47.84636043711798</v>
      </c>
      <c r="V110" s="61">
        <f>IFERROR(LOOKUP($C110,#REF!,#REF!),0)</f>
        <v>0</v>
      </c>
      <c r="W110" s="61">
        <f>IFERROR(LOOKUP($C110,#REF!,#REF!),0)</f>
        <v>0</v>
      </c>
      <c r="X110" s="61">
        <f>IFERROR(LOOKUP($C110,#REF!,#REF!),0)</f>
        <v>0</v>
      </c>
      <c r="Y110" s="61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20">
        <v>1.85</v>
      </c>
      <c r="G111" s="21">
        <v>0</v>
      </c>
      <c r="H111" s="23">
        <f t="shared" si="4"/>
        <v>0</v>
      </c>
      <c r="I111" s="23">
        <f t="shared" si="5"/>
        <v>0</v>
      </c>
      <c r="J111" s="23">
        <f t="shared" si="6"/>
        <v>0</v>
      </c>
      <c r="K111" s="24">
        <f t="shared" si="7"/>
        <v>0</v>
      </c>
      <c r="L111" s="20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5">
        <v>38.026499999999999</v>
      </c>
      <c r="V111" s="61">
        <f>IFERROR(LOOKUP($C111,#REF!,#REF!),0)</f>
        <v>0</v>
      </c>
      <c r="W111" s="61">
        <f>IFERROR(LOOKUP($C111,#REF!,#REF!),0)</f>
        <v>0</v>
      </c>
      <c r="X111" s="61">
        <f>IFERROR(LOOKUP($C111,#REF!,#REF!),0)</f>
        <v>0</v>
      </c>
      <c r="Y111" s="61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167</v>
      </c>
      <c r="E112" s="6">
        <v>25.99</v>
      </c>
      <c r="F112" s="20">
        <v>13.19</v>
      </c>
      <c r="G112" s="21">
        <v>0</v>
      </c>
      <c r="H112" s="23">
        <f t="shared" si="4"/>
        <v>0</v>
      </c>
      <c r="I112" s="23">
        <f t="shared" si="5"/>
        <v>0</v>
      </c>
      <c r="J112" s="23">
        <f t="shared" si="6"/>
        <v>0</v>
      </c>
      <c r="K112" s="24">
        <f t="shared" si="7"/>
        <v>0</v>
      </c>
      <c r="L112" s="20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5">
        <v>36.16796440489432</v>
      </c>
      <c r="V112" s="61">
        <f>IFERROR(LOOKUP($C112,#REF!,#REF!),0)</f>
        <v>0</v>
      </c>
      <c r="W112" s="61">
        <f>IFERROR(LOOKUP($C112,#REF!,#REF!),0)</f>
        <v>0</v>
      </c>
      <c r="X112" s="61">
        <f>IFERROR(LOOKUP($C112,#REF!,#REF!),0)</f>
        <v>0</v>
      </c>
      <c r="Y112" s="61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283</v>
      </c>
      <c r="E113" s="6">
        <v>29.99</v>
      </c>
      <c r="F113" s="20">
        <v>12.33</v>
      </c>
      <c r="G113" s="21">
        <v>0</v>
      </c>
      <c r="H113" s="23">
        <f t="shared" si="4"/>
        <v>0</v>
      </c>
      <c r="I113" s="23">
        <f t="shared" si="5"/>
        <v>0</v>
      </c>
      <c r="J113" s="23">
        <f t="shared" si="6"/>
        <v>0</v>
      </c>
      <c r="K113" s="24">
        <f t="shared" si="7"/>
        <v>0</v>
      </c>
      <c r="L113" s="20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5">
        <v>41.972477064220179</v>
      </c>
      <c r="V113" s="61">
        <f>IFERROR(LOOKUP($C113,#REF!,#REF!),0)</f>
        <v>0</v>
      </c>
      <c r="W113" s="61">
        <f>IFERROR(LOOKUP($C113,#REF!,#REF!),0)</f>
        <v>0</v>
      </c>
      <c r="X113" s="61">
        <f>IFERROR(LOOKUP($C113,#REF!,#REF!),0)</f>
        <v>0</v>
      </c>
      <c r="Y113" s="61">
        <f>IFERROR(LOOKUP($C113,#REF!,#REF!),0)</f>
        <v>0</v>
      </c>
    </row>
    <row r="114" spans="1:25" ht="16.5" customHeight="1" x14ac:dyDescent="0.35">
      <c r="A114" s="3" t="s">
        <v>14</v>
      </c>
      <c r="B114" s="4">
        <v>103</v>
      </c>
      <c r="C114" s="5">
        <v>34134</v>
      </c>
      <c r="D114" s="3" t="s">
        <v>215</v>
      </c>
      <c r="E114" s="6">
        <v>313.99</v>
      </c>
      <c r="F114" s="20">
        <v>163.47229999999999</v>
      </c>
      <c r="G114" s="21">
        <v>0</v>
      </c>
      <c r="H114" s="23">
        <f t="shared" si="4"/>
        <v>0</v>
      </c>
      <c r="I114" s="23">
        <f t="shared" si="5"/>
        <v>0</v>
      </c>
      <c r="J114" s="23">
        <f t="shared" si="6"/>
        <v>0</v>
      </c>
      <c r="K114" s="24">
        <f t="shared" si="7"/>
        <v>0</v>
      </c>
      <c r="L114" s="20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5">
        <v>41.972477064220179</v>
      </c>
      <c r="V114" s="61">
        <f>IFERROR(LOOKUP($C114,#REF!,#REF!),0)</f>
        <v>0</v>
      </c>
      <c r="W114" s="61">
        <f>IFERROR(LOOKUP($C114,#REF!,#REF!),0)</f>
        <v>0</v>
      </c>
      <c r="X114" s="61">
        <f>IFERROR(LOOKUP($C114,#REF!,#REF!),0)</f>
        <v>0</v>
      </c>
      <c r="Y114" s="61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230</v>
      </c>
      <c r="E115" s="6">
        <v>189.99</v>
      </c>
      <c r="F115" s="20">
        <v>61</v>
      </c>
      <c r="G115" s="21">
        <v>0</v>
      </c>
      <c r="H115" s="23">
        <f t="shared" si="4"/>
        <v>0</v>
      </c>
      <c r="I115" s="23">
        <f t="shared" si="5"/>
        <v>0</v>
      </c>
      <c r="J115" s="23">
        <f t="shared" si="6"/>
        <v>0</v>
      </c>
      <c r="K115" s="24">
        <f t="shared" si="7"/>
        <v>0</v>
      </c>
      <c r="L115" s="20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5">
        <v>40.459563378084489</v>
      </c>
      <c r="V115" s="61">
        <f>IFERROR(LOOKUP($C115,#REF!,#REF!),0)</f>
        <v>0</v>
      </c>
      <c r="W115" s="61">
        <f>IFERROR(LOOKUP($C115,#REF!,#REF!),0)</f>
        <v>0</v>
      </c>
      <c r="X115" s="61">
        <f>IFERROR(LOOKUP($C115,#REF!,#REF!),0)</f>
        <v>0</v>
      </c>
      <c r="Y115" s="61">
        <f>IFERROR(LOOKUP($C115,#REF!,#REF!),0)</f>
        <v>0</v>
      </c>
    </row>
    <row r="116" spans="1:25" ht="16.5" customHeight="1" x14ac:dyDescent="0.35">
      <c r="A116" s="3" t="s">
        <v>14</v>
      </c>
      <c r="B116" s="4">
        <v>103</v>
      </c>
      <c r="C116" s="5">
        <v>34136</v>
      </c>
      <c r="D116" s="3" t="s">
        <v>218</v>
      </c>
      <c r="E116" s="6">
        <v>112.99</v>
      </c>
      <c r="F116" s="20">
        <v>45</v>
      </c>
      <c r="G116" s="21">
        <v>0</v>
      </c>
      <c r="H116" s="23">
        <f t="shared" si="4"/>
        <v>0</v>
      </c>
      <c r="I116" s="23">
        <f t="shared" si="5"/>
        <v>0</v>
      </c>
      <c r="J116" s="23">
        <f t="shared" si="6"/>
        <v>0</v>
      </c>
      <c r="K116" s="24">
        <f t="shared" si="7"/>
        <v>0</v>
      </c>
      <c r="L116" s="20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5">
        <v>41.906459452134087</v>
      </c>
      <c r="V116" s="61">
        <f>IFERROR(LOOKUP($C116,#REF!,#REF!),0)</f>
        <v>0</v>
      </c>
      <c r="W116" s="61">
        <f>IFERROR(LOOKUP($C116,#REF!,#REF!),0)</f>
        <v>0</v>
      </c>
      <c r="X116" s="61">
        <f>IFERROR(LOOKUP($C116,#REF!,#REF!),0)</f>
        <v>0</v>
      </c>
      <c r="Y116" s="61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141</v>
      </c>
      <c r="E117" s="6">
        <v>49.99</v>
      </c>
      <c r="F117" s="20">
        <v>26.72</v>
      </c>
      <c r="G117" s="21">
        <v>0</v>
      </c>
      <c r="H117" s="23">
        <f t="shared" si="4"/>
        <v>0</v>
      </c>
      <c r="I117" s="23">
        <f t="shared" si="5"/>
        <v>0</v>
      </c>
      <c r="J117" s="23">
        <f t="shared" si="6"/>
        <v>0</v>
      </c>
      <c r="K117" s="24">
        <f t="shared" si="7"/>
        <v>0</v>
      </c>
      <c r="L117" s="20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5">
        <v>41.809482646440998</v>
      </c>
      <c r="V117" s="61">
        <f>IFERROR(LOOKUP($C117,#REF!,#REF!),0)</f>
        <v>0</v>
      </c>
      <c r="W117" s="61">
        <f>IFERROR(LOOKUP($C117,#REF!,#REF!),0)</f>
        <v>0</v>
      </c>
      <c r="X117" s="61">
        <f>IFERROR(LOOKUP($C117,#REF!,#REF!),0)</f>
        <v>0</v>
      </c>
      <c r="Y117" s="61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267</v>
      </c>
      <c r="E118" s="6">
        <v>385</v>
      </c>
      <c r="F118" s="20">
        <v>201.52</v>
      </c>
      <c r="G118" s="21">
        <v>0</v>
      </c>
      <c r="H118" s="23">
        <f t="shared" si="4"/>
        <v>0</v>
      </c>
      <c r="I118" s="23">
        <f t="shared" si="5"/>
        <v>0</v>
      </c>
      <c r="J118" s="23">
        <f t="shared" si="6"/>
        <v>0</v>
      </c>
      <c r="K118" s="24">
        <f t="shared" si="7"/>
        <v>0</v>
      </c>
      <c r="L118" s="20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5">
        <v>37.026220095693787</v>
      </c>
      <c r="V118" s="61">
        <f>IFERROR(LOOKUP($C118,#REF!,#REF!),0)</f>
        <v>0</v>
      </c>
      <c r="W118" s="61">
        <f>IFERROR(LOOKUP($C118,#REF!,#REF!),0)</f>
        <v>0</v>
      </c>
      <c r="X118" s="61">
        <f>IFERROR(LOOKUP($C118,#REF!,#REF!),0)</f>
        <v>0</v>
      </c>
      <c r="Y118" s="61">
        <f>IFERROR(LOOKUP($C118,#REF!,#REF!),0)</f>
        <v>0</v>
      </c>
    </row>
    <row r="119" spans="1:25" ht="16.5" customHeight="1" x14ac:dyDescent="0.35">
      <c r="A119" s="3" t="s">
        <v>14</v>
      </c>
      <c r="B119" s="4">
        <v>103</v>
      </c>
      <c r="C119" s="5">
        <v>34142</v>
      </c>
      <c r="D119" s="3" t="s">
        <v>208</v>
      </c>
      <c r="E119" s="6">
        <v>70.989999999999995</v>
      </c>
      <c r="F119" s="20">
        <v>18.7</v>
      </c>
      <c r="G119" s="21">
        <v>0</v>
      </c>
      <c r="H119" s="23">
        <f t="shared" si="4"/>
        <v>0</v>
      </c>
      <c r="I119" s="23">
        <f t="shared" si="5"/>
        <v>0</v>
      </c>
      <c r="J119" s="23">
        <f t="shared" si="6"/>
        <v>0</v>
      </c>
      <c r="K119" s="24">
        <f t="shared" si="7"/>
        <v>0</v>
      </c>
      <c r="L119" s="20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5">
        <v>53.252032520325209</v>
      </c>
      <c r="V119" s="61">
        <f>IFERROR(LOOKUP($C119,#REF!,#REF!),0)</f>
        <v>0</v>
      </c>
      <c r="W119" s="61">
        <f>IFERROR(LOOKUP($C119,#REF!,#REF!),0)</f>
        <v>0</v>
      </c>
      <c r="X119" s="61">
        <f>IFERROR(LOOKUP($C119,#REF!,#REF!),0)</f>
        <v>0</v>
      </c>
      <c r="Y119" s="61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20">
        <v>7.7</v>
      </c>
      <c r="G120" s="21">
        <v>184</v>
      </c>
      <c r="H120" s="23">
        <f t="shared" si="4"/>
        <v>3126.16</v>
      </c>
      <c r="I120" s="23">
        <f t="shared" si="5"/>
        <v>1416.8</v>
      </c>
      <c r="J120" s="23">
        <f t="shared" si="6"/>
        <v>1709.36</v>
      </c>
      <c r="K120" s="24">
        <f t="shared" si="7"/>
        <v>54.679223072395523</v>
      </c>
      <c r="L120" s="20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5">
        <v>61.587019800556376</v>
      </c>
      <c r="V120" s="61">
        <f>IFERROR(LOOKUP($C120,#REF!,#REF!),0)</f>
        <v>0</v>
      </c>
      <c r="W120" s="61">
        <f>IFERROR(LOOKUP($C120,#REF!,#REF!),0)</f>
        <v>0</v>
      </c>
      <c r="X120" s="61">
        <f>IFERROR(LOOKUP($C120,#REF!,#REF!),0)</f>
        <v>0</v>
      </c>
      <c r="Y120" s="61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95</v>
      </c>
      <c r="E121" s="6">
        <v>18.989999999999998</v>
      </c>
      <c r="F121" s="20">
        <v>9.6999999999999993</v>
      </c>
      <c r="G121" s="21">
        <v>0</v>
      </c>
      <c r="H121" s="23">
        <f t="shared" si="4"/>
        <v>0</v>
      </c>
      <c r="I121" s="23">
        <f t="shared" si="5"/>
        <v>0</v>
      </c>
      <c r="J121" s="23">
        <f t="shared" si="6"/>
        <v>0</v>
      </c>
      <c r="K121" s="24">
        <f t="shared" si="7"/>
        <v>0</v>
      </c>
      <c r="L121" s="20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5">
        <v>38.65293532338309</v>
      </c>
      <c r="V121" s="61">
        <f>IFERROR(LOOKUP($C121,#REF!,#REF!),0)</f>
        <v>0</v>
      </c>
      <c r="W121" s="61">
        <f>IFERROR(LOOKUP($C121,#REF!,#REF!),0)</f>
        <v>0</v>
      </c>
      <c r="X121" s="61">
        <f>IFERROR(LOOKUP($C121,#REF!,#REF!),0)</f>
        <v>0</v>
      </c>
      <c r="Y121" s="61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120</v>
      </c>
      <c r="E122" s="6">
        <v>15.99</v>
      </c>
      <c r="F122" s="20">
        <v>8.3000000000000007</v>
      </c>
      <c r="G122" s="21">
        <v>6</v>
      </c>
      <c r="H122" s="23">
        <f t="shared" si="4"/>
        <v>95.94</v>
      </c>
      <c r="I122" s="23">
        <f t="shared" si="5"/>
        <v>49.800000000000004</v>
      </c>
      <c r="J122" s="23">
        <f t="shared" si="6"/>
        <v>46.139999999999993</v>
      </c>
      <c r="K122" s="24">
        <f t="shared" si="7"/>
        <v>48.092557848655403</v>
      </c>
      <c r="L122" s="20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5">
        <v>53.520773189406299</v>
      </c>
      <c r="V122" s="61">
        <f>IFERROR(LOOKUP($C122,#REF!,#REF!),0)</f>
        <v>0</v>
      </c>
      <c r="W122" s="61">
        <f>IFERROR(LOOKUP($C122,#REF!,#REF!),0)</f>
        <v>0</v>
      </c>
      <c r="X122" s="61">
        <f>IFERROR(LOOKUP($C122,#REF!,#REF!),0)</f>
        <v>0</v>
      </c>
      <c r="Y122" s="61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76</v>
      </c>
      <c r="E123" s="6">
        <v>39.99</v>
      </c>
      <c r="F123" s="20">
        <v>16.100000000000001</v>
      </c>
      <c r="G123" s="21">
        <v>0</v>
      </c>
      <c r="H123" s="23">
        <f t="shared" si="4"/>
        <v>0</v>
      </c>
      <c r="I123" s="23">
        <f t="shared" si="5"/>
        <v>0</v>
      </c>
      <c r="J123" s="23">
        <f t="shared" si="6"/>
        <v>0</v>
      </c>
      <c r="K123" s="24">
        <f t="shared" si="7"/>
        <v>0</v>
      </c>
      <c r="L123" s="20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5">
        <v>35.819899944413557</v>
      </c>
      <c r="V123" s="61">
        <f>IFERROR(LOOKUP($C123,#REF!,#REF!),0)</f>
        <v>0</v>
      </c>
      <c r="W123" s="61">
        <f>IFERROR(LOOKUP($C123,#REF!,#REF!),0)</f>
        <v>0</v>
      </c>
      <c r="X123" s="61">
        <f>IFERROR(LOOKUP($C123,#REF!,#REF!),0)</f>
        <v>0</v>
      </c>
      <c r="Y123" s="61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103</v>
      </c>
      <c r="E124" s="6">
        <v>27.99</v>
      </c>
      <c r="F124" s="20">
        <v>15.7</v>
      </c>
      <c r="G124" s="21">
        <v>0</v>
      </c>
      <c r="H124" s="23">
        <f t="shared" si="4"/>
        <v>0</v>
      </c>
      <c r="I124" s="23">
        <f t="shared" si="5"/>
        <v>0</v>
      </c>
      <c r="J124" s="23">
        <f t="shared" si="6"/>
        <v>0</v>
      </c>
      <c r="K124" s="24">
        <f t="shared" si="7"/>
        <v>0</v>
      </c>
      <c r="L124" s="20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5">
        <v>45.025681677507642</v>
      </c>
      <c r="V124" s="61">
        <f>IFERROR(LOOKUP($C124,#REF!,#REF!),0)</f>
        <v>0</v>
      </c>
      <c r="W124" s="61">
        <f>IFERROR(LOOKUP($C124,#REF!,#REF!),0)</f>
        <v>0</v>
      </c>
      <c r="X124" s="61">
        <f>IFERROR(LOOKUP($C124,#REF!,#REF!),0)</f>
        <v>0</v>
      </c>
      <c r="Y124" s="61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58</v>
      </c>
      <c r="E125" s="6">
        <v>11.99</v>
      </c>
      <c r="F125" s="20">
        <v>6.05</v>
      </c>
      <c r="G125" s="21">
        <v>0</v>
      </c>
      <c r="H125" s="23">
        <f t="shared" si="4"/>
        <v>0</v>
      </c>
      <c r="I125" s="23">
        <f t="shared" si="5"/>
        <v>0</v>
      </c>
      <c r="J125" s="23">
        <f t="shared" si="6"/>
        <v>0</v>
      </c>
      <c r="K125" s="24">
        <f t="shared" si="7"/>
        <v>0</v>
      </c>
      <c r="L125" s="20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5">
        <v>62.461085657068303</v>
      </c>
      <c r="V125" s="61">
        <f>IFERROR(LOOKUP($C125,#REF!,#REF!),0)</f>
        <v>0</v>
      </c>
      <c r="W125" s="61">
        <f>IFERROR(LOOKUP($C125,#REF!,#REF!),0)</f>
        <v>0</v>
      </c>
      <c r="X125" s="61">
        <f>IFERROR(LOOKUP($C125,#REF!,#REF!),0)</f>
        <v>0</v>
      </c>
      <c r="Y125" s="61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257</v>
      </c>
      <c r="E126" s="6">
        <v>9.99</v>
      </c>
      <c r="F126" s="20">
        <v>4.53</v>
      </c>
      <c r="G126" s="21">
        <v>0</v>
      </c>
      <c r="H126" s="23">
        <f t="shared" si="4"/>
        <v>0</v>
      </c>
      <c r="I126" s="23">
        <f t="shared" si="5"/>
        <v>0</v>
      </c>
      <c r="J126" s="23">
        <f t="shared" si="6"/>
        <v>0</v>
      </c>
      <c r="K126" s="24">
        <f t="shared" si="7"/>
        <v>0</v>
      </c>
      <c r="L126" s="20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5">
        <v>33.497962119395822</v>
      </c>
      <c r="V126" s="61">
        <f>IFERROR(LOOKUP($C126,#REF!,#REF!),0)</f>
        <v>0</v>
      </c>
      <c r="W126" s="61">
        <f>IFERROR(LOOKUP($C126,#REF!,#REF!),0)</f>
        <v>0</v>
      </c>
      <c r="X126" s="61">
        <f>IFERROR(LOOKUP($C126,#REF!,#REF!),0)</f>
        <v>0</v>
      </c>
      <c r="Y126" s="61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239</v>
      </c>
      <c r="E127" s="6">
        <v>15</v>
      </c>
      <c r="F127" s="20">
        <v>7.38</v>
      </c>
      <c r="G127" s="21">
        <v>0</v>
      </c>
      <c r="H127" s="23">
        <f t="shared" si="4"/>
        <v>0</v>
      </c>
      <c r="I127" s="23">
        <f t="shared" si="5"/>
        <v>0</v>
      </c>
      <c r="J127" s="23">
        <f t="shared" si="6"/>
        <v>0</v>
      </c>
      <c r="K127" s="24">
        <f t="shared" si="7"/>
        <v>0</v>
      </c>
      <c r="L127" s="20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5">
        <v>25.234666666666662</v>
      </c>
      <c r="V127" s="61">
        <f>IFERROR(LOOKUP($C127,#REF!,#REF!),0)</f>
        <v>0</v>
      </c>
      <c r="W127" s="61">
        <f>IFERROR(LOOKUP($C127,#REF!,#REF!),0)</f>
        <v>0</v>
      </c>
      <c r="X127" s="61">
        <f>IFERROR(LOOKUP($C127,#REF!,#REF!),0)</f>
        <v>0</v>
      </c>
      <c r="Y127" s="61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260</v>
      </c>
      <c r="E128" s="6">
        <v>15.99</v>
      </c>
      <c r="F128" s="20">
        <v>6.5</v>
      </c>
      <c r="G128" s="21">
        <v>0</v>
      </c>
      <c r="H128" s="23">
        <f t="shared" si="4"/>
        <v>0</v>
      </c>
      <c r="I128" s="23">
        <f t="shared" si="5"/>
        <v>0</v>
      </c>
      <c r="J128" s="23">
        <f t="shared" si="6"/>
        <v>0</v>
      </c>
      <c r="K128" s="24">
        <f t="shared" si="7"/>
        <v>0</v>
      </c>
      <c r="L128" s="20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5">
        <v>35.518417462482951</v>
      </c>
      <c r="V128" s="61">
        <f>IFERROR(LOOKUP($C128,#REF!,#REF!),0)</f>
        <v>0</v>
      </c>
      <c r="W128" s="61">
        <f>IFERROR(LOOKUP($C128,#REF!,#REF!),0)</f>
        <v>0</v>
      </c>
      <c r="X128" s="61">
        <f>IFERROR(LOOKUP($C128,#REF!,#REF!),0)</f>
        <v>0</v>
      </c>
      <c r="Y128" s="61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45</v>
      </c>
      <c r="E129" s="6">
        <v>16.989999999999998</v>
      </c>
      <c r="F129" s="20">
        <v>7.73</v>
      </c>
      <c r="G129" s="21">
        <v>36</v>
      </c>
      <c r="H129" s="23">
        <f t="shared" si="4"/>
        <v>611.64</v>
      </c>
      <c r="I129" s="23">
        <f t="shared" si="5"/>
        <v>278.28000000000003</v>
      </c>
      <c r="J129" s="23">
        <f t="shared" si="6"/>
        <v>333.35999999999996</v>
      </c>
      <c r="K129" s="24">
        <f t="shared" si="7"/>
        <v>54.502648616833426</v>
      </c>
      <c r="L129" s="20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5">
        <v>38.531706341268269</v>
      </c>
      <c r="V129" s="61">
        <f>IFERROR(LOOKUP($C129,#REF!,#REF!),0)</f>
        <v>0</v>
      </c>
      <c r="W129" s="61">
        <f>IFERROR(LOOKUP($C129,#REF!,#REF!),0)</f>
        <v>0</v>
      </c>
      <c r="X129" s="61">
        <f>IFERROR(LOOKUP($C129,#REF!,#REF!),0)</f>
        <v>0</v>
      </c>
      <c r="Y129" s="61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255</v>
      </c>
      <c r="E130" s="6">
        <v>15.99</v>
      </c>
      <c r="F130" s="20">
        <v>8.11</v>
      </c>
      <c r="G130" s="21">
        <v>6</v>
      </c>
      <c r="H130" s="23">
        <f t="shared" si="4"/>
        <v>95.94</v>
      </c>
      <c r="I130" s="23">
        <f t="shared" si="5"/>
        <v>48.66</v>
      </c>
      <c r="J130" s="23">
        <f t="shared" si="6"/>
        <v>47.28</v>
      </c>
      <c r="K130" s="24">
        <f t="shared" si="7"/>
        <v>49.280800500312701</v>
      </c>
      <c r="L130" s="20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5">
        <v>36.901344310072467</v>
      </c>
      <c r="V130" s="61">
        <f>IFERROR(LOOKUP($C130,#REF!,#REF!),0)</f>
        <v>0</v>
      </c>
      <c r="W130" s="61">
        <f>IFERROR(LOOKUP($C130,#REF!,#REF!),0)</f>
        <v>0</v>
      </c>
      <c r="X130" s="61">
        <f>IFERROR(LOOKUP($C130,#REF!,#REF!),0)</f>
        <v>0</v>
      </c>
      <c r="Y130" s="61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246</v>
      </c>
      <c r="E131" s="6">
        <v>4.99</v>
      </c>
      <c r="F131" s="20">
        <v>2.97</v>
      </c>
      <c r="G131" s="21">
        <v>0</v>
      </c>
      <c r="H131" s="23">
        <f t="shared" si="4"/>
        <v>0</v>
      </c>
      <c r="I131" s="23">
        <f t="shared" si="5"/>
        <v>0</v>
      </c>
      <c r="J131" s="23">
        <f t="shared" si="6"/>
        <v>0</v>
      </c>
      <c r="K131" s="24">
        <f t="shared" si="7"/>
        <v>0</v>
      </c>
      <c r="L131" s="20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5">
        <v>46.456643356643376</v>
      </c>
      <c r="V131" s="61">
        <f>IFERROR(LOOKUP($C131,#REF!,#REF!),0)</f>
        <v>0</v>
      </c>
      <c r="W131" s="61">
        <f>IFERROR(LOOKUP($C131,#REF!,#REF!),0)</f>
        <v>0</v>
      </c>
      <c r="X131" s="61">
        <f>IFERROR(LOOKUP($C131,#REF!,#REF!),0)</f>
        <v>0</v>
      </c>
      <c r="Y131" s="61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38</v>
      </c>
      <c r="E132" s="6">
        <v>14.99</v>
      </c>
      <c r="F132" s="20">
        <v>6.62</v>
      </c>
      <c r="G132" s="21">
        <v>0</v>
      </c>
      <c r="H132" s="23">
        <f t="shared" ref="H132:H195" si="8">E132*G132</f>
        <v>0</v>
      </c>
      <c r="I132" s="23">
        <f t="shared" ref="I132:I195" si="9">F132*G132</f>
        <v>0</v>
      </c>
      <c r="J132" s="23">
        <f t="shared" ref="J132:J195" si="10">H132-I132</f>
        <v>0</v>
      </c>
      <c r="K132" s="24">
        <f t="shared" si="7"/>
        <v>0</v>
      </c>
      <c r="L132" s="20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5">
        <v>40.689677743110863</v>
      </c>
      <c r="V132" s="61">
        <f>IFERROR(LOOKUP($C132,#REF!,#REF!),0)</f>
        <v>0</v>
      </c>
      <c r="W132" s="61">
        <f>IFERROR(LOOKUP($C132,#REF!,#REF!),0)</f>
        <v>0</v>
      </c>
      <c r="X132" s="61">
        <f>IFERROR(LOOKUP($C132,#REF!,#REF!),0)</f>
        <v>0</v>
      </c>
      <c r="Y132" s="61">
        <f>IFERROR(LOOKUP($C132,#REF!,#REF!),0)</f>
        <v>0</v>
      </c>
    </row>
    <row r="133" spans="1:25" ht="16.5" customHeight="1" x14ac:dyDescent="0.35">
      <c r="A133" s="3" t="s">
        <v>14</v>
      </c>
      <c r="B133" s="4">
        <v>102</v>
      </c>
      <c r="C133" s="5">
        <v>42797</v>
      </c>
      <c r="D133" s="20" t="s">
        <v>99</v>
      </c>
      <c r="E133" s="20">
        <v>11.99</v>
      </c>
      <c r="F133" s="20">
        <v>5.12</v>
      </c>
      <c r="G133" s="21">
        <v>10</v>
      </c>
      <c r="H133" s="23">
        <f t="shared" si="8"/>
        <v>119.9</v>
      </c>
      <c r="I133" s="23">
        <f t="shared" si="9"/>
        <v>51.2</v>
      </c>
      <c r="J133" s="23">
        <f t="shared" si="10"/>
        <v>68.7</v>
      </c>
      <c r="K133" s="24">
        <f t="shared" ref="K133:K196" si="11">IFERROR(J133/H133*100,0)</f>
        <v>57.2977481234362</v>
      </c>
      <c r="L133" s="20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5">
        <v>39.417441029306652</v>
      </c>
      <c r="V133" s="61">
        <f>IFERROR(LOOKUP($C133,#REF!,#REF!),0)</f>
        <v>0</v>
      </c>
      <c r="W133" s="61">
        <f>IFERROR(LOOKUP($C133,#REF!,#REF!),0)</f>
        <v>0</v>
      </c>
      <c r="X133" s="61">
        <f>IFERROR(LOOKUP($C133,#REF!,#REF!),0)</f>
        <v>0</v>
      </c>
      <c r="Y133" s="61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93</v>
      </c>
      <c r="E134" s="6">
        <v>19.989999999999998</v>
      </c>
      <c r="F134" s="20">
        <v>10.85</v>
      </c>
      <c r="G134" s="21">
        <v>16</v>
      </c>
      <c r="H134" s="23">
        <f t="shared" si="8"/>
        <v>319.83999999999997</v>
      </c>
      <c r="I134" s="23">
        <f t="shared" si="9"/>
        <v>173.6</v>
      </c>
      <c r="J134" s="23">
        <f t="shared" si="10"/>
        <v>146.23999999999998</v>
      </c>
      <c r="K134" s="24">
        <f t="shared" si="11"/>
        <v>45.722861430715355</v>
      </c>
      <c r="L134" s="20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5">
        <v>42.394804976941614</v>
      </c>
      <c r="V134" s="61">
        <f>IFERROR(LOOKUP($C134,#REF!,#REF!),0)</f>
        <v>0</v>
      </c>
      <c r="W134" s="61">
        <f>IFERROR(LOOKUP($C134,#REF!,#REF!),0)</f>
        <v>0</v>
      </c>
      <c r="X134" s="61">
        <f>IFERROR(LOOKUP($C134,#REF!,#REF!),0)</f>
        <v>0</v>
      </c>
      <c r="Y134" s="61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238</v>
      </c>
      <c r="E135" s="6">
        <v>13.99</v>
      </c>
      <c r="F135" s="20">
        <v>6.67</v>
      </c>
      <c r="G135" s="21">
        <v>0</v>
      </c>
      <c r="H135" s="23">
        <f t="shared" si="8"/>
        <v>0</v>
      </c>
      <c r="I135" s="23">
        <f t="shared" si="9"/>
        <v>0</v>
      </c>
      <c r="J135" s="23">
        <f t="shared" si="10"/>
        <v>0</v>
      </c>
      <c r="K135" s="24">
        <f t="shared" si="11"/>
        <v>0</v>
      </c>
      <c r="L135" s="20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5">
        <v>27.166666666666668</v>
      </c>
      <c r="V135" s="61">
        <f>IFERROR(LOOKUP($C135,#REF!,#REF!),0)</f>
        <v>0</v>
      </c>
      <c r="W135" s="61">
        <f>IFERROR(LOOKUP($C135,#REF!,#REF!),0)</f>
        <v>0</v>
      </c>
      <c r="X135" s="61">
        <f>IFERROR(LOOKUP($C135,#REF!,#REF!),0)</f>
        <v>0</v>
      </c>
      <c r="Y135" s="61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252</v>
      </c>
      <c r="E136" s="6">
        <v>44.99</v>
      </c>
      <c r="F136" s="20">
        <v>26.64</v>
      </c>
      <c r="G136" s="21">
        <v>0</v>
      </c>
      <c r="H136" s="23">
        <f t="shared" si="8"/>
        <v>0</v>
      </c>
      <c r="I136" s="23">
        <f t="shared" si="9"/>
        <v>0</v>
      </c>
      <c r="J136" s="23">
        <f t="shared" si="10"/>
        <v>0</v>
      </c>
      <c r="K136" s="24">
        <f t="shared" si="11"/>
        <v>0</v>
      </c>
      <c r="L136" s="20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5">
        <v>60.33184086879433</v>
      </c>
      <c r="V136" s="61">
        <f>IFERROR(LOOKUP($C136,#REF!,#REF!),0)</f>
        <v>0</v>
      </c>
      <c r="W136" s="61">
        <f>IFERROR(LOOKUP($C136,#REF!,#REF!),0)</f>
        <v>0</v>
      </c>
      <c r="X136" s="61">
        <f>IFERROR(LOOKUP($C136,#REF!,#REF!),0)</f>
        <v>0</v>
      </c>
      <c r="Y136" s="61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161</v>
      </c>
      <c r="E137" s="6">
        <v>39.99</v>
      </c>
      <c r="F137" s="20">
        <v>25</v>
      </c>
      <c r="G137" s="21">
        <v>0</v>
      </c>
      <c r="H137" s="23">
        <f t="shared" si="8"/>
        <v>0</v>
      </c>
      <c r="I137" s="23">
        <f t="shared" si="9"/>
        <v>0</v>
      </c>
      <c r="J137" s="23">
        <f t="shared" si="10"/>
        <v>0</v>
      </c>
      <c r="K137" s="24">
        <f t="shared" si="11"/>
        <v>0</v>
      </c>
      <c r="L137" s="20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5">
        <v>62.53132832080199</v>
      </c>
      <c r="V137" s="61">
        <f>IFERROR(LOOKUP($C137,#REF!,#REF!),0)</f>
        <v>0</v>
      </c>
      <c r="W137" s="61">
        <f>IFERROR(LOOKUP($C137,#REF!,#REF!),0)</f>
        <v>0</v>
      </c>
      <c r="X137" s="61">
        <f>IFERROR(LOOKUP($C137,#REF!,#REF!),0)</f>
        <v>0</v>
      </c>
      <c r="Y137" s="61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132</v>
      </c>
      <c r="E138" s="6">
        <v>15.99</v>
      </c>
      <c r="F138" s="20">
        <v>7.86</v>
      </c>
      <c r="G138" s="21">
        <v>0</v>
      </c>
      <c r="H138" s="23">
        <f t="shared" si="8"/>
        <v>0</v>
      </c>
      <c r="I138" s="23">
        <f t="shared" si="9"/>
        <v>0</v>
      </c>
      <c r="J138" s="23">
        <f t="shared" si="10"/>
        <v>0</v>
      </c>
      <c r="K138" s="24">
        <f t="shared" si="11"/>
        <v>0</v>
      </c>
      <c r="L138" s="20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5">
        <v>55.282344531808448</v>
      </c>
      <c r="V138" s="61">
        <f>IFERROR(LOOKUP($C138,#REF!,#REF!),0)</f>
        <v>0</v>
      </c>
      <c r="W138" s="61">
        <f>IFERROR(LOOKUP($C138,#REF!,#REF!),0)</f>
        <v>0</v>
      </c>
      <c r="X138" s="61">
        <f>IFERROR(LOOKUP($C138,#REF!,#REF!),0)</f>
        <v>0</v>
      </c>
      <c r="Y138" s="61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90</v>
      </c>
      <c r="E139" s="6">
        <v>31.99</v>
      </c>
      <c r="F139" s="20">
        <v>15.17</v>
      </c>
      <c r="G139" s="21">
        <v>213</v>
      </c>
      <c r="H139" s="23">
        <f t="shared" si="8"/>
        <v>6813.87</v>
      </c>
      <c r="I139" s="23">
        <f t="shared" si="9"/>
        <v>3231.21</v>
      </c>
      <c r="J139" s="23">
        <f t="shared" si="10"/>
        <v>3582.66</v>
      </c>
      <c r="K139" s="24">
        <f t="shared" si="11"/>
        <v>52.578930915911229</v>
      </c>
      <c r="L139" s="20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5">
        <v>45.87652922519257</v>
      </c>
      <c r="V139" s="61">
        <f>IFERROR(LOOKUP($C139,#REF!,#REF!),0)</f>
        <v>0</v>
      </c>
      <c r="W139" s="61">
        <f>IFERROR(LOOKUP($C139,#REF!,#REF!),0)</f>
        <v>0</v>
      </c>
      <c r="X139" s="61">
        <f>IFERROR(LOOKUP($C139,#REF!,#REF!),0)</f>
        <v>0</v>
      </c>
      <c r="Y139" s="61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147</v>
      </c>
      <c r="E140" s="6">
        <v>4.99</v>
      </c>
      <c r="F140" s="20">
        <v>1.29</v>
      </c>
      <c r="G140" s="21">
        <v>0</v>
      </c>
      <c r="H140" s="23">
        <f t="shared" si="8"/>
        <v>0</v>
      </c>
      <c r="I140" s="23">
        <f t="shared" si="9"/>
        <v>0</v>
      </c>
      <c r="J140" s="23">
        <f t="shared" si="10"/>
        <v>0</v>
      </c>
      <c r="K140" s="24">
        <f t="shared" si="11"/>
        <v>0</v>
      </c>
      <c r="L140" s="20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5">
        <v>70.104398936418349</v>
      </c>
      <c r="V140" s="61">
        <f>IFERROR(LOOKUP($C140,#REF!,#REF!),0)</f>
        <v>0</v>
      </c>
      <c r="W140" s="61">
        <f>IFERROR(LOOKUP($C140,#REF!,#REF!),0)</f>
        <v>0</v>
      </c>
      <c r="X140" s="61">
        <f>IFERROR(LOOKUP($C140,#REF!,#REF!),0)</f>
        <v>0</v>
      </c>
      <c r="Y140" s="61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137</v>
      </c>
      <c r="E141" s="6">
        <v>9.99</v>
      </c>
      <c r="F141" s="20">
        <v>3.26</v>
      </c>
      <c r="G141" s="21">
        <v>0</v>
      </c>
      <c r="H141" s="23">
        <f t="shared" si="8"/>
        <v>0</v>
      </c>
      <c r="I141" s="23">
        <f t="shared" si="9"/>
        <v>0</v>
      </c>
      <c r="J141" s="23">
        <f t="shared" si="10"/>
        <v>0</v>
      </c>
      <c r="K141" s="24">
        <f t="shared" si="11"/>
        <v>0</v>
      </c>
      <c r="L141" s="20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5">
        <v>40.450629680373865</v>
      </c>
      <c r="V141" s="61">
        <f>IFERROR(LOOKUP($C141,#REF!,#REF!),0)</f>
        <v>0</v>
      </c>
      <c r="W141" s="61">
        <f>IFERROR(LOOKUP($C141,#REF!,#REF!),0)</f>
        <v>0</v>
      </c>
      <c r="X141" s="61">
        <f>IFERROR(LOOKUP($C141,#REF!,#REF!),0)</f>
        <v>0</v>
      </c>
      <c r="Y141" s="61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156</v>
      </c>
      <c r="E142" s="6">
        <v>100</v>
      </c>
      <c r="F142" s="20">
        <v>22.26</v>
      </c>
      <c r="G142" s="21">
        <v>0</v>
      </c>
      <c r="H142" s="23">
        <f t="shared" si="8"/>
        <v>0</v>
      </c>
      <c r="I142" s="23">
        <f t="shared" si="9"/>
        <v>0</v>
      </c>
      <c r="J142" s="23">
        <f t="shared" si="10"/>
        <v>0</v>
      </c>
      <c r="K142" s="24">
        <f t="shared" si="11"/>
        <v>0</v>
      </c>
      <c r="L142" s="20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5">
        <v>-5.3467356110762205</v>
      </c>
      <c r="V142" s="61">
        <f>IFERROR(LOOKUP($C142,#REF!,#REF!),0)</f>
        <v>0</v>
      </c>
      <c r="W142" s="61">
        <f>IFERROR(LOOKUP($C142,#REF!,#REF!),0)</f>
        <v>0</v>
      </c>
      <c r="X142" s="61">
        <f>IFERROR(LOOKUP($C142,#REF!,#REF!),0)</f>
        <v>0</v>
      </c>
      <c r="Y142" s="61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125</v>
      </c>
      <c r="E143" s="6">
        <v>29.99</v>
      </c>
      <c r="F143" s="20">
        <v>15.38</v>
      </c>
      <c r="G143" s="21">
        <v>0</v>
      </c>
      <c r="H143" s="23">
        <f t="shared" si="8"/>
        <v>0</v>
      </c>
      <c r="I143" s="23">
        <f t="shared" si="9"/>
        <v>0</v>
      </c>
      <c r="J143" s="23">
        <f t="shared" si="10"/>
        <v>0</v>
      </c>
      <c r="K143" s="24">
        <f t="shared" si="11"/>
        <v>0</v>
      </c>
      <c r="L143" s="20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5">
        <v>42.742105263157889</v>
      </c>
      <c r="V143" s="61">
        <f>IFERROR(LOOKUP($C143,#REF!,#REF!),0)</f>
        <v>0</v>
      </c>
      <c r="W143" s="61">
        <f>IFERROR(LOOKUP($C143,#REF!,#REF!),0)</f>
        <v>0</v>
      </c>
      <c r="X143" s="61">
        <f>IFERROR(LOOKUP($C143,#REF!,#REF!),0)</f>
        <v>0</v>
      </c>
      <c r="Y143" s="61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136</v>
      </c>
      <c r="E144" s="6">
        <v>17.989999999999998</v>
      </c>
      <c r="F144" s="20">
        <v>10.039999999999999</v>
      </c>
      <c r="G144" s="21">
        <v>0</v>
      </c>
      <c r="H144" s="23">
        <f t="shared" si="8"/>
        <v>0</v>
      </c>
      <c r="I144" s="23">
        <f t="shared" si="9"/>
        <v>0</v>
      </c>
      <c r="J144" s="23">
        <f t="shared" si="10"/>
        <v>0</v>
      </c>
      <c r="K144" s="24">
        <f t="shared" si="11"/>
        <v>0</v>
      </c>
      <c r="L144" s="20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5">
        <v>37.391250181682281</v>
      </c>
      <c r="V144" s="61">
        <f>IFERROR(LOOKUP($C144,#REF!,#REF!),0)</f>
        <v>0</v>
      </c>
      <c r="W144" s="61">
        <f>IFERROR(LOOKUP($C144,#REF!,#REF!),0)</f>
        <v>0</v>
      </c>
      <c r="X144" s="61">
        <f>IFERROR(LOOKUP($C144,#REF!,#REF!),0)</f>
        <v>0</v>
      </c>
      <c r="Y144" s="61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130</v>
      </c>
      <c r="E145" s="6">
        <v>15.99</v>
      </c>
      <c r="F145" s="20">
        <v>5.13</v>
      </c>
      <c r="G145" s="21">
        <v>0</v>
      </c>
      <c r="H145" s="23">
        <f t="shared" si="8"/>
        <v>0</v>
      </c>
      <c r="I145" s="23">
        <f t="shared" si="9"/>
        <v>0</v>
      </c>
      <c r="J145" s="23">
        <f t="shared" si="10"/>
        <v>0</v>
      </c>
      <c r="K145" s="24">
        <f t="shared" si="11"/>
        <v>0</v>
      </c>
      <c r="L145" s="20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5">
        <v>50.070096892749739</v>
      </c>
      <c r="V145" s="61">
        <f>IFERROR(LOOKUP($C145,#REF!,#REF!),0)</f>
        <v>0</v>
      </c>
      <c r="W145" s="61">
        <f>IFERROR(LOOKUP($C145,#REF!,#REF!),0)</f>
        <v>0</v>
      </c>
      <c r="X145" s="61">
        <f>IFERROR(LOOKUP($C145,#REF!,#REF!),0)</f>
        <v>0</v>
      </c>
      <c r="Y145" s="61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61</v>
      </c>
      <c r="E146" s="6">
        <v>79.989999999999995</v>
      </c>
      <c r="F146" s="20">
        <v>32.200000000000003</v>
      </c>
      <c r="G146" s="21">
        <v>0</v>
      </c>
      <c r="H146" s="23">
        <f t="shared" si="8"/>
        <v>0</v>
      </c>
      <c r="I146" s="23">
        <f t="shared" si="9"/>
        <v>0</v>
      </c>
      <c r="J146" s="23">
        <f t="shared" si="10"/>
        <v>0</v>
      </c>
      <c r="K146" s="24">
        <f t="shared" si="11"/>
        <v>0</v>
      </c>
      <c r="L146" s="20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5">
        <v>56.644999999999989</v>
      </c>
      <c r="V146" s="61">
        <f>IFERROR(LOOKUP($C146,#REF!,#REF!),0)</f>
        <v>0</v>
      </c>
      <c r="W146" s="61">
        <f>IFERROR(LOOKUP($C146,#REF!,#REF!),0)</f>
        <v>0</v>
      </c>
      <c r="X146" s="61">
        <f>IFERROR(LOOKUP($C146,#REF!,#REF!),0)</f>
        <v>0</v>
      </c>
      <c r="Y146" s="61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59</v>
      </c>
      <c r="E147" s="6">
        <v>28.99</v>
      </c>
      <c r="F147" s="20">
        <v>14.86</v>
      </c>
      <c r="G147" s="21">
        <v>0</v>
      </c>
      <c r="H147" s="23">
        <f t="shared" si="8"/>
        <v>0</v>
      </c>
      <c r="I147" s="23">
        <f t="shared" si="9"/>
        <v>0</v>
      </c>
      <c r="J147" s="23">
        <f t="shared" si="10"/>
        <v>0</v>
      </c>
      <c r="K147" s="24">
        <f t="shared" si="11"/>
        <v>0</v>
      </c>
      <c r="L147" s="20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5">
        <v>38.531177059019676</v>
      </c>
      <c r="V147" s="61">
        <f>IFERROR(LOOKUP($C147,#REF!,#REF!),0)</f>
        <v>0</v>
      </c>
      <c r="W147" s="61">
        <f>IFERROR(LOOKUP($C147,#REF!,#REF!),0)</f>
        <v>0</v>
      </c>
      <c r="X147" s="61">
        <f>IFERROR(LOOKUP($C147,#REF!,#REF!),0)</f>
        <v>0</v>
      </c>
      <c r="Y147" s="61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243</v>
      </c>
      <c r="E148" s="6">
        <v>18.989999999999998</v>
      </c>
      <c r="F148" s="20">
        <v>9.83</v>
      </c>
      <c r="G148" s="21">
        <v>93</v>
      </c>
      <c r="H148" s="23">
        <f t="shared" si="8"/>
        <v>1766.07</v>
      </c>
      <c r="I148" s="23">
        <f t="shared" si="9"/>
        <v>914.19</v>
      </c>
      <c r="J148" s="23">
        <f t="shared" si="10"/>
        <v>851.87999999999988</v>
      </c>
      <c r="K148" s="24">
        <f t="shared" si="11"/>
        <v>48.235913638757232</v>
      </c>
      <c r="L148" s="20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5">
        <v>30.976992330776937</v>
      </c>
      <c r="V148" s="61">
        <f>IFERROR(LOOKUP($C148,#REF!,#REF!),0)</f>
        <v>0</v>
      </c>
      <c r="W148" s="61">
        <f>IFERROR(LOOKUP($C148,#REF!,#REF!),0)</f>
        <v>0</v>
      </c>
      <c r="X148" s="61">
        <f>IFERROR(LOOKUP($C148,#REF!,#REF!),0)</f>
        <v>0</v>
      </c>
      <c r="Y148" s="61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247</v>
      </c>
      <c r="E149" s="6">
        <v>23.99</v>
      </c>
      <c r="F149" s="20">
        <v>10.37</v>
      </c>
      <c r="G149" s="21">
        <v>0</v>
      </c>
      <c r="H149" s="23">
        <f t="shared" si="8"/>
        <v>0</v>
      </c>
      <c r="I149" s="23">
        <f t="shared" si="9"/>
        <v>0</v>
      </c>
      <c r="J149" s="23">
        <f t="shared" si="10"/>
        <v>0</v>
      </c>
      <c r="K149" s="24">
        <f t="shared" si="11"/>
        <v>0</v>
      </c>
      <c r="L149" s="20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5">
        <v>23.935714285714297</v>
      </c>
      <c r="V149" s="61">
        <f>IFERROR(LOOKUP($C149,#REF!,#REF!),0)</f>
        <v>0</v>
      </c>
      <c r="W149" s="61">
        <f>IFERROR(LOOKUP($C149,#REF!,#REF!),0)</f>
        <v>0</v>
      </c>
      <c r="X149" s="61">
        <f>IFERROR(LOOKUP($C149,#REF!,#REF!),0)</f>
        <v>0</v>
      </c>
      <c r="Y149" s="61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62</v>
      </c>
      <c r="E150" s="6">
        <v>13.99</v>
      </c>
      <c r="F150" s="20">
        <v>7.37</v>
      </c>
      <c r="G150" s="21">
        <v>0</v>
      </c>
      <c r="H150" s="23">
        <f t="shared" si="8"/>
        <v>0</v>
      </c>
      <c r="I150" s="23">
        <f t="shared" si="9"/>
        <v>0</v>
      </c>
      <c r="J150" s="23">
        <f t="shared" si="10"/>
        <v>0</v>
      </c>
      <c r="K150" s="24">
        <f t="shared" si="11"/>
        <v>0</v>
      </c>
      <c r="L150" s="20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5">
        <v>40.214204358500609</v>
      </c>
      <c r="V150" s="61">
        <f>IFERROR(LOOKUP($C150,#REF!,#REF!),0)</f>
        <v>0</v>
      </c>
      <c r="W150" s="61">
        <f>IFERROR(LOOKUP($C150,#REF!,#REF!),0)</f>
        <v>0</v>
      </c>
      <c r="X150" s="61">
        <f>IFERROR(LOOKUP($C150,#REF!,#REF!),0)</f>
        <v>0</v>
      </c>
      <c r="Y150" s="61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133</v>
      </c>
      <c r="E151" s="6">
        <v>21.99</v>
      </c>
      <c r="F151" s="20">
        <v>9.9600000000000009</v>
      </c>
      <c r="G151" s="21">
        <v>0</v>
      </c>
      <c r="H151" s="23">
        <f t="shared" si="8"/>
        <v>0</v>
      </c>
      <c r="I151" s="23">
        <f t="shared" si="9"/>
        <v>0</v>
      </c>
      <c r="J151" s="23">
        <f t="shared" si="10"/>
        <v>0</v>
      </c>
      <c r="K151" s="24">
        <f t="shared" si="11"/>
        <v>0</v>
      </c>
      <c r="L151" s="20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5">
        <v>84.829993928354597</v>
      </c>
      <c r="V151" s="61">
        <f>IFERROR(LOOKUP($C151,#REF!,#REF!),0)</f>
        <v>0</v>
      </c>
      <c r="W151" s="61">
        <f>IFERROR(LOOKUP($C151,#REF!,#REF!),0)</f>
        <v>0</v>
      </c>
      <c r="X151" s="61">
        <f>IFERROR(LOOKUP($C151,#REF!,#REF!),0)</f>
        <v>0</v>
      </c>
      <c r="Y151" s="61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75</v>
      </c>
      <c r="E152" s="6">
        <v>5.99</v>
      </c>
      <c r="F152" s="20">
        <v>2.5299999999999998</v>
      </c>
      <c r="G152" s="21">
        <v>0</v>
      </c>
      <c r="H152" s="23">
        <f t="shared" si="8"/>
        <v>0</v>
      </c>
      <c r="I152" s="23">
        <f t="shared" si="9"/>
        <v>0</v>
      </c>
      <c r="J152" s="23">
        <f t="shared" si="10"/>
        <v>0</v>
      </c>
      <c r="K152" s="24">
        <f t="shared" si="11"/>
        <v>0</v>
      </c>
      <c r="L152" s="20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5">
        <v>38.065841509743358</v>
      </c>
      <c r="V152" s="61">
        <f>IFERROR(LOOKUP($C152,#REF!,#REF!),0)</f>
        <v>0</v>
      </c>
      <c r="W152" s="61">
        <f>IFERROR(LOOKUP($C152,#REF!,#REF!),0)</f>
        <v>0</v>
      </c>
      <c r="X152" s="61">
        <f>IFERROR(LOOKUP($C152,#REF!,#REF!),0)</f>
        <v>0</v>
      </c>
      <c r="Y152" s="61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49</v>
      </c>
      <c r="E153" s="6">
        <v>9.99</v>
      </c>
      <c r="F153" s="20">
        <v>3.23</v>
      </c>
      <c r="G153" s="21">
        <v>0</v>
      </c>
      <c r="H153" s="23">
        <f t="shared" si="8"/>
        <v>0</v>
      </c>
      <c r="I153" s="23">
        <f t="shared" si="9"/>
        <v>0</v>
      </c>
      <c r="J153" s="23">
        <f t="shared" si="10"/>
        <v>0</v>
      </c>
      <c r="K153" s="24">
        <f t="shared" si="11"/>
        <v>0</v>
      </c>
      <c r="L153" s="20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5">
        <v>38.065841509743358</v>
      </c>
      <c r="V153" s="61">
        <f>IFERROR(LOOKUP($C153,#REF!,#REF!),0)</f>
        <v>0</v>
      </c>
      <c r="W153" s="61">
        <f>IFERROR(LOOKUP($C153,#REF!,#REF!),0)</f>
        <v>0</v>
      </c>
      <c r="X153" s="61">
        <f>IFERROR(LOOKUP($C153,#REF!,#REF!),0)</f>
        <v>0</v>
      </c>
      <c r="Y153" s="61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83</v>
      </c>
      <c r="E154" s="6">
        <v>30.99</v>
      </c>
      <c r="F154" s="20">
        <v>12.4</v>
      </c>
      <c r="G154" s="21">
        <v>0</v>
      </c>
      <c r="H154" s="23">
        <f t="shared" si="8"/>
        <v>0</v>
      </c>
      <c r="I154" s="23">
        <f t="shared" si="9"/>
        <v>0</v>
      </c>
      <c r="J154" s="23">
        <f t="shared" si="10"/>
        <v>0</v>
      </c>
      <c r="K154" s="24">
        <f t="shared" si="11"/>
        <v>0</v>
      </c>
      <c r="L154" s="20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5">
        <v>57.011111111111113</v>
      </c>
      <c r="V154" s="61">
        <f>IFERROR(LOOKUP($C154,#REF!,#REF!),0)</f>
        <v>0</v>
      </c>
      <c r="W154" s="61">
        <f>IFERROR(LOOKUP($C154,#REF!,#REF!),0)</f>
        <v>0</v>
      </c>
      <c r="X154" s="61">
        <f>IFERROR(LOOKUP($C154,#REF!,#REF!),0)</f>
        <v>0</v>
      </c>
      <c r="Y154" s="61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105</v>
      </c>
      <c r="E155" s="6">
        <v>11.99</v>
      </c>
      <c r="F155" s="20">
        <v>5.0999999999999996</v>
      </c>
      <c r="G155" s="21">
        <v>6</v>
      </c>
      <c r="H155" s="23">
        <f t="shared" si="8"/>
        <v>71.94</v>
      </c>
      <c r="I155" s="23">
        <f t="shared" si="9"/>
        <v>30.599999999999998</v>
      </c>
      <c r="J155" s="23">
        <f t="shared" si="10"/>
        <v>41.34</v>
      </c>
      <c r="K155" s="24">
        <f t="shared" si="11"/>
        <v>57.46455379482903</v>
      </c>
      <c r="L155" s="20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5">
        <v>57.256128064032033</v>
      </c>
      <c r="V155" s="61">
        <f>IFERROR(LOOKUP($C155,#REF!,#REF!),0)</f>
        <v>0</v>
      </c>
      <c r="W155" s="61">
        <f>IFERROR(LOOKUP($C155,#REF!,#REF!),0)</f>
        <v>0</v>
      </c>
      <c r="X155" s="61">
        <f>IFERROR(LOOKUP($C155,#REF!,#REF!),0)</f>
        <v>0</v>
      </c>
      <c r="Y155" s="61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145</v>
      </c>
      <c r="E156" s="6">
        <v>13.99</v>
      </c>
      <c r="F156" s="20">
        <v>5.44</v>
      </c>
      <c r="G156" s="21">
        <v>0</v>
      </c>
      <c r="H156" s="23">
        <f t="shared" si="8"/>
        <v>0</v>
      </c>
      <c r="I156" s="23">
        <f t="shared" si="9"/>
        <v>0</v>
      </c>
      <c r="J156" s="23">
        <f t="shared" si="10"/>
        <v>0</v>
      </c>
      <c r="K156" s="24">
        <f t="shared" si="11"/>
        <v>0</v>
      </c>
      <c r="L156" s="20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5">
        <v>40.609000794805297</v>
      </c>
      <c r="V156" s="61">
        <f>IFERROR(LOOKUP($C156,#REF!,#REF!),0)</f>
        <v>0</v>
      </c>
      <c r="W156" s="61">
        <f>IFERROR(LOOKUP($C156,#REF!,#REF!),0)</f>
        <v>0</v>
      </c>
      <c r="X156" s="61">
        <f>IFERROR(LOOKUP($C156,#REF!,#REF!),0)</f>
        <v>0</v>
      </c>
      <c r="Y156" s="61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69</v>
      </c>
      <c r="E157" s="6">
        <v>4.99</v>
      </c>
      <c r="F157" s="20">
        <v>2.61</v>
      </c>
      <c r="G157" s="21">
        <v>0</v>
      </c>
      <c r="H157" s="23">
        <f t="shared" si="8"/>
        <v>0</v>
      </c>
      <c r="I157" s="23">
        <f t="shared" si="9"/>
        <v>0</v>
      </c>
      <c r="J157" s="23">
        <f t="shared" si="10"/>
        <v>0</v>
      </c>
      <c r="K157" s="24">
        <f t="shared" si="11"/>
        <v>0</v>
      </c>
      <c r="L157" s="20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5">
        <v>61.015000000000001</v>
      </c>
      <c r="V157" s="61">
        <f>IFERROR(LOOKUP($C157,#REF!,#REF!),0)</f>
        <v>0</v>
      </c>
      <c r="W157" s="61">
        <f>IFERROR(LOOKUP($C157,#REF!,#REF!),0)</f>
        <v>0</v>
      </c>
      <c r="X157" s="61">
        <f>IFERROR(LOOKUP($C157,#REF!,#REF!),0)</f>
        <v>0</v>
      </c>
      <c r="Y157" s="61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241</v>
      </c>
      <c r="E158" s="6">
        <v>15</v>
      </c>
      <c r="F158" s="20">
        <v>29.47</v>
      </c>
      <c r="G158" s="21">
        <v>0</v>
      </c>
      <c r="H158" s="23">
        <f t="shared" si="8"/>
        <v>0</v>
      </c>
      <c r="I158" s="23">
        <f t="shared" si="9"/>
        <v>0</v>
      </c>
      <c r="J158" s="23">
        <f t="shared" si="10"/>
        <v>0</v>
      </c>
      <c r="K158" s="24">
        <f t="shared" si="11"/>
        <v>0</v>
      </c>
      <c r="L158" s="20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5">
        <v>40.975793650793648</v>
      </c>
      <c r="V158" s="61">
        <f>IFERROR(LOOKUP($C158,#REF!,#REF!),0)</f>
        <v>0</v>
      </c>
      <c r="W158" s="61">
        <f>IFERROR(LOOKUP($C158,#REF!,#REF!),0)</f>
        <v>0</v>
      </c>
      <c r="X158" s="61">
        <f>IFERROR(LOOKUP($C158,#REF!,#REF!),0)</f>
        <v>0</v>
      </c>
      <c r="Y158" s="61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53</v>
      </c>
      <c r="E159" s="6">
        <v>29.99</v>
      </c>
      <c r="F159" s="20">
        <v>12.66</v>
      </c>
      <c r="G159" s="21">
        <v>0</v>
      </c>
      <c r="H159" s="23">
        <f t="shared" si="8"/>
        <v>0</v>
      </c>
      <c r="I159" s="23">
        <f t="shared" si="9"/>
        <v>0</v>
      </c>
      <c r="J159" s="23">
        <f t="shared" si="10"/>
        <v>0</v>
      </c>
      <c r="K159" s="24">
        <f t="shared" si="11"/>
        <v>0</v>
      </c>
      <c r="L159" s="20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5">
        <v>-11.012004001333787</v>
      </c>
      <c r="V159" s="61">
        <f>IFERROR(LOOKUP($C159,#REF!,#REF!),0)</f>
        <v>0</v>
      </c>
      <c r="W159" s="61">
        <f>IFERROR(LOOKUP($C159,#REF!,#REF!),0)</f>
        <v>0</v>
      </c>
      <c r="X159" s="61">
        <f>IFERROR(LOOKUP($C159,#REF!,#REF!),0)</f>
        <v>0</v>
      </c>
      <c r="Y159" s="61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20">
        <v>16.05</v>
      </c>
      <c r="G160" s="21">
        <v>36</v>
      </c>
      <c r="H160" s="23">
        <f t="shared" si="8"/>
        <v>1331.64</v>
      </c>
      <c r="I160" s="23">
        <f t="shared" si="9"/>
        <v>577.80000000000007</v>
      </c>
      <c r="J160" s="23">
        <f t="shared" si="10"/>
        <v>753.84</v>
      </c>
      <c r="K160" s="24">
        <f t="shared" si="11"/>
        <v>56.609894566098937</v>
      </c>
      <c r="L160" s="20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5">
        <v>24.464732366183085</v>
      </c>
      <c r="V160" s="61">
        <f>IFERROR(LOOKUP($C160,#REF!,#REF!),0)</f>
        <v>0</v>
      </c>
      <c r="W160" s="61">
        <f>IFERROR(LOOKUP($C160,#REF!,#REF!),0)</f>
        <v>0</v>
      </c>
      <c r="X160" s="61">
        <f>IFERROR(LOOKUP($C160,#REF!,#REF!),0)</f>
        <v>0</v>
      </c>
      <c r="Y160" s="61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32</v>
      </c>
      <c r="E161" s="6">
        <v>16.989999999999998</v>
      </c>
      <c r="F161" s="20">
        <v>7.4</v>
      </c>
      <c r="G161" s="21">
        <v>0</v>
      </c>
      <c r="H161" s="23">
        <f t="shared" si="8"/>
        <v>0</v>
      </c>
      <c r="I161" s="23">
        <f t="shared" si="9"/>
        <v>0</v>
      </c>
      <c r="J161" s="23">
        <f t="shared" si="10"/>
        <v>0</v>
      </c>
      <c r="K161" s="24">
        <f t="shared" si="11"/>
        <v>0</v>
      </c>
      <c r="L161" s="20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5">
        <v>39.793318710983641</v>
      </c>
      <c r="V161" s="61">
        <f>IFERROR(LOOKUP($C161,#REF!,#REF!),0)</f>
        <v>0</v>
      </c>
      <c r="W161" s="61">
        <f>IFERROR(LOOKUP($C161,#REF!,#REF!),0)</f>
        <v>0</v>
      </c>
      <c r="X161" s="61">
        <f>IFERROR(LOOKUP($C161,#REF!,#REF!),0)</f>
        <v>0</v>
      </c>
      <c r="Y161" s="61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181</v>
      </c>
      <c r="E162" s="6">
        <v>2.5</v>
      </c>
      <c r="F162" s="20">
        <v>1.29</v>
      </c>
      <c r="G162" s="21">
        <v>0</v>
      </c>
      <c r="H162" s="23">
        <f t="shared" si="8"/>
        <v>0</v>
      </c>
      <c r="I162" s="23">
        <f t="shared" si="9"/>
        <v>0</v>
      </c>
      <c r="J162" s="23">
        <f t="shared" si="10"/>
        <v>0</v>
      </c>
      <c r="K162" s="24">
        <f t="shared" si="11"/>
        <v>0</v>
      </c>
      <c r="L162" s="20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5">
        <v>74.400999999999996</v>
      </c>
      <c r="V162" s="61">
        <f>IFERROR(LOOKUP($C162,#REF!,#REF!),0)</f>
        <v>0</v>
      </c>
      <c r="W162" s="61">
        <f>IFERROR(LOOKUP($C162,#REF!,#REF!),0)</f>
        <v>0</v>
      </c>
      <c r="X162" s="61">
        <f>IFERROR(LOOKUP($C162,#REF!,#REF!),0)</f>
        <v>0</v>
      </c>
      <c r="Y162" s="61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242</v>
      </c>
      <c r="E163" s="6">
        <v>120</v>
      </c>
      <c r="F163" s="20">
        <v>58.51</v>
      </c>
      <c r="G163" s="21">
        <v>0</v>
      </c>
      <c r="H163" s="23">
        <f t="shared" si="8"/>
        <v>0</v>
      </c>
      <c r="I163" s="23">
        <f t="shared" si="9"/>
        <v>0</v>
      </c>
      <c r="J163" s="23">
        <f t="shared" si="10"/>
        <v>0</v>
      </c>
      <c r="K163" s="24">
        <f t="shared" si="11"/>
        <v>0</v>
      </c>
      <c r="L163" s="20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5">
        <v>36.997332444148043</v>
      </c>
      <c r="V163" s="61">
        <f>IFERROR(LOOKUP($C163,#REF!,#REF!),0)</f>
        <v>0</v>
      </c>
      <c r="W163" s="61">
        <f>IFERROR(LOOKUP($C163,#REF!,#REF!),0)</f>
        <v>0</v>
      </c>
      <c r="X163" s="61">
        <f>IFERROR(LOOKUP($C163,#REF!,#REF!),0)</f>
        <v>0</v>
      </c>
      <c r="Y163" s="61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30</v>
      </c>
      <c r="E164" s="6">
        <v>26.99</v>
      </c>
      <c r="F164" s="20">
        <v>10.66</v>
      </c>
      <c r="G164" s="21">
        <v>0</v>
      </c>
      <c r="H164" s="23">
        <f t="shared" si="8"/>
        <v>0</v>
      </c>
      <c r="I164" s="23">
        <f t="shared" si="9"/>
        <v>0</v>
      </c>
      <c r="J164" s="23">
        <f t="shared" si="10"/>
        <v>0</v>
      </c>
      <c r="K164" s="24">
        <f t="shared" si="11"/>
        <v>0</v>
      </c>
      <c r="L164" s="20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5">
        <v>40.164484726418259</v>
      </c>
      <c r="V164" s="61">
        <f>IFERROR(LOOKUP($C164,#REF!,#REF!),0)</f>
        <v>0</v>
      </c>
      <c r="W164" s="61">
        <f>IFERROR(LOOKUP($C164,#REF!,#REF!),0)</f>
        <v>0</v>
      </c>
      <c r="X164" s="61">
        <f>IFERROR(LOOKUP($C164,#REF!,#REF!),0)</f>
        <v>0</v>
      </c>
      <c r="Y164" s="61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78</v>
      </c>
      <c r="E165" s="6">
        <v>3.2</v>
      </c>
      <c r="F165" s="20">
        <v>1.62</v>
      </c>
      <c r="G165" s="21">
        <v>0</v>
      </c>
      <c r="H165" s="23">
        <f t="shared" si="8"/>
        <v>0</v>
      </c>
      <c r="I165" s="23">
        <f t="shared" si="9"/>
        <v>0</v>
      </c>
      <c r="J165" s="23">
        <f t="shared" si="10"/>
        <v>0</v>
      </c>
      <c r="K165" s="24">
        <f t="shared" si="11"/>
        <v>0</v>
      </c>
      <c r="L165" s="20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5">
        <v>41.5646392685587</v>
      </c>
      <c r="V165" s="61">
        <f>IFERROR(LOOKUP($C165,#REF!,#REF!),0)</f>
        <v>0</v>
      </c>
      <c r="W165" s="61">
        <f>IFERROR(LOOKUP($C165,#REF!,#REF!),0)</f>
        <v>0</v>
      </c>
      <c r="X165" s="61">
        <f>IFERROR(LOOKUP($C165,#REF!,#REF!),0)</f>
        <v>0</v>
      </c>
      <c r="Y165" s="61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27</v>
      </c>
      <c r="E166" s="6">
        <v>19.989999999999998</v>
      </c>
      <c r="F166" s="20">
        <v>7.04</v>
      </c>
      <c r="G166" s="21">
        <v>0</v>
      </c>
      <c r="H166" s="23">
        <f t="shared" si="8"/>
        <v>0</v>
      </c>
      <c r="I166" s="23">
        <f t="shared" si="9"/>
        <v>0</v>
      </c>
      <c r="J166" s="23">
        <f t="shared" si="10"/>
        <v>0</v>
      </c>
      <c r="K166" s="24">
        <f t="shared" si="11"/>
        <v>0</v>
      </c>
      <c r="L166" s="20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5">
        <v>55.065844307384559</v>
      </c>
      <c r="V166" s="61">
        <f>IFERROR(LOOKUP($C166,#REF!,#REF!),0)</f>
        <v>0</v>
      </c>
      <c r="W166" s="61">
        <f>IFERROR(LOOKUP($C166,#REF!,#REF!),0)</f>
        <v>0</v>
      </c>
      <c r="X166" s="61">
        <f>IFERROR(LOOKUP($C166,#REF!,#REF!),0)</f>
        <v>0</v>
      </c>
      <c r="Y166" s="61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135</v>
      </c>
      <c r="E167" s="6">
        <v>5.99</v>
      </c>
      <c r="F167" s="20">
        <v>3.1</v>
      </c>
      <c r="G167" s="21">
        <v>0</v>
      </c>
      <c r="H167" s="23">
        <f t="shared" si="8"/>
        <v>0</v>
      </c>
      <c r="I167" s="23">
        <f t="shared" si="9"/>
        <v>0</v>
      </c>
      <c r="J167" s="23">
        <f t="shared" si="10"/>
        <v>0</v>
      </c>
      <c r="K167" s="24">
        <f t="shared" si="11"/>
        <v>0</v>
      </c>
      <c r="L167" s="20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5">
        <v>40.441527446300704</v>
      </c>
      <c r="V167" s="61">
        <f>IFERROR(LOOKUP($C167,#REF!,#REF!),0)</f>
        <v>0</v>
      </c>
      <c r="W167" s="61">
        <f>IFERROR(LOOKUP($C167,#REF!,#REF!),0)</f>
        <v>0</v>
      </c>
      <c r="X167" s="61">
        <f>IFERROR(LOOKUP($C167,#REF!,#REF!),0)</f>
        <v>0</v>
      </c>
      <c r="Y167" s="61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163</v>
      </c>
      <c r="E168" s="6">
        <v>5.99</v>
      </c>
      <c r="F168" s="20">
        <v>3.1</v>
      </c>
      <c r="G168" s="21">
        <v>0</v>
      </c>
      <c r="H168" s="23">
        <f t="shared" si="8"/>
        <v>0</v>
      </c>
      <c r="I168" s="23">
        <f t="shared" si="9"/>
        <v>0</v>
      </c>
      <c r="J168" s="23">
        <f t="shared" si="10"/>
        <v>0</v>
      </c>
      <c r="K168" s="24">
        <f t="shared" si="11"/>
        <v>0</v>
      </c>
      <c r="L168" s="20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5">
        <v>42.033097619868911</v>
      </c>
      <c r="V168" s="61">
        <f>IFERROR(LOOKUP($C168,#REF!,#REF!),0)</f>
        <v>0</v>
      </c>
      <c r="W168" s="61">
        <f>IFERROR(LOOKUP($C168,#REF!,#REF!),0)</f>
        <v>0</v>
      </c>
      <c r="X168" s="61">
        <f>IFERROR(LOOKUP($C168,#REF!,#REF!),0)</f>
        <v>0</v>
      </c>
      <c r="Y168" s="61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158</v>
      </c>
      <c r="E169" s="6">
        <v>5.99</v>
      </c>
      <c r="F169" s="20">
        <v>3.1</v>
      </c>
      <c r="G169" s="21">
        <v>0</v>
      </c>
      <c r="H169" s="23">
        <f t="shared" si="8"/>
        <v>0</v>
      </c>
      <c r="I169" s="23">
        <f t="shared" si="9"/>
        <v>0</v>
      </c>
      <c r="J169" s="23">
        <f t="shared" si="10"/>
        <v>0</v>
      </c>
      <c r="K169" s="24">
        <f t="shared" si="11"/>
        <v>0</v>
      </c>
      <c r="L169" s="20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5">
        <v>42.033097619868911</v>
      </c>
      <c r="V169" s="61">
        <f>IFERROR(LOOKUP($C169,#REF!,#REF!),0)</f>
        <v>0</v>
      </c>
      <c r="W169" s="61">
        <f>IFERROR(LOOKUP($C169,#REF!,#REF!),0)</f>
        <v>0</v>
      </c>
      <c r="X169" s="61">
        <f>IFERROR(LOOKUP($C169,#REF!,#REF!),0)</f>
        <v>0</v>
      </c>
      <c r="Y169" s="61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178</v>
      </c>
      <c r="E170" s="6">
        <v>5.99</v>
      </c>
      <c r="F170" s="20">
        <v>3.1</v>
      </c>
      <c r="G170" s="21">
        <v>0</v>
      </c>
      <c r="H170" s="23">
        <f t="shared" si="8"/>
        <v>0</v>
      </c>
      <c r="I170" s="23">
        <f t="shared" si="9"/>
        <v>0</v>
      </c>
      <c r="J170" s="23">
        <f t="shared" si="10"/>
        <v>0</v>
      </c>
      <c r="K170" s="24">
        <f t="shared" si="11"/>
        <v>0</v>
      </c>
      <c r="L170" s="20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5">
        <v>39.275242563173045</v>
      </c>
      <c r="V170" s="61">
        <f>IFERROR(LOOKUP($C170,#REF!,#REF!),0)</f>
        <v>0</v>
      </c>
      <c r="W170" s="61">
        <f>IFERROR(LOOKUP($C170,#REF!,#REF!),0)</f>
        <v>0</v>
      </c>
      <c r="X170" s="61">
        <f>IFERROR(LOOKUP($C170,#REF!,#REF!),0)</f>
        <v>0</v>
      </c>
      <c r="Y170" s="61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179</v>
      </c>
      <c r="E171" s="6">
        <v>5.99</v>
      </c>
      <c r="F171" s="20">
        <v>3.1</v>
      </c>
      <c r="G171" s="21">
        <v>0</v>
      </c>
      <c r="H171" s="23">
        <f t="shared" si="8"/>
        <v>0</v>
      </c>
      <c r="I171" s="23">
        <f t="shared" si="9"/>
        <v>0</v>
      </c>
      <c r="J171" s="23">
        <f t="shared" si="10"/>
        <v>0</v>
      </c>
      <c r="K171" s="24">
        <f t="shared" si="11"/>
        <v>0</v>
      </c>
      <c r="L171" s="20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5">
        <v>62.600374732334039</v>
      </c>
      <c r="V171" s="61">
        <f>IFERROR(LOOKUP($C171,#REF!,#REF!),0)</f>
        <v>0</v>
      </c>
      <c r="W171" s="61">
        <f>IFERROR(LOOKUP($C171,#REF!,#REF!),0)</f>
        <v>0</v>
      </c>
      <c r="X171" s="61">
        <f>IFERROR(LOOKUP($C171,#REF!,#REF!),0)</f>
        <v>0</v>
      </c>
      <c r="Y171" s="61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20">
        <v>7.36</v>
      </c>
      <c r="G172" s="21">
        <v>780</v>
      </c>
      <c r="H172" s="23">
        <f t="shared" si="8"/>
        <v>10912.2</v>
      </c>
      <c r="I172" s="23">
        <f t="shared" si="9"/>
        <v>5740.8</v>
      </c>
      <c r="J172" s="23">
        <f t="shared" si="10"/>
        <v>5171.4000000000005</v>
      </c>
      <c r="K172" s="24">
        <f t="shared" si="11"/>
        <v>47.390993566833458</v>
      </c>
      <c r="L172" s="20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5">
        <v>27.705289039143928</v>
      </c>
      <c r="V172" s="61">
        <f>IFERROR(LOOKUP($C172,#REF!,#REF!),0)</f>
        <v>0</v>
      </c>
      <c r="W172" s="61">
        <f>IFERROR(LOOKUP($C172,#REF!,#REF!),0)</f>
        <v>0</v>
      </c>
      <c r="X172" s="61">
        <f>IFERROR(LOOKUP($C172,#REF!,#REF!),0)</f>
        <v>0</v>
      </c>
      <c r="Y172" s="61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20">
        <v>6.3</v>
      </c>
      <c r="G173" s="21">
        <v>240</v>
      </c>
      <c r="H173" s="23">
        <f t="shared" si="8"/>
        <v>2637.6</v>
      </c>
      <c r="I173" s="23">
        <f t="shared" si="9"/>
        <v>1512</v>
      </c>
      <c r="J173" s="23">
        <f t="shared" si="10"/>
        <v>1125.5999999999999</v>
      </c>
      <c r="K173" s="24">
        <f t="shared" si="11"/>
        <v>42.675159235668787</v>
      </c>
      <c r="L173" s="20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5">
        <v>39.618641082291703</v>
      </c>
      <c r="V173" s="61">
        <f>IFERROR(LOOKUP($C173,#REF!,#REF!),0)</f>
        <v>0</v>
      </c>
      <c r="W173" s="61">
        <f>IFERROR(LOOKUP($C173,#REF!,#REF!),0)</f>
        <v>0</v>
      </c>
      <c r="X173" s="61">
        <f>IFERROR(LOOKUP($C173,#REF!,#REF!),0)</f>
        <v>0</v>
      </c>
      <c r="Y173" s="61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159</v>
      </c>
      <c r="E174" s="6">
        <v>5.99</v>
      </c>
      <c r="F174" s="20">
        <v>3.1</v>
      </c>
      <c r="G174" s="21">
        <v>0</v>
      </c>
      <c r="H174" s="23">
        <f t="shared" si="8"/>
        <v>0</v>
      </c>
      <c r="I174" s="23">
        <f t="shared" si="9"/>
        <v>0</v>
      </c>
      <c r="J174" s="23">
        <f t="shared" si="10"/>
        <v>0</v>
      </c>
      <c r="K174" s="24">
        <f t="shared" si="11"/>
        <v>0</v>
      </c>
      <c r="L174" s="20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5">
        <v>35.565151515151513</v>
      </c>
      <c r="V174" s="61">
        <f>IFERROR(LOOKUP($C174,#REF!,#REF!),0)</f>
        <v>0</v>
      </c>
      <c r="W174" s="61">
        <f>IFERROR(LOOKUP($C174,#REF!,#REF!),0)</f>
        <v>0</v>
      </c>
      <c r="X174" s="61">
        <f>IFERROR(LOOKUP($C174,#REF!,#REF!),0)</f>
        <v>0</v>
      </c>
      <c r="Y174" s="61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269</v>
      </c>
      <c r="E175" s="6">
        <v>160</v>
      </c>
      <c r="F175" s="20">
        <v>106.8</v>
      </c>
      <c r="G175" s="21">
        <v>0</v>
      </c>
      <c r="H175" s="23">
        <f t="shared" si="8"/>
        <v>0</v>
      </c>
      <c r="I175" s="23">
        <f t="shared" si="9"/>
        <v>0</v>
      </c>
      <c r="J175" s="23">
        <f t="shared" si="10"/>
        <v>0</v>
      </c>
      <c r="K175" s="24">
        <f t="shared" si="11"/>
        <v>0</v>
      </c>
      <c r="L175" s="20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5">
        <v>43.42</v>
      </c>
      <c r="V175" s="61">
        <f>IFERROR(LOOKUP($C175,#REF!,#REF!),0)</f>
        <v>0</v>
      </c>
      <c r="W175" s="61">
        <f>IFERROR(LOOKUP($C175,#REF!,#REF!),0)</f>
        <v>0</v>
      </c>
      <c r="X175" s="61">
        <f>IFERROR(LOOKUP($C175,#REF!,#REF!),0)</f>
        <v>0</v>
      </c>
      <c r="Y175" s="61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41</v>
      </c>
      <c r="E176" s="6">
        <v>10</v>
      </c>
      <c r="F176" s="20">
        <v>7.36</v>
      </c>
      <c r="G176" s="21">
        <v>0</v>
      </c>
      <c r="H176" s="23">
        <f t="shared" si="8"/>
        <v>0</v>
      </c>
      <c r="I176" s="23">
        <f t="shared" si="9"/>
        <v>0</v>
      </c>
      <c r="J176" s="23">
        <f t="shared" si="10"/>
        <v>0</v>
      </c>
      <c r="K176" s="24">
        <f t="shared" si="11"/>
        <v>0</v>
      </c>
      <c r="L176" s="20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5">
        <v>38.639829978747343</v>
      </c>
      <c r="V176" s="61">
        <f>IFERROR(LOOKUP($C176,#REF!,#REF!),0)</f>
        <v>0</v>
      </c>
      <c r="W176" s="61">
        <f>IFERROR(LOOKUP($C176,#REF!,#REF!),0)</f>
        <v>0</v>
      </c>
      <c r="X176" s="61">
        <f>IFERROR(LOOKUP($C176,#REF!,#REF!),0)</f>
        <v>0</v>
      </c>
      <c r="Y176" s="61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169</v>
      </c>
      <c r="E177" s="6">
        <v>5.99</v>
      </c>
      <c r="F177" s="20">
        <v>3.1</v>
      </c>
      <c r="G177" s="21">
        <v>0</v>
      </c>
      <c r="H177" s="23">
        <f t="shared" si="8"/>
        <v>0</v>
      </c>
      <c r="I177" s="23">
        <f t="shared" si="9"/>
        <v>0</v>
      </c>
      <c r="J177" s="23">
        <f t="shared" si="10"/>
        <v>0</v>
      </c>
      <c r="K177" s="24">
        <f t="shared" si="11"/>
        <v>0</v>
      </c>
      <c r="L177" s="20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5">
        <v>28.703599374021909</v>
      </c>
      <c r="V177" s="61">
        <f>IFERROR(LOOKUP($C177,#REF!,#REF!),0)</f>
        <v>0</v>
      </c>
      <c r="W177" s="61">
        <f>IFERROR(LOOKUP($C177,#REF!,#REF!),0)</f>
        <v>0</v>
      </c>
      <c r="X177" s="61">
        <f>IFERROR(LOOKUP($C177,#REF!,#REF!),0)</f>
        <v>0</v>
      </c>
      <c r="Y177" s="61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82</v>
      </c>
      <c r="E178" s="6">
        <v>4</v>
      </c>
      <c r="F178" s="20">
        <v>2.2599999999999998</v>
      </c>
      <c r="G178" s="21">
        <v>0</v>
      </c>
      <c r="H178" s="23">
        <f t="shared" si="8"/>
        <v>0</v>
      </c>
      <c r="I178" s="23">
        <f t="shared" si="9"/>
        <v>0</v>
      </c>
      <c r="J178" s="23">
        <f t="shared" si="10"/>
        <v>0</v>
      </c>
      <c r="K178" s="24">
        <f t="shared" si="11"/>
        <v>0</v>
      </c>
      <c r="L178" s="20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5">
        <v>39.613942307692305</v>
      </c>
      <c r="V178" s="61">
        <f>IFERROR(LOOKUP($C178,#REF!,#REF!),0)</f>
        <v>0</v>
      </c>
      <c r="W178" s="61">
        <f>IFERROR(LOOKUP($C178,#REF!,#REF!),0)</f>
        <v>0</v>
      </c>
      <c r="X178" s="61">
        <f>IFERROR(LOOKUP($C178,#REF!,#REF!),0)</f>
        <v>0</v>
      </c>
      <c r="Y178" s="61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254</v>
      </c>
      <c r="E179" s="6">
        <v>10</v>
      </c>
      <c r="F179" s="20">
        <v>3.39</v>
      </c>
      <c r="G179" s="21">
        <v>0</v>
      </c>
      <c r="H179" s="23">
        <f t="shared" si="8"/>
        <v>0</v>
      </c>
      <c r="I179" s="23">
        <f t="shared" si="9"/>
        <v>0</v>
      </c>
      <c r="J179" s="23">
        <f t="shared" si="10"/>
        <v>0</v>
      </c>
      <c r="K179" s="24">
        <f t="shared" si="11"/>
        <v>0</v>
      </c>
      <c r="L179" s="20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5">
        <v>16.290430143381126</v>
      </c>
      <c r="V179" s="61">
        <f>IFERROR(LOOKUP($C179,#REF!,#REF!),0)</f>
        <v>0</v>
      </c>
      <c r="W179" s="61">
        <f>IFERROR(LOOKUP($C179,#REF!,#REF!),0)</f>
        <v>0</v>
      </c>
      <c r="X179" s="61">
        <f>IFERROR(LOOKUP($C179,#REF!,#REF!),0)</f>
        <v>0</v>
      </c>
      <c r="Y179" s="61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22" t="s">
        <v>122</v>
      </c>
      <c r="E180" s="20">
        <v>10</v>
      </c>
      <c r="F180" s="20">
        <v>2.67</v>
      </c>
      <c r="G180" s="21">
        <v>10</v>
      </c>
      <c r="H180" s="23">
        <f t="shared" si="8"/>
        <v>100</v>
      </c>
      <c r="I180" s="23">
        <f t="shared" si="9"/>
        <v>26.7</v>
      </c>
      <c r="J180" s="23">
        <f t="shared" si="10"/>
        <v>73.3</v>
      </c>
      <c r="K180" s="24">
        <f t="shared" si="11"/>
        <v>73.3</v>
      </c>
      <c r="L180" s="20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5">
        <v>40.69085791336591</v>
      </c>
      <c r="V180" s="61">
        <f>IFERROR(LOOKUP($C180,#REF!,#REF!),0)</f>
        <v>0</v>
      </c>
      <c r="W180" s="61">
        <f>IFERROR(LOOKUP($C180,#REF!,#REF!),0)</f>
        <v>0</v>
      </c>
      <c r="X180" s="61">
        <f>IFERROR(LOOKUP($C180,#REF!,#REF!),0)</f>
        <v>0</v>
      </c>
      <c r="Y180" s="61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124</v>
      </c>
      <c r="E181" s="6">
        <v>10</v>
      </c>
      <c r="F181" s="20">
        <v>3.43</v>
      </c>
      <c r="G181" s="21">
        <v>12</v>
      </c>
      <c r="H181" s="23">
        <f t="shared" si="8"/>
        <v>120</v>
      </c>
      <c r="I181" s="23">
        <f t="shared" si="9"/>
        <v>41.160000000000004</v>
      </c>
      <c r="J181" s="23">
        <f t="shared" si="10"/>
        <v>78.84</v>
      </c>
      <c r="K181" s="24">
        <f t="shared" si="11"/>
        <v>65.7</v>
      </c>
      <c r="L181" s="20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5">
        <v>40.45935689357232</v>
      </c>
      <c r="V181" s="61">
        <f>IFERROR(LOOKUP($C181,#REF!,#REF!),0)</f>
        <v>0</v>
      </c>
      <c r="W181" s="61">
        <f>IFERROR(LOOKUP($C181,#REF!,#REF!),0)</f>
        <v>0</v>
      </c>
      <c r="X181" s="61">
        <f>IFERROR(LOOKUP($C181,#REF!,#REF!),0)</f>
        <v>0</v>
      </c>
      <c r="Y181" s="61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101</v>
      </c>
      <c r="E182" s="6">
        <v>10</v>
      </c>
      <c r="F182" s="20">
        <v>5.09</v>
      </c>
      <c r="G182" s="21">
        <v>24</v>
      </c>
      <c r="H182" s="23">
        <f t="shared" si="8"/>
        <v>240</v>
      </c>
      <c r="I182" s="23">
        <f t="shared" si="9"/>
        <v>122.16</v>
      </c>
      <c r="J182" s="23">
        <f t="shared" si="10"/>
        <v>117.84</v>
      </c>
      <c r="K182" s="24">
        <f t="shared" si="11"/>
        <v>49.1</v>
      </c>
      <c r="L182" s="20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5">
        <v>40.484140233722869</v>
      </c>
      <c r="V182" s="61">
        <f>IFERROR(LOOKUP($C182,#REF!,#REF!),0)</f>
        <v>0</v>
      </c>
      <c r="W182" s="61">
        <f>IFERROR(LOOKUP($C182,#REF!,#REF!),0)</f>
        <v>0</v>
      </c>
      <c r="X182" s="61">
        <f>IFERROR(LOOKUP($C182,#REF!,#REF!),0)</f>
        <v>0</v>
      </c>
      <c r="Y182" s="61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117</v>
      </c>
      <c r="E183" s="6">
        <v>10</v>
      </c>
      <c r="F183" s="20">
        <v>3.28</v>
      </c>
      <c r="G183" s="21">
        <v>0</v>
      </c>
      <c r="H183" s="23">
        <f t="shared" si="8"/>
        <v>0</v>
      </c>
      <c r="I183" s="23">
        <f t="shared" si="9"/>
        <v>0</v>
      </c>
      <c r="J183" s="23">
        <f t="shared" si="10"/>
        <v>0</v>
      </c>
      <c r="K183" s="24">
        <f t="shared" si="11"/>
        <v>0</v>
      </c>
      <c r="L183" s="20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5">
        <v>34.059633027522935</v>
      </c>
      <c r="V183" s="61">
        <f>IFERROR(LOOKUP($C183,#REF!,#REF!),0)</f>
        <v>0</v>
      </c>
      <c r="W183" s="61">
        <f>IFERROR(LOOKUP($C183,#REF!,#REF!),0)</f>
        <v>0</v>
      </c>
      <c r="X183" s="61">
        <f>IFERROR(LOOKUP($C183,#REF!,#REF!),0)</f>
        <v>0</v>
      </c>
      <c r="Y183" s="61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143</v>
      </c>
      <c r="E184" s="6">
        <v>10</v>
      </c>
      <c r="F184" s="20">
        <v>3.4432999999999998</v>
      </c>
      <c r="G184" s="21">
        <v>0</v>
      </c>
      <c r="H184" s="23">
        <f t="shared" si="8"/>
        <v>0</v>
      </c>
      <c r="I184" s="23">
        <f t="shared" si="9"/>
        <v>0</v>
      </c>
      <c r="J184" s="23">
        <f t="shared" si="10"/>
        <v>0</v>
      </c>
      <c r="K184" s="24">
        <f t="shared" si="11"/>
        <v>0</v>
      </c>
      <c r="L184" s="20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5">
        <v>39.091608929946119</v>
      </c>
      <c r="V184" s="61">
        <f>IFERROR(LOOKUP($C184,#REF!,#REF!),0)</f>
        <v>0</v>
      </c>
      <c r="W184" s="61">
        <f>IFERROR(LOOKUP($C184,#REF!,#REF!),0)</f>
        <v>0</v>
      </c>
      <c r="X184" s="61">
        <f>IFERROR(LOOKUP($C184,#REF!,#REF!),0)</f>
        <v>0</v>
      </c>
      <c r="Y184" s="61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123</v>
      </c>
      <c r="E185" s="6">
        <v>10</v>
      </c>
      <c r="F185" s="20">
        <v>3.73</v>
      </c>
      <c r="G185" s="21">
        <v>0</v>
      </c>
      <c r="H185" s="23">
        <f t="shared" si="8"/>
        <v>0</v>
      </c>
      <c r="I185" s="23">
        <f t="shared" si="9"/>
        <v>0</v>
      </c>
      <c r="J185" s="23">
        <f t="shared" si="10"/>
        <v>0</v>
      </c>
      <c r="K185" s="24">
        <f t="shared" si="11"/>
        <v>0</v>
      </c>
      <c r="L185" s="20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5">
        <v>36.681403508771929</v>
      </c>
      <c r="V185" s="61">
        <f>IFERROR(LOOKUP($C185,#REF!,#REF!),0)</f>
        <v>0</v>
      </c>
      <c r="W185" s="61">
        <f>IFERROR(LOOKUP($C185,#REF!,#REF!),0)</f>
        <v>0</v>
      </c>
      <c r="X185" s="61">
        <f>IFERROR(LOOKUP($C185,#REF!,#REF!),0)</f>
        <v>0</v>
      </c>
      <c r="Y185" s="61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154</v>
      </c>
      <c r="E186" s="6">
        <v>10</v>
      </c>
      <c r="F186" s="20">
        <v>3.71</v>
      </c>
      <c r="G186" s="21">
        <v>0</v>
      </c>
      <c r="H186" s="23">
        <f t="shared" si="8"/>
        <v>0</v>
      </c>
      <c r="I186" s="23">
        <f t="shared" si="9"/>
        <v>0</v>
      </c>
      <c r="J186" s="23">
        <f t="shared" si="10"/>
        <v>0</v>
      </c>
      <c r="K186" s="24">
        <f t="shared" si="11"/>
        <v>0</v>
      </c>
      <c r="L186" s="20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5">
        <v>38.581225889412771</v>
      </c>
      <c r="V186" s="61">
        <f>IFERROR(LOOKUP($C186,#REF!,#REF!),0)</f>
        <v>0</v>
      </c>
      <c r="W186" s="61">
        <f>IFERROR(LOOKUP($C186,#REF!,#REF!),0)</f>
        <v>0</v>
      </c>
      <c r="X186" s="61">
        <f>IFERROR(LOOKUP($C186,#REF!,#REF!),0)</f>
        <v>0</v>
      </c>
      <c r="Y186" s="61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42</v>
      </c>
      <c r="E187" s="6">
        <v>28.99</v>
      </c>
      <c r="F187" s="20">
        <v>8.93</v>
      </c>
      <c r="G187" s="21">
        <v>8</v>
      </c>
      <c r="H187" s="23">
        <f t="shared" si="8"/>
        <v>231.92</v>
      </c>
      <c r="I187" s="23">
        <f t="shared" si="9"/>
        <v>71.44</v>
      </c>
      <c r="J187" s="23">
        <f t="shared" si="10"/>
        <v>160.47999999999999</v>
      </c>
      <c r="K187" s="24">
        <f t="shared" si="11"/>
        <v>69.196274577440491</v>
      </c>
      <c r="L187" s="20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5">
        <v>40.058111648157031</v>
      </c>
      <c r="V187" s="61">
        <f>IFERROR(LOOKUP($C187,#REF!,#REF!),0)</f>
        <v>0</v>
      </c>
      <c r="W187" s="61">
        <f>IFERROR(LOOKUP($C187,#REF!,#REF!),0)</f>
        <v>0</v>
      </c>
      <c r="X187" s="61">
        <f>IFERROR(LOOKUP($C187,#REF!,#REF!),0)</f>
        <v>0</v>
      </c>
      <c r="Y187" s="61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84</v>
      </c>
      <c r="E188" s="6">
        <v>10</v>
      </c>
      <c r="F188" s="20">
        <v>6.28</v>
      </c>
      <c r="G188" s="21">
        <v>0</v>
      </c>
      <c r="H188" s="23">
        <f t="shared" si="8"/>
        <v>0</v>
      </c>
      <c r="I188" s="23">
        <f t="shared" si="9"/>
        <v>0</v>
      </c>
      <c r="J188" s="23">
        <f t="shared" si="10"/>
        <v>0</v>
      </c>
      <c r="K188" s="24">
        <f t="shared" si="11"/>
        <v>0</v>
      </c>
      <c r="L188" s="20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5">
        <v>-2.1199999999999908</v>
      </c>
      <c r="V188" s="61">
        <f>IFERROR(LOOKUP($C188,#REF!,#REF!),0)</f>
        <v>0</v>
      </c>
      <c r="W188" s="61">
        <f>IFERROR(LOOKUP($C188,#REF!,#REF!),0)</f>
        <v>0</v>
      </c>
      <c r="X188" s="61">
        <f>IFERROR(LOOKUP($C188,#REF!,#REF!),0)</f>
        <v>0</v>
      </c>
      <c r="Y188" s="61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72</v>
      </c>
      <c r="E189" s="6">
        <v>10</v>
      </c>
      <c r="F189" s="20">
        <v>6.19</v>
      </c>
      <c r="G189" s="21">
        <v>0</v>
      </c>
      <c r="H189" s="23">
        <f t="shared" si="8"/>
        <v>0</v>
      </c>
      <c r="I189" s="23">
        <f t="shared" si="9"/>
        <v>0</v>
      </c>
      <c r="J189" s="23">
        <f t="shared" si="10"/>
        <v>0</v>
      </c>
      <c r="K189" s="24">
        <f t="shared" si="11"/>
        <v>0</v>
      </c>
      <c r="L189" s="20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5">
        <v>-11.012004001333789</v>
      </c>
      <c r="V189" s="61">
        <f>IFERROR(LOOKUP($C189,#REF!,#REF!),0)</f>
        <v>0</v>
      </c>
      <c r="W189" s="61">
        <f>IFERROR(LOOKUP($C189,#REF!,#REF!),0)</f>
        <v>0</v>
      </c>
      <c r="X189" s="61">
        <f>IFERROR(LOOKUP($C189,#REF!,#REF!),0)</f>
        <v>0</v>
      </c>
      <c r="Y189" s="61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251</v>
      </c>
      <c r="E190" s="6">
        <v>199.99</v>
      </c>
      <c r="F190" s="20">
        <v>126.16</v>
      </c>
      <c r="G190" s="21">
        <v>0</v>
      </c>
      <c r="H190" s="23">
        <f t="shared" si="8"/>
        <v>0</v>
      </c>
      <c r="I190" s="23">
        <f t="shared" si="9"/>
        <v>0</v>
      </c>
      <c r="J190" s="23">
        <f t="shared" si="10"/>
        <v>0</v>
      </c>
      <c r="K190" s="24">
        <f t="shared" si="11"/>
        <v>0</v>
      </c>
      <c r="L190" s="20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5">
        <v>41.637168141592909</v>
      </c>
      <c r="V190" s="61">
        <f>IFERROR(LOOKUP($C190,#REF!,#REF!),0)</f>
        <v>0</v>
      </c>
      <c r="W190" s="61">
        <f>IFERROR(LOOKUP($C190,#REF!,#REF!),0)</f>
        <v>0</v>
      </c>
      <c r="X190" s="61">
        <f>IFERROR(LOOKUP($C190,#REF!,#REF!),0)</f>
        <v>0</v>
      </c>
      <c r="Y190" s="61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151</v>
      </c>
      <c r="E191" s="6">
        <v>10</v>
      </c>
      <c r="F191" s="20">
        <v>3.77</v>
      </c>
      <c r="G191" s="21">
        <v>0</v>
      </c>
      <c r="H191" s="23">
        <f t="shared" si="8"/>
        <v>0</v>
      </c>
      <c r="I191" s="23">
        <f t="shared" si="9"/>
        <v>0</v>
      </c>
      <c r="J191" s="23">
        <f t="shared" si="10"/>
        <v>0</v>
      </c>
      <c r="K191" s="24">
        <f t="shared" si="11"/>
        <v>0</v>
      </c>
      <c r="L191" s="20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5">
        <v>54.766666666666666</v>
      </c>
      <c r="V191" s="61">
        <f>IFERROR(LOOKUP($C191,#REF!,#REF!),0)</f>
        <v>0</v>
      </c>
      <c r="W191" s="61">
        <f>IFERROR(LOOKUP($C191,#REF!,#REF!),0)</f>
        <v>0</v>
      </c>
      <c r="X191" s="61">
        <f>IFERROR(LOOKUP($C191,#REF!,#REF!),0)</f>
        <v>0</v>
      </c>
      <c r="Y191" s="61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67</v>
      </c>
      <c r="E192" s="6">
        <v>19.989999999999998</v>
      </c>
      <c r="F192" s="20">
        <v>7.43</v>
      </c>
      <c r="G192" s="21">
        <v>0</v>
      </c>
      <c r="H192" s="23">
        <f t="shared" si="8"/>
        <v>0</v>
      </c>
      <c r="I192" s="23">
        <f t="shared" si="9"/>
        <v>0</v>
      </c>
      <c r="J192" s="23">
        <f t="shared" si="10"/>
        <v>0</v>
      </c>
      <c r="K192" s="24">
        <f t="shared" si="11"/>
        <v>0</v>
      </c>
      <c r="L192" s="20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5">
        <v>51.427378964941575</v>
      </c>
      <c r="V192" s="61">
        <f>IFERROR(LOOKUP($C192,#REF!,#REF!),0)</f>
        <v>0</v>
      </c>
      <c r="W192" s="61">
        <f>IFERROR(LOOKUP($C192,#REF!,#REF!),0)</f>
        <v>0</v>
      </c>
      <c r="X192" s="61">
        <f>IFERROR(LOOKUP($C192,#REF!,#REF!),0)</f>
        <v>0</v>
      </c>
      <c r="Y192" s="61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270</v>
      </c>
      <c r="E193" s="6">
        <v>100</v>
      </c>
      <c r="F193" s="20">
        <v>53.89</v>
      </c>
      <c r="G193" s="21">
        <v>0</v>
      </c>
      <c r="H193" s="23">
        <f t="shared" si="8"/>
        <v>0</v>
      </c>
      <c r="I193" s="23">
        <f t="shared" si="9"/>
        <v>0</v>
      </c>
      <c r="J193" s="23">
        <f t="shared" si="10"/>
        <v>0</v>
      </c>
      <c r="K193" s="24">
        <f t="shared" si="11"/>
        <v>0</v>
      </c>
      <c r="L193" s="20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5">
        <v>37.129499999999993</v>
      </c>
      <c r="V193" s="61">
        <f>IFERROR(LOOKUP($C193,#REF!,#REF!),0)</f>
        <v>0</v>
      </c>
      <c r="W193" s="61">
        <f>IFERROR(LOOKUP($C193,#REF!,#REF!),0)</f>
        <v>0</v>
      </c>
      <c r="X193" s="61">
        <f>IFERROR(LOOKUP($C193,#REF!,#REF!),0)</f>
        <v>0</v>
      </c>
      <c r="Y193" s="61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142</v>
      </c>
      <c r="E194" s="6">
        <v>12.99</v>
      </c>
      <c r="F194" s="20">
        <v>6.69</v>
      </c>
      <c r="G194" s="21">
        <v>0</v>
      </c>
      <c r="H194" s="23">
        <f t="shared" si="8"/>
        <v>0</v>
      </c>
      <c r="I194" s="23">
        <f t="shared" si="9"/>
        <v>0</v>
      </c>
      <c r="J194" s="23">
        <f t="shared" si="10"/>
        <v>0</v>
      </c>
      <c r="K194" s="24">
        <f t="shared" si="11"/>
        <v>0</v>
      </c>
      <c r="L194" s="20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5">
        <v>53.700925231307828</v>
      </c>
      <c r="V194" s="61">
        <f>IFERROR(LOOKUP($C194,#REF!,#REF!),0)</f>
        <v>0</v>
      </c>
      <c r="W194" s="61">
        <f>IFERROR(LOOKUP($C194,#REF!,#REF!),0)</f>
        <v>0</v>
      </c>
      <c r="X194" s="61">
        <f>IFERROR(LOOKUP($C194,#REF!,#REF!),0)</f>
        <v>0</v>
      </c>
      <c r="Y194" s="61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281</v>
      </c>
      <c r="E195" s="6">
        <v>55</v>
      </c>
      <c r="F195" s="20">
        <v>33.18</v>
      </c>
      <c r="G195" s="21">
        <v>0</v>
      </c>
      <c r="H195" s="23">
        <f t="shared" si="8"/>
        <v>0</v>
      </c>
      <c r="I195" s="23">
        <f t="shared" si="9"/>
        <v>0</v>
      </c>
      <c r="J195" s="23">
        <f t="shared" si="10"/>
        <v>0</v>
      </c>
      <c r="K195" s="24">
        <f t="shared" si="11"/>
        <v>0</v>
      </c>
      <c r="L195" s="20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5">
        <v>11.463231615807906</v>
      </c>
      <c r="V195" s="61">
        <f>IFERROR(LOOKUP($C195,#REF!,#REF!),0)</f>
        <v>0</v>
      </c>
      <c r="W195" s="61">
        <f>IFERROR(LOOKUP($C195,#REF!,#REF!),0)</f>
        <v>0</v>
      </c>
      <c r="X195" s="61">
        <f>IFERROR(LOOKUP($C195,#REF!,#REF!),0)</f>
        <v>0</v>
      </c>
      <c r="Y195" s="61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249</v>
      </c>
      <c r="E196" s="6">
        <v>7.99</v>
      </c>
      <c r="F196" s="20">
        <v>5.54</v>
      </c>
      <c r="G196" s="21">
        <v>0</v>
      </c>
      <c r="H196" s="23">
        <f t="shared" ref="H196:H259" si="12">E196*G196</f>
        <v>0</v>
      </c>
      <c r="I196" s="23">
        <f t="shared" ref="I196:I259" si="13">F196*G196</f>
        <v>0</v>
      </c>
      <c r="J196" s="23">
        <f t="shared" ref="J196:J259" si="14">H196-I196</f>
        <v>0</v>
      </c>
      <c r="K196" s="24">
        <f t="shared" si="11"/>
        <v>0</v>
      </c>
      <c r="L196" s="20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5">
        <v>40.484140233722862</v>
      </c>
      <c r="V196" s="61">
        <f>IFERROR(LOOKUP($C196,#REF!,#REF!),0)</f>
        <v>0</v>
      </c>
      <c r="W196" s="61">
        <f>IFERROR(LOOKUP($C196,#REF!,#REF!),0)</f>
        <v>0</v>
      </c>
      <c r="X196" s="61">
        <f>IFERROR(LOOKUP($C196,#REF!,#REF!),0)</f>
        <v>0</v>
      </c>
      <c r="Y196" s="61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268</v>
      </c>
      <c r="E197" s="6">
        <v>65.989999999999995</v>
      </c>
      <c r="F197" s="20">
        <v>46.29</v>
      </c>
      <c r="G197" s="21">
        <v>0</v>
      </c>
      <c r="H197" s="23">
        <f t="shared" si="12"/>
        <v>0</v>
      </c>
      <c r="I197" s="23">
        <f t="shared" si="13"/>
        <v>0</v>
      </c>
      <c r="J197" s="23">
        <f t="shared" si="14"/>
        <v>0</v>
      </c>
      <c r="K197" s="24">
        <f t="shared" ref="K197:K260" si="15">IFERROR(J197/H197*100,0)</f>
        <v>0</v>
      </c>
      <c r="L197" s="20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5">
        <v>37.75221404879094</v>
      </c>
      <c r="V197" s="61">
        <f>IFERROR(LOOKUP($C197,#REF!,#REF!),0)</f>
        <v>0</v>
      </c>
      <c r="W197" s="61">
        <f>IFERROR(LOOKUP($C197,#REF!,#REF!),0)</f>
        <v>0</v>
      </c>
      <c r="X197" s="61">
        <f>IFERROR(LOOKUP($C197,#REF!,#REF!),0)</f>
        <v>0</v>
      </c>
      <c r="Y197" s="61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79</v>
      </c>
      <c r="E198" s="6">
        <v>26.99</v>
      </c>
      <c r="F198" s="20">
        <v>14.15</v>
      </c>
      <c r="G198" s="21">
        <v>0</v>
      </c>
      <c r="H198" s="23">
        <f t="shared" si="12"/>
        <v>0</v>
      </c>
      <c r="I198" s="23">
        <f t="shared" si="13"/>
        <v>0</v>
      </c>
      <c r="J198" s="23">
        <f t="shared" si="14"/>
        <v>0</v>
      </c>
      <c r="K198" s="24">
        <f t="shared" si="15"/>
        <v>0</v>
      </c>
      <c r="L198" s="20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5">
        <v>41.781249999999986</v>
      </c>
      <c r="V198" s="61">
        <f>IFERROR(LOOKUP($C198,#REF!,#REF!),0)</f>
        <v>0</v>
      </c>
      <c r="W198" s="61">
        <f>IFERROR(LOOKUP($C198,#REF!,#REF!),0)</f>
        <v>0</v>
      </c>
      <c r="X198" s="61">
        <f>IFERROR(LOOKUP($C198,#REF!,#REF!),0)</f>
        <v>0</v>
      </c>
      <c r="Y198" s="61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70</v>
      </c>
      <c r="E199" s="6">
        <v>26.99</v>
      </c>
      <c r="F199" s="20">
        <v>14.15</v>
      </c>
      <c r="G199" s="21">
        <v>0</v>
      </c>
      <c r="H199" s="23">
        <f t="shared" si="12"/>
        <v>0</v>
      </c>
      <c r="I199" s="23">
        <f t="shared" si="13"/>
        <v>0</v>
      </c>
      <c r="J199" s="23">
        <f t="shared" si="14"/>
        <v>0</v>
      </c>
      <c r="K199" s="24">
        <f t="shared" si="15"/>
        <v>0</v>
      </c>
      <c r="L199" s="20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5">
        <v>47.6175</v>
      </c>
      <c r="V199" s="61">
        <f>IFERROR(LOOKUP($C199,#REF!,#REF!),0)</f>
        <v>0</v>
      </c>
      <c r="W199" s="61">
        <f>IFERROR(LOOKUP($C199,#REF!,#REF!),0)</f>
        <v>0</v>
      </c>
      <c r="X199" s="61">
        <f>IFERROR(LOOKUP($C199,#REF!,#REF!),0)</f>
        <v>0</v>
      </c>
      <c r="Y199" s="61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165</v>
      </c>
      <c r="E200" s="6">
        <v>15.99</v>
      </c>
      <c r="F200" s="20">
        <v>8.31</v>
      </c>
      <c r="G200" s="21">
        <v>0</v>
      </c>
      <c r="H200" s="23">
        <f t="shared" si="12"/>
        <v>0</v>
      </c>
      <c r="I200" s="23">
        <f t="shared" si="13"/>
        <v>0</v>
      </c>
      <c r="J200" s="23">
        <f t="shared" si="14"/>
        <v>0</v>
      </c>
      <c r="K200" s="24">
        <f t="shared" si="15"/>
        <v>0</v>
      </c>
      <c r="L200" s="20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5">
        <v>35.850731341417678</v>
      </c>
      <c r="V200" s="61">
        <f>IFERROR(LOOKUP($C200,#REF!,#REF!),0)</f>
        <v>0</v>
      </c>
      <c r="W200" s="61">
        <f>IFERROR(LOOKUP($C200,#REF!,#REF!),0)</f>
        <v>0</v>
      </c>
      <c r="X200" s="61">
        <f>IFERROR(LOOKUP($C200,#REF!,#REF!),0)</f>
        <v>0</v>
      </c>
      <c r="Y200" s="61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80</v>
      </c>
      <c r="E201" s="6">
        <v>20.99</v>
      </c>
      <c r="F201" s="20">
        <v>12.88</v>
      </c>
      <c r="G201" s="21">
        <v>0</v>
      </c>
      <c r="H201" s="23">
        <f t="shared" si="12"/>
        <v>0</v>
      </c>
      <c r="I201" s="23">
        <f t="shared" si="13"/>
        <v>0</v>
      </c>
      <c r="J201" s="23">
        <f t="shared" si="14"/>
        <v>0</v>
      </c>
      <c r="K201" s="24">
        <f t="shared" si="15"/>
        <v>0</v>
      </c>
      <c r="L201" s="20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5">
        <v>43.69891576313595</v>
      </c>
      <c r="V201" s="61">
        <f>IFERROR(LOOKUP($C201,#REF!,#REF!),0)</f>
        <v>0</v>
      </c>
      <c r="W201" s="61">
        <f>IFERROR(LOOKUP($C201,#REF!,#REF!),0)</f>
        <v>0</v>
      </c>
      <c r="X201" s="61">
        <f>IFERROR(LOOKUP($C201,#REF!,#REF!),0)</f>
        <v>0</v>
      </c>
      <c r="Y201" s="61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282</v>
      </c>
      <c r="E202" s="6">
        <v>60</v>
      </c>
      <c r="F202" s="20">
        <v>33.18</v>
      </c>
      <c r="G202" s="21">
        <v>0</v>
      </c>
      <c r="H202" s="23">
        <f t="shared" si="12"/>
        <v>0</v>
      </c>
      <c r="I202" s="23">
        <f t="shared" si="13"/>
        <v>0</v>
      </c>
      <c r="J202" s="23">
        <f t="shared" si="14"/>
        <v>0</v>
      </c>
      <c r="K202" s="24">
        <f t="shared" si="15"/>
        <v>0</v>
      </c>
      <c r="L202" s="20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5">
        <v>39.709151537606516</v>
      </c>
      <c r="V202" s="61">
        <f>IFERROR(LOOKUP($C202,#REF!,#REF!),0)</f>
        <v>0</v>
      </c>
      <c r="W202" s="61">
        <f>IFERROR(LOOKUP($C202,#REF!,#REF!),0)</f>
        <v>0</v>
      </c>
      <c r="X202" s="61">
        <f>IFERROR(LOOKUP($C202,#REF!,#REF!),0)</f>
        <v>0</v>
      </c>
      <c r="Y202" s="61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46</v>
      </c>
      <c r="E203" s="6">
        <v>26.99</v>
      </c>
      <c r="F203" s="20">
        <v>10.66</v>
      </c>
      <c r="G203" s="21">
        <v>0</v>
      </c>
      <c r="H203" s="23">
        <f t="shared" si="12"/>
        <v>0</v>
      </c>
      <c r="I203" s="23">
        <f t="shared" si="13"/>
        <v>0</v>
      </c>
      <c r="J203" s="23">
        <f t="shared" si="14"/>
        <v>0</v>
      </c>
      <c r="K203" s="24">
        <f t="shared" si="15"/>
        <v>0</v>
      </c>
      <c r="L203" s="20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5">
        <v>40.773849232821867</v>
      </c>
      <c r="V203" s="61">
        <f>IFERROR(LOOKUP($C203,#REF!,#REF!),0)</f>
        <v>0</v>
      </c>
      <c r="W203" s="61">
        <f>IFERROR(LOOKUP($C203,#REF!,#REF!),0)</f>
        <v>0</v>
      </c>
      <c r="X203" s="61">
        <f>IFERROR(LOOKUP($C203,#REF!,#REF!),0)</f>
        <v>0</v>
      </c>
      <c r="Y203" s="61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138</v>
      </c>
      <c r="E204" s="6">
        <v>26.97</v>
      </c>
      <c r="F204" s="20">
        <v>13.68</v>
      </c>
      <c r="G204" s="21">
        <v>0</v>
      </c>
      <c r="H204" s="23">
        <f t="shared" si="12"/>
        <v>0</v>
      </c>
      <c r="I204" s="23">
        <f t="shared" si="13"/>
        <v>0</v>
      </c>
      <c r="J204" s="23">
        <f t="shared" si="14"/>
        <v>0</v>
      </c>
      <c r="K204" s="24">
        <f t="shared" si="15"/>
        <v>0</v>
      </c>
      <c r="L204" s="20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5">
        <v>28.839779005524846</v>
      </c>
      <c r="V204" s="61">
        <f>IFERROR(LOOKUP($C204,#REF!,#REF!),0)</f>
        <v>0</v>
      </c>
      <c r="W204" s="61">
        <f>IFERROR(LOOKUP($C204,#REF!,#REF!),0)</f>
        <v>0</v>
      </c>
      <c r="X204" s="61">
        <f>IFERROR(LOOKUP($C204,#REF!,#REF!),0)</f>
        <v>0</v>
      </c>
      <c r="Y204" s="61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275</v>
      </c>
      <c r="E205" s="6">
        <v>79.989999999999995</v>
      </c>
      <c r="F205" s="20">
        <v>42.68</v>
      </c>
      <c r="G205" s="21">
        <v>0</v>
      </c>
      <c r="H205" s="23">
        <f t="shared" si="12"/>
        <v>0</v>
      </c>
      <c r="I205" s="23">
        <f t="shared" si="13"/>
        <v>0</v>
      </c>
      <c r="J205" s="23">
        <f t="shared" si="14"/>
        <v>0</v>
      </c>
      <c r="K205" s="24">
        <f t="shared" si="15"/>
        <v>0</v>
      </c>
      <c r="L205" s="20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5">
        <v>41.177499999999988</v>
      </c>
      <c r="V205" s="61">
        <f>IFERROR(LOOKUP($C205,#REF!,#REF!),0)</f>
        <v>0</v>
      </c>
      <c r="W205" s="61">
        <f>IFERROR(LOOKUP($C205,#REF!,#REF!),0)</f>
        <v>0</v>
      </c>
      <c r="X205" s="61">
        <f>IFERROR(LOOKUP($C205,#REF!,#REF!),0)</f>
        <v>0</v>
      </c>
      <c r="Y205" s="61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88</v>
      </c>
      <c r="E206" s="6">
        <v>23.99</v>
      </c>
      <c r="F206" s="20">
        <v>11.87</v>
      </c>
      <c r="G206" s="21">
        <v>0</v>
      </c>
      <c r="H206" s="23">
        <f t="shared" si="12"/>
        <v>0</v>
      </c>
      <c r="I206" s="23">
        <f t="shared" si="13"/>
        <v>0</v>
      </c>
      <c r="J206" s="23">
        <f t="shared" si="14"/>
        <v>0</v>
      </c>
      <c r="K206" s="24">
        <f t="shared" si="15"/>
        <v>0</v>
      </c>
      <c r="L206" s="20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5">
        <v>-99.99</v>
      </c>
      <c r="V206" s="61">
        <f>IFERROR(LOOKUP($C206,#REF!,#REF!),0)</f>
        <v>0</v>
      </c>
      <c r="W206" s="61">
        <f>IFERROR(LOOKUP($C206,#REF!,#REF!),0)</f>
        <v>0</v>
      </c>
      <c r="X206" s="61">
        <f>IFERROR(LOOKUP($C206,#REF!,#REF!),0)</f>
        <v>0</v>
      </c>
      <c r="Y206" s="61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248</v>
      </c>
      <c r="E207" s="6">
        <v>49.99</v>
      </c>
      <c r="F207" s="20">
        <v>32.549999999999997</v>
      </c>
      <c r="G207" s="21">
        <v>0</v>
      </c>
      <c r="H207" s="23">
        <f t="shared" si="12"/>
        <v>0</v>
      </c>
      <c r="I207" s="23">
        <f t="shared" si="13"/>
        <v>0</v>
      </c>
      <c r="J207" s="23">
        <f t="shared" si="14"/>
        <v>0</v>
      </c>
      <c r="K207" s="24">
        <f t="shared" si="15"/>
        <v>0</v>
      </c>
      <c r="L207" s="20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5">
        <v>41.066137099146808</v>
      </c>
      <c r="V207" s="61">
        <f>IFERROR(LOOKUP($C207,#REF!,#REF!),0)</f>
        <v>0</v>
      </c>
      <c r="W207" s="61">
        <f>IFERROR(LOOKUP($C207,#REF!,#REF!),0)</f>
        <v>0</v>
      </c>
      <c r="X207" s="61">
        <f>IFERROR(LOOKUP($C207,#REF!,#REF!),0)</f>
        <v>0</v>
      </c>
      <c r="Y207" s="61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278</v>
      </c>
      <c r="E208" s="6">
        <v>140</v>
      </c>
      <c r="F208" s="20">
        <v>62.14</v>
      </c>
      <c r="G208" s="21">
        <v>0</v>
      </c>
      <c r="H208" s="23">
        <f t="shared" si="12"/>
        <v>0</v>
      </c>
      <c r="I208" s="23">
        <f t="shared" si="13"/>
        <v>0</v>
      </c>
      <c r="J208" s="23">
        <f t="shared" si="14"/>
        <v>0</v>
      </c>
      <c r="K208" s="24">
        <f t="shared" si="15"/>
        <v>0</v>
      </c>
      <c r="L208" s="20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5">
        <v>24.867762687634023</v>
      </c>
      <c r="V208" s="61">
        <f>IFERROR(LOOKUP($C208,#REF!,#REF!),0)</f>
        <v>0</v>
      </c>
      <c r="W208" s="61">
        <f>IFERROR(LOOKUP($C208,#REF!,#REF!),0)</f>
        <v>0</v>
      </c>
      <c r="X208" s="61">
        <f>IFERROR(LOOKUP($C208,#REF!,#REF!),0)</f>
        <v>0</v>
      </c>
      <c r="Y208" s="61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271</v>
      </c>
      <c r="E209" s="6">
        <v>8.99</v>
      </c>
      <c r="F209" s="20">
        <v>3.8</v>
      </c>
      <c r="G209" s="21">
        <v>0</v>
      </c>
      <c r="H209" s="23">
        <f t="shared" si="12"/>
        <v>0</v>
      </c>
      <c r="I209" s="23">
        <f t="shared" si="13"/>
        <v>0</v>
      </c>
      <c r="J209" s="23">
        <f t="shared" si="14"/>
        <v>0</v>
      </c>
      <c r="K209" s="24">
        <f t="shared" si="15"/>
        <v>0</v>
      </c>
      <c r="L209" s="20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5">
        <v>35.025000000000006</v>
      </c>
      <c r="V209" s="61">
        <f>IFERROR(LOOKUP($C209,#REF!,#REF!),0)</f>
        <v>0</v>
      </c>
      <c r="W209" s="61">
        <f>IFERROR(LOOKUP($C209,#REF!,#REF!),0)</f>
        <v>0</v>
      </c>
      <c r="X209" s="61">
        <f>IFERROR(LOOKUP($C209,#REF!,#REF!),0)</f>
        <v>0</v>
      </c>
      <c r="Y209" s="61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276</v>
      </c>
      <c r="E210" s="6">
        <v>160</v>
      </c>
      <c r="F210" s="20">
        <v>72.88</v>
      </c>
      <c r="G210" s="21">
        <v>0</v>
      </c>
      <c r="H210" s="23">
        <f t="shared" si="12"/>
        <v>0</v>
      </c>
      <c r="I210" s="23">
        <f t="shared" si="13"/>
        <v>0</v>
      </c>
      <c r="J210" s="23">
        <f t="shared" si="14"/>
        <v>0</v>
      </c>
      <c r="K210" s="24">
        <f t="shared" si="15"/>
        <v>0</v>
      </c>
      <c r="L210" s="20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5">
        <v>74.982287976661809</v>
      </c>
      <c r="V210" s="61">
        <f>IFERROR(LOOKUP($C210,#REF!,#REF!),0)</f>
        <v>0</v>
      </c>
      <c r="W210" s="61">
        <f>IFERROR(LOOKUP($C210,#REF!,#REF!),0)</f>
        <v>0</v>
      </c>
      <c r="X210" s="61">
        <f>IFERROR(LOOKUP($C210,#REF!,#REF!),0)</f>
        <v>0</v>
      </c>
      <c r="Y210" s="61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286</v>
      </c>
      <c r="E211" s="6">
        <v>69.989999999999995</v>
      </c>
      <c r="F211" s="20">
        <v>42.18</v>
      </c>
      <c r="G211" s="21">
        <v>0</v>
      </c>
      <c r="H211" s="23">
        <f t="shared" si="12"/>
        <v>0</v>
      </c>
      <c r="I211" s="23">
        <f t="shared" si="13"/>
        <v>0</v>
      </c>
      <c r="J211" s="23">
        <f t="shared" si="14"/>
        <v>0</v>
      </c>
      <c r="K211" s="24">
        <f t="shared" si="15"/>
        <v>0</v>
      </c>
      <c r="L211" s="20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5">
        <v>36.45242070116862</v>
      </c>
      <c r="V211" s="61">
        <f>IFERROR(LOOKUP($C211,#REF!,#REF!),0)</f>
        <v>0</v>
      </c>
      <c r="W211" s="61">
        <f>IFERROR(LOOKUP($C211,#REF!,#REF!),0)</f>
        <v>0</v>
      </c>
      <c r="X211" s="61">
        <f>IFERROR(LOOKUP($C211,#REF!,#REF!),0)</f>
        <v>0</v>
      </c>
      <c r="Y211" s="61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285</v>
      </c>
      <c r="E212" s="6">
        <v>69.989999999999995</v>
      </c>
      <c r="F212" s="20">
        <v>37.380000000000003</v>
      </c>
      <c r="G212" s="21">
        <v>0</v>
      </c>
      <c r="H212" s="23">
        <f t="shared" si="12"/>
        <v>0</v>
      </c>
      <c r="I212" s="23">
        <f t="shared" si="13"/>
        <v>0</v>
      </c>
      <c r="J212" s="23">
        <f t="shared" si="14"/>
        <v>0</v>
      </c>
      <c r="K212" s="24">
        <f t="shared" si="15"/>
        <v>0</v>
      </c>
      <c r="L212" s="20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5">
        <v>31.553106212424854</v>
      </c>
      <c r="V212" s="61">
        <f>IFERROR(LOOKUP($C212,#REF!,#REF!),0)</f>
        <v>0</v>
      </c>
      <c r="W212" s="61">
        <f>IFERROR(LOOKUP($C212,#REF!,#REF!),0)</f>
        <v>0</v>
      </c>
      <c r="X212" s="61">
        <f>IFERROR(LOOKUP($C212,#REF!,#REF!),0)</f>
        <v>0</v>
      </c>
      <c r="Y212" s="61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284</v>
      </c>
      <c r="E213" s="6">
        <v>38</v>
      </c>
      <c r="F213" s="20">
        <v>18.920000000000002</v>
      </c>
      <c r="G213" s="21">
        <v>0</v>
      </c>
      <c r="H213" s="23">
        <f t="shared" si="12"/>
        <v>0</v>
      </c>
      <c r="I213" s="23">
        <f t="shared" si="13"/>
        <v>0</v>
      </c>
      <c r="J213" s="23">
        <f t="shared" si="14"/>
        <v>0</v>
      </c>
      <c r="K213" s="24">
        <f t="shared" si="15"/>
        <v>0</v>
      </c>
      <c r="L213" s="20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5">
        <v>53.985156502097439</v>
      </c>
      <c r="V213" s="61">
        <f>IFERROR(LOOKUP($C213,#REF!,#REF!),0)</f>
        <v>0</v>
      </c>
      <c r="W213" s="61">
        <f>IFERROR(LOOKUP($C213,#REF!,#REF!),0)</f>
        <v>0</v>
      </c>
      <c r="X213" s="61">
        <f>IFERROR(LOOKUP($C213,#REF!,#REF!),0)</f>
        <v>0</v>
      </c>
      <c r="Y213" s="61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279</v>
      </c>
      <c r="E214" s="6">
        <v>120</v>
      </c>
      <c r="F214" s="20">
        <v>82.1</v>
      </c>
      <c r="G214" s="21">
        <v>0</v>
      </c>
      <c r="H214" s="23">
        <f t="shared" si="12"/>
        <v>0</v>
      </c>
      <c r="I214" s="23">
        <f t="shared" si="13"/>
        <v>0</v>
      </c>
      <c r="J214" s="23">
        <f t="shared" si="14"/>
        <v>0</v>
      </c>
      <c r="K214" s="24">
        <f t="shared" si="15"/>
        <v>0</v>
      </c>
      <c r="L214" s="20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5">
        <v>40.812696991798404</v>
      </c>
      <c r="V214" s="61">
        <f>IFERROR(LOOKUP($C214,#REF!,#REF!),0)</f>
        <v>0</v>
      </c>
      <c r="W214" s="61">
        <f>IFERROR(LOOKUP($C214,#REF!,#REF!),0)</f>
        <v>0</v>
      </c>
      <c r="X214" s="61">
        <f>IFERROR(LOOKUP($C214,#REF!,#REF!),0)</f>
        <v>0</v>
      </c>
      <c r="Y214" s="61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280</v>
      </c>
      <c r="E215" s="6">
        <v>70</v>
      </c>
      <c r="F215" s="20">
        <v>48.14</v>
      </c>
      <c r="G215" s="21">
        <v>0</v>
      </c>
      <c r="H215" s="23">
        <f t="shared" si="12"/>
        <v>0</v>
      </c>
      <c r="I215" s="23">
        <f t="shared" si="13"/>
        <v>0</v>
      </c>
      <c r="J215" s="23">
        <f t="shared" si="14"/>
        <v>0</v>
      </c>
      <c r="K215" s="24">
        <f t="shared" si="15"/>
        <v>0</v>
      </c>
      <c r="L215" s="20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5">
        <v>35.850731341417678</v>
      </c>
      <c r="V215" s="61">
        <f>IFERROR(LOOKUP($C215,#REF!,#REF!),0)</f>
        <v>0</v>
      </c>
      <c r="W215" s="61">
        <f>IFERROR(LOOKUP($C215,#REF!,#REF!),0)</f>
        <v>0</v>
      </c>
      <c r="X215" s="61">
        <f>IFERROR(LOOKUP($C215,#REF!,#REF!),0)</f>
        <v>0</v>
      </c>
      <c r="Y215" s="61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172</v>
      </c>
      <c r="E216" s="6">
        <v>14.99</v>
      </c>
      <c r="F216" s="20">
        <v>7.72</v>
      </c>
      <c r="G216" s="21">
        <v>0</v>
      </c>
      <c r="H216" s="23">
        <f t="shared" si="12"/>
        <v>0</v>
      </c>
      <c r="I216" s="23">
        <f t="shared" si="13"/>
        <v>0</v>
      </c>
      <c r="J216" s="23">
        <f t="shared" si="14"/>
        <v>0</v>
      </c>
      <c r="K216" s="24">
        <f t="shared" si="15"/>
        <v>0</v>
      </c>
      <c r="L216" s="20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5">
        <v>46.41</v>
      </c>
      <c r="V216" s="61">
        <f>IFERROR(LOOKUP($C216,#REF!,#REF!),0)</f>
        <v>0</v>
      </c>
      <c r="W216" s="61">
        <f>IFERROR(LOOKUP($C216,#REF!,#REF!),0)</f>
        <v>0</v>
      </c>
      <c r="X216" s="61">
        <f>IFERROR(LOOKUP($C216,#REF!,#REF!),0)</f>
        <v>0</v>
      </c>
      <c r="Y216" s="61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65</v>
      </c>
      <c r="E217" s="6">
        <v>29.99</v>
      </c>
      <c r="F217" s="20">
        <v>16.03</v>
      </c>
      <c r="G217" s="21">
        <v>0</v>
      </c>
      <c r="H217" s="23">
        <f t="shared" si="12"/>
        <v>0</v>
      </c>
      <c r="I217" s="23">
        <f t="shared" si="13"/>
        <v>0</v>
      </c>
      <c r="J217" s="23">
        <f t="shared" si="14"/>
        <v>0</v>
      </c>
      <c r="K217" s="24">
        <f t="shared" si="15"/>
        <v>0</v>
      </c>
      <c r="L217" s="20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5">
        <v>47.652000000000001</v>
      </c>
      <c r="V217" s="61">
        <f>IFERROR(LOOKUP($C217,#REF!,#REF!),0)</f>
        <v>0</v>
      </c>
      <c r="W217" s="61">
        <f>IFERROR(LOOKUP($C217,#REF!,#REF!),0)</f>
        <v>0</v>
      </c>
      <c r="X217" s="61">
        <f>IFERROR(LOOKUP($C217,#REF!,#REF!),0)</f>
        <v>0</v>
      </c>
      <c r="Y217" s="61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173</v>
      </c>
      <c r="E218" s="6">
        <v>13.99</v>
      </c>
      <c r="F218" s="20">
        <v>9.14</v>
      </c>
      <c r="G218" s="21">
        <v>0</v>
      </c>
      <c r="H218" s="23">
        <f t="shared" si="12"/>
        <v>0</v>
      </c>
      <c r="I218" s="23">
        <f t="shared" si="13"/>
        <v>0</v>
      </c>
      <c r="J218" s="23">
        <f t="shared" si="14"/>
        <v>0</v>
      </c>
      <c r="K218" s="24">
        <f t="shared" si="15"/>
        <v>0</v>
      </c>
      <c r="L218" s="20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5">
        <v>27.105921601334448</v>
      </c>
      <c r="V218" s="61">
        <f>IFERROR(LOOKUP($C218,#REF!,#REF!),0)</f>
        <v>0</v>
      </c>
      <c r="W218" s="61">
        <f>IFERROR(LOOKUP($C218,#REF!,#REF!),0)</f>
        <v>0</v>
      </c>
      <c r="X218" s="61">
        <f>IFERROR(LOOKUP($C218,#REF!,#REF!),0)</f>
        <v>0</v>
      </c>
      <c r="Y218" s="61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177</v>
      </c>
      <c r="E219" s="6">
        <v>11.99</v>
      </c>
      <c r="F219" s="20">
        <v>7.6</v>
      </c>
      <c r="G219" s="21">
        <v>0</v>
      </c>
      <c r="H219" s="23">
        <f t="shared" si="12"/>
        <v>0</v>
      </c>
      <c r="I219" s="23">
        <f t="shared" si="13"/>
        <v>0</v>
      </c>
      <c r="J219" s="23">
        <f t="shared" si="14"/>
        <v>0</v>
      </c>
      <c r="K219" s="24">
        <f t="shared" si="15"/>
        <v>0</v>
      </c>
      <c r="L219" s="20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5">
        <v>40.484140233722862</v>
      </c>
      <c r="V219" s="61">
        <f>IFERROR(LOOKUP($C219,#REF!,#REF!),0)</f>
        <v>0</v>
      </c>
      <c r="W219" s="61">
        <f>IFERROR(LOOKUP($C219,#REF!,#REF!),0)</f>
        <v>0</v>
      </c>
      <c r="X219" s="61">
        <f>IFERROR(LOOKUP($C219,#REF!,#REF!),0)</f>
        <v>0</v>
      </c>
      <c r="Y219" s="61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182</v>
      </c>
      <c r="E220" s="6">
        <v>29.99</v>
      </c>
      <c r="F220" s="20">
        <v>28.95</v>
      </c>
      <c r="G220" s="21">
        <v>0</v>
      </c>
      <c r="H220" s="23">
        <f t="shared" si="12"/>
        <v>0</v>
      </c>
      <c r="I220" s="23">
        <f t="shared" si="13"/>
        <v>0</v>
      </c>
      <c r="J220" s="23">
        <f t="shared" si="14"/>
        <v>0</v>
      </c>
      <c r="K220" s="24">
        <f t="shared" si="15"/>
        <v>0</v>
      </c>
      <c r="L220" s="20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5">
        <v>27.779999999999998</v>
      </c>
      <c r="V220" s="61">
        <f>IFERROR(LOOKUP($C220,#REF!,#REF!),0)</f>
        <v>0</v>
      </c>
      <c r="W220" s="61">
        <f>IFERROR(LOOKUP($C220,#REF!,#REF!),0)</f>
        <v>0</v>
      </c>
      <c r="X220" s="61">
        <f>IFERROR(LOOKUP($C220,#REF!,#REF!),0)</f>
        <v>0</v>
      </c>
      <c r="Y220" s="61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166</v>
      </c>
      <c r="E221" s="6">
        <v>29.99</v>
      </c>
      <c r="F221" s="20">
        <v>28.95</v>
      </c>
      <c r="G221" s="21">
        <v>0</v>
      </c>
      <c r="H221" s="23">
        <f t="shared" si="12"/>
        <v>0</v>
      </c>
      <c r="I221" s="23">
        <f t="shared" si="13"/>
        <v>0</v>
      </c>
      <c r="J221" s="23">
        <f t="shared" si="14"/>
        <v>0</v>
      </c>
      <c r="K221" s="24">
        <f t="shared" si="15"/>
        <v>0</v>
      </c>
      <c r="L221" s="20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5">
        <v>40.405475013609134</v>
      </c>
      <c r="V221" s="61">
        <f>IFERROR(LOOKUP($C221,#REF!,#REF!),0)</f>
        <v>0</v>
      </c>
      <c r="W221" s="61">
        <f>IFERROR(LOOKUP($C221,#REF!,#REF!),0)</f>
        <v>0</v>
      </c>
      <c r="X221" s="61">
        <f>IFERROR(LOOKUP($C221,#REF!,#REF!),0)</f>
        <v>0</v>
      </c>
      <c r="Y221" s="61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155</v>
      </c>
      <c r="E222" s="6">
        <v>29.99</v>
      </c>
      <c r="F222" s="20">
        <v>28.95</v>
      </c>
      <c r="G222" s="21">
        <v>0</v>
      </c>
      <c r="H222" s="23">
        <f t="shared" si="12"/>
        <v>0</v>
      </c>
      <c r="I222" s="23">
        <f t="shared" si="13"/>
        <v>0</v>
      </c>
      <c r="J222" s="23">
        <f t="shared" si="14"/>
        <v>0</v>
      </c>
      <c r="K222" s="24">
        <f t="shared" si="15"/>
        <v>0</v>
      </c>
      <c r="L222" s="20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5">
        <v>40.484140233722862</v>
      </c>
      <c r="V222" s="61">
        <f>IFERROR(LOOKUP($C222,#REF!,#REF!),0)</f>
        <v>0</v>
      </c>
      <c r="W222" s="61">
        <f>IFERROR(LOOKUP($C222,#REF!,#REF!),0)</f>
        <v>0</v>
      </c>
      <c r="X222" s="61">
        <f>IFERROR(LOOKUP($C222,#REF!,#REF!),0)</f>
        <v>0</v>
      </c>
      <c r="Y222" s="61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89</v>
      </c>
      <c r="E223" s="6">
        <v>2</v>
      </c>
      <c r="F223" s="20">
        <v>0.68</v>
      </c>
      <c r="G223" s="21">
        <v>0</v>
      </c>
      <c r="H223" s="23">
        <f t="shared" si="12"/>
        <v>0</v>
      </c>
      <c r="I223" s="23">
        <f t="shared" si="13"/>
        <v>0</v>
      </c>
      <c r="J223" s="23">
        <f t="shared" si="14"/>
        <v>0</v>
      </c>
      <c r="K223" s="24">
        <f t="shared" si="15"/>
        <v>0</v>
      </c>
      <c r="L223" s="20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5">
        <v>16.57539384846211</v>
      </c>
      <c r="V223" s="61">
        <f>IFERROR(LOOKUP($C223,#REF!,#REF!),0)</f>
        <v>0</v>
      </c>
      <c r="W223" s="61">
        <f>IFERROR(LOOKUP($C223,#REF!,#REF!),0)</f>
        <v>0</v>
      </c>
      <c r="X223" s="61">
        <f>IFERROR(LOOKUP($C223,#REF!,#REF!),0)</f>
        <v>0</v>
      </c>
      <c r="Y223" s="61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200</v>
      </c>
      <c r="E224" s="6">
        <v>15.99</v>
      </c>
      <c r="F224" s="20">
        <v>6.2</v>
      </c>
      <c r="G224" s="21">
        <v>0</v>
      </c>
      <c r="H224" s="23">
        <f t="shared" si="12"/>
        <v>0</v>
      </c>
      <c r="I224" s="23">
        <f t="shared" si="13"/>
        <v>0</v>
      </c>
      <c r="J224" s="23">
        <f t="shared" si="14"/>
        <v>0</v>
      </c>
      <c r="K224" s="24">
        <f t="shared" si="15"/>
        <v>0</v>
      </c>
      <c r="L224" s="20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5">
        <v>40.660000000000004</v>
      </c>
      <c r="V224" s="61">
        <f>IFERROR(LOOKUP($C224,#REF!,#REF!),0)</f>
        <v>0</v>
      </c>
      <c r="W224" s="61">
        <f>IFERROR(LOOKUP($C224,#REF!,#REF!),0)</f>
        <v>0</v>
      </c>
      <c r="X224" s="61">
        <f>IFERROR(LOOKUP($C224,#REF!,#REF!),0)</f>
        <v>0</v>
      </c>
      <c r="Y224" s="61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201</v>
      </c>
      <c r="E225" s="6">
        <v>13.99</v>
      </c>
      <c r="F225" s="20">
        <v>3.8</v>
      </c>
      <c r="G225" s="21">
        <v>0</v>
      </c>
      <c r="H225" s="23">
        <f t="shared" si="12"/>
        <v>0</v>
      </c>
      <c r="I225" s="23">
        <f t="shared" si="13"/>
        <v>0</v>
      </c>
      <c r="J225" s="23">
        <f t="shared" si="14"/>
        <v>0</v>
      </c>
      <c r="K225" s="24">
        <f t="shared" si="15"/>
        <v>0</v>
      </c>
      <c r="L225" s="20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5">
        <v>3.4678226075358429</v>
      </c>
      <c r="V225" s="61">
        <f>IFERROR(LOOKUP($C225,#REF!,#REF!),0)</f>
        <v>0</v>
      </c>
      <c r="W225" s="61">
        <f>IFERROR(LOOKUP($C225,#REF!,#REF!),0)</f>
        <v>0</v>
      </c>
      <c r="X225" s="61">
        <f>IFERROR(LOOKUP($C225,#REF!,#REF!),0)</f>
        <v>0</v>
      </c>
      <c r="Y225" s="61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202</v>
      </c>
      <c r="E226" s="6">
        <v>30.99</v>
      </c>
      <c r="F226" s="20">
        <v>9.5</v>
      </c>
      <c r="G226" s="21">
        <v>0</v>
      </c>
      <c r="H226" s="23">
        <f t="shared" si="12"/>
        <v>0</v>
      </c>
      <c r="I226" s="23">
        <f t="shared" si="13"/>
        <v>0</v>
      </c>
      <c r="J226" s="23">
        <f t="shared" si="14"/>
        <v>0</v>
      </c>
      <c r="K226" s="24">
        <f t="shared" si="15"/>
        <v>0</v>
      </c>
      <c r="L226" s="20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5">
        <v>21.569999999999993</v>
      </c>
      <c r="V226" s="61">
        <f>IFERROR(LOOKUP($C226,#REF!,#REF!),0)</f>
        <v>0</v>
      </c>
      <c r="W226" s="61">
        <f>IFERROR(LOOKUP($C226,#REF!,#REF!),0)</f>
        <v>0</v>
      </c>
      <c r="X226" s="61">
        <f>IFERROR(LOOKUP($C226,#REF!,#REF!),0)</f>
        <v>0</v>
      </c>
      <c r="Y226" s="61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203</v>
      </c>
      <c r="E227" s="6">
        <v>35.99</v>
      </c>
      <c r="F227" s="20">
        <v>12.5</v>
      </c>
      <c r="G227" s="21">
        <v>0</v>
      </c>
      <c r="H227" s="23">
        <f t="shared" si="12"/>
        <v>0</v>
      </c>
      <c r="I227" s="23">
        <f t="shared" si="13"/>
        <v>0</v>
      </c>
      <c r="J227" s="23">
        <f t="shared" si="14"/>
        <v>0</v>
      </c>
      <c r="K227" s="24">
        <f t="shared" si="15"/>
        <v>0</v>
      </c>
      <c r="L227" s="20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5">
        <v>40.43</v>
      </c>
      <c r="V227" s="61">
        <f>IFERROR(LOOKUP($C227,#REF!,#REF!),0)</f>
        <v>0</v>
      </c>
      <c r="W227" s="61">
        <f>IFERROR(LOOKUP($C227,#REF!,#REF!),0)</f>
        <v>0</v>
      </c>
      <c r="X227" s="61">
        <f>IFERROR(LOOKUP($C227,#REF!,#REF!),0)</f>
        <v>0</v>
      </c>
      <c r="Y227" s="61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204</v>
      </c>
      <c r="E228" s="6">
        <v>26.99</v>
      </c>
      <c r="F228" s="20">
        <v>7.8</v>
      </c>
      <c r="G228" s="21">
        <v>0</v>
      </c>
      <c r="H228" s="23">
        <f t="shared" si="12"/>
        <v>0</v>
      </c>
      <c r="I228" s="23">
        <f t="shared" si="13"/>
        <v>0</v>
      </c>
      <c r="J228" s="23">
        <f t="shared" si="14"/>
        <v>0</v>
      </c>
      <c r="K228" s="24">
        <f t="shared" si="15"/>
        <v>0</v>
      </c>
      <c r="L228" s="20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5">
        <v>41.590892531876136</v>
      </c>
      <c r="V228" s="61">
        <f>IFERROR(LOOKUP($C228,#REF!,#REF!),0)</f>
        <v>0</v>
      </c>
      <c r="W228" s="61">
        <f>IFERROR(LOOKUP($C228,#REF!,#REF!),0)</f>
        <v>0</v>
      </c>
      <c r="X228" s="61">
        <f>IFERROR(LOOKUP($C228,#REF!,#REF!),0)</f>
        <v>0</v>
      </c>
      <c r="Y228" s="61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94</v>
      </c>
      <c r="E229" s="6">
        <v>26.99</v>
      </c>
      <c r="F229" s="20">
        <v>7.8</v>
      </c>
      <c r="G229" s="21">
        <v>0</v>
      </c>
      <c r="H229" s="23">
        <f t="shared" si="12"/>
        <v>0</v>
      </c>
      <c r="I229" s="23">
        <f t="shared" si="13"/>
        <v>0</v>
      </c>
      <c r="J229" s="23">
        <f t="shared" si="14"/>
        <v>0</v>
      </c>
      <c r="K229" s="24">
        <f t="shared" si="15"/>
        <v>0</v>
      </c>
      <c r="L229" s="20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5">
        <v>42.039999999999992</v>
      </c>
      <c r="V229" s="61">
        <f>IFERROR(LOOKUP($C229,#REF!,#REF!),0)</f>
        <v>0</v>
      </c>
      <c r="W229" s="61">
        <f>IFERROR(LOOKUP($C229,#REF!,#REF!),0)</f>
        <v>0</v>
      </c>
      <c r="X229" s="61">
        <f>IFERROR(LOOKUP($C229,#REF!,#REF!),0)</f>
        <v>0</v>
      </c>
      <c r="Y229" s="61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205</v>
      </c>
      <c r="E230" s="6">
        <v>15.99</v>
      </c>
      <c r="F230" s="20">
        <v>8.0500000000000007</v>
      </c>
      <c r="G230" s="21">
        <v>0</v>
      </c>
      <c r="H230" s="23">
        <f t="shared" si="12"/>
        <v>0</v>
      </c>
      <c r="I230" s="23">
        <f t="shared" si="13"/>
        <v>0</v>
      </c>
      <c r="J230" s="23">
        <f t="shared" si="14"/>
        <v>0</v>
      </c>
      <c r="K230" s="24">
        <f t="shared" si="15"/>
        <v>0</v>
      </c>
      <c r="L230" s="20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5">
        <v>20.262828535669598</v>
      </c>
      <c r="V230" s="61">
        <f>IFERROR(LOOKUP($C230,#REF!,#REF!),0)</f>
        <v>0</v>
      </c>
      <c r="W230" s="61">
        <f>IFERROR(LOOKUP($C230,#REF!,#REF!),0)</f>
        <v>0</v>
      </c>
      <c r="X230" s="61">
        <f>IFERROR(LOOKUP($C230,#REF!,#REF!),0)</f>
        <v>0</v>
      </c>
      <c r="Y230" s="61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206</v>
      </c>
      <c r="E231" s="6">
        <v>15.99</v>
      </c>
      <c r="F231" s="20">
        <v>9.99</v>
      </c>
      <c r="G231" s="21">
        <v>0</v>
      </c>
      <c r="H231" s="23">
        <f t="shared" si="12"/>
        <v>0</v>
      </c>
      <c r="I231" s="23">
        <f t="shared" si="13"/>
        <v>0</v>
      </c>
      <c r="J231" s="23">
        <f t="shared" si="14"/>
        <v>0</v>
      </c>
      <c r="K231" s="24">
        <f t="shared" si="15"/>
        <v>0</v>
      </c>
      <c r="L231" s="20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5">
        <v>0</v>
      </c>
      <c r="V231" s="61">
        <f>IFERROR(LOOKUP($C231,#REF!,#REF!),0)</f>
        <v>0</v>
      </c>
      <c r="W231" s="61">
        <f>IFERROR(LOOKUP($C231,#REF!,#REF!),0)</f>
        <v>0</v>
      </c>
      <c r="X231" s="61">
        <f>IFERROR(LOOKUP($C231,#REF!,#REF!),0)</f>
        <v>0</v>
      </c>
      <c r="Y231" s="61">
        <f>IFERROR(LOOKUP($C231,#REF!,#REF!),0)</f>
        <v>0</v>
      </c>
    </row>
    <row r="232" spans="1:25" ht="16.5" customHeight="1" x14ac:dyDescent="0.35">
      <c r="A232" s="3" t="s">
        <v>19</v>
      </c>
      <c r="B232" s="4">
        <v>101</v>
      </c>
      <c r="C232" s="5">
        <v>32858</v>
      </c>
      <c r="D232" s="3" t="s">
        <v>34</v>
      </c>
      <c r="E232" s="6">
        <v>3.8</v>
      </c>
      <c r="F232" s="20">
        <v>1.8573999999999999</v>
      </c>
      <c r="G232" s="21">
        <v>0</v>
      </c>
      <c r="H232" s="23">
        <f t="shared" si="12"/>
        <v>0</v>
      </c>
      <c r="I232" s="23">
        <f t="shared" si="13"/>
        <v>0</v>
      </c>
      <c r="J232" s="23">
        <f t="shared" si="14"/>
        <v>0</v>
      </c>
      <c r="K232" s="24">
        <f t="shared" si="15"/>
        <v>0</v>
      </c>
      <c r="L232" s="20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5">
        <v>0</v>
      </c>
      <c r="V232" s="61">
        <f>IFERROR(LOOKUP($C232,#REF!,#REF!),0)</f>
        <v>0</v>
      </c>
      <c r="W232" s="61">
        <f>IFERROR(LOOKUP($C232,#REF!,#REF!),0)</f>
        <v>0</v>
      </c>
      <c r="X232" s="61">
        <f>IFERROR(LOOKUP($C232,#REF!,#REF!),0)</f>
        <v>0</v>
      </c>
      <c r="Y232" s="61">
        <f>IFERROR(LOOKUP($C232,#REF!,#REF!),0)</f>
        <v>0</v>
      </c>
    </row>
    <row r="233" spans="1:25" ht="16.5" customHeight="1" x14ac:dyDescent="0.35">
      <c r="A233" s="3" t="s">
        <v>19</v>
      </c>
      <c r="B233" s="4">
        <v>101</v>
      </c>
      <c r="C233" s="5">
        <v>32859</v>
      </c>
      <c r="D233" s="3" t="s">
        <v>20</v>
      </c>
      <c r="E233" s="6">
        <v>20.99</v>
      </c>
      <c r="F233" s="20">
        <v>11.1</v>
      </c>
      <c r="G233" s="21">
        <v>104.666666666667</v>
      </c>
      <c r="H233" s="23">
        <f t="shared" si="12"/>
        <v>2196.9533333333402</v>
      </c>
      <c r="I233" s="23">
        <f t="shared" si="13"/>
        <v>1161.8000000000036</v>
      </c>
      <c r="J233" s="23">
        <f t="shared" si="14"/>
        <v>1035.1533333333366</v>
      </c>
      <c r="K233" s="24">
        <f t="shared" si="15"/>
        <v>47.117675083373037</v>
      </c>
      <c r="L233" s="20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5">
        <v>0</v>
      </c>
      <c r="V233" s="61">
        <f>IFERROR(LOOKUP($C233,#REF!,#REF!),0)</f>
        <v>0</v>
      </c>
      <c r="W233" s="61">
        <f>IFERROR(LOOKUP($C233,#REF!,#REF!),0)</f>
        <v>0</v>
      </c>
      <c r="X233" s="61">
        <f>IFERROR(LOOKUP($C233,#REF!,#REF!),0)</f>
        <v>0</v>
      </c>
      <c r="Y233" s="61">
        <f>IFERROR(LOOKUP($C233,#REF!,#REF!),0)</f>
        <v>0</v>
      </c>
    </row>
    <row r="234" spans="1:25" ht="16.5" customHeight="1" x14ac:dyDescent="0.35">
      <c r="A234" s="3" t="s">
        <v>19</v>
      </c>
      <c r="B234" s="4">
        <v>102</v>
      </c>
      <c r="C234" s="5">
        <v>33032</v>
      </c>
      <c r="D234" s="3" t="s">
        <v>160</v>
      </c>
      <c r="E234" s="6">
        <v>28.99</v>
      </c>
      <c r="F234" s="20">
        <v>12.413</v>
      </c>
      <c r="G234" s="21">
        <v>0</v>
      </c>
      <c r="H234" s="23">
        <f t="shared" si="12"/>
        <v>0</v>
      </c>
      <c r="I234" s="23">
        <f t="shared" si="13"/>
        <v>0</v>
      </c>
      <c r="J234" s="23">
        <f t="shared" si="14"/>
        <v>0</v>
      </c>
      <c r="K234" s="24">
        <f t="shared" si="15"/>
        <v>0</v>
      </c>
      <c r="L234" s="20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5">
        <v>0</v>
      </c>
      <c r="V234" s="61">
        <f>IFERROR(LOOKUP($C234,#REF!,#REF!),0)</f>
        <v>0</v>
      </c>
      <c r="W234" s="61">
        <f>IFERROR(LOOKUP($C234,#REF!,#REF!),0)</f>
        <v>0</v>
      </c>
      <c r="X234" s="61">
        <f>IFERROR(LOOKUP($C234,#REF!,#REF!),0)</f>
        <v>0</v>
      </c>
      <c r="Y234" s="61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106</v>
      </c>
      <c r="E235" s="6">
        <v>29.99</v>
      </c>
      <c r="F235" s="20">
        <v>3.1788888888888902</v>
      </c>
      <c r="G235" s="21">
        <v>6</v>
      </c>
      <c r="H235" s="23">
        <f t="shared" si="12"/>
        <v>179.94</v>
      </c>
      <c r="I235" s="23">
        <f t="shared" si="13"/>
        <v>19.073333333333341</v>
      </c>
      <c r="J235" s="23">
        <f t="shared" si="14"/>
        <v>160.86666666666665</v>
      </c>
      <c r="K235" s="24">
        <f t="shared" si="15"/>
        <v>89.400170427179418</v>
      </c>
      <c r="L235" s="20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5">
        <v>0</v>
      </c>
      <c r="V235" s="61">
        <f>IFERROR(LOOKUP($C235,#REF!,#REF!),0)</f>
        <v>0</v>
      </c>
      <c r="W235" s="61">
        <f>IFERROR(LOOKUP($C235,#REF!,#REF!),0)</f>
        <v>0</v>
      </c>
      <c r="X235" s="61">
        <f>IFERROR(LOOKUP($C235,#REF!,#REF!),0)</f>
        <v>0</v>
      </c>
      <c r="Y235" s="61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87</v>
      </c>
      <c r="E236" s="6">
        <v>3.99</v>
      </c>
      <c r="F236" s="20">
        <v>2.120625</v>
      </c>
      <c r="G236" s="21">
        <v>0</v>
      </c>
      <c r="H236" s="23">
        <f t="shared" si="12"/>
        <v>0</v>
      </c>
      <c r="I236" s="23">
        <f t="shared" si="13"/>
        <v>0</v>
      </c>
      <c r="J236" s="23">
        <f t="shared" si="14"/>
        <v>0</v>
      </c>
      <c r="K236" s="24">
        <f t="shared" si="15"/>
        <v>0</v>
      </c>
      <c r="L236" s="20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5">
        <v>0</v>
      </c>
      <c r="V236" s="61">
        <f>IFERROR(LOOKUP($C236,#REF!,#REF!),0)</f>
        <v>0</v>
      </c>
      <c r="W236" s="61">
        <f>IFERROR(LOOKUP($C236,#REF!,#REF!),0)</f>
        <v>0</v>
      </c>
      <c r="X236" s="61">
        <f>IFERROR(LOOKUP($C236,#REF!,#REF!),0)</f>
        <v>0</v>
      </c>
      <c r="Y236" s="61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55</v>
      </c>
      <c r="E237" s="6">
        <v>3.99</v>
      </c>
      <c r="F237" s="20">
        <v>2.1095999999999999</v>
      </c>
      <c r="G237" s="21">
        <v>0</v>
      </c>
      <c r="H237" s="23">
        <f t="shared" si="12"/>
        <v>0</v>
      </c>
      <c r="I237" s="23">
        <f t="shared" si="13"/>
        <v>0</v>
      </c>
      <c r="J237" s="23">
        <f t="shared" si="14"/>
        <v>0</v>
      </c>
      <c r="K237" s="24">
        <f t="shared" si="15"/>
        <v>0</v>
      </c>
      <c r="L237" s="20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5">
        <v>0</v>
      </c>
      <c r="V237" s="61">
        <f>IFERROR(LOOKUP($C237,#REF!,#REF!),0)</f>
        <v>0</v>
      </c>
      <c r="W237" s="61">
        <f>IFERROR(LOOKUP($C237,#REF!,#REF!),0)</f>
        <v>0</v>
      </c>
      <c r="X237" s="61">
        <f>IFERROR(LOOKUP($C237,#REF!,#REF!),0)</f>
        <v>0</v>
      </c>
      <c r="Y237" s="61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20">
        <v>3.3388749999999998</v>
      </c>
      <c r="G238" s="21">
        <v>144</v>
      </c>
      <c r="H238" s="23">
        <f t="shared" si="12"/>
        <v>720</v>
      </c>
      <c r="I238" s="23">
        <f t="shared" si="13"/>
        <v>480.798</v>
      </c>
      <c r="J238" s="23">
        <f t="shared" si="14"/>
        <v>239.202</v>
      </c>
      <c r="K238" s="24">
        <f t="shared" si="15"/>
        <v>33.222499999999997</v>
      </c>
      <c r="L238" s="20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5">
        <v>0</v>
      </c>
      <c r="V238" s="61">
        <f>IFERROR(LOOKUP($C238,#REF!,#REF!),0)</f>
        <v>0</v>
      </c>
      <c r="W238" s="61">
        <f>IFERROR(LOOKUP($C238,#REF!,#REF!),0)</f>
        <v>0</v>
      </c>
      <c r="X238" s="61">
        <f>IFERROR(LOOKUP($C238,#REF!,#REF!),0)</f>
        <v>0</v>
      </c>
      <c r="Y238" s="61">
        <f>IFERROR(LOOKUP($C238,#REF!,#REF!),0)</f>
        <v>0</v>
      </c>
    </row>
    <row r="239" spans="1:25" ht="16.5" customHeight="1" x14ac:dyDescent="0.35">
      <c r="A239" s="3" t="s">
        <v>19</v>
      </c>
      <c r="B239" s="4">
        <v>101</v>
      </c>
      <c r="C239" s="5">
        <v>34687</v>
      </c>
      <c r="D239" s="3" t="s">
        <v>40</v>
      </c>
      <c r="E239" s="6">
        <v>3.8</v>
      </c>
      <c r="F239" s="20">
        <v>1.9688000000000001</v>
      </c>
      <c r="G239" s="21">
        <v>0</v>
      </c>
      <c r="H239" s="23">
        <f t="shared" si="12"/>
        <v>0</v>
      </c>
      <c r="I239" s="23">
        <f t="shared" si="13"/>
        <v>0</v>
      </c>
      <c r="J239" s="23">
        <f t="shared" si="14"/>
        <v>0</v>
      </c>
      <c r="K239" s="24">
        <f t="shared" si="15"/>
        <v>0</v>
      </c>
      <c r="L239" s="20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5">
        <v>0</v>
      </c>
      <c r="V239" s="61">
        <f>IFERROR(LOOKUP($C239,#REF!,#REF!),0)</f>
        <v>0</v>
      </c>
      <c r="W239" s="61">
        <f>IFERROR(LOOKUP($C239,#REF!,#REF!),0)</f>
        <v>0</v>
      </c>
      <c r="X239" s="61">
        <f>IFERROR(LOOKUP($C239,#REF!,#REF!),0)</f>
        <v>0</v>
      </c>
      <c r="Y239" s="61">
        <f>IFERROR(LOOKUP($C239,#REF!,#REF!),0)</f>
        <v>0</v>
      </c>
    </row>
    <row r="240" spans="1:25" ht="16.5" customHeight="1" x14ac:dyDescent="0.35">
      <c r="A240" s="3" t="s">
        <v>19</v>
      </c>
      <c r="B240" s="4">
        <v>102</v>
      </c>
      <c r="C240" s="5">
        <v>38815</v>
      </c>
      <c r="D240" s="3" t="s">
        <v>184</v>
      </c>
      <c r="E240" s="6">
        <v>10.85</v>
      </c>
      <c r="F240" s="20">
        <v>5.2888333333333302</v>
      </c>
      <c r="G240" s="21">
        <v>0</v>
      </c>
      <c r="H240" s="23">
        <f t="shared" si="12"/>
        <v>0</v>
      </c>
      <c r="I240" s="23">
        <f t="shared" si="13"/>
        <v>0</v>
      </c>
      <c r="J240" s="23">
        <f t="shared" si="14"/>
        <v>0</v>
      </c>
      <c r="K240" s="24">
        <f t="shared" si="15"/>
        <v>0</v>
      </c>
      <c r="L240" s="20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5">
        <v>0</v>
      </c>
      <c r="V240" s="61">
        <f>IFERROR(LOOKUP($C240,#REF!,#REF!),0)</f>
        <v>0</v>
      </c>
      <c r="W240" s="61">
        <f>IFERROR(LOOKUP($C240,#REF!,#REF!),0)</f>
        <v>0</v>
      </c>
      <c r="X240" s="61">
        <f>IFERROR(LOOKUP($C240,#REF!,#REF!),0)</f>
        <v>0</v>
      </c>
      <c r="Y240" s="61">
        <f>IFERROR(LOOKUP($C240,#REF!,#REF!),0)</f>
        <v>0</v>
      </c>
    </row>
    <row r="241" spans="1:25" ht="16.5" customHeight="1" x14ac:dyDescent="0.35">
      <c r="A241" s="3" t="s">
        <v>19</v>
      </c>
      <c r="B241" s="4">
        <v>102</v>
      </c>
      <c r="C241" s="5">
        <v>38816</v>
      </c>
      <c r="D241" s="3" t="s">
        <v>185</v>
      </c>
      <c r="E241" s="6">
        <v>7.99</v>
      </c>
      <c r="F241" s="20">
        <v>3.6635833333333299</v>
      </c>
      <c r="G241" s="21">
        <v>0</v>
      </c>
      <c r="H241" s="23">
        <f t="shared" si="12"/>
        <v>0</v>
      </c>
      <c r="I241" s="23">
        <f t="shared" si="13"/>
        <v>0</v>
      </c>
      <c r="J241" s="23">
        <f t="shared" si="14"/>
        <v>0</v>
      </c>
      <c r="K241" s="24">
        <f t="shared" si="15"/>
        <v>0</v>
      </c>
      <c r="L241" s="20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5">
        <v>0</v>
      </c>
      <c r="V241" s="61">
        <f>IFERROR(LOOKUP($C241,#REF!,#REF!),0)</f>
        <v>0</v>
      </c>
      <c r="W241" s="61">
        <f>IFERROR(LOOKUP($C241,#REF!,#REF!),0)</f>
        <v>0</v>
      </c>
      <c r="X241" s="61">
        <f>IFERROR(LOOKUP($C241,#REF!,#REF!),0)</f>
        <v>0</v>
      </c>
      <c r="Y241" s="61">
        <f>IFERROR(LOOKUP($C241,#REF!,#REF!),0)</f>
        <v>0</v>
      </c>
    </row>
    <row r="242" spans="1:25" ht="16.5" customHeight="1" x14ac:dyDescent="0.35">
      <c r="A242" s="3" t="s">
        <v>19</v>
      </c>
      <c r="B242" s="4">
        <v>102</v>
      </c>
      <c r="C242" s="5">
        <v>38908</v>
      </c>
      <c r="D242" s="3" t="s">
        <v>186</v>
      </c>
      <c r="E242" s="6">
        <v>7.99</v>
      </c>
      <c r="F242" s="20">
        <v>4.1161666666666701</v>
      </c>
      <c r="G242" s="21">
        <v>0</v>
      </c>
      <c r="H242" s="23">
        <f t="shared" si="12"/>
        <v>0</v>
      </c>
      <c r="I242" s="23">
        <f t="shared" si="13"/>
        <v>0</v>
      </c>
      <c r="J242" s="23">
        <f t="shared" si="14"/>
        <v>0</v>
      </c>
      <c r="K242" s="24">
        <f t="shared" si="15"/>
        <v>0</v>
      </c>
      <c r="L242" s="20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5">
        <v>0</v>
      </c>
      <c r="V242" s="61">
        <f>IFERROR(LOOKUP($C242,#REF!,#REF!),0)</f>
        <v>0</v>
      </c>
      <c r="W242" s="61">
        <f>IFERROR(LOOKUP($C242,#REF!,#REF!),0)</f>
        <v>0</v>
      </c>
      <c r="X242" s="61">
        <f>IFERROR(LOOKUP($C242,#REF!,#REF!),0)</f>
        <v>0</v>
      </c>
      <c r="Y242" s="61">
        <f>IFERROR(LOOKUP($C242,#REF!,#REF!),0)</f>
        <v>0</v>
      </c>
    </row>
    <row r="243" spans="1:25" ht="16.5" customHeight="1" x14ac:dyDescent="0.35">
      <c r="A243" s="3" t="s">
        <v>19</v>
      </c>
      <c r="B243" s="4">
        <v>102</v>
      </c>
      <c r="C243" s="5">
        <v>38983</v>
      </c>
      <c r="D243" s="3" t="s">
        <v>187</v>
      </c>
      <c r="E243" s="6">
        <v>10.85</v>
      </c>
      <c r="F243" s="20">
        <v>5.6589999999999998</v>
      </c>
      <c r="G243" s="21">
        <v>0</v>
      </c>
      <c r="H243" s="23">
        <f t="shared" si="12"/>
        <v>0</v>
      </c>
      <c r="I243" s="23">
        <f t="shared" si="13"/>
        <v>0</v>
      </c>
      <c r="J243" s="23">
        <f t="shared" si="14"/>
        <v>0</v>
      </c>
      <c r="K243" s="24">
        <f t="shared" si="15"/>
        <v>0</v>
      </c>
      <c r="L243" s="20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5">
        <v>0</v>
      </c>
      <c r="V243" s="61">
        <f>IFERROR(LOOKUP($C243,#REF!,#REF!),0)</f>
        <v>0</v>
      </c>
      <c r="W243" s="61">
        <f>IFERROR(LOOKUP($C243,#REF!,#REF!),0)</f>
        <v>0</v>
      </c>
      <c r="X243" s="61">
        <f>IFERROR(LOOKUP($C243,#REF!,#REF!),0)</f>
        <v>0</v>
      </c>
      <c r="Y243" s="61">
        <f>IFERROR(LOOKUP($C243,#REF!,#REF!),0)</f>
        <v>0</v>
      </c>
    </row>
    <row r="244" spans="1:25" ht="16.5" customHeight="1" x14ac:dyDescent="0.35">
      <c r="A244" s="3" t="s">
        <v>19</v>
      </c>
      <c r="B244" s="4">
        <v>102</v>
      </c>
      <c r="C244" s="5">
        <v>39025</v>
      </c>
      <c r="D244" s="3" t="s">
        <v>188</v>
      </c>
      <c r="E244" s="6">
        <v>330.99</v>
      </c>
      <c r="F244" s="20">
        <v>172.26333333333301</v>
      </c>
      <c r="G244" s="21">
        <v>0</v>
      </c>
      <c r="H244" s="23">
        <f t="shared" si="12"/>
        <v>0</v>
      </c>
      <c r="I244" s="23">
        <f t="shared" si="13"/>
        <v>0</v>
      </c>
      <c r="J244" s="23">
        <f t="shared" si="14"/>
        <v>0</v>
      </c>
      <c r="K244" s="24">
        <f t="shared" si="15"/>
        <v>0</v>
      </c>
      <c r="L244" s="20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5">
        <v>0</v>
      </c>
      <c r="V244" s="61">
        <f>IFERROR(LOOKUP($C244,#REF!,#REF!),0)</f>
        <v>0</v>
      </c>
      <c r="W244" s="61">
        <f>IFERROR(LOOKUP($C244,#REF!,#REF!),0)</f>
        <v>0</v>
      </c>
      <c r="X244" s="61">
        <f>IFERROR(LOOKUP($C244,#REF!,#REF!),0)</f>
        <v>0</v>
      </c>
      <c r="Y244" s="61">
        <f>IFERROR(LOOKUP($C244,#REF!,#REF!),0)</f>
        <v>0</v>
      </c>
    </row>
    <row r="245" spans="1:25" ht="16.5" customHeight="1" x14ac:dyDescent="0.35">
      <c r="A245" s="3" t="s">
        <v>19</v>
      </c>
      <c r="B245" s="4">
        <v>102</v>
      </c>
      <c r="C245" s="5">
        <v>39421</v>
      </c>
      <c r="D245" s="3" t="s">
        <v>189</v>
      </c>
      <c r="E245" s="6">
        <v>28.99</v>
      </c>
      <c r="F245" s="20">
        <v>14.814500000000001</v>
      </c>
      <c r="G245" s="21">
        <v>0</v>
      </c>
      <c r="H245" s="23">
        <f t="shared" si="12"/>
        <v>0</v>
      </c>
      <c r="I245" s="23">
        <f t="shared" si="13"/>
        <v>0</v>
      </c>
      <c r="J245" s="23">
        <f t="shared" si="14"/>
        <v>0</v>
      </c>
      <c r="K245" s="24">
        <f t="shared" si="15"/>
        <v>0</v>
      </c>
      <c r="L245" s="20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5">
        <v>0</v>
      </c>
      <c r="V245" s="61">
        <f>IFERROR(LOOKUP($C245,#REF!,#REF!),0)</f>
        <v>0</v>
      </c>
      <c r="W245" s="61">
        <f>IFERROR(LOOKUP($C245,#REF!,#REF!),0)</f>
        <v>0</v>
      </c>
      <c r="X245" s="61">
        <f>IFERROR(LOOKUP($C245,#REF!,#REF!),0)</f>
        <v>0</v>
      </c>
      <c r="Y245" s="61">
        <f>IFERROR(LOOKUP($C245,#REF!,#REF!),0)</f>
        <v>0</v>
      </c>
    </row>
    <row r="246" spans="1:25" ht="16.5" customHeight="1" x14ac:dyDescent="0.35">
      <c r="A246" s="3" t="s">
        <v>19</v>
      </c>
      <c r="B246" s="4">
        <v>102</v>
      </c>
      <c r="C246" s="5">
        <v>39963</v>
      </c>
      <c r="D246" s="3" t="s">
        <v>190</v>
      </c>
      <c r="E246" s="6">
        <v>5.4</v>
      </c>
      <c r="F246" s="20">
        <v>2.6173000000000002</v>
      </c>
      <c r="G246" s="21">
        <v>0</v>
      </c>
      <c r="H246" s="23">
        <f t="shared" si="12"/>
        <v>0</v>
      </c>
      <c r="I246" s="23">
        <f t="shared" si="13"/>
        <v>0</v>
      </c>
      <c r="J246" s="23">
        <f t="shared" si="14"/>
        <v>0</v>
      </c>
      <c r="K246" s="24">
        <f t="shared" si="15"/>
        <v>0</v>
      </c>
      <c r="L246" s="20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5">
        <v>0</v>
      </c>
      <c r="V246" s="61">
        <f>IFERROR(LOOKUP($C246,#REF!,#REF!),0)</f>
        <v>0</v>
      </c>
      <c r="W246" s="61">
        <f>IFERROR(LOOKUP($C246,#REF!,#REF!),0)</f>
        <v>0</v>
      </c>
      <c r="X246" s="61">
        <f>IFERROR(LOOKUP($C246,#REF!,#REF!),0)</f>
        <v>0</v>
      </c>
      <c r="Y246" s="61">
        <f>IFERROR(LOOKUP($C246,#REF!,#REF!),0)</f>
        <v>0</v>
      </c>
    </row>
    <row r="247" spans="1:25" ht="16.5" customHeight="1" x14ac:dyDescent="0.35">
      <c r="A247" s="3" t="s">
        <v>19</v>
      </c>
      <c r="B247" s="4">
        <v>101</v>
      </c>
      <c r="C247" s="5">
        <v>40158</v>
      </c>
      <c r="D247" s="3" t="s">
        <v>58</v>
      </c>
      <c r="E247" s="6">
        <v>11.99</v>
      </c>
      <c r="F247" s="20">
        <v>6.05</v>
      </c>
      <c r="G247" s="21">
        <v>0</v>
      </c>
      <c r="H247" s="23">
        <f t="shared" si="12"/>
        <v>0</v>
      </c>
      <c r="I247" s="23">
        <f t="shared" si="13"/>
        <v>0</v>
      </c>
      <c r="J247" s="23">
        <f t="shared" si="14"/>
        <v>0</v>
      </c>
      <c r="K247" s="24">
        <f t="shared" si="15"/>
        <v>0</v>
      </c>
      <c r="L247" s="20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5">
        <v>0</v>
      </c>
      <c r="V247" s="61">
        <f>IFERROR(LOOKUP($C247,#REF!,#REF!),0)</f>
        <v>0</v>
      </c>
      <c r="W247" s="61">
        <f>IFERROR(LOOKUP($C247,#REF!,#REF!),0)</f>
        <v>0</v>
      </c>
      <c r="X247" s="61">
        <f>IFERROR(LOOKUP($C247,#REF!,#REF!),0)</f>
        <v>0</v>
      </c>
      <c r="Y247" s="61">
        <f>IFERROR(LOOKUP($C247,#REF!,#REF!),0)</f>
        <v>0</v>
      </c>
    </row>
    <row r="248" spans="1:25" ht="16.5" customHeight="1" x14ac:dyDescent="0.35">
      <c r="A248" s="3" t="s">
        <v>19</v>
      </c>
      <c r="B248" s="4">
        <v>102</v>
      </c>
      <c r="C248" s="5">
        <v>40364</v>
      </c>
      <c r="D248" s="3" t="s">
        <v>191</v>
      </c>
      <c r="E248" s="6">
        <v>4.99</v>
      </c>
      <c r="F248" s="20">
        <v>2.5465</v>
      </c>
      <c r="G248" s="21">
        <v>0</v>
      </c>
      <c r="H248" s="23">
        <f t="shared" si="12"/>
        <v>0</v>
      </c>
      <c r="I248" s="23">
        <f t="shared" si="13"/>
        <v>0</v>
      </c>
      <c r="J248" s="23">
        <f t="shared" si="14"/>
        <v>0</v>
      </c>
      <c r="K248" s="24">
        <f t="shared" si="15"/>
        <v>0</v>
      </c>
      <c r="L248" s="20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5">
        <v>0</v>
      </c>
      <c r="V248" s="61">
        <f>IFERROR(LOOKUP($C248,#REF!,#REF!),0)</f>
        <v>0</v>
      </c>
      <c r="W248" s="61">
        <f>IFERROR(LOOKUP($C248,#REF!,#REF!),0)</f>
        <v>0</v>
      </c>
      <c r="X248" s="61">
        <f>IFERROR(LOOKUP($C248,#REF!,#REF!),0)</f>
        <v>0</v>
      </c>
      <c r="Y248" s="61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183</v>
      </c>
      <c r="E249" s="6">
        <v>5.49</v>
      </c>
      <c r="F249" s="20">
        <v>2.7884166666666701</v>
      </c>
      <c r="G249" s="21">
        <v>0</v>
      </c>
      <c r="H249" s="23">
        <f t="shared" si="12"/>
        <v>0</v>
      </c>
      <c r="I249" s="23">
        <f t="shared" si="13"/>
        <v>0</v>
      </c>
      <c r="J249" s="23">
        <f t="shared" si="14"/>
        <v>0</v>
      </c>
      <c r="K249" s="24">
        <f t="shared" si="15"/>
        <v>0</v>
      </c>
      <c r="L249" s="20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5">
        <v>0</v>
      </c>
      <c r="V249" s="61">
        <f>IFERROR(LOOKUP($C249,#REF!,#REF!),0)</f>
        <v>0</v>
      </c>
      <c r="W249" s="61">
        <f>IFERROR(LOOKUP($C249,#REF!,#REF!),0)</f>
        <v>0</v>
      </c>
      <c r="X249" s="61">
        <f>IFERROR(LOOKUP($C249,#REF!,#REF!),0)</f>
        <v>0</v>
      </c>
      <c r="Y249" s="61">
        <f>IFERROR(LOOKUP($C249,#REF!,#REF!),0)</f>
        <v>0</v>
      </c>
    </row>
    <row r="250" spans="1:25" ht="16.5" customHeight="1" x14ac:dyDescent="0.35">
      <c r="A250" s="25" t="s">
        <v>19</v>
      </c>
      <c r="B250" s="26">
        <v>102</v>
      </c>
      <c r="C250" s="27">
        <v>42797</v>
      </c>
      <c r="D250" s="25" t="s">
        <v>99</v>
      </c>
      <c r="E250" s="28">
        <v>11.99</v>
      </c>
      <c r="F250" s="62">
        <v>4.84</v>
      </c>
      <c r="G250" s="21">
        <v>0</v>
      </c>
      <c r="H250" s="23">
        <f t="shared" si="12"/>
        <v>0</v>
      </c>
      <c r="I250" s="23">
        <f t="shared" si="13"/>
        <v>0</v>
      </c>
      <c r="J250" s="23">
        <f t="shared" si="14"/>
        <v>0</v>
      </c>
      <c r="K250" s="24">
        <f t="shared" si="15"/>
        <v>0</v>
      </c>
      <c r="L250" s="20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5">
        <v>0</v>
      </c>
      <c r="V250" s="61">
        <f>IFERROR(LOOKUP($C250,#REF!,#REF!),0)</f>
        <v>0</v>
      </c>
      <c r="W250" s="61">
        <f>IFERROR(LOOKUP($C250,#REF!,#REF!),0)</f>
        <v>0</v>
      </c>
      <c r="X250" s="61">
        <f>IFERROR(LOOKUP($C250,#REF!,#REF!),0)</f>
        <v>0</v>
      </c>
      <c r="Y250" s="61">
        <f>IFERROR(LOOKUP($C250,#REF!,#REF!),0)</f>
        <v>0</v>
      </c>
    </row>
    <row r="251" spans="1:25" ht="16.5" customHeight="1" x14ac:dyDescent="0.35">
      <c r="A251" s="3" t="s">
        <v>19</v>
      </c>
      <c r="B251" s="4">
        <v>101</v>
      </c>
      <c r="C251" s="5">
        <v>43420</v>
      </c>
      <c r="D251" s="3" t="s">
        <v>77</v>
      </c>
      <c r="E251" s="6">
        <v>13.99</v>
      </c>
      <c r="F251" s="20">
        <v>8.3665000000000003</v>
      </c>
      <c r="G251" s="21">
        <v>0</v>
      </c>
      <c r="H251" s="23">
        <f t="shared" si="12"/>
        <v>0</v>
      </c>
      <c r="I251" s="23">
        <f t="shared" si="13"/>
        <v>0</v>
      </c>
      <c r="J251" s="23">
        <f t="shared" si="14"/>
        <v>0</v>
      </c>
      <c r="K251" s="24">
        <f t="shared" si="15"/>
        <v>0</v>
      </c>
      <c r="L251" s="20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5">
        <v>0</v>
      </c>
      <c r="V251" s="61">
        <f>IFERROR(LOOKUP($C251,#REF!,#REF!),0)</f>
        <v>0</v>
      </c>
      <c r="W251" s="61">
        <f>IFERROR(LOOKUP($C251,#REF!,#REF!),0)</f>
        <v>0</v>
      </c>
      <c r="X251" s="61">
        <f>IFERROR(LOOKUP($C251,#REF!,#REF!),0)</f>
        <v>0</v>
      </c>
      <c r="Y251" s="61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152</v>
      </c>
      <c r="E252" s="6">
        <v>10.99</v>
      </c>
      <c r="F252" s="20">
        <v>5.7054999999999998</v>
      </c>
      <c r="G252" s="21">
        <v>0</v>
      </c>
      <c r="H252" s="23">
        <f t="shared" si="12"/>
        <v>0</v>
      </c>
      <c r="I252" s="23">
        <f t="shared" si="13"/>
        <v>0</v>
      </c>
      <c r="J252" s="23">
        <f t="shared" si="14"/>
        <v>0</v>
      </c>
      <c r="K252" s="24">
        <f t="shared" si="15"/>
        <v>0</v>
      </c>
      <c r="L252" s="20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5">
        <v>0</v>
      </c>
      <c r="V252" s="61">
        <f>IFERROR(LOOKUP($C252,#REF!,#REF!),0)</f>
        <v>0</v>
      </c>
      <c r="W252" s="61">
        <f>IFERROR(LOOKUP($C252,#REF!,#REF!),0)</f>
        <v>0</v>
      </c>
      <c r="X252" s="61">
        <f>IFERROR(LOOKUP($C252,#REF!,#REF!),0)</f>
        <v>0</v>
      </c>
      <c r="Y252" s="61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250</v>
      </c>
      <c r="E253" s="6">
        <v>189.99</v>
      </c>
      <c r="F253" s="20">
        <v>107.69199999999999</v>
      </c>
      <c r="G253" s="21">
        <v>0</v>
      </c>
      <c r="H253" s="23">
        <f t="shared" si="12"/>
        <v>0</v>
      </c>
      <c r="I253" s="23">
        <f t="shared" si="13"/>
        <v>0</v>
      </c>
      <c r="J253" s="23">
        <f t="shared" si="14"/>
        <v>0</v>
      </c>
      <c r="K253" s="24">
        <f t="shared" si="15"/>
        <v>0</v>
      </c>
      <c r="L253" s="20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5">
        <v>0</v>
      </c>
      <c r="V253" s="61">
        <f>IFERROR(LOOKUP($C253,#REF!,#REF!),0)</f>
        <v>0</v>
      </c>
      <c r="W253" s="61">
        <f>IFERROR(LOOKUP($C253,#REF!,#REF!),0)</f>
        <v>0</v>
      </c>
      <c r="X253" s="61">
        <f>IFERROR(LOOKUP($C253,#REF!,#REF!),0)</f>
        <v>0</v>
      </c>
      <c r="Y253" s="61">
        <f>IFERROR(LOOKUP($C253,#REF!,#REF!),0)</f>
        <v>0</v>
      </c>
    </row>
    <row r="254" spans="1:25" ht="16.5" customHeight="1" x14ac:dyDescent="0.35">
      <c r="A254" s="3" t="s">
        <v>19</v>
      </c>
      <c r="B254" s="4">
        <v>102</v>
      </c>
      <c r="C254" s="5">
        <v>48620</v>
      </c>
      <c r="D254" s="3" t="s">
        <v>153</v>
      </c>
      <c r="E254" s="6">
        <v>37.99</v>
      </c>
      <c r="F254" s="20">
        <v>16.841833333333302</v>
      </c>
      <c r="G254" s="21">
        <v>0</v>
      </c>
      <c r="H254" s="23">
        <f t="shared" si="12"/>
        <v>0</v>
      </c>
      <c r="I254" s="23">
        <f t="shared" si="13"/>
        <v>0</v>
      </c>
      <c r="J254" s="23">
        <f t="shared" si="14"/>
        <v>0</v>
      </c>
      <c r="K254" s="24">
        <f t="shared" si="15"/>
        <v>0</v>
      </c>
      <c r="L254" s="20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5">
        <v>0</v>
      </c>
      <c r="V254" s="61">
        <f>IFERROR(LOOKUP($C254,#REF!,#REF!),0)</f>
        <v>0</v>
      </c>
      <c r="W254" s="61">
        <f>IFERROR(LOOKUP($C254,#REF!,#REF!),0)</f>
        <v>0</v>
      </c>
      <c r="X254" s="61">
        <f>IFERROR(LOOKUP($C254,#REF!,#REF!),0)</f>
        <v>0</v>
      </c>
      <c r="Y254" s="61">
        <f>IFERROR(LOOKUP($C254,#REF!,#REF!),0)</f>
        <v>0</v>
      </c>
    </row>
    <row r="255" spans="1:25" ht="16.5" customHeight="1" x14ac:dyDescent="0.35">
      <c r="A255" s="3" t="s">
        <v>19</v>
      </c>
      <c r="B255" s="4">
        <v>102</v>
      </c>
      <c r="C255" s="5">
        <v>48683</v>
      </c>
      <c r="D255" s="3" t="s">
        <v>192</v>
      </c>
      <c r="E255" s="6">
        <v>11.99</v>
      </c>
      <c r="F255" s="20">
        <v>6.2521428571428599</v>
      </c>
      <c r="G255" s="21">
        <v>0</v>
      </c>
      <c r="H255" s="23">
        <f t="shared" si="12"/>
        <v>0</v>
      </c>
      <c r="I255" s="23">
        <f t="shared" si="13"/>
        <v>0</v>
      </c>
      <c r="J255" s="23">
        <f t="shared" si="14"/>
        <v>0</v>
      </c>
      <c r="K255" s="24">
        <f t="shared" si="15"/>
        <v>0</v>
      </c>
      <c r="L255" s="20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5">
        <v>0</v>
      </c>
      <c r="V255" s="61">
        <f>IFERROR(LOOKUP($C255,#REF!,#REF!),0)</f>
        <v>0</v>
      </c>
      <c r="W255" s="61">
        <f>IFERROR(LOOKUP($C255,#REF!,#REF!),0)</f>
        <v>0</v>
      </c>
      <c r="X255" s="61">
        <f>IFERROR(LOOKUP($C255,#REF!,#REF!),0)</f>
        <v>0</v>
      </c>
      <c r="Y255" s="61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20">
        <v>13.4</v>
      </c>
      <c r="G256" s="21">
        <v>65</v>
      </c>
      <c r="H256" s="23">
        <f t="shared" si="12"/>
        <v>1689.35</v>
      </c>
      <c r="I256" s="23">
        <f t="shared" si="13"/>
        <v>871</v>
      </c>
      <c r="J256" s="23">
        <f t="shared" si="14"/>
        <v>818.34999999999991</v>
      </c>
      <c r="K256" s="24">
        <f t="shared" si="15"/>
        <v>48.441708349365136</v>
      </c>
      <c r="L256" s="20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5">
        <v>0</v>
      </c>
      <c r="V256" s="61">
        <f>IFERROR(LOOKUP($C256,#REF!,#REF!),0)</f>
        <v>0</v>
      </c>
      <c r="W256" s="61">
        <f>IFERROR(LOOKUP($C256,#REF!,#REF!),0)</f>
        <v>0</v>
      </c>
      <c r="X256" s="61">
        <f>IFERROR(LOOKUP($C256,#REF!,#REF!),0)</f>
        <v>0</v>
      </c>
      <c r="Y256" s="61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33</v>
      </c>
      <c r="E257" s="6">
        <v>21.99</v>
      </c>
      <c r="F257" s="20">
        <v>12.14</v>
      </c>
      <c r="G257" s="21">
        <v>34</v>
      </c>
      <c r="H257" s="23">
        <f t="shared" si="12"/>
        <v>747.66</v>
      </c>
      <c r="I257" s="23">
        <f t="shared" si="13"/>
        <v>412.76</v>
      </c>
      <c r="J257" s="23">
        <f t="shared" si="14"/>
        <v>334.9</v>
      </c>
      <c r="K257" s="24">
        <f t="shared" si="15"/>
        <v>44.793087767166895</v>
      </c>
      <c r="L257" s="20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5">
        <v>0</v>
      </c>
      <c r="V257" s="61">
        <f>IFERROR(LOOKUP($C257,#REF!,#REF!),0)</f>
        <v>0</v>
      </c>
      <c r="W257" s="61">
        <f>IFERROR(LOOKUP($C257,#REF!,#REF!),0)</f>
        <v>0</v>
      </c>
      <c r="X257" s="61">
        <f>IFERROR(LOOKUP($C257,#REF!,#REF!),0)</f>
        <v>0</v>
      </c>
      <c r="Y257" s="61">
        <f>IFERROR(LOOKUP($C257,#REF!,#REF!),0)</f>
        <v>0</v>
      </c>
    </row>
    <row r="258" spans="1:25" ht="16.5" customHeight="1" x14ac:dyDescent="0.35">
      <c r="A258" s="3" t="s">
        <v>19</v>
      </c>
      <c r="B258" s="4">
        <v>102</v>
      </c>
      <c r="C258" s="5">
        <v>54652</v>
      </c>
      <c r="D258" s="3" t="s">
        <v>193</v>
      </c>
      <c r="E258" s="6">
        <v>21.99</v>
      </c>
      <c r="F258" s="20">
        <v>8.2398749999999996</v>
      </c>
      <c r="G258" s="21">
        <v>0</v>
      </c>
      <c r="H258" s="23">
        <f t="shared" si="12"/>
        <v>0</v>
      </c>
      <c r="I258" s="23">
        <f t="shared" si="13"/>
        <v>0</v>
      </c>
      <c r="J258" s="23">
        <f t="shared" si="14"/>
        <v>0</v>
      </c>
      <c r="K258" s="24">
        <f t="shared" si="15"/>
        <v>0</v>
      </c>
      <c r="L258" s="20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5">
        <v>0</v>
      </c>
      <c r="V258" s="61">
        <f>IFERROR(LOOKUP($C258,#REF!,#REF!),0)</f>
        <v>0</v>
      </c>
      <c r="W258" s="61">
        <f>IFERROR(LOOKUP($C258,#REF!,#REF!),0)</f>
        <v>0</v>
      </c>
      <c r="X258" s="61">
        <f>IFERROR(LOOKUP($C258,#REF!,#REF!),0)</f>
        <v>0</v>
      </c>
      <c r="Y258" s="61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194</v>
      </c>
      <c r="E259" s="6">
        <v>269.99</v>
      </c>
      <c r="F259" s="20">
        <v>141.47833333333301</v>
      </c>
      <c r="G259" s="21">
        <v>0</v>
      </c>
      <c r="H259" s="23">
        <f t="shared" si="12"/>
        <v>0</v>
      </c>
      <c r="I259" s="23">
        <f t="shared" si="13"/>
        <v>0</v>
      </c>
      <c r="J259" s="23">
        <f t="shared" si="14"/>
        <v>0</v>
      </c>
      <c r="K259" s="24">
        <f t="shared" si="15"/>
        <v>0</v>
      </c>
      <c r="L259" s="20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5">
        <v>0</v>
      </c>
      <c r="V259" s="61">
        <f>IFERROR(LOOKUP($C259,#REF!,#REF!),0)</f>
        <v>0</v>
      </c>
      <c r="W259" s="61">
        <f>IFERROR(LOOKUP($C259,#REF!,#REF!),0)</f>
        <v>0</v>
      </c>
      <c r="X259" s="61">
        <f>IFERROR(LOOKUP($C259,#REF!,#REF!),0)</f>
        <v>0</v>
      </c>
      <c r="Y259" s="61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287</v>
      </c>
      <c r="E260" s="6">
        <v>0</v>
      </c>
      <c r="F260" s="20">
        <v>120.14</v>
      </c>
      <c r="G260" s="21">
        <v>0</v>
      </c>
      <c r="H260" s="23">
        <f t="shared" ref="H260:H290" si="16">E260*G260</f>
        <v>0</v>
      </c>
      <c r="I260" s="23">
        <f t="shared" ref="I260:I290" si="17">F260*G260</f>
        <v>0</v>
      </c>
      <c r="J260" s="23">
        <f t="shared" ref="J260:J290" si="18">H260-I260</f>
        <v>0</v>
      </c>
      <c r="K260" s="24">
        <f t="shared" si="15"/>
        <v>0</v>
      </c>
      <c r="L260" s="20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5">
        <v>0</v>
      </c>
      <c r="V260" s="61">
        <f>IFERROR(LOOKUP($C260,#REF!,#REF!),0)</f>
        <v>0</v>
      </c>
      <c r="W260" s="61">
        <f>IFERROR(LOOKUP($C260,#REF!,#REF!),0)</f>
        <v>0</v>
      </c>
      <c r="X260" s="61">
        <f>IFERROR(LOOKUP($C260,#REF!,#REF!),0)</f>
        <v>0</v>
      </c>
      <c r="Y260" s="61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195</v>
      </c>
      <c r="E261" s="6">
        <v>79.989999999999995</v>
      </c>
      <c r="F261" s="20">
        <v>41.475000000000001</v>
      </c>
      <c r="G261" s="21">
        <v>0</v>
      </c>
      <c r="H261" s="23">
        <f t="shared" si="16"/>
        <v>0</v>
      </c>
      <c r="I261" s="23">
        <f t="shared" si="17"/>
        <v>0</v>
      </c>
      <c r="J261" s="23">
        <f t="shared" si="18"/>
        <v>0</v>
      </c>
      <c r="K261" s="24">
        <f t="shared" ref="K261:K290" si="19">IFERROR(J261/H261*100,0)</f>
        <v>0</v>
      </c>
      <c r="L261" s="20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5">
        <v>0</v>
      </c>
      <c r="V261" s="61">
        <f>IFERROR(LOOKUP($C261,#REF!,#REF!),0)</f>
        <v>0</v>
      </c>
      <c r="W261" s="61">
        <f>IFERROR(LOOKUP($C261,#REF!,#REF!),0)</f>
        <v>0</v>
      </c>
      <c r="X261" s="61">
        <f>IFERROR(LOOKUP($C261,#REF!,#REF!),0)</f>
        <v>0</v>
      </c>
      <c r="Y261" s="61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196</v>
      </c>
      <c r="E262" s="6">
        <v>79.989999999999995</v>
      </c>
      <c r="F262" s="20">
        <v>41.475000000000001</v>
      </c>
      <c r="G262" s="21">
        <v>0</v>
      </c>
      <c r="H262" s="23">
        <f t="shared" si="16"/>
        <v>0</v>
      </c>
      <c r="I262" s="23">
        <f t="shared" si="17"/>
        <v>0</v>
      </c>
      <c r="J262" s="23">
        <f t="shared" si="18"/>
        <v>0</v>
      </c>
      <c r="K262" s="24">
        <f t="shared" si="19"/>
        <v>0</v>
      </c>
      <c r="L262" s="20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5">
        <v>0</v>
      </c>
      <c r="V262" s="61">
        <f>IFERROR(LOOKUP($C262,#REF!,#REF!),0)</f>
        <v>0</v>
      </c>
      <c r="W262" s="61">
        <f>IFERROR(LOOKUP($C262,#REF!,#REF!),0)</f>
        <v>0</v>
      </c>
      <c r="X262" s="61">
        <f>IFERROR(LOOKUP($C262,#REF!,#REF!),0)</f>
        <v>0</v>
      </c>
      <c r="Y262" s="61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197</v>
      </c>
      <c r="E263" s="6">
        <v>79.989999999999995</v>
      </c>
      <c r="F263" s="20">
        <v>41.475000000000001</v>
      </c>
      <c r="G263" s="21">
        <v>0</v>
      </c>
      <c r="H263" s="23">
        <f t="shared" si="16"/>
        <v>0</v>
      </c>
      <c r="I263" s="23">
        <f t="shared" si="17"/>
        <v>0</v>
      </c>
      <c r="J263" s="23">
        <f t="shared" si="18"/>
        <v>0</v>
      </c>
      <c r="K263" s="24">
        <f t="shared" si="19"/>
        <v>0</v>
      </c>
      <c r="L263" s="20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5">
        <v>0</v>
      </c>
      <c r="V263" s="61">
        <f>IFERROR(LOOKUP($C263,#REF!,#REF!),0)</f>
        <v>0</v>
      </c>
      <c r="W263" s="61">
        <f>IFERROR(LOOKUP($C263,#REF!,#REF!),0)</f>
        <v>0</v>
      </c>
      <c r="X263" s="61">
        <f>IFERROR(LOOKUP($C263,#REF!,#REF!),0)</f>
        <v>0</v>
      </c>
      <c r="Y263" s="61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176</v>
      </c>
      <c r="E264" s="6">
        <v>79.989999999999995</v>
      </c>
      <c r="F264" s="20">
        <v>44.62</v>
      </c>
      <c r="G264" s="21">
        <v>0</v>
      </c>
      <c r="H264" s="23">
        <f t="shared" si="16"/>
        <v>0</v>
      </c>
      <c r="I264" s="23">
        <f t="shared" si="17"/>
        <v>0</v>
      </c>
      <c r="J264" s="23">
        <f t="shared" si="18"/>
        <v>0</v>
      </c>
      <c r="K264" s="24">
        <f t="shared" si="19"/>
        <v>0</v>
      </c>
      <c r="L264" s="20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5">
        <v>0</v>
      </c>
      <c r="V264" s="61">
        <f>IFERROR(LOOKUP($C264,#REF!,#REF!),0)</f>
        <v>0</v>
      </c>
      <c r="W264" s="61">
        <f>IFERROR(LOOKUP($C264,#REF!,#REF!),0)</f>
        <v>0</v>
      </c>
      <c r="X264" s="61">
        <f>IFERROR(LOOKUP($C264,#REF!,#REF!),0)</f>
        <v>0</v>
      </c>
      <c r="Y264" s="61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170</v>
      </c>
      <c r="E265" s="6">
        <v>79.989999999999995</v>
      </c>
      <c r="F265" s="20">
        <v>44.62</v>
      </c>
      <c r="G265" s="21">
        <v>0</v>
      </c>
      <c r="H265" s="23">
        <f t="shared" si="16"/>
        <v>0</v>
      </c>
      <c r="I265" s="23">
        <f t="shared" si="17"/>
        <v>0</v>
      </c>
      <c r="J265" s="23">
        <f t="shared" si="18"/>
        <v>0</v>
      </c>
      <c r="K265" s="24">
        <f t="shared" si="19"/>
        <v>0</v>
      </c>
      <c r="L265" s="20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5">
        <v>0</v>
      </c>
      <c r="V265" s="61">
        <f>IFERROR(LOOKUP($C265,#REF!,#REF!),0)</f>
        <v>0</v>
      </c>
      <c r="W265" s="61">
        <f>IFERROR(LOOKUP($C265,#REF!,#REF!),0)</f>
        <v>0</v>
      </c>
      <c r="X265" s="61">
        <f>IFERROR(LOOKUP($C265,#REF!,#REF!),0)</f>
        <v>0</v>
      </c>
      <c r="Y265" s="61">
        <f>IFERROR(LOOKUP($C265,#REF!,#REF!),0)</f>
        <v>0</v>
      </c>
    </row>
    <row r="266" spans="1:25" ht="16.5" customHeight="1" x14ac:dyDescent="0.35">
      <c r="A266" s="3" t="s">
        <v>107</v>
      </c>
      <c r="B266" s="4">
        <v>102</v>
      </c>
      <c r="C266" s="5">
        <v>32863</v>
      </c>
      <c r="D266" s="3" t="s">
        <v>109</v>
      </c>
      <c r="E266" s="6">
        <v>17.989999999999998</v>
      </c>
      <c r="F266" s="20">
        <v>9.4</v>
      </c>
      <c r="G266" s="21">
        <v>0</v>
      </c>
      <c r="H266" s="23">
        <f t="shared" si="16"/>
        <v>0</v>
      </c>
      <c r="I266" s="23">
        <f t="shared" si="17"/>
        <v>0</v>
      </c>
      <c r="J266" s="23">
        <f t="shared" si="18"/>
        <v>0</v>
      </c>
      <c r="K266" s="24">
        <f t="shared" si="19"/>
        <v>0</v>
      </c>
      <c r="L266" s="20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5">
        <v>0</v>
      </c>
      <c r="V266" s="61">
        <f>IFERROR(LOOKUP($C266,#REF!,#REF!),0)</f>
        <v>0</v>
      </c>
      <c r="W266" s="61">
        <f>IFERROR(LOOKUP($C266,#REF!,#REF!),0)</f>
        <v>0</v>
      </c>
      <c r="X266" s="61">
        <f>IFERROR(LOOKUP($C266,#REF!,#REF!),0)</f>
        <v>0</v>
      </c>
      <c r="Y266" s="61">
        <f>IFERROR(LOOKUP($C266,#REF!,#REF!),0)</f>
        <v>0</v>
      </c>
    </row>
    <row r="267" spans="1:25" ht="16.5" customHeight="1" x14ac:dyDescent="0.35">
      <c r="A267" s="3" t="s">
        <v>107</v>
      </c>
      <c r="B267" s="4">
        <v>102</v>
      </c>
      <c r="C267" s="5">
        <v>32864</v>
      </c>
      <c r="D267" s="3" t="s">
        <v>108</v>
      </c>
      <c r="E267" s="6">
        <v>9.99</v>
      </c>
      <c r="F267" s="20">
        <v>5</v>
      </c>
      <c r="G267" s="21">
        <v>0</v>
      </c>
      <c r="H267" s="23">
        <f t="shared" si="16"/>
        <v>0</v>
      </c>
      <c r="I267" s="23">
        <f t="shared" si="17"/>
        <v>0</v>
      </c>
      <c r="J267" s="23">
        <f t="shared" si="18"/>
        <v>0</v>
      </c>
      <c r="K267" s="24">
        <f t="shared" si="19"/>
        <v>0</v>
      </c>
      <c r="L267" s="20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5">
        <v>0</v>
      </c>
      <c r="V267" s="61">
        <f>IFERROR(LOOKUP($C267,#REF!,#REF!),0)</f>
        <v>0</v>
      </c>
      <c r="W267" s="61">
        <f>IFERROR(LOOKUP($C267,#REF!,#REF!),0)</f>
        <v>0</v>
      </c>
      <c r="X267" s="61">
        <f>IFERROR(LOOKUP($C267,#REF!,#REF!),0)</f>
        <v>0</v>
      </c>
      <c r="Y267" s="61">
        <f>IFERROR(LOOKUP($C267,#REF!,#REF!),0)</f>
        <v>0</v>
      </c>
    </row>
    <row r="268" spans="1:25" ht="16.5" customHeight="1" x14ac:dyDescent="0.35">
      <c r="A268" s="3" t="s">
        <v>107</v>
      </c>
      <c r="B268" s="4">
        <v>1821</v>
      </c>
      <c r="C268" s="5">
        <v>33999</v>
      </c>
      <c r="D268" s="3" t="s">
        <v>288</v>
      </c>
      <c r="E268" s="6">
        <v>19.989999999999998</v>
      </c>
      <c r="F268" s="20">
        <v>17.149999999999999</v>
      </c>
      <c r="G268" s="21">
        <v>0</v>
      </c>
      <c r="H268" s="23">
        <f t="shared" si="16"/>
        <v>0</v>
      </c>
      <c r="I268" s="23">
        <f t="shared" si="17"/>
        <v>0</v>
      </c>
      <c r="J268" s="23">
        <f t="shared" si="18"/>
        <v>0</v>
      </c>
      <c r="K268" s="24">
        <f t="shared" si="19"/>
        <v>0</v>
      </c>
      <c r="L268" s="20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5">
        <v>0</v>
      </c>
      <c r="V268" s="61">
        <f>IFERROR(LOOKUP($C268,#REF!,#REF!),0)</f>
        <v>0</v>
      </c>
      <c r="W268" s="61">
        <f>IFERROR(LOOKUP($C268,#REF!,#REF!),0)</f>
        <v>0</v>
      </c>
      <c r="X268" s="61">
        <f>IFERROR(LOOKUP($C268,#REF!,#REF!),0)</f>
        <v>0</v>
      </c>
      <c r="Y268" s="61">
        <f>IFERROR(LOOKUP($C268,#REF!,#REF!),0)</f>
        <v>0</v>
      </c>
    </row>
    <row r="269" spans="1:25" ht="16.5" customHeight="1" x14ac:dyDescent="0.35">
      <c r="A269" s="3" t="s">
        <v>107</v>
      </c>
      <c r="B269" s="4">
        <v>1821</v>
      </c>
      <c r="C269" s="5">
        <v>40827</v>
      </c>
      <c r="D269" s="3" t="s">
        <v>289</v>
      </c>
      <c r="E269" s="6">
        <v>29.99</v>
      </c>
      <c r="F269" s="20">
        <v>29.25</v>
      </c>
      <c r="G269" s="21">
        <v>0</v>
      </c>
      <c r="H269" s="23">
        <f t="shared" si="16"/>
        <v>0</v>
      </c>
      <c r="I269" s="23">
        <f t="shared" si="17"/>
        <v>0</v>
      </c>
      <c r="J269" s="23">
        <f t="shared" si="18"/>
        <v>0</v>
      </c>
      <c r="K269" s="24">
        <f t="shared" si="19"/>
        <v>0</v>
      </c>
      <c r="L269" s="20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5">
        <v>0</v>
      </c>
      <c r="V269" s="61">
        <f>IFERROR(LOOKUP($C269,#REF!,#REF!),0)</f>
        <v>0</v>
      </c>
      <c r="W269" s="61">
        <f>IFERROR(LOOKUP($C269,#REF!,#REF!),0)</f>
        <v>0</v>
      </c>
      <c r="X269" s="61">
        <f>IFERROR(LOOKUP($C269,#REF!,#REF!),0)</f>
        <v>0</v>
      </c>
      <c r="Y269" s="61">
        <f>IFERROR(LOOKUP($C269,#REF!,#REF!),0)</f>
        <v>0</v>
      </c>
    </row>
    <row r="270" spans="1:25" ht="16.5" customHeight="1" x14ac:dyDescent="0.35">
      <c r="A270" s="3" t="s">
        <v>107</v>
      </c>
      <c r="B270" s="4">
        <v>102</v>
      </c>
      <c r="C270" s="5">
        <v>48861</v>
      </c>
      <c r="D270" s="3" t="s">
        <v>111</v>
      </c>
      <c r="E270" s="6">
        <v>50</v>
      </c>
      <c r="F270" s="20">
        <v>30</v>
      </c>
      <c r="G270" s="21">
        <v>0</v>
      </c>
      <c r="H270" s="23">
        <f t="shared" si="16"/>
        <v>0</v>
      </c>
      <c r="I270" s="23">
        <f t="shared" si="17"/>
        <v>0</v>
      </c>
      <c r="J270" s="23">
        <f t="shared" si="18"/>
        <v>0</v>
      </c>
      <c r="K270" s="24">
        <f t="shared" si="19"/>
        <v>0</v>
      </c>
      <c r="L270" s="20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5">
        <v>0</v>
      </c>
      <c r="V270" s="61">
        <f>IFERROR(LOOKUP($C270,#REF!,#REF!),0)</f>
        <v>0</v>
      </c>
      <c r="W270" s="61">
        <f>IFERROR(LOOKUP($C270,#REF!,#REF!),0)</f>
        <v>0</v>
      </c>
      <c r="X270" s="61">
        <f>IFERROR(LOOKUP($C270,#REF!,#REF!),0)</f>
        <v>0</v>
      </c>
      <c r="Y270" s="61">
        <f>IFERROR(LOOKUP($C270,#REF!,#REF!),0)</f>
        <v>0</v>
      </c>
    </row>
    <row r="271" spans="1:25" ht="16.5" customHeight="1" x14ac:dyDescent="0.35">
      <c r="A271" s="3" t="s">
        <v>107</v>
      </c>
      <c r="B271" s="4">
        <v>102</v>
      </c>
      <c r="C271" s="5">
        <v>53410</v>
      </c>
      <c r="D271" s="3" t="s">
        <v>126</v>
      </c>
      <c r="E271" s="6">
        <v>52</v>
      </c>
      <c r="F271" s="20">
        <v>28.2</v>
      </c>
      <c r="G271" s="21">
        <v>0</v>
      </c>
      <c r="H271" s="23">
        <f t="shared" si="16"/>
        <v>0</v>
      </c>
      <c r="I271" s="23">
        <f t="shared" si="17"/>
        <v>0</v>
      </c>
      <c r="J271" s="23">
        <f t="shared" si="18"/>
        <v>0</v>
      </c>
      <c r="K271" s="24">
        <f t="shared" si="19"/>
        <v>0</v>
      </c>
      <c r="L271" s="20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5">
        <v>0</v>
      </c>
      <c r="V271" s="61">
        <f>IFERROR(LOOKUP($C271,#REF!,#REF!),0)</f>
        <v>0</v>
      </c>
      <c r="W271" s="61">
        <f>IFERROR(LOOKUP($C271,#REF!,#REF!),0)</f>
        <v>0</v>
      </c>
      <c r="X271" s="61">
        <f>IFERROR(LOOKUP($C271,#REF!,#REF!),0)</f>
        <v>0</v>
      </c>
      <c r="Y271" s="61">
        <f>IFERROR(LOOKUP($C271,#REF!,#REF!),0)</f>
        <v>0</v>
      </c>
    </row>
    <row r="272" spans="1:25" ht="16.5" customHeight="1" x14ac:dyDescent="0.35">
      <c r="A272" s="3" t="s">
        <v>107</v>
      </c>
      <c r="B272" s="4">
        <v>102</v>
      </c>
      <c r="C272" s="5">
        <v>55095</v>
      </c>
      <c r="D272" s="3" t="s">
        <v>116</v>
      </c>
      <c r="E272" s="6">
        <v>5</v>
      </c>
      <c r="F272" s="20">
        <v>1.38</v>
      </c>
      <c r="G272" s="21">
        <v>0</v>
      </c>
      <c r="H272" s="23">
        <f t="shared" si="16"/>
        <v>0</v>
      </c>
      <c r="I272" s="23">
        <f t="shared" si="17"/>
        <v>0</v>
      </c>
      <c r="J272" s="23">
        <f t="shared" si="18"/>
        <v>0</v>
      </c>
      <c r="K272" s="24">
        <f t="shared" si="19"/>
        <v>0</v>
      </c>
      <c r="L272" s="20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5">
        <v>0</v>
      </c>
      <c r="V272" s="61">
        <f>IFERROR(LOOKUP($C272,#REF!,#REF!),0)</f>
        <v>0</v>
      </c>
      <c r="W272" s="61">
        <f>IFERROR(LOOKUP($C272,#REF!,#REF!),0)</f>
        <v>0</v>
      </c>
      <c r="X272" s="61">
        <f>IFERROR(LOOKUP($C272,#REF!,#REF!),0)</f>
        <v>0</v>
      </c>
      <c r="Y272" s="61">
        <f>IFERROR(LOOKUP($C272,#REF!,#REF!),0)</f>
        <v>0</v>
      </c>
    </row>
    <row r="273" spans="1:27" ht="16.5" customHeight="1" x14ac:dyDescent="0.35">
      <c r="A273" s="3" t="s">
        <v>107</v>
      </c>
      <c r="B273" s="4">
        <v>102</v>
      </c>
      <c r="C273" s="5">
        <v>58147</v>
      </c>
      <c r="D273" s="3" t="s">
        <v>146</v>
      </c>
      <c r="E273" s="6">
        <v>16.989999999999998</v>
      </c>
      <c r="F273" s="20">
        <v>7.99</v>
      </c>
      <c r="G273" s="21">
        <v>0</v>
      </c>
      <c r="H273" s="23">
        <f t="shared" si="16"/>
        <v>0</v>
      </c>
      <c r="I273" s="23">
        <f t="shared" si="17"/>
        <v>0</v>
      </c>
      <c r="J273" s="23">
        <f t="shared" si="18"/>
        <v>0</v>
      </c>
      <c r="K273" s="24">
        <f t="shared" si="19"/>
        <v>0</v>
      </c>
      <c r="L273" s="20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5">
        <v>0</v>
      </c>
      <c r="V273" s="61">
        <f>IFERROR(LOOKUP($C273,#REF!,#REF!),0)</f>
        <v>0</v>
      </c>
      <c r="W273" s="61">
        <f>IFERROR(LOOKUP($C273,#REF!,#REF!),0)</f>
        <v>0</v>
      </c>
      <c r="X273" s="61">
        <f>IFERROR(LOOKUP($C273,#REF!,#REF!),0)</f>
        <v>0</v>
      </c>
      <c r="Y273" s="61">
        <f>IFERROR(LOOKUP($C273,#REF!,#REF!),0)</f>
        <v>0</v>
      </c>
    </row>
    <row r="274" spans="1:27" ht="16.5" customHeight="1" x14ac:dyDescent="0.35">
      <c r="A274" s="3" t="s">
        <v>35</v>
      </c>
      <c r="B274" s="4">
        <v>101</v>
      </c>
      <c r="C274" s="5">
        <v>32858</v>
      </c>
      <c r="D274" s="3" t="s">
        <v>34</v>
      </c>
      <c r="E274" s="6">
        <v>3.8</v>
      </c>
      <c r="F274" s="20">
        <v>2.0770666666666702</v>
      </c>
      <c r="G274" s="21">
        <v>0</v>
      </c>
      <c r="H274" s="23">
        <f t="shared" si="16"/>
        <v>0</v>
      </c>
      <c r="I274" s="23">
        <f t="shared" si="17"/>
        <v>0</v>
      </c>
      <c r="J274" s="23">
        <f t="shared" si="18"/>
        <v>0</v>
      </c>
      <c r="K274" s="24">
        <f t="shared" si="19"/>
        <v>0</v>
      </c>
      <c r="L274" s="20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5">
        <v>0</v>
      </c>
      <c r="V274" s="61">
        <f>IFERROR(LOOKUP($C274,#REF!,#REF!),0)</f>
        <v>0</v>
      </c>
      <c r="W274" s="61">
        <f>IFERROR(LOOKUP($C274,#REF!,#REF!),0)</f>
        <v>0</v>
      </c>
      <c r="X274" s="61">
        <f>IFERROR(LOOKUP($C274,#REF!,#REF!),0)</f>
        <v>0</v>
      </c>
      <c r="Y274" s="61">
        <f>IFERROR(LOOKUP($C274,#REF!,#REF!),0)</f>
        <v>0</v>
      </c>
    </row>
    <row r="275" spans="1:27" ht="16.5" customHeight="1" x14ac:dyDescent="0.35">
      <c r="A275" s="3" t="s">
        <v>35</v>
      </c>
      <c r="B275" s="4">
        <v>102</v>
      </c>
      <c r="C275" s="5">
        <v>33032</v>
      </c>
      <c r="D275" s="3" t="s">
        <v>160</v>
      </c>
      <c r="E275" s="6">
        <v>28.99</v>
      </c>
      <c r="F275" s="20">
        <v>14.6126666666667</v>
      </c>
      <c r="G275" s="21">
        <v>0</v>
      </c>
      <c r="H275" s="23">
        <f t="shared" si="16"/>
        <v>0</v>
      </c>
      <c r="I275" s="23">
        <f t="shared" si="17"/>
        <v>0</v>
      </c>
      <c r="J275" s="23">
        <f t="shared" si="18"/>
        <v>0</v>
      </c>
      <c r="K275" s="24">
        <f t="shared" si="19"/>
        <v>0</v>
      </c>
      <c r="L275" s="20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5">
        <v>0</v>
      </c>
      <c r="V275" s="61">
        <f>IFERROR(LOOKUP($C275,#REF!,#REF!),0)</f>
        <v>0</v>
      </c>
      <c r="W275" s="61">
        <f>IFERROR(LOOKUP($C275,#REF!,#REF!),0)</f>
        <v>0</v>
      </c>
      <c r="X275" s="61">
        <f>IFERROR(LOOKUP($C275,#REF!,#REF!),0)</f>
        <v>0</v>
      </c>
      <c r="Y275" s="61">
        <f>IFERROR(LOOKUP($C275,#REF!,#REF!),0)</f>
        <v>0</v>
      </c>
    </row>
    <row r="276" spans="1:27" ht="16.5" customHeight="1" x14ac:dyDescent="0.35">
      <c r="A276" s="3" t="s">
        <v>35</v>
      </c>
      <c r="B276" s="4">
        <v>101</v>
      </c>
      <c r="C276" s="5">
        <v>34687</v>
      </c>
      <c r="D276" s="3" t="s">
        <v>40</v>
      </c>
      <c r="E276" s="6">
        <v>3.8</v>
      </c>
      <c r="F276" s="20">
        <v>2.0770666666666702</v>
      </c>
      <c r="G276" s="21">
        <v>0</v>
      </c>
      <c r="H276" s="23">
        <f t="shared" si="16"/>
        <v>0</v>
      </c>
      <c r="I276" s="23">
        <f t="shared" si="17"/>
        <v>0</v>
      </c>
      <c r="J276" s="23">
        <f t="shared" si="18"/>
        <v>0</v>
      </c>
      <c r="K276" s="24">
        <f t="shared" si="19"/>
        <v>0</v>
      </c>
      <c r="L276" s="20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5">
        <v>0</v>
      </c>
      <c r="V276" s="61">
        <f>IFERROR(LOOKUP($C276,#REF!,#REF!),0)</f>
        <v>0</v>
      </c>
      <c r="W276" s="61">
        <f>IFERROR(LOOKUP($C276,#REF!,#REF!),0)</f>
        <v>0</v>
      </c>
      <c r="X276" s="61">
        <f>IFERROR(LOOKUP($C276,#REF!,#REF!),0)</f>
        <v>0</v>
      </c>
      <c r="Y276" s="61">
        <f>IFERROR(LOOKUP($C276,#REF!,#REF!),0)</f>
        <v>0</v>
      </c>
    </row>
    <row r="277" spans="1:27" ht="16.5" customHeight="1" x14ac:dyDescent="0.35">
      <c r="A277" s="3" t="s">
        <v>35</v>
      </c>
      <c r="B277" s="4">
        <v>102</v>
      </c>
      <c r="C277" s="5">
        <v>38815</v>
      </c>
      <c r="D277" s="3" t="s">
        <v>184</v>
      </c>
      <c r="E277" s="6">
        <v>10.85</v>
      </c>
      <c r="F277" s="20">
        <v>5.9984999999999999</v>
      </c>
      <c r="G277" s="21">
        <v>0</v>
      </c>
      <c r="H277" s="23">
        <f t="shared" si="16"/>
        <v>0</v>
      </c>
      <c r="I277" s="23">
        <f t="shared" si="17"/>
        <v>0</v>
      </c>
      <c r="J277" s="23">
        <f t="shared" si="18"/>
        <v>0</v>
      </c>
      <c r="K277" s="24">
        <f t="shared" si="19"/>
        <v>0</v>
      </c>
      <c r="L277" s="20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5">
        <v>0</v>
      </c>
      <c r="V277" s="61">
        <f>IFERROR(LOOKUP($C277,#REF!,#REF!),0)</f>
        <v>0</v>
      </c>
      <c r="W277" s="61">
        <f>IFERROR(LOOKUP($C277,#REF!,#REF!),0)</f>
        <v>0</v>
      </c>
      <c r="X277" s="61">
        <f>IFERROR(LOOKUP($C277,#REF!,#REF!),0)</f>
        <v>0</v>
      </c>
      <c r="Y277" s="61">
        <f>IFERROR(LOOKUP($C277,#REF!,#REF!),0)</f>
        <v>0</v>
      </c>
    </row>
    <row r="278" spans="1:27" ht="16.5" customHeight="1" x14ac:dyDescent="0.35">
      <c r="A278" s="3" t="s">
        <v>35</v>
      </c>
      <c r="B278" s="4">
        <v>102</v>
      </c>
      <c r="C278" s="5">
        <v>38816</v>
      </c>
      <c r="D278" s="3" t="s">
        <v>185</v>
      </c>
      <c r="E278" s="6">
        <v>7.99</v>
      </c>
      <c r="F278" s="20">
        <v>4.1159999999999997</v>
      </c>
      <c r="G278" s="21">
        <v>0</v>
      </c>
      <c r="H278" s="23">
        <f t="shared" si="16"/>
        <v>0</v>
      </c>
      <c r="I278" s="23">
        <f t="shared" si="17"/>
        <v>0</v>
      </c>
      <c r="J278" s="23">
        <f t="shared" si="18"/>
        <v>0</v>
      </c>
      <c r="K278" s="24">
        <f t="shared" si="19"/>
        <v>0</v>
      </c>
      <c r="L278" s="20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5">
        <v>0</v>
      </c>
      <c r="V278" s="61">
        <f>IFERROR(LOOKUP($C278,#REF!,#REF!),0)</f>
        <v>0</v>
      </c>
      <c r="W278" s="61">
        <f>IFERROR(LOOKUP($C278,#REF!,#REF!),0)</f>
        <v>0</v>
      </c>
      <c r="X278" s="61">
        <f>IFERROR(LOOKUP($C278,#REF!,#REF!),0)</f>
        <v>0</v>
      </c>
      <c r="Y278" s="61">
        <f>IFERROR(LOOKUP($C278,#REF!,#REF!),0)</f>
        <v>0</v>
      </c>
    </row>
    <row r="279" spans="1:27" ht="16.5" customHeight="1" x14ac:dyDescent="0.35">
      <c r="A279" s="3" t="s">
        <v>35</v>
      </c>
      <c r="B279" s="4">
        <v>102</v>
      </c>
      <c r="C279" s="5">
        <v>38908</v>
      </c>
      <c r="D279" s="3" t="s">
        <v>186</v>
      </c>
      <c r="E279" s="6">
        <v>7.99</v>
      </c>
      <c r="F279" s="20">
        <v>4.3630833333333303</v>
      </c>
      <c r="G279" s="21">
        <v>0</v>
      </c>
      <c r="H279" s="23">
        <f t="shared" si="16"/>
        <v>0</v>
      </c>
      <c r="I279" s="23">
        <f t="shared" si="17"/>
        <v>0</v>
      </c>
      <c r="J279" s="23">
        <f t="shared" si="18"/>
        <v>0</v>
      </c>
      <c r="K279" s="24">
        <f t="shared" si="19"/>
        <v>0</v>
      </c>
      <c r="L279" s="20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5">
        <v>0</v>
      </c>
      <c r="V279" s="61">
        <f>IFERROR(LOOKUP($C279,#REF!,#REF!),0)</f>
        <v>0</v>
      </c>
      <c r="W279" s="61">
        <f>IFERROR(LOOKUP($C279,#REF!,#REF!),0)</f>
        <v>0</v>
      </c>
      <c r="X279" s="61">
        <f>IFERROR(LOOKUP($C279,#REF!,#REF!),0)</f>
        <v>0</v>
      </c>
      <c r="Y279" s="61">
        <f>IFERROR(LOOKUP($C279,#REF!,#REF!),0)</f>
        <v>0</v>
      </c>
    </row>
    <row r="280" spans="1:27" ht="16.5" customHeight="1" x14ac:dyDescent="0.35">
      <c r="A280" s="3" t="s">
        <v>35</v>
      </c>
      <c r="B280" s="4">
        <v>102</v>
      </c>
      <c r="C280" s="5">
        <v>38983</v>
      </c>
      <c r="D280" s="3" t="s">
        <v>187</v>
      </c>
      <c r="E280" s="6">
        <v>10.85</v>
      </c>
      <c r="F280" s="20">
        <v>5.9984999999999999</v>
      </c>
      <c r="G280" s="21">
        <v>0</v>
      </c>
      <c r="H280" s="23">
        <f t="shared" si="16"/>
        <v>0</v>
      </c>
      <c r="I280" s="23">
        <f t="shared" si="17"/>
        <v>0</v>
      </c>
      <c r="J280" s="23">
        <f t="shared" si="18"/>
        <v>0</v>
      </c>
      <c r="K280" s="24">
        <f t="shared" si="19"/>
        <v>0</v>
      </c>
      <c r="L280" s="20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5">
        <v>0</v>
      </c>
      <c r="V280" s="61">
        <f>IFERROR(LOOKUP($C280,#REF!,#REF!),0)</f>
        <v>0</v>
      </c>
      <c r="W280" s="61">
        <f>IFERROR(LOOKUP($C280,#REF!,#REF!),0)</f>
        <v>0</v>
      </c>
      <c r="X280" s="61">
        <f>IFERROR(LOOKUP($C280,#REF!,#REF!),0)</f>
        <v>0</v>
      </c>
      <c r="Y280" s="61">
        <f>IFERROR(LOOKUP($C280,#REF!,#REF!),0)</f>
        <v>0</v>
      </c>
    </row>
    <row r="281" spans="1:27" ht="16.5" customHeight="1" x14ac:dyDescent="0.35">
      <c r="A281" s="3" t="s">
        <v>35</v>
      </c>
      <c r="B281" s="4">
        <v>102</v>
      </c>
      <c r="C281" s="5">
        <v>39025</v>
      </c>
      <c r="D281" s="3" t="s">
        <v>188</v>
      </c>
      <c r="E281" s="6">
        <v>330.99</v>
      </c>
      <c r="F281" s="20">
        <v>182.6</v>
      </c>
      <c r="G281" s="21">
        <v>0</v>
      </c>
      <c r="H281" s="23">
        <f t="shared" si="16"/>
        <v>0</v>
      </c>
      <c r="I281" s="23">
        <f t="shared" si="17"/>
        <v>0</v>
      </c>
      <c r="J281" s="23">
        <f t="shared" si="18"/>
        <v>0</v>
      </c>
      <c r="K281" s="24">
        <f t="shared" si="19"/>
        <v>0</v>
      </c>
      <c r="L281" s="20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5">
        <v>0</v>
      </c>
      <c r="V281" s="61">
        <f>IFERROR(LOOKUP($C281,#REF!,#REF!),0)</f>
        <v>0</v>
      </c>
      <c r="W281" s="61">
        <f>IFERROR(LOOKUP($C281,#REF!,#REF!),0)</f>
        <v>0</v>
      </c>
      <c r="X281" s="61">
        <f>IFERROR(LOOKUP($C281,#REF!,#REF!),0)</f>
        <v>0</v>
      </c>
      <c r="Y281" s="61">
        <f>IFERROR(LOOKUP($C281,#REF!,#REF!),0)</f>
        <v>0</v>
      </c>
    </row>
    <row r="282" spans="1:27" ht="16.5" customHeight="1" x14ac:dyDescent="0.35">
      <c r="A282" s="3" t="s">
        <v>35</v>
      </c>
      <c r="B282" s="4">
        <v>102</v>
      </c>
      <c r="C282" s="5">
        <v>39421</v>
      </c>
      <c r="D282" s="3" t="s">
        <v>189</v>
      </c>
      <c r="E282" s="6">
        <v>28.99</v>
      </c>
      <c r="F282" s="20">
        <v>15.703250000000001</v>
      </c>
      <c r="G282" s="21">
        <v>0</v>
      </c>
      <c r="H282" s="23">
        <f t="shared" si="16"/>
        <v>0</v>
      </c>
      <c r="I282" s="23">
        <f t="shared" si="17"/>
        <v>0</v>
      </c>
      <c r="J282" s="23">
        <f t="shared" si="18"/>
        <v>0</v>
      </c>
      <c r="K282" s="24">
        <f t="shared" si="19"/>
        <v>0</v>
      </c>
      <c r="L282" s="20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5">
        <v>0</v>
      </c>
      <c r="V282" s="61">
        <f>IFERROR(LOOKUP($C282,#REF!,#REF!),0)</f>
        <v>0</v>
      </c>
      <c r="W282" s="61">
        <f>IFERROR(LOOKUP($C282,#REF!,#REF!),0)</f>
        <v>0</v>
      </c>
      <c r="X282" s="61">
        <f>IFERROR(LOOKUP($C282,#REF!,#REF!),0)</f>
        <v>0</v>
      </c>
      <c r="Y282" s="61">
        <f>IFERROR(LOOKUP($C282,#REF!,#REF!),0)</f>
        <v>0</v>
      </c>
    </row>
    <row r="283" spans="1:27" ht="16.5" customHeight="1" x14ac:dyDescent="0.35">
      <c r="A283" s="3" t="s">
        <v>35</v>
      </c>
      <c r="B283" s="4">
        <v>102</v>
      </c>
      <c r="C283" s="5">
        <v>39963</v>
      </c>
      <c r="D283" s="3" t="s">
        <v>190</v>
      </c>
      <c r="E283" s="6">
        <v>5.4</v>
      </c>
      <c r="F283" s="20">
        <v>2.9407999999999999</v>
      </c>
      <c r="G283" s="21">
        <v>0</v>
      </c>
      <c r="H283" s="23">
        <f t="shared" si="16"/>
        <v>0</v>
      </c>
      <c r="I283" s="23">
        <f t="shared" si="17"/>
        <v>0</v>
      </c>
      <c r="J283" s="23">
        <f t="shared" si="18"/>
        <v>0</v>
      </c>
      <c r="K283" s="24">
        <f t="shared" si="19"/>
        <v>0</v>
      </c>
      <c r="L283" s="20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5">
        <v>0</v>
      </c>
      <c r="V283" s="61">
        <f>IFERROR(LOOKUP($C283,#REF!,#REF!),0)</f>
        <v>0</v>
      </c>
      <c r="W283" s="61">
        <f>IFERROR(LOOKUP($C283,#REF!,#REF!),0)</f>
        <v>0</v>
      </c>
      <c r="X283" s="61">
        <f>IFERROR(LOOKUP($C283,#REF!,#REF!),0)</f>
        <v>0</v>
      </c>
      <c r="Y283" s="61">
        <f>IFERROR(LOOKUP($C283,#REF!,#REF!),0)</f>
        <v>0</v>
      </c>
    </row>
    <row r="284" spans="1:27" ht="16.5" customHeight="1" x14ac:dyDescent="0.35">
      <c r="A284" s="3" t="s">
        <v>35</v>
      </c>
      <c r="B284" s="4">
        <v>102</v>
      </c>
      <c r="C284" s="5">
        <v>40364</v>
      </c>
      <c r="D284" s="3" t="s">
        <v>191</v>
      </c>
      <c r="E284" s="6">
        <v>4.99</v>
      </c>
      <c r="F284" s="20">
        <v>2.8072499999999998</v>
      </c>
      <c r="G284" s="21">
        <v>0</v>
      </c>
      <c r="H284" s="23">
        <f t="shared" si="16"/>
        <v>0</v>
      </c>
      <c r="I284" s="23">
        <f t="shared" si="17"/>
        <v>0</v>
      </c>
      <c r="J284" s="23">
        <f t="shared" si="18"/>
        <v>0</v>
      </c>
      <c r="K284" s="24">
        <f t="shared" si="19"/>
        <v>0</v>
      </c>
      <c r="L284" s="20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5">
        <v>0</v>
      </c>
      <c r="V284" s="61">
        <f>IFERROR(LOOKUP($C284,#REF!,#REF!),0)</f>
        <v>0</v>
      </c>
      <c r="W284" s="61">
        <f>IFERROR(LOOKUP($C284,#REF!,#REF!),0)</f>
        <v>0</v>
      </c>
      <c r="X284" s="61">
        <f>IFERROR(LOOKUP($C284,#REF!,#REF!),0)</f>
        <v>0</v>
      </c>
      <c r="Y284" s="61">
        <f>IFERROR(LOOKUP($C284,#REF!,#REF!),0)</f>
        <v>0</v>
      </c>
    </row>
    <row r="285" spans="1:27" ht="16.5" customHeight="1" x14ac:dyDescent="0.35">
      <c r="A285" s="3" t="s">
        <v>35</v>
      </c>
      <c r="B285" s="4">
        <v>102</v>
      </c>
      <c r="C285" s="5">
        <v>48620</v>
      </c>
      <c r="D285" s="3" t="s">
        <v>153</v>
      </c>
      <c r="E285" s="6">
        <v>37.99</v>
      </c>
      <c r="F285" s="20">
        <v>19.462499999999999</v>
      </c>
      <c r="G285" s="21">
        <v>0</v>
      </c>
      <c r="H285" s="23">
        <f t="shared" si="16"/>
        <v>0</v>
      </c>
      <c r="I285" s="23">
        <f t="shared" si="17"/>
        <v>0</v>
      </c>
      <c r="J285" s="23">
        <f t="shared" si="18"/>
        <v>0</v>
      </c>
      <c r="K285" s="24">
        <f t="shared" si="19"/>
        <v>0</v>
      </c>
      <c r="L285" s="20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5">
        <v>0</v>
      </c>
      <c r="V285" s="61">
        <f>IFERROR(LOOKUP($C285,#REF!,#REF!),0)</f>
        <v>0</v>
      </c>
      <c r="W285" s="61">
        <f>IFERROR(LOOKUP($C285,#REF!,#REF!),0)</f>
        <v>0</v>
      </c>
      <c r="X285" s="61">
        <f>IFERROR(LOOKUP($C285,#REF!,#REF!),0)</f>
        <v>0</v>
      </c>
      <c r="Y285" s="61">
        <f>IFERROR(LOOKUP($C285,#REF!,#REF!),0)</f>
        <v>0</v>
      </c>
      <c r="AA285" s="1" t="s">
        <v>338</v>
      </c>
    </row>
    <row r="286" spans="1:27" ht="16.5" customHeight="1" x14ac:dyDescent="0.35">
      <c r="A286" s="3" t="s">
        <v>35</v>
      </c>
      <c r="B286" s="4">
        <v>102</v>
      </c>
      <c r="C286" s="5">
        <v>48683</v>
      </c>
      <c r="D286" s="3" t="s">
        <v>192</v>
      </c>
      <c r="E286" s="6">
        <v>11.99</v>
      </c>
      <c r="F286" s="20">
        <v>6.6272857142857102</v>
      </c>
      <c r="G286" s="21">
        <v>0</v>
      </c>
      <c r="H286" s="23">
        <f t="shared" si="16"/>
        <v>0</v>
      </c>
      <c r="I286" s="23">
        <f t="shared" si="17"/>
        <v>0</v>
      </c>
      <c r="J286" s="23">
        <f t="shared" si="18"/>
        <v>0</v>
      </c>
      <c r="K286" s="24">
        <f t="shared" si="19"/>
        <v>0</v>
      </c>
      <c r="L286" s="20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5">
        <v>0</v>
      </c>
      <c r="V286" s="61">
        <f>IFERROR(LOOKUP($C286,#REF!,#REF!),0)</f>
        <v>0</v>
      </c>
      <c r="W286" s="61">
        <f>IFERROR(LOOKUP($C286,#REF!,#REF!),0)</f>
        <v>0</v>
      </c>
      <c r="X286" s="61">
        <f>IFERROR(LOOKUP($C286,#REF!,#REF!),0)</f>
        <v>0</v>
      </c>
      <c r="Y286" s="61">
        <f>IFERROR(LOOKUP($C286,#REF!,#REF!),0)</f>
        <v>0</v>
      </c>
    </row>
    <row r="287" spans="1:27" ht="16.5" customHeight="1" x14ac:dyDescent="0.35">
      <c r="A287" s="3" t="s">
        <v>35</v>
      </c>
      <c r="B287" s="4">
        <v>102</v>
      </c>
      <c r="C287" s="5">
        <v>54652</v>
      </c>
      <c r="D287" s="3" t="s">
        <v>193</v>
      </c>
      <c r="E287" s="6">
        <v>21.99</v>
      </c>
      <c r="F287" s="20">
        <v>10.989750000000001</v>
      </c>
      <c r="G287" s="21">
        <v>0</v>
      </c>
      <c r="H287" s="23">
        <f t="shared" si="16"/>
        <v>0</v>
      </c>
      <c r="I287" s="23">
        <f t="shared" si="17"/>
        <v>0</v>
      </c>
      <c r="J287" s="23">
        <f t="shared" si="18"/>
        <v>0</v>
      </c>
      <c r="K287" s="24">
        <f t="shared" si="19"/>
        <v>0</v>
      </c>
      <c r="L287" s="20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5">
        <v>0</v>
      </c>
      <c r="V287" s="61">
        <f>IFERROR(LOOKUP($C287,#REF!,#REF!),0)</f>
        <v>0</v>
      </c>
      <c r="W287" s="61">
        <f>IFERROR(LOOKUP($C287,#REF!,#REF!),0)</f>
        <v>0</v>
      </c>
      <c r="X287" s="61">
        <f>IFERROR(LOOKUP($C287,#REF!,#REF!),0)</f>
        <v>0</v>
      </c>
      <c r="Y287" s="61">
        <f>IFERROR(LOOKUP($C287,#REF!,#REF!),0)</f>
        <v>0</v>
      </c>
    </row>
    <row r="288" spans="1:27" ht="16.5" customHeight="1" x14ac:dyDescent="0.35">
      <c r="A288" s="3" t="s">
        <v>35</v>
      </c>
      <c r="B288" s="4">
        <v>102</v>
      </c>
      <c r="C288" s="5">
        <v>63898</v>
      </c>
      <c r="D288" s="3" t="s">
        <v>198</v>
      </c>
      <c r="E288" s="6">
        <v>330.99</v>
      </c>
      <c r="F288" s="20">
        <v>179.16</v>
      </c>
      <c r="G288" s="21">
        <v>0</v>
      </c>
      <c r="H288" s="23">
        <f t="shared" si="16"/>
        <v>0</v>
      </c>
      <c r="I288" s="23">
        <f t="shared" si="17"/>
        <v>0</v>
      </c>
      <c r="J288" s="23">
        <f t="shared" si="18"/>
        <v>0</v>
      </c>
      <c r="K288" s="24">
        <f t="shared" si="19"/>
        <v>0</v>
      </c>
      <c r="L288" s="20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5">
        <v>0</v>
      </c>
      <c r="V288" s="61">
        <f>IFERROR(LOOKUP($C288,#REF!,#REF!),0)</f>
        <v>0</v>
      </c>
      <c r="W288" s="61">
        <f>IFERROR(LOOKUP($C288,#REF!,#REF!),0)</f>
        <v>0</v>
      </c>
      <c r="X288" s="61">
        <f>IFERROR(LOOKUP($C288,#REF!,#REF!),0)</f>
        <v>0</v>
      </c>
      <c r="Y288" s="61">
        <f>IFERROR(LOOKUP($C288,#REF!,#REF!),0)</f>
        <v>0</v>
      </c>
    </row>
    <row r="289" spans="1:25" ht="16.5" customHeight="1" x14ac:dyDescent="0.35">
      <c r="A289" s="3" t="s">
        <v>35</v>
      </c>
      <c r="B289" s="4">
        <v>102</v>
      </c>
      <c r="C289" s="5">
        <v>66308</v>
      </c>
      <c r="D289" s="3" t="s">
        <v>199</v>
      </c>
      <c r="E289" s="6">
        <v>10.85</v>
      </c>
      <c r="F289" s="20">
        <v>5.6589999999999998</v>
      </c>
      <c r="G289" s="21">
        <v>0</v>
      </c>
      <c r="H289" s="23">
        <f t="shared" si="16"/>
        <v>0</v>
      </c>
      <c r="I289" s="23">
        <f t="shared" si="17"/>
        <v>0</v>
      </c>
      <c r="J289" s="23">
        <f t="shared" si="18"/>
        <v>0</v>
      </c>
      <c r="K289" s="24">
        <f t="shared" si="19"/>
        <v>0</v>
      </c>
      <c r="L289" s="20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5">
        <v>0</v>
      </c>
      <c r="V289" s="61">
        <f>IFERROR(LOOKUP($C289,#REF!,#REF!),0)</f>
        <v>0</v>
      </c>
      <c r="W289" s="61">
        <f>IFERROR(LOOKUP($C289,#REF!,#REF!),0)</f>
        <v>0</v>
      </c>
      <c r="X289" s="61">
        <f>IFERROR(LOOKUP($C289,#REF!,#REF!),0)</f>
        <v>0</v>
      </c>
      <c r="Y289" s="61">
        <f>IFERROR(LOOKUP($C289,#REF!,#REF!),0)</f>
        <v>0</v>
      </c>
    </row>
    <row r="290" spans="1:25" ht="16.5" customHeight="1" x14ac:dyDescent="0.35">
      <c r="A290" s="3" t="s">
        <v>35</v>
      </c>
      <c r="B290" s="4">
        <v>101</v>
      </c>
      <c r="C290" s="5">
        <v>66806</v>
      </c>
      <c r="D290" s="3" t="s">
        <v>81</v>
      </c>
      <c r="E290" s="6">
        <v>33.99</v>
      </c>
      <c r="F290" s="20">
        <v>17.418749999999999</v>
      </c>
      <c r="G290" s="21">
        <v>0</v>
      </c>
      <c r="H290" s="23">
        <f t="shared" si="16"/>
        <v>0</v>
      </c>
      <c r="I290" s="23">
        <f t="shared" si="17"/>
        <v>0</v>
      </c>
      <c r="J290" s="23">
        <f t="shared" si="18"/>
        <v>0</v>
      </c>
      <c r="K290" s="24">
        <f t="shared" si="19"/>
        <v>0</v>
      </c>
      <c r="L290" s="20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5">
        <v>0</v>
      </c>
      <c r="V290" s="61">
        <f>IFERROR(LOOKUP($C290,#REF!,#REF!),0)</f>
        <v>0</v>
      </c>
      <c r="W290" s="61">
        <f>IFERROR(LOOKUP($C290,#REF!,#REF!),0)</f>
        <v>0</v>
      </c>
      <c r="X290" s="61">
        <f>IFERROR(LOOKUP($C290,#REF!,#REF!),0)</f>
        <v>0</v>
      </c>
      <c r="Y290" s="61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3656E-9C1E-4DD1-B348-1FFDD7EA9C4B}">
  <sheetPr codeName="Sheet2"/>
  <dimension ref="A1:L275"/>
  <sheetViews>
    <sheetView workbookViewId="0">
      <pane xSplit="6" topLeftCell="G1" activePane="topRight" state="frozenSplit"/>
      <selection pane="topRight" activeCell="G3" sqref="G3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" customWidth="1"/>
    <col min="7" max="12" width="12.69921875" style="1" customWidth="1"/>
    <col min="13" max="248" width="10.69921875" style="1"/>
    <col min="249" max="249" width="21.5" style="1" customWidth="1"/>
    <col min="250" max="250" width="6.796875" style="1" customWidth="1"/>
    <col min="251" max="251" width="9.796875" style="1" customWidth="1"/>
    <col min="252" max="252" width="28.19921875" style="1" customWidth="1"/>
    <col min="253" max="254" width="8.19921875" style="1" customWidth="1"/>
    <col min="255" max="260" width="12.69921875" style="1" customWidth="1"/>
    <col min="261" max="261" width="10.69921875" style="1"/>
    <col min="262" max="262" width="23.5" style="1" bestFit="1" customWidth="1"/>
    <col min="263" max="263" width="6.59765625" style="1" bestFit="1" customWidth="1"/>
    <col min="264" max="264" width="37.8984375" style="1" bestFit="1" customWidth="1"/>
    <col min="265" max="265" width="71.3984375" style="1" bestFit="1" customWidth="1"/>
    <col min="266" max="266" width="13.296875" style="1" bestFit="1" customWidth="1"/>
    <col min="267" max="504" width="10.69921875" style="1"/>
    <col min="505" max="505" width="21.5" style="1" customWidth="1"/>
    <col min="506" max="506" width="6.796875" style="1" customWidth="1"/>
    <col min="507" max="507" width="9.796875" style="1" customWidth="1"/>
    <col min="508" max="508" width="28.19921875" style="1" customWidth="1"/>
    <col min="509" max="510" width="8.19921875" style="1" customWidth="1"/>
    <col min="511" max="516" width="12.69921875" style="1" customWidth="1"/>
    <col min="517" max="517" width="10.69921875" style="1"/>
    <col min="518" max="518" width="23.5" style="1" bestFit="1" customWidth="1"/>
    <col min="519" max="519" width="6.59765625" style="1" bestFit="1" customWidth="1"/>
    <col min="520" max="520" width="37.8984375" style="1" bestFit="1" customWidth="1"/>
    <col min="521" max="521" width="71.3984375" style="1" bestFit="1" customWidth="1"/>
    <col min="522" max="522" width="13.296875" style="1" bestFit="1" customWidth="1"/>
    <col min="523" max="760" width="10.69921875" style="1"/>
    <col min="761" max="761" width="21.5" style="1" customWidth="1"/>
    <col min="762" max="762" width="6.796875" style="1" customWidth="1"/>
    <col min="763" max="763" width="9.796875" style="1" customWidth="1"/>
    <col min="764" max="764" width="28.19921875" style="1" customWidth="1"/>
    <col min="765" max="766" width="8.19921875" style="1" customWidth="1"/>
    <col min="767" max="772" width="12.69921875" style="1" customWidth="1"/>
    <col min="773" max="773" width="10.69921875" style="1"/>
    <col min="774" max="774" width="23.5" style="1" bestFit="1" customWidth="1"/>
    <col min="775" max="775" width="6.59765625" style="1" bestFit="1" customWidth="1"/>
    <col min="776" max="776" width="37.8984375" style="1" bestFit="1" customWidth="1"/>
    <col min="777" max="777" width="71.3984375" style="1" bestFit="1" customWidth="1"/>
    <col min="778" max="778" width="13.296875" style="1" bestFit="1" customWidth="1"/>
    <col min="779" max="1016" width="10.69921875" style="1"/>
    <col min="1017" max="1017" width="21.5" style="1" customWidth="1"/>
    <col min="1018" max="1018" width="6.796875" style="1" customWidth="1"/>
    <col min="1019" max="1019" width="9.796875" style="1" customWidth="1"/>
    <col min="1020" max="1020" width="28.19921875" style="1" customWidth="1"/>
    <col min="1021" max="1022" width="8.19921875" style="1" customWidth="1"/>
    <col min="1023" max="1028" width="12.69921875" style="1" customWidth="1"/>
    <col min="1029" max="1029" width="10.69921875" style="1"/>
    <col min="1030" max="1030" width="23.5" style="1" bestFit="1" customWidth="1"/>
    <col min="1031" max="1031" width="6.59765625" style="1" bestFit="1" customWidth="1"/>
    <col min="1032" max="1032" width="37.8984375" style="1" bestFit="1" customWidth="1"/>
    <col min="1033" max="1033" width="71.3984375" style="1" bestFit="1" customWidth="1"/>
    <col min="1034" max="1034" width="13.296875" style="1" bestFit="1" customWidth="1"/>
    <col min="1035" max="1272" width="10.69921875" style="1"/>
    <col min="1273" max="1273" width="21.5" style="1" customWidth="1"/>
    <col min="1274" max="1274" width="6.796875" style="1" customWidth="1"/>
    <col min="1275" max="1275" width="9.796875" style="1" customWidth="1"/>
    <col min="1276" max="1276" width="28.19921875" style="1" customWidth="1"/>
    <col min="1277" max="1278" width="8.19921875" style="1" customWidth="1"/>
    <col min="1279" max="1284" width="12.69921875" style="1" customWidth="1"/>
    <col min="1285" max="1285" width="10.69921875" style="1"/>
    <col min="1286" max="1286" width="23.5" style="1" bestFit="1" customWidth="1"/>
    <col min="1287" max="1287" width="6.59765625" style="1" bestFit="1" customWidth="1"/>
    <col min="1288" max="1288" width="37.8984375" style="1" bestFit="1" customWidth="1"/>
    <col min="1289" max="1289" width="71.3984375" style="1" bestFit="1" customWidth="1"/>
    <col min="1290" max="1290" width="13.296875" style="1" bestFit="1" customWidth="1"/>
    <col min="1291" max="1528" width="10.69921875" style="1"/>
    <col min="1529" max="1529" width="21.5" style="1" customWidth="1"/>
    <col min="1530" max="1530" width="6.796875" style="1" customWidth="1"/>
    <col min="1531" max="1531" width="9.796875" style="1" customWidth="1"/>
    <col min="1532" max="1532" width="28.19921875" style="1" customWidth="1"/>
    <col min="1533" max="1534" width="8.19921875" style="1" customWidth="1"/>
    <col min="1535" max="1540" width="12.69921875" style="1" customWidth="1"/>
    <col min="1541" max="1541" width="10.69921875" style="1"/>
    <col min="1542" max="1542" width="23.5" style="1" bestFit="1" customWidth="1"/>
    <col min="1543" max="1543" width="6.59765625" style="1" bestFit="1" customWidth="1"/>
    <col min="1544" max="1544" width="37.8984375" style="1" bestFit="1" customWidth="1"/>
    <col min="1545" max="1545" width="71.3984375" style="1" bestFit="1" customWidth="1"/>
    <col min="1546" max="1546" width="13.296875" style="1" bestFit="1" customWidth="1"/>
    <col min="1547" max="1784" width="10.69921875" style="1"/>
    <col min="1785" max="1785" width="21.5" style="1" customWidth="1"/>
    <col min="1786" max="1786" width="6.796875" style="1" customWidth="1"/>
    <col min="1787" max="1787" width="9.796875" style="1" customWidth="1"/>
    <col min="1788" max="1788" width="28.19921875" style="1" customWidth="1"/>
    <col min="1789" max="1790" width="8.19921875" style="1" customWidth="1"/>
    <col min="1791" max="1796" width="12.69921875" style="1" customWidth="1"/>
    <col min="1797" max="1797" width="10.69921875" style="1"/>
    <col min="1798" max="1798" width="23.5" style="1" bestFit="1" customWidth="1"/>
    <col min="1799" max="1799" width="6.59765625" style="1" bestFit="1" customWidth="1"/>
    <col min="1800" max="1800" width="37.8984375" style="1" bestFit="1" customWidth="1"/>
    <col min="1801" max="1801" width="71.3984375" style="1" bestFit="1" customWidth="1"/>
    <col min="1802" max="1802" width="13.296875" style="1" bestFit="1" customWidth="1"/>
    <col min="1803" max="2040" width="10.69921875" style="1"/>
    <col min="2041" max="2041" width="21.5" style="1" customWidth="1"/>
    <col min="2042" max="2042" width="6.796875" style="1" customWidth="1"/>
    <col min="2043" max="2043" width="9.796875" style="1" customWidth="1"/>
    <col min="2044" max="2044" width="28.19921875" style="1" customWidth="1"/>
    <col min="2045" max="2046" width="8.19921875" style="1" customWidth="1"/>
    <col min="2047" max="2052" width="12.69921875" style="1" customWidth="1"/>
    <col min="2053" max="2053" width="10.69921875" style="1"/>
    <col min="2054" max="2054" width="23.5" style="1" bestFit="1" customWidth="1"/>
    <col min="2055" max="2055" width="6.59765625" style="1" bestFit="1" customWidth="1"/>
    <col min="2056" max="2056" width="37.8984375" style="1" bestFit="1" customWidth="1"/>
    <col min="2057" max="2057" width="71.3984375" style="1" bestFit="1" customWidth="1"/>
    <col min="2058" max="2058" width="13.296875" style="1" bestFit="1" customWidth="1"/>
    <col min="2059" max="2296" width="10.69921875" style="1"/>
    <col min="2297" max="2297" width="21.5" style="1" customWidth="1"/>
    <col min="2298" max="2298" width="6.796875" style="1" customWidth="1"/>
    <col min="2299" max="2299" width="9.796875" style="1" customWidth="1"/>
    <col min="2300" max="2300" width="28.19921875" style="1" customWidth="1"/>
    <col min="2301" max="2302" width="8.19921875" style="1" customWidth="1"/>
    <col min="2303" max="2308" width="12.69921875" style="1" customWidth="1"/>
    <col min="2309" max="2309" width="10.69921875" style="1"/>
    <col min="2310" max="2310" width="23.5" style="1" bestFit="1" customWidth="1"/>
    <col min="2311" max="2311" width="6.59765625" style="1" bestFit="1" customWidth="1"/>
    <col min="2312" max="2312" width="37.8984375" style="1" bestFit="1" customWidth="1"/>
    <col min="2313" max="2313" width="71.3984375" style="1" bestFit="1" customWidth="1"/>
    <col min="2314" max="2314" width="13.296875" style="1" bestFit="1" customWidth="1"/>
    <col min="2315" max="2552" width="10.69921875" style="1"/>
    <col min="2553" max="2553" width="21.5" style="1" customWidth="1"/>
    <col min="2554" max="2554" width="6.796875" style="1" customWidth="1"/>
    <col min="2555" max="2555" width="9.796875" style="1" customWidth="1"/>
    <col min="2556" max="2556" width="28.19921875" style="1" customWidth="1"/>
    <col min="2557" max="2558" width="8.19921875" style="1" customWidth="1"/>
    <col min="2559" max="2564" width="12.69921875" style="1" customWidth="1"/>
    <col min="2565" max="2565" width="10.69921875" style="1"/>
    <col min="2566" max="2566" width="23.5" style="1" bestFit="1" customWidth="1"/>
    <col min="2567" max="2567" width="6.59765625" style="1" bestFit="1" customWidth="1"/>
    <col min="2568" max="2568" width="37.8984375" style="1" bestFit="1" customWidth="1"/>
    <col min="2569" max="2569" width="71.3984375" style="1" bestFit="1" customWidth="1"/>
    <col min="2570" max="2570" width="13.296875" style="1" bestFit="1" customWidth="1"/>
    <col min="2571" max="2808" width="10.69921875" style="1"/>
    <col min="2809" max="2809" width="21.5" style="1" customWidth="1"/>
    <col min="2810" max="2810" width="6.796875" style="1" customWidth="1"/>
    <col min="2811" max="2811" width="9.796875" style="1" customWidth="1"/>
    <col min="2812" max="2812" width="28.19921875" style="1" customWidth="1"/>
    <col min="2813" max="2814" width="8.19921875" style="1" customWidth="1"/>
    <col min="2815" max="2820" width="12.69921875" style="1" customWidth="1"/>
    <col min="2821" max="2821" width="10.69921875" style="1"/>
    <col min="2822" max="2822" width="23.5" style="1" bestFit="1" customWidth="1"/>
    <col min="2823" max="2823" width="6.59765625" style="1" bestFit="1" customWidth="1"/>
    <col min="2824" max="2824" width="37.8984375" style="1" bestFit="1" customWidth="1"/>
    <col min="2825" max="2825" width="71.3984375" style="1" bestFit="1" customWidth="1"/>
    <col min="2826" max="2826" width="13.296875" style="1" bestFit="1" customWidth="1"/>
    <col min="2827" max="3064" width="10.69921875" style="1"/>
    <col min="3065" max="3065" width="21.5" style="1" customWidth="1"/>
    <col min="3066" max="3066" width="6.796875" style="1" customWidth="1"/>
    <col min="3067" max="3067" width="9.796875" style="1" customWidth="1"/>
    <col min="3068" max="3068" width="28.19921875" style="1" customWidth="1"/>
    <col min="3069" max="3070" width="8.19921875" style="1" customWidth="1"/>
    <col min="3071" max="3076" width="12.69921875" style="1" customWidth="1"/>
    <col min="3077" max="3077" width="10.69921875" style="1"/>
    <col min="3078" max="3078" width="23.5" style="1" bestFit="1" customWidth="1"/>
    <col min="3079" max="3079" width="6.59765625" style="1" bestFit="1" customWidth="1"/>
    <col min="3080" max="3080" width="37.8984375" style="1" bestFit="1" customWidth="1"/>
    <col min="3081" max="3081" width="71.3984375" style="1" bestFit="1" customWidth="1"/>
    <col min="3082" max="3082" width="13.296875" style="1" bestFit="1" customWidth="1"/>
    <col min="3083" max="3320" width="10.69921875" style="1"/>
    <col min="3321" max="3321" width="21.5" style="1" customWidth="1"/>
    <col min="3322" max="3322" width="6.796875" style="1" customWidth="1"/>
    <col min="3323" max="3323" width="9.796875" style="1" customWidth="1"/>
    <col min="3324" max="3324" width="28.19921875" style="1" customWidth="1"/>
    <col min="3325" max="3326" width="8.19921875" style="1" customWidth="1"/>
    <col min="3327" max="3332" width="12.69921875" style="1" customWidth="1"/>
    <col min="3333" max="3333" width="10.69921875" style="1"/>
    <col min="3334" max="3334" width="23.5" style="1" bestFit="1" customWidth="1"/>
    <col min="3335" max="3335" width="6.59765625" style="1" bestFit="1" customWidth="1"/>
    <col min="3336" max="3336" width="37.8984375" style="1" bestFit="1" customWidth="1"/>
    <col min="3337" max="3337" width="71.3984375" style="1" bestFit="1" customWidth="1"/>
    <col min="3338" max="3338" width="13.296875" style="1" bestFit="1" customWidth="1"/>
    <col min="3339" max="3576" width="10.69921875" style="1"/>
    <col min="3577" max="3577" width="21.5" style="1" customWidth="1"/>
    <col min="3578" max="3578" width="6.796875" style="1" customWidth="1"/>
    <col min="3579" max="3579" width="9.796875" style="1" customWidth="1"/>
    <col min="3580" max="3580" width="28.19921875" style="1" customWidth="1"/>
    <col min="3581" max="3582" width="8.19921875" style="1" customWidth="1"/>
    <col min="3583" max="3588" width="12.69921875" style="1" customWidth="1"/>
    <col min="3589" max="3589" width="10.69921875" style="1"/>
    <col min="3590" max="3590" width="23.5" style="1" bestFit="1" customWidth="1"/>
    <col min="3591" max="3591" width="6.59765625" style="1" bestFit="1" customWidth="1"/>
    <col min="3592" max="3592" width="37.8984375" style="1" bestFit="1" customWidth="1"/>
    <col min="3593" max="3593" width="71.3984375" style="1" bestFit="1" customWidth="1"/>
    <col min="3594" max="3594" width="13.296875" style="1" bestFit="1" customWidth="1"/>
    <col min="3595" max="3832" width="10.69921875" style="1"/>
    <col min="3833" max="3833" width="21.5" style="1" customWidth="1"/>
    <col min="3834" max="3834" width="6.796875" style="1" customWidth="1"/>
    <col min="3835" max="3835" width="9.796875" style="1" customWidth="1"/>
    <col min="3836" max="3836" width="28.19921875" style="1" customWidth="1"/>
    <col min="3837" max="3838" width="8.19921875" style="1" customWidth="1"/>
    <col min="3839" max="3844" width="12.69921875" style="1" customWidth="1"/>
    <col min="3845" max="3845" width="10.69921875" style="1"/>
    <col min="3846" max="3846" width="23.5" style="1" bestFit="1" customWidth="1"/>
    <col min="3847" max="3847" width="6.59765625" style="1" bestFit="1" customWidth="1"/>
    <col min="3848" max="3848" width="37.8984375" style="1" bestFit="1" customWidth="1"/>
    <col min="3849" max="3849" width="71.3984375" style="1" bestFit="1" customWidth="1"/>
    <col min="3850" max="3850" width="13.296875" style="1" bestFit="1" customWidth="1"/>
    <col min="3851" max="4088" width="10.69921875" style="1"/>
    <col min="4089" max="4089" width="21.5" style="1" customWidth="1"/>
    <col min="4090" max="4090" width="6.796875" style="1" customWidth="1"/>
    <col min="4091" max="4091" width="9.796875" style="1" customWidth="1"/>
    <col min="4092" max="4092" width="28.19921875" style="1" customWidth="1"/>
    <col min="4093" max="4094" width="8.19921875" style="1" customWidth="1"/>
    <col min="4095" max="4100" width="12.69921875" style="1" customWidth="1"/>
    <col min="4101" max="4101" width="10.69921875" style="1"/>
    <col min="4102" max="4102" width="23.5" style="1" bestFit="1" customWidth="1"/>
    <col min="4103" max="4103" width="6.59765625" style="1" bestFit="1" customWidth="1"/>
    <col min="4104" max="4104" width="37.8984375" style="1" bestFit="1" customWidth="1"/>
    <col min="4105" max="4105" width="71.3984375" style="1" bestFit="1" customWidth="1"/>
    <col min="4106" max="4106" width="13.296875" style="1" bestFit="1" customWidth="1"/>
    <col min="4107" max="4344" width="10.69921875" style="1"/>
    <col min="4345" max="4345" width="21.5" style="1" customWidth="1"/>
    <col min="4346" max="4346" width="6.796875" style="1" customWidth="1"/>
    <col min="4347" max="4347" width="9.796875" style="1" customWidth="1"/>
    <col min="4348" max="4348" width="28.19921875" style="1" customWidth="1"/>
    <col min="4349" max="4350" width="8.19921875" style="1" customWidth="1"/>
    <col min="4351" max="4356" width="12.69921875" style="1" customWidth="1"/>
    <col min="4357" max="4357" width="10.69921875" style="1"/>
    <col min="4358" max="4358" width="23.5" style="1" bestFit="1" customWidth="1"/>
    <col min="4359" max="4359" width="6.59765625" style="1" bestFit="1" customWidth="1"/>
    <col min="4360" max="4360" width="37.8984375" style="1" bestFit="1" customWidth="1"/>
    <col min="4361" max="4361" width="71.3984375" style="1" bestFit="1" customWidth="1"/>
    <col min="4362" max="4362" width="13.296875" style="1" bestFit="1" customWidth="1"/>
    <col min="4363" max="4600" width="10.69921875" style="1"/>
    <col min="4601" max="4601" width="21.5" style="1" customWidth="1"/>
    <col min="4602" max="4602" width="6.796875" style="1" customWidth="1"/>
    <col min="4603" max="4603" width="9.796875" style="1" customWidth="1"/>
    <col min="4604" max="4604" width="28.19921875" style="1" customWidth="1"/>
    <col min="4605" max="4606" width="8.19921875" style="1" customWidth="1"/>
    <col min="4607" max="4612" width="12.69921875" style="1" customWidth="1"/>
    <col min="4613" max="4613" width="10.69921875" style="1"/>
    <col min="4614" max="4614" width="23.5" style="1" bestFit="1" customWidth="1"/>
    <col min="4615" max="4615" width="6.59765625" style="1" bestFit="1" customWidth="1"/>
    <col min="4616" max="4616" width="37.8984375" style="1" bestFit="1" customWidth="1"/>
    <col min="4617" max="4617" width="71.3984375" style="1" bestFit="1" customWidth="1"/>
    <col min="4618" max="4618" width="13.296875" style="1" bestFit="1" customWidth="1"/>
    <col min="4619" max="4856" width="10.69921875" style="1"/>
    <col min="4857" max="4857" width="21.5" style="1" customWidth="1"/>
    <col min="4858" max="4858" width="6.796875" style="1" customWidth="1"/>
    <col min="4859" max="4859" width="9.796875" style="1" customWidth="1"/>
    <col min="4860" max="4860" width="28.19921875" style="1" customWidth="1"/>
    <col min="4861" max="4862" width="8.19921875" style="1" customWidth="1"/>
    <col min="4863" max="4868" width="12.69921875" style="1" customWidth="1"/>
    <col min="4869" max="4869" width="10.69921875" style="1"/>
    <col min="4870" max="4870" width="23.5" style="1" bestFit="1" customWidth="1"/>
    <col min="4871" max="4871" width="6.59765625" style="1" bestFit="1" customWidth="1"/>
    <col min="4872" max="4872" width="37.8984375" style="1" bestFit="1" customWidth="1"/>
    <col min="4873" max="4873" width="71.3984375" style="1" bestFit="1" customWidth="1"/>
    <col min="4874" max="4874" width="13.296875" style="1" bestFit="1" customWidth="1"/>
    <col min="4875" max="5112" width="10.69921875" style="1"/>
    <col min="5113" max="5113" width="21.5" style="1" customWidth="1"/>
    <col min="5114" max="5114" width="6.796875" style="1" customWidth="1"/>
    <col min="5115" max="5115" width="9.796875" style="1" customWidth="1"/>
    <col min="5116" max="5116" width="28.19921875" style="1" customWidth="1"/>
    <col min="5117" max="5118" width="8.19921875" style="1" customWidth="1"/>
    <col min="5119" max="5124" width="12.69921875" style="1" customWidth="1"/>
    <col min="5125" max="5125" width="10.69921875" style="1"/>
    <col min="5126" max="5126" width="23.5" style="1" bestFit="1" customWidth="1"/>
    <col min="5127" max="5127" width="6.59765625" style="1" bestFit="1" customWidth="1"/>
    <col min="5128" max="5128" width="37.8984375" style="1" bestFit="1" customWidth="1"/>
    <col min="5129" max="5129" width="71.3984375" style="1" bestFit="1" customWidth="1"/>
    <col min="5130" max="5130" width="13.296875" style="1" bestFit="1" customWidth="1"/>
    <col min="5131" max="5368" width="10.69921875" style="1"/>
    <col min="5369" max="5369" width="21.5" style="1" customWidth="1"/>
    <col min="5370" max="5370" width="6.796875" style="1" customWidth="1"/>
    <col min="5371" max="5371" width="9.796875" style="1" customWidth="1"/>
    <col min="5372" max="5372" width="28.19921875" style="1" customWidth="1"/>
    <col min="5373" max="5374" width="8.19921875" style="1" customWidth="1"/>
    <col min="5375" max="5380" width="12.69921875" style="1" customWidth="1"/>
    <col min="5381" max="5381" width="10.69921875" style="1"/>
    <col min="5382" max="5382" width="23.5" style="1" bestFit="1" customWidth="1"/>
    <col min="5383" max="5383" width="6.59765625" style="1" bestFit="1" customWidth="1"/>
    <col min="5384" max="5384" width="37.8984375" style="1" bestFit="1" customWidth="1"/>
    <col min="5385" max="5385" width="71.3984375" style="1" bestFit="1" customWidth="1"/>
    <col min="5386" max="5386" width="13.296875" style="1" bestFit="1" customWidth="1"/>
    <col min="5387" max="5624" width="10.69921875" style="1"/>
    <col min="5625" max="5625" width="21.5" style="1" customWidth="1"/>
    <col min="5626" max="5626" width="6.796875" style="1" customWidth="1"/>
    <col min="5627" max="5627" width="9.796875" style="1" customWidth="1"/>
    <col min="5628" max="5628" width="28.19921875" style="1" customWidth="1"/>
    <col min="5629" max="5630" width="8.19921875" style="1" customWidth="1"/>
    <col min="5631" max="5636" width="12.69921875" style="1" customWidth="1"/>
    <col min="5637" max="5637" width="10.69921875" style="1"/>
    <col min="5638" max="5638" width="23.5" style="1" bestFit="1" customWidth="1"/>
    <col min="5639" max="5639" width="6.59765625" style="1" bestFit="1" customWidth="1"/>
    <col min="5640" max="5640" width="37.8984375" style="1" bestFit="1" customWidth="1"/>
    <col min="5641" max="5641" width="71.3984375" style="1" bestFit="1" customWidth="1"/>
    <col min="5642" max="5642" width="13.296875" style="1" bestFit="1" customWidth="1"/>
    <col min="5643" max="5880" width="10.69921875" style="1"/>
    <col min="5881" max="5881" width="21.5" style="1" customWidth="1"/>
    <col min="5882" max="5882" width="6.796875" style="1" customWidth="1"/>
    <col min="5883" max="5883" width="9.796875" style="1" customWidth="1"/>
    <col min="5884" max="5884" width="28.19921875" style="1" customWidth="1"/>
    <col min="5885" max="5886" width="8.19921875" style="1" customWidth="1"/>
    <col min="5887" max="5892" width="12.69921875" style="1" customWidth="1"/>
    <col min="5893" max="5893" width="10.69921875" style="1"/>
    <col min="5894" max="5894" width="23.5" style="1" bestFit="1" customWidth="1"/>
    <col min="5895" max="5895" width="6.59765625" style="1" bestFit="1" customWidth="1"/>
    <col min="5896" max="5896" width="37.8984375" style="1" bestFit="1" customWidth="1"/>
    <col min="5897" max="5897" width="71.3984375" style="1" bestFit="1" customWidth="1"/>
    <col min="5898" max="5898" width="13.296875" style="1" bestFit="1" customWidth="1"/>
    <col min="5899" max="6136" width="10.69921875" style="1"/>
    <col min="6137" max="6137" width="21.5" style="1" customWidth="1"/>
    <col min="6138" max="6138" width="6.796875" style="1" customWidth="1"/>
    <col min="6139" max="6139" width="9.796875" style="1" customWidth="1"/>
    <col min="6140" max="6140" width="28.19921875" style="1" customWidth="1"/>
    <col min="6141" max="6142" width="8.19921875" style="1" customWidth="1"/>
    <col min="6143" max="6148" width="12.69921875" style="1" customWidth="1"/>
    <col min="6149" max="6149" width="10.69921875" style="1"/>
    <col min="6150" max="6150" width="23.5" style="1" bestFit="1" customWidth="1"/>
    <col min="6151" max="6151" width="6.59765625" style="1" bestFit="1" customWidth="1"/>
    <col min="6152" max="6152" width="37.8984375" style="1" bestFit="1" customWidth="1"/>
    <col min="6153" max="6153" width="71.3984375" style="1" bestFit="1" customWidth="1"/>
    <col min="6154" max="6154" width="13.296875" style="1" bestFit="1" customWidth="1"/>
    <col min="6155" max="6392" width="10.69921875" style="1"/>
    <col min="6393" max="6393" width="21.5" style="1" customWidth="1"/>
    <col min="6394" max="6394" width="6.796875" style="1" customWidth="1"/>
    <col min="6395" max="6395" width="9.796875" style="1" customWidth="1"/>
    <col min="6396" max="6396" width="28.19921875" style="1" customWidth="1"/>
    <col min="6397" max="6398" width="8.19921875" style="1" customWidth="1"/>
    <col min="6399" max="6404" width="12.69921875" style="1" customWidth="1"/>
    <col min="6405" max="6405" width="10.69921875" style="1"/>
    <col min="6406" max="6406" width="23.5" style="1" bestFit="1" customWidth="1"/>
    <col min="6407" max="6407" width="6.59765625" style="1" bestFit="1" customWidth="1"/>
    <col min="6408" max="6408" width="37.8984375" style="1" bestFit="1" customWidth="1"/>
    <col min="6409" max="6409" width="71.3984375" style="1" bestFit="1" customWidth="1"/>
    <col min="6410" max="6410" width="13.296875" style="1" bestFit="1" customWidth="1"/>
    <col min="6411" max="6648" width="10.69921875" style="1"/>
    <col min="6649" max="6649" width="21.5" style="1" customWidth="1"/>
    <col min="6650" max="6650" width="6.796875" style="1" customWidth="1"/>
    <col min="6651" max="6651" width="9.796875" style="1" customWidth="1"/>
    <col min="6652" max="6652" width="28.19921875" style="1" customWidth="1"/>
    <col min="6653" max="6654" width="8.19921875" style="1" customWidth="1"/>
    <col min="6655" max="6660" width="12.69921875" style="1" customWidth="1"/>
    <col min="6661" max="6661" width="10.69921875" style="1"/>
    <col min="6662" max="6662" width="23.5" style="1" bestFit="1" customWidth="1"/>
    <col min="6663" max="6663" width="6.59765625" style="1" bestFit="1" customWidth="1"/>
    <col min="6664" max="6664" width="37.8984375" style="1" bestFit="1" customWidth="1"/>
    <col min="6665" max="6665" width="71.3984375" style="1" bestFit="1" customWidth="1"/>
    <col min="6666" max="6666" width="13.296875" style="1" bestFit="1" customWidth="1"/>
    <col min="6667" max="6904" width="10.69921875" style="1"/>
    <col min="6905" max="6905" width="21.5" style="1" customWidth="1"/>
    <col min="6906" max="6906" width="6.796875" style="1" customWidth="1"/>
    <col min="6907" max="6907" width="9.796875" style="1" customWidth="1"/>
    <col min="6908" max="6908" width="28.19921875" style="1" customWidth="1"/>
    <col min="6909" max="6910" width="8.19921875" style="1" customWidth="1"/>
    <col min="6911" max="6916" width="12.69921875" style="1" customWidth="1"/>
    <col min="6917" max="6917" width="10.69921875" style="1"/>
    <col min="6918" max="6918" width="23.5" style="1" bestFit="1" customWidth="1"/>
    <col min="6919" max="6919" width="6.59765625" style="1" bestFit="1" customWidth="1"/>
    <col min="6920" max="6920" width="37.8984375" style="1" bestFit="1" customWidth="1"/>
    <col min="6921" max="6921" width="71.3984375" style="1" bestFit="1" customWidth="1"/>
    <col min="6922" max="6922" width="13.296875" style="1" bestFit="1" customWidth="1"/>
    <col min="6923" max="7160" width="10.69921875" style="1"/>
    <col min="7161" max="7161" width="21.5" style="1" customWidth="1"/>
    <col min="7162" max="7162" width="6.796875" style="1" customWidth="1"/>
    <col min="7163" max="7163" width="9.796875" style="1" customWidth="1"/>
    <col min="7164" max="7164" width="28.19921875" style="1" customWidth="1"/>
    <col min="7165" max="7166" width="8.19921875" style="1" customWidth="1"/>
    <col min="7167" max="7172" width="12.69921875" style="1" customWidth="1"/>
    <col min="7173" max="7173" width="10.69921875" style="1"/>
    <col min="7174" max="7174" width="23.5" style="1" bestFit="1" customWidth="1"/>
    <col min="7175" max="7175" width="6.59765625" style="1" bestFit="1" customWidth="1"/>
    <col min="7176" max="7176" width="37.8984375" style="1" bestFit="1" customWidth="1"/>
    <col min="7177" max="7177" width="71.3984375" style="1" bestFit="1" customWidth="1"/>
    <col min="7178" max="7178" width="13.296875" style="1" bestFit="1" customWidth="1"/>
    <col min="7179" max="7416" width="10.69921875" style="1"/>
    <col min="7417" max="7417" width="21.5" style="1" customWidth="1"/>
    <col min="7418" max="7418" width="6.796875" style="1" customWidth="1"/>
    <col min="7419" max="7419" width="9.796875" style="1" customWidth="1"/>
    <col min="7420" max="7420" width="28.19921875" style="1" customWidth="1"/>
    <col min="7421" max="7422" width="8.19921875" style="1" customWidth="1"/>
    <col min="7423" max="7428" width="12.69921875" style="1" customWidth="1"/>
    <col min="7429" max="7429" width="10.69921875" style="1"/>
    <col min="7430" max="7430" width="23.5" style="1" bestFit="1" customWidth="1"/>
    <col min="7431" max="7431" width="6.59765625" style="1" bestFit="1" customWidth="1"/>
    <col min="7432" max="7432" width="37.8984375" style="1" bestFit="1" customWidth="1"/>
    <col min="7433" max="7433" width="71.3984375" style="1" bestFit="1" customWidth="1"/>
    <col min="7434" max="7434" width="13.296875" style="1" bestFit="1" customWidth="1"/>
    <col min="7435" max="7672" width="10.69921875" style="1"/>
    <col min="7673" max="7673" width="21.5" style="1" customWidth="1"/>
    <col min="7674" max="7674" width="6.796875" style="1" customWidth="1"/>
    <col min="7675" max="7675" width="9.796875" style="1" customWidth="1"/>
    <col min="7676" max="7676" width="28.19921875" style="1" customWidth="1"/>
    <col min="7677" max="7678" width="8.19921875" style="1" customWidth="1"/>
    <col min="7679" max="7684" width="12.69921875" style="1" customWidth="1"/>
    <col min="7685" max="7685" width="10.69921875" style="1"/>
    <col min="7686" max="7686" width="23.5" style="1" bestFit="1" customWidth="1"/>
    <col min="7687" max="7687" width="6.59765625" style="1" bestFit="1" customWidth="1"/>
    <col min="7688" max="7688" width="37.8984375" style="1" bestFit="1" customWidth="1"/>
    <col min="7689" max="7689" width="71.3984375" style="1" bestFit="1" customWidth="1"/>
    <col min="7690" max="7690" width="13.296875" style="1" bestFit="1" customWidth="1"/>
    <col min="7691" max="7928" width="10.69921875" style="1"/>
    <col min="7929" max="7929" width="21.5" style="1" customWidth="1"/>
    <col min="7930" max="7930" width="6.796875" style="1" customWidth="1"/>
    <col min="7931" max="7931" width="9.796875" style="1" customWidth="1"/>
    <col min="7932" max="7932" width="28.19921875" style="1" customWidth="1"/>
    <col min="7933" max="7934" width="8.19921875" style="1" customWidth="1"/>
    <col min="7935" max="7940" width="12.69921875" style="1" customWidth="1"/>
    <col min="7941" max="7941" width="10.69921875" style="1"/>
    <col min="7942" max="7942" width="23.5" style="1" bestFit="1" customWidth="1"/>
    <col min="7943" max="7943" width="6.59765625" style="1" bestFit="1" customWidth="1"/>
    <col min="7944" max="7944" width="37.8984375" style="1" bestFit="1" customWidth="1"/>
    <col min="7945" max="7945" width="71.3984375" style="1" bestFit="1" customWidth="1"/>
    <col min="7946" max="7946" width="13.296875" style="1" bestFit="1" customWidth="1"/>
    <col min="7947" max="8184" width="10.69921875" style="1"/>
    <col min="8185" max="8185" width="21.5" style="1" customWidth="1"/>
    <col min="8186" max="8186" width="6.796875" style="1" customWidth="1"/>
    <col min="8187" max="8187" width="9.796875" style="1" customWidth="1"/>
    <col min="8188" max="8188" width="28.19921875" style="1" customWidth="1"/>
    <col min="8189" max="8190" width="8.19921875" style="1" customWidth="1"/>
    <col min="8191" max="8196" width="12.69921875" style="1" customWidth="1"/>
    <col min="8197" max="8197" width="10.69921875" style="1"/>
    <col min="8198" max="8198" width="23.5" style="1" bestFit="1" customWidth="1"/>
    <col min="8199" max="8199" width="6.59765625" style="1" bestFit="1" customWidth="1"/>
    <col min="8200" max="8200" width="37.8984375" style="1" bestFit="1" customWidth="1"/>
    <col min="8201" max="8201" width="71.3984375" style="1" bestFit="1" customWidth="1"/>
    <col min="8202" max="8202" width="13.296875" style="1" bestFit="1" customWidth="1"/>
    <col min="8203" max="8440" width="10.69921875" style="1"/>
    <col min="8441" max="8441" width="21.5" style="1" customWidth="1"/>
    <col min="8442" max="8442" width="6.796875" style="1" customWidth="1"/>
    <col min="8443" max="8443" width="9.796875" style="1" customWidth="1"/>
    <col min="8444" max="8444" width="28.19921875" style="1" customWidth="1"/>
    <col min="8445" max="8446" width="8.19921875" style="1" customWidth="1"/>
    <col min="8447" max="8452" width="12.69921875" style="1" customWidth="1"/>
    <col min="8453" max="8453" width="10.69921875" style="1"/>
    <col min="8454" max="8454" width="23.5" style="1" bestFit="1" customWidth="1"/>
    <col min="8455" max="8455" width="6.59765625" style="1" bestFit="1" customWidth="1"/>
    <col min="8456" max="8456" width="37.8984375" style="1" bestFit="1" customWidth="1"/>
    <col min="8457" max="8457" width="71.3984375" style="1" bestFit="1" customWidth="1"/>
    <col min="8458" max="8458" width="13.296875" style="1" bestFit="1" customWidth="1"/>
    <col min="8459" max="8696" width="10.69921875" style="1"/>
    <col min="8697" max="8697" width="21.5" style="1" customWidth="1"/>
    <col min="8698" max="8698" width="6.796875" style="1" customWidth="1"/>
    <col min="8699" max="8699" width="9.796875" style="1" customWidth="1"/>
    <col min="8700" max="8700" width="28.19921875" style="1" customWidth="1"/>
    <col min="8701" max="8702" width="8.19921875" style="1" customWidth="1"/>
    <col min="8703" max="8708" width="12.69921875" style="1" customWidth="1"/>
    <col min="8709" max="8709" width="10.69921875" style="1"/>
    <col min="8710" max="8710" width="23.5" style="1" bestFit="1" customWidth="1"/>
    <col min="8711" max="8711" width="6.59765625" style="1" bestFit="1" customWidth="1"/>
    <col min="8712" max="8712" width="37.8984375" style="1" bestFit="1" customWidth="1"/>
    <col min="8713" max="8713" width="71.3984375" style="1" bestFit="1" customWidth="1"/>
    <col min="8714" max="8714" width="13.296875" style="1" bestFit="1" customWidth="1"/>
    <col min="8715" max="8952" width="10.69921875" style="1"/>
    <col min="8953" max="8953" width="21.5" style="1" customWidth="1"/>
    <col min="8954" max="8954" width="6.796875" style="1" customWidth="1"/>
    <col min="8955" max="8955" width="9.796875" style="1" customWidth="1"/>
    <col min="8956" max="8956" width="28.19921875" style="1" customWidth="1"/>
    <col min="8957" max="8958" width="8.19921875" style="1" customWidth="1"/>
    <col min="8959" max="8964" width="12.69921875" style="1" customWidth="1"/>
    <col min="8965" max="8965" width="10.69921875" style="1"/>
    <col min="8966" max="8966" width="23.5" style="1" bestFit="1" customWidth="1"/>
    <col min="8967" max="8967" width="6.59765625" style="1" bestFit="1" customWidth="1"/>
    <col min="8968" max="8968" width="37.8984375" style="1" bestFit="1" customWidth="1"/>
    <col min="8969" max="8969" width="71.3984375" style="1" bestFit="1" customWidth="1"/>
    <col min="8970" max="8970" width="13.296875" style="1" bestFit="1" customWidth="1"/>
    <col min="8971" max="9208" width="10.69921875" style="1"/>
    <col min="9209" max="9209" width="21.5" style="1" customWidth="1"/>
    <col min="9210" max="9210" width="6.796875" style="1" customWidth="1"/>
    <col min="9211" max="9211" width="9.796875" style="1" customWidth="1"/>
    <col min="9212" max="9212" width="28.19921875" style="1" customWidth="1"/>
    <col min="9213" max="9214" width="8.19921875" style="1" customWidth="1"/>
    <col min="9215" max="9220" width="12.69921875" style="1" customWidth="1"/>
    <col min="9221" max="9221" width="10.69921875" style="1"/>
    <col min="9222" max="9222" width="23.5" style="1" bestFit="1" customWidth="1"/>
    <col min="9223" max="9223" width="6.59765625" style="1" bestFit="1" customWidth="1"/>
    <col min="9224" max="9224" width="37.8984375" style="1" bestFit="1" customWidth="1"/>
    <col min="9225" max="9225" width="71.3984375" style="1" bestFit="1" customWidth="1"/>
    <col min="9226" max="9226" width="13.296875" style="1" bestFit="1" customWidth="1"/>
    <col min="9227" max="9464" width="10.69921875" style="1"/>
    <col min="9465" max="9465" width="21.5" style="1" customWidth="1"/>
    <col min="9466" max="9466" width="6.796875" style="1" customWidth="1"/>
    <col min="9467" max="9467" width="9.796875" style="1" customWidth="1"/>
    <col min="9468" max="9468" width="28.19921875" style="1" customWidth="1"/>
    <col min="9469" max="9470" width="8.19921875" style="1" customWidth="1"/>
    <col min="9471" max="9476" width="12.69921875" style="1" customWidth="1"/>
    <col min="9477" max="9477" width="10.69921875" style="1"/>
    <col min="9478" max="9478" width="23.5" style="1" bestFit="1" customWidth="1"/>
    <col min="9479" max="9479" width="6.59765625" style="1" bestFit="1" customWidth="1"/>
    <col min="9480" max="9480" width="37.8984375" style="1" bestFit="1" customWidth="1"/>
    <col min="9481" max="9481" width="71.3984375" style="1" bestFit="1" customWidth="1"/>
    <col min="9482" max="9482" width="13.296875" style="1" bestFit="1" customWidth="1"/>
    <col min="9483" max="9720" width="10.69921875" style="1"/>
    <col min="9721" max="9721" width="21.5" style="1" customWidth="1"/>
    <col min="9722" max="9722" width="6.796875" style="1" customWidth="1"/>
    <col min="9723" max="9723" width="9.796875" style="1" customWidth="1"/>
    <col min="9724" max="9724" width="28.19921875" style="1" customWidth="1"/>
    <col min="9725" max="9726" width="8.19921875" style="1" customWidth="1"/>
    <col min="9727" max="9732" width="12.69921875" style="1" customWidth="1"/>
    <col min="9733" max="9733" width="10.69921875" style="1"/>
    <col min="9734" max="9734" width="23.5" style="1" bestFit="1" customWidth="1"/>
    <col min="9735" max="9735" width="6.59765625" style="1" bestFit="1" customWidth="1"/>
    <col min="9736" max="9736" width="37.8984375" style="1" bestFit="1" customWidth="1"/>
    <col min="9737" max="9737" width="71.3984375" style="1" bestFit="1" customWidth="1"/>
    <col min="9738" max="9738" width="13.296875" style="1" bestFit="1" customWidth="1"/>
    <col min="9739" max="9976" width="10.69921875" style="1"/>
    <col min="9977" max="9977" width="21.5" style="1" customWidth="1"/>
    <col min="9978" max="9978" width="6.796875" style="1" customWidth="1"/>
    <col min="9979" max="9979" width="9.796875" style="1" customWidth="1"/>
    <col min="9980" max="9980" width="28.19921875" style="1" customWidth="1"/>
    <col min="9981" max="9982" width="8.19921875" style="1" customWidth="1"/>
    <col min="9983" max="9988" width="12.69921875" style="1" customWidth="1"/>
    <col min="9989" max="9989" width="10.69921875" style="1"/>
    <col min="9990" max="9990" width="23.5" style="1" bestFit="1" customWidth="1"/>
    <col min="9991" max="9991" width="6.59765625" style="1" bestFit="1" customWidth="1"/>
    <col min="9992" max="9992" width="37.8984375" style="1" bestFit="1" customWidth="1"/>
    <col min="9993" max="9993" width="71.3984375" style="1" bestFit="1" customWidth="1"/>
    <col min="9994" max="9994" width="13.296875" style="1" bestFit="1" customWidth="1"/>
    <col min="9995" max="10232" width="10.69921875" style="1"/>
    <col min="10233" max="10233" width="21.5" style="1" customWidth="1"/>
    <col min="10234" max="10234" width="6.796875" style="1" customWidth="1"/>
    <col min="10235" max="10235" width="9.796875" style="1" customWidth="1"/>
    <col min="10236" max="10236" width="28.19921875" style="1" customWidth="1"/>
    <col min="10237" max="10238" width="8.19921875" style="1" customWidth="1"/>
    <col min="10239" max="10244" width="12.69921875" style="1" customWidth="1"/>
    <col min="10245" max="10245" width="10.69921875" style="1"/>
    <col min="10246" max="10246" width="23.5" style="1" bestFit="1" customWidth="1"/>
    <col min="10247" max="10247" width="6.59765625" style="1" bestFit="1" customWidth="1"/>
    <col min="10248" max="10248" width="37.8984375" style="1" bestFit="1" customWidth="1"/>
    <col min="10249" max="10249" width="71.3984375" style="1" bestFit="1" customWidth="1"/>
    <col min="10250" max="10250" width="13.296875" style="1" bestFit="1" customWidth="1"/>
    <col min="10251" max="10488" width="10.69921875" style="1"/>
    <col min="10489" max="10489" width="21.5" style="1" customWidth="1"/>
    <col min="10490" max="10490" width="6.796875" style="1" customWidth="1"/>
    <col min="10491" max="10491" width="9.796875" style="1" customWidth="1"/>
    <col min="10492" max="10492" width="28.19921875" style="1" customWidth="1"/>
    <col min="10493" max="10494" width="8.19921875" style="1" customWidth="1"/>
    <col min="10495" max="10500" width="12.69921875" style="1" customWidth="1"/>
    <col min="10501" max="10501" width="10.69921875" style="1"/>
    <col min="10502" max="10502" width="23.5" style="1" bestFit="1" customWidth="1"/>
    <col min="10503" max="10503" width="6.59765625" style="1" bestFit="1" customWidth="1"/>
    <col min="10504" max="10504" width="37.8984375" style="1" bestFit="1" customWidth="1"/>
    <col min="10505" max="10505" width="71.3984375" style="1" bestFit="1" customWidth="1"/>
    <col min="10506" max="10506" width="13.296875" style="1" bestFit="1" customWidth="1"/>
    <col min="10507" max="10744" width="10.69921875" style="1"/>
    <col min="10745" max="10745" width="21.5" style="1" customWidth="1"/>
    <col min="10746" max="10746" width="6.796875" style="1" customWidth="1"/>
    <col min="10747" max="10747" width="9.796875" style="1" customWidth="1"/>
    <col min="10748" max="10748" width="28.19921875" style="1" customWidth="1"/>
    <col min="10749" max="10750" width="8.19921875" style="1" customWidth="1"/>
    <col min="10751" max="10756" width="12.69921875" style="1" customWidth="1"/>
    <col min="10757" max="10757" width="10.69921875" style="1"/>
    <col min="10758" max="10758" width="23.5" style="1" bestFit="1" customWidth="1"/>
    <col min="10759" max="10759" width="6.59765625" style="1" bestFit="1" customWidth="1"/>
    <col min="10760" max="10760" width="37.8984375" style="1" bestFit="1" customWidth="1"/>
    <col min="10761" max="10761" width="71.3984375" style="1" bestFit="1" customWidth="1"/>
    <col min="10762" max="10762" width="13.296875" style="1" bestFit="1" customWidth="1"/>
    <col min="10763" max="11000" width="10.69921875" style="1"/>
    <col min="11001" max="11001" width="21.5" style="1" customWidth="1"/>
    <col min="11002" max="11002" width="6.796875" style="1" customWidth="1"/>
    <col min="11003" max="11003" width="9.796875" style="1" customWidth="1"/>
    <col min="11004" max="11004" width="28.19921875" style="1" customWidth="1"/>
    <col min="11005" max="11006" width="8.19921875" style="1" customWidth="1"/>
    <col min="11007" max="11012" width="12.69921875" style="1" customWidth="1"/>
    <col min="11013" max="11013" width="10.69921875" style="1"/>
    <col min="11014" max="11014" width="23.5" style="1" bestFit="1" customWidth="1"/>
    <col min="11015" max="11015" width="6.59765625" style="1" bestFit="1" customWidth="1"/>
    <col min="11016" max="11016" width="37.8984375" style="1" bestFit="1" customWidth="1"/>
    <col min="11017" max="11017" width="71.3984375" style="1" bestFit="1" customWidth="1"/>
    <col min="11018" max="11018" width="13.296875" style="1" bestFit="1" customWidth="1"/>
    <col min="11019" max="11256" width="10.69921875" style="1"/>
    <col min="11257" max="11257" width="21.5" style="1" customWidth="1"/>
    <col min="11258" max="11258" width="6.796875" style="1" customWidth="1"/>
    <col min="11259" max="11259" width="9.796875" style="1" customWidth="1"/>
    <col min="11260" max="11260" width="28.19921875" style="1" customWidth="1"/>
    <col min="11261" max="11262" width="8.19921875" style="1" customWidth="1"/>
    <col min="11263" max="11268" width="12.69921875" style="1" customWidth="1"/>
    <col min="11269" max="11269" width="10.69921875" style="1"/>
    <col min="11270" max="11270" width="23.5" style="1" bestFit="1" customWidth="1"/>
    <col min="11271" max="11271" width="6.59765625" style="1" bestFit="1" customWidth="1"/>
    <col min="11272" max="11272" width="37.8984375" style="1" bestFit="1" customWidth="1"/>
    <col min="11273" max="11273" width="71.3984375" style="1" bestFit="1" customWidth="1"/>
    <col min="11274" max="11274" width="13.296875" style="1" bestFit="1" customWidth="1"/>
    <col min="11275" max="11512" width="10.69921875" style="1"/>
    <col min="11513" max="11513" width="21.5" style="1" customWidth="1"/>
    <col min="11514" max="11514" width="6.796875" style="1" customWidth="1"/>
    <col min="11515" max="11515" width="9.796875" style="1" customWidth="1"/>
    <col min="11516" max="11516" width="28.19921875" style="1" customWidth="1"/>
    <col min="11517" max="11518" width="8.19921875" style="1" customWidth="1"/>
    <col min="11519" max="11524" width="12.69921875" style="1" customWidth="1"/>
    <col min="11525" max="11525" width="10.69921875" style="1"/>
    <col min="11526" max="11526" width="23.5" style="1" bestFit="1" customWidth="1"/>
    <col min="11527" max="11527" width="6.59765625" style="1" bestFit="1" customWidth="1"/>
    <col min="11528" max="11528" width="37.8984375" style="1" bestFit="1" customWidth="1"/>
    <col min="11529" max="11529" width="71.3984375" style="1" bestFit="1" customWidth="1"/>
    <col min="11530" max="11530" width="13.296875" style="1" bestFit="1" customWidth="1"/>
    <col min="11531" max="11768" width="10.69921875" style="1"/>
    <col min="11769" max="11769" width="21.5" style="1" customWidth="1"/>
    <col min="11770" max="11770" width="6.796875" style="1" customWidth="1"/>
    <col min="11771" max="11771" width="9.796875" style="1" customWidth="1"/>
    <col min="11772" max="11772" width="28.19921875" style="1" customWidth="1"/>
    <col min="11773" max="11774" width="8.19921875" style="1" customWidth="1"/>
    <col min="11775" max="11780" width="12.69921875" style="1" customWidth="1"/>
    <col min="11781" max="11781" width="10.69921875" style="1"/>
    <col min="11782" max="11782" width="23.5" style="1" bestFit="1" customWidth="1"/>
    <col min="11783" max="11783" width="6.59765625" style="1" bestFit="1" customWidth="1"/>
    <col min="11784" max="11784" width="37.8984375" style="1" bestFit="1" customWidth="1"/>
    <col min="11785" max="11785" width="71.3984375" style="1" bestFit="1" customWidth="1"/>
    <col min="11786" max="11786" width="13.296875" style="1" bestFit="1" customWidth="1"/>
    <col min="11787" max="12024" width="10.69921875" style="1"/>
    <col min="12025" max="12025" width="21.5" style="1" customWidth="1"/>
    <col min="12026" max="12026" width="6.796875" style="1" customWidth="1"/>
    <col min="12027" max="12027" width="9.796875" style="1" customWidth="1"/>
    <col min="12028" max="12028" width="28.19921875" style="1" customWidth="1"/>
    <col min="12029" max="12030" width="8.19921875" style="1" customWidth="1"/>
    <col min="12031" max="12036" width="12.69921875" style="1" customWidth="1"/>
    <col min="12037" max="12037" width="10.69921875" style="1"/>
    <col min="12038" max="12038" width="23.5" style="1" bestFit="1" customWidth="1"/>
    <col min="12039" max="12039" width="6.59765625" style="1" bestFit="1" customWidth="1"/>
    <col min="12040" max="12040" width="37.8984375" style="1" bestFit="1" customWidth="1"/>
    <col min="12041" max="12041" width="71.3984375" style="1" bestFit="1" customWidth="1"/>
    <col min="12042" max="12042" width="13.296875" style="1" bestFit="1" customWidth="1"/>
    <col min="12043" max="12280" width="10.69921875" style="1"/>
    <col min="12281" max="12281" width="21.5" style="1" customWidth="1"/>
    <col min="12282" max="12282" width="6.796875" style="1" customWidth="1"/>
    <col min="12283" max="12283" width="9.796875" style="1" customWidth="1"/>
    <col min="12284" max="12284" width="28.19921875" style="1" customWidth="1"/>
    <col min="12285" max="12286" width="8.19921875" style="1" customWidth="1"/>
    <col min="12287" max="12292" width="12.69921875" style="1" customWidth="1"/>
    <col min="12293" max="12293" width="10.69921875" style="1"/>
    <col min="12294" max="12294" width="23.5" style="1" bestFit="1" customWidth="1"/>
    <col min="12295" max="12295" width="6.59765625" style="1" bestFit="1" customWidth="1"/>
    <col min="12296" max="12296" width="37.8984375" style="1" bestFit="1" customWidth="1"/>
    <col min="12297" max="12297" width="71.3984375" style="1" bestFit="1" customWidth="1"/>
    <col min="12298" max="12298" width="13.296875" style="1" bestFit="1" customWidth="1"/>
    <col min="12299" max="12536" width="10.69921875" style="1"/>
    <col min="12537" max="12537" width="21.5" style="1" customWidth="1"/>
    <col min="12538" max="12538" width="6.796875" style="1" customWidth="1"/>
    <col min="12539" max="12539" width="9.796875" style="1" customWidth="1"/>
    <col min="12540" max="12540" width="28.19921875" style="1" customWidth="1"/>
    <col min="12541" max="12542" width="8.19921875" style="1" customWidth="1"/>
    <col min="12543" max="12548" width="12.69921875" style="1" customWidth="1"/>
    <col min="12549" max="12549" width="10.69921875" style="1"/>
    <col min="12550" max="12550" width="23.5" style="1" bestFit="1" customWidth="1"/>
    <col min="12551" max="12551" width="6.59765625" style="1" bestFit="1" customWidth="1"/>
    <col min="12552" max="12552" width="37.8984375" style="1" bestFit="1" customWidth="1"/>
    <col min="12553" max="12553" width="71.3984375" style="1" bestFit="1" customWidth="1"/>
    <col min="12554" max="12554" width="13.296875" style="1" bestFit="1" customWidth="1"/>
    <col min="12555" max="12792" width="10.69921875" style="1"/>
    <col min="12793" max="12793" width="21.5" style="1" customWidth="1"/>
    <col min="12794" max="12794" width="6.796875" style="1" customWidth="1"/>
    <col min="12795" max="12795" width="9.796875" style="1" customWidth="1"/>
    <col min="12796" max="12796" width="28.19921875" style="1" customWidth="1"/>
    <col min="12797" max="12798" width="8.19921875" style="1" customWidth="1"/>
    <col min="12799" max="12804" width="12.69921875" style="1" customWidth="1"/>
    <col min="12805" max="12805" width="10.69921875" style="1"/>
    <col min="12806" max="12806" width="23.5" style="1" bestFit="1" customWidth="1"/>
    <col min="12807" max="12807" width="6.59765625" style="1" bestFit="1" customWidth="1"/>
    <col min="12808" max="12808" width="37.8984375" style="1" bestFit="1" customWidth="1"/>
    <col min="12809" max="12809" width="71.3984375" style="1" bestFit="1" customWidth="1"/>
    <col min="12810" max="12810" width="13.296875" style="1" bestFit="1" customWidth="1"/>
    <col min="12811" max="13048" width="10.69921875" style="1"/>
    <col min="13049" max="13049" width="21.5" style="1" customWidth="1"/>
    <col min="13050" max="13050" width="6.796875" style="1" customWidth="1"/>
    <col min="13051" max="13051" width="9.796875" style="1" customWidth="1"/>
    <col min="13052" max="13052" width="28.19921875" style="1" customWidth="1"/>
    <col min="13053" max="13054" width="8.19921875" style="1" customWidth="1"/>
    <col min="13055" max="13060" width="12.69921875" style="1" customWidth="1"/>
    <col min="13061" max="13061" width="10.69921875" style="1"/>
    <col min="13062" max="13062" width="23.5" style="1" bestFit="1" customWidth="1"/>
    <col min="13063" max="13063" width="6.59765625" style="1" bestFit="1" customWidth="1"/>
    <col min="13064" max="13064" width="37.8984375" style="1" bestFit="1" customWidth="1"/>
    <col min="13065" max="13065" width="71.3984375" style="1" bestFit="1" customWidth="1"/>
    <col min="13066" max="13066" width="13.296875" style="1" bestFit="1" customWidth="1"/>
    <col min="13067" max="13304" width="10.69921875" style="1"/>
    <col min="13305" max="13305" width="21.5" style="1" customWidth="1"/>
    <col min="13306" max="13306" width="6.796875" style="1" customWidth="1"/>
    <col min="13307" max="13307" width="9.796875" style="1" customWidth="1"/>
    <col min="13308" max="13308" width="28.19921875" style="1" customWidth="1"/>
    <col min="13309" max="13310" width="8.19921875" style="1" customWidth="1"/>
    <col min="13311" max="13316" width="12.69921875" style="1" customWidth="1"/>
    <col min="13317" max="13317" width="10.69921875" style="1"/>
    <col min="13318" max="13318" width="23.5" style="1" bestFit="1" customWidth="1"/>
    <col min="13319" max="13319" width="6.59765625" style="1" bestFit="1" customWidth="1"/>
    <col min="13320" max="13320" width="37.8984375" style="1" bestFit="1" customWidth="1"/>
    <col min="13321" max="13321" width="71.3984375" style="1" bestFit="1" customWidth="1"/>
    <col min="13322" max="13322" width="13.296875" style="1" bestFit="1" customWidth="1"/>
    <col min="13323" max="13560" width="10.69921875" style="1"/>
    <col min="13561" max="13561" width="21.5" style="1" customWidth="1"/>
    <col min="13562" max="13562" width="6.796875" style="1" customWidth="1"/>
    <col min="13563" max="13563" width="9.796875" style="1" customWidth="1"/>
    <col min="13564" max="13564" width="28.19921875" style="1" customWidth="1"/>
    <col min="13565" max="13566" width="8.19921875" style="1" customWidth="1"/>
    <col min="13567" max="13572" width="12.69921875" style="1" customWidth="1"/>
    <col min="13573" max="13573" width="10.69921875" style="1"/>
    <col min="13574" max="13574" width="23.5" style="1" bestFit="1" customWidth="1"/>
    <col min="13575" max="13575" width="6.59765625" style="1" bestFit="1" customWidth="1"/>
    <col min="13576" max="13576" width="37.8984375" style="1" bestFit="1" customWidth="1"/>
    <col min="13577" max="13577" width="71.3984375" style="1" bestFit="1" customWidth="1"/>
    <col min="13578" max="13578" width="13.296875" style="1" bestFit="1" customWidth="1"/>
    <col min="13579" max="13816" width="10.69921875" style="1"/>
    <col min="13817" max="13817" width="21.5" style="1" customWidth="1"/>
    <col min="13818" max="13818" width="6.796875" style="1" customWidth="1"/>
    <col min="13819" max="13819" width="9.796875" style="1" customWidth="1"/>
    <col min="13820" max="13820" width="28.19921875" style="1" customWidth="1"/>
    <col min="13821" max="13822" width="8.19921875" style="1" customWidth="1"/>
    <col min="13823" max="13828" width="12.69921875" style="1" customWidth="1"/>
    <col min="13829" max="13829" width="10.69921875" style="1"/>
    <col min="13830" max="13830" width="23.5" style="1" bestFit="1" customWidth="1"/>
    <col min="13831" max="13831" width="6.59765625" style="1" bestFit="1" customWidth="1"/>
    <col min="13832" max="13832" width="37.8984375" style="1" bestFit="1" customWidth="1"/>
    <col min="13833" max="13833" width="71.3984375" style="1" bestFit="1" customWidth="1"/>
    <col min="13834" max="13834" width="13.296875" style="1" bestFit="1" customWidth="1"/>
    <col min="13835" max="14072" width="10.69921875" style="1"/>
    <col min="14073" max="14073" width="21.5" style="1" customWidth="1"/>
    <col min="14074" max="14074" width="6.796875" style="1" customWidth="1"/>
    <col min="14075" max="14075" width="9.796875" style="1" customWidth="1"/>
    <col min="14076" max="14076" width="28.19921875" style="1" customWidth="1"/>
    <col min="14077" max="14078" width="8.19921875" style="1" customWidth="1"/>
    <col min="14079" max="14084" width="12.69921875" style="1" customWidth="1"/>
    <col min="14085" max="14085" width="10.69921875" style="1"/>
    <col min="14086" max="14086" width="23.5" style="1" bestFit="1" customWidth="1"/>
    <col min="14087" max="14087" width="6.59765625" style="1" bestFit="1" customWidth="1"/>
    <col min="14088" max="14088" width="37.8984375" style="1" bestFit="1" customWidth="1"/>
    <col min="14089" max="14089" width="71.3984375" style="1" bestFit="1" customWidth="1"/>
    <col min="14090" max="14090" width="13.296875" style="1" bestFit="1" customWidth="1"/>
    <col min="14091" max="14328" width="10.69921875" style="1"/>
    <col min="14329" max="14329" width="21.5" style="1" customWidth="1"/>
    <col min="14330" max="14330" width="6.796875" style="1" customWidth="1"/>
    <col min="14331" max="14331" width="9.796875" style="1" customWidth="1"/>
    <col min="14332" max="14332" width="28.19921875" style="1" customWidth="1"/>
    <col min="14333" max="14334" width="8.19921875" style="1" customWidth="1"/>
    <col min="14335" max="14340" width="12.69921875" style="1" customWidth="1"/>
    <col min="14341" max="14341" width="10.69921875" style="1"/>
    <col min="14342" max="14342" width="23.5" style="1" bestFit="1" customWidth="1"/>
    <col min="14343" max="14343" width="6.59765625" style="1" bestFit="1" customWidth="1"/>
    <col min="14344" max="14344" width="37.8984375" style="1" bestFit="1" customWidth="1"/>
    <col min="14345" max="14345" width="71.3984375" style="1" bestFit="1" customWidth="1"/>
    <col min="14346" max="14346" width="13.296875" style="1" bestFit="1" customWidth="1"/>
    <col min="14347" max="14584" width="10.69921875" style="1"/>
    <col min="14585" max="14585" width="21.5" style="1" customWidth="1"/>
    <col min="14586" max="14586" width="6.796875" style="1" customWidth="1"/>
    <col min="14587" max="14587" width="9.796875" style="1" customWidth="1"/>
    <col min="14588" max="14588" width="28.19921875" style="1" customWidth="1"/>
    <col min="14589" max="14590" width="8.19921875" style="1" customWidth="1"/>
    <col min="14591" max="14596" width="12.69921875" style="1" customWidth="1"/>
    <col min="14597" max="14597" width="10.69921875" style="1"/>
    <col min="14598" max="14598" width="23.5" style="1" bestFit="1" customWidth="1"/>
    <col min="14599" max="14599" width="6.59765625" style="1" bestFit="1" customWidth="1"/>
    <col min="14600" max="14600" width="37.8984375" style="1" bestFit="1" customWidth="1"/>
    <col min="14601" max="14601" width="71.3984375" style="1" bestFit="1" customWidth="1"/>
    <col min="14602" max="14602" width="13.296875" style="1" bestFit="1" customWidth="1"/>
    <col min="14603" max="14840" width="10.69921875" style="1"/>
    <col min="14841" max="14841" width="21.5" style="1" customWidth="1"/>
    <col min="14842" max="14842" width="6.796875" style="1" customWidth="1"/>
    <col min="14843" max="14843" width="9.796875" style="1" customWidth="1"/>
    <col min="14844" max="14844" width="28.19921875" style="1" customWidth="1"/>
    <col min="14845" max="14846" width="8.19921875" style="1" customWidth="1"/>
    <col min="14847" max="14852" width="12.69921875" style="1" customWidth="1"/>
    <col min="14853" max="14853" width="10.69921875" style="1"/>
    <col min="14854" max="14854" width="23.5" style="1" bestFit="1" customWidth="1"/>
    <col min="14855" max="14855" width="6.59765625" style="1" bestFit="1" customWidth="1"/>
    <col min="14856" max="14856" width="37.8984375" style="1" bestFit="1" customWidth="1"/>
    <col min="14857" max="14857" width="71.3984375" style="1" bestFit="1" customWidth="1"/>
    <col min="14858" max="14858" width="13.296875" style="1" bestFit="1" customWidth="1"/>
    <col min="14859" max="15096" width="10.69921875" style="1"/>
    <col min="15097" max="15097" width="21.5" style="1" customWidth="1"/>
    <col min="15098" max="15098" width="6.796875" style="1" customWidth="1"/>
    <col min="15099" max="15099" width="9.796875" style="1" customWidth="1"/>
    <col min="15100" max="15100" width="28.19921875" style="1" customWidth="1"/>
    <col min="15101" max="15102" width="8.19921875" style="1" customWidth="1"/>
    <col min="15103" max="15108" width="12.69921875" style="1" customWidth="1"/>
    <col min="15109" max="15109" width="10.69921875" style="1"/>
    <col min="15110" max="15110" width="23.5" style="1" bestFit="1" customWidth="1"/>
    <col min="15111" max="15111" width="6.59765625" style="1" bestFit="1" customWidth="1"/>
    <col min="15112" max="15112" width="37.8984375" style="1" bestFit="1" customWidth="1"/>
    <col min="15113" max="15113" width="71.3984375" style="1" bestFit="1" customWidth="1"/>
    <col min="15114" max="15114" width="13.296875" style="1" bestFit="1" customWidth="1"/>
    <col min="15115" max="15352" width="10.69921875" style="1"/>
    <col min="15353" max="15353" width="21.5" style="1" customWidth="1"/>
    <col min="15354" max="15354" width="6.796875" style="1" customWidth="1"/>
    <col min="15355" max="15355" width="9.796875" style="1" customWidth="1"/>
    <col min="15356" max="15356" width="28.19921875" style="1" customWidth="1"/>
    <col min="15357" max="15358" width="8.19921875" style="1" customWidth="1"/>
    <col min="15359" max="15364" width="12.69921875" style="1" customWidth="1"/>
    <col min="15365" max="15365" width="10.69921875" style="1"/>
    <col min="15366" max="15366" width="23.5" style="1" bestFit="1" customWidth="1"/>
    <col min="15367" max="15367" width="6.59765625" style="1" bestFit="1" customWidth="1"/>
    <col min="15368" max="15368" width="37.8984375" style="1" bestFit="1" customWidth="1"/>
    <col min="15369" max="15369" width="71.3984375" style="1" bestFit="1" customWidth="1"/>
    <col min="15370" max="15370" width="13.296875" style="1" bestFit="1" customWidth="1"/>
    <col min="15371" max="15608" width="10.69921875" style="1"/>
    <col min="15609" max="15609" width="21.5" style="1" customWidth="1"/>
    <col min="15610" max="15610" width="6.796875" style="1" customWidth="1"/>
    <col min="15611" max="15611" width="9.796875" style="1" customWidth="1"/>
    <col min="15612" max="15612" width="28.19921875" style="1" customWidth="1"/>
    <col min="15613" max="15614" width="8.19921875" style="1" customWidth="1"/>
    <col min="15615" max="15620" width="12.69921875" style="1" customWidth="1"/>
    <col min="15621" max="15621" width="10.69921875" style="1"/>
    <col min="15622" max="15622" width="23.5" style="1" bestFit="1" customWidth="1"/>
    <col min="15623" max="15623" width="6.59765625" style="1" bestFit="1" customWidth="1"/>
    <col min="15624" max="15624" width="37.8984375" style="1" bestFit="1" customWidth="1"/>
    <col min="15625" max="15625" width="71.3984375" style="1" bestFit="1" customWidth="1"/>
    <col min="15626" max="15626" width="13.296875" style="1" bestFit="1" customWidth="1"/>
    <col min="15627" max="15864" width="10.69921875" style="1"/>
    <col min="15865" max="15865" width="21.5" style="1" customWidth="1"/>
    <col min="15866" max="15866" width="6.796875" style="1" customWidth="1"/>
    <col min="15867" max="15867" width="9.796875" style="1" customWidth="1"/>
    <col min="15868" max="15868" width="28.19921875" style="1" customWidth="1"/>
    <col min="15869" max="15870" width="8.19921875" style="1" customWidth="1"/>
    <col min="15871" max="15876" width="12.69921875" style="1" customWidth="1"/>
    <col min="15877" max="15877" width="10.69921875" style="1"/>
    <col min="15878" max="15878" width="23.5" style="1" bestFit="1" customWidth="1"/>
    <col min="15879" max="15879" width="6.59765625" style="1" bestFit="1" customWidth="1"/>
    <col min="15880" max="15880" width="37.8984375" style="1" bestFit="1" customWidth="1"/>
    <col min="15881" max="15881" width="71.3984375" style="1" bestFit="1" customWidth="1"/>
    <col min="15882" max="15882" width="13.296875" style="1" bestFit="1" customWidth="1"/>
    <col min="15883" max="16120" width="10.69921875" style="1"/>
    <col min="16121" max="16121" width="21.5" style="1" customWidth="1"/>
    <col min="16122" max="16122" width="6.796875" style="1" customWidth="1"/>
    <col min="16123" max="16123" width="9.796875" style="1" customWidth="1"/>
    <col min="16124" max="16124" width="28.19921875" style="1" customWidth="1"/>
    <col min="16125" max="16126" width="8.19921875" style="1" customWidth="1"/>
    <col min="16127" max="16132" width="12.69921875" style="1" customWidth="1"/>
    <col min="16133" max="16133" width="10.69921875" style="1"/>
    <col min="16134" max="16134" width="23.5" style="1" bestFit="1" customWidth="1"/>
    <col min="16135" max="16135" width="6.59765625" style="1" bestFit="1" customWidth="1"/>
    <col min="16136" max="16136" width="37.8984375" style="1" bestFit="1" customWidth="1"/>
    <col min="16137" max="16137" width="71.3984375" style="1" bestFit="1" customWidth="1"/>
    <col min="16138" max="16138" width="13.296875" style="1" bestFit="1" customWidth="1"/>
    <col min="16139" max="16384" width="10.69921875" style="1"/>
  </cols>
  <sheetData>
    <row r="1" spans="1:12" ht="16.5" customHeight="1" x14ac:dyDescent="0.35">
      <c r="A1" s="60"/>
      <c r="B1" s="60"/>
      <c r="C1" s="60"/>
      <c r="D1" s="60"/>
      <c r="E1" s="60"/>
      <c r="F1" s="60"/>
      <c r="G1" s="60" t="s">
        <v>312</v>
      </c>
      <c r="H1" s="60" t="s">
        <v>313</v>
      </c>
      <c r="I1" s="60" t="s">
        <v>314</v>
      </c>
      <c r="J1" s="60" t="s">
        <v>313</v>
      </c>
      <c r="K1" s="60" t="s">
        <v>339</v>
      </c>
      <c r="L1" s="60" t="s">
        <v>313</v>
      </c>
    </row>
    <row r="2" spans="1:12" ht="33" customHeight="1" x14ac:dyDescent="0.35">
      <c r="A2" s="2" t="s">
        <v>0</v>
      </c>
      <c r="B2" s="2" t="s">
        <v>309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6</v>
      </c>
      <c r="H2" s="2" t="s">
        <v>8</v>
      </c>
      <c r="I2" s="2" t="s">
        <v>6</v>
      </c>
      <c r="J2" s="2" t="s">
        <v>8</v>
      </c>
      <c r="K2" s="2" t="s">
        <v>6</v>
      </c>
      <c r="L2" s="2" t="s">
        <v>8</v>
      </c>
    </row>
    <row r="3" spans="1:12" ht="16.5" customHeight="1" x14ac:dyDescent="0.35">
      <c r="A3" s="3" t="s">
        <v>14</v>
      </c>
      <c r="B3" s="4">
        <v>101</v>
      </c>
      <c r="C3" s="5">
        <v>59381</v>
      </c>
      <c r="D3" s="3" t="s">
        <v>15</v>
      </c>
      <c r="E3" s="20">
        <v>13.99</v>
      </c>
      <c r="F3" s="20">
        <v>7.36</v>
      </c>
      <c r="G3" s="61">
        <v>1216.5217391304348</v>
      </c>
      <c r="H3" s="61">
        <v>100</v>
      </c>
      <c r="I3" s="61">
        <v>1094.8695652173913</v>
      </c>
      <c r="J3" s="61">
        <v>90</v>
      </c>
      <c r="K3" s="61">
        <v>1094.8608695652174</v>
      </c>
      <c r="L3" s="61">
        <v>91</v>
      </c>
    </row>
    <row r="4" spans="1:12" ht="16.5" customHeight="1" x14ac:dyDescent="0.35">
      <c r="A4" s="3" t="s">
        <v>14</v>
      </c>
      <c r="B4" s="4">
        <v>101</v>
      </c>
      <c r="C4" s="5">
        <v>59425</v>
      </c>
      <c r="D4" s="3" t="s">
        <v>17</v>
      </c>
      <c r="E4" s="20">
        <v>10.99</v>
      </c>
      <c r="F4" s="20">
        <v>6.3</v>
      </c>
      <c r="G4" s="61">
        <v>659.4</v>
      </c>
      <c r="H4" s="61">
        <v>60</v>
      </c>
      <c r="I4" s="61">
        <v>0</v>
      </c>
      <c r="J4" s="61">
        <v>0</v>
      </c>
      <c r="K4" s="61">
        <v>259.36</v>
      </c>
      <c r="L4" s="61">
        <v>24</v>
      </c>
    </row>
    <row r="5" spans="1:12" ht="16.5" customHeight="1" x14ac:dyDescent="0.35">
      <c r="A5" s="3" t="s">
        <v>14</v>
      </c>
      <c r="B5" s="4">
        <v>101</v>
      </c>
      <c r="C5" s="5">
        <v>34690</v>
      </c>
      <c r="D5" s="3" t="s">
        <v>18</v>
      </c>
      <c r="E5" s="20">
        <v>16.989999999999998</v>
      </c>
      <c r="F5" s="20">
        <v>7.7</v>
      </c>
      <c r="G5" s="61">
        <v>457.99130434782614</v>
      </c>
      <c r="H5" s="61">
        <v>31</v>
      </c>
      <c r="I5" s="61">
        <v>398.89565217391305</v>
      </c>
      <c r="J5" s="61">
        <v>27</v>
      </c>
      <c r="K5" s="61">
        <v>484.58260869565214</v>
      </c>
      <c r="L5" s="61">
        <v>33</v>
      </c>
    </row>
    <row r="6" spans="1:12" ht="16.5" customHeight="1" x14ac:dyDescent="0.35">
      <c r="A6" s="3" t="s">
        <v>14</v>
      </c>
      <c r="B6" s="4">
        <v>101</v>
      </c>
      <c r="C6" s="5">
        <v>32860</v>
      </c>
      <c r="D6" s="3" t="s">
        <v>16</v>
      </c>
      <c r="E6" s="20">
        <v>20.99</v>
      </c>
      <c r="F6" s="20">
        <v>11.1</v>
      </c>
      <c r="G6" s="61">
        <v>365.04347826086956</v>
      </c>
      <c r="H6" s="61">
        <v>20</v>
      </c>
      <c r="I6" s="61">
        <v>200.77391304347825</v>
      </c>
      <c r="J6" s="61">
        <v>11</v>
      </c>
      <c r="K6" s="61">
        <v>199.8608695652174</v>
      </c>
      <c r="L6" s="61">
        <v>11</v>
      </c>
    </row>
    <row r="7" spans="1:12" ht="16.5" customHeight="1" x14ac:dyDescent="0.35">
      <c r="A7" s="3" t="s">
        <v>14</v>
      </c>
      <c r="B7" s="4">
        <v>102</v>
      </c>
      <c r="C7" s="5">
        <v>33995</v>
      </c>
      <c r="D7" s="3" t="s">
        <v>91</v>
      </c>
      <c r="E7" s="20">
        <v>15.99</v>
      </c>
      <c r="F7" s="20">
        <v>8.2200000000000006</v>
      </c>
      <c r="G7" s="61">
        <v>278.08695652173913</v>
      </c>
      <c r="H7" s="61">
        <v>20</v>
      </c>
      <c r="I7" s="61">
        <v>97.330434782608705</v>
      </c>
      <c r="J7" s="61">
        <v>7</v>
      </c>
      <c r="K7" s="61">
        <v>97.330434782608705</v>
      </c>
      <c r="L7" s="61">
        <v>7</v>
      </c>
    </row>
    <row r="8" spans="1:12" ht="16.5" customHeight="1" x14ac:dyDescent="0.35">
      <c r="A8" s="3" t="s">
        <v>14</v>
      </c>
      <c r="B8" s="4">
        <v>101</v>
      </c>
      <c r="C8" s="5">
        <v>34119</v>
      </c>
      <c r="D8" s="3" t="s">
        <v>36</v>
      </c>
      <c r="E8" s="20">
        <v>3.3</v>
      </c>
      <c r="F8" s="20">
        <v>1.85</v>
      </c>
      <c r="G8" s="61">
        <v>229.56521739130434</v>
      </c>
      <c r="H8" s="61">
        <v>80</v>
      </c>
      <c r="I8" s="61">
        <v>0</v>
      </c>
      <c r="J8" s="61">
        <v>0</v>
      </c>
      <c r="K8" s="61">
        <v>0</v>
      </c>
      <c r="L8" s="61">
        <v>0</v>
      </c>
    </row>
    <row r="9" spans="1:12" ht="16.5" customHeight="1" x14ac:dyDescent="0.35">
      <c r="A9" s="3" t="s">
        <v>14</v>
      </c>
      <c r="B9" s="4">
        <v>101</v>
      </c>
      <c r="C9" s="5">
        <v>57073</v>
      </c>
      <c r="D9" s="3" t="s">
        <v>21</v>
      </c>
      <c r="E9" s="20">
        <v>36.99</v>
      </c>
      <c r="F9" s="20">
        <v>16.05</v>
      </c>
      <c r="G9" s="61">
        <v>225.15652173913043</v>
      </c>
      <c r="H9" s="61">
        <v>7</v>
      </c>
      <c r="I9" s="61">
        <v>32.165217391304353</v>
      </c>
      <c r="J9" s="61">
        <v>1</v>
      </c>
      <c r="K9" s="61">
        <v>0</v>
      </c>
      <c r="L9" s="61">
        <v>0</v>
      </c>
    </row>
    <row r="10" spans="1:12" ht="16.5" customHeight="1" x14ac:dyDescent="0.35">
      <c r="A10" s="3" t="s">
        <v>14</v>
      </c>
      <c r="B10" s="4">
        <v>102</v>
      </c>
      <c r="C10" s="5">
        <v>52943</v>
      </c>
      <c r="D10" s="3" t="s">
        <v>90</v>
      </c>
      <c r="E10" s="20">
        <v>31.99</v>
      </c>
      <c r="F10" s="20">
        <v>15.17</v>
      </c>
      <c r="G10" s="61">
        <v>194.04347826086956</v>
      </c>
      <c r="H10" s="61">
        <v>6.976</v>
      </c>
      <c r="I10" s="61">
        <v>133.09565217391304</v>
      </c>
      <c r="J10" s="61">
        <v>4.7850000000000001</v>
      </c>
      <c r="K10" s="61">
        <v>359.66956521739132</v>
      </c>
      <c r="L10" s="61">
        <v>13.128</v>
      </c>
    </row>
    <row r="11" spans="1:12" ht="16.5" customHeight="1" x14ac:dyDescent="0.35">
      <c r="A11" s="3" t="s">
        <v>14</v>
      </c>
      <c r="B11" s="4">
        <v>101</v>
      </c>
      <c r="C11" s="5">
        <v>34070</v>
      </c>
      <c r="D11" s="3" t="s">
        <v>26</v>
      </c>
      <c r="E11" s="20">
        <v>12.99</v>
      </c>
      <c r="F11" s="20">
        <v>6.81</v>
      </c>
      <c r="G11" s="61">
        <v>169.43478260869566</v>
      </c>
      <c r="H11" s="61">
        <v>15</v>
      </c>
      <c r="I11" s="61">
        <v>101.66086956521738</v>
      </c>
      <c r="J11" s="61">
        <v>9</v>
      </c>
      <c r="K11" s="61">
        <v>111.26086956521739</v>
      </c>
      <c r="L11" s="61">
        <v>10</v>
      </c>
    </row>
    <row r="12" spans="1:12" ht="16.5" customHeight="1" x14ac:dyDescent="0.35">
      <c r="A12" s="3" t="s">
        <v>14</v>
      </c>
      <c r="B12" s="4">
        <v>101</v>
      </c>
      <c r="C12" s="5">
        <v>34024</v>
      </c>
      <c r="D12" s="3" t="s">
        <v>23</v>
      </c>
      <c r="E12" s="20">
        <v>37.99</v>
      </c>
      <c r="F12" s="20">
        <v>16.5</v>
      </c>
      <c r="G12" s="61">
        <v>165.17391304347825</v>
      </c>
      <c r="H12" s="61">
        <v>5</v>
      </c>
      <c r="I12" s="61">
        <v>33.03478260869565</v>
      </c>
      <c r="J12" s="61">
        <v>1</v>
      </c>
      <c r="K12" s="61">
        <v>165.17391304347825</v>
      </c>
      <c r="L12" s="61">
        <v>5</v>
      </c>
    </row>
    <row r="13" spans="1:12" ht="16.5" customHeight="1" x14ac:dyDescent="0.35">
      <c r="A13" s="3" t="s">
        <v>19</v>
      </c>
      <c r="B13" s="4">
        <v>101</v>
      </c>
      <c r="C13" s="5">
        <v>50037</v>
      </c>
      <c r="D13" s="3" t="s">
        <v>22</v>
      </c>
      <c r="E13" s="20">
        <v>25.99</v>
      </c>
      <c r="F13" s="20">
        <v>13.4</v>
      </c>
      <c r="G13" s="61">
        <v>158.20000000000002</v>
      </c>
      <c r="H13" s="61">
        <v>7</v>
      </c>
      <c r="I13" s="61">
        <v>158.20000000000002</v>
      </c>
      <c r="J13" s="61">
        <v>7</v>
      </c>
      <c r="K13" s="61">
        <v>178.53913043478261</v>
      </c>
      <c r="L13" s="61">
        <v>8</v>
      </c>
    </row>
    <row r="14" spans="1:12" ht="16.5" customHeight="1" x14ac:dyDescent="0.35">
      <c r="A14" s="70" t="s">
        <v>19</v>
      </c>
      <c r="B14" s="71">
        <v>101</v>
      </c>
      <c r="C14" s="72">
        <v>32859</v>
      </c>
      <c r="D14" s="70" t="s">
        <v>20</v>
      </c>
      <c r="E14" s="73">
        <v>20.99</v>
      </c>
      <c r="F14" s="73">
        <v>11.1</v>
      </c>
      <c r="G14" s="73">
        <v>146.01739130434785</v>
      </c>
      <c r="H14" s="73">
        <v>8</v>
      </c>
      <c r="I14" s="73">
        <v>200.77391304347827</v>
      </c>
      <c r="J14" s="73">
        <v>11</v>
      </c>
      <c r="K14" s="73">
        <v>177.97391304347826</v>
      </c>
      <c r="L14" s="73">
        <v>10</v>
      </c>
    </row>
    <row r="15" spans="1:12" ht="16.5" customHeight="1" x14ac:dyDescent="0.35">
      <c r="A15" s="3" t="s">
        <v>14</v>
      </c>
      <c r="B15" s="4">
        <v>102</v>
      </c>
      <c r="C15" s="5">
        <v>33031</v>
      </c>
      <c r="D15" s="3" t="s">
        <v>97</v>
      </c>
      <c r="E15" s="20">
        <v>17.989999999999998</v>
      </c>
      <c r="F15" s="20">
        <v>9.1199999999999992</v>
      </c>
      <c r="G15" s="61">
        <v>140.7913043478261</v>
      </c>
      <c r="H15" s="61">
        <v>9</v>
      </c>
      <c r="I15" s="61">
        <v>0</v>
      </c>
      <c r="J15" s="61">
        <v>0</v>
      </c>
      <c r="K15" s="61">
        <v>0</v>
      </c>
      <c r="L15" s="61">
        <v>0</v>
      </c>
    </row>
    <row r="16" spans="1:12" ht="16.5" customHeight="1" x14ac:dyDescent="0.35">
      <c r="A16" s="3" t="s">
        <v>14</v>
      </c>
      <c r="B16" s="4">
        <v>106</v>
      </c>
      <c r="C16" s="5">
        <v>54018</v>
      </c>
      <c r="D16" s="3" t="s">
        <v>243</v>
      </c>
      <c r="E16" s="20">
        <v>18.989999999999998</v>
      </c>
      <c r="F16" s="20">
        <v>9.83</v>
      </c>
      <c r="G16" s="61">
        <v>132.10434782608695</v>
      </c>
      <c r="H16" s="61">
        <v>8</v>
      </c>
      <c r="I16" s="61">
        <v>49.539130434782606</v>
      </c>
      <c r="J16" s="61">
        <v>3</v>
      </c>
      <c r="K16" s="61">
        <v>99.078260869565213</v>
      </c>
      <c r="L16" s="61">
        <v>6</v>
      </c>
    </row>
    <row r="17" spans="1:12" ht="16.5" customHeight="1" x14ac:dyDescent="0.35">
      <c r="A17" s="3" t="s">
        <v>14</v>
      </c>
      <c r="B17" s="4">
        <v>102</v>
      </c>
      <c r="C17" s="5">
        <v>38977</v>
      </c>
      <c r="D17" s="3" t="s">
        <v>95</v>
      </c>
      <c r="E17" s="20">
        <v>18.989999999999998</v>
      </c>
      <c r="F17" s="20">
        <v>9.6999999999999993</v>
      </c>
      <c r="G17" s="61">
        <v>132.10434782608695</v>
      </c>
      <c r="H17" s="61">
        <v>8</v>
      </c>
      <c r="I17" s="61">
        <v>132.10434782608695</v>
      </c>
      <c r="J17" s="61">
        <v>8</v>
      </c>
      <c r="K17" s="61">
        <v>132.10434782608695</v>
      </c>
      <c r="L17" s="61">
        <v>8</v>
      </c>
    </row>
    <row r="18" spans="1:12" ht="16.5" customHeight="1" x14ac:dyDescent="0.35">
      <c r="A18" s="3" t="s">
        <v>19</v>
      </c>
      <c r="B18" s="4">
        <v>102</v>
      </c>
      <c r="C18" s="5">
        <v>42797</v>
      </c>
      <c r="D18" s="3" t="s">
        <v>99</v>
      </c>
      <c r="E18" s="20">
        <v>11.99</v>
      </c>
      <c r="F18" s="20">
        <v>4.84</v>
      </c>
      <c r="G18" s="61">
        <v>125.11304347826086</v>
      </c>
      <c r="H18" s="61">
        <v>12</v>
      </c>
      <c r="I18" s="61">
        <v>72.982608695652175</v>
      </c>
      <c r="J18" s="61">
        <v>7</v>
      </c>
      <c r="K18" s="61">
        <v>83.408695652173918</v>
      </c>
      <c r="L18" s="61">
        <v>8</v>
      </c>
    </row>
    <row r="19" spans="1:12" ht="16.5" customHeight="1" x14ac:dyDescent="0.35">
      <c r="A19" s="3" t="s">
        <v>14</v>
      </c>
      <c r="B19" s="4">
        <v>102</v>
      </c>
      <c r="C19" s="5">
        <v>32127</v>
      </c>
      <c r="D19" s="3" t="s">
        <v>92</v>
      </c>
      <c r="E19" s="20">
        <v>11.99</v>
      </c>
      <c r="F19" s="20">
        <v>6.02</v>
      </c>
      <c r="G19" s="61">
        <v>125.11304347826086</v>
      </c>
      <c r="H19" s="61">
        <v>12</v>
      </c>
      <c r="I19" s="61">
        <v>93.834782608695647</v>
      </c>
      <c r="J19" s="61">
        <v>9</v>
      </c>
      <c r="K19" s="61">
        <v>83.408695652173918</v>
      </c>
      <c r="L19" s="61">
        <v>8</v>
      </c>
    </row>
    <row r="20" spans="1:12" ht="16.5" customHeight="1" x14ac:dyDescent="0.35">
      <c r="A20" s="3" t="s">
        <v>14</v>
      </c>
      <c r="B20" s="4">
        <v>101</v>
      </c>
      <c r="C20" s="5">
        <v>58767</v>
      </c>
      <c r="D20" s="3" t="s">
        <v>27</v>
      </c>
      <c r="E20" s="20">
        <v>19.989999999999998</v>
      </c>
      <c r="F20" s="20">
        <v>7.04</v>
      </c>
      <c r="G20" s="61">
        <v>121.67826086956522</v>
      </c>
      <c r="H20" s="61">
        <v>7</v>
      </c>
      <c r="I20" s="61">
        <v>52.14782608695652</v>
      </c>
      <c r="J20" s="61">
        <v>3</v>
      </c>
      <c r="K20" s="61">
        <v>34.765217391304347</v>
      </c>
      <c r="L20" s="61">
        <v>2</v>
      </c>
    </row>
    <row r="21" spans="1:12" ht="16.5" customHeight="1" x14ac:dyDescent="0.35">
      <c r="A21" s="3" t="s">
        <v>14</v>
      </c>
      <c r="B21" s="4">
        <v>102</v>
      </c>
      <c r="C21" s="5">
        <v>42990</v>
      </c>
      <c r="D21" s="3" t="s">
        <v>93</v>
      </c>
      <c r="E21" s="20">
        <v>19.989999999999998</v>
      </c>
      <c r="F21" s="20">
        <v>10.85</v>
      </c>
      <c r="G21" s="61">
        <v>121.67826086956522</v>
      </c>
      <c r="H21" s="61">
        <v>7</v>
      </c>
      <c r="I21" s="61">
        <v>173.82608695652175</v>
      </c>
      <c r="J21" s="61">
        <v>10</v>
      </c>
      <c r="K21" s="61">
        <v>86.043478260869563</v>
      </c>
      <c r="L21" s="61">
        <v>5</v>
      </c>
    </row>
    <row r="22" spans="1:12" ht="16.5" customHeight="1" x14ac:dyDescent="0.35">
      <c r="A22" s="3" t="s">
        <v>14</v>
      </c>
      <c r="B22" s="4">
        <v>102</v>
      </c>
      <c r="C22" s="5">
        <v>32857</v>
      </c>
      <c r="D22" s="3" t="s">
        <v>127</v>
      </c>
      <c r="E22" s="20">
        <v>130</v>
      </c>
      <c r="F22" s="20">
        <v>68.680000000000007</v>
      </c>
      <c r="G22" s="61">
        <v>113.04347826086956</v>
      </c>
      <c r="H22" s="61">
        <v>1</v>
      </c>
      <c r="I22" s="61">
        <v>0</v>
      </c>
      <c r="J22" s="61">
        <v>0</v>
      </c>
      <c r="K22" s="61">
        <v>113.04347826086956</v>
      </c>
      <c r="L22" s="61">
        <v>1</v>
      </c>
    </row>
    <row r="23" spans="1:12" ht="16.5" customHeight="1" x14ac:dyDescent="0.35">
      <c r="A23" s="3" t="s">
        <v>14</v>
      </c>
      <c r="B23" s="4">
        <v>102</v>
      </c>
      <c r="C23" s="5">
        <v>61937</v>
      </c>
      <c r="D23" s="3" t="s">
        <v>122</v>
      </c>
      <c r="E23" s="20">
        <v>10</v>
      </c>
      <c r="F23" s="20">
        <v>2.67</v>
      </c>
      <c r="G23" s="61">
        <v>104.34782608695652</v>
      </c>
      <c r="H23" s="61">
        <v>12</v>
      </c>
      <c r="I23" s="61">
        <v>0</v>
      </c>
      <c r="J23" s="61">
        <v>0</v>
      </c>
      <c r="K23" s="61">
        <v>0</v>
      </c>
      <c r="L23" s="61">
        <v>0</v>
      </c>
    </row>
    <row r="24" spans="1:12" ht="16.5" customHeight="1" x14ac:dyDescent="0.35">
      <c r="A24" s="3" t="s">
        <v>14</v>
      </c>
      <c r="B24" s="4">
        <v>118</v>
      </c>
      <c r="C24" s="5">
        <v>34033</v>
      </c>
      <c r="D24" s="3" t="s">
        <v>256</v>
      </c>
      <c r="E24" s="20">
        <v>120</v>
      </c>
      <c r="F24" s="20">
        <v>64.849999999999994</v>
      </c>
      <c r="G24" s="61">
        <v>104.34782608695652</v>
      </c>
      <c r="H24" s="61">
        <v>1</v>
      </c>
      <c r="I24" s="61">
        <v>104.34782608695652</v>
      </c>
      <c r="J24" s="61">
        <v>1</v>
      </c>
      <c r="K24" s="61">
        <v>0</v>
      </c>
      <c r="L24" s="61">
        <v>0</v>
      </c>
    </row>
    <row r="25" spans="1:12" ht="16.5" customHeight="1" x14ac:dyDescent="0.35">
      <c r="A25" s="3" t="s">
        <v>14</v>
      </c>
      <c r="B25" s="4">
        <v>118</v>
      </c>
      <c r="C25" s="5">
        <v>34014</v>
      </c>
      <c r="D25" s="3" t="s">
        <v>258</v>
      </c>
      <c r="E25" s="20">
        <v>100</v>
      </c>
      <c r="F25" s="20">
        <v>52.03</v>
      </c>
      <c r="G25" s="61">
        <v>86.956521739130437</v>
      </c>
      <c r="H25" s="61">
        <v>1</v>
      </c>
      <c r="I25" s="61">
        <v>0</v>
      </c>
      <c r="J25" s="61">
        <v>0</v>
      </c>
      <c r="K25" s="61">
        <v>0</v>
      </c>
      <c r="L25" s="61">
        <v>0</v>
      </c>
    </row>
    <row r="26" spans="1:12" ht="16.5" customHeight="1" x14ac:dyDescent="0.35">
      <c r="A26" s="3" t="s">
        <v>14</v>
      </c>
      <c r="B26" s="4">
        <v>101</v>
      </c>
      <c r="C26" s="5">
        <v>34091</v>
      </c>
      <c r="D26" s="3" t="s">
        <v>28</v>
      </c>
      <c r="E26" s="20">
        <v>17.989999999999998</v>
      </c>
      <c r="F26" s="20">
        <v>12.24</v>
      </c>
      <c r="G26" s="61">
        <v>86.913043478260875</v>
      </c>
      <c r="H26" s="61">
        <v>5</v>
      </c>
      <c r="I26" s="61">
        <v>86.913043478260875</v>
      </c>
      <c r="J26" s="61">
        <v>5</v>
      </c>
      <c r="K26" s="61">
        <v>198.66956521739129</v>
      </c>
      <c r="L26" s="61">
        <v>13</v>
      </c>
    </row>
    <row r="27" spans="1:12" ht="16.5" customHeight="1" x14ac:dyDescent="0.35">
      <c r="A27" s="3" t="s">
        <v>14</v>
      </c>
      <c r="B27" s="4">
        <v>101</v>
      </c>
      <c r="C27" s="5">
        <v>34046</v>
      </c>
      <c r="D27" s="3" t="s">
        <v>37</v>
      </c>
      <c r="E27" s="20">
        <v>19.989999999999998</v>
      </c>
      <c r="F27" s="20">
        <v>12.2</v>
      </c>
      <c r="G27" s="61">
        <v>86.913043478260875</v>
      </c>
      <c r="H27" s="61">
        <v>5</v>
      </c>
      <c r="I27" s="61">
        <v>69.530434782608694</v>
      </c>
      <c r="J27" s="61">
        <v>4</v>
      </c>
      <c r="K27" s="61">
        <v>0</v>
      </c>
      <c r="L27" s="61">
        <v>0</v>
      </c>
    </row>
    <row r="28" spans="1:12" ht="16.5" customHeight="1" x14ac:dyDescent="0.35">
      <c r="A28" s="3" t="s">
        <v>14</v>
      </c>
      <c r="B28" s="4">
        <v>102</v>
      </c>
      <c r="C28" s="5">
        <v>55481</v>
      </c>
      <c r="D28" s="3" t="s">
        <v>105</v>
      </c>
      <c r="E28" s="20">
        <v>11.99</v>
      </c>
      <c r="F28" s="20">
        <v>5.0999999999999996</v>
      </c>
      <c r="G28" s="61">
        <v>83.408695652173918</v>
      </c>
      <c r="H28" s="61">
        <v>8</v>
      </c>
      <c r="I28" s="61">
        <v>52.130434782608695</v>
      </c>
      <c r="J28" s="61">
        <v>5</v>
      </c>
      <c r="K28" s="61">
        <v>10.42608695652174</v>
      </c>
      <c r="L28" s="61">
        <v>1</v>
      </c>
    </row>
    <row r="29" spans="1:12" ht="16.5" customHeight="1" x14ac:dyDescent="0.35">
      <c r="A29" s="3" t="s">
        <v>19</v>
      </c>
      <c r="B29" s="4">
        <v>102</v>
      </c>
      <c r="C29" s="5">
        <v>34015</v>
      </c>
      <c r="D29" s="3" t="s">
        <v>106</v>
      </c>
      <c r="E29" s="20">
        <v>29.99</v>
      </c>
      <c r="F29" s="20">
        <v>3.1788888888888889</v>
      </c>
      <c r="G29" s="61">
        <v>78.234782608695653</v>
      </c>
      <c r="H29" s="61">
        <v>3</v>
      </c>
      <c r="I29" s="61">
        <v>26.078260869565216</v>
      </c>
      <c r="J29" s="61">
        <v>1</v>
      </c>
      <c r="K29" s="61">
        <v>208.62608695652173</v>
      </c>
      <c r="L29" s="61">
        <v>8</v>
      </c>
    </row>
    <row r="30" spans="1:12" ht="16.5" customHeight="1" x14ac:dyDescent="0.35">
      <c r="A30" s="3" t="s">
        <v>107</v>
      </c>
      <c r="B30" s="4">
        <v>102</v>
      </c>
      <c r="C30" s="5">
        <v>32863</v>
      </c>
      <c r="D30" s="3" t="s">
        <v>109</v>
      </c>
      <c r="E30" s="20">
        <v>17.989999999999998</v>
      </c>
      <c r="F30" s="20">
        <v>9.4</v>
      </c>
      <c r="G30" s="61">
        <v>78.217391304347828</v>
      </c>
      <c r="H30" s="61">
        <v>5</v>
      </c>
      <c r="I30" s="61">
        <v>62.573913043478257</v>
      </c>
      <c r="J30" s="61">
        <v>4</v>
      </c>
      <c r="K30" s="61">
        <v>15.643478260869564</v>
      </c>
      <c r="L30" s="61">
        <v>1</v>
      </c>
    </row>
    <row r="31" spans="1:12" ht="16.5" customHeight="1" x14ac:dyDescent="0.35">
      <c r="A31" s="3" t="s">
        <v>14</v>
      </c>
      <c r="B31" s="4">
        <v>102</v>
      </c>
      <c r="C31" s="5">
        <v>34008</v>
      </c>
      <c r="D31" s="3" t="s">
        <v>104</v>
      </c>
      <c r="E31" s="20">
        <v>5.99</v>
      </c>
      <c r="F31" s="20">
        <v>4.32</v>
      </c>
      <c r="G31" s="61">
        <v>72.921739130434787</v>
      </c>
      <c r="H31" s="61">
        <v>14</v>
      </c>
      <c r="I31" s="61">
        <v>67.713043478260872</v>
      </c>
      <c r="J31" s="61">
        <v>13</v>
      </c>
      <c r="K31" s="61">
        <v>83.339130434782618</v>
      </c>
      <c r="L31" s="61">
        <v>16</v>
      </c>
    </row>
    <row r="32" spans="1:12" ht="16.5" customHeight="1" x14ac:dyDescent="0.35">
      <c r="A32" s="3" t="s">
        <v>14</v>
      </c>
      <c r="B32" s="4">
        <v>101</v>
      </c>
      <c r="C32" s="5">
        <v>62622</v>
      </c>
      <c r="D32" s="3" t="s">
        <v>70</v>
      </c>
      <c r="E32" s="20">
        <v>26.99</v>
      </c>
      <c r="F32" s="20">
        <v>14.15</v>
      </c>
      <c r="G32" s="61">
        <v>70.408695652173918</v>
      </c>
      <c r="H32" s="61">
        <v>3</v>
      </c>
      <c r="I32" s="61">
        <v>0</v>
      </c>
      <c r="J32" s="61">
        <v>0</v>
      </c>
      <c r="K32" s="61">
        <v>91.530434782608694</v>
      </c>
      <c r="L32" s="61">
        <v>4</v>
      </c>
    </row>
    <row r="33" spans="1:12" ht="16.5" customHeight="1" x14ac:dyDescent="0.35">
      <c r="A33" s="3" t="s">
        <v>14</v>
      </c>
      <c r="B33" s="4">
        <v>101</v>
      </c>
      <c r="C33" s="5">
        <v>58512</v>
      </c>
      <c r="D33" s="3" t="s">
        <v>30</v>
      </c>
      <c r="E33" s="20">
        <v>26.99</v>
      </c>
      <c r="F33" s="20">
        <v>10.66</v>
      </c>
      <c r="G33" s="61">
        <v>70.408695652173918</v>
      </c>
      <c r="H33" s="61">
        <v>3</v>
      </c>
      <c r="I33" s="61">
        <v>70.408695652173918</v>
      </c>
      <c r="J33" s="61">
        <v>3</v>
      </c>
      <c r="K33" s="61">
        <v>70.408695652173918</v>
      </c>
      <c r="L33" s="61">
        <v>3</v>
      </c>
    </row>
    <row r="34" spans="1:12" ht="16.5" customHeight="1" x14ac:dyDescent="0.35">
      <c r="A34" s="3" t="s">
        <v>14</v>
      </c>
      <c r="B34" s="4">
        <v>119</v>
      </c>
      <c r="C34" s="5">
        <v>34105</v>
      </c>
      <c r="D34" s="3" t="s">
        <v>265</v>
      </c>
      <c r="E34" s="20">
        <v>79.989999999999995</v>
      </c>
      <c r="F34" s="20">
        <v>54.64</v>
      </c>
      <c r="G34" s="61">
        <v>69.556521739130432</v>
      </c>
      <c r="H34" s="61">
        <v>1</v>
      </c>
      <c r="I34" s="61">
        <v>0</v>
      </c>
      <c r="J34" s="61">
        <v>0</v>
      </c>
      <c r="K34" s="61">
        <v>208.66956521739129</v>
      </c>
      <c r="L34" s="61">
        <v>3</v>
      </c>
    </row>
    <row r="35" spans="1:12" ht="16.5" customHeight="1" x14ac:dyDescent="0.35">
      <c r="A35" s="3" t="s">
        <v>14</v>
      </c>
      <c r="B35" s="4">
        <v>102</v>
      </c>
      <c r="C35" s="5">
        <v>32872</v>
      </c>
      <c r="D35" s="3" t="s">
        <v>98</v>
      </c>
      <c r="E35" s="20">
        <v>29.99</v>
      </c>
      <c r="F35" s="20">
        <v>11.79</v>
      </c>
      <c r="G35" s="61">
        <v>69.547826086956519</v>
      </c>
      <c r="H35" s="61">
        <v>2</v>
      </c>
      <c r="I35" s="61">
        <v>0</v>
      </c>
      <c r="J35" s="61">
        <v>0</v>
      </c>
      <c r="K35" s="61">
        <v>206.01739130434783</v>
      </c>
      <c r="L35" s="61">
        <v>8</v>
      </c>
    </row>
    <row r="36" spans="1:12" ht="16.5" customHeight="1" x14ac:dyDescent="0.35">
      <c r="A36" s="3" t="s">
        <v>14</v>
      </c>
      <c r="B36" s="4">
        <v>102</v>
      </c>
      <c r="C36" s="5">
        <v>32152</v>
      </c>
      <c r="D36" s="3" t="s">
        <v>100</v>
      </c>
      <c r="E36" s="20">
        <v>12.99</v>
      </c>
      <c r="F36" s="20">
        <v>6.77</v>
      </c>
      <c r="G36" s="61">
        <v>67.77391304347826</v>
      </c>
      <c r="H36" s="61">
        <v>6</v>
      </c>
      <c r="I36" s="61">
        <v>22.591304347826089</v>
      </c>
      <c r="J36" s="61">
        <v>2</v>
      </c>
      <c r="K36" s="61">
        <v>56.478260869565219</v>
      </c>
      <c r="L36" s="61">
        <v>5</v>
      </c>
    </row>
    <row r="37" spans="1:12" ht="16.5" customHeight="1" x14ac:dyDescent="0.35">
      <c r="A37" s="3" t="s">
        <v>14</v>
      </c>
      <c r="B37" s="4">
        <v>101</v>
      </c>
      <c r="C37" s="5">
        <v>34041</v>
      </c>
      <c r="D37" s="3" t="s">
        <v>43</v>
      </c>
      <c r="E37" s="20">
        <v>6.99</v>
      </c>
      <c r="F37" s="20">
        <v>3.15</v>
      </c>
      <c r="G37" s="61">
        <v>66.860869565217399</v>
      </c>
      <c r="H37" s="61">
        <v>11</v>
      </c>
      <c r="I37" s="61">
        <v>42.547826086956519</v>
      </c>
      <c r="J37" s="61">
        <v>7</v>
      </c>
      <c r="K37" s="61">
        <v>48.017391304347825</v>
      </c>
      <c r="L37" s="61">
        <v>8</v>
      </c>
    </row>
    <row r="38" spans="1:12" ht="16.5" customHeight="1" x14ac:dyDescent="0.35">
      <c r="A38" s="3" t="s">
        <v>19</v>
      </c>
      <c r="B38" s="4">
        <v>101</v>
      </c>
      <c r="C38" s="5">
        <v>51680</v>
      </c>
      <c r="D38" s="3" t="s">
        <v>33</v>
      </c>
      <c r="E38" s="20">
        <v>21.99</v>
      </c>
      <c r="F38" s="20">
        <v>12.14</v>
      </c>
      <c r="G38" s="61">
        <v>57.365217391304348</v>
      </c>
      <c r="H38" s="61">
        <v>3</v>
      </c>
      <c r="I38" s="61">
        <v>19.121739130434783</v>
      </c>
      <c r="J38" s="61">
        <v>1</v>
      </c>
      <c r="K38" s="61">
        <v>19.121739130434783</v>
      </c>
      <c r="L38" s="61">
        <v>1</v>
      </c>
    </row>
    <row r="39" spans="1:12" ht="16.5" customHeight="1" x14ac:dyDescent="0.35">
      <c r="A39" s="3" t="s">
        <v>14</v>
      </c>
      <c r="B39" s="4">
        <v>101</v>
      </c>
      <c r="C39" s="5">
        <v>34042</v>
      </c>
      <c r="D39" s="3" t="s">
        <v>31</v>
      </c>
      <c r="E39" s="20">
        <v>9.5</v>
      </c>
      <c r="F39" s="20">
        <v>4.1500000000000004</v>
      </c>
      <c r="G39" s="61">
        <v>49.565217391304344</v>
      </c>
      <c r="H39" s="61">
        <v>6</v>
      </c>
      <c r="I39" s="61">
        <v>90.869565217391312</v>
      </c>
      <c r="J39" s="61">
        <v>11</v>
      </c>
      <c r="K39" s="61">
        <v>97.052173913043475</v>
      </c>
      <c r="L39" s="61">
        <v>12</v>
      </c>
    </row>
    <row r="40" spans="1:12" ht="16.5" customHeight="1" x14ac:dyDescent="0.35">
      <c r="A40" s="3" t="s">
        <v>14</v>
      </c>
      <c r="B40" s="4">
        <v>104</v>
      </c>
      <c r="C40" s="5">
        <v>43309</v>
      </c>
      <c r="D40" s="3" t="s">
        <v>238</v>
      </c>
      <c r="E40" s="20">
        <v>13.99</v>
      </c>
      <c r="F40" s="20">
        <v>6.67</v>
      </c>
      <c r="G40" s="61">
        <v>48.660869565217389</v>
      </c>
      <c r="H40" s="61">
        <v>4</v>
      </c>
      <c r="I40" s="61">
        <v>12.165217391304347</v>
      </c>
      <c r="J40" s="61">
        <v>1</v>
      </c>
      <c r="K40" s="61">
        <v>24.330434782608695</v>
      </c>
      <c r="L40" s="61">
        <v>2</v>
      </c>
    </row>
    <row r="41" spans="1:12" ht="16.5" customHeight="1" x14ac:dyDescent="0.35">
      <c r="A41" s="3" t="s">
        <v>14</v>
      </c>
      <c r="B41" s="4">
        <v>102</v>
      </c>
      <c r="C41" s="5">
        <v>32855</v>
      </c>
      <c r="D41" s="3" t="s">
        <v>110</v>
      </c>
      <c r="E41" s="20">
        <v>17.989999999999998</v>
      </c>
      <c r="F41" s="20">
        <v>9.14</v>
      </c>
      <c r="G41" s="61">
        <v>46.930434782608693</v>
      </c>
      <c r="H41" s="61">
        <v>3</v>
      </c>
      <c r="I41" s="61">
        <v>31.286956521739128</v>
      </c>
      <c r="J41" s="61">
        <v>2</v>
      </c>
      <c r="K41" s="61">
        <v>46.930434782608693</v>
      </c>
      <c r="L41" s="61">
        <v>3</v>
      </c>
    </row>
    <row r="42" spans="1:12" ht="16.5" customHeight="1" x14ac:dyDescent="0.35">
      <c r="A42" s="3" t="s">
        <v>14</v>
      </c>
      <c r="B42" s="4">
        <v>102</v>
      </c>
      <c r="C42" s="5">
        <v>32153</v>
      </c>
      <c r="D42" s="3" t="s">
        <v>102</v>
      </c>
      <c r="E42" s="20">
        <v>8.99</v>
      </c>
      <c r="F42" s="20">
        <v>4.5599999999999996</v>
      </c>
      <c r="G42" s="61">
        <v>46.904347826086955</v>
      </c>
      <c r="H42" s="61">
        <v>6</v>
      </c>
      <c r="I42" s="61">
        <v>62.539130434782606</v>
      </c>
      <c r="J42" s="61">
        <v>8</v>
      </c>
      <c r="K42" s="61">
        <v>39.086956521739133</v>
      </c>
      <c r="L42" s="61">
        <v>5</v>
      </c>
    </row>
    <row r="43" spans="1:12" ht="16.5" customHeight="1" x14ac:dyDescent="0.35">
      <c r="A43" s="3" t="s">
        <v>14</v>
      </c>
      <c r="B43" s="4">
        <v>104</v>
      </c>
      <c r="C43" s="5">
        <v>34083</v>
      </c>
      <c r="D43" s="3" t="s">
        <v>233</v>
      </c>
      <c r="E43" s="20">
        <v>49.99</v>
      </c>
      <c r="F43" s="20">
        <v>13.76</v>
      </c>
      <c r="G43" s="61">
        <v>43.469565217391306</v>
      </c>
      <c r="H43" s="61">
        <v>1</v>
      </c>
      <c r="I43" s="61">
        <v>130.40869565217392</v>
      </c>
      <c r="J43" s="61">
        <v>3</v>
      </c>
      <c r="K43" s="61">
        <v>130.40869565217392</v>
      </c>
      <c r="L43" s="61">
        <v>3</v>
      </c>
    </row>
    <row r="44" spans="1:12" ht="16.5" customHeight="1" x14ac:dyDescent="0.35">
      <c r="A44" s="3" t="s">
        <v>14</v>
      </c>
      <c r="B44" s="4">
        <v>101</v>
      </c>
      <c r="C44" s="5">
        <v>34053</v>
      </c>
      <c r="D44" s="3" t="s">
        <v>57</v>
      </c>
      <c r="E44" s="20">
        <v>15.99</v>
      </c>
      <c r="F44" s="20">
        <v>6.74</v>
      </c>
      <c r="G44" s="61">
        <v>41.713043478260872</v>
      </c>
      <c r="H44" s="61">
        <v>3</v>
      </c>
      <c r="I44" s="61">
        <v>55.617391304347827</v>
      </c>
      <c r="J44" s="61">
        <v>4</v>
      </c>
      <c r="K44" s="61">
        <v>0</v>
      </c>
      <c r="L44" s="61">
        <v>0</v>
      </c>
    </row>
    <row r="45" spans="1:12" ht="16.5" customHeight="1" x14ac:dyDescent="0.35">
      <c r="A45" s="3" t="s">
        <v>14</v>
      </c>
      <c r="B45" s="4">
        <v>101</v>
      </c>
      <c r="C45" s="5">
        <v>33997</v>
      </c>
      <c r="D45" s="3" t="s">
        <v>39</v>
      </c>
      <c r="E45" s="20">
        <v>14.99</v>
      </c>
      <c r="F45" s="20">
        <v>7.62</v>
      </c>
      <c r="G45" s="61">
        <v>39.104347826086958</v>
      </c>
      <c r="H45" s="61">
        <v>3</v>
      </c>
      <c r="I45" s="61">
        <v>52.139130434782608</v>
      </c>
      <c r="J45" s="61">
        <v>4</v>
      </c>
      <c r="K45" s="61">
        <v>39.104347826086958</v>
      </c>
      <c r="L45" s="61">
        <v>3</v>
      </c>
    </row>
    <row r="46" spans="1:12" ht="16.5" customHeight="1" x14ac:dyDescent="0.35">
      <c r="A46" s="3" t="s">
        <v>14</v>
      </c>
      <c r="B46" s="4">
        <v>101</v>
      </c>
      <c r="C46" s="5">
        <v>34004</v>
      </c>
      <c r="D46" s="3" t="s">
        <v>50</v>
      </c>
      <c r="E46" s="20">
        <v>1</v>
      </c>
      <c r="F46" s="20">
        <v>0.65</v>
      </c>
      <c r="G46" s="61">
        <v>30.434782608695652</v>
      </c>
      <c r="H46" s="61">
        <v>35</v>
      </c>
      <c r="I46" s="61">
        <v>6.9565217391304346</v>
      </c>
      <c r="J46" s="61">
        <v>8</v>
      </c>
      <c r="K46" s="61">
        <v>13.043478260869565</v>
      </c>
      <c r="L46" s="61">
        <v>15</v>
      </c>
    </row>
    <row r="47" spans="1:12" ht="16.5" customHeight="1" x14ac:dyDescent="0.35">
      <c r="A47" s="3" t="s">
        <v>14</v>
      </c>
      <c r="B47" s="4">
        <v>101</v>
      </c>
      <c r="C47" s="5">
        <v>34023</v>
      </c>
      <c r="D47" s="3" t="s">
        <v>48</v>
      </c>
      <c r="E47" s="20">
        <v>6.99</v>
      </c>
      <c r="F47" s="20">
        <v>2.85</v>
      </c>
      <c r="G47" s="61">
        <v>30.39130434782609</v>
      </c>
      <c r="H47" s="61">
        <v>5</v>
      </c>
      <c r="I47" s="61">
        <v>24.31304347826087</v>
      </c>
      <c r="J47" s="61">
        <v>4</v>
      </c>
      <c r="K47" s="61">
        <v>24.008695652173913</v>
      </c>
      <c r="L47" s="61">
        <v>4</v>
      </c>
    </row>
    <row r="48" spans="1:12" ht="16.5" customHeight="1" x14ac:dyDescent="0.35">
      <c r="A48" s="3" t="s">
        <v>14</v>
      </c>
      <c r="B48" s="4">
        <v>101</v>
      </c>
      <c r="C48" s="5">
        <v>34092</v>
      </c>
      <c r="D48" s="3" t="s">
        <v>47</v>
      </c>
      <c r="E48" s="20">
        <v>4.99</v>
      </c>
      <c r="F48" s="20">
        <v>2.52</v>
      </c>
      <c r="G48" s="61">
        <v>30.373913043478261</v>
      </c>
      <c r="H48" s="61">
        <v>7</v>
      </c>
      <c r="I48" s="61">
        <v>8.6782608695652179</v>
      </c>
      <c r="J48" s="61">
        <v>2</v>
      </c>
      <c r="K48" s="61">
        <v>0</v>
      </c>
      <c r="L48" s="61">
        <v>0</v>
      </c>
    </row>
    <row r="49" spans="1:12" ht="16.5" customHeight="1" x14ac:dyDescent="0.35">
      <c r="A49" s="3" t="s">
        <v>14</v>
      </c>
      <c r="B49" s="4">
        <v>102</v>
      </c>
      <c r="C49" s="5">
        <v>61938</v>
      </c>
      <c r="D49" s="3" t="s">
        <v>124</v>
      </c>
      <c r="E49" s="20">
        <v>10</v>
      </c>
      <c r="F49" s="20">
        <v>3.43</v>
      </c>
      <c r="G49" s="61">
        <v>26.086956521739129</v>
      </c>
      <c r="H49" s="61">
        <v>3</v>
      </c>
      <c r="I49" s="61">
        <v>0</v>
      </c>
      <c r="J49" s="61">
        <v>0</v>
      </c>
      <c r="K49" s="61">
        <v>8.695652173913043</v>
      </c>
      <c r="L49" s="61">
        <v>1</v>
      </c>
    </row>
    <row r="50" spans="1:12" ht="16.5" customHeight="1" x14ac:dyDescent="0.35">
      <c r="A50" s="3" t="s">
        <v>14</v>
      </c>
      <c r="B50" s="4">
        <v>101</v>
      </c>
      <c r="C50" s="5">
        <v>34022</v>
      </c>
      <c r="D50" s="3" t="s">
        <v>54</v>
      </c>
      <c r="E50" s="20">
        <v>5.99</v>
      </c>
      <c r="F50" s="20">
        <v>2.72</v>
      </c>
      <c r="G50" s="61">
        <v>26.043478260869563</v>
      </c>
      <c r="H50" s="61">
        <v>5</v>
      </c>
      <c r="I50" s="61">
        <v>0</v>
      </c>
      <c r="J50" s="61">
        <v>0</v>
      </c>
      <c r="K50" s="61">
        <v>10.417391304347827</v>
      </c>
      <c r="L50" s="61">
        <v>2</v>
      </c>
    </row>
    <row r="51" spans="1:12" ht="16.5" customHeight="1" x14ac:dyDescent="0.35">
      <c r="A51" s="3" t="s">
        <v>14</v>
      </c>
      <c r="B51" s="4">
        <v>101</v>
      </c>
      <c r="C51" s="5">
        <v>61947</v>
      </c>
      <c r="D51" s="3" t="s">
        <v>42</v>
      </c>
      <c r="E51" s="20">
        <v>28.99</v>
      </c>
      <c r="F51" s="20">
        <v>8.93</v>
      </c>
      <c r="G51" s="61">
        <v>25.208695652173912</v>
      </c>
      <c r="H51" s="61">
        <v>1</v>
      </c>
      <c r="I51" s="61">
        <v>25.208695652173912</v>
      </c>
      <c r="J51" s="61">
        <v>1</v>
      </c>
      <c r="K51" s="61">
        <v>75.626086956521732</v>
      </c>
      <c r="L51" s="61">
        <v>3</v>
      </c>
    </row>
    <row r="52" spans="1:12" ht="16.5" customHeight="1" x14ac:dyDescent="0.35">
      <c r="A52" s="3" t="s">
        <v>14</v>
      </c>
      <c r="B52" s="4">
        <v>101</v>
      </c>
      <c r="C52" s="5">
        <v>34068</v>
      </c>
      <c r="D52" s="3" t="s">
        <v>74</v>
      </c>
      <c r="E52" s="20">
        <v>1.5</v>
      </c>
      <c r="F52" s="20">
        <v>0.59</v>
      </c>
      <c r="G52" s="61">
        <v>20.869565217391305</v>
      </c>
      <c r="H52" s="61">
        <v>16</v>
      </c>
      <c r="I52" s="61">
        <v>0</v>
      </c>
      <c r="J52" s="61">
        <v>0</v>
      </c>
      <c r="K52" s="61">
        <v>0</v>
      </c>
      <c r="L52" s="61">
        <v>0</v>
      </c>
    </row>
    <row r="53" spans="1:12" ht="16.5" customHeight="1" x14ac:dyDescent="0.35">
      <c r="A53" s="70" t="s">
        <v>35</v>
      </c>
      <c r="B53" s="71">
        <v>101</v>
      </c>
      <c r="C53" s="72">
        <v>34687</v>
      </c>
      <c r="D53" s="70" t="s">
        <v>40</v>
      </c>
      <c r="E53" s="73">
        <v>3.8</v>
      </c>
      <c r="F53" s="73">
        <v>2.0770666666666666</v>
      </c>
      <c r="G53" s="73">
        <v>19.826086956521738</v>
      </c>
      <c r="H53" s="73">
        <v>6</v>
      </c>
      <c r="I53" s="73">
        <v>3.3043478260869565</v>
      </c>
      <c r="J53" s="73">
        <v>1</v>
      </c>
      <c r="K53" s="73">
        <v>23.130434782608695</v>
      </c>
      <c r="L53" s="73">
        <v>7</v>
      </c>
    </row>
    <row r="54" spans="1:12" ht="16.5" customHeight="1" x14ac:dyDescent="0.35">
      <c r="A54" s="70" t="s">
        <v>35</v>
      </c>
      <c r="B54" s="71">
        <v>101</v>
      </c>
      <c r="C54" s="72">
        <v>32858</v>
      </c>
      <c r="D54" s="70" t="s">
        <v>34</v>
      </c>
      <c r="E54" s="73">
        <v>3.8</v>
      </c>
      <c r="F54" s="73">
        <v>2.0770666666666666</v>
      </c>
      <c r="G54" s="73">
        <v>19.826086956521738</v>
      </c>
      <c r="H54" s="73">
        <v>6</v>
      </c>
      <c r="I54" s="73">
        <v>102.43478260869566</v>
      </c>
      <c r="J54" s="73">
        <v>31</v>
      </c>
      <c r="K54" s="73">
        <v>194.46086956521739</v>
      </c>
      <c r="L54" s="73">
        <v>59</v>
      </c>
    </row>
    <row r="55" spans="1:12" ht="16.5" customHeight="1" x14ac:dyDescent="0.35">
      <c r="A55" s="3" t="s">
        <v>14</v>
      </c>
      <c r="B55" s="4">
        <v>118</v>
      </c>
      <c r="C55" s="5">
        <v>40305</v>
      </c>
      <c r="D55" s="3" t="s">
        <v>257</v>
      </c>
      <c r="E55" s="20">
        <v>9.99</v>
      </c>
      <c r="F55" s="20">
        <v>4.53</v>
      </c>
      <c r="G55" s="61">
        <v>17.373913043478261</v>
      </c>
      <c r="H55" s="61">
        <v>2</v>
      </c>
      <c r="I55" s="61">
        <v>86.869565217391312</v>
      </c>
      <c r="J55" s="61">
        <v>10</v>
      </c>
      <c r="K55" s="61">
        <v>8.6869565217391305</v>
      </c>
      <c r="L55" s="61">
        <v>1</v>
      </c>
    </row>
    <row r="56" spans="1:12" ht="16.5" customHeight="1" x14ac:dyDescent="0.35">
      <c r="A56" s="3" t="s">
        <v>107</v>
      </c>
      <c r="B56" s="4">
        <v>102</v>
      </c>
      <c r="C56" s="5">
        <v>58147</v>
      </c>
      <c r="D56" s="3" t="s">
        <v>146</v>
      </c>
      <c r="E56" s="20">
        <v>16.989999999999998</v>
      </c>
      <c r="F56" s="20">
        <v>7.99</v>
      </c>
      <c r="G56" s="61">
        <v>14.77391304347826</v>
      </c>
      <c r="H56" s="61">
        <v>1</v>
      </c>
      <c r="I56" s="61">
        <v>0</v>
      </c>
      <c r="J56" s="61">
        <v>0</v>
      </c>
      <c r="K56" s="61">
        <v>0</v>
      </c>
      <c r="L56" s="61">
        <v>0</v>
      </c>
    </row>
    <row r="57" spans="1:12" ht="16.5" customHeight="1" x14ac:dyDescent="0.35">
      <c r="A57" s="3" t="s">
        <v>14</v>
      </c>
      <c r="B57" s="4">
        <v>102</v>
      </c>
      <c r="C57" s="5">
        <v>39422</v>
      </c>
      <c r="D57" s="3" t="s">
        <v>120</v>
      </c>
      <c r="E57" s="20">
        <v>15.99</v>
      </c>
      <c r="F57" s="20">
        <v>8.3000000000000007</v>
      </c>
      <c r="G57" s="61">
        <v>13.904347826086957</v>
      </c>
      <c r="H57" s="61">
        <v>1</v>
      </c>
      <c r="I57" s="61">
        <v>13.904347826086957</v>
      </c>
      <c r="J57" s="61">
        <v>1</v>
      </c>
      <c r="K57" s="61">
        <v>0</v>
      </c>
      <c r="L57" s="61">
        <v>0</v>
      </c>
    </row>
    <row r="58" spans="1:12" ht="16.5" customHeight="1" x14ac:dyDescent="0.35">
      <c r="A58" s="3" t="s">
        <v>14</v>
      </c>
      <c r="B58" s="4">
        <v>101</v>
      </c>
      <c r="C58" s="5">
        <v>34086</v>
      </c>
      <c r="D58" s="3" t="s">
        <v>60</v>
      </c>
      <c r="E58" s="20">
        <v>29.99</v>
      </c>
      <c r="F58" s="20">
        <v>10</v>
      </c>
      <c r="G58" s="61">
        <v>5.2695652173913041</v>
      </c>
      <c r="H58" s="61">
        <v>0.20200000000000001</v>
      </c>
      <c r="I58" s="61">
        <v>0</v>
      </c>
      <c r="J58" s="61">
        <v>0</v>
      </c>
      <c r="K58" s="61">
        <v>9.5739130434782602</v>
      </c>
      <c r="L58" s="61">
        <v>0.376</v>
      </c>
    </row>
    <row r="59" spans="1:12" ht="16.5" customHeight="1" x14ac:dyDescent="0.35">
      <c r="A59" s="3" t="s">
        <v>14</v>
      </c>
      <c r="B59" s="4">
        <v>102</v>
      </c>
      <c r="C59" s="5">
        <v>67301</v>
      </c>
      <c r="D59" s="3" t="s">
        <v>206</v>
      </c>
      <c r="E59" s="20">
        <v>15.99</v>
      </c>
      <c r="F59" s="20">
        <v>9.99</v>
      </c>
      <c r="G59" s="61">
        <v>0</v>
      </c>
      <c r="H59" s="61">
        <v>0</v>
      </c>
      <c r="I59" s="61">
        <v>0</v>
      </c>
      <c r="J59" s="61">
        <v>0</v>
      </c>
      <c r="K59" s="61">
        <v>0</v>
      </c>
      <c r="L59" s="61">
        <v>0</v>
      </c>
    </row>
    <row r="60" spans="1:12" ht="16.5" customHeight="1" x14ac:dyDescent="0.35">
      <c r="A60" s="3" t="s">
        <v>14</v>
      </c>
      <c r="B60" s="4">
        <v>102</v>
      </c>
      <c r="C60" s="5">
        <v>67247</v>
      </c>
      <c r="D60" s="3" t="s">
        <v>205</v>
      </c>
      <c r="E60" s="20">
        <v>15.99</v>
      </c>
      <c r="F60" s="20">
        <v>8.0500000000000007</v>
      </c>
      <c r="G60" s="61">
        <v>0</v>
      </c>
      <c r="H60" s="61">
        <v>0</v>
      </c>
      <c r="I60" s="61">
        <v>0</v>
      </c>
      <c r="J60" s="61">
        <v>0</v>
      </c>
      <c r="K60" s="61">
        <v>0</v>
      </c>
      <c r="L60" s="61">
        <v>0</v>
      </c>
    </row>
    <row r="61" spans="1:12" ht="16.5" customHeight="1" x14ac:dyDescent="0.35">
      <c r="A61" s="3" t="s">
        <v>14</v>
      </c>
      <c r="B61" s="4">
        <v>102</v>
      </c>
      <c r="C61" s="5">
        <v>67246</v>
      </c>
      <c r="D61" s="3" t="s">
        <v>94</v>
      </c>
      <c r="E61" s="20">
        <v>26.99</v>
      </c>
      <c r="F61" s="20">
        <v>7.8</v>
      </c>
      <c r="G61" s="61">
        <v>0</v>
      </c>
      <c r="H61" s="61">
        <v>0</v>
      </c>
      <c r="I61" s="61">
        <v>0</v>
      </c>
      <c r="J61" s="61">
        <v>0</v>
      </c>
      <c r="K61" s="61">
        <v>0</v>
      </c>
      <c r="L61" s="61">
        <v>0</v>
      </c>
    </row>
    <row r="62" spans="1:12" ht="16.5" customHeight="1" x14ac:dyDescent="0.35">
      <c r="A62" s="3" t="s">
        <v>14</v>
      </c>
      <c r="B62" s="4">
        <v>102</v>
      </c>
      <c r="C62" s="5">
        <v>67245</v>
      </c>
      <c r="D62" s="3" t="s">
        <v>204</v>
      </c>
      <c r="E62" s="20">
        <v>26.99</v>
      </c>
      <c r="F62" s="20">
        <v>7.8</v>
      </c>
      <c r="G62" s="61">
        <v>0</v>
      </c>
      <c r="H62" s="61">
        <v>0</v>
      </c>
      <c r="I62" s="61">
        <v>0</v>
      </c>
      <c r="J62" s="61">
        <v>0</v>
      </c>
      <c r="K62" s="61">
        <v>0</v>
      </c>
      <c r="L62" s="61">
        <v>0</v>
      </c>
    </row>
    <row r="63" spans="1:12" ht="16.5" customHeight="1" x14ac:dyDescent="0.35">
      <c r="A63" s="3" t="s">
        <v>14</v>
      </c>
      <c r="B63" s="4">
        <v>102</v>
      </c>
      <c r="C63" s="5">
        <v>67244</v>
      </c>
      <c r="D63" s="3" t="s">
        <v>203</v>
      </c>
      <c r="E63" s="20">
        <v>35.99</v>
      </c>
      <c r="F63" s="20">
        <v>12.5</v>
      </c>
      <c r="G63" s="61">
        <v>0</v>
      </c>
      <c r="H63" s="61">
        <v>0</v>
      </c>
      <c r="I63" s="61">
        <v>0</v>
      </c>
      <c r="J63" s="61">
        <v>0</v>
      </c>
      <c r="K63" s="61">
        <v>0</v>
      </c>
      <c r="L63" s="61">
        <v>0</v>
      </c>
    </row>
    <row r="64" spans="1:12" ht="16.5" customHeight="1" x14ac:dyDescent="0.35">
      <c r="A64" s="3" t="s">
        <v>14</v>
      </c>
      <c r="B64" s="4">
        <v>102</v>
      </c>
      <c r="C64" s="5">
        <v>67243</v>
      </c>
      <c r="D64" s="3" t="s">
        <v>202</v>
      </c>
      <c r="E64" s="20">
        <v>30.99</v>
      </c>
      <c r="F64" s="20">
        <v>9.5</v>
      </c>
      <c r="G64" s="61">
        <v>0</v>
      </c>
      <c r="H64" s="61">
        <v>0</v>
      </c>
      <c r="I64" s="61">
        <v>0</v>
      </c>
      <c r="J64" s="61">
        <v>0</v>
      </c>
      <c r="K64" s="61">
        <v>0</v>
      </c>
      <c r="L64" s="61">
        <v>0</v>
      </c>
    </row>
    <row r="65" spans="1:12" ht="16.5" customHeight="1" x14ac:dyDescent="0.35">
      <c r="A65" s="3" t="s">
        <v>14</v>
      </c>
      <c r="B65" s="4">
        <v>102</v>
      </c>
      <c r="C65" s="5">
        <v>67242</v>
      </c>
      <c r="D65" s="3" t="s">
        <v>201</v>
      </c>
      <c r="E65" s="20">
        <v>13.99</v>
      </c>
      <c r="F65" s="20">
        <v>3.8</v>
      </c>
      <c r="G65" s="61">
        <v>0</v>
      </c>
      <c r="H65" s="61">
        <v>0</v>
      </c>
      <c r="I65" s="61">
        <v>0</v>
      </c>
      <c r="J65" s="61">
        <v>0</v>
      </c>
      <c r="K65" s="61">
        <v>0</v>
      </c>
      <c r="L65" s="61">
        <v>0</v>
      </c>
    </row>
    <row r="66" spans="1:12" ht="16.5" customHeight="1" x14ac:dyDescent="0.35">
      <c r="A66" s="3" t="s">
        <v>14</v>
      </c>
      <c r="B66" s="4">
        <v>102</v>
      </c>
      <c r="C66" s="5">
        <v>67241</v>
      </c>
      <c r="D66" s="3" t="s">
        <v>200</v>
      </c>
      <c r="E66" s="20">
        <v>15.99</v>
      </c>
      <c r="F66" s="20">
        <v>6.2</v>
      </c>
      <c r="G66" s="61">
        <v>0</v>
      </c>
      <c r="H66" s="61">
        <v>0</v>
      </c>
      <c r="I66" s="61">
        <v>0</v>
      </c>
      <c r="J66" s="61">
        <v>0</v>
      </c>
      <c r="K66" s="61">
        <v>0</v>
      </c>
      <c r="L66" s="61">
        <v>0</v>
      </c>
    </row>
    <row r="67" spans="1:12" ht="16.5" customHeight="1" x14ac:dyDescent="0.35">
      <c r="A67" s="3" t="s">
        <v>14</v>
      </c>
      <c r="B67" s="4">
        <v>101</v>
      </c>
      <c r="C67" s="5">
        <v>67140</v>
      </c>
      <c r="D67" s="3" t="s">
        <v>89</v>
      </c>
      <c r="E67" s="20">
        <v>2</v>
      </c>
      <c r="F67" s="20">
        <v>0.68</v>
      </c>
      <c r="G67" s="61">
        <v>0</v>
      </c>
      <c r="H67" s="61">
        <v>0</v>
      </c>
      <c r="I67" s="61">
        <v>0</v>
      </c>
      <c r="J67" s="61">
        <v>0</v>
      </c>
      <c r="K67" s="61">
        <v>0</v>
      </c>
      <c r="L67" s="61">
        <v>0</v>
      </c>
    </row>
    <row r="68" spans="1:12" ht="16.5" customHeight="1" x14ac:dyDescent="0.35">
      <c r="A68" s="3" t="s">
        <v>14</v>
      </c>
      <c r="B68" s="4">
        <v>102</v>
      </c>
      <c r="C68" s="5">
        <v>66952</v>
      </c>
      <c r="D68" s="3" t="s">
        <v>155</v>
      </c>
      <c r="E68" s="20">
        <v>29.99</v>
      </c>
      <c r="F68" s="20">
        <v>28.95</v>
      </c>
      <c r="G68" s="61">
        <v>0</v>
      </c>
      <c r="H68" s="61">
        <v>0</v>
      </c>
      <c r="I68" s="61">
        <v>0</v>
      </c>
      <c r="J68" s="61">
        <v>0</v>
      </c>
      <c r="K68" s="61">
        <v>0</v>
      </c>
      <c r="L68" s="61">
        <v>0</v>
      </c>
    </row>
    <row r="69" spans="1:12" ht="16.5" customHeight="1" x14ac:dyDescent="0.35">
      <c r="A69" s="3" t="s">
        <v>14</v>
      </c>
      <c r="B69" s="4">
        <v>102</v>
      </c>
      <c r="C69" s="5">
        <v>66951</v>
      </c>
      <c r="D69" s="3" t="s">
        <v>166</v>
      </c>
      <c r="E69" s="20">
        <v>29.99</v>
      </c>
      <c r="F69" s="20">
        <v>28.95</v>
      </c>
      <c r="G69" s="61">
        <v>0</v>
      </c>
      <c r="H69" s="61">
        <v>0</v>
      </c>
      <c r="I69" s="61">
        <v>0</v>
      </c>
      <c r="J69" s="61">
        <v>0</v>
      </c>
      <c r="K69" s="61">
        <v>0</v>
      </c>
      <c r="L69" s="61">
        <v>0</v>
      </c>
    </row>
    <row r="70" spans="1:12" ht="16.5" customHeight="1" x14ac:dyDescent="0.35">
      <c r="A70" s="3" t="s">
        <v>14</v>
      </c>
      <c r="B70" s="4">
        <v>102</v>
      </c>
      <c r="C70" s="5">
        <v>66950</v>
      </c>
      <c r="D70" s="3" t="s">
        <v>182</v>
      </c>
      <c r="E70" s="20">
        <v>29.99</v>
      </c>
      <c r="F70" s="20">
        <v>28.95</v>
      </c>
      <c r="G70" s="61">
        <v>0</v>
      </c>
      <c r="H70" s="61">
        <v>0</v>
      </c>
      <c r="I70" s="61">
        <v>0</v>
      </c>
      <c r="J70" s="61">
        <v>0</v>
      </c>
      <c r="K70" s="61">
        <v>0</v>
      </c>
      <c r="L70" s="61">
        <v>0</v>
      </c>
    </row>
    <row r="71" spans="1:12" ht="16.5" customHeight="1" x14ac:dyDescent="0.35">
      <c r="A71" s="3" t="s">
        <v>35</v>
      </c>
      <c r="B71" s="4">
        <v>101</v>
      </c>
      <c r="C71" s="5">
        <v>66806</v>
      </c>
      <c r="D71" s="3" t="s">
        <v>81</v>
      </c>
      <c r="E71" s="20">
        <v>33.99</v>
      </c>
      <c r="F71" s="20">
        <v>17.418749999999999</v>
      </c>
      <c r="G71" s="61">
        <v>0</v>
      </c>
      <c r="H71" s="61">
        <v>0</v>
      </c>
      <c r="I71" s="61">
        <v>0</v>
      </c>
      <c r="J71" s="61">
        <v>0</v>
      </c>
      <c r="K71" s="61">
        <v>0</v>
      </c>
      <c r="L71" s="61">
        <v>0</v>
      </c>
    </row>
    <row r="72" spans="1:12" ht="16.5" customHeight="1" x14ac:dyDescent="0.35">
      <c r="A72" s="3" t="s">
        <v>14</v>
      </c>
      <c r="B72" s="4">
        <v>102</v>
      </c>
      <c r="C72" s="5">
        <v>66435</v>
      </c>
      <c r="D72" s="3" t="s">
        <v>177</v>
      </c>
      <c r="E72" s="20">
        <v>11.99</v>
      </c>
      <c r="F72" s="20">
        <v>7.6</v>
      </c>
      <c r="G72" s="61">
        <v>0</v>
      </c>
      <c r="H72" s="61">
        <v>0</v>
      </c>
      <c r="I72" s="61">
        <v>0</v>
      </c>
      <c r="J72" s="61">
        <v>0</v>
      </c>
      <c r="K72" s="61">
        <v>0</v>
      </c>
      <c r="L72" s="61">
        <v>0</v>
      </c>
    </row>
    <row r="73" spans="1:12" ht="16.5" customHeight="1" x14ac:dyDescent="0.35">
      <c r="A73" s="3" t="s">
        <v>14</v>
      </c>
      <c r="B73" s="4">
        <v>102</v>
      </c>
      <c r="C73" s="5">
        <v>66434</v>
      </c>
      <c r="D73" s="3" t="s">
        <v>173</v>
      </c>
      <c r="E73" s="20">
        <v>13.99</v>
      </c>
      <c r="F73" s="20">
        <v>9.14</v>
      </c>
      <c r="G73" s="61">
        <v>0</v>
      </c>
      <c r="H73" s="61">
        <v>0</v>
      </c>
      <c r="I73" s="61">
        <v>0</v>
      </c>
      <c r="J73" s="61">
        <v>0</v>
      </c>
      <c r="K73" s="61">
        <v>0</v>
      </c>
      <c r="L73" s="61">
        <v>0</v>
      </c>
    </row>
    <row r="74" spans="1:12" ht="16.5" customHeight="1" x14ac:dyDescent="0.35">
      <c r="A74" s="3" t="s">
        <v>35</v>
      </c>
      <c r="B74" s="4">
        <v>102</v>
      </c>
      <c r="C74" s="5">
        <v>66308</v>
      </c>
      <c r="D74" s="3" t="s">
        <v>199</v>
      </c>
      <c r="E74" s="20">
        <v>10.85</v>
      </c>
      <c r="F74" s="20">
        <v>5.6590000000000007</v>
      </c>
      <c r="G74" s="61">
        <v>0</v>
      </c>
      <c r="H74" s="61">
        <v>0</v>
      </c>
      <c r="I74" s="61">
        <v>0</v>
      </c>
      <c r="J74" s="61">
        <v>0</v>
      </c>
      <c r="K74" s="61">
        <v>0</v>
      </c>
      <c r="L74" s="61">
        <v>0</v>
      </c>
    </row>
    <row r="75" spans="1:12" ht="16.5" customHeight="1" x14ac:dyDescent="0.35">
      <c r="A75" s="3" t="s">
        <v>14</v>
      </c>
      <c r="B75" s="4">
        <v>101</v>
      </c>
      <c r="C75" s="5">
        <v>65681</v>
      </c>
      <c r="D75" s="3" t="s">
        <v>65</v>
      </c>
      <c r="E75" s="20">
        <v>29.99</v>
      </c>
      <c r="F75" s="20">
        <v>16.03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</row>
    <row r="76" spans="1:12" ht="16.5" customHeight="1" x14ac:dyDescent="0.35">
      <c r="A76" s="3" t="s">
        <v>14</v>
      </c>
      <c r="B76" s="4">
        <v>102</v>
      </c>
      <c r="C76" s="5">
        <v>65506</v>
      </c>
      <c r="D76" s="3" t="s">
        <v>172</v>
      </c>
      <c r="E76" s="20">
        <v>14.99</v>
      </c>
      <c r="F76" s="20">
        <v>7.72</v>
      </c>
      <c r="G76" s="61">
        <v>0</v>
      </c>
      <c r="H76" s="61">
        <v>0</v>
      </c>
      <c r="I76" s="61">
        <v>0</v>
      </c>
      <c r="J76" s="61">
        <v>0</v>
      </c>
      <c r="K76" s="61">
        <v>0</v>
      </c>
      <c r="L76" s="61">
        <v>0</v>
      </c>
    </row>
    <row r="77" spans="1:12" ht="16.5" customHeight="1" x14ac:dyDescent="0.35">
      <c r="A77" s="3" t="s">
        <v>14</v>
      </c>
      <c r="B77" s="4">
        <v>119</v>
      </c>
      <c r="C77" s="5">
        <v>65239</v>
      </c>
      <c r="D77" s="3" t="s">
        <v>280</v>
      </c>
      <c r="E77" s="20">
        <v>70</v>
      </c>
      <c r="F77" s="20">
        <v>48.14</v>
      </c>
      <c r="G77" s="61">
        <v>0</v>
      </c>
      <c r="H77" s="61">
        <v>0</v>
      </c>
      <c r="I77" s="61">
        <v>0</v>
      </c>
      <c r="J77" s="61">
        <v>0</v>
      </c>
      <c r="K77" s="61">
        <v>0</v>
      </c>
      <c r="L77" s="61">
        <v>0</v>
      </c>
    </row>
    <row r="78" spans="1:12" ht="16.5" customHeight="1" x14ac:dyDescent="0.35">
      <c r="A78" s="3" t="s">
        <v>14</v>
      </c>
      <c r="B78" s="4">
        <v>119</v>
      </c>
      <c r="C78" s="5">
        <v>65238</v>
      </c>
      <c r="D78" s="3" t="s">
        <v>279</v>
      </c>
      <c r="E78" s="20">
        <v>120</v>
      </c>
      <c r="F78" s="20">
        <v>82.1</v>
      </c>
      <c r="G78" s="61">
        <v>0</v>
      </c>
      <c r="H78" s="61">
        <v>0</v>
      </c>
      <c r="I78" s="61">
        <v>0</v>
      </c>
      <c r="J78" s="61">
        <v>0</v>
      </c>
      <c r="K78" s="61">
        <v>0</v>
      </c>
      <c r="L78" s="61">
        <v>0</v>
      </c>
    </row>
    <row r="79" spans="1:12" ht="16.5" customHeight="1" x14ac:dyDescent="0.35">
      <c r="A79" s="3" t="s">
        <v>14</v>
      </c>
      <c r="B79" s="4">
        <v>120</v>
      </c>
      <c r="C79" s="5">
        <v>64763</v>
      </c>
      <c r="D79" s="3" t="s">
        <v>284</v>
      </c>
      <c r="E79" s="20">
        <v>38</v>
      </c>
      <c r="F79" s="20">
        <v>18.920000000000002</v>
      </c>
      <c r="G79" s="61">
        <v>0</v>
      </c>
      <c r="H79" s="61">
        <v>0</v>
      </c>
      <c r="I79" s="61">
        <v>0</v>
      </c>
      <c r="J79" s="61">
        <v>0</v>
      </c>
      <c r="K79" s="61">
        <v>0</v>
      </c>
      <c r="L79" s="61">
        <v>0</v>
      </c>
    </row>
    <row r="80" spans="1:12" ht="16.5" customHeight="1" x14ac:dyDescent="0.35">
      <c r="A80" s="3" t="s">
        <v>14</v>
      </c>
      <c r="B80" s="4">
        <v>120</v>
      </c>
      <c r="C80" s="5">
        <v>64762</v>
      </c>
      <c r="D80" s="3" t="s">
        <v>285</v>
      </c>
      <c r="E80" s="20">
        <v>69.989999999999995</v>
      </c>
      <c r="F80" s="20">
        <v>37.380000000000003</v>
      </c>
      <c r="G80" s="61">
        <v>0</v>
      </c>
      <c r="H80" s="61">
        <v>0</v>
      </c>
      <c r="I80" s="61">
        <v>0</v>
      </c>
      <c r="J80" s="61">
        <v>0</v>
      </c>
      <c r="K80" s="61">
        <v>0</v>
      </c>
      <c r="L80" s="61">
        <v>0</v>
      </c>
    </row>
    <row r="81" spans="1:12" ht="16.5" customHeight="1" x14ac:dyDescent="0.35">
      <c r="A81" s="3" t="s">
        <v>14</v>
      </c>
      <c r="B81" s="4">
        <v>120</v>
      </c>
      <c r="C81" s="5">
        <v>64761</v>
      </c>
      <c r="D81" s="3" t="s">
        <v>286</v>
      </c>
      <c r="E81" s="20">
        <v>69.989999999999995</v>
      </c>
      <c r="F81" s="20">
        <v>42.18</v>
      </c>
      <c r="G81" s="61">
        <v>0</v>
      </c>
      <c r="H81" s="61">
        <v>0</v>
      </c>
      <c r="I81" s="61">
        <v>0</v>
      </c>
      <c r="J81" s="61">
        <v>0</v>
      </c>
      <c r="K81" s="61">
        <v>0</v>
      </c>
      <c r="L81" s="61">
        <v>0</v>
      </c>
    </row>
    <row r="82" spans="1:12" ht="16.5" customHeight="1" x14ac:dyDescent="0.35">
      <c r="A82" s="3" t="s">
        <v>14</v>
      </c>
      <c r="B82" s="4">
        <v>119</v>
      </c>
      <c r="C82" s="5">
        <v>64635</v>
      </c>
      <c r="D82" s="3" t="s">
        <v>276</v>
      </c>
      <c r="E82" s="20">
        <v>160</v>
      </c>
      <c r="F82" s="20">
        <v>72.88</v>
      </c>
      <c r="G82" s="61">
        <v>0</v>
      </c>
      <c r="H82" s="61">
        <v>0</v>
      </c>
      <c r="I82" s="61">
        <v>0</v>
      </c>
      <c r="J82" s="61">
        <v>0</v>
      </c>
      <c r="K82" s="61">
        <v>0</v>
      </c>
      <c r="L82" s="61">
        <v>0</v>
      </c>
    </row>
    <row r="83" spans="1:12" ht="16.5" customHeight="1" x14ac:dyDescent="0.35">
      <c r="A83" s="3" t="s">
        <v>14</v>
      </c>
      <c r="B83" s="4">
        <v>119</v>
      </c>
      <c r="C83" s="5">
        <v>64633</v>
      </c>
      <c r="D83" s="3" t="s">
        <v>271</v>
      </c>
      <c r="E83" s="20">
        <v>8.99</v>
      </c>
      <c r="F83" s="20">
        <v>3.8</v>
      </c>
      <c r="G83" s="61">
        <v>0</v>
      </c>
      <c r="H83" s="61">
        <v>0</v>
      </c>
      <c r="I83" s="61">
        <v>0</v>
      </c>
      <c r="J83" s="61">
        <v>0</v>
      </c>
      <c r="K83" s="61">
        <v>0</v>
      </c>
      <c r="L83" s="61">
        <v>0</v>
      </c>
    </row>
    <row r="84" spans="1:12" ht="16.5" customHeight="1" x14ac:dyDescent="0.35">
      <c r="A84" s="3" t="s">
        <v>14</v>
      </c>
      <c r="B84" s="4">
        <v>119</v>
      </c>
      <c r="C84" s="5">
        <v>64632</v>
      </c>
      <c r="D84" s="3" t="s">
        <v>278</v>
      </c>
      <c r="E84" s="20">
        <v>140</v>
      </c>
      <c r="F84" s="20">
        <v>62.14</v>
      </c>
      <c r="G84" s="61">
        <v>0</v>
      </c>
      <c r="H84" s="61">
        <v>0</v>
      </c>
      <c r="I84" s="61">
        <v>0</v>
      </c>
      <c r="J84" s="61">
        <v>0</v>
      </c>
      <c r="K84" s="61">
        <v>0</v>
      </c>
      <c r="L84" s="61">
        <v>0</v>
      </c>
    </row>
    <row r="85" spans="1:12" ht="16.5" customHeight="1" x14ac:dyDescent="0.35">
      <c r="A85" s="3" t="s">
        <v>14</v>
      </c>
      <c r="B85" s="4">
        <v>107</v>
      </c>
      <c r="C85" s="5">
        <v>64416</v>
      </c>
      <c r="D85" s="3" t="s">
        <v>248</v>
      </c>
      <c r="E85" s="20">
        <v>49.99</v>
      </c>
      <c r="F85" s="20">
        <v>32.549999999999997</v>
      </c>
      <c r="G85" s="61">
        <v>0</v>
      </c>
      <c r="H85" s="61">
        <v>0</v>
      </c>
      <c r="I85" s="61">
        <v>0</v>
      </c>
      <c r="J85" s="61">
        <v>0</v>
      </c>
      <c r="K85" s="61">
        <v>0</v>
      </c>
      <c r="L85" s="61">
        <v>0</v>
      </c>
    </row>
    <row r="86" spans="1:12" ht="16.5" customHeight="1" x14ac:dyDescent="0.35">
      <c r="A86" s="3" t="s">
        <v>35</v>
      </c>
      <c r="B86" s="4">
        <v>102</v>
      </c>
      <c r="C86" s="5">
        <v>63898</v>
      </c>
      <c r="D86" s="3" t="s">
        <v>198</v>
      </c>
      <c r="E86" s="20">
        <v>330.99</v>
      </c>
      <c r="F86" s="20">
        <v>179.16</v>
      </c>
      <c r="G86" s="61">
        <v>0</v>
      </c>
      <c r="H86" s="61">
        <v>0</v>
      </c>
      <c r="I86" s="61">
        <v>0</v>
      </c>
      <c r="J86" s="61">
        <v>0</v>
      </c>
      <c r="K86" s="61">
        <v>0</v>
      </c>
      <c r="L86" s="61">
        <v>0</v>
      </c>
    </row>
    <row r="87" spans="1:12" ht="16.5" customHeight="1" x14ac:dyDescent="0.35">
      <c r="A87" s="3" t="s">
        <v>14</v>
      </c>
      <c r="B87" s="4">
        <v>101</v>
      </c>
      <c r="C87" s="5">
        <v>63800</v>
      </c>
      <c r="D87" s="3" t="s">
        <v>88</v>
      </c>
      <c r="E87" s="20">
        <v>23.99</v>
      </c>
      <c r="F87" s="20">
        <v>11.87</v>
      </c>
      <c r="G87" s="61">
        <v>0</v>
      </c>
      <c r="H87" s="61">
        <v>0</v>
      </c>
      <c r="I87" s="61">
        <v>0</v>
      </c>
      <c r="J87" s="61">
        <v>0</v>
      </c>
      <c r="K87" s="61">
        <v>0</v>
      </c>
      <c r="L87" s="61">
        <v>0</v>
      </c>
    </row>
    <row r="88" spans="1:12" ht="16.5" customHeight="1" x14ac:dyDescent="0.35">
      <c r="A88" s="3" t="s">
        <v>14</v>
      </c>
      <c r="B88" s="4">
        <v>119</v>
      </c>
      <c r="C88" s="5">
        <v>63798</v>
      </c>
      <c r="D88" s="3" t="s">
        <v>275</v>
      </c>
      <c r="E88" s="20">
        <v>79.989999999999995</v>
      </c>
      <c r="F88" s="20">
        <v>42.68</v>
      </c>
      <c r="G88" s="61">
        <v>0</v>
      </c>
      <c r="H88" s="61">
        <v>0</v>
      </c>
      <c r="I88" s="61">
        <v>0</v>
      </c>
      <c r="J88" s="61">
        <v>0</v>
      </c>
      <c r="K88" s="61">
        <v>0</v>
      </c>
      <c r="L88" s="61">
        <v>0</v>
      </c>
    </row>
    <row r="89" spans="1:12" ht="16.5" customHeight="1" x14ac:dyDescent="0.35">
      <c r="A89" s="3" t="s">
        <v>14</v>
      </c>
      <c r="B89" s="4">
        <v>102</v>
      </c>
      <c r="C89" s="5">
        <v>63394</v>
      </c>
      <c r="D89" s="3" t="s">
        <v>138</v>
      </c>
      <c r="E89" s="20">
        <v>26.97</v>
      </c>
      <c r="F89" s="20">
        <v>13.68</v>
      </c>
      <c r="G89" s="61">
        <v>0</v>
      </c>
      <c r="H89" s="61">
        <v>0</v>
      </c>
      <c r="I89" s="61">
        <v>0</v>
      </c>
      <c r="J89" s="61">
        <v>0</v>
      </c>
      <c r="K89" s="61">
        <v>0</v>
      </c>
      <c r="L89" s="61">
        <v>0</v>
      </c>
    </row>
    <row r="90" spans="1:12" ht="16.5" customHeight="1" x14ac:dyDescent="0.35">
      <c r="A90" s="3" t="s">
        <v>14</v>
      </c>
      <c r="B90" s="4">
        <v>101</v>
      </c>
      <c r="C90" s="5">
        <v>62788</v>
      </c>
      <c r="D90" s="3" t="s">
        <v>46</v>
      </c>
      <c r="E90" s="20">
        <v>26.99</v>
      </c>
      <c r="F90" s="20">
        <v>10.66</v>
      </c>
      <c r="G90" s="61">
        <v>0</v>
      </c>
      <c r="H90" s="61">
        <v>0</v>
      </c>
      <c r="I90" s="61">
        <v>0</v>
      </c>
      <c r="J90" s="61">
        <v>0</v>
      </c>
      <c r="K90" s="61">
        <v>0</v>
      </c>
      <c r="L90" s="61">
        <v>0</v>
      </c>
    </row>
    <row r="91" spans="1:12" ht="16.5" customHeight="1" x14ac:dyDescent="0.35">
      <c r="A91" s="3" t="s">
        <v>14</v>
      </c>
      <c r="B91" s="4">
        <v>120</v>
      </c>
      <c r="C91" s="5">
        <v>62629</v>
      </c>
      <c r="D91" s="3" t="s">
        <v>282</v>
      </c>
      <c r="E91" s="20">
        <v>60</v>
      </c>
      <c r="F91" s="20">
        <v>33.18</v>
      </c>
      <c r="G91" s="61">
        <v>0</v>
      </c>
      <c r="H91" s="61">
        <v>0</v>
      </c>
      <c r="I91" s="61">
        <v>1043.4782608695652</v>
      </c>
      <c r="J91" s="61">
        <v>20</v>
      </c>
      <c r="K91" s="61">
        <v>0</v>
      </c>
      <c r="L91" s="61">
        <v>0</v>
      </c>
    </row>
    <row r="92" spans="1:12" ht="16.5" customHeight="1" x14ac:dyDescent="0.35">
      <c r="A92" s="3" t="s">
        <v>14</v>
      </c>
      <c r="B92" s="4">
        <v>101</v>
      </c>
      <c r="C92" s="5">
        <v>62627</v>
      </c>
      <c r="D92" s="3" t="s">
        <v>80</v>
      </c>
      <c r="E92" s="20">
        <v>20.99</v>
      </c>
      <c r="F92" s="20">
        <v>12.88</v>
      </c>
      <c r="G92" s="61">
        <v>0</v>
      </c>
      <c r="H92" s="61">
        <v>0</v>
      </c>
      <c r="I92" s="61">
        <v>0</v>
      </c>
      <c r="J92" s="61">
        <v>0</v>
      </c>
      <c r="K92" s="61">
        <v>0</v>
      </c>
      <c r="L92" s="61">
        <v>0</v>
      </c>
    </row>
    <row r="93" spans="1:12" ht="16.5" customHeight="1" x14ac:dyDescent="0.35">
      <c r="A93" s="3" t="s">
        <v>14</v>
      </c>
      <c r="B93" s="4">
        <v>102</v>
      </c>
      <c r="C93" s="5">
        <v>62623</v>
      </c>
      <c r="D93" s="3" t="s">
        <v>165</v>
      </c>
      <c r="E93" s="20">
        <v>15.99</v>
      </c>
      <c r="F93" s="20">
        <v>8.31</v>
      </c>
      <c r="G93" s="61">
        <v>0</v>
      </c>
      <c r="H93" s="61">
        <v>0</v>
      </c>
      <c r="I93" s="61">
        <v>0</v>
      </c>
      <c r="J93" s="61">
        <v>0</v>
      </c>
      <c r="K93" s="61">
        <v>0</v>
      </c>
      <c r="L93" s="61">
        <v>0</v>
      </c>
    </row>
    <row r="94" spans="1:12" ht="16.5" customHeight="1" x14ac:dyDescent="0.35">
      <c r="A94" s="3" t="s">
        <v>14</v>
      </c>
      <c r="B94" s="4">
        <v>101</v>
      </c>
      <c r="C94" s="5">
        <v>62621</v>
      </c>
      <c r="D94" s="3" t="s">
        <v>79</v>
      </c>
      <c r="E94" s="20">
        <v>26.99</v>
      </c>
      <c r="F94" s="20">
        <v>14.15</v>
      </c>
      <c r="G94" s="61">
        <v>0</v>
      </c>
      <c r="H94" s="61">
        <v>0</v>
      </c>
      <c r="I94" s="61">
        <v>0</v>
      </c>
      <c r="J94" s="61">
        <v>0</v>
      </c>
      <c r="K94" s="61">
        <v>0</v>
      </c>
      <c r="L94" s="61">
        <v>0</v>
      </c>
    </row>
    <row r="95" spans="1:12" ht="16.5" customHeight="1" x14ac:dyDescent="0.35">
      <c r="A95" s="3" t="s">
        <v>14</v>
      </c>
      <c r="B95" s="4">
        <v>119</v>
      </c>
      <c r="C95" s="5">
        <v>62620</v>
      </c>
      <c r="D95" s="3" t="s">
        <v>268</v>
      </c>
      <c r="E95" s="20">
        <v>65.989999999999995</v>
      </c>
      <c r="F95" s="20">
        <v>46.29</v>
      </c>
      <c r="G95" s="61">
        <v>0</v>
      </c>
      <c r="H95" s="61">
        <v>0</v>
      </c>
      <c r="I95" s="61">
        <v>0</v>
      </c>
      <c r="J95" s="61">
        <v>0</v>
      </c>
      <c r="K95" s="61">
        <v>0</v>
      </c>
      <c r="L95" s="61">
        <v>0</v>
      </c>
    </row>
    <row r="96" spans="1:12" ht="16.5" customHeight="1" x14ac:dyDescent="0.35">
      <c r="A96" s="3" t="s">
        <v>14</v>
      </c>
      <c r="B96" s="4">
        <v>109</v>
      </c>
      <c r="C96" s="5">
        <v>62614</v>
      </c>
      <c r="D96" s="3" t="s">
        <v>249</v>
      </c>
      <c r="E96" s="20">
        <v>7.99</v>
      </c>
      <c r="F96" s="20">
        <v>5.54</v>
      </c>
      <c r="G96" s="61">
        <v>0</v>
      </c>
      <c r="H96" s="61">
        <v>0</v>
      </c>
      <c r="I96" s="61">
        <v>0</v>
      </c>
      <c r="J96" s="61">
        <v>0</v>
      </c>
      <c r="K96" s="61">
        <v>0</v>
      </c>
      <c r="L96" s="61">
        <v>0</v>
      </c>
    </row>
    <row r="97" spans="1:12" ht="16.5" customHeight="1" x14ac:dyDescent="0.35">
      <c r="A97" s="3" t="s">
        <v>14</v>
      </c>
      <c r="B97" s="4">
        <v>120</v>
      </c>
      <c r="C97" s="5">
        <v>62585</v>
      </c>
      <c r="D97" s="3" t="s">
        <v>281</v>
      </c>
      <c r="E97" s="20">
        <v>60</v>
      </c>
      <c r="F97" s="20">
        <v>26.17</v>
      </c>
      <c r="G97" s="61">
        <v>0</v>
      </c>
      <c r="H97" s="61">
        <v>0</v>
      </c>
      <c r="I97" s="61">
        <v>6217.391304347826</v>
      </c>
      <c r="J97" s="61">
        <v>130</v>
      </c>
      <c r="K97" s="61">
        <v>0</v>
      </c>
      <c r="L97" s="61">
        <v>0</v>
      </c>
    </row>
    <row r="98" spans="1:12" ht="16.5" customHeight="1" x14ac:dyDescent="0.35">
      <c r="A98" s="3" t="s">
        <v>14</v>
      </c>
      <c r="B98" s="4">
        <v>102</v>
      </c>
      <c r="C98" s="5">
        <v>62499</v>
      </c>
      <c r="D98" s="3" t="s">
        <v>142</v>
      </c>
      <c r="E98" s="20">
        <v>12.99</v>
      </c>
      <c r="F98" s="20">
        <v>6.69</v>
      </c>
      <c r="G98" s="61">
        <v>0</v>
      </c>
      <c r="H98" s="61">
        <v>0</v>
      </c>
      <c r="I98" s="61">
        <v>0</v>
      </c>
      <c r="J98" s="61">
        <v>0</v>
      </c>
      <c r="K98" s="61">
        <v>0</v>
      </c>
      <c r="L98" s="61">
        <v>0</v>
      </c>
    </row>
    <row r="99" spans="1:12" ht="16.5" customHeight="1" x14ac:dyDescent="0.35">
      <c r="A99" s="3" t="s">
        <v>14</v>
      </c>
      <c r="B99" s="4">
        <v>119</v>
      </c>
      <c r="C99" s="5">
        <v>62457</v>
      </c>
      <c r="D99" s="3" t="s">
        <v>270</v>
      </c>
      <c r="E99" s="20">
        <v>100</v>
      </c>
      <c r="F99" s="20">
        <v>53.89</v>
      </c>
      <c r="G99" s="61">
        <v>0</v>
      </c>
      <c r="H99" s="61">
        <v>0</v>
      </c>
      <c r="I99" s="61">
        <v>0</v>
      </c>
      <c r="J99" s="61">
        <v>0</v>
      </c>
      <c r="K99" s="61">
        <v>0</v>
      </c>
      <c r="L99" s="61">
        <v>0</v>
      </c>
    </row>
    <row r="100" spans="1:12" ht="16.5" customHeight="1" x14ac:dyDescent="0.35">
      <c r="A100" s="3" t="s">
        <v>14</v>
      </c>
      <c r="B100" s="4">
        <v>101</v>
      </c>
      <c r="C100" s="5">
        <v>62390</v>
      </c>
      <c r="D100" s="3" t="s">
        <v>67</v>
      </c>
      <c r="E100" s="20">
        <v>19.989999999999998</v>
      </c>
      <c r="F100" s="20">
        <v>7.43</v>
      </c>
      <c r="G100" s="61">
        <v>0</v>
      </c>
      <c r="H100" s="61">
        <v>0</v>
      </c>
      <c r="I100" s="61">
        <v>0</v>
      </c>
      <c r="J100" s="61">
        <v>0</v>
      </c>
      <c r="K100" s="61">
        <v>0</v>
      </c>
      <c r="L100" s="61">
        <v>0</v>
      </c>
    </row>
    <row r="101" spans="1:12" ht="16.5" customHeight="1" x14ac:dyDescent="0.35">
      <c r="A101" s="3" t="s">
        <v>14</v>
      </c>
      <c r="B101" s="4">
        <v>102</v>
      </c>
      <c r="C101" s="5">
        <v>62290</v>
      </c>
      <c r="D101" s="3" t="s">
        <v>151</v>
      </c>
      <c r="E101" s="20">
        <v>10</v>
      </c>
      <c r="F101" s="20">
        <v>3.77</v>
      </c>
      <c r="G101" s="61">
        <v>0</v>
      </c>
      <c r="H101" s="61">
        <v>0</v>
      </c>
      <c r="I101" s="61">
        <v>0</v>
      </c>
      <c r="J101" s="61">
        <v>0</v>
      </c>
      <c r="K101" s="61">
        <v>0</v>
      </c>
      <c r="L101" s="61">
        <v>0</v>
      </c>
    </row>
    <row r="102" spans="1:12" ht="16.5" customHeight="1" x14ac:dyDescent="0.35">
      <c r="A102" s="3" t="s">
        <v>14</v>
      </c>
      <c r="B102" s="4">
        <v>112</v>
      </c>
      <c r="C102" s="5">
        <v>61978</v>
      </c>
      <c r="D102" s="3" t="s">
        <v>251</v>
      </c>
      <c r="E102" s="20">
        <v>199.99</v>
      </c>
      <c r="F102" s="20">
        <v>126.16</v>
      </c>
      <c r="G102" s="61">
        <v>0</v>
      </c>
      <c r="H102" s="61">
        <v>0</v>
      </c>
      <c r="I102" s="61">
        <v>0</v>
      </c>
      <c r="J102" s="61">
        <v>0</v>
      </c>
      <c r="K102" s="61">
        <v>0</v>
      </c>
      <c r="L102" s="61">
        <v>0</v>
      </c>
    </row>
    <row r="103" spans="1:12" ht="16.5" customHeight="1" x14ac:dyDescent="0.35">
      <c r="A103" s="3" t="s">
        <v>14</v>
      </c>
      <c r="B103" s="4">
        <v>101</v>
      </c>
      <c r="C103" s="5">
        <v>61950</v>
      </c>
      <c r="D103" s="3" t="s">
        <v>72</v>
      </c>
      <c r="E103" s="20">
        <v>10</v>
      </c>
      <c r="F103" s="20">
        <v>6.19</v>
      </c>
      <c r="G103" s="61">
        <v>0</v>
      </c>
      <c r="H103" s="61">
        <v>0</v>
      </c>
      <c r="I103" s="61">
        <v>0</v>
      </c>
      <c r="J103" s="61">
        <v>0</v>
      </c>
      <c r="K103" s="61">
        <v>0</v>
      </c>
      <c r="L103" s="61">
        <v>0</v>
      </c>
    </row>
    <row r="104" spans="1:12" ht="16.5" customHeight="1" x14ac:dyDescent="0.35">
      <c r="A104" s="3" t="s">
        <v>14</v>
      </c>
      <c r="B104" s="4">
        <v>101</v>
      </c>
      <c r="C104" s="5">
        <v>61949</v>
      </c>
      <c r="D104" s="3" t="s">
        <v>84</v>
      </c>
      <c r="E104" s="20">
        <v>10</v>
      </c>
      <c r="F104" s="20">
        <v>6.28</v>
      </c>
      <c r="G104" s="61">
        <v>0</v>
      </c>
      <c r="H104" s="61">
        <v>0</v>
      </c>
      <c r="I104" s="61">
        <v>0</v>
      </c>
      <c r="J104" s="61">
        <v>0</v>
      </c>
      <c r="K104" s="61">
        <v>0</v>
      </c>
      <c r="L104" s="61">
        <v>0</v>
      </c>
    </row>
    <row r="105" spans="1:12" ht="16.5" customHeight="1" x14ac:dyDescent="0.35">
      <c r="A105" s="3" t="s">
        <v>14</v>
      </c>
      <c r="B105" s="4">
        <v>102</v>
      </c>
      <c r="C105" s="5">
        <v>61943</v>
      </c>
      <c r="D105" s="3" t="s">
        <v>154</v>
      </c>
      <c r="E105" s="20">
        <v>10</v>
      </c>
      <c r="F105" s="20">
        <v>3.71</v>
      </c>
      <c r="G105" s="61">
        <v>0</v>
      </c>
      <c r="H105" s="61">
        <v>0</v>
      </c>
      <c r="I105" s="61">
        <v>0</v>
      </c>
      <c r="J105" s="61">
        <v>0</v>
      </c>
      <c r="K105" s="61">
        <v>0</v>
      </c>
      <c r="L105" s="61">
        <v>0</v>
      </c>
    </row>
    <row r="106" spans="1:12" ht="16.5" customHeight="1" x14ac:dyDescent="0.35">
      <c r="A106" s="3" t="s">
        <v>14</v>
      </c>
      <c r="B106" s="4">
        <v>102</v>
      </c>
      <c r="C106" s="5">
        <v>61942</v>
      </c>
      <c r="D106" s="3" t="s">
        <v>123</v>
      </c>
      <c r="E106" s="20">
        <v>10</v>
      </c>
      <c r="F106" s="20">
        <v>3.73</v>
      </c>
      <c r="G106" s="61">
        <v>0</v>
      </c>
      <c r="H106" s="61">
        <v>0</v>
      </c>
      <c r="I106" s="61">
        <v>0</v>
      </c>
      <c r="J106" s="61">
        <v>0</v>
      </c>
      <c r="K106" s="61">
        <v>0</v>
      </c>
      <c r="L106" s="61">
        <v>0</v>
      </c>
    </row>
    <row r="107" spans="1:12" ht="16.5" customHeight="1" x14ac:dyDescent="0.35">
      <c r="A107" s="3" t="s">
        <v>14</v>
      </c>
      <c r="B107" s="4">
        <v>102</v>
      </c>
      <c r="C107" s="5">
        <v>61941</v>
      </c>
      <c r="D107" s="3" t="s">
        <v>143</v>
      </c>
      <c r="E107" s="20">
        <v>10</v>
      </c>
      <c r="F107" s="20">
        <v>3.4432999999999998</v>
      </c>
      <c r="G107" s="61">
        <v>0</v>
      </c>
      <c r="H107" s="61">
        <v>0</v>
      </c>
      <c r="I107" s="61">
        <v>0</v>
      </c>
      <c r="J107" s="61">
        <v>0</v>
      </c>
      <c r="K107" s="61">
        <v>0</v>
      </c>
      <c r="L107" s="61">
        <v>0</v>
      </c>
    </row>
    <row r="108" spans="1:12" ht="16.5" customHeight="1" x14ac:dyDescent="0.35">
      <c r="A108" s="3" t="s">
        <v>14</v>
      </c>
      <c r="B108" s="4">
        <v>102</v>
      </c>
      <c r="C108" s="5">
        <v>61940</v>
      </c>
      <c r="D108" s="3" t="s">
        <v>117</v>
      </c>
      <c r="E108" s="20">
        <v>10</v>
      </c>
      <c r="F108" s="20">
        <v>3.28</v>
      </c>
      <c r="G108" s="61">
        <v>0</v>
      </c>
      <c r="H108" s="61">
        <v>0</v>
      </c>
      <c r="I108" s="61">
        <v>0</v>
      </c>
      <c r="J108" s="61">
        <v>0</v>
      </c>
      <c r="K108" s="61">
        <v>0</v>
      </c>
      <c r="L108" s="61">
        <v>0</v>
      </c>
    </row>
    <row r="109" spans="1:12" ht="16.5" customHeight="1" x14ac:dyDescent="0.35">
      <c r="A109" s="3" t="s">
        <v>14</v>
      </c>
      <c r="B109" s="4">
        <v>102</v>
      </c>
      <c r="C109" s="5">
        <v>61939</v>
      </c>
      <c r="D109" s="3" t="s">
        <v>101</v>
      </c>
      <c r="E109" s="20">
        <v>10</v>
      </c>
      <c r="F109" s="20">
        <v>5.09</v>
      </c>
      <c r="G109" s="61">
        <v>0</v>
      </c>
      <c r="H109" s="61">
        <v>0</v>
      </c>
      <c r="I109" s="61">
        <v>147.82608695652175</v>
      </c>
      <c r="J109" s="61">
        <v>17</v>
      </c>
      <c r="K109" s="61">
        <v>164.78260869565219</v>
      </c>
      <c r="L109" s="61">
        <v>19</v>
      </c>
    </row>
    <row r="110" spans="1:12" ht="16.5" customHeight="1" x14ac:dyDescent="0.35">
      <c r="A110" s="3" t="s">
        <v>19</v>
      </c>
      <c r="B110" s="4">
        <v>102</v>
      </c>
      <c r="C110" s="5">
        <v>61929</v>
      </c>
      <c r="D110" s="3" t="s">
        <v>170</v>
      </c>
      <c r="E110" s="20">
        <v>79.989999999999995</v>
      </c>
      <c r="F110" s="20">
        <v>44.62</v>
      </c>
      <c r="G110" s="61">
        <v>0</v>
      </c>
      <c r="H110" s="61">
        <v>0</v>
      </c>
      <c r="I110" s="61">
        <v>0</v>
      </c>
      <c r="J110" s="61">
        <v>0</v>
      </c>
      <c r="K110" s="61">
        <v>0</v>
      </c>
      <c r="L110" s="61">
        <v>0</v>
      </c>
    </row>
    <row r="111" spans="1:12" ht="16.5" customHeight="1" x14ac:dyDescent="0.35">
      <c r="A111" s="3" t="s">
        <v>19</v>
      </c>
      <c r="B111" s="4">
        <v>102</v>
      </c>
      <c r="C111" s="5">
        <v>61928</v>
      </c>
      <c r="D111" s="3" t="s">
        <v>176</v>
      </c>
      <c r="E111" s="20">
        <v>79.989999999999995</v>
      </c>
      <c r="F111" s="20">
        <v>44.62</v>
      </c>
      <c r="G111" s="61">
        <v>0</v>
      </c>
      <c r="H111" s="61">
        <v>0</v>
      </c>
      <c r="I111" s="61">
        <v>0</v>
      </c>
      <c r="J111" s="61">
        <v>0</v>
      </c>
      <c r="K111" s="61">
        <v>0</v>
      </c>
      <c r="L111" s="61">
        <v>0</v>
      </c>
    </row>
    <row r="112" spans="1:12" ht="16.5" customHeight="1" x14ac:dyDescent="0.35">
      <c r="A112" s="3" t="s">
        <v>19</v>
      </c>
      <c r="B112" s="4">
        <v>102</v>
      </c>
      <c r="C112" s="5">
        <v>61926</v>
      </c>
      <c r="D112" s="3" t="s">
        <v>197</v>
      </c>
      <c r="E112" s="20">
        <v>79.989999999999995</v>
      </c>
      <c r="F112" s="20">
        <v>41.475000000000001</v>
      </c>
      <c r="G112" s="61">
        <v>0</v>
      </c>
      <c r="H112" s="61">
        <v>0</v>
      </c>
      <c r="I112" s="61">
        <v>0</v>
      </c>
      <c r="J112" s="61">
        <v>0</v>
      </c>
      <c r="K112" s="61">
        <v>0</v>
      </c>
      <c r="L112" s="61">
        <v>0</v>
      </c>
    </row>
    <row r="113" spans="1:12" ht="16.5" customHeight="1" x14ac:dyDescent="0.35">
      <c r="A113" s="3" t="s">
        <v>19</v>
      </c>
      <c r="B113" s="4">
        <v>102</v>
      </c>
      <c r="C113" s="5">
        <v>61925</v>
      </c>
      <c r="D113" s="3" t="s">
        <v>196</v>
      </c>
      <c r="E113" s="20">
        <v>79.989999999999995</v>
      </c>
      <c r="F113" s="20">
        <v>41.475000000000001</v>
      </c>
      <c r="G113" s="61">
        <v>0</v>
      </c>
      <c r="H113" s="61">
        <v>0</v>
      </c>
      <c r="I113" s="61">
        <v>0</v>
      </c>
      <c r="J113" s="61">
        <v>0</v>
      </c>
      <c r="K113" s="61">
        <v>0</v>
      </c>
      <c r="L113" s="61">
        <v>0</v>
      </c>
    </row>
    <row r="114" spans="1:12" ht="16.5" customHeight="1" x14ac:dyDescent="0.35">
      <c r="A114" s="3" t="s">
        <v>19</v>
      </c>
      <c r="B114" s="4">
        <v>102</v>
      </c>
      <c r="C114" s="5">
        <v>61923</v>
      </c>
      <c r="D114" s="3" t="s">
        <v>195</v>
      </c>
      <c r="E114" s="20">
        <v>79.989999999999995</v>
      </c>
      <c r="F114" s="20">
        <v>41.475000000000001</v>
      </c>
      <c r="G114" s="61">
        <v>0</v>
      </c>
      <c r="H114" s="61">
        <v>0</v>
      </c>
      <c r="I114" s="61">
        <v>0</v>
      </c>
      <c r="J114" s="61">
        <v>0</v>
      </c>
      <c r="K114" s="61">
        <v>0</v>
      </c>
      <c r="L114" s="61">
        <v>0</v>
      </c>
    </row>
    <row r="115" spans="1:12" ht="16.5" customHeight="1" x14ac:dyDescent="0.35">
      <c r="A115" s="3" t="s">
        <v>14</v>
      </c>
      <c r="B115" s="4">
        <v>117</v>
      </c>
      <c r="C115" s="5">
        <v>61814</v>
      </c>
      <c r="D115" s="3" t="s">
        <v>254</v>
      </c>
      <c r="E115" s="20">
        <v>10</v>
      </c>
      <c r="F115" s="20">
        <v>3.39</v>
      </c>
      <c r="G115" s="61">
        <v>0</v>
      </c>
      <c r="H115" s="61">
        <v>0</v>
      </c>
      <c r="I115" s="61">
        <v>0</v>
      </c>
      <c r="J115" s="61">
        <v>0</v>
      </c>
      <c r="K115" s="61">
        <v>0</v>
      </c>
      <c r="L115" s="61">
        <v>0</v>
      </c>
    </row>
    <row r="116" spans="1:12" ht="16.5" customHeight="1" x14ac:dyDescent="0.35">
      <c r="A116" s="3" t="s">
        <v>14</v>
      </c>
      <c r="B116" s="4">
        <v>101</v>
      </c>
      <c r="C116" s="5">
        <v>61018</v>
      </c>
      <c r="D116" s="3" t="s">
        <v>82</v>
      </c>
      <c r="E116" s="20">
        <v>4</v>
      </c>
      <c r="F116" s="20">
        <v>2.2599999999999998</v>
      </c>
      <c r="G116" s="61">
        <v>0</v>
      </c>
      <c r="H116" s="61">
        <v>0</v>
      </c>
      <c r="I116" s="61">
        <v>0</v>
      </c>
      <c r="J116" s="61">
        <v>0</v>
      </c>
      <c r="K116" s="61">
        <v>0</v>
      </c>
      <c r="L116" s="61">
        <v>0</v>
      </c>
    </row>
    <row r="117" spans="1:12" ht="16.5" customHeight="1" x14ac:dyDescent="0.35">
      <c r="A117" s="3" t="s">
        <v>14</v>
      </c>
      <c r="B117" s="4">
        <v>102</v>
      </c>
      <c r="C117" s="5">
        <v>61014</v>
      </c>
      <c r="D117" s="3" t="s">
        <v>169</v>
      </c>
      <c r="E117" s="20">
        <v>5.99</v>
      </c>
      <c r="F117" s="20">
        <v>3.1</v>
      </c>
      <c r="G117" s="61">
        <v>0</v>
      </c>
      <c r="H117" s="61">
        <v>0</v>
      </c>
      <c r="I117" s="61">
        <v>0</v>
      </c>
      <c r="J117" s="61">
        <v>0</v>
      </c>
      <c r="K117" s="61">
        <v>0</v>
      </c>
      <c r="L117" s="61">
        <v>0</v>
      </c>
    </row>
    <row r="118" spans="1:12" ht="16.5" customHeight="1" x14ac:dyDescent="0.35">
      <c r="A118" s="3" t="s">
        <v>14</v>
      </c>
      <c r="B118" s="4">
        <v>101</v>
      </c>
      <c r="C118" s="5">
        <v>60832</v>
      </c>
      <c r="D118" s="3" t="s">
        <v>41</v>
      </c>
      <c r="E118" s="20">
        <v>10</v>
      </c>
      <c r="F118" s="20">
        <v>7.36</v>
      </c>
      <c r="G118" s="61">
        <v>0</v>
      </c>
      <c r="H118" s="61">
        <v>0</v>
      </c>
      <c r="I118" s="61">
        <v>0</v>
      </c>
      <c r="J118" s="61">
        <v>0</v>
      </c>
      <c r="K118" s="61">
        <v>0</v>
      </c>
      <c r="L118" s="61">
        <v>0</v>
      </c>
    </row>
    <row r="119" spans="1:12" ht="16.5" customHeight="1" x14ac:dyDescent="0.35">
      <c r="A119" s="3" t="s">
        <v>14</v>
      </c>
      <c r="B119" s="4">
        <v>119</v>
      </c>
      <c r="C119" s="5">
        <v>60694</v>
      </c>
      <c r="D119" s="3" t="s">
        <v>269</v>
      </c>
      <c r="E119" s="20">
        <v>160</v>
      </c>
      <c r="F119" s="20">
        <v>106.8</v>
      </c>
      <c r="G119" s="61">
        <v>0</v>
      </c>
      <c r="H119" s="61">
        <v>0</v>
      </c>
      <c r="I119" s="61">
        <v>0</v>
      </c>
      <c r="J119" s="61">
        <v>0</v>
      </c>
      <c r="K119" s="61">
        <v>0</v>
      </c>
      <c r="L119" s="61">
        <v>0</v>
      </c>
    </row>
    <row r="120" spans="1:12" ht="16.5" customHeight="1" x14ac:dyDescent="0.35">
      <c r="A120" s="3" t="s">
        <v>14</v>
      </c>
      <c r="B120" s="4">
        <v>102</v>
      </c>
      <c r="C120" s="5">
        <v>59477</v>
      </c>
      <c r="D120" s="3" t="s">
        <v>159</v>
      </c>
      <c r="E120" s="20">
        <v>5.99</v>
      </c>
      <c r="F120" s="20">
        <v>3.1</v>
      </c>
      <c r="G120" s="61">
        <v>0</v>
      </c>
      <c r="H120" s="61">
        <v>0</v>
      </c>
      <c r="I120" s="61">
        <v>10.417391304347827</v>
      </c>
      <c r="J120" s="61">
        <v>2</v>
      </c>
      <c r="K120" s="61">
        <v>20.834782608695654</v>
      </c>
      <c r="L120" s="61">
        <v>4</v>
      </c>
    </row>
    <row r="121" spans="1:12" ht="16.5" customHeight="1" x14ac:dyDescent="0.35">
      <c r="A121" s="3" t="s">
        <v>14</v>
      </c>
      <c r="B121" s="4">
        <v>102</v>
      </c>
      <c r="C121" s="5">
        <v>59223</v>
      </c>
      <c r="D121" s="3" t="s">
        <v>179</v>
      </c>
      <c r="E121" s="20">
        <v>5.99</v>
      </c>
      <c r="F121" s="20">
        <v>3.1</v>
      </c>
      <c r="G121" s="61">
        <v>0</v>
      </c>
      <c r="H121" s="61">
        <v>0</v>
      </c>
      <c r="I121" s="61">
        <v>0</v>
      </c>
      <c r="J121" s="61">
        <v>0</v>
      </c>
      <c r="K121" s="61">
        <v>0</v>
      </c>
      <c r="L121" s="61">
        <v>0</v>
      </c>
    </row>
    <row r="122" spans="1:12" ht="16.5" customHeight="1" x14ac:dyDescent="0.35">
      <c r="A122" s="3" t="s">
        <v>14</v>
      </c>
      <c r="B122" s="4">
        <v>102</v>
      </c>
      <c r="C122" s="5">
        <v>59222</v>
      </c>
      <c r="D122" s="3" t="s">
        <v>178</v>
      </c>
      <c r="E122" s="20">
        <v>5.99</v>
      </c>
      <c r="F122" s="20">
        <v>3.1</v>
      </c>
      <c r="G122" s="61">
        <v>0</v>
      </c>
      <c r="H122" s="61">
        <v>0</v>
      </c>
      <c r="I122" s="61">
        <v>0</v>
      </c>
      <c r="J122" s="61">
        <v>0</v>
      </c>
      <c r="K122" s="61">
        <v>0</v>
      </c>
      <c r="L122" s="61">
        <v>0</v>
      </c>
    </row>
    <row r="123" spans="1:12" ht="16.5" customHeight="1" x14ac:dyDescent="0.35">
      <c r="A123" s="3" t="s">
        <v>14</v>
      </c>
      <c r="B123" s="4">
        <v>102</v>
      </c>
      <c r="C123" s="5">
        <v>59221</v>
      </c>
      <c r="D123" s="3" t="s">
        <v>158</v>
      </c>
      <c r="E123" s="20">
        <v>5.99</v>
      </c>
      <c r="F123" s="20">
        <v>3.1</v>
      </c>
      <c r="G123" s="61">
        <v>0</v>
      </c>
      <c r="H123" s="61">
        <v>0</v>
      </c>
      <c r="I123" s="61">
        <v>0</v>
      </c>
      <c r="J123" s="61">
        <v>0</v>
      </c>
      <c r="K123" s="61">
        <v>0</v>
      </c>
      <c r="L123" s="61">
        <v>0</v>
      </c>
    </row>
    <row r="124" spans="1:12" ht="16.5" customHeight="1" x14ac:dyDescent="0.35">
      <c r="A124" s="3" t="s">
        <v>14</v>
      </c>
      <c r="B124" s="4">
        <v>102</v>
      </c>
      <c r="C124" s="5">
        <v>59220</v>
      </c>
      <c r="D124" s="3" t="s">
        <v>163</v>
      </c>
      <c r="E124" s="20">
        <v>5.99</v>
      </c>
      <c r="F124" s="20">
        <v>3.1</v>
      </c>
      <c r="G124" s="61">
        <v>0</v>
      </c>
      <c r="H124" s="61">
        <v>0</v>
      </c>
      <c r="I124" s="61">
        <v>0</v>
      </c>
      <c r="J124" s="61">
        <v>0</v>
      </c>
      <c r="K124" s="61">
        <v>0</v>
      </c>
      <c r="L124" s="61">
        <v>0</v>
      </c>
    </row>
    <row r="125" spans="1:12" ht="16.5" customHeight="1" x14ac:dyDescent="0.35">
      <c r="A125" s="3" t="s">
        <v>14</v>
      </c>
      <c r="B125" s="4">
        <v>102</v>
      </c>
      <c r="C125" s="5">
        <v>59058</v>
      </c>
      <c r="D125" s="3" t="s">
        <v>135</v>
      </c>
      <c r="E125" s="20">
        <v>5.99</v>
      </c>
      <c r="F125" s="20">
        <v>3.1</v>
      </c>
      <c r="G125" s="61">
        <v>0</v>
      </c>
      <c r="H125" s="61">
        <v>0</v>
      </c>
      <c r="I125" s="61">
        <v>0</v>
      </c>
      <c r="J125" s="61">
        <v>0</v>
      </c>
      <c r="K125" s="61">
        <v>0</v>
      </c>
      <c r="L125" s="61">
        <v>0</v>
      </c>
    </row>
    <row r="126" spans="1:12" ht="16.5" customHeight="1" x14ac:dyDescent="0.35">
      <c r="A126" s="3" t="s">
        <v>14</v>
      </c>
      <c r="B126" s="4">
        <v>101</v>
      </c>
      <c r="C126" s="5">
        <v>58763</v>
      </c>
      <c r="D126" s="3" t="s">
        <v>78</v>
      </c>
      <c r="E126" s="20">
        <v>3.2</v>
      </c>
      <c r="F126" s="20">
        <v>1.62</v>
      </c>
      <c r="G126" s="61">
        <v>0</v>
      </c>
      <c r="H126" s="61">
        <v>0</v>
      </c>
      <c r="I126" s="61">
        <v>0</v>
      </c>
      <c r="J126" s="61">
        <v>0</v>
      </c>
      <c r="K126" s="61">
        <v>0</v>
      </c>
      <c r="L126" s="61">
        <v>0</v>
      </c>
    </row>
    <row r="127" spans="1:12" ht="16.5" customHeight="1" x14ac:dyDescent="0.35">
      <c r="A127" s="3" t="s">
        <v>14</v>
      </c>
      <c r="B127" s="4">
        <v>104</v>
      </c>
      <c r="C127" s="5">
        <v>58452</v>
      </c>
      <c r="D127" s="3" t="s">
        <v>242</v>
      </c>
      <c r="E127" s="20">
        <v>120</v>
      </c>
      <c r="F127" s="20">
        <v>58.51</v>
      </c>
      <c r="G127" s="61">
        <v>0</v>
      </c>
      <c r="H127" s="61">
        <v>0</v>
      </c>
      <c r="I127" s="61">
        <v>0</v>
      </c>
      <c r="J127" s="61">
        <v>0</v>
      </c>
      <c r="K127" s="61">
        <v>0</v>
      </c>
      <c r="L127" s="61">
        <v>0</v>
      </c>
    </row>
    <row r="128" spans="1:12" ht="16.5" customHeight="1" x14ac:dyDescent="0.35">
      <c r="A128" s="3" t="s">
        <v>14</v>
      </c>
      <c r="B128" s="4">
        <v>102</v>
      </c>
      <c r="C128" s="5">
        <v>58045</v>
      </c>
      <c r="D128" s="3" t="s">
        <v>181</v>
      </c>
      <c r="E128" s="20">
        <v>2.5</v>
      </c>
      <c r="F128" s="20">
        <v>1.29</v>
      </c>
      <c r="G128" s="61">
        <v>0</v>
      </c>
      <c r="H128" s="61">
        <v>0</v>
      </c>
      <c r="I128" s="61">
        <v>0</v>
      </c>
      <c r="J128" s="61">
        <v>0</v>
      </c>
      <c r="K128" s="61">
        <v>0</v>
      </c>
      <c r="L128" s="61">
        <v>0</v>
      </c>
    </row>
    <row r="129" spans="1:12" ht="16.5" customHeight="1" x14ac:dyDescent="0.35">
      <c r="A129" s="3" t="s">
        <v>19</v>
      </c>
      <c r="B129" s="4">
        <v>1138</v>
      </c>
      <c r="C129" s="5">
        <v>57870</v>
      </c>
      <c r="D129" s="3" t="s">
        <v>287</v>
      </c>
      <c r="E129" s="20">
        <v>0</v>
      </c>
      <c r="F129" s="20">
        <v>120.14</v>
      </c>
      <c r="G129" s="61">
        <v>0</v>
      </c>
      <c r="H129" s="61">
        <v>0</v>
      </c>
      <c r="I129" s="61">
        <v>0</v>
      </c>
      <c r="J129" s="61">
        <v>0</v>
      </c>
      <c r="K129" s="61">
        <v>0</v>
      </c>
      <c r="L129" s="61">
        <v>0</v>
      </c>
    </row>
    <row r="130" spans="1:12" ht="16.5" customHeight="1" x14ac:dyDescent="0.35">
      <c r="A130" s="3" t="s">
        <v>14</v>
      </c>
      <c r="B130" s="4">
        <v>101</v>
      </c>
      <c r="C130" s="5">
        <v>57167</v>
      </c>
      <c r="D130" s="3" t="s">
        <v>32</v>
      </c>
      <c r="E130" s="20">
        <v>16.989999999999998</v>
      </c>
      <c r="F130" s="20">
        <v>7.4</v>
      </c>
      <c r="G130" s="61">
        <v>0</v>
      </c>
      <c r="H130" s="61">
        <v>0</v>
      </c>
      <c r="I130" s="61">
        <v>0</v>
      </c>
      <c r="J130" s="61">
        <v>0</v>
      </c>
      <c r="K130" s="61">
        <v>0</v>
      </c>
      <c r="L130" s="61">
        <v>0</v>
      </c>
    </row>
    <row r="131" spans="1:12" ht="16.5" customHeight="1" x14ac:dyDescent="0.35">
      <c r="A131" s="3" t="s">
        <v>14</v>
      </c>
      <c r="B131" s="4">
        <v>101</v>
      </c>
      <c r="C131" s="5">
        <v>57071</v>
      </c>
      <c r="D131" s="3" t="s">
        <v>53</v>
      </c>
      <c r="E131" s="20">
        <v>29.99</v>
      </c>
      <c r="F131" s="20">
        <v>12.66</v>
      </c>
      <c r="G131" s="61">
        <v>0</v>
      </c>
      <c r="H131" s="61">
        <v>0</v>
      </c>
      <c r="I131" s="61">
        <v>0</v>
      </c>
      <c r="J131" s="61">
        <v>0</v>
      </c>
      <c r="K131" s="61">
        <v>26.078260869565216</v>
      </c>
      <c r="L131" s="61">
        <v>1</v>
      </c>
    </row>
    <row r="132" spans="1:12" ht="16.5" customHeight="1" x14ac:dyDescent="0.35">
      <c r="A132" s="3" t="s">
        <v>14</v>
      </c>
      <c r="B132" s="4">
        <v>104</v>
      </c>
      <c r="C132" s="5">
        <v>56805</v>
      </c>
      <c r="D132" s="3" t="s">
        <v>241</v>
      </c>
      <c r="E132" s="20">
        <v>15</v>
      </c>
      <c r="F132" s="20">
        <v>29.47</v>
      </c>
      <c r="G132" s="61">
        <v>0</v>
      </c>
      <c r="H132" s="61">
        <v>0</v>
      </c>
      <c r="I132" s="61">
        <v>0</v>
      </c>
      <c r="J132" s="61">
        <v>0</v>
      </c>
      <c r="K132" s="61">
        <v>0</v>
      </c>
      <c r="L132" s="61">
        <v>0</v>
      </c>
    </row>
    <row r="133" spans="1:12" ht="16.5" customHeight="1" x14ac:dyDescent="0.35">
      <c r="A133" s="3" t="s">
        <v>19</v>
      </c>
      <c r="B133" s="4">
        <v>102</v>
      </c>
      <c r="C133" s="5">
        <v>56514</v>
      </c>
      <c r="D133" s="3" t="s">
        <v>194</v>
      </c>
      <c r="E133" s="20">
        <v>269.99</v>
      </c>
      <c r="F133" s="20">
        <v>141.47833333333332</v>
      </c>
      <c r="G133" s="61">
        <v>0</v>
      </c>
      <c r="H133" s="61">
        <v>0</v>
      </c>
      <c r="I133" s="61">
        <v>0</v>
      </c>
      <c r="J133" s="61">
        <v>0</v>
      </c>
      <c r="K133" s="61">
        <v>0</v>
      </c>
      <c r="L133" s="61">
        <v>0</v>
      </c>
    </row>
    <row r="134" spans="1:12" ht="16.5" customHeight="1" x14ac:dyDescent="0.35">
      <c r="A134" s="3" t="s">
        <v>14</v>
      </c>
      <c r="B134" s="4">
        <v>101</v>
      </c>
      <c r="C134" s="5">
        <v>56350</v>
      </c>
      <c r="D134" s="3" t="s">
        <v>69</v>
      </c>
      <c r="E134" s="20">
        <v>4.99</v>
      </c>
      <c r="F134" s="20">
        <v>2.61</v>
      </c>
      <c r="G134" s="61">
        <v>0</v>
      </c>
      <c r="H134" s="61">
        <v>0</v>
      </c>
      <c r="I134" s="61">
        <v>0</v>
      </c>
      <c r="J134" s="61">
        <v>0</v>
      </c>
      <c r="K134" s="61">
        <v>0</v>
      </c>
      <c r="L134" s="61">
        <v>0</v>
      </c>
    </row>
    <row r="135" spans="1:12" ht="16.5" customHeight="1" x14ac:dyDescent="0.35">
      <c r="A135" s="3" t="s">
        <v>14</v>
      </c>
      <c r="B135" s="4">
        <v>102</v>
      </c>
      <c r="C135" s="5">
        <v>55482</v>
      </c>
      <c r="D135" s="3" t="s">
        <v>145</v>
      </c>
      <c r="E135" s="20">
        <v>13.99</v>
      </c>
      <c r="F135" s="20">
        <v>5.44</v>
      </c>
      <c r="G135" s="61">
        <v>0</v>
      </c>
      <c r="H135" s="61">
        <v>0</v>
      </c>
      <c r="I135" s="61">
        <v>0</v>
      </c>
      <c r="J135" s="61">
        <v>0</v>
      </c>
      <c r="K135" s="61">
        <v>0</v>
      </c>
      <c r="L135" s="61">
        <v>0</v>
      </c>
    </row>
    <row r="136" spans="1:12" ht="16.5" customHeight="1" x14ac:dyDescent="0.35">
      <c r="A136" s="3" t="s">
        <v>107</v>
      </c>
      <c r="B136" s="4">
        <v>102</v>
      </c>
      <c r="C136" s="5">
        <v>55095</v>
      </c>
      <c r="D136" s="3" t="s">
        <v>116</v>
      </c>
      <c r="E136" s="20">
        <v>5</v>
      </c>
      <c r="F136" s="20">
        <v>1.38</v>
      </c>
      <c r="G136" s="61">
        <v>0</v>
      </c>
      <c r="H136" s="61">
        <v>0</v>
      </c>
      <c r="I136" s="61">
        <v>30.434782608695652</v>
      </c>
      <c r="J136" s="61">
        <v>7</v>
      </c>
      <c r="K136" s="61">
        <v>99.565217391304344</v>
      </c>
      <c r="L136" s="61">
        <v>23</v>
      </c>
    </row>
    <row r="137" spans="1:12" ht="16.5" customHeight="1" x14ac:dyDescent="0.35">
      <c r="A137" s="70" t="s">
        <v>35</v>
      </c>
      <c r="B137" s="71">
        <v>102</v>
      </c>
      <c r="C137" s="72">
        <v>54652</v>
      </c>
      <c r="D137" s="70" t="s">
        <v>193</v>
      </c>
      <c r="E137" s="73">
        <v>21.99</v>
      </c>
      <c r="F137" s="73">
        <v>10.989749999999999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</row>
    <row r="138" spans="1:12" ht="16.5" customHeight="1" x14ac:dyDescent="0.35">
      <c r="A138" s="3" t="s">
        <v>14</v>
      </c>
      <c r="B138" s="4">
        <v>101</v>
      </c>
      <c r="C138" s="5">
        <v>54617</v>
      </c>
      <c r="D138" s="3" t="s">
        <v>83</v>
      </c>
      <c r="E138" s="20">
        <v>30.99</v>
      </c>
      <c r="F138" s="20">
        <v>12.4</v>
      </c>
      <c r="G138" s="61">
        <v>0</v>
      </c>
      <c r="H138" s="61">
        <v>0</v>
      </c>
      <c r="I138" s="61">
        <v>0</v>
      </c>
      <c r="J138" s="61">
        <v>0</v>
      </c>
      <c r="K138" s="61">
        <v>0</v>
      </c>
      <c r="L138" s="61">
        <v>0</v>
      </c>
    </row>
    <row r="139" spans="1:12" ht="16.5" customHeight="1" x14ac:dyDescent="0.35">
      <c r="A139" s="3" t="s">
        <v>14</v>
      </c>
      <c r="B139" s="4">
        <v>101</v>
      </c>
      <c r="C139" s="5">
        <v>54547</v>
      </c>
      <c r="D139" s="3" t="s">
        <v>49</v>
      </c>
      <c r="E139" s="20">
        <v>9.99</v>
      </c>
      <c r="F139" s="20">
        <v>3.23</v>
      </c>
      <c r="G139" s="61">
        <v>0</v>
      </c>
      <c r="H139" s="61">
        <v>0</v>
      </c>
      <c r="I139" s="61">
        <v>0</v>
      </c>
      <c r="J139" s="61">
        <v>0</v>
      </c>
      <c r="K139" s="61">
        <v>0</v>
      </c>
      <c r="L139" s="61">
        <v>0</v>
      </c>
    </row>
    <row r="140" spans="1:12" ht="16.5" customHeight="1" x14ac:dyDescent="0.35">
      <c r="A140" s="3" t="s">
        <v>14</v>
      </c>
      <c r="B140" s="4">
        <v>101</v>
      </c>
      <c r="C140" s="5">
        <v>54546</v>
      </c>
      <c r="D140" s="3" t="s">
        <v>75</v>
      </c>
      <c r="E140" s="20">
        <v>5.99</v>
      </c>
      <c r="F140" s="20">
        <v>2.5299999999999998</v>
      </c>
      <c r="G140" s="61">
        <v>0</v>
      </c>
      <c r="H140" s="61">
        <v>0</v>
      </c>
      <c r="I140" s="61">
        <v>0</v>
      </c>
      <c r="J140" s="61">
        <v>0</v>
      </c>
      <c r="K140" s="61">
        <v>0</v>
      </c>
      <c r="L140" s="61">
        <v>0</v>
      </c>
    </row>
    <row r="141" spans="1:12" ht="16.5" customHeight="1" x14ac:dyDescent="0.35">
      <c r="A141" s="3" t="s">
        <v>14</v>
      </c>
      <c r="B141" s="4">
        <v>102</v>
      </c>
      <c r="C141" s="5">
        <v>54430</v>
      </c>
      <c r="D141" s="3" t="s">
        <v>133</v>
      </c>
      <c r="E141" s="20">
        <v>21.99</v>
      </c>
      <c r="F141" s="20">
        <v>9.9600000000000009</v>
      </c>
      <c r="G141" s="61">
        <v>0</v>
      </c>
      <c r="H141" s="61">
        <v>0</v>
      </c>
      <c r="I141" s="61">
        <v>0</v>
      </c>
      <c r="J141" s="61">
        <v>0</v>
      </c>
      <c r="K141" s="61">
        <v>0</v>
      </c>
      <c r="L141" s="61">
        <v>0</v>
      </c>
    </row>
    <row r="142" spans="1:12" ht="16.5" customHeight="1" x14ac:dyDescent="0.35">
      <c r="A142" s="3" t="s">
        <v>14</v>
      </c>
      <c r="B142" s="4">
        <v>101</v>
      </c>
      <c r="C142" s="5">
        <v>54228</v>
      </c>
      <c r="D142" s="3" t="s">
        <v>62</v>
      </c>
      <c r="E142" s="20">
        <v>13.99</v>
      </c>
      <c r="F142" s="20">
        <v>7.37</v>
      </c>
      <c r="G142" s="61">
        <v>0</v>
      </c>
      <c r="H142" s="61">
        <v>0</v>
      </c>
      <c r="I142" s="61">
        <v>0</v>
      </c>
      <c r="J142" s="61">
        <v>0</v>
      </c>
      <c r="K142" s="61">
        <v>0</v>
      </c>
      <c r="L142" s="61">
        <v>0</v>
      </c>
    </row>
    <row r="143" spans="1:12" ht="16.5" customHeight="1" x14ac:dyDescent="0.35">
      <c r="A143" s="3" t="s">
        <v>14</v>
      </c>
      <c r="B143" s="4">
        <v>106</v>
      </c>
      <c r="C143" s="5">
        <v>54019</v>
      </c>
      <c r="D143" s="3" t="s">
        <v>247</v>
      </c>
      <c r="E143" s="20">
        <v>23.99</v>
      </c>
      <c r="F143" s="20">
        <v>10.37</v>
      </c>
      <c r="G143" s="61">
        <v>0</v>
      </c>
      <c r="H143" s="61">
        <v>0</v>
      </c>
      <c r="I143" s="61">
        <v>0</v>
      </c>
      <c r="J143" s="61">
        <v>0</v>
      </c>
      <c r="K143" s="61">
        <v>0</v>
      </c>
      <c r="L143" s="61">
        <v>0</v>
      </c>
    </row>
    <row r="144" spans="1:12" ht="16.5" customHeight="1" x14ac:dyDescent="0.35">
      <c r="A144" s="3" t="s">
        <v>14</v>
      </c>
      <c r="B144" s="4">
        <v>101</v>
      </c>
      <c r="C144" s="5">
        <v>53528</v>
      </c>
      <c r="D144" s="3" t="s">
        <v>59</v>
      </c>
      <c r="E144" s="20">
        <v>28.99</v>
      </c>
      <c r="F144" s="20">
        <v>14.86</v>
      </c>
      <c r="G144" s="61">
        <v>0</v>
      </c>
      <c r="H144" s="61">
        <v>0</v>
      </c>
      <c r="I144" s="61">
        <v>0</v>
      </c>
      <c r="J144" s="61">
        <v>0</v>
      </c>
      <c r="K144" s="61">
        <v>0</v>
      </c>
      <c r="L144" s="61">
        <v>0</v>
      </c>
    </row>
    <row r="145" spans="1:12" ht="16.5" customHeight="1" x14ac:dyDescent="0.35">
      <c r="A145" s="3" t="s">
        <v>14</v>
      </c>
      <c r="B145" s="4">
        <v>101</v>
      </c>
      <c r="C145" s="5">
        <v>53497</v>
      </c>
      <c r="D145" s="3" t="s">
        <v>61</v>
      </c>
      <c r="E145" s="20">
        <v>79.989999999999995</v>
      </c>
      <c r="F145" s="20">
        <v>32.200000000000003</v>
      </c>
      <c r="G145" s="61">
        <v>0</v>
      </c>
      <c r="H145" s="61">
        <v>0</v>
      </c>
      <c r="I145" s="61">
        <v>0</v>
      </c>
      <c r="J145" s="61">
        <v>0</v>
      </c>
      <c r="K145" s="61">
        <v>0</v>
      </c>
      <c r="L145" s="61">
        <v>0</v>
      </c>
    </row>
    <row r="146" spans="1:12" ht="16.5" customHeight="1" x14ac:dyDescent="0.35">
      <c r="A146" s="3" t="s">
        <v>107</v>
      </c>
      <c r="B146" s="4">
        <v>102</v>
      </c>
      <c r="C146" s="5">
        <v>53410</v>
      </c>
      <c r="D146" s="3" t="s">
        <v>126</v>
      </c>
      <c r="E146" s="20">
        <v>52</v>
      </c>
      <c r="F146" s="20">
        <v>28.2</v>
      </c>
      <c r="G146" s="61">
        <v>0</v>
      </c>
      <c r="H146" s="61">
        <v>0</v>
      </c>
      <c r="I146" s="61">
        <v>0</v>
      </c>
      <c r="J146" s="61">
        <v>0</v>
      </c>
      <c r="K146" s="61">
        <v>0</v>
      </c>
      <c r="L146" s="61">
        <v>0</v>
      </c>
    </row>
    <row r="147" spans="1:12" ht="16.5" customHeight="1" x14ac:dyDescent="0.35">
      <c r="A147" s="3" t="s">
        <v>14</v>
      </c>
      <c r="B147" s="4">
        <v>102</v>
      </c>
      <c r="C147" s="5">
        <v>53226</v>
      </c>
      <c r="D147" s="3" t="s">
        <v>130</v>
      </c>
      <c r="E147" s="20">
        <v>15.99</v>
      </c>
      <c r="F147" s="20">
        <v>5.13</v>
      </c>
      <c r="G147" s="61">
        <v>0</v>
      </c>
      <c r="H147" s="61">
        <v>0</v>
      </c>
      <c r="I147" s="61">
        <v>0</v>
      </c>
      <c r="J147" s="61">
        <v>0</v>
      </c>
      <c r="K147" s="61">
        <v>0</v>
      </c>
      <c r="L147" s="61">
        <v>0</v>
      </c>
    </row>
    <row r="148" spans="1:12" ht="16.5" customHeight="1" x14ac:dyDescent="0.35">
      <c r="A148" s="3" t="s">
        <v>14</v>
      </c>
      <c r="B148" s="4">
        <v>102</v>
      </c>
      <c r="C148" s="5">
        <v>53225</v>
      </c>
      <c r="D148" s="3" t="s">
        <v>136</v>
      </c>
      <c r="E148" s="20">
        <v>17.989999999999998</v>
      </c>
      <c r="F148" s="20">
        <v>10.039999999999999</v>
      </c>
      <c r="G148" s="61">
        <v>0</v>
      </c>
      <c r="H148" s="61">
        <v>0</v>
      </c>
      <c r="I148" s="61">
        <v>0</v>
      </c>
      <c r="J148" s="61">
        <v>0</v>
      </c>
      <c r="K148" s="61">
        <v>0</v>
      </c>
      <c r="L148" s="61">
        <v>0</v>
      </c>
    </row>
    <row r="149" spans="1:12" ht="16.5" customHeight="1" x14ac:dyDescent="0.35">
      <c r="A149" s="3" t="s">
        <v>14</v>
      </c>
      <c r="B149" s="4">
        <v>102</v>
      </c>
      <c r="C149" s="5">
        <v>53212</v>
      </c>
      <c r="D149" s="3" t="s">
        <v>125</v>
      </c>
      <c r="E149" s="20">
        <v>29.99</v>
      </c>
      <c r="F149" s="20">
        <v>15.38</v>
      </c>
      <c r="G149" s="61">
        <v>0</v>
      </c>
      <c r="H149" s="61">
        <v>0</v>
      </c>
      <c r="I149" s="61">
        <v>0</v>
      </c>
      <c r="J149" s="61">
        <v>0</v>
      </c>
      <c r="K149" s="61">
        <v>0</v>
      </c>
      <c r="L149" s="61">
        <v>0</v>
      </c>
    </row>
    <row r="150" spans="1:12" ht="16.5" customHeight="1" x14ac:dyDescent="0.35">
      <c r="A150" s="3" t="s">
        <v>14</v>
      </c>
      <c r="B150" s="4">
        <v>102</v>
      </c>
      <c r="C150" s="5">
        <v>53210</v>
      </c>
      <c r="D150" s="3" t="s">
        <v>156</v>
      </c>
      <c r="E150" s="20">
        <v>100</v>
      </c>
      <c r="F150" s="20">
        <v>22.26</v>
      </c>
      <c r="G150" s="61">
        <v>0</v>
      </c>
      <c r="H150" s="61">
        <v>0</v>
      </c>
      <c r="I150" s="61">
        <v>0</v>
      </c>
      <c r="J150" s="61">
        <v>0</v>
      </c>
      <c r="K150" s="61">
        <v>0</v>
      </c>
      <c r="L150" s="61">
        <v>0</v>
      </c>
    </row>
    <row r="151" spans="1:12" ht="16.5" customHeight="1" x14ac:dyDescent="0.35">
      <c r="A151" s="3" t="s">
        <v>14</v>
      </c>
      <c r="B151" s="4">
        <v>102</v>
      </c>
      <c r="C151" s="5">
        <v>53141</v>
      </c>
      <c r="D151" s="3" t="s">
        <v>137</v>
      </c>
      <c r="E151" s="20">
        <v>9.99</v>
      </c>
      <c r="F151" s="20">
        <v>3.26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</row>
    <row r="152" spans="1:12" ht="16.5" customHeight="1" x14ac:dyDescent="0.35">
      <c r="A152" s="3" t="s">
        <v>14</v>
      </c>
      <c r="B152" s="4">
        <v>102</v>
      </c>
      <c r="C152" s="5">
        <v>53119</v>
      </c>
      <c r="D152" s="3" t="s">
        <v>147</v>
      </c>
      <c r="E152" s="20">
        <v>4.99</v>
      </c>
      <c r="F152" s="20">
        <v>1.29</v>
      </c>
      <c r="G152" s="61">
        <v>0</v>
      </c>
      <c r="H152" s="61">
        <v>0</v>
      </c>
      <c r="I152" s="61">
        <v>0</v>
      </c>
      <c r="J152" s="61">
        <v>0</v>
      </c>
      <c r="K152" s="61">
        <v>0</v>
      </c>
      <c r="L152" s="61">
        <v>0</v>
      </c>
    </row>
    <row r="153" spans="1:12" ht="16.5" customHeight="1" x14ac:dyDescent="0.35">
      <c r="A153" s="3" t="s">
        <v>14</v>
      </c>
      <c r="B153" s="4">
        <v>102</v>
      </c>
      <c r="C153" s="5">
        <v>50682</v>
      </c>
      <c r="D153" s="3" t="s">
        <v>132</v>
      </c>
      <c r="E153" s="20">
        <v>15.99</v>
      </c>
      <c r="F153" s="20">
        <v>7.86</v>
      </c>
      <c r="G153" s="61">
        <v>0</v>
      </c>
      <c r="H153" s="61">
        <v>0</v>
      </c>
      <c r="I153" s="61">
        <v>0</v>
      </c>
      <c r="J153" s="61">
        <v>0</v>
      </c>
      <c r="K153" s="61">
        <v>0</v>
      </c>
      <c r="L153" s="61">
        <v>0</v>
      </c>
    </row>
    <row r="154" spans="1:12" ht="16.5" customHeight="1" x14ac:dyDescent="0.35">
      <c r="A154" s="3" t="s">
        <v>107</v>
      </c>
      <c r="B154" s="4">
        <v>102</v>
      </c>
      <c r="C154" s="5">
        <v>48861</v>
      </c>
      <c r="D154" s="3" t="s">
        <v>111</v>
      </c>
      <c r="E154" s="20">
        <v>50</v>
      </c>
      <c r="F154" s="20">
        <v>30</v>
      </c>
      <c r="G154" s="61">
        <v>0</v>
      </c>
      <c r="H154" s="61">
        <v>0</v>
      </c>
      <c r="I154" s="61">
        <v>0</v>
      </c>
      <c r="J154" s="61">
        <v>0</v>
      </c>
      <c r="K154" s="61">
        <v>0</v>
      </c>
      <c r="L154" s="61">
        <v>0</v>
      </c>
    </row>
    <row r="155" spans="1:12" ht="16.5" customHeight="1" x14ac:dyDescent="0.35">
      <c r="A155" s="70" t="s">
        <v>35</v>
      </c>
      <c r="B155" s="71">
        <v>102</v>
      </c>
      <c r="C155" s="72">
        <v>48683</v>
      </c>
      <c r="D155" s="70" t="s">
        <v>192</v>
      </c>
      <c r="E155" s="73">
        <v>11.99</v>
      </c>
      <c r="F155" s="73">
        <v>6.6272857142857147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</row>
    <row r="156" spans="1:12" ht="16.5" customHeight="1" x14ac:dyDescent="0.35">
      <c r="A156" s="70" t="s">
        <v>35</v>
      </c>
      <c r="B156" s="71">
        <v>102</v>
      </c>
      <c r="C156" s="72">
        <v>48620</v>
      </c>
      <c r="D156" s="70" t="s">
        <v>153</v>
      </c>
      <c r="E156" s="73">
        <v>37.99</v>
      </c>
      <c r="F156" s="73">
        <v>19.462499999999999</v>
      </c>
      <c r="G156" s="73">
        <v>0</v>
      </c>
      <c r="H156" s="73">
        <v>0</v>
      </c>
      <c r="I156" s="73">
        <v>33.03478260869565</v>
      </c>
      <c r="J156" s="73">
        <v>1</v>
      </c>
      <c r="K156" s="73">
        <v>66.0695652173913</v>
      </c>
      <c r="L156" s="73">
        <v>2</v>
      </c>
    </row>
    <row r="157" spans="1:12" ht="16.5" customHeight="1" x14ac:dyDescent="0.35">
      <c r="A157" s="3" t="s">
        <v>19</v>
      </c>
      <c r="B157" s="4">
        <v>109</v>
      </c>
      <c r="C157" s="5">
        <v>48604</v>
      </c>
      <c r="D157" s="3" t="s">
        <v>250</v>
      </c>
      <c r="E157" s="20">
        <v>189.99</v>
      </c>
      <c r="F157" s="20">
        <v>107.69200000000001</v>
      </c>
      <c r="G157" s="61">
        <v>0</v>
      </c>
      <c r="H157" s="61">
        <v>0</v>
      </c>
      <c r="I157" s="61">
        <v>0</v>
      </c>
      <c r="J157" s="61">
        <v>0</v>
      </c>
      <c r="K157" s="61">
        <v>0</v>
      </c>
      <c r="L157" s="61">
        <v>0</v>
      </c>
    </row>
    <row r="158" spans="1:12" ht="16.5" customHeight="1" x14ac:dyDescent="0.35">
      <c r="A158" s="3" t="s">
        <v>19</v>
      </c>
      <c r="B158" s="4">
        <v>102</v>
      </c>
      <c r="C158" s="5">
        <v>46909</v>
      </c>
      <c r="D158" s="3" t="s">
        <v>152</v>
      </c>
      <c r="E158" s="20">
        <v>10.99</v>
      </c>
      <c r="F158" s="20">
        <v>5.7054999999999998</v>
      </c>
      <c r="G158" s="61">
        <v>0</v>
      </c>
      <c r="H158" s="61">
        <v>0</v>
      </c>
      <c r="I158" s="61">
        <v>0</v>
      </c>
      <c r="J158" s="61">
        <v>0</v>
      </c>
      <c r="K158" s="61">
        <v>0</v>
      </c>
      <c r="L158" s="61">
        <v>0</v>
      </c>
    </row>
    <row r="159" spans="1:12" ht="16.5" customHeight="1" x14ac:dyDescent="0.35">
      <c r="A159" s="3" t="s">
        <v>14</v>
      </c>
      <c r="B159" s="4">
        <v>102</v>
      </c>
      <c r="C159" s="5">
        <v>46797</v>
      </c>
      <c r="D159" s="3" t="s">
        <v>161</v>
      </c>
      <c r="E159" s="20">
        <v>39.99</v>
      </c>
      <c r="F159" s="20">
        <v>25</v>
      </c>
      <c r="G159" s="61">
        <v>0</v>
      </c>
      <c r="H159" s="61">
        <v>0</v>
      </c>
      <c r="I159" s="61">
        <v>0</v>
      </c>
      <c r="J159" s="61">
        <v>0</v>
      </c>
      <c r="K159" s="61">
        <v>0</v>
      </c>
      <c r="L159" s="61">
        <v>0</v>
      </c>
    </row>
    <row r="160" spans="1:12" ht="16.5" customHeight="1" x14ac:dyDescent="0.35">
      <c r="A160" s="3" t="s">
        <v>14</v>
      </c>
      <c r="B160" s="4">
        <v>113</v>
      </c>
      <c r="C160" s="5">
        <v>46072</v>
      </c>
      <c r="D160" s="3" t="s">
        <v>252</v>
      </c>
      <c r="E160" s="20">
        <v>44.99</v>
      </c>
      <c r="F160" s="20">
        <v>26.64</v>
      </c>
      <c r="G160" s="61">
        <v>0</v>
      </c>
      <c r="H160" s="61">
        <v>0</v>
      </c>
      <c r="I160" s="61">
        <v>0</v>
      </c>
      <c r="J160" s="61">
        <v>0</v>
      </c>
      <c r="K160" s="61">
        <v>0</v>
      </c>
      <c r="L160" s="61">
        <v>0</v>
      </c>
    </row>
    <row r="161" spans="1:12" ht="16.5" customHeight="1" x14ac:dyDescent="0.35">
      <c r="A161" s="3" t="s">
        <v>19</v>
      </c>
      <c r="B161" s="4">
        <v>101</v>
      </c>
      <c r="C161" s="5">
        <v>43420</v>
      </c>
      <c r="D161" s="3" t="s">
        <v>77</v>
      </c>
      <c r="E161" s="20">
        <v>13.99</v>
      </c>
      <c r="F161" s="20">
        <v>8.3665000000000003</v>
      </c>
      <c r="G161" s="61">
        <v>0</v>
      </c>
      <c r="H161" s="61">
        <v>0</v>
      </c>
      <c r="I161" s="61">
        <v>0</v>
      </c>
      <c r="J161" s="61">
        <v>0</v>
      </c>
      <c r="K161" s="61">
        <v>0</v>
      </c>
      <c r="L161" s="61">
        <v>0</v>
      </c>
    </row>
    <row r="162" spans="1:12" ht="16.5" customHeight="1" x14ac:dyDescent="0.35">
      <c r="A162" s="3" t="s">
        <v>19</v>
      </c>
      <c r="B162" s="4">
        <v>102</v>
      </c>
      <c r="C162" s="5">
        <v>42674</v>
      </c>
      <c r="D162" s="3" t="s">
        <v>183</v>
      </c>
      <c r="E162" s="20">
        <v>5.49</v>
      </c>
      <c r="F162" s="20">
        <v>2.788416666666667</v>
      </c>
      <c r="G162" s="61">
        <v>0</v>
      </c>
      <c r="H162" s="61">
        <v>0</v>
      </c>
      <c r="I162" s="61">
        <v>0</v>
      </c>
      <c r="J162" s="61">
        <v>0</v>
      </c>
      <c r="K162" s="61">
        <v>0</v>
      </c>
      <c r="L162" s="61">
        <v>0</v>
      </c>
    </row>
    <row r="163" spans="1:12" ht="16.5" customHeight="1" x14ac:dyDescent="0.35">
      <c r="A163" s="3" t="s">
        <v>14</v>
      </c>
      <c r="B163" s="4">
        <v>101</v>
      </c>
      <c r="C163" s="5">
        <v>42401</v>
      </c>
      <c r="D163" s="3" t="s">
        <v>38</v>
      </c>
      <c r="E163" s="20">
        <v>14.99</v>
      </c>
      <c r="F163" s="20">
        <v>6.62</v>
      </c>
      <c r="G163" s="61">
        <v>0</v>
      </c>
      <c r="H163" s="61">
        <v>0</v>
      </c>
      <c r="I163" s="61">
        <v>130.34782608695653</v>
      </c>
      <c r="J163" s="61">
        <v>10</v>
      </c>
      <c r="K163" s="61">
        <v>37.799999999999997</v>
      </c>
      <c r="L163" s="61">
        <v>3</v>
      </c>
    </row>
    <row r="164" spans="1:12" ht="16.5" customHeight="1" x14ac:dyDescent="0.35">
      <c r="A164" s="3" t="s">
        <v>14</v>
      </c>
      <c r="B164" s="4">
        <v>106</v>
      </c>
      <c r="C164" s="5">
        <v>42296</v>
      </c>
      <c r="D164" s="3" t="s">
        <v>246</v>
      </c>
      <c r="E164" s="20">
        <v>4.99</v>
      </c>
      <c r="F164" s="20">
        <v>2.97</v>
      </c>
      <c r="G164" s="61">
        <v>0</v>
      </c>
      <c r="H164" s="61">
        <v>0</v>
      </c>
      <c r="I164" s="61">
        <v>0</v>
      </c>
      <c r="J164" s="61">
        <v>0</v>
      </c>
      <c r="K164" s="61">
        <v>0</v>
      </c>
      <c r="L164" s="61">
        <v>0</v>
      </c>
    </row>
    <row r="165" spans="1:12" ht="16.5" customHeight="1" x14ac:dyDescent="0.35">
      <c r="A165" s="3" t="s">
        <v>14</v>
      </c>
      <c r="B165" s="4">
        <v>117</v>
      </c>
      <c r="C165" s="5">
        <v>41620</v>
      </c>
      <c r="D165" s="3" t="s">
        <v>255</v>
      </c>
      <c r="E165" s="20">
        <v>15.99</v>
      </c>
      <c r="F165" s="20">
        <v>8.11</v>
      </c>
      <c r="G165" s="61">
        <v>0</v>
      </c>
      <c r="H165" s="61">
        <v>0</v>
      </c>
      <c r="I165" s="61">
        <v>0</v>
      </c>
      <c r="J165" s="61">
        <v>0</v>
      </c>
      <c r="K165" s="61">
        <v>13.904347826086957</v>
      </c>
      <c r="L165" s="61">
        <v>1</v>
      </c>
    </row>
    <row r="166" spans="1:12" ht="16.5" customHeight="1" x14ac:dyDescent="0.35">
      <c r="A166" s="3" t="s">
        <v>14</v>
      </c>
      <c r="B166" s="4">
        <v>101</v>
      </c>
      <c r="C166" s="5">
        <v>41464</v>
      </c>
      <c r="D166" s="3" t="s">
        <v>45</v>
      </c>
      <c r="E166" s="20">
        <v>16.989999999999998</v>
      </c>
      <c r="F166" s="20">
        <v>7.73</v>
      </c>
      <c r="G166" s="61">
        <v>0</v>
      </c>
      <c r="H166" s="61">
        <v>0</v>
      </c>
      <c r="I166" s="61">
        <v>0</v>
      </c>
      <c r="J166" s="61">
        <v>0</v>
      </c>
      <c r="K166" s="61">
        <v>0</v>
      </c>
      <c r="L166" s="61">
        <v>0</v>
      </c>
    </row>
    <row r="167" spans="1:12" ht="16.5" customHeight="1" x14ac:dyDescent="0.35">
      <c r="A167" s="3" t="s">
        <v>107</v>
      </c>
      <c r="B167" s="4">
        <v>1821</v>
      </c>
      <c r="C167" s="5">
        <v>40827</v>
      </c>
      <c r="D167" s="3" t="s">
        <v>289</v>
      </c>
      <c r="E167" s="20">
        <v>29.99</v>
      </c>
      <c r="F167" s="20">
        <v>29.25</v>
      </c>
      <c r="G167" s="61">
        <v>0</v>
      </c>
      <c r="H167" s="61">
        <v>0</v>
      </c>
      <c r="I167" s="61">
        <v>0</v>
      </c>
      <c r="J167" s="61">
        <v>0</v>
      </c>
      <c r="K167" s="61">
        <v>0</v>
      </c>
      <c r="L167" s="61">
        <v>0</v>
      </c>
    </row>
    <row r="168" spans="1:12" ht="16.5" customHeight="1" x14ac:dyDescent="0.35">
      <c r="A168" s="3" t="s">
        <v>14</v>
      </c>
      <c r="B168" s="4">
        <v>118</v>
      </c>
      <c r="C168" s="5">
        <v>40809</v>
      </c>
      <c r="D168" s="3" t="s">
        <v>260</v>
      </c>
      <c r="E168" s="20">
        <v>15.99</v>
      </c>
      <c r="F168" s="20">
        <v>6.5</v>
      </c>
      <c r="G168" s="61">
        <v>0</v>
      </c>
      <c r="H168" s="61">
        <v>0</v>
      </c>
      <c r="I168" s="61">
        <v>0</v>
      </c>
      <c r="J168" s="61">
        <v>0</v>
      </c>
      <c r="K168" s="61">
        <v>0</v>
      </c>
      <c r="L168" s="61">
        <v>0</v>
      </c>
    </row>
    <row r="169" spans="1:12" ht="16.5" customHeight="1" x14ac:dyDescent="0.35">
      <c r="A169" s="3" t="s">
        <v>14</v>
      </c>
      <c r="B169" s="4">
        <v>104</v>
      </c>
      <c r="C169" s="5">
        <v>40732</v>
      </c>
      <c r="D169" s="3" t="s">
        <v>239</v>
      </c>
      <c r="E169" s="20">
        <v>15</v>
      </c>
      <c r="F169" s="20">
        <v>7.38</v>
      </c>
      <c r="G169" s="61">
        <v>0</v>
      </c>
      <c r="H169" s="61">
        <v>0</v>
      </c>
      <c r="I169" s="61">
        <v>0</v>
      </c>
      <c r="J169" s="61">
        <v>0</v>
      </c>
      <c r="K169" s="61">
        <v>0</v>
      </c>
      <c r="L169" s="61">
        <v>0</v>
      </c>
    </row>
    <row r="170" spans="1:12" ht="16.5" customHeight="1" x14ac:dyDescent="0.35">
      <c r="A170" s="70" t="s">
        <v>35</v>
      </c>
      <c r="B170" s="71">
        <v>102</v>
      </c>
      <c r="C170" s="72">
        <v>40364</v>
      </c>
      <c r="D170" s="70" t="s">
        <v>191</v>
      </c>
      <c r="E170" s="73">
        <v>4.99</v>
      </c>
      <c r="F170" s="73">
        <v>2.8072500000000002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</row>
    <row r="171" spans="1:12" ht="16.5" customHeight="1" x14ac:dyDescent="0.35">
      <c r="A171" s="3" t="s">
        <v>19</v>
      </c>
      <c r="B171" s="4">
        <v>101</v>
      </c>
      <c r="C171" s="5">
        <v>40158</v>
      </c>
      <c r="D171" s="3" t="s">
        <v>58</v>
      </c>
      <c r="E171" s="20">
        <v>11.99</v>
      </c>
      <c r="F171" s="20">
        <v>6.05</v>
      </c>
      <c r="G171" s="61">
        <v>0</v>
      </c>
      <c r="H171" s="61">
        <v>0</v>
      </c>
      <c r="I171" s="61">
        <v>0</v>
      </c>
      <c r="J171" s="61">
        <v>0</v>
      </c>
      <c r="K171" s="61">
        <v>0</v>
      </c>
      <c r="L171" s="61">
        <v>0</v>
      </c>
    </row>
    <row r="172" spans="1:12" ht="16.5" customHeight="1" x14ac:dyDescent="0.35">
      <c r="A172" s="3" t="s">
        <v>14</v>
      </c>
      <c r="B172" s="4">
        <v>102</v>
      </c>
      <c r="C172" s="5">
        <v>40065</v>
      </c>
      <c r="D172" s="3" t="s">
        <v>103</v>
      </c>
      <c r="E172" s="20">
        <v>27.99</v>
      </c>
      <c r="F172" s="20">
        <v>15.7</v>
      </c>
      <c r="G172" s="61">
        <v>0</v>
      </c>
      <c r="H172" s="61">
        <v>0</v>
      </c>
      <c r="I172" s="61">
        <v>0</v>
      </c>
      <c r="J172" s="61">
        <v>0</v>
      </c>
      <c r="K172" s="61">
        <v>0</v>
      </c>
      <c r="L172" s="61">
        <v>0</v>
      </c>
    </row>
    <row r="173" spans="1:12" ht="16.5" customHeight="1" x14ac:dyDescent="0.35">
      <c r="A173" s="70" t="s">
        <v>35</v>
      </c>
      <c r="B173" s="71">
        <v>102</v>
      </c>
      <c r="C173" s="72">
        <v>39963</v>
      </c>
      <c r="D173" s="70" t="s">
        <v>190</v>
      </c>
      <c r="E173" s="73">
        <v>5.4</v>
      </c>
      <c r="F173" s="73">
        <v>2.9407999999999999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</row>
    <row r="174" spans="1:12" ht="16.5" customHeight="1" x14ac:dyDescent="0.35">
      <c r="A174" s="3" t="s">
        <v>14</v>
      </c>
      <c r="B174" s="4">
        <v>101</v>
      </c>
      <c r="C174" s="5">
        <v>39750</v>
      </c>
      <c r="D174" s="3" t="s">
        <v>76</v>
      </c>
      <c r="E174" s="20">
        <v>39.99</v>
      </c>
      <c r="F174" s="20">
        <v>16.100000000000001</v>
      </c>
      <c r="G174" s="61">
        <v>0</v>
      </c>
      <c r="H174" s="61">
        <v>0</v>
      </c>
      <c r="I174" s="61">
        <v>0</v>
      </c>
      <c r="J174" s="61">
        <v>0</v>
      </c>
      <c r="K174" s="61">
        <v>0</v>
      </c>
      <c r="L174" s="61">
        <v>0</v>
      </c>
    </row>
    <row r="175" spans="1:12" ht="16.5" customHeight="1" x14ac:dyDescent="0.35">
      <c r="A175" s="70" t="s">
        <v>35</v>
      </c>
      <c r="B175" s="71">
        <v>102</v>
      </c>
      <c r="C175" s="72">
        <v>39421</v>
      </c>
      <c r="D175" s="70" t="s">
        <v>189</v>
      </c>
      <c r="E175" s="73">
        <v>28.99</v>
      </c>
      <c r="F175" s="73">
        <v>15.703250000000001</v>
      </c>
      <c r="G175" s="73">
        <v>0</v>
      </c>
      <c r="H175" s="73">
        <v>0</v>
      </c>
      <c r="I175" s="73">
        <v>0</v>
      </c>
      <c r="J175" s="73">
        <v>0</v>
      </c>
      <c r="K175" s="73">
        <v>0</v>
      </c>
      <c r="L175" s="73">
        <v>0</v>
      </c>
    </row>
    <row r="176" spans="1:12" ht="16.5" customHeight="1" x14ac:dyDescent="0.35">
      <c r="A176" s="70" t="s">
        <v>35</v>
      </c>
      <c r="B176" s="71">
        <v>102</v>
      </c>
      <c r="C176" s="72">
        <v>39025</v>
      </c>
      <c r="D176" s="70" t="s">
        <v>188</v>
      </c>
      <c r="E176" s="73">
        <v>330.99</v>
      </c>
      <c r="F176" s="73">
        <v>182.6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</row>
    <row r="177" spans="1:12" ht="16.5" customHeight="1" x14ac:dyDescent="0.35">
      <c r="A177" s="70" t="s">
        <v>35</v>
      </c>
      <c r="B177" s="71">
        <v>102</v>
      </c>
      <c r="C177" s="72">
        <v>38983</v>
      </c>
      <c r="D177" s="70" t="s">
        <v>187</v>
      </c>
      <c r="E177" s="73">
        <v>10.85</v>
      </c>
      <c r="F177" s="73">
        <v>5.9985000000000008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</row>
    <row r="178" spans="1:12" ht="16.5" customHeight="1" x14ac:dyDescent="0.35">
      <c r="A178" s="70" t="s">
        <v>35</v>
      </c>
      <c r="B178" s="71">
        <v>102</v>
      </c>
      <c r="C178" s="72">
        <v>38908</v>
      </c>
      <c r="D178" s="70" t="s">
        <v>186</v>
      </c>
      <c r="E178" s="73">
        <v>7.99</v>
      </c>
      <c r="F178" s="73">
        <v>4.3630833333333339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</row>
    <row r="179" spans="1:12" ht="16.5" customHeight="1" x14ac:dyDescent="0.35">
      <c r="A179" s="70" t="s">
        <v>35</v>
      </c>
      <c r="B179" s="71">
        <v>102</v>
      </c>
      <c r="C179" s="72">
        <v>38816</v>
      </c>
      <c r="D179" s="70" t="s">
        <v>185</v>
      </c>
      <c r="E179" s="73">
        <v>7.99</v>
      </c>
      <c r="F179" s="73">
        <v>4.1160000000000005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</row>
    <row r="180" spans="1:12" ht="16.5" customHeight="1" x14ac:dyDescent="0.35">
      <c r="A180" s="70" t="s">
        <v>35</v>
      </c>
      <c r="B180" s="71">
        <v>102</v>
      </c>
      <c r="C180" s="72">
        <v>38815</v>
      </c>
      <c r="D180" s="70" t="s">
        <v>184</v>
      </c>
      <c r="E180" s="73">
        <v>10.85</v>
      </c>
      <c r="F180" s="73">
        <v>5.9985000000000008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</row>
    <row r="181" spans="1:12" ht="16.5" customHeight="1" x14ac:dyDescent="0.35">
      <c r="A181" s="3" t="s">
        <v>14</v>
      </c>
      <c r="B181" s="4">
        <v>103</v>
      </c>
      <c r="C181" s="5">
        <v>34142</v>
      </c>
      <c r="D181" s="3" t="s">
        <v>208</v>
      </c>
      <c r="E181" s="20">
        <v>70.989999999999995</v>
      </c>
      <c r="F181" s="20">
        <v>18.7</v>
      </c>
      <c r="G181" s="61">
        <v>0</v>
      </c>
      <c r="H181" s="61">
        <v>0</v>
      </c>
      <c r="I181" s="61">
        <v>0</v>
      </c>
      <c r="J181" s="61">
        <v>0</v>
      </c>
      <c r="K181" s="61">
        <v>10</v>
      </c>
      <c r="L181" s="61">
        <v>0.16200000000000001</v>
      </c>
    </row>
    <row r="182" spans="1:12" ht="16.5" customHeight="1" x14ac:dyDescent="0.35">
      <c r="A182" s="3" t="s">
        <v>19</v>
      </c>
      <c r="B182" s="4">
        <v>101</v>
      </c>
      <c r="C182" s="5">
        <v>34141</v>
      </c>
      <c r="D182" s="3" t="s">
        <v>24</v>
      </c>
      <c r="E182" s="20">
        <v>5</v>
      </c>
      <c r="F182" s="20">
        <v>3.3388750000000003</v>
      </c>
      <c r="G182" s="61">
        <v>0</v>
      </c>
      <c r="H182" s="61">
        <v>0</v>
      </c>
      <c r="I182" s="61">
        <v>0</v>
      </c>
      <c r="J182" s="61">
        <v>0</v>
      </c>
      <c r="K182" s="61">
        <v>165.21739130434781</v>
      </c>
      <c r="L182" s="61">
        <v>40</v>
      </c>
    </row>
    <row r="183" spans="1:12" ht="16.5" customHeight="1" x14ac:dyDescent="0.35">
      <c r="A183" s="3" t="s">
        <v>14</v>
      </c>
      <c r="B183" s="4">
        <v>119</v>
      </c>
      <c r="C183" s="5">
        <v>34140</v>
      </c>
      <c r="D183" s="3" t="s">
        <v>267</v>
      </c>
      <c r="E183" s="20">
        <v>385</v>
      </c>
      <c r="F183" s="20">
        <v>201.52</v>
      </c>
      <c r="G183" s="61">
        <v>0</v>
      </c>
      <c r="H183" s="61">
        <v>0</v>
      </c>
      <c r="I183" s="61">
        <v>0</v>
      </c>
      <c r="J183" s="61">
        <v>0</v>
      </c>
      <c r="K183" s="61">
        <v>0</v>
      </c>
      <c r="L183" s="61">
        <v>0</v>
      </c>
    </row>
    <row r="184" spans="1:12" ht="16.5" customHeight="1" x14ac:dyDescent="0.35">
      <c r="A184" s="3" t="s">
        <v>14</v>
      </c>
      <c r="B184" s="4">
        <v>102</v>
      </c>
      <c r="C184" s="5">
        <v>34139</v>
      </c>
      <c r="D184" s="3" t="s">
        <v>141</v>
      </c>
      <c r="E184" s="20">
        <v>49.99</v>
      </c>
      <c r="F184" s="20">
        <v>26.72</v>
      </c>
      <c r="G184" s="61">
        <v>0</v>
      </c>
      <c r="H184" s="61">
        <v>0</v>
      </c>
      <c r="I184" s="61">
        <v>0</v>
      </c>
      <c r="J184" s="61">
        <v>0</v>
      </c>
      <c r="K184" s="61">
        <v>0</v>
      </c>
      <c r="L184" s="61">
        <v>0</v>
      </c>
    </row>
    <row r="185" spans="1:12" ht="16.5" customHeight="1" x14ac:dyDescent="0.35">
      <c r="A185" s="3" t="s">
        <v>14</v>
      </c>
      <c r="B185" s="4">
        <v>103</v>
      </c>
      <c r="C185" s="5">
        <v>34136</v>
      </c>
      <c r="D185" s="3" t="s">
        <v>218</v>
      </c>
      <c r="E185" s="20">
        <v>112.99</v>
      </c>
      <c r="F185" s="20">
        <v>45</v>
      </c>
      <c r="G185" s="61">
        <v>0</v>
      </c>
      <c r="H185" s="61">
        <v>0</v>
      </c>
      <c r="I185" s="61">
        <v>0</v>
      </c>
      <c r="J185" s="61">
        <v>0</v>
      </c>
      <c r="K185" s="61">
        <v>0</v>
      </c>
      <c r="L185" s="61">
        <v>0</v>
      </c>
    </row>
    <row r="186" spans="1:12" ht="16.5" customHeight="1" x14ac:dyDescent="0.35">
      <c r="A186" s="3" t="s">
        <v>14</v>
      </c>
      <c r="B186" s="4">
        <v>103</v>
      </c>
      <c r="C186" s="5">
        <v>34135</v>
      </c>
      <c r="D186" s="3" t="s">
        <v>230</v>
      </c>
      <c r="E186" s="20">
        <v>189.99</v>
      </c>
      <c r="F186" s="20">
        <v>61</v>
      </c>
      <c r="G186" s="61">
        <v>0</v>
      </c>
      <c r="H186" s="61">
        <v>0</v>
      </c>
      <c r="I186" s="61">
        <v>0</v>
      </c>
      <c r="J186" s="61">
        <v>0</v>
      </c>
      <c r="K186" s="61">
        <v>0</v>
      </c>
      <c r="L186" s="61">
        <v>0</v>
      </c>
    </row>
    <row r="187" spans="1:12" ht="16.5" customHeight="1" x14ac:dyDescent="0.35">
      <c r="A187" s="3" t="s">
        <v>14</v>
      </c>
      <c r="B187" s="4">
        <v>103</v>
      </c>
      <c r="C187" s="5">
        <v>34134</v>
      </c>
      <c r="D187" s="3" t="s">
        <v>215</v>
      </c>
      <c r="E187" s="20">
        <v>313.99</v>
      </c>
      <c r="F187" s="20">
        <v>163.47229999999999</v>
      </c>
      <c r="G187" s="61">
        <v>0</v>
      </c>
      <c r="H187" s="61">
        <v>0</v>
      </c>
      <c r="I187" s="61">
        <v>0</v>
      </c>
      <c r="J187" s="61">
        <v>0</v>
      </c>
      <c r="K187" s="61">
        <v>0</v>
      </c>
      <c r="L187" s="61">
        <v>0</v>
      </c>
    </row>
    <row r="188" spans="1:12" ht="16.5" customHeight="1" x14ac:dyDescent="0.35">
      <c r="A188" s="3" t="s">
        <v>19</v>
      </c>
      <c r="B188" s="4">
        <v>101</v>
      </c>
      <c r="C188" s="5">
        <v>34132</v>
      </c>
      <c r="D188" s="3" t="s">
        <v>55</v>
      </c>
      <c r="E188" s="20">
        <v>3.99</v>
      </c>
      <c r="F188" s="20">
        <v>2.1095999999999999</v>
      </c>
      <c r="G188" s="61">
        <v>0</v>
      </c>
      <c r="H188" s="61">
        <v>0</v>
      </c>
      <c r="I188" s="61">
        <v>0</v>
      </c>
      <c r="J188" s="61">
        <v>0</v>
      </c>
      <c r="K188" s="61">
        <v>0</v>
      </c>
      <c r="L188" s="61">
        <v>0</v>
      </c>
    </row>
    <row r="189" spans="1:12" ht="16.5" customHeight="1" x14ac:dyDescent="0.35">
      <c r="A189" s="3" t="s">
        <v>14</v>
      </c>
      <c r="B189" s="4">
        <v>120</v>
      </c>
      <c r="C189" s="5">
        <v>34124</v>
      </c>
      <c r="D189" s="3" t="s">
        <v>283</v>
      </c>
      <c r="E189" s="20">
        <v>29.99</v>
      </c>
      <c r="F189" s="20">
        <v>12.33</v>
      </c>
      <c r="G189" s="61">
        <v>0</v>
      </c>
      <c r="H189" s="61">
        <v>0</v>
      </c>
      <c r="I189" s="61">
        <v>0</v>
      </c>
      <c r="J189" s="61">
        <v>0</v>
      </c>
      <c r="K189" s="61">
        <v>0</v>
      </c>
      <c r="L189" s="61">
        <v>0</v>
      </c>
    </row>
    <row r="190" spans="1:12" ht="16.5" customHeight="1" x14ac:dyDescent="0.35">
      <c r="A190" s="3" t="s">
        <v>14</v>
      </c>
      <c r="B190" s="4">
        <v>102</v>
      </c>
      <c r="C190" s="5">
        <v>34122</v>
      </c>
      <c r="D190" s="3" t="s">
        <v>167</v>
      </c>
      <c r="E190" s="20">
        <v>25.99</v>
      </c>
      <c r="F190" s="20">
        <v>13.19</v>
      </c>
      <c r="G190" s="61">
        <v>0</v>
      </c>
      <c r="H190" s="61">
        <v>0</v>
      </c>
      <c r="I190" s="61">
        <v>0</v>
      </c>
      <c r="J190" s="61">
        <v>0</v>
      </c>
      <c r="K190" s="61">
        <v>21.469565217391306</v>
      </c>
      <c r="L190" s="61">
        <v>1</v>
      </c>
    </row>
    <row r="191" spans="1:12" ht="16.5" customHeight="1" x14ac:dyDescent="0.35">
      <c r="A191" s="3" t="s">
        <v>14</v>
      </c>
      <c r="B191" s="4">
        <v>101</v>
      </c>
      <c r="C191" s="5">
        <v>34121</v>
      </c>
      <c r="D191" s="3" t="s">
        <v>25</v>
      </c>
      <c r="E191" s="20">
        <v>3.3</v>
      </c>
      <c r="F191" s="20">
        <v>1.85</v>
      </c>
      <c r="G191" s="61">
        <v>0</v>
      </c>
      <c r="H191" s="61">
        <v>0</v>
      </c>
      <c r="I191" s="61">
        <v>0</v>
      </c>
      <c r="J191" s="61">
        <v>0</v>
      </c>
      <c r="K191" s="61">
        <v>0</v>
      </c>
      <c r="L191" s="61">
        <v>0</v>
      </c>
    </row>
    <row r="192" spans="1:12" ht="16.5" customHeight="1" x14ac:dyDescent="0.35">
      <c r="A192" s="3" t="s">
        <v>14</v>
      </c>
      <c r="B192" s="4">
        <v>102</v>
      </c>
      <c r="C192" s="5">
        <v>34120</v>
      </c>
      <c r="D192" s="3" t="s">
        <v>134</v>
      </c>
      <c r="E192" s="20">
        <v>8.99</v>
      </c>
      <c r="F192" s="20">
        <v>4.99</v>
      </c>
      <c r="G192" s="61">
        <v>0</v>
      </c>
      <c r="H192" s="61">
        <v>0</v>
      </c>
      <c r="I192" s="61">
        <v>0</v>
      </c>
      <c r="J192" s="61">
        <v>0</v>
      </c>
      <c r="K192" s="61">
        <v>0</v>
      </c>
      <c r="L192" s="61">
        <v>0</v>
      </c>
    </row>
    <row r="193" spans="1:12" ht="16.5" customHeight="1" x14ac:dyDescent="0.35">
      <c r="A193" s="3" t="s">
        <v>14</v>
      </c>
      <c r="B193" s="4">
        <v>104</v>
      </c>
      <c r="C193" s="5">
        <v>34118</v>
      </c>
      <c r="D193" s="3" t="s">
        <v>231</v>
      </c>
      <c r="E193" s="20">
        <v>29.99</v>
      </c>
      <c r="F193" s="20">
        <v>7.38</v>
      </c>
      <c r="G193" s="61">
        <v>0</v>
      </c>
      <c r="H193" s="61">
        <v>0</v>
      </c>
      <c r="I193" s="61">
        <v>130.39130434782606</v>
      </c>
      <c r="J193" s="61">
        <v>5</v>
      </c>
      <c r="K193" s="61">
        <v>204.71304347826086</v>
      </c>
      <c r="L193" s="61">
        <v>8</v>
      </c>
    </row>
    <row r="194" spans="1:12" ht="16.5" customHeight="1" x14ac:dyDescent="0.35">
      <c r="A194" s="3" t="s">
        <v>19</v>
      </c>
      <c r="B194" s="4">
        <v>101</v>
      </c>
      <c r="C194" s="5">
        <v>34113</v>
      </c>
      <c r="D194" s="3" t="s">
        <v>56</v>
      </c>
      <c r="E194" s="20">
        <v>3.99</v>
      </c>
      <c r="F194" s="20">
        <v>2.1386000000000003</v>
      </c>
      <c r="G194" s="61">
        <v>0</v>
      </c>
      <c r="H194" s="61">
        <v>0</v>
      </c>
      <c r="I194" s="61">
        <v>0</v>
      </c>
      <c r="J194" s="61">
        <v>0</v>
      </c>
      <c r="K194" s="61">
        <v>0</v>
      </c>
      <c r="L194" s="61">
        <v>0</v>
      </c>
    </row>
    <row r="195" spans="1:12" ht="16.5" customHeight="1" x14ac:dyDescent="0.35">
      <c r="A195" s="3" t="s">
        <v>14</v>
      </c>
      <c r="B195" s="4">
        <v>102</v>
      </c>
      <c r="C195" s="5">
        <v>34106</v>
      </c>
      <c r="D195" s="3" t="s">
        <v>131</v>
      </c>
      <c r="E195" s="20">
        <v>11.99</v>
      </c>
      <c r="F195" s="20">
        <v>6.35</v>
      </c>
      <c r="G195" s="61">
        <v>0</v>
      </c>
      <c r="H195" s="61">
        <v>0</v>
      </c>
      <c r="I195" s="61">
        <v>0</v>
      </c>
      <c r="J195" s="61">
        <v>0</v>
      </c>
      <c r="K195" s="61">
        <v>0</v>
      </c>
      <c r="L195" s="61">
        <v>0</v>
      </c>
    </row>
    <row r="196" spans="1:12" ht="16.5" customHeight="1" x14ac:dyDescent="0.35">
      <c r="A196" s="3" t="s">
        <v>14</v>
      </c>
      <c r="B196" s="4">
        <v>102</v>
      </c>
      <c r="C196" s="5">
        <v>34102</v>
      </c>
      <c r="D196" s="3" t="s">
        <v>129</v>
      </c>
      <c r="E196" s="20">
        <v>9.99</v>
      </c>
      <c r="F196" s="20">
        <v>4.99</v>
      </c>
      <c r="G196" s="61">
        <v>0</v>
      </c>
      <c r="H196" s="61">
        <v>0</v>
      </c>
      <c r="I196" s="61">
        <v>43.434782608695656</v>
      </c>
      <c r="J196" s="61">
        <v>5</v>
      </c>
      <c r="K196" s="61">
        <v>26.060869565217391</v>
      </c>
      <c r="L196" s="61">
        <v>3</v>
      </c>
    </row>
    <row r="197" spans="1:12" ht="16.5" customHeight="1" x14ac:dyDescent="0.35">
      <c r="A197" s="3" t="s">
        <v>14</v>
      </c>
      <c r="B197" s="4">
        <v>103</v>
      </c>
      <c r="C197" s="5">
        <v>34101</v>
      </c>
      <c r="D197" s="3" t="s">
        <v>209</v>
      </c>
      <c r="E197" s="20">
        <v>216.99</v>
      </c>
      <c r="F197" s="20">
        <v>54</v>
      </c>
      <c r="G197" s="61">
        <v>0</v>
      </c>
      <c r="H197" s="61">
        <v>0</v>
      </c>
      <c r="I197" s="61">
        <v>0</v>
      </c>
      <c r="J197" s="61">
        <v>0</v>
      </c>
      <c r="K197" s="61">
        <v>0</v>
      </c>
      <c r="L197" s="61">
        <v>0</v>
      </c>
    </row>
    <row r="198" spans="1:12" ht="16.5" customHeight="1" x14ac:dyDescent="0.35">
      <c r="A198" s="3" t="s">
        <v>14</v>
      </c>
      <c r="B198" s="4">
        <v>103</v>
      </c>
      <c r="C198" s="5">
        <v>34100</v>
      </c>
      <c r="D198" s="3" t="s">
        <v>211</v>
      </c>
      <c r="E198" s="20">
        <v>402.99</v>
      </c>
      <c r="F198" s="20">
        <v>210</v>
      </c>
      <c r="G198" s="61">
        <v>0</v>
      </c>
      <c r="H198" s="61">
        <v>0</v>
      </c>
      <c r="I198" s="61">
        <v>0</v>
      </c>
      <c r="J198" s="61">
        <v>0</v>
      </c>
      <c r="K198" s="61">
        <v>0</v>
      </c>
      <c r="L198" s="61">
        <v>0</v>
      </c>
    </row>
    <row r="199" spans="1:12" ht="16.5" customHeight="1" x14ac:dyDescent="0.35">
      <c r="A199" s="3" t="s">
        <v>14</v>
      </c>
      <c r="B199" s="4">
        <v>104</v>
      </c>
      <c r="C199" s="5">
        <v>34095</v>
      </c>
      <c r="D199" s="3" t="s">
        <v>235</v>
      </c>
      <c r="E199" s="20">
        <v>29.99</v>
      </c>
      <c r="F199" s="20">
        <v>12.52</v>
      </c>
      <c r="G199" s="61">
        <v>0</v>
      </c>
      <c r="H199" s="61">
        <v>0</v>
      </c>
      <c r="I199" s="61">
        <v>0</v>
      </c>
      <c r="J199" s="61">
        <v>0</v>
      </c>
      <c r="K199" s="61">
        <v>0</v>
      </c>
      <c r="L199" s="61">
        <v>0</v>
      </c>
    </row>
    <row r="200" spans="1:12" ht="16.5" customHeight="1" x14ac:dyDescent="0.35">
      <c r="A200" s="3" t="s">
        <v>14</v>
      </c>
      <c r="B200" s="4">
        <v>103</v>
      </c>
      <c r="C200" s="5">
        <v>34094</v>
      </c>
      <c r="D200" s="3" t="s">
        <v>229</v>
      </c>
      <c r="E200" s="20">
        <v>302.99</v>
      </c>
      <c r="F200" s="20">
        <v>57</v>
      </c>
      <c r="G200" s="61">
        <v>0</v>
      </c>
      <c r="H200" s="61">
        <v>0</v>
      </c>
      <c r="I200" s="61">
        <v>0</v>
      </c>
      <c r="J200" s="61">
        <v>0</v>
      </c>
      <c r="K200" s="61">
        <v>0</v>
      </c>
      <c r="L200" s="61">
        <v>0</v>
      </c>
    </row>
    <row r="201" spans="1:12" ht="16.5" customHeight="1" x14ac:dyDescent="0.35">
      <c r="A201" s="3" t="s">
        <v>14</v>
      </c>
      <c r="B201" s="4">
        <v>102</v>
      </c>
      <c r="C201" s="5">
        <v>34090</v>
      </c>
      <c r="D201" s="3" t="s">
        <v>144</v>
      </c>
      <c r="E201" s="20">
        <v>3.99</v>
      </c>
      <c r="F201" s="20">
        <v>1.3</v>
      </c>
      <c r="G201" s="61">
        <v>0</v>
      </c>
      <c r="H201" s="61">
        <v>0</v>
      </c>
      <c r="I201" s="61">
        <v>0</v>
      </c>
      <c r="J201" s="61">
        <v>0</v>
      </c>
      <c r="K201" s="61">
        <v>0</v>
      </c>
      <c r="L201" s="61">
        <v>0</v>
      </c>
    </row>
    <row r="202" spans="1:12" ht="16.5" customHeight="1" x14ac:dyDescent="0.35">
      <c r="A202" s="3" t="s">
        <v>14</v>
      </c>
      <c r="B202" s="4">
        <v>102</v>
      </c>
      <c r="C202" s="5">
        <v>34089</v>
      </c>
      <c r="D202" s="3" t="s">
        <v>180</v>
      </c>
      <c r="E202" s="20">
        <v>39.99</v>
      </c>
      <c r="F202" s="20">
        <v>29.01</v>
      </c>
      <c r="G202" s="61">
        <v>0</v>
      </c>
      <c r="H202" s="61">
        <v>0</v>
      </c>
      <c r="I202" s="61">
        <v>0</v>
      </c>
      <c r="J202" s="61">
        <v>0</v>
      </c>
      <c r="K202" s="61">
        <v>0</v>
      </c>
      <c r="L202" s="61">
        <v>0</v>
      </c>
    </row>
    <row r="203" spans="1:12" ht="16.5" customHeight="1" x14ac:dyDescent="0.35">
      <c r="A203" s="3" t="s">
        <v>14</v>
      </c>
      <c r="B203" s="4">
        <v>101</v>
      </c>
      <c r="C203" s="5">
        <v>34088</v>
      </c>
      <c r="D203" s="3" t="s">
        <v>44</v>
      </c>
      <c r="E203" s="20">
        <v>1.5</v>
      </c>
      <c r="F203" s="20">
        <v>0.68</v>
      </c>
      <c r="G203" s="61">
        <v>0</v>
      </c>
      <c r="H203" s="61">
        <v>0</v>
      </c>
      <c r="I203" s="61">
        <v>117.39130434782609</v>
      </c>
      <c r="J203" s="61">
        <v>90</v>
      </c>
      <c r="K203" s="61">
        <v>0</v>
      </c>
      <c r="L203" s="61">
        <v>0</v>
      </c>
    </row>
    <row r="204" spans="1:12" ht="16.5" customHeight="1" x14ac:dyDescent="0.35">
      <c r="A204" s="3" t="s">
        <v>14</v>
      </c>
      <c r="B204" s="4">
        <v>103</v>
      </c>
      <c r="C204" s="5">
        <v>34087</v>
      </c>
      <c r="D204" s="3" t="s">
        <v>213</v>
      </c>
      <c r="E204" s="20">
        <v>99.99</v>
      </c>
      <c r="F204" s="20">
        <v>54.67</v>
      </c>
      <c r="G204" s="61">
        <v>0</v>
      </c>
      <c r="H204" s="61">
        <v>0</v>
      </c>
      <c r="I204" s="61">
        <v>0</v>
      </c>
      <c r="J204" s="61">
        <v>0</v>
      </c>
      <c r="K204" s="61">
        <v>0</v>
      </c>
      <c r="L204" s="61">
        <v>0</v>
      </c>
    </row>
    <row r="205" spans="1:12" ht="16.5" customHeight="1" x14ac:dyDescent="0.35">
      <c r="A205" s="3" t="s">
        <v>14</v>
      </c>
      <c r="B205" s="4">
        <v>104</v>
      </c>
      <c r="C205" s="5">
        <v>34082</v>
      </c>
      <c r="D205" s="3" t="s">
        <v>237</v>
      </c>
      <c r="E205" s="20">
        <v>55</v>
      </c>
      <c r="F205" s="20">
        <v>25.03</v>
      </c>
      <c r="G205" s="61">
        <v>0</v>
      </c>
      <c r="H205" s="61">
        <v>0</v>
      </c>
      <c r="I205" s="61">
        <v>0</v>
      </c>
      <c r="J205" s="61">
        <v>0</v>
      </c>
      <c r="K205" s="61">
        <v>0</v>
      </c>
      <c r="L205" s="61">
        <v>0</v>
      </c>
    </row>
    <row r="206" spans="1:12" ht="16.5" customHeight="1" x14ac:dyDescent="0.35">
      <c r="A206" s="3" t="s">
        <v>14</v>
      </c>
      <c r="B206" s="4">
        <v>104</v>
      </c>
      <c r="C206" s="5">
        <v>34081</v>
      </c>
      <c r="D206" s="3" t="s">
        <v>232</v>
      </c>
      <c r="E206" s="20">
        <v>29.99</v>
      </c>
      <c r="F206" s="20">
        <v>14.34</v>
      </c>
      <c r="G206" s="61">
        <v>0</v>
      </c>
      <c r="H206" s="61">
        <v>0</v>
      </c>
      <c r="I206" s="61">
        <v>0</v>
      </c>
      <c r="J206" s="61">
        <v>0</v>
      </c>
      <c r="K206" s="61">
        <v>0</v>
      </c>
      <c r="L206" s="61">
        <v>0</v>
      </c>
    </row>
    <row r="207" spans="1:12" ht="16.5" customHeight="1" x14ac:dyDescent="0.35">
      <c r="A207" s="3" t="s">
        <v>14</v>
      </c>
      <c r="B207" s="4">
        <v>104</v>
      </c>
      <c r="C207" s="5">
        <v>34080</v>
      </c>
      <c r="D207" s="3" t="s">
        <v>234</v>
      </c>
      <c r="E207" s="20">
        <v>49.99</v>
      </c>
      <c r="F207" s="20">
        <v>28.67</v>
      </c>
      <c r="G207" s="61">
        <v>0</v>
      </c>
      <c r="H207" s="61">
        <v>0</v>
      </c>
      <c r="I207" s="61">
        <v>43.469565217391306</v>
      </c>
      <c r="J207" s="61">
        <v>1</v>
      </c>
      <c r="K207" s="61">
        <v>0</v>
      </c>
      <c r="L207" s="61">
        <v>0</v>
      </c>
    </row>
    <row r="208" spans="1:12" ht="16.5" customHeight="1" x14ac:dyDescent="0.35">
      <c r="A208" s="3" t="s">
        <v>14</v>
      </c>
      <c r="B208" s="4">
        <v>104</v>
      </c>
      <c r="C208" s="5">
        <v>34079</v>
      </c>
      <c r="D208" s="3" t="s">
        <v>236</v>
      </c>
      <c r="E208" s="20">
        <v>60</v>
      </c>
      <c r="F208" s="20">
        <v>29.14</v>
      </c>
      <c r="G208" s="61">
        <v>0</v>
      </c>
      <c r="H208" s="61">
        <v>0</v>
      </c>
      <c r="I208" s="61">
        <v>0</v>
      </c>
      <c r="J208" s="61">
        <v>0</v>
      </c>
      <c r="K208" s="61">
        <v>0</v>
      </c>
      <c r="L208" s="61">
        <v>0</v>
      </c>
    </row>
    <row r="209" spans="1:12" ht="16.5" customHeight="1" x14ac:dyDescent="0.35">
      <c r="A209" s="3" t="s">
        <v>14</v>
      </c>
      <c r="B209" s="4">
        <v>103</v>
      </c>
      <c r="C209" s="5">
        <v>34076</v>
      </c>
      <c r="D209" s="3" t="s">
        <v>228</v>
      </c>
      <c r="E209" s="20">
        <v>114.99</v>
      </c>
      <c r="F209" s="20">
        <v>20.95</v>
      </c>
      <c r="G209" s="61">
        <v>0</v>
      </c>
      <c r="H209" s="61">
        <v>0</v>
      </c>
      <c r="I209" s="61">
        <v>0</v>
      </c>
      <c r="J209" s="61">
        <v>0</v>
      </c>
      <c r="K209" s="61">
        <v>0</v>
      </c>
      <c r="L209" s="61">
        <v>0</v>
      </c>
    </row>
    <row r="210" spans="1:12" ht="16.5" customHeight="1" x14ac:dyDescent="0.35">
      <c r="A210" s="3" t="s">
        <v>14</v>
      </c>
      <c r="B210" s="4">
        <v>104</v>
      </c>
      <c r="C210" s="5">
        <v>34075</v>
      </c>
      <c r="D210" s="3" t="s">
        <v>240</v>
      </c>
      <c r="E210" s="20">
        <v>69.989999999999995</v>
      </c>
      <c r="F210" s="20">
        <v>36.1</v>
      </c>
      <c r="G210" s="61">
        <v>0</v>
      </c>
      <c r="H210" s="61">
        <v>0</v>
      </c>
      <c r="I210" s="61">
        <v>0</v>
      </c>
      <c r="J210" s="61">
        <v>0</v>
      </c>
      <c r="K210" s="61">
        <v>0</v>
      </c>
      <c r="L210" s="61">
        <v>0</v>
      </c>
    </row>
    <row r="211" spans="1:12" ht="16.5" customHeight="1" x14ac:dyDescent="0.35">
      <c r="A211" s="3" t="s">
        <v>14</v>
      </c>
      <c r="B211" s="4">
        <v>102</v>
      </c>
      <c r="C211" s="5">
        <v>34074</v>
      </c>
      <c r="D211" s="3" t="s">
        <v>140</v>
      </c>
      <c r="E211" s="20">
        <v>21.99</v>
      </c>
      <c r="F211" s="20">
        <v>12.33</v>
      </c>
      <c r="G211" s="61">
        <v>0</v>
      </c>
      <c r="H211" s="61">
        <v>0</v>
      </c>
      <c r="I211" s="61">
        <v>0</v>
      </c>
      <c r="J211" s="61">
        <v>0</v>
      </c>
      <c r="K211" s="61">
        <v>0</v>
      </c>
      <c r="L211" s="61">
        <v>0</v>
      </c>
    </row>
    <row r="212" spans="1:12" ht="16.5" customHeight="1" x14ac:dyDescent="0.35">
      <c r="A212" s="3" t="s">
        <v>14</v>
      </c>
      <c r="B212" s="4">
        <v>102</v>
      </c>
      <c r="C212" s="5">
        <v>34061</v>
      </c>
      <c r="D212" s="3" t="s">
        <v>150</v>
      </c>
      <c r="E212" s="20">
        <v>39.99</v>
      </c>
      <c r="F212" s="20">
        <v>17.68</v>
      </c>
      <c r="G212" s="61">
        <v>0</v>
      </c>
      <c r="H212" s="61">
        <v>0</v>
      </c>
      <c r="I212" s="61">
        <v>0</v>
      </c>
      <c r="J212" s="61">
        <v>0</v>
      </c>
      <c r="K212" s="61">
        <v>0</v>
      </c>
      <c r="L212" s="61">
        <v>0</v>
      </c>
    </row>
    <row r="213" spans="1:12" ht="16.5" customHeight="1" x14ac:dyDescent="0.35">
      <c r="A213" s="3" t="s">
        <v>14</v>
      </c>
      <c r="B213" s="4">
        <v>101</v>
      </c>
      <c r="C213" s="5">
        <v>34059</v>
      </c>
      <c r="D213" s="3" t="s">
        <v>64</v>
      </c>
      <c r="E213" s="20">
        <v>6.99</v>
      </c>
      <c r="F213" s="20">
        <v>3.8</v>
      </c>
      <c r="G213" s="61">
        <v>0</v>
      </c>
      <c r="H213" s="61">
        <v>0</v>
      </c>
      <c r="I213" s="61">
        <v>0</v>
      </c>
      <c r="J213" s="61">
        <v>0</v>
      </c>
      <c r="K213" s="61">
        <v>0</v>
      </c>
      <c r="L213" s="61">
        <v>0</v>
      </c>
    </row>
    <row r="214" spans="1:12" ht="16.5" customHeight="1" x14ac:dyDescent="0.35">
      <c r="A214" s="3" t="s">
        <v>14</v>
      </c>
      <c r="B214" s="4">
        <v>118</v>
      </c>
      <c r="C214" s="5">
        <v>34054</v>
      </c>
      <c r="D214" s="3" t="s">
        <v>259</v>
      </c>
      <c r="E214" s="20">
        <v>100</v>
      </c>
      <c r="F214" s="20">
        <v>54.36</v>
      </c>
      <c r="G214" s="61">
        <v>0</v>
      </c>
      <c r="H214" s="61">
        <v>0</v>
      </c>
      <c r="I214" s="61">
        <v>0</v>
      </c>
      <c r="J214" s="61">
        <v>0</v>
      </c>
      <c r="K214" s="61">
        <v>0</v>
      </c>
      <c r="L214" s="61">
        <v>0</v>
      </c>
    </row>
    <row r="215" spans="1:12" ht="16.5" customHeight="1" x14ac:dyDescent="0.35">
      <c r="A215" s="3" t="s">
        <v>14</v>
      </c>
      <c r="B215" s="4">
        <v>101</v>
      </c>
      <c r="C215" s="5">
        <v>34052</v>
      </c>
      <c r="D215" s="3" t="s">
        <v>71</v>
      </c>
      <c r="E215" s="20">
        <v>24.99</v>
      </c>
      <c r="F215" s="20">
        <v>8.1</v>
      </c>
      <c r="G215" s="61">
        <v>0</v>
      </c>
      <c r="H215" s="61">
        <v>0</v>
      </c>
      <c r="I215" s="61">
        <v>0</v>
      </c>
      <c r="J215" s="61">
        <v>0</v>
      </c>
      <c r="K215" s="61">
        <v>0</v>
      </c>
      <c r="L215" s="61">
        <v>0</v>
      </c>
    </row>
    <row r="216" spans="1:12" ht="16.5" customHeight="1" x14ac:dyDescent="0.35">
      <c r="A216" s="3" t="s">
        <v>19</v>
      </c>
      <c r="B216" s="4">
        <v>101</v>
      </c>
      <c r="C216" s="5">
        <v>34047</v>
      </c>
      <c r="D216" s="3" t="s">
        <v>87</v>
      </c>
      <c r="E216" s="20">
        <v>3.99</v>
      </c>
      <c r="F216" s="20">
        <v>2.120625</v>
      </c>
      <c r="G216" s="61">
        <v>0</v>
      </c>
      <c r="H216" s="61">
        <v>0</v>
      </c>
      <c r="I216" s="61">
        <v>0</v>
      </c>
      <c r="J216" s="61">
        <v>0</v>
      </c>
      <c r="K216" s="61">
        <v>0</v>
      </c>
      <c r="L216" s="61">
        <v>0</v>
      </c>
    </row>
    <row r="217" spans="1:12" ht="16.5" customHeight="1" x14ac:dyDescent="0.35">
      <c r="A217" s="3" t="s">
        <v>14</v>
      </c>
      <c r="B217" s="4">
        <v>118</v>
      </c>
      <c r="C217" s="5">
        <v>34040</v>
      </c>
      <c r="D217" s="3" t="s">
        <v>262</v>
      </c>
      <c r="E217" s="20">
        <v>80</v>
      </c>
      <c r="F217" s="20">
        <v>36.909999999999997</v>
      </c>
      <c r="G217" s="61">
        <v>0</v>
      </c>
      <c r="H217" s="61">
        <v>0</v>
      </c>
      <c r="I217" s="61">
        <v>0</v>
      </c>
      <c r="J217" s="61">
        <v>0</v>
      </c>
      <c r="K217" s="61">
        <v>0</v>
      </c>
      <c r="L217" s="61">
        <v>0</v>
      </c>
    </row>
    <row r="218" spans="1:12" ht="16.5" customHeight="1" x14ac:dyDescent="0.35">
      <c r="A218" s="3" t="s">
        <v>14</v>
      </c>
      <c r="B218" s="4">
        <v>102</v>
      </c>
      <c r="C218" s="5">
        <v>34039</v>
      </c>
      <c r="D218" s="3" t="s">
        <v>115</v>
      </c>
      <c r="E218" s="20">
        <v>11.99</v>
      </c>
      <c r="F218" s="20">
        <v>5.62</v>
      </c>
      <c r="G218" s="61">
        <v>0</v>
      </c>
      <c r="H218" s="61">
        <v>0</v>
      </c>
      <c r="I218" s="61">
        <v>0</v>
      </c>
      <c r="J218" s="61">
        <v>0</v>
      </c>
      <c r="K218" s="61">
        <v>0</v>
      </c>
      <c r="L218" s="61">
        <v>0</v>
      </c>
    </row>
    <row r="219" spans="1:12" ht="16.5" customHeight="1" x14ac:dyDescent="0.35">
      <c r="A219" s="3" t="s">
        <v>14</v>
      </c>
      <c r="B219" s="4">
        <v>102</v>
      </c>
      <c r="C219" s="5">
        <v>34037</v>
      </c>
      <c r="D219" s="3" t="s">
        <v>157</v>
      </c>
      <c r="E219" s="20">
        <v>29.99</v>
      </c>
      <c r="F219" s="20">
        <v>16.43</v>
      </c>
      <c r="G219" s="61">
        <v>0</v>
      </c>
      <c r="H219" s="61">
        <v>0</v>
      </c>
      <c r="I219" s="61">
        <v>0</v>
      </c>
      <c r="J219" s="61">
        <v>0</v>
      </c>
      <c r="K219" s="61">
        <v>0</v>
      </c>
      <c r="L219" s="61">
        <v>0</v>
      </c>
    </row>
    <row r="220" spans="1:12" ht="16.5" customHeight="1" x14ac:dyDescent="0.35">
      <c r="A220" s="3" t="s">
        <v>14</v>
      </c>
      <c r="B220" s="4">
        <v>117</v>
      </c>
      <c r="C220" s="5">
        <v>34034</v>
      </c>
      <c r="D220" s="3" t="s">
        <v>253</v>
      </c>
      <c r="E220" s="20">
        <v>19.989999999999998</v>
      </c>
      <c r="F220" s="20">
        <v>8.43</v>
      </c>
      <c r="G220" s="61">
        <v>0</v>
      </c>
      <c r="H220" s="61">
        <v>0</v>
      </c>
      <c r="I220" s="61">
        <v>0</v>
      </c>
      <c r="J220" s="61">
        <v>0</v>
      </c>
      <c r="K220" s="61">
        <v>0</v>
      </c>
      <c r="L220" s="61">
        <v>0</v>
      </c>
    </row>
    <row r="221" spans="1:12" ht="16.5" customHeight="1" x14ac:dyDescent="0.35">
      <c r="A221" s="3" t="s">
        <v>14</v>
      </c>
      <c r="B221" s="4">
        <v>106</v>
      </c>
      <c r="C221" s="5">
        <v>34028</v>
      </c>
      <c r="D221" s="3" t="s">
        <v>244</v>
      </c>
      <c r="E221" s="20">
        <v>26.99</v>
      </c>
      <c r="F221" s="20">
        <v>15.3</v>
      </c>
      <c r="G221" s="61">
        <v>0</v>
      </c>
      <c r="H221" s="61">
        <v>0</v>
      </c>
      <c r="I221" s="61">
        <v>0</v>
      </c>
      <c r="J221" s="61">
        <v>0</v>
      </c>
      <c r="K221" s="61">
        <v>0</v>
      </c>
      <c r="L221" s="61">
        <v>0</v>
      </c>
    </row>
    <row r="222" spans="1:12" ht="16.5" customHeight="1" x14ac:dyDescent="0.35">
      <c r="A222" s="3" t="s">
        <v>14</v>
      </c>
      <c r="B222" s="4">
        <v>106</v>
      </c>
      <c r="C222" s="5">
        <v>34027</v>
      </c>
      <c r="D222" s="3" t="s">
        <v>245</v>
      </c>
      <c r="E222" s="20">
        <v>27.99</v>
      </c>
      <c r="F222" s="20">
        <v>15.41</v>
      </c>
      <c r="G222" s="61">
        <v>0</v>
      </c>
      <c r="H222" s="61">
        <v>0</v>
      </c>
      <c r="I222" s="61">
        <v>0</v>
      </c>
      <c r="J222" s="61">
        <v>0</v>
      </c>
      <c r="K222" s="61">
        <v>24.339130434782607</v>
      </c>
      <c r="L222" s="61">
        <v>1</v>
      </c>
    </row>
    <row r="223" spans="1:12" ht="16.5" customHeight="1" x14ac:dyDescent="0.35">
      <c r="A223" s="3" t="s">
        <v>14</v>
      </c>
      <c r="B223" s="4">
        <v>118</v>
      </c>
      <c r="C223" s="5">
        <v>34025</v>
      </c>
      <c r="D223" s="3" t="s">
        <v>261</v>
      </c>
      <c r="E223" s="20">
        <v>120</v>
      </c>
      <c r="F223" s="20">
        <v>62.39</v>
      </c>
      <c r="G223" s="61">
        <v>0</v>
      </c>
      <c r="H223" s="61">
        <v>0</v>
      </c>
      <c r="I223" s="61">
        <v>0</v>
      </c>
      <c r="J223" s="61">
        <v>0</v>
      </c>
      <c r="K223" s="61">
        <v>0</v>
      </c>
      <c r="L223" s="61">
        <v>0</v>
      </c>
    </row>
    <row r="224" spans="1:12" ht="16.5" customHeight="1" x14ac:dyDescent="0.35">
      <c r="A224" s="3" t="s">
        <v>14</v>
      </c>
      <c r="B224" s="4">
        <v>102</v>
      </c>
      <c r="C224" s="5">
        <v>34021</v>
      </c>
      <c r="D224" s="3" t="s">
        <v>168</v>
      </c>
      <c r="E224" s="20">
        <v>32.99</v>
      </c>
      <c r="F224" s="20">
        <v>15.39</v>
      </c>
      <c r="G224" s="61">
        <v>0</v>
      </c>
      <c r="H224" s="61">
        <v>0</v>
      </c>
      <c r="I224" s="61">
        <v>0</v>
      </c>
      <c r="J224" s="61">
        <v>0</v>
      </c>
      <c r="K224" s="61">
        <v>0</v>
      </c>
      <c r="L224" s="61">
        <v>0</v>
      </c>
    </row>
    <row r="225" spans="1:12" ht="16.5" customHeight="1" x14ac:dyDescent="0.35">
      <c r="A225" s="3" t="s">
        <v>14</v>
      </c>
      <c r="B225" s="4">
        <v>101</v>
      </c>
      <c r="C225" s="5">
        <v>34019</v>
      </c>
      <c r="D225" s="3" t="s">
        <v>56</v>
      </c>
      <c r="E225" s="20">
        <v>5.99</v>
      </c>
      <c r="F225" s="20">
        <v>3.12</v>
      </c>
      <c r="G225" s="61">
        <v>0</v>
      </c>
      <c r="H225" s="61">
        <v>0</v>
      </c>
      <c r="I225" s="61">
        <v>0</v>
      </c>
      <c r="J225" s="61">
        <v>0</v>
      </c>
      <c r="K225" s="61">
        <v>0</v>
      </c>
      <c r="L225" s="61">
        <v>0</v>
      </c>
    </row>
    <row r="226" spans="1:12" ht="16.5" customHeight="1" x14ac:dyDescent="0.35">
      <c r="A226" s="3" t="s">
        <v>14</v>
      </c>
      <c r="B226" s="4">
        <v>101</v>
      </c>
      <c r="C226" s="5">
        <v>34011</v>
      </c>
      <c r="D226" s="3" t="s">
        <v>66</v>
      </c>
      <c r="E226" s="20">
        <v>19.989999999999998</v>
      </c>
      <c r="F226" s="20">
        <v>2.63</v>
      </c>
      <c r="G226" s="61">
        <v>0</v>
      </c>
      <c r="H226" s="61">
        <v>0</v>
      </c>
      <c r="I226" s="61">
        <v>0</v>
      </c>
      <c r="J226" s="61">
        <v>0</v>
      </c>
      <c r="K226" s="61">
        <v>17.382608695652173</v>
      </c>
      <c r="L226" s="61">
        <v>1</v>
      </c>
    </row>
    <row r="227" spans="1:12" ht="16.5" customHeight="1" x14ac:dyDescent="0.35">
      <c r="A227" s="3" t="s">
        <v>14</v>
      </c>
      <c r="B227" s="4">
        <v>101</v>
      </c>
      <c r="C227" s="5">
        <v>34006</v>
      </c>
      <c r="D227" s="3" t="s">
        <v>63</v>
      </c>
      <c r="E227" s="20">
        <v>10.99</v>
      </c>
      <c r="F227" s="20">
        <v>6.3</v>
      </c>
      <c r="G227" s="61">
        <v>0</v>
      </c>
      <c r="H227" s="61">
        <v>0</v>
      </c>
      <c r="I227" s="61">
        <v>0</v>
      </c>
      <c r="J227" s="61">
        <v>0</v>
      </c>
      <c r="K227" s="61">
        <v>0</v>
      </c>
      <c r="L227" s="61">
        <v>0</v>
      </c>
    </row>
    <row r="228" spans="1:12" ht="16.5" customHeight="1" x14ac:dyDescent="0.35">
      <c r="A228" s="3" t="s">
        <v>14</v>
      </c>
      <c r="B228" s="4">
        <v>119</v>
      </c>
      <c r="C228" s="5">
        <v>34003</v>
      </c>
      <c r="D228" s="3" t="s">
        <v>266</v>
      </c>
      <c r="E228" s="20">
        <v>120</v>
      </c>
      <c r="F228" s="20">
        <v>62.47</v>
      </c>
      <c r="G228" s="61">
        <v>0</v>
      </c>
      <c r="H228" s="61">
        <v>0</v>
      </c>
      <c r="I228" s="61">
        <v>0</v>
      </c>
      <c r="J228" s="61">
        <v>0</v>
      </c>
      <c r="K228" s="61">
        <v>0</v>
      </c>
      <c r="L228" s="61">
        <v>0</v>
      </c>
    </row>
    <row r="229" spans="1:12" ht="16.5" customHeight="1" x14ac:dyDescent="0.35">
      <c r="A229" s="3" t="s">
        <v>107</v>
      </c>
      <c r="B229" s="4">
        <v>1821</v>
      </c>
      <c r="C229" s="5">
        <v>33999</v>
      </c>
      <c r="D229" s="3" t="s">
        <v>288</v>
      </c>
      <c r="E229" s="20">
        <v>19.989999999999998</v>
      </c>
      <c r="F229" s="20">
        <v>17.149999999999999</v>
      </c>
      <c r="G229" s="61">
        <v>0</v>
      </c>
      <c r="H229" s="61">
        <v>0</v>
      </c>
      <c r="I229" s="61">
        <v>0</v>
      </c>
      <c r="J229" s="61">
        <v>0</v>
      </c>
      <c r="K229" s="61">
        <v>0</v>
      </c>
      <c r="L229" s="61">
        <v>0</v>
      </c>
    </row>
    <row r="230" spans="1:12" ht="16.5" customHeight="1" x14ac:dyDescent="0.35">
      <c r="A230" s="3" t="s">
        <v>14</v>
      </c>
      <c r="B230" s="4">
        <v>118</v>
      </c>
      <c r="C230" s="5">
        <v>33991</v>
      </c>
      <c r="D230" s="3" t="s">
        <v>264</v>
      </c>
      <c r="E230" s="20">
        <v>100</v>
      </c>
      <c r="F230" s="20">
        <v>51.82</v>
      </c>
      <c r="G230" s="61">
        <v>0</v>
      </c>
      <c r="H230" s="61">
        <v>0</v>
      </c>
      <c r="I230" s="61">
        <v>0</v>
      </c>
      <c r="J230" s="61">
        <v>0</v>
      </c>
      <c r="K230" s="61">
        <v>0</v>
      </c>
      <c r="L230" s="61">
        <v>0</v>
      </c>
    </row>
    <row r="231" spans="1:12" ht="16.5" customHeight="1" x14ac:dyDescent="0.35">
      <c r="A231" s="3" t="s">
        <v>14</v>
      </c>
      <c r="B231" s="4">
        <v>103</v>
      </c>
      <c r="C231" s="5">
        <v>33990</v>
      </c>
      <c r="D231" s="3" t="s">
        <v>207</v>
      </c>
      <c r="E231" s="20">
        <v>21.99</v>
      </c>
      <c r="F231" s="20">
        <v>11.11</v>
      </c>
      <c r="G231" s="61">
        <v>0</v>
      </c>
      <c r="H231" s="61">
        <v>0</v>
      </c>
      <c r="I231" s="61">
        <v>0</v>
      </c>
      <c r="J231" s="61">
        <v>0</v>
      </c>
      <c r="K231" s="61">
        <v>0</v>
      </c>
      <c r="L231" s="61">
        <v>0</v>
      </c>
    </row>
    <row r="232" spans="1:12" ht="16.5" customHeight="1" x14ac:dyDescent="0.35">
      <c r="A232" s="3" t="s">
        <v>14</v>
      </c>
      <c r="B232" s="4">
        <v>103</v>
      </c>
      <c r="C232" s="5">
        <v>33989</v>
      </c>
      <c r="D232" s="3" t="s">
        <v>212</v>
      </c>
      <c r="E232" s="20">
        <v>30</v>
      </c>
      <c r="F232" s="20">
        <v>20.81</v>
      </c>
      <c r="G232" s="61">
        <v>0</v>
      </c>
      <c r="H232" s="61">
        <v>0</v>
      </c>
      <c r="I232" s="61">
        <v>0</v>
      </c>
      <c r="J232" s="61">
        <v>0</v>
      </c>
      <c r="K232" s="61">
        <v>0</v>
      </c>
      <c r="L232" s="61">
        <v>0</v>
      </c>
    </row>
    <row r="233" spans="1:12" ht="16.5" customHeight="1" x14ac:dyDescent="0.35">
      <c r="A233" s="3" t="s">
        <v>14</v>
      </c>
      <c r="B233" s="4">
        <v>103</v>
      </c>
      <c r="C233" s="5">
        <v>33988</v>
      </c>
      <c r="D233" s="3" t="s">
        <v>217</v>
      </c>
      <c r="E233" s="20">
        <v>15</v>
      </c>
      <c r="F233" s="20">
        <v>9.1300000000000008</v>
      </c>
      <c r="G233" s="61">
        <v>0</v>
      </c>
      <c r="H233" s="61">
        <v>0</v>
      </c>
      <c r="I233" s="61">
        <v>0</v>
      </c>
      <c r="J233" s="61">
        <v>0</v>
      </c>
      <c r="K233" s="61">
        <v>0</v>
      </c>
      <c r="L233" s="61">
        <v>0</v>
      </c>
    </row>
    <row r="234" spans="1:12" ht="16.5" customHeight="1" x14ac:dyDescent="0.35">
      <c r="A234" s="3" t="s">
        <v>14</v>
      </c>
      <c r="B234" s="4">
        <v>103</v>
      </c>
      <c r="C234" s="5">
        <v>33051</v>
      </c>
      <c r="D234" s="3" t="s">
        <v>221</v>
      </c>
      <c r="E234" s="20">
        <v>10</v>
      </c>
      <c r="F234" s="20">
        <v>5.04</v>
      </c>
      <c r="G234" s="61">
        <v>0</v>
      </c>
      <c r="H234" s="61">
        <v>0</v>
      </c>
      <c r="I234" s="61">
        <v>0</v>
      </c>
      <c r="J234" s="61">
        <v>0</v>
      </c>
      <c r="K234" s="61">
        <v>0</v>
      </c>
      <c r="L234" s="61">
        <v>0</v>
      </c>
    </row>
    <row r="235" spans="1:12" ht="16.5" customHeight="1" x14ac:dyDescent="0.35">
      <c r="A235" s="3" t="s">
        <v>14</v>
      </c>
      <c r="B235" s="4">
        <v>103</v>
      </c>
      <c r="C235" s="5">
        <v>33050</v>
      </c>
      <c r="D235" s="3" t="s">
        <v>227</v>
      </c>
      <c r="E235" s="20">
        <v>10</v>
      </c>
      <c r="F235" s="20">
        <v>4.5599999999999996</v>
      </c>
      <c r="G235" s="61">
        <v>0</v>
      </c>
      <c r="H235" s="61">
        <v>0</v>
      </c>
      <c r="I235" s="61">
        <v>0</v>
      </c>
      <c r="J235" s="61">
        <v>0</v>
      </c>
      <c r="K235" s="61">
        <v>0</v>
      </c>
      <c r="L235" s="61">
        <v>0</v>
      </c>
    </row>
    <row r="236" spans="1:12" ht="16.5" customHeight="1" x14ac:dyDescent="0.35">
      <c r="A236" s="3" t="s">
        <v>14</v>
      </c>
      <c r="B236" s="4">
        <v>103</v>
      </c>
      <c r="C236" s="5">
        <v>33049</v>
      </c>
      <c r="D236" s="3" t="s">
        <v>226</v>
      </c>
      <c r="E236" s="20">
        <v>10</v>
      </c>
      <c r="F236" s="20">
        <v>2.3199999999999998</v>
      </c>
      <c r="G236" s="61">
        <v>0</v>
      </c>
      <c r="H236" s="61">
        <v>0</v>
      </c>
      <c r="I236" s="61">
        <v>0</v>
      </c>
      <c r="J236" s="61">
        <v>0</v>
      </c>
      <c r="K236" s="61">
        <v>0</v>
      </c>
      <c r="L236" s="61">
        <v>0</v>
      </c>
    </row>
    <row r="237" spans="1:12" ht="16.5" customHeight="1" x14ac:dyDescent="0.35">
      <c r="A237" s="3" t="s">
        <v>14</v>
      </c>
      <c r="B237" s="4">
        <v>103</v>
      </c>
      <c r="C237" s="5">
        <v>33048</v>
      </c>
      <c r="D237" s="3" t="s">
        <v>220</v>
      </c>
      <c r="E237" s="20">
        <v>15</v>
      </c>
      <c r="F237" s="20">
        <v>7.77</v>
      </c>
      <c r="G237" s="61">
        <v>0</v>
      </c>
      <c r="H237" s="61">
        <v>0</v>
      </c>
      <c r="I237" s="61">
        <v>0</v>
      </c>
      <c r="J237" s="61">
        <v>0</v>
      </c>
      <c r="K237" s="61">
        <v>0</v>
      </c>
      <c r="L237" s="61">
        <v>0</v>
      </c>
    </row>
    <row r="238" spans="1:12" ht="16.5" customHeight="1" x14ac:dyDescent="0.35">
      <c r="A238" s="3" t="s">
        <v>14</v>
      </c>
      <c r="B238" s="4">
        <v>103</v>
      </c>
      <c r="C238" s="5">
        <v>33047</v>
      </c>
      <c r="D238" s="3" t="s">
        <v>216</v>
      </c>
      <c r="E238" s="20">
        <v>15</v>
      </c>
      <c r="F238" s="20">
        <v>6.99</v>
      </c>
      <c r="G238" s="61">
        <v>0</v>
      </c>
      <c r="H238" s="61">
        <v>0</v>
      </c>
      <c r="I238" s="61">
        <v>0</v>
      </c>
      <c r="J238" s="61">
        <v>0</v>
      </c>
      <c r="K238" s="61">
        <v>0</v>
      </c>
      <c r="L238" s="61">
        <v>0</v>
      </c>
    </row>
    <row r="239" spans="1:12" ht="16.5" customHeight="1" x14ac:dyDescent="0.35">
      <c r="A239" s="3" t="s">
        <v>14</v>
      </c>
      <c r="B239" s="4">
        <v>103</v>
      </c>
      <c r="C239" s="5">
        <v>33046</v>
      </c>
      <c r="D239" s="3" t="s">
        <v>225</v>
      </c>
      <c r="E239" s="20">
        <v>10</v>
      </c>
      <c r="F239" s="20">
        <v>3.39</v>
      </c>
      <c r="G239" s="61">
        <v>0</v>
      </c>
      <c r="H239" s="61">
        <v>0</v>
      </c>
      <c r="I239" s="61">
        <v>0</v>
      </c>
      <c r="J239" s="61">
        <v>0</v>
      </c>
      <c r="K239" s="61">
        <v>0</v>
      </c>
      <c r="L239" s="61">
        <v>0</v>
      </c>
    </row>
    <row r="240" spans="1:12" ht="16.5" customHeight="1" x14ac:dyDescent="0.35">
      <c r="A240" s="3" t="s">
        <v>14</v>
      </c>
      <c r="B240" s="4">
        <v>103</v>
      </c>
      <c r="C240" s="5">
        <v>33045</v>
      </c>
      <c r="D240" s="3" t="s">
        <v>224</v>
      </c>
      <c r="E240" s="20">
        <v>10</v>
      </c>
      <c r="F240" s="20">
        <v>2.5</v>
      </c>
      <c r="G240" s="61">
        <v>0</v>
      </c>
      <c r="H240" s="61">
        <v>0</v>
      </c>
      <c r="I240" s="61">
        <v>0</v>
      </c>
      <c r="J240" s="61">
        <v>0</v>
      </c>
      <c r="K240" s="61">
        <v>0</v>
      </c>
      <c r="L240" s="61">
        <v>0</v>
      </c>
    </row>
    <row r="241" spans="1:12" ht="16.5" customHeight="1" x14ac:dyDescent="0.35">
      <c r="A241" s="3" t="s">
        <v>14</v>
      </c>
      <c r="B241" s="4">
        <v>103</v>
      </c>
      <c r="C241" s="5">
        <v>33044</v>
      </c>
      <c r="D241" s="3" t="s">
        <v>219</v>
      </c>
      <c r="E241" s="20">
        <v>15</v>
      </c>
      <c r="F241" s="20">
        <v>10.23</v>
      </c>
      <c r="G241" s="61">
        <v>0</v>
      </c>
      <c r="H241" s="61">
        <v>0</v>
      </c>
      <c r="I241" s="61">
        <v>0</v>
      </c>
      <c r="J241" s="61">
        <v>0</v>
      </c>
      <c r="K241" s="61">
        <v>0</v>
      </c>
      <c r="L241" s="61">
        <v>0</v>
      </c>
    </row>
    <row r="242" spans="1:12" ht="16.5" customHeight="1" x14ac:dyDescent="0.35">
      <c r="A242" s="3" t="s">
        <v>14</v>
      </c>
      <c r="B242" s="4">
        <v>103</v>
      </c>
      <c r="C242" s="5">
        <v>33043</v>
      </c>
      <c r="D242" s="3" t="s">
        <v>223</v>
      </c>
      <c r="E242" s="20">
        <v>15</v>
      </c>
      <c r="F242" s="20">
        <v>4.26</v>
      </c>
      <c r="G242" s="61">
        <v>0</v>
      </c>
      <c r="H242" s="61">
        <v>0</v>
      </c>
      <c r="I242" s="61">
        <v>0</v>
      </c>
      <c r="J242" s="61">
        <v>0</v>
      </c>
      <c r="K242" s="61">
        <v>0</v>
      </c>
      <c r="L242" s="61">
        <v>0</v>
      </c>
    </row>
    <row r="243" spans="1:12" ht="16.5" customHeight="1" x14ac:dyDescent="0.35">
      <c r="A243" s="3" t="s">
        <v>14</v>
      </c>
      <c r="B243" s="4">
        <v>103</v>
      </c>
      <c r="C243" s="5">
        <v>33042</v>
      </c>
      <c r="D243" s="3" t="s">
        <v>214</v>
      </c>
      <c r="E243" s="20">
        <v>20</v>
      </c>
      <c r="F243" s="20">
        <v>10.23</v>
      </c>
      <c r="G243" s="61">
        <v>0</v>
      </c>
      <c r="H243" s="61">
        <v>0</v>
      </c>
      <c r="I243" s="61">
        <v>0</v>
      </c>
      <c r="J243" s="61">
        <v>0</v>
      </c>
      <c r="K243" s="61">
        <v>0</v>
      </c>
      <c r="L243" s="61">
        <v>0</v>
      </c>
    </row>
    <row r="244" spans="1:12" ht="16.5" customHeight="1" x14ac:dyDescent="0.35">
      <c r="A244" s="3" t="s">
        <v>14</v>
      </c>
      <c r="B244" s="4">
        <v>103</v>
      </c>
      <c r="C244" s="5">
        <v>33041</v>
      </c>
      <c r="D244" s="3" t="s">
        <v>222</v>
      </c>
      <c r="E244" s="20">
        <v>10</v>
      </c>
      <c r="F244" s="20">
        <v>1.5</v>
      </c>
      <c r="G244" s="61">
        <v>0</v>
      </c>
      <c r="H244" s="61">
        <v>0</v>
      </c>
      <c r="I244" s="61">
        <v>0</v>
      </c>
      <c r="J244" s="61">
        <v>0</v>
      </c>
      <c r="K244" s="61">
        <v>0</v>
      </c>
      <c r="L244" s="61">
        <v>0</v>
      </c>
    </row>
    <row r="245" spans="1:12" ht="16.5" customHeight="1" x14ac:dyDescent="0.35">
      <c r="A245" s="3" t="s">
        <v>14</v>
      </c>
      <c r="B245" s="4">
        <v>103</v>
      </c>
      <c r="C245" s="5">
        <v>33040</v>
      </c>
      <c r="D245" s="3" t="s">
        <v>210</v>
      </c>
      <c r="E245" s="20">
        <v>30</v>
      </c>
      <c r="F245" s="20">
        <v>18.260000000000002</v>
      </c>
      <c r="G245" s="61">
        <v>0</v>
      </c>
      <c r="H245" s="61">
        <v>0</v>
      </c>
      <c r="I245" s="61">
        <v>0</v>
      </c>
      <c r="J245" s="61">
        <v>0</v>
      </c>
      <c r="K245" s="61">
        <v>0</v>
      </c>
      <c r="L245" s="61">
        <v>0</v>
      </c>
    </row>
    <row r="246" spans="1:12" ht="16.5" customHeight="1" x14ac:dyDescent="0.35">
      <c r="A246" s="3" t="s">
        <v>14</v>
      </c>
      <c r="B246" s="4">
        <v>119</v>
      </c>
      <c r="C246" s="5">
        <v>33038</v>
      </c>
      <c r="D246" s="3" t="s">
        <v>272</v>
      </c>
      <c r="E246" s="20">
        <v>35.99</v>
      </c>
      <c r="F246" s="20">
        <v>18</v>
      </c>
      <c r="G246" s="61">
        <v>0</v>
      </c>
      <c r="H246" s="61">
        <v>0</v>
      </c>
      <c r="I246" s="61">
        <v>0</v>
      </c>
      <c r="J246" s="61">
        <v>0</v>
      </c>
      <c r="K246" s="61">
        <v>0</v>
      </c>
      <c r="L246" s="61">
        <v>0</v>
      </c>
    </row>
    <row r="247" spans="1:12" ht="16.5" customHeight="1" x14ac:dyDescent="0.35">
      <c r="A247" s="3" t="s">
        <v>14</v>
      </c>
      <c r="B247" s="4">
        <v>119</v>
      </c>
      <c r="C247" s="5">
        <v>33037</v>
      </c>
      <c r="D247" s="3" t="s">
        <v>274</v>
      </c>
      <c r="E247" s="20">
        <v>59.99</v>
      </c>
      <c r="F247" s="20">
        <v>23.44</v>
      </c>
      <c r="G247" s="61">
        <v>0</v>
      </c>
      <c r="H247" s="61">
        <v>0</v>
      </c>
      <c r="I247" s="61">
        <v>0</v>
      </c>
      <c r="J247" s="61">
        <v>0</v>
      </c>
      <c r="K247" s="61">
        <v>0</v>
      </c>
      <c r="L247" s="61">
        <v>0</v>
      </c>
    </row>
    <row r="248" spans="1:12" ht="16.5" customHeight="1" x14ac:dyDescent="0.35">
      <c r="A248" s="3" t="s">
        <v>14</v>
      </c>
      <c r="B248" s="4">
        <v>102</v>
      </c>
      <c r="C248" s="5">
        <v>33036</v>
      </c>
      <c r="D248" s="3" t="s">
        <v>119</v>
      </c>
      <c r="E248" s="20">
        <v>400</v>
      </c>
      <c r="F248" s="20">
        <v>204.01</v>
      </c>
      <c r="G248" s="61">
        <v>0</v>
      </c>
      <c r="H248" s="61">
        <v>0</v>
      </c>
      <c r="I248" s="61">
        <v>0</v>
      </c>
      <c r="J248" s="61">
        <v>0</v>
      </c>
      <c r="K248" s="61">
        <v>0</v>
      </c>
      <c r="L248" s="61">
        <v>0</v>
      </c>
    </row>
    <row r="249" spans="1:12" ht="16.5" customHeight="1" x14ac:dyDescent="0.35">
      <c r="A249" s="70" t="s">
        <v>35</v>
      </c>
      <c r="B249" s="71">
        <v>102</v>
      </c>
      <c r="C249" s="72">
        <v>33032</v>
      </c>
      <c r="D249" s="70" t="s">
        <v>160</v>
      </c>
      <c r="E249" s="73">
        <v>28.99</v>
      </c>
      <c r="F249" s="73">
        <v>14.612666666666666</v>
      </c>
      <c r="G249" s="73">
        <v>0</v>
      </c>
      <c r="H249" s="73">
        <v>0</v>
      </c>
      <c r="I249" s="73">
        <v>0</v>
      </c>
      <c r="J249" s="73">
        <v>0</v>
      </c>
      <c r="K249" s="73">
        <v>25.208695652173912</v>
      </c>
      <c r="L249" s="73">
        <v>1</v>
      </c>
    </row>
    <row r="250" spans="1:12" ht="16.5" customHeight="1" x14ac:dyDescent="0.35">
      <c r="A250" s="3" t="s">
        <v>14</v>
      </c>
      <c r="B250" s="4">
        <v>101</v>
      </c>
      <c r="C250" s="5">
        <v>33027</v>
      </c>
      <c r="D250" s="3" t="s">
        <v>85</v>
      </c>
      <c r="E250" s="20">
        <v>19.989999999999998</v>
      </c>
      <c r="F250" s="20">
        <v>7.94</v>
      </c>
      <c r="G250" s="61">
        <v>0</v>
      </c>
      <c r="H250" s="61">
        <v>0</v>
      </c>
      <c r="I250" s="61">
        <v>0</v>
      </c>
      <c r="J250" s="61">
        <v>0</v>
      </c>
      <c r="K250" s="61">
        <v>0</v>
      </c>
      <c r="L250" s="61">
        <v>0</v>
      </c>
    </row>
    <row r="251" spans="1:12" ht="16.5" customHeight="1" x14ac:dyDescent="0.35">
      <c r="A251" s="3" t="s">
        <v>14</v>
      </c>
      <c r="B251" s="4">
        <v>102</v>
      </c>
      <c r="C251" s="5">
        <v>33025</v>
      </c>
      <c r="D251" s="3" t="s">
        <v>121</v>
      </c>
      <c r="E251" s="20">
        <v>5.99</v>
      </c>
      <c r="F251" s="20">
        <v>2.95</v>
      </c>
      <c r="G251" s="61">
        <v>0</v>
      </c>
      <c r="H251" s="61">
        <v>0</v>
      </c>
      <c r="I251" s="61">
        <v>0</v>
      </c>
      <c r="J251" s="61">
        <v>0</v>
      </c>
      <c r="K251" s="61">
        <v>0</v>
      </c>
      <c r="L251" s="61">
        <v>0</v>
      </c>
    </row>
    <row r="252" spans="1:12" ht="16.5" customHeight="1" x14ac:dyDescent="0.35">
      <c r="A252" s="3" t="s">
        <v>14</v>
      </c>
      <c r="B252" s="4">
        <v>102</v>
      </c>
      <c r="C252" s="5">
        <v>33023</v>
      </c>
      <c r="D252" s="3" t="s">
        <v>113</v>
      </c>
      <c r="E252" s="20">
        <v>19.989999999999998</v>
      </c>
      <c r="F252" s="20">
        <v>10.23</v>
      </c>
      <c r="G252" s="61">
        <v>0</v>
      </c>
      <c r="H252" s="61">
        <v>0</v>
      </c>
      <c r="I252" s="61">
        <v>0</v>
      </c>
      <c r="J252" s="61">
        <v>0</v>
      </c>
      <c r="K252" s="61">
        <v>0</v>
      </c>
      <c r="L252" s="61">
        <v>0</v>
      </c>
    </row>
    <row r="253" spans="1:12" ht="16.5" customHeight="1" x14ac:dyDescent="0.35">
      <c r="A253" s="3" t="s">
        <v>14</v>
      </c>
      <c r="B253" s="4">
        <v>118</v>
      </c>
      <c r="C253" s="5">
        <v>33021</v>
      </c>
      <c r="D253" s="3" t="s">
        <v>263</v>
      </c>
      <c r="E253" s="20">
        <v>130</v>
      </c>
      <c r="F253" s="20">
        <v>64.900000000000006</v>
      </c>
      <c r="G253" s="61">
        <v>0</v>
      </c>
      <c r="H253" s="61">
        <v>0</v>
      </c>
      <c r="I253" s="61">
        <v>0</v>
      </c>
      <c r="J253" s="61">
        <v>0</v>
      </c>
      <c r="K253" s="61">
        <v>0</v>
      </c>
      <c r="L253" s="61">
        <v>0</v>
      </c>
    </row>
    <row r="254" spans="1:12" ht="16.5" customHeight="1" x14ac:dyDescent="0.35">
      <c r="A254" s="3" t="s">
        <v>14</v>
      </c>
      <c r="B254" s="4">
        <v>102</v>
      </c>
      <c r="C254" s="5">
        <v>33019</v>
      </c>
      <c r="D254" s="3" t="s">
        <v>112</v>
      </c>
      <c r="E254" s="20">
        <v>14.99</v>
      </c>
      <c r="F254" s="20">
        <v>5.5</v>
      </c>
      <c r="G254" s="61">
        <v>0</v>
      </c>
      <c r="H254" s="61">
        <v>0</v>
      </c>
      <c r="I254" s="61">
        <v>26.069565217391304</v>
      </c>
      <c r="J254" s="61">
        <v>2</v>
      </c>
      <c r="K254" s="61">
        <v>13.034782608695652</v>
      </c>
      <c r="L254" s="61">
        <v>1</v>
      </c>
    </row>
    <row r="255" spans="1:12" ht="16.5" customHeight="1" x14ac:dyDescent="0.35">
      <c r="A255" s="3" t="s">
        <v>14</v>
      </c>
      <c r="B255" s="4">
        <v>119</v>
      </c>
      <c r="C255" s="5">
        <v>33017</v>
      </c>
      <c r="D255" s="3" t="s">
        <v>277</v>
      </c>
      <c r="E255" s="20">
        <v>69.989999999999995</v>
      </c>
      <c r="F255" s="20">
        <v>32.450000000000003</v>
      </c>
      <c r="G255" s="61">
        <v>0</v>
      </c>
      <c r="H255" s="61">
        <v>0</v>
      </c>
      <c r="I255" s="61">
        <v>0</v>
      </c>
      <c r="J255" s="61">
        <v>0</v>
      </c>
      <c r="K255" s="61">
        <v>0</v>
      </c>
      <c r="L255" s="61">
        <v>0</v>
      </c>
    </row>
    <row r="256" spans="1:12" ht="16.5" customHeight="1" x14ac:dyDescent="0.35">
      <c r="A256" s="3" t="s">
        <v>14</v>
      </c>
      <c r="B256" s="4">
        <v>102</v>
      </c>
      <c r="C256" s="5">
        <v>33013</v>
      </c>
      <c r="D256" s="3" t="s">
        <v>148</v>
      </c>
      <c r="E256" s="20">
        <v>5.99</v>
      </c>
      <c r="F256" s="20">
        <v>3.1</v>
      </c>
      <c r="G256" s="61">
        <v>0</v>
      </c>
      <c r="H256" s="61">
        <v>0</v>
      </c>
      <c r="I256" s="61">
        <v>15.626086956521739</v>
      </c>
      <c r="J256" s="61">
        <v>3</v>
      </c>
      <c r="K256" s="61">
        <v>0</v>
      </c>
      <c r="L256" s="61">
        <v>0</v>
      </c>
    </row>
    <row r="257" spans="1:12" ht="16.5" customHeight="1" x14ac:dyDescent="0.35">
      <c r="A257" s="3" t="s">
        <v>14</v>
      </c>
      <c r="B257" s="4">
        <v>102</v>
      </c>
      <c r="C257" s="5">
        <v>33012</v>
      </c>
      <c r="D257" s="3" t="s">
        <v>149</v>
      </c>
      <c r="E257" s="20">
        <v>47.99</v>
      </c>
      <c r="F257" s="20">
        <v>27.08</v>
      </c>
      <c r="G257" s="61">
        <v>0</v>
      </c>
      <c r="H257" s="61">
        <v>0</v>
      </c>
      <c r="I257" s="61">
        <v>0</v>
      </c>
      <c r="J257" s="61">
        <v>0</v>
      </c>
      <c r="K257" s="61">
        <v>0</v>
      </c>
      <c r="L257" s="61">
        <v>0</v>
      </c>
    </row>
    <row r="258" spans="1:12" ht="16.5" customHeight="1" x14ac:dyDescent="0.35">
      <c r="A258" s="3" t="s">
        <v>14</v>
      </c>
      <c r="B258" s="4">
        <v>101</v>
      </c>
      <c r="C258" s="5">
        <v>32871</v>
      </c>
      <c r="D258" s="3" t="s">
        <v>73</v>
      </c>
      <c r="E258" s="20">
        <v>8.99</v>
      </c>
      <c r="F258" s="20">
        <v>5</v>
      </c>
      <c r="G258" s="61">
        <v>0</v>
      </c>
      <c r="H258" s="61">
        <v>0</v>
      </c>
      <c r="I258" s="61">
        <v>0</v>
      </c>
      <c r="J258" s="61">
        <v>0</v>
      </c>
      <c r="K258" s="61">
        <v>0</v>
      </c>
      <c r="L258" s="61">
        <v>0</v>
      </c>
    </row>
    <row r="259" spans="1:12" ht="16.5" customHeight="1" x14ac:dyDescent="0.35">
      <c r="A259" s="3" t="s">
        <v>14</v>
      </c>
      <c r="B259" s="4">
        <v>102</v>
      </c>
      <c r="C259" s="5">
        <v>32869</v>
      </c>
      <c r="D259" s="3" t="s">
        <v>139</v>
      </c>
      <c r="E259" s="20">
        <v>3.5</v>
      </c>
      <c r="F259" s="20">
        <v>2.12</v>
      </c>
      <c r="G259" s="61">
        <v>0</v>
      </c>
      <c r="H259" s="61">
        <v>0</v>
      </c>
      <c r="I259" s="61">
        <v>0</v>
      </c>
      <c r="J259" s="61">
        <v>0</v>
      </c>
      <c r="K259" s="61">
        <v>0</v>
      </c>
      <c r="L259" s="61">
        <v>0</v>
      </c>
    </row>
    <row r="260" spans="1:12" ht="16.5" customHeight="1" x14ac:dyDescent="0.35">
      <c r="A260" s="3" t="s">
        <v>14</v>
      </c>
      <c r="B260" s="4">
        <v>102</v>
      </c>
      <c r="C260" s="5">
        <v>32868</v>
      </c>
      <c r="D260" s="3" t="s">
        <v>175</v>
      </c>
      <c r="E260" s="20">
        <v>5.99</v>
      </c>
      <c r="F260" s="20">
        <v>3.31</v>
      </c>
      <c r="G260" s="61">
        <v>0</v>
      </c>
      <c r="H260" s="61">
        <v>0</v>
      </c>
      <c r="I260" s="61">
        <v>0</v>
      </c>
      <c r="J260" s="61">
        <v>0</v>
      </c>
      <c r="K260" s="61">
        <v>0</v>
      </c>
      <c r="L260" s="61">
        <v>0</v>
      </c>
    </row>
    <row r="261" spans="1:12" ht="16.5" customHeight="1" x14ac:dyDescent="0.35">
      <c r="A261" s="3" t="s">
        <v>107</v>
      </c>
      <c r="B261" s="4">
        <v>102</v>
      </c>
      <c r="C261" s="5">
        <v>32864</v>
      </c>
      <c r="D261" s="3" t="s">
        <v>108</v>
      </c>
      <c r="E261" s="20">
        <v>9.99</v>
      </c>
      <c r="F261" s="20">
        <v>5</v>
      </c>
      <c r="G261" s="61">
        <v>0</v>
      </c>
      <c r="H261" s="61">
        <v>0</v>
      </c>
      <c r="I261" s="61">
        <v>34.747826086956522</v>
      </c>
      <c r="J261" s="61">
        <v>4</v>
      </c>
      <c r="K261" s="61">
        <v>43.434782608695656</v>
      </c>
      <c r="L261" s="61">
        <v>5</v>
      </c>
    </row>
    <row r="262" spans="1:12" ht="16.5" customHeight="1" x14ac:dyDescent="0.35">
      <c r="A262" s="3" t="s">
        <v>14</v>
      </c>
      <c r="B262" s="4">
        <v>101</v>
      </c>
      <c r="C262" s="5">
        <v>32862</v>
      </c>
      <c r="D262" s="3" t="s">
        <v>68</v>
      </c>
      <c r="E262" s="20">
        <v>9.99</v>
      </c>
      <c r="F262" s="20">
        <v>5.14</v>
      </c>
      <c r="G262" s="61">
        <v>0</v>
      </c>
      <c r="H262" s="61">
        <v>0</v>
      </c>
      <c r="I262" s="61">
        <v>0</v>
      </c>
      <c r="J262" s="61">
        <v>0</v>
      </c>
      <c r="K262" s="61">
        <v>0</v>
      </c>
      <c r="L262" s="61">
        <v>0</v>
      </c>
    </row>
    <row r="263" spans="1:12" ht="16.5" customHeight="1" x14ac:dyDescent="0.35">
      <c r="A263" s="3" t="s">
        <v>14</v>
      </c>
      <c r="B263" s="4">
        <v>102</v>
      </c>
      <c r="C263" s="5">
        <v>32155</v>
      </c>
      <c r="D263" s="3" t="s">
        <v>171</v>
      </c>
      <c r="E263" s="20">
        <v>11.99</v>
      </c>
      <c r="F263" s="20">
        <v>5.87</v>
      </c>
      <c r="G263" s="61">
        <v>0</v>
      </c>
      <c r="H263" s="61">
        <v>0</v>
      </c>
      <c r="I263" s="61">
        <v>0</v>
      </c>
      <c r="J263" s="61">
        <v>0</v>
      </c>
      <c r="K263" s="61">
        <v>0</v>
      </c>
      <c r="L263" s="61">
        <v>0</v>
      </c>
    </row>
    <row r="264" spans="1:12" ht="16.5" customHeight="1" x14ac:dyDescent="0.35">
      <c r="A264" s="3" t="s">
        <v>14</v>
      </c>
      <c r="B264" s="4">
        <v>102</v>
      </c>
      <c r="C264" s="5">
        <v>32151</v>
      </c>
      <c r="D264" s="3" t="s">
        <v>164</v>
      </c>
      <c r="E264" s="20">
        <v>12.99</v>
      </c>
      <c r="F264" s="20">
        <v>6.88</v>
      </c>
      <c r="G264" s="61">
        <v>0</v>
      </c>
      <c r="H264" s="61">
        <v>0</v>
      </c>
      <c r="I264" s="61">
        <v>0</v>
      </c>
      <c r="J264" s="61">
        <v>0</v>
      </c>
      <c r="K264" s="61">
        <v>0</v>
      </c>
      <c r="L264" s="61">
        <v>0</v>
      </c>
    </row>
    <row r="265" spans="1:12" ht="16.5" customHeight="1" x14ac:dyDescent="0.35">
      <c r="A265" s="3" t="s">
        <v>14</v>
      </c>
      <c r="B265" s="4">
        <v>102</v>
      </c>
      <c r="C265" s="5">
        <v>32150</v>
      </c>
      <c r="D265" s="3" t="s">
        <v>128</v>
      </c>
      <c r="E265" s="20">
        <v>8.99</v>
      </c>
      <c r="F265" s="20">
        <v>4.53</v>
      </c>
      <c r="G265" s="61">
        <v>0</v>
      </c>
      <c r="H265" s="61">
        <v>0</v>
      </c>
      <c r="I265" s="61">
        <v>0</v>
      </c>
      <c r="J265" s="61">
        <v>0</v>
      </c>
      <c r="K265" s="61">
        <v>0</v>
      </c>
      <c r="L265" s="61">
        <v>0</v>
      </c>
    </row>
    <row r="266" spans="1:12" ht="16.5" customHeight="1" x14ac:dyDescent="0.35">
      <c r="A266" s="3" t="s">
        <v>14</v>
      </c>
      <c r="B266" s="4">
        <v>102</v>
      </c>
      <c r="C266" s="5">
        <v>32149</v>
      </c>
      <c r="D266" s="3" t="s">
        <v>118</v>
      </c>
      <c r="E266" s="20">
        <v>24.99</v>
      </c>
      <c r="F266" s="20">
        <v>13</v>
      </c>
      <c r="G266" s="61">
        <v>0</v>
      </c>
      <c r="H266" s="61">
        <v>0</v>
      </c>
      <c r="I266" s="61">
        <v>0</v>
      </c>
      <c r="J266" s="61">
        <v>0</v>
      </c>
      <c r="K266" s="61">
        <v>0</v>
      </c>
      <c r="L266" s="61">
        <v>0</v>
      </c>
    </row>
    <row r="267" spans="1:12" ht="16.5" customHeight="1" x14ac:dyDescent="0.35">
      <c r="A267" s="3" t="s">
        <v>14</v>
      </c>
      <c r="B267" s="4">
        <v>102</v>
      </c>
      <c r="C267" s="5">
        <v>32131</v>
      </c>
      <c r="D267" s="3" t="s">
        <v>94</v>
      </c>
      <c r="E267" s="20">
        <v>18.989999999999998</v>
      </c>
      <c r="F267" s="20">
        <v>9.1300000000000008</v>
      </c>
      <c r="G267" s="61">
        <v>0</v>
      </c>
      <c r="H267" s="61">
        <v>0</v>
      </c>
      <c r="I267" s="61">
        <v>0</v>
      </c>
      <c r="J267" s="61">
        <v>0</v>
      </c>
      <c r="K267" s="61">
        <v>115.5913043478261</v>
      </c>
      <c r="L267" s="61">
        <v>7</v>
      </c>
    </row>
    <row r="268" spans="1:12" ht="16.5" customHeight="1" x14ac:dyDescent="0.35">
      <c r="A268" s="3" t="s">
        <v>14</v>
      </c>
      <c r="B268" s="4">
        <v>119</v>
      </c>
      <c r="C268" s="5">
        <v>32130</v>
      </c>
      <c r="D268" s="3" t="s">
        <v>273</v>
      </c>
      <c r="E268" s="20">
        <v>140</v>
      </c>
      <c r="F268" s="20">
        <v>92.6</v>
      </c>
      <c r="G268" s="61">
        <v>0</v>
      </c>
      <c r="H268" s="61">
        <v>0</v>
      </c>
      <c r="I268" s="61">
        <v>0</v>
      </c>
      <c r="J268" s="61">
        <v>0</v>
      </c>
      <c r="K268" s="61">
        <v>0</v>
      </c>
      <c r="L268" s="61">
        <v>0</v>
      </c>
    </row>
    <row r="269" spans="1:12" ht="16.5" customHeight="1" x14ac:dyDescent="0.35">
      <c r="A269" s="3" t="s">
        <v>14</v>
      </c>
      <c r="B269" s="4">
        <v>102</v>
      </c>
      <c r="C269" s="5">
        <v>32128</v>
      </c>
      <c r="D269" s="3" t="s">
        <v>96</v>
      </c>
      <c r="E269" s="20">
        <v>18.989999999999998</v>
      </c>
      <c r="F269" s="20">
        <v>11</v>
      </c>
      <c r="G269" s="61">
        <v>0</v>
      </c>
      <c r="H269" s="61">
        <v>0</v>
      </c>
      <c r="I269" s="61">
        <v>0</v>
      </c>
      <c r="J269" s="61">
        <v>0</v>
      </c>
      <c r="K269" s="61">
        <v>0</v>
      </c>
      <c r="L269" s="61">
        <v>0</v>
      </c>
    </row>
    <row r="270" spans="1:12" ht="16.5" customHeight="1" x14ac:dyDescent="0.35">
      <c r="A270" s="3" t="s">
        <v>14</v>
      </c>
      <c r="B270" s="4">
        <v>102</v>
      </c>
      <c r="C270" s="5">
        <v>32125</v>
      </c>
      <c r="D270" s="3" t="s">
        <v>162</v>
      </c>
      <c r="E270" s="20">
        <v>3</v>
      </c>
      <c r="F270" s="20">
        <v>1.29</v>
      </c>
      <c r="G270" s="61">
        <v>0</v>
      </c>
      <c r="H270" s="61">
        <v>0</v>
      </c>
      <c r="I270" s="61">
        <v>0</v>
      </c>
      <c r="J270" s="61">
        <v>0</v>
      </c>
      <c r="K270" s="61">
        <v>0</v>
      </c>
      <c r="L270" s="61">
        <v>0</v>
      </c>
    </row>
    <row r="271" spans="1:12" ht="16.5" customHeight="1" x14ac:dyDescent="0.35">
      <c r="A271" s="3" t="s">
        <v>14</v>
      </c>
      <c r="B271" s="4">
        <v>102</v>
      </c>
      <c r="C271" s="5">
        <v>32124</v>
      </c>
      <c r="D271" s="3" t="s">
        <v>174</v>
      </c>
      <c r="E271" s="20">
        <v>47.99</v>
      </c>
      <c r="F271" s="20">
        <v>10.44</v>
      </c>
      <c r="G271" s="61">
        <v>0</v>
      </c>
      <c r="H271" s="61">
        <v>0</v>
      </c>
      <c r="I271" s="61">
        <v>0</v>
      </c>
      <c r="J271" s="61">
        <v>0</v>
      </c>
      <c r="K271" s="61">
        <v>0</v>
      </c>
      <c r="L271" s="61">
        <v>0</v>
      </c>
    </row>
    <row r="272" spans="1:12" ht="16.5" customHeight="1" x14ac:dyDescent="0.35">
      <c r="A272" s="3" t="s">
        <v>14</v>
      </c>
      <c r="B272" s="4">
        <v>101</v>
      </c>
      <c r="C272" s="5">
        <v>32067</v>
      </c>
      <c r="D272" s="3" t="s">
        <v>29</v>
      </c>
      <c r="E272" s="20">
        <v>34.99</v>
      </c>
      <c r="F272" s="20">
        <v>15.91</v>
      </c>
      <c r="G272" s="61">
        <v>0</v>
      </c>
      <c r="H272" s="61">
        <v>0</v>
      </c>
      <c r="I272" s="61">
        <v>121.70434782608696</v>
      </c>
      <c r="J272" s="61">
        <v>4</v>
      </c>
      <c r="K272" s="61">
        <v>117.13913043478261</v>
      </c>
      <c r="L272" s="61">
        <v>4</v>
      </c>
    </row>
    <row r="273" spans="1:12" ht="16.5" customHeight="1" x14ac:dyDescent="0.35">
      <c r="A273" s="3" t="s">
        <v>14</v>
      </c>
      <c r="B273" s="4">
        <v>102</v>
      </c>
      <c r="C273" s="5">
        <v>32066</v>
      </c>
      <c r="D273" s="3" t="s">
        <v>114</v>
      </c>
      <c r="E273" s="20">
        <v>10</v>
      </c>
      <c r="F273" s="20">
        <v>4.5</v>
      </c>
      <c r="G273" s="61">
        <v>0</v>
      </c>
      <c r="H273" s="61">
        <v>0</v>
      </c>
      <c r="I273" s="61">
        <v>0</v>
      </c>
      <c r="J273" s="61">
        <v>0</v>
      </c>
      <c r="K273" s="61">
        <v>52.173913043478258</v>
      </c>
      <c r="L273" s="61">
        <v>6</v>
      </c>
    </row>
    <row r="274" spans="1:12" ht="16.5" customHeight="1" x14ac:dyDescent="0.35">
      <c r="A274" s="3" t="s">
        <v>14</v>
      </c>
      <c r="B274" s="4">
        <v>101</v>
      </c>
      <c r="C274" s="5">
        <v>32063</v>
      </c>
      <c r="D274" s="3" t="s">
        <v>52</v>
      </c>
      <c r="E274" s="20">
        <v>19.989999999999998</v>
      </c>
      <c r="F274" s="20">
        <v>8.5</v>
      </c>
      <c r="G274" s="61">
        <v>0</v>
      </c>
      <c r="H274" s="61">
        <v>0</v>
      </c>
      <c r="I274" s="61">
        <v>0</v>
      </c>
      <c r="J274" s="61">
        <v>0</v>
      </c>
      <c r="K274" s="61">
        <v>34.765217391304347</v>
      </c>
      <c r="L274" s="61">
        <v>2</v>
      </c>
    </row>
    <row r="275" spans="1:12" ht="16.5" customHeight="1" x14ac:dyDescent="0.35">
      <c r="A275" s="3" t="s">
        <v>14</v>
      </c>
      <c r="B275" s="4">
        <v>101</v>
      </c>
      <c r="C275" s="5">
        <v>32062</v>
      </c>
      <c r="D275" s="3" t="s">
        <v>51</v>
      </c>
      <c r="E275" s="20">
        <v>24.99</v>
      </c>
      <c r="F275" s="20">
        <v>9.68</v>
      </c>
      <c r="G275" s="61">
        <v>0</v>
      </c>
      <c r="H275" s="61">
        <v>0</v>
      </c>
      <c r="I275" s="61">
        <v>0</v>
      </c>
      <c r="J275" s="61">
        <v>0</v>
      </c>
      <c r="K275" s="61">
        <v>43.460869565217386</v>
      </c>
      <c r="L275" s="61">
        <v>2</v>
      </c>
    </row>
  </sheetData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DDAC3-2573-4E5B-95B9-73317D30F703}">
  <sheetPr codeName="Sheet4">
    <pageSetUpPr fitToPage="1"/>
  </sheetPr>
  <dimension ref="A1:N308"/>
  <sheetViews>
    <sheetView topLeftCell="A12" workbookViewId="0">
      <selection activeCell="G4" sqref="G4"/>
    </sheetView>
  </sheetViews>
  <sheetFormatPr defaultRowHeight="13" x14ac:dyDescent="0.35"/>
  <cols>
    <col min="1" max="1" width="11.3984375" customWidth="1"/>
    <col min="2" max="2" width="8.09765625" customWidth="1"/>
    <col min="3" max="3" width="32.09765625" customWidth="1"/>
    <col min="4" max="4" width="8" bestFit="1" customWidth="1"/>
    <col min="5" max="5" width="6.69921875" customWidth="1"/>
    <col min="6" max="6" width="5.3984375" bestFit="1" customWidth="1"/>
    <col min="7" max="12" width="12.59765625" bestFit="1" customWidth="1"/>
    <col min="13" max="13" width="18" bestFit="1" customWidth="1"/>
    <col min="14" max="14" width="15.8984375" bestFit="1" customWidth="1"/>
  </cols>
  <sheetData>
    <row r="1" spans="1:14" s="66" customFormat="1" ht="19" customHeight="1" x14ac:dyDescent="0.35">
      <c r="A1"/>
      <c r="B1"/>
      <c r="C1"/>
      <c r="D1"/>
      <c r="E1"/>
      <c r="F1"/>
      <c r="G1" s="67">
        <v>42181</v>
      </c>
      <c r="I1" s="67">
        <v>42547</v>
      </c>
      <c r="K1" s="67" t="s">
        <v>330</v>
      </c>
      <c r="M1" s="68" t="s">
        <v>326</v>
      </c>
      <c r="N1" s="68" t="s">
        <v>328</v>
      </c>
    </row>
    <row r="2" spans="1:14" s="66" customFormat="1" x14ac:dyDescent="0.35">
      <c r="A2"/>
      <c r="B2"/>
      <c r="C2"/>
      <c r="D2"/>
      <c r="E2"/>
      <c r="F2"/>
      <c r="G2" s="66" t="s">
        <v>315</v>
      </c>
      <c r="I2" s="66" t="s">
        <v>316</v>
      </c>
      <c r="K2" s="66" t="s">
        <v>330</v>
      </c>
      <c r="M2" s="69"/>
      <c r="N2" s="69"/>
    </row>
    <row r="3" spans="1:14" s="66" customFormat="1" x14ac:dyDescent="0.35">
      <c r="A3"/>
      <c r="B3"/>
      <c r="C3"/>
      <c r="D3"/>
      <c r="E3"/>
      <c r="F3"/>
      <c r="G3" s="29" t="s">
        <v>327</v>
      </c>
      <c r="H3" s="29" t="s">
        <v>329</v>
      </c>
      <c r="I3" s="29" t="s">
        <v>327</v>
      </c>
      <c r="J3" s="29" t="s">
        <v>329</v>
      </c>
      <c r="K3" t="s">
        <v>327</v>
      </c>
      <c r="L3" t="s">
        <v>329</v>
      </c>
      <c r="M3" s="69"/>
      <c r="N3" s="69"/>
    </row>
    <row r="4" spans="1:14" s="29" customFormat="1" x14ac:dyDescent="0.35">
      <c r="A4">
        <v>101</v>
      </c>
      <c r="B4">
        <v>32067</v>
      </c>
      <c r="C4" t="s">
        <v>29</v>
      </c>
      <c r="D4" s="12">
        <v>34.99</v>
      </c>
      <c r="E4" s="12">
        <v>15.91</v>
      </c>
      <c r="F4" s="16">
        <v>8</v>
      </c>
      <c r="G4" s="12"/>
      <c r="H4" s="12"/>
      <c r="I4" s="12">
        <v>121.70434782608696</v>
      </c>
      <c r="J4">
        <v>4</v>
      </c>
      <c r="K4" s="12"/>
      <c r="L4"/>
      <c r="M4" s="12">
        <v>121.70434782608696</v>
      </c>
      <c r="N4">
        <v>4</v>
      </c>
    </row>
    <row r="5" spans="1:14" x14ac:dyDescent="0.35">
      <c r="B5">
        <v>32858</v>
      </c>
      <c r="C5" t="s">
        <v>34</v>
      </c>
      <c r="D5" s="12">
        <v>3.8</v>
      </c>
      <c r="E5" s="12">
        <v>1.8573999999999999</v>
      </c>
      <c r="F5" s="16">
        <v>0</v>
      </c>
      <c r="G5" s="12">
        <v>39.652173913043477</v>
      </c>
      <c r="H5">
        <v>12</v>
      </c>
      <c r="I5" s="12">
        <v>204.86956521739131</v>
      </c>
      <c r="J5">
        <v>62</v>
      </c>
      <c r="K5" s="12"/>
      <c r="M5" s="12">
        <v>244.52173913043478</v>
      </c>
      <c r="N5">
        <v>74</v>
      </c>
    </row>
    <row r="6" spans="1:14" x14ac:dyDescent="0.35">
      <c r="E6" s="12">
        <v>2.0770666666666702</v>
      </c>
      <c r="F6" s="16">
        <v>0</v>
      </c>
      <c r="G6" s="12">
        <v>39.652173913043477</v>
      </c>
      <c r="H6">
        <v>12</v>
      </c>
      <c r="I6" s="12">
        <v>204.86956521739131</v>
      </c>
      <c r="J6">
        <v>62</v>
      </c>
      <c r="K6" s="12"/>
      <c r="M6" s="12">
        <v>244.52173913043478</v>
      </c>
      <c r="N6">
        <v>74</v>
      </c>
    </row>
    <row r="7" spans="1:14" x14ac:dyDescent="0.35">
      <c r="B7">
        <v>32859</v>
      </c>
      <c r="C7" t="s">
        <v>20</v>
      </c>
      <c r="D7" s="12">
        <v>20.99</v>
      </c>
      <c r="E7" s="12">
        <v>7.46</v>
      </c>
      <c r="F7" s="16">
        <v>0</v>
      </c>
      <c r="G7" s="12">
        <v>292.03478260869571</v>
      </c>
      <c r="H7">
        <v>16</v>
      </c>
      <c r="I7" s="12">
        <v>401.54782608695655</v>
      </c>
      <c r="J7">
        <v>22</v>
      </c>
      <c r="K7" s="12"/>
      <c r="M7" s="12">
        <v>693.5826086956522</v>
      </c>
      <c r="N7">
        <v>38</v>
      </c>
    </row>
    <row r="8" spans="1:14" x14ac:dyDescent="0.35">
      <c r="E8" s="12">
        <v>11.1</v>
      </c>
      <c r="F8" s="16">
        <v>104.666666666667</v>
      </c>
      <c r="G8" s="12">
        <v>292.03478260869571</v>
      </c>
      <c r="H8">
        <v>16</v>
      </c>
      <c r="I8" s="12">
        <v>401.54782608695655</v>
      </c>
      <c r="J8">
        <v>22</v>
      </c>
      <c r="K8" s="12"/>
      <c r="M8" s="12">
        <v>693.5826086956522</v>
      </c>
      <c r="N8">
        <v>38</v>
      </c>
    </row>
    <row r="9" spans="1:14" x14ac:dyDescent="0.35">
      <c r="B9">
        <v>32860</v>
      </c>
      <c r="C9" t="s">
        <v>16</v>
      </c>
      <c r="D9" s="12">
        <v>20.99</v>
      </c>
      <c r="E9" s="12">
        <v>11.1</v>
      </c>
      <c r="F9" s="16">
        <v>0</v>
      </c>
      <c r="G9" s="12">
        <v>365.04347826086956</v>
      </c>
      <c r="H9">
        <v>20</v>
      </c>
      <c r="I9" s="12">
        <v>200.77391304347825</v>
      </c>
      <c r="J9">
        <v>11</v>
      </c>
      <c r="K9" s="12"/>
      <c r="M9" s="12">
        <v>565.81739130434778</v>
      </c>
      <c r="N9">
        <v>31</v>
      </c>
    </row>
    <row r="10" spans="1:14" x14ac:dyDescent="0.35">
      <c r="B10">
        <v>33997</v>
      </c>
      <c r="C10" t="s">
        <v>39</v>
      </c>
      <c r="D10" s="12">
        <v>14.99</v>
      </c>
      <c r="E10" s="12">
        <v>7.62</v>
      </c>
      <c r="F10" s="16">
        <v>30</v>
      </c>
      <c r="G10" s="12">
        <v>39.104347826086958</v>
      </c>
      <c r="H10">
        <v>3</v>
      </c>
      <c r="I10" s="12">
        <v>52.139130434782608</v>
      </c>
      <c r="J10">
        <v>4</v>
      </c>
      <c r="K10" s="12"/>
      <c r="M10" s="12">
        <v>91.243478260869566</v>
      </c>
      <c r="N10">
        <v>7</v>
      </c>
    </row>
    <row r="11" spans="1:14" x14ac:dyDescent="0.35">
      <c r="B11">
        <v>34004</v>
      </c>
      <c r="C11" t="s">
        <v>50</v>
      </c>
      <c r="D11" s="12">
        <v>1</v>
      </c>
      <c r="E11" s="12">
        <v>0.65</v>
      </c>
      <c r="F11" s="16">
        <v>0</v>
      </c>
      <c r="G11" s="12">
        <v>30.434782608695652</v>
      </c>
      <c r="H11">
        <v>35</v>
      </c>
      <c r="I11" s="12">
        <v>6.9565217391304346</v>
      </c>
      <c r="J11">
        <v>8</v>
      </c>
      <c r="K11" s="12"/>
      <c r="M11" s="12">
        <v>37.391304347826086</v>
      </c>
      <c r="N11">
        <v>43</v>
      </c>
    </row>
    <row r="12" spans="1:14" x14ac:dyDescent="0.35">
      <c r="B12">
        <v>34022</v>
      </c>
      <c r="C12" t="s">
        <v>54</v>
      </c>
      <c r="D12" s="12">
        <v>5.99</v>
      </c>
      <c r="E12" s="12">
        <v>2.72</v>
      </c>
      <c r="F12" s="16">
        <v>24</v>
      </c>
      <c r="G12" s="12">
        <v>26.043478260869563</v>
      </c>
      <c r="H12">
        <v>5</v>
      </c>
      <c r="I12" s="12"/>
      <c r="K12" s="12"/>
      <c r="M12" s="12">
        <v>26.043478260869563</v>
      </c>
      <c r="N12">
        <v>5</v>
      </c>
    </row>
    <row r="13" spans="1:14" x14ac:dyDescent="0.35">
      <c r="B13">
        <v>34023</v>
      </c>
      <c r="C13" t="s">
        <v>48</v>
      </c>
      <c r="D13" s="12">
        <v>6.99</v>
      </c>
      <c r="E13" s="12">
        <v>2.85</v>
      </c>
      <c r="F13" s="16">
        <v>28</v>
      </c>
      <c r="G13" s="12">
        <v>30.39130434782609</v>
      </c>
      <c r="H13">
        <v>5</v>
      </c>
      <c r="I13" s="12">
        <v>24.31304347826087</v>
      </c>
      <c r="J13">
        <v>4</v>
      </c>
      <c r="K13" s="12"/>
      <c r="M13" s="12">
        <v>54.704347826086959</v>
      </c>
      <c r="N13">
        <v>9</v>
      </c>
    </row>
    <row r="14" spans="1:14" x14ac:dyDescent="0.35">
      <c r="B14">
        <v>34024</v>
      </c>
      <c r="C14" t="s">
        <v>23</v>
      </c>
      <c r="D14" s="12">
        <v>37.99</v>
      </c>
      <c r="E14" s="12">
        <v>16.5</v>
      </c>
      <c r="F14" s="16">
        <v>36</v>
      </c>
      <c r="G14" s="12">
        <v>165.17391304347825</v>
      </c>
      <c r="H14">
        <v>5</v>
      </c>
      <c r="I14" s="12">
        <v>33.03478260869565</v>
      </c>
      <c r="J14">
        <v>1</v>
      </c>
      <c r="K14" s="12"/>
      <c r="M14" s="12">
        <v>198.2086956521739</v>
      </c>
      <c r="N14">
        <v>6</v>
      </c>
    </row>
    <row r="15" spans="1:14" x14ac:dyDescent="0.35">
      <c r="B15">
        <v>34041</v>
      </c>
      <c r="C15" t="s">
        <v>43</v>
      </c>
      <c r="D15" s="12">
        <v>6.99</v>
      </c>
      <c r="E15" s="12">
        <v>3.15</v>
      </c>
      <c r="F15" s="16">
        <v>70</v>
      </c>
      <c r="G15" s="12">
        <v>66.860869565217399</v>
      </c>
      <c r="H15">
        <v>11</v>
      </c>
      <c r="I15" s="12">
        <v>42.547826086956519</v>
      </c>
      <c r="J15">
        <v>7</v>
      </c>
      <c r="K15" s="12"/>
      <c r="M15" s="12">
        <v>109.40869565217392</v>
      </c>
      <c r="N15">
        <v>18</v>
      </c>
    </row>
    <row r="16" spans="1:14" x14ac:dyDescent="0.35">
      <c r="B16">
        <v>34042</v>
      </c>
      <c r="C16" t="s">
        <v>31</v>
      </c>
      <c r="D16" s="12">
        <v>9.5</v>
      </c>
      <c r="E16" s="12">
        <v>4.1500000000000004</v>
      </c>
      <c r="F16" s="16">
        <v>48</v>
      </c>
      <c r="G16" s="12">
        <v>49.565217391304344</v>
      </c>
      <c r="H16">
        <v>6</v>
      </c>
      <c r="I16" s="12">
        <v>90.869565217391312</v>
      </c>
      <c r="J16">
        <v>11</v>
      </c>
      <c r="K16" s="12"/>
      <c r="M16" s="12">
        <v>140.43478260869566</v>
      </c>
      <c r="N16">
        <v>17</v>
      </c>
    </row>
    <row r="17" spans="2:14" x14ac:dyDescent="0.35">
      <c r="B17">
        <v>34046</v>
      </c>
      <c r="C17" t="s">
        <v>37</v>
      </c>
      <c r="D17" s="12">
        <v>19.989999999999998</v>
      </c>
      <c r="E17" s="12">
        <v>12.2</v>
      </c>
      <c r="F17" s="16">
        <v>50</v>
      </c>
      <c r="G17" s="12">
        <v>86.913043478260875</v>
      </c>
      <c r="H17">
        <v>5</v>
      </c>
      <c r="I17" s="12">
        <v>69.530434782608694</v>
      </c>
      <c r="J17">
        <v>4</v>
      </c>
      <c r="K17" s="12"/>
      <c r="M17" s="12">
        <v>156.44347826086957</v>
      </c>
      <c r="N17">
        <v>9</v>
      </c>
    </row>
    <row r="18" spans="2:14" x14ac:dyDescent="0.35">
      <c r="B18">
        <v>34053</v>
      </c>
      <c r="C18" t="s">
        <v>57</v>
      </c>
      <c r="D18" s="12">
        <v>15.99</v>
      </c>
      <c r="E18" s="12">
        <v>6.74</v>
      </c>
      <c r="F18" s="16">
        <v>6</v>
      </c>
      <c r="G18" s="12">
        <v>41.713043478260872</v>
      </c>
      <c r="H18">
        <v>3</v>
      </c>
      <c r="I18" s="12">
        <v>55.617391304347827</v>
      </c>
      <c r="J18">
        <v>4</v>
      </c>
      <c r="K18" s="12"/>
      <c r="M18" s="12">
        <v>97.330434782608705</v>
      </c>
      <c r="N18">
        <v>7</v>
      </c>
    </row>
    <row r="19" spans="2:14" x14ac:dyDescent="0.35">
      <c r="B19">
        <v>34068</v>
      </c>
      <c r="C19" t="s">
        <v>74</v>
      </c>
      <c r="D19" s="12">
        <v>1.5</v>
      </c>
      <c r="E19" s="12">
        <v>0.59</v>
      </c>
      <c r="F19" s="16">
        <v>0</v>
      </c>
      <c r="G19" s="12">
        <v>20.869565217391305</v>
      </c>
      <c r="H19">
        <v>16</v>
      </c>
      <c r="I19" s="12"/>
      <c r="K19" s="12"/>
      <c r="M19" s="12">
        <v>20.869565217391305</v>
      </c>
      <c r="N19">
        <v>16</v>
      </c>
    </row>
    <row r="20" spans="2:14" x14ac:dyDescent="0.35">
      <c r="B20">
        <v>34070</v>
      </c>
      <c r="C20" t="s">
        <v>26</v>
      </c>
      <c r="D20" s="12">
        <v>12.99</v>
      </c>
      <c r="E20" s="12">
        <v>6.81</v>
      </c>
      <c r="F20" s="16">
        <v>86</v>
      </c>
      <c r="G20" s="12">
        <v>169.43478260869566</v>
      </c>
      <c r="H20">
        <v>15</v>
      </c>
      <c r="I20" s="12">
        <v>101.66086956521738</v>
      </c>
      <c r="J20">
        <v>9</v>
      </c>
      <c r="K20" s="12"/>
      <c r="M20" s="12">
        <v>271.09565217391304</v>
      </c>
      <c r="N20">
        <v>24</v>
      </c>
    </row>
    <row r="21" spans="2:14" x14ac:dyDescent="0.35">
      <c r="B21">
        <v>34086</v>
      </c>
      <c r="C21" t="s">
        <v>60</v>
      </c>
      <c r="D21" s="12">
        <v>29.99</v>
      </c>
      <c r="E21" s="12">
        <v>10</v>
      </c>
      <c r="F21" s="16">
        <v>0</v>
      </c>
      <c r="G21" s="12">
        <v>5.2695652173913041</v>
      </c>
      <c r="H21">
        <v>0.20200000000000001</v>
      </c>
      <c r="I21" s="12"/>
      <c r="K21" s="12"/>
      <c r="M21" s="12">
        <v>5.2695652173913041</v>
      </c>
      <c r="N21">
        <v>0.20200000000000001</v>
      </c>
    </row>
    <row r="22" spans="2:14" x14ac:dyDescent="0.35">
      <c r="B22">
        <v>34088</v>
      </c>
      <c r="C22" t="s">
        <v>44</v>
      </c>
      <c r="D22" s="12">
        <v>1.5</v>
      </c>
      <c r="E22" s="12">
        <v>0.68</v>
      </c>
      <c r="F22" s="16">
        <v>0</v>
      </c>
      <c r="G22" s="12"/>
      <c r="I22" s="12">
        <v>117.39130434782609</v>
      </c>
      <c r="J22">
        <v>90</v>
      </c>
      <c r="K22" s="12"/>
      <c r="M22" s="12">
        <v>117.39130434782609</v>
      </c>
      <c r="N22">
        <v>90</v>
      </c>
    </row>
    <row r="23" spans="2:14" x14ac:dyDescent="0.35">
      <c r="B23">
        <v>34091</v>
      </c>
      <c r="C23" t="s">
        <v>28</v>
      </c>
      <c r="D23" s="12">
        <v>19.989999999999998</v>
      </c>
      <c r="E23" s="12">
        <v>12.24</v>
      </c>
      <c r="F23" s="16">
        <v>40</v>
      </c>
      <c r="G23" s="12">
        <v>86.913043478260875</v>
      </c>
      <c r="H23">
        <v>5</v>
      </c>
      <c r="I23" s="12">
        <v>86.913043478260875</v>
      </c>
      <c r="J23">
        <v>5</v>
      </c>
      <c r="K23" s="12"/>
      <c r="M23" s="12">
        <v>173.82608695652175</v>
      </c>
      <c r="N23">
        <v>10</v>
      </c>
    </row>
    <row r="24" spans="2:14" x14ac:dyDescent="0.35">
      <c r="B24">
        <v>34092</v>
      </c>
      <c r="C24" t="s">
        <v>47</v>
      </c>
      <c r="D24" s="12">
        <v>4.99</v>
      </c>
      <c r="E24" s="12">
        <v>2.52</v>
      </c>
      <c r="F24" s="16">
        <v>0</v>
      </c>
      <c r="G24" s="12">
        <v>30.373913043478261</v>
      </c>
      <c r="H24">
        <v>7</v>
      </c>
      <c r="I24" s="12">
        <v>8.6782608695652179</v>
      </c>
      <c r="J24">
        <v>2</v>
      </c>
      <c r="K24" s="12"/>
      <c r="M24" s="12">
        <v>39.052173913043475</v>
      </c>
      <c r="N24">
        <v>9</v>
      </c>
    </row>
    <row r="25" spans="2:14" x14ac:dyDescent="0.35">
      <c r="B25">
        <v>34119</v>
      </c>
      <c r="C25" t="s">
        <v>36</v>
      </c>
      <c r="D25" s="12">
        <v>3.3</v>
      </c>
      <c r="E25" s="12">
        <v>1.85</v>
      </c>
      <c r="F25" s="16">
        <v>0</v>
      </c>
      <c r="G25" s="12">
        <v>229.56521739130434</v>
      </c>
      <c r="H25">
        <v>80</v>
      </c>
      <c r="I25" s="12"/>
      <c r="K25" s="12"/>
      <c r="M25" s="12">
        <v>229.56521739130434</v>
      </c>
      <c r="N25">
        <v>80</v>
      </c>
    </row>
    <row r="26" spans="2:14" x14ac:dyDescent="0.35">
      <c r="B26">
        <v>34687</v>
      </c>
      <c r="C26" t="s">
        <v>40</v>
      </c>
      <c r="D26" s="12">
        <v>3.8</v>
      </c>
      <c r="E26" s="12">
        <v>1.9688000000000001</v>
      </c>
      <c r="F26" s="16">
        <v>0</v>
      </c>
      <c r="G26" s="12">
        <v>39.652173913043477</v>
      </c>
      <c r="H26">
        <v>12</v>
      </c>
      <c r="I26" s="12">
        <v>6.6086956521739131</v>
      </c>
      <c r="J26">
        <v>2</v>
      </c>
      <c r="K26" s="12"/>
      <c r="M26" s="12">
        <v>46.260869565217391</v>
      </c>
      <c r="N26">
        <v>14</v>
      </c>
    </row>
    <row r="27" spans="2:14" x14ac:dyDescent="0.35">
      <c r="E27" s="12">
        <v>2.0770666666666702</v>
      </c>
      <c r="F27" s="16">
        <v>0</v>
      </c>
      <c r="G27" s="12">
        <v>39.652173913043477</v>
      </c>
      <c r="H27">
        <v>12</v>
      </c>
      <c r="I27" s="12">
        <v>6.6086956521739131</v>
      </c>
      <c r="J27">
        <v>2</v>
      </c>
      <c r="K27" s="12"/>
      <c r="M27" s="12">
        <v>46.260869565217391</v>
      </c>
      <c r="N27">
        <v>14</v>
      </c>
    </row>
    <row r="28" spans="2:14" x14ac:dyDescent="0.35">
      <c r="B28">
        <v>34690</v>
      </c>
      <c r="C28" t="s">
        <v>18</v>
      </c>
      <c r="D28" s="12">
        <v>16.989999999999998</v>
      </c>
      <c r="E28" s="12">
        <v>7.7</v>
      </c>
      <c r="F28" s="16">
        <v>184</v>
      </c>
      <c r="G28" s="12">
        <v>457.99130434782614</v>
      </c>
      <c r="H28">
        <v>31</v>
      </c>
      <c r="I28" s="12">
        <v>398.89565217391305</v>
      </c>
      <c r="J28">
        <v>27</v>
      </c>
      <c r="K28" s="12"/>
      <c r="M28" s="12">
        <v>856.88695652173919</v>
      </c>
      <c r="N28">
        <v>58</v>
      </c>
    </row>
    <row r="29" spans="2:14" x14ac:dyDescent="0.35">
      <c r="B29">
        <v>42401</v>
      </c>
      <c r="C29" t="s">
        <v>38</v>
      </c>
      <c r="D29" s="12">
        <v>14.99</v>
      </c>
      <c r="E29" s="12">
        <v>6.62</v>
      </c>
      <c r="F29" s="16">
        <v>0</v>
      </c>
      <c r="G29" s="12"/>
      <c r="I29" s="12">
        <v>130.34782608695653</v>
      </c>
      <c r="J29">
        <v>10</v>
      </c>
      <c r="K29" s="12"/>
      <c r="M29" s="12">
        <v>130.34782608695653</v>
      </c>
      <c r="N29">
        <v>10</v>
      </c>
    </row>
    <row r="30" spans="2:14" x14ac:dyDescent="0.35">
      <c r="B30">
        <v>50037</v>
      </c>
      <c r="C30" t="s">
        <v>22</v>
      </c>
      <c r="D30" s="12">
        <v>25.99</v>
      </c>
      <c r="E30" s="12">
        <v>13.4</v>
      </c>
      <c r="F30" s="16">
        <v>65</v>
      </c>
      <c r="G30" s="12">
        <v>158.20000000000002</v>
      </c>
      <c r="H30">
        <v>7</v>
      </c>
      <c r="I30" s="12">
        <v>158.20000000000002</v>
      </c>
      <c r="J30">
        <v>7</v>
      </c>
      <c r="K30" s="12"/>
      <c r="M30" s="12">
        <v>316.40000000000003</v>
      </c>
      <c r="N30">
        <v>14</v>
      </c>
    </row>
    <row r="31" spans="2:14" x14ac:dyDescent="0.35">
      <c r="B31">
        <v>51680</v>
      </c>
      <c r="C31" t="s">
        <v>33</v>
      </c>
      <c r="D31" s="12">
        <v>21.99</v>
      </c>
      <c r="E31" s="12">
        <v>12.14</v>
      </c>
      <c r="F31" s="16">
        <v>34</v>
      </c>
      <c r="G31" s="12">
        <v>57.365217391304348</v>
      </c>
      <c r="H31">
        <v>3</v>
      </c>
      <c r="I31" s="12">
        <v>19.121739130434783</v>
      </c>
      <c r="J31">
        <v>1</v>
      </c>
      <c r="K31" s="12"/>
      <c r="M31" s="12">
        <v>76.486956521739131</v>
      </c>
      <c r="N31">
        <v>4</v>
      </c>
    </row>
    <row r="32" spans="2:14" x14ac:dyDescent="0.35">
      <c r="B32">
        <v>57073</v>
      </c>
      <c r="C32" t="s">
        <v>21</v>
      </c>
      <c r="D32" s="12">
        <v>36.99</v>
      </c>
      <c r="E32" s="12">
        <v>16.05</v>
      </c>
      <c r="F32" s="16">
        <v>36</v>
      </c>
      <c r="G32" s="12">
        <v>225.15652173913043</v>
      </c>
      <c r="H32">
        <v>7</v>
      </c>
      <c r="I32" s="12">
        <v>32.165217391304353</v>
      </c>
      <c r="J32">
        <v>1</v>
      </c>
      <c r="K32" s="12"/>
      <c r="M32" s="12">
        <v>257.32173913043476</v>
      </c>
      <c r="N32">
        <v>8</v>
      </c>
    </row>
    <row r="33" spans="2:14" x14ac:dyDescent="0.35">
      <c r="B33">
        <v>58512</v>
      </c>
      <c r="C33" t="s">
        <v>30</v>
      </c>
      <c r="D33" s="12">
        <v>26.99</v>
      </c>
      <c r="E33" s="12">
        <v>10.66</v>
      </c>
      <c r="F33" s="16">
        <v>0</v>
      </c>
      <c r="G33" s="12">
        <v>70.408695652173918</v>
      </c>
      <c r="H33">
        <v>3</v>
      </c>
      <c r="I33" s="12">
        <v>70.408695652173918</v>
      </c>
      <c r="J33">
        <v>3</v>
      </c>
      <c r="K33" s="12"/>
      <c r="M33" s="12">
        <v>140.81739130434784</v>
      </c>
      <c r="N33">
        <v>6</v>
      </c>
    </row>
    <row r="34" spans="2:14" x14ac:dyDescent="0.35">
      <c r="B34">
        <v>58767</v>
      </c>
      <c r="C34" t="s">
        <v>27</v>
      </c>
      <c r="D34" s="12">
        <v>19.989999999999998</v>
      </c>
      <c r="E34" s="12">
        <v>7.04</v>
      </c>
      <c r="F34" s="16">
        <v>0</v>
      </c>
      <c r="G34" s="12">
        <v>121.67826086956522</v>
      </c>
      <c r="H34">
        <v>7</v>
      </c>
      <c r="I34" s="12">
        <v>52.14782608695652</v>
      </c>
      <c r="J34">
        <v>3</v>
      </c>
      <c r="K34" s="12"/>
      <c r="M34" s="12">
        <v>173.82608695652175</v>
      </c>
      <c r="N34">
        <v>10</v>
      </c>
    </row>
    <row r="35" spans="2:14" x14ac:dyDescent="0.35">
      <c r="B35">
        <v>59381</v>
      </c>
      <c r="C35" t="s">
        <v>15</v>
      </c>
      <c r="D35" s="12">
        <v>13.99</v>
      </c>
      <c r="E35" s="12">
        <v>7.36</v>
      </c>
      <c r="F35" s="16">
        <v>780</v>
      </c>
      <c r="G35" s="12">
        <v>1216.5217391304348</v>
      </c>
      <c r="H35">
        <v>100</v>
      </c>
      <c r="I35" s="12">
        <v>1094.8695652173913</v>
      </c>
      <c r="J35">
        <v>90</v>
      </c>
      <c r="K35" s="12"/>
      <c r="M35" s="12">
        <v>2311.391304347826</v>
      </c>
      <c r="N35">
        <v>190</v>
      </c>
    </row>
    <row r="36" spans="2:14" x14ac:dyDescent="0.35">
      <c r="B36">
        <v>59425</v>
      </c>
      <c r="C36" t="s">
        <v>17</v>
      </c>
      <c r="D36" s="12">
        <v>10.99</v>
      </c>
      <c r="E36" s="12">
        <v>6.3</v>
      </c>
      <c r="F36" s="16">
        <v>240</v>
      </c>
      <c r="G36" s="12">
        <v>659.4</v>
      </c>
      <c r="H36">
        <v>60</v>
      </c>
      <c r="I36" s="12"/>
      <c r="K36" s="12"/>
      <c r="M36" s="12">
        <v>659.4</v>
      </c>
      <c r="N36">
        <v>60</v>
      </c>
    </row>
    <row r="37" spans="2:14" x14ac:dyDescent="0.35">
      <c r="B37">
        <v>61947</v>
      </c>
      <c r="C37" t="s">
        <v>42</v>
      </c>
      <c r="D37" s="12">
        <v>28.99</v>
      </c>
      <c r="E37" s="12">
        <v>8.93</v>
      </c>
      <c r="F37" s="16">
        <v>8</v>
      </c>
      <c r="G37" s="12">
        <v>25.208695652173912</v>
      </c>
      <c r="H37">
        <v>1</v>
      </c>
      <c r="I37" s="12">
        <v>25.208695652173912</v>
      </c>
      <c r="J37">
        <v>1</v>
      </c>
      <c r="K37" s="12"/>
      <c r="M37" s="12">
        <v>50.417391304347824</v>
      </c>
      <c r="N37">
        <v>2</v>
      </c>
    </row>
    <row r="38" spans="2:14" x14ac:dyDescent="0.35">
      <c r="B38">
        <v>62622</v>
      </c>
      <c r="C38" t="s">
        <v>70</v>
      </c>
      <c r="D38" s="12">
        <v>26.99</v>
      </c>
      <c r="E38" s="12">
        <v>14.15</v>
      </c>
      <c r="F38" s="16">
        <v>0</v>
      </c>
      <c r="G38" s="12">
        <v>70.408695652173918</v>
      </c>
      <c r="H38">
        <v>3</v>
      </c>
      <c r="I38" s="12"/>
      <c r="K38" s="12"/>
      <c r="M38" s="12">
        <v>70.408695652173918</v>
      </c>
      <c r="N38">
        <v>3</v>
      </c>
    </row>
    <row r="39" spans="2:14" x14ac:dyDescent="0.35">
      <c r="B39">
        <v>34141</v>
      </c>
      <c r="C39" t="s">
        <v>24</v>
      </c>
      <c r="D39" s="12">
        <v>5</v>
      </c>
      <c r="E39" s="12">
        <v>3.3388749999999998</v>
      </c>
      <c r="F39" s="16">
        <v>144</v>
      </c>
      <c r="G39" s="12"/>
      <c r="I39" s="12"/>
      <c r="K39" s="12"/>
      <c r="M39" s="12"/>
    </row>
    <row r="40" spans="2:14" x14ac:dyDescent="0.35">
      <c r="B40">
        <v>41464</v>
      </c>
      <c r="C40" t="s">
        <v>45</v>
      </c>
      <c r="D40" s="12">
        <v>16.989999999999998</v>
      </c>
      <c r="E40" s="12">
        <v>7.73</v>
      </c>
      <c r="F40" s="16">
        <v>36</v>
      </c>
      <c r="G40" s="12"/>
      <c r="I40" s="12"/>
      <c r="K40" s="12"/>
      <c r="M40" s="12"/>
    </row>
    <row r="41" spans="2:14" x14ac:dyDescent="0.35">
      <c r="B41">
        <v>32062</v>
      </c>
      <c r="C41" t="s">
        <v>51</v>
      </c>
      <c r="D41" s="12">
        <v>24.99</v>
      </c>
      <c r="E41" s="12">
        <v>9.68</v>
      </c>
      <c r="F41" s="16">
        <v>6</v>
      </c>
      <c r="G41" s="12"/>
      <c r="I41" s="12"/>
      <c r="K41" s="12"/>
      <c r="M41" s="12"/>
    </row>
    <row r="42" spans="2:14" x14ac:dyDescent="0.35">
      <c r="B42">
        <v>32063</v>
      </c>
      <c r="C42" t="s">
        <v>52</v>
      </c>
      <c r="D42" s="12">
        <v>19.989999999999998</v>
      </c>
      <c r="E42" s="12">
        <v>8.5</v>
      </c>
      <c r="F42" s="16">
        <v>6</v>
      </c>
      <c r="G42" s="12"/>
      <c r="I42" s="12"/>
      <c r="K42" s="12"/>
      <c r="M42" s="12"/>
    </row>
    <row r="43" spans="2:14" x14ac:dyDescent="0.35">
      <c r="B43">
        <v>34011</v>
      </c>
      <c r="C43" t="s">
        <v>66</v>
      </c>
      <c r="D43" s="12">
        <v>19.989999999999998</v>
      </c>
      <c r="E43" s="12">
        <v>2.63</v>
      </c>
      <c r="F43" s="16">
        <v>6</v>
      </c>
      <c r="G43" s="12"/>
      <c r="I43" s="12"/>
      <c r="K43" s="12"/>
      <c r="M43" s="12"/>
    </row>
    <row r="44" spans="2:14" x14ac:dyDescent="0.35">
      <c r="B44">
        <v>34121</v>
      </c>
      <c r="C44" t="s">
        <v>25</v>
      </c>
      <c r="D44" s="12">
        <v>3.3</v>
      </c>
      <c r="E44" s="12">
        <v>1.85</v>
      </c>
      <c r="F44" s="16">
        <v>0</v>
      </c>
      <c r="G44" s="12"/>
      <c r="I44" s="12"/>
      <c r="K44" s="12"/>
      <c r="M44" s="12"/>
    </row>
    <row r="45" spans="2:14" x14ac:dyDescent="0.35">
      <c r="B45">
        <v>57167</v>
      </c>
      <c r="C45" t="s">
        <v>32</v>
      </c>
      <c r="D45" s="12">
        <v>16.989999999999998</v>
      </c>
      <c r="E45" s="12">
        <v>7.4</v>
      </c>
      <c r="F45" s="16">
        <v>0</v>
      </c>
      <c r="G45" s="12"/>
      <c r="I45" s="12"/>
      <c r="K45" s="12"/>
      <c r="M45" s="12"/>
    </row>
    <row r="46" spans="2:14" x14ac:dyDescent="0.35">
      <c r="B46">
        <v>60832</v>
      </c>
      <c r="C46" t="s">
        <v>41</v>
      </c>
      <c r="D46" s="12">
        <v>10</v>
      </c>
      <c r="E46" s="12">
        <v>7.36</v>
      </c>
      <c r="F46" s="16">
        <v>0</v>
      </c>
      <c r="G46" s="12"/>
      <c r="I46" s="12"/>
      <c r="K46" s="12"/>
      <c r="M46" s="12"/>
    </row>
    <row r="47" spans="2:14" x14ac:dyDescent="0.35">
      <c r="B47">
        <v>62788</v>
      </c>
      <c r="C47" t="s">
        <v>46</v>
      </c>
      <c r="D47" s="12">
        <v>26.99</v>
      </c>
      <c r="E47" s="12">
        <v>10.66</v>
      </c>
      <c r="F47" s="16">
        <v>0</v>
      </c>
      <c r="G47" s="12"/>
      <c r="I47" s="12"/>
      <c r="K47" s="12"/>
      <c r="M47" s="12"/>
    </row>
    <row r="48" spans="2:14" x14ac:dyDescent="0.35">
      <c r="B48">
        <v>54547</v>
      </c>
      <c r="C48" t="s">
        <v>49</v>
      </c>
      <c r="D48" s="12">
        <v>9.99</v>
      </c>
      <c r="E48" s="12">
        <v>3.23</v>
      </c>
      <c r="F48" s="16">
        <v>0</v>
      </c>
      <c r="G48" s="12"/>
      <c r="I48" s="12"/>
      <c r="K48" s="12"/>
      <c r="M48" s="12"/>
    </row>
    <row r="49" spans="2:13" x14ac:dyDescent="0.35">
      <c r="B49">
        <v>57071</v>
      </c>
      <c r="C49" t="s">
        <v>53</v>
      </c>
      <c r="D49" s="12">
        <v>29.99</v>
      </c>
      <c r="E49" s="12">
        <v>12.66</v>
      </c>
      <c r="F49" s="16">
        <v>0</v>
      </c>
      <c r="G49" s="12"/>
      <c r="I49" s="12"/>
      <c r="K49" s="12"/>
      <c r="M49" s="12"/>
    </row>
    <row r="50" spans="2:13" x14ac:dyDescent="0.35">
      <c r="B50">
        <v>34132</v>
      </c>
      <c r="C50" t="s">
        <v>55</v>
      </c>
      <c r="D50" s="12">
        <v>3.99</v>
      </c>
      <c r="E50" s="12">
        <v>2.1095999999999999</v>
      </c>
      <c r="F50" s="16">
        <v>0</v>
      </c>
      <c r="G50" s="12"/>
      <c r="I50" s="12"/>
      <c r="K50" s="12"/>
      <c r="M50" s="12"/>
    </row>
    <row r="51" spans="2:13" x14ac:dyDescent="0.35">
      <c r="B51">
        <v>34113</v>
      </c>
      <c r="C51" t="s">
        <v>56</v>
      </c>
      <c r="D51" s="12">
        <v>3.99</v>
      </c>
      <c r="E51" s="12">
        <v>2.1385999999999998</v>
      </c>
      <c r="F51" s="16">
        <v>0</v>
      </c>
      <c r="G51" s="12"/>
      <c r="I51" s="12"/>
      <c r="K51" s="12"/>
      <c r="M51" s="12"/>
    </row>
    <row r="52" spans="2:13" x14ac:dyDescent="0.35">
      <c r="B52">
        <v>40158</v>
      </c>
      <c r="C52" t="s">
        <v>58</v>
      </c>
      <c r="D52" s="12">
        <v>11.99</v>
      </c>
      <c r="E52" s="12">
        <v>6.05</v>
      </c>
      <c r="F52" s="16">
        <v>0</v>
      </c>
      <c r="G52" s="12"/>
      <c r="I52" s="12"/>
      <c r="K52" s="12"/>
      <c r="M52" s="12"/>
    </row>
    <row r="53" spans="2:13" x14ac:dyDescent="0.35">
      <c r="B53">
        <v>53528</v>
      </c>
      <c r="C53" t="s">
        <v>59</v>
      </c>
      <c r="D53" s="12">
        <v>28.99</v>
      </c>
      <c r="E53" s="12">
        <v>14.86</v>
      </c>
      <c r="F53" s="16">
        <v>0</v>
      </c>
      <c r="G53" s="12"/>
      <c r="I53" s="12"/>
      <c r="K53" s="12"/>
      <c r="M53" s="12"/>
    </row>
    <row r="54" spans="2:13" x14ac:dyDescent="0.35">
      <c r="B54">
        <v>53497</v>
      </c>
      <c r="C54" t="s">
        <v>61</v>
      </c>
      <c r="D54" s="12">
        <v>79.989999999999995</v>
      </c>
      <c r="E54" s="12">
        <v>32.200000000000003</v>
      </c>
      <c r="F54" s="16">
        <v>0</v>
      </c>
      <c r="G54" s="12"/>
      <c r="I54" s="12"/>
      <c r="K54" s="12"/>
      <c r="M54" s="12"/>
    </row>
    <row r="55" spans="2:13" x14ac:dyDescent="0.35">
      <c r="B55">
        <v>54228</v>
      </c>
      <c r="C55" t="s">
        <v>62</v>
      </c>
      <c r="D55" s="12">
        <v>13.99</v>
      </c>
      <c r="E55" s="12">
        <v>7.37</v>
      </c>
      <c r="F55" s="16">
        <v>0</v>
      </c>
      <c r="G55" s="12"/>
      <c r="I55" s="12"/>
      <c r="K55" s="12"/>
      <c r="M55" s="12"/>
    </row>
    <row r="56" spans="2:13" x14ac:dyDescent="0.35">
      <c r="B56">
        <v>34006</v>
      </c>
      <c r="C56" t="s">
        <v>63</v>
      </c>
      <c r="D56" s="12">
        <v>10.99</v>
      </c>
      <c r="E56" s="12">
        <v>6.3</v>
      </c>
      <c r="F56" s="16">
        <v>0</v>
      </c>
      <c r="G56" s="12"/>
      <c r="I56" s="12"/>
      <c r="K56" s="12"/>
      <c r="M56" s="12"/>
    </row>
    <row r="57" spans="2:13" x14ac:dyDescent="0.35">
      <c r="B57">
        <v>34059</v>
      </c>
      <c r="C57" t="s">
        <v>64</v>
      </c>
      <c r="D57" s="12">
        <v>6.99</v>
      </c>
      <c r="E57" s="12">
        <v>3.8</v>
      </c>
      <c r="F57" s="16">
        <v>0</v>
      </c>
      <c r="G57" s="12"/>
      <c r="I57" s="12"/>
      <c r="K57" s="12"/>
      <c r="M57" s="12"/>
    </row>
    <row r="58" spans="2:13" x14ac:dyDescent="0.35">
      <c r="B58">
        <v>65681</v>
      </c>
      <c r="C58" t="s">
        <v>65</v>
      </c>
      <c r="D58" s="12">
        <v>29.99</v>
      </c>
      <c r="E58" s="12">
        <v>16.03</v>
      </c>
      <c r="F58" s="16">
        <v>0</v>
      </c>
      <c r="G58" s="12"/>
      <c r="I58" s="12"/>
      <c r="K58" s="12"/>
      <c r="M58" s="12"/>
    </row>
    <row r="59" spans="2:13" x14ac:dyDescent="0.35">
      <c r="B59">
        <v>62390</v>
      </c>
      <c r="C59" t="s">
        <v>67</v>
      </c>
      <c r="D59" s="12">
        <v>19.989999999999998</v>
      </c>
      <c r="E59" s="12">
        <v>7.43</v>
      </c>
      <c r="F59" s="16">
        <v>0</v>
      </c>
      <c r="G59" s="12"/>
      <c r="I59" s="12"/>
      <c r="K59" s="12"/>
      <c r="M59" s="12"/>
    </row>
    <row r="60" spans="2:13" x14ac:dyDescent="0.35">
      <c r="B60">
        <v>32862</v>
      </c>
      <c r="C60" t="s">
        <v>68</v>
      </c>
      <c r="D60" s="12">
        <v>9.99</v>
      </c>
      <c r="E60" s="12">
        <v>5.14</v>
      </c>
      <c r="F60" s="16">
        <v>0</v>
      </c>
      <c r="G60" s="12"/>
      <c r="I60" s="12"/>
      <c r="K60" s="12"/>
      <c r="M60" s="12"/>
    </row>
    <row r="61" spans="2:13" x14ac:dyDescent="0.35">
      <c r="B61">
        <v>56350</v>
      </c>
      <c r="C61" t="s">
        <v>69</v>
      </c>
      <c r="D61" s="12">
        <v>4.99</v>
      </c>
      <c r="E61" s="12">
        <v>2.61</v>
      </c>
      <c r="F61" s="16">
        <v>0</v>
      </c>
      <c r="G61" s="12"/>
      <c r="I61" s="12"/>
      <c r="K61" s="12"/>
      <c r="M61" s="12"/>
    </row>
    <row r="62" spans="2:13" x14ac:dyDescent="0.35">
      <c r="B62">
        <v>34052</v>
      </c>
      <c r="C62" t="s">
        <v>71</v>
      </c>
      <c r="D62" s="12">
        <v>24.99</v>
      </c>
      <c r="E62" s="12">
        <v>8.1</v>
      </c>
      <c r="F62" s="16">
        <v>0</v>
      </c>
      <c r="G62" s="12"/>
      <c r="I62" s="12"/>
      <c r="K62" s="12"/>
      <c r="M62" s="12"/>
    </row>
    <row r="63" spans="2:13" x14ac:dyDescent="0.35">
      <c r="B63">
        <v>61950</v>
      </c>
      <c r="C63" t="s">
        <v>72</v>
      </c>
      <c r="D63" s="12">
        <v>10</v>
      </c>
      <c r="E63" s="12">
        <v>6.19</v>
      </c>
      <c r="F63" s="16">
        <v>0</v>
      </c>
      <c r="G63" s="12"/>
      <c r="I63" s="12"/>
      <c r="K63" s="12"/>
      <c r="M63" s="12"/>
    </row>
    <row r="64" spans="2:13" x14ac:dyDescent="0.35">
      <c r="B64">
        <v>32871</v>
      </c>
      <c r="C64" t="s">
        <v>73</v>
      </c>
      <c r="D64" s="12">
        <v>8.99</v>
      </c>
      <c r="E64" s="12">
        <v>5</v>
      </c>
      <c r="F64" s="16">
        <v>0</v>
      </c>
      <c r="G64" s="12"/>
      <c r="I64" s="12"/>
      <c r="K64" s="12"/>
      <c r="M64" s="12"/>
    </row>
    <row r="65" spans="1:14" x14ac:dyDescent="0.35">
      <c r="B65">
        <v>54546</v>
      </c>
      <c r="C65" t="s">
        <v>75</v>
      </c>
      <c r="D65" s="12">
        <v>5.99</v>
      </c>
      <c r="E65" s="12">
        <v>2.5299999999999998</v>
      </c>
      <c r="F65" s="16">
        <v>0</v>
      </c>
      <c r="G65" s="12"/>
      <c r="I65" s="12"/>
      <c r="K65" s="12"/>
      <c r="M65" s="12"/>
    </row>
    <row r="66" spans="1:14" x14ac:dyDescent="0.35">
      <c r="B66">
        <v>39750</v>
      </c>
      <c r="C66" t="s">
        <v>76</v>
      </c>
      <c r="D66" s="12">
        <v>39.99</v>
      </c>
      <c r="E66" s="12">
        <v>16.100000000000001</v>
      </c>
      <c r="F66" s="16">
        <v>0</v>
      </c>
      <c r="G66" s="12"/>
      <c r="I66" s="12"/>
      <c r="K66" s="12"/>
      <c r="M66" s="12"/>
    </row>
    <row r="67" spans="1:14" x14ac:dyDescent="0.35">
      <c r="B67">
        <v>43420</v>
      </c>
      <c r="C67" t="s">
        <v>77</v>
      </c>
      <c r="D67" s="12">
        <v>13.99</v>
      </c>
      <c r="E67" s="12">
        <v>8.3665000000000003</v>
      </c>
      <c r="F67" s="16">
        <v>0</v>
      </c>
      <c r="G67" s="12"/>
      <c r="I67" s="12"/>
      <c r="K67" s="12"/>
      <c r="M67" s="12"/>
    </row>
    <row r="68" spans="1:14" x14ac:dyDescent="0.35">
      <c r="B68">
        <v>58763</v>
      </c>
      <c r="C68" t="s">
        <v>78</v>
      </c>
      <c r="D68" s="12">
        <v>3.2</v>
      </c>
      <c r="E68" s="12">
        <v>1.62</v>
      </c>
      <c r="F68" s="16">
        <v>0</v>
      </c>
      <c r="G68" s="12"/>
      <c r="I68" s="12"/>
      <c r="K68" s="12"/>
      <c r="M68" s="12"/>
    </row>
    <row r="69" spans="1:14" x14ac:dyDescent="0.35">
      <c r="B69">
        <v>62621</v>
      </c>
      <c r="C69" t="s">
        <v>79</v>
      </c>
      <c r="D69" s="12">
        <v>26.99</v>
      </c>
      <c r="E69" s="12">
        <v>14.15</v>
      </c>
      <c r="F69" s="16">
        <v>0</v>
      </c>
      <c r="G69" s="12"/>
      <c r="I69" s="12"/>
      <c r="K69" s="12"/>
      <c r="M69" s="12"/>
    </row>
    <row r="70" spans="1:14" x14ac:dyDescent="0.35">
      <c r="B70">
        <v>62627</v>
      </c>
      <c r="C70" t="s">
        <v>80</v>
      </c>
      <c r="D70" s="12">
        <v>20.99</v>
      </c>
      <c r="E70" s="12">
        <v>12.88</v>
      </c>
      <c r="F70" s="16">
        <v>0</v>
      </c>
      <c r="G70" s="12"/>
      <c r="I70" s="12"/>
      <c r="K70" s="12"/>
      <c r="M70" s="12"/>
    </row>
    <row r="71" spans="1:14" x14ac:dyDescent="0.35">
      <c r="B71">
        <v>66806</v>
      </c>
      <c r="C71" t="s">
        <v>81</v>
      </c>
      <c r="D71" s="12">
        <v>33.99</v>
      </c>
      <c r="E71" s="12">
        <v>17.418749999999999</v>
      </c>
      <c r="F71" s="16">
        <v>0</v>
      </c>
      <c r="G71" s="12"/>
      <c r="I71" s="12"/>
      <c r="K71" s="12"/>
      <c r="M71" s="12"/>
    </row>
    <row r="72" spans="1:14" x14ac:dyDescent="0.35">
      <c r="B72">
        <v>61018</v>
      </c>
      <c r="C72" t="s">
        <v>82</v>
      </c>
      <c r="D72" s="12">
        <v>4</v>
      </c>
      <c r="E72" s="12">
        <v>2.2599999999999998</v>
      </c>
      <c r="F72" s="16">
        <v>0</v>
      </c>
      <c r="G72" s="12"/>
      <c r="I72" s="12"/>
      <c r="K72" s="12"/>
      <c r="M72" s="12"/>
    </row>
    <row r="73" spans="1:14" x14ac:dyDescent="0.35">
      <c r="B73">
        <v>54617</v>
      </c>
      <c r="C73" t="s">
        <v>83</v>
      </c>
      <c r="D73" s="12">
        <v>30.99</v>
      </c>
      <c r="E73" s="12">
        <v>12.4</v>
      </c>
      <c r="F73" s="16">
        <v>0</v>
      </c>
      <c r="G73" s="12"/>
      <c r="I73" s="12"/>
      <c r="K73" s="12"/>
      <c r="M73" s="12"/>
    </row>
    <row r="74" spans="1:14" x14ac:dyDescent="0.35">
      <c r="B74">
        <v>61949</v>
      </c>
      <c r="C74" t="s">
        <v>84</v>
      </c>
      <c r="D74" s="12">
        <v>10</v>
      </c>
      <c r="E74" s="12">
        <v>6.28</v>
      </c>
      <c r="F74" s="16">
        <v>0</v>
      </c>
      <c r="G74" s="12"/>
      <c r="I74" s="12"/>
      <c r="K74" s="12"/>
      <c r="M74" s="12"/>
    </row>
    <row r="75" spans="1:14" x14ac:dyDescent="0.35">
      <c r="B75">
        <v>33027</v>
      </c>
      <c r="C75" t="s">
        <v>85</v>
      </c>
      <c r="D75" s="12">
        <v>19.989999999999998</v>
      </c>
      <c r="E75" s="12">
        <v>7.94</v>
      </c>
      <c r="F75" s="16">
        <v>0</v>
      </c>
      <c r="G75" s="12"/>
      <c r="I75" s="12"/>
      <c r="K75" s="12"/>
      <c r="M75" s="12"/>
    </row>
    <row r="76" spans="1:14" x14ac:dyDescent="0.35">
      <c r="B76">
        <v>34019</v>
      </c>
      <c r="C76" t="s">
        <v>86</v>
      </c>
      <c r="D76" s="12">
        <v>5.99</v>
      </c>
      <c r="E76" s="12">
        <v>3.12</v>
      </c>
      <c r="F76" s="16">
        <v>0</v>
      </c>
      <c r="G76" s="12"/>
      <c r="I76" s="12"/>
      <c r="K76" s="12"/>
      <c r="M76" s="12"/>
    </row>
    <row r="77" spans="1:14" x14ac:dyDescent="0.35">
      <c r="B77">
        <v>34047</v>
      </c>
      <c r="C77" t="s">
        <v>87</v>
      </c>
      <c r="D77" s="12">
        <v>3.99</v>
      </c>
      <c r="E77" s="12">
        <v>2.120625</v>
      </c>
      <c r="F77" s="16">
        <v>0</v>
      </c>
      <c r="G77" s="12"/>
      <c r="I77" s="12"/>
      <c r="K77" s="12"/>
      <c r="M77" s="12"/>
    </row>
    <row r="78" spans="1:14" x14ac:dyDescent="0.35">
      <c r="B78">
        <v>63800</v>
      </c>
      <c r="C78" t="s">
        <v>88</v>
      </c>
      <c r="D78" s="12">
        <v>23.99</v>
      </c>
      <c r="E78" s="12">
        <v>11.87</v>
      </c>
      <c r="F78" s="16">
        <v>0</v>
      </c>
      <c r="G78" s="12"/>
      <c r="I78" s="12"/>
      <c r="K78" s="12"/>
      <c r="M78" s="12"/>
    </row>
    <row r="79" spans="1:14" x14ac:dyDescent="0.35">
      <c r="B79">
        <v>67140</v>
      </c>
      <c r="C79" t="s">
        <v>89</v>
      </c>
      <c r="D79" s="12">
        <v>2</v>
      </c>
      <c r="E79" s="12">
        <v>0.68</v>
      </c>
      <c r="F79" s="16">
        <v>0</v>
      </c>
      <c r="G79" s="12"/>
      <c r="I79" s="12"/>
      <c r="K79" s="12"/>
      <c r="M79" s="12"/>
    </row>
    <row r="80" spans="1:14" x14ac:dyDescent="0.35">
      <c r="A80" t="s">
        <v>297</v>
      </c>
      <c r="G80" s="12">
        <v>5248.6869565217394</v>
      </c>
      <c r="H80">
        <v>523.202</v>
      </c>
      <c r="I80" s="12">
        <v>4219.5478260869568</v>
      </c>
      <c r="J80">
        <v>479</v>
      </c>
      <c r="K80" s="12"/>
      <c r="M80" s="12">
        <v>9468.2347826086952</v>
      </c>
      <c r="N80">
        <v>1002.202</v>
      </c>
    </row>
    <row r="81" spans="1:14" x14ac:dyDescent="0.35">
      <c r="A81">
        <v>102</v>
      </c>
      <c r="B81">
        <v>32127</v>
      </c>
      <c r="C81" t="s">
        <v>92</v>
      </c>
      <c r="D81" s="12">
        <v>11.99</v>
      </c>
      <c r="E81" s="12">
        <v>6.02</v>
      </c>
      <c r="F81" s="16">
        <v>32</v>
      </c>
      <c r="G81" s="12">
        <v>125.11304347826086</v>
      </c>
      <c r="H81">
        <v>12</v>
      </c>
      <c r="I81" s="12">
        <v>93.834782608695647</v>
      </c>
      <c r="J81">
        <v>9</v>
      </c>
      <c r="K81" s="12"/>
      <c r="M81" s="12">
        <v>218.94782608695652</v>
      </c>
      <c r="N81">
        <v>21</v>
      </c>
    </row>
    <row r="82" spans="1:14" x14ac:dyDescent="0.35">
      <c r="B82">
        <v>32152</v>
      </c>
      <c r="C82" t="s">
        <v>100</v>
      </c>
      <c r="D82" s="12">
        <v>12.99</v>
      </c>
      <c r="E82" s="12">
        <v>6.77</v>
      </c>
      <c r="F82" s="16">
        <v>6</v>
      </c>
      <c r="G82" s="12">
        <v>67.77391304347826</v>
      </c>
      <c r="H82">
        <v>6</v>
      </c>
      <c r="I82" s="12">
        <v>22.591304347826089</v>
      </c>
      <c r="J82">
        <v>2</v>
      </c>
      <c r="K82" s="12"/>
      <c r="M82" s="12">
        <v>90.365217391304355</v>
      </c>
      <c r="N82">
        <v>8</v>
      </c>
    </row>
    <row r="83" spans="1:14" x14ac:dyDescent="0.35">
      <c r="B83">
        <v>32153</v>
      </c>
      <c r="C83" t="s">
        <v>102</v>
      </c>
      <c r="D83" s="12">
        <v>8.99</v>
      </c>
      <c r="E83" s="12">
        <v>4.5599999999999996</v>
      </c>
      <c r="F83" s="16">
        <v>0</v>
      </c>
      <c r="G83" s="12">
        <v>46.904347826086955</v>
      </c>
      <c r="H83">
        <v>6</v>
      </c>
      <c r="I83" s="12">
        <v>62.539130434782606</v>
      </c>
      <c r="J83">
        <v>8</v>
      </c>
      <c r="K83" s="12"/>
      <c r="M83" s="12">
        <v>109.44347826086957</v>
      </c>
      <c r="N83">
        <v>14</v>
      </c>
    </row>
    <row r="84" spans="1:14" x14ac:dyDescent="0.35">
      <c r="B84">
        <v>32855</v>
      </c>
      <c r="C84" t="s">
        <v>110</v>
      </c>
      <c r="D84" s="12">
        <v>17.989999999999998</v>
      </c>
      <c r="E84" s="12">
        <v>9.14</v>
      </c>
      <c r="F84" s="16">
        <v>6</v>
      </c>
      <c r="G84" s="12">
        <v>46.930434782608693</v>
      </c>
      <c r="H84">
        <v>3</v>
      </c>
      <c r="I84" s="12">
        <v>31.286956521739128</v>
      </c>
      <c r="J84">
        <v>2</v>
      </c>
      <c r="K84" s="12"/>
      <c r="M84" s="12">
        <v>78.217391304347814</v>
      </c>
      <c r="N84">
        <v>5</v>
      </c>
    </row>
    <row r="85" spans="1:14" x14ac:dyDescent="0.35">
      <c r="B85">
        <v>32857</v>
      </c>
      <c r="C85" t="s">
        <v>127</v>
      </c>
      <c r="D85" s="12">
        <v>130</v>
      </c>
      <c r="E85" s="12">
        <v>68.680000000000007</v>
      </c>
      <c r="F85" s="16">
        <v>0</v>
      </c>
      <c r="G85" s="12">
        <v>113.04347826086956</v>
      </c>
      <c r="H85">
        <v>1</v>
      </c>
      <c r="I85" s="12"/>
      <c r="K85" s="12"/>
      <c r="M85" s="12">
        <v>113.04347826086956</v>
      </c>
      <c r="N85">
        <v>1</v>
      </c>
    </row>
    <row r="86" spans="1:14" x14ac:dyDescent="0.35">
      <c r="B86">
        <v>32863</v>
      </c>
      <c r="C86" t="s">
        <v>109</v>
      </c>
      <c r="D86" s="12">
        <v>17.989999999999998</v>
      </c>
      <c r="E86" s="12">
        <v>9.4</v>
      </c>
      <c r="F86" s="16">
        <v>0</v>
      </c>
      <c r="G86" s="12">
        <v>78.217391304347828</v>
      </c>
      <c r="H86">
        <v>5</v>
      </c>
      <c r="I86" s="12">
        <v>62.573913043478257</v>
      </c>
      <c r="J86">
        <v>4</v>
      </c>
      <c r="K86" s="12"/>
      <c r="M86" s="12">
        <v>140.7913043478261</v>
      </c>
      <c r="N86">
        <v>9</v>
      </c>
    </row>
    <row r="87" spans="1:14" x14ac:dyDescent="0.35">
      <c r="B87">
        <v>32864</v>
      </c>
      <c r="C87" t="s">
        <v>108</v>
      </c>
      <c r="D87" s="12">
        <v>9.99</v>
      </c>
      <c r="E87" s="12">
        <v>5</v>
      </c>
      <c r="F87" s="16">
        <v>0</v>
      </c>
      <c r="G87" s="12"/>
      <c r="I87" s="12">
        <v>34.747826086956522</v>
      </c>
      <c r="J87">
        <v>4</v>
      </c>
      <c r="K87" s="12"/>
      <c r="M87" s="12">
        <v>34.747826086956522</v>
      </c>
      <c r="N87">
        <v>4</v>
      </c>
    </row>
    <row r="88" spans="1:14" x14ac:dyDescent="0.35">
      <c r="B88">
        <v>32872</v>
      </c>
      <c r="C88" t="s">
        <v>98</v>
      </c>
      <c r="D88" s="12">
        <v>39.99</v>
      </c>
      <c r="E88" s="12">
        <v>11.79</v>
      </c>
      <c r="F88" s="16">
        <v>8</v>
      </c>
      <c r="G88" s="12">
        <v>69.547826086956519</v>
      </c>
      <c r="H88">
        <v>2</v>
      </c>
      <c r="I88" s="12"/>
      <c r="K88" s="12"/>
      <c r="M88" s="12">
        <v>69.547826086956519</v>
      </c>
      <c r="N88">
        <v>2</v>
      </c>
    </row>
    <row r="89" spans="1:14" x14ac:dyDescent="0.35">
      <c r="B89">
        <v>33013</v>
      </c>
      <c r="C89" t="s">
        <v>148</v>
      </c>
      <c r="D89" s="12">
        <v>5.99</v>
      </c>
      <c r="E89" s="12">
        <v>3.1</v>
      </c>
      <c r="F89" s="16">
        <v>0</v>
      </c>
      <c r="G89" s="12"/>
      <c r="I89" s="12">
        <v>15.626086956521739</v>
      </c>
      <c r="J89">
        <v>3</v>
      </c>
      <c r="K89" s="12"/>
      <c r="M89" s="12">
        <v>15.626086956521739</v>
      </c>
      <c r="N89">
        <v>3</v>
      </c>
    </row>
    <row r="90" spans="1:14" x14ac:dyDescent="0.35">
      <c r="B90">
        <v>33019</v>
      </c>
      <c r="C90" t="s">
        <v>112</v>
      </c>
      <c r="D90" s="12">
        <v>14.99</v>
      </c>
      <c r="E90" s="12">
        <v>5.5</v>
      </c>
      <c r="F90" s="16">
        <v>0</v>
      </c>
      <c r="G90" s="12"/>
      <c r="I90" s="12">
        <v>26.069565217391304</v>
      </c>
      <c r="J90">
        <v>2</v>
      </c>
      <c r="K90" s="12"/>
      <c r="M90" s="12">
        <v>26.069565217391304</v>
      </c>
      <c r="N90">
        <v>2</v>
      </c>
    </row>
    <row r="91" spans="1:14" x14ac:dyDescent="0.35">
      <c r="B91">
        <v>33031</v>
      </c>
      <c r="C91" t="s">
        <v>97</v>
      </c>
      <c r="D91" s="12">
        <v>17.989999999999998</v>
      </c>
      <c r="E91" s="12">
        <v>9.1199999999999992</v>
      </c>
      <c r="F91" s="16">
        <v>8</v>
      </c>
      <c r="G91" s="12">
        <v>140.7913043478261</v>
      </c>
      <c r="H91">
        <v>9</v>
      </c>
      <c r="I91" s="12"/>
      <c r="K91" s="12"/>
      <c r="M91" s="12">
        <v>140.7913043478261</v>
      </c>
      <c r="N91">
        <v>9</v>
      </c>
    </row>
    <row r="92" spans="1:14" x14ac:dyDescent="0.35">
      <c r="B92">
        <v>33995</v>
      </c>
      <c r="C92" t="s">
        <v>91</v>
      </c>
      <c r="D92" s="12">
        <v>15.99</v>
      </c>
      <c r="E92" s="12">
        <v>8.2200000000000006</v>
      </c>
      <c r="F92" s="16">
        <v>16</v>
      </c>
      <c r="G92" s="12">
        <v>278.08695652173913</v>
      </c>
      <c r="H92">
        <v>20</v>
      </c>
      <c r="I92" s="12">
        <v>97.330434782608705</v>
      </c>
      <c r="J92">
        <v>7</v>
      </c>
      <c r="K92" s="12"/>
      <c r="M92" s="12">
        <v>375.4173913043478</v>
      </c>
      <c r="N92">
        <v>27</v>
      </c>
    </row>
    <row r="93" spans="1:14" x14ac:dyDescent="0.35">
      <c r="B93">
        <v>34008</v>
      </c>
      <c r="C93" t="s">
        <v>104</v>
      </c>
      <c r="D93" s="12">
        <v>5.99</v>
      </c>
      <c r="E93" s="12">
        <v>4.32</v>
      </c>
      <c r="F93" s="16">
        <v>12</v>
      </c>
      <c r="G93" s="12">
        <v>72.921739130434787</v>
      </c>
      <c r="H93">
        <v>14</v>
      </c>
      <c r="I93" s="12">
        <v>67.713043478260872</v>
      </c>
      <c r="J93">
        <v>13</v>
      </c>
      <c r="K93" s="12"/>
      <c r="M93" s="12">
        <v>140.63478260869567</v>
      </c>
      <c r="N93">
        <v>27</v>
      </c>
    </row>
    <row r="94" spans="1:14" x14ac:dyDescent="0.35">
      <c r="B94">
        <v>34015</v>
      </c>
      <c r="C94" t="s">
        <v>106</v>
      </c>
      <c r="D94" s="12">
        <v>29.99</v>
      </c>
      <c r="E94" s="12">
        <v>3.1788888888888902</v>
      </c>
      <c r="F94" s="16">
        <v>6</v>
      </c>
      <c r="G94" s="12">
        <v>78.234782608695653</v>
      </c>
      <c r="H94">
        <v>3</v>
      </c>
      <c r="I94" s="12">
        <v>26.078260869565216</v>
      </c>
      <c r="J94">
        <v>1</v>
      </c>
      <c r="K94" s="12"/>
      <c r="M94" s="12">
        <v>104.31304347826087</v>
      </c>
      <c r="N94">
        <v>4</v>
      </c>
    </row>
    <row r="95" spans="1:14" x14ac:dyDescent="0.35">
      <c r="B95">
        <v>34102</v>
      </c>
      <c r="C95" t="s">
        <v>129</v>
      </c>
      <c r="D95" s="12">
        <v>9.99</v>
      </c>
      <c r="E95" s="12">
        <v>4.99</v>
      </c>
      <c r="F95" s="16">
        <v>0</v>
      </c>
      <c r="G95" s="12"/>
      <c r="I95" s="12">
        <v>43.434782608695656</v>
      </c>
      <c r="J95">
        <v>5</v>
      </c>
      <c r="K95" s="12"/>
      <c r="M95" s="12">
        <v>43.434782608695656</v>
      </c>
      <c r="N95">
        <v>5</v>
      </c>
    </row>
    <row r="96" spans="1:14" x14ac:dyDescent="0.35">
      <c r="B96">
        <v>38977</v>
      </c>
      <c r="C96" t="s">
        <v>95</v>
      </c>
      <c r="D96" s="12">
        <v>18.989999999999998</v>
      </c>
      <c r="E96" s="12">
        <v>9.6999999999999993</v>
      </c>
      <c r="F96" s="16">
        <v>0</v>
      </c>
      <c r="G96" s="12">
        <v>132.10434782608695</v>
      </c>
      <c r="H96">
        <v>8</v>
      </c>
      <c r="I96" s="12">
        <v>132.10434782608695</v>
      </c>
      <c r="J96">
        <v>8</v>
      </c>
      <c r="K96" s="12"/>
      <c r="M96" s="12">
        <v>264.2086956521739</v>
      </c>
      <c r="N96">
        <v>16</v>
      </c>
    </row>
    <row r="97" spans="2:14" x14ac:dyDescent="0.35">
      <c r="B97">
        <v>39422</v>
      </c>
      <c r="C97" t="s">
        <v>120</v>
      </c>
      <c r="D97" s="12">
        <v>15.99</v>
      </c>
      <c r="E97" s="12">
        <v>8.3000000000000007</v>
      </c>
      <c r="F97" s="16">
        <v>6</v>
      </c>
      <c r="G97" s="12">
        <v>13.904347826086957</v>
      </c>
      <c r="H97">
        <v>1</v>
      </c>
      <c r="I97" s="12">
        <v>13.904347826086957</v>
      </c>
      <c r="J97">
        <v>1</v>
      </c>
      <c r="K97" s="12"/>
      <c r="M97" s="12">
        <v>27.808695652173913</v>
      </c>
      <c r="N97">
        <v>2</v>
      </c>
    </row>
    <row r="98" spans="2:14" x14ac:dyDescent="0.35">
      <c r="B98">
        <v>42797</v>
      </c>
      <c r="C98" t="s">
        <v>99</v>
      </c>
      <c r="D98" s="12">
        <v>11.99</v>
      </c>
      <c r="E98" s="12">
        <v>4.84</v>
      </c>
      <c r="F98" s="16">
        <v>0</v>
      </c>
      <c r="G98" s="12">
        <v>250.22608695652173</v>
      </c>
      <c r="H98">
        <v>24</v>
      </c>
      <c r="I98" s="12">
        <v>145.96521739130435</v>
      </c>
      <c r="J98">
        <v>14</v>
      </c>
      <c r="K98" s="12"/>
      <c r="M98" s="12">
        <v>396.19130434782608</v>
      </c>
      <c r="N98">
        <v>38</v>
      </c>
    </row>
    <row r="99" spans="2:14" x14ac:dyDescent="0.35">
      <c r="E99" s="12">
        <v>5.12</v>
      </c>
      <c r="F99" s="16">
        <v>10</v>
      </c>
      <c r="G99" s="12">
        <v>250.22608695652173</v>
      </c>
      <c r="H99">
        <v>24</v>
      </c>
      <c r="I99" s="12">
        <v>145.96521739130435</v>
      </c>
      <c r="J99">
        <v>14</v>
      </c>
      <c r="K99" s="12"/>
      <c r="M99" s="12">
        <v>396.19130434782608</v>
      </c>
      <c r="N99">
        <v>38</v>
      </c>
    </row>
    <row r="100" spans="2:14" x14ac:dyDescent="0.35">
      <c r="B100">
        <v>42990</v>
      </c>
      <c r="C100" t="s">
        <v>93</v>
      </c>
      <c r="D100" s="12">
        <v>19.989999999999998</v>
      </c>
      <c r="E100" s="12">
        <v>10.85</v>
      </c>
      <c r="F100" s="16">
        <v>16</v>
      </c>
      <c r="G100" s="12">
        <v>121.67826086956522</v>
      </c>
      <c r="H100">
        <v>7</v>
      </c>
      <c r="I100" s="12">
        <v>173.82608695652175</v>
      </c>
      <c r="J100">
        <v>10</v>
      </c>
      <c r="K100" s="12"/>
      <c r="M100" s="12">
        <v>295.50434782608698</v>
      </c>
      <c r="N100">
        <v>17</v>
      </c>
    </row>
    <row r="101" spans="2:14" x14ac:dyDescent="0.35">
      <c r="B101">
        <v>48620</v>
      </c>
      <c r="C101" t="s">
        <v>153</v>
      </c>
      <c r="D101" s="12">
        <v>37.99</v>
      </c>
      <c r="E101" s="12">
        <v>16.841833333333302</v>
      </c>
      <c r="F101" s="16">
        <v>0</v>
      </c>
      <c r="G101" s="12"/>
      <c r="I101" s="12">
        <v>66.0695652173913</v>
      </c>
      <c r="J101">
        <v>2</v>
      </c>
      <c r="K101" s="12"/>
      <c r="M101" s="12">
        <v>66.0695652173913</v>
      </c>
      <c r="N101">
        <v>2</v>
      </c>
    </row>
    <row r="102" spans="2:14" x14ac:dyDescent="0.35">
      <c r="E102" s="12">
        <v>19.462499999999999</v>
      </c>
      <c r="F102" s="16">
        <v>0</v>
      </c>
      <c r="G102" s="12"/>
      <c r="I102" s="12">
        <v>66.0695652173913</v>
      </c>
      <c r="J102">
        <v>2</v>
      </c>
      <c r="K102" s="12"/>
      <c r="M102" s="12">
        <v>66.0695652173913</v>
      </c>
      <c r="N102">
        <v>2</v>
      </c>
    </row>
    <row r="103" spans="2:14" x14ac:dyDescent="0.35">
      <c r="B103">
        <v>52943</v>
      </c>
      <c r="C103" t="s">
        <v>90</v>
      </c>
      <c r="D103" s="12">
        <v>31.99</v>
      </c>
      <c r="E103" s="12">
        <v>15.17</v>
      </c>
      <c r="F103" s="16">
        <v>213</v>
      </c>
      <c r="G103" s="12">
        <v>194.04347826086956</v>
      </c>
      <c r="H103">
        <v>6.976</v>
      </c>
      <c r="I103" s="12">
        <v>133.09565217391304</v>
      </c>
      <c r="J103">
        <v>4.7850000000000001</v>
      </c>
      <c r="K103" s="12"/>
      <c r="M103" s="12">
        <v>327.1391304347826</v>
      </c>
      <c r="N103">
        <v>11.760999999999999</v>
      </c>
    </row>
    <row r="104" spans="2:14" x14ac:dyDescent="0.35">
      <c r="B104">
        <v>55095</v>
      </c>
      <c r="C104" t="s">
        <v>116</v>
      </c>
      <c r="D104" s="12">
        <v>5</v>
      </c>
      <c r="E104" s="12">
        <v>1.38</v>
      </c>
      <c r="F104" s="16">
        <v>0</v>
      </c>
      <c r="G104" s="12"/>
      <c r="I104" s="12">
        <v>30.434782608695652</v>
      </c>
      <c r="J104">
        <v>7</v>
      </c>
      <c r="K104" s="12"/>
      <c r="M104" s="12">
        <v>30.434782608695652</v>
      </c>
      <c r="N104">
        <v>7</v>
      </c>
    </row>
    <row r="105" spans="2:14" x14ac:dyDescent="0.35">
      <c r="B105">
        <v>55481</v>
      </c>
      <c r="C105" t="s">
        <v>105</v>
      </c>
      <c r="D105" s="12">
        <v>11.99</v>
      </c>
      <c r="E105" s="12">
        <v>5.0999999999999996</v>
      </c>
      <c r="F105" s="16">
        <v>6</v>
      </c>
      <c r="G105" s="12">
        <v>83.408695652173918</v>
      </c>
      <c r="H105">
        <v>8</v>
      </c>
      <c r="I105" s="12">
        <v>52.130434782608695</v>
      </c>
      <c r="J105">
        <v>5</v>
      </c>
      <c r="K105" s="12"/>
      <c r="M105" s="12">
        <v>135.53913043478261</v>
      </c>
      <c r="N105">
        <v>13</v>
      </c>
    </row>
    <row r="106" spans="2:14" x14ac:dyDescent="0.35">
      <c r="B106">
        <v>58147</v>
      </c>
      <c r="C106" t="s">
        <v>146</v>
      </c>
      <c r="D106" s="12">
        <v>16.989999999999998</v>
      </c>
      <c r="E106" s="12">
        <v>7.99</v>
      </c>
      <c r="F106" s="16">
        <v>0</v>
      </c>
      <c r="G106" s="12">
        <v>14.77391304347826</v>
      </c>
      <c r="H106">
        <v>1</v>
      </c>
      <c r="I106" s="12"/>
      <c r="K106" s="12"/>
      <c r="M106" s="12">
        <v>14.77391304347826</v>
      </c>
      <c r="N106">
        <v>1</v>
      </c>
    </row>
    <row r="107" spans="2:14" x14ac:dyDescent="0.35">
      <c r="B107">
        <v>59477</v>
      </c>
      <c r="C107" t="s">
        <v>159</v>
      </c>
      <c r="D107" s="12">
        <v>5.99</v>
      </c>
      <c r="E107" s="12">
        <v>3.1</v>
      </c>
      <c r="F107" s="16">
        <v>0</v>
      </c>
      <c r="G107" s="12"/>
      <c r="I107" s="12">
        <v>10.417391304347827</v>
      </c>
      <c r="J107">
        <v>2</v>
      </c>
      <c r="K107" s="12"/>
      <c r="M107" s="12">
        <v>10.417391304347827</v>
      </c>
      <c r="N107">
        <v>2</v>
      </c>
    </row>
    <row r="108" spans="2:14" x14ac:dyDescent="0.35">
      <c r="B108">
        <v>61937</v>
      </c>
      <c r="C108" t="s">
        <v>122</v>
      </c>
      <c r="D108" s="12">
        <v>10</v>
      </c>
      <c r="E108" s="12">
        <v>2.67</v>
      </c>
      <c r="F108" s="16">
        <v>10</v>
      </c>
      <c r="G108" s="12">
        <v>104.34782608695652</v>
      </c>
      <c r="H108">
        <v>12</v>
      </c>
      <c r="I108" s="12"/>
      <c r="K108" s="12"/>
      <c r="M108" s="12">
        <v>104.34782608695652</v>
      </c>
      <c r="N108">
        <v>12</v>
      </c>
    </row>
    <row r="109" spans="2:14" x14ac:dyDescent="0.35">
      <c r="B109">
        <v>61938</v>
      </c>
      <c r="C109" t="s">
        <v>124</v>
      </c>
      <c r="D109" s="12">
        <v>10</v>
      </c>
      <c r="E109" s="12">
        <v>3.43</v>
      </c>
      <c r="F109" s="16">
        <v>12</v>
      </c>
      <c r="G109" s="12">
        <v>26.086956521739129</v>
      </c>
      <c r="H109">
        <v>3</v>
      </c>
      <c r="I109" s="12"/>
      <c r="K109" s="12"/>
      <c r="M109" s="12">
        <v>26.086956521739129</v>
      </c>
      <c r="N109">
        <v>3</v>
      </c>
    </row>
    <row r="110" spans="2:14" x14ac:dyDescent="0.35">
      <c r="B110">
        <v>61939</v>
      </c>
      <c r="C110" t="s">
        <v>101</v>
      </c>
      <c r="D110" s="12">
        <v>10</v>
      </c>
      <c r="E110" s="12">
        <v>5.09</v>
      </c>
      <c r="F110" s="16">
        <v>24</v>
      </c>
      <c r="G110" s="12"/>
      <c r="I110" s="12">
        <v>147.82608695652175</v>
      </c>
      <c r="J110">
        <v>17</v>
      </c>
      <c r="K110" s="12"/>
      <c r="M110" s="12">
        <v>147.82608695652175</v>
      </c>
      <c r="N110">
        <v>17</v>
      </c>
    </row>
    <row r="111" spans="2:14" x14ac:dyDescent="0.35">
      <c r="B111">
        <v>32131</v>
      </c>
      <c r="C111" t="s">
        <v>94</v>
      </c>
      <c r="D111" s="12">
        <v>18.989999999999998</v>
      </c>
      <c r="E111" s="12">
        <v>9.1300000000000008</v>
      </c>
      <c r="F111" s="16">
        <v>8</v>
      </c>
      <c r="G111" s="12"/>
      <c r="I111" s="12"/>
      <c r="K111" s="12"/>
      <c r="M111" s="12"/>
    </row>
    <row r="112" spans="2:14" x14ac:dyDescent="0.35">
      <c r="B112">
        <v>32128</v>
      </c>
      <c r="C112" t="s">
        <v>96</v>
      </c>
      <c r="D112" s="12">
        <v>18.989999999999998</v>
      </c>
      <c r="E112" s="12">
        <v>11</v>
      </c>
      <c r="F112" s="16">
        <v>0</v>
      </c>
      <c r="G112" s="12"/>
      <c r="I112" s="12"/>
      <c r="K112" s="12"/>
      <c r="M112" s="12"/>
    </row>
    <row r="113" spans="2:13" x14ac:dyDescent="0.35">
      <c r="B113">
        <v>40065</v>
      </c>
      <c r="C113" t="s">
        <v>103</v>
      </c>
      <c r="D113" s="12">
        <v>27.99</v>
      </c>
      <c r="E113" s="12">
        <v>15.7</v>
      </c>
      <c r="F113" s="16">
        <v>0</v>
      </c>
      <c r="G113" s="12"/>
      <c r="I113" s="12"/>
      <c r="K113" s="12"/>
      <c r="M113" s="12"/>
    </row>
    <row r="114" spans="2:13" x14ac:dyDescent="0.35">
      <c r="B114">
        <v>48861</v>
      </c>
      <c r="C114" t="s">
        <v>111</v>
      </c>
      <c r="D114" s="12">
        <v>50</v>
      </c>
      <c r="E114" s="12">
        <v>30</v>
      </c>
      <c r="F114" s="16">
        <v>0</v>
      </c>
      <c r="G114" s="12"/>
      <c r="I114" s="12"/>
      <c r="K114" s="12"/>
      <c r="M114" s="12"/>
    </row>
    <row r="115" spans="2:13" x14ac:dyDescent="0.35">
      <c r="B115">
        <v>33023</v>
      </c>
      <c r="C115" t="s">
        <v>113</v>
      </c>
      <c r="D115" s="12">
        <v>19.989999999999998</v>
      </c>
      <c r="E115" s="12">
        <v>10.23</v>
      </c>
      <c r="F115" s="16">
        <v>0</v>
      </c>
      <c r="G115" s="12"/>
      <c r="I115" s="12"/>
      <c r="K115" s="12"/>
      <c r="M115" s="12"/>
    </row>
    <row r="116" spans="2:13" x14ac:dyDescent="0.35">
      <c r="B116">
        <v>32066</v>
      </c>
      <c r="C116" t="s">
        <v>114</v>
      </c>
      <c r="D116" s="12">
        <v>10</v>
      </c>
      <c r="E116" s="12">
        <v>4.5</v>
      </c>
      <c r="F116" s="16">
        <v>0</v>
      </c>
      <c r="G116" s="12"/>
      <c r="I116" s="12"/>
      <c r="K116" s="12"/>
      <c r="M116" s="12"/>
    </row>
    <row r="117" spans="2:13" x14ac:dyDescent="0.35">
      <c r="B117">
        <v>34039</v>
      </c>
      <c r="C117" t="s">
        <v>115</v>
      </c>
      <c r="D117" s="12">
        <v>11.99</v>
      </c>
      <c r="E117" s="12">
        <v>5.62</v>
      </c>
      <c r="F117" s="16">
        <v>0</v>
      </c>
      <c r="G117" s="12"/>
      <c r="I117" s="12"/>
      <c r="K117" s="12"/>
      <c r="M117" s="12"/>
    </row>
    <row r="118" spans="2:13" x14ac:dyDescent="0.35">
      <c r="B118">
        <v>61940</v>
      </c>
      <c r="C118" t="s">
        <v>117</v>
      </c>
      <c r="D118" s="12">
        <v>10</v>
      </c>
      <c r="E118" s="12">
        <v>3.28</v>
      </c>
      <c r="F118" s="16">
        <v>0</v>
      </c>
      <c r="G118" s="12"/>
      <c r="I118" s="12"/>
      <c r="K118" s="12"/>
      <c r="M118" s="12"/>
    </row>
    <row r="119" spans="2:13" x14ac:dyDescent="0.35">
      <c r="B119">
        <v>32149</v>
      </c>
      <c r="C119" t="s">
        <v>118</v>
      </c>
      <c r="D119" s="12">
        <v>24.99</v>
      </c>
      <c r="E119" s="12">
        <v>13</v>
      </c>
      <c r="F119" s="16">
        <v>0</v>
      </c>
      <c r="G119" s="12"/>
      <c r="I119" s="12"/>
      <c r="K119" s="12"/>
      <c r="M119" s="12"/>
    </row>
    <row r="120" spans="2:13" x14ac:dyDescent="0.35">
      <c r="B120">
        <v>33036</v>
      </c>
      <c r="C120" t="s">
        <v>119</v>
      </c>
      <c r="D120" s="12">
        <v>400</v>
      </c>
      <c r="E120" s="12">
        <v>204.01</v>
      </c>
      <c r="F120" s="16">
        <v>0</v>
      </c>
      <c r="G120" s="12"/>
      <c r="I120" s="12"/>
      <c r="K120" s="12"/>
      <c r="M120" s="12"/>
    </row>
    <row r="121" spans="2:13" x14ac:dyDescent="0.35">
      <c r="B121">
        <v>33025</v>
      </c>
      <c r="C121" t="s">
        <v>121</v>
      </c>
      <c r="D121" s="12">
        <v>5.99</v>
      </c>
      <c r="E121" s="12">
        <v>2.95</v>
      </c>
      <c r="F121" s="16">
        <v>0</v>
      </c>
      <c r="G121" s="12"/>
      <c r="I121" s="12"/>
      <c r="K121" s="12"/>
      <c r="M121" s="12"/>
    </row>
    <row r="122" spans="2:13" x14ac:dyDescent="0.35">
      <c r="B122">
        <v>61942</v>
      </c>
      <c r="C122" t="s">
        <v>123</v>
      </c>
      <c r="D122" s="12">
        <v>10</v>
      </c>
      <c r="E122" s="12">
        <v>3.73</v>
      </c>
      <c r="F122" s="16">
        <v>0</v>
      </c>
      <c r="G122" s="12"/>
      <c r="I122" s="12"/>
      <c r="K122" s="12"/>
      <c r="M122" s="12"/>
    </row>
    <row r="123" spans="2:13" x14ac:dyDescent="0.35">
      <c r="B123">
        <v>53212</v>
      </c>
      <c r="C123" t="s">
        <v>125</v>
      </c>
      <c r="D123" s="12">
        <v>29.99</v>
      </c>
      <c r="E123" s="12">
        <v>15.38</v>
      </c>
      <c r="F123" s="16">
        <v>0</v>
      </c>
      <c r="G123" s="12"/>
      <c r="I123" s="12"/>
      <c r="K123" s="12"/>
      <c r="M123" s="12"/>
    </row>
    <row r="124" spans="2:13" x14ac:dyDescent="0.35">
      <c r="B124">
        <v>53410</v>
      </c>
      <c r="C124" t="s">
        <v>126</v>
      </c>
      <c r="D124" s="12">
        <v>52</v>
      </c>
      <c r="E124" s="12">
        <v>28.2</v>
      </c>
      <c r="F124" s="16">
        <v>0</v>
      </c>
      <c r="G124" s="12"/>
      <c r="I124" s="12"/>
      <c r="K124" s="12"/>
      <c r="M124" s="12"/>
    </row>
    <row r="125" spans="2:13" x14ac:dyDescent="0.35">
      <c r="B125">
        <v>32150</v>
      </c>
      <c r="C125" t="s">
        <v>128</v>
      </c>
      <c r="D125" s="12">
        <v>8.99</v>
      </c>
      <c r="E125" s="12">
        <v>4.53</v>
      </c>
      <c r="F125" s="16">
        <v>0</v>
      </c>
      <c r="G125" s="12"/>
      <c r="I125" s="12"/>
      <c r="K125" s="12"/>
      <c r="M125" s="12"/>
    </row>
    <row r="126" spans="2:13" x14ac:dyDescent="0.35">
      <c r="B126">
        <v>53226</v>
      </c>
      <c r="C126" t="s">
        <v>130</v>
      </c>
      <c r="D126" s="12">
        <v>15.99</v>
      </c>
      <c r="E126" s="12">
        <v>5.13</v>
      </c>
      <c r="F126" s="16">
        <v>0</v>
      </c>
      <c r="G126" s="12"/>
      <c r="I126" s="12"/>
      <c r="K126" s="12"/>
      <c r="M126" s="12"/>
    </row>
    <row r="127" spans="2:13" x14ac:dyDescent="0.35">
      <c r="B127">
        <v>34106</v>
      </c>
      <c r="C127" t="s">
        <v>131</v>
      </c>
      <c r="D127" s="12">
        <v>11.99</v>
      </c>
      <c r="E127" s="12">
        <v>6.35</v>
      </c>
      <c r="F127" s="16">
        <v>0</v>
      </c>
      <c r="G127" s="12"/>
      <c r="I127" s="12"/>
      <c r="K127" s="12"/>
      <c r="M127" s="12"/>
    </row>
    <row r="128" spans="2:13" x14ac:dyDescent="0.35">
      <c r="B128">
        <v>50682</v>
      </c>
      <c r="C128" t="s">
        <v>132</v>
      </c>
      <c r="D128" s="12">
        <v>15.99</v>
      </c>
      <c r="E128" s="12">
        <v>7.86</v>
      </c>
      <c r="F128" s="16">
        <v>0</v>
      </c>
      <c r="G128" s="12"/>
      <c r="I128" s="12"/>
      <c r="K128" s="12"/>
      <c r="M128" s="12"/>
    </row>
    <row r="129" spans="2:13" x14ac:dyDescent="0.35">
      <c r="B129">
        <v>54430</v>
      </c>
      <c r="C129" t="s">
        <v>133</v>
      </c>
      <c r="D129" s="12">
        <v>21.99</v>
      </c>
      <c r="E129" s="12">
        <v>9.9600000000000009</v>
      </c>
      <c r="F129" s="16">
        <v>0</v>
      </c>
      <c r="G129" s="12"/>
      <c r="I129" s="12"/>
      <c r="K129" s="12"/>
      <c r="M129" s="12"/>
    </row>
    <row r="130" spans="2:13" x14ac:dyDescent="0.35">
      <c r="B130">
        <v>34120</v>
      </c>
      <c r="C130" t="s">
        <v>134</v>
      </c>
      <c r="D130" s="12">
        <v>8.99</v>
      </c>
      <c r="E130" s="12">
        <v>4.99</v>
      </c>
      <c r="F130" s="16">
        <v>0</v>
      </c>
      <c r="G130" s="12"/>
      <c r="I130" s="12"/>
      <c r="K130" s="12"/>
      <c r="M130" s="12"/>
    </row>
    <row r="131" spans="2:13" x14ac:dyDescent="0.35">
      <c r="B131">
        <v>59058</v>
      </c>
      <c r="C131" t="s">
        <v>135</v>
      </c>
      <c r="D131" s="12">
        <v>5.99</v>
      </c>
      <c r="E131" s="12">
        <v>3.1</v>
      </c>
      <c r="F131" s="16">
        <v>0</v>
      </c>
      <c r="G131" s="12"/>
      <c r="I131" s="12"/>
      <c r="K131" s="12"/>
      <c r="M131" s="12"/>
    </row>
    <row r="132" spans="2:13" x14ac:dyDescent="0.35">
      <c r="B132">
        <v>53225</v>
      </c>
      <c r="C132" t="s">
        <v>136</v>
      </c>
      <c r="D132" s="12">
        <v>17.989999999999998</v>
      </c>
      <c r="E132" s="12">
        <v>10.039999999999999</v>
      </c>
      <c r="F132" s="16">
        <v>0</v>
      </c>
      <c r="G132" s="12"/>
      <c r="I132" s="12"/>
      <c r="K132" s="12"/>
      <c r="M132" s="12"/>
    </row>
    <row r="133" spans="2:13" x14ac:dyDescent="0.35">
      <c r="B133">
        <v>53141</v>
      </c>
      <c r="C133" t="s">
        <v>137</v>
      </c>
      <c r="D133" s="12">
        <v>9.99</v>
      </c>
      <c r="E133" s="12">
        <v>3.26</v>
      </c>
      <c r="F133" s="16">
        <v>0</v>
      </c>
      <c r="G133" s="12"/>
      <c r="I133" s="12"/>
      <c r="K133" s="12"/>
      <c r="M133" s="12"/>
    </row>
    <row r="134" spans="2:13" x14ac:dyDescent="0.35">
      <c r="B134">
        <v>63394</v>
      </c>
      <c r="C134" t="s">
        <v>138</v>
      </c>
      <c r="D134" s="12">
        <v>26.97</v>
      </c>
      <c r="E134" s="12">
        <v>13.68</v>
      </c>
      <c r="F134" s="16">
        <v>0</v>
      </c>
      <c r="G134" s="12"/>
      <c r="I134" s="12"/>
      <c r="K134" s="12"/>
      <c r="M134" s="12"/>
    </row>
    <row r="135" spans="2:13" x14ac:dyDescent="0.35">
      <c r="B135">
        <v>32869</v>
      </c>
      <c r="C135" t="s">
        <v>139</v>
      </c>
      <c r="D135" s="12">
        <v>3.5</v>
      </c>
      <c r="E135" s="12">
        <v>2.12</v>
      </c>
      <c r="F135" s="16">
        <v>0</v>
      </c>
      <c r="G135" s="12"/>
      <c r="I135" s="12"/>
      <c r="K135" s="12"/>
      <c r="M135" s="12"/>
    </row>
    <row r="136" spans="2:13" x14ac:dyDescent="0.35">
      <c r="B136">
        <v>34074</v>
      </c>
      <c r="C136" t="s">
        <v>140</v>
      </c>
      <c r="D136" s="12">
        <v>21.99</v>
      </c>
      <c r="E136" s="12">
        <v>12.33</v>
      </c>
      <c r="F136" s="16">
        <v>0</v>
      </c>
      <c r="G136" s="12"/>
      <c r="I136" s="12"/>
      <c r="K136" s="12"/>
      <c r="M136" s="12"/>
    </row>
    <row r="137" spans="2:13" x14ac:dyDescent="0.35">
      <c r="B137">
        <v>34139</v>
      </c>
      <c r="C137" t="s">
        <v>141</v>
      </c>
      <c r="D137" s="12">
        <v>49.99</v>
      </c>
      <c r="E137" s="12">
        <v>26.72</v>
      </c>
      <c r="F137" s="16">
        <v>0</v>
      </c>
      <c r="G137" s="12"/>
      <c r="I137" s="12"/>
      <c r="K137" s="12"/>
      <c r="M137" s="12"/>
    </row>
    <row r="138" spans="2:13" x14ac:dyDescent="0.35">
      <c r="B138">
        <v>62499</v>
      </c>
      <c r="C138" t="s">
        <v>142</v>
      </c>
      <c r="D138" s="12">
        <v>12.99</v>
      </c>
      <c r="E138" s="12">
        <v>6.69</v>
      </c>
      <c r="F138" s="16">
        <v>0</v>
      </c>
      <c r="G138" s="12"/>
      <c r="I138" s="12"/>
      <c r="K138" s="12"/>
      <c r="M138" s="12"/>
    </row>
    <row r="139" spans="2:13" x14ac:dyDescent="0.35">
      <c r="B139">
        <v>61941</v>
      </c>
      <c r="C139" t="s">
        <v>143</v>
      </c>
      <c r="D139" s="12">
        <v>10</v>
      </c>
      <c r="E139" s="12">
        <v>3.4432999999999998</v>
      </c>
      <c r="F139" s="16">
        <v>0</v>
      </c>
      <c r="G139" s="12"/>
      <c r="I139" s="12"/>
      <c r="K139" s="12"/>
      <c r="M139" s="12"/>
    </row>
    <row r="140" spans="2:13" x14ac:dyDescent="0.35">
      <c r="B140">
        <v>34090</v>
      </c>
      <c r="C140" t="s">
        <v>144</v>
      </c>
      <c r="D140" s="12">
        <v>3.99</v>
      </c>
      <c r="E140" s="12">
        <v>1.3</v>
      </c>
      <c r="F140" s="16">
        <v>0</v>
      </c>
      <c r="G140" s="12"/>
      <c r="I140" s="12"/>
      <c r="K140" s="12"/>
      <c r="M140" s="12"/>
    </row>
    <row r="141" spans="2:13" x14ac:dyDescent="0.35">
      <c r="B141">
        <v>55482</v>
      </c>
      <c r="C141" t="s">
        <v>145</v>
      </c>
      <c r="D141" s="12">
        <v>13.99</v>
      </c>
      <c r="E141" s="12">
        <v>5.44</v>
      </c>
      <c r="F141" s="16">
        <v>0</v>
      </c>
      <c r="G141" s="12"/>
      <c r="I141" s="12"/>
      <c r="K141" s="12"/>
      <c r="M141" s="12"/>
    </row>
    <row r="142" spans="2:13" x14ac:dyDescent="0.35">
      <c r="B142">
        <v>53119</v>
      </c>
      <c r="C142" t="s">
        <v>147</v>
      </c>
      <c r="D142" s="12">
        <v>4.99</v>
      </c>
      <c r="E142" s="12">
        <v>1.29</v>
      </c>
      <c r="F142" s="16">
        <v>0</v>
      </c>
      <c r="G142" s="12"/>
      <c r="I142" s="12"/>
      <c r="K142" s="12"/>
      <c r="M142" s="12"/>
    </row>
    <row r="143" spans="2:13" x14ac:dyDescent="0.35">
      <c r="B143">
        <v>33012</v>
      </c>
      <c r="C143" t="s">
        <v>149</v>
      </c>
      <c r="D143" s="12">
        <v>47.99</v>
      </c>
      <c r="E143" s="12">
        <v>27.08</v>
      </c>
      <c r="F143" s="16">
        <v>0</v>
      </c>
      <c r="G143" s="12"/>
      <c r="I143" s="12"/>
      <c r="K143" s="12"/>
      <c r="M143" s="12"/>
    </row>
    <row r="144" spans="2:13" x14ac:dyDescent="0.35">
      <c r="B144">
        <v>34061</v>
      </c>
      <c r="C144" t="s">
        <v>150</v>
      </c>
      <c r="D144" s="12">
        <v>39.99</v>
      </c>
      <c r="E144" s="12">
        <v>17.68</v>
      </c>
      <c r="F144" s="16">
        <v>0</v>
      </c>
      <c r="G144" s="12"/>
      <c r="I144" s="12"/>
      <c r="K144" s="12"/>
      <c r="M144" s="12"/>
    </row>
    <row r="145" spans="2:13" x14ac:dyDescent="0.35">
      <c r="B145">
        <v>62290</v>
      </c>
      <c r="C145" t="s">
        <v>151</v>
      </c>
      <c r="D145" s="12">
        <v>10</v>
      </c>
      <c r="E145" s="12">
        <v>3.77</v>
      </c>
      <c r="F145" s="16">
        <v>0</v>
      </c>
      <c r="G145" s="12"/>
      <c r="I145" s="12"/>
      <c r="K145" s="12"/>
      <c r="M145" s="12"/>
    </row>
    <row r="146" spans="2:13" x14ac:dyDescent="0.35">
      <c r="B146">
        <v>46909</v>
      </c>
      <c r="C146" t="s">
        <v>152</v>
      </c>
      <c r="D146" s="12">
        <v>10.99</v>
      </c>
      <c r="E146" s="12">
        <v>5.7054999999999998</v>
      </c>
      <c r="F146" s="16">
        <v>0</v>
      </c>
      <c r="G146" s="12"/>
      <c r="I146" s="12"/>
      <c r="K146" s="12"/>
      <c r="M146" s="12"/>
    </row>
    <row r="147" spans="2:13" x14ac:dyDescent="0.35">
      <c r="B147">
        <v>61943</v>
      </c>
      <c r="C147" t="s">
        <v>154</v>
      </c>
      <c r="D147" s="12">
        <v>10</v>
      </c>
      <c r="E147" s="12">
        <v>3.71</v>
      </c>
      <c r="F147" s="16">
        <v>0</v>
      </c>
      <c r="G147" s="12"/>
      <c r="I147" s="12"/>
      <c r="K147" s="12"/>
      <c r="M147" s="12"/>
    </row>
    <row r="148" spans="2:13" x14ac:dyDescent="0.35">
      <c r="B148">
        <v>66952</v>
      </c>
      <c r="C148" t="s">
        <v>155</v>
      </c>
      <c r="D148" s="12">
        <v>29.99</v>
      </c>
      <c r="E148" s="12">
        <v>28.95</v>
      </c>
      <c r="F148" s="16">
        <v>0</v>
      </c>
      <c r="G148" s="12"/>
      <c r="I148" s="12"/>
      <c r="K148" s="12"/>
      <c r="M148" s="12"/>
    </row>
    <row r="149" spans="2:13" x14ac:dyDescent="0.35">
      <c r="B149">
        <v>53210</v>
      </c>
      <c r="C149" t="s">
        <v>156</v>
      </c>
      <c r="D149" s="12">
        <v>100</v>
      </c>
      <c r="E149" s="12">
        <v>22.26</v>
      </c>
      <c r="F149" s="16">
        <v>0</v>
      </c>
      <c r="G149" s="12"/>
      <c r="I149" s="12"/>
      <c r="K149" s="12"/>
      <c r="M149" s="12"/>
    </row>
    <row r="150" spans="2:13" x14ac:dyDescent="0.35">
      <c r="B150">
        <v>34037</v>
      </c>
      <c r="C150" t="s">
        <v>157</v>
      </c>
      <c r="D150" s="12">
        <v>29.99</v>
      </c>
      <c r="E150" s="12">
        <v>16.43</v>
      </c>
      <c r="F150" s="16">
        <v>0</v>
      </c>
      <c r="G150" s="12"/>
      <c r="I150" s="12"/>
      <c r="K150" s="12"/>
      <c r="M150" s="12"/>
    </row>
    <row r="151" spans="2:13" x14ac:dyDescent="0.35">
      <c r="B151">
        <v>59221</v>
      </c>
      <c r="C151" t="s">
        <v>158</v>
      </c>
      <c r="D151" s="12">
        <v>5.99</v>
      </c>
      <c r="E151" s="12">
        <v>3.1</v>
      </c>
      <c r="F151" s="16">
        <v>0</v>
      </c>
      <c r="G151" s="12"/>
      <c r="I151" s="12"/>
      <c r="K151" s="12"/>
      <c r="M151" s="12"/>
    </row>
    <row r="152" spans="2:13" x14ac:dyDescent="0.35">
      <c r="B152">
        <v>33032</v>
      </c>
      <c r="C152" t="s">
        <v>160</v>
      </c>
      <c r="D152" s="12">
        <v>28.99</v>
      </c>
      <c r="E152" s="12">
        <v>12.413</v>
      </c>
      <c r="F152" s="16">
        <v>0</v>
      </c>
      <c r="G152" s="12"/>
      <c r="I152" s="12"/>
      <c r="K152" s="12"/>
      <c r="M152" s="12"/>
    </row>
    <row r="153" spans="2:13" x14ac:dyDescent="0.35">
      <c r="E153" s="12">
        <v>14.6126666666667</v>
      </c>
      <c r="F153" s="16">
        <v>0</v>
      </c>
      <c r="G153" s="12"/>
      <c r="I153" s="12"/>
      <c r="K153" s="12"/>
      <c r="M153" s="12"/>
    </row>
    <row r="154" spans="2:13" x14ac:dyDescent="0.35">
      <c r="B154">
        <v>46797</v>
      </c>
      <c r="C154" t="s">
        <v>161</v>
      </c>
      <c r="D154" s="12">
        <v>39.99</v>
      </c>
      <c r="E154" s="12">
        <v>25</v>
      </c>
      <c r="F154" s="16">
        <v>0</v>
      </c>
      <c r="G154" s="12"/>
      <c r="I154" s="12"/>
      <c r="K154" s="12"/>
      <c r="M154" s="12"/>
    </row>
    <row r="155" spans="2:13" x14ac:dyDescent="0.35">
      <c r="B155">
        <v>32125</v>
      </c>
      <c r="C155" t="s">
        <v>162</v>
      </c>
      <c r="D155" s="12">
        <v>3</v>
      </c>
      <c r="E155" s="12">
        <v>1.29</v>
      </c>
      <c r="F155" s="16">
        <v>0</v>
      </c>
      <c r="G155" s="12"/>
      <c r="I155" s="12"/>
      <c r="K155" s="12"/>
      <c r="M155" s="12"/>
    </row>
    <row r="156" spans="2:13" x14ac:dyDescent="0.35">
      <c r="B156">
        <v>59220</v>
      </c>
      <c r="C156" t="s">
        <v>163</v>
      </c>
      <c r="D156" s="12">
        <v>5.99</v>
      </c>
      <c r="E156" s="12">
        <v>3.1</v>
      </c>
      <c r="F156" s="16">
        <v>0</v>
      </c>
      <c r="G156" s="12"/>
      <c r="I156" s="12"/>
      <c r="K156" s="12"/>
      <c r="M156" s="12"/>
    </row>
    <row r="157" spans="2:13" x14ac:dyDescent="0.35">
      <c r="B157">
        <v>32151</v>
      </c>
      <c r="C157" t="s">
        <v>164</v>
      </c>
      <c r="D157" s="12">
        <v>12.99</v>
      </c>
      <c r="E157" s="12">
        <v>6.88</v>
      </c>
      <c r="F157" s="16">
        <v>0</v>
      </c>
      <c r="G157" s="12"/>
      <c r="I157" s="12"/>
      <c r="K157" s="12"/>
      <c r="M157" s="12"/>
    </row>
    <row r="158" spans="2:13" x14ac:dyDescent="0.35">
      <c r="B158">
        <v>62623</v>
      </c>
      <c r="C158" t="s">
        <v>165</v>
      </c>
      <c r="D158" s="12">
        <v>15.99</v>
      </c>
      <c r="E158" s="12">
        <v>8.31</v>
      </c>
      <c r="F158" s="16">
        <v>0</v>
      </c>
      <c r="G158" s="12"/>
      <c r="I158" s="12"/>
      <c r="K158" s="12"/>
      <c r="M158" s="12"/>
    </row>
    <row r="159" spans="2:13" x14ac:dyDescent="0.35">
      <c r="B159">
        <v>66951</v>
      </c>
      <c r="C159" t="s">
        <v>166</v>
      </c>
      <c r="D159" s="12">
        <v>29.99</v>
      </c>
      <c r="E159" s="12">
        <v>28.95</v>
      </c>
      <c r="F159" s="16">
        <v>0</v>
      </c>
      <c r="G159" s="12"/>
      <c r="I159" s="12"/>
      <c r="K159" s="12"/>
      <c r="M159" s="12"/>
    </row>
    <row r="160" spans="2:13" x14ac:dyDescent="0.35">
      <c r="B160">
        <v>34122</v>
      </c>
      <c r="C160" t="s">
        <v>167</v>
      </c>
      <c r="D160" s="12">
        <v>25.99</v>
      </c>
      <c r="E160" s="12">
        <v>13.19</v>
      </c>
      <c r="F160" s="16">
        <v>0</v>
      </c>
      <c r="G160" s="12"/>
      <c r="I160" s="12"/>
      <c r="K160" s="12"/>
      <c r="M160" s="12"/>
    </row>
    <row r="161" spans="2:13" x14ac:dyDescent="0.35">
      <c r="B161">
        <v>34021</v>
      </c>
      <c r="C161" t="s">
        <v>168</v>
      </c>
      <c r="D161" s="12">
        <v>32.99</v>
      </c>
      <c r="E161" s="12">
        <v>15.39</v>
      </c>
      <c r="F161" s="16">
        <v>0</v>
      </c>
      <c r="G161" s="12"/>
      <c r="I161" s="12"/>
      <c r="K161" s="12"/>
      <c r="M161" s="12"/>
    </row>
    <row r="162" spans="2:13" x14ac:dyDescent="0.35">
      <c r="B162">
        <v>61014</v>
      </c>
      <c r="C162" t="s">
        <v>169</v>
      </c>
      <c r="D162" s="12">
        <v>5.99</v>
      </c>
      <c r="E162" s="12">
        <v>3.1</v>
      </c>
      <c r="F162" s="16">
        <v>0</v>
      </c>
      <c r="G162" s="12"/>
      <c r="I162" s="12"/>
      <c r="K162" s="12"/>
      <c r="M162" s="12"/>
    </row>
    <row r="163" spans="2:13" x14ac:dyDescent="0.35">
      <c r="B163">
        <v>61929</v>
      </c>
      <c r="C163" t="s">
        <v>170</v>
      </c>
      <c r="D163" s="12">
        <v>79.989999999999995</v>
      </c>
      <c r="E163" s="12">
        <v>44.62</v>
      </c>
      <c r="F163" s="16">
        <v>0</v>
      </c>
      <c r="G163" s="12"/>
      <c r="I163" s="12"/>
      <c r="K163" s="12"/>
      <c r="M163" s="12"/>
    </row>
    <row r="164" spans="2:13" x14ac:dyDescent="0.35">
      <c r="B164">
        <v>32155</v>
      </c>
      <c r="C164" t="s">
        <v>171</v>
      </c>
      <c r="D164" s="12">
        <v>11.99</v>
      </c>
      <c r="E164" s="12">
        <v>5.87</v>
      </c>
      <c r="F164" s="16">
        <v>0</v>
      </c>
      <c r="G164" s="12"/>
      <c r="I164" s="12"/>
      <c r="K164" s="12"/>
      <c r="M164" s="12"/>
    </row>
    <row r="165" spans="2:13" x14ac:dyDescent="0.35">
      <c r="B165">
        <v>65506</v>
      </c>
      <c r="C165" t="s">
        <v>172</v>
      </c>
      <c r="D165" s="12">
        <v>14.99</v>
      </c>
      <c r="E165" s="12">
        <v>7.72</v>
      </c>
      <c r="F165" s="16">
        <v>0</v>
      </c>
      <c r="G165" s="12"/>
      <c r="I165" s="12"/>
      <c r="K165" s="12"/>
      <c r="M165" s="12"/>
    </row>
    <row r="166" spans="2:13" x14ac:dyDescent="0.35">
      <c r="B166">
        <v>66434</v>
      </c>
      <c r="C166" t="s">
        <v>173</v>
      </c>
      <c r="D166" s="12">
        <v>13.99</v>
      </c>
      <c r="E166" s="12">
        <v>9.14</v>
      </c>
      <c r="F166" s="16">
        <v>0</v>
      </c>
      <c r="G166" s="12"/>
      <c r="I166" s="12"/>
      <c r="K166" s="12"/>
      <c r="M166" s="12"/>
    </row>
    <row r="167" spans="2:13" x14ac:dyDescent="0.35">
      <c r="B167">
        <v>32124</v>
      </c>
      <c r="C167" t="s">
        <v>174</v>
      </c>
      <c r="D167" s="12">
        <v>47.99</v>
      </c>
      <c r="E167" s="12">
        <v>10.44</v>
      </c>
      <c r="F167" s="16">
        <v>0</v>
      </c>
      <c r="G167" s="12"/>
      <c r="I167" s="12"/>
      <c r="K167" s="12"/>
      <c r="M167" s="12"/>
    </row>
    <row r="168" spans="2:13" x14ac:dyDescent="0.35">
      <c r="B168">
        <v>32868</v>
      </c>
      <c r="C168" t="s">
        <v>175</v>
      </c>
      <c r="D168" s="12">
        <v>5.99</v>
      </c>
      <c r="E168" s="12">
        <v>3.31</v>
      </c>
      <c r="F168" s="16">
        <v>0</v>
      </c>
      <c r="G168" s="12"/>
      <c r="I168" s="12"/>
      <c r="K168" s="12"/>
      <c r="M168" s="12"/>
    </row>
    <row r="169" spans="2:13" x14ac:dyDescent="0.35">
      <c r="B169">
        <v>61928</v>
      </c>
      <c r="C169" t="s">
        <v>176</v>
      </c>
      <c r="D169" s="12">
        <v>79.989999999999995</v>
      </c>
      <c r="E169" s="12">
        <v>44.62</v>
      </c>
      <c r="F169" s="16">
        <v>0</v>
      </c>
      <c r="G169" s="12"/>
      <c r="I169" s="12"/>
      <c r="K169" s="12"/>
      <c r="M169" s="12"/>
    </row>
    <row r="170" spans="2:13" x14ac:dyDescent="0.35">
      <c r="B170">
        <v>66435</v>
      </c>
      <c r="C170" t="s">
        <v>177</v>
      </c>
      <c r="D170" s="12">
        <v>11.99</v>
      </c>
      <c r="E170" s="12">
        <v>7.6</v>
      </c>
      <c r="F170" s="16">
        <v>0</v>
      </c>
      <c r="G170" s="12"/>
      <c r="I170" s="12"/>
      <c r="K170" s="12"/>
      <c r="M170" s="12"/>
    </row>
    <row r="171" spans="2:13" x14ac:dyDescent="0.35">
      <c r="B171">
        <v>59222</v>
      </c>
      <c r="C171" t="s">
        <v>178</v>
      </c>
      <c r="D171" s="12">
        <v>5.99</v>
      </c>
      <c r="E171" s="12">
        <v>3.1</v>
      </c>
      <c r="F171" s="16">
        <v>0</v>
      </c>
      <c r="G171" s="12"/>
      <c r="I171" s="12"/>
      <c r="K171" s="12"/>
      <c r="M171" s="12"/>
    </row>
    <row r="172" spans="2:13" x14ac:dyDescent="0.35">
      <c r="B172">
        <v>59223</v>
      </c>
      <c r="C172" t="s">
        <v>179</v>
      </c>
      <c r="D172" s="12">
        <v>5.99</v>
      </c>
      <c r="E172" s="12">
        <v>3.1</v>
      </c>
      <c r="F172" s="16">
        <v>0</v>
      </c>
      <c r="G172" s="12"/>
      <c r="I172" s="12"/>
      <c r="K172" s="12"/>
      <c r="M172" s="12"/>
    </row>
    <row r="173" spans="2:13" x14ac:dyDescent="0.35">
      <c r="B173">
        <v>34089</v>
      </c>
      <c r="C173" t="s">
        <v>180</v>
      </c>
      <c r="D173" s="12">
        <v>39.99</v>
      </c>
      <c r="E173" s="12">
        <v>29.01</v>
      </c>
      <c r="F173" s="16">
        <v>0</v>
      </c>
      <c r="G173" s="12"/>
      <c r="I173" s="12"/>
      <c r="K173" s="12"/>
      <c r="M173" s="12"/>
    </row>
    <row r="174" spans="2:13" x14ac:dyDescent="0.35">
      <c r="B174">
        <v>58045</v>
      </c>
      <c r="C174" t="s">
        <v>181</v>
      </c>
      <c r="D174" s="12">
        <v>2.5</v>
      </c>
      <c r="E174" s="12">
        <v>1.29</v>
      </c>
      <c r="F174" s="16">
        <v>0</v>
      </c>
      <c r="G174" s="12"/>
      <c r="I174" s="12"/>
      <c r="K174" s="12"/>
      <c r="M174" s="12"/>
    </row>
    <row r="175" spans="2:13" x14ac:dyDescent="0.35">
      <c r="B175">
        <v>66950</v>
      </c>
      <c r="C175" t="s">
        <v>182</v>
      </c>
      <c r="D175" s="12">
        <v>29.99</v>
      </c>
      <c r="E175" s="12">
        <v>28.95</v>
      </c>
      <c r="F175" s="16">
        <v>0</v>
      </c>
      <c r="G175" s="12"/>
      <c r="I175" s="12"/>
      <c r="K175" s="12"/>
      <c r="M175" s="12"/>
    </row>
    <row r="176" spans="2:13" x14ac:dyDescent="0.35">
      <c r="B176">
        <v>42674</v>
      </c>
      <c r="C176" t="s">
        <v>183</v>
      </c>
      <c r="D176" s="12">
        <v>5.49</v>
      </c>
      <c r="E176" s="12">
        <v>2.7884166666666701</v>
      </c>
      <c r="F176" s="16">
        <v>0</v>
      </c>
      <c r="G176" s="12"/>
      <c r="I176" s="12"/>
      <c r="K176" s="12"/>
      <c r="M176" s="12"/>
    </row>
    <row r="177" spans="2:13" x14ac:dyDescent="0.35">
      <c r="B177">
        <v>38815</v>
      </c>
      <c r="C177" t="s">
        <v>184</v>
      </c>
      <c r="D177" s="12">
        <v>10.85</v>
      </c>
      <c r="E177" s="12">
        <v>5.2888333333333302</v>
      </c>
      <c r="F177" s="16">
        <v>0</v>
      </c>
      <c r="G177" s="12"/>
      <c r="I177" s="12"/>
      <c r="K177" s="12"/>
      <c r="M177" s="12"/>
    </row>
    <row r="178" spans="2:13" x14ac:dyDescent="0.35">
      <c r="E178" s="12">
        <v>5.9984999999999999</v>
      </c>
      <c r="F178" s="16">
        <v>0</v>
      </c>
      <c r="G178" s="12"/>
      <c r="I178" s="12"/>
      <c r="K178" s="12"/>
      <c r="M178" s="12"/>
    </row>
    <row r="179" spans="2:13" x14ac:dyDescent="0.35">
      <c r="B179">
        <v>38816</v>
      </c>
      <c r="C179" t="s">
        <v>185</v>
      </c>
      <c r="D179" s="12">
        <v>7.99</v>
      </c>
      <c r="E179" s="12">
        <v>3.6635833333333299</v>
      </c>
      <c r="F179" s="16">
        <v>0</v>
      </c>
      <c r="G179" s="12"/>
      <c r="I179" s="12"/>
      <c r="K179" s="12"/>
      <c r="M179" s="12"/>
    </row>
    <row r="180" spans="2:13" x14ac:dyDescent="0.35">
      <c r="E180" s="12">
        <v>4.1159999999999997</v>
      </c>
      <c r="F180" s="16">
        <v>0</v>
      </c>
      <c r="G180" s="12"/>
      <c r="I180" s="12"/>
      <c r="K180" s="12"/>
      <c r="M180" s="12"/>
    </row>
    <row r="181" spans="2:13" x14ac:dyDescent="0.35">
      <c r="B181">
        <v>38908</v>
      </c>
      <c r="C181" t="s">
        <v>186</v>
      </c>
      <c r="D181" s="12">
        <v>7.99</v>
      </c>
      <c r="E181" s="12">
        <v>4.1161666666666701</v>
      </c>
      <c r="F181" s="16">
        <v>0</v>
      </c>
      <c r="G181" s="12"/>
      <c r="I181" s="12"/>
      <c r="K181" s="12"/>
      <c r="M181" s="12"/>
    </row>
    <row r="182" spans="2:13" x14ac:dyDescent="0.35">
      <c r="E182" s="12">
        <v>4.3630833333333303</v>
      </c>
      <c r="F182" s="16">
        <v>0</v>
      </c>
      <c r="G182" s="12"/>
      <c r="I182" s="12"/>
      <c r="K182" s="12"/>
      <c r="M182" s="12"/>
    </row>
    <row r="183" spans="2:13" x14ac:dyDescent="0.35">
      <c r="B183">
        <v>38983</v>
      </c>
      <c r="C183" t="s">
        <v>187</v>
      </c>
      <c r="D183" s="12">
        <v>10.85</v>
      </c>
      <c r="E183" s="12">
        <v>5.9984999999999999</v>
      </c>
      <c r="F183" s="16">
        <v>0</v>
      </c>
      <c r="G183" s="12"/>
      <c r="I183" s="12"/>
      <c r="K183" s="12"/>
      <c r="M183" s="12"/>
    </row>
    <row r="184" spans="2:13" x14ac:dyDescent="0.35">
      <c r="E184" s="12">
        <v>5.6589999999999998</v>
      </c>
      <c r="F184" s="16">
        <v>0</v>
      </c>
      <c r="G184" s="12"/>
      <c r="I184" s="12"/>
      <c r="K184" s="12"/>
      <c r="M184" s="12"/>
    </row>
    <row r="185" spans="2:13" x14ac:dyDescent="0.35">
      <c r="B185">
        <v>39025</v>
      </c>
      <c r="C185" t="s">
        <v>188</v>
      </c>
      <c r="D185" s="12">
        <v>330.99</v>
      </c>
      <c r="E185" s="12">
        <v>172.26333333333301</v>
      </c>
      <c r="F185" s="16">
        <v>0</v>
      </c>
      <c r="G185" s="12"/>
      <c r="I185" s="12"/>
      <c r="K185" s="12"/>
      <c r="M185" s="12"/>
    </row>
    <row r="186" spans="2:13" x14ac:dyDescent="0.35">
      <c r="E186" s="12">
        <v>182.6</v>
      </c>
      <c r="F186" s="16">
        <v>0</v>
      </c>
      <c r="G186" s="12"/>
      <c r="I186" s="12"/>
      <c r="K186" s="12"/>
      <c r="M186" s="12"/>
    </row>
    <row r="187" spans="2:13" x14ac:dyDescent="0.35">
      <c r="B187">
        <v>39421</v>
      </c>
      <c r="C187" t="s">
        <v>189</v>
      </c>
      <c r="D187" s="12">
        <v>28.99</v>
      </c>
      <c r="E187" s="12">
        <v>14.814500000000001</v>
      </c>
      <c r="F187" s="16">
        <v>0</v>
      </c>
      <c r="G187" s="12"/>
      <c r="I187" s="12"/>
      <c r="K187" s="12"/>
      <c r="M187" s="12"/>
    </row>
    <row r="188" spans="2:13" x14ac:dyDescent="0.35">
      <c r="E188" s="12">
        <v>15.703250000000001</v>
      </c>
      <c r="F188" s="16">
        <v>0</v>
      </c>
      <c r="G188" s="12"/>
      <c r="I188" s="12"/>
      <c r="K188" s="12"/>
      <c r="M188" s="12"/>
    </row>
    <row r="189" spans="2:13" x14ac:dyDescent="0.35">
      <c r="B189">
        <v>39963</v>
      </c>
      <c r="C189" t="s">
        <v>190</v>
      </c>
      <c r="D189" s="12">
        <v>5.4</v>
      </c>
      <c r="E189" s="12">
        <v>2.6173000000000002</v>
      </c>
      <c r="F189" s="16">
        <v>0</v>
      </c>
      <c r="G189" s="12"/>
      <c r="I189" s="12"/>
      <c r="K189" s="12"/>
      <c r="M189" s="12"/>
    </row>
    <row r="190" spans="2:13" x14ac:dyDescent="0.35">
      <c r="E190" s="12">
        <v>2.9407999999999999</v>
      </c>
      <c r="F190" s="16">
        <v>0</v>
      </c>
      <c r="G190" s="12"/>
      <c r="I190" s="12"/>
      <c r="K190" s="12"/>
      <c r="M190" s="12"/>
    </row>
    <row r="191" spans="2:13" x14ac:dyDescent="0.35">
      <c r="B191">
        <v>40364</v>
      </c>
      <c r="C191" t="s">
        <v>191</v>
      </c>
      <c r="D191" s="12">
        <v>4.99</v>
      </c>
      <c r="E191" s="12">
        <v>2.5465</v>
      </c>
      <c r="F191" s="16">
        <v>0</v>
      </c>
      <c r="G191" s="12"/>
      <c r="I191" s="12"/>
      <c r="K191" s="12"/>
      <c r="M191" s="12"/>
    </row>
    <row r="192" spans="2:13" x14ac:dyDescent="0.35">
      <c r="E192" s="12">
        <v>2.8072499999999998</v>
      </c>
      <c r="F192" s="16">
        <v>0</v>
      </c>
      <c r="G192" s="12"/>
      <c r="I192" s="12"/>
      <c r="K192" s="12"/>
      <c r="M192" s="12"/>
    </row>
    <row r="193" spans="2:13" x14ac:dyDescent="0.35">
      <c r="B193">
        <v>48683</v>
      </c>
      <c r="C193" t="s">
        <v>192</v>
      </c>
      <c r="D193" s="12">
        <v>11.99</v>
      </c>
      <c r="E193" s="12">
        <v>6.2521428571428599</v>
      </c>
      <c r="F193" s="16">
        <v>0</v>
      </c>
      <c r="G193" s="12"/>
      <c r="I193" s="12"/>
      <c r="K193" s="12"/>
      <c r="M193" s="12"/>
    </row>
    <row r="194" spans="2:13" x14ac:dyDescent="0.35">
      <c r="E194" s="12">
        <v>6.6272857142857102</v>
      </c>
      <c r="F194" s="16">
        <v>0</v>
      </c>
      <c r="G194" s="12"/>
      <c r="I194" s="12"/>
      <c r="K194" s="12"/>
      <c r="M194" s="12"/>
    </row>
    <row r="195" spans="2:13" x14ac:dyDescent="0.35">
      <c r="B195">
        <v>54652</v>
      </c>
      <c r="C195" t="s">
        <v>193</v>
      </c>
      <c r="D195" s="12">
        <v>21.99</v>
      </c>
      <c r="E195" s="12">
        <v>8.2398749999999996</v>
      </c>
      <c r="F195" s="16">
        <v>0</v>
      </c>
      <c r="G195" s="12"/>
      <c r="I195" s="12"/>
      <c r="K195" s="12"/>
      <c r="M195" s="12"/>
    </row>
    <row r="196" spans="2:13" x14ac:dyDescent="0.35">
      <c r="E196" s="12">
        <v>10.989750000000001</v>
      </c>
      <c r="F196" s="16">
        <v>0</v>
      </c>
      <c r="G196" s="12"/>
      <c r="I196" s="12"/>
      <c r="K196" s="12"/>
      <c r="M196" s="12"/>
    </row>
    <row r="197" spans="2:13" x14ac:dyDescent="0.35">
      <c r="B197">
        <v>56514</v>
      </c>
      <c r="C197" t="s">
        <v>194</v>
      </c>
      <c r="D197" s="12">
        <v>269.99</v>
      </c>
      <c r="E197" s="12">
        <v>141.47833333333301</v>
      </c>
      <c r="F197" s="16">
        <v>0</v>
      </c>
      <c r="G197" s="12"/>
      <c r="I197" s="12"/>
      <c r="K197" s="12"/>
      <c r="M197" s="12"/>
    </row>
    <row r="198" spans="2:13" x14ac:dyDescent="0.35">
      <c r="B198">
        <v>61923</v>
      </c>
      <c r="C198" t="s">
        <v>195</v>
      </c>
      <c r="D198" s="12">
        <v>79.989999999999995</v>
      </c>
      <c r="E198" s="12">
        <v>41.475000000000001</v>
      </c>
      <c r="F198" s="16">
        <v>0</v>
      </c>
      <c r="G198" s="12"/>
      <c r="I198" s="12"/>
      <c r="K198" s="12"/>
      <c r="M198" s="12"/>
    </row>
    <row r="199" spans="2:13" x14ac:dyDescent="0.35">
      <c r="B199">
        <v>61925</v>
      </c>
      <c r="C199" t="s">
        <v>196</v>
      </c>
      <c r="D199" s="12">
        <v>79.989999999999995</v>
      </c>
      <c r="E199" s="12">
        <v>41.475000000000001</v>
      </c>
      <c r="F199" s="16">
        <v>0</v>
      </c>
      <c r="G199" s="12"/>
      <c r="I199" s="12"/>
      <c r="K199" s="12"/>
      <c r="M199" s="12"/>
    </row>
    <row r="200" spans="2:13" x14ac:dyDescent="0.35">
      <c r="B200">
        <v>61926</v>
      </c>
      <c r="C200" t="s">
        <v>197</v>
      </c>
      <c r="D200" s="12">
        <v>79.989999999999995</v>
      </c>
      <c r="E200" s="12">
        <v>41.475000000000001</v>
      </c>
      <c r="F200" s="16">
        <v>0</v>
      </c>
      <c r="G200" s="12"/>
      <c r="I200" s="12"/>
      <c r="K200" s="12"/>
      <c r="M200" s="12"/>
    </row>
    <row r="201" spans="2:13" x14ac:dyDescent="0.35">
      <c r="B201">
        <v>63898</v>
      </c>
      <c r="C201" t="s">
        <v>198</v>
      </c>
      <c r="D201" s="12">
        <v>330.99</v>
      </c>
      <c r="E201" s="12">
        <v>179.16</v>
      </c>
      <c r="F201" s="16">
        <v>0</v>
      </c>
      <c r="G201" s="12"/>
      <c r="I201" s="12"/>
      <c r="K201" s="12"/>
      <c r="M201" s="12"/>
    </row>
    <row r="202" spans="2:13" x14ac:dyDescent="0.35">
      <c r="B202">
        <v>66308</v>
      </c>
      <c r="C202" t="s">
        <v>199</v>
      </c>
      <c r="D202" s="12">
        <v>10.85</v>
      </c>
      <c r="E202" s="12">
        <v>5.6589999999999998</v>
      </c>
      <c r="F202" s="16">
        <v>0</v>
      </c>
      <c r="G202" s="12"/>
      <c r="I202" s="12"/>
      <c r="K202" s="12"/>
      <c r="M202" s="12"/>
    </row>
    <row r="203" spans="2:13" x14ac:dyDescent="0.35">
      <c r="B203">
        <v>67241</v>
      </c>
      <c r="C203" t="s">
        <v>200</v>
      </c>
      <c r="D203" s="12">
        <v>15.99</v>
      </c>
      <c r="E203" s="12">
        <v>6.2</v>
      </c>
      <c r="F203" s="16">
        <v>0</v>
      </c>
      <c r="G203" s="12"/>
      <c r="I203" s="12"/>
      <c r="K203" s="12"/>
      <c r="M203" s="12"/>
    </row>
    <row r="204" spans="2:13" x14ac:dyDescent="0.35">
      <c r="B204">
        <v>67242</v>
      </c>
      <c r="C204" t="s">
        <v>201</v>
      </c>
      <c r="D204" s="12">
        <v>13.99</v>
      </c>
      <c r="E204" s="12">
        <v>3.8</v>
      </c>
      <c r="F204" s="16">
        <v>0</v>
      </c>
      <c r="G204" s="12"/>
      <c r="I204" s="12"/>
      <c r="K204" s="12"/>
      <c r="M204" s="12"/>
    </row>
    <row r="205" spans="2:13" x14ac:dyDescent="0.35">
      <c r="B205">
        <v>67243</v>
      </c>
      <c r="C205" t="s">
        <v>202</v>
      </c>
      <c r="D205" s="12">
        <v>30.99</v>
      </c>
      <c r="E205" s="12">
        <v>9.5</v>
      </c>
      <c r="F205" s="16">
        <v>0</v>
      </c>
      <c r="G205" s="12"/>
      <c r="I205" s="12"/>
      <c r="K205" s="12"/>
      <c r="M205" s="12"/>
    </row>
    <row r="206" spans="2:13" x14ac:dyDescent="0.35">
      <c r="B206">
        <v>67244</v>
      </c>
      <c r="C206" t="s">
        <v>203</v>
      </c>
      <c r="D206" s="12">
        <v>35.99</v>
      </c>
      <c r="E206" s="12">
        <v>12.5</v>
      </c>
      <c r="F206" s="16">
        <v>0</v>
      </c>
      <c r="G206" s="12"/>
      <c r="I206" s="12"/>
      <c r="K206" s="12"/>
      <c r="M206" s="12"/>
    </row>
    <row r="207" spans="2:13" x14ac:dyDescent="0.35">
      <c r="B207">
        <v>67245</v>
      </c>
      <c r="C207" t="s">
        <v>204</v>
      </c>
      <c r="D207" s="12">
        <v>26.99</v>
      </c>
      <c r="E207" s="12">
        <v>7.8</v>
      </c>
      <c r="F207" s="16">
        <v>0</v>
      </c>
      <c r="G207" s="12"/>
      <c r="I207" s="12"/>
      <c r="K207" s="12"/>
      <c r="M207" s="12"/>
    </row>
    <row r="208" spans="2:13" x14ac:dyDescent="0.35">
      <c r="B208">
        <v>67246</v>
      </c>
      <c r="C208" t="s">
        <v>94</v>
      </c>
      <c r="D208" s="12">
        <v>26.99</v>
      </c>
      <c r="E208" s="12">
        <v>7.8</v>
      </c>
      <c r="F208" s="16">
        <v>0</v>
      </c>
      <c r="G208" s="12"/>
      <c r="I208" s="12"/>
      <c r="K208" s="12"/>
      <c r="M208" s="12"/>
    </row>
    <row r="209" spans="1:14" x14ac:dyDescent="0.35">
      <c r="B209">
        <v>67247</v>
      </c>
      <c r="C209" t="s">
        <v>205</v>
      </c>
      <c r="D209" s="12">
        <v>15.99</v>
      </c>
      <c r="E209" s="12">
        <v>8.0500000000000007</v>
      </c>
      <c r="F209" s="16">
        <v>0</v>
      </c>
      <c r="G209" s="12"/>
      <c r="I209" s="12"/>
      <c r="K209" s="12"/>
      <c r="M209" s="12"/>
    </row>
    <row r="210" spans="1:14" x14ac:dyDescent="0.35">
      <c r="B210">
        <v>67301</v>
      </c>
      <c r="C210" t="s">
        <v>206</v>
      </c>
      <c r="D210" s="12">
        <v>15.99</v>
      </c>
      <c r="E210" s="12">
        <v>9.99</v>
      </c>
      <c r="F210" s="16">
        <v>0</v>
      </c>
      <c r="G210" s="12"/>
      <c r="I210" s="12"/>
      <c r="K210" s="12"/>
      <c r="M210" s="12"/>
    </row>
    <row r="211" spans="1:14" x14ac:dyDescent="0.35">
      <c r="A211" t="s">
        <v>298</v>
      </c>
      <c r="G211" s="12">
        <v>2308.3652173913042</v>
      </c>
      <c r="H211">
        <v>175.976</v>
      </c>
      <c r="I211" s="12">
        <v>1701.6347826086958</v>
      </c>
      <c r="J211">
        <v>146.785</v>
      </c>
      <c r="K211" s="12"/>
      <c r="M211" s="12">
        <v>4010</v>
      </c>
      <c r="N211">
        <v>322.76100000000002</v>
      </c>
    </row>
    <row r="212" spans="1:14" x14ac:dyDescent="0.35">
      <c r="A212">
        <v>104</v>
      </c>
      <c r="B212">
        <v>34080</v>
      </c>
      <c r="C212" t="s">
        <v>234</v>
      </c>
      <c r="D212" s="12">
        <v>49.99</v>
      </c>
      <c r="E212" s="12">
        <v>28.67</v>
      </c>
      <c r="F212" s="16">
        <v>0</v>
      </c>
      <c r="G212" s="12"/>
      <c r="I212" s="12">
        <v>43.469565217391306</v>
      </c>
      <c r="J212">
        <v>1</v>
      </c>
      <c r="K212" s="12"/>
      <c r="M212" s="12">
        <v>43.469565217391306</v>
      </c>
      <c r="N212">
        <v>1</v>
      </c>
    </row>
    <row r="213" spans="1:14" x14ac:dyDescent="0.35">
      <c r="B213">
        <v>34083</v>
      </c>
      <c r="C213" t="s">
        <v>233</v>
      </c>
      <c r="D213" s="12">
        <v>49.99</v>
      </c>
      <c r="E213" s="12">
        <v>13.76</v>
      </c>
      <c r="F213" s="16">
        <v>10</v>
      </c>
      <c r="G213" s="12">
        <v>43.469565217391306</v>
      </c>
      <c r="H213">
        <v>1</v>
      </c>
      <c r="I213" s="12">
        <v>130.40869565217392</v>
      </c>
      <c r="J213">
        <v>3</v>
      </c>
      <c r="K213" s="12"/>
      <c r="M213" s="12">
        <v>173.87826086956522</v>
      </c>
      <c r="N213">
        <v>4</v>
      </c>
    </row>
    <row r="214" spans="1:14" x14ac:dyDescent="0.35">
      <c r="B214">
        <v>34118</v>
      </c>
      <c r="C214" t="s">
        <v>231</v>
      </c>
      <c r="D214" s="12">
        <v>29.99</v>
      </c>
      <c r="E214" s="12">
        <v>7.38</v>
      </c>
      <c r="F214" s="16">
        <v>0</v>
      </c>
      <c r="G214" s="12"/>
      <c r="I214" s="12">
        <v>130.39130434782606</v>
      </c>
      <c r="J214">
        <v>5</v>
      </c>
      <c r="K214" s="12"/>
      <c r="M214" s="12">
        <v>130.39130434782606</v>
      </c>
      <c r="N214">
        <v>5</v>
      </c>
    </row>
    <row r="215" spans="1:14" x14ac:dyDescent="0.35">
      <c r="B215">
        <v>43309</v>
      </c>
      <c r="C215" t="s">
        <v>238</v>
      </c>
      <c r="D215" s="12">
        <v>13.99</v>
      </c>
      <c r="E215" s="12">
        <v>6.67</v>
      </c>
      <c r="F215" s="16">
        <v>0</v>
      </c>
      <c r="G215" s="12">
        <v>48.660869565217389</v>
      </c>
      <c r="H215">
        <v>4</v>
      </c>
      <c r="I215" s="12">
        <v>12.165217391304347</v>
      </c>
      <c r="J215">
        <v>1</v>
      </c>
      <c r="K215" s="12"/>
      <c r="M215" s="12">
        <v>60.826086956521735</v>
      </c>
      <c r="N215">
        <v>5</v>
      </c>
    </row>
    <row r="216" spans="1:14" x14ac:dyDescent="0.35">
      <c r="B216">
        <v>34095</v>
      </c>
      <c r="C216" t="s">
        <v>235</v>
      </c>
      <c r="D216" s="12">
        <v>29.99</v>
      </c>
      <c r="E216" s="12">
        <v>12.52</v>
      </c>
      <c r="F216" s="16">
        <v>15</v>
      </c>
      <c r="G216" s="12"/>
      <c r="I216" s="12"/>
      <c r="K216" s="12"/>
      <c r="M216" s="12"/>
    </row>
    <row r="217" spans="1:14" x14ac:dyDescent="0.35">
      <c r="B217">
        <v>34082</v>
      </c>
      <c r="C217" t="s">
        <v>237</v>
      </c>
      <c r="D217" s="12">
        <v>49.99</v>
      </c>
      <c r="E217" s="12">
        <v>24.65</v>
      </c>
      <c r="F217" s="16">
        <v>5</v>
      </c>
      <c r="G217" s="12"/>
      <c r="I217" s="12"/>
      <c r="K217" s="12"/>
      <c r="M217" s="12"/>
    </row>
    <row r="218" spans="1:14" x14ac:dyDescent="0.35">
      <c r="B218">
        <v>34079</v>
      </c>
      <c r="C218" t="s">
        <v>236</v>
      </c>
      <c r="D218" s="12">
        <v>49.99</v>
      </c>
      <c r="E218" s="12">
        <v>25.03</v>
      </c>
      <c r="F218" s="16">
        <v>3</v>
      </c>
      <c r="G218" s="12"/>
      <c r="I218" s="12"/>
      <c r="K218" s="12"/>
      <c r="M218" s="12"/>
    </row>
    <row r="219" spans="1:14" x14ac:dyDescent="0.35">
      <c r="B219">
        <v>34081</v>
      </c>
      <c r="C219" t="s">
        <v>232</v>
      </c>
      <c r="D219" s="12">
        <v>29.99</v>
      </c>
      <c r="E219" s="12">
        <v>14.34</v>
      </c>
      <c r="F219" s="16">
        <v>0</v>
      </c>
      <c r="G219" s="12"/>
      <c r="I219" s="12"/>
      <c r="K219" s="12"/>
      <c r="M219" s="12"/>
    </row>
    <row r="220" spans="1:14" x14ac:dyDescent="0.35">
      <c r="B220">
        <v>40732</v>
      </c>
      <c r="C220" t="s">
        <v>239</v>
      </c>
      <c r="D220" s="12">
        <v>15</v>
      </c>
      <c r="E220" s="12">
        <v>7.38</v>
      </c>
      <c r="F220" s="16">
        <v>0</v>
      </c>
      <c r="G220" s="12"/>
      <c r="I220" s="12"/>
      <c r="K220" s="12"/>
      <c r="M220" s="12"/>
    </row>
    <row r="221" spans="1:14" x14ac:dyDescent="0.35">
      <c r="B221">
        <v>34075</v>
      </c>
      <c r="C221" t="s">
        <v>240</v>
      </c>
      <c r="D221" s="12">
        <v>69.989999999999995</v>
      </c>
      <c r="E221" s="12">
        <v>36.1</v>
      </c>
      <c r="F221" s="16">
        <v>0</v>
      </c>
      <c r="G221" s="12"/>
      <c r="I221" s="12"/>
      <c r="K221" s="12"/>
      <c r="M221" s="12"/>
    </row>
    <row r="222" spans="1:14" x14ac:dyDescent="0.35">
      <c r="B222">
        <v>56805</v>
      </c>
      <c r="C222" t="s">
        <v>241</v>
      </c>
      <c r="D222" s="12">
        <v>15</v>
      </c>
      <c r="E222" s="12">
        <v>29.47</v>
      </c>
      <c r="F222" s="16">
        <v>0</v>
      </c>
      <c r="G222" s="12"/>
      <c r="I222" s="12"/>
      <c r="K222" s="12"/>
      <c r="M222" s="12"/>
    </row>
    <row r="223" spans="1:14" x14ac:dyDescent="0.35">
      <c r="B223">
        <v>58452</v>
      </c>
      <c r="C223" t="s">
        <v>242</v>
      </c>
      <c r="D223" s="12">
        <v>120</v>
      </c>
      <c r="E223" s="12">
        <v>58.51</v>
      </c>
      <c r="F223" s="16">
        <v>0</v>
      </c>
      <c r="G223" s="12"/>
      <c r="I223" s="12"/>
      <c r="K223" s="12"/>
      <c r="M223" s="12"/>
    </row>
    <row r="224" spans="1:14" x14ac:dyDescent="0.35">
      <c r="A224" t="s">
        <v>299</v>
      </c>
      <c r="G224" s="12">
        <v>92.130434782608688</v>
      </c>
      <c r="H224">
        <v>5</v>
      </c>
      <c r="I224" s="12">
        <v>316.43478260869563</v>
      </c>
      <c r="J224">
        <v>10</v>
      </c>
      <c r="K224" s="12"/>
      <c r="M224" s="12">
        <v>408.56521739130437</v>
      </c>
      <c r="N224">
        <v>15</v>
      </c>
    </row>
    <row r="225" spans="1:14" x14ac:dyDescent="0.35">
      <c r="A225">
        <v>106</v>
      </c>
      <c r="B225">
        <v>54018</v>
      </c>
      <c r="C225" t="s">
        <v>243</v>
      </c>
      <c r="D225" s="12">
        <v>18.989999999999998</v>
      </c>
      <c r="E225" s="12">
        <v>9.83</v>
      </c>
      <c r="F225" s="16">
        <v>93</v>
      </c>
      <c r="G225" s="12">
        <v>132.10434782608695</v>
      </c>
      <c r="H225">
        <v>8</v>
      </c>
      <c r="I225" s="12">
        <v>49.539130434782606</v>
      </c>
      <c r="J225">
        <v>3</v>
      </c>
      <c r="K225" s="12"/>
      <c r="M225" s="12">
        <v>181.64347826086956</v>
      </c>
      <c r="N225">
        <v>11</v>
      </c>
    </row>
    <row r="226" spans="1:14" x14ac:dyDescent="0.35">
      <c r="B226">
        <v>34028</v>
      </c>
      <c r="C226" t="s">
        <v>244</v>
      </c>
      <c r="D226" s="12">
        <v>26.99</v>
      </c>
      <c r="E226" s="12">
        <v>15.3</v>
      </c>
      <c r="F226" s="16">
        <v>0</v>
      </c>
      <c r="G226" s="12"/>
      <c r="I226" s="12"/>
      <c r="K226" s="12"/>
      <c r="M226" s="12"/>
    </row>
    <row r="227" spans="1:14" x14ac:dyDescent="0.35">
      <c r="B227">
        <v>34027</v>
      </c>
      <c r="C227" t="s">
        <v>245</v>
      </c>
      <c r="D227" s="12">
        <v>27.99</v>
      </c>
      <c r="E227" s="12">
        <v>15.41</v>
      </c>
      <c r="F227" s="16">
        <v>0</v>
      </c>
      <c r="G227" s="12"/>
      <c r="I227" s="12"/>
      <c r="K227" s="12"/>
      <c r="M227" s="12"/>
    </row>
    <row r="228" spans="1:14" x14ac:dyDescent="0.35">
      <c r="B228">
        <v>42296</v>
      </c>
      <c r="C228" t="s">
        <v>246</v>
      </c>
      <c r="D228" s="12">
        <v>4.99</v>
      </c>
      <c r="E228" s="12">
        <v>2.97</v>
      </c>
      <c r="F228" s="16">
        <v>0</v>
      </c>
      <c r="G228" s="12"/>
      <c r="I228" s="12"/>
      <c r="K228" s="12"/>
      <c r="M228" s="12"/>
    </row>
    <row r="229" spans="1:14" x14ac:dyDescent="0.35">
      <c r="B229">
        <v>54019</v>
      </c>
      <c r="C229" t="s">
        <v>247</v>
      </c>
      <c r="D229" s="12">
        <v>23.99</v>
      </c>
      <c r="E229" s="12">
        <v>10.37</v>
      </c>
      <c r="F229" s="16">
        <v>0</v>
      </c>
      <c r="G229" s="12"/>
      <c r="I229" s="12"/>
      <c r="K229" s="12"/>
      <c r="M229" s="12"/>
    </row>
    <row r="230" spans="1:14" x14ac:dyDescent="0.35">
      <c r="A230" t="s">
        <v>300</v>
      </c>
      <c r="G230" s="12">
        <v>132.10434782608695</v>
      </c>
      <c r="H230">
        <v>8</v>
      </c>
      <c r="I230" s="12">
        <v>49.539130434782606</v>
      </c>
      <c r="J230">
        <v>3</v>
      </c>
      <c r="K230" s="12"/>
      <c r="M230" s="12">
        <v>181.64347826086956</v>
      </c>
      <c r="N230">
        <v>11</v>
      </c>
    </row>
    <row r="231" spans="1:14" x14ac:dyDescent="0.35">
      <c r="A231">
        <v>118</v>
      </c>
      <c r="B231">
        <v>34014</v>
      </c>
      <c r="C231" t="s">
        <v>258</v>
      </c>
      <c r="D231" s="12">
        <v>100</v>
      </c>
      <c r="E231" s="12">
        <v>52.03</v>
      </c>
      <c r="F231" s="16">
        <v>0</v>
      </c>
      <c r="G231" s="12">
        <v>86.956521739130437</v>
      </c>
      <c r="H231">
        <v>1</v>
      </c>
      <c r="I231" s="12"/>
      <c r="K231" s="12"/>
      <c r="M231" s="12">
        <v>86.956521739130437</v>
      </c>
      <c r="N231">
        <v>1</v>
      </c>
    </row>
    <row r="232" spans="1:14" x14ac:dyDescent="0.35">
      <c r="B232">
        <v>34033</v>
      </c>
      <c r="C232" t="s">
        <v>256</v>
      </c>
      <c r="D232" s="12">
        <v>120</v>
      </c>
      <c r="E232" s="12">
        <v>64.849999999999994</v>
      </c>
      <c r="F232" s="16">
        <v>0</v>
      </c>
      <c r="G232" s="12">
        <v>104.34782608695652</v>
      </c>
      <c r="H232">
        <v>1</v>
      </c>
      <c r="I232" s="12">
        <v>104.34782608695652</v>
      </c>
      <c r="J232">
        <v>1</v>
      </c>
      <c r="K232" s="12"/>
      <c r="M232" s="12">
        <v>208.69565217391303</v>
      </c>
      <c r="N232">
        <v>2</v>
      </c>
    </row>
    <row r="233" spans="1:14" x14ac:dyDescent="0.35">
      <c r="B233">
        <v>40305</v>
      </c>
      <c r="C233" t="s">
        <v>257</v>
      </c>
      <c r="D233" s="12">
        <v>9.99</v>
      </c>
      <c r="E233" s="12">
        <v>4.53</v>
      </c>
      <c r="F233" s="16">
        <v>0</v>
      </c>
      <c r="G233" s="12">
        <v>17.373913043478261</v>
      </c>
      <c r="H233">
        <v>2</v>
      </c>
      <c r="I233" s="12">
        <v>86.869565217391312</v>
      </c>
      <c r="J233">
        <v>10</v>
      </c>
      <c r="K233" s="12"/>
      <c r="M233" s="12">
        <v>104.24347826086958</v>
      </c>
      <c r="N233">
        <v>12</v>
      </c>
    </row>
    <row r="234" spans="1:14" x14ac:dyDescent="0.35">
      <c r="B234">
        <v>34054</v>
      </c>
      <c r="C234" t="s">
        <v>259</v>
      </c>
      <c r="D234" s="12">
        <v>100</v>
      </c>
      <c r="E234" s="12">
        <v>54.36</v>
      </c>
      <c r="F234" s="16">
        <v>0</v>
      </c>
      <c r="G234" s="12"/>
      <c r="I234" s="12"/>
      <c r="K234" s="12"/>
      <c r="M234" s="12"/>
    </row>
    <row r="235" spans="1:14" x14ac:dyDescent="0.35">
      <c r="B235">
        <v>40809</v>
      </c>
      <c r="C235" t="s">
        <v>260</v>
      </c>
      <c r="D235" s="12">
        <v>15.99</v>
      </c>
      <c r="E235" s="12">
        <v>6.5</v>
      </c>
      <c r="F235" s="16">
        <v>0</v>
      </c>
      <c r="G235" s="12"/>
      <c r="I235" s="12"/>
      <c r="K235" s="12"/>
      <c r="M235" s="12"/>
    </row>
    <row r="236" spans="1:14" x14ac:dyDescent="0.35">
      <c r="B236">
        <v>34025</v>
      </c>
      <c r="C236" t="s">
        <v>261</v>
      </c>
      <c r="D236" s="12">
        <v>120</v>
      </c>
      <c r="E236" s="12">
        <v>62.39</v>
      </c>
      <c r="F236" s="16">
        <v>0</v>
      </c>
      <c r="G236" s="12"/>
      <c r="I236" s="12"/>
      <c r="K236" s="12"/>
      <c r="M236" s="12"/>
    </row>
    <row r="237" spans="1:14" x14ac:dyDescent="0.35">
      <c r="B237">
        <v>34040</v>
      </c>
      <c r="C237" t="s">
        <v>262</v>
      </c>
      <c r="D237" s="12">
        <v>80</v>
      </c>
      <c r="E237" s="12">
        <v>36.909999999999997</v>
      </c>
      <c r="F237" s="16">
        <v>0</v>
      </c>
      <c r="G237" s="12"/>
      <c r="I237" s="12"/>
      <c r="K237" s="12"/>
      <c r="M237" s="12"/>
    </row>
    <row r="238" spans="1:14" x14ac:dyDescent="0.35">
      <c r="B238">
        <v>33021</v>
      </c>
      <c r="C238" t="s">
        <v>263</v>
      </c>
      <c r="D238" s="12">
        <v>130</v>
      </c>
      <c r="E238" s="12">
        <v>64.900000000000006</v>
      </c>
      <c r="F238" s="16">
        <v>0</v>
      </c>
      <c r="G238" s="12"/>
      <c r="I238" s="12"/>
      <c r="K238" s="12"/>
      <c r="M238" s="12"/>
    </row>
    <row r="239" spans="1:14" x14ac:dyDescent="0.35">
      <c r="B239">
        <v>33991</v>
      </c>
      <c r="C239" t="s">
        <v>264</v>
      </c>
      <c r="D239" s="12">
        <v>100</v>
      </c>
      <c r="E239" s="12">
        <v>51.82</v>
      </c>
      <c r="F239" s="16">
        <v>0</v>
      </c>
      <c r="G239" s="12"/>
      <c r="I239" s="12"/>
      <c r="K239" s="12"/>
      <c r="M239" s="12"/>
    </row>
    <row r="240" spans="1:14" x14ac:dyDescent="0.35">
      <c r="A240" t="s">
        <v>323</v>
      </c>
      <c r="G240" s="12">
        <v>208.67826086956521</v>
      </c>
      <c r="H240">
        <v>4</v>
      </c>
      <c r="I240" s="12">
        <v>191.21739130434781</v>
      </c>
      <c r="J240">
        <v>11</v>
      </c>
      <c r="K240" s="12"/>
      <c r="M240" s="12">
        <v>399.89565217391305</v>
      </c>
      <c r="N240">
        <v>15</v>
      </c>
    </row>
    <row r="241" spans="1:14" x14ac:dyDescent="0.35">
      <c r="A241">
        <v>119</v>
      </c>
      <c r="B241">
        <v>34105</v>
      </c>
      <c r="C241" t="s">
        <v>265</v>
      </c>
      <c r="D241" s="12">
        <v>79.989999999999995</v>
      </c>
      <c r="E241" s="12">
        <v>54.64</v>
      </c>
      <c r="F241" s="16">
        <v>0</v>
      </c>
      <c r="G241" s="12">
        <v>69.556521739130432</v>
      </c>
      <c r="H241">
        <v>1</v>
      </c>
      <c r="I241" s="12"/>
      <c r="K241" s="12"/>
      <c r="M241" s="12">
        <v>69.556521739130432</v>
      </c>
      <c r="N241">
        <v>1</v>
      </c>
    </row>
    <row r="242" spans="1:14" x14ac:dyDescent="0.35">
      <c r="B242">
        <v>34003</v>
      </c>
      <c r="C242" t="s">
        <v>266</v>
      </c>
      <c r="D242" s="12">
        <v>120</v>
      </c>
      <c r="E242" s="12">
        <v>62.47</v>
      </c>
      <c r="F242" s="16">
        <v>0</v>
      </c>
      <c r="G242" s="12"/>
      <c r="I242" s="12"/>
      <c r="K242" s="12"/>
      <c r="M242" s="12"/>
    </row>
    <row r="243" spans="1:14" x14ac:dyDescent="0.35">
      <c r="B243">
        <v>34140</v>
      </c>
      <c r="C243" t="s">
        <v>267</v>
      </c>
      <c r="D243" s="12">
        <v>385</v>
      </c>
      <c r="E243" s="12">
        <v>201.52</v>
      </c>
      <c r="F243" s="16">
        <v>0</v>
      </c>
      <c r="G243" s="12"/>
      <c r="I243" s="12"/>
      <c r="K243" s="12"/>
      <c r="M243" s="12"/>
    </row>
    <row r="244" spans="1:14" x14ac:dyDescent="0.35">
      <c r="B244">
        <v>62620</v>
      </c>
      <c r="C244" t="s">
        <v>268</v>
      </c>
      <c r="D244" s="12">
        <v>65.989999999999995</v>
      </c>
      <c r="E244" s="12">
        <v>46.29</v>
      </c>
      <c r="F244" s="16">
        <v>0</v>
      </c>
      <c r="G244" s="12"/>
      <c r="I244" s="12"/>
      <c r="K244" s="12"/>
      <c r="M244" s="12"/>
    </row>
    <row r="245" spans="1:14" x14ac:dyDescent="0.35">
      <c r="B245">
        <v>60694</v>
      </c>
      <c r="C245" t="s">
        <v>269</v>
      </c>
      <c r="D245" s="12">
        <v>160</v>
      </c>
      <c r="E245" s="12">
        <v>106.8</v>
      </c>
      <c r="F245" s="16">
        <v>0</v>
      </c>
      <c r="G245" s="12"/>
      <c r="I245" s="12"/>
      <c r="K245" s="12"/>
      <c r="M245" s="12"/>
    </row>
    <row r="246" spans="1:14" x14ac:dyDescent="0.35">
      <c r="B246">
        <v>62457</v>
      </c>
      <c r="C246" t="s">
        <v>270</v>
      </c>
      <c r="D246" s="12">
        <v>100</v>
      </c>
      <c r="E246" s="12">
        <v>53.89</v>
      </c>
      <c r="F246" s="16">
        <v>0</v>
      </c>
      <c r="G246" s="12"/>
      <c r="I246" s="12"/>
      <c r="K246" s="12"/>
      <c r="M246" s="12"/>
    </row>
    <row r="247" spans="1:14" x14ac:dyDescent="0.35">
      <c r="B247">
        <v>64633</v>
      </c>
      <c r="C247" t="s">
        <v>271</v>
      </c>
      <c r="D247" s="12">
        <v>8.99</v>
      </c>
      <c r="E247" s="12">
        <v>3.8</v>
      </c>
      <c r="F247" s="16">
        <v>0</v>
      </c>
      <c r="G247" s="12"/>
      <c r="I247" s="12"/>
      <c r="K247" s="12"/>
      <c r="M247" s="12"/>
    </row>
    <row r="248" spans="1:14" x14ac:dyDescent="0.35">
      <c r="B248">
        <v>33038</v>
      </c>
      <c r="C248" t="s">
        <v>272</v>
      </c>
      <c r="D248" s="12">
        <v>35.99</v>
      </c>
      <c r="E248" s="12">
        <v>18</v>
      </c>
      <c r="F248" s="16">
        <v>0</v>
      </c>
      <c r="G248" s="12"/>
      <c r="I248" s="12"/>
      <c r="K248" s="12"/>
      <c r="M248" s="12"/>
    </row>
    <row r="249" spans="1:14" x14ac:dyDescent="0.35">
      <c r="B249">
        <v>32130</v>
      </c>
      <c r="C249" t="s">
        <v>273</v>
      </c>
      <c r="D249" s="12">
        <v>140</v>
      </c>
      <c r="E249" s="12">
        <v>92.6</v>
      </c>
      <c r="F249" s="16">
        <v>0</v>
      </c>
      <c r="G249" s="12"/>
      <c r="I249" s="12"/>
      <c r="K249" s="12"/>
      <c r="M249" s="12"/>
    </row>
    <row r="250" spans="1:14" x14ac:dyDescent="0.35">
      <c r="B250">
        <v>33037</v>
      </c>
      <c r="C250" t="s">
        <v>274</v>
      </c>
      <c r="D250" s="12">
        <v>59.99</v>
      </c>
      <c r="E250" s="12">
        <v>23.44</v>
      </c>
      <c r="F250" s="16">
        <v>0</v>
      </c>
      <c r="G250" s="12"/>
      <c r="I250" s="12"/>
      <c r="K250" s="12"/>
      <c r="M250" s="12"/>
    </row>
    <row r="251" spans="1:14" x14ac:dyDescent="0.35">
      <c r="B251">
        <v>63798</v>
      </c>
      <c r="C251" t="s">
        <v>275</v>
      </c>
      <c r="D251" s="12">
        <v>79.989999999999995</v>
      </c>
      <c r="E251" s="12">
        <v>42.68</v>
      </c>
      <c r="F251" s="16">
        <v>0</v>
      </c>
      <c r="G251" s="12"/>
      <c r="I251" s="12"/>
      <c r="K251" s="12"/>
      <c r="M251" s="12"/>
    </row>
    <row r="252" spans="1:14" x14ac:dyDescent="0.35">
      <c r="B252">
        <v>64635</v>
      </c>
      <c r="C252" t="s">
        <v>276</v>
      </c>
      <c r="D252" s="12">
        <v>160</v>
      </c>
      <c r="E252" s="12">
        <v>72.88</v>
      </c>
      <c r="F252" s="16">
        <v>0</v>
      </c>
      <c r="G252" s="12"/>
      <c r="I252" s="12"/>
      <c r="K252" s="12"/>
      <c r="M252" s="12"/>
    </row>
    <row r="253" spans="1:14" x14ac:dyDescent="0.35">
      <c r="B253">
        <v>33017</v>
      </c>
      <c r="C253" t="s">
        <v>277</v>
      </c>
      <c r="D253" s="12">
        <v>69.989999999999995</v>
      </c>
      <c r="E253" s="12">
        <v>32.450000000000003</v>
      </c>
      <c r="F253" s="16">
        <v>0</v>
      </c>
      <c r="G253" s="12"/>
      <c r="I253" s="12"/>
      <c r="K253" s="12"/>
      <c r="M253" s="12"/>
    </row>
    <row r="254" spans="1:14" x14ac:dyDescent="0.35">
      <c r="B254">
        <v>64632</v>
      </c>
      <c r="C254" t="s">
        <v>278</v>
      </c>
      <c r="D254" s="12">
        <v>140</v>
      </c>
      <c r="E254" s="12">
        <v>62.14</v>
      </c>
      <c r="F254" s="16">
        <v>0</v>
      </c>
      <c r="G254" s="12"/>
      <c r="I254" s="12"/>
      <c r="K254" s="12"/>
      <c r="M254" s="12"/>
    </row>
    <row r="255" spans="1:14" x14ac:dyDescent="0.35">
      <c r="B255">
        <v>65238</v>
      </c>
      <c r="C255" t="s">
        <v>279</v>
      </c>
      <c r="D255" s="12">
        <v>120</v>
      </c>
      <c r="E255" s="12">
        <v>82.1</v>
      </c>
      <c r="F255" s="16">
        <v>0</v>
      </c>
      <c r="G255" s="12"/>
      <c r="I255" s="12"/>
      <c r="K255" s="12"/>
      <c r="M255" s="12"/>
    </row>
    <row r="256" spans="1:14" x14ac:dyDescent="0.35">
      <c r="B256">
        <v>65239</v>
      </c>
      <c r="C256" t="s">
        <v>280</v>
      </c>
      <c r="D256" s="12">
        <v>70</v>
      </c>
      <c r="E256" s="12">
        <v>48.14</v>
      </c>
      <c r="F256" s="16">
        <v>0</v>
      </c>
      <c r="G256" s="12"/>
      <c r="I256" s="12"/>
      <c r="K256" s="12"/>
      <c r="M256" s="12"/>
    </row>
    <row r="257" spans="1:14" x14ac:dyDescent="0.35">
      <c r="A257" t="s">
        <v>324</v>
      </c>
      <c r="G257" s="12">
        <v>69.556521739130432</v>
      </c>
      <c r="H257">
        <v>1</v>
      </c>
      <c r="I257" s="12"/>
      <c r="K257" s="12"/>
      <c r="M257" s="12">
        <v>69.556521739130432</v>
      </c>
      <c r="N257">
        <v>1</v>
      </c>
    </row>
    <row r="258" spans="1:14" x14ac:dyDescent="0.35">
      <c r="A258">
        <v>120</v>
      </c>
      <c r="B258">
        <v>62585</v>
      </c>
      <c r="C258" t="s">
        <v>281</v>
      </c>
      <c r="D258" s="12">
        <v>55</v>
      </c>
      <c r="E258" s="12">
        <v>33.18</v>
      </c>
      <c r="F258" s="16">
        <v>0</v>
      </c>
      <c r="G258" s="12"/>
      <c r="I258" s="12">
        <v>6217.391304347826</v>
      </c>
      <c r="J258">
        <v>130</v>
      </c>
      <c r="K258" s="12"/>
      <c r="M258" s="12">
        <v>6217.391304347826</v>
      </c>
      <c r="N258">
        <v>130</v>
      </c>
    </row>
    <row r="259" spans="1:14" x14ac:dyDescent="0.35">
      <c r="B259">
        <v>62629</v>
      </c>
      <c r="C259" t="s">
        <v>282</v>
      </c>
      <c r="D259" s="12">
        <v>60</v>
      </c>
      <c r="E259" s="12">
        <v>33.18</v>
      </c>
      <c r="F259" s="16">
        <v>0</v>
      </c>
      <c r="G259" s="12"/>
      <c r="I259" s="12">
        <v>1043.4782608695652</v>
      </c>
      <c r="J259">
        <v>20</v>
      </c>
      <c r="K259" s="12"/>
      <c r="M259" s="12">
        <v>1043.4782608695652</v>
      </c>
      <c r="N259">
        <v>20</v>
      </c>
    </row>
    <row r="260" spans="1:14" x14ac:dyDescent="0.35">
      <c r="B260">
        <v>34124</v>
      </c>
      <c r="C260" t="s">
        <v>283</v>
      </c>
      <c r="D260" s="12">
        <v>29.99</v>
      </c>
      <c r="E260" s="12">
        <v>12.33</v>
      </c>
      <c r="F260" s="16">
        <v>0</v>
      </c>
      <c r="G260" s="12"/>
      <c r="I260" s="12"/>
      <c r="K260" s="12"/>
      <c r="M260" s="12"/>
    </row>
    <row r="261" spans="1:14" x14ac:dyDescent="0.35">
      <c r="B261">
        <v>64763</v>
      </c>
      <c r="C261" t="s">
        <v>284</v>
      </c>
      <c r="D261" s="12">
        <v>38</v>
      </c>
      <c r="E261" s="12">
        <v>18.920000000000002</v>
      </c>
      <c r="F261" s="16">
        <v>0</v>
      </c>
      <c r="G261" s="12"/>
      <c r="I261" s="12"/>
      <c r="K261" s="12"/>
      <c r="M261" s="12"/>
    </row>
    <row r="262" spans="1:14" x14ac:dyDescent="0.35">
      <c r="B262">
        <v>64762</v>
      </c>
      <c r="C262" t="s">
        <v>285</v>
      </c>
      <c r="D262" s="12">
        <v>69.989999999999995</v>
      </c>
      <c r="E262" s="12">
        <v>37.380000000000003</v>
      </c>
      <c r="F262" s="16">
        <v>0</v>
      </c>
      <c r="G262" s="12"/>
      <c r="I262" s="12"/>
      <c r="K262" s="12"/>
      <c r="M262" s="12"/>
    </row>
    <row r="263" spans="1:14" x14ac:dyDescent="0.35">
      <c r="B263">
        <v>64761</v>
      </c>
      <c r="C263" t="s">
        <v>286</v>
      </c>
      <c r="D263" s="12">
        <v>69.989999999999995</v>
      </c>
      <c r="E263" s="12">
        <v>42.18</v>
      </c>
      <c r="F263" s="16">
        <v>0</v>
      </c>
      <c r="G263" s="12"/>
      <c r="I263" s="12"/>
      <c r="K263" s="12"/>
      <c r="M263" s="12"/>
    </row>
    <row r="264" spans="1:14" x14ac:dyDescent="0.35">
      <c r="A264" t="s">
        <v>325</v>
      </c>
      <c r="G264" s="12"/>
      <c r="I264" s="12">
        <v>7260.869565217391</v>
      </c>
      <c r="J264">
        <v>150</v>
      </c>
      <c r="K264" s="12"/>
      <c r="M264" s="12">
        <v>7260.869565217391</v>
      </c>
      <c r="N264">
        <v>150</v>
      </c>
    </row>
    <row r="265" spans="1:14" x14ac:dyDescent="0.35">
      <c r="A265">
        <v>103</v>
      </c>
      <c r="B265">
        <v>33990</v>
      </c>
      <c r="C265" t="s">
        <v>207</v>
      </c>
      <c r="D265" s="12">
        <v>21.99</v>
      </c>
      <c r="E265" s="12">
        <v>11.11</v>
      </c>
      <c r="F265" s="16">
        <v>0</v>
      </c>
      <c r="G265" s="12"/>
      <c r="I265" s="12"/>
      <c r="K265" s="12"/>
      <c r="M265" s="12"/>
    </row>
    <row r="266" spans="1:14" x14ac:dyDescent="0.35">
      <c r="B266">
        <v>34142</v>
      </c>
      <c r="C266" t="s">
        <v>208</v>
      </c>
      <c r="D266" s="12">
        <v>70.989999999999995</v>
      </c>
      <c r="E266" s="12">
        <v>18.7</v>
      </c>
      <c r="F266" s="16">
        <v>0</v>
      </c>
      <c r="G266" s="12"/>
      <c r="I266" s="12"/>
      <c r="K266" s="12"/>
      <c r="M266" s="12"/>
    </row>
    <row r="267" spans="1:14" x14ac:dyDescent="0.35">
      <c r="B267">
        <v>34101</v>
      </c>
      <c r="C267" t="s">
        <v>209</v>
      </c>
      <c r="D267" s="12">
        <v>216.99</v>
      </c>
      <c r="E267" s="12">
        <v>54</v>
      </c>
      <c r="F267" s="16">
        <v>0</v>
      </c>
      <c r="G267" s="12"/>
      <c r="I267" s="12"/>
      <c r="K267" s="12"/>
      <c r="M267" s="12"/>
    </row>
    <row r="268" spans="1:14" x14ac:dyDescent="0.35">
      <c r="B268">
        <v>33040</v>
      </c>
      <c r="C268" t="s">
        <v>210</v>
      </c>
      <c r="D268" s="12">
        <v>30</v>
      </c>
      <c r="E268" s="12">
        <v>18.260000000000002</v>
      </c>
      <c r="F268" s="16">
        <v>0</v>
      </c>
      <c r="G268" s="12"/>
      <c r="I268" s="12"/>
      <c r="K268" s="12"/>
      <c r="M268" s="12"/>
    </row>
    <row r="269" spans="1:14" x14ac:dyDescent="0.35">
      <c r="B269">
        <v>34100</v>
      </c>
      <c r="C269" t="s">
        <v>211</v>
      </c>
      <c r="D269" s="12">
        <v>402.99</v>
      </c>
      <c r="E269" s="12">
        <v>210</v>
      </c>
      <c r="F269" s="16">
        <v>0</v>
      </c>
      <c r="G269" s="12"/>
      <c r="I269" s="12"/>
      <c r="K269" s="12"/>
      <c r="M269" s="12"/>
    </row>
    <row r="270" spans="1:14" x14ac:dyDescent="0.35">
      <c r="B270">
        <v>33989</v>
      </c>
      <c r="C270" t="s">
        <v>212</v>
      </c>
      <c r="D270" s="12">
        <v>30</v>
      </c>
      <c r="E270" s="12">
        <v>20.81</v>
      </c>
      <c r="F270" s="16">
        <v>0</v>
      </c>
      <c r="G270" s="12"/>
      <c r="I270" s="12"/>
      <c r="K270" s="12"/>
      <c r="M270" s="12"/>
    </row>
    <row r="271" spans="1:14" x14ac:dyDescent="0.35">
      <c r="B271">
        <v>34087</v>
      </c>
      <c r="C271" t="s">
        <v>213</v>
      </c>
      <c r="D271" s="12">
        <v>99.99</v>
      </c>
      <c r="E271" s="12">
        <v>54.67</v>
      </c>
      <c r="F271" s="16">
        <v>0</v>
      </c>
      <c r="G271" s="12"/>
      <c r="I271" s="12"/>
      <c r="K271" s="12"/>
      <c r="M271" s="12"/>
    </row>
    <row r="272" spans="1:14" x14ac:dyDescent="0.35">
      <c r="B272">
        <v>33042</v>
      </c>
      <c r="C272" t="s">
        <v>214</v>
      </c>
      <c r="D272" s="12">
        <v>20</v>
      </c>
      <c r="E272" s="12">
        <v>10.23</v>
      </c>
      <c r="F272" s="16">
        <v>0</v>
      </c>
      <c r="G272" s="12"/>
      <c r="I272" s="12"/>
      <c r="K272" s="12"/>
      <c r="M272" s="12"/>
    </row>
    <row r="273" spans="2:13" x14ac:dyDescent="0.35">
      <c r="B273">
        <v>34134</v>
      </c>
      <c r="C273" t="s">
        <v>215</v>
      </c>
      <c r="D273" s="12">
        <v>313.99</v>
      </c>
      <c r="E273" s="12">
        <v>163.47229999999999</v>
      </c>
      <c r="F273" s="16">
        <v>0</v>
      </c>
      <c r="G273" s="12"/>
      <c r="I273" s="12"/>
      <c r="K273" s="12"/>
      <c r="M273" s="12"/>
    </row>
    <row r="274" spans="2:13" x14ac:dyDescent="0.35">
      <c r="B274">
        <v>33047</v>
      </c>
      <c r="C274" t="s">
        <v>216</v>
      </c>
      <c r="D274" s="12">
        <v>15</v>
      </c>
      <c r="E274" s="12">
        <v>6.99</v>
      </c>
      <c r="F274" s="16">
        <v>0</v>
      </c>
      <c r="G274" s="12"/>
      <c r="I274" s="12"/>
      <c r="K274" s="12"/>
      <c r="M274" s="12"/>
    </row>
    <row r="275" spans="2:13" x14ac:dyDescent="0.35">
      <c r="B275">
        <v>33988</v>
      </c>
      <c r="C275" t="s">
        <v>217</v>
      </c>
      <c r="D275" s="12">
        <v>15</v>
      </c>
      <c r="E275" s="12">
        <v>9.1300000000000008</v>
      </c>
      <c r="F275" s="16">
        <v>0</v>
      </c>
      <c r="G275" s="12"/>
      <c r="I275" s="12"/>
      <c r="K275" s="12"/>
      <c r="M275" s="12"/>
    </row>
    <row r="276" spans="2:13" x14ac:dyDescent="0.35">
      <c r="B276">
        <v>34136</v>
      </c>
      <c r="C276" t="s">
        <v>218</v>
      </c>
      <c r="D276" s="12">
        <v>112.99</v>
      </c>
      <c r="E276" s="12">
        <v>45</v>
      </c>
      <c r="F276" s="16">
        <v>0</v>
      </c>
      <c r="G276" s="12"/>
      <c r="I276" s="12"/>
      <c r="K276" s="12"/>
      <c r="M276" s="12"/>
    </row>
    <row r="277" spans="2:13" x14ac:dyDescent="0.35">
      <c r="B277">
        <v>33044</v>
      </c>
      <c r="C277" t="s">
        <v>219</v>
      </c>
      <c r="D277" s="12">
        <v>15</v>
      </c>
      <c r="E277" s="12">
        <v>10.23</v>
      </c>
      <c r="F277" s="16">
        <v>0</v>
      </c>
      <c r="G277" s="12"/>
      <c r="I277" s="12"/>
      <c r="K277" s="12"/>
      <c r="M277" s="12"/>
    </row>
    <row r="278" spans="2:13" x14ac:dyDescent="0.35">
      <c r="B278">
        <v>33048</v>
      </c>
      <c r="C278" t="s">
        <v>220</v>
      </c>
      <c r="D278" s="12">
        <v>15</v>
      </c>
      <c r="E278" s="12">
        <v>7.77</v>
      </c>
      <c r="F278" s="16">
        <v>0</v>
      </c>
      <c r="G278" s="12"/>
      <c r="I278" s="12"/>
      <c r="K278" s="12"/>
      <c r="M278" s="12"/>
    </row>
    <row r="279" spans="2:13" x14ac:dyDescent="0.35">
      <c r="B279">
        <v>33051</v>
      </c>
      <c r="C279" t="s">
        <v>221</v>
      </c>
      <c r="D279" s="12">
        <v>10</v>
      </c>
      <c r="E279" s="12">
        <v>5.04</v>
      </c>
      <c r="F279" s="16">
        <v>0</v>
      </c>
      <c r="G279" s="12"/>
      <c r="I279" s="12"/>
      <c r="K279" s="12"/>
      <c r="M279" s="12"/>
    </row>
    <row r="280" spans="2:13" x14ac:dyDescent="0.35">
      <c r="B280">
        <v>33041</v>
      </c>
      <c r="C280" t="s">
        <v>222</v>
      </c>
      <c r="D280" s="12">
        <v>10</v>
      </c>
      <c r="E280" s="12">
        <v>1.5</v>
      </c>
      <c r="F280" s="16">
        <v>0</v>
      </c>
      <c r="G280" s="12"/>
      <c r="I280" s="12"/>
      <c r="K280" s="12"/>
      <c r="M280" s="12"/>
    </row>
    <row r="281" spans="2:13" x14ac:dyDescent="0.35">
      <c r="B281">
        <v>33043</v>
      </c>
      <c r="C281" t="s">
        <v>223</v>
      </c>
      <c r="D281" s="12">
        <v>15</v>
      </c>
      <c r="E281" s="12">
        <v>4.26</v>
      </c>
      <c r="F281" s="16">
        <v>0</v>
      </c>
      <c r="G281" s="12"/>
      <c r="I281" s="12"/>
      <c r="K281" s="12"/>
      <c r="M281" s="12"/>
    </row>
    <row r="282" spans="2:13" x14ac:dyDescent="0.35">
      <c r="B282">
        <v>33045</v>
      </c>
      <c r="C282" t="s">
        <v>224</v>
      </c>
      <c r="D282" s="12">
        <v>10</v>
      </c>
      <c r="E282" s="12">
        <v>2.5</v>
      </c>
      <c r="F282" s="16">
        <v>0</v>
      </c>
      <c r="G282" s="12"/>
      <c r="I282" s="12"/>
      <c r="K282" s="12"/>
      <c r="M282" s="12"/>
    </row>
    <row r="283" spans="2:13" x14ac:dyDescent="0.35">
      <c r="B283">
        <v>33046</v>
      </c>
      <c r="C283" t="s">
        <v>225</v>
      </c>
      <c r="D283" s="12">
        <v>10</v>
      </c>
      <c r="E283" s="12">
        <v>3.39</v>
      </c>
      <c r="F283" s="16">
        <v>0</v>
      </c>
      <c r="G283" s="12"/>
      <c r="I283" s="12"/>
      <c r="K283" s="12"/>
      <c r="M283" s="12"/>
    </row>
    <row r="284" spans="2:13" x14ac:dyDescent="0.35">
      <c r="B284">
        <v>33049</v>
      </c>
      <c r="C284" t="s">
        <v>226</v>
      </c>
      <c r="D284" s="12">
        <v>10</v>
      </c>
      <c r="E284" s="12">
        <v>2.3199999999999998</v>
      </c>
      <c r="F284" s="16">
        <v>0</v>
      </c>
      <c r="G284" s="12"/>
      <c r="I284" s="12"/>
      <c r="K284" s="12"/>
      <c r="M284" s="12"/>
    </row>
    <row r="285" spans="2:13" x14ac:dyDescent="0.35">
      <c r="B285">
        <v>33050</v>
      </c>
      <c r="C285" t="s">
        <v>227</v>
      </c>
      <c r="D285" s="12">
        <v>10</v>
      </c>
      <c r="E285" s="12">
        <v>4.5599999999999996</v>
      </c>
      <c r="F285" s="16">
        <v>0</v>
      </c>
      <c r="G285" s="12"/>
      <c r="I285" s="12"/>
      <c r="K285" s="12"/>
      <c r="M285" s="12"/>
    </row>
    <row r="286" spans="2:13" x14ac:dyDescent="0.35">
      <c r="B286">
        <v>34076</v>
      </c>
      <c r="C286" t="s">
        <v>228</v>
      </c>
      <c r="D286" s="12">
        <v>114.99</v>
      </c>
      <c r="E286" s="12">
        <v>20.95</v>
      </c>
      <c r="F286" s="16">
        <v>0</v>
      </c>
      <c r="G286" s="12"/>
      <c r="I286" s="12"/>
      <c r="K286" s="12"/>
      <c r="M286" s="12"/>
    </row>
    <row r="287" spans="2:13" x14ac:dyDescent="0.35">
      <c r="B287">
        <v>34094</v>
      </c>
      <c r="C287" t="s">
        <v>229</v>
      </c>
      <c r="D287" s="12">
        <v>282.99</v>
      </c>
      <c r="E287" s="12">
        <v>57</v>
      </c>
      <c r="F287" s="16">
        <v>0</v>
      </c>
      <c r="G287" s="12"/>
      <c r="I287" s="12"/>
      <c r="K287" s="12"/>
      <c r="M287" s="12"/>
    </row>
    <row r="288" spans="2:13" x14ac:dyDescent="0.35">
      <c r="B288">
        <v>34135</v>
      </c>
      <c r="C288" t="s">
        <v>230</v>
      </c>
      <c r="D288" s="12">
        <v>189.99</v>
      </c>
      <c r="E288" s="12">
        <v>61</v>
      </c>
      <c r="F288" s="16">
        <v>0</v>
      </c>
      <c r="G288" s="12"/>
      <c r="I288" s="12"/>
      <c r="K288" s="12"/>
      <c r="M288" s="12"/>
    </row>
    <row r="289" spans="1:13" x14ac:dyDescent="0.35">
      <c r="A289" t="s">
        <v>331</v>
      </c>
      <c r="G289" s="12"/>
      <c r="I289" s="12"/>
      <c r="K289" s="12"/>
      <c r="M289" s="12"/>
    </row>
    <row r="290" spans="1:13" x14ac:dyDescent="0.35">
      <c r="A290">
        <v>107</v>
      </c>
      <c r="B290">
        <v>64416</v>
      </c>
      <c r="C290" t="s">
        <v>248</v>
      </c>
      <c r="D290" s="12">
        <v>49.99</v>
      </c>
      <c r="E290" s="12">
        <v>32.549999999999997</v>
      </c>
      <c r="F290" s="16">
        <v>0</v>
      </c>
      <c r="G290" s="12"/>
      <c r="I290" s="12"/>
      <c r="K290" s="12"/>
      <c r="M290" s="12"/>
    </row>
    <row r="291" spans="1:13" x14ac:dyDescent="0.35">
      <c r="A291" t="s">
        <v>332</v>
      </c>
      <c r="G291" s="12"/>
      <c r="I291" s="12"/>
      <c r="K291" s="12"/>
      <c r="M291" s="12"/>
    </row>
    <row r="292" spans="1:13" x14ac:dyDescent="0.35">
      <c r="A292">
        <v>109</v>
      </c>
      <c r="B292">
        <v>62614</v>
      </c>
      <c r="C292" t="s">
        <v>249</v>
      </c>
      <c r="D292" s="12">
        <v>7.99</v>
      </c>
      <c r="E292" s="12">
        <v>5.54</v>
      </c>
      <c r="F292" s="16">
        <v>0</v>
      </c>
      <c r="G292" s="12"/>
      <c r="I292" s="12"/>
      <c r="K292" s="12"/>
      <c r="M292" s="12"/>
    </row>
    <row r="293" spans="1:13" x14ac:dyDescent="0.35">
      <c r="B293">
        <v>48604</v>
      </c>
      <c r="C293" t="s">
        <v>250</v>
      </c>
      <c r="D293" s="12">
        <v>189.99</v>
      </c>
      <c r="E293" s="12">
        <v>107.69199999999999</v>
      </c>
      <c r="F293" s="16">
        <v>0</v>
      </c>
      <c r="G293" s="12"/>
      <c r="I293" s="12"/>
      <c r="K293" s="12"/>
      <c r="M293" s="12"/>
    </row>
    <row r="294" spans="1:13" x14ac:dyDescent="0.35">
      <c r="A294" t="s">
        <v>333</v>
      </c>
      <c r="G294" s="12"/>
      <c r="I294" s="12"/>
      <c r="K294" s="12"/>
      <c r="M294" s="12"/>
    </row>
    <row r="295" spans="1:13" x14ac:dyDescent="0.35">
      <c r="A295">
        <v>112</v>
      </c>
      <c r="B295">
        <v>61978</v>
      </c>
      <c r="C295" t="s">
        <v>251</v>
      </c>
      <c r="D295" s="12">
        <v>199.99</v>
      </c>
      <c r="E295" s="12">
        <v>126.16</v>
      </c>
      <c r="F295" s="16">
        <v>0</v>
      </c>
      <c r="G295" s="12"/>
      <c r="I295" s="12"/>
      <c r="K295" s="12"/>
      <c r="M295" s="12"/>
    </row>
    <row r="296" spans="1:13" x14ac:dyDescent="0.35">
      <c r="A296" t="s">
        <v>334</v>
      </c>
      <c r="G296" s="12"/>
      <c r="I296" s="12"/>
      <c r="K296" s="12"/>
      <c r="M296" s="12"/>
    </row>
    <row r="297" spans="1:13" x14ac:dyDescent="0.35">
      <c r="A297">
        <v>113</v>
      </c>
      <c r="B297">
        <v>46072</v>
      </c>
      <c r="C297" t="s">
        <v>252</v>
      </c>
      <c r="D297" s="12">
        <v>44.99</v>
      </c>
      <c r="E297" s="12">
        <v>26.64</v>
      </c>
      <c r="F297" s="16">
        <v>0</v>
      </c>
      <c r="G297" s="12"/>
      <c r="I297" s="12"/>
      <c r="K297" s="12"/>
      <c r="M297" s="12"/>
    </row>
    <row r="298" spans="1:13" x14ac:dyDescent="0.35">
      <c r="A298" t="s">
        <v>335</v>
      </c>
      <c r="G298" s="12"/>
      <c r="I298" s="12"/>
      <c r="K298" s="12"/>
      <c r="M298" s="12"/>
    </row>
    <row r="299" spans="1:13" x14ac:dyDescent="0.35">
      <c r="A299">
        <v>117</v>
      </c>
      <c r="B299">
        <v>34034</v>
      </c>
      <c r="C299" t="s">
        <v>253</v>
      </c>
      <c r="D299" s="12">
        <v>19.989999999999998</v>
      </c>
      <c r="E299" s="12">
        <v>8.43</v>
      </c>
      <c r="F299" s="16">
        <v>24</v>
      </c>
      <c r="G299" s="12"/>
      <c r="I299" s="12"/>
      <c r="K299" s="12"/>
      <c r="M299" s="12"/>
    </row>
    <row r="300" spans="1:13" x14ac:dyDescent="0.35">
      <c r="B300">
        <v>41620</v>
      </c>
      <c r="C300" t="s">
        <v>255</v>
      </c>
      <c r="D300" s="12">
        <v>15.99</v>
      </c>
      <c r="E300" s="12">
        <v>8.11</v>
      </c>
      <c r="F300" s="16">
        <v>6</v>
      </c>
      <c r="G300" s="12"/>
      <c r="I300" s="12"/>
      <c r="K300" s="12"/>
      <c r="M300" s="12"/>
    </row>
    <row r="301" spans="1:13" x14ac:dyDescent="0.35">
      <c r="B301">
        <v>61814</v>
      </c>
      <c r="C301" t="s">
        <v>254</v>
      </c>
      <c r="D301" s="12">
        <v>10</v>
      </c>
      <c r="E301" s="12">
        <v>3.39</v>
      </c>
      <c r="F301" s="16">
        <v>0</v>
      </c>
      <c r="G301" s="12"/>
      <c r="I301" s="12"/>
      <c r="K301" s="12"/>
      <c r="M301" s="12"/>
    </row>
    <row r="302" spans="1:13" x14ac:dyDescent="0.35">
      <c r="A302" t="s">
        <v>301</v>
      </c>
      <c r="G302" s="12"/>
      <c r="I302" s="12"/>
      <c r="K302" s="12"/>
      <c r="M302" s="12"/>
    </row>
    <row r="303" spans="1:13" x14ac:dyDescent="0.35">
      <c r="A303">
        <v>1138</v>
      </c>
      <c r="B303">
        <v>57870</v>
      </c>
      <c r="C303" t="s">
        <v>287</v>
      </c>
      <c r="D303" s="12">
        <v>0</v>
      </c>
      <c r="E303" s="12">
        <v>120.14</v>
      </c>
      <c r="F303" s="16">
        <v>0</v>
      </c>
      <c r="G303" s="12"/>
      <c r="I303" s="12"/>
      <c r="K303" s="12"/>
      <c r="M303" s="12"/>
    </row>
    <row r="304" spans="1:13" x14ac:dyDescent="0.35">
      <c r="A304" t="s">
        <v>336</v>
      </c>
      <c r="G304" s="12"/>
      <c r="I304" s="12"/>
      <c r="K304" s="12"/>
      <c r="M304" s="12"/>
    </row>
    <row r="305" spans="1:14" x14ac:dyDescent="0.35">
      <c r="A305">
        <v>1821</v>
      </c>
      <c r="B305">
        <v>33999</v>
      </c>
      <c r="C305" t="s">
        <v>288</v>
      </c>
      <c r="D305" s="12">
        <v>19.989999999999998</v>
      </c>
      <c r="E305" s="12">
        <v>17.149999999999999</v>
      </c>
      <c r="F305" s="16">
        <v>0</v>
      </c>
      <c r="G305" s="12"/>
      <c r="I305" s="12"/>
      <c r="K305" s="12"/>
      <c r="M305" s="12"/>
    </row>
    <row r="306" spans="1:14" x14ac:dyDescent="0.35">
      <c r="B306">
        <v>40827</v>
      </c>
      <c r="C306" t="s">
        <v>289</v>
      </c>
      <c r="D306" s="12">
        <v>29.99</v>
      </c>
      <c r="E306" s="12">
        <v>29.25</v>
      </c>
      <c r="F306" s="16">
        <v>0</v>
      </c>
      <c r="G306" s="12"/>
      <c r="I306" s="12"/>
      <c r="K306" s="12"/>
      <c r="M306" s="12"/>
    </row>
    <row r="307" spans="1:14" x14ac:dyDescent="0.35">
      <c r="A307" t="s">
        <v>337</v>
      </c>
      <c r="G307" s="12"/>
      <c r="I307" s="12"/>
      <c r="K307" s="12"/>
      <c r="M307" s="12"/>
    </row>
    <row r="308" spans="1:14" x14ac:dyDescent="0.35">
      <c r="A308" t="s">
        <v>296</v>
      </c>
      <c r="G308" s="12">
        <v>8059.5217391304368</v>
      </c>
      <c r="H308">
        <v>717.178</v>
      </c>
      <c r="I308" s="12">
        <v>13739.243478260873</v>
      </c>
      <c r="J308">
        <v>799.78499999999997</v>
      </c>
      <c r="K308" s="12"/>
      <c r="M308" s="12">
        <v>21798.765217391305</v>
      </c>
      <c r="N308">
        <v>1516.963</v>
      </c>
    </row>
  </sheetData>
  <pageMargins left="0.7" right="0.7" top="0.75" bottom="0.75" header="0.3" footer="0.3"/>
  <pageSetup paperSize="9" scale="54" fitToHeight="0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4E6-C32D-4D23-99F0-60AE5F91BE98}">
  <sheetPr codeName="Sheet5"/>
  <dimension ref="A1:O355"/>
  <sheetViews>
    <sheetView topLeftCell="A2" workbookViewId="0">
      <selection activeCell="A2" sqref="A2:O355"/>
    </sheetView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  <col min="12" max="12" width="19.8984375" bestFit="1" customWidth="1"/>
    <col min="13" max="13" width="19.09765625" bestFit="1" customWidth="1"/>
    <col min="14" max="14" width="30.796875" bestFit="1" customWidth="1"/>
    <col min="15" max="15" width="29.19921875" bestFit="1" customWidth="1"/>
  </cols>
  <sheetData>
    <row r="1" spans="1:15" x14ac:dyDescent="0.35">
      <c r="A1" t="s">
        <v>0</v>
      </c>
      <c r="B1" t="s">
        <v>290</v>
      </c>
      <c r="C1" t="s">
        <v>1</v>
      </c>
      <c r="D1" t="s">
        <v>2</v>
      </c>
      <c r="E1" t="s">
        <v>3</v>
      </c>
      <c r="F1" t="s">
        <v>4</v>
      </c>
      <c r="G1" t="s">
        <v>291</v>
      </c>
      <c r="H1" t="s">
        <v>292</v>
      </c>
      <c r="I1" t="s">
        <v>293</v>
      </c>
      <c r="J1" t="s">
        <v>294</v>
      </c>
      <c r="K1" t="s">
        <v>295</v>
      </c>
      <c r="L1" t="s">
        <v>319</v>
      </c>
      <c r="M1" t="s">
        <v>320</v>
      </c>
      <c r="N1" t="s">
        <v>321</v>
      </c>
      <c r="O1" t="s">
        <v>322</v>
      </c>
    </row>
    <row r="2" spans="1:15" x14ac:dyDescent="0.35">
      <c r="A2" t="s">
        <v>14</v>
      </c>
      <c r="B2">
        <v>101</v>
      </c>
      <c r="C2">
        <v>59381</v>
      </c>
      <c r="D2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  <c r="L2" s="64">
        <v>42181</v>
      </c>
      <c r="M2" t="s">
        <v>315</v>
      </c>
      <c r="N2">
        <v>1216.5217391304348</v>
      </c>
      <c r="O2">
        <v>100</v>
      </c>
    </row>
    <row r="3" spans="1:15" x14ac:dyDescent="0.35">
      <c r="A3" t="s">
        <v>14</v>
      </c>
      <c r="B3">
        <v>101</v>
      </c>
      <c r="C3">
        <v>59381</v>
      </c>
      <c r="D3" t="s">
        <v>15</v>
      </c>
      <c r="E3">
        <v>13.99</v>
      </c>
      <c r="F3">
        <v>7.36</v>
      </c>
      <c r="G3">
        <v>780</v>
      </c>
      <c r="H3">
        <v>10912.2</v>
      </c>
      <c r="I3">
        <v>5740.8</v>
      </c>
      <c r="J3">
        <v>5171.4000000000005</v>
      </c>
      <c r="K3">
        <v>47.390993566833458</v>
      </c>
      <c r="L3" s="64">
        <v>42547</v>
      </c>
      <c r="M3" t="s">
        <v>316</v>
      </c>
      <c r="N3">
        <v>1094.8695652173913</v>
      </c>
      <c r="O3">
        <v>90</v>
      </c>
    </row>
    <row r="4" spans="1:15" x14ac:dyDescent="0.35">
      <c r="A4" t="s">
        <v>14</v>
      </c>
      <c r="B4">
        <v>101</v>
      </c>
      <c r="C4">
        <v>32067</v>
      </c>
      <c r="D4" t="s">
        <v>29</v>
      </c>
      <c r="E4">
        <v>34.99</v>
      </c>
      <c r="F4">
        <v>15.91</v>
      </c>
      <c r="G4">
        <v>8</v>
      </c>
      <c r="H4">
        <v>279.92</v>
      </c>
      <c r="I4">
        <v>127.28</v>
      </c>
      <c r="J4">
        <v>152.64000000000001</v>
      </c>
      <c r="K4">
        <v>54.529865675907409</v>
      </c>
      <c r="L4" s="64">
        <v>42547</v>
      </c>
      <c r="M4" t="s">
        <v>316</v>
      </c>
      <c r="N4">
        <v>121.70434782608696</v>
      </c>
      <c r="O4">
        <v>4</v>
      </c>
    </row>
    <row r="5" spans="1:15" x14ac:dyDescent="0.35">
      <c r="A5" t="s">
        <v>14</v>
      </c>
      <c r="B5">
        <v>101</v>
      </c>
      <c r="C5">
        <v>59425</v>
      </c>
      <c r="D5" t="s">
        <v>17</v>
      </c>
      <c r="E5">
        <v>10.99</v>
      </c>
      <c r="F5">
        <v>6.3</v>
      </c>
      <c r="G5">
        <v>240</v>
      </c>
      <c r="H5">
        <v>2637.6</v>
      </c>
      <c r="I5">
        <v>1512</v>
      </c>
      <c r="J5">
        <v>1125.5999999999999</v>
      </c>
      <c r="K5">
        <v>42.675159235668787</v>
      </c>
      <c r="L5" s="64">
        <v>42181</v>
      </c>
      <c r="M5" t="s">
        <v>315</v>
      </c>
      <c r="N5">
        <v>659.4</v>
      </c>
      <c r="O5">
        <v>60</v>
      </c>
    </row>
    <row r="6" spans="1:15" x14ac:dyDescent="0.35">
      <c r="A6" t="s">
        <v>14</v>
      </c>
      <c r="B6">
        <v>102</v>
      </c>
      <c r="C6">
        <v>32127</v>
      </c>
      <c r="D6" t="s">
        <v>92</v>
      </c>
      <c r="E6">
        <v>11.99</v>
      </c>
      <c r="F6">
        <v>6.02</v>
      </c>
      <c r="G6">
        <v>32</v>
      </c>
      <c r="H6">
        <v>383.68</v>
      </c>
      <c r="I6">
        <v>192.64</v>
      </c>
      <c r="J6">
        <v>191.04000000000002</v>
      </c>
      <c r="K6">
        <v>49.791492910758976</v>
      </c>
      <c r="L6" s="64">
        <v>42181</v>
      </c>
      <c r="M6" t="s">
        <v>315</v>
      </c>
      <c r="N6">
        <v>125.11304347826086</v>
      </c>
      <c r="O6">
        <v>12</v>
      </c>
    </row>
    <row r="7" spans="1:15" x14ac:dyDescent="0.35">
      <c r="A7" t="s">
        <v>14</v>
      </c>
      <c r="B7">
        <v>102</v>
      </c>
      <c r="C7">
        <v>32127</v>
      </c>
      <c r="D7" t="s">
        <v>92</v>
      </c>
      <c r="E7">
        <v>11.99</v>
      </c>
      <c r="F7">
        <v>6.02</v>
      </c>
      <c r="G7">
        <v>32</v>
      </c>
      <c r="H7">
        <v>383.68</v>
      </c>
      <c r="I7">
        <v>192.64</v>
      </c>
      <c r="J7">
        <v>191.04000000000002</v>
      </c>
      <c r="K7">
        <v>49.791492910758976</v>
      </c>
      <c r="L7" s="64">
        <v>42547</v>
      </c>
      <c r="M7" t="s">
        <v>316</v>
      </c>
      <c r="N7">
        <v>93.834782608695647</v>
      </c>
      <c r="O7">
        <v>9</v>
      </c>
    </row>
    <row r="8" spans="1:15" x14ac:dyDescent="0.35">
      <c r="A8" t="s">
        <v>14</v>
      </c>
      <c r="B8">
        <v>101</v>
      </c>
      <c r="C8">
        <v>34690</v>
      </c>
      <c r="D8" t="s">
        <v>18</v>
      </c>
      <c r="E8">
        <v>16.989999999999998</v>
      </c>
      <c r="F8">
        <v>7.7</v>
      </c>
      <c r="G8">
        <v>184</v>
      </c>
      <c r="H8">
        <v>3126.16</v>
      </c>
      <c r="I8">
        <v>1416.8</v>
      </c>
      <c r="J8">
        <v>1709.36</v>
      </c>
      <c r="K8">
        <v>54.679223072395523</v>
      </c>
      <c r="L8" s="64">
        <v>42181</v>
      </c>
      <c r="M8" t="s">
        <v>315</v>
      </c>
      <c r="N8">
        <v>457.99130434782614</v>
      </c>
      <c r="O8">
        <v>31</v>
      </c>
    </row>
    <row r="9" spans="1:15" x14ac:dyDescent="0.35">
      <c r="A9" t="s">
        <v>14</v>
      </c>
      <c r="B9">
        <v>101</v>
      </c>
      <c r="C9">
        <v>34690</v>
      </c>
      <c r="D9" t="s">
        <v>18</v>
      </c>
      <c r="E9">
        <v>16.989999999999998</v>
      </c>
      <c r="F9">
        <v>7.7</v>
      </c>
      <c r="G9">
        <v>184</v>
      </c>
      <c r="H9">
        <v>3126.16</v>
      </c>
      <c r="I9">
        <v>1416.8</v>
      </c>
      <c r="J9">
        <v>1709.36</v>
      </c>
      <c r="K9">
        <v>54.679223072395523</v>
      </c>
      <c r="L9" s="64">
        <v>42547</v>
      </c>
      <c r="M9" t="s">
        <v>316</v>
      </c>
      <c r="N9">
        <v>398.89565217391305</v>
      </c>
      <c r="O9">
        <v>27</v>
      </c>
    </row>
    <row r="10" spans="1:15" x14ac:dyDescent="0.35">
      <c r="A10" t="s">
        <v>19</v>
      </c>
      <c r="B10">
        <v>101</v>
      </c>
      <c r="C10">
        <v>34141</v>
      </c>
      <c r="D10" t="s">
        <v>24</v>
      </c>
      <c r="E10">
        <v>5</v>
      </c>
      <c r="F10">
        <v>3.3388749999999998</v>
      </c>
      <c r="G10">
        <v>144</v>
      </c>
      <c r="H10">
        <v>720</v>
      </c>
      <c r="I10">
        <v>480.798</v>
      </c>
      <c r="J10">
        <v>239.202</v>
      </c>
      <c r="K10">
        <v>33.222499999999997</v>
      </c>
      <c r="L10" s="64"/>
    </row>
    <row r="11" spans="1:15" x14ac:dyDescent="0.35">
      <c r="A11" t="s">
        <v>14</v>
      </c>
      <c r="B11">
        <v>102</v>
      </c>
      <c r="C11">
        <v>32152</v>
      </c>
      <c r="D11" t="s">
        <v>100</v>
      </c>
      <c r="E11">
        <v>12.99</v>
      </c>
      <c r="F11">
        <v>6.77</v>
      </c>
      <c r="G11">
        <v>6</v>
      </c>
      <c r="H11">
        <v>77.94</v>
      </c>
      <c r="I11">
        <v>40.619999999999997</v>
      </c>
      <c r="J11">
        <v>37.32</v>
      </c>
      <c r="K11">
        <v>47.882986913010015</v>
      </c>
      <c r="L11" s="64">
        <v>42181</v>
      </c>
      <c r="M11" t="s">
        <v>315</v>
      </c>
      <c r="N11">
        <v>67.77391304347826</v>
      </c>
      <c r="O11">
        <v>6</v>
      </c>
    </row>
    <row r="12" spans="1:15" x14ac:dyDescent="0.35">
      <c r="A12" t="s">
        <v>14</v>
      </c>
      <c r="B12">
        <v>102</v>
      </c>
      <c r="C12">
        <v>32152</v>
      </c>
      <c r="D12" t="s">
        <v>100</v>
      </c>
      <c r="E12">
        <v>12.99</v>
      </c>
      <c r="F12">
        <v>6.77</v>
      </c>
      <c r="G12">
        <v>6</v>
      </c>
      <c r="H12">
        <v>77.94</v>
      </c>
      <c r="I12">
        <v>40.619999999999997</v>
      </c>
      <c r="J12">
        <v>37.32</v>
      </c>
      <c r="K12">
        <v>47.882986913010015</v>
      </c>
      <c r="L12" s="64">
        <v>42547</v>
      </c>
      <c r="M12" t="s">
        <v>316</v>
      </c>
      <c r="N12">
        <v>22.591304347826089</v>
      </c>
      <c r="O12">
        <v>2</v>
      </c>
    </row>
    <row r="13" spans="1:15" x14ac:dyDescent="0.35">
      <c r="A13" t="s">
        <v>19</v>
      </c>
      <c r="B13">
        <v>101</v>
      </c>
      <c r="C13">
        <v>32859</v>
      </c>
      <c r="D13" t="s">
        <v>20</v>
      </c>
      <c r="E13">
        <v>20.99</v>
      </c>
      <c r="F13">
        <v>11.1</v>
      </c>
      <c r="G13">
        <v>104.666666666667</v>
      </c>
      <c r="H13">
        <v>2196.9533333333402</v>
      </c>
      <c r="I13">
        <v>1161.8000000000036</v>
      </c>
      <c r="J13">
        <v>1035.1533333333366</v>
      </c>
      <c r="K13">
        <v>47.117675083373037</v>
      </c>
      <c r="L13" s="64">
        <v>42181</v>
      </c>
      <c r="M13" t="s">
        <v>315</v>
      </c>
      <c r="N13">
        <v>146.01739130434785</v>
      </c>
      <c r="O13">
        <v>8</v>
      </c>
    </row>
    <row r="14" spans="1:15" x14ac:dyDescent="0.35">
      <c r="A14" t="s">
        <v>19</v>
      </c>
      <c r="B14">
        <v>101</v>
      </c>
      <c r="C14">
        <v>32859</v>
      </c>
      <c r="D14" t="s">
        <v>20</v>
      </c>
      <c r="E14">
        <v>20.99</v>
      </c>
      <c r="F14">
        <v>11.1</v>
      </c>
      <c r="G14">
        <v>104.666666666667</v>
      </c>
      <c r="H14">
        <v>2196.9533333333402</v>
      </c>
      <c r="I14">
        <v>1161.8000000000036</v>
      </c>
      <c r="J14">
        <v>1035.1533333333366</v>
      </c>
      <c r="K14">
        <v>47.117675083373037</v>
      </c>
      <c r="L14" s="64">
        <v>42547</v>
      </c>
      <c r="M14" t="s">
        <v>316</v>
      </c>
      <c r="N14">
        <v>200.77391304347827</v>
      </c>
      <c r="O14">
        <v>11</v>
      </c>
    </row>
    <row r="15" spans="1:15" x14ac:dyDescent="0.35">
      <c r="A15" t="s">
        <v>19</v>
      </c>
      <c r="B15">
        <v>101</v>
      </c>
      <c r="C15">
        <v>32859</v>
      </c>
      <c r="D15" t="s">
        <v>20</v>
      </c>
      <c r="E15">
        <v>20.99</v>
      </c>
      <c r="F15">
        <v>11.1</v>
      </c>
      <c r="G15">
        <v>104.666666666667</v>
      </c>
      <c r="H15">
        <v>2196.9533333333402</v>
      </c>
      <c r="I15">
        <v>1161.8000000000036</v>
      </c>
      <c r="J15">
        <v>1035.1533333333366</v>
      </c>
      <c r="K15">
        <v>47.117675083373037</v>
      </c>
      <c r="L15" s="64">
        <v>42181</v>
      </c>
      <c r="M15" t="s">
        <v>315</v>
      </c>
      <c r="N15">
        <v>146.01739130434785</v>
      </c>
      <c r="O15">
        <v>8</v>
      </c>
    </row>
    <row r="16" spans="1:15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>
        <v>104.666666666667</v>
      </c>
      <c r="H16">
        <v>2196.9533333333402</v>
      </c>
      <c r="I16">
        <v>1161.8000000000036</v>
      </c>
      <c r="J16">
        <v>1035.1533333333366</v>
      </c>
      <c r="K16">
        <v>47.117675083373037</v>
      </c>
      <c r="L16" s="64">
        <v>42547</v>
      </c>
      <c r="M16" t="s">
        <v>316</v>
      </c>
      <c r="N16">
        <v>200.77391304347827</v>
      </c>
      <c r="O16">
        <v>11</v>
      </c>
    </row>
    <row r="17" spans="1:15" x14ac:dyDescent="0.35">
      <c r="A17" t="s">
        <v>14</v>
      </c>
      <c r="B17">
        <v>101</v>
      </c>
      <c r="C17">
        <v>32859</v>
      </c>
      <c r="D17" t="s">
        <v>20</v>
      </c>
      <c r="E17">
        <v>20.99</v>
      </c>
      <c r="F17">
        <v>7.46</v>
      </c>
      <c r="G17">
        <v>0</v>
      </c>
      <c r="H17">
        <v>0</v>
      </c>
      <c r="I17">
        <v>0</v>
      </c>
      <c r="J17">
        <v>0</v>
      </c>
      <c r="K17">
        <v>0</v>
      </c>
      <c r="L17" s="64">
        <v>42181</v>
      </c>
      <c r="M17" t="s">
        <v>315</v>
      </c>
      <c r="N17">
        <v>146.01739130434785</v>
      </c>
      <c r="O17">
        <v>8</v>
      </c>
    </row>
    <row r="18" spans="1:15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>
        <v>0</v>
      </c>
      <c r="H18">
        <v>0</v>
      </c>
      <c r="I18">
        <v>0</v>
      </c>
      <c r="J18">
        <v>0</v>
      </c>
      <c r="K18">
        <v>0</v>
      </c>
      <c r="L18" s="64">
        <v>42547</v>
      </c>
      <c r="M18" t="s">
        <v>316</v>
      </c>
      <c r="N18">
        <v>200.77391304347827</v>
      </c>
      <c r="O18">
        <v>11</v>
      </c>
    </row>
    <row r="19" spans="1:15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>
        <v>0</v>
      </c>
      <c r="H19">
        <v>0</v>
      </c>
      <c r="I19">
        <v>0</v>
      </c>
      <c r="J19">
        <v>0</v>
      </c>
      <c r="K19">
        <v>0</v>
      </c>
      <c r="L19" s="64">
        <v>42181</v>
      </c>
      <c r="M19" t="s">
        <v>315</v>
      </c>
      <c r="N19">
        <v>146.01739130434785</v>
      </c>
      <c r="O19">
        <v>8</v>
      </c>
    </row>
    <row r="20" spans="1:15" x14ac:dyDescent="0.35">
      <c r="A20" t="s">
        <v>14</v>
      </c>
      <c r="B20">
        <v>101</v>
      </c>
      <c r="C20">
        <v>32859</v>
      </c>
      <c r="D20" t="s">
        <v>20</v>
      </c>
      <c r="E20">
        <v>20.99</v>
      </c>
      <c r="F20">
        <v>7.46</v>
      </c>
      <c r="G20">
        <v>0</v>
      </c>
      <c r="H20">
        <v>0</v>
      </c>
      <c r="I20">
        <v>0</v>
      </c>
      <c r="J20">
        <v>0</v>
      </c>
      <c r="K20">
        <v>0</v>
      </c>
      <c r="L20" s="64">
        <v>42547</v>
      </c>
      <c r="M20" t="s">
        <v>316</v>
      </c>
      <c r="N20">
        <v>200.77391304347827</v>
      </c>
      <c r="O20">
        <v>11</v>
      </c>
    </row>
    <row r="21" spans="1:15" x14ac:dyDescent="0.35">
      <c r="A21" t="s">
        <v>14</v>
      </c>
      <c r="B21">
        <v>101</v>
      </c>
      <c r="C21">
        <v>34070</v>
      </c>
      <c r="D21" t="s">
        <v>26</v>
      </c>
      <c r="E21">
        <v>12.99</v>
      </c>
      <c r="F21">
        <v>6.81</v>
      </c>
      <c r="G21">
        <v>86</v>
      </c>
      <c r="H21">
        <v>1117.1400000000001</v>
      </c>
      <c r="I21">
        <v>585.66</v>
      </c>
      <c r="J21">
        <v>531.48000000000013</v>
      </c>
      <c r="K21">
        <v>47.575057736720559</v>
      </c>
      <c r="L21" s="64">
        <v>42181</v>
      </c>
      <c r="M21" t="s">
        <v>315</v>
      </c>
      <c r="N21">
        <v>169.43478260869566</v>
      </c>
      <c r="O21">
        <v>15</v>
      </c>
    </row>
    <row r="22" spans="1:15" x14ac:dyDescent="0.35">
      <c r="A22" t="s">
        <v>14</v>
      </c>
      <c r="B22">
        <v>101</v>
      </c>
      <c r="C22">
        <v>34070</v>
      </c>
      <c r="D22" t="s">
        <v>26</v>
      </c>
      <c r="E22">
        <v>12.99</v>
      </c>
      <c r="F22">
        <v>6.81</v>
      </c>
      <c r="G22">
        <v>86</v>
      </c>
      <c r="H22">
        <v>1117.1400000000001</v>
      </c>
      <c r="I22">
        <v>585.66</v>
      </c>
      <c r="J22">
        <v>531.48000000000013</v>
      </c>
      <c r="K22">
        <v>47.575057736720559</v>
      </c>
      <c r="L22" s="64">
        <v>42547</v>
      </c>
      <c r="M22" t="s">
        <v>316</v>
      </c>
      <c r="N22">
        <v>101.66086956521738</v>
      </c>
      <c r="O22">
        <v>9</v>
      </c>
    </row>
    <row r="23" spans="1:15" x14ac:dyDescent="0.35">
      <c r="A23" t="s">
        <v>14</v>
      </c>
      <c r="B23">
        <v>102</v>
      </c>
      <c r="C23">
        <v>32153</v>
      </c>
      <c r="D23" t="s">
        <v>102</v>
      </c>
      <c r="E23">
        <v>8.99</v>
      </c>
      <c r="F23">
        <v>4.5599999999999996</v>
      </c>
      <c r="G23">
        <v>0</v>
      </c>
      <c r="H23">
        <v>0</v>
      </c>
      <c r="I23">
        <v>0</v>
      </c>
      <c r="J23">
        <v>0</v>
      </c>
      <c r="K23">
        <v>0</v>
      </c>
      <c r="L23" s="64">
        <v>42181</v>
      </c>
      <c r="M23" t="s">
        <v>315</v>
      </c>
      <c r="N23">
        <v>46.904347826086955</v>
      </c>
      <c r="O23">
        <v>6</v>
      </c>
    </row>
    <row r="24" spans="1:15" x14ac:dyDescent="0.35">
      <c r="A24" t="s">
        <v>14</v>
      </c>
      <c r="B24">
        <v>102</v>
      </c>
      <c r="C24">
        <v>32153</v>
      </c>
      <c r="D24" t="s">
        <v>102</v>
      </c>
      <c r="E24">
        <v>8.99</v>
      </c>
      <c r="F24">
        <v>4.5599999999999996</v>
      </c>
      <c r="G24">
        <v>0</v>
      </c>
      <c r="H24">
        <v>0</v>
      </c>
      <c r="I24">
        <v>0</v>
      </c>
      <c r="J24">
        <v>0</v>
      </c>
      <c r="K24">
        <v>0</v>
      </c>
      <c r="L24" s="64">
        <v>42547</v>
      </c>
      <c r="M24" t="s">
        <v>316</v>
      </c>
      <c r="N24">
        <v>62.539130434782606</v>
      </c>
      <c r="O24">
        <v>8</v>
      </c>
    </row>
    <row r="25" spans="1:15" x14ac:dyDescent="0.35">
      <c r="A25" t="s">
        <v>14</v>
      </c>
      <c r="B25">
        <v>101</v>
      </c>
      <c r="C25">
        <v>34041</v>
      </c>
      <c r="D25" t="s">
        <v>43</v>
      </c>
      <c r="E25">
        <v>6.99</v>
      </c>
      <c r="F25">
        <v>3.15</v>
      </c>
      <c r="G25">
        <v>70</v>
      </c>
      <c r="H25">
        <v>489.3</v>
      </c>
      <c r="I25">
        <v>220.5</v>
      </c>
      <c r="J25">
        <v>268.8</v>
      </c>
      <c r="K25">
        <v>54.935622317596568</v>
      </c>
      <c r="L25" s="64">
        <v>42181</v>
      </c>
      <c r="M25" t="s">
        <v>315</v>
      </c>
      <c r="N25">
        <v>66.860869565217399</v>
      </c>
      <c r="O25">
        <v>11</v>
      </c>
    </row>
    <row r="26" spans="1:15" x14ac:dyDescent="0.35">
      <c r="A26" t="s">
        <v>14</v>
      </c>
      <c r="B26">
        <v>101</v>
      </c>
      <c r="C26">
        <v>34041</v>
      </c>
      <c r="D26" t="s">
        <v>43</v>
      </c>
      <c r="E26">
        <v>6.99</v>
      </c>
      <c r="F26">
        <v>3.15</v>
      </c>
      <c r="G26">
        <v>70</v>
      </c>
      <c r="H26">
        <v>489.3</v>
      </c>
      <c r="I26">
        <v>220.5</v>
      </c>
      <c r="J26">
        <v>268.8</v>
      </c>
      <c r="K26">
        <v>54.935622317596568</v>
      </c>
      <c r="L26" s="64">
        <v>42547</v>
      </c>
      <c r="M26" t="s">
        <v>316</v>
      </c>
      <c r="N26">
        <v>42.547826086956519</v>
      </c>
      <c r="O26">
        <v>7</v>
      </c>
    </row>
    <row r="27" spans="1:15" x14ac:dyDescent="0.35">
      <c r="A27" t="s">
        <v>19</v>
      </c>
      <c r="B27">
        <v>101</v>
      </c>
      <c r="C27">
        <v>50037</v>
      </c>
      <c r="D27" t="s">
        <v>22</v>
      </c>
      <c r="E27">
        <v>25.99</v>
      </c>
      <c r="F27">
        <v>13.4</v>
      </c>
      <c r="G27">
        <v>65</v>
      </c>
      <c r="H27">
        <v>1689.35</v>
      </c>
      <c r="I27">
        <v>871</v>
      </c>
      <c r="J27">
        <v>818.34999999999991</v>
      </c>
      <c r="K27">
        <v>48.441708349365136</v>
      </c>
      <c r="L27" s="64">
        <v>42181</v>
      </c>
      <c r="M27" t="s">
        <v>315</v>
      </c>
      <c r="N27">
        <v>158.20000000000002</v>
      </c>
      <c r="O27">
        <v>7</v>
      </c>
    </row>
    <row r="28" spans="1:15" x14ac:dyDescent="0.35">
      <c r="A28" t="s">
        <v>19</v>
      </c>
      <c r="B28">
        <v>101</v>
      </c>
      <c r="C28">
        <v>50037</v>
      </c>
      <c r="D28" t="s">
        <v>22</v>
      </c>
      <c r="E28">
        <v>25.99</v>
      </c>
      <c r="F28">
        <v>13.4</v>
      </c>
      <c r="G28">
        <v>65</v>
      </c>
      <c r="H28">
        <v>1689.35</v>
      </c>
      <c r="I28">
        <v>871</v>
      </c>
      <c r="J28">
        <v>818.34999999999991</v>
      </c>
      <c r="K28">
        <v>48.441708349365136</v>
      </c>
      <c r="L28" s="64">
        <v>42547</v>
      </c>
      <c r="M28" t="s">
        <v>316</v>
      </c>
      <c r="N28">
        <v>158.20000000000002</v>
      </c>
      <c r="O28">
        <v>7</v>
      </c>
    </row>
    <row r="29" spans="1:15" x14ac:dyDescent="0.35">
      <c r="A29" t="s">
        <v>14</v>
      </c>
      <c r="B29">
        <v>102</v>
      </c>
      <c r="C29">
        <v>32855</v>
      </c>
      <c r="D29" t="s">
        <v>110</v>
      </c>
      <c r="E29">
        <v>17.989999999999998</v>
      </c>
      <c r="F29">
        <v>9.14</v>
      </c>
      <c r="G29">
        <v>6</v>
      </c>
      <c r="H29">
        <v>107.94</v>
      </c>
      <c r="I29">
        <v>54.84</v>
      </c>
      <c r="J29">
        <v>53.099999999999994</v>
      </c>
      <c r="K29">
        <v>49.193996664813781</v>
      </c>
      <c r="L29" s="64">
        <v>42181</v>
      </c>
      <c r="M29" t="s">
        <v>315</v>
      </c>
      <c r="N29">
        <v>46.930434782608693</v>
      </c>
      <c r="O29">
        <v>3</v>
      </c>
    </row>
    <row r="30" spans="1:15" x14ac:dyDescent="0.35">
      <c r="A30" t="s">
        <v>14</v>
      </c>
      <c r="B30">
        <v>102</v>
      </c>
      <c r="C30">
        <v>32855</v>
      </c>
      <c r="D30" t="s">
        <v>110</v>
      </c>
      <c r="E30">
        <v>17.989999999999998</v>
      </c>
      <c r="F30">
        <v>9.14</v>
      </c>
      <c r="G30">
        <v>6</v>
      </c>
      <c r="H30">
        <v>107.94</v>
      </c>
      <c r="I30">
        <v>54.84</v>
      </c>
      <c r="J30">
        <v>53.099999999999994</v>
      </c>
      <c r="K30">
        <v>49.193996664813781</v>
      </c>
      <c r="L30" s="64">
        <v>42547</v>
      </c>
      <c r="M30" t="s">
        <v>316</v>
      </c>
      <c r="N30">
        <v>31.286956521739128</v>
      </c>
      <c r="O30">
        <v>2</v>
      </c>
    </row>
    <row r="31" spans="1:15" x14ac:dyDescent="0.35">
      <c r="A31" t="s">
        <v>14</v>
      </c>
      <c r="B31">
        <v>101</v>
      </c>
      <c r="C31">
        <v>34046</v>
      </c>
      <c r="D31" t="s">
        <v>37</v>
      </c>
      <c r="E31">
        <v>19.989999999999998</v>
      </c>
      <c r="F31">
        <v>12.2</v>
      </c>
      <c r="G31">
        <v>50</v>
      </c>
      <c r="H31">
        <v>999.49999999999989</v>
      </c>
      <c r="I31">
        <v>610</v>
      </c>
      <c r="J31">
        <v>389.49999999999989</v>
      </c>
      <c r="K31">
        <v>38.969484742371179</v>
      </c>
      <c r="L31" s="64">
        <v>42181</v>
      </c>
      <c r="M31" t="s">
        <v>315</v>
      </c>
      <c r="N31">
        <v>86.913043478260875</v>
      </c>
      <c r="O31">
        <v>5</v>
      </c>
    </row>
    <row r="32" spans="1:15" x14ac:dyDescent="0.35">
      <c r="A32" t="s">
        <v>14</v>
      </c>
      <c r="B32">
        <v>101</v>
      </c>
      <c r="C32">
        <v>34046</v>
      </c>
      <c r="D32" t="s">
        <v>37</v>
      </c>
      <c r="E32">
        <v>19.989999999999998</v>
      </c>
      <c r="F32">
        <v>12.2</v>
      </c>
      <c r="G32">
        <v>50</v>
      </c>
      <c r="H32">
        <v>999.49999999999989</v>
      </c>
      <c r="I32">
        <v>610</v>
      </c>
      <c r="J32">
        <v>389.49999999999989</v>
      </c>
      <c r="K32">
        <v>38.969484742371179</v>
      </c>
      <c r="L32" s="64">
        <v>42547</v>
      </c>
      <c r="M32" t="s">
        <v>316</v>
      </c>
      <c r="N32">
        <v>69.530434782608694</v>
      </c>
      <c r="O32">
        <v>4</v>
      </c>
    </row>
    <row r="33" spans="1:15" x14ac:dyDescent="0.35">
      <c r="A33" t="s">
        <v>14</v>
      </c>
      <c r="B33">
        <v>101</v>
      </c>
      <c r="C33">
        <v>34042</v>
      </c>
      <c r="D33" t="s">
        <v>31</v>
      </c>
      <c r="E33">
        <v>9.5</v>
      </c>
      <c r="F33">
        <v>4.1500000000000004</v>
      </c>
      <c r="G33">
        <v>48</v>
      </c>
      <c r="H33">
        <v>456</v>
      </c>
      <c r="I33">
        <v>199.20000000000002</v>
      </c>
      <c r="J33">
        <v>256.79999999999995</v>
      </c>
      <c r="K33">
        <v>56.315789473684198</v>
      </c>
      <c r="L33" s="64">
        <v>42181</v>
      </c>
      <c r="M33" t="s">
        <v>315</v>
      </c>
      <c r="N33">
        <v>49.565217391304344</v>
      </c>
      <c r="O33">
        <v>6</v>
      </c>
    </row>
    <row r="34" spans="1:15" x14ac:dyDescent="0.35">
      <c r="A34" t="s">
        <v>14</v>
      </c>
      <c r="B34">
        <v>101</v>
      </c>
      <c r="C34">
        <v>34042</v>
      </c>
      <c r="D34" t="s">
        <v>31</v>
      </c>
      <c r="E34">
        <v>9.5</v>
      </c>
      <c r="F34">
        <v>4.1500000000000004</v>
      </c>
      <c r="G34">
        <v>48</v>
      </c>
      <c r="H34">
        <v>456</v>
      </c>
      <c r="I34">
        <v>199.20000000000002</v>
      </c>
      <c r="J34">
        <v>256.79999999999995</v>
      </c>
      <c r="K34">
        <v>56.315789473684198</v>
      </c>
      <c r="L34" s="64">
        <v>42547</v>
      </c>
      <c r="M34" t="s">
        <v>316</v>
      </c>
      <c r="N34">
        <v>90.869565217391312</v>
      </c>
      <c r="O34">
        <v>11</v>
      </c>
    </row>
    <row r="35" spans="1:15" x14ac:dyDescent="0.35">
      <c r="A35" t="s">
        <v>14</v>
      </c>
      <c r="B35">
        <v>102</v>
      </c>
      <c r="C35">
        <v>32857</v>
      </c>
      <c r="D35" t="s">
        <v>127</v>
      </c>
      <c r="E35">
        <v>130</v>
      </c>
      <c r="F35">
        <v>68.680000000000007</v>
      </c>
      <c r="G35">
        <v>0</v>
      </c>
      <c r="H35">
        <v>0</v>
      </c>
      <c r="I35">
        <v>0</v>
      </c>
      <c r="J35">
        <v>0</v>
      </c>
      <c r="K35">
        <v>0</v>
      </c>
      <c r="L35" s="64">
        <v>42181</v>
      </c>
      <c r="M35" t="s">
        <v>315</v>
      </c>
      <c r="N35">
        <v>113.04347826086956</v>
      </c>
      <c r="O35">
        <v>1</v>
      </c>
    </row>
    <row r="36" spans="1:15" x14ac:dyDescent="0.35">
      <c r="A36" t="s">
        <v>14</v>
      </c>
      <c r="B36">
        <v>101</v>
      </c>
      <c r="C36">
        <v>34091</v>
      </c>
      <c r="D36" t="s">
        <v>28</v>
      </c>
      <c r="E36">
        <v>19.989999999999998</v>
      </c>
      <c r="F36">
        <v>12.24</v>
      </c>
      <c r="G36">
        <v>40</v>
      </c>
      <c r="H36">
        <v>799.59999999999991</v>
      </c>
      <c r="I36">
        <v>489.6</v>
      </c>
      <c r="J36">
        <v>309.99999999999989</v>
      </c>
      <c r="K36">
        <v>38.769384692346165</v>
      </c>
      <c r="L36" s="64">
        <v>42181</v>
      </c>
      <c r="M36" t="s">
        <v>315</v>
      </c>
      <c r="N36">
        <v>86.913043478260875</v>
      </c>
      <c r="O36">
        <v>5</v>
      </c>
    </row>
    <row r="37" spans="1:15" x14ac:dyDescent="0.35">
      <c r="A37" t="s">
        <v>14</v>
      </c>
      <c r="B37">
        <v>101</v>
      </c>
      <c r="C37">
        <v>34091</v>
      </c>
      <c r="D37" t="s">
        <v>28</v>
      </c>
      <c r="E37">
        <v>19.989999999999998</v>
      </c>
      <c r="F37">
        <v>12.24</v>
      </c>
      <c r="G37">
        <v>40</v>
      </c>
      <c r="H37">
        <v>799.59999999999991</v>
      </c>
      <c r="I37">
        <v>489.6</v>
      </c>
      <c r="J37">
        <v>309.99999999999989</v>
      </c>
      <c r="K37">
        <v>38.769384692346165</v>
      </c>
      <c r="L37" s="64">
        <v>42547</v>
      </c>
      <c r="M37" t="s">
        <v>316</v>
      </c>
      <c r="N37">
        <v>86.913043478260875</v>
      </c>
      <c r="O37">
        <v>5</v>
      </c>
    </row>
    <row r="38" spans="1:15" x14ac:dyDescent="0.35">
      <c r="A38" t="s">
        <v>19</v>
      </c>
      <c r="B38">
        <v>101</v>
      </c>
      <c r="C38">
        <v>32858</v>
      </c>
      <c r="D38" t="s">
        <v>34</v>
      </c>
      <c r="E38">
        <v>3.8</v>
      </c>
      <c r="F38">
        <v>1.8573999999999999</v>
      </c>
      <c r="G38">
        <v>0</v>
      </c>
      <c r="H38">
        <v>0</v>
      </c>
      <c r="I38">
        <v>0</v>
      </c>
      <c r="J38">
        <v>0</v>
      </c>
      <c r="K38">
        <v>0</v>
      </c>
      <c r="L38" s="64">
        <v>42181</v>
      </c>
      <c r="M38" t="s">
        <v>315</v>
      </c>
      <c r="N38">
        <v>19.826086956521738</v>
      </c>
      <c r="O38">
        <v>6</v>
      </c>
    </row>
    <row r="39" spans="1:15" x14ac:dyDescent="0.35">
      <c r="A39" t="s">
        <v>19</v>
      </c>
      <c r="B39">
        <v>101</v>
      </c>
      <c r="C39">
        <v>32858</v>
      </c>
      <c r="D39" t="s">
        <v>34</v>
      </c>
      <c r="E39">
        <v>3.8</v>
      </c>
      <c r="F39">
        <v>1.8573999999999999</v>
      </c>
      <c r="G39">
        <v>0</v>
      </c>
      <c r="H39">
        <v>0</v>
      </c>
      <c r="I39">
        <v>0</v>
      </c>
      <c r="J39">
        <v>0</v>
      </c>
      <c r="K39">
        <v>0</v>
      </c>
      <c r="L39" s="64">
        <v>42547</v>
      </c>
      <c r="M39" t="s">
        <v>316</v>
      </c>
      <c r="N39">
        <v>102.43478260869566</v>
      </c>
      <c r="O39">
        <v>31</v>
      </c>
    </row>
    <row r="40" spans="1:15" x14ac:dyDescent="0.35">
      <c r="A40" t="s">
        <v>19</v>
      </c>
      <c r="B40">
        <v>101</v>
      </c>
      <c r="C40">
        <v>32858</v>
      </c>
      <c r="D40" t="s">
        <v>34</v>
      </c>
      <c r="E40">
        <v>3.8</v>
      </c>
      <c r="F40">
        <v>1.8573999999999999</v>
      </c>
      <c r="G40">
        <v>0</v>
      </c>
      <c r="H40">
        <v>0</v>
      </c>
      <c r="I40">
        <v>0</v>
      </c>
      <c r="J40">
        <v>0</v>
      </c>
      <c r="K40">
        <v>0</v>
      </c>
      <c r="L40" s="64">
        <v>42181</v>
      </c>
      <c r="M40" t="s">
        <v>315</v>
      </c>
      <c r="N40">
        <v>19.826086956521738</v>
      </c>
      <c r="O40">
        <v>6</v>
      </c>
    </row>
    <row r="41" spans="1:15" x14ac:dyDescent="0.35">
      <c r="A41" t="s">
        <v>19</v>
      </c>
      <c r="B41">
        <v>101</v>
      </c>
      <c r="C41">
        <v>32858</v>
      </c>
      <c r="D41" t="s">
        <v>34</v>
      </c>
      <c r="E41">
        <v>3.8</v>
      </c>
      <c r="F41">
        <v>1.8573999999999999</v>
      </c>
      <c r="G41">
        <v>0</v>
      </c>
      <c r="H41">
        <v>0</v>
      </c>
      <c r="I41">
        <v>0</v>
      </c>
      <c r="J41">
        <v>0</v>
      </c>
      <c r="K41">
        <v>0</v>
      </c>
      <c r="L41" s="64">
        <v>42547</v>
      </c>
      <c r="M41" t="s">
        <v>316</v>
      </c>
      <c r="N41">
        <v>102.43478260869566</v>
      </c>
      <c r="O41">
        <v>31</v>
      </c>
    </row>
    <row r="42" spans="1:15" x14ac:dyDescent="0.35">
      <c r="A42" t="s">
        <v>35</v>
      </c>
      <c r="B42">
        <v>101</v>
      </c>
      <c r="C42">
        <v>32858</v>
      </c>
      <c r="D42" t="s">
        <v>34</v>
      </c>
      <c r="E42">
        <v>3.8</v>
      </c>
      <c r="F42">
        <v>2.0770666666666702</v>
      </c>
      <c r="G42">
        <v>0</v>
      </c>
      <c r="H42">
        <v>0</v>
      </c>
      <c r="I42">
        <v>0</v>
      </c>
      <c r="J42">
        <v>0</v>
      </c>
      <c r="K42">
        <v>0</v>
      </c>
      <c r="L42" s="64">
        <v>42181</v>
      </c>
      <c r="M42" t="s">
        <v>315</v>
      </c>
      <c r="N42">
        <v>19.826086956521738</v>
      </c>
      <c r="O42">
        <v>6</v>
      </c>
    </row>
    <row r="43" spans="1:15" x14ac:dyDescent="0.35">
      <c r="A43" t="s">
        <v>35</v>
      </c>
      <c r="B43">
        <v>101</v>
      </c>
      <c r="C43">
        <v>32858</v>
      </c>
      <c r="D43" t="s">
        <v>34</v>
      </c>
      <c r="E43">
        <v>3.8</v>
      </c>
      <c r="F43">
        <v>2.0770666666666702</v>
      </c>
      <c r="G43">
        <v>0</v>
      </c>
      <c r="H43">
        <v>0</v>
      </c>
      <c r="I43">
        <v>0</v>
      </c>
      <c r="J43">
        <v>0</v>
      </c>
      <c r="K43">
        <v>0</v>
      </c>
      <c r="L43" s="64">
        <v>42547</v>
      </c>
      <c r="M43" t="s">
        <v>316</v>
      </c>
      <c r="N43">
        <v>102.43478260869566</v>
      </c>
      <c r="O43">
        <v>31</v>
      </c>
    </row>
    <row r="44" spans="1:15" x14ac:dyDescent="0.35">
      <c r="A44" t="s">
        <v>35</v>
      </c>
      <c r="B44">
        <v>101</v>
      </c>
      <c r="C44">
        <v>32858</v>
      </c>
      <c r="D44" t="s">
        <v>34</v>
      </c>
      <c r="E44">
        <v>3.8</v>
      </c>
      <c r="F44">
        <v>2.0770666666666702</v>
      </c>
      <c r="G44">
        <v>0</v>
      </c>
      <c r="H44">
        <v>0</v>
      </c>
      <c r="I44">
        <v>0</v>
      </c>
      <c r="J44">
        <v>0</v>
      </c>
      <c r="K44">
        <v>0</v>
      </c>
      <c r="L44" s="64">
        <v>42181</v>
      </c>
      <c r="M44" t="s">
        <v>315</v>
      </c>
      <c r="N44">
        <v>19.826086956521738</v>
      </c>
      <c r="O44">
        <v>6</v>
      </c>
    </row>
    <row r="45" spans="1:15" x14ac:dyDescent="0.35">
      <c r="A45" t="s">
        <v>35</v>
      </c>
      <c r="B45">
        <v>101</v>
      </c>
      <c r="C45">
        <v>32858</v>
      </c>
      <c r="D45" t="s">
        <v>34</v>
      </c>
      <c r="E45">
        <v>3.8</v>
      </c>
      <c r="F45">
        <v>2.0770666666666702</v>
      </c>
      <c r="G45">
        <v>0</v>
      </c>
      <c r="H45">
        <v>0</v>
      </c>
      <c r="I45">
        <v>0</v>
      </c>
      <c r="J45">
        <v>0</v>
      </c>
      <c r="K45">
        <v>0</v>
      </c>
      <c r="L45" s="64">
        <v>42547</v>
      </c>
      <c r="M45" t="s">
        <v>316</v>
      </c>
      <c r="N45">
        <v>102.43478260869566</v>
      </c>
      <c r="O45">
        <v>31</v>
      </c>
    </row>
    <row r="46" spans="1:15" x14ac:dyDescent="0.35">
      <c r="A46" t="s">
        <v>14</v>
      </c>
      <c r="B46">
        <v>101</v>
      </c>
      <c r="C46">
        <v>57073</v>
      </c>
      <c r="D46" t="s">
        <v>21</v>
      </c>
      <c r="E46">
        <v>36.99</v>
      </c>
      <c r="F46">
        <v>16.05</v>
      </c>
      <c r="G46">
        <v>36</v>
      </c>
      <c r="H46">
        <v>1331.64</v>
      </c>
      <c r="I46">
        <v>577.80000000000007</v>
      </c>
      <c r="J46">
        <v>753.84</v>
      </c>
      <c r="K46">
        <v>56.609894566098937</v>
      </c>
      <c r="L46" s="64">
        <v>42181</v>
      </c>
      <c r="M46" t="s">
        <v>315</v>
      </c>
      <c r="N46">
        <v>225.15652173913043</v>
      </c>
      <c r="O46">
        <v>7</v>
      </c>
    </row>
    <row r="47" spans="1:15" x14ac:dyDescent="0.35">
      <c r="A47" t="s">
        <v>14</v>
      </c>
      <c r="B47">
        <v>101</v>
      </c>
      <c r="C47">
        <v>57073</v>
      </c>
      <c r="D47" t="s">
        <v>21</v>
      </c>
      <c r="E47">
        <v>36.99</v>
      </c>
      <c r="F47">
        <v>16.05</v>
      </c>
      <c r="G47">
        <v>36</v>
      </c>
      <c r="H47">
        <v>1331.64</v>
      </c>
      <c r="I47">
        <v>577.80000000000007</v>
      </c>
      <c r="J47">
        <v>753.84</v>
      </c>
      <c r="K47">
        <v>56.609894566098937</v>
      </c>
      <c r="L47" s="64">
        <v>42547</v>
      </c>
      <c r="M47" t="s">
        <v>316</v>
      </c>
      <c r="N47">
        <v>32.165217391304353</v>
      </c>
      <c r="O47">
        <v>1</v>
      </c>
    </row>
    <row r="48" spans="1:15" x14ac:dyDescent="0.35">
      <c r="A48" t="s">
        <v>14</v>
      </c>
      <c r="B48">
        <v>101</v>
      </c>
      <c r="C48">
        <v>34024</v>
      </c>
      <c r="D48" t="s">
        <v>23</v>
      </c>
      <c r="E48">
        <v>37.99</v>
      </c>
      <c r="F48">
        <v>16.5</v>
      </c>
      <c r="G48">
        <v>36</v>
      </c>
      <c r="H48">
        <v>1367.64</v>
      </c>
      <c r="I48">
        <v>594</v>
      </c>
      <c r="J48">
        <v>773.6400000000001</v>
      </c>
      <c r="K48">
        <v>56.567517767833642</v>
      </c>
      <c r="L48" s="64">
        <v>42181</v>
      </c>
      <c r="M48" t="s">
        <v>315</v>
      </c>
      <c r="N48">
        <v>165.17391304347825</v>
      </c>
      <c r="O48">
        <v>5</v>
      </c>
    </row>
    <row r="49" spans="1:15" x14ac:dyDescent="0.35">
      <c r="A49" t="s">
        <v>14</v>
      </c>
      <c r="B49">
        <v>101</v>
      </c>
      <c r="C49">
        <v>34024</v>
      </c>
      <c r="D49" t="s">
        <v>23</v>
      </c>
      <c r="E49">
        <v>37.99</v>
      </c>
      <c r="F49">
        <v>16.5</v>
      </c>
      <c r="G49">
        <v>36</v>
      </c>
      <c r="H49">
        <v>1367.64</v>
      </c>
      <c r="I49">
        <v>594</v>
      </c>
      <c r="J49">
        <v>773.6400000000001</v>
      </c>
      <c r="K49">
        <v>56.567517767833642</v>
      </c>
      <c r="L49" s="64">
        <v>42547</v>
      </c>
      <c r="M49" t="s">
        <v>316</v>
      </c>
      <c r="N49">
        <v>33.03478260869565</v>
      </c>
      <c r="O49">
        <v>1</v>
      </c>
    </row>
    <row r="50" spans="1:15" x14ac:dyDescent="0.35">
      <c r="A50" t="s">
        <v>14</v>
      </c>
      <c r="B50">
        <v>101</v>
      </c>
      <c r="C50">
        <v>41464</v>
      </c>
      <c r="D50" t="s">
        <v>45</v>
      </c>
      <c r="E50">
        <v>16.989999999999998</v>
      </c>
      <c r="F50">
        <v>7.73</v>
      </c>
      <c r="G50">
        <v>36</v>
      </c>
      <c r="H50">
        <v>611.64</v>
      </c>
      <c r="I50">
        <v>278.28000000000003</v>
      </c>
      <c r="J50">
        <v>333.35999999999996</v>
      </c>
      <c r="K50">
        <v>54.502648616833426</v>
      </c>
      <c r="L50" s="64"/>
    </row>
    <row r="51" spans="1:15" x14ac:dyDescent="0.35">
      <c r="A51" t="s">
        <v>19</v>
      </c>
      <c r="B51">
        <v>101</v>
      </c>
      <c r="C51">
        <v>51680</v>
      </c>
      <c r="D51" t="s">
        <v>33</v>
      </c>
      <c r="E51">
        <v>21.99</v>
      </c>
      <c r="F51">
        <v>12.14</v>
      </c>
      <c r="G51">
        <v>34</v>
      </c>
      <c r="H51">
        <v>747.66</v>
      </c>
      <c r="I51">
        <v>412.76</v>
      </c>
      <c r="J51">
        <v>334.9</v>
      </c>
      <c r="K51">
        <v>44.793087767166895</v>
      </c>
      <c r="L51" s="64">
        <v>42181</v>
      </c>
      <c r="M51" t="s">
        <v>315</v>
      </c>
      <c r="N51">
        <v>57.365217391304348</v>
      </c>
      <c r="O51">
        <v>3</v>
      </c>
    </row>
    <row r="52" spans="1:15" x14ac:dyDescent="0.35">
      <c r="A52" t="s">
        <v>19</v>
      </c>
      <c r="B52">
        <v>101</v>
      </c>
      <c r="C52">
        <v>51680</v>
      </c>
      <c r="D52" t="s">
        <v>33</v>
      </c>
      <c r="E52">
        <v>21.99</v>
      </c>
      <c r="F52">
        <v>12.14</v>
      </c>
      <c r="G52">
        <v>34</v>
      </c>
      <c r="H52">
        <v>747.66</v>
      </c>
      <c r="I52">
        <v>412.76</v>
      </c>
      <c r="J52">
        <v>334.9</v>
      </c>
      <c r="K52">
        <v>44.793087767166895</v>
      </c>
      <c r="L52" s="64">
        <v>42547</v>
      </c>
      <c r="M52" t="s">
        <v>316</v>
      </c>
      <c r="N52">
        <v>19.121739130434783</v>
      </c>
      <c r="O52">
        <v>1</v>
      </c>
    </row>
    <row r="53" spans="1:15" x14ac:dyDescent="0.35">
      <c r="A53" t="s">
        <v>14</v>
      </c>
      <c r="B53">
        <v>101</v>
      </c>
      <c r="C53">
        <v>33997</v>
      </c>
      <c r="D53" t="s">
        <v>39</v>
      </c>
      <c r="E53">
        <v>14.99</v>
      </c>
      <c r="F53">
        <v>7.62</v>
      </c>
      <c r="G53">
        <v>30</v>
      </c>
      <c r="H53">
        <v>449.7</v>
      </c>
      <c r="I53">
        <v>228.6</v>
      </c>
      <c r="J53">
        <v>221.1</v>
      </c>
      <c r="K53">
        <v>49.166110740493664</v>
      </c>
      <c r="L53" s="64">
        <v>42181</v>
      </c>
      <c r="M53" t="s">
        <v>315</v>
      </c>
      <c r="N53">
        <v>39.104347826086958</v>
      </c>
      <c r="O53">
        <v>3</v>
      </c>
    </row>
    <row r="54" spans="1:15" x14ac:dyDescent="0.35">
      <c r="A54" t="s">
        <v>14</v>
      </c>
      <c r="B54">
        <v>101</v>
      </c>
      <c r="C54">
        <v>33997</v>
      </c>
      <c r="D54" t="s">
        <v>39</v>
      </c>
      <c r="E54">
        <v>14.99</v>
      </c>
      <c r="F54">
        <v>7.62</v>
      </c>
      <c r="G54">
        <v>30</v>
      </c>
      <c r="H54">
        <v>449.7</v>
      </c>
      <c r="I54">
        <v>228.6</v>
      </c>
      <c r="J54">
        <v>221.1</v>
      </c>
      <c r="K54">
        <v>49.166110740493664</v>
      </c>
      <c r="L54" s="64">
        <v>42547</v>
      </c>
      <c r="M54" t="s">
        <v>316</v>
      </c>
      <c r="N54">
        <v>52.139130434782608</v>
      </c>
      <c r="O54">
        <v>4</v>
      </c>
    </row>
    <row r="55" spans="1:15" x14ac:dyDescent="0.35">
      <c r="A55" t="s">
        <v>14</v>
      </c>
      <c r="B55">
        <v>101</v>
      </c>
      <c r="C55">
        <v>34023</v>
      </c>
      <c r="D55" t="s">
        <v>48</v>
      </c>
      <c r="E55">
        <v>6.99</v>
      </c>
      <c r="F55">
        <v>2.85</v>
      </c>
      <c r="G55">
        <v>28</v>
      </c>
      <c r="H55">
        <v>195.72</v>
      </c>
      <c r="I55">
        <v>79.8</v>
      </c>
      <c r="J55">
        <v>115.92</v>
      </c>
      <c r="K55">
        <v>59.227467811158796</v>
      </c>
      <c r="L55" s="64">
        <v>42181</v>
      </c>
      <c r="M55" t="s">
        <v>315</v>
      </c>
      <c r="N55">
        <v>30.39130434782609</v>
      </c>
      <c r="O55">
        <v>5</v>
      </c>
    </row>
    <row r="56" spans="1:15" x14ac:dyDescent="0.35">
      <c r="A56" t="s">
        <v>14</v>
      </c>
      <c r="B56">
        <v>101</v>
      </c>
      <c r="C56">
        <v>34023</v>
      </c>
      <c r="D56" t="s">
        <v>48</v>
      </c>
      <c r="E56">
        <v>6.99</v>
      </c>
      <c r="F56">
        <v>2.85</v>
      </c>
      <c r="G56">
        <v>28</v>
      </c>
      <c r="H56">
        <v>195.72</v>
      </c>
      <c r="I56">
        <v>79.8</v>
      </c>
      <c r="J56">
        <v>115.92</v>
      </c>
      <c r="K56">
        <v>59.227467811158796</v>
      </c>
      <c r="L56" s="64">
        <v>42547</v>
      </c>
      <c r="M56" t="s">
        <v>316</v>
      </c>
      <c r="N56">
        <v>24.31304347826087</v>
      </c>
      <c r="O56">
        <v>4</v>
      </c>
    </row>
    <row r="57" spans="1:15" x14ac:dyDescent="0.35">
      <c r="A57" t="s">
        <v>14</v>
      </c>
      <c r="B57">
        <v>101</v>
      </c>
      <c r="C57">
        <v>34022</v>
      </c>
      <c r="D57" t="s">
        <v>54</v>
      </c>
      <c r="E57">
        <v>5.99</v>
      </c>
      <c r="F57">
        <v>2.72</v>
      </c>
      <c r="G57">
        <v>24</v>
      </c>
      <c r="H57">
        <v>143.76</v>
      </c>
      <c r="I57">
        <v>65.28</v>
      </c>
      <c r="J57">
        <v>78.47999999999999</v>
      </c>
      <c r="K57">
        <v>54.590984974958253</v>
      </c>
      <c r="L57" s="64">
        <v>42181</v>
      </c>
      <c r="M57" t="s">
        <v>315</v>
      </c>
      <c r="N57">
        <v>26.043478260869563</v>
      </c>
      <c r="O57">
        <v>5</v>
      </c>
    </row>
    <row r="58" spans="1:15" x14ac:dyDescent="0.35">
      <c r="A58" t="s">
        <v>14</v>
      </c>
      <c r="B58">
        <v>101</v>
      </c>
      <c r="C58">
        <v>32860</v>
      </c>
      <c r="D58" t="s">
        <v>16</v>
      </c>
      <c r="E58">
        <v>20.99</v>
      </c>
      <c r="F58">
        <v>11.1</v>
      </c>
      <c r="G58">
        <v>0</v>
      </c>
      <c r="H58">
        <v>0</v>
      </c>
      <c r="I58">
        <v>0</v>
      </c>
      <c r="J58">
        <v>0</v>
      </c>
      <c r="K58">
        <v>0</v>
      </c>
      <c r="L58" s="64">
        <v>42181</v>
      </c>
      <c r="M58" t="s">
        <v>315</v>
      </c>
      <c r="N58">
        <v>365.04347826086956</v>
      </c>
      <c r="O58">
        <v>20</v>
      </c>
    </row>
    <row r="59" spans="1:15" x14ac:dyDescent="0.35">
      <c r="A59" t="s">
        <v>14</v>
      </c>
      <c r="B59">
        <v>101</v>
      </c>
      <c r="C59">
        <v>32860</v>
      </c>
      <c r="D59" t="s">
        <v>16</v>
      </c>
      <c r="E59">
        <v>20.99</v>
      </c>
      <c r="F59">
        <v>11.1</v>
      </c>
      <c r="G59">
        <v>0</v>
      </c>
      <c r="H59">
        <v>0</v>
      </c>
      <c r="I59">
        <v>0</v>
      </c>
      <c r="J59">
        <v>0</v>
      </c>
      <c r="K59">
        <v>0</v>
      </c>
      <c r="L59" s="64">
        <v>42547</v>
      </c>
      <c r="M59" t="s">
        <v>316</v>
      </c>
      <c r="N59">
        <v>200.77391304347825</v>
      </c>
      <c r="O59">
        <v>11</v>
      </c>
    </row>
    <row r="60" spans="1:15" x14ac:dyDescent="0.35">
      <c r="A60" t="s">
        <v>14</v>
      </c>
      <c r="B60">
        <v>101</v>
      </c>
      <c r="C60">
        <v>61947</v>
      </c>
      <c r="D60" t="s">
        <v>42</v>
      </c>
      <c r="E60">
        <v>28.99</v>
      </c>
      <c r="F60">
        <v>8.93</v>
      </c>
      <c r="G60">
        <v>8</v>
      </c>
      <c r="H60">
        <v>231.92</v>
      </c>
      <c r="I60">
        <v>71.44</v>
      </c>
      <c r="J60">
        <v>160.47999999999999</v>
      </c>
      <c r="K60">
        <v>69.196274577440491</v>
      </c>
      <c r="L60" s="64">
        <v>42181</v>
      </c>
      <c r="M60" t="s">
        <v>315</v>
      </c>
      <c r="N60">
        <v>25.208695652173912</v>
      </c>
      <c r="O60">
        <v>1</v>
      </c>
    </row>
    <row r="61" spans="1:15" x14ac:dyDescent="0.35">
      <c r="A61" t="s">
        <v>14</v>
      </c>
      <c r="B61">
        <v>101</v>
      </c>
      <c r="C61">
        <v>61947</v>
      </c>
      <c r="D61" t="s">
        <v>42</v>
      </c>
      <c r="E61">
        <v>28.99</v>
      </c>
      <c r="F61">
        <v>8.93</v>
      </c>
      <c r="G61">
        <v>8</v>
      </c>
      <c r="H61">
        <v>231.92</v>
      </c>
      <c r="I61">
        <v>71.44</v>
      </c>
      <c r="J61">
        <v>160.47999999999999</v>
      </c>
      <c r="K61">
        <v>69.196274577440491</v>
      </c>
      <c r="L61" s="64">
        <v>42547</v>
      </c>
      <c r="M61" t="s">
        <v>316</v>
      </c>
      <c r="N61">
        <v>25.208695652173912</v>
      </c>
      <c r="O61">
        <v>1</v>
      </c>
    </row>
    <row r="62" spans="1:15" x14ac:dyDescent="0.35">
      <c r="A62" t="s">
        <v>14</v>
      </c>
      <c r="B62">
        <v>101</v>
      </c>
      <c r="C62">
        <v>32062</v>
      </c>
      <c r="D62" t="s">
        <v>51</v>
      </c>
      <c r="E62">
        <v>24.99</v>
      </c>
      <c r="F62">
        <v>9.68</v>
      </c>
      <c r="G62">
        <v>6</v>
      </c>
      <c r="H62">
        <v>149.94</v>
      </c>
      <c r="I62">
        <v>58.08</v>
      </c>
      <c r="J62">
        <v>91.86</v>
      </c>
      <c r="K62">
        <v>61.264505802320933</v>
      </c>
      <c r="L62" s="64"/>
    </row>
    <row r="63" spans="1:15" x14ac:dyDescent="0.35">
      <c r="A63" t="s">
        <v>107</v>
      </c>
      <c r="B63">
        <v>102</v>
      </c>
      <c r="C63">
        <v>32863</v>
      </c>
      <c r="D63" t="s">
        <v>109</v>
      </c>
      <c r="E63">
        <v>17.989999999999998</v>
      </c>
      <c r="F63">
        <v>9.4</v>
      </c>
      <c r="G63">
        <v>0</v>
      </c>
      <c r="H63">
        <v>0</v>
      </c>
      <c r="I63">
        <v>0</v>
      </c>
      <c r="J63">
        <v>0</v>
      </c>
      <c r="K63">
        <v>0</v>
      </c>
      <c r="L63" s="64">
        <v>42181</v>
      </c>
      <c r="M63" t="s">
        <v>315</v>
      </c>
      <c r="N63">
        <v>78.217391304347828</v>
      </c>
      <c r="O63">
        <v>5</v>
      </c>
    </row>
    <row r="64" spans="1:15" x14ac:dyDescent="0.35">
      <c r="A64" t="s">
        <v>107</v>
      </c>
      <c r="B64">
        <v>102</v>
      </c>
      <c r="C64">
        <v>32863</v>
      </c>
      <c r="D64" t="s">
        <v>109</v>
      </c>
      <c r="E64">
        <v>17.989999999999998</v>
      </c>
      <c r="F64">
        <v>9.4</v>
      </c>
      <c r="G64">
        <v>0</v>
      </c>
      <c r="H64">
        <v>0</v>
      </c>
      <c r="I64">
        <v>0</v>
      </c>
      <c r="J64">
        <v>0</v>
      </c>
      <c r="K64">
        <v>0</v>
      </c>
      <c r="L64" s="64">
        <v>42547</v>
      </c>
      <c r="M64" t="s">
        <v>316</v>
      </c>
      <c r="N64">
        <v>62.573913043478257</v>
      </c>
      <c r="O64">
        <v>4</v>
      </c>
    </row>
    <row r="65" spans="1:15" x14ac:dyDescent="0.35">
      <c r="A65" t="s">
        <v>14</v>
      </c>
      <c r="B65">
        <v>101</v>
      </c>
      <c r="C65">
        <v>32063</v>
      </c>
      <c r="D65" t="s">
        <v>52</v>
      </c>
      <c r="E65">
        <v>19.989999999999998</v>
      </c>
      <c r="F65">
        <v>8.5</v>
      </c>
      <c r="G65">
        <v>6</v>
      </c>
      <c r="H65">
        <v>119.94</v>
      </c>
      <c r="I65">
        <v>51</v>
      </c>
      <c r="J65">
        <v>68.94</v>
      </c>
      <c r="K65">
        <v>57.478739369684838</v>
      </c>
      <c r="L65" s="64"/>
    </row>
    <row r="66" spans="1:15" x14ac:dyDescent="0.35">
      <c r="A66" t="s">
        <v>14</v>
      </c>
      <c r="B66">
        <v>101</v>
      </c>
      <c r="C66">
        <v>34053</v>
      </c>
      <c r="D66" t="s">
        <v>57</v>
      </c>
      <c r="E66">
        <v>15.99</v>
      </c>
      <c r="F66">
        <v>6.74</v>
      </c>
      <c r="G66">
        <v>6</v>
      </c>
      <c r="H66">
        <v>95.94</v>
      </c>
      <c r="I66">
        <v>40.44</v>
      </c>
      <c r="J66">
        <v>55.5</v>
      </c>
      <c r="K66">
        <v>57.848655409631021</v>
      </c>
      <c r="L66" s="64">
        <v>42181</v>
      </c>
      <c r="M66" t="s">
        <v>315</v>
      </c>
      <c r="N66">
        <v>41.713043478260872</v>
      </c>
      <c r="O66">
        <v>3</v>
      </c>
    </row>
    <row r="67" spans="1:15" x14ac:dyDescent="0.35">
      <c r="A67" t="s">
        <v>14</v>
      </c>
      <c r="B67">
        <v>101</v>
      </c>
      <c r="C67">
        <v>34053</v>
      </c>
      <c r="D67" t="s">
        <v>57</v>
      </c>
      <c r="E67">
        <v>15.99</v>
      </c>
      <c r="F67">
        <v>6.74</v>
      </c>
      <c r="G67">
        <v>6</v>
      </c>
      <c r="H67">
        <v>95.94</v>
      </c>
      <c r="I67">
        <v>40.44</v>
      </c>
      <c r="J67">
        <v>55.5</v>
      </c>
      <c r="K67">
        <v>57.848655409631021</v>
      </c>
      <c r="L67" s="64">
        <v>42547</v>
      </c>
      <c r="M67" t="s">
        <v>316</v>
      </c>
      <c r="N67">
        <v>55.617391304347827</v>
      </c>
      <c r="O67">
        <v>4</v>
      </c>
    </row>
    <row r="68" spans="1:15" x14ac:dyDescent="0.35">
      <c r="A68" t="s">
        <v>107</v>
      </c>
      <c r="B68">
        <v>102</v>
      </c>
      <c r="C68">
        <v>32864</v>
      </c>
      <c r="D68" t="s">
        <v>108</v>
      </c>
      <c r="E68">
        <v>9.99</v>
      </c>
      <c r="F68">
        <v>5</v>
      </c>
      <c r="G68">
        <v>0</v>
      </c>
      <c r="H68">
        <v>0</v>
      </c>
      <c r="I68">
        <v>0</v>
      </c>
      <c r="J68">
        <v>0</v>
      </c>
      <c r="K68">
        <v>0</v>
      </c>
      <c r="L68" s="64">
        <v>42547</v>
      </c>
      <c r="M68" t="s">
        <v>316</v>
      </c>
      <c r="N68">
        <v>34.747826086956522</v>
      </c>
      <c r="O68">
        <v>4</v>
      </c>
    </row>
    <row r="69" spans="1:15" x14ac:dyDescent="0.35">
      <c r="A69" t="s">
        <v>14</v>
      </c>
      <c r="B69">
        <v>101</v>
      </c>
      <c r="C69">
        <v>34011</v>
      </c>
      <c r="D69" t="s">
        <v>66</v>
      </c>
      <c r="E69">
        <v>19.989999999999998</v>
      </c>
      <c r="F69">
        <v>2.63</v>
      </c>
      <c r="G69">
        <v>6</v>
      </c>
      <c r="H69">
        <v>119.94</v>
      </c>
      <c r="I69">
        <v>15.78</v>
      </c>
      <c r="J69">
        <v>104.16</v>
      </c>
      <c r="K69">
        <v>86.843421710855424</v>
      </c>
      <c r="L69" s="64"/>
    </row>
    <row r="70" spans="1:15" x14ac:dyDescent="0.35">
      <c r="A70" t="s">
        <v>14</v>
      </c>
      <c r="B70">
        <v>102</v>
      </c>
      <c r="C70">
        <v>32872</v>
      </c>
      <c r="D70" t="s">
        <v>98</v>
      </c>
      <c r="E70">
        <v>39.99</v>
      </c>
      <c r="F70">
        <v>11.79</v>
      </c>
      <c r="G70">
        <v>8</v>
      </c>
      <c r="H70">
        <v>319.92</v>
      </c>
      <c r="I70">
        <v>94.32</v>
      </c>
      <c r="J70">
        <v>225.60000000000002</v>
      </c>
      <c r="K70">
        <v>70.517629407351848</v>
      </c>
      <c r="L70" s="64">
        <v>42181</v>
      </c>
      <c r="M70" t="s">
        <v>315</v>
      </c>
      <c r="N70">
        <v>69.547826086956519</v>
      </c>
      <c r="O70">
        <v>2</v>
      </c>
    </row>
    <row r="71" spans="1:15" x14ac:dyDescent="0.35">
      <c r="A71" t="s">
        <v>14</v>
      </c>
      <c r="B71">
        <v>102</v>
      </c>
      <c r="C71">
        <v>33019</v>
      </c>
      <c r="D71" t="s">
        <v>112</v>
      </c>
      <c r="E71">
        <v>14.99</v>
      </c>
      <c r="F71">
        <v>5.5</v>
      </c>
      <c r="G71">
        <v>0</v>
      </c>
      <c r="H71">
        <v>0</v>
      </c>
      <c r="I71">
        <v>0</v>
      </c>
      <c r="J71">
        <v>0</v>
      </c>
      <c r="K71">
        <v>0</v>
      </c>
      <c r="L71" s="64">
        <v>42547</v>
      </c>
      <c r="M71" t="s">
        <v>316</v>
      </c>
      <c r="N71">
        <v>26.069565217391304</v>
      </c>
      <c r="O71">
        <v>2</v>
      </c>
    </row>
    <row r="72" spans="1:15" x14ac:dyDescent="0.35">
      <c r="A72" t="s">
        <v>14</v>
      </c>
      <c r="B72">
        <v>101</v>
      </c>
      <c r="C72">
        <v>34121</v>
      </c>
      <c r="D72" t="s">
        <v>25</v>
      </c>
      <c r="E72">
        <v>3.3</v>
      </c>
      <c r="F72">
        <v>1.85</v>
      </c>
      <c r="G72">
        <v>0</v>
      </c>
      <c r="H72">
        <v>0</v>
      </c>
      <c r="I72">
        <v>0</v>
      </c>
      <c r="J72">
        <v>0</v>
      </c>
      <c r="K72">
        <v>0</v>
      </c>
      <c r="L72" s="64"/>
    </row>
    <row r="73" spans="1:15" x14ac:dyDescent="0.35">
      <c r="A73" t="s">
        <v>14</v>
      </c>
      <c r="B73">
        <v>102</v>
      </c>
      <c r="C73">
        <v>33031</v>
      </c>
      <c r="D73" t="s">
        <v>97</v>
      </c>
      <c r="E73">
        <v>17.989999999999998</v>
      </c>
      <c r="F73">
        <v>9.1199999999999992</v>
      </c>
      <c r="G73">
        <v>8</v>
      </c>
      <c r="H73">
        <v>143.91999999999999</v>
      </c>
      <c r="I73">
        <v>72.959999999999994</v>
      </c>
      <c r="J73">
        <v>70.959999999999994</v>
      </c>
      <c r="K73">
        <v>49.305169538632576</v>
      </c>
      <c r="L73" s="64">
        <v>42181</v>
      </c>
      <c r="M73" t="s">
        <v>315</v>
      </c>
      <c r="N73">
        <v>140.7913043478261</v>
      </c>
      <c r="O73">
        <v>9</v>
      </c>
    </row>
    <row r="74" spans="1:15" x14ac:dyDescent="0.35">
      <c r="A74" t="s">
        <v>14</v>
      </c>
      <c r="B74">
        <v>101</v>
      </c>
      <c r="C74">
        <v>58767</v>
      </c>
      <c r="D74" t="s">
        <v>27</v>
      </c>
      <c r="E74">
        <v>19.989999999999998</v>
      </c>
      <c r="F74">
        <v>7.04</v>
      </c>
      <c r="G74">
        <v>0</v>
      </c>
      <c r="H74">
        <v>0</v>
      </c>
      <c r="I74">
        <v>0</v>
      </c>
      <c r="J74">
        <v>0</v>
      </c>
      <c r="K74">
        <v>0</v>
      </c>
      <c r="L74" s="64">
        <v>42181</v>
      </c>
      <c r="M74" t="s">
        <v>315</v>
      </c>
      <c r="N74">
        <v>121.67826086956522</v>
      </c>
      <c r="O74">
        <v>7</v>
      </c>
    </row>
    <row r="75" spans="1:15" x14ac:dyDescent="0.35">
      <c r="A75" t="s">
        <v>14</v>
      </c>
      <c r="B75">
        <v>101</v>
      </c>
      <c r="C75">
        <v>58767</v>
      </c>
      <c r="D75" t="s">
        <v>27</v>
      </c>
      <c r="E75">
        <v>19.989999999999998</v>
      </c>
      <c r="F75">
        <v>7.04</v>
      </c>
      <c r="G75">
        <v>0</v>
      </c>
      <c r="H75">
        <v>0</v>
      </c>
      <c r="I75">
        <v>0</v>
      </c>
      <c r="J75">
        <v>0</v>
      </c>
      <c r="K75">
        <v>0</v>
      </c>
      <c r="L75" s="64">
        <v>42547</v>
      </c>
      <c r="M75" t="s">
        <v>316</v>
      </c>
      <c r="N75">
        <v>52.14782608695652</v>
      </c>
      <c r="O75">
        <v>3</v>
      </c>
    </row>
    <row r="76" spans="1:15" x14ac:dyDescent="0.35">
      <c r="A76" t="s">
        <v>14</v>
      </c>
      <c r="B76">
        <v>102</v>
      </c>
      <c r="C76">
        <v>33995</v>
      </c>
      <c r="D76" t="s">
        <v>91</v>
      </c>
      <c r="E76">
        <v>15.99</v>
      </c>
      <c r="F76">
        <v>8.2200000000000006</v>
      </c>
      <c r="G76">
        <v>16</v>
      </c>
      <c r="H76">
        <v>255.84</v>
      </c>
      <c r="I76">
        <v>131.52000000000001</v>
      </c>
      <c r="J76">
        <v>124.32</v>
      </c>
      <c r="K76">
        <v>48.592870544090054</v>
      </c>
      <c r="L76" s="64">
        <v>42181</v>
      </c>
      <c r="M76" t="s">
        <v>315</v>
      </c>
      <c r="N76">
        <v>278.08695652173913</v>
      </c>
      <c r="O76">
        <v>20</v>
      </c>
    </row>
    <row r="77" spans="1:15" x14ac:dyDescent="0.35">
      <c r="A77" t="s">
        <v>14</v>
      </c>
      <c r="B77">
        <v>102</v>
      </c>
      <c r="C77">
        <v>33995</v>
      </c>
      <c r="D77" t="s">
        <v>91</v>
      </c>
      <c r="E77">
        <v>15.99</v>
      </c>
      <c r="F77">
        <v>8.2200000000000006</v>
      </c>
      <c r="G77">
        <v>16</v>
      </c>
      <c r="H77">
        <v>255.84</v>
      </c>
      <c r="I77">
        <v>131.52000000000001</v>
      </c>
      <c r="J77">
        <v>124.32</v>
      </c>
      <c r="K77">
        <v>48.592870544090054</v>
      </c>
      <c r="L77" s="64">
        <v>42547</v>
      </c>
      <c r="M77" t="s">
        <v>316</v>
      </c>
      <c r="N77">
        <v>97.330434782608705</v>
      </c>
      <c r="O77">
        <v>7</v>
      </c>
    </row>
    <row r="78" spans="1:15" x14ac:dyDescent="0.35">
      <c r="A78" t="s">
        <v>14</v>
      </c>
      <c r="B78">
        <v>101</v>
      </c>
      <c r="C78">
        <v>58512</v>
      </c>
      <c r="D78" t="s">
        <v>30</v>
      </c>
      <c r="E78">
        <v>26.99</v>
      </c>
      <c r="F78">
        <v>10.66</v>
      </c>
      <c r="G78">
        <v>0</v>
      </c>
      <c r="H78">
        <v>0</v>
      </c>
      <c r="I78">
        <v>0</v>
      </c>
      <c r="J78">
        <v>0</v>
      </c>
      <c r="K78">
        <v>0</v>
      </c>
      <c r="L78" s="64">
        <v>42181</v>
      </c>
      <c r="M78" t="s">
        <v>315</v>
      </c>
      <c r="N78">
        <v>70.408695652173918</v>
      </c>
      <c r="O78">
        <v>3</v>
      </c>
    </row>
    <row r="79" spans="1:15" x14ac:dyDescent="0.35">
      <c r="A79" t="s">
        <v>14</v>
      </c>
      <c r="B79">
        <v>101</v>
      </c>
      <c r="C79">
        <v>58512</v>
      </c>
      <c r="D79" t="s">
        <v>30</v>
      </c>
      <c r="E79">
        <v>26.99</v>
      </c>
      <c r="F79">
        <v>10.66</v>
      </c>
      <c r="G79">
        <v>0</v>
      </c>
      <c r="H79">
        <v>0</v>
      </c>
      <c r="I79">
        <v>0</v>
      </c>
      <c r="J79">
        <v>0</v>
      </c>
      <c r="K79">
        <v>0</v>
      </c>
      <c r="L79" s="64">
        <v>42547</v>
      </c>
      <c r="M79" t="s">
        <v>316</v>
      </c>
      <c r="N79">
        <v>70.408695652173918</v>
      </c>
      <c r="O79">
        <v>3</v>
      </c>
    </row>
    <row r="80" spans="1:15" x14ac:dyDescent="0.35">
      <c r="A80" t="s">
        <v>14</v>
      </c>
      <c r="B80">
        <v>101</v>
      </c>
      <c r="C80">
        <v>57167</v>
      </c>
      <c r="D80" t="s">
        <v>32</v>
      </c>
      <c r="E80">
        <v>16.989999999999998</v>
      </c>
      <c r="F80">
        <v>7.4</v>
      </c>
      <c r="G80">
        <v>0</v>
      </c>
      <c r="H80">
        <v>0</v>
      </c>
      <c r="I80">
        <v>0</v>
      </c>
      <c r="J80">
        <v>0</v>
      </c>
      <c r="K80">
        <v>0</v>
      </c>
      <c r="L80" s="64"/>
    </row>
    <row r="81" spans="1:15" x14ac:dyDescent="0.35">
      <c r="A81" t="s">
        <v>14</v>
      </c>
      <c r="B81">
        <v>101</v>
      </c>
      <c r="C81">
        <v>34004</v>
      </c>
      <c r="D81" t="s">
        <v>50</v>
      </c>
      <c r="E81">
        <v>1</v>
      </c>
      <c r="F81">
        <v>0.65</v>
      </c>
      <c r="G81">
        <v>0</v>
      </c>
      <c r="H81">
        <v>0</v>
      </c>
      <c r="I81">
        <v>0</v>
      </c>
      <c r="J81">
        <v>0</v>
      </c>
      <c r="K81">
        <v>0</v>
      </c>
      <c r="L81" s="64">
        <v>42181</v>
      </c>
      <c r="M81" t="s">
        <v>315</v>
      </c>
      <c r="N81">
        <v>30.434782608695652</v>
      </c>
      <c r="O81">
        <v>35</v>
      </c>
    </row>
    <row r="82" spans="1:15" x14ac:dyDescent="0.35">
      <c r="A82" t="s">
        <v>14</v>
      </c>
      <c r="B82">
        <v>101</v>
      </c>
      <c r="C82">
        <v>34004</v>
      </c>
      <c r="D82" t="s">
        <v>50</v>
      </c>
      <c r="E82">
        <v>1</v>
      </c>
      <c r="F82">
        <v>0.65</v>
      </c>
      <c r="G82">
        <v>0</v>
      </c>
      <c r="H82">
        <v>0</v>
      </c>
      <c r="I82">
        <v>0</v>
      </c>
      <c r="J82">
        <v>0</v>
      </c>
      <c r="K82">
        <v>0</v>
      </c>
      <c r="L82" s="64">
        <v>42547</v>
      </c>
      <c r="M82" t="s">
        <v>316</v>
      </c>
      <c r="N82">
        <v>6.9565217391304346</v>
      </c>
      <c r="O82">
        <v>8</v>
      </c>
    </row>
    <row r="83" spans="1:15" x14ac:dyDescent="0.35">
      <c r="A83" t="s">
        <v>14</v>
      </c>
      <c r="B83">
        <v>101</v>
      </c>
      <c r="C83">
        <v>34119</v>
      </c>
      <c r="D83" t="s">
        <v>36</v>
      </c>
      <c r="E83">
        <v>3.3</v>
      </c>
      <c r="F83">
        <v>1.85</v>
      </c>
      <c r="G83">
        <v>0</v>
      </c>
      <c r="H83">
        <v>0</v>
      </c>
      <c r="I83">
        <v>0</v>
      </c>
      <c r="J83">
        <v>0</v>
      </c>
      <c r="K83">
        <v>0</v>
      </c>
      <c r="L83" s="64">
        <v>42181</v>
      </c>
      <c r="M83" t="s">
        <v>315</v>
      </c>
      <c r="N83">
        <v>229.56521739130434</v>
      </c>
      <c r="O83">
        <v>80</v>
      </c>
    </row>
    <row r="84" spans="1:15" x14ac:dyDescent="0.35">
      <c r="A84" t="s">
        <v>14</v>
      </c>
      <c r="B84">
        <v>101</v>
      </c>
      <c r="C84">
        <v>42401</v>
      </c>
      <c r="D84" t="s">
        <v>38</v>
      </c>
      <c r="E84">
        <v>14.99</v>
      </c>
      <c r="F84">
        <v>6.62</v>
      </c>
      <c r="G84">
        <v>0</v>
      </c>
      <c r="H84">
        <v>0</v>
      </c>
      <c r="I84">
        <v>0</v>
      </c>
      <c r="J84">
        <v>0</v>
      </c>
      <c r="K84">
        <v>0</v>
      </c>
      <c r="L84" s="64">
        <v>42547</v>
      </c>
      <c r="M84" t="s">
        <v>316</v>
      </c>
      <c r="N84">
        <v>130.34782608695653</v>
      </c>
      <c r="O84">
        <v>10</v>
      </c>
    </row>
    <row r="85" spans="1:15" x14ac:dyDescent="0.35">
      <c r="A85" t="s">
        <v>14</v>
      </c>
      <c r="B85">
        <v>102</v>
      </c>
      <c r="C85">
        <v>34008</v>
      </c>
      <c r="D85" t="s">
        <v>104</v>
      </c>
      <c r="E85">
        <v>5.99</v>
      </c>
      <c r="F85">
        <v>4.32</v>
      </c>
      <c r="G85">
        <v>12</v>
      </c>
      <c r="H85">
        <v>71.88</v>
      </c>
      <c r="I85">
        <v>51.84</v>
      </c>
      <c r="J85">
        <v>20.039999999999992</v>
      </c>
      <c r="K85">
        <v>27.879799666110173</v>
      </c>
      <c r="L85" s="64">
        <v>42181</v>
      </c>
      <c r="M85" t="s">
        <v>315</v>
      </c>
      <c r="N85">
        <v>72.921739130434787</v>
      </c>
      <c r="O85">
        <v>14</v>
      </c>
    </row>
    <row r="86" spans="1:15" x14ac:dyDescent="0.35">
      <c r="A86" t="s">
        <v>14</v>
      </c>
      <c r="B86">
        <v>102</v>
      </c>
      <c r="C86">
        <v>34008</v>
      </c>
      <c r="D86" t="s">
        <v>104</v>
      </c>
      <c r="E86">
        <v>5.99</v>
      </c>
      <c r="F86">
        <v>4.32</v>
      </c>
      <c r="G86">
        <v>12</v>
      </c>
      <c r="H86">
        <v>71.88</v>
      </c>
      <c r="I86">
        <v>51.84</v>
      </c>
      <c r="J86">
        <v>20.039999999999992</v>
      </c>
      <c r="K86">
        <v>27.879799666110173</v>
      </c>
      <c r="L86" s="64">
        <v>42547</v>
      </c>
      <c r="M86" t="s">
        <v>316</v>
      </c>
      <c r="N86">
        <v>67.713043478260872</v>
      </c>
      <c r="O86">
        <v>13</v>
      </c>
    </row>
    <row r="87" spans="1:15" x14ac:dyDescent="0.35">
      <c r="A87" t="s">
        <v>19</v>
      </c>
      <c r="B87">
        <v>101</v>
      </c>
      <c r="C87">
        <v>34687</v>
      </c>
      <c r="D87" t="s">
        <v>40</v>
      </c>
      <c r="E87">
        <v>3.8</v>
      </c>
      <c r="F87">
        <v>1.9688000000000001</v>
      </c>
      <c r="G87">
        <v>0</v>
      </c>
      <c r="H87">
        <v>0</v>
      </c>
      <c r="I87">
        <v>0</v>
      </c>
      <c r="J87">
        <v>0</v>
      </c>
      <c r="K87">
        <v>0</v>
      </c>
      <c r="L87" s="64">
        <v>42181</v>
      </c>
      <c r="M87" t="s">
        <v>315</v>
      </c>
      <c r="N87">
        <v>19.826086956521738</v>
      </c>
      <c r="O87">
        <v>6</v>
      </c>
    </row>
    <row r="88" spans="1:15" x14ac:dyDescent="0.35">
      <c r="A88" t="s">
        <v>19</v>
      </c>
      <c r="B88">
        <v>101</v>
      </c>
      <c r="C88">
        <v>34687</v>
      </c>
      <c r="D88" t="s">
        <v>40</v>
      </c>
      <c r="E88">
        <v>3.8</v>
      </c>
      <c r="F88">
        <v>1.9688000000000001</v>
      </c>
      <c r="G88">
        <v>0</v>
      </c>
      <c r="H88">
        <v>0</v>
      </c>
      <c r="I88">
        <v>0</v>
      </c>
      <c r="J88">
        <v>0</v>
      </c>
      <c r="K88">
        <v>0</v>
      </c>
      <c r="L88" s="64">
        <v>42547</v>
      </c>
      <c r="M88" t="s">
        <v>316</v>
      </c>
      <c r="N88">
        <v>3.3043478260869565</v>
      </c>
      <c r="O88">
        <v>1</v>
      </c>
    </row>
    <row r="89" spans="1:15" x14ac:dyDescent="0.35">
      <c r="A89" t="s">
        <v>19</v>
      </c>
      <c r="B89">
        <v>101</v>
      </c>
      <c r="C89">
        <v>34687</v>
      </c>
      <c r="D89" t="s">
        <v>40</v>
      </c>
      <c r="E89">
        <v>3.8</v>
      </c>
      <c r="F89">
        <v>1.9688000000000001</v>
      </c>
      <c r="G89">
        <v>0</v>
      </c>
      <c r="H89">
        <v>0</v>
      </c>
      <c r="I89">
        <v>0</v>
      </c>
      <c r="J89">
        <v>0</v>
      </c>
      <c r="K89">
        <v>0</v>
      </c>
      <c r="L89" s="64">
        <v>42181</v>
      </c>
      <c r="M89" t="s">
        <v>315</v>
      </c>
      <c r="N89">
        <v>19.826086956521738</v>
      </c>
      <c r="O89">
        <v>6</v>
      </c>
    </row>
    <row r="90" spans="1:15" x14ac:dyDescent="0.35">
      <c r="A90" t="s">
        <v>19</v>
      </c>
      <c r="B90">
        <v>101</v>
      </c>
      <c r="C90">
        <v>34687</v>
      </c>
      <c r="D90" t="s">
        <v>40</v>
      </c>
      <c r="E90">
        <v>3.8</v>
      </c>
      <c r="F90">
        <v>1.9688000000000001</v>
      </c>
      <c r="G90">
        <v>0</v>
      </c>
      <c r="H90">
        <v>0</v>
      </c>
      <c r="I90">
        <v>0</v>
      </c>
      <c r="J90">
        <v>0</v>
      </c>
      <c r="K90">
        <v>0</v>
      </c>
      <c r="L90" s="64">
        <v>42547</v>
      </c>
      <c r="M90" t="s">
        <v>316</v>
      </c>
      <c r="N90">
        <v>3.3043478260869565</v>
      </c>
      <c r="O90">
        <v>1</v>
      </c>
    </row>
    <row r="91" spans="1:15" x14ac:dyDescent="0.35">
      <c r="A91" t="s">
        <v>35</v>
      </c>
      <c r="B91">
        <v>101</v>
      </c>
      <c r="C91">
        <v>34687</v>
      </c>
      <c r="D91" t="s">
        <v>40</v>
      </c>
      <c r="E91">
        <v>3.8</v>
      </c>
      <c r="F91">
        <v>2.0770666666666702</v>
      </c>
      <c r="G91">
        <v>0</v>
      </c>
      <c r="H91">
        <v>0</v>
      </c>
      <c r="I91">
        <v>0</v>
      </c>
      <c r="J91">
        <v>0</v>
      </c>
      <c r="K91">
        <v>0</v>
      </c>
      <c r="L91" s="64">
        <v>42181</v>
      </c>
      <c r="M91" t="s">
        <v>315</v>
      </c>
      <c r="N91">
        <v>19.826086956521738</v>
      </c>
      <c r="O91">
        <v>6</v>
      </c>
    </row>
    <row r="92" spans="1:15" x14ac:dyDescent="0.35">
      <c r="A92" t="s">
        <v>35</v>
      </c>
      <c r="B92">
        <v>101</v>
      </c>
      <c r="C92">
        <v>34687</v>
      </c>
      <c r="D92" t="s">
        <v>40</v>
      </c>
      <c r="E92">
        <v>3.8</v>
      </c>
      <c r="F92">
        <v>2.0770666666666702</v>
      </c>
      <c r="G92">
        <v>0</v>
      </c>
      <c r="H92">
        <v>0</v>
      </c>
      <c r="I92">
        <v>0</v>
      </c>
      <c r="J92">
        <v>0</v>
      </c>
      <c r="K92">
        <v>0</v>
      </c>
      <c r="L92" s="64">
        <v>42547</v>
      </c>
      <c r="M92" t="s">
        <v>316</v>
      </c>
      <c r="N92">
        <v>3.3043478260869565</v>
      </c>
      <c r="O92">
        <v>1</v>
      </c>
    </row>
    <row r="93" spans="1:15" x14ac:dyDescent="0.35">
      <c r="A93" t="s">
        <v>35</v>
      </c>
      <c r="B93">
        <v>101</v>
      </c>
      <c r="C93">
        <v>34687</v>
      </c>
      <c r="D93" t="s">
        <v>40</v>
      </c>
      <c r="E93">
        <v>3.8</v>
      </c>
      <c r="F93">
        <v>2.0770666666666702</v>
      </c>
      <c r="G93">
        <v>0</v>
      </c>
      <c r="H93">
        <v>0</v>
      </c>
      <c r="I93">
        <v>0</v>
      </c>
      <c r="J93">
        <v>0</v>
      </c>
      <c r="K93">
        <v>0</v>
      </c>
      <c r="L93" s="64">
        <v>42181</v>
      </c>
      <c r="M93" t="s">
        <v>315</v>
      </c>
      <c r="N93">
        <v>19.826086956521738</v>
      </c>
      <c r="O93">
        <v>6</v>
      </c>
    </row>
    <row r="94" spans="1:15" x14ac:dyDescent="0.35">
      <c r="A94" t="s">
        <v>35</v>
      </c>
      <c r="B94">
        <v>101</v>
      </c>
      <c r="C94">
        <v>34687</v>
      </c>
      <c r="D94" t="s">
        <v>40</v>
      </c>
      <c r="E94">
        <v>3.8</v>
      </c>
      <c r="F94">
        <v>2.0770666666666702</v>
      </c>
      <c r="G94">
        <v>0</v>
      </c>
      <c r="H94">
        <v>0</v>
      </c>
      <c r="I94">
        <v>0</v>
      </c>
      <c r="J94">
        <v>0</v>
      </c>
      <c r="K94">
        <v>0</v>
      </c>
      <c r="L94" s="64">
        <v>42547</v>
      </c>
      <c r="M94" t="s">
        <v>316</v>
      </c>
      <c r="N94">
        <v>3.3043478260869565</v>
      </c>
      <c r="O94">
        <v>1</v>
      </c>
    </row>
    <row r="95" spans="1:15" x14ac:dyDescent="0.35">
      <c r="A95" t="s">
        <v>14</v>
      </c>
      <c r="B95">
        <v>101</v>
      </c>
      <c r="C95">
        <v>60832</v>
      </c>
      <c r="D95" t="s">
        <v>41</v>
      </c>
      <c r="E95">
        <v>10</v>
      </c>
      <c r="F95">
        <v>7.36</v>
      </c>
      <c r="G95">
        <v>0</v>
      </c>
      <c r="H95">
        <v>0</v>
      </c>
      <c r="I95">
        <v>0</v>
      </c>
      <c r="J95">
        <v>0</v>
      </c>
      <c r="K95">
        <v>0</v>
      </c>
      <c r="L95" s="64"/>
    </row>
    <row r="96" spans="1:15" x14ac:dyDescent="0.35">
      <c r="A96" t="s">
        <v>19</v>
      </c>
      <c r="B96">
        <v>102</v>
      </c>
      <c r="C96">
        <v>34015</v>
      </c>
      <c r="D96" t="s">
        <v>106</v>
      </c>
      <c r="E96">
        <v>29.99</v>
      </c>
      <c r="F96">
        <v>3.1788888888888902</v>
      </c>
      <c r="G96">
        <v>6</v>
      </c>
      <c r="H96">
        <v>179.94</v>
      </c>
      <c r="I96">
        <v>19.073333333333341</v>
      </c>
      <c r="J96">
        <v>160.86666666666665</v>
      </c>
      <c r="K96">
        <v>89.400170427179418</v>
      </c>
      <c r="L96" s="64">
        <v>42181</v>
      </c>
      <c r="M96" t="s">
        <v>315</v>
      </c>
      <c r="N96">
        <v>78.234782608695653</v>
      </c>
      <c r="O96">
        <v>3</v>
      </c>
    </row>
    <row r="97" spans="1:15" x14ac:dyDescent="0.35">
      <c r="A97" t="s">
        <v>19</v>
      </c>
      <c r="B97">
        <v>102</v>
      </c>
      <c r="C97">
        <v>34015</v>
      </c>
      <c r="D97" t="s">
        <v>106</v>
      </c>
      <c r="E97">
        <v>29.99</v>
      </c>
      <c r="F97">
        <v>3.1788888888888902</v>
      </c>
      <c r="G97">
        <v>6</v>
      </c>
      <c r="H97">
        <v>179.94</v>
      </c>
      <c r="I97">
        <v>19.073333333333341</v>
      </c>
      <c r="J97">
        <v>160.86666666666665</v>
      </c>
      <c r="K97">
        <v>89.400170427179418</v>
      </c>
      <c r="L97" s="64">
        <v>42547</v>
      </c>
      <c r="M97" t="s">
        <v>316</v>
      </c>
      <c r="N97">
        <v>26.078260869565216</v>
      </c>
      <c r="O97">
        <v>1</v>
      </c>
    </row>
    <row r="98" spans="1:15" x14ac:dyDescent="0.35">
      <c r="A98" t="s">
        <v>14</v>
      </c>
      <c r="B98">
        <v>101</v>
      </c>
      <c r="C98">
        <v>34088</v>
      </c>
      <c r="D98" t="s">
        <v>44</v>
      </c>
      <c r="E98">
        <v>1.5</v>
      </c>
      <c r="F98">
        <v>0.68</v>
      </c>
      <c r="G98">
        <v>0</v>
      </c>
      <c r="H98">
        <v>0</v>
      </c>
      <c r="I98">
        <v>0</v>
      </c>
      <c r="J98">
        <v>0</v>
      </c>
      <c r="K98">
        <v>0</v>
      </c>
      <c r="L98" s="64">
        <v>42547</v>
      </c>
      <c r="M98" t="s">
        <v>316</v>
      </c>
      <c r="N98">
        <v>117.39130434782609</v>
      </c>
      <c r="O98">
        <v>90</v>
      </c>
    </row>
    <row r="99" spans="1:15" x14ac:dyDescent="0.35">
      <c r="A99" t="s">
        <v>14</v>
      </c>
      <c r="B99">
        <v>101</v>
      </c>
      <c r="C99">
        <v>62788</v>
      </c>
      <c r="D99" t="s">
        <v>46</v>
      </c>
      <c r="E99">
        <v>26.99</v>
      </c>
      <c r="F99">
        <v>10.66</v>
      </c>
      <c r="G99">
        <v>0</v>
      </c>
      <c r="H99">
        <v>0</v>
      </c>
      <c r="I99">
        <v>0</v>
      </c>
      <c r="J99">
        <v>0</v>
      </c>
      <c r="K99">
        <v>0</v>
      </c>
      <c r="L99" s="64"/>
    </row>
    <row r="100" spans="1:15" x14ac:dyDescent="0.35">
      <c r="A100" t="s">
        <v>14</v>
      </c>
      <c r="B100">
        <v>101</v>
      </c>
      <c r="C100">
        <v>34092</v>
      </c>
      <c r="D100" t="s">
        <v>47</v>
      </c>
      <c r="E100">
        <v>4.99</v>
      </c>
      <c r="F100">
        <v>2.52</v>
      </c>
      <c r="G100">
        <v>0</v>
      </c>
      <c r="H100">
        <v>0</v>
      </c>
      <c r="I100">
        <v>0</v>
      </c>
      <c r="J100">
        <v>0</v>
      </c>
      <c r="K100">
        <v>0</v>
      </c>
      <c r="L100" s="64">
        <v>42181</v>
      </c>
      <c r="M100" t="s">
        <v>315</v>
      </c>
      <c r="N100">
        <v>30.373913043478261</v>
      </c>
      <c r="O100">
        <v>7</v>
      </c>
    </row>
    <row r="101" spans="1:15" x14ac:dyDescent="0.35">
      <c r="A101" t="s">
        <v>14</v>
      </c>
      <c r="B101">
        <v>101</v>
      </c>
      <c r="C101">
        <v>34092</v>
      </c>
      <c r="D101" t="s">
        <v>47</v>
      </c>
      <c r="E101">
        <v>4.99</v>
      </c>
      <c r="F101">
        <v>2.52</v>
      </c>
      <c r="G101">
        <v>0</v>
      </c>
      <c r="H101">
        <v>0</v>
      </c>
      <c r="I101">
        <v>0</v>
      </c>
      <c r="J101">
        <v>0</v>
      </c>
      <c r="K101">
        <v>0</v>
      </c>
      <c r="L101" s="64">
        <v>42547</v>
      </c>
      <c r="M101" t="s">
        <v>316</v>
      </c>
      <c r="N101">
        <v>8.6782608695652179</v>
      </c>
      <c r="O101">
        <v>2</v>
      </c>
    </row>
    <row r="102" spans="1:15" x14ac:dyDescent="0.35">
      <c r="A102" t="s">
        <v>14</v>
      </c>
      <c r="B102">
        <v>101</v>
      </c>
      <c r="C102">
        <v>54547</v>
      </c>
      <c r="D102" t="s">
        <v>49</v>
      </c>
      <c r="E102">
        <v>9.99</v>
      </c>
      <c r="F102">
        <v>3.23</v>
      </c>
      <c r="G102">
        <v>0</v>
      </c>
      <c r="H102">
        <v>0</v>
      </c>
      <c r="I102">
        <v>0</v>
      </c>
      <c r="J102">
        <v>0</v>
      </c>
      <c r="K102">
        <v>0</v>
      </c>
      <c r="L102" s="64"/>
    </row>
    <row r="103" spans="1:15" x14ac:dyDescent="0.35">
      <c r="A103" t="s">
        <v>14</v>
      </c>
      <c r="B103">
        <v>101</v>
      </c>
      <c r="C103">
        <v>57071</v>
      </c>
      <c r="D103" t="s">
        <v>53</v>
      </c>
      <c r="E103">
        <v>29.99</v>
      </c>
      <c r="F103">
        <v>12.66</v>
      </c>
      <c r="G103">
        <v>0</v>
      </c>
      <c r="H103">
        <v>0</v>
      </c>
      <c r="I103">
        <v>0</v>
      </c>
      <c r="J103">
        <v>0</v>
      </c>
      <c r="K103">
        <v>0</v>
      </c>
      <c r="L103" s="64"/>
    </row>
    <row r="104" spans="1:15" x14ac:dyDescent="0.35">
      <c r="A104" t="s">
        <v>19</v>
      </c>
      <c r="B104">
        <v>101</v>
      </c>
      <c r="C104">
        <v>34132</v>
      </c>
      <c r="D104" t="s">
        <v>55</v>
      </c>
      <c r="E104">
        <v>3.99</v>
      </c>
      <c r="F104">
        <v>2.1095999999999999</v>
      </c>
      <c r="G104">
        <v>0</v>
      </c>
      <c r="H104">
        <v>0</v>
      </c>
      <c r="I104">
        <v>0</v>
      </c>
      <c r="J104">
        <v>0</v>
      </c>
      <c r="K104">
        <v>0</v>
      </c>
      <c r="L104" s="64"/>
    </row>
    <row r="105" spans="1:15" x14ac:dyDescent="0.35">
      <c r="A105" t="s">
        <v>19</v>
      </c>
      <c r="B105">
        <v>101</v>
      </c>
      <c r="C105">
        <v>34113</v>
      </c>
      <c r="D105" t="s">
        <v>56</v>
      </c>
      <c r="E105">
        <v>3.99</v>
      </c>
      <c r="F105">
        <v>2.1385999999999998</v>
      </c>
      <c r="G105">
        <v>0</v>
      </c>
      <c r="H105">
        <v>0</v>
      </c>
      <c r="I105">
        <v>0</v>
      </c>
      <c r="J105">
        <v>0</v>
      </c>
      <c r="K105">
        <v>0</v>
      </c>
      <c r="L105" s="64"/>
    </row>
    <row r="106" spans="1:15" x14ac:dyDescent="0.35">
      <c r="A106" t="s">
        <v>19</v>
      </c>
      <c r="B106">
        <v>101</v>
      </c>
      <c r="C106">
        <v>40158</v>
      </c>
      <c r="D106" t="s">
        <v>58</v>
      </c>
      <c r="E106">
        <v>11.99</v>
      </c>
      <c r="F106">
        <v>6.05</v>
      </c>
      <c r="G106">
        <v>0</v>
      </c>
      <c r="H106">
        <v>0</v>
      </c>
      <c r="I106">
        <v>0</v>
      </c>
      <c r="J106">
        <v>0</v>
      </c>
      <c r="K106">
        <v>0</v>
      </c>
      <c r="L106" s="64"/>
    </row>
    <row r="107" spans="1:15" x14ac:dyDescent="0.35">
      <c r="A107" t="s">
        <v>14</v>
      </c>
      <c r="B107">
        <v>101</v>
      </c>
      <c r="C107">
        <v>40158</v>
      </c>
      <c r="D107" t="s">
        <v>58</v>
      </c>
      <c r="E107">
        <v>11.99</v>
      </c>
      <c r="F107">
        <v>6.05</v>
      </c>
      <c r="G107">
        <v>0</v>
      </c>
      <c r="H107">
        <v>0</v>
      </c>
      <c r="I107">
        <v>0</v>
      </c>
      <c r="J107">
        <v>0</v>
      </c>
      <c r="K107">
        <v>0</v>
      </c>
      <c r="L107" s="64"/>
    </row>
    <row r="108" spans="1:15" x14ac:dyDescent="0.35">
      <c r="A108" t="s">
        <v>14</v>
      </c>
      <c r="B108">
        <v>101</v>
      </c>
      <c r="C108">
        <v>53528</v>
      </c>
      <c r="D108" t="s">
        <v>59</v>
      </c>
      <c r="E108">
        <v>28.99</v>
      </c>
      <c r="F108">
        <v>14.86</v>
      </c>
      <c r="G108">
        <v>0</v>
      </c>
      <c r="H108">
        <v>0</v>
      </c>
      <c r="I108">
        <v>0</v>
      </c>
      <c r="J108">
        <v>0</v>
      </c>
      <c r="K108">
        <v>0</v>
      </c>
      <c r="L108" s="64"/>
    </row>
    <row r="109" spans="1:15" x14ac:dyDescent="0.35">
      <c r="A109" t="s">
        <v>14</v>
      </c>
      <c r="B109">
        <v>101</v>
      </c>
      <c r="C109">
        <v>34086</v>
      </c>
      <c r="D109" t="s">
        <v>60</v>
      </c>
      <c r="E109">
        <v>29.99</v>
      </c>
      <c r="F109">
        <v>10</v>
      </c>
      <c r="G109">
        <v>0</v>
      </c>
      <c r="H109">
        <v>0</v>
      </c>
      <c r="I109">
        <v>0</v>
      </c>
      <c r="J109">
        <v>0</v>
      </c>
      <c r="K109">
        <v>0</v>
      </c>
      <c r="L109" s="64">
        <v>42181</v>
      </c>
      <c r="M109" t="s">
        <v>315</v>
      </c>
      <c r="N109">
        <v>5.2695652173913041</v>
      </c>
      <c r="O109">
        <v>0.20200000000000001</v>
      </c>
    </row>
    <row r="110" spans="1:15" x14ac:dyDescent="0.35">
      <c r="A110" t="s">
        <v>14</v>
      </c>
      <c r="B110">
        <v>101</v>
      </c>
      <c r="C110">
        <v>53497</v>
      </c>
      <c r="D110" t="s">
        <v>61</v>
      </c>
      <c r="E110">
        <v>79.989999999999995</v>
      </c>
      <c r="F110">
        <v>32.200000000000003</v>
      </c>
      <c r="G110">
        <v>0</v>
      </c>
      <c r="H110">
        <v>0</v>
      </c>
      <c r="I110">
        <v>0</v>
      </c>
      <c r="J110">
        <v>0</v>
      </c>
      <c r="K110">
        <v>0</v>
      </c>
      <c r="L110" s="64"/>
    </row>
    <row r="111" spans="1:15" x14ac:dyDescent="0.35">
      <c r="A111" t="s">
        <v>14</v>
      </c>
      <c r="B111">
        <v>101</v>
      </c>
      <c r="C111">
        <v>54228</v>
      </c>
      <c r="D111" t="s">
        <v>62</v>
      </c>
      <c r="E111">
        <v>13.99</v>
      </c>
      <c r="F111">
        <v>7.37</v>
      </c>
      <c r="G111">
        <v>0</v>
      </c>
      <c r="H111">
        <v>0</v>
      </c>
      <c r="I111">
        <v>0</v>
      </c>
      <c r="J111">
        <v>0</v>
      </c>
      <c r="K111">
        <v>0</v>
      </c>
      <c r="L111" s="64"/>
    </row>
    <row r="112" spans="1:15" x14ac:dyDescent="0.35">
      <c r="A112" t="s">
        <v>14</v>
      </c>
      <c r="B112">
        <v>101</v>
      </c>
      <c r="C112">
        <v>34006</v>
      </c>
      <c r="D112" t="s">
        <v>63</v>
      </c>
      <c r="E112">
        <v>10.99</v>
      </c>
      <c r="F112">
        <v>6.3</v>
      </c>
      <c r="G112">
        <v>0</v>
      </c>
      <c r="H112">
        <v>0</v>
      </c>
      <c r="I112">
        <v>0</v>
      </c>
      <c r="J112">
        <v>0</v>
      </c>
      <c r="K112">
        <v>0</v>
      </c>
      <c r="L112" s="64"/>
    </row>
    <row r="113" spans="1:15" x14ac:dyDescent="0.35">
      <c r="A113" t="s">
        <v>14</v>
      </c>
      <c r="B113">
        <v>101</v>
      </c>
      <c r="C113">
        <v>34059</v>
      </c>
      <c r="D113" t="s">
        <v>64</v>
      </c>
      <c r="E113">
        <v>6.99</v>
      </c>
      <c r="F113">
        <v>3.8</v>
      </c>
      <c r="G113">
        <v>0</v>
      </c>
      <c r="H113">
        <v>0</v>
      </c>
      <c r="I113">
        <v>0</v>
      </c>
      <c r="J113">
        <v>0</v>
      </c>
      <c r="K113">
        <v>0</v>
      </c>
      <c r="L113" s="64"/>
    </row>
    <row r="114" spans="1:15" x14ac:dyDescent="0.35">
      <c r="A114" t="s">
        <v>14</v>
      </c>
      <c r="B114">
        <v>101</v>
      </c>
      <c r="C114">
        <v>65681</v>
      </c>
      <c r="D114" t="s">
        <v>65</v>
      </c>
      <c r="E114">
        <v>29.99</v>
      </c>
      <c r="F114">
        <v>16.03</v>
      </c>
      <c r="G114">
        <v>0</v>
      </c>
      <c r="H114">
        <v>0</v>
      </c>
      <c r="I114">
        <v>0</v>
      </c>
      <c r="J114">
        <v>0</v>
      </c>
      <c r="K114">
        <v>0</v>
      </c>
      <c r="L114" s="64"/>
    </row>
    <row r="115" spans="1:15" x14ac:dyDescent="0.35">
      <c r="A115" t="s">
        <v>14</v>
      </c>
      <c r="B115">
        <v>101</v>
      </c>
      <c r="C115">
        <v>34068</v>
      </c>
      <c r="D115" t="s">
        <v>74</v>
      </c>
      <c r="E115">
        <v>1.5</v>
      </c>
      <c r="F115">
        <v>0.59</v>
      </c>
      <c r="G115">
        <v>0</v>
      </c>
      <c r="H115">
        <v>0</v>
      </c>
      <c r="I115">
        <v>0</v>
      </c>
      <c r="J115">
        <v>0</v>
      </c>
      <c r="K115">
        <v>0</v>
      </c>
      <c r="L115" s="64">
        <v>42181</v>
      </c>
      <c r="M115" t="s">
        <v>315</v>
      </c>
      <c r="N115">
        <v>20.869565217391305</v>
      </c>
      <c r="O115">
        <v>16</v>
      </c>
    </row>
    <row r="116" spans="1:15" x14ac:dyDescent="0.35">
      <c r="A116" t="s">
        <v>14</v>
      </c>
      <c r="B116">
        <v>101</v>
      </c>
      <c r="C116">
        <v>62390</v>
      </c>
      <c r="D116" t="s">
        <v>67</v>
      </c>
      <c r="E116">
        <v>19.989999999999998</v>
      </c>
      <c r="F116">
        <v>7.43</v>
      </c>
      <c r="G116">
        <v>0</v>
      </c>
      <c r="H116">
        <v>0</v>
      </c>
      <c r="I116">
        <v>0</v>
      </c>
      <c r="J116">
        <v>0</v>
      </c>
      <c r="K116">
        <v>0</v>
      </c>
      <c r="L116" s="64"/>
    </row>
    <row r="117" spans="1:15" x14ac:dyDescent="0.35">
      <c r="A117" t="s">
        <v>14</v>
      </c>
      <c r="B117">
        <v>101</v>
      </c>
      <c r="C117">
        <v>32862</v>
      </c>
      <c r="D117" t="s">
        <v>68</v>
      </c>
      <c r="E117">
        <v>9.99</v>
      </c>
      <c r="F117">
        <v>5.14</v>
      </c>
      <c r="G117">
        <v>0</v>
      </c>
      <c r="H117">
        <v>0</v>
      </c>
      <c r="I117">
        <v>0</v>
      </c>
      <c r="J117">
        <v>0</v>
      </c>
      <c r="K117">
        <v>0</v>
      </c>
      <c r="L117" s="64"/>
    </row>
    <row r="118" spans="1:15" x14ac:dyDescent="0.35">
      <c r="A118" t="s">
        <v>14</v>
      </c>
      <c r="B118">
        <v>101</v>
      </c>
      <c r="C118">
        <v>56350</v>
      </c>
      <c r="D118" t="s">
        <v>69</v>
      </c>
      <c r="E118">
        <v>4.99</v>
      </c>
      <c r="F118">
        <v>2.61</v>
      </c>
      <c r="G118">
        <v>0</v>
      </c>
      <c r="H118">
        <v>0</v>
      </c>
      <c r="I118">
        <v>0</v>
      </c>
      <c r="J118">
        <v>0</v>
      </c>
      <c r="K118">
        <v>0</v>
      </c>
      <c r="L118" s="64"/>
    </row>
    <row r="119" spans="1:15" x14ac:dyDescent="0.35">
      <c r="A119" t="s">
        <v>14</v>
      </c>
      <c r="B119">
        <v>101</v>
      </c>
      <c r="C119">
        <v>62622</v>
      </c>
      <c r="D119" t="s">
        <v>70</v>
      </c>
      <c r="E119">
        <v>26.99</v>
      </c>
      <c r="F119">
        <v>14.15</v>
      </c>
      <c r="G119">
        <v>0</v>
      </c>
      <c r="H119">
        <v>0</v>
      </c>
      <c r="I119">
        <v>0</v>
      </c>
      <c r="J119">
        <v>0</v>
      </c>
      <c r="K119">
        <v>0</v>
      </c>
      <c r="L119" s="64">
        <v>42181</v>
      </c>
      <c r="M119" t="s">
        <v>315</v>
      </c>
      <c r="N119">
        <v>70.408695652173918</v>
      </c>
      <c r="O119">
        <v>3</v>
      </c>
    </row>
    <row r="120" spans="1:15" x14ac:dyDescent="0.35">
      <c r="A120" t="s">
        <v>14</v>
      </c>
      <c r="B120">
        <v>101</v>
      </c>
      <c r="C120">
        <v>34052</v>
      </c>
      <c r="D120" t="s">
        <v>71</v>
      </c>
      <c r="E120">
        <v>24.99</v>
      </c>
      <c r="F120">
        <v>8.1</v>
      </c>
      <c r="G120">
        <v>0</v>
      </c>
      <c r="H120">
        <v>0</v>
      </c>
      <c r="I120">
        <v>0</v>
      </c>
      <c r="J120">
        <v>0</v>
      </c>
      <c r="K120">
        <v>0</v>
      </c>
      <c r="L120" s="64"/>
    </row>
    <row r="121" spans="1:15" x14ac:dyDescent="0.35">
      <c r="A121" t="s">
        <v>14</v>
      </c>
      <c r="B121">
        <v>101</v>
      </c>
      <c r="C121">
        <v>61950</v>
      </c>
      <c r="D121" t="s">
        <v>72</v>
      </c>
      <c r="E121">
        <v>10</v>
      </c>
      <c r="F121">
        <v>6.19</v>
      </c>
      <c r="G121">
        <v>0</v>
      </c>
      <c r="H121">
        <v>0</v>
      </c>
      <c r="I121">
        <v>0</v>
      </c>
      <c r="J121">
        <v>0</v>
      </c>
      <c r="K121">
        <v>0</v>
      </c>
      <c r="L121" s="64"/>
    </row>
    <row r="122" spans="1:15" x14ac:dyDescent="0.35">
      <c r="A122" t="s">
        <v>14</v>
      </c>
      <c r="B122">
        <v>101</v>
      </c>
      <c r="C122">
        <v>32871</v>
      </c>
      <c r="D122" t="s">
        <v>73</v>
      </c>
      <c r="E122">
        <v>8.99</v>
      </c>
      <c r="F122">
        <v>5</v>
      </c>
      <c r="G122">
        <v>0</v>
      </c>
      <c r="H122">
        <v>0</v>
      </c>
      <c r="I122">
        <v>0</v>
      </c>
      <c r="J122">
        <v>0</v>
      </c>
      <c r="K122">
        <v>0</v>
      </c>
      <c r="L122" s="64"/>
    </row>
    <row r="123" spans="1:15" x14ac:dyDescent="0.35">
      <c r="A123" t="s">
        <v>14</v>
      </c>
      <c r="B123">
        <v>101</v>
      </c>
      <c r="C123">
        <v>54546</v>
      </c>
      <c r="D123" t="s">
        <v>75</v>
      </c>
      <c r="E123">
        <v>5.99</v>
      </c>
      <c r="F123">
        <v>2.5299999999999998</v>
      </c>
      <c r="G123">
        <v>0</v>
      </c>
      <c r="H123">
        <v>0</v>
      </c>
      <c r="I123">
        <v>0</v>
      </c>
      <c r="J123">
        <v>0</v>
      </c>
      <c r="K123">
        <v>0</v>
      </c>
      <c r="L123" s="64"/>
    </row>
    <row r="124" spans="1:15" x14ac:dyDescent="0.35">
      <c r="A124" t="s">
        <v>14</v>
      </c>
      <c r="B124">
        <v>101</v>
      </c>
      <c r="C124">
        <v>39750</v>
      </c>
      <c r="D124" t="s">
        <v>76</v>
      </c>
      <c r="E124">
        <v>39.99</v>
      </c>
      <c r="F124">
        <v>16.100000000000001</v>
      </c>
      <c r="G124">
        <v>0</v>
      </c>
      <c r="H124">
        <v>0</v>
      </c>
      <c r="I124">
        <v>0</v>
      </c>
      <c r="J124">
        <v>0</v>
      </c>
      <c r="K124">
        <v>0</v>
      </c>
      <c r="L124" s="64"/>
    </row>
    <row r="125" spans="1:15" x14ac:dyDescent="0.35">
      <c r="A125" t="s">
        <v>19</v>
      </c>
      <c r="B125">
        <v>101</v>
      </c>
      <c r="C125">
        <v>43420</v>
      </c>
      <c r="D125" t="s">
        <v>77</v>
      </c>
      <c r="E125">
        <v>13.99</v>
      </c>
      <c r="F125">
        <v>8.3665000000000003</v>
      </c>
      <c r="G125">
        <v>0</v>
      </c>
      <c r="H125">
        <v>0</v>
      </c>
      <c r="I125">
        <v>0</v>
      </c>
      <c r="J125">
        <v>0</v>
      </c>
      <c r="K125">
        <v>0</v>
      </c>
      <c r="L125" s="64"/>
    </row>
    <row r="126" spans="1:15" x14ac:dyDescent="0.35">
      <c r="A126" t="s">
        <v>14</v>
      </c>
      <c r="B126">
        <v>101</v>
      </c>
      <c r="C126">
        <v>58763</v>
      </c>
      <c r="D126" t="s">
        <v>78</v>
      </c>
      <c r="E126">
        <v>3.2</v>
      </c>
      <c r="F126">
        <v>1.62</v>
      </c>
      <c r="G126">
        <v>0</v>
      </c>
      <c r="H126">
        <v>0</v>
      </c>
      <c r="I126">
        <v>0</v>
      </c>
      <c r="J126">
        <v>0</v>
      </c>
      <c r="K126">
        <v>0</v>
      </c>
      <c r="L126" s="64"/>
    </row>
    <row r="127" spans="1:15" x14ac:dyDescent="0.35">
      <c r="A127" t="s">
        <v>14</v>
      </c>
      <c r="B127">
        <v>102</v>
      </c>
      <c r="C127">
        <v>34102</v>
      </c>
      <c r="D127" t="s">
        <v>129</v>
      </c>
      <c r="E127">
        <v>9.99</v>
      </c>
      <c r="F127">
        <v>4.99</v>
      </c>
      <c r="G127">
        <v>0</v>
      </c>
      <c r="H127">
        <v>0</v>
      </c>
      <c r="I127">
        <v>0</v>
      </c>
      <c r="J127">
        <v>0</v>
      </c>
      <c r="K127">
        <v>0</v>
      </c>
      <c r="L127" s="64">
        <v>42547</v>
      </c>
      <c r="M127" t="s">
        <v>316</v>
      </c>
      <c r="N127">
        <v>43.434782608695656</v>
      </c>
      <c r="O127">
        <v>5</v>
      </c>
    </row>
    <row r="128" spans="1:15" x14ac:dyDescent="0.35">
      <c r="A128" t="s">
        <v>14</v>
      </c>
      <c r="B128">
        <v>101</v>
      </c>
      <c r="C128">
        <v>62621</v>
      </c>
      <c r="D128" t="s">
        <v>79</v>
      </c>
      <c r="E128">
        <v>26.99</v>
      </c>
      <c r="F128">
        <v>14.15</v>
      </c>
      <c r="G128">
        <v>0</v>
      </c>
      <c r="H128">
        <v>0</v>
      </c>
      <c r="I128">
        <v>0</v>
      </c>
      <c r="J128">
        <v>0</v>
      </c>
      <c r="K128">
        <v>0</v>
      </c>
      <c r="L128" s="64"/>
    </row>
    <row r="129" spans="1:15" x14ac:dyDescent="0.35">
      <c r="A129" t="s">
        <v>14</v>
      </c>
      <c r="B129">
        <v>101</v>
      </c>
      <c r="C129">
        <v>62627</v>
      </c>
      <c r="D129" t="s">
        <v>80</v>
      </c>
      <c r="E129">
        <v>20.99</v>
      </c>
      <c r="F129">
        <v>12.88</v>
      </c>
      <c r="G129">
        <v>0</v>
      </c>
      <c r="H129">
        <v>0</v>
      </c>
      <c r="I129">
        <v>0</v>
      </c>
      <c r="J129">
        <v>0</v>
      </c>
      <c r="K129">
        <v>0</v>
      </c>
      <c r="L129" s="64"/>
    </row>
    <row r="130" spans="1:15" x14ac:dyDescent="0.35">
      <c r="A130" t="s">
        <v>35</v>
      </c>
      <c r="B130">
        <v>101</v>
      </c>
      <c r="C130">
        <v>66806</v>
      </c>
      <c r="D130" t="s">
        <v>81</v>
      </c>
      <c r="E130">
        <v>33.99</v>
      </c>
      <c r="F130">
        <v>17.418749999999999</v>
      </c>
      <c r="G130">
        <v>0</v>
      </c>
      <c r="H130">
        <v>0</v>
      </c>
      <c r="I130">
        <v>0</v>
      </c>
      <c r="J130">
        <v>0</v>
      </c>
      <c r="K130">
        <v>0</v>
      </c>
      <c r="L130" s="64"/>
    </row>
    <row r="131" spans="1:15" x14ac:dyDescent="0.35">
      <c r="A131" t="s">
        <v>14</v>
      </c>
      <c r="B131">
        <v>101</v>
      </c>
      <c r="C131">
        <v>61018</v>
      </c>
      <c r="D131" t="s">
        <v>82</v>
      </c>
      <c r="E131">
        <v>4</v>
      </c>
      <c r="F131">
        <v>2.2599999999999998</v>
      </c>
      <c r="G131">
        <v>0</v>
      </c>
      <c r="H131">
        <v>0</v>
      </c>
      <c r="I131">
        <v>0</v>
      </c>
      <c r="J131">
        <v>0</v>
      </c>
      <c r="K131">
        <v>0</v>
      </c>
      <c r="L131" s="64"/>
    </row>
    <row r="132" spans="1:15" x14ac:dyDescent="0.35">
      <c r="A132" t="s">
        <v>14</v>
      </c>
      <c r="B132">
        <v>101</v>
      </c>
      <c r="C132">
        <v>54617</v>
      </c>
      <c r="D132" t="s">
        <v>83</v>
      </c>
      <c r="E132">
        <v>30.99</v>
      </c>
      <c r="F132">
        <v>12.4</v>
      </c>
      <c r="G132">
        <v>0</v>
      </c>
      <c r="H132">
        <v>0</v>
      </c>
      <c r="I132">
        <v>0</v>
      </c>
      <c r="J132">
        <v>0</v>
      </c>
      <c r="K132">
        <v>0</v>
      </c>
      <c r="L132" s="64"/>
    </row>
    <row r="133" spans="1:15" x14ac:dyDescent="0.35">
      <c r="A133" t="s">
        <v>14</v>
      </c>
      <c r="B133">
        <v>101</v>
      </c>
      <c r="C133">
        <v>61949</v>
      </c>
      <c r="D133" t="s">
        <v>84</v>
      </c>
      <c r="E133">
        <v>10</v>
      </c>
      <c r="F133">
        <v>6.28</v>
      </c>
      <c r="G133">
        <v>0</v>
      </c>
      <c r="H133">
        <v>0</v>
      </c>
      <c r="I133">
        <v>0</v>
      </c>
      <c r="J133">
        <v>0</v>
      </c>
      <c r="K133">
        <v>0</v>
      </c>
      <c r="L133" s="64"/>
    </row>
    <row r="134" spans="1:15" x14ac:dyDescent="0.35">
      <c r="A134" t="s">
        <v>14</v>
      </c>
      <c r="B134">
        <v>101</v>
      </c>
      <c r="C134">
        <v>33027</v>
      </c>
      <c r="D134" t="s">
        <v>85</v>
      </c>
      <c r="E134">
        <v>19.989999999999998</v>
      </c>
      <c r="F134">
        <v>7.94</v>
      </c>
      <c r="G134">
        <v>0</v>
      </c>
      <c r="H134">
        <v>0</v>
      </c>
      <c r="I134">
        <v>0</v>
      </c>
      <c r="J134">
        <v>0</v>
      </c>
      <c r="K134">
        <v>0</v>
      </c>
      <c r="L134" s="64"/>
    </row>
    <row r="135" spans="1:15" x14ac:dyDescent="0.35">
      <c r="A135" t="s">
        <v>14</v>
      </c>
      <c r="B135">
        <v>101</v>
      </c>
      <c r="C135">
        <v>34019</v>
      </c>
      <c r="D135" t="s">
        <v>86</v>
      </c>
      <c r="E135">
        <v>5.99</v>
      </c>
      <c r="F135">
        <v>3.12</v>
      </c>
      <c r="G135">
        <v>0</v>
      </c>
      <c r="H135">
        <v>0</v>
      </c>
      <c r="I135">
        <v>0</v>
      </c>
      <c r="J135">
        <v>0</v>
      </c>
      <c r="K135">
        <v>0</v>
      </c>
      <c r="L135" s="64"/>
    </row>
    <row r="136" spans="1:15" x14ac:dyDescent="0.35">
      <c r="A136" t="s">
        <v>19</v>
      </c>
      <c r="B136">
        <v>101</v>
      </c>
      <c r="C136">
        <v>34047</v>
      </c>
      <c r="D136" t="s">
        <v>87</v>
      </c>
      <c r="E136">
        <v>3.99</v>
      </c>
      <c r="F136">
        <v>2.120625</v>
      </c>
      <c r="G136">
        <v>0</v>
      </c>
      <c r="H136">
        <v>0</v>
      </c>
      <c r="I136">
        <v>0</v>
      </c>
      <c r="J136">
        <v>0</v>
      </c>
      <c r="K136">
        <v>0</v>
      </c>
      <c r="L136" s="64"/>
    </row>
    <row r="137" spans="1:15" x14ac:dyDescent="0.35">
      <c r="A137" t="s">
        <v>14</v>
      </c>
      <c r="B137">
        <v>101</v>
      </c>
      <c r="C137">
        <v>63800</v>
      </c>
      <c r="D137" t="s">
        <v>88</v>
      </c>
      <c r="E137">
        <v>23.99</v>
      </c>
      <c r="F137">
        <v>11.87</v>
      </c>
      <c r="G137">
        <v>0</v>
      </c>
      <c r="H137">
        <v>0</v>
      </c>
      <c r="I137">
        <v>0</v>
      </c>
      <c r="J137">
        <v>0</v>
      </c>
      <c r="K137">
        <v>0</v>
      </c>
      <c r="L137" s="64"/>
    </row>
    <row r="138" spans="1:15" x14ac:dyDescent="0.35">
      <c r="A138" t="s">
        <v>14</v>
      </c>
      <c r="B138">
        <v>102</v>
      </c>
      <c r="C138">
        <v>38977</v>
      </c>
      <c r="D138" t="s">
        <v>95</v>
      </c>
      <c r="E138">
        <v>18.989999999999998</v>
      </c>
      <c r="F138">
        <v>9.6999999999999993</v>
      </c>
      <c r="G138">
        <v>0</v>
      </c>
      <c r="H138">
        <v>0</v>
      </c>
      <c r="I138">
        <v>0</v>
      </c>
      <c r="J138">
        <v>0</v>
      </c>
      <c r="K138">
        <v>0</v>
      </c>
      <c r="L138" s="64">
        <v>42181</v>
      </c>
      <c r="M138" t="s">
        <v>315</v>
      </c>
      <c r="N138">
        <v>132.10434782608695</v>
      </c>
      <c r="O138">
        <v>8</v>
      </c>
    </row>
    <row r="139" spans="1:15" x14ac:dyDescent="0.35">
      <c r="A139" t="s">
        <v>14</v>
      </c>
      <c r="B139">
        <v>102</v>
      </c>
      <c r="C139">
        <v>38977</v>
      </c>
      <c r="D139" t="s">
        <v>95</v>
      </c>
      <c r="E139">
        <v>18.989999999999998</v>
      </c>
      <c r="F139">
        <v>9.6999999999999993</v>
      </c>
      <c r="G139">
        <v>0</v>
      </c>
      <c r="H139">
        <v>0</v>
      </c>
      <c r="I139">
        <v>0</v>
      </c>
      <c r="J139">
        <v>0</v>
      </c>
      <c r="K139">
        <v>0</v>
      </c>
      <c r="L139" s="64">
        <v>42547</v>
      </c>
      <c r="M139" t="s">
        <v>316</v>
      </c>
      <c r="N139">
        <v>132.10434782608695</v>
      </c>
      <c r="O139">
        <v>8</v>
      </c>
    </row>
    <row r="140" spans="1:15" x14ac:dyDescent="0.35">
      <c r="A140" t="s">
        <v>14</v>
      </c>
      <c r="B140">
        <v>101</v>
      </c>
      <c r="C140">
        <v>67140</v>
      </c>
      <c r="D140" t="s">
        <v>89</v>
      </c>
      <c r="E140">
        <v>2</v>
      </c>
      <c r="F140">
        <v>0.68</v>
      </c>
      <c r="G140">
        <v>0</v>
      </c>
      <c r="H140">
        <v>0</v>
      </c>
      <c r="I140">
        <v>0</v>
      </c>
      <c r="J140">
        <v>0</v>
      </c>
      <c r="K140">
        <v>0</v>
      </c>
      <c r="L140" s="64"/>
    </row>
    <row r="141" spans="1:15" x14ac:dyDescent="0.35">
      <c r="A141" t="s">
        <v>14</v>
      </c>
      <c r="B141">
        <v>102</v>
      </c>
      <c r="C141">
        <v>52943</v>
      </c>
      <c r="D141" t="s">
        <v>90</v>
      </c>
      <c r="E141">
        <v>31.99</v>
      </c>
      <c r="F141">
        <v>15.17</v>
      </c>
      <c r="G141">
        <v>213</v>
      </c>
      <c r="H141">
        <v>6813.87</v>
      </c>
      <c r="I141">
        <v>3231.21</v>
      </c>
      <c r="J141">
        <v>3582.66</v>
      </c>
      <c r="K141">
        <v>52.578930915911229</v>
      </c>
      <c r="L141" s="64">
        <v>42181</v>
      </c>
      <c r="M141" t="s">
        <v>315</v>
      </c>
      <c r="N141">
        <v>194.04347826086956</v>
      </c>
      <c r="O141">
        <v>6.976</v>
      </c>
    </row>
    <row r="142" spans="1:15" x14ac:dyDescent="0.35">
      <c r="A142" t="s">
        <v>14</v>
      </c>
      <c r="B142">
        <v>102</v>
      </c>
      <c r="C142">
        <v>52943</v>
      </c>
      <c r="D142" t="s">
        <v>90</v>
      </c>
      <c r="E142">
        <v>31.99</v>
      </c>
      <c r="F142">
        <v>15.17</v>
      </c>
      <c r="G142">
        <v>213</v>
      </c>
      <c r="H142">
        <v>6813.87</v>
      </c>
      <c r="I142">
        <v>3231.21</v>
      </c>
      <c r="J142">
        <v>3582.66</v>
      </c>
      <c r="K142">
        <v>52.578930915911229</v>
      </c>
      <c r="L142" s="64">
        <v>42547</v>
      </c>
      <c r="M142" t="s">
        <v>316</v>
      </c>
      <c r="N142">
        <v>133.09565217391304</v>
      </c>
      <c r="O142">
        <v>4.7850000000000001</v>
      </c>
    </row>
    <row r="143" spans="1:15" x14ac:dyDescent="0.35">
      <c r="A143" t="s">
        <v>14</v>
      </c>
      <c r="B143">
        <v>102</v>
      </c>
      <c r="C143">
        <v>39422</v>
      </c>
      <c r="D143" t="s">
        <v>120</v>
      </c>
      <c r="E143">
        <v>15.99</v>
      </c>
      <c r="F143">
        <v>8.3000000000000007</v>
      </c>
      <c r="G143">
        <v>6</v>
      </c>
      <c r="H143">
        <v>95.94</v>
      </c>
      <c r="I143">
        <v>49.800000000000004</v>
      </c>
      <c r="J143">
        <v>46.139999999999993</v>
      </c>
      <c r="K143">
        <v>48.092557848655403</v>
      </c>
      <c r="L143" s="64">
        <v>42181</v>
      </c>
      <c r="M143" t="s">
        <v>315</v>
      </c>
      <c r="N143">
        <v>13.904347826086957</v>
      </c>
      <c r="O143">
        <v>1</v>
      </c>
    </row>
    <row r="144" spans="1:15" x14ac:dyDescent="0.35">
      <c r="A144" t="s">
        <v>14</v>
      </c>
      <c r="B144">
        <v>102</v>
      </c>
      <c r="C144">
        <v>39422</v>
      </c>
      <c r="D144" t="s">
        <v>120</v>
      </c>
      <c r="E144">
        <v>15.99</v>
      </c>
      <c r="F144">
        <v>8.3000000000000007</v>
      </c>
      <c r="G144">
        <v>6</v>
      </c>
      <c r="H144">
        <v>95.94</v>
      </c>
      <c r="I144">
        <v>49.800000000000004</v>
      </c>
      <c r="J144">
        <v>46.139999999999993</v>
      </c>
      <c r="K144">
        <v>48.092557848655403</v>
      </c>
      <c r="L144" s="64">
        <v>42547</v>
      </c>
      <c r="M144" t="s">
        <v>316</v>
      </c>
      <c r="N144">
        <v>13.904347826086957</v>
      </c>
      <c r="O144">
        <v>1</v>
      </c>
    </row>
    <row r="145" spans="1:15" x14ac:dyDescent="0.35">
      <c r="A145" t="s">
        <v>14</v>
      </c>
      <c r="B145">
        <v>102</v>
      </c>
      <c r="C145">
        <v>61939</v>
      </c>
      <c r="D145" t="s">
        <v>101</v>
      </c>
      <c r="E145">
        <v>10</v>
      </c>
      <c r="F145">
        <v>5.09</v>
      </c>
      <c r="G145">
        <v>24</v>
      </c>
      <c r="H145">
        <v>240</v>
      </c>
      <c r="I145">
        <v>122.16</v>
      </c>
      <c r="J145">
        <v>117.84</v>
      </c>
      <c r="K145">
        <v>49.1</v>
      </c>
      <c r="L145" s="64">
        <v>42547</v>
      </c>
      <c r="M145" t="s">
        <v>316</v>
      </c>
      <c r="N145">
        <v>147.82608695652175</v>
      </c>
      <c r="O145">
        <v>17</v>
      </c>
    </row>
    <row r="146" spans="1:15" x14ac:dyDescent="0.35">
      <c r="A146" t="s">
        <v>14</v>
      </c>
      <c r="B146">
        <v>102</v>
      </c>
      <c r="C146">
        <v>42990</v>
      </c>
      <c r="D146" t="s">
        <v>93</v>
      </c>
      <c r="E146">
        <v>19.989999999999998</v>
      </c>
      <c r="F146">
        <v>10.85</v>
      </c>
      <c r="G146">
        <v>16</v>
      </c>
      <c r="H146">
        <v>319.83999999999997</v>
      </c>
      <c r="I146">
        <v>173.6</v>
      </c>
      <c r="J146">
        <v>146.23999999999998</v>
      </c>
      <c r="K146">
        <v>45.722861430715355</v>
      </c>
      <c r="L146" s="64">
        <v>42181</v>
      </c>
      <c r="M146" t="s">
        <v>315</v>
      </c>
      <c r="N146">
        <v>121.67826086956522</v>
      </c>
      <c r="O146">
        <v>7</v>
      </c>
    </row>
    <row r="147" spans="1:15" x14ac:dyDescent="0.35">
      <c r="A147" t="s">
        <v>14</v>
      </c>
      <c r="B147">
        <v>102</v>
      </c>
      <c r="C147">
        <v>42990</v>
      </c>
      <c r="D147" t="s">
        <v>93</v>
      </c>
      <c r="E147">
        <v>19.989999999999998</v>
      </c>
      <c r="F147">
        <v>10.85</v>
      </c>
      <c r="G147">
        <v>16</v>
      </c>
      <c r="H147">
        <v>319.83999999999997</v>
      </c>
      <c r="I147">
        <v>173.6</v>
      </c>
      <c r="J147">
        <v>146.23999999999998</v>
      </c>
      <c r="K147">
        <v>45.722861430715355</v>
      </c>
      <c r="L147" s="64">
        <v>42547</v>
      </c>
      <c r="M147" t="s">
        <v>316</v>
      </c>
      <c r="N147">
        <v>173.82608695652175</v>
      </c>
      <c r="O147">
        <v>10</v>
      </c>
    </row>
    <row r="148" spans="1:15" x14ac:dyDescent="0.35">
      <c r="A148" t="s">
        <v>14</v>
      </c>
      <c r="B148">
        <v>102</v>
      </c>
      <c r="C148">
        <v>42797</v>
      </c>
      <c r="D148" t="s">
        <v>99</v>
      </c>
      <c r="E148">
        <v>11.99</v>
      </c>
      <c r="F148">
        <v>5.12</v>
      </c>
      <c r="G148">
        <v>10</v>
      </c>
      <c r="H148">
        <v>119.9</v>
      </c>
      <c r="I148">
        <v>51.2</v>
      </c>
      <c r="J148">
        <v>68.7</v>
      </c>
      <c r="K148">
        <v>57.2977481234362</v>
      </c>
      <c r="L148" s="64">
        <v>42181</v>
      </c>
      <c r="M148" t="s">
        <v>315</v>
      </c>
      <c r="N148">
        <v>125.11304347826086</v>
      </c>
      <c r="O148">
        <v>12</v>
      </c>
    </row>
    <row r="149" spans="1:15" x14ac:dyDescent="0.35">
      <c r="A149" t="s">
        <v>14</v>
      </c>
      <c r="B149">
        <v>102</v>
      </c>
      <c r="C149">
        <v>42797</v>
      </c>
      <c r="D149" t="s">
        <v>99</v>
      </c>
      <c r="E149">
        <v>11.99</v>
      </c>
      <c r="F149">
        <v>5.12</v>
      </c>
      <c r="G149">
        <v>10</v>
      </c>
      <c r="H149">
        <v>119.9</v>
      </c>
      <c r="I149">
        <v>51.2</v>
      </c>
      <c r="J149">
        <v>68.7</v>
      </c>
      <c r="K149">
        <v>57.2977481234362</v>
      </c>
      <c r="L149" s="64">
        <v>42547</v>
      </c>
      <c r="M149" t="s">
        <v>316</v>
      </c>
      <c r="N149">
        <v>72.982608695652175</v>
      </c>
      <c r="O149">
        <v>7</v>
      </c>
    </row>
    <row r="150" spans="1:15" x14ac:dyDescent="0.35">
      <c r="A150" t="s">
        <v>14</v>
      </c>
      <c r="B150">
        <v>102</v>
      </c>
      <c r="C150">
        <v>42797</v>
      </c>
      <c r="D150" t="s">
        <v>99</v>
      </c>
      <c r="E150">
        <v>11.99</v>
      </c>
      <c r="F150">
        <v>5.12</v>
      </c>
      <c r="G150">
        <v>10</v>
      </c>
      <c r="H150">
        <v>119.9</v>
      </c>
      <c r="I150">
        <v>51.2</v>
      </c>
      <c r="J150">
        <v>68.7</v>
      </c>
      <c r="K150">
        <v>57.2977481234362</v>
      </c>
      <c r="L150" s="64">
        <v>42181</v>
      </c>
      <c r="M150" t="s">
        <v>315</v>
      </c>
      <c r="N150">
        <v>125.11304347826086</v>
      </c>
      <c r="O150">
        <v>12</v>
      </c>
    </row>
    <row r="151" spans="1:15" x14ac:dyDescent="0.35">
      <c r="A151" t="s">
        <v>14</v>
      </c>
      <c r="B151">
        <v>102</v>
      </c>
      <c r="C151">
        <v>42797</v>
      </c>
      <c r="D151" t="s">
        <v>99</v>
      </c>
      <c r="E151">
        <v>11.99</v>
      </c>
      <c r="F151">
        <v>5.12</v>
      </c>
      <c r="G151">
        <v>10</v>
      </c>
      <c r="H151">
        <v>119.9</v>
      </c>
      <c r="I151">
        <v>51.2</v>
      </c>
      <c r="J151">
        <v>68.7</v>
      </c>
      <c r="K151">
        <v>57.2977481234362</v>
      </c>
      <c r="L151" s="64">
        <v>42547</v>
      </c>
      <c r="M151" t="s">
        <v>316</v>
      </c>
      <c r="N151">
        <v>72.982608695652175</v>
      </c>
      <c r="O151">
        <v>7</v>
      </c>
    </row>
    <row r="152" spans="1:15" x14ac:dyDescent="0.35">
      <c r="A152" t="s">
        <v>19</v>
      </c>
      <c r="B152">
        <v>102</v>
      </c>
      <c r="C152">
        <v>42797</v>
      </c>
      <c r="D152" t="s">
        <v>99</v>
      </c>
      <c r="E152">
        <v>11.99</v>
      </c>
      <c r="F152">
        <v>4.84</v>
      </c>
      <c r="G152">
        <v>0</v>
      </c>
      <c r="H152">
        <v>0</v>
      </c>
      <c r="I152">
        <v>0</v>
      </c>
      <c r="J152">
        <v>0</v>
      </c>
      <c r="K152">
        <v>0</v>
      </c>
      <c r="L152" s="64">
        <v>42181</v>
      </c>
      <c r="M152" t="s">
        <v>315</v>
      </c>
      <c r="N152">
        <v>125.11304347826086</v>
      </c>
      <c r="O152">
        <v>12</v>
      </c>
    </row>
    <row r="153" spans="1:15" x14ac:dyDescent="0.35">
      <c r="A153" t="s">
        <v>19</v>
      </c>
      <c r="B153">
        <v>102</v>
      </c>
      <c r="C153">
        <v>42797</v>
      </c>
      <c r="D153" t="s">
        <v>99</v>
      </c>
      <c r="E153">
        <v>11.99</v>
      </c>
      <c r="F153">
        <v>4.84</v>
      </c>
      <c r="G153">
        <v>0</v>
      </c>
      <c r="H153">
        <v>0</v>
      </c>
      <c r="I153">
        <v>0</v>
      </c>
      <c r="J153">
        <v>0</v>
      </c>
      <c r="K153">
        <v>0</v>
      </c>
      <c r="L153" s="64">
        <v>42547</v>
      </c>
      <c r="M153" t="s">
        <v>316</v>
      </c>
      <c r="N153">
        <v>72.982608695652175</v>
      </c>
      <c r="O153">
        <v>7</v>
      </c>
    </row>
    <row r="154" spans="1:15" x14ac:dyDescent="0.35">
      <c r="A154" t="s">
        <v>19</v>
      </c>
      <c r="B154">
        <v>102</v>
      </c>
      <c r="C154">
        <v>42797</v>
      </c>
      <c r="D154" t="s">
        <v>99</v>
      </c>
      <c r="E154">
        <v>11.99</v>
      </c>
      <c r="F154">
        <v>4.84</v>
      </c>
      <c r="G154">
        <v>0</v>
      </c>
      <c r="H154">
        <v>0</v>
      </c>
      <c r="I154">
        <v>0</v>
      </c>
      <c r="J154">
        <v>0</v>
      </c>
      <c r="K154">
        <v>0</v>
      </c>
      <c r="L154" s="64">
        <v>42181</v>
      </c>
      <c r="M154" t="s">
        <v>315</v>
      </c>
      <c r="N154">
        <v>125.11304347826086</v>
      </c>
      <c r="O154">
        <v>12</v>
      </c>
    </row>
    <row r="155" spans="1:15" x14ac:dyDescent="0.35">
      <c r="A155" t="s">
        <v>19</v>
      </c>
      <c r="B155">
        <v>102</v>
      </c>
      <c r="C155">
        <v>42797</v>
      </c>
      <c r="D155" t="s">
        <v>99</v>
      </c>
      <c r="E155">
        <v>11.99</v>
      </c>
      <c r="F155">
        <v>4.84</v>
      </c>
      <c r="G155">
        <v>0</v>
      </c>
      <c r="H155">
        <v>0</v>
      </c>
      <c r="I155">
        <v>0</v>
      </c>
      <c r="J155">
        <v>0</v>
      </c>
      <c r="K155">
        <v>0</v>
      </c>
      <c r="L155" s="64">
        <v>42547</v>
      </c>
      <c r="M155" t="s">
        <v>316</v>
      </c>
      <c r="N155">
        <v>72.982608695652175</v>
      </c>
      <c r="O155">
        <v>7</v>
      </c>
    </row>
    <row r="156" spans="1:15" x14ac:dyDescent="0.35">
      <c r="A156" t="s">
        <v>14</v>
      </c>
      <c r="B156">
        <v>102</v>
      </c>
      <c r="C156">
        <v>61938</v>
      </c>
      <c r="D156" t="s">
        <v>124</v>
      </c>
      <c r="E156">
        <v>10</v>
      </c>
      <c r="F156">
        <v>3.43</v>
      </c>
      <c r="G156">
        <v>12</v>
      </c>
      <c r="H156">
        <v>120</v>
      </c>
      <c r="I156">
        <v>41.160000000000004</v>
      </c>
      <c r="J156">
        <v>78.84</v>
      </c>
      <c r="K156">
        <v>65.7</v>
      </c>
      <c r="L156" s="64">
        <v>42181</v>
      </c>
      <c r="M156" t="s">
        <v>315</v>
      </c>
      <c r="N156">
        <v>26.086956521739129</v>
      </c>
      <c r="O156">
        <v>3</v>
      </c>
    </row>
    <row r="157" spans="1:15" x14ac:dyDescent="0.35">
      <c r="A157" t="s">
        <v>14</v>
      </c>
      <c r="B157">
        <v>102</v>
      </c>
      <c r="C157">
        <v>61937</v>
      </c>
      <c r="D157" t="s">
        <v>122</v>
      </c>
      <c r="E157">
        <v>10</v>
      </c>
      <c r="F157">
        <v>2.67</v>
      </c>
      <c r="G157">
        <v>10</v>
      </c>
      <c r="H157">
        <v>100</v>
      </c>
      <c r="I157">
        <v>26.7</v>
      </c>
      <c r="J157">
        <v>73.3</v>
      </c>
      <c r="K157">
        <v>73.3</v>
      </c>
      <c r="L157" s="64">
        <v>42181</v>
      </c>
      <c r="M157" t="s">
        <v>315</v>
      </c>
      <c r="N157">
        <v>104.34782608695652</v>
      </c>
      <c r="O157">
        <v>12</v>
      </c>
    </row>
    <row r="158" spans="1:15" x14ac:dyDescent="0.35">
      <c r="A158" t="s">
        <v>14</v>
      </c>
      <c r="B158">
        <v>102</v>
      </c>
      <c r="C158">
        <v>32131</v>
      </c>
      <c r="D158" t="s">
        <v>94</v>
      </c>
      <c r="E158">
        <v>18.989999999999998</v>
      </c>
      <c r="F158">
        <v>9.1300000000000008</v>
      </c>
      <c r="G158">
        <v>8</v>
      </c>
      <c r="H158">
        <v>151.91999999999999</v>
      </c>
      <c r="I158">
        <v>73.040000000000006</v>
      </c>
      <c r="J158">
        <v>78.879999999999981</v>
      </c>
      <c r="K158">
        <v>51.922064244339118</v>
      </c>
      <c r="L158" s="64"/>
    </row>
    <row r="159" spans="1:15" x14ac:dyDescent="0.35">
      <c r="A159" t="s">
        <v>14</v>
      </c>
      <c r="B159">
        <v>102</v>
      </c>
      <c r="C159">
        <v>55481</v>
      </c>
      <c r="D159" t="s">
        <v>105</v>
      </c>
      <c r="E159">
        <v>11.99</v>
      </c>
      <c r="F159">
        <v>5.0999999999999996</v>
      </c>
      <c r="G159">
        <v>6</v>
      </c>
      <c r="H159">
        <v>71.94</v>
      </c>
      <c r="I159">
        <v>30.599999999999998</v>
      </c>
      <c r="J159">
        <v>41.34</v>
      </c>
      <c r="K159">
        <v>57.46455379482903</v>
      </c>
      <c r="L159" s="64">
        <v>42181</v>
      </c>
      <c r="M159" t="s">
        <v>315</v>
      </c>
      <c r="N159">
        <v>83.408695652173918</v>
      </c>
      <c r="O159">
        <v>8</v>
      </c>
    </row>
    <row r="160" spans="1:15" x14ac:dyDescent="0.35">
      <c r="A160" t="s">
        <v>14</v>
      </c>
      <c r="B160">
        <v>102</v>
      </c>
      <c r="C160">
        <v>55481</v>
      </c>
      <c r="D160" t="s">
        <v>105</v>
      </c>
      <c r="E160">
        <v>11.99</v>
      </c>
      <c r="F160">
        <v>5.0999999999999996</v>
      </c>
      <c r="G160">
        <v>6</v>
      </c>
      <c r="H160">
        <v>71.94</v>
      </c>
      <c r="I160">
        <v>30.599999999999998</v>
      </c>
      <c r="J160">
        <v>41.34</v>
      </c>
      <c r="K160">
        <v>57.46455379482903</v>
      </c>
      <c r="L160" s="64">
        <v>42547</v>
      </c>
      <c r="M160" t="s">
        <v>316</v>
      </c>
      <c r="N160">
        <v>52.130434782608695</v>
      </c>
      <c r="O160">
        <v>5</v>
      </c>
    </row>
    <row r="161" spans="1:15" x14ac:dyDescent="0.35">
      <c r="A161" t="s">
        <v>14</v>
      </c>
      <c r="B161">
        <v>102</v>
      </c>
      <c r="C161">
        <v>32128</v>
      </c>
      <c r="D161" t="s">
        <v>96</v>
      </c>
      <c r="E161">
        <v>18.989999999999998</v>
      </c>
      <c r="F161">
        <v>11</v>
      </c>
      <c r="G161">
        <v>0</v>
      </c>
      <c r="H161">
        <v>0</v>
      </c>
      <c r="I161">
        <v>0</v>
      </c>
      <c r="J161">
        <v>0</v>
      </c>
      <c r="K161">
        <v>0</v>
      </c>
      <c r="L161" s="64"/>
    </row>
    <row r="162" spans="1:15" x14ac:dyDescent="0.35">
      <c r="A162" t="s">
        <v>14</v>
      </c>
      <c r="B162">
        <v>102</v>
      </c>
      <c r="C162">
        <v>40065</v>
      </c>
      <c r="D162" t="s">
        <v>103</v>
      </c>
      <c r="E162">
        <v>27.99</v>
      </c>
      <c r="F162">
        <v>15.7</v>
      </c>
      <c r="G162">
        <v>0</v>
      </c>
      <c r="H162">
        <v>0</v>
      </c>
      <c r="I162">
        <v>0</v>
      </c>
      <c r="J162">
        <v>0</v>
      </c>
      <c r="K162">
        <v>0</v>
      </c>
      <c r="L162" s="64"/>
    </row>
    <row r="163" spans="1:15" x14ac:dyDescent="0.35">
      <c r="A163" t="s">
        <v>107</v>
      </c>
      <c r="B163">
        <v>102</v>
      </c>
      <c r="C163">
        <v>55095</v>
      </c>
      <c r="D163" t="s">
        <v>116</v>
      </c>
      <c r="E163">
        <v>5</v>
      </c>
      <c r="F163">
        <v>1.38</v>
      </c>
      <c r="G163">
        <v>0</v>
      </c>
      <c r="H163">
        <v>0</v>
      </c>
      <c r="I163">
        <v>0</v>
      </c>
      <c r="J163">
        <v>0</v>
      </c>
      <c r="K163">
        <v>0</v>
      </c>
      <c r="L163" s="64">
        <v>42547</v>
      </c>
      <c r="M163" t="s">
        <v>316</v>
      </c>
      <c r="N163">
        <v>30.434782608695652</v>
      </c>
      <c r="O163">
        <v>7</v>
      </c>
    </row>
    <row r="164" spans="1:15" x14ac:dyDescent="0.35">
      <c r="A164" t="s">
        <v>107</v>
      </c>
      <c r="B164">
        <v>102</v>
      </c>
      <c r="C164">
        <v>48861</v>
      </c>
      <c r="D164" t="s">
        <v>111</v>
      </c>
      <c r="E164">
        <v>50</v>
      </c>
      <c r="F164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 s="64"/>
    </row>
    <row r="165" spans="1:15" x14ac:dyDescent="0.35">
      <c r="A165" t="s">
        <v>14</v>
      </c>
      <c r="B165">
        <v>102</v>
      </c>
      <c r="C165">
        <v>33023</v>
      </c>
      <c r="D165" t="s">
        <v>113</v>
      </c>
      <c r="E165">
        <v>19.989999999999998</v>
      </c>
      <c r="F165">
        <v>10.23</v>
      </c>
      <c r="G165">
        <v>0</v>
      </c>
      <c r="H165">
        <v>0</v>
      </c>
      <c r="I165">
        <v>0</v>
      </c>
      <c r="J165">
        <v>0</v>
      </c>
      <c r="K165">
        <v>0</v>
      </c>
      <c r="L165" s="64"/>
    </row>
    <row r="166" spans="1:15" x14ac:dyDescent="0.35">
      <c r="A166" t="s">
        <v>14</v>
      </c>
      <c r="B166">
        <v>102</v>
      </c>
      <c r="C166">
        <v>32066</v>
      </c>
      <c r="D166" t="s">
        <v>114</v>
      </c>
      <c r="E166">
        <v>10</v>
      </c>
      <c r="F166">
        <v>4.5</v>
      </c>
      <c r="G166">
        <v>0</v>
      </c>
      <c r="H166">
        <v>0</v>
      </c>
      <c r="I166">
        <v>0</v>
      </c>
      <c r="J166">
        <v>0</v>
      </c>
      <c r="K166">
        <v>0</v>
      </c>
      <c r="L166" s="64"/>
    </row>
    <row r="167" spans="1:15" x14ac:dyDescent="0.35">
      <c r="A167" t="s">
        <v>14</v>
      </c>
      <c r="B167">
        <v>102</v>
      </c>
      <c r="C167">
        <v>34039</v>
      </c>
      <c r="D167" t="s">
        <v>115</v>
      </c>
      <c r="E167">
        <v>11.99</v>
      </c>
      <c r="F167">
        <v>5.62</v>
      </c>
      <c r="G167">
        <v>0</v>
      </c>
      <c r="H167">
        <v>0</v>
      </c>
      <c r="I167">
        <v>0</v>
      </c>
      <c r="J167">
        <v>0</v>
      </c>
      <c r="K167">
        <v>0</v>
      </c>
      <c r="L167" s="64"/>
    </row>
    <row r="168" spans="1:15" x14ac:dyDescent="0.35">
      <c r="A168" t="s">
        <v>14</v>
      </c>
      <c r="B168">
        <v>102</v>
      </c>
      <c r="C168">
        <v>61940</v>
      </c>
      <c r="D168" t="s">
        <v>117</v>
      </c>
      <c r="E168">
        <v>10</v>
      </c>
      <c r="F168">
        <v>3.28</v>
      </c>
      <c r="G168">
        <v>0</v>
      </c>
      <c r="H168">
        <v>0</v>
      </c>
      <c r="I168">
        <v>0</v>
      </c>
      <c r="J168">
        <v>0</v>
      </c>
      <c r="K168">
        <v>0</v>
      </c>
      <c r="L168" s="64"/>
    </row>
    <row r="169" spans="1:15" x14ac:dyDescent="0.35">
      <c r="A169" t="s">
        <v>14</v>
      </c>
      <c r="B169">
        <v>102</v>
      </c>
      <c r="C169">
        <v>32149</v>
      </c>
      <c r="D169" t="s">
        <v>118</v>
      </c>
      <c r="E169">
        <v>24.99</v>
      </c>
      <c r="F169">
        <v>13</v>
      </c>
      <c r="G169">
        <v>0</v>
      </c>
      <c r="H169">
        <v>0</v>
      </c>
      <c r="I169">
        <v>0</v>
      </c>
      <c r="J169">
        <v>0</v>
      </c>
      <c r="K169">
        <v>0</v>
      </c>
      <c r="L169" s="64"/>
    </row>
    <row r="170" spans="1:15" x14ac:dyDescent="0.35">
      <c r="A170" t="s">
        <v>14</v>
      </c>
      <c r="B170">
        <v>102</v>
      </c>
      <c r="C170">
        <v>33036</v>
      </c>
      <c r="D170" t="s">
        <v>119</v>
      </c>
      <c r="E170">
        <v>400</v>
      </c>
      <c r="F170">
        <v>204.01</v>
      </c>
      <c r="G170">
        <v>0</v>
      </c>
      <c r="H170">
        <v>0</v>
      </c>
      <c r="I170">
        <v>0</v>
      </c>
      <c r="J170">
        <v>0</v>
      </c>
      <c r="K170">
        <v>0</v>
      </c>
      <c r="L170" s="64"/>
    </row>
    <row r="171" spans="1:15" x14ac:dyDescent="0.35">
      <c r="A171" t="s">
        <v>14</v>
      </c>
      <c r="B171">
        <v>102</v>
      </c>
      <c r="C171">
        <v>33025</v>
      </c>
      <c r="D171" t="s">
        <v>121</v>
      </c>
      <c r="E171">
        <v>5.99</v>
      </c>
      <c r="F171">
        <v>2.95</v>
      </c>
      <c r="G171">
        <v>0</v>
      </c>
      <c r="H171">
        <v>0</v>
      </c>
      <c r="I171">
        <v>0</v>
      </c>
      <c r="J171">
        <v>0</v>
      </c>
      <c r="K171">
        <v>0</v>
      </c>
      <c r="L171" s="64"/>
    </row>
    <row r="172" spans="1:15" x14ac:dyDescent="0.35">
      <c r="A172" t="s">
        <v>14</v>
      </c>
      <c r="B172">
        <v>102</v>
      </c>
      <c r="C172">
        <v>61942</v>
      </c>
      <c r="D172" t="s">
        <v>123</v>
      </c>
      <c r="E172">
        <v>10</v>
      </c>
      <c r="F172">
        <v>3.73</v>
      </c>
      <c r="G172">
        <v>0</v>
      </c>
      <c r="H172">
        <v>0</v>
      </c>
      <c r="I172">
        <v>0</v>
      </c>
      <c r="J172">
        <v>0</v>
      </c>
      <c r="K172">
        <v>0</v>
      </c>
      <c r="L172" s="64"/>
    </row>
    <row r="173" spans="1:15" x14ac:dyDescent="0.35">
      <c r="A173" t="s">
        <v>14</v>
      </c>
      <c r="B173">
        <v>102</v>
      </c>
      <c r="C173">
        <v>53212</v>
      </c>
      <c r="D173" t="s">
        <v>125</v>
      </c>
      <c r="E173">
        <v>29.99</v>
      </c>
      <c r="F173">
        <v>15.38</v>
      </c>
      <c r="G173">
        <v>0</v>
      </c>
      <c r="H173">
        <v>0</v>
      </c>
      <c r="I173">
        <v>0</v>
      </c>
      <c r="J173">
        <v>0</v>
      </c>
      <c r="K173">
        <v>0</v>
      </c>
      <c r="L173" s="64"/>
    </row>
    <row r="174" spans="1:15" x14ac:dyDescent="0.35">
      <c r="A174" t="s">
        <v>107</v>
      </c>
      <c r="B174">
        <v>102</v>
      </c>
      <c r="C174">
        <v>53410</v>
      </c>
      <c r="D174" t="s">
        <v>126</v>
      </c>
      <c r="E174">
        <v>52</v>
      </c>
      <c r="F174">
        <v>28.2</v>
      </c>
      <c r="G174">
        <v>0</v>
      </c>
      <c r="H174">
        <v>0</v>
      </c>
      <c r="I174">
        <v>0</v>
      </c>
      <c r="J174">
        <v>0</v>
      </c>
      <c r="K174">
        <v>0</v>
      </c>
      <c r="L174" s="64"/>
    </row>
    <row r="175" spans="1:15" x14ac:dyDescent="0.35">
      <c r="A175" t="s">
        <v>14</v>
      </c>
      <c r="B175">
        <v>102</v>
      </c>
      <c r="C175">
        <v>32150</v>
      </c>
      <c r="D175" t="s">
        <v>128</v>
      </c>
      <c r="E175">
        <v>8.99</v>
      </c>
      <c r="F175">
        <v>4.53</v>
      </c>
      <c r="G175">
        <v>0</v>
      </c>
      <c r="H175">
        <v>0</v>
      </c>
      <c r="I175">
        <v>0</v>
      </c>
      <c r="J175">
        <v>0</v>
      </c>
      <c r="K175">
        <v>0</v>
      </c>
      <c r="L175" s="64"/>
    </row>
    <row r="176" spans="1:15" x14ac:dyDescent="0.35">
      <c r="A176" t="s">
        <v>14</v>
      </c>
      <c r="B176">
        <v>102</v>
      </c>
      <c r="C176">
        <v>53226</v>
      </c>
      <c r="D176" t="s">
        <v>130</v>
      </c>
      <c r="E176">
        <v>15.99</v>
      </c>
      <c r="F176">
        <v>5.13</v>
      </c>
      <c r="G176">
        <v>0</v>
      </c>
      <c r="H176">
        <v>0</v>
      </c>
      <c r="I176">
        <v>0</v>
      </c>
      <c r="J176">
        <v>0</v>
      </c>
      <c r="K176">
        <v>0</v>
      </c>
      <c r="L176" s="64"/>
    </row>
    <row r="177" spans="1:15" x14ac:dyDescent="0.35">
      <c r="A177" t="s">
        <v>14</v>
      </c>
      <c r="B177">
        <v>102</v>
      </c>
      <c r="C177">
        <v>34106</v>
      </c>
      <c r="D177" t="s">
        <v>131</v>
      </c>
      <c r="E177">
        <v>11.99</v>
      </c>
      <c r="F177">
        <v>6.35</v>
      </c>
      <c r="G177">
        <v>0</v>
      </c>
      <c r="H177">
        <v>0</v>
      </c>
      <c r="I177">
        <v>0</v>
      </c>
      <c r="J177">
        <v>0</v>
      </c>
      <c r="K177">
        <v>0</v>
      </c>
      <c r="L177" s="64"/>
    </row>
    <row r="178" spans="1:15" x14ac:dyDescent="0.35">
      <c r="A178" t="s">
        <v>14</v>
      </c>
      <c r="B178">
        <v>102</v>
      </c>
      <c r="C178">
        <v>50682</v>
      </c>
      <c r="D178" t="s">
        <v>132</v>
      </c>
      <c r="E178">
        <v>15.99</v>
      </c>
      <c r="F178">
        <v>7.86</v>
      </c>
      <c r="G178">
        <v>0</v>
      </c>
      <c r="H178">
        <v>0</v>
      </c>
      <c r="I178">
        <v>0</v>
      </c>
      <c r="J178">
        <v>0</v>
      </c>
      <c r="K178">
        <v>0</v>
      </c>
      <c r="L178" s="64"/>
    </row>
    <row r="179" spans="1:15" x14ac:dyDescent="0.35">
      <c r="A179" t="s">
        <v>14</v>
      </c>
      <c r="B179">
        <v>102</v>
      </c>
      <c r="C179">
        <v>54430</v>
      </c>
      <c r="D179" t="s">
        <v>133</v>
      </c>
      <c r="E179">
        <v>21.99</v>
      </c>
      <c r="F179">
        <v>9.9600000000000009</v>
      </c>
      <c r="G179">
        <v>0</v>
      </c>
      <c r="H179">
        <v>0</v>
      </c>
      <c r="I179">
        <v>0</v>
      </c>
      <c r="J179">
        <v>0</v>
      </c>
      <c r="K179">
        <v>0</v>
      </c>
      <c r="L179" s="64"/>
    </row>
    <row r="180" spans="1:15" x14ac:dyDescent="0.35">
      <c r="A180" t="s">
        <v>14</v>
      </c>
      <c r="B180">
        <v>102</v>
      </c>
      <c r="C180">
        <v>34120</v>
      </c>
      <c r="D180" t="s">
        <v>134</v>
      </c>
      <c r="E180">
        <v>8.99</v>
      </c>
      <c r="F180">
        <v>4.99</v>
      </c>
      <c r="G180">
        <v>0</v>
      </c>
      <c r="H180">
        <v>0</v>
      </c>
      <c r="I180">
        <v>0</v>
      </c>
      <c r="J180">
        <v>0</v>
      </c>
      <c r="K180">
        <v>0</v>
      </c>
      <c r="L180" s="64"/>
    </row>
    <row r="181" spans="1:15" x14ac:dyDescent="0.35">
      <c r="A181" t="s">
        <v>14</v>
      </c>
      <c r="B181">
        <v>102</v>
      </c>
      <c r="C181">
        <v>59058</v>
      </c>
      <c r="D181" t="s">
        <v>135</v>
      </c>
      <c r="E181">
        <v>5.99</v>
      </c>
      <c r="F181">
        <v>3.1</v>
      </c>
      <c r="G181">
        <v>0</v>
      </c>
      <c r="H181">
        <v>0</v>
      </c>
      <c r="I181">
        <v>0</v>
      </c>
      <c r="J181">
        <v>0</v>
      </c>
      <c r="K181">
        <v>0</v>
      </c>
      <c r="L181" s="64"/>
    </row>
    <row r="182" spans="1:15" x14ac:dyDescent="0.35">
      <c r="A182" t="s">
        <v>14</v>
      </c>
      <c r="B182">
        <v>102</v>
      </c>
      <c r="C182">
        <v>53225</v>
      </c>
      <c r="D182" t="s">
        <v>136</v>
      </c>
      <c r="E182">
        <v>17.989999999999998</v>
      </c>
      <c r="F182">
        <v>10.039999999999999</v>
      </c>
      <c r="G182">
        <v>0</v>
      </c>
      <c r="H182">
        <v>0</v>
      </c>
      <c r="I182">
        <v>0</v>
      </c>
      <c r="J182">
        <v>0</v>
      </c>
      <c r="K182">
        <v>0</v>
      </c>
      <c r="L182" s="64"/>
    </row>
    <row r="183" spans="1:15" x14ac:dyDescent="0.35">
      <c r="A183" t="s">
        <v>14</v>
      </c>
      <c r="B183">
        <v>102</v>
      </c>
      <c r="C183">
        <v>53141</v>
      </c>
      <c r="D183" t="s">
        <v>137</v>
      </c>
      <c r="E183">
        <v>9.99</v>
      </c>
      <c r="F183">
        <v>3.26</v>
      </c>
      <c r="G183">
        <v>0</v>
      </c>
      <c r="H183">
        <v>0</v>
      </c>
      <c r="I183">
        <v>0</v>
      </c>
      <c r="J183">
        <v>0</v>
      </c>
      <c r="K183">
        <v>0</v>
      </c>
      <c r="L183" s="64"/>
    </row>
    <row r="184" spans="1:15" x14ac:dyDescent="0.35">
      <c r="A184" t="s">
        <v>14</v>
      </c>
      <c r="B184">
        <v>102</v>
      </c>
      <c r="C184">
        <v>63394</v>
      </c>
      <c r="D184" t="s">
        <v>138</v>
      </c>
      <c r="E184">
        <v>26.97</v>
      </c>
      <c r="F184">
        <v>13.68</v>
      </c>
      <c r="G184">
        <v>0</v>
      </c>
      <c r="H184">
        <v>0</v>
      </c>
      <c r="I184">
        <v>0</v>
      </c>
      <c r="J184">
        <v>0</v>
      </c>
      <c r="K184">
        <v>0</v>
      </c>
      <c r="L184" s="64"/>
    </row>
    <row r="185" spans="1:15" x14ac:dyDescent="0.35">
      <c r="A185" t="s">
        <v>14</v>
      </c>
      <c r="B185">
        <v>102</v>
      </c>
      <c r="C185">
        <v>32869</v>
      </c>
      <c r="D185" t="s">
        <v>139</v>
      </c>
      <c r="E185">
        <v>3.5</v>
      </c>
      <c r="F185">
        <v>2.12</v>
      </c>
      <c r="G185">
        <v>0</v>
      </c>
      <c r="H185">
        <v>0</v>
      </c>
      <c r="I185">
        <v>0</v>
      </c>
      <c r="J185">
        <v>0</v>
      </c>
      <c r="K185">
        <v>0</v>
      </c>
      <c r="L185" s="64"/>
    </row>
    <row r="186" spans="1:15" x14ac:dyDescent="0.35">
      <c r="A186" t="s">
        <v>14</v>
      </c>
      <c r="B186">
        <v>102</v>
      </c>
      <c r="C186">
        <v>34074</v>
      </c>
      <c r="D186" t="s">
        <v>140</v>
      </c>
      <c r="E186">
        <v>21.99</v>
      </c>
      <c r="F186">
        <v>12.33</v>
      </c>
      <c r="G186">
        <v>0</v>
      </c>
      <c r="H186">
        <v>0</v>
      </c>
      <c r="I186">
        <v>0</v>
      </c>
      <c r="J186">
        <v>0</v>
      </c>
      <c r="K186">
        <v>0</v>
      </c>
      <c r="L186" s="64"/>
    </row>
    <row r="187" spans="1:15" x14ac:dyDescent="0.35">
      <c r="A187" t="s">
        <v>14</v>
      </c>
      <c r="B187">
        <v>102</v>
      </c>
      <c r="C187">
        <v>34139</v>
      </c>
      <c r="D187" t="s">
        <v>141</v>
      </c>
      <c r="E187">
        <v>49.99</v>
      </c>
      <c r="F187">
        <v>26.72</v>
      </c>
      <c r="G187">
        <v>0</v>
      </c>
      <c r="H187">
        <v>0</v>
      </c>
      <c r="I187">
        <v>0</v>
      </c>
      <c r="J187">
        <v>0</v>
      </c>
      <c r="K187">
        <v>0</v>
      </c>
      <c r="L187" s="64"/>
    </row>
    <row r="188" spans="1:15" x14ac:dyDescent="0.35">
      <c r="A188" t="s">
        <v>14</v>
      </c>
      <c r="B188">
        <v>102</v>
      </c>
      <c r="C188">
        <v>62499</v>
      </c>
      <c r="D188" t="s">
        <v>142</v>
      </c>
      <c r="E188">
        <v>12.99</v>
      </c>
      <c r="F188">
        <v>6.69</v>
      </c>
      <c r="G188">
        <v>0</v>
      </c>
      <c r="H188">
        <v>0</v>
      </c>
      <c r="I188">
        <v>0</v>
      </c>
      <c r="J188">
        <v>0</v>
      </c>
      <c r="K188">
        <v>0</v>
      </c>
      <c r="L188" s="64"/>
    </row>
    <row r="189" spans="1:15" x14ac:dyDescent="0.35">
      <c r="A189" t="s">
        <v>14</v>
      </c>
      <c r="B189">
        <v>102</v>
      </c>
      <c r="C189">
        <v>61941</v>
      </c>
      <c r="D189" t="s">
        <v>143</v>
      </c>
      <c r="E189">
        <v>10</v>
      </c>
      <c r="F189">
        <v>3.4432999999999998</v>
      </c>
      <c r="G189">
        <v>0</v>
      </c>
      <c r="H189">
        <v>0</v>
      </c>
      <c r="I189">
        <v>0</v>
      </c>
      <c r="J189">
        <v>0</v>
      </c>
      <c r="K189">
        <v>0</v>
      </c>
      <c r="L189" s="64"/>
    </row>
    <row r="190" spans="1:15" x14ac:dyDescent="0.35">
      <c r="A190" t="s">
        <v>14</v>
      </c>
      <c r="B190">
        <v>102</v>
      </c>
      <c r="C190">
        <v>34090</v>
      </c>
      <c r="D190" t="s">
        <v>144</v>
      </c>
      <c r="E190">
        <v>3.99</v>
      </c>
      <c r="F190">
        <v>1.3</v>
      </c>
      <c r="G190">
        <v>0</v>
      </c>
      <c r="H190">
        <v>0</v>
      </c>
      <c r="I190">
        <v>0</v>
      </c>
      <c r="J190">
        <v>0</v>
      </c>
      <c r="K190">
        <v>0</v>
      </c>
      <c r="L190" s="64"/>
    </row>
    <row r="191" spans="1:15" x14ac:dyDescent="0.35">
      <c r="A191" t="s">
        <v>14</v>
      </c>
      <c r="B191">
        <v>102</v>
      </c>
      <c r="C191">
        <v>55482</v>
      </c>
      <c r="D191" t="s">
        <v>145</v>
      </c>
      <c r="E191">
        <v>13.99</v>
      </c>
      <c r="F191">
        <v>5.44</v>
      </c>
      <c r="G191">
        <v>0</v>
      </c>
      <c r="H191">
        <v>0</v>
      </c>
      <c r="I191">
        <v>0</v>
      </c>
      <c r="J191">
        <v>0</v>
      </c>
      <c r="K191">
        <v>0</v>
      </c>
      <c r="L191" s="64"/>
    </row>
    <row r="192" spans="1:15" x14ac:dyDescent="0.35">
      <c r="A192" t="s">
        <v>107</v>
      </c>
      <c r="B192">
        <v>102</v>
      </c>
      <c r="C192">
        <v>58147</v>
      </c>
      <c r="D192" t="s">
        <v>146</v>
      </c>
      <c r="E192">
        <v>16.989999999999998</v>
      </c>
      <c r="F192">
        <v>7.99</v>
      </c>
      <c r="G192">
        <v>0</v>
      </c>
      <c r="H192">
        <v>0</v>
      </c>
      <c r="I192">
        <v>0</v>
      </c>
      <c r="J192">
        <v>0</v>
      </c>
      <c r="K192">
        <v>0</v>
      </c>
      <c r="L192" s="64">
        <v>42181</v>
      </c>
      <c r="M192" t="s">
        <v>315</v>
      </c>
      <c r="N192">
        <v>14.77391304347826</v>
      </c>
      <c r="O192">
        <v>1</v>
      </c>
    </row>
    <row r="193" spans="1:15" x14ac:dyDescent="0.35">
      <c r="A193" t="s">
        <v>14</v>
      </c>
      <c r="B193">
        <v>102</v>
      </c>
      <c r="C193">
        <v>53119</v>
      </c>
      <c r="D193" t="s">
        <v>147</v>
      </c>
      <c r="E193">
        <v>4.99</v>
      </c>
      <c r="F193">
        <v>1.29</v>
      </c>
      <c r="G193">
        <v>0</v>
      </c>
      <c r="H193">
        <v>0</v>
      </c>
      <c r="I193">
        <v>0</v>
      </c>
      <c r="J193">
        <v>0</v>
      </c>
      <c r="K193">
        <v>0</v>
      </c>
      <c r="L193" s="64"/>
    </row>
    <row r="194" spans="1:15" x14ac:dyDescent="0.35">
      <c r="A194" t="s">
        <v>14</v>
      </c>
      <c r="B194">
        <v>102</v>
      </c>
      <c r="C194">
        <v>33013</v>
      </c>
      <c r="D194" t="s">
        <v>148</v>
      </c>
      <c r="E194">
        <v>5.99</v>
      </c>
      <c r="F194">
        <v>3.1</v>
      </c>
      <c r="G194">
        <v>0</v>
      </c>
      <c r="H194">
        <v>0</v>
      </c>
      <c r="I194">
        <v>0</v>
      </c>
      <c r="J194">
        <v>0</v>
      </c>
      <c r="K194">
        <v>0</v>
      </c>
      <c r="L194" s="64">
        <v>42547</v>
      </c>
      <c r="M194" t="s">
        <v>316</v>
      </c>
      <c r="N194">
        <v>15.626086956521739</v>
      </c>
      <c r="O194">
        <v>3</v>
      </c>
    </row>
    <row r="195" spans="1:15" x14ac:dyDescent="0.35">
      <c r="A195" t="s">
        <v>14</v>
      </c>
      <c r="B195">
        <v>102</v>
      </c>
      <c r="C195">
        <v>33012</v>
      </c>
      <c r="D195" t="s">
        <v>149</v>
      </c>
      <c r="E195">
        <v>47.99</v>
      </c>
      <c r="F195">
        <v>27.08</v>
      </c>
      <c r="G195">
        <v>0</v>
      </c>
      <c r="H195">
        <v>0</v>
      </c>
      <c r="I195">
        <v>0</v>
      </c>
      <c r="J195">
        <v>0</v>
      </c>
      <c r="K195">
        <v>0</v>
      </c>
      <c r="L195" s="64"/>
    </row>
    <row r="196" spans="1:15" x14ac:dyDescent="0.35">
      <c r="A196" t="s">
        <v>14</v>
      </c>
      <c r="B196">
        <v>102</v>
      </c>
      <c r="C196">
        <v>34061</v>
      </c>
      <c r="D196" t="s">
        <v>150</v>
      </c>
      <c r="E196">
        <v>39.99</v>
      </c>
      <c r="F196">
        <v>17.68</v>
      </c>
      <c r="G196">
        <v>0</v>
      </c>
      <c r="H196">
        <v>0</v>
      </c>
      <c r="I196">
        <v>0</v>
      </c>
      <c r="J196">
        <v>0</v>
      </c>
      <c r="K196">
        <v>0</v>
      </c>
      <c r="L196" s="64"/>
    </row>
    <row r="197" spans="1:15" x14ac:dyDescent="0.35">
      <c r="A197" t="s">
        <v>14</v>
      </c>
      <c r="B197">
        <v>102</v>
      </c>
      <c r="C197">
        <v>62290</v>
      </c>
      <c r="D197" t="s">
        <v>151</v>
      </c>
      <c r="E197">
        <v>10</v>
      </c>
      <c r="F197">
        <v>3.77</v>
      </c>
      <c r="G197">
        <v>0</v>
      </c>
      <c r="H197">
        <v>0</v>
      </c>
      <c r="I197">
        <v>0</v>
      </c>
      <c r="J197">
        <v>0</v>
      </c>
      <c r="K197">
        <v>0</v>
      </c>
      <c r="L197" s="64"/>
    </row>
    <row r="198" spans="1:15" x14ac:dyDescent="0.35">
      <c r="A198" t="s">
        <v>19</v>
      </c>
      <c r="B198">
        <v>102</v>
      </c>
      <c r="C198">
        <v>46909</v>
      </c>
      <c r="D198" t="s">
        <v>152</v>
      </c>
      <c r="E198">
        <v>10.99</v>
      </c>
      <c r="F198">
        <v>5.7054999999999998</v>
      </c>
      <c r="G198">
        <v>0</v>
      </c>
      <c r="H198">
        <v>0</v>
      </c>
      <c r="I198">
        <v>0</v>
      </c>
      <c r="J198">
        <v>0</v>
      </c>
      <c r="K198">
        <v>0</v>
      </c>
      <c r="L198" s="64"/>
    </row>
    <row r="199" spans="1:15" x14ac:dyDescent="0.35">
      <c r="A199" t="s">
        <v>19</v>
      </c>
      <c r="B199">
        <v>102</v>
      </c>
      <c r="C199">
        <v>48620</v>
      </c>
      <c r="D199" t="s">
        <v>153</v>
      </c>
      <c r="E199">
        <v>37.99</v>
      </c>
      <c r="F199">
        <v>16.841833333333302</v>
      </c>
      <c r="G199">
        <v>0</v>
      </c>
      <c r="H199">
        <v>0</v>
      </c>
      <c r="I199">
        <v>0</v>
      </c>
      <c r="J199">
        <v>0</v>
      </c>
      <c r="K199">
        <v>0</v>
      </c>
      <c r="L199" s="64">
        <v>42547</v>
      </c>
      <c r="M199" t="s">
        <v>316</v>
      </c>
      <c r="N199">
        <v>33.03478260869565</v>
      </c>
      <c r="O199">
        <v>1</v>
      </c>
    </row>
    <row r="200" spans="1:15" x14ac:dyDescent="0.35">
      <c r="A200" t="s">
        <v>19</v>
      </c>
      <c r="B200">
        <v>102</v>
      </c>
      <c r="C200">
        <v>48620</v>
      </c>
      <c r="D200" t="s">
        <v>153</v>
      </c>
      <c r="E200">
        <v>37.99</v>
      </c>
      <c r="F200">
        <v>16.841833333333302</v>
      </c>
      <c r="G200">
        <v>0</v>
      </c>
      <c r="H200">
        <v>0</v>
      </c>
      <c r="I200">
        <v>0</v>
      </c>
      <c r="J200">
        <v>0</v>
      </c>
      <c r="K200">
        <v>0</v>
      </c>
      <c r="L200" s="64">
        <v>42547</v>
      </c>
      <c r="M200" t="s">
        <v>316</v>
      </c>
      <c r="N200">
        <v>33.03478260869565</v>
      </c>
      <c r="O200">
        <v>1</v>
      </c>
    </row>
    <row r="201" spans="1:15" x14ac:dyDescent="0.35">
      <c r="A201" t="s">
        <v>35</v>
      </c>
      <c r="B201">
        <v>102</v>
      </c>
      <c r="C201">
        <v>48620</v>
      </c>
      <c r="D201" t="s">
        <v>153</v>
      </c>
      <c r="E201">
        <v>37.99</v>
      </c>
      <c r="F201">
        <v>19.462499999999999</v>
      </c>
      <c r="G201">
        <v>0</v>
      </c>
      <c r="H201">
        <v>0</v>
      </c>
      <c r="I201">
        <v>0</v>
      </c>
      <c r="J201">
        <v>0</v>
      </c>
      <c r="K201">
        <v>0</v>
      </c>
      <c r="L201" s="64">
        <v>42547</v>
      </c>
      <c r="M201" t="s">
        <v>316</v>
      </c>
      <c r="N201">
        <v>33.03478260869565</v>
      </c>
      <c r="O201">
        <v>1</v>
      </c>
    </row>
    <row r="202" spans="1:15" x14ac:dyDescent="0.35">
      <c r="A202" t="s">
        <v>35</v>
      </c>
      <c r="B202">
        <v>102</v>
      </c>
      <c r="C202">
        <v>48620</v>
      </c>
      <c r="D202" t="s">
        <v>153</v>
      </c>
      <c r="E202">
        <v>37.99</v>
      </c>
      <c r="F202">
        <v>19.462499999999999</v>
      </c>
      <c r="G202">
        <v>0</v>
      </c>
      <c r="H202">
        <v>0</v>
      </c>
      <c r="I202">
        <v>0</v>
      </c>
      <c r="J202">
        <v>0</v>
      </c>
      <c r="K202">
        <v>0</v>
      </c>
      <c r="L202" s="64">
        <v>42547</v>
      </c>
      <c r="M202" t="s">
        <v>316</v>
      </c>
      <c r="N202">
        <v>33.03478260869565</v>
      </c>
      <c r="O202">
        <v>1</v>
      </c>
    </row>
    <row r="203" spans="1:15" x14ac:dyDescent="0.35">
      <c r="A203" t="s">
        <v>14</v>
      </c>
      <c r="B203">
        <v>102</v>
      </c>
      <c r="C203">
        <v>61943</v>
      </c>
      <c r="D203" t="s">
        <v>154</v>
      </c>
      <c r="E203">
        <v>10</v>
      </c>
      <c r="F203">
        <v>3.71</v>
      </c>
      <c r="G203">
        <v>0</v>
      </c>
      <c r="H203">
        <v>0</v>
      </c>
      <c r="I203">
        <v>0</v>
      </c>
      <c r="J203">
        <v>0</v>
      </c>
      <c r="K203">
        <v>0</v>
      </c>
      <c r="L203" s="64"/>
    </row>
    <row r="204" spans="1:15" x14ac:dyDescent="0.35">
      <c r="A204" t="s">
        <v>14</v>
      </c>
      <c r="B204">
        <v>102</v>
      </c>
      <c r="C204">
        <v>66952</v>
      </c>
      <c r="D204" t="s">
        <v>155</v>
      </c>
      <c r="E204">
        <v>29.99</v>
      </c>
      <c r="F204">
        <v>28.95</v>
      </c>
      <c r="G204">
        <v>0</v>
      </c>
      <c r="H204">
        <v>0</v>
      </c>
      <c r="I204">
        <v>0</v>
      </c>
      <c r="J204">
        <v>0</v>
      </c>
      <c r="K204">
        <v>0</v>
      </c>
      <c r="L204" s="64"/>
    </row>
    <row r="205" spans="1:15" x14ac:dyDescent="0.35">
      <c r="A205" t="s">
        <v>14</v>
      </c>
      <c r="B205">
        <v>102</v>
      </c>
      <c r="C205">
        <v>53210</v>
      </c>
      <c r="D205" t="s">
        <v>156</v>
      </c>
      <c r="E205">
        <v>100</v>
      </c>
      <c r="F205">
        <v>22.26</v>
      </c>
      <c r="G205">
        <v>0</v>
      </c>
      <c r="H205">
        <v>0</v>
      </c>
      <c r="I205">
        <v>0</v>
      </c>
      <c r="J205">
        <v>0</v>
      </c>
      <c r="K205">
        <v>0</v>
      </c>
      <c r="L205" s="64"/>
    </row>
    <row r="206" spans="1:15" x14ac:dyDescent="0.35">
      <c r="A206" t="s">
        <v>14</v>
      </c>
      <c r="B206">
        <v>102</v>
      </c>
      <c r="C206">
        <v>34037</v>
      </c>
      <c r="D206" t="s">
        <v>157</v>
      </c>
      <c r="E206">
        <v>29.99</v>
      </c>
      <c r="F206">
        <v>16.43</v>
      </c>
      <c r="G206">
        <v>0</v>
      </c>
      <c r="H206">
        <v>0</v>
      </c>
      <c r="I206">
        <v>0</v>
      </c>
      <c r="J206">
        <v>0</v>
      </c>
      <c r="K206">
        <v>0</v>
      </c>
      <c r="L206" s="64"/>
    </row>
    <row r="207" spans="1:15" x14ac:dyDescent="0.35">
      <c r="A207" t="s">
        <v>14</v>
      </c>
      <c r="B207">
        <v>102</v>
      </c>
      <c r="C207">
        <v>59221</v>
      </c>
      <c r="D207" t="s">
        <v>158</v>
      </c>
      <c r="E207">
        <v>5.99</v>
      </c>
      <c r="F207">
        <v>3.1</v>
      </c>
      <c r="G207">
        <v>0</v>
      </c>
      <c r="H207">
        <v>0</v>
      </c>
      <c r="I207">
        <v>0</v>
      </c>
      <c r="J207">
        <v>0</v>
      </c>
      <c r="K207">
        <v>0</v>
      </c>
      <c r="L207" s="64"/>
    </row>
    <row r="208" spans="1:15" x14ac:dyDescent="0.35">
      <c r="A208" t="s">
        <v>14</v>
      </c>
      <c r="B208">
        <v>102</v>
      </c>
      <c r="C208">
        <v>59477</v>
      </c>
      <c r="D208" t="s">
        <v>159</v>
      </c>
      <c r="E208">
        <v>5.99</v>
      </c>
      <c r="F208">
        <v>3.1</v>
      </c>
      <c r="G208">
        <v>0</v>
      </c>
      <c r="H208">
        <v>0</v>
      </c>
      <c r="I208">
        <v>0</v>
      </c>
      <c r="J208">
        <v>0</v>
      </c>
      <c r="K208">
        <v>0</v>
      </c>
      <c r="L208" s="64">
        <v>42547</v>
      </c>
      <c r="M208" t="s">
        <v>316</v>
      </c>
      <c r="N208">
        <v>10.417391304347827</v>
      </c>
      <c r="O208">
        <v>2</v>
      </c>
    </row>
    <row r="209" spans="1:12" x14ac:dyDescent="0.35">
      <c r="A209" t="s">
        <v>19</v>
      </c>
      <c r="B209">
        <v>102</v>
      </c>
      <c r="C209">
        <v>33032</v>
      </c>
      <c r="D209" t="s">
        <v>160</v>
      </c>
      <c r="E209">
        <v>28.99</v>
      </c>
      <c r="F209">
        <v>12.413</v>
      </c>
      <c r="G209">
        <v>0</v>
      </c>
      <c r="H209">
        <v>0</v>
      </c>
      <c r="I209">
        <v>0</v>
      </c>
      <c r="J209">
        <v>0</v>
      </c>
      <c r="K209">
        <v>0</v>
      </c>
      <c r="L209" s="64"/>
    </row>
    <row r="210" spans="1:12" x14ac:dyDescent="0.35">
      <c r="A210" t="s">
        <v>35</v>
      </c>
      <c r="B210">
        <v>102</v>
      </c>
      <c r="C210">
        <v>33032</v>
      </c>
      <c r="D210" t="s">
        <v>160</v>
      </c>
      <c r="E210">
        <v>28.99</v>
      </c>
      <c r="F210">
        <v>14.6126666666667</v>
      </c>
      <c r="G210">
        <v>0</v>
      </c>
      <c r="H210">
        <v>0</v>
      </c>
      <c r="I210">
        <v>0</v>
      </c>
      <c r="J210">
        <v>0</v>
      </c>
      <c r="K210">
        <v>0</v>
      </c>
      <c r="L210" s="64"/>
    </row>
    <row r="211" spans="1:12" x14ac:dyDescent="0.35">
      <c r="A211" t="s">
        <v>14</v>
      </c>
      <c r="B211">
        <v>102</v>
      </c>
      <c r="C211">
        <v>46797</v>
      </c>
      <c r="D211" t="s">
        <v>161</v>
      </c>
      <c r="E211">
        <v>39.99</v>
      </c>
      <c r="F211">
        <v>25</v>
      </c>
      <c r="G211">
        <v>0</v>
      </c>
      <c r="H211">
        <v>0</v>
      </c>
      <c r="I211">
        <v>0</v>
      </c>
      <c r="J211">
        <v>0</v>
      </c>
      <c r="K211">
        <v>0</v>
      </c>
      <c r="L211" s="64"/>
    </row>
    <row r="212" spans="1:12" x14ac:dyDescent="0.35">
      <c r="A212" t="s">
        <v>14</v>
      </c>
      <c r="B212">
        <v>102</v>
      </c>
      <c r="C212">
        <v>32125</v>
      </c>
      <c r="D212" t="s">
        <v>162</v>
      </c>
      <c r="E212">
        <v>3</v>
      </c>
      <c r="F212">
        <v>1.29</v>
      </c>
      <c r="G212">
        <v>0</v>
      </c>
      <c r="H212">
        <v>0</v>
      </c>
      <c r="I212">
        <v>0</v>
      </c>
      <c r="J212">
        <v>0</v>
      </c>
      <c r="K212">
        <v>0</v>
      </c>
      <c r="L212" s="64"/>
    </row>
    <row r="213" spans="1:12" x14ac:dyDescent="0.35">
      <c r="A213" t="s">
        <v>14</v>
      </c>
      <c r="B213">
        <v>102</v>
      </c>
      <c r="C213">
        <v>59220</v>
      </c>
      <c r="D213" t="s">
        <v>163</v>
      </c>
      <c r="E213">
        <v>5.99</v>
      </c>
      <c r="F213">
        <v>3.1</v>
      </c>
      <c r="G213">
        <v>0</v>
      </c>
      <c r="H213">
        <v>0</v>
      </c>
      <c r="I213">
        <v>0</v>
      </c>
      <c r="J213">
        <v>0</v>
      </c>
      <c r="K213">
        <v>0</v>
      </c>
      <c r="L213" s="64"/>
    </row>
    <row r="214" spans="1:12" x14ac:dyDescent="0.35">
      <c r="A214" t="s">
        <v>14</v>
      </c>
      <c r="B214">
        <v>102</v>
      </c>
      <c r="C214">
        <v>32151</v>
      </c>
      <c r="D214" t="s">
        <v>164</v>
      </c>
      <c r="E214">
        <v>12.99</v>
      </c>
      <c r="F214">
        <v>6.88</v>
      </c>
      <c r="G214">
        <v>0</v>
      </c>
      <c r="H214">
        <v>0</v>
      </c>
      <c r="I214">
        <v>0</v>
      </c>
      <c r="J214">
        <v>0</v>
      </c>
      <c r="K214">
        <v>0</v>
      </c>
      <c r="L214" s="64"/>
    </row>
    <row r="215" spans="1:12" x14ac:dyDescent="0.35">
      <c r="A215" t="s">
        <v>14</v>
      </c>
      <c r="B215">
        <v>102</v>
      </c>
      <c r="C215">
        <v>62623</v>
      </c>
      <c r="D215" t="s">
        <v>165</v>
      </c>
      <c r="E215">
        <v>15.99</v>
      </c>
      <c r="F215">
        <v>8.31</v>
      </c>
      <c r="G215">
        <v>0</v>
      </c>
      <c r="H215">
        <v>0</v>
      </c>
      <c r="I215">
        <v>0</v>
      </c>
      <c r="J215">
        <v>0</v>
      </c>
      <c r="K215">
        <v>0</v>
      </c>
      <c r="L215" s="64"/>
    </row>
    <row r="216" spans="1:12" x14ac:dyDescent="0.35">
      <c r="A216" t="s">
        <v>14</v>
      </c>
      <c r="B216">
        <v>102</v>
      </c>
      <c r="C216">
        <v>66951</v>
      </c>
      <c r="D216" t="s">
        <v>166</v>
      </c>
      <c r="E216">
        <v>29.99</v>
      </c>
      <c r="F216">
        <v>28.95</v>
      </c>
      <c r="G216">
        <v>0</v>
      </c>
      <c r="H216">
        <v>0</v>
      </c>
      <c r="I216">
        <v>0</v>
      </c>
      <c r="J216">
        <v>0</v>
      </c>
      <c r="K216">
        <v>0</v>
      </c>
      <c r="L216" s="64"/>
    </row>
    <row r="217" spans="1:12" x14ac:dyDescent="0.35">
      <c r="A217" t="s">
        <v>14</v>
      </c>
      <c r="B217">
        <v>102</v>
      </c>
      <c r="C217">
        <v>34122</v>
      </c>
      <c r="D217" t="s">
        <v>167</v>
      </c>
      <c r="E217">
        <v>25.99</v>
      </c>
      <c r="F217">
        <v>13.19</v>
      </c>
      <c r="G217">
        <v>0</v>
      </c>
      <c r="H217">
        <v>0</v>
      </c>
      <c r="I217">
        <v>0</v>
      </c>
      <c r="J217">
        <v>0</v>
      </c>
      <c r="K217">
        <v>0</v>
      </c>
      <c r="L217" s="64"/>
    </row>
    <row r="218" spans="1:12" x14ac:dyDescent="0.35">
      <c r="A218" t="s">
        <v>14</v>
      </c>
      <c r="B218">
        <v>102</v>
      </c>
      <c r="C218">
        <v>34021</v>
      </c>
      <c r="D218" t="s">
        <v>168</v>
      </c>
      <c r="E218">
        <v>32.99</v>
      </c>
      <c r="F218">
        <v>15.39</v>
      </c>
      <c r="G218">
        <v>0</v>
      </c>
      <c r="H218">
        <v>0</v>
      </c>
      <c r="I218">
        <v>0</v>
      </c>
      <c r="J218">
        <v>0</v>
      </c>
      <c r="K218">
        <v>0</v>
      </c>
      <c r="L218" s="64"/>
    </row>
    <row r="219" spans="1:12" x14ac:dyDescent="0.35">
      <c r="A219" t="s">
        <v>14</v>
      </c>
      <c r="B219">
        <v>102</v>
      </c>
      <c r="C219">
        <v>61014</v>
      </c>
      <c r="D219" t="s">
        <v>169</v>
      </c>
      <c r="E219">
        <v>5.99</v>
      </c>
      <c r="F219">
        <v>3.1</v>
      </c>
      <c r="G219">
        <v>0</v>
      </c>
      <c r="H219">
        <v>0</v>
      </c>
      <c r="I219">
        <v>0</v>
      </c>
      <c r="J219">
        <v>0</v>
      </c>
      <c r="K219">
        <v>0</v>
      </c>
      <c r="L219" s="64"/>
    </row>
    <row r="220" spans="1:12" x14ac:dyDescent="0.35">
      <c r="A220" t="s">
        <v>19</v>
      </c>
      <c r="B220">
        <v>102</v>
      </c>
      <c r="C220">
        <v>61929</v>
      </c>
      <c r="D220" t="s">
        <v>170</v>
      </c>
      <c r="E220">
        <v>79.989999999999995</v>
      </c>
      <c r="F220">
        <v>44.62</v>
      </c>
      <c r="G220">
        <v>0</v>
      </c>
      <c r="H220">
        <v>0</v>
      </c>
      <c r="I220">
        <v>0</v>
      </c>
      <c r="J220">
        <v>0</v>
      </c>
      <c r="K220">
        <v>0</v>
      </c>
      <c r="L220" s="64"/>
    </row>
    <row r="221" spans="1:12" x14ac:dyDescent="0.35">
      <c r="A221" t="s">
        <v>14</v>
      </c>
      <c r="B221">
        <v>102</v>
      </c>
      <c r="C221">
        <v>32155</v>
      </c>
      <c r="D221" t="s">
        <v>171</v>
      </c>
      <c r="E221">
        <v>11.99</v>
      </c>
      <c r="F221">
        <v>5.87</v>
      </c>
      <c r="G221">
        <v>0</v>
      </c>
      <c r="H221">
        <v>0</v>
      </c>
      <c r="I221">
        <v>0</v>
      </c>
      <c r="J221">
        <v>0</v>
      </c>
      <c r="K221">
        <v>0</v>
      </c>
      <c r="L221" s="64"/>
    </row>
    <row r="222" spans="1:12" x14ac:dyDescent="0.35">
      <c r="A222" t="s">
        <v>14</v>
      </c>
      <c r="B222">
        <v>102</v>
      </c>
      <c r="C222">
        <v>65506</v>
      </c>
      <c r="D222" t="s">
        <v>172</v>
      </c>
      <c r="E222">
        <v>14.99</v>
      </c>
      <c r="F222">
        <v>7.72</v>
      </c>
      <c r="G222">
        <v>0</v>
      </c>
      <c r="H222">
        <v>0</v>
      </c>
      <c r="I222">
        <v>0</v>
      </c>
      <c r="J222">
        <v>0</v>
      </c>
      <c r="K222">
        <v>0</v>
      </c>
      <c r="L222" s="64"/>
    </row>
    <row r="223" spans="1:12" x14ac:dyDescent="0.35">
      <c r="A223" t="s">
        <v>14</v>
      </c>
      <c r="B223">
        <v>102</v>
      </c>
      <c r="C223">
        <v>66434</v>
      </c>
      <c r="D223" t="s">
        <v>173</v>
      </c>
      <c r="E223">
        <v>13.99</v>
      </c>
      <c r="F223">
        <v>9.14</v>
      </c>
      <c r="G223">
        <v>0</v>
      </c>
      <c r="H223">
        <v>0</v>
      </c>
      <c r="I223">
        <v>0</v>
      </c>
      <c r="J223">
        <v>0</v>
      </c>
      <c r="K223">
        <v>0</v>
      </c>
      <c r="L223" s="64"/>
    </row>
    <row r="224" spans="1:12" x14ac:dyDescent="0.35">
      <c r="A224" t="s">
        <v>14</v>
      </c>
      <c r="B224">
        <v>102</v>
      </c>
      <c r="C224">
        <v>32124</v>
      </c>
      <c r="D224" t="s">
        <v>174</v>
      </c>
      <c r="E224">
        <v>47.99</v>
      </c>
      <c r="F224">
        <v>10.44</v>
      </c>
      <c r="G224">
        <v>0</v>
      </c>
      <c r="H224">
        <v>0</v>
      </c>
      <c r="I224">
        <v>0</v>
      </c>
      <c r="J224">
        <v>0</v>
      </c>
      <c r="K224">
        <v>0</v>
      </c>
      <c r="L224" s="64"/>
    </row>
    <row r="225" spans="1:12" x14ac:dyDescent="0.35">
      <c r="A225" t="s">
        <v>14</v>
      </c>
      <c r="B225">
        <v>102</v>
      </c>
      <c r="C225">
        <v>32868</v>
      </c>
      <c r="D225" t="s">
        <v>175</v>
      </c>
      <c r="E225">
        <v>5.99</v>
      </c>
      <c r="F225">
        <v>3.31</v>
      </c>
      <c r="G225">
        <v>0</v>
      </c>
      <c r="H225">
        <v>0</v>
      </c>
      <c r="I225">
        <v>0</v>
      </c>
      <c r="J225">
        <v>0</v>
      </c>
      <c r="K225">
        <v>0</v>
      </c>
      <c r="L225" s="64"/>
    </row>
    <row r="226" spans="1:12" x14ac:dyDescent="0.35">
      <c r="A226" t="s">
        <v>19</v>
      </c>
      <c r="B226">
        <v>102</v>
      </c>
      <c r="C226">
        <v>61928</v>
      </c>
      <c r="D226" t="s">
        <v>176</v>
      </c>
      <c r="E226">
        <v>79.989999999999995</v>
      </c>
      <c r="F226">
        <v>44.62</v>
      </c>
      <c r="G226">
        <v>0</v>
      </c>
      <c r="H226">
        <v>0</v>
      </c>
      <c r="I226">
        <v>0</v>
      </c>
      <c r="J226">
        <v>0</v>
      </c>
      <c r="K226">
        <v>0</v>
      </c>
      <c r="L226" s="64"/>
    </row>
    <row r="227" spans="1:12" x14ac:dyDescent="0.35">
      <c r="A227" t="s">
        <v>14</v>
      </c>
      <c r="B227">
        <v>102</v>
      </c>
      <c r="C227">
        <v>66435</v>
      </c>
      <c r="D227" t="s">
        <v>177</v>
      </c>
      <c r="E227">
        <v>11.99</v>
      </c>
      <c r="F227">
        <v>7.6</v>
      </c>
      <c r="G227">
        <v>0</v>
      </c>
      <c r="H227">
        <v>0</v>
      </c>
      <c r="I227">
        <v>0</v>
      </c>
      <c r="J227">
        <v>0</v>
      </c>
      <c r="K227">
        <v>0</v>
      </c>
      <c r="L227" s="64"/>
    </row>
    <row r="228" spans="1:12" x14ac:dyDescent="0.35">
      <c r="A228" t="s">
        <v>14</v>
      </c>
      <c r="B228">
        <v>102</v>
      </c>
      <c r="C228">
        <v>59222</v>
      </c>
      <c r="D228" t="s">
        <v>178</v>
      </c>
      <c r="E228">
        <v>5.99</v>
      </c>
      <c r="F228">
        <v>3.1</v>
      </c>
      <c r="G228">
        <v>0</v>
      </c>
      <c r="H228">
        <v>0</v>
      </c>
      <c r="I228">
        <v>0</v>
      </c>
      <c r="J228">
        <v>0</v>
      </c>
      <c r="K228">
        <v>0</v>
      </c>
      <c r="L228" s="64"/>
    </row>
    <row r="229" spans="1:12" x14ac:dyDescent="0.35">
      <c r="A229" t="s">
        <v>14</v>
      </c>
      <c r="B229">
        <v>102</v>
      </c>
      <c r="C229">
        <v>59223</v>
      </c>
      <c r="D229" t="s">
        <v>179</v>
      </c>
      <c r="E229">
        <v>5.99</v>
      </c>
      <c r="F229">
        <v>3.1</v>
      </c>
      <c r="G229">
        <v>0</v>
      </c>
      <c r="H229">
        <v>0</v>
      </c>
      <c r="I229">
        <v>0</v>
      </c>
      <c r="J229">
        <v>0</v>
      </c>
      <c r="K229">
        <v>0</v>
      </c>
      <c r="L229" s="64"/>
    </row>
    <row r="230" spans="1:12" x14ac:dyDescent="0.35">
      <c r="A230" t="s">
        <v>14</v>
      </c>
      <c r="B230">
        <v>102</v>
      </c>
      <c r="C230">
        <v>34089</v>
      </c>
      <c r="D230" t="s">
        <v>180</v>
      </c>
      <c r="E230">
        <v>39.99</v>
      </c>
      <c r="F230">
        <v>29.01</v>
      </c>
      <c r="G230">
        <v>0</v>
      </c>
      <c r="H230">
        <v>0</v>
      </c>
      <c r="I230">
        <v>0</v>
      </c>
      <c r="J230">
        <v>0</v>
      </c>
      <c r="K230">
        <v>0</v>
      </c>
      <c r="L230" s="64"/>
    </row>
    <row r="231" spans="1:12" x14ac:dyDescent="0.35">
      <c r="A231" t="s">
        <v>14</v>
      </c>
      <c r="B231">
        <v>102</v>
      </c>
      <c r="C231">
        <v>58045</v>
      </c>
      <c r="D231" t="s">
        <v>181</v>
      </c>
      <c r="E231">
        <v>2.5</v>
      </c>
      <c r="F231">
        <v>1.29</v>
      </c>
      <c r="G231">
        <v>0</v>
      </c>
      <c r="H231">
        <v>0</v>
      </c>
      <c r="I231">
        <v>0</v>
      </c>
      <c r="J231">
        <v>0</v>
      </c>
      <c r="K231">
        <v>0</v>
      </c>
      <c r="L231" s="64"/>
    </row>
    <row r="232" spans="1:12" x14ac:dyDescent="0.35">
      <c r="A232" t="s">
        <v>14</v>
      </c>
      <c r="B232">
        <v>102</v>
      </c>
      <c r="C232">
        <v>66950</v>
      </c>
      <c r="D232" t="s">
        <v>182</v>
      </c>
      <c r="E232">
        <v>29.99</v>
      </c>
      <c r="F232">
        <v>28.95</v>
      </c>
      <c r="G232">
        <v>0</v>
      </c>
      <c r="H232">
        <v>0</v>
      </c>
      <c r="I232">
        <v>0</v>
      </c>
      <c r="J232">
        <v>0</v>
      </c>
      <c r="K232">
        <v>0</v>
      </c>
      <c r="L232" s="64"/>
    </row>
    <row r="233" spans="1:12" x14ac:dyDescent="0.35">
      <c r="A233" t="s">
        <v>19</v>
      </c>
      <c r="B233">
        <v>102</v>
      </c>
      <c r="C233">
        <v>42674</v>
      </c>
      <c r="D233" t="s">
        <v>183</v>
      </c>
      <c r="E233">
        <v>5.49</v>
      </c>
      <c r="F233">
        <v>2.7884166666666701</v>
      </c>
      <c r="G233">
        <v>0</v>
      </c>
      <c r="H233">
        <v>0</v>
      </c>
      <c r="I233">
        <v>0</v>
      </c>
      <c r="J233">
        <v>0</v>
      </c>
      <c r="K233">
        <v>0</v>
      </c>
      <c r="L233" s="64"/>
    </row>
    <row r="234" spans="1:12" x14ac:dyDescent="0.35">
      <c r="A234" t="s">
        <v>19</v>
      </c>
      <c r="B234">
        <v>102</v>
      </c>
      <c r="C234">
        <v>38815</v>
      </c>
      <c r="D234" t="s">
        <v>184</v>
      </c>
      <c r="E234">
        <v>10.85</v>
      </c>
      <c r="F234">
        <v>5.2888333333333302</v>
      </c>
      <c r="G234">
        <v>0</v>
      </c>
      <c r="H234">
        <v>0</v>
      </c>
      <c r="I234">
        <v>0</v>
      </c>
      <c r="J234">
        <v>0</v>
      </c>
      <c r="K234">
        <v>0</v>
      </c>
      <c r="L234" s="64"/>
    </row>
    <row r="235" spans="1:12" x14ac:dyDescent="0.35">
      <c r="A235" t="s">
        <v>35</v>
      </c>
      <c r="B235">
        <v>102</v>
      </c>
      <c r="C235">
        <v>38815</v>
      </c>
      <c r="D235" t="s">
        <v>184</v>
      </c>
      <c r="E235">
        <v>10.85</v>
      </c>
      <c r="F235">
        <v>5.9984999999999999</v>
      </c>
      <c r="G235">
        <v>0</v>
      </c>
      <c r="H235">
        <v>0</v>
      </c>
      <c r="I235">
        <v>0</v>
      </c>
      <c r="J235">
        <v>0</v>
      </c>
      <c r="K235">
        <v>0</v>
      </c>
      <c r="L235" s="64"/>
    </row>
    <row r="236" spans="1:12" x14ac:dyDescent="0.35">
      <c r="A236" t="s">
        <v>19</v>
      </c>
      <c r="B236">
        <v>102</v>
      </c>
      <c r="C236">
        <v>38816</v>
      </c>
      <c r="D236" t="s">
        <v>185</v>
      </c>
      <c r="E236">
        <v>7.99</v>
      </c>
      <c r="F236">
        <v>3.6635833333333299</v>
      </c>
      <c r="G236">
        <v>0</v>
      </c>
      <c r="H236">
        <v>0</v>
      </c>
      <c r="I236">
        <v>0</v>
      </c>
      <c r="J236">
        <v>0</v>
      </c>
      <c r="K236">
        <v>0</v>
      </c>
      <c r="L236" s="64"/>
    </row>
    <row r="237" spans="1:12" x14ac:dyDescent="0.35">
      <c r="A237" t="s">
        <v>35</v>
      </c>
      <c r="B237">
        <v>102</v>
      </c>
      <c r="C237">
        <v>38816</v>
      </c>
      <c r="D237" t="s">
        <v>185</v>
      </c>
      <c r="E237">
        <v>7.99</v>
      </c>
      <c r="F237">
        <v>4.1159999999999997</v>
      </c>
      <c r="G237">
        <v>0</v>
      </c>
      <c r="H237">
        <v>0</v>
      </c>
      <c r="I237">
        <v>0</v>
      </c>
      <c r="J237">
        <v>0</v>
      </c>
      <c r="K237">
        <v>0</v>
      </c>
      <c r="L237" s="64"/>
    </row>
    <row r="238" spans="1:12" x14ac:dyDescent="0.35">
      <c r="A238" t="s">
        <v>19</v>
      </c>
      <c r="B238">
        <v>102</v>
      </c>
      <c r="C238">
        <v>38908</v>
      </c>
      <c r="D238" t="s">
        <v>186</v>
      </c>
      <c r="E238">
        <v>7.99</v>
      </c>
      <c r="F238">
        <v>4.1161666666666701</v>
      </c>
      <c r="G238">
        <v>0</v>
      </c>
      <c r="H238">
        <v>0</v>
      </c>
      <c r="I238">
        <v>0</v>
      </c>
      <c r="J238">
        <v>0</v>
      </c>
      <c r="K238">
        <v>0</v>
      </c>
      <c r="L238" s="64"/>
    </row>
    <row r="239" spans="1:12" x14ac:dyDescent="0.35">
      <c r="A239" t="s">
        <v>35</v>
      </c>
      <c r="B239">
        <v>102</v>
      </c>
      <c r="C239">
        <v>38908</v>
      </c>
      <c r="D239" t="s">
        <v>186</v>
      </c>
      <c r="E239">
        <v>7.99</v>
      </c>
      <c r="F239">
        <v>4.3630833333333303</v>
      </c>
      <c r="G239">
        <v>0</v>
      </c>
      <c r="H239">
        <v>0</v>
      </c>
      <c r="I239">
        <v>0</v>
      </c>
      <c r="J239">
        <v>0</v>
      </c>
      <c r="K239">
        <v>0</v>
      </c>
      <c r="L239" s="64"/>
    </row>
    <row r="240" spans="1:12" x14ac:dyDescent="0.35">
      <c r="A240" t="s">
        <v>19</v>
      </c>
      <c r="B240">
        <v>102</v>
      </c>
      <c r="C240">
        <v>38983</v>
      </c>
      <c r="D240" t="s">
        <v>187</v>
      </c>
      <c r="E240">
        <v>10.85</v>
      </c>
      <c r="F240">
        <v>5.6589999999999998</v>
      </c>
      <c r="G240">
        <v>0</v>
      </c>
      <c r="H240">
        <v>0</v>
      </c>
      <c r="I240">
        <v>0</v>
      </c>
      <c r="J240">
        <v>0</v>
      </c>
      <c r="K240">
        <v>0</v>
      </c>
      <c r="L240" s="64"/>
    </row>
    <row r="241" spans="1:12" x14ac:dyDescent="0.35">
      <c r="A241" t="s">
        <v>35</v>
      </c>
      <c r="B241">
        <v>102</v>
      </c>
      <c r="C241">
        <v>38983</v>
      </c>
      <c r="D241" t="s">
        <v>187</v>
      </c>
      <c r="E241">
        <v>10.85</v>
      </c>
      <c r="F241">
        <v>5.9984999999999999</v>
      </c>
      <c r="G241">
        <v>0</v>
      </c>
      <c r="H241">
        <v>0</v>
      </c>
      <c r="I241">
        <v>0</v>
      </c>
      <c r="J241">
        <v>0</v>
      </c>
      <c r="K241">
        <v>0</v>
      </c>
      <c r="L241" s="64"/>
    </row>
    <row r="242" spans="1:12" x14ac:dyDescent="0.35">
      <c r="A242" t="s">
        <v>19</v>
      </c>
      <c r="B242">
        <v>102</v>
      </c>
      <c r="C242">
        <v>39025</v>
      </c>
      <c r="D242" t="s">
        <v>188</v>
      </c>
      <c r="E242">
        <v>330.99</v>
      </c>
      <c r="F242">
        <v>172.26333333333301</v>
      </c>
      <c r="G242">
        <v>0</v>
      </c>
      <c r="H242">
        <v>0</v>
      </c>
      <c r="I242">
        <v>0</v>
      </c>
      <c r="J242">
        <v>0</v>
      </c>
      <c r="K242">
        <v>0</v>
      </c>
      <c r="L242" s="64"/>
    </row>
    <row r="243" spans="1:12" x14ac:dyDescent="0.35">
      <c r="A243" t="s">
        <v>35</v>
      </c>
      <c r="B243">
        <v>102</v>
      </c>
      <c r="C243">
        <v>39025</v>
      </c>
      <c r="D243" t="s">
        <v>188</v>
      </c>
      <c r="E243">
        <v>330.99</v>
      </c>
      <c r="F243">
        <v>182.6</v>
      </c>
      <c r="G243">
        <v>0</v>
      </c>
      <c r="H243">
        <v>0</v>
      </c>
      <c r="I243">
        <v>0</v>
      </c>
      <c r="J243">
        <v>0</v>
      </c>
      <c r="K243">
        <v>0</v>
      </c>
      <c r="L243" s="64"/>
    </row>
    <row r="244" spans="1:12" x14ac:dyDescent="0.35">
      <c r="A244" t="s">
        <v>19</v>
      </c>
      <c r="B244">
        <v>102</v>
      </c>
      <c r="C244">
        <v>39421</v>
      </c>
      <c r="D244" t="s">
        <v>189</v>
      </c>
      <c r="E244">
        <v>28.99</v>
      </c>
      <c r="F244">
        <v>14.814500000000001</v>
      </c>
      <c r="G244">
        <v>0</v>
      </c>
      <c r="H244">
        <v>0</v>
      </c>
      <c r="I244">
        <v>0</v>
      </c>
      <c r="J244">
        <v>0</v>
      </c>
      <c r="K244">
        <v>0</v>
      </c>
      <c r="L244" s="64"/>
    </row>
    <row r="245" spans="1:12" x14ac:dyDescent="0.35">
      <c r="A245" t="s">
        <v>35</v>
      </c>
      <c r="B245">
        <v>102</v>
      </c>
      <c r="C245">
        <v>39421</v>
      </c>
      <c r="D245" t="s">
        <v>189</v>
      </c>
      <c r="E245">
        <v>28.99</v>
      </c>
      <c r="F245">
        <v>15.703250000000001</v>
      </c>
      <c r="G245">
        <v>0</v>
      </c>
      <c r="H245">
        <v>0</v>
      </c>
      <c r="I245">
        <v>0</v>
      </c>
      <c r="J245">
        <v>0</v>
      </c>
      <c r="K245">
        <v>0</v>
      </c>
      <c r="L245" s="64"/>
    </row>
    <row r="246" spans="1:12" x14ac:dyDescent="0.35">
      <c r="A246" t="s">
        <v>19</v>
      </c>
      <c r="B246">
        <v>102</v>
      </c>
      <c r="C246">
        <v>39963</v>
      </c>
      <c r="D246" t="s">
        <v>190</v>
      </c>
      <c r="E246">
        <v>5.4</v>
      </c>
      <c r="F246">
        <v>2.6173000000000002</v>
      </c>
      <c r="G246">
        <v>0</v>
      </c>
      <c r="H246">
        <v>0</v>
      </c>
      <c r="I246">
        <v>0</v>
      </c>
      <c r="J246">
        <v>0</v>
      </c>
      <c r="K246">
        <v>0</v>
      </c>
      <c r="L246" s="64"/>
    </row>
    <row r="247" spans="1:12" x14ac:dyDescent="0.35">
      <c r="A247" t="s">
        <v>35</v>
      </c>
      <c r="B247">
        <v>102</v>
      </c>
      <c r="C247">
        <v>39963</v>
      </c>
      <c r="D247" t="s">
        <v>190</v>
      </c>
      <c r="E247">
        <v>5.4</v>
      </c>
      <c r="F247">
        <v>2.9407999999999999</v>
      </c>
      <c r="G247">
        <v>0</v>
      </c>
      <c r="H247">
        <v>0</v>
      </c>
      <c r="I247">
        <v>0</v>
      </c>
      <c r="J247">
        <v>0</v>
      </c>
      <c r="K247">
        <v>0</v>
      </c>
      <c r="L247" s="64"/>
    </row>
    <row r="248" spans="1:12" x14ac:dyDescent="0.35">
      <c r="A248" t="s">
        <v>19</v>
      </c>
      <c r="B248">
        <v>102</v>
      </c>
      <c r="C248">
        <v>40364</v>
      </c>
      <c r="D248" t="s">
        <v>191</v>
      </c>
      <c r="E248">
        <v>4.99</v>
      </c>
      <c r="F248">
        <v>2.5465</v>
      </c>
      <c r="G248">
        <v>0</v>
      </c>
      <c r="H248">
        <v>0</v>
      </c>
      <c r="I248">
        <v>0</v>
      </c>
      <c r="J248">
        <v>0</v>
      </c>
      <c r="K248">
        <v>0</v>
      </c>
      <c r="L248" s="64"/>
    </row>
    <row r="249" spans="1:12" x14ac:dyDescent="0.35">
      <c r="A249" t="s">
        <v>35</v>
      </c>
      <c r="B249">
        <v>102</v>
      </c>
      <c r="C249">
        <v>40364</v>
      </c>
      <c r="D249" t="s">
        <v>191</v>
      </c>
      <c r="E249">
        <v>4.99</v>
      </c>
      <c r="F249">
        <v>2.8072499999999998</v>
      </c>
      <c r="G249">
        <v>0</v>
      </c>
      <c r="H249">
        <v>0</v>
      </c>
      <c r="I249">
        <v>0</v>
      </c>
      <c r="J249">
        <v>0</v>
      </c>
      <c r="K249">
        <v>0</v>
      </c>
      <c r="L249" s="64"/>
    </row>
    <row r="250" spans="1:12" x14ac:dyDescent="0.35">
      <c r="A250" t="s">
        <v>19</v>
      </c>
      <c r="B250">
        <v>102</v>
      </c>
      <c r="C250">
        <v>48683</v>
      </c>
      <c r="D250" t="s">
        <v>192</v>
      </c>
      <c r="E250">
        <v>11.99</v>
      </c>
      <c r="F250">
        <v>6.2521428571428599</v>
      </c>
      <c r="G250">
        <v>0</v>
      </c>
      <c r="H250">
        <v>0</v>
      </c>
      <c r="I250">
        <v>0</v>
      </c>
      <c r="J250">
        <v>0</v>
      </c>
      <c r="K250">
        <v>0</v>
      </c>
      <c r="L250" s="64"/>
    </row>
    <row r="251" spans="1:12" x14ac:dyDescent="0.35">
      <c r="A251" t="s">
        <v>35</v>
      </c>
      <c r="B251">
        <v>102</v>
      </c>
      <c r="C251">
        <v>48683</v>
      </c>
      <c r="D251" t="s">
        <v>192</v>
      </c>
      <c r="E251">
        <v>11.99</v>
      </c>
      <c r="F251">
        <v>6.6272857142857102</v>
      </c>
      <c r="G251">
        <v>0</v>
      </c>
      <c r="H251">
        <v>0</v>
      </c>
      <c r="I251">
        <v>0</v>
      </c>
      <c r="J251">
        <v>0</v>
      </c>
      <c r="K251">
        <v>0</v>
      </c>
      <c r="L251" s="64"/>
    </row>
    <row r="252" spans="1:12" x14ac:dyDescent="0.35">
      <c r="A252" t="s">
        <v>19</v>
      </c>
      <c r="B252">
        <v>102</v>
      </c>
      <c r="C252">
        <v>54652</v>
      </c>
      <c r="D252" t="s">
        <v>193</v>
      </c>
      <c r="E252">
        <v>21.99</v>
      </c>
      <c r="F252">
        <v>8.2398749999999996</v>
      </c>
      <c r="G252">
        <v>0</v>
      </c>
      <c r="H252">
        <v>0</v>
      </c>
      <c r="I252">
        <v>0</v>
      </c>
      <c r="J252">
        <v>0</v>
      </c>
      <c r="K252">
        <v>0</v>
      </c>
      <c r="L252" s="64"/>
    </row>
    <row r="253" spans="1:12" x14ac:dyDescent="0.35">
      <c r="A253" t="s">
        <v>35</v>
      </c>
      <c r="B253">
        <v>102</v>
      </c>
      <c r="C253">
        <v>54652</v>
      </c>
      <c r="D253" t="s">
        <v>193</v>
      </c>
      <c r="E253">
        <v>21.99</v>
      </c>
      <c r="F253">
        <v>10.989750000000001</v>
      </c>
      <c r="G253">
        <v>0</v>
      </c>
      <c r="H253">
        <v>0</v>
      </c>
      <c r="I253">
        <v>0</v>
      </c>
      <c r="J253">
        <v>0</v>
      </c>
      <c r="K253">
        <v>0</v>
      </c>
      <c r="L253" s="64"/>
    </row>
    <row r="254" spans="1:12" x14ac:dyDescent="0.35">
      <c r="A254" t="s">
        <v>19</v>
      </c>
      <c r="B254">
        <v>102</v>
      </c>
      <c r="C254">
        <v>56514</v>
      </c>
      <c r="D254" t="s">
        <v>194</v>
      </c>
      <c r="E254">
        <v>269.99</v>
      </c>
      <c r="F254">
        <v>141.47833333333301</v>
      </c>
      <c r="G254">
        <v>0</v>
      </c>
      <c r="H254">
        <v>0</v>
      </c>
      <c r="I254">
        <v>0</v>
      </c>
      <c r="J254">
        <v>0</v>
      </c>
      <c r="K254">
        <v>0</v>
      </c>
      <c r="L254" s="64"/>
    </row>
    <row r="255" spans="1:12" x14ac:dyDescent="0.35">
      <c r="A255" t="s">
        <v>19</v>
      </c>
      <c r="B255">
        <v>102</v>
      </c>
      <c r="C255">
        <v>61923</v>
      </c>
      <c r="D255" t="s">
        <v>195</v>
      </c>
      <c r="E255">
        <v>79.989999999999995</v>
      </c>
      <c r="F255">
        <v>41.475000000000001</v>
      </c>
      <c r="G255">
        <v>0</v>
      </c>
      <c r="H255">
        <v>0</v>
      </c>
      <c r="I255">
        <v>0</v>
      </c>
      <c r="J255">
        <v>0</v>
      </c>
      <c r="K255">
        <v>0</v>
      </c>
      <c r="L255" s="64"/>
    </row>
    <row r="256" spans="1:12" x14ac:dyDescent="0.35">
      <c r="A256" t="s">
        <v>19</v>
      </c>
      <c r="B256">
        <v>102</v>
      </c>
      <c r="C256">
        <v>61925</v>
      </c>
      <c r="D256" t="s">
        <v>196</v>
      </c>
      <c r="E256">
        <v>79.989999999999995</v>
      </c>
      <c r="F256">
        <v>41.475000000000001</v>
      </c>
      <c r="G256">
        <v>0</v>
      </c>
      <c r="H256">
        <v>0</v>
      </c>
      <c r="I256">
        <v>0</v>
      </c>
      <c r="J256">
        <v>0</v>
      </c>
      <c r="K256">
        <v>0</v>
      </c>
      <c r="L256" s="64"/>
    </row>
    <row r="257" spans="1:12" x14ac:dyDescent="0.35">
      <c r="A257" t="s">
        <v>19</v>
      </c>
      <c r="B257">
        <v>102</v>
      </c>
      <c r="C257">
        <v>61926</v>
      </c>
      <c r="D257" t="s">
        <v>197</v>
      </c>
      <c r="E257">
        <v>79.989999999999995</v>
      </c>
      <c r="F257">
        <v>41.475000000000001</v>
      </c>
      <c r="G257">
        <v>0</v>
      </c>
      <c r="H257">
        <v>0</v>
      </c>
      <c r="I257">
        <v>0</v>
      </c>
      <c r="J257">
        <v>0</v>
      </c>
      <c r="K257">
        <v>0</v>
      </c>
      <c r="L257" s="64"/>
    </row>
    <row r="258" spans="1:12" x14ac:dyDescent="0.35">
      <c r="A258" t="s">
        <v>35</v>
      </c>
      <c r="B258">
        <v>102</v>
      </c>
      <c r="C258">
        <v>63898</v>
      </c>
      <c r="D258" t="s">
        <v>198</v>
      </c>
      <c r="E258">
        <v>330.99</v>
      </c>
      <c r="F258">
        <v>179.16</v>
      </c>
      <c r="G258">
        <v>0</v>
      </c>
      <c r="H258">
        <v>0</v>
      </c>
      <c r="I258">
        <v>0</v>
      </c>
      <c r="J258">
        <v>0</v>
      </c>
      <c r="K258">
        <v>0</v>
      </c>
      <c r="L258" s="64"/>
    </row>
    <row r="259" spans="1:12" x14ac:dyDescent="0.35">
      <c r="A259" t="s">
        <v>35</v>
      </c>
      <c r="B259">
        <v>102</v>
      </c>
      <c r="C259">
        <v>66308</v>
      </c>
      <c r="D259" t="s">
        <v>199</v>
      </c>
      <c r="E259">
        <v>10.85</v>
      </c>
      <c r="F259">
        <v>5.6589999999999998</v>
      </c>
      <c r="G259">
        <v>0</v>
      </c>
      <c r="H259">
        <v>0</v>
      </c>
      <c r="I259">
        <v>0</v>
      </c>
      <c r="J259">
        <v>0</v>
      </c>
      <c r="K259">
        <v>0</v>
      </c>
      <c r="L259" s="64"/>
    </row>
    <row r="260" spans="1:12" x14ac:dyDescent="0.35">
      <c r="A260" t="s">
        <v>14</v>
      </c>
      <c r="B260">
        <v>102</v>
      </c>
      <c r="C260">
        <v>67241</v>
      </c>
      <c r="D260" t="s">
        <v>200</v>
      </c>
      <c r="E260">
        <v>15.99</v>
      </c>
      <c r="F260">
        <v>6.2</v>
      </c>
      <c r="G260">
        <v>0</v>
      </c>
      <c r="H260">
        <v>0</v>
      </c>
      <c r="I260">
        <v>0</v>
      </c>
      <c r="J260">
        <v>0</v>
      </c>
      <c r="K260">
        <v>0</v>
      </c>
      <c r="L260" s="64"/>
    </row>
    <row r="261" spans="1:12" x14ac:dyDescent="0.35">
      <c r="A261" t="s">
        <v>14</v>
      </c>
      <c r="B261">
        <v>102</v>
      </c>
      <c r="C261">
        <v>67242</v>
      </c>
      <c r="D261" t="s">
        <v>201</v>
      </c>
      <c r="E261">
        <v>13.99</v>
      </c>
      <c r="F261">
        <v>3.8</v>
      </c>
      <c r="G261">
        <v>0</v>
      </c>
      <c r="H261">
        <v>0</v>
      </c>
      <c r="I261">
        <v>0</v>
      </c>
      <c r="J261">
        <v>0</v>
      </c>
      <c r="K261">
        <v>0</v>
      </c>
      <c r="L261" s="64"/>
    </row>
    <row r="262" spans="1:12" x14ac:dyDescent="0.35">
      <c r="A262" t="s">
        <v>14</v>
      </c>
      <c r="B262">
        <v>102</v>
      </c>
      <c r="C262">
        <v>67243</v>
      </c>
      <c r="D262" t="s">
        <v>202</v>
      </c>
      <c r="E262">
        <v>30.99</v>
      </c>
      <c r="F262">
        <v>9.5</v>
      </c>
      <c r="G262">
        <v>0</v>
      </c>
      <c r="H262">
        <v>0</v>
      </c>
      <c r="I262">
        <v>0</v>
      </c>
      <c r="J262">
        <v>0</v>
      </c>
      <c r="K262">
        <v>0</v>
      </c>
      <c r="L262" s="64"/>
    </row>
    <row r="263" spans="1:12" x14ac:dyDescent="0.35">
      <c r="A263" t="s">
        <v>14</v>
      </c>
      <c r="B263">
        <v>102</v>
      </c>
      <c r="C263">
        <v>67244</v>
      </c>
      <c r="D263" t="s">
        <v>203</v>
      </c>
      <c r="E263">
        <v>35.99</v>
      </c>
      <c r="F263">
        <v>12.5</v>
      </c>
      <c r="G263">
        <v>0</v>
      </c>
      <c r="H263">
        <v>0</v>
      </c>
      <c r="I263">
        <v>0</v>
      </c>
      <c r="J263">
        <v>0</v>
      </c>
      <c r="K263">
        <v>0</v>
      </c>
      <c r="L263" s="64"/>
    </row>
    <row r="264" spans="1:12" x14ac:dyDescent="0.35">
      <c r="A264" t="s">
        <v>14</v>
      </c>
      <c r="B264">
        <v>102</v>
      </c>
      <c r="C264">
        <v>67245</v>
      </c>
      <c r="D264" t="s">
        <v>204</v>
      </c>
      <c r="E264">
        <v>26.99</v>
      </c>
      <c r="F264">
        <v>7.8</v>
      </c>
      <c r="G264">
        <v>0</v>
      </c>
      <c r="H264">
        <v>0</v>
      </c>
      <c r="I264">
        <v>0</v>
      </c>
      <c r="J264">
        <v>0</v>
      </c>
      <c r="K264">
        <v>0</v>
      </c>
      <c r="L264" s="64"/>
    </row>
    <row r="265" spans="1:12" x14ac:dyDescent="0.35">
      <c r="A265" t="s">
        <v>14</v>
      </c>
      <c r="B265">
        <v>102</v>
      </c>
      <c r="C265">
        <v>67246</v>
      </c>
      <c r="D265" t="s">
        <v>94</v>
      </c>
      <c r="E265">
        <v>26.99</v>
      </c>
      <c r="F265">
        <v>7.8</v>
      </c>
      <c r="G265">
        <v>0</v>
      </c>
      <c r="H265">
        <v>0</v>
      </c>
      <c r="I265">
        <v>0</v>
      </c>
      <c r="J265">
        <v>0</v>
      </c>
      <c r="K265">
        <v>0</v>
      </c>
      <c r="L265" s="64"/>
    </row>
    <row r="266" spans="1:12" x14ac:dyDescent="0.35">
      <c r="A266" t="s">
        <v>14</v>
      </c>
      <c r="B266">
        <v>102</v>
      </c>
      <c r="C266">
        <v>67247</v>
      </c>
      <c r="D266" t="s">
        <v>205</v>
      </c>
      <c r="E266">
        <v>15.99</v>
      </c>
      <c r="F266">
        <v>8.0500000000000007</v>
      </c>
      <c r="G266">
        <v>0</v>
      </c>
      <c r="H266">
        <v>0</v>
      </c>
      <c r="I266">
        <v>0</v>
      </c>
      <c r="J266">
        <v>0</v>
      </c>
      <c r="K266">
        <v>0</v>
      </c>
      <c r="L266" s="64"/>
    </row>
    <row r="267" spans="1:12" x14ac:dyDescent="0.35">
      <c r="A267" t="s">
        <v>14</v>
      </c>
      <c r="B267">
        <v>102</v>
      </c>
      <c r="C267">
        <v>67301</v>
      </c>
      <c r="D267" t="s">
        <v>206</v>
      </c>
      <c r="E267">
        <v>15.99</v>
      </c>
      <c r="F267">
        <v>9.99</v>
      </c>
      <c r="G267">
        <v>0</v>
      </c>
      <c r="H267">
        <v>0</v>
      </c>
      <c r="I267">
        <v>0</v>
      </c>
      <c r="J267">
        <v>0</v>
      </c>
      <c r="K267">
        <v>0</v>
      </c>
      <c r="L267" s="64"/>
    </row>
    <row r="268" spans="1:12" x14ac:dyDescent="0.35">
      <c r="A268" t="s">
        <v>14</v>
      </c>
      <c r="B268">
        <v>103</v>
      </c>
      <c r="C268">
        <v>33990</v>
      </c>
      <c r="D268" t="s">
        <v>207</v>
      </c>
      <c r="E268">
        <v>21.99</v>
      </c>
      <c r="F268">
        <v>11.11</v>
      </c>
      <c r="G268">
        <v>0</v>
      </c>
      <c r="H268">
        <v>0</v>
      </c>
      <c r="I268">
        <v>0</v>
      </c>
      <c r="J268">
        <v>0</v>
      </c>
      <c r="K268">
        <v>0</v>
      </c>
      <c r="L268" s="64"/>
    </row>
    <row r="269" spans="1:12" x14ac:dyDescent="0.35">
      <c r="A269" t="s">
        <v>14</v>
      </c>
      <c r="B269">
        <v>103</v>
      </c>
      <c r="C269">
        <v>34142</v>
      </c>
      <c r="D269" t="s">
        <v>208</v>
      </c>
      <c r="E269">
        <v>70.989999999999995</v>
      </c>
      <c r="F269">
        <v>18.7</v>
      </c>
      <c r="G269">
        <v>0</v>
      </c>
      <c r="H269">
        <v>0</v>
      </c>
      <c r="I269">
        <v>0</v>
      </c>
      <c r="J269">
        <v>0</v>
      </c>
      <c r="K269">
        <v>0</v>
      </c>
      <c r="L269" s="64"/>
    </row>
    <row r="270" spans="1:12" x14ac:dyDescent="0.35">
      <c r="A270" t="s">
        <v>14</v>
      </c>
      <c r="B270">
        <v>103</v>
      </c>
      <c r="C270">
        <v>34101</v>
      </c>
      <c r="D270" t="s">
        <v>209</v>
      </c>
      <c r="E270">
        <v>216.99</v>
      </c>
      <c r="F270">
        <v>54</v>
      </c>
      <c r="G270">
        <v>0</v>
      </c>
      <c r="H270">
        <v>0</v>
      </c>
      <c r="I270">
        <v>0</v>
      </c>
      <c r="J270">
        <v>0</v>
      </c>
      <c r="K270">
        <v>0</v>
      </c>
      <c r="L270" s="64"/>
    </row>
    <row r="271" spans="1:12" x14ac:dyDescent="0.35">
      <c r="A271" t="s">
        <v>14</v>
      </c>
      <c r="B271">
        <v>103</v>
      </c>
      <c r="C271">
        <v>33040</v>
      </c>
      <c r="D271" t="s">
        <v>210</v>
      </c>
      <c r="E271">
        <v>30</v>
      </c>
      <c r="F271">
        <v>18.260000000000002</v>
      </c>
      <c r="G271">
        <v>0</v>
      </c>
      <c r="H271">
        <v>0</v>
      </c>
      <c r="I271">
        <v>0</v>
      </c>
      <c r="J271">
        <v>0</v>
      </c>
      <c r="K271">
        <v>0</v>
      </c>
      <c r="L271" s="64"/>
    </row>
    <row r="272" spans="1:12" x14ac:dyDescent="0.35">
      <c r="A272" t="s">
        <v>14</v>
      </c>
      <c r="B272">
        <v>103</v>
      </c>
      <c r="C272">
        <v>34100</v>
      </c>
      <c r="D272" t="s">
        <v>211</v>
      </c>
      <c r="E272">
        <v>402.99</v>
      </c>
      <c r="F272">
        <v>210</v>
      </c>
      <c r="G272">
        <v>0</v>
      </c>
      <c r="H272">
        <v>0</v>
      </c>
      <c r="I272">
        <v>0</v>
      </c>
      <c r="J272">
        <v>0</v>
      </c>
      <c r="K272">
        <v>0</v>
      </c>
      <c r="L272" s="64"/>
    </row>
    <row r="273" spans="1:12" x14ac:dyDescent="0.35">
      <c r="A273" t="s">
        <v>14</v>
      </c>
      <c r="B273">
        <v>103</v>
      </c>
      <c r="C273">
        <v>33989</v>
      </c>
      <c r="D273" t="s">
        <v>212</v>
      </c>
      <c r="E273">
        <v>30</v>
      </c>
      <c r="F273">
        <v>20.81</v>
      </c>
      <c r="G273">
        <v>0</v>
      </c>
      <c r="H273">
        <v>0</v>
      </c>
      <c r="I273">
        <v>0</v>
      </c>
      <c r="J273">
        <v>0</v>
      </c>
      <c r="K273">
        <v>0</v>
      </c>
      <c r="L273" s="64"/>
    </row>
    <row r="274" spans="1:12" x14ac:dyDescent="0.35">
      <c r="A274" t="s">
        <v>14</v>
      </c>
      <c r="B274">
        <v>103</v>
      </c>
      <c r="C274">
        <v>34087</v>
      </c>
      <c r="D274" t="s">
        <v>213</v>
      </c>
      <c r="E274">
        <v>99.99</v>
      </c>
      <c r="F274">
        <v>54.67</v>
      </c>
      <c r="G274">
        <v>0</v>
      </c>
      <c r="H274">
        <v>0</v>
      </c>
      <c r="I274">
        <v>0</v>
      </c>
      <c r="J274">
        <v>0</v>
      </c>
      <c r="K274">
        <v>0</v>
      </c>
      <c r="L274" s="64"/>
    </row>
    <row r="275" spans="1:12" x14ac:dyDescent="0.35">
      <c r="A275" t="s">
        <v>14</v>
      </c>
      <c r="B275">
        <v>103</v>
      </c>
      <c r="C275">
        <v>33042</v>
      </c>
      <c r="D275" t="s">
        <v>214</v>
      </c>
      <c r="E275">
        <v>20</v>
      </c>
      <c r="F275">
        <v>10.23</v>
      </c>
      <c r="G275">
        <v>0</v>
      </c>
      <c r="H275">
        <v>0</v>
      </c>
      <c r="I275">
        <v>0</v>
      </c>
      <c r="J275">
        <v>0</v>
      </c>
      <c r="K275">
        <v>0</v>
      </c>
      <c r="L275" s="64"/>
    </row>
    <row r="276" spans="1:12" x14ac:dyDescent="0.35">
      <c r="A276" t="s">
        <v>14</v>
      </c>
      <c r="B276">
        <v>103</v>
      </c>
      <c r="C276">
        <v>34134</v>
      </c>
      <c r="D276" t="s">
        <v>215</v>
      </c>
      <c r="E276">
        <v>313.99</v>
      </c>
      <c r="F276">
        <v>163.47229999999999</v>
      </c>
      <c r="G276">
        <v>0</v>
      </c>
      <c r="H276">
        <v>0</v>
      </c>
      <c r="I276">
        <v>0</v>
      </c>
      <c r="J276">
        <v>0</v>
      </c>
      <c r="K276">
        <v>0</v>
      </c>
      <c r="L276" s="64"/>
    </row>
    <row r="277" spans="1:12" x14ac:dyDescent="0.35">
      <c r="A277" t="s">
        <v>14</v>
      </c>
      <c r="B277">
        <v>103</v>
      </c>
      <c r="C277">
        <v>33047</v>
      </c>
      <c r="D277" t="s">
        <v>216</v>
      </c>
      <c r="E277">
        <v>15</v>
      </c>
      <c r="F277">
        <v>6.99</v>
      </c>
      <c r="G277">
        <v>0</v>
      </c>
      <c r="H277">
        <v>0</v>
      </c>
      <c r="I277">
        <v>0</v>
      </c>
      <c r="J277">
        <v>0</v>
      </c>
      <c r="K277">
        <v>0</v>
      </c>
      <c r="L277" s="64"/>
    </row>
    <row r="278" spans="1:12" x14ac:dyDescent="0.35">
      <c r="A278" t="s">
        <v>14</v>
      </c>
      <c r="B278">
        <v>103</v>
      </c>
      <c r="C278">
        <v>33988</v>
      </c>
      <c r="D278" t="s">
        <v>217</v>
      </c>
      <c r="E278">
        <v>15</v>
      </c>
      <c r="F278">
        <v>9.1300000000000008</v>
      </c>
      <c r="G278">
        <v>0</v>
      </c>
      <c r="H278">
        <v>0</v>
      </c>
      <c r="I278">
        <v>0</v>
      </c>
      <c r="J278">
        <v>0</v>
      </c>
      <c r="K278">
        <v>0</v>
      </c>
      <c r="L278" s="64"/>
    </row>
    <row r="279" spans="1:12" x14ac:dyDescent="0.35">
      <c r="A279" t="s">
        <v>14</v>
      </c>
      <c r="B279">
        <v>103</v>
      </c>
      <c r="C279">
        <v>34136</v>
      </c>
      <c r="D279" t="s">
        <v>218</v>
      </c>
      <c r="E279">
        <v>112.99</v>
      </c>
      <c r="F279">
        <v>45</v>
      </c>
      <c r="G279">
        <v>0</v>
      </c>
      <c r="H279">
        <v>0</v>
      </c>
      <c r="I279">
        <v>0</v>
      </c>
      <c r="J279">
        <v>0</v>
      </c>
      <c r="K279">
        <v>0</v>
      </c>
      <c r="L279" s="64"/>
    </row>
    <row r="280" spans="1:12" x14ac:dyDescent="0.35">
      <c r="A280" t="s">
        <v>14</v>
      </c>
      <c r="B280">
        <v>103</v>
      </c>
      <c r="C280">
        <v>33044</v>
      </c>
      <c r="D280" t="s">
        <v>219</v>
      </c>
      <c r="E280">
        <v>15</v>
      </c>
      <c r="F280">
        <v>10.23</v>
      </c>
      <c r="G280">
        <v>0</v>
      </c>
      <c r="H280">
        <v>0</v>
      </c>
      <c r="I280">
        <v>0</v>
      </c>
      <c r="J280">
        <v>0</v>
      </c>
      <c r="K280">
        <v>0</v>
      </c>
      <c r="L280" s="64"/>
    </row>
    <row r="281" spans="1:12" x14ac:dyDescent="0.35">
      <c r="A281" t="s">
        <v>14</v>
      </c>
      <c r="B281">
        <v>103</v>
      </c>
      <c r="C281">
        <v>33048</v>
      </c>
      <c r="D281" t="s">
        <v>220</v>
      </c>
      <c r="E281">
        <v>15</v>
      </c>
      <c r="F281">
        <v>7.77</v>
      </c>
      <c r="G281">
        <v>0</v>
      </c>
      <c r="H281">
        <v>0</v>
      </c>
      <c r="I281">
        <v>0</v>
      </c>
      <c r="J281">
        <v>0</v>
      </c>
      <c r="K281">
        <v>0</v>
      </c>
      <c r="L281" s="64"/>
    </row>
    <row r="282" spans="1:12" x14ac:dyDescent="0.35">
      <c r="A282" t="s">
        <v>14</v>
      </c>
      <c r="B282">
        <v>103</v>
      </c>
      <c r="C282">
        <v>33051</v>
      </c>
      <c r="D282" t="s">
        <v>221</v>
      </c>
      <c r="E282">
        <v>10</v>
      </c>
      <c r="F282">
        <v>5.04</v>
      </c>
      <c r="G282">
        <v>0</v>
      </c>
      <c r="H282">
        <v>0</v>
      </c>
      <c r="I282">
        <v>0</v>
      </c>
      <c r="J282">
        <v>0</v>
      </c>
      <c r="K282">
        <v>0</v>
      </c>
      <c r="L282" s="64"/>
    </row>
    <row r="283" spans="1:12" x14ac:dyDescent="0.35">
      <c r="A283" t="s">
        <v>14</v>
      </c>
      <c r="B283">
        <v>103</v>
      </c>
      <c r="C283">
        <v>33041</v>
      </c>
      <c r="D283" t="s">
        <v>222</v>
      </c>
      <c r="E283">
        <v>10</v>
      </c>
      <c r="F283">
        <v>1.5</v>
      </c>
      <c r="G283">
        <v>0</v>
      </c>
      <c r="H283">
        <v>0</v>
      </c>
      <c r="I283">
        <v>0</v>
      </c>
      <c r="J283">
        <v>0</v>
      </c>
      <c r="K283">
        <v>0</v>
      </c>
      <c r="L283" s="64"/>
    </row>
    <row r="284" spans="1:12" x14ac:dyDescent="0.35">
      <c r="A284" t="s">
        <v>14</v>
      </c>
      <c r="B284">
        <v>103</v>
      </c>
      <c r="C284">
        <v>33043</v>
      </c>
      <c r="D284" t="s">
        <v>223</v>
      </c>
      <c r="E284">
        <v>15</v>
      </c>
      <c r="F284">
        <v>4.26</v>
      </c>
      <c r="G284">
        <v>0</v>
      </c>
      <c r="H284">
        <v>0</v>
      </c>
      <c r="I284">
        <v>0</v>
      </c>
      <c r="J284">
        <v>0</v>
      </c>
      <c r="K284">
        <v>0</v>
      </c>
      <c r="L284" s="64"/>
    </row>
    <row r="285" spans="1:12" x14ac:dyDescent="0.35">
      <c r="A285" t="s">
        <v>14</v>
      </c>
      <c r="B285">
        <v>103</v>
      </c>
      <c r="C285">
        <v>33045</v>
      </c>
      <c r="D285" t="s">
        <v>224</v>
      </c>
      <c r="E285">
        <v>10</v>
      </c>
      <c r="F285">
        <v>2.5</v>
      </c>
      <c r="G285">
        <v>0</v>
      </c>
      <c r="H285">
        <v>0</v>
      </c>
      <c r="I285">
        <v>0</v>
      </c>
      <c r="J285">
        <v>0</v>
      </c>
      <c r="K285">
        <v>0</v>
      </c>
      <c r="L285" s="64"/>
    </row>
    <row r="286" spans="1:12" x14ac:dyDescent="0.35">
      <c r="A286" t="s">
        <v>14</v>
      </c>
      <c r="B286">
        <v>103</v>
      </c>
      <c r="C286">
        <v>33046</v>
      </c>
      <c r="D286" t="s">
        <v>225</v>
      </c>
      <c r="E286">
        <v>10</v>
      </c>
      <c r="F286">
        <v>3.39</v>
      </c>
      <c r="G286">
        <v>0</v>
      </c>
      <c r="H286">
        <v>0</v>
      </c>
      <c r="I286">
        <v>0</v>
      </c>
      <c r="J286">
        <v>0</v>
      </c>
      <c r="K286">
        <v>0</v>
      </c>
      <c r="L286" s="64"/>
    </row>
    <row r="287" spans="1:12" x14ac:dyDescent="0.35">
      <c r="A287" t="s">
        <v>14</v>
      </c>
      <c r="B287">
        <v>103</v>
      </c>
      <c r="C287">
        <v>33049</v>
      </c>
      <c r="D287" t="s">
        <v>226</v>
      </c>
      <c r="E287">
        <v>10</v>
      </c>
      <c r="F287">
        <v>2.3199999999999998</v>
      </c>
      <c r="G287">
        <v>0</v>
      </c>
      <c r="H287">
        <v>0</v>
      </c>
      <c r="I287">
        <v>0</v>
      </c>
      <c r="J287">
        <v>0</v>
      </c>
      <c r="K287">
        <v>0</v>
      </c>
      <c r="L287" s="64"/>
    </row>
    <row r="288" spans="1:12" x14ac:dyDescent="0.35">
      <c r="A288" t="s">
        <v>14</v>
      </c>
      <c r="B288">
        <v>103</v>
      </c>
      <c r="C288">
        <v>33050</v>
      </c>
      <c r="D288" t="s">
        <v>227</v>
      </c>
      <c r="E288">
        <v>10</v>
      </c>
      <c r="F288">
        <v>4.5599999999999996</v>
      </c>
      <c r="G288">
        <v>0</v>
      </c>
      <c r="H288">
        <v>0</v>
      </c>
      <c r="I288">
        <v>0</v>
      </c>
      <c r="J288">
        <v>0</v>
      </c>
      <c r="K288">
        <v>0</v>
      </c>
      <c r="L288" s="64"/>
    </row>
    <row r="289" spans="1:15" x14ac:dyDescent="0.35">
      <c r="A289" t="s">
        <v>14</v>
      </c>
      <c r="B289">
        <v>103</v>
      </c>
      <c r="C289">
        <v>34076</v>
      </c>
      <c r="D289" t="s">
        <v>228</v>
      </c>
      <c r="E289">
        <v>114.99</v>
      </c>
      <c r="F289">
        <v>20.95</v>
      </c>
      <c r="G289">
        <v>0</v>
      </c>
      <c r="H289">
        <v>0</v>
      </c>
      <c r="I289">
        <v>0</v>
      </c>
      <c r="J289">
        <v>0</v>
      </c>
      <c r="K289">
        <v>0</v>
      </c>
      <c r="L289" s="64"/>
    </row>
    <row r="290" spans="1:15" x14ac:dyDescent="0.35">
      <c r="A290" t="s">
        <v>14</v>
      </c>
      <c r="B290">
        <v>103</v>
      </c>
      <c r="C290">
        <v>34094</v>
      </c>
      <c r="D290" t="s">
        <v>229</v>
      </c>
      <c r="E290">
        <v>282.99</v>
      </c>
      <c r="F290">
        <v>57</v>
      </c>
      <c r="G290">
        <v>0</v>
      </c>
      <c r="H290">
        <v>0</v>
      </c>
      <c r="I290">
        <v>0</v>
      </c>
      <c r="J290">
        <v>0</v>
      </c>
      <c r="K290">
        <v>0</v>
      </c>
      <c r="L290" s="64"/>
    </row>
    <row r="291" spans="1:15" x14ac:dyDescent="0.35">
      <c r="A291" t="s">
        <v>14</v>
      </c>
      <c r="B291">
        <v>103</v>
      </c>
      <c r="C291">
        <v>34135</v>
      </c>
      <c r="D291" t="s">
        <v>230</v>
      </c>
      <c r="E291">
        <v>189.99</v>
      </c>
      <c r="F291">
        <v>61</v>
      </c>
      <c r="G291">
        <v>0</v>
      </c>
      <c r="H291">
        <v>0</v>
      </c>
      <c r="I291">
        <v>0</v>
      </c>
      <c r="J291">
        <v>0</v>
      </c>
      <c r="K291">
        <v>0</v>
      </c>
      <c r="L291" s="64"/>
    </row>
    <row r="292" spans="1:15" x14ac:dyDescent="0.35">
      <c r="A292" t="s">
        <v>14</v>
      </c>
      <c r="B292">
        <v>104</v>
      </c>
      <c r="C292">
        <v>34095</v>
      </c>
      <c r="D292" t="s">
        <v>235</v>
      </c>
      <c r="E292">
        <v>29.99</v>
      </c>
      <c r="F292">
        <v>12.52</v>
      </c>
      <c r="G292">
        <v>15</v>
      </c>
      <c r="H292">
        <v>449.84999999999997</v>
      </c>
      <c r="I292">
        <v>187.79999999999998</v>
      </c>
      <c r="J292">
        <v>262.04999999999995</v>
      </c>
      <c r="K292">
        <v>58.252750916972317</v>
      </c>
      <c r="L292" s="64"/>
    </row>
    <row r="293" spans="1:15" x14ac:dyDescent="0.35">
      <c r="A293" t="s">
        <v>14</v>
      </c>
      <c r="B293">
        <v>104</v>
      </c>
      <c r="C293">
        <v>34083</v>
      </c>
      <c r="D293" t="s">
        <v>233</v>
      </c>
      <c r="E293">
        <v>49.99</v>
      </c>
      <c r="F293">
        <v>13.76</v>
      </c>
      <c r="G293">
        <v>10</v>
      </c>
      <c r="H293">
        <v>499.90000000000003</v>
      </c>
      <c r="I293">
        <v>137.6</v>
      </c>
      <c r="J293">
        <v>362.30000000000007</v>
      </c>
      <c r="K293">
        <v>72.474494898979799</v>
      </c>
      <c r="L293" s="64">
        <v>42181</v>
      </c>
      <c r="M293" t="s">
        <v>315</v>
      </c>
      <c r="N293">
        <v>43.469565217391306</v>
      </c>
      <c r="O293">
        <v>1</v>
      </c>
    </row>
    <row r="294" spans="1:15" x14ac:dyDescent="0.35">
      <c r="A294" t="s">
        <v>14</v>
      </c>
      <c r="B294">
        <v>104</v>
      </c>
      <c r="C294">
        <v>34083</v>
      </c>
      <c r="D294" t="s">
        <v>233</v>
      </c>
      <c r="E294">
        <v>49.99</v>
      </c>
      <c r="F294">
        <v>13.76</v>
      </c>
      <c r="G294">
        <v>10</v>
      </c>
      <c r="H294">
        <v>499.90000000000003</v>
      </c>
      <c r="I294">
        <v>137.6</v>
      </c>
      <c r="J294">
        <v>362.30000000000007</v>
      </c>
      <c r="K294">
        <v>72.474494898979799</v>
      </c>
      <c r="L294" s="64">
        <v>42547</v>
      </c>
      <c r="M294" t="s">
        <v>316</v>
      </c>
      <c r="N294">
        <v>130.40869565217392</v>
      </c>
      <c r="O294">
        <v>3</v>
      </c>
    </row>
    <row r="295" spans="1:15" x14ac:dyDescent="0.35">
      <c r="A295" t="s">
        <v>14</v>
      </c>
      <c r="B295">
        <v>104</v>
      </c>
      <c r="C295">
        <v>34082</v>
      </c>
      <c r="D295" t="s">
        <v>237</v>
      </c>
      <c r="E295">
        <v>49.99</v>
      </c>
      <c r="F295">
        <v>24.65</v>
      </c>
      <c r="G295">
        <v>5</v>
      </c>
      <c r="H295">
        <v>249.95000000000002</v>
      </c>
      <c r="I295">
        <v>123.25</v>
      </c>
      <c r="J295">
        <v>126.70000000000002</v>
      </c>
      <c r="K295">
        <v>50.690138027605528</v>
      </c>
      <c r="L295" s="64"/>
    </row>
    <row r="296" spans="1:15" x14ac:dyDescent="0.35">
      <c r="A296" t="s">
        <v>14</v>
      </c>
      <c r="B296">
        <v>104</v>
      </c>
      <c r="C296">
        <v>34079</v>
      </c>
      <c r="D296" t="s">
        <v>236</v>
      </c>
      <c r="E296">
        <v>49.99</v>
      </c>
      <c r="F296">
        <v>25.03</v>
      </c>
      <c r="G296">
        <v>3</v>
      </c>
      <c r="H296">
        <v>149.97</v>
      </c>
      <c r="I296">
        <v>75.09</v>
      </c>
      <c r="J296">
        <v>74.88</v>
      </c>
      <c r="K296">
        <v>49.929985997199438</v>
      </c>
      <c r="L296" s="64"/>
    </row>
    <row r="297" spans="1:15" x14ac:dyDescent="0.35">
      <c r="A297" t="s">
        <v>14</v>
      </c>
      <c r="B297">
        <v>104</v>
      </c>
      <c r="C297">
        <v>34118</v>
      </c>
      <c r="D297" t="s">
        <v>231</v>
      </c>
      <c r="E297">
        <v>29.99</v>
      </c>
      <c r="F297">
        <v>7.38</v>
      </c>
      <c r="G297">
        <v>0</v>
      </c>
      <c r="H297">
        <v>0</v>
      </c>
      <c r="I297">
        <v>0</v>
      </c>
      <c r="J297">
        <v>0</v>
      </c>
      <c r="K297">
        <v>0</v>
      </c>
      <c r="L297" s="64">
        <v>42547</v>
      </c>
      <c r="M297" t="s">
        <v>316</v>
      </c>
      <c r="N297">
        <v>130.39130434782606</v>
      </c>
      <c r="O297">
        <v>5</v>
      </c>
    </row>
    <row r="298" spans="1:15" x14ac:dyDescent="0.35">
      <c r="A298" t="s">
        <v>14</v>
      </c>
      <c r="B298">
        <v>104</v>
      </c>
      <c r="C298">
        <v>34081</v>
      </c>
      <c r="D298" t="s">
        <v>232</v>
      </c>
      <c r="E298">
        <v>29.99</v>
      </c>
      <c r="F298">
        <v>14.34</v>
      </c>
      <c r="G298">
        <v>0</v>
      </c>
      <c r="H298">
        <v>0</v>
      </c>
      <c r="I298">
        <v>0</v>
      </c>
      <c r="J298">
        <v>0</v>
      </c>
      <c r="K298">
        <v>0</v>
      </c>
      <c r="L298" s="64"/>
    </row>
    <row r="299" spans="1:15" x14ac:dyDescent="0.35">
      <c r="A299" t="s">
        <v>14</v>
      </c>
      <c r="B299">
        <v>104</v>
      </c>
      <c r="C299">
        <v>34080</v>
      </c>
      <c r="D299" t="s">
        <v>234</v>
      </c>
      <c r="E299">
        <v>49.99</v>
      </c>
      <c r="F299">
        <v>28.67</v>
      </c>
      <c r="G299">
        <v>0</v>
      </c>
      <c r="H299">
        <v>0</v>
      </c>
      <c r="I299">
        <v>0</v>
      </c>
      <c r="J299">
        <v>0</v>
      </c>
      <c r="K299">
        <v>0</v>
      </c>
      <c r="L299" s="64">
        <v>42547</v>
      </c>
      <c r="M299" t="s">
        <v>316</v>
      </c>
      <c r="N299">
        <v>43.469565217391306</v>
      </c>
      <c r="O299">
        <v>1</v>
      </c>
    </row>
    <row r="300" spans="1:15" x14ac:dyDescent="0.35">
      <c r="A300" t="s">
        <v>14</v>
      </c>
      <c r="B300">
        <v>104</v>
      </c>
      <c r="C300">
        <v>43309</v>
      </c>
      <c r="D300" t="s">
        <v>238</v>
      </c>
      <c r="E300">
        <v>13.99</v>
      </c>
      <c r="F300">
        <v>6.67</v>
      </c>
      <c r="G300">
        <v>0</v>
      </c>
      <c r="H300">
        <v>0</v>
      </c>
      <c r="I300">
        <v>0</v>
      </c>
      <c r="J300">
        <v>0</v>
      </c>
      <c r="K300">
        <v>0</v>
      </c>
      <c r="L300" s="64">
        <v>42181</v>
      </c>
      <c r="M300" t="s">
        <v>315</v>
      </c>
      <c r="N300">
        <v>48.660869565217389</v>
      </c>
      <c r="O300">
        <v>4</v>
      </c>
    </row>
    <row r="301" spans="1:15" x14ac:dyDescent="0.35">
      <c r="A301" t="s">
        <v>14</v>
      </c>
      <c r="B301">
        <v>104</v>
      </c>
      <c r="C301">
        <v>43309</v>
      </c>
      <c r="D301" t="s">
        <v>238</v>
      </c>
      <c r="E301">
        <v>13.99</v>
      </c>
      <c r="F301">
        <v>6.67</v>
      </c>
      <c r="G301">
        <v>0</v>
      </c>
      <c r="H301">
        <v>0</v>
      </c>
      <c r="I301">
        <v>0</v>
      </c>
      <c r="J301">
        <v>0</v>
      </c>
      <c r="K301">
        <v>0</v>
      </c>
      <c r="L301" s="64">
        <v>42547</v>
      </c>
      <c r="M301" t="s">
        <v>316</v>
      </c>
      <c r="N301">
        <v>12.165217391304347</v>
      </c>
      <c r="O301">
        <v>1</v>
      </c>
    </row>
    <row r="302" spans="1:15" x14ac:dyDescent="0.35">
      <c r="A302" t="s">
        <v>14</v>
      </c>
      <c r="B302">
        <v>104</v>
      </c>
      <c r="C302">
        <v>40732</v>
      </c>
      <c r="D302" t="s">
        <v>239</v>
      </c>
      <c r="E302">
        <v>15</v>
      </c>
      <c r="F302">
        <v>7.38</v>
      </c>
      <c r="G302">
        <v>0</v>
      </c>
      <c r="H302">
        <v>0</v>
      </c>
      <c r="I302">
        <v>0</v>
      </c>
      <c r="J302">
        <v>0</v>
      </c>
      <c r="K302">
        <v>0</v>
      </c>
      <c r="L302" s="64"/>
    </row>
    <row r="303" spans="1:15" x14ac:dyDescent="0.35">
      <c r="A303" t="s">
        <v>14</v>
      </c>
      <c r="B303">
        <v>104</v>
      </c>
      <c r="C303">
        <v>34075</v>
      </c>
      <c r="D303" t="s">
        <v>240</v>
      </c>
      <c r="E303">
        <v>69.989999999999995</v>
      </c>
      <c r="F303">
        <v>36.1</v>
      </c>
      <c r="G303">
        <v>0</v>
      </c>
      <c r="H303">
        <v>0</v>
      </c>
      <c r="I303">
        <v>0</v>
      </c>
      <c r="J303">
        <v>0</v>
      </c>
      <c r="K303">
        <v>0</v>
      </c>
      <c r="L303" s="64"/>
    </row>
    <row r="304" spans="1:15" x14ac:dyDescent="0.35">
      <c r="A304" t="s">
        <v>14</v>
      </c>
      <c r="B304">
        <v>104</v>
      </c>
      <c r="C304">
        <v>56805</v>
      </c>
      <c r="D304" t="s">
        <v>241</v>
      </c>
      <c r="E304">
        <v>15</v>
      </c>
      <c r="F304">
        <v>29.47</v>
      </c>
      <c r="G304">
        <v>0</v>
      </c>
      <c r="H304">
        <v>0</v>
      </c>
      <c r="I304">
        <v>0</v>
      </c>
      <c r="J304">
        <v>0</v>
      </c>
      <c r="K304">
        <v>0</v>
      </c>
      <c r="L304" s="64"/>
    </row>
    <row r="305" spans="1:15" x14ac:dyDescent="0.35">
      <c r="A305" t="s">
        <v>14</v>
      </c>
      <c r="B305">
        <v>104</v>
      </c>
      <c r="C305">
        <v>58452</v>
      </c>
      <c r="D305" t="s">
        <v>242</v>
      </c>
      <c r="E305">
        <v>120</v>
      </c>
      <c r="F305">
        <v>58.51</v>
      </c>
      <c r="G305">
        <v>0</v>
      </c>
      <c r="H305">
        <v>0</v>
      </c>
      <c r="I305">
        <v>0</v>
      </c>
      <c r="J305">
        <v>0</v>
      </c>
      <c r="K305">
        <v>0</v>
      </c>
      <c r="L305" s="64"/>
    </row>
    <row r="306" spans="1:15" x14ac:dyDescent="0.35">
      <c r="A306" t="s">
        <v>14</v>
      </c>
      <c r="B306">
        <v>106</v>
      </c>
      <c r="C306">
        <v>54018</v>
      </c>
      <c r="D306" t="s">
        <v>243</v>
      </c>
      <c r="E306">
        <v>18.989999999999998</v>
      </c>
      <c r="F306">
        <v>9.83</v>
      </c>
      <c r="G306">
        <v>93</v>
      </c>
      <c r="H306">
        <v>1766.07</v>
      </c>
      <c r="I306">
        <v>914.19</v>
      </c>
      <c r="J306">
        <v>851.87999999999988</v>
      </c>
      <c r="K306">
        <v>48.235913638757232</v>
      </c>
      <c r="L306" s="64">
        <v>42181</v>
      </c>
      <c r="M306" t="s">
        <v>315</v>
      </c>
      <c r="N306">
        <v>132.10434782608695</v>
      </c>
      <c r="O306">
        <v>8</v>
      </c>
    </row>
    <row r="307" spans="1:15" x14ac:dyDescent="0.35">
      <c r="A307" t="s">
        <v>14</v>
      </c>
      <c r="B307">
        <v>106</v>
      </c>
      <c r="C307">
        <v>54018</v>
      </c>
      <c r="D307" t="s">
        <v>243</v>
      </c>
      <c r="E307">
        <v>18.989999999999998</v>
      </c>
      <c r="F307">
        <v>9.83</v>
      </c>
      <c r="G307">
        <v>93</v>
      </c>
      <c r="H307">
        <v>1766.07</v>
      </c>
      <c r="I307">
        <v>914.19</v>
      </c>
      <c r="J307">
        <v>851.87999999999988</v>
      </c>
      <c r="K307">
        <v>48.235913638757232</v>
      </c>
      <c r="L307" s="64">
        <v>42547</v>
      </c>
      <c r="M307" t="s">
        <v>316</v>
      </c>
      <c r="N307">
        <v>49.539130434782606</v>
      </c>
      <c r="O307">
        <v>3</v>
      </c>
    </row>
    <row r="308" spans="1:15" x14ac:dyDescent="0.35">
      <c r="A308" t="s">
        <v>14</v>
      </c>
      <c r="B308">
        <v>106</v>
      </c>
      <c r="C308">
        <v>34028</v>
      </c>
      <c r="D308" t="s">
        <v>244</v>
      </c>
      <c r="E308">
        <v>26.99</v>
      </c>
      <c r="F308">
        <v>15.3</v>
      </c>
      <c r="G308">
        <v>0</v>
      </c>
      <c r="H308">
        <v>0</v>
      </c>
      <c r="I308">
        <v>0</v>
      </c>
      <c r="J308">
        <v>0</v>
      </c>
      <c r="K308">
        <v>0</v>
      </c>
      <c r="L308" s="64"/>
    </row>
    <row r="309" spans="1:15" x14ac:dyDescent="0.35">
      <c r="A309" t="s">
        <v>14</v>
      </c>
      <c r="B309">
        <v>106</v>
      </c>
      <c r="C309">
        <v>34027</v>
      </c>
      <c r="D309" t="s">
        <v>245</v>
      </c>
      <c r="E309">
        <v>27.99</v>
      </c>
      <c r="F309">
        <v>15.41</v>
      </c>
      <c r="G309">
        <v>0</v>
      </c>
      <c r="H309">
        <v>0</v>
      </c>
      <c r="I309">
        <v>0</v>
      </c>
      <c r="J309">
        <v>0</v>
      </c>
      <c r="K309">
        <v>0</v>
      </c>
      <c r="L309" s="64"/>
    </row>
    <row r="310" spans="1:15" x14ac:dyDescent="0.35">
      <c r="A310" t="s">
        <v>14</v>
      </c>
      <c r="B310">
        <v>106</v>
      </c>
      <c r="C310">
        <v>42296</v>
      </c>
      <c r="D310" t="s">
        <v>246</v>
      </c>
      <c r="E310">
        <v>4.99</v>
      </c>
      <c r="F310">
        <v>2.97</v>
      </c>
      <c r="G310">
        <v>0</v>
      </c>
      <c r="H310">
        <v>0</v>
      </c>
      <c r="I310">
        <v>0</v>
      </c>
      <c r="J310">
        <v>0</v>
      </c>
      <c r="K310">
        <v>0</v>
      </c>
      <c r="L310" s="64"/>
    </row>
    <row r="311" spans="1:15" x14ac:dyDescent="0.35">
      <c r="A311" t="s">
        <v>14</v>
      </c>
      <c r="B311">
        <v>106</v>
      </c>
      <c r="C311">
        <v>54019</v>
      </c>
      <c r="D311" t="s">
        <v>247</v>
      </c>
      <c r="E311">
        <v>23.99</v>
      </c>
      <c r="F311">
        <v>10.37</v>
      </c>
      <c r="G311">
        <v>0</v>
      </c>
      <c r="H311">
        <v>0</v>
      </c>
      <c r="I311">
        <v>0</v>
      </c>
      <c r="J311">
        <v>0</v>
      </c>
      <c r="K311">
        <v>0</v>
      </c>
      <c r="L311" s="64"/>
    </row>
    <row r="312" spans="1:15" x14ac:dyDescent="0.35">
      <c r="A312" t="s">
        <v>14</v>
      </c>
      <c r="B312">
        <v>107</v>
      </c>
      <c r="C312">
        <v>64416</v>
      </c>
      <c r="D312" t="s">
        <v>248</v>
      </c>
      <c r="E312">
        <v>49.99</v>
      </c>
      <c r="F312">
        <v>32.549999999999997</v>
      </c>
      <c r="G312">
        <v>0</v>
      </c>
      <c r="H312">
        <v>0</v>
      </c>
      <c r="I312">
        <v>0</v>
      </c>
      <c r="J312">
        <v>0</v>
      </c>
      <c r="K312">
        <v>0</v>
      </c>
      <c r="L312" s="64"/>
    </row>
    <row r="313" spans="1:15" x14ac:dyDescent="0.35">
      <c r="A313" t="s">
        <v>14</v>
      </c>
      <c r="B313">
        <v>109</v>
      </c>
      <c r="C313">
        <v>62614</v>
      </c>
      <c r="D313" t="s">
        <v>249</v>
      </c>
      <c r="E313">
        <v>7.99</v>
      </c>
      <c r="F313">
        <v>5.54</v>
      </c>
      <c r="G313">
        <v>0</v>
      </c>
      <c r="H313">
        <v>0</v>
      </c>
      <c r="I313">
        <v>0</v>
      </c>
      <c r="J313">
        <v>0</v>
      </c>
      <c r="K313">
        <v>0</v>
      </c>
      <c r="L313" s="64"/>
    </row>
    <row r="314" spans="1:15" x14ac:dyDescent="0.35">
      <c r="A314" t="s">
        <v>19</v>
      </c>
      <c r="B314">
        <v>109</v>
      </c>
      <c r="C314">
        <v>48604</v>
      </c>
      <c r="D314" t="s">
        <v>250</v>
      </c>
      <c r="E314">
        <v>189.99</v>
      </c>
      <c r="F314">
        <v>107.69199999999999</v>
      </c>
      <c r="G314">
        <v>0</v>
      </c>
      <c r="H314">
        <v>0</v>
      </c>
      <c r="I314">
        <v>0</v>
      </c>
      <c r="J314">
        <v>0</v>
      </c>
      <c r="K314">
        <v>0</v>
      </c>
      <c r="L314" s="64"/>
    </row>
    <row r="315" spans="1:15" x14ac:dyDescent="0.35">
      <c r="A315" t="s">
        <v>14</v>
      </c>
      <c r="B315">
        <v>112</v>
      </c>
      <c r="C315">
        <v>61978</v>
      </c>
      <c r="D315" t="s">
        <v>251</v>
      </c>
      <c r="E315">
        <v>199.99</v>
      </c>
      <c r="F315">
        <v>126.16</v>
      </c>
      <c r="G315">
        <v>0</v>
      </c>
      <c r="H315">
        <v>0</v>
      </c>
      <c r="I315">
        <v>0</v>
      </c>
      <c r="J315">
        <v>0</v>
      </c>
      <c r="K315">
        <v>0</v>
      </c>
      <c r="L315" s="64"/>
    </row>
    <row r="316" spans="1:15" x14ac:dyDescent="0.35">
      <c r="A316" t="s">
        <v>14</v>
      </c>
      <c r="B316">
        <v>113</v>
      </c>
      <c r="C316">
        <v>46072</v>
      </c>
      <c r="D316" t="s">
        <v>252</v>
      </c>
      <c r="E316">
        <v>44.99</v>
      </c>
      <c r="F316">
        <v>26.64</v>
      </c>
      <c r="G316">
        <v>0</v>
      </c>
      <c r="H316">
        <v>0</v>
      </c>
      <c r="I316">
        <v>0</v>
      </c>
      <c r="J316">
        <v>0</v>
      </c>
      <c r="K316">
        <v>0</v>
      </c>
      <c r="L316" s="64"/>
    </row>
    <row r="317" spans="1:15" x14ac:dyDescent="0.35">
      <c r="A317" t="s">
        <v>14</v>
      </c>
      <c r="B317">
        <v>117</v>
      </c>
      <c r="C317">
        <v>34034</v>
      </c>
      <c r="D317" t="s">
        <v>253</v>
      </c>
      <c r="E317">
        <v>19.989999999999998</v>
      </c>
      <c r="F317">
        <v>8.43</v>
      </c>
      <c r="G317">
        <v>24</v>
      </c>
      <c r="H317">
        <v>479.76</v>
      </c>
      <c r="I317">
        <v>202.32</v>
      </c>
      <c r="J317">
        <v>277.44</v>
      </c>
      <c r="K317">
        <v>57.82891445722862</v>
      </c>
      <c r="L317" s="64"/>
    </row>
    <row r="318" spans="1:15" x14ac:dyDescent="0.35">
      <c r="A318" t="s">
        <v>14</v>
      </c>
      <c r="B318">
        <v>117</v>
      </c>
      <c r="C318">
        <v>41620</v>
      </c>
      <c r="D318" t="s">
        <v>255</v>
      </c>
      <c r="E318">
        <v>15.99</v>
      </c>
      <c r="F318">
        <v>8.11</v>
      </c>
      <c r="G318">
        <v>6</v>
      </c>
      <c r="H318">
        <v>95.94</v>
      </c>
      <c r="I318">
        <v>48.66</v>
      </c>
      <c r="J318">
        <v>47.28</v>
      </c>
      <c r="K318">
        <v>49.280800500312701</v>
      </c>
      <c r="L318" s="64"/>
    </row>
    <row r="319" spans="1:15" x14ac:dyDescent="0.35">
      <c r="A319" t="s">
        <v>14</v>
      </c>
      <c r="B319">
        <v>117</v>
      </c>
      <c r="C319">
        <v>61814</v>
      </c>
      <c r="D319" t="s">
        <v>254</v>
      </c>
      <c r="E319">
        <v>10</v>
      </c>
      <c r="F319">
        <v>3.39</v>
      </c>
      <c r="G319">
        <v>0</v>
      </c>
      <c r="H319">
        <v>0</v>
      </c>
      <c r="I319">
        <v>0</v>
      </c>
      <c r="J319">
        <v>0</v>
      </c>
      <c r="K319">
        <v>0</v>
      </c>
      <c r="L319" s="64"/>
    </row>
    <row r="320" spans="1:15" x14ac:dyDescent="0.35">
      <c r="A320" t="s">
        <v>14</v>
      </c>
      <c r="B320">
        <v>118</v>
      </c>
      <c r="C320">
        <v>34033</v>
      </c>
      <c r="D320" t="s">
        <v>256</v>
      </c>
      <c r="E320">
        <v>120</v>
      </c>
      <c r="F320">
        <v>64.849999999999994</v>
      </c>
      <c r="G320">
        <v>0</v>
      </c>
      <c r="H320">
        <v>0</v>
      </c>
      <c r="I320">
        <v>0</v>
      </c>
      <c r="J320">
        <v>0</v>
      </c>
      <c r="K320">
        <v>0</v>
      </c>
      <c r="L320" s="64">
        <v>42181</v>
      </c>
      <c r="M320" t="s">
        <v>315</v>
      </c>
      <c r="N320">
        <v>104.34782608695652</v>
      </c>
      <c r="O320">
        <v>1</v>
      </c>
    </row>
    <row r="321" spans="1:15" x14ac:dyDescent="0.35">
      <c r="A321" t="s">
        <v>14</v>
      </c>
      <c r="B321">
        <v>118</v>
      </c>
      <c r="C321">
        <v>34033</v>
      </c>
      <c r="D321" t="s">
        <v>256</v>
      </c>
      <c r="E321">
        <v>120</v>
      </c>
      <c r="F321">
        <v>64.849999999999994</v>
      </c>
      <c r="G321">
        <v>0</v>
      </c>
      <c r="H321">
        <v>0</v>
      </c>
      <c r="I321">
        <v>0</v>
      </c>
      <c r="J321">
        <v>0</v>
      </c>
      <c r="K321">
        <v>0</v>
      </c>
      <c r="L321" s="64">
        <v>42547</v>
      </c>
      <c r="M321" t="s">
        <v>316</v>
      </c>
      <c r="N321">
        <v>104.34782608695652</v>
      </c>
      <c r="O321">
        <v>1</v>
      </c>
    </row>
    <row r="322" spans="1:15" x14ac:dyDescent="0.35">
      <c r="A322" t="s">
        <v>14</v>
      </c>
      <c r="B322">
        <v>118</v>
      </c>
      <c r="C322">
        <v>40305</v>
      </c>
      <c r="D322" t="s">
        <v>257</v>
      </c>
      <c r="E322">
        <v>9.99</v>
      </c>
      <c r="F322">
        <v>4.53</v>
      </c>
      <c r="G322">
        <v>0</v>
      </c>
      <c r="H322">
        <v>0</v>
      </c>
      <c r="I322">
        <v>0</v>
      </c>
      <c r="J322">
        <v>0</v>
      </c>
      <c r="K322">
        <v>0</v>
      </c>
      <c r="L322" s="64">
        <v>42181</v>
      </c>
      <c r="M322" t="s">
        <v>315</v>
      </c>
      <c r="N322">
        <v>17.373913043478261</v>
      </c>
      <c r="O322">
        <v>2</v>
      </c>
    </row>
    <row r="323" spans="1:15" x14ac:dyDescent="0.35">
      <c r="A323" t="s">
        <v>14</v>
      </c>
      <c r="B323">
        <v>118</v>
      </c>
      <c r="C323">
        <v>40305</v>
      </c>
      <c r="D323" t="s">
        <v>257</v>
      </c>
      <c r="E323">
        <v>9.99</v>
      </c>
      <c r="F323">
        <v>4.53</v>
      </c>
      <c r="G323">
        <v>0</v>
      </c>
      <c r="H323">
        <v>0</v>
      </c>
      <c r="I323">
        <v>0</v>
      </c>
      <c r="J323">
        <v>0</v>
      </c>
      <c r="K323">
        <v>0</v>
      </c>
      <c r="L323" s="64">
        <v>42547</v>
      </c>
      <c r="M323" t="s">
        <v>316</v>
      </c>
      <c r="N323">
        <v>86.869565217391312</v>
      </c>
      <c r="O323">
        <v>10</v>
      </c>
    </row>
    <row r="324" spans="1:15" x14ac:dyDescent="0.35">
      <c r="A324" t="s">
        <v>14</v>
      </c>
      <c r="B324">
        <v>118</v>
      </c>
      <c r="C324">
        <v>34014</v>
      </c>
      <c r="D324" t="s">
        <v>258</v>
      </c>
      <c r="E324">
        <v>100</v>
      </c>
      <c r="F324">
        <v>52.03</v>
      </c>
      <c r="G324">
        <v>0</v>
      </c>
      <c r="H324">
        <v>0</v>
      </c>
      <c r="I324">
        <v>0</v>
      </c>
      <c r="J324">
        <v>0</v>
      </c>
      <c r="K324">
        <v>0</v>
      </c>
      <c r="L324" s="64">
        <v>42181</v>
      </c>
      <c r="M324" t="s">
        <v>315</v>
      </c>
      <c r="N324">
        <v>86.956521739130437</v>
      </c>
      <c r="O324">
        <v>1</v>
      </c>
    </row>
    <row r="325" spans="1:15" x14ac:dyDescent="0.35">
      <c r="A325" t="s">
        <v>14</v>
      </c>
      <c r="B325">
        <v>118</v>
      </c>
      <c r="C325">
        <v>34054</v>
      </c>
      <c r="D325" t="s">
        <v>259</v>
      </c>
      <c r="E325">
        <v>100</v>
      </c>
      <c r="F325">
        <v>54.36</v>
      </c>
      <c r="G325">
        <v>0</v>
      </c>
      <c r="H325">
        <v>0</v>
      </c>
      <c r="I325">
        <v>0</v>
      </c>
      <c r="J325">
        <v>0</v>
      </c>
      <c r="K325">
        <v>0</v>
      </c>
      <c r="L325" s="64"/>
    </row>
    <row r="326" spans="1:15" x14ac:dyDescent="0.35">
      <c r="A326" t="s">
        <v>14</v>
      </c>
      <c r="B326">
        <v>118</v>
      </c>
      <c r="C326">
        <v>40809</v>
      </c>
      <c r="D326" t="s">
        <v>260</v>
      </c>
      <c r="E326">
        <v>15.99</v>
      </c>
      <c r="F326">
        <v>6.5</v>
      </c>
      <c r="G326">
        <v>0</v>
      </c>
      <c r="H326">
        <v>0</v>
      </c>
      <c r="I326">
        <v>0</v>
      </c>
      <c r="J326">
        <v>0</v>
      </c>
      <c r="K326">
        <v>0</v>
      </c>
      <c r="L326" s="64"/>
    </row>
    <row r="327" spans="1:15" x14ac:dyDescent="0.35">
      <c r="A327" t="s">
        <v>14</v>
      </c>
      <c r="B327">
        <v>118</v>
      </c>
      <c r="C327">
        <v>34025</v>
      </c>
      <c r="D327" t="s">
        <v>261</v>
      </c>
      <c r="E327">
        <v>120</v>
      </c>
      <c r="F327">
        <v>62.39</v>
      </c>
      <c r="G327">
        <v>0</v>
      </c>
      <c r="H327">
        <v>0</v>
      </c>
      <c r="I327">
        <v>0</v>
      </c>
      <c r="J327">
        <v>0</v>
      </c>
      <c r="K327">
        <v>0</v>
      </c>
      <c r="L327" s="64"/>
    </row>
    <row r="328" spans="1:15" x14ac:dyDescent="0.35">
      <c r="A328" t="s">
        <v>14</v>
      </c>
      <c r="B328">
        <v>118</v>
      </c>
      <c r="C328">
        <v>34040</v>
      </c>
      <c r="D328" t="s">
        <v>262</v>
      </c>
      <c r="E328">
        <v>80</v>
      </c>
      <c r="F328">
        <v>36.909999999999997</v>
      </c>
      <c r="G328">
        <v>0</v>
      </c>
      <c r="H328">
        <v>0</v>
      </c>
      <c r="I328">
        <v>0</v>
      </c>
      <c r="J328">
        <v>0</v>
      </c>
      <c r="K328">
        <v>0</v>
      </c>
      <c r="L328" s="64"/>
    </row>
    <row r="329" spans="1:15" x14ac:dyDescent="0.35">
      <c r="A329" t="s">
        <v>14</v>
      </c>
      <c r="B329">
        <v>118</v>
      </c>
      <c r="C329">
        <v>33021</v>
      </c>
      <c r="D329" t="s">
        <v>263</v>
      </c>
      <c r="E329">
        <v>130</v>
      </c>
      <c r="F329">
        <v>64.900000000000006</v>
      </c>
      <c r="G329">
        <v>0</v>
      </c>
      <c r="H329">
        <v>0</v>
      </c>
      <c r="I329">
        <v>0</v>
      </c>
      <c r="J329">
        <v>0</v>
      </c>
      <c r="K329">
        <v>0</v>
      </c>
      <c r="L329" s="64"/>
    </row>
    <row r="330" spans="1:15" x14ac:dyDescent="0.35">
      <c r="A330" t="s">
        <v>14</v>
      </c>
      <c r="B330">
        <v>118</v>
      </c>
      <c r="C330">
        <v>33991</v>
      </c>
      <c r="D330" t="s">
        <v>264</v>
      </c>
      <c r="E330">
        <v>100</v>
      </c>
      <c r="F330">
        <v>51.82</v>
      </c>
      <c r="G330">
        <v>0</v>
      </c>
      <c r="H330">
        <v>0</v>
      </c>
      <c r="I330">
        <v>0</v>
      </c>
      <c r="J330">
        <v>0</v>
      </c>
      <c r="K330">
        <v>0</v>
      </c>
      <c r="L330" s="64"/>
    </row>
    <row r="331" spans="1:15" x14ac:dyDescent="0.35">
      <c r="A331" t="s">
        <v>14</v>
      </c>
      <c r="B331">
        <v>119</v>
      </c>
      <c r="C331">
        <v>34105</v>
      </c>
      <c r="D331" t="s">
        <v>265</v>
      </c>
      <c r="E331">
        <v>79.989999999999995</v>
      </c>
      <c r="F331">
        <v>54.64</v>
      </c>
      <c r="G331">
        <v>0</v>
      </c>
      <c r="H331">
        <v>0</v>
      </c>
      <c r="I331">
        <v>0</v>
      </c>
      <c r="J331">
        <v>0</v>
      </c>
      <c r="K331">
        <v>0</v>
      </c>
      <c r="L331" s="64">
        <v>42181</v>
      </c>
      <c r="M331" t="s">
        <v>315</v>
      </c>
      <c r="N331">
        <v>69.556521739130432</v>
      </c>
      <c r="O331">
        <v>1</v>
      </c>
    </row>
    <row r="332" spans="1:15" x14ac:dyDescent="0.35">
      <c r="A332" t="s">
        <v>14</v>
      </c>
      <c r="B332">
        <v>119</v>
      </c>
      <c r="C332">
        <v>34003</v>
      </c>
      <c r="D332" t="s">
        <v>266</v>
      </c>
      <c r="E332">
        <v>120</v>
      </c>
      <c r="F332">
        <v>62.47</v>
      </c>
      <c r="G332">
        <v>0</v>
      </c>
      <c r="H332">
        <v>0</v>
      </c>
      <c r="I332">
        <v>0</v>
      </c>
      <c r="J332">
        <v>0</v>
      </c>
      <c r="K332">
        <v>0</v>
      </c>
      <c r="L332" s="64"/>
    </row>
    <row r="333" spans="1:15" x14ac:dyDescent="0.35">
      <c r="A333" t="s">
        <v>14</v>
      </c>
      <c r="B333">
        <v>119</v>
      </c>
      <c r="C333">
        <v>34140</v>
      </c>
      <c r="D333" t="s">
        <v>267</v>
      </c>
      <c r="E333">
        <v>385</v>
      </c>
      <c r="F333">
        <v>201.52</v>
      </c>
      <c r="G333">
        <v>0</v>
      </c>
      <c r="H333">
        <v>0</v>
      </c>
      <c r="I333">
        <v>0</v>
      </c>
      <c r="J333">
        <v>0</v>
      </c>
      <c r="K333">
        <v>0</v>
      </c>
      <c r="L333" s="64"/>
    </row>
    <row r="334" spans="1:15" x14ac:dyDescent="0.35">
      <c r="A334" t="s">
        <v>14</v>
      </c>
      <c r="B334">
        <v>119</v>
      </c>
      <c r="C334">
        <v>62620</v>
      </c>
      <c r="D334" t="s">
        <v>268</v>
      </c>
      <c r="E334">
        <v>65.989999999999995</v>
      </c>
      <c r="F334">
        <v>46.29</v>
      </c>
      <c r="G334">
        <v>0</v>
      </c>
      <c r="H334">
        <v>0</v>
      </c>
      <c r="I334">
        <v>0</v>
      </c>
      <c r="J334">
        <v>0</v>
      </c>
      <c r="K334">
        <v>0</v>
      </c>
      <c r="L334" s="64"/>
    </row>
    <row r="335" spans="1:15" x14ac:dyDescent="0.35">
      <c r="A335" t="s">
        <v>14</v>
      </c>
      <c r="B335">
        <v>119</v>
      </c>
      <c r="C335">
        <v>60694</v>
      </c>
      <c r="D335" t="s">
        <v>269</v>
      </c>
      <c r="E335">
        <v>160</v>
      </c>
      <c r="F335">
        <v>106.8</v>
      </c>
      <c r="G335">
        <v>0</v>
      </c>
      <c r="H335">
        <v>0</v>
      </c>
      <c r="I335">
        <v>0</v>
      </c>
      <c r="J335">
        <v>0</v>
      </c>
      <c r="K335">
        <v>0</v>
      </c>
      <c r="L335" s="64"/>
    </row>
    <row r="336" spans="1:15" x14ac:dyDescent="0.35">
      <c r="A336" t="s">
        <v>14</v>
      </c>
      <c r="B336">
        <v>119</v>
      </c>
      <c r="C336">
        <v>62457</v>
      </c>
      <c r="D336" t="s">
        <v>270</v>
      </c>
      <c r="E336">
        <v>100</v>
      </c>
      <c r="F336">
        <v>53.89</v>
      </c>
      <c r="G336">
        <v>0</v>
      </c>
      <c r="H336">
        <v>0</v>
      </c>
      <c r="I336">
        <v>0</v>
      </c>
      <c r="J336">
        <v>0</v>
      </c>
      <c r="K336">
        <v>0</v>
      </c>
      <c r="L336" s="64"/>
    </row>
    <row r="337" spans="1:15" x14ac:dyDescent="0.35">
      <c r="A337" t="s">
        <v>14</v>
      </c>
      <c r="B337">
        <v>119</v>
      </c>
      <c r="C337">
        <v>64633</v>
      </c>
      <c r="D337" t="s">
        <v>271</v>
      </c>
      <c r="E337">
        <v>8.99</v>
      </c>
      <c r="F337">
        <v>3.8</v>
      </c>
      <c r="G337">
        <v>0</v>
      </c>
      <c r="H337">
        <v>0</v>
      </c>
      <c r="I337">
        <v>0</v>
      </c>
      <c r="J337">
        <v>0</v>
      </c>
      <c r="K337">
        <v>0</v>
      </c>
      <c r="L337" s="64"/>
    </row>
    <row r="338" spans="1:15" x14ac:dyDescent="0.35">
      <c r="A338" t="s">
        <v>14</v>
      </c>
      <c r="B338">
        <v>119</v>
      </c>
      <c r="C338">
        <v>33038</v>
      </c>
      <c r="D338" t="s">
        <v>272</v>
      </c>
      <c r="E338">
        <v>35.99</v>
      </c>
      <c r="F338">
        <v>18</v>
      </c>
      <c r="G338">
        <v>0</v>
      </c>
      <c r="H338">
        <v>0</v>
      </c>
      <c r="I338">
        <v>0</v>
      </c>
      <c r="J338">
        <v>0</v>
      </c>
      <c r="K338">
        <v>0</v>
      </c>
      <c r="L338" s="64"/>
    </row>
    <row r="339" spans="1:15" x14ac:dyDescent="0.35">
      <c r="A339" t="s">
        <v>14</v>
      </c>
      <c r="B339">
        <v>119</v>
      </c>
      <c r="C339">
        <v>32130</v>
      </c>
      <c r="D339" t="s">
        <v>273</v>
      </c>
      <c r="E339">
        <v>140</v>
      </c>
      <c r="F339">
        <v>92.6</v>
      </c>
      <c r="G339">
        <v>0</v>
      </c>
      <c r="H339">
        <v>0</v>
      </c>
      <c r="I339">
        <v>0</v>
      </c>
      <c r="J339">
        <v>0</v>
      </c>
      <c r="K339">
        <v>0</v>
      </c>
      <c r="L339" s="64"/>
    </row>
    <row r="340" spans="1:15" x14ac:dyDescent="0.35">
      <c r="A340" t="s">
        <v>14</v>
      </c>
      <c r="B340">
        <v>119</v>
      </c>
      <c r="C340">
        <v>33037</v>
      </c>
      <c r="D340" t="s">
        <v>274</v>
      </c>
      <c r="E340">
        <v>59.99</v>
      </c>
      <c r="F340">
        <v>23.44</v>
      </c>
      <c r="G340">
        <v>0</v>
      </c>
      <c r="H340">
        <v>0</v>
      </c>
      <c r="I340">
        <v>0</v>
      </c>
      <c r="J340">
        <v>0</v>
      </c>
      <c r="K340">
        <v>0</v>
      </c>
      <c r="L340" s="64"/>
    </row>
    <row r="341" spans="1:15" x14ac:dyDescent="0.35">
      <c r="A341" t="s">
        <v>14</v>
      </c>
      <c r="B341">
        <v>119</v>
      </c>
      <c r="C341">
        <v>63798</v>
      </c>
      <c r="D341" t="s">
        <v>275</v>
      </c>
      <c r="E341">
        <v>79.989999999999995</v>
      </c>
      <c r="F341">
        <v>42.68</v>
      </c>
      <c r="G341">
        <v>0</v>
      </c>
      <c r="H341">
        <v>0</v>
      </c>
      <c r="I341">
        <v>0</v>
      </c>
      <c r="J341">
        <v>0</v>
      </c>
      <c r="K341">
        <v>0</v>
      </c>
      <c r="L341" s="64"/>
    </row>
    <row r="342" spans="1:15" x14ac:dyDescent="0.35">
      <c r="A342" t="s">
        <v>14</v>
      </c>
      <c r="B342">
        <v>119</v>
      </c>
      <c r="C342">
        <v>64635</v>
      </c>
      <c r="D342" t="s">
        <v>276</v>
      </c>
      <c r="E342">
        <v>160</v>
      </c>
      <c r="F342">
        <v>72.88</v>
      </c>
      <c r="G342">
        <v>0</v>
      </c>
      <c r="H342">
        <v>0</v>
      </c>
      <c r="I342">
        <v>0</v>
      </c>
      <c r="J342">
        <v>0</v>
      </c>
      <c r="K342">
        <v>0</v>
      </c>
      <c r="L342" s="64"/>
    </row>
    <row r="343" spans="1:15" x14ac:dyDescent="0.35">
      <c r="A343" t="s">
        <v>14</v>
      </c>
      <c r="B343">
        <v>119</v>
      </c>
      <c r="C343">
        <v>33017</v>
      </c>
      <c r="D343" t="s">
        <v>277</v>
      </c>
      <c r="E343">
        <v>69.989999999999995</v>
      </c>
      <c r="F343">
        <v>32.450000000000003</v>
      </c>
      <c r="G343">
        <v>0</v>
      </c>
      <c r="H343">
        <v>0</v>
      </c>
      <c r="I343">
        <v>0</v>
      </c>
      <c r="J343">
        <v>0</v>
      </c>
      <c r="K343">
        <v>0</v>
      </c>
      <c r="L343" s="64"/>
    </row>
    <row r="344" spans="1:15" x14ac:dyDescent="0.35">
      <c r="A344" t="s">
        <v>14</v>
      </c>
      <c r="B344">
        <v>119</v>
      </c>
      <c r="C344">
        <v>64632</v>
      </c>
      <c r="D344" t="s">
        <v>278</v>
      </c>
      <c r="E344">
        <v>140</v>
      </c>
      <c r="F344">
        <v>62.14</v>
      </c>
      <c r="G344">
        <v>0</v>
      </c>
      <c r="H344">
        <v>0</v>
      </c>
      <c r="I344">
        <v>0</v>
      </c>
      <c r="J344">
        <v>0</v>
      </c>
      <c r="K344">
        <v>0</v>
      </c>
      <c r="L344" s="64"/>
    </row>
    <row r="345" spans="1:15" x14ac:dyDescent="0.35">
      <c r="A345" t="s">
        <v>14</v>
      </c>
      <c r="B345">
        <v>119</v>
      </c>
      <c r="C345">
        <v>65238</v>
      </c>
      <c r="D345" t="s">
        <v>279</v>
      </c>
      <c r="E345">
        <v>120</v>
      </c>
      <c r="F345">
        <v>82.1</v>
      </c>
      <c r="G345">
        <v>0</v>
      </c>
      <c r="H345">
        <v>0</v>
      </c>
      <c r="I345">
        <v>0</v>
      </c>
      <c r="J345">
        <v>0</v>
      </c>
      <c r="K345">
        <v>0</v>
      </c>
      <c r="L345" s="64"/>
    </row>
    <row r="346" spans="1:15" x14ac:dyDescent="0.35">
      <c r="A346" t="s">
        <v>14</v>
      </c>
      <c r="B346">
        <v>119</v>
      </c>
      <c r="C346">
        <v>65239</v>
      </c>
      <c r="D346" t="s">
        <v>280</v>
      </c>
      <c r="E346">
        <v>70</v>
      </c>
      <c r="F346">
        <v>48.14</v>
      </c>
      <c r="G346">
        <v>0</v>
      </c>
      <c r="H346">
        <v>0</v>
      </c>
      <c r="I346">
        <v>0</v>
      </c>
      <c r="J346">
        <v>0</v>
      </c>
      <c r="K346">
        <v>0</v>
      </c>
      <c r="L346" s="64"/>
    </row>
    <row r="347" spans="1:15" x14ac:dyDescent="0.35">
      <c r="A347" t="s">
        <v>14</v>
      </c>
      <c r="B347">
        <v>120</v>
      </c>
      <c r="C347">
        <v>62585</v>
      </c>
      <c r="D347" t="s">
        <v>281</v>
      </c>
      <c r="E347">
        <v>55</v>
      </c>
      <c r="F347">
        <v>33.18</v>
      </c>
      <c r="G347">
        <v>0</v>
      </c>
      <c r="H347">
        <v>0</v>
      </c>
      <c r="I347">
        <v>0</v>
      </c>
      <c r="J347">
        <v>0</v>
      </c>
      <c r="K347">
        <v>0</v>
      </c>
      <c r="L347" s="64">
        <v>42547</v>
      </c>
      <c r="M347" t="s">
        <v>316</v>
      </c>
      <c r="N347">
        <v>6217.391304347826</v>
      </c>
      <c r="O347">
        <v>130</v>
      </c>
    </row>
    <row r="348" spans="1:15" x14ac:dyDescent="0.35">
      <c r="A348" t="s">
        <v>14</v>
      </c>
      <c r="B348">
        <v>120</v>
      </c>
      <c r="C348">
        <v>62629</v>
      </c>
      <c r="D348" t="s">
        <v>282</v>
      </c>
      <c r="E348">
        <v>60</v>
      </c>
      <c r="F348">
        <v>33.18</v>
      </c>
      <c r="G348">
        <v>0</v>
      </c>
      <c r="H348">
        <v>0</v>
      </c>
      <c r="I348">
        <v>0</v>
      </c>
      <c r="J348">
        <v>0</v>
      </c>
      <c r="K348">
        <v>0</v>
      </c>
      <c r="L348" s="64">
        <v>42547</v>
      </c>
      <c r="M348" t="s">
        <v>316</v>
      </c>
      <c r="N348">
        <v>1043.4782608695652</v>
      </c>
      <c r="O348">
        <v>20</v>
      </c>
    </row>
    <row r="349" spans="1:15" x14ac:dyDescent="0.35">
      <c r="A349" t="s">
        <v>14</v>
      </c>
      <c r="B349">
        <v>120</v>
      </c>
      <c r="C349">
        <v>34124</v>
      </c>
      <c r="D349" t="s">
        <v>283</v>
      </c>
      <c r="E349">
        <v>29.99</v>
      </c>
      <c r="F349">
        <v>12.33</v>
      </c>
      <c r="G349">
        <v>0</v>
      </c>
      <c r="H349">
        <v>0</v>
      </c>
      <c r="I349">
        <v>0</v>
      </c>
      <c r="J349">
        <v>0</v>
      </c>
      <c r="K349">
        <v>0</v>
      </c>
      <c r="L349" s="64"/>
    </row>
    <row r="350" spans="1:15" x14ac:dyDescent="0.35">
      <c r="A350" t="s">
        <v>14</v>
      </c>
      <c r="B350">
        <v>120</v>
      </c>
      <c r="C350">
        <v>64763</v>
      </c>
      <c r="D350" t="s">
        <v>284</v>
      </c>
      <c r="E350">
        <v>38</v>
      </c>
      <c r="F350">
        <v>18.920000000000002</v>
      </c>
      <c r="G350">
        <v>0</v>
      </c>
      <c r="H350">
        <v>0</v>
      </c>
      <c r="I350">
        <v>0</v>
      </c>
      <c r="J350">
        <v>0</v>
      </c>
      <c r="K350">
        <v>0</v>
      </c>
      <c r="L350" s="64"/>
    </row>
    <row r="351" spans="1:15" x14ac:dyDescent="0.35">
      <c r="A351" t="s">
        <v>14</v>
      </c>
      <c r="B351">
        <v>120</v>
      </c>
      <c r="C351">
        <v>64762</v>
      </c>
      <c r="D351" t="s">
        <v>285</v>
      </c>
      <c r="E351">
        <v>69.989999999999995</v>
      </c>
      <c r="F351">
        <v>37.380000000000003</v>
      </c>
      <c r="G351">
        <v>0</v>
      </c>
      <c r="H351">
        <v>0</v>
      </c>
      <c r="I351">
        <v>0</v>
      </c>
      <c r="J351">
        <v>0</v>
      </c>
      <c r="K351">
        <v>0</v>
      </c>
      <c r="L351" s="64"/>
    </row>
    <row r="352" spans="1:15" x14ac:dyDescent="0.35">
      <c r="A352" t="s">
        <v>14</v>
      </c>
      <c r="B352">
        <v>120</v>
      </c>
      <c r="C352">
        <v>64761</v>
      </c>
      <c r="D352" t="s">
        <v>286</v>
      </c>
      <c r="E352">
        <v>69.989999999999995</v>
      </c>
      <c r="F352">
        <v>42.18</v>
      </c>
      <c r="G352">
        <v>0</v>
      </c>
      <c r="H352">
        <v>0</v>
      </c>
      <c r="I352">
        <v>0</v>
      </c>
      <c r="J352">
        <v>0</v>
      </c>
      <c r="K352">
        <v>0</v>
      </c>
      <c r="L352" s="64"/>
    </row>
    <row r="353" spans="1:12" x14ac:dyDescent="0.35">
      <c r="A353" t="s">
        <v>19</v>
      </c>
      <c r="B353">
        <v>1138</v>
      </c>
      <c r="C353">
        <v>57870</v>
      </c>
      <c r="D353" t="s">
        <v>287</v>
      </c>
      <c r="E353">
        <v>0</v>
      </c>
      <c r="F353">
        <v>120.14</v>
      </c>
      <c r="G353">
        <v>0</v>
      </c>
      <c r="H353">
        <v>0</v>
      </c>
      <c r="I353">
        <v>0</v>
      </c>
      <c r="J353">
        <v>0</v>
      </c>
      <c r="K353">
        <v>0</v>
      </c>
      <c r="L353" s="64"/>
    </row>
    <row r="354" spans="1:12" x14ac:dyDescent="0.35">
      <c r="A354" t="s">
        <v>107</v>
      </c>
      <c r="B354">
        <v>1821</v>
      </c>
      <c r="C354">
        <v>33999</v>
      </c>
      <c r="D354" t="s">
        <v>288</v>
      </c>
      <c r="E354">
        <v>19.989999999999998</v>
      </c>
      <c r="F354">
        <v>17.149999999999999</v>
      </c>
      <c r="G354">
        <v>0</v>
      </c>
      <c r="H354">
        <v>0</v>
      </c>
      <c r="I354">
        <v>0</v>
      </c>
      <c r="J354">
        <v>0</v>
      </c>
      <c r="K354">
        <v>0</v>
      </c>
      <c r="L354" s="64"/>
    </row>
    <row r="355" spans="1:12" x14ac:dyDescent="0.35">
      <c r="A355" t="s">
        <v>107</v>
      </c>
      <c r="B355">
        <v>1821</v>
      </c>
      <c r="C355">
        <v>40827</v>
      </c>
      <c r="D355" t="s">
        <v>289</v>
      </c>
      <c r="E355">
        <v>29.99</v>
      </c>
      <c r="F355">
        <v>29.25</v>
      </c>
      <c r="G355">
        <v>0</v>
      </c>
      <c r="H355">
        <v>0</v>
      </c>
      <c r="I355">
        <v>0</v>
      </c>
      <c r="J355">
        <v>0</v>
      </c>
      <c r="K355">
        <v>0</v>
      </c>
      <c r="L355" s="64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4C9D-1D37-4C66-B835-607516317BE7}">
  <sheetPr codeName="Sheet6"/>
  <dimension ref="A1:J123"/>
  <sheetViews>
    <sheetView topLeftCell="A2" workbookViewId="0">
      <selection activeCell="B21" sqref="B21"/>
    </sheetView>
  </sheetViews>
  <sheetFormatPr defaultRowHeight="13" x14ac:dyDescent="0.35"/>
  <cols>
    <col min="1" max="1" width="36.5" bestFit="1" customWidth="1"/>
    <col min="2" max="2" width="18.296875" customWidth="1"/>
    <col min="3" max="3" width="16" customWidth="1"/>
    <col min="4" max="4" width="41.8984375" bestFit="1" customWidth="1"/>
    <col min="5" max="5" width="5.8984375" bestFit="1" customWidth="1"/>
    <col min="6" max="6" width="11.8984375" bestFit="1" customWidth="1"/>
    <col min="7" max="7" width="7.8984375" bestFit="1" customWidth="1"/>
    <col min="8" max="8" width="8.19921875" bestFit="1" customWidth="1"/>
    <col min="9" max="9" width="18.09765625" customWidth="1"/>
    <col min="10" max="10" width="16.5" customWidth="1"/>
  </cols>
  <sheetData>
    <row r="1" spans="1:10" x14ac:dyDescent="0.35">
      <c r="A1" s="63" t="s">
        <v>0</v>
      </c>
      <c r="B1" s="63" t="s">
        <v>309</v>
      </c>
      <c r="C1" s="63" t="s">
        <v>1</v>
      </c>
      <c r="D1" s="63" t="s">
        <v>2</v>
      </c>
      <c r="E1" s="63" t="s">
        <v>3</v>
      </c>
      <c r="F1" s="63" t="s">
        <v>4</v>
      </c>
      <c r="G1" s="63" t="s">
        <v>317</v>
      </c>
      <c r="H1" s="63" t="s">
        <v>318</v>
      </c>
      <c r="I1" s="63" t="s">
        <v>6</v>
      </c>
      <c r="J1" s="63" t="s">
        <v>8</v>
      </c>
    </row>
    <row r="2" spans="1:10" x14ac:dyDescent="0.35">
      <c r="A2" t="s">
        <v>14</v>
      </c>
      <c r="B2">
        <v>101</v>
      </c>
      <c r="C2">
        <v>32067</v>
      </c>
      <c r="D2" t="s">
        <v>29</v>
      </c>
      <c r="E2">
        <v>34.99</v>
      </c>
      <c r="F2">
        <v>15.91</v>
      </c>
      <c r="G2" t="s">
        <v>314</v>
      </c>
      <c r="H2" t="s">
        <v>316</v>
      </c>
      <c r="I2" s="12">
        <v>121.70434782608696</v>
      </c>
      <c r="J2">
        <v>4</v>
      </c>
    </row>
    <row r="3" spans="1:10" x14ac:dyDescent="0.35">
      <c r="A3" t="s">
        <v>14</v>
      </c>
      <c r="B3">
        <v>102</v>
      </c>
      <c r="C3">
        <v>32127</v>
      </c>
      <c r="D3" t="s">
        <v>92</v>
      </c>
      <c r="E3">
        <v>11.99</v>
      </c>
      <c r="F3">
        <v>6.02</v>
      </c>
      <c r="G3" t="s">
        <v>312</v>
      </c>
      <c r="H3" t="s">
        <v>315</v>
      </c>
      <c r="I3" s="12">
        <v>125.11304347826086</v>
      </c>
      <c r="J3">
        <v>12</v>
      </c>
    </row>
    <row r="4" spans="1:10" x14ac:dyDescent="0.35">
      <c r="A4" t="s">
        <v>14</v>
      </c>
      <c r="B4">
        <v>102</v>
      </c>
      <c r="C4">
        <v>32127</v>
      </c>
      <c r="D4" t="s">
        <v>92</v>
      </c>
      <c r="E4">
        <v>11.99</v>
      </c>
      <c r="F4">
        <v>6.02</v>
      </c>
      <c r="G4" t="s">
        <v>314</v>
      </c>
      <c r="H4" t="s">
        <v>316</v>
      </c>
      <c r="I4" s="12">
        <v>93.834782608695647</v>
      </c>
      <c r="J4">
        <v>9</v>
      </c>
    </row>
    <row r="5" spans="1:10" x14ac:dyDescent="0.35">
      <c r="A5" t="s">
        <v>14</v>
      </c>
      <c r="B5">
        <v>102</v>
      </c>
      <c r="C5">
        <v>32152</v>
      </c>
      <c r="D5" t="s">
        <v>100</v>
      </c>
      <c r="E5">
        <v>12.99</v>
      </c>
      <c r="F5">
        <v>6.77</v>
      </c>
      <c r="G5" t="s">
        <v>312</v>
      </c>
      <c r="H5" t="s">
        <v>315</v>
      </c>
      <c r="I5" s="12">
        <v>67.77391304347826</v>
      </c>
      <c r="J5">
        <v>6</v>
      </c>
    </row>
    <row r="6" spans="1:10" x14ac:dyDescent="0.35">
      <c r="A6" t="s">
        <v>14</v>
      </c>
      <c r="B6">
        <v>102</v>
      </c>
      <c r="C6">
        <v>32152</v>
      </c>
      <c r="D6" t="s">
        <v>100</v>
      </c>
      <c r="E6">
        <v>12.99</v>
      </c>
      <c r="F6">
        <v>6.77</v>
      </c>
      <c r="G6" t="s">
        <v>314</v>
      </c>
      <c r="H6" t="s">
        <v>316</v>
      </c>
      <c r="I6" s="12">
        <v>22.591304347826089</v>
      </c>
      <c r="J6">
        <v>2</v>
      </c>
    </row>
    <row r="7" spans="1:10" x14ac:dyDescent="0.35">
      <c r="A7" t="s">
        <v>14</v>
      </c>
      <c r="B7">
        <v>102</v>
      </c>
      <c r="C7">
        <v>32153</v>
      </c>
      <c r="D7" t="s">
        <v>102</v>
      </c>
      <c r="E7">
        <v>8.99</v>
      </c>
      <c r="F7">
        <v>4.5599999999999996</v>
      </c>
      <c r="G7" t="s">
        <v>312</v>
      </c>
      <c r="H7" t="s">
        <v>315</v>
      </c>
      <c r="I7" s="12">
        <v>46.904347826086955</v>
      </c>
      <c r="J7">
        <v>6</v>
      </c>
    </row>
    <row r="8" spans="1:10" x14ac:dyDescent="0.35">
      <c r="A8" t="s">
        <v>14</v>
      </c>
      <c r="B8">
        <v>102</v>
      </c>
      <c r="C8">
        <v>32153</v>
      </c>
      <c r="D8" t="s">
        <v>102</v>
      </c>
      <c r="E8">
        <v>8.99</v>
      </c>
      <c r="F8">
        <v>4.5599999999999996</v>
      </c>
      <c r="G8" t="s">
        <v>314</v>
      </c>
      <c r="H8" t="s">
        <v>316</v>
      </c>
      <c r="I8" s="12">
        <v>62.539130434782606</v>
      </c>
      <c r="J8">
        <v>8</v>
      </c>
    </row>
    <row r="9" spans="1:10" x14ac:dyDescent="0.35">
      <c r="A9" t="s">
        <v>14</v>
      </c>
      <c r="B9">
        <v>102</v>
      </c>
      <c r="C9">
        <v>32855</v>
      </c>
      <c r="D9" t="s">
        <v>110</v>
      </c>
      <c r="E9">
        <v>17.989999999999998</v>
      </c>
      <c r="F9">
        <v>9.14</v>
      </c>
      <c r="G9" t="s">
        <v>312</v>
      </c>
      <c r="H9" t="s">
        <v>315</v>
      </c>
      <c r="I9" s="12">
        <v>46.930434782608693</v>
      </c>
      <c r="J9">
        <v>3</v>
      </c>
    </row>
    <row r="10" spans="1:10" x14ac:dyDescent="0.35">
      <c r="A10" t="s">
        <v>14</v>
      </c>
      <c r="B10">
        <v>102</v>
      </c>
      <c r="C10">
        <v>32855</v>
      </c>
      <c r="D10" t="s">
        <v>110</v>
      </c>
      <c r="E10">
        <v>17.989999999999998</v>
      </c>
      <c r="F10">
        <v>9.14</v>
      </c>
      <c r="G10" t="s">
        <v>314</v>
      </c>
      <c r="H10" t="s">
        <v>316</v>
      </c>
      <c r="I10" s="12">
        <v>31.286956521739128</v>
      </c>
      <c r="J10">
        <v>2</v>
      </c>
    </row>
    <row r="11" spans="1:10" x14ac:dyDescent="0.35">
      <c r="A11" t="s">
        <v>14</v>
      </c>
      <c r="B11">
        <v>102</v>
      </c>
      <c r="C11">
        <v>32857</v>
      </c>
      <c r="D11" t="s">
        <v>127</v>
      </c>
      <c r="E11">
        <v>130</v>
      </c>
      <c r="F11">
        <v>68.680000000000007</v>
      </c>
      <c r="G11" t="s">
        <v>312</v>
      </c>
      <c r="H11" t="s">
        <v>315</v>
      </c>
      <c r="I11" s="12">
        <v>113.04347826086956</v>
      </c>
      <c r="J11">
        <v>1</v>
      </c>
    </row>
    <row r="12" spans="1:10" x14ac:dyDescent="0.35">
      <c r="A12" t="s">
        <v>19</v>
      </c>
      <c r="B12">
        <v>101</v>
      </c>
      <c r="C12">
        <v>32858</v>
      </c>
      <c r="D12" t="s">
        <v>34</v>
      </c>
      <c r="E12">
        <v>3.8</v>
      </c>
      <c r="F12">
        <v>1.8574000000000002</v>
      </c>
      <c r="G12" t="s">
        <v>312</v>
      </c>
      <c r="H12" t="s">
        <v>315</v>
      </c>
      <c r="I12" s="12">
        <v>19.826086956521738</v>
      </c>
      <c r="J12">
        <v>6</v>
      </c>
    </row>
    <row r="13" spans="1:10" x14ac:dyDescent="0.35">
      <c r="A13" t="s">
        <v>19</v>
      </c>
      <c r="B13">
        <v>101</v>
      </c>
      <c r="C13">
        <v>32858</v>
      </c>
      <c r="D13" t="s">
        <v>34</v>
      </c>
      <c r="E13">
        <v>3.8</v>
      </c>
      <c r="F13">
        <v>1.8574000000000002</v>
      </c>
      <c r="G13" t="s">
        <v>314</v>
      </c>
      <c r="H13" t="s">
        <v>316</v>
      </c>
      <c r="I13" s="12">
        <v>102.43478260869566</v>
      </c>
      <c r="J13">
        <v>31</v>
      </c>
    </row>
    <row r="14" spans="1:10" x14ac:dyDescent="0.35">
      <c r="A14" t="s">
        <v>35</v>
      </c>
      <c r="B14">
        <v>101</v>
      </c>
      <c r="C14">
        <v>32858</v>
      </c>
      <c r="D14" t="s">
        <v>34</v>
      </c>
      <c r="E14">
        <v>3.8</v>
      </c>
      <c r="F14">
        <v>2.0770666666666666</v>
      </c>
      <c r="G14" t="s">
        <v>312</v>
      </c>
      <c r="H14" t="s">
        <v>315</v>
      </c>
      <c r="I14" s="12">
        <v>19.826086956521738</v>
      </c>
      <c r="J14">
        <v>6</v>
      </c>
    </row>
    <row r="15" spans="1:10" x14ac:dyDescent="0.35">
      <c r="A15" t="s">
        <v>35</v>
      </c>
      <c r="B15">
        <v>101</v>
      </c>
      <c r="C15">
        <v>32858</v>
      </c>
      <c r="D15" t="s">
        <v>34</v>
      </c>
      <c r="E15">
        <v>3.8</v>
      </c>
      <c r="F15">
        <v>2.0770666666666666</v>
      </c>
      <c r="G15" t="s">
        <v>314</v>
      </c>
      <c r="H15" t="s">
        <v>316</v>
      </c>
      <c r="I15" s="12">
        <v>102.43478260869566</v>
      </c>
      <c r="J15">
        <v>31</v>
      </c>
    </row>
    <row r="16" spans="1:10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 t="s">
        <v>312</v>
      </c>
      <c r="H16" t="s">
        <v>315</v>
      </c>
      <c r="I16" s="12">
        <v>146.01739130434785</v>
      </c>
      <c r="J16">
        <v>8</v>
      </c>
    </row>
    <row r="17" spans="1:10" x14ac:dyDescent="0.35">
      <c r="A17" t="s">
        <v>19</v>
      </c>
      <c r="B17">
        <v>101</v>
      </c>
      <c r="C17">
        <v>32859</v>
      </c>
      <c r="D17" t="s">
        <v>20</v>
      </c>
      <c r="E17">
        <v>20.99</v>
      </c>
      <c r="F17">
        <v>11.1</v>
      </c>
      <c r="G17" t="s">
        <v>314</v>
      </c>
      <c r="H17" t="s">
        <v>316</v>
      </c>
      <c r="I17" s="12">
        <v>200.77391304347827</v>
      </c>
      <c r="J17">
        <v>11</v>
      </c>
    </row>
    <row r="18" spans="1:10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 t="s">
        <v>312</v>
      </c>
      <c r="H18" t="s">
        <v>315</v>
      </c>
      <c r="I18" s="12">
        <v>146.01739130434785</v>
      </c>
      <c r="J18">
        <v>8</v>
      </c>
    </row>
    <row r="19" spans="1:10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 t="s">
        <v>314</v>
      </c>
      <c r="H19" t="s">
        <v>316</v>
      </c>
      <c r="I19" s="12">
        <v>200.77391304347827</v>
      </c>
      <c r="J19">
        <v>11</v>
      </c>
    </row>
    <row r="20" spans="1:10" x14ac:dyDescent="0.35">
      <c r="A20" t="s">
        <v>14</v>
      </c>
      <c r="B20">
        <v>101</v>
      </c>
      <c r="C20">
        <v>32860</v>
      </c>
      <c r="D20" t="s">
        <v>16</v>
      </c>
      <c r="E20">
        <v>20.99</v>
      </c>
      <c r="F20">
        <v>11.1</v>
      </c>
      <c r="G20" t="s">
        <v>312</v>
      </c>
      <c r="H20" t="s">
        <v>315</v>
      </c>
      <c r="I20" s="12">
        <v>365.04347826086956</v>
      </c>
      <c r="J20">
        <v>20</v>
      </c>
    </row>
    <row r="21" spans="1:10" x14ac:dyDescent="0.35">
      <c r="A21" t="s">
        <v>14</v>
      </c>
      <c r="B21">
        <v>101</v>
      </c>
      <c r="C21">
        <v>32860</v>
      </c>
      <c r="D21" t="s">
        <v>16</v>
      </c>
      <c r="E21">
        <v>20.99</v>
      </c>
      <c r="F21">
        <v>11.1</v>
      </c>
      <c r="G21" t="s">
        <v>314</v>
      </c>
      <c r="H21" t="s">
        <v>316</v>
      </c>
      <c r="I21" s="12">
        <v>200.77391304347825</v>
      </c>
      <c r="J21">
        <v>11</v>
      </c>
    </row>
    <row r="22" spans="1:10" x14ac:dyDescent="0.35">
      <c r="A22" t="s">
        <v>107</v>
      </c>
      <c r="B22">
        <v>102</v>
      </c>
      <c r="C22">
        <v>32863</v>
      </c>
      <c r="D22" t="s">
        <v>109</v>
      </c>
      <c r="E22">
        <v>17.989999999999998</v>
      </c>
      <c r="F22">
        <v>9.4</v>
      </c>
      <c r="G22" t="s">
        <v>312</v>
      </c>
      <c r="H22" t="s">
        <v>315</v>
      </c>
      <c r="I22" s="12">
        <v>78.217391304347828</v>
      </c>
      <c r="J22">
        <v>5</v>
      </c>
    </row>
    <row r="23" spans="1:10" x14ac:dyDescent="0.35">
      <c r="A23" t="s">
        <v>107</v>
      </c>
      <c r="B23">
        <v>102</v>
      </c>
      <c r="C23">
        <v>32863</v>
      </c>
      <c r="D23" t="s">
        <v>109</v>
      </c>
      <c r="E23">
        <v>17.989999999999998</v>
      </c>
      <c r="F23">
        <v>9.4</v>
      </c>
      <c r="G23" t="s">
        <v>314</v>
      </c>
      <c r="H23" t="s">
        <v>316</v>
      </c>
      <c r="I23" s="12">
        <v>62.573913043478257</v>
      </c>
      <c r="J23">
        <v>4</v>
      </c>
    </row>
    <row r="24" spans="1:10" x14ac:dyDescent="0.35">
      <c r="A24" t="s">
        <v>107</v>
      </c>
      <c r="B24">
        <v>102</v>
      </c>
      <c r="C24">
        <v>32864</v>
      </c>
      <c r="D24" t="s">
        <v>108</v>
      </c>
      <c r="E24">
        <v>9.99</v>
      </c>
      <c r="F24">
        <v>5</v>
      </c>
      <c r="G24" t="s">
        <v>314</v>
      </c>
      <c r="H24" t="s">
        <v>316</v>
      </c>
      <c r="I24" s="12">
        <v>34.747826086956522</v>
      </c>
      <c r="J24">
        <v>4</v>
      </c>
    </row>
    <row r="25" spans="1:10" x14ac:dyDescent="0.35">
      <c r="A25" t="s">
        <v>14</v>
      </c>
      <c r="B25">
        <v>102</v>
      </c>
      <c r="C25">
        <v>32872</v>
      </c>
      <c r="D25" t="s">
        <v>98</v>
      </c>
      <c r="E25">
        <v>29.99</v>
      </c>
      <c r="F25">
        <v>11.79</v>
      </c>
      <c r="G25" t="s">
        <v>312</v>
      </c>
      <c r="H25" t="s">
        <v>315</v>
      </c>
      <c r="I25" s="12">
        <v>69.547826086956519</v>
      </c>
      <c r="J25">
        <v>2</v>
      </c>
    </row>
    <row r="26" spans="1:10" x14ac:dyDescent="0.35">
      <c r="A26" t="s">
        <v>14</v>
      </c>
      <c r="B26">
        <v>102</v>
      </c>
      <c r="C26">
        <v>33013</v>
      </c>
      <c r="D26" t="s">
        <v>148</v>
      </c>
      <c r="E26">
        <v>5.99</v>
      </c>
      <c r="F26">
        <v>3.1</v>
      </c>
      <c r="G26" t="s">
        <v>314</v>
      </c>
      <c r="H26" t="s">
        <v>316</v>
      </c>
      <c r="I26" s="12">
        <v>15.626086956521739</v>
      </c>
      <c r="J26">
        <v>3</v>
      </c>
    </row>
    <row r="27" spans="1:10" x14ac:dyDescent="0.35">
      <c r="A27" t="s">
        <v>14</v>
      </c>
      <c r="B27">
        <v>102</v>
      </c>
      <c r="C27">
        <v>33019</v>
      </c>
      <c r="D27" t="s">
        <v>112</v>
      </c>
      <c r="E27">
        <v>14.99</v>
      </c>
      <c r="F27">
        <v>5.5</v>
      </c>
      <c r="G27" t="s">
        <v>314</v>
      </c>
      <c r="H27" t="s">
        <v>316</v>
      </c>
      <c r="I27" s="12">
        <v>26.069565217391304</v>
      </c>
      <c r="J27">
        <v>2</v>
      </c>
    </row>
    <row r="28" spans="1:10" x14ac:dyDescent="0.35">
      <c r="A28" t="s">
        <v>14</v>
      </c>
      <c r="B28">
        <v>102</v>
      </c>
      <c r="C28">
        <v>33031</v>
      </c>
      <c r="D28" t="s">
        <v>97</v>
      </c>
      <c r="E28">
        <v>17.989999999999998</v>
      </c>
      <c r="F28">
        <v>9.1199999999999992</v>
      </c>
      <c r="G28" t="s">
        <v>312</v>
      </c>
      <c r="H28" t="s">
        <v>315</v>
      </c>
      <c r="I28" s="12">
        <v>140.7913043478261</v>
      </c>
      <c r="J28">
        <v>9</v>
      </c>
    </row>
    <row r="29" spans="1:10" x14ac:dyDescent="0.35">
      <c r="A29" t="s">
        <v>14</v>
      </c>
      <c r="B29">
        <v>102</v>
      </c>
      <c r="C29">
        <v>33995</v>
      </c>
      <c r="D29" t="s">
        <v>91</v>
      </c>
      <c r="E29">
        <v>15.99</v>
      </c>
      <c r="F29">
        <v>8.2200000000000006</v>
      </c>
      <c r="G29" t="s">
        <v>312</v>
      </c>
      <c r="H29" t="s">
        <v>315</v>
      </c>
      <c r="I29" s="12">
        <v>278.08695652173913</v>
      </c>
      <c r="J29">
        <v>20</v>
      </c>
    </row>
    <row r="30" spans="1:10" x14ac:dyDescent="0.35">
      <c r="A30" t="s">
        <v>14</v>
      </c>
      <c r="B30">
        <v>102</v>
      </c>
      <c r="C30">
        <v>33995</v>
      </c>
      <c r="D30" t="s">
        <v>91</v>
      </c>
      <c r="E30">
        <v>15.99</v>
      </c>
      <c r="F30">
        <v>8.2200000000000006</v>
      </c>
      <c r="G30" t="s">
        <v>314</v>
      </c>
      <c r="H30" t="s">
        <v>316</v>
      </c>
      <c r="I30" s="12">
        <v>97.330434782608705</v>
      </c>
      <c r="J30">
        <v>7</v>
      </c>
    </row>
    <row r="31" spans="1:10" x14ac:dyDescent="0.35">
      <c r="A31" t="s">
        <v>14</v>
      </c>
      <c r="B31">
        <v>101</v>
      </c>
      <c r="C31">
        <v>33997</v>
      </c>
      <c r="D31" t="s">
        <v>39</v>
      </c>
      <c r="E31">
        <v>14.99</v>
      </c>
      <c r="F31">
        <v>7.62</v>
      </c>
      <c r="G31" t="s">
        <v>312</v>
      </c>
      <c r="H31" t="s">
        <v>315</v>
      </c>
      <c r="I31" s="12">
        <v>39.104347826086958</v>
      </c>
      <c r="J31">
        <v>3</v>
      </c>
    </row>
    <row r="32" spans="1:10" x14ac:dyDescent="0.35">
      <c r="A32" t="s">
        <v>14</v>
      </c>
      <c r="B32">
        <v>101</v>
      </c>
      <c r="C32">
        <v>33997</v>
      </c>
      <c r="D32" t="s">
        <v>39</v>
      </c>
      <c r="E32">
        <v>14.99</v>
      </c>
      <c r="F32">
        <v>7.62</v>
      </c>
      <c r="G32" t="s">
        <v>314</v>
      </c>
      <c r="H32" t="s">
        <v>316</v>
      </c>
      <c r="I32" s="12">
        <v>52.139130434782608</v>
      </c>
      <c r="J32">
        <v>4</v>
      </c>
    </row>
    <row r="33" spans="1:10" x14ac:dyDescent="0.35">
      <c r="A33" t="s">
        <v>14</v>
      </c>
      <c r="B33">
        <v>101</v>
      </c>
      <c r="C33">
        <v>34004</v>
      </c>
      <c r="D33" t="s">
        <v>50</v>
      </c>
      <c r="E33">
        <v>1</v>
      </c>
      <c r="F33">
        <v>0.65</v>
      </c>
      <c r="G33" t="s">
        <v>312</v>
      </c>
      <c r="H33" t="s">
        <v>315</v>
      </c>
      <c r="I33" s="12">
        <v>30.434782608695652</v>
      </c>
      <c r="J33">
        <v>35</v>
      </c>
    </row>
    <row r="34" spans="1:10" x14ac:dyDescent="0.35">
      <c r="A34" t="s">
        <v>14</v>
      </c>
      <c r="B34">
        <v>101</v>
      </c>
      <c r="C34">
        <v>34004</v>
      </c>
      <c r="D34" t="s">
        <v>50</v>
      </c>
      <c r="E34">
        <v>1</v>
      </c>
      <c r="F34">
        <v>0.65</v>
      </c>
      <c r="G34" t="s">
        <v>314</v>
      </c>
      <c r="H34" t="s">
        <v>316</v>
      </c>
      <c r="I34" s="12">
        <v>6.9565217391304346</v>
      </c>
      <c r="J34">
        <v>8</v>
      </c>
    </row>
    <row r="35" spans="1:10" x14ac:dyDescent="0.35">
      <c r="A35" t="s">
        <v>14</v>
      </c>
      <c r="B35">
        <v>102</v>
      </c>
      <c r="C35">
        <v>34008</v>
      </c>
      <c r="D35" t="s">
        <v>104</v>
      </c>
      <c r="E35">
        <v>5.99</v>
      </c>
      <c r="F35">
        <v>4.32</v>
      </c>
      <c r="G35" t="s">
        <v>312</v>
      </c>
      <c r="H35" t="s">
        <v>315</v>
      </c>
      <c r="I35" s="12">
        <v>72.921739130434787</v>
      </c>
      <c r="J35">
        <v>14</v>
      </c>
    </row>
    <row r="36" spans="1:10" x14ac:dyDescent="0.35">
      <c r="A36" t="s">
        <v>14</v>
      </c>
      <c r="B36">
        <v>102</v>
      </c>
      <c r="C36">
        <v>34008</v>
      </c>
      <c r="D36" t="s">
        <v>104</v>
      </c>
      <c r="E36">
        <v>5.99</v>
      </c>
      <c r="F36">
        <v>4.32</v>
      </c>
      <c r="G36" t="s">
        <v>314</v>
      </c>
      <c r="H36" t="s">
        <v>316</v>
      </c>
      <c r="I36" s="12">
        <v>67.713043478260872</v>
      </c>
      <c r="J36">
        <v>13</v>
      </c>
    </row>
    <row r="37" spans="1:10" x14ac:dyDescent="0.35">
      <c r="A37" t="s">
        <v>14</v>
      </c>
      <c r="B37">
        <v>118</v>
      </c>
      <c r="C37">
        <v>34014</v>
      </c>
      <c r="D37" t="s">
        <v>258</v>
      </c>
      <c r="E37">
        <v>100</v>
      </c>
      <c r="F37">
        <v>52.03</v>
      </c>
      <c r="G37" t="s">
        <v>312</v>
      </c>
      <c r="H37" t="s">
        <v>315</v>
      </c>
      <c r="I37" s="12">
        <v>86.956521739130437</v>
      </c>
      <c r="J37">
        <v>1</v>
      </c>
    </row>
    <row r="38" spans="1:10" x14ac:dyDescent="0.35">
      <c r="A38" t="s">
        <v>19</v>
      </c>
      <c r="B38">
        <v>102</v>
      </c>
      <c r="C38">
        <v>34015</v>
      </c>
      <c r="D38" t="s">
        <v>106</v>
      </c>
      <c r="E38">
        <v>29.99</v>
      </c>
      <c r="F38">
        <v>3.1788888888888889</v>
      </c>
      <c r="G38" t="s">
        <v>312</v>
      </c>
      <c r="H38" t="s">
        <v>315</v>
      </c>
      <c r="I38" s="12">
        <v>78.234782608695653</v>
      </c>
      <c r="J38">
        <v>3</v>
      </c>
    </row>
    <row r="39" spans="1:10" x14ac:dyDescent="0.35">
      <c r="A39" t="s">
        <v>19</v>
      </c>
      <c r="B39">
        <v>102</v>
      </c>
      <c r="C39">
        <v>34015</v>
      </c>
      <c r="D39" t="s">
        <v>106</v>
      </c>
      <c r="E39">
        <v>29.99</v>
      </c>
      <c r="F39">
        <v>3.1788888888888889</v>
      </c>
      <c r="G39" t="s">
        <v>314</v>
      </c>
      <c r="H39" t="s">
        <v>316</v>
      </c>
      <c r="I39" s="12">
        <v>26.078260869565216</v>
      </c>
      <c r="J39">
        <v>1</v>
      </c>
    </row>
    <row r="40" spans="1:10" x14ac:dyDescent="0.35">
      <c r="A40" t="s">
        <v>14</v>
      </c>
      <c r="B40">
        <v>101</v>
      </c>
      <c r="C40">
        <v>34022</v>
      </c>
      <c r="D40" t="s">
        <v>54</v>
      </c>
      <c r="E40">
        <v>5.99</v>
      </c>
      <c r="F40">
        <v>2.72</v>
      </c>
      <c r="G40" t="s">
        <v>312</v>
      </c>
      <c r="H40" t="s">
        <v>315</v>
      </c>
      <c r="I40" s="12">
        <v>26.043478260869563</v>
      </c>
      <c r="J40">
        <v>5</v>
      </c>
    </row>
    <row r="41" spans="1:10" x14ac:dyDescent="0.35">
      <c r="A41" t="s">
        <v>14</v>
      </c>
      <c r="B41">
        <v>101</v>
      </c>
      <c r="C41">
        <v>34023</v>
      </c>
      <c r="D41" t="s">
        <v>48</v>
      </c>
      <c r="E41">
        <v>6.99</v>
      </c>
      <c r="F41">
        <v>2.85</v>
      </c>
      <c r="G41" t="s">
        <v>312</v>
      </c>
      <c r="H41" t="s">
        <v>315</v>
      </c>
      <c r="I41" s="12">
        <v>30.39130434782609</v>
      </c>
      <c r="J41">
        <v>5</v>
      </c>
    </row>
    <row r="42" spans="1:10" x14ac:dyDescent="0.35">
      <c r="A42" t="s">
        <v>14</v>
      </c>
      <c r="B42">
        <v>101</v>
      </c>
      <c r="C42">
        <v>34023</v>
      </c>
      <c r="D42" t="s">
        <v>48</v>
      </c>
      <c r="E42">
        <v>6.99</v>
      </c>
      <c r="F42">
        <v>2.85</v>
      </c>
      <c r="G42" t="s">
        <v>314</v>
      </c>
      <c r="H42" t="s">
        <v>316</v>
      </c>
      <c r="I42" s="12">
        <v>24.31304347826087</v>
      </c>
      <c r="J42">
        <v>4</v>
      </c>
    </row>
    <row r="43" spans="1:10" x14ac:dyDescent="0.35">
      <c r="A43" t="s">
        <v>14</v>
      </c>
      <c r="B43">
        <v>101</v>
      </c>
      <c r="C43">
        <v>34024</v>
      </c>
      <c r="D43" t="s">
        <v>23</v>
      </c>
      <c r="E43">
        <v>37.99</v>
      </c>
      <c r="F43">
        <v>16.5</v>
      </c>
      <c r="G43" t="s">
        <v>312</v>
      </c>
      <c r="H43" t="s">
        <v>315</v>
      </c>
      <c r="I43" s="12">
        <v>165.17391304347825</v>
      </c>
      <c r="J43">
        <v>5</v>
      </c>
    </row>
    <row r="44" spans="1:10" x14ac:dyDescent="0.35">
      <c r="A44" t="s">
        <v>14</v>
      </c>
      <c r="B44">
        <v>101</v>
      </c>
      <c r="C44">
        <v>34024</v>
      </c>
      <c r="D44" t="s">
        <v>23</v>
      </c>
      <c r="E44">
        <v>37.99</v>
      </c>
      <c r="F44">
        <v>16.5</v>
      </c>
      <c r="G44" t="s">
        <v>314</v>
      </c>
      <c r="H44" t="s">
        <v>316</v>
      </c>
      <c r="I44" s="12">
        <v>33.03478260869565</v>
      </c>
      <c r="J44">
        <v>1</v>
      </c>
    </row>
    <row r="45" spans="1:10" x14ac:dyDescent="0.35">
      <c r="A45" t="s">
        <v>14</v>
      </c>
      <c r="B45">
        <v>118</v>
      </c>
      <c r="C45">
        <v>34033</v>
      </c>
      <c r="D45" t="s">
        <v>256</v>
      </c>
      <c r="E45">
        <v>120</v>
      </c>
      <c r="F45">
        <v>64.849999999999994</v>
      </c>
      <c r="G45" t="s">
        <v>312</v>
      </c>
      <c r="H45" t="s">
        <v>315</v>
      </c>
      <c r="I45" s="12">
        <v>104.34782608695652</v>
      </c>
      <c r="J45">
        <v>1</v>
      </c>
    </row>
    <row r="46" spans="1:10" x14ac:dyDescent="0.35">
      <c r="A46" t="s">
        <v>14</v>
      </c>
      <c r="B46">
        <v>118</v>
      </c>
      <c r="C46">
        <v>34033</v>
      </c>
      <c r="D46" t="s">
        <v>256</v>
      </c>
      <c r="E46">
        <v>120</v>
      </c>
      <c r="F46">
        <v>64.849999999999994</v>
      </c>
      <c r="G46" t="s">
        <v>314</v>
      </c>
      <c r="H46" t="s">
        <v>316</v>
      </c>
      <c r="I46" s="12">
        <v>104.34782608695652</v>
      </c>
      <c r="J46">
        <v>1</v>
      </c>
    </row>
    <row r="47" spans="1:10" x14ac:dyDescent="0.35">
      <c r="A47" t="s">
        <v>14</v>
      </c>
      <c r="B47">
        <v>101</v>
      </c>
      <c r="C47">
        <v>34041</v>
      </c>
      <c r="D47" t="s">
        <v>43</v>
      </c>
      <c r="E47">
        <v>6.99</v>
      </c>
      <c r="F47">
        <v>3.15</v>
      </c>
      <c r="G47" t="s">
        <v>312</v>
      </c>
      <c r="H47" t="s">
        <v>315</v>
      </c>
      <c r="I47" s="12">
        <v>66.860869565217399</v>
      </c>
      <c r="J47">
        <v>11</v>
      </c>
    </row>
    <row r="48" spans="1:10" x14ac:dyDescent="0.35">
      <c r="A48" t="s">
        <v>14</v>
      </c>
      <c r="B48">
        <v>101</v>
      </c>
      <c r="C48">
        <v>34041</v>
      </c>
      <c r="D48" t="s">
        <v>43</v>
      </c>
      <c r="E48">
        <v>6.99</v>
      </c>
      <c r="F48">
        <v>3.15</v>
      </c>
      <c r="G48" t="s">
        <v>314</v>
      </c>
      <c r="H48" t="s">
        <v>316</v>
      </c>
      <c r="I48" s="12">
        <v>42.547826086956519</v>
      </c>
      <c r="J48">
        <v>7</v>
      </c>
    </row>
    <row r="49" spans="1:10" x14ac:dyDescent="0.35">
      <c r="A49" t="s">
        <v>14</v>
      </c>
      <c r="B49">
        <v>101</v>
      </c>
      <c r="C49">
        <v>34042</v>
      </c>
      <c r="D49" t="s">
        <v>31</v>
      </c>
      <c r="E49">
        <v>9.5</v>
      </c>
      <c r="F49">
        <v>4.1500000000000004</v>
      </c>
      <c r="G49" t="s">
        <v>312</v>
      </c>
      <c r="H49" t="s">
        <v>315</v>
      </c>
      <c r="I49" s="12">
        <v>49.565217391304344</v>
      </c>
      <c r="J49">
        <v>6</v>
      </c>
    </row>
    <row r="50" spans="1:10" x14ac:dyDescent="0.35">
      <c r="A50" t="s">
        <v>14</v>
      </c>
      <c r="B50">
        <v>101</v>
      </c>
      <c r="C50">
        <v>34042</v>
      </c>
      <c r="D50" t="s">
        <v>31</v>
      </c>
      <c r="E50">
        <v>9.5</v>
      </c>
      <c r="F50">
        <v>4.1500000000000004</v>
      </c>
      <c r="G50" t="s">
        <v>314</v>
      </c>
      <c r="H50" t="s">
        <v>316</v>
      </c>
      <c r="I50" s="12">
        <v>90.869565217391312</v>
      </c>
      <c r="J50">
        <v>11</v>
      </c>
    </row>
    <row r="51" spans="1:10" x14ac:dyDescent="0.35">
      <c r="A51" t="s">
        <v>14</v>
      </c>
      <c r="B51">
        <v>101</v>
      </c>
      <c r="C51">
        <v>34046</v>
      </c>
      <c r="D51" t="s">
        <v>37</v>
      </c>
      <c r="E51">
        <v>19.989999999999998</v>
      </c>
      <c r="F51">
        <v>12.2</v>
      </c>
      <c r="G51" t="s">
        <v>312</v>
      </c>
      <c r="H51" t="s">
        <v>315</v>
      </c>
      <c r="I51" s="12">
        <v>86.913043478260875</v>
      </c>
      <c r="J51">
        <v>5</v>
      </c>
    </row>
    <row r="52" spans="1:10" x14ac:dyDescent="0.35">
      <c r="A52" t="s">
        <v>14</v>
      </c>
      <c r="B52">
        <v>101</v>
      </c>
      <c r="C52">
        <v>34046</v>
      </c>
      <c r="D52" t="s">
        <v>37</v>
      </c>
      <c r="E52">
        <v>19.989999999999998</v>
      </c>
      <c r="F52">
        <v>12.2</v>
      </c>
      <c r="G52" t="s">
        <v>314</v>
      </c>
      <c r="H52" t="s">
        <v>316</v>
      </c>
      <c r="I52" s="12">
        <v>69.530434782608694</v>
      </c>
      <c r="J52">
        <v>4</v>
      </c>
    </row>
    <row r="53" spans="1:10" x14ac:dyDescent="0.35">
      <c r="A53" t="s">
        <v>14</v>
      </c>
      <c r="B53">
        <v>101</v>
      </c>
      <c r="C53">
        <v>34053</v>
      </c>
      <c r="D53" t="s">
        <v>57</v>
      </c>
      <c r="E53">
        <v>15.99</v>
      </c>
      <c r="F53">
        <v>6.74</v>
      </c>
      <c r="G53" t="s">
        <v>312</v>
      </c>
      <c r="H53" t="s">
        <v>315</v>
      </c>
      <c r="I53" s="12">
        <v>41.713043478260872</v>
      </c>
      <c r="J53">
        <v>3</v>
      </c>
    </row>
    <row r="54" spans="1:10" x14ac:dyDescent="0.35">
      <c r="A54" t="s">
        <v>14</v>
      </c>
      <c r="B54">
        <v>101</v>
      </c>
      <c r="C54">
        <v>34053</v>
      </c>
      <c r="D54" t="s">
        <v>57</v>
      </c>
      <c r="E54">
        <v>15.99</v>
      </c>
      <c r="F54">
        <v>6.74</v>
      </c>
      <c r="G54" t="s">
        <v>314</v>
      </c>
      <c r="H54" t="s">
        <v>316</v>
      </c>
      <c r="I54" s="12">
        <v>55.617391304347827</v>
      </c>
      <c r="J54">
        <v>4</v>
      </c>
    </row>
    <row r="55" spans="1:10" x14ac:dyDescent="0.35">
      <c r="A55" t="s">
        <v>14</v>
      </c>
      <c r="B55">
        <v>101</v>
      </c>
      <c r="C55">
        <v>34068</v>
      </c>
      <c r="D55" t="s">
        <v>74</v>
      </c>
      <c r="E55">
        <v>1.5</v>
      </c>
      <c r="F55">
        <v>0.59</v>
      </c>
      <c r="G55" t="s">
        <v>312</v>
      </c>
      <c r="H55" t="s">
        <v>315</v>
      </c>
      <c r="I55" s="12">
        <v>20.869565217391305</v>
      </c>
      <c r="J55">
        <v>16</v>
      </c>
    </row>
    <row r="56" spans="1:10" x14ac:dyDescent="0.35">
      <c r="A56" t="s">
        <v>14</v>
      </c>
      <c r="B56">
        <v>101</v>
      </c>
      <c r="C56">
        <v>34070</v>
      </c>
      <c r="D56" t="s">
        <v>26</v>
      </c>
      <c r="E56">
        <v>12.99</v>
      </c>
      <c r="F56">
        <v>6.81</v>
      </c>
      <c r="G56" t="s">
        <v>312</v>
      </c>
      <c r="H56" t="s">
        <v>315</v>
      </c>
      <c r="I56" s="12">
        <v>169.43478260869566</v>
      </c>
      <c r="J56">
        <v>15</v>
      </c>
    </row>
    <row r="57" spans="1:10" x14ac:dyDescent="0.35">
      <c r="A57" t="s">
        <v>14</v>
      </c>
      <c r="B57">
        <v>101</v>
      </c>
      <c r="C57">
        <v>34070</v>
      </c>
      <c r="D57" t="s">
        <v>26</v>
      </c>
      <c r="E57">
        <v>12.99</v>
      </c>
      <c r="F57">
        <v>6.81</v>
      </c>
      <c r="G57" t="s">
        <v>314</v>
      </c>
      <c r="H57" t="s">
        <v>316</v>
      </c>
      <c r="I57" s="12">
        <v>101.66086956521738</v>
      </c>
      <c r="J57">
        <v>9</v>
      </c>
    </row>
    <row r="58" spans="1:10" x14ac:dyDescent="0.35">
      <c r="A58" t="s">
        <v>14</v>
      </c>
      <c r="B58">
        <v>104</v>
      </c>
      <c r="C58">
        <v>34080</v>
      </c>
      <c r="D58" t="s">
        <v>234</v>
      </c>
      <c r="E58">
        <v>49.99</v>
      </c>
      <c r="F58">
        <v>28.67</v>
      </c>
      <c r="G58" t="s">
        <v>314</v>
      </c>
      <c r="H58" t="s">
        <v>316</v>
      </c>
      <c r="I58" s="12">
        <v>43.469565217391306</v>
      </c>
      <c r="J58">
        <v>1</v>
      </c>
    </row>
    <row r="59" spans="1:10" x14ac:dyDescent="0.35">
      <c r="A59" t="s">
        <v>14</v>
      </c>
      <c r="B59">
        <v>104</v>
      </c>
      <c r="C59">
        <v>34083</v>
      </c>
      <c r="D59" t="s">
        <v>233</v>
      </c>
      <c r="E59">
        <v>49.99</v>
      </c>
      <c r="F59">
        <v>13.76</v>
      </c>
      <c r="G59" t="s">
        <v>312</v>
      </c>
      <c r="H59" t="s">
        <v>315</v>
      </c>
      <c r="I59" s="12">
        <v>43.469565217391306</v>
      </c>
      <c r="J59">
        <v>1</v>
      </c>
    </row>
    <row r="60" spans="1:10" x14ac:dyDescent="0.35">
      <c r="A60" t="s">
        <v>14</v>
      </c>
      <c r="B60">
        <v>104</v>
      </c>
      <c r="C60">
        <v>34083</v>
      </c>
      <c r="D60" t="s">
        <v>233</v>
      </c>
      <c r="E60">
        <v>49.99</v>
      </c>
      <c r="F60">
        <v>13.76</v>
      </c>
      <c r="G60" t="s">
        <v>314</v>
      </c>
      <c r="H60" t="s">
        <v>316</v>
      </c>
      <c r="I60" s="12">
        <v>130.40869565217392</v>
      </c>
      <c r="J60">
        <v>3</v>
      </c>
    </row>
    <row r="61" spans="1:10" x14ac:dyDescent="0.35">
      <c r="A61" t="s">
        <v>14</v>
      </c>
      <c r="B61">
        <v>101</v>
      </c>
      <c r="C61">
        <v>34086</v>
      </c>
      <c r="D61" t="s">
        <v>60</v>
      </c>
      <c r="E61">
        <v>29.99</v>
      </c>
      <c r="F61">
        <v>10</v>
      </c>
      <c r="G61" t="s">
        <v>312</v>
      </c>
      <c r="H61" t="s">
        <v>315</v>
      </c>
      <c r="I61" s="12">
        <v>5.2695652173913041</v>
      </c>
      <c r="J61">
        <v>0.20200000000000001</v>
      </c>
    </row>
    <row r="62" spans="1:10" x14ac:dyDescent="0.35">
      <c r="A62" t="s">
        <v>14</v>
      </c>
      <c r="B62">
        <v>101</v>
      </c>
      <c r="C62">
        <v>34088</v>
      </c>
      <c r="D62" t="s">
        <v>44</v>
      </c>
      <c r="E62">
        <v>1.5</v>
      </c>
      <c r="F62">
        <v>0.68</v>
      </c>
      <c r="G62" t="s">
        <v>314</v>
      </c>
      <c r="H62" t="s">
        <v>316</v>
      </c>
      <c r="I62" s="12">
        <v>117.39130434782609</v>
      </c>
      <c r="J62">
        <v>90</v>
      </c>
    </row>
    <row r="63" spans="1:10" x14ac:dyDescent="0.35">
      <c r="A63" t="s">
        <v>14</v>
      </c>
      <c r="B63">
        <v>101</v>
      </c>
      <c r="C63">
        <v>34091</v>
      </c>
      <c r="D63" t="s">
        <v>28</v>
      </c>
      <c r="E63">
        <v>17.989999999999998</v>
      </c>
      <c r="F63">
        <v>12.24</v>
      </c>
      <c r="G63" t="s">
        <v>312</v>
      </c>
      <c r="H63" t="s">
        <v>315</v>
      </c>
      <c r="I63" s="12">
        <v>86.913043478260875</v>
      </c>
      <c r="J63">
        <v>5</v>
      </c>
    </row>
    <row r="64" spans="1:10" x14ac:dyDescent="0.35">
      <c r="A64" t="s">
        <v>14</v>
      </c>
      <c r="B64">
        <v>101</v>
      </c>
      <c r="C64">
        <v>34091</v>
      </c>
      <c r="D64" t="s">
        <v>28</v>
      </c>
      <c r="E64">
        <v>17.989999999999998</v>
      </c>
      <c r="F64">
        <v>12.24</v>
      </c>
      <c r="G64" t="s">
        <v>314</v>
      </c>
      <c r="H64" t="s">
        <v>316</v>
      </c>
      <c r="I64" s="12">
        <v>86.913043478260875</v>
      </c>
      <c r="J64">
        <v>5</v>
      </c>
    </row>
    <row r="65" spans="1:10" x14ac:dyDescent="0.35">
      <c r="A65" t="s">
        <v>14</v>
      </c>
      <c r="B65">
        <v>101</v>
      </c>
      <c r="C65">
        <v>34092</v>
      </c>
      <c r="D65" t="s">
        <v>47</v>
      </c>
      <c r="E65">
        <v>4.99</v>
      </c>
      <c r="F65">
        <v>2.52</v>
      </c>
      <c r="G65" t="s">
        <v>312</v>
      </c>
      <c r="H65" t="s">
        <v>315</v>
      </c>
      <c r="I65" s="12">
        <v>30.373913043478261</v>
      </c>
      <c r="J65">
        <v>7</v>
      </c>
    </row>
    <row r="66" spans="1:10" x14ac:dyDescent="0.35">
      <c r="A66" t="s">
        <v>14</v>
      </c>
      <c r="B66">
        <v>101</v>
      </c>
      <c r="C66">
        <v>34092</v>
      </c>
      <c r="D66" t="s">
        <v>47</v>
      </c>
      <c r="E66">
        <v>4.99</v>
      </c>
      <c r="F66">
        <v>2.52</v>
      </c>
      <c r="G66" t="s">
        <v>314</v>
      </c>
      <c r="H66" t="s">
        <v>316</v>
      </c>
      <c r="I66" s="12">
        <v>8.6782608695652179</v>
      </c>
      <c r="J66">
        <v>2</v>
      </c>
    </row>
    <row r="67" spans="1:10" x14ac:dyDescent="0.35">
      <c r="A67" t="s">
        <v>14</v>
      </c>
      <c r="B67">
        <v>102</v>
      </c>
      <c r="C67">
        <v>34102</v>
      </c>
      <c r="D67" t="s">
        <v>129</v>
      </c>
      <c r="E67">
        <v>9.99</v>
      </c>
      <c r="F67">
        <v>4.99</v>
      </c>
      <c r="G67" t="s">
        <v>314</v>
      </c>
      <c r="H67" t="s">
        <v>316</v>
      </c>
      <c r="I67" s="12">
        <v>43.434782608695656</v>
      </c>
      <c r="J67">
        <v>5</v>
      </c>
    </row>
    <row r="68" spans="1:10" x14ac:dyDescent="0.35">
      <c r="A68" t="s">
        <v>14</v>
      </c>
      <c r="B68">
        <v>119</v>
      </c>
      <c r="C68">
        <v>34105</v>
      </c>
      <c r="D68" t="s">
        <v>265</v>
      </c>
      <c r="E68">
        <v>79.989999999999995</v>
      </c>
      <c r="F68">
        <v>54.64</v>
      </c>
      <c r="G68" t="s">
        <v>312</v>
      </c>
      <c r="H68" t="s">
        <v>315</v>
      </c>
      <c r="I68" s="12">
        <v>69.556521739130432</v>
      </c>
      <c r="J68">
        <v>1</v>
      </c>
    </row>
    <row r="69" spans="1:10" x14ac:dyDescent="0.35">
      <c r="A69" t="s">
        <v>14</v>
      </c>
      <c r="B69">
        <v>104</v>
      </c>
      <c r="C69">
        <v>34118</v>
      </c>
      <c r="D69" t="s">
        <v>231</v>
      </c>
      <c r="E69">
        <v>29.99</v>
      </c>
      <c r="F69">
        <v>7.38</v>
      </c>
      <c r="G69" t="s">
        <v>314</v>
      </c>
      <c r="H69" t="s">
        <v>316</v>
      </c>
      <c r="I69" s="12">
        <v>130.39130434782606</v>
      </c>
      <c r="J69">
        <v>5</v>
      </c>
    </row>
    <row r="70" spans="1:10" x14ac:dyDescent="0.35">
      <c r="A70" t="s">
        <v>14</v>
      </c>
      <c r="B70">
        <v>101</v>
      </c>
      <c r="C70">
        <v>34119</v>
      </c>
      <c r="D70" t="s">
        <v>36</v>
      </c>
      <c r="E70">
        <v>3.3</v>
      </c>
      <c r="F70">
        <v>1.85</v>
      </c>
      <c r="G70" t="s">
        <v>312</v>
      </c>
      <c r="H70" t="s">
        <v>315</v>
      </c>
      <c r="I70" s="12">
        <v>229.56521739130434</v>
      </c>
      <c r="J70">
        <v>80</v>
      </c>
    </row>
    <row r="71" spans="1:10" x14ac:dyDescent="0.35">
      <c r="A71" t="s">
        <v>19</v>
      </c>
      <c r="B71">
        <v>101</v>
      </c>
      <c r="C71">
        <v>34687</v>
      </c>
      <c r="D71" t="s">
        <v>40</v>
      </c>
      <c r="E71">
        <v>3.8</v>
      </c>
      <c r="F71">
        <v>1.9687999999999999</v>
      </c>
      <c r="G71" t="s">
        <v>312</v>
      </c>
      <c r="H71" t="s">
        <v>315</v>
      </c>
      <c r="I71" s="12">
        <v>19.826086956521738</v>
      </c>
      <c r="J71">
        <v>6</v>
      </c>
    </row>
    <row r="72" spans="1:10" x14ac:dyDescent="0.35">
      <c r="A72" t="s">
        <v>19</v>
      </c>
      <c r="B72">
        <v>101</v>
      </c>
      <c r="C72">
        <v>34687</v>
      </c>
      <c r="D72" t="s">
        <v>40</v>
      </c>
      <c r="E72">
        <v>3.8</v>
      </c>
      <c r="F72">
        <v>1.9687999999999999</v>
      </c>
      <c r="G72" t="s">
        <v>314</v>
      </c>
      <c r="H72" t="s">
        <v>316</v>
      </c>
      <c r="I72" s="12">
        <v>3.3043478260869565</v>
      </c>
      <c r="J72">
        <v>1</v>
      </c>
    </row>
    <row r="73" spans="1:10" x14ac:dyDescent="0.35">
      <c r="A73" t="s">
        <v>35</v>
      </c>
      <c r="B73">
        <v>101</v>
      </c>
      <c r="C73">
        <v>34687</v>
      </c>
      <c r="D73" t="s">
        <v>40</v>
      </c>
      <c r="E73">
        <v>3.8</v>
      </c>
      <c r="F73">
        <v>2.0770666666666666</v>
      </c>
      <c r="G73" t="s">
        <v>312</v>
      </c>
      <c r="H73" t="s">
        <v>315</v>
      </c>
      <c r="I73" s="12">
        <v>19.826086956521738</v>
      </c>
      <c r="J73">
        <v>6</v>
      </c>
    </row>
    <row r="74" spans="1:10" x14ac:dyDescent="0.35">
      <c r="A74" t="s">
        <v>35</v>
      </c>
      <c r="B74">
        <v>101</v>
      </c>
      <c r="C74">
        <v>34687</v>
      </c>
      <c r="D74" t="s">
        <v>40</v>
      </c>
      <c r="E74">
        <v>3.8</v>
      </c>
      <c r="F74">
        <v>2.0770666666666666</v>
      </c>
      <c r="G74" t="s">
        <v>314</v>
      </c>
      <c r="H74" t="s">
        <v>316</v>
      </c>
      <c r="I74" s="12">
        <v>3.3043478260869565</v>
      </c>
      <c r="J74">
        <v>1</v>
      </c>
    </row>
    <row r="75" spans="1:10" x14ac:dyDescent="0.35">
      <c r="A75" t="s">
        <v>14</v>
      </c>
      <c r="B75">
        <v>101</v>
      </c>
      <c r="C75">
        <v>34690</v>
      </c>
      <c r="D75" t="s">
        <v>18</v>
      </c>
      <c r="E75">
        <v>16.989999999999998</v>
      </c>
      <c r="F75">
        <v>7.7</v>
      </c>
      <c r="G75" t="s">
        <v>312</v>
      </c>
      <c r="H75" t="s">
        <v>315</v>
      </c>
      <c r="I75" s="12">
        <v>457.99130434782614</v>
      </c>
      <c r="J75">
        <v>31</v>
      </c>
    </row>
    <row r="76" spans="1:10" x14ac:dyDescent="0.35">
      <c r="A76" t="s">
        <v>14</v>
      </c>
      <c r="B76">
        <v>101</v>
      </c>
      <c r="C76">
        <v>34690</v>
      </c>
      <c r="D76" t="s">
        <v>18</v>
      </c>
      <c r="E76">
        <v>16.989999999999998</v>
      </c>
      <c r="F76">
        <v>7.7</v>
      </c>
      <c r="G76" t="s">
        <v>314</v>
      </c>
      <c r="H76" t="s">
        <v>316</v>
      </c>
      <c r="I76" s="12">
        <v>398.89565217391305</v>
      </c>
      <c r="J76">
        <v>27</v>
      </c>
    </row>
    <row r="77" spans="1:10" x14ac:dyDescent="0.35">
      <c r="A77" t="s">
        <v>14</v>
      </c>
      <c r="B77">
        <v>102</v>
      </c>
      <c r="C77">
        <v>38977</v>
      </c>
      <c r="D77" t="s">
        <v>95</v>
      </c>
      <c r="E77">
        <v>18.989999999999998</v>
      </c>
      <c r="F77">
        <v>9.6999999999999993</v>
      </c>
      <c r="G77" t="s">
        <v>312</v>
      </c>
      <c r="H77" t="s">
        <v>315</v>
      </c>
      <c r="I77" s="12">
        <v>132.10434782608695</v>
      </c>
      <c r="J77">
        <v>8</v>
      </c>
    </row>
    <row r="78" spans="1:10" x14ac:dyDescent="0.35">
      <c r="A78" t="s">
        <v>14</v>
      </c>
      <c r="B78">
        <v>102</v>
      </c>
      <c r="C78">
        <v>38977</v>
      </c>
      <c r="D78" t="s">
        <v>95</v>
      </c>
      <c r="E78">
        <v>18.989999999999998</v>
      </c>
      <c r="F78">
        <v>9.6999999999999993</v>
      </c>
      <c r="G78" t="s">
        <v>314</v>
      </c>
      <c r="H78" t="s">
        <v>316</v>
      </c>
      <c r="I78" s="12">
        <v>132.10434782608695</v>
      </c>
      <c r="J78">
        <v>8</v>
      </c>
    </row>
    <row r="79" spans="1:10" x14ac:dyDescent="0.35">
      <c r="A79" t="s">
        <v>14</v>
      </c>
      <c r="B79">
        <v>102</v>
      </c>
      <c r="C79">
        <v>39422</v>
      </c>
      <c r="D79" t="s">
        <v>120</v>
      </c>
      <c r="E79">
        <v>15.99</v>
      </c>
      <c r="F79">
        <v>8.3000000000000007</v>
      </c>
      <c r="G79" t="s">
        <v>312</v>
      </c>
      <c r="H79" t="s">
        <v>315</v>
      </c>
      <c r="I79" s="12">
        <v>13.904347826086957</v>
      </c>
      <c r="J79">
        <v>1</v>
      </c>
    </row>
    <row r="80" spans="1:10" x14ac:dyDescent="0.35">
      <c r="A80" t="s">
        <v>14</v>
      </c>
      <c r="B80">
        <v>102</v>
      </c>
      <c r="C80">
        <v>39422</v>
      </c>
      <c r="D80" t="s">
        <v>120</v>
      </c>
      <c r="E80">
        <v>15.99</v>
      </c>
      <c r="F80">
        <v>8.3000000000000007</v>
      </c>
      <c r="G80" t="s">
        <v>314</v>
      </c>
      <c r="H80" t="s">
        <v>316</v>
      </c>
      <c r="I80" s="12">
        <v>13.904347826086957</v>
      </c>
      <c r="J80">
        <v>1</v>
      </c>
    </row>
    <row r="81" spans="1:10" x14ac:dyDescent="0.35">
      <c r="A81" t="s">
        <v>14</v>
      </c>
      <c r="B81">
        <v>118</v>
      </c>
      <c r="C81">
        <v>40305</v>
      </c>
      <c r="D81" t="s">
        <v>257</v>
      </c>
      <c r="E81">
        <v>9.99</v>
      </c>
      <c r="F81">
        <v>4.53</v>
      </c>
      <c r="G81" t="s">
        <v>312</v>
      </c>
      <c r="H81" t="s">
        <v>315</v>
      </c>
      <c r="I81" s="12">
        <v>17.373913043478261</v>
      </c>
      <c r="J81">
        <v>2</v>
      </c>
    </row>
    <row r="82" spans="1:10" x14ac:dyDescent="0.35">
      <c r="A82" t="s">
        <v>14</v>
      </c>
      <c r="B82">
        <v>118</v>
      </c>
      <c r="C82">
        <v>40305</v>
      </c>
      <c r="D82" t="s">
        <v>257</v>
      </c>
      <c r="E82">
        <v>9.99</v>
      </c>
      <c r="F82">
        <v>4.53</v>
      </c>
      <c r="G82" t="s">
        <v>314</v>
      </c>
      <c r="H82" t="s">
        <v>316</v>
      </c>
      <c r="I82" s="12">
        <v>86.869565217391312</v>
      </c>
      <c r="J82">
        <v>10</v>
      </c>
    </row>
    <row r="83" spans="1:10" x14ac:dyDescent="0.35">
      <c r="A83" t="s">
        <v>14</v>
      </c>
      <c r="B83">
        <v>101</v>
      </c>
      <c r="C83">
        <v>42401</v>
      </c>
      <c r="D83" t="s">
        <v>38</v>
      </c>
      <c r="E83">
        <v>14.99</v>
      </c>
      <c r="F83">
        <v>6.62</v>
      </c>
      <c r="G83" t="s">
        <v>314</v>
      </c>
      <c r="H83" t="s">
        <v>316</v>
      </c>
      <c r="I83" s="12">
        <v>130.34782608695653</v>
      </c>
      <c r="J83">
        <v>10</v>
      </c>
    </row>
    <row r="84" spans="1:10" x14ac:dyDescent="0.35">
      <c r="A84" t="s">
        <v>19</v>
      </c>
      <c r="B84">
        <v>102</v>
      </c>
      <c r="C84">
        <v>42797</v>
      </c>
      <c r="D84" t="s">
        <v>99</v>
      </c>
      <c r="E84">
        <v>11.99</v>
      </c>
      <c r="F84">
        <v>4.84</v>
      </c>
      <c r="G84" t="s">
        <v>312</v>
      </c>
      <c r="H84" t="s">
        <v>315</v>
      </c>
      <c r="I84" s="12">
        <v>125.11304347826086</v>
      </c>
      <c r="J84">
        <v>12</v>
      </c>
    </row>
    <row r="85" spans="1:10" x14ac:dyDescent="0.35">
      <c r="A85" t="s">
        <v>19</v>
      </c>
      <c r="B85">
        <v>102</v>
      </c>
      <c r="C85">
        <v>42797</v>
      </c>
      <c r="D85" t="s">
        <v>99</v>
      </c>
      <c r="E85">
        <v>11.99</v>
      </c>
      <c r="F85">
        <v>4.84</v>
      </c>
      <c r="G85" t="s">
        <v>314</v>
      </c>
      <c r="H85" t="s">
        <v>316</v>
      </c>
      <c r="I85" s="12">
        <v>72.982608695652175</v>
      </c>
      <c r="J85">
        <v>7</v>
      </c>
    </row>
    <row r="86" spans="1:10" x14ac:dyDescent="0.35">
      <c r="A86" t="s">
        <v>14</v>
      </c>
      <c r="B86">
        <v>102</v>
      </c>
      <c r="C86">
        <v>42797</v>
      </c>
      <c r="D86" t="s">
        <v>99</v>
      </c>
      <c r="E86">
        <v>11.99</v>
      </c>
      <c r="F86">
        <v>5.12</v>
      </c>
      <c r="G86" t="s">
        <v>312</v>
      </c>
      <c r="H86" t="s">
        <v>315</v>
      </c>
      <c r="I86" s="12">
        <v>125.11304347826086</v>
      </c>
      <c r="J86">
        <v>12</v>
      </c>
    </row>
    <row r="87" spans="1:10" x14ac:dyDescent="0.35">
      <c r="A87" t="s">
        <v>14</v>
      </c>
      <c r="B87">
        <v>102</v>
      </c>
      <c r="C87">
        <v>42797</v>
      </c>
      <c r="D87" t="s">
        <v>99</v>
      </c>
      <c r="E87">
        <v>11.99</v>
      </c>
      <c r="F87">
        <v>5.12</v>
      </c>
      <c r="G87" t="s">
        <v>314</v>
      </c>
      <c r="H87" t="s">
        <v>316</v>
      </c>
      <c r="I87" s="12">
        <v>72.982608695652175</v>
      </c>
      <c r="J87">
        <v>7</v>
      </c>
    </row>
    <row r="88" spans="1:10" x14ac:dyDescent="0.35">
      <c r="A88" t="s">
        <v>14</v>
      </c>
      <c r="B88">
        <v>102</v>
      </c>
      <c r="C88">
        <v>42990</v>
      </c>
      <c r="D88" t="s">
        <v>93</v>
      </c>
      <c r="E88">
        <v>19.989999999999998</v>
      </c>
      <c r="F88">
        <v>10.85</v>
      </c>
      <c r="G88" t="s">
        <v>312</v>
      </c>
      <c r="H88" t="s">
        <v>315</v>
      </c>
      <c r="I88" s="12">
        <v>121.67826086956522</v>
      </c>
      <c r="J88">
        <v>7</v>
      </c>
    </row>
    <row r="89" spans="1:10" x14ac:dyDescent="0.35">
      <c r="A89" t="s">
        <v>14</v>
      </c>
      <c r="B89">
        <v>102</v>
      </c>
      <c r="C89">
        <v>42990</v>
      </c>
      <c r="D89" t="s">
        <v>93</v>
      </c>
      <c r="E89">
        <v>19.989999999999998</v>
      </c>
      <c r="F89">
        <v>10.85</v>
      </c>
      <c r="G89" t="s">
        <v>314</v>
      </c>
      <c r="H89" t="s">
        <v>316</v>
      </c>
      <c r="I89" s="12">
        <v>173.82608695652175</v>
      </c>
      <c r="J89">
        <v>10</v>
      </c>
    </row>
    <row r="90" spans="1:10" x14ac:dyDescent="0.35">
      <c r="A90" t="s">
        <v>14</v>
      </c>
      <c r="B90">
        <v>104</v>
      </c>
      <c r="C90">
        <v>43309</v>
      </c>
      <c r="D90" t="s">
        <v>238</v>
      </c>
      <c r="E90">
        <v>13.99</v>
      </c>
      <c r="F90">
        <v>6.67</v>
      </c>
      <c r="G90" t="s">
        <v>312</v>
      </c>
      <c r="H90" t="s">
        <v>315</v>
      </c>
      <c r="I90" s="12">
        <v>48.660869565217389</v>
      </c>
      <c r="J90">
        <v>4</v>
      </c>
    </row>
    <row r="91" spans="1:10" x14ac:dyDescent="0.35">
      <c r="A91" t="s">
        <v>14</v>
      </c>
      <c r="B91">
        <v>104</v>
      </c>
      <c r="C91">
        <v>43309</v>
      </c>
      <c r="D91" t="s">
        <v>238</v>
      </c>
      <c r="E91">
        <v>13.99</v>
      </c>
      <c r="F91">
        <v>6.67</v>
      </c>
      <c r="G91" t="s">
        <v>314</v>
      </c>
      <c r="H91" t="s">
        <v>316</v>
      </c>
      <c r="I91" s="12">
        <v>12.165217391304347</v>
      </c>
      <c r="J91">
        <v>1</v>
      </c>
    </row>
    <row r="92" spans="1:10" x14ac:dyDescent="0.35">
      <c r="A92" t="s">
        <v>19</v>
      </c>
      <c r="B92">
        <v>102</v>
      </c>
      <c r="C92">
        <v>48620</v>
      </c>
      <c r="D92" t="s">
        <v>153</v>
      </c>
      <c r="E92">
        <v>37.99</v>
      </c>
      <c r="F92">
        <v>16.841833333333334</v>
      </c>
      <c r="G92" t="s">
        <v>314</v>
      </c>
      <c r="H92" t="s">
        <v>316</v>
      </c>
      <c r="I92" s="12">
        <v>33.03478260869565</v>
      </c>
      <c r="J92">
        <v>1</v>
      </c>
    </row>
    <row r="93" spans="1:10" x14ac:dyDescent="0.35">
      <c r="A93" t="s">
        <v>35</v>
      </c>
      <c r="B93">
        <v>102</v>
      </c>
      <c r="C93">
        <v>48620</v>
      </c>
      <c r="D93" t="s">
        <v>153</v>
      </c>
      <c r="E93">
        <v>37.99</v>
      </c>
      <c r="F93">
        <v>19.462499999999999</v>
      </c>
      <c r="G93" t="s">
        <v>314</v>
      </c>
      <c r="H93" t="s">
        <v>316</v>
      </c>
      <c r="I93" s="12">
        <v>33.03478260869565</v>
      </c>
      <c r="J93">
        <v>1</v>
      </c>
    </row>
    <row r="94" spans="1:10" x14ac:dyDescent="0.35">
      <c r="A94" t="s">
        <v>19</v>
      </c>
      <c r="B94">
        <v>101</v>
      </c>
      <c r="C94">
        <v>50037</v>
      </c>
      <c r="D94" t="s">
        <v>22</v>
      </c>
      <c r="E94">
        <v>25.99</v>
      </c>
      <c r="F94">
        <v>13.4</v>
      </c>
      <c r="G94" t="s">
        <v>312</v>
      </c>
      <c r="H94" t="s">
        <v>315</v>
      </c>
      <c r="I94" s="12">
        <v>158.20000000000002</v>
      </c>
      <c r="J94">
        <v>7</v>
      </c>
    </row>
    <row r="95" spans="1:10" x14ac:dyDescent="0.35">
      <c r="A95" t="s">
        <v>19</v>
      </c>
      <c r="B95">
        <v>101</v>
      </c>
      <c r="C95">
        <v>50037</v>
      </c>
      <c r="D95" t="s">
        <v>22</v>
      </c>
      <c r="E95">
        <v>25.99</v>
      </c>
      <c r="F95">
        <v>13.4</v>
      </c>
      <c r="G95" t="s">
        <v>314</v>
      </c>
      <c r="H95" t="s">
        <v>316</v>
      </c>
      <c r="I95" s="12">
        <v>158.20000000000002</v>
      </c>
      <c r="J95">
        <v>7</v>
      </c>
    </row>
    <row r="96" spans="1:10" x14ac:dyDescent="0.35">
      <c r="A96" t="s">
        <v>19</v>
      </c>
      <c r="B96">
        <v>101</v>
      </c>
      <c r="C96">
        <v>51680</v>
      </c>
      <c r="D96" t="s">
        <v>33</v>
      </c>
      <c r="E96">
        <v>21.99</v>
      </c>
      <c r="F96">
        <v>12.14</v>
      </c>
      <c r="G96" t="s">
        <v>312</v>
      </c>
      <c r="H96" t="s">
        <v>315</v>
      </c>
      <c r="I96" s="12">
        <v>57.365217391304348</v>
      </c>
      <c r="J96">
        <v>3</v>
      </c>
    </row>
    <row r="97" spans="1:10" x14ac:dyDescent="0.35">
      <c r="A97" t="s">
        <v>19</v>
      </c>
      <c r="B97">
        <v>101</v>
      </c>
      <c r="C97">
        <v>51680</v>
      </c>
      <c r="D97" t="s">
        <v>33</v>
      </c>
      <c r="E97">
        <v>21.99</v>
      </c>
      <c r="F97">
        <v>12.14</v>
      </c>
      <c r="G97" t="s">
        <v>314</v>
      </c>
      <c r="H97" t="s">
        <v>316</v>
      </c>
      <c r="I97" s="12">
        <v>19.121739130434783</v>
      </c>
      <c r="J97">
        <v>1</v>
      </c>
    </row>
    <row r="98" spans="1:10" x14ac:dyDescent="0.35">
      <c r="A98" t="s">
        <v>14</v>
      </c>
      <c r="B98">
        <v>102</v>
      </c>
      <c r="C98">
        <v>52943</v>
      </c>
      <c r="D98" t="s">
        <v>90</v>
      </c>
      <c r="E98">
        <v>31.99</v>
      </c>
      <c r="F98">
        <v>15.17</v>
      </c>
      <c r="G98" t="s">
        <v>312</v>
      </c>
      <c r="H98" t="s">
        <v>315</v>
      </c>
      <c r="I98" s="12">
        <v>194.04347826086956</v>
      </c>
      <c r="J98">
        <v>6.976</v>
      </c>
    </row>
    <row r="99" spans="1:10" x14ac:dyDescent="0.35">
      <c r="A99" t="s">
        <v>14</v>
      </c>
      <c r="B99">
        <v>102</v>
      </c>
      <c r="C99">
        <v>52943</v>
      </c>
      <c r="D99" t="s">
        <v>90</v>
      </c>
      <c r="E99">
        <v>31.99</v>
      </c>
      <c r="F99">
        <v>15.17</v>
      </c>
      <c r="G99" t="s">
        <v>314</v>
      </c>
      <c r="H99" t="s">
        <v>316</v>
      </c>
      <c r="I99" s="12">
        <v>133.09565217391304</v>
      </c>
      <c r="J99">
        <v>4.7850000000000001</v>
      </c>
    </row>
    <row r="100" spans="1:10" x14ac:dyDescent="0.35">
      <c r="A100" t="s">
        <v>14</v>
      </c>
      <c r="B100">
        <v>106</v>
      </c>
      <c r="C100">
        <v>54018</v>
      </c>
      <c r="D100" t="s">
        <v>243</v>
      </c>
      <c r="E100">
        <v>18.989999999999998</v>
      </c>
      <c r="F100">
        <v>9.83</v>
      </c>
      <c r="G100" t="s">
        <v>312</v>
      </c>
      <c r="H100" t="s">
        <v>315</v>
      </c>
      <c r="I100" s="12">
        <v>132.10434782608695</v>
      </c>
      <c r="J100">
        <v>8</v>
      </c>
    </row>
    <row r="101" spans="1:10" x14ac:dyDescent="0.35">
      <c r="A101" t="s">
        <v>14</v>
      </c>
      <c r="B101">
        <v>106</v>
      </c>
      <c r="C101">
        <v>54018</v>
      </c>
      <c r="D101" t="s">
        <v>243</v>
      </c>
      <c r="E101">
        <v>18.989999999999998</v>
      </c>
      <c r="F101">
        <v>9.83</v>
      </c>
      <c r="G101" t="s">
        <v>314</v>
      </c>
      <c r="H101" t="s">
        <v>316</v>
      </c>
      <c r="I101" s="12">
        <v>49.539130434782606</v>
      </c>
      <c r="J101">
        <v>3</v>
      </c>
    </row>
    <row r="102" spans="1:10" x14ac:dyDescent="0.35">
      <c r="A102" t="s">
        <v>107</v>
      </c>
      <c r="B102">
        <v>102</v>
      </c>
      <c r="C102">
        <v>55095</v>
      </c>
      <c r="D102" t="s">
        <v>116</v>
      </c>
      <c r="E102">
        <v>5</v>
      </c>
      <c r="F102">
        <v>1.38</v>
      </c>
      <c r="G102" t="s">
        <v>314</v>
      </c>
      <c r="H102" t="s">
        <v>316</v>
      </c>
      <c r="I102" s="12">
        <v>30.434782608695652</v>
      </c>
      <c r="J102">
        <v>7</v>
      </c>
    </row>
    <row r="103" spans="1:10" x14ac:dyDescent="0.35">
      <c r="A103" t="s">
        <v>14</v>
      </c>
      <c r="B103">
        <v>102</v>
      </c>
      <c r="C103">
        <v>55481</v>
      </c>
      <c r="D103" t="s">
        <v>105</v>
      </c>
      <c r="E103">
        <v>11.99</v>
      </c>
      <c r="F103">
        <v>5.0999999999999996</v>
      </c>
      <c r="G103" t="s">
        <v>312</v>
      </c>
      <c r="H103" t="s">
        <v>315</v>
      </c>
      <c r="I103" s="12">
        <v>83.408695652173918</v>
      </c>
      <c r="J103">
        <v>8</v>
      </c>
    </row>
    <row r="104" spans="1:10" x14ac:dyDescent="0.35">
      <c r="A104" t="s">
        <v>14</v>
      </c>
      <c r="B104">
        <v>102</v>
      </c>
      <c r="C104">
        <v>55481</v>
      </c>
      <c r="D104" t="s">
        <v>105</v>
      </c>
      <c r="E104">
        <v>11.99</v>
      </c>
      <c r="F104">
        <v>5.0999999999999996</v>
      </c>
      <c r="G104" t="s">
        <v>314</v>
      </c>
      <c r="H104" t="s">
        <v>316</v>
      </c>
      <c r="I104" s="12">
        <v>52.130434782608695</v>
      </c>
      <c r="J104">
        <v>5</v>
      </c>
    </row>
    <row r="105" spans="1:10" x14ac:dyDescent="0.35">
      <c r="A105" t="s">
        <v>14</v>
      </c>
      <c r="B105">
        <v>101</v>
      </c>
      <c r="C105">
        <v>57073</v>
      </c>
      <c r="D105" t="s">
        <v>21</v>
      </c>
      <c r="E105">
        <v>36.99</v>
      </c>
      <c r="F105">
        <v>16.05</v>
      </c>
      <c r="G105" t="s">
        <v>312</v>
      </c>
      <c r="H105" t="s">
        <v>315</v>
      </c>
      <c r="I105" s="12">
        <v>225.15652173913043</v>
      </c>
      <c r="J105">
        <v>7</v>
      </c>
    </row>
    <row r="106" spans="1:10" x14ac:dyDescent="0.35">
      <c r="A106" t="s">
        <v>14</v>
      </c>
      <c r="B106">
        <v>101</v>
      </c>
      <c r="C106">
        <v>57073</v>
      </c>
      <c r="D106" t="s">
        <v>21</v>
      </c>
      <c r="E106">
        <v>36.99</v>
      </c>
      <c r="F106">
        <v>16.05</v>
      </c>
      <c r="G106" t="s">
        <v>314</v>
      </c>
      <c r="H106" t="s">
        <v>316</v>
      </c>
      <c r="I106" s="12">
        <v>32.165217391304353</v>
      </c>
      <c r="J106">
        <v>1</v>
      </c>
    </row>
    <row r="107" spans="1:10" x14ac:dyDescent="0.35">
      <c r="A107" t="s">
        <v>107</v>
      </c>
      <c r="B107">
        <v>102</v>
      </c>
      <c r="C107">
        <v>58147</v>
      </c>
      <c r="D107" t="s">
        <v>146</v>
      </c>
      <c r="E107">
        <v>16.989999999999998</v>
      </c>
      <c r="F107">
        <v>7.99</v>
      </c>
      <c r="G107" t="s">
        <v>312</v>
      </c>
      <c r="H107" t="s">
        <v>315</v>
      </c>
      <c r="I107" s="12">
        <v>14.77391304347826</v>
      </c>
      <c r="J107">
        <v>1</v>
      </c>
    </row>
    <row r="108" spans="1:10" x14ac:dyDescent="0.35">
      <c r="A108" t="s">
        <v>14</v>
      </c>
      <c r="B108">
        <v>101</v>
      </c>
      <c r="C108">
        <v>58512</v>
      </c>
      <c r="D108" t="s">
        <v>30</v>
      </c>
      <c r="E108">
        <v>26.99</v>
      </c>
      <c r="F108">
        <v>10.66</v>
      </c>
      <c r="G108" t="s">
        <v>312</v>
      </c>
      <c r="H108" t="s">
        <v>315</v>
      </c>
      <c r="I108" s="12">
        <v>70.408695652173918</v>
      </c>
      <c r="J108">
        <v>3</v>
      </c>
    </row>
    <row r="109" spans="1:10" x14ac:dyDescent="0.35">
      <c r="A109" t="s">
        <v>14</v>
      </c>
      <c r="B109">
        <v>101</v>
      </c>
      <c r="C109">
        <v>58512</v>
      </c>
      <c r="D109" t="s">
        <v>30</v>
      </c>
      <c r="E109">
        <v>26.99</v>
      </c>
      <c r="F109">
        <v>10.66</v>
      </c>
      <c r="G109" t="s">
        <v>314</v>
      </c>
      <c r="H109" t="s">
        <v>316</v>
      </c>
      <c r="I109" s="12">
        <v>70.408695652173918</v>
      </c>
      <c r="J109">
        <v>3</v>
      </c>
    </row>
    <row r="110" spans="1:10" x14ac:dyDescent="0.35">
      <c r="A110" t="s">
        <v>14</v>
      </c>
      <c r="B110">
        <v>101</v>
      </c>
      <c r="C110">
        <v>58767</v>
      </c>
      <c r="D110" t="s">
        <v>27</v>
      </c>
      <c r="E110">
        <v>19.989999999999998</v>
      </c>
      <c r="F110">
        <v>7.04</v>
      </c>
      <c r="G110" t="s">
        <v>312</v>
      </c>
      <c r="H110" t="s">
        <v>315</v>
      </c>
      <c r="I110" s="12">
        <v>121.67826086956522</v>
      </c>
      <c r="J110">
        <v>7</v>
      </c>
    </row>
    <row r="111" spans="1:10" x14ac:dyDescent="0.35">
      <c r="A111" t="s">
        <v>14</v>
      </c>
      <c r="B111">
        <v>101</v>
      </c>
      <c r="C111">
        <v>58767</v>
      </c>
      <c r="D111" t="s">
        <v>27</v>
      </c>
      <c r="E111">
        <v>19.989999999999998</v>
      </c>
      <c r="F111">
        <v>7.04</v>
      </c>
      <c r="G111" t="s">
        <v>314</v>
      </c>
      <c r="H111" t="s">
        <v>316</v>
      </c>
      <c r="I111" s="12">
        <v>52.14782608695652</v>
      </c>
      <c r="J111">
        <v>3</v>
      </c>
    </row>
    <row r="112" spans="1:10" x14ac:dyDescent="0.35">
      <c r="A112" t="s">
        <v>14</v>
      </c>
      <c r="B112">
        <v>101</v>
      </c>
      <c r="C112">
        <v>59381</v>
      </c>
      <c r="D112" t="s">
        <v>15</v>
      </c>
      <c r="E112">
        <v>13.99</v>
      </c>
      <c r="F112">
        <v>7.36</v>
      </c>
      <c r="G112" t="s">
        <v>312</v>
      </c>
      <c r="H112" t="s">
        <v>315</v>
      </c>
      <c r="I112" s="12">
        <v>1216.5217391304348</v>
      </c>
      <c r="J112">
        <v>100</v>
      </c>
    </row>
    <row r="113" spans="1:10" x14ac:dyDescent="0.35">
      <c r="A113" t="s">
        <v>14</v>
      </c>
      <c r="B113">
        <v>101</v>
      </c>
      <c r="C113">
        <v>59381</v>
      </c>
      <c r="D113" t="s">
        <v>15</v>
      </c>
      <c r="E113">
        <v>13.99</v>
      </c>
      <c r="F113">
        <v>7.36</v>
      </c>
      <c r="G113" t="s">
        <v>314</v>
      </c>
      <c r="H113" t="s">
        <v>316</v>
      </c>
      <c r="I113" s="12">
        <v>1094.8695652173913</v>
      </c>
      <c r="J113">
        <v>90</v>
      </c>
    </row>
    <row r="114" spans="1:10" x14ac:dyDescent="0.35">
      <c r="A114" t="s">
        <v>14</v>
      </c>
      <c r="B114">
        <v>101</v>
      </c>
      <c r="C114">
        <v>59425</v>
      </c>
      <c r="D114" t="s">
        <v>17</v>
      </c>
      <c r="E114">
        <v>10.99</v>
      </c>
      <c r="F114">
        <v>6.3</v>
      </c>
      <c r="G114" t="s">
        <v>312</v>
      </c>
      <c r="H114" t="s">
        <v>315</v>
      </c>
      <c r="I114" s="12">
        <v>659.4</v>
      </c>
      <c r="J114">
        <v>60</v>
      </c>
    </row>
    <row r="115" spans="1:10" x14ac:dyDescent="0.35">
      <c r="A115" t="s">
        <v>14</v>
      </c>
      <c r="B115">
        <v>102</v>
      </c>
      <c r="C115">
        <v>59477</v>
      </c>
      <c r="D115" t="s">
        <v>159</v>
      </c>
      <c r="E115">
        <v>5.99</v>
      </c>
      <c r="F115">
        <v>3.1</v>
      </c>
      <c r="G115" t="s">
        <v>314</v>
      </c>
      <c r="H115" t="s">
        <v>316</v>
      </c>
      <c r="I115" s="12">
        <v>10.417391304347827</v>
      </c>
      <c r="J115">
        <v>2</v>
      </c>
    </row>
    <row r="116" spans="1:10" x14ac:dyDescent="0.35">
      <c r="A116" t="s">
        <v>14</v>
      </c>
      <c r="B116">
        <v>102</v>
      </c>
      <c r="C116">
        <v>61937</v>
      </c>
      <c r="D116" t="s">
        <v>122</v>
      </c>
      <c r="E116">
        <v>10</v>
      </c>
      <c r="F116">
        <v>2.67</v>
      </c>
      <c r="G116" t="s">
        <v>312</v>
      </c>
      <c r="H116" t="s">
        <v>315</v>
      </c>
      <c r="I116" s="12">
        <v>104.34782608695652</v>
      </c>
      <c r="J116">
        <v>12</v>
      </c>
    </row>
    <row r="117" spans="1:10" x14ac:dyDescent="0.35">
      <c r="A117" t="s">
        <v>14</v>
      </c>
      <c r="B117">
        <v>102</v>
      </c>
      <c r="C117">
        <v>61938</v>
      </c>
      <c r="D117" t="s">
        <v>124</v>
      </c>
      <c r="E117">
        <v>10</v>
      </c>
      <c r="F117">
        <v>3.43</v>
      </c>
      <c r="G117" t="s">
        <v>312</v>
      </c>
      <c r="H117" t="s">
        <v>315</v>
      </c>
      <c r="I117" s="12">
        <v>26.086956521739129</v>
      </c>
      <c r="J117">
        <v>3</v>
      </c>
    </row>
    <row r="118" spans="1:10" x14ac:dyDescent="0.35">
      <c r="A118" t="s">
        <v>14</v>
      </c>
      <c r="B118">
        <v>102</v>
      </c>
      <c r="C118">
        <v>61939</v>
      </c>
      <c r="D118" t="s">
        <v>101</v>
      </c>
      <c r="E118">
        <v>10</v>
      </c>
      <c r="F118">
        <v>5.09</v>
      </c>
      <c r="G118" t="s">
        <v>314</v>
      </c>
      <c r="H118" t="s">
        <v>316</v>
      </c>
      <c r="I118" s="12">
        <v>147.82608695652175</v>
      </c>
      <c r="J118">
        <v>17</v>
      </c>
    </row>
    <row r="119" spans="1:10" x14ac:dyDescent="0.35">
      <c r="A119" t="s">
        <v>14</v>
      </c>
      <c r="B119">
        <v>101</v>
      </c>
      <c r="C119">
        <v>61947</v>
      </c>
      <c r="D119" t="s">
        <v>42</v>
      </c>
      <c r="E119">
        <v>28.99</v>
      </c>
      <c r="F119">
        <v>8.93</v>
      </c>
      <c r="G119" t="s">
        <v>312</v>
      </c>
      <c r="H119" t="s">
        <v>315</v>
      </c>
      <c r="I119" s="12">
        <v>25.208695652173912</v>
      </c>
      <c r="J119">
        <v>1</v>
      </c>
    </row>
    <row r="120" spans="1:10" x14ac:dyDescent="0.35">
      <c r="A120" t="s">
        <v>14</v>
      </c>
      <c r="B120">
        <v>101</v>
      </c>
      <c r="C120">
        <v>61947</v>
      </c>
      <c r="D120" t="s">
        <v>42</v>
      </c>
      <c r="E120">
        <v>28.99</v>
      </c>
      <c r="F120">
        <v>8.93</v>
      </c>
      <c r="G120" t="s">
        <v>314</v>
      </c>
      <c r="H120" t="s">
        <v>316</v>
      </c>
      <c r="I120" s="12">
        <v>25.208695652173912</v>
      </c>
      <c r="J120">
        <v>1</v>
      </c>
    </row>
    <row r="121" spans="1:10" x14ac:dyDescent="0.35">
      <c r="A121" t="s">
        <v>14</v>
      </c>
      <c r="B121">
        <v>120</v>
      </c>
      <c r="C121">
        <v>62585</v>
      </c>
      <c r="D121" t="s">
        <v>281</v>
      </c>
      <c r="E121">
        <v>55</v>
      </c>
      <c r="F121">
        <v>33.18</v>
      </c>
      <c r="G121" t="s">
        <v>314</v>
      </c>
      <c r="H121" t="s">
        <v>316</v>
      </c>
      <c r="I121" s="12">
        <v>6217.391304347826</v>
      </c>
      <c r="J121">
        <v>130</v>
      </c>
    </row>
    <row r="122" spans="1:10" x14ac:dyDescent="0.35">
      <c r="A122" t="s">
        <v>14</v>
      </c>
      <c r="B122">
        <v>101</v>
      </c>
      <c r="C122">
        <v>62622</v>
      </c>
      <c r="D122" t="s">
        <v>70</v>
      </c>
      <c r="E122">
        <v>26.99</v>
      </c>
      <c r="F122">
        <v>14.15</v>
      </c>
      <c r="G122" t="s">
        <v>312</v>
      </c>
      <c r="H122" t="s">
        <v>315</v>
      </c>
      <c r="I122" s="12">
        <v>70.408695652173918</v>
      </c>
      <c r="J122">
        <v>3</v>
      </c>
    </row>
    <row r="123" spans="1:10" x14ac:dyDescent="0.35">
      <c r="A123" t="s">
        <v>14</v>
      </c>
      <c r="B123">
        <v>120</v>
      </c>
      <c r="C123">
        <v>62629</v>
      </c>
      <c r="D123" t="s">
        <v>282</v>
      </c>
      <c r="E123">
        <v>60</v>
      </c>
      <c r="F123">
        <v>33.18</v>
      </c>
      <c r="G123" t="s">
        <v>314</v>
      </c>
      <c r="H123" t="s">
        <v>316</v>
      </c>
      <c r="I123" s="12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sqref="A1:J1"/>
    </sheetView>
  </sheetViews>
  <sheetFormatPr defaultRowHeight="13" x14ac:dyDescent="0.35"/>
  <cols>
    <col min="1" max="1" width="12.69921875" customWidth="1"/>
    <col min="2" max="2" width="9.3984375" customWidth="1"/>
    <col min="3" max="3" width="38.3984375" bestFit="1" customWidth="1"/>
    <col min="4" max="4" width="6.09765625" bestFit="1" customWidth="1"/>
    <col min="5" max="5" width="11.8984375" bestFit="1" customWidth="1"/>
    <col min="6" max="6" width="8.8984375" bestFit="1" customWidth="1"/>
    <col min="7" max="7" width="10.59765625" bestFit="1" customWidth="1"/>
    <col min="8" max="8" width="10.796875" bestFit="1" customWidth="1"/>
    <col min="9" max="9" width="10.59765625" bestFit="1" customWidth="1"/>
    <col min="10" max="10" width="13.8984375" bestFit="1" customWidth="1"/>
    <col min="11" max="11" width="7.8984375" customWidth="1"/>
  </cols>
  <sheetData>
    <row r="1" spans="1:11" ht="30" customHeight="1" x14ac:dyDescent="0.35">
      <c r="A1" s="78" t="s">
        <v>308</v>
      </c>
      <c r="B1" s="78"/>
      <c r="C1" s="78"/>
      <c r="D1" s="78"/>
      <c r="E1" s="78"/>
      <c r="F1" s="78"/>
      <c r="G1" s="78"/>
      <c r="H1" s="78"/>
      <c r="I1" s="78"/>
      <c r="J1" s="78"/>
    </row>
    <row r="2" spans="1:11" ht="10" customHeight="1" x14ac:dyDescent="0.35">
      <c r="A2" s="30"/>
      <c r="B2" s="30"/>
      <c r="C2" s="30"/>
      <c r="D2" s="31" t="s">
        <v>302</v>
      </c>
      <c r="E2" s="30"/>
      <c r="F2" s="30"/>
      <c r="G2" s="30"/>
      <c r="H2" s="30"/>
      <c r="I2" s="30"/>
      <c r="J2" s="30"/>
    </row>
    <row r="3" spans="1:11" s="29" customFormat="1" ht="38.5" customHeight="1" x14ac:dyDescent="0.35">
      <c r="A3" s="32" t="s">
        <v>309</v>
      </c>
      <c r="B3" s="32" t="s">
        <v>1</v>
      </c>
      <c r="C3" s="32" t="s">
        <v>2</v>
      </c>
      <c r="D3" s="32" t="s">
        <v>304</v>
      </c>
      <c r="E3" s="32" t="s">
        <v>310</v>
      </c>
      <c r="F3" s="32" t="s">
        <v>303</v>
      </c>
      <c r="G3" s="32" t="s">
        <v>305</v>
      </c>
      <c r="H3" s="32" t="s">
        <v>306</v>
      </c>
      <c r="I3" s="32" t="s">
        <v>307</v>
      </c>
      <c r="J3" s="65" t="s">
        <v>311</v>
      </c>
      <c r="K3"/>
    </row>
    <row r="4" spans="1:11" s="40" customFormat="1" ht="17" customHeight="1" x14ac:dyDescent="0.35">
      <c r="A4" s="33">
        <v>101</v>
      </c>
      <c r="B4" s="34">
        <v>59381</v>
      </c>
      <c r="C4" s="35" t="s">
        <v>15</v>
      </c>
      <c r="D4" s="36">
        <v>780</v>
      </c>
      <c r="E4" s="37">
        <v>13.99</v>
      </c>
      <c r="F4" s="37">
        <v>7.36</v>
      </c>
      <c r="G4" s="38">
        <v>10912.2</v>
      </c>
      <c r="H4" s="38">
        <v>5740.8</v>
      </c>
      <c r="I4" s="38">
        <v>5171.4000000000005</v>
      </c>
      <c r="J4" s="39">
        <v>0.47390993566833456</v>
      </c>
    </row>
    <row r="5" spans="1:11" s="40" customFormat="1" ht="17" customHeight="1" x14ac:dyDescent="0.35">
      <c r="A5" s="41"/>
      <c r="B5" s="42">
        <v>59425</v>
      </c>
      <c r="C5" s="41" t="s">
        <v>17</v>
      </c>
      <c r="D5" s="43">
        <v>240</v>
      </c>
      <c r="E5" s="44">
        <v>10.99</v>
      </c>
      <c r="F5" s="44">
        <v>6.3</v>
      </c>
      <c r="G5" s="45">
        <v>2637.6</v>
      </c>
      <c r="H5" s="45">
        <v>1512</v>
      </c>
      <c r="I5" s="45">
        <v>1125.5999999999999</v>
      </c>
      <c r="J5" s="46">
        <v>0.42675159235668786</v>
      </c>
    </row>
    <row r="6" spans="1:11" s="40" customFormat="1" ht="17" customHeight="1" x14ac:dyDescent="0.35">
      <c r="A6" s="35"/>
      <c r="B6" s="34">
        <v>34690</v>
      </c>
      <c r="C6" s="35" t="s">
        <v>18</v>
      </c>
      <c r="D6" s="36">
        <v>184</v>
      </c>
      <c r="E6" s="37">
        <v>16.989999999999998</v>
      </c>
      <c r="F6" s="37">
        <v>7.7</v>
      </c>
      <c r="G6" s="38">
        <v>3126.16</v>
      </c>
      <c r="H6" s="38">
        <v>1416.8</v>
      </c>
      <c r="I6" s="38">
        <v>1709.36</v>
      </c>
      <c r="J6" s="39">
        <v>0.54679223072395522</v>
      </c>
    </row>
    <row r="7" spans="1:11" s="40" customFormat="1" ht="17" customHeight="1" x14ac:dyDescent="0.35">
      <c r="A7" s="41"/>
      <c r="B7" s="42">
        <v>34141</v>
      </c>
      <c r="C7" s="41" t="s">
        <v>24</v>
      </c>
      <c r="D7" s="43">
        <v>144</v>
      </c>
      <c r="E7" s="44">
        <v>5</v>
      </c>
      <c r="F7" s="44">
        <v>3.3388749999999998</v>
      </c>
      <c r="G7" s="45">
        <v>720</v>
      </c>
      <c r="H7" s="45">
        <v>480.798</v>
      </c>
      <c r="I7" s="45">
        <v>239.202</v>
      </c>
      <c r="J7" s="46">
        <v>0.33222499999999999</v>
      </c>
    </row>
    <row r="8" spans="1:11" s="40" customFormat="1" ht="17" customHeight="1" x14ac:dyDescent="0.35">
      <c r="A8" s="35"/>
      <c r="B8" s="34">
        <v>32859</v>
      </c>
      <c r="C8" s="35" t="s">
        <v>20</v>
      </c>
      <c r="D8" s="36">
        <v>104.666666666667</v>
      </c>
      <c r="E8" s="37">
        <v>41.98</v>
      </c>
      <c r="F8" s="37">
        <v>18.559999999999999</v>
      </c>
      <c r="G8" s="38">
        <v>2196.9533333333402</v>
      </c>
      <c r="H8" s="38">
        <v>1161.8000000000036</v>
      </c>
      <c r="I8" s="38">
        <v>1035.1533333333366</v>
      </c>
      <c r="J8" s="39">
        <v>0.47117675083373034</v>
      </c>
    </row>
    <row r="9" spans="1:11" s="40" customFormat="1" ht="17" customHeight="1" x14ac:dyDescent="0.35">
      <c r="A9" s="41"/>
      <c r="B9" s="42">
        <v>34070</v>
      </c>
      <c r="C9" s="41" t="s">
        <v>26</v>
      </c>
      <c r="D9" s="43">
        <v>86</v>
      </c>
      <c r="E9" s="44">
        <v>12.99</v>
      </c>
      <c r="F9" s="44">
        <v>6.81</v>
      </c>
      <c r="G9" s="45">
        <v>1117.1400000000001</v>
      </c>
      <c r="H9" s="45">
        <v>585.66</v>
      </c>
      <c r="I9" s="45">
        <v>531.48000000000013</v>
      </c>
      <c r="J9" s="46">
        <v>0.47575057736720561</v>
      </c>
    </row>
    <row r="10" spans="1:11" s="40" customFormat="1" ht="17" customHeight="1" x14ac:dyDescent="0.35">
      <c r="A10" s="35"/>
      <c r="B10" s="34">
        <v>34041</v>
      </c>
      <c r="C10" s="35" t="s">
        <v>43</v>
      </c>
      <c r="D10" s="36">
        <v>70</v>
      </c>
      <c r="E10" s="37">
        <v>6.99</v>
      </c>
      <c r="F10" s="37">
        <v>3.15</v>
      </c>
      <c r="G10" s="38">
        <v>489.3</v>
      </c>
      <c r="H10" s="38">
        <v>220.5</v>
      </c>
      <c r="I10" s="38">
        <v>268.8</v>
      </c>
      <c r="J10" s="39">
        <v>0.54935622317596566</v>
      </c>
    </row>
    <row r="11" spans="1:11" s="40" customFormat="1" ht="17" customHeight="1" x14ac:dyDescent="0.35">
      <c r="A11" s="41"/>
      <c r="B11" s="42">
        <v>50037</v>
      </c>
      <c r="C11" s="41" t="s">
        <v>22</v>
      </c>
      <c r="D11" s="43">
        <v>65</v>
      </c>
      <c r="E11" s="44">
        <v>25.99</v>
      </c>
      <c r="F11" s="44">
        <v>13.4</v>
      </c>
      <c r="G11" s="45">
        <v>1689.35</v>
      </c>
      <c r="H11" s="45">
        <v>871</v>
      </c>
      <c r="I11" s="45">
        <v>818.34999999999991</v>
      </c>
      <c r="J11" s="46">
        <v>0.48441708349365137</v>
      </c>
    </row>
    <row r="12" spans="1:11" s="40" customFormat="1" ht="17" customHeight="1" x14ac:dyDescent="0.35">
      <c r="A12" s="35"/>
      <c r="B12" s="34">
        <v>34046</v>
      </c>
      <c r="C12" s="35" t="s">
        <v>37</v>
      </c>
      <c r="D12" s="36">
        <v>50</v>
      </c>
      <c r="E12" s="37">
        <v>19.989999999999998</v>
      </c>
      <c r="F12" s="37">
        <v>12.2</v>
      </c>
      <c r="G12" s="38">
        <v>999.49999999999989</v>
      </c>
      <c r="H12" s="38">
        <v>610</v>
      </c>
      <c r="I12" s="38">
        <v>389.49999999999989</v>
      </c>
      <c r="J12" s="39">
        <v>0.3896948474237118</v>
      </c>
    </row>
    <row r="13" spans="1:11" s="40" customFormat="1" ht="17" customHeight="1" x14ac:dyDescent="0.35">
      <c r="A13" s="41"/>
      <c r="B13" s="42">
        <v>34042</v>
      </c>
      <c r="C13" s="41" t="s">
        <v>31</v>
      </c>
      <c r="D13" s="43">
        <v>48</v>
      </c>
      <c r="E13" s="44">
        <v>9.5</v>
      </c>
      <c r="F13" s="44">
        <v>4.1500000000000004</v>
      </c>
      <c r="G13" s="45">
        <v>456</v>
      </c>
      <c r="H13" s="45">
        <v>199.20000000000002</v>
      </c>
      <c r="I13" s="45">
        <v>256.79999999999995</v>
      </c>
      <c r="J13" s="46">
        <v>0.56315789473684197</v>
      </c>
    </row>
    <row r="14" spans="1:11" s="40" customFormat="1" ht="17" customHeight="1" x14ac:dyDescent="0.35">
      <c r="A14" s="35"/>
      <c r="B14" s="34">
        <v>34091</v>
      </c>
      <c r="C14" s="35" t="s">
        <v>28</v>
      </c>
      <c r="D14" s="36">
        <v>40</v>
      </c>
      <c r="E14" s="37">
        <v>19.989999999999998</v>
      </c>
      <c r="F14" s="37">
        <v>12.24</v>
      </c>
      <c r="G14" s="38">
        <v>799.59999999999991</v>
      </c>
      <c r="H14" s="38">
        <v>489.6</v>
      </c>
      <c r="I14" s="38">
        <v>309.99999999999989</v>
      </c>
      <c r="J14" s="39">
        <v>0.38769384692346165</v>
      </c>
    </row>
    <row r="15" spans="1:11" s="40" customFormat="1" ht="17" customHeight="1" x14ac:dyDescent="0.35">
      <c r="A15" s="41"/>
      <c r="B15" s="42">
        <v>34024</v>
      </c>
      <c r="C15" s="41" t="s">
        <v>23</v>
      </c>
      <c r="D15" s="43">
        <v>36</v>
      </c>
      <c r="E15" s="44">
        <v>37.99</v>
      </c>
      <c r="F15" s="44">
        <v>16.5</v>
      </c>
      <c r="G15" s="45">
        <v>1367.64</v>
      </c>
      <c r="H15" s="45">
        <v>594</v>
      </c>
      <c r="I15" s="45">
        <v>773.6400000000001</v>
      </c>
      <c r="J15" s="46">
        <v>0.56567517767833642</v>
      </c>
    </row>
    <row r="16" spans="1:11" s="40" customFormat="1" ht="17" customHeight="1" x14ac:dyDescent="0.35">
      <c r="A16" s="35"/>
      <c r="B16" s="34">
        <v>57073</v>
      </c>
      <c r="C16" s="35" t="s">
        <v>21</v>
      </c>
      <c r="D16" s="36">
        <v>36</v>
      </c>
      <c r="E16" s="37">
        <v>36.99</v>
      </c>
      <c r="F16" s="37">
        <v>16.05</v>
      </c>
      <c r="G16" s="38">
        <v>1331.64</v>
      </c>
      <c r="H16" s="38">
        <v>577.80000000000007</v>
      </c>
      <c r="I16" s="38">
        <v>753.84</v>
      </c>
      <c r="J16" s="39">
        <v>0.56609894566098939</v>
      </c>
    </row>
    <row r="17" spans="1:10" s="40" customFormat="1" ht="17" customHeight="1" x14ac:dyDescent="0.35">
      <c r="A17" s="41"/>
      <c r="B17" s="42">
        <v>41464</v>
      </c>
      <c r="C17" s="41" t="s">
        <v>45</v>
      </c>
      <c r="D17" s="43">
        <v>36</v>
      </c>
      <c r="E17" s="44">
        <v>16.989999999999998</v>
      </c>
      <c r="F17" s="44">
        <v>7.73</v>
      </c>
      <c r="G17" s="45">
        <v>611.64</v>
      </c>
      <c r="H17" s="45">
        <v>278.28000000000003</v>
      </c>
      <c r="I17" s="45">
        <v>333.35999999999996</v>
      </c>
      <c r="J17" s="46">
        <v>0.54502648616833427</v>
      </c>
    </row>
    <row r="18" spans="1:10" s="40" customFormat="1" ht="17" customHeight="1" x14ac:dyDescent="0.35">
      <c r="A18" s="35"/>
      <c r="B18" s="34">
        <v>51680</v>
      </c>
      <c r="C18" s="35" t="s">
        <v>33</v>
      </c>
      <c r="D18" s="36">
        <v>34</v>
      </c>
      <c r="E18" s="37">
        <v>21.99</v>
      </c>
      <c r="F18" s="37">
        <v>12.14</v>
      </c>
      <c r="G18" s="38">
        <v>747.66</v>
      </c>
      <c r="H18" s="38">
        <v>412.76</v>
      </c>
      <c r="I18" s="38">
        <v>334.9</v>
      </c>
      <c r="J18" s="39">
        <v>0.44793087767166895</v>
      </c>
    </row>
    <row r="19" spans="1:10" s="40" customFormat="1" ht="17" customHeight="1" x14ac:dyDescent="0.35">
      <c r="A19" s="41"/>
      <c r="B19" s="42">
        <v>33997</v>
      </c>
      <c r="C19" s="41" t="s">
        <v>39</v>
      </c>
      <c r="D19" s="43">
        <v>30</v>
      </c>
      <c r="E19" s="44">
        <v>14.99</v>
      </c>
      <c r="F19" s="44">
        <v>7.62</v>
      </c>
      <c r="G19" s="45">
        <v>449.7</v>
      </c>
      <c r="H19" s="45">
        <v>228.6</v>
      </c>
      <c r="I19" s="45">
        <v>221.1</v>
      </c>
      <c r="J19" s="46">
        <v>0.49166110740493663</v>
      </c>
    </row>
    <row r="20" spans="1:10" s="40" customFormat="1" ht="17" customHeight="1" x14ac:dyDescent="0.35">
      <c r="A20" s="35"/>
      <c r="B20" s="34">
        <v>34023</v>
      </c>
      <c r="C20" s="35" t="s">
        <v>48</v>
      </c>
      <c r="D20" s="36">
        <v>28</v>
      </c>
      <c r="E20" s="37">
        <v>6.99</v>
      </c>
      <c r="F20" s="37">
        <v>2.85</v>
      </c>
      <c r="G20" s="38">
        <v>195.72</v>
      </c>
      <c r="H20" s="38">
        <v>79.8</v>
      </c>
      <c r="I20" s="38">
        <v>115.92</v>
      </c>
      <c r="J20" s="39">
        <v>0.59227467811158796</v>
      </c>
    </row>
    <row r="21" spans="1:10" s="40" customFormat="1" ht="17" customHeight="1" x14ac:dyDescent="0.35">
      <c r="A21" s="41"/>
      <c r="B21" s="42">
        <v>34022</v>
      </c>
      <c r="C21" s="41" t="s">
        <v>54</v>
      </c>
      <c r="D21" s="43">
        <v>24</v>
      </c>
      <c r="E21" s="44">
        <v>5.99</v>
      </c>
      <c r="F21" s="44">
        <v>2.72</v>
      </c>
      <c r="G21" s="45">
        <v>143.76</v>
      </c>
      <c r="H21" s="45">
        <v>65.28</v>
      </c>
      <c r="I21" s="45">
        <v>78.47999999999999</v>
      </c>
      <c r="J21" s="46">
        <v>0.54590984974958257</v>
      </c>
    </row>
    <row r="22" spans="1:10" s="40" customFormat="1" ht="17" customHeight="1" x14ac:dyDescent="0.35">
      <c r="A22" s="35"/>
      <c r="B22" s="34">
        <v>61947</v>
      </c>
      <c r="C22" s="35" t="s">
        <v>42</v>
      </c>
      <c r="D22" s="36">
        <v>8</v>
      </c>
      <c r="E22" s="37">
        <v>28.99</v>
      </c>
      <c r="F22" s="37">
        <v>8.93</v>
      </c>
      <c r="G22" s="38">
        <v>231.92</v>
      </c>
      <c r="H22" s="38">
        <v>71.44</v>
      </c>
      <c r="I22" s="38">
        <v>160.47999999999999</v>
      </c>
      <c r="J22" s="39">
        <v>0.69196274577440497</v>
      </c>
    </row>
    <row r="23" spans="1:10" s="40" customFormat="1" ht="17" customHeight="1" x14ac:dyDescent="0.35">
      <c r="A23" s="41"/>
      <c r="B23" s="42">
        <v>32067</v>
      </c>
      <c r="C23" s="41" t="s">
        <v>29</v>
      </c>
      <c r="D23" s="43">
        <v>8</v>
      </c>
      <c r="E23" s="44">
        <v>34.99</v>
      </c>
      <c r="F23" s="44">
        <v>15.91</v>
      </c>
      <c r="G23" s="45">
        <v>279.92</v>
      </c>
      <c r="H23" s="45">
        <v>127.28</v>
      </c>
      <c r="I23" s="45">
        <v>152.64000000000001</v>
      </c>
      <c r="J23" s="46">
        <v>0.54529865675907407</v>
      </c>
    </row>
    <row r="24" spans="1:10" s="40" customFormat="1" ht="17" customHeight="1" x14ac:dyDescent="0.35">
      <c r="A24" s="35"/>
      <c r="B24" s="34">
        <v>34053</v>
      </c>
      <c r="C24" s="35" t="s">
        <v>57</v>
      </c>
      <c r="D24" s="36">
        <v>6</v>
      </c>
      <c r="E24" s="37">
        <v>15.99</v>
      </c>
      <c r="F24" s="37">
        <v>6.74</v>
      </c>
      <c r="G24" s="38">
        <v>95.94</v>
      </c>
      <c r="H24" s="38">
        <v>40.44</v>
      </c>
      <c r="I24" s="38">
        <v>55.5</v>
      </c>
      <c r="J24" s="39">
        <v>0.57848655409631022</v>
      </c>
    </row>
    <row r="25" spans="1:10" s="40" customFormat="1" ht="17" customHeight="1" x14ac:dyDescent="0.35">
      <c r="A25" s="41"/>
      <c r="B25" s="42">
        <v>32062</v>
      </c>
      <c r="C25" s="41" t="s">
        <v>51</v>
      </c>
      <c r="D25" s="43">
        <v>6</v>
      </c>
      <c r="E25" s="44">
        <v>24.99</v>
      </c>
      <c r="F25" s="44">
        <v>9.68</v>
      </c>
      <c r="G25" s="45">
        <v>149.94</v>
      </c>
      <c r="H25" s="45">
        <v>58.08</v>
      </c>
      <c r="I25" s="45">
        <v>91.86</v>
      </c>
      <c r="J25" s="46">
        <v>0.61264505802320934</v>
      </c>
    </row>
    <row r="26" spans="1:10" s="40" customFormat="1" ht="17" customHeight="1" x14ac:dyDescent="0.35">
      <c r="A26" s="35"/>
      <c r="B26" s="34">
        <v>32063</v>
      </c>
      <c r="C26" s="35" t="s">
        <v>52</v>
      </c>
      <c r="D26" s="36">
        <v>6</v>
      </c>
      <c r="E26" s="37">
        <v>19.989999999999998</v>
      </c>
      <c r="F26" s="37">
        <v>8.5</v>
      </c>
      <c r="G26" s="38">
        <v>119.94</v>
      </c>
      <c r="H26" s="38">
        <v>51</v>
      </c>
      <c r="I26" s="38">
        <v>68.94</v>
      </c>
      <c r="J26" s="39">
        <v>0.57478739369684839</v>
      </c>
    </row>
    <row r="27" spans="1:10" s="40" customFormat="1" ht="17" customHeight="1" x14ac:dyDescent="0.35">
      <c r="A27" s="41"/>
      <c r="B27" s="42">
        <v>34011</v>
      </c>
      <c r="C27" s="41" t="s">
        <v>66</v>
      </c>
      <c r="D27" s="43">
        <v>6</v>
      </c>
      <c r="E27" s="44">
        <v>19.989999999999998</v>
      </c>
      <c r="F27" s="44">
        <v>2.63</v>
      </c>
      <c r="G27" s="45">
        <v>119.94</v>
      </c>
      <c r="H27" s="45">
        <v>15.78</v>
      </c>
      <c r="I27" s="45">
        <v>104.16</v>
      </c>
      <c r="J27" s="46">
        <v>0.86843421710855428</v>
      </c>
    </row>
    <row r="28" spans="1:10" s="40" customFormat="1" ht="17" customHeight="1" x14ac:dyDescent="0.35">
      <c r="A28" s="47" t="s">
        <v>297</v>
      </c>
      <c r="B28" s="48"/>
      <c r="C28" s="48"/>
      <c r="D28" s="49">
        <v>2075.666666666667</v>
      </c>
      <c r="E28" s="50">
        <v>471.27000000000015</v>
      </c>
      <c r="F28" s="50">
        <v>213.20887500000003</v>
      </c>
      <c r="G28" s="51">
        <v>30989.163333333338</v>
      </c>
      <c r="H28" s="51">
        <v>15888.698000000002</v>
      </c>
      <c r="I28" s="51">
        <v>15100.465333333339</v>
      </c>
      <c r="J28" s="52">
        <v>0.48728212410596433</v>
      </c>
    </row>
    <row r="29" spans="1:10" s="40" customFormat="1" ht="17" customHeight="1" x14ac:dyDescent="0.35">
      <c r="A29" s="33">
        <v>102</v>
      </c>
      <c r="B29" s="34">
        <v>52943</v>
      </c>
      <c r="C29" s="35" t="s">
        <v>90</v>
      </c>
      <c r="D29" s="36">
        <v>213</v>
      </c>
      <c r="E29" s="37">
        <v>31.99</v>
      </c>
      <c r="F29" s="37">
        <v>15.17</v>
      </c>
      <c r="G29" s="38">
        <v>6813.87</v>
      </c>
      <c r="H29" s="38">
        <v>3231.21</v>
      </c>
      <c r="I29" s="38">
        <v>3582.66</v>
      </c>
      <c r="J29" s="39">
        <v>0.52578930915911226</v>
      </c>
    </row>
    <row r="30" spans="1:10" s="40" customFormat="1" ht="17" customHeight="1" x14ac:dyDescent="0.35">
      <c r="A30" s="41"/>
      <c r="B30" s="42">
        <v>32127</v>
      </c>
      <c r="C30" s="41" t="s">
        <v>92</v>
      </c>
      <c r="D30" s="43">
        <v>32</v>
      </c>
      <c r="E30" s="44">
        <v>11.99</v>
      </c>
      <c r="F30" s="44">
        <v>6.02</v>
      </c>
      <c r="G30" s="45">
        <v>383.68</v>
      </c>
      <c r="H30" s="45">
        <v>192.64</v>
      </c>
      <c r="I30" s="45">
        <v>191.04000000000002</v>
      </c>
      <c r="J30" s="46">
        <v>0.49791492910758972</v>
      </c>
    </row>
    <row r="31" spans="1:10" s="40" customFormat="1" ht="17" customHeight="1" x14ac:dyDescent="0.35">
      <c r="A31" s="35"/>
      <c r="B31" s="34">
        <v>61939</v>
      </c>
      <c r="C31" s="35" t="s">
        <v>101</v>
      </c>
      <c r="D31" s="36">
        <v>24</v>
      </c>
      <c r="E31" s="37">
        <v>10</v>
      </c>
      <c r="F31" s="37">
        <v>5.09</v>
      </c>
      <c r="G31" s="38">
        <v>240</v>
      </c>
      <c r="H31" s="38">
        <v>122.16</v>
      </c>
      <c r="I31" s="38">
        <v>117.84</v>
      </c>
      <c r="J31" s="39">
        <v>0.49099999999999999</v>
      </c>
    </row>
    <row r="32" spans="1:10" s="40" customFormat="1" ht="17" customHeight="1" x14ac:dyDescent="0.35">
      <c r="A32" s="41"/>
      <c r="B32" s="42">
        <v>33995</v>
      </c>
      <c r="C32" s="41" t="s">
        <v>91</v>
      </c>
      <c r="D32" s="43">
        <v>16</v>
      </c>
      <c r="E32" s="44">
        <v>15.99</v>
      </c>
      <c r="F32" s="44">
        <v>8.2200000000000006</v>
      </c>
      <c r="G32" s="45">
        <v>255.84</v>
      </c>
      <c r="H32" s="45">
        <v>131.52000000000001</v>
      </c>
      <c r="I32" s="45">
        <v>124.32</v>
      </c>
      <c r="J32" s="46">
        <v>0.48592870544090055</v>
      </c>
    </row>
    <row r="33" spans="1:10" s="40" customFormat="1" ht="17" customHeight="1" x14ac:dyDescent="0.35">
      <c r="A33" s="35"/>
      <c r="B33" s="34">
        <v>42990</v>
      </c>
      <c r="C33" s="35" t="s">
        <v>93</v>
      </c>
      <c r="D33" s="36">
        <v>16</v>
      </c>
      <c r="E33" s="37">
        <v>19.989999999999998</v>
      </c>
      <c r="F33" s="37">
        <v>10.85</v>
      </c>
      <c r="G33" s="38">
        <v>319.83999999999997</v>
      </c>
      <c r="H33" s="38">
        <v>173.6</v>
      </c>
      <c r="I33" s="38">
        <v>146.23999999999998</v>
      </c>
      <c r="J33" s="39">
        <v>0.45722861430715356</v>
      </c>
    </row>
    <row r="34" spans="1:10" s="40" customFormat="1" ht="17" customHeight="1" x14ac:dyDescent="0.35">
      <c r="A34" s="41"/>
      <c r="B34" s="42">
        <v>61938</v>
      </c>
      <c r="C34" s="41" t="s">
        <v>124</v>
      </c>
      <c r="D34" s="43">
        <v>12</v>
      </c>
      <c r="E34" s="44">
        <v>10</v>
      </c>
      <c r="F34" s="44">
        <v>3.43</v>
      </c>
      <c r="G34" s="45">
        <v>120</v>
      </c>
      <c r="H34" s="45">
        <v>41.160000000000004</v>
      </c>
      <c r="I34" s="45">
        <v>78.84</v>
      </c>
      <c r="J34" s="46">
        <v>0.65700000000000003</v>
      </c>
    </row>
    <row r="35" spans="1:10" s="40" customFormat="1" ht="17" customHeight="1" x14ac:dyDescent="0.35">
      <c r="A35" s="35"/>
      <c r="B35" s="34">
        <v>34008</v>
      </c>
      <c r="C35" s="35" t="s">
        <v>104</v>
      </c>
      <c r="D35" s="36">
        <v>12</v>
      </c>
      <c r="E35" s="37">
        <v>5.99</v>
      </c>
      <c r="F35" s="37">
        <v>4.32</v>
      </c>
      <c r="G35" s="38">
        <v>71.88</v>
      </c>
      <c r="H35" s="38">
        <v>51.84</v>
      </c>
      <c r="I35" s="38">
        <v>20.039999999999992</v>
      </c>
      <c r="J35" s="39">
        <v>0.27879799666110172</v>
      </c>
    </row>
    <row r="36" spans="1:10" s="40" customFormat="1" ht="17" customHeight="1" x14ac:dyDescent="0.35">
      <c r="A36" s="41"/>
      <c r="B36" s="42">
        <v>61937</v>
      </c>
      <c r="C36" s="41" t="s">
        <v>122</v>
      </c>
      <c r="D36" s="43">
        <v>10</v>
      </c>
      <c r="E36" s="44">
        <v>10</v>
      </c>
      <c r="F36" s="44">
        <v>2.67</v>
      </c>
      <c r="G36" s="45">
        <v>100</v>
      </c>
      <c r="H36" s="45">
        <v>26.7</v>
      </c>
      <c r="I36" s="45">
        <v>73.3</v>
      </c>
      <c r="J36" s="46">
        <v>0.73299999999999998</v>
      </c>
    </row>
    <row r="37" spans="1:10" s="40" customFormat="1" ht="17" customHeight="1" x14ac:dyDescent="0.35">
      <c r="A37" s="35"/>
      <c r="B37" s="34">
        <v>42797</v>
      </c>
      <c r="C37" s="35" t="s">
        <v>99</v>
      </c>
      <c r="D37" s="36">
        <v>10</v>
      </c>
      <c r="E37" s="37">
        <v>23.98</v>
      </c>
      <c r="F37" s="37">
        <v>9.9600000000000009</v>
      </c>
      <c r="G37" s="38">
        <v>119.9</v>
      </c>
      <c r="H37" s="38">
        <v>51.2</v>
      </c>
      <c r="I37" s="38">
        <v>68.7</v>
      </c>
      <c r="J37" s="39">
        <v>0.57297748123436198</v>
      </c>
    </row>
    <row r="38" spans="1:10" s="40" customFormat="1" ht="17" customHeight="1" x14ac:dyDescent="0.35">
      <c r="A38" s="41"/>
      <c r="B38" s="42">
        <v>32131</v>
      </c>
      <c r="C38" s="41" t="s">
        <v>94</v>
      </c>
      <c r="D38" s="43">
        <v>8</v>
      </c>
      <c r="E38" s="44">
        <v>18.989999999999998</v>
      </c>
      <c r="F38" s="44">
        <v>9.1300000000000008</v>
      </c>
      <c r="G38" s="45">
        <v>151.91999999999999</v>
      </c>
      <c r="H38" s="45">
        <v>73.040000000000006</v>
      </c>
      <c r="I38" s="45">
        <v>78.879999999999981</v>
      </c>
      <c r="J38" s="46">
        <v>0.51922064244339117</v>
      </c>
    </row>
    <row r="39" spans="1:10" s="40" customFormat="1" ht="17" customHeight="1" x14ac:dyDescent="0.35">
      <c r="A39" s="35"/>
      <c r="B39" s="34">
        <v>33031</v>
      </c>
      <c r="C39" s="35" t="s">
        <v>97</v>
      </c>
      <c r="D39" s="36">
        <v>8</v>
      </c>
      <c r="E39" s="37">
        <v>17.989999999999998</v>
      </c>
      <c r="F39" s="37">
        <v>9.1199999999999992</v>
      </c>
      <c r="G39" s="38">
        <v>143.91999999999999</v>
      </c>
      <c r="H39" s="38">
        <v>72.959999999999994</v>
      </c>
      <c r="I39" s="38">
        <v>70.959999999999994</v>
      </c>
      <c r="J39" s="39">
        <v>0.49305169538632576</v>
      </c>
    </row>
    <row r="40" spans="1:10" s="40" customFormat="1" ht="17" customHeight="1" x14ac:dyDescent="0.35">
      <c r="A40" s="41"/>
      <c r="B40" s="42">
        <v>32872</v>
      </c>
      <c r="C40" s="41" t="s">
        <v>98</v>
      </c>
      <c r="D40" s="43">
        <v>8</v>
      </c>
      <c r="E40" s="44">
        <v>39.99</v>
      </c>
      <c r="F40" s="44">
        <v>11.79</v>
      </c>
      <c r="G40" s="45">
        <v>319.92</v>
      </c>
      <c r="H40" s="45">
        <v>94.32</v>
      </c>
      <c r="I40" s="45">
        <v>225.60000000000002</v>
      </c>
      <c r="J40" s="46">
        <v>0.70517629407351845</v>
      </c>
    </row>
    <row r="41" spans="1:10" s="40" customFormat="1" ht="17" customHeight="1" x14ac:dyDescent="0.35">
      <c r="A41" s="35"/>
      <c r="B41" s="34">
        <v>32152</v>
      </c>
      <c r="C41" s="35" t="s">
        <v>100</v>
      </c>
      <c r="D41" s="36">
        <v>6</v>
      </c>
      <c r="E41" s="37">
        <v>12.99</v>
      </c>
      <c r="F41" s="37">
        <v>6.77</v>
      </c>
      <c r="G41" s="38">
        <v>77.94</v>
      </c>
      <c r="H41" s="38">
        <v>40.619999999999997</v>
      </c>
      <c r="I41" s="38">
        <v>37.32</v>
      </c>
      <c r="J41" s="39">
        <v>0.47882986913010012</v>
      </c>
    </row>
    <row r="42" spans="1:10" s="40" customFormat="1" ht="17" customHeight="1" x14ac:dyDescent="0.35">
      <c r="A42" s="41"/>
      <c r="B42" s="42">
        <v>32855</v>
      </c>
      <c r="C42" s="41" t="s">
        <v>110</v>
      </c>
      <c r="D42" s="43">
        <v>6</v>
      </c>
      <c r="E42" s="44">
        <v>17.989999999999998</v>
      </c>
      <c r="F42" s="44">
        <v>9.14</v>
      </c>
      <c r="G42" s="45">
        <v>107.94</v>
      </c>
      <c r="H42" s="45">
        <v>54.84</v>
      </c>
      <c r="I42" s="45">
        <v>53.099999999999994</v>
      </c>
      <c r="J42" s="46">
        <v>0.49193996664813783</v>
      </c>
    </row>
    <row r="43" spans="1:10" s="40" customFormat="1" ht="17" customHeight="1" x14ac:dyDescent="0.35">
      <c r="A43" s="35"/>
      <c r="B43" s="34">
        <v>39422</v>
      </c>
      <c r="C43" s="35" t="s">
        <v>120</v>
      </c>
      <c r="D43" s="36">
        <v>6</v>
      </c>
      <c r="E43" s="37">
        <v>15.99</v>
      </c>
      <c r="F43" s="37">
        <v>8.3000000000000007</v>
      </c>
      <c r="G43" s="38">
        <v>95.94</v>
      </c>
      <c r="H43" s="38">
        <v>49.800000000000004</v>
      </c>
      <c r="I43" s="38">
        <v>46.139999999999993</v>
      </c>
      <c r="J43" s="39">
        <v>0.48092557848655404</v>
      </c>
    </row>
    <row r="44" spans="1:10" s="40" customFormat="1" ht="17" customHeight="1" x14ac:dyDescent="0.35">
      <c r="A44" s="41"/>
      <c r="B44" s="42">
        <v>55481</v>
      </c>
      <c r="C44" s="41" t="s">
        <v>105</v>
      </c>
      <c r="D44" s="43">
        <v>6</v>
      </c>
      <c r="E44" s="44">
        <v>11.99</v>
      </c>
      <c r="F44" s="44">
        <v>5.0999999999999996</v>
      </c>
      <c r="G44" s="45">
        <v>71.94</v>
      </c>
      <c r="H44" s="45">
        <v>30.599999999999998</v>
      </c>
      <c r="I44" s="45">
        <v>41.34</v>
      </c>
      <c r="J44" s="46">
        <v>0.57464553794829032</v>
      </c>
    </row>
    <row r="45" spans="1:10" s="40" customFormat="1" ht="17" customHeight="1" x14ac:dyDescent="0.35">
      <c r="A45" s="35"/>
      <c r="B45" s="34">
        <v>34015</v>
      </c>
      <c r="C45" s="35" t="s">
        <v>106</v>
      </c>
      <c r="D45" s="36">
        <v>6</v>
      </c>
      <c r="E45" s="37">
        <v>29.99</v>
      </c>
      <c r="F45" s="37">
        <v>3.1788888888888902</v>
      </c>
      <c r="G45" s="38">
        <v>179.94</v>
      </c>
      <c r="H45" s="38">
        <v>19.073333333333341</v>
      </c>
      <c r="I45" s="38">
        <v>160.86666666666665</v>
      </c>
      <c r="J45" s="39">
        <v>0.89400170427179415</v>
      </c>
    </row>
    <row r="46" spans="1:10" s="40" customFormat="1" ht="17" customHeight="1" x14ac:dyDescent="0.35">
      <c r="A46" s="47" t="s">
        <v>298</v>
      </c>
      <c r="B46" s="48"/>
      <c r="C46" s="48"/>
      <c r="D46" s="49">
        <v>399</v>
      </c>
      <c r="E46" s="50">
        <v>305.85000000000002</v>
      </c>
      <c r="F46" s="50">
        <v>128.25888888888889</v>
      </c>
      <c r="G46" s="51">
        <v>9574.4700000000012</v>
      </c>
      <c r="H46" s="51">
        <v>4457.2833333333338</v>
      </c>
      <c r="I46" s="51">
        <v>5117.1866666666674</v>
      </c>
      <c r="J46" s="52">
        <v>0.53446161162619621</v>
      </c>
    </row>
    <row r="47" spans="1:10" s="40" customFormat="1" ht="17" customHeight="1" x14ac:dyDescent="0.35">
      <c r="A47" s="53">
        <v>104</v>
      </c>
      <c r="B47" s="42">
        <v>34095</v>
      </c>
      <c r="C47" s="41" t="s">
        <v>235</v>
      </c>
      <c r="D47" s="43">
        <v>15</v>
      </c>
      <c r="E47" s="44">
        <v>29.99</v>
      </c>
      <c r="F47" s="44">
        <v>12.52</v>
      </c>
      <c r="G47" s="45">
        <v>449.84999999999997</v>
      </c>
      <c r="H47" s="45">
        <v>187.79999999999998</v>
      </c>
      <c r="I47" s="45">
        <v>262.04999999999995</v>
      </c>
      <c r="J47" s="46">
        <v>0.58252750916972318</v>
      </c>
    </row>
    <row r="48" spans="1:10" s="40" customFormat="1" ht="17" customHeight="1" x14ac:dyDescent="0.35">
      <c r="A48" s="35"/>
      <c r="B48" s="34">
        <v>34083</v>
      </c>
      <c r="C48" s="35" t="s">
        <v>233</v>
      </c>
      <c r="D48" s="36">
        <v>10</v>
      </c>
      <c r="E48" s="37">
        <v>49.99</v>
      </c>
      <c r="F48" s="37">
        <v>13.76</v>
      </c>
      <c r="G48" s="38">
        <v>499.90000000000003</v>
      </c>
      <c r="H48" s="38">
        <v>137.6</v>
      </c>
      <c r="I48" s="38">
        <v>362.30000000000007</v>
      </c>
      <c r="J48" s="39">
        <v>0.72474494898979802</v>
      </c>
    </row>
    <row r="49" spans="1:10" s="40" customFormat="1" ht="17" customHeight="1" x14ac:dyDescent="0.35">
      <c r="A49" s="41"/>
      <c r="B49" s="42">
        <v>34082</v>
      </c>
      <c r="C49" s="41" t="s">
        <v>237</v>
      </c>
      <c r="D49" s="43">
        <v>5</v>
      </c>
      <c r="E49" s="44">
        <v>49.99</v>
      </c>
      <c r="F49" s="44">
        <v>24.65</v>
      </c>
      <c r="G49" s="45">
        <v>249.95000000000002</v>
      </c>
      <c r="H49" s="45">
        <v>123.25</v>
      </c>
      <c r="I49" s="45">
        <v>126.70000000000002</v>
      </c>
      <c r="J49" s="46">
        <v>0.50690138027605525</v>
      </c>
    </row>
    <row r="50" spans="1:10" s="40" customFormat="1" ht="17" customHeight="1" x14ac:dyDescent="0.35">
      <c r="A50" s="35"/>
      <c r="B50" s="34">
        <v>34079</v>
      </c>
      <c r="C50" s="35" t="s">
        <v>236</v>
      </c>
      <c r="D50" s="36">
        <v>3</v>
      </c>
      <c r="E50" s="37">
        <v>49.99</v>
      </c>
      <c r="F50" s="37">
        <v>25.03</v>
      </c>
      <c r="G50" s="38">
        <v>149.97</v>
      </c>
      <c r="H50" s="38">
        <v>75.09</v>
      </c>
      <c r="I50" s="38">
        <v>74.88</v>
      </c>
      <c r="J50" s="39">
        <v>0.49929985997199439</v>
      </c>
    </row>
    <row r="51" spans="1:10" s="40" customFormat="1" ht="17" customHeight="1" x14ac:dyDescent="0.35">
      <c r="A51" s="47" t="s">
        <v>299</v>
      </c>
      <c r="B51" s="48"/>
      <c r="C51" s="48"/>
      <c r="D51" s="49">
        <v>33</v>
      </c>
      <c r="E51" s="50">
        <v>179.96</v>
      </c>
      <c r="F51" s="50">
        <v>75.959999999999994</v>
      </c>
      <c r="G51" s="51">
        <v>1349.67</v>
      </c>
      <c r="H51" s="51">
        <v>523.74</v>
      </c>
      <c r="I51" s="51">
        <v>825.93000000000006</v>
      </c>
      <c r="J51" s="52">
        <v>0.61194958767698771</v>
      </c>
    </row>
    <row r="52" spans="1:10" s="40" customFormat="1" ht="17" customHeight="1" x14ac:dyDescent="0.35">
      <c r="A52" s="53">
        <v>106</v>
      </c>
      <c r="B52" s="42">
        <v>54018</v>
      </c>
      <c r="C52" s="41" t="s">
        <v>243</v>
      </c>
      <c r="D52" s="43">
        <v>93</v>
      </c>
      <c r="E52" s="44">
        <v>18.989999999999998</v>
      </c>
      <c r="F52" s="44">
        <v>9.83</v>
      </c>
      <c r="G52" s="45">
        <v>1766.07</v>
      </c>
      <c r="H52" s="45">
        <v>914.19</v>
      </c>
      <c r="I52" s="45">
        <v>851.87999999999988</v>
      </c>
      <c r="J52" s="46">
        <v>0.48235913638757233</v>
      </c>
    </row>
    <row r="53" spans="1:10" s="40" customFormat="1" ht="17" customHeight="1" x14ac:dyDescent="0.35">
      <c r="A53" s="47" t="s">
        <v>300</v>
      </c>
      <c r="B53" s="48"/>
      <c r="C53" s="48"/>
      <c r="D53" s="49">
        <v>93</v>
      </c>
      <c r="E53" s="50">
        <v>18.989999999999998</v>
      </c>
      <c r="F53" s="50">
        <v>9.83</v>
      </c>
      <c r="G53" s="51">
        <v>1766.07</v>
      </c>
      <c r="H53" s="51">
        <v>914.19</v>
      </c>
      <c r="I53" s="51">
        <v>851.87999999999988</v>
      </c>
      <c r="J53" s="52">
        <v>0.48235913638757233</v>
      </c>
    </row>
    <row r="54" spans="1:10" s="40" customFormat="1" ht="17" customHeight="1" x14ac:dyDescent="0.35">
      <c r="A54" s="33">
        <v>117</v>
      </c>
      <c r="B54" s="34">
        <v>34034</v>
      </c>
      <c r="C54" s="35" t="s">
        <v>253</v>
      </c>
      <c r="D54" s="36">
        <v>24</v>
      </c>
      <c r="E54" s="37">
        <v>19.989999999999998</v>
      </c>
      <c r="F54" s="37">
        <v>8.43</v>
      </c>
      <c r="G54" s="38">
        <v>479.76</v>
      </c>
      <c r="H54" s="38">
        <v>202.32</v>
      </c>
      <c r="I54" s="38">
        <v>277.44</v>
      </c>
      <c r="J54" s="39">
        <v>0.5782891445722862</v>
      </c>
    </row>
    <row r="55" spans="1:10" s="40" customFormat="1" ht="17" customHeight="1" x14ac:dyDescent="0.35">
      <c r="A55" s="41"/>
      <c r="B55" s="42">
        <v>41620</v>
      </c>
      <c r="C55" s="41" t="s">
        <v>255</v>
      </c>
      <c r="D55" s="43">
        <v>6</v>
      </c>
      <c r="E55" s="44">
        <v>15.99</v>
      </c>
      <c r="F55" s="44">
        <v>8.11</v>
      </c>
      <c r="G55" s="45">
        <v>95.94</v>
      </c>
      <c r="H55" s="45">
        <v>48.66</v>
      </c>
      <c r="I55" s="45">
        <v>47.28</v>
      </c>
      <c r="J55" s="46">
        <v>0.49280800500312699</v>
      </c>
    </row>
    <row r="56" spans="1:10" s="40" customFormat="1" ht="17" customHeight="1" x14ac:dyDescent="0.35">
      <c r="A56" s="47" t="s">
        <v>301</v>
      </c>
      <c r="B56" s="48"/>
      <c r="C56" s="48"/>
      <c r="D56" s="49">
        <v>30</v>
      </c>
      <c r="E56" s="50">
        <v>35.979999999999997</v>
      </c>
      <c r="F56" s="50">
        <v>16.54</v>
      </c>
      <c r="G56" s="51">
        <v>575.70000000000005</v>
      </c>
      <c r="H56" s="51">
        <v>250.98</v>
      </c>
      <c r="I56" s="51">
        <v>324.72000000000003</v>
      </c>
      <c r="J56" s="52">
        <v>0.56404377279833251</v>
      </c>
    </row>
    <row r="57" spans="1:10" s="40" customFormat="1" ht="17" customHeight="1" x14ac:dyDescent="0.35">
      <c r="A57" s="54" t="s">
        <v>296</v>
      </c>
      <c r="B57" s="55"/>
      <c r="C57" s="55"/>
      <c r="D57" s="56">
        <v>2630.666666666667</v>
      </c>
      <c r="E57" s="57">
        <v>1012.0500000000003</v>
      </c>
      <c r="F57" s="57">
        <v>443.79776388888899</v>
      </c>
      <c r="G57" s="58">
        <v>44255.073333333334</v>
      </c>
      <c r="H57" s="58">
        <v>22034.891333333329</v>
      </c>
      <c r="I57" s="58">
        <v>22220.182000000004</v>
      </c>
      <c r="J57" s="59">
        <v>0.50209343983311305</v>
      </c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B2007-5F28-415A-94A7-E2D1FFB99AEA}">
  <dimension ref="A1:J820"/>
  <sheetViews>
    <sheetView tabSelected="1" topLeftCell="A533" workbookViewId="0"/>
  </sheetViews>
  <sheetFormatPr defaultRowHeight="13" x14ac:dyDescent="0.35"/>
  <cols>
    <col min="1" max="1" width="36.5" bestFit="1" customWidth="1"/>
    <col min="2" max="2" width="16.296875" bestFit="1" customWidth="1"/>
    <col min="3" max="3" width="14" bestFit="1" customWidth="1"/>
    <col min="4" max="4" width="41.8984375" bestFit="1" customWidth="1"/>
    <col min="5" max="5" width="6.3984375" style="12" bestFit="1" customWidth="1"/>
    <col min="6" max="6" width="8.8984375" style="12" bestFit="1" customWidth="1"/>
    <col min="7" max="7" width="5.8984375" style="75" bestFit="1" customWidth="1"/>
    <col min="8" max="8" width="11" bestFit="1" customWidth="1"/>
    <col min="9" max="9" width="16.09765625" style="12" bestFit="1" customWidth="1"/>
    <col min="10" max="10" width="14.5" style="12" bestFit="1" customWidth="1"/>
  </cols>
  <sheetData>
    <row r="1" spans="1:10" x14ac:dyDescent="0.35">
      <c r="A1" s="74" t="s">
        <v>0</v>
      </c>
      <c r="B1" s="74" t="s">
        <v>309</v>
      </c>
      <c r="C1" s="74" t="s">
        <v>1</v>
      </c>
      <c r="D1" s="74" t="s">
        <v>2</v>
      </c>
      <c r="E1" s="77" t="s">
        <v>3</v>
      </c>
      <c r="F1" s="77" t="s">
        <v>4</v>
      </c>
      <c r="G1" s="76" t="s">
        <v>317</v>
      </c>
      <c r="H1" s="74" t="s">
        <v>318</v>
      </c>
      <c r="I1" s="77" t="s">
        <v>6</v>
      </c>
      <c r="J1" s="77" t="s">
        <v>8</v>
      </c>
    </row>
    <row r="2" spans="1:10" x14ac:dyDescent="0.35">
      <c r="A2" t="s">
        <v>14</v>
      </c>
      <c r="B2">
        <v>101</v>
      </c>
      <c r="C2">
        <v>59381</v>
      </c>
      <c r="D2" t="s">
        <v>15</v>
      </c>
      <c r="E2" s="12">
        <v>13.99</v>
      </c>
      <c r="F2" s="12">
        <v>7.36</v>
      </c>
      <c r="G2" s="75">
        <v>46188</v>
      </c>
      <c r="H2" t="s">
        <v>315</v>
      </c>
      <c r="I2" s="12">
        <v>1216.5217391304348</v>
      </c>
      <c r="J2" s="12">
        <v>100</v>
      </c>
    </row>
    <row r="3" spans="1:10" x14ac:dyDescent="0.35">
      <c r="A3" t="s">
        <v>14</v>
      </c>
      <c r="B3">
        <v>101</v>
      </c>
      <c r="C3">
        <v>59381</v>
      </c>
      <c r="D3" t="s">
        <v>15</v>
      </c>
      <c r="E3" s="12">
        <v>13.99</v>
      </c>
      <c r="F3" s="12">
        <v>7.36</v>
      </c>
      <c r="G3" s="75">
        <v>46189</v>
      </c>
      <c r="H3" t="s">
        <v>316</v>
      </c>
      <c r="I3" s="12">
        <v>1094.8695652173913</v>
      </c>
      <c r="J3" s="12">
        <v>90</v>
      </c>
    </row>
    <row r="4" spans="1:10" x14ac:dyDescent="0.35">
      <c r="A4" t="s">
        <v>14</v>
      </c>
      <c r="B4">
        <v>101</v>
      </c>
      <c r="C4">
        <v>59381</v>
      </c>
      <c r="D4" t="s">
        <v>15</v>
      </c>
      <c r="E4" s="12">
        <v>13.99</v>
      </c>
      <c r="F4" s="12">
        <v>7.36</v>
      </c>
      <c r="G4" s="75">
        <v>46190</v>
      </c>
      <c r="H4" t="s">
        <v>340</v>
      </c>
      <c r="I4" s="12">
        <v>1094.8608695652174</v>
      </c>
      <c r="J4" s="12">
        <v>91</v>
      </c>
    </row>
    <row r="5" spans="1:10" x14ac:dyDescent="0.35">
      <c r="A5" t="s">
        <v>14</v>
      </c>
      <c r="B5">
        <v>101</v>
      </c>
      <c r="C5">
        <v>59425</v>
      </c>
      <c r="D5" t="s">
        <v>17</v>
      </c>
      <c r="E5" s="12">
        <v>10.99</v>
      </c>
      <c r="F5" s="12">
        <v>6.3</v>
      </c>
      <c r="G5" s="75">
        <v>46188</v>
      </c>
      <c r="H5" t="s">
        <v>315</v>
      </c>
      <c r="I5" s="12">
        <v>659.4</v>
      </c>
      <c r="J5" s="12">
        <v>60</v>
      </c>
    </row>
    <row r="6" spans="1:10" x14ac:dyDescent="0.35">
      <c r="A6" t="s">
        <v>14</v>
      </c>
      <c r="B6">
        <v>101</v>
      </c>
      <c r="C6">
        <v>59425</v>
      </c>
      <c r="D6" t="s">
        <v>17</v>
      </c>
      <c r="E6" s="12">
        <v>10.99</v>
      </c>
      <c r="F6" s="12">
        <v>6.3</v>
      </c>
      <c r="G6" s="75">
        <v>46189</v>
      </c>
      <c r="H6" t="s">
        <v>316</v>
      </c>
      <c r="I6" s="12">
        <v>0</v>
      </c>
      <c r="J6" s="12">
        <v>0</v>
      </c>
    </row>
    <row r="7" spans="1:10" x14ac:dyDescent="0.35">
      <c r="A7" t="s">
        <v>14</v>
      </c>
      <c r="B7">
        <v>101</v>
      </c>
      <c r="C7">
        <v>59425</v>
      </c>
      <c r="D7" t="s">
        <v>17</v>
      </c>
      <c r="E7" s="12">
        <v>10.99</v>
      </c>
      <c r="F7" s="12">
        <v>6.3</v>
      </c>
      <c r="G7" s="75">
        <v>46190</v>
      </c>
      <c r="H7" t="s">
        <v>340</v>
      </c>
      <c r="I7" s="12">
        <v>259.36</v>
      </c>
      <c r="J7" s="12">
        <v>24</v>
      </c>
    </row>
    <row r="8" spans="1:10" x14ac:dyDescent="0.35">
      <c r="A8" t="s">
        <v>14</v>
      </c>
      <c r="B8">
        <v>101</v>
      </c>
      <c r="C8">
        <v>34690</v>
      </c>
      <c r="D8" t="s">
        <v>18</v>
      </c>
      <c r="E8" s="12">
        <v>16.989999999999998</v>
      </c>
      <c r="F8" s="12">
        <v>7.7</v>
      </c>
      <c r="G8" s="75">
        <v>46188</v>
      </c>
      <c r="H8" t="s">
        <v>315</v>
      </c>
      <c r="I8" s="12">
        <v>457.99130434782614</v>
      </c>
      <c r="J8" s="12">
        <v>31</v>
      </c>
    </row>
    <row r="9" spans="1:10" x14ac:dyDescent="0.35">
      <c r="A9" t="s">
        <v>14</v>
      </c>
      <c r="B9">
        <v>101</v>
      </c>
      <c r="C9">
        <v>34690</v>
      </c>
      <c r="D9" t="s">
        <v>18</v>
      </c>
      <c r="E9" s="12">
        <v>16.989999999999998</v>
      </c>
      <c r="F9" s="12">
        <v>7.7</v>
      </c>
      <c r="G9" s="75">
        <v>46189</v>
      </c>
      <c r="H9" t="s">
        <v>316</v>
      </c>
      <c r="I9" s="12">
        <v>398.89565217391305</v>
      </c>
      <c r="J9" s="12">
        <v>27</v>
      </c>
    </row>
    <row r="10" spans="1:10" x14ac:dyDescent="0.35">
      <c r="A10" t="s">
        <v>14</v>
      </c>
      <c r="B10">
        <v>101</v>
      </c>
      <c r="C10">
        <v>34690</v>
      </c>
      <c r="D10" t="s">
        <v>18</v>
      </c>
      <c r="E10" s="12">
        <v>16.989999999999998</v>
      </c>
      <c r="F10" s="12">
        <v>7.7</v>
      </c>
      <c r="G10" s="75">
        <v>46190</v>
      </c>
      <c r="H10" t="s">
        <v>340</v>
      </c>
      <c r="I10" s="12">
        <v>484.58260869565214</v>
      </c>
      <c r="J10" s="12">
        <v>33</v>
      </c>
    </row>
    <row r="11" spans="1:10" x14ac:dyDescent="0.35">
      <c r="A11" t="s">
        <v>14</v>
      </c>
      <c r="B11">
        <v>101</v>
      </c>
      <c r="C11">
        <v>32860</v>
      </c>
      <c r="D11" t="s">
        <v>16</v>
      </c>
      <c r="E11" s="12">
        <v>20.99</v>
      </c>
      <c r="F11" s="12">
        <v>11.1</v>
      </c>
      <c r="G11" s="75">
        <v>46188</v>
      </c>
      <c r="H11" t="s">
        <v>315</v>
      </c>
      <c r="I11" s="12">
        <v>365.04347826086956</v>
      </c>
      <c r="J11" s="12">
        <v>20</v>
      </c>
    </row>
    <row r="12" spans="1:10" x14ac:dyDescent="0.35">
      <c r="A12" t="s">
        <v>14</v>
      </c>
      <c r="B12">
        <v>101</v>
      </c>
      <c r="C12">
        <v>32860</v>
      </c>
      <c r="D12" t="s">
        <v>16</v>
      </c>
      <c r="E12" s="12">
        <v>20.99</v>
      </c>
      <c r="F12" s="12">
        <v>11.1</v>
      </c>
      <c r="G12" s="75">
        <v>46189</v>
      </c>
      <c r="H12" t="s">
        <v>316</v>
      </c>
      <c r="I12" s="12">
        <v>200.77391304347825</v>
      </c>
      <c r="J12" s="12">
        <v>11</v>
      </c>
    </row>
    <row r="13" spans="1:10" x14ac:dyDescent="0.35">
      <c r="A13" t="s">
        <v>14</v>
      </c>
      <c r="B13">
        <v>101</v>
      </c>
      <c r="C13">
        <v>32860</v>
      </c>
      <c r="D13" t="s">
        <v>16</v>
      </c>
      <c r="E13" s="12">
        <v>20.99</v>
      </c>
      <c r="F13" s="12">
        <v>11.1</v>
      </c>
      <c r="G13" s="75">
        <v>46190</v>
      </c>
      <c r="H13" t="s">
        <v>340</v>
      </c>
      <c r="I13" s="12">
        <v>199.8608695652174</v>
      </c>
      <c r="J13" s="12">
        <v>11</v>
      </c>
    </row>
    <row r="14" spans="1:10" x14ac:dyDescent="0.35">
      <c r="A14" t="s">
        <v>14</v>
      </c>
      <c r="B14">
        <v>102</v>
      </c>
      <c r="C14">
        <v>33995</v>
      </c>
      <c r="D14" t="s">
        <v>91</v>
      </c>
      <c r="E14" s="12">
        <v>15.99</v>
      </c>
      <c r="F14" s="12">
        <v>8.2200000000000006</v>
      </c>
      <c r="G14" s="75">
        <v>46188</v>
      </c>
      <c r="H14" t="s">
        <v>315</v>
      </c>
      <c r="I14" s="12">
        <v>278.08695652173913</v>
      </c>
      <c r="J14" s="12">
        <v>20</v>
      </c>
    </row>
    <row r="15" spans="1:10" x14ac:dyDescent="0.35">
      <c r="A15" t="s">
        <v>14</v>
      </c>
      <c r="B15">
        <v>102</v>
      </c>
      <c r="C15">
        <v>33995</v>
      </c>
      <c r="D15" t="s">
        <v>91</v>
      </c>
      <c r="E15" s="12">
        <v>15.99</v>
      </c>
      <c r="F15" s="12">
        <v>8.2200000000000006</v>
      </c>
      <c r="G15" s="75">
        <v>46189</v>
      </c>
      <c r="H15" t="s">
        <v>316</v>
      </c>
      <c r="I15" s="12">
        <v>97.330434782608705</v>
      </c>
      <c r="J15" s="12">
        <v>7</v>
      </c>
    </row>
    <row r="16" spans="1:10" x14ac:dyDescent="0.35">
      <c r="A16" t="s">
        <v>14</v>
      </c>
      <c r="B16">
        <v>102</v>
      </c>
      <c r="C16">
        <v>33995</v>
      </c>
      <c r="D16" t="s">
        <v>91</v>
      </c>
      <c r="E16" s="12">
        <v>15.99</v>
      </c>
      <c r="F16" s="12">
        <v>8.2200000000000006</v>
      </c>
      <c r="G16" s="75">
        <v>46190</v>
      </c>
      <c r="H16" t="s">
        <v>340</v>
      </c>
      <c r="I16" s="12">
        <v>97.330434782608705</v>
      </c>
      <c r="J16" s="12">
        <v>7</v>
      </c>
    </row>
    <row r="17" spans="1:10" x14ac:dyDescent="0.35">
      <c r="A17" t="s">
        <v>14</v>
      </c>
      <c r="B17">
        <v>101</v>
      </c>
      <c r="C17">
        <v>34119</v>
      </c>
      <c r="D17" t="s">
        <v>36</v>
      </c>
      <c r="E17" s="12">
        <v>3.3</v>
      </c>
      <c r="F17" s="12">
        <v>1.85</v>
      </c>
      <c r="G17" s="75">
        <v>46188</v>
      </c>
      <c r="H17" t="s">
        <v>315</v>
      </c>
      <c r="I17" s="12">
        <v>229.56521739130434</v>
      </c>
      <c r="J17" s="12">
        <v>80</v>
      </c>
    </row>
    <row r="18" spans="1:10" x14ac:dyDescent="0.35">
      <c r="A18" t="s">
        <v>14</v>
      </c>
      <c r="B18">
        <v>101</v>
      </c>
      <c r="C18">
        <v>34119</v>
      </c>
      <c r="D18" t="s">
        <v>36</v>
      </c>
      <c r="E18" s="12">
        <v>3.3</v>
      </c>
      <c r="F18" s="12">
        <v>1.85</v>
      </c>
      <c r="G18" s="75">
        <v>46189</v>
      </c>
      <c r="H18" t="s">
        <v>316</v>
      </c>
      <c r="I18" s="12">
        <v>0</v>
      </c>
      <c r="J18" s="12">
        <v>0</v>
      </c>
    </row>
    <row r="19" spans="1:10" x14ac:dyDescent="0.35">
      <c r="A19" t="s">
        <v>14</v>
      </c>
      <c r="B19">
        <v>101</v>
      </c>
      <c r="C19">
        <v>34119</v>
      </c>
      <c r="D19" t="s">
        <v>36</v>
      </c>
      <c r="E19" s="12">
        <v>3.3</v>
      </c>
      <c r="F19" s="12">
        <v>1.85</v>
      </c>
      <c r="G19" s="75">
        <v>46190</v>
      </c>
      <c r="H19" t="s">
        <v>340</v>
      </c>
      <c r="I19" s="12">
        <v>0</v>
      </c>
      <c r="J19" s="12">
        <v>0</v>
      </c>
    </row>
    <row r="20" spans="1:10" x14ac:dyDescent="0.35">
      <c r="A20" t="s">
        <v>14</v>
      </c>
      <c r="B20">
        <v>101</v>
      </c>
      <c r="C20">
        <v>57073</v>
      </c>
      <c r="D20" t="s">
        <v>21</v>
      </c>
      <c r="E20" s="12">
        <v>36.99</v>
      </c>
      <c r="F20" s="12">
        <v>16.05</v>
      </c>
      <c r="G20" s="75">
        <v>46188</v>
      </c>
      <c r="H20" t="s">
        <v>315</v>
      </c>
      <c r="I20" s="12">
        <v>225.15652173913043</v>
      </c>
      <c r="J20" s="12">
        <v>7</v>
      </c>
    </row>
    <row r="21" spans="1:10" x14ac:dyDescent="0.35">
      <c r="A21" t="s">
        <v>14</v>
      </c>
      <c r="B21">
        <v>101</v>
      </c>
      <c r="C21">
        <v>57073</v>
      </c>
      <c r="D21" t="s">
        <v>21</v>
      </c>
      <c r="E21" s="12">
        <v>36.99</v>
      </c>
      <c r="F21" s="12">
        <v>16.05</v>
      </c>
      <c r="G21" s="75">
        <v>46189</v>
      </c>
      <c r="H21" t="s">
        <v>316</v>
      </c>
      <c r="I21" s="12">
        <v>32.165217391304353</v>
      </c>
      <c r="J21" s="12">
        <v>1</v>
      </c>
    </row>
    <row r="22" spans="1:10" x14ac:dyDescent="0.35">
      <c r="A22" t="s">
        <v>14</v>
      </c>
      <c r="B22">
        <v>101</v>
      </c>
      <c r="C22">
        <v>57073</v>
      </c>
      <c r="D22" t="s">
        <v>21</v>
      </c>
      <c r="E22" s="12">
        <v>36.99</v>
      </c>
      <c r="F22" s="12">
        <v>16.05</v>
      </c>
      <c r="G22" s="75">
        <v>46190</v>
      </c>
      <c r="H22" t="s">
        <v>340</v>
      </c>
      <c r="I22" s="12">
        <v>0</v>
      </c>
      <c r="J22" s="12">
        <v>0</v>
      </c>
    </row>
    <row r="23" spans="1:10" x14ac:dyDescent="0.35">
      <c r="A23" t="s">
        <v>14</v>
      </c>
      <c r="B23">
        <v>102</v>
      </c>
      <c r="C23">
        <v>52943</v>
      </c>
      <c r="D23" t="s">
        <v>90</v>
      </c>
      <c r="E23" s="12">
        <v>31.99</v>
      </c>
      <c r="F23" s="12">
        <v>15.17</v>
      </c>
      <c r="G23" s="75">
        <v>46188</v>
      </c>
      <c r="H23" t="s">
        <v>315</v>
      </c>
      <c r="I23" s="12">
        <v>194.04347826086956</v>
      </c>
      <c r="J23" s="12">
        <v>6.976</v>
      </c>
    </row>
    <row r="24" spans="1:10" x14ac:dyDescent="0.35">
      <c r="A24" t="s">
        <v>14</v>
      </c>
      <c r="B24">
        <v>102</v>
      </c>
      <c r="C24">
        <v>52943</v>
      </c>
      <c r="D24" t="s">
        <v>90</v>
      </c>
      <c r="E24" s="12">
        <v>31.99</v>
      </c>
      <c r="F24" s="12">
        <v>15.17</v>
      </c>
      <c r="G24" s="75">
        <v>46189</v>
      </c>
      <c r="H24" t="s">
        <v>316</v>
      </c>
      <c r="I24" s="12">
        <v>133.09565217391304</v>
      </c>
      <c r="J24" s="12">
        <v>4.7850000000000001</v>
      </c>
    </row>
    <row r="25" spans="1:10" x14ac:dyDescent="0.35">
      <c r="A25" t="s">
        <v>14</v>
      </c>
      <c r="B25">
        <v>102</v>
      </c>
      <c r="C25">
        <v>52943</v>
      </c>
      <c r="D25" t="s">
        <v>90</v>
      </c>
      <c r="E25" s="12">
        <v>31.99</v>
      </c>
      <c r="F25" s="12">
        <v>15.17</v>
      </c>
      <c r="G25" s="75">
        <v>46190</v>
      </c>
      <c r="H25" t="s">
        <v>340</v>
      </c>
      <c r="I25" s="12">
        <v>359.66956521739132</v>
      </c>
      <c r="J25" s="12">
        <v>13.128</v>
      </c>
    </row>
    <row r="26" spans="1:10" x14ac:dyDescent="0.35">
      <c r="A26" t="s">
        <v>14</v>
      </c>
      <c r="B26">
        <v>101</v>
      </c>
      <c r="C26">
        <v>34070</v>
      </c>
      <c r="D26" t="s">
        <v>26</v>
      </c>
      <c r="E26" s="12">
        <v>12.99</v>
      </c>
      <c r="F26" s="12">
        <v>6.81</v>
      </c>
      <c r="G26" s="75">
        <v>46188</v>
      </c>
      <c r="H26" t="s">
        <v>315</v>
      </c>
      <c r="I26" s="12">
        <v>169.43478260869566</v>
      </c>
      <c r="J26" s="12">
        <v>15</v>
      </c>
    </row>
    <row r="27" spans="1:10" x14ac:dyDescent="0.35">
      <c r="A27" t="s">
        <v>14</v>
      </c>
      <c r="B27">
        <v>101</v>
      </c>
      <c r="C27">
        <v>34070</v>
      </c>
      <c r="D27" t="s">
        <v>26</v>
      </c>
      <c r="E27" s="12">
        <v>12.99</v>
      </c>
      <c r="F27" s="12">
        <v>6.81</v>
      </c>
      <c r="G27" s="75">
        <v>46189</v>
      </c>
      <c r="H27" t="s">
        <v>316</v>
      </c>
      <c r="I27" s="12">
        <v>101.66086956521738</v>
      </c>
      <c r="J27" s="12">
        <v>9</v>
      </c>
    </row>
    <row r="28" spans="1:10" x14ac:dyDescent="0.35">
      <c r="A28" t="s">
        <v>14</v>
      </c>
      <c r="B28">
        <v>101</v>
      </c>
      <c r="C28">
        <v>34070</v>
      </c>
      <c r="D28" t="s">
        <v>26</v>
      </c>
      <c r="E28" s="12">
        <v>12.99</v>
      </c>
      <c r="F28" s="12">
        <v>6.81</v>
      </c>
      <c r="G28" s="75">
        <v>46190</v>
      </c>
      <c r="H28" t="s">
        <v>340</v>
      </c>
      <c r="I28" s="12">
        <v>111.26086956521739</v>
      </c>
      <c r="J28" s="12">
        <v>10</v>
      </c>
    </row>
    <row r="29" spans="1:10" x14ac:dyDescent="0.35">
      <c r="A29" t="s">
        <v>14</v>
      </c>
      <c r="B29">
        <v>101</v>
      </c>
      <c r="C29">
        <v>34024</v>
      </c>
      <c r="D29" t="s">
        <v>23</v>
      </c>
      <c r="E29" s="12">
        <v>37.99</v>
      </c>
      <c r="F29" s="12">
        <v>16.5</v>
      </c>
      <c r="G29" s="75">
        <v>46188</v>
      </c>
      <c r="H29" t="s">
        <v>315</v>
      </c>
      <c r="I29" s="12">
        <v>165.17391304347825</v>
      </c>
      <c r="J29" s="12">
        <v>5</v>
      </c>
    </row>
    <row r="30" spans="1:10" x14ac:dyDescent="0.35">
      <c r="A30" t="s">
        <v>14</v>
      </c>
      <c r="B30">
        <v>101</v>
      </c>
      <c r="C30">
        <v>34024</v>
      </c>
      <c r="D30" t="s">
        <v>23</v>
      </c>
      <c r="E30" s="12">
        <v>37.99</v>
      </c>
      <c r="F30" s="12">
        <v>16.5</v>
      </c>
      <c r="G30" s="75">
        <v>46189</v>
      </c>
      <c r="H30" t="s">
        <v>316</v>
      </c>
      <c r="I30" s="12">
        <v>33.03478260869565</v>
      </c>
      <c r="J30" s="12">
        <v>1</v>
      </c>
    </row>
    <row r="31" spans="1:10" x14ac:dyDescent="0.35">
      <c r="A31" t="s">
        <v>14</v>
      </c>
      <c r="B31">
        <v>101</v>
      </c>
      <c r="C31">
        <v>34024</v>
      </c>
      <c r="D31" t="s">
        <v>23</v>
      </c>
      <c r="E31" s="12">
        <v>37.99</v>
      </c>
      <c r="F31" s="12">
        <v>16.5</v>
      </c>
      <c r="G31" s="75">
        <v>46190</v>
      </c>
      <c r="H31" t="s">
        <v>340</v>
      </c>
      <c r="I31" s="12">
        <v>165.17391304347825</v>
      </c>
      <c r="J31" s="12">
        <v>5</v>
      </c>
    </row>
    <row r="32" spans="1:10" x14ac:dyDescent="0.35">
      <c r="A32" t="s">
        <v>19</v>
      </c>
      <c r="B32">
        <v>101</v>
      </c>
      <c r="C32">
        <v>50037</v>
      </c>
      <c r="D32" t="s">
        <v>22</v>
      </c>
      <c r="E32" s="12">
        <v>25.99</v>
      </c>
      <c r="F32" s="12">
        <v>13.4</v>
      </c>
      <c r="G32" s="75">
        <v>46188</v>
      </c>
      <c r="H32" t="s">
        <v>315</v>
      </c>
      <c r="I32" s="12">
        <v>158.20000000000002</v>
      </c>
      <c r="J32" s="12">
        <v>7</v>
      </c>
    </row>
    <row r="33" spans="1:10" x14ac:dyDescent="0.35">
      <c r="A33" t="s">
        <v>19</v>
      </c>
      <c r="B33">
        <v>101</v>
      </c>
      <c r="C33">
        <v>50037</v>
      </c>
      <c r="D33" t="s">
        <v>22</v>
      </c>
      <c r="E33" s="12">
        <v>25.99</v>
      </c>
      <c r="F33" s="12">
        <v>13.4</v>
      </c>
      <c r="G33" s="75">
        <v>46189</v>
      </c>
      <c r="H33" t="s">
        <v>316</v>
      </c>
      <c r="I33" s="12">
        <v>158.20000000000002</v>
      </c>
      <c r="J33" s="12">
        <v>7</v>
      </c>
    </row>
    <row r="34" spans="1:10" x14ac:dyDescent="0.35">
      <c r="A34" t="s">
        <v>19</v>
      </c>
      <c r="B34">
        <v>101</v>
      </c>
      <c r="C34">
        <v>50037</v>
      </c>
      <c r="D34" t="s">
        <v>22</v>
      </c>
      <c r="E34" s="12">
        <v>25.99</v>
      </c>
      <c r="F34" s="12">
        <v>13.4</v>
      </c>
      <c r="G34" s="75">
        <v>46190</v>
      </c>
      <c r="H34" t="s">
        <v>340</v>
      </c>
      <c r="I34" s="12">
        <v>178.53913043478261</v>
      </c>
      <c r="J34" s="12">
        <v>8</v>
      </c>
    </row>
    <row r="35" spans="1:10" x14ac:dyDescent="0.35">
      <c r="A35" t="s">
        <v>19</v>
      </c>
      <c r="B35">
        <v>101</v>
      </c>
      <c r="C35">
        <v>32859</v>
      </c>
      <c r="D35" t="s">
        <v>20</v>
      </c>
      <c r="E35" s="12">
        <v>20.99</v>
      </c>
      <c r="F35" s="12">
        <v>11.1</v>
      </c>
      <c r="G35" s="75">
        <v>46188</v>
      </c>
      <c r="H35" t="s">
        <v>315</v>
      </c>
      <c r="I35" s="12">
        <v>146.01739130434785</v>
      </c>
      <c r="J35" s="12">
        <v>8</v>
      </c>
    </row>
    <row r="36" spans="1:10" x14ac:dyDescent="0.35">
      <c r="A36" t="s">
        <v>19</v>
      </c>
      <c r="B36">
        <v>101</v>
      </c>
      <c r="C36">
        <v>32859</v>
      </c>
      <c r="D36" t="s">
        <v>20</v>
      </c>
      <c r="E36" s="12">
        <v>20.99</v>
      </c>
      <c r="F36" s="12">
        <v>11.1</v>
      </c>
      <c r="G36" s="75">
        <v>46189</v>
      </c>
      <c r="H36" t="s">
        <v>316</v>
      </c>
      <c r="I36" s="12">
        <v>200.77391304347827</v>
      </c>
      <c r="J36" s="12">
        <v>11</v>
      </c>
    </row>
    <row r="37" spans="1:10" x14ac:dyDescent="0.35">
      <c r="A37" t="s">
        <v>19</v>
      </c>
      <c r="B37">
        <v>101</v>
      </c>
      <c r="C37">
        <v>32859</v>
      </c>
      <c r="D37" t="s">
        <v>20</v>
      </c>
      <c r="E37" s="12">
        <v>20.99</v>
      </c>
      <c r="F37" s="12">
        <v>11.1</v>
      </c>
      <c r="G37" s="75">
        <v>46190</v>
      </c>
      <c r="H37" t="s">
        <v>340</v>
      </c>
      <c r="I37" s="12">
        <v>177.97391304347826</v>
      </c>
      <c r="J37" s="12">
        <v>10</v>
      </c>
    </row>
    <row r="38" spans="1:10" x14ac:dyDescent="0.35">
      <c r="A38" t="s">
        <v>14</v>
      </c>
      <c r="B38">
        <v>102</v>
      </c>
      <c r="C38">
        <v>33031</v>
      </c>
      <c r="D38" t="s">
        <v>97</v>
      </c>
      <c r="E38" s="12">
        <v>17.989999999999998</v>
      </c>
      <c r="F38" s="12">
        <v>9.1199999999999992</v>
      </c>
      <c r="G38" s="75">
        <v>46188</v>
      </c>
      <c r="H38" t="s">
        <v>315</v>
      </c>
      <c r="I38" s="12">
        <v>140.7913043478261</v>
      </c>
      <c r="J38" s="12">
        <v>9</v>
      </c>
    </row>
    <row r="39" spans="1:10" x14ac:dyDescent="0.35">
      <c r="A39" t="s">
        <v>14</v>
      </c>
      <c r="B39">
        <v>102</v>
      </c>
      <c r="C39">
        <v>33031</v>
      </c>
      <c r="D39" t="s">
        <v>97</v>
      </c>
      <c r="E39" s="12">
        <v>17.989999999999998</v>
      </c>
      <c r="F39" s="12">
        <v>9.1199999999999992</v>
      </c>
      <c r="G39" s="75">
        <v>46189</v>
      </c>
      <c r="H39" t="s">
        <v>316</v>
      </c>
      <c r="I39" s="12">
        <v>0</v>
      </c>
      <c r="J39" s="12">
        <v>0</v>
      </c>
    </row>
    <row r="40" spans="1:10" x14ac:dyDescent="0.35">
      <c r="A40" t="s">
        <v>14</v>
      </c>
      <c r="B40">
        <v>102</v>
      </c>
      <c r="C40">
        <v>33031</v>
      </c>
      <c r="D40" t="s">
        <v>97</v>
      </c>
      <c r="E40" s="12">
        <v>17.989999999999998</v>
      </c>
      <c r="F40" s="12">
        <v>9.1199999999999992</v>
      </c>
      <c r="G40" s="75">
        <v>46190</v>
      </c>
      <c r="H40" t="s">
        <v>340</v>
      </c>
      <c r="I40" s="12">
        <v>0</v>
      </c>
      <c r="J40" s="12">
        <v>0</v>
      </c>
    </row>
    <row r="41" spans="1:10" x14ac:dyDescent="0.35">
      <c r="A41" t="s">
        <v>14</v>
      </c>
      <c r="B41">
        <v>106</v>
      </c>
      <c r="C41">
        <v>54018</v>
      </c>
      <c r="D41" t="s">
        <v>243</v>
      </c>
      <c r="E41" s="12">
        <v>18.989999999999998</v>
      </c>
      <c r="F41" s="12">
        <v>9.83</v>
      </c>
      <c r="G41" s="75">
        <v>46188</v>
      </c>
      <c r="H41" t="s">
        <v>315</v>
      </c>
      <c r="I41" s="12">
        <v>132.10434782608695</v>
      </c>
      <c r="J41" s="12">
        <v>8</v>
      </c>
    </row>
    <row r="42" spans="1:10" x14ac:dyDescent="0.35">
      <c r="A42" t="s">
        <v>14</v>
      </c>
      <c r="B42">
        <v>106</v>
      </c>
      <c r="C42">
        <v>54018</v>
      </c>
      <c r="D42" t="s">
        <v>243</v>
      </c>
      <c r="E42" s="12">
        <v>18.989999999999998</v>
      </c>
      <c r="F42" s="12">
        <v>9.83</v>
      </c>
      <c r="G42" s="75">
        <v>46189</v>
      </c>
      <c r="H42" t="s">
        <v>316</v>
      </c>
      <c r="I42" s="12">
        <v>49.539130434782606</v>
      </c>
      <c r="J42" s="12">
        <v>3</v>
      </c>
    </row>
    <row r="43" spans="1:10" x14ac:dyDescent="0.35">
      <c r="A43" t="s">
        <v>14</v>
      </c>
      <c r="B43">
        <v>106</v>
      </c>
      <c r="C43">
        <v>54018</v>
      </c>
      <c r="D43" t="s">
        <v>243</v>
      </c>
      <c r="E43" s="12">
        <v>18.989999999999998</v>
      </c>
      <c r="F43" s="12">
        <v>9.83</v>
      </c>
      <c r="G43" s="75">
        <v>46190</v>
      </c>
      <c r="H43" t="s">
        <v>340</v>
      </c>
      <c r="I43" s="12">
        <v>99.078260869565213</v>
      </c>
      <c r="J43" s="12">
        <v>6</v>
      </c>
    </row>
    <row r="44" spans="1:10" x14ac:dyDescent="0.35">
      <c r="A44" t="s">
        <v>14</v>
      </c>
      <c r="B44">
        <v>102</v>
      </c>
      <c r="C44">
        <v>38977</v>
      </c>
      <c r="D44" t="s">
        <v>95</v>
      </c>
      <c r="E44" s="12">
        <v>18.989999999999998</v>
      </c>
      <c r="F44" s="12">
        <v>9.6999999999999993</v>
      </c>
      <c r="G44" s="75">
        <v>46188</v>
      </c>
      <c r="H44" t="s">
        <v>315</v>
      </c>
      <c r="I44" s="12">
        <v>132.10434782608695</v>
      </c>
      <c r="J44" s="12">
        <v>8</v>
      </c>
    </row>
    <row r="45" spans="1:10" x14ac:dyDescent="0.35">
      <c r="A45" t="s">
        <v>14</v>
      </c>
      <c r="B45">
        <v>102</v>
      </c>
      <c r="C45">
        <v>38977</v>
      </c>
      <c r="D45" t="s">
        <v>95</v>
      </c>
      <c r="E45" s="12">
        <v>18.989999999999998</v>
      </c>
      <c r="F45" s="12">
        <v>9.6999999999999993</v>
      </c>
      <c r="G45" s="75">
        <v>46189</v>
      </c>
      <c r="H45" t="s">
        <v>316</v>
      </c>
      <c r="I45" s="12">
        <v>132.10434782608695</v>
      </c>
      <c r="J45" s="12">
        <v>8</v>
      </c>
    </row>
    <row r="46" spans="1:10" x14ac:dyDescent="0.35">
      <c r="A46" t="s">
        <v>14</v>
      </c>
      <c r="B46">
        <v>102</v>
      </c>
      <c r="C46">
        <v>38977</v>
      </c>
      <c r="D46" t="s">
        <v>95</v>
      </c>
      <c r="E46" s="12">
        <v>18.989999999999998</v>
      </c>
      <c r="F46" s="12">
        <v>9.6999999999999993</v>
      </c>
      <c r="G46" s="75">
        <v>46190</v>
      </c>
      <c r="H46" t="s">
        <v>340</v>
      </c>
      <c r="I46" s="12">
        <v>132.10434782608695</v>
      </c>
      <c r="J46" s="12">
        <v>8</v>
      </c>
    </row>
    <row r="47" spans="1:10" x14ac:dyDescent="0.35">
      <c r="A47" t="s">
        <v>19</v>
      </c>
      <c r="B47">
        <v>102</v>
      </c>
      <c r="C47">
        <v>42797</v>
      </c>
      <c r="D47" t="s">
        <v>99</v>
      </c>
      <c r="E47" s="12">
        <v>11.99</v>
      </c>
      <c r="F47" s="12">
        <v>4.84</v>
      </c>
      <c r="G47" s="75">
        <v>46188</v>
      </c>
      <c r="H47" t="s">
        <v>315</v>
      </c>
      <c r="I47" s="12">
        <v>125.11304347826086</v>
      </c>
      <c r="J47" s="12">
        <v>12</v>
      </c>
    </row>
    <row r="48" spans="1:10" x14ac:dyDescent="0.35">
      <c r="A48" t="s">
        <v>19</v>
      </c>
      <c r="B48">
        <v>102</v>
      </c>
      <c r="C48">
        <v>42797</v>
      </c>
      <c r="D48" t="s">
        <v>99</v>
      </c>
      <c r="E48" s="12">
        <v>11.99</v>
      </c>
      <c r="F48" s="12">
        <v>4.84</v>
      </c>
      <c r="G48" s="75">
        <v>46189</v>
      </c>
      <c r="H48" t="s">
        <v>316</v>
      </c>
      <c r="I48" s="12">
        <v>72.982608695652175</v>
      </c>
      <c r="J48" s="12">
        <v>7</v>
      </c>
    </row>
    <row r="49" spans="1:10" x14ac:dyDescent="0.35">
      <c r="A49" t="s">
        <v>19</v>
      </c>
      <c r="B49">
        <v>102</v>
      </c>
      <c r="C49">
        <v>42797</v>
      </c>
      <c r="D49" t="s">
        <v>99</v>
      </c>
      <c r="E49" s="12">
        <v>11.99</v>
      </c>
      <c r="F49" s="12">
        <v>4.84</v>
      </c>
      <c r="G49" s="75">
        <v>46190</v>
      </c>
      <c r="H49" t="s">
        <v>340</v>
      </c>
      <c r="I49" s="12">
        <v>83.408695652173918</v>
      </c>
      <c r="J49" s="12">
        <v>8</v>
      </c>
    </row>
    <row r="50" spans="1:10" x14ac:dyDescent="0.35">
      <c r="A50" t="s">
        <v>14</v>
      </c>
      <c r="B50">
        <v>102</v>
      </c>
      <c r="C50">
        <v>32127</v>
      </c>
      <c r="D50" t="s">
        <v>92</v>
      </c>
      <c r="E50" s="12">
        <v>11.99</v>
      </c>
      <c r="F50" s="12">
        <v>6.02</v>
      </c>
      <c r="G50" s="75">
        <v>46188</v>
      </c>
      <c r="H50" t="s">
        <v>315</v>
      </c>
      <c r="I50" s="12">
        <v>125.11304347826086</v>
      </c>
      <c r="J50" s="12">
        <v>12</v>
      </c>
    </row>
    <row r="51" spans="1:10" x14ac:dyDescent="0.35">
      <c r="A51" t="s">
        <v>14</v>
      </c>
      <c r="B51">
        <v>102</v>
      </c>
      <c r="C51">
        <v>32127</v>
      </c>
      <c r="D51" t="s">
        <v>92</v>
      </c>
      <c r="E51" s="12">
        <v>11.99</v>
      </c>
      <c r="F51" s="12">
        <v>6.02</v>
      </c>
      <c r="G51" s="75">
        <v>46189</v>
      </c>
      <c r="H51" t="s">
        <v>316</v>
      </c>
      <c r="I51" s="12">
        <v>93.834782608695647</v>
      </c>
      <c r="J51" s="12">
        <v>9</v>
      </c>
    </row>
    <row r="52" spans="1:10" x14ac:dyDescent="0.35">
      <c r="A52" t="s">
        <v>14</v>
      </c>
      <c r="B52">
        <v>102</v>
      </c>
      <c r="C52">
        <v>32127</v>
      </c>
      <c r="D52" t="s">
        <v>92</v>
      </c>
      <c r="E52" s="12">
        <v>11.99</v>
      </c>
      <c r="F52" s="12">
        <v>6.02</v>
      </c>
      <c r="G52" s="75">
        <v>46190</v>
      </c>
      <c r="H52" t="s">
        <v>340</v>
      </c>
      <c r="I52" s="12">
        <v>83.408695652173918</v>
      </c>
      <c r="J52" s="12">
        <v>8</v>
      </c>
    </row>
    <row r="53" spans="1:10" x14ac:dyDescent="0.35">
      <c r="A53" t="s">
        <v>14</v>
      </c>
      <c r="B53">
        <v>101</v>
      </c>
      <c r="C53">
        <v>58767</v>
      </c>
      <c r="D53" t="s">
        <v>27</v>
      </c>
      <c r="E53" s="12">
        <v>19.989999999999998</v>
      </c>
      <c r="F53" s="12">
        <v>7.04</v>
      </c>
      <c r="G53" s="75">
        <v>46188</v>
      </c>
      <c r="H53" t="s">
        <v>315</v>
      </c>
      <c r="I53" s="12">
        <v>121.67826086956522</v>
      </c>
      <c r="J53" s="12">
        <v>7</v>
      </c>
    </row>
    <row r="54" spans="1:10" x14ac:dyDescent="0.35">
      <c r="A54" t="s">
        <v>14</v>
      </c>
      <c r="B54">
        <v>101</v>
      </c>
      <c r="C54">
        <v>58767</v>
      </c>
      <c r="D54" t="s">
        <v>27</v>
      </c>
      <c r="E54" s="12">
        <v>19.989999999999998</v>
      </c>
      <c r="F54" s="12">
        <v>7.04</v>
      </c>
      <c r="G54" s="75">
        <v>46189</v>
      </c>
      <c r="H54" t="s">
        <v>316</v>
      </c>
      <c r="I54" s="12">
        <v>52.14782608695652</v>
      </c>
      <c r="J54" s="12">
        <v>3</v>
      </c>
    </row>
    <row r="55" spans="1:10" x14ac:dyDescent="0.35">
      <c r="A55" t="s">
        <v>14</v>
      </c>
      <c r="B55">
        <v>101</v>
      </c>
      <c r="C55">
        <v>58767</v>
      </c>
      <c r="D55" t="s">
        <v>27</v>
      </c>
      <c r="E55" s="12">
        <v>19.989999999999998</v>
      </c>
      <c r="F55" s="12">
        <v>7.04</v>
      </c>
      <c r="G55" s="75">
        <v>46190</v>
      </c>
      <c r="H55" t="s">
        <v>340</v>
      </c>
      <c r="I55" s="12">
        <v>34.765217391304347</v>
      </c>
      <c r="J55" s="12">
        <v>2</v>
      </c>
    </row>
    <row r="56" spans="1:10" x14ac:dyDescent="0.35">
      <c r="A56" t="s">
        <v>14</v>
      </c>
      <c r="B56">
        <v>102</v>
      </c>
      <c r="C56">
        <v>42990</v>
      </c>
      <c r="D56" t="s">
        <v>93</v>
      </c>
      <c r="E56" s="12">
        <v>19.989999999999998</v>
      </c>
      <c r="F56" s="12">
        <v>10.85</v>
      </c>
      <c r="G56" s="75">
        <v>46188</v>
      </c>
      <c r="H56" t="s">
        <v>315</v>
      </c>
      <c r="I56" s="12">
        <v>121.67826086956522</v>
      </c>
      <c r="J56" s="12">
        <v>7</v>
      </c>
    </row>
    <row r="57" spans="1:10" x14ac:dyDescent="0.35">
      <c r="A57" t="s">
        <v>14</v>
      </c>
      <c r="B57">
        <v>102</v>
      </c>
      <c r="C57">
        <v>42990</v>
      </c>
      <c r="D57" t="s">
        <v>93</v>
      </c>
      <c r="E57" s="12">
        <v>19.989999999999998</v>
      </c>
      <c r="F57" s="12">
        <v>10.85</v>
      </c>
      <c r="G57" s="75">
        <v>46189</v>
      </c>
      <c r="H57" t="s">
        <v>316</v>
      </c>
      <c r="I57" s="12">
        <v>173.82608695652175</v>
      </c>
      <c r="J57" s="12">
        <v>10</v>
      </c>
    </row>
    <row r="58" spans="1:10" x14ac:dyDescent="0.35">
      <c r="A58" t="s">
        <v>14</v>
      </c>
      <c r="B58">
        <v>102</v>
      </c>
      <c r="C58">
        <v>42990</v>
      </c>
      <c r="D58" t="s">
        <v>93</v>
      </c>
      <c r="E58" s="12">
        <v>19.989999999999998</v>
      </c>
      <c r="F58" s="12">
        <v>10.85</v>
      </c>
      <c r="G58" s="75">
        <v>46190</v>
      </c>
      <c r="H58" t="s">
        <v>340</v>
      </c>
      <c r="I58" s="12">
        <v>86.043478260869563</v>
      </c>
      <c r="J58" s="12">
        <v>5</v>
      </c>
    </row>
    <row r="59" spans="1:10" x14ac:dyDescent="0.35">
      <c r="A59" t="s">
        <v>14</v>
      </c>
      <c r="B59">
        <v>102</v>
      </c>
      <c r="C59">
        <v>32857</v>
      </c>
      <c r="D59" t="s">
        <v>127</v>
      </c>
      <c r="E59" s="12">
        <v>130</v>
      </c>
      <c r="F59" s="12">
        <v>68.680000000000007</v>
      </c>
      <c r="G59" s="75">
        <v>46188</v>
      </c>
      <c r="H59" t="s">
        <v>315</v>
      </c>
      <c r="I59" s="12">
        <v>113.04347826086956</v>
      </c>
      <c r="J59" s="12">
        <v>1</v>
      </c>
    </row>
    <row r="60" spans="1:10" x14ac:dyDescent="0.35">
      <c r="A60" t="s">
        <v>14</v>
      </c>
      <c r="B60">
        <v>102</v>
      </c>
      <c r="C60">
        <v>32857</v>
      </c>
      <c r="D60" t="s">
        <v>127</v>
      </c>
      <c r="E60" s="12">
        <v>130</v>
      </c>
      <c r="F60" s="12">
        <v>68.680000000000007</v>
      </c>
      <c r="G60" s="75">
        <v>46189</v>
      </c>
      <c r="H60" t="s">
        <v>316</v>
      </c>
      <c r="I60" s="12">
        <v>0</v>
      </c>
      <c r="J60" s="12">
        <v>0</v>
      </c>
    </row>
    <row r="61" spans="1:10" x14ac:dyDescent="0.35">
      <c r="A61" t="s">
        <v>14</v>
      </c>
      <c r="B61">
        <v>102</v>
      </c>
      <c r="C61">
        <v>32857</v>
      </c>
      <c r="D61" t="s">
        <v>127</v>
      </c>
      <c r="E61" s="12">
        <v>130</v>
      </c>
      <c r="F61" s="12">
        <v>68.680000000000007</v>
      </c>
      <c r="G61" s="75">
        <v>46190</v>
      </c>
      <c r="H61" t="s">
        <v>340</v>
      </c>
      <c r="I61" s="12">
        <v>113.04347826086956</v>
      </c>
      <c r="J61" s="12">
        <v>1</v>
      </c>
    </row>
    <row r="62" spans="1:10" x14ac:dyDescent="0.35">
      <c r="A62" t="s">
        <v>14</v>
      </c>
      <c r="B62">
        <v>102</v>
      </c>
      <c r="C62">
        <v>61937</v>
      </c>
      <c r="D62" t="s">
        <v>122</v>
      </c>
      <c r="E62" s="12">
        <v>10</v>
      </c>
      <c r="F62" s="12">
        <v>2.67</v>
      </c>
      <c r="G62" s="75">
        <v>46188</v>
      </c>
      <c r="H62" t="s">
        <v>315</v>
      </c>
      <c r="I62" s="12">
        <v>104.34782608695652</v>
      </c>
      <c r="J62" s="12">
        <v>12</v>
      </c>
    </row>
    <row r="63" spans="1:10" x14ac:dyDescent="0.35">
      <c r="A63" t="s">
        <v>14</v>
      </c>
      <c r="B63">
        <v>102</v>
      </c>
      <c r="C63">
        <v>61937</v>
      </c>
      <c r="D63" t="s">
        <v>122</v>
      </c>
      <c r="E63" s="12">
        <v>10</v>
      </c>
      <c r="F63" s="12">
        <v>2.67</v>
      </c>
      <c r="G63" s="75">
        <v>46189</v>
      </c>
      <c r="H63" t="s">
        <v>316</v>
      </c>
      <c r="I63" s="12">
        <v>0</v>
      </c>
      <c r="J63" s="12">
        <v>0</v>
      </c>
    </row>
    <row r="64" spans="1:10" x14ac:dyDescent="0.35">
      <c r="A64" t="s">
        <v>14</v>
      </c>
      <c r="B64">
        <v>102</v>
      </c>
      <c r="C64">
        <v>61937</v>
      </c>
      <c r="D64" t="s">
        <v>122</v>
      </c>
      <c r="E64" s="12">
        <v>10</v>
      </c>
      <c r="F64" s="12">
        <v>2.67</v>
      </c>
      <c r="G64" s="75">
        <v>46190</v>
      </c>
      <c r="H64" t="s">
        <v>340</v>
      </c>
      <c r="I64" s="12">
        <v>0</v>
      </c>
      <c r="J64" s="12">
        <v>0</v>
      </c>
    </row>
    <row r="65" spans="1:10" x14ac:dyDescent="0.35">
      <c r="A65" t="s">
        <v>14</v>
      </c>
      <c r="B65">
        <v>118</v>
      </c>
      <c r="C65">
        <v>34033</v>
      </c>
      <c r="D65" t="s">
        <v>256</v>
      </c>
      <c r="E65" s="12">
        <v>120</v>
      </c>
      <c r="F65" s="12">
        <v>64.849999999999994</v>
      </c>
      <c r="G65" s="75">
        <v>46188</v>
      </c>
      <c r="H65" t="s">
        <v>315</v>
      </c>
      <c r="I65" s="12">
        <v>104.34782608695652</v>
      </c>
      <c r="J65" s="12">
        <v>1</v>
      </c>
    </row>
    <row r="66" spans="1:10" x14ac:dyDescent="0.35">
      <c r="A66" t="s">
        <v>14</v>
      </c>
      <c r="B66">
        <v>118</v>
      </c>
      <c r="C66">
        <v>34033</v>
      </c>
      <c r="D66" t="s">
        <v>256</v>
      </c>
      <c r="E66" s="12">
        <v>120</v>
      </c>
      <c r="F66" s="12">
        <v>64.849999999999994</v>
      </c>
      <c r="G66" s="75">
        <v>46189</v>
      </c>
      <c r="H66" t="s">
        <v>316</v>
      </c>
      <c r="I66" s="12">
        <v>104.34782608695652</v>
      </c>
      <c r="J66" s="12">
        <v>1</v>
      </c>
    </row>
    <row r="67" spans="1:10" x14ac:dyDescent="0.35">
      <c r="A67" t="s">
        <v>14</v>
      </c>
      <c r="B67">
        <v>118</v>
      </c>
      <c r="C67">
        <v>34033</v>
      </c>
      <c r="D67" t="s">
        <v>256</v>
      </c>
      <c r="E67" s="12">
        <v>120</v>
      </c>
      <c r="F67" s="12">
        <v>64.849999999999994</v>
      </c>
      <c r="G67" s="75">
        <v>46190</v>
      </c>
      <c r="H67" t="s">
        <v>340</v>
      </c>
      <c r="I67" s="12">
        <v>0</v>
      </c>
      <c r="J67" s="12">
        <v>0</v>
      </c>
    </row>
    <row r="68" spans="1:10" x14ac:dyDescent="0.35">
      <c r="A68" t="s">
        <v>14</v>
      </c>
      <c r="B68">
        <v>118</v>
      </c>
      <c r="C68">
        <v>34014</v>
      </c>
      <c r="D68" t="s">
        <v>258</v>
      </c>
      <c r="E68" s="12">
        <v>100</v>
      </c>
      <c r="F68" s="12">
        <v>52.03</v>
      </c>
      <c r="G68" s="75">
        <v>46188</v>
      </c>
      <c r="H68" t="s">
        <v>315</v>
      </c>
      <c r="I68" s="12">
        <v>86.956521739130437</v>
      </c>
      <c r="J68" s="12">
        <v>1</v>
      </c>
    </row>
    <row r="69" spans="1:10" x14ac:dyDescent="0.35">
      <c r="A69" t="s">
        <v>14</v>
      </c>
      <c r="B69">
        <v>118</v>
      </c>
      <c r="C69">
        <v>34014</v>
      </c>
      <c r="D69" t="s">
        <v>258</v>
      </c>
      <c r="E69" s="12">
        <v>100</v>
      </c>
      <c r="F69" s="12">
        <v>52.03</v>
      </c>
      <c r="G69" s="75">
        <v>46189</v>
      </c>
      <c r="H69" t="s">
        <v>316</v>
      </c>
      <c r="I69" s="12">
        <v>0</v>
      </c>
      <c r="J69" s="12">
        <v>0</v>
      </c>
    </row>
    <row r="70" spans="1:10" x14ac:dyDescent="0.35">
      <c r="A70" t="s">
        <v>14</v>
      </c>
      <c r="B70">
        <v>118</v>
      </c>
      <c r="C70">
        <v>34014</v>
      </c>
      <c r="D70" t="s">
        <v>258</v>
      </c>
      <c r="E70" s="12">
        <v>100</v>
      </c>
      <c r="F70" s="12">
        <v>52.03</v>
      </c>
      <c r="G70" s="75">
        <v>46190</v>
      </c>
      <c r="H70" t="s">
        <v>340</v>
      </c>
      <c r="I70" s="12">
        <v>0</v>
      </c>
      <c r="J70" s="12">
        <v>0</v>
      </c>
    </row>
    <row r="71" spans="1:10" x14ac:dyDescent="0.35">
      <c r="A71" t="s">
        <v>14</v>
      </c>
      <c r="B71">
        <v>101</v>
      </c>
      <c r="C71">
        <v>34091</v>
      </c>
      <c r="D71" t="s">
        <v>28</v>
      </c>
      <c r="E71" s="12">
        <v>17.989999999999998</v>
      </c>
      <c r="F71" s="12">
        <v>12.24</v>
      </c>
      <c r="G71" s="75">
        <v>46188</v>
      </c>
      <c r="H71" t="s">
        <v>315</v>
      </c>
      <c r="I71" s="12">
        <v>86.913043478260875</v>
      </c>
      <c r="J71" s="12">
        <v>5</v>
      </c>
    </row>
    <row r="72" spans="1:10" x14ac:dyDescent="0.35">
      <c r="A72" t="s">
        <v>14</v>
      </c>
      <c r="B72">
        <v>101</v>
      </c>
      <c r="C72">
        <v>34091</v>
      </c>
      <c r="D72" t="s">
        <v>28</v>
      </c>
      <c r="E72" s="12">
        <v>17.989999999999998</v>
      </c>
      <c r="F72" s="12">
        <v>12.24</v>
      </c>
      <c r="G72" s="75">
        <v>46189</v>
      </c>
      <c r="H72" t="s">
        <v>316</v>
      </c>
      <c r="I72" s="12">
        <v>86.913043478260875</v>
      </c>
      <c r="J72" s="12">
        <v>5</v>
      </c>
    </row>
    <row r="73" spans="1:10" x14ac:dyDescent="0.35">
      <c r="A73" t="s">
        <v>14</v>
      </c>
      <c r="B73">
        <v>101</v>
      </c>
      <c r="C73">
        <v>34091</v>
      </c>
      <c r="D73" t="s">
        <v>28</v>
      </c>
      <c r="E73" s="12">
        <v>17.989999999999998</v>
      </c>
      <c r="F73" s="12">
        <v>12.24</v>
      </c>
      <c r="G73" s="75">
        <v>46190</v>
      </c>
      <c r="H73" t="s">
        <v>340</v>
      </c>
      <c r="I73" s="12">
        <v>198.66956521739129</v>
      </c>
      <c r="J73" s="12">
        <v>13</v>
      </c>
    </row>
    <row r="74" spans="1:10" x14ac:dyDescent="0.35">
      <c r="A74" t="s">
        <v>14</v>
      </c>
      <c r="B74">
        <v>101</v>
      </c>
      <c r="C74">
        <v>34046</v>
      </c>
      <c r="D74" t="s">
        <v>37</v>
      </c>
      <c r="E74" s="12">
        <v>19.989999999999998</v>
      </c>
      <c r="F74" s="12">
        <v>12.2</v>
      </c>
      <c r="G74" s="75">
        <v>46188</v>
      </c>
      <c r="H74" t="s">
        <v>315</v>
      </c>
      <c r="I74" s="12">
        <v>86.913043478260875</v>
      </c>
      <c r="J74" s="12">
        <v>5</v>
      </c>
    </row>
    <row r="75" spans="1:10" x14ac:dyDescent="0.35">
      <c r="A75" t="s">
        <v>14</v>
      </c>
      <c r="B75">
        <v>101</v>
      </c>
      <c r="C75">
        <v>34046</v>
      </c>
      <c r="D75" t="s">
        <v>37</v>
      </c>
      <c r="E75" s="12">
        <v>19.989999999999998</v>
      </c>
      <c r="F75" s="12">
        <v>12.2</v>
      </c>
      <c r="G75" s="75">
        <v>46189</v>
      </c>
      <c r="H75" t="s">
        <v>316</v>
      </c>
      <c r="I75" s="12">
        <v>69.530434782608694</v>
      </c>
      <c r="J75" s="12">
        <v>4</v>
      </c>
    </row>
    <row r="76" spans="1:10" x14ac:dyDescent="0.35">
      <c r="A76" t="s">
        <v>14</v>
      </c>
      <c r="B76">
        <v>101</v>
      </c>
      <c r="C76">
        <v>34046</v>
      </c>
      <c r="D76" t="s">
        <v>37</v>
      </c>
      <c r="E76" s="12">
        <v>19.989999999999998</v>
      </c>
      <c r="F76" s="12">
        <v>12.2</v>
      </c>
      <c r="G76" s="75">
        <v>46190</v>
      </c>
      <c r="H76" t="s">
        <v>340</v>
      </c>
      <c r="I76" s="12">
        <v>0</v>
      </c>
      <c r="J76" s="12">
        <v>0</v>
      </c>
    </row>
    <row r="77" spans="1:10" x14ac:dyDescent="0.35">
      <c r="A77" t="s">
        <v>14</v>
      </c>
      <c r="B77">
        <v>102</v>
      </c>
      <c r="C77">
        <v>55481</v>
      </c>
      <c r="D77" t="s">
        <v>105</v>
      </c>
      <c r="E77" s="12">
        <v>11.99</v>
      </c>
      <c r="F77" s="12">
        <v>5.0999999999999996</v>
      </c>
      <c r="G77" s="75">
        <v>46188</v>
      </c>
      <c r="H77" t="s">
        <v>315</v>
      </c>
      <c r="I77" s="12">
        <v>83.408695652173918</v>
      </c>
      <c r="J77" s="12">
        <v>8</v>
      </c>
    </row>
    <row r="78" spans="1:10" x14ac:dyDescent="0.35">
      <c r="A78" t="s">
        <v>14</v>
      </c>
      <c r="B78">
        <v>102</v>
      </c>
      <c r="C78">
        <v>55481</v>
      </c>
      <c r="D78" t="s">
        <v>105</v>
      </c>
      <c r="E78" s="12">
        <v>11.99</v>
      </c>
      <c r="F78" s="12">
        <v>5.0999999999999996</v>
      </c>
      <c r="G78" s="75">
        <v>46189</v>
      </c>
      <c r="H78" t="s">
        <v>316</v>
      </c>
      <c r="I78" s="12">
        <v>52.130434782608695</v>
      </c>
      <c r="J78" s="12">
        <v>5</v>
      </c>
    </row>
    <row r="79" spans="1:10" x14ac:dyDescent="0.35">
      <c r="A79" t="s">
        <v>14</v>
      </c>
      <c r="B79">
        <v>102</v>
      </c>
      <c r="C79">
        <v>55481</v>
      </c>
      <c r="D79" t="s">
        <v>105</v>
      </c>
      <c r="E79" s="12">
        <v>11.99</v>
      </c>
      <c r="F79" s="12">
        <v>5.0999999999999996</v>
      </c>
      <c r="G79" s="75">
        <v>46190</v>
      </c>
      <c r="H79" t="s">
        <v>340</v>
      </c>
      <c r="I79" s="12">
        <v>10.42608695652174</v>
      </c>
      <c r="J79" s="12">
        <v>1</v>
      </c>
    </row>
    <row r="80" spans="1:10" x14ac:dyDescent="0.35">
      <c r="A80" t="s">
        <v>19</v>
      </c>
      <c r="B80">
        <v>102</v>
      </c>
      <c r="C80">
        <v>34015</v>
      </c>
      <c r="D80" t="s">
        <v>106</v>
      </c>
      <c r="E80" s="12">
        <v>29.99</v>
      </c>
      <c r="F80" s="12">
        <v>3.1788888888888889</v>
      </c>
      <c r="G80" s="75">
        <v>46188</v>
      </c>
      <c r="H80" t="s">
        <v>315</v>
      </c>
      <c r="I80" s="12">
        <v>78.234782608695653</v>
      </c>
      <c r="J80" s="12">
        <v>3</v>
      </c>
    </row>
    <row r="81" spans="1:10" x14ac:dyDescent="0.35">
      <c r="A81" t="s">
        <v>19</v>
      </c>
      <c r="B81">
        <v>102</v>
      </c>
      <c r="C81">
        <v>34015</v>
      </c>
      <c r="D81" t="s">
        <v>106</v>
      </c>
      <c r="E81" s="12">
        <v>29.99</v>
      </c>
      <c r="F81" s="12">
        <v>3.1788888888888889</v>
      </c>
      <c r="G81" s="75">
        <v>46189</v>
      </c>
      <c r="H81" t="s">
        <v>316</v>
      </c>
      <c r="I81" s="12">
        <v>26.078260869565216</v>
      </c>
      <c r="J81" s="12">
        <v>1</v>
      </c>
    </row>
    <row r="82" spans="1:10" x14ac:dyDescent="0.35">
      <c r="A82" t="s">
        <v>19</v>
      </c>
      <c r="B82">
        <v>102</v>
      </c>
      <c r="C82">
        <v>34015</v>
      </c>
      <c r="D82" t="s">
        <v>106</v>
      </c>
      <c r="E82" s="12">
        <v>29.99</v>
      </c>
      <c r="F82" s="12">
        <v>3.1788888888888889</v>
      </c>
      <c r="G82" s="75">
        <v>46190</v>
      </c>
      <c r="H82" t="s">
        <v>340</v>
      </c>
      <c r="I82" s="12">
        <v>208.62608695652173</v>
      </c>
      <c r="J82" s="12">
        <v>8</v>
      </c>
    </row>
    <row r="83" spans="1:10" x14ac:dyDescent="0.35">
      <c r="A83" t="s">
        <v>107</v>
      </c>
      <c r="B83">
        <v>102</v>
      </c>
      <c r="C83">
        <v>32863</v>
      </c>
      <c r="D83" t="s">
        <v>109</v>
      </c>
      <c r="E83" s="12">
        <v>17.989999999999998</v>
      </c>
      <c r="F83" s="12">
        <v>9.4</v>
      </c>
      <c r="G83" s="75">
        <v>46188</v>
      </c>
      <c r="H83" t="s">
        <v>315</v>
      </c>
      <c r="I83" s="12">
        <v>78.217391304347828</v>
      </c>
      <c r="J83" s="12">
        <v>5</v>
      </c>
    </row>
    <row r="84" spans="1:10" x14ac:dyDescent="0.35">
      <c r="A84" t="s">
        <v>107</v>
      </c>
      <c r="B84">
        <v>102</v>
      </c>
      <c r="C84">
        <v>32863</v>
      </c>
      <c r="D84" t="s">
        <v>109</v>
      </c>
      <c r="E84" s="12">
        <v>17.989999999999998</v>
      </c>
      <c r="F84" s="12">
        <v>9.4</v>
      </c>
      <c r="G84" s="75">
        <v>46189</v>
      </c>
      <c r="H84" t="s">
        <v>316</v>
      </c>
      <c r="I84" s="12">
        <v>62.573913043478257</v>
      </c>
      <c r="J84" s="12">
        <v>4</v>
      </c>
    </row>
    <row r="85" spans="1:10" x14ac:dyDescent="0.35">
      <c r="A85" t="s">
        <v>107</v>
      </c>
      <c r="B85">
        <v>102</v>
      </c>
      <c r="C85">
        <v>32863</v>
      </c>
      <c r="D85" t="s">
        <v>109</v>
      </c>
      <c r="E85" s="12">
        <v>17.989999999999998</v>
      </c>
      <c r="F85" s="12">
        <v>9.4</v>
      </c>
      <c r="G85" s="75">
        <v>46190</v>
      </c>
      <c r="H85" t="s">
        <v>340</v>
      </c>
      <c r="I85" s="12">
        <v>15.643478260869564</v>
      </c>
      <c r="J85" s="12">
        <v>1</v>
      </c>
    </row>
    <row r="86" spans="1:10" x14ac:dyDescent="0.35">
      <c r="A86" t="s">
        <v>14</v>
      </c>
      <c r="B86">
        <v>102</v>
      </c>
      <c r="C86">
        <v>34008</v>
      </c>
      <c r="D86" t="s">
        <v>104</v>
      </c>
      <c r="E86" s="12">
        <v>5.99</v>
      </c>
      <c r="F86" s="12">
        <v>4.32</v>
      </c>
      <c r="G86" s="75">
        <v>46188</v>
      </c>
      <c r="H86" t="s">
        <v>315</v>
      </c>
      <c r="I86" s="12">
        <v>72.921739130434787</v>
      </c>
      <c r="J86" s="12">
        <v>14</v>
      </c>
    </row>
    <row r="87" spans="1:10" x14ac:dyDescent="0.35">
      <c r="A87" t="s">
        <v>14</v>
      </c>
      <c r="B87">
        <v>102</v>
      </c>
      <c r="C87">
        <v>34008</v>
      </c>
      <c r="D87" t="s">
        <v>104</v>
      </c>
      <c r="E87" s="12">
        <v>5.99</v>
      </c>
      <c r="F87" s="12">
        <v>4.32</v>
      </c>
      <c r="G87" s="75">
        <v>46189</v>
      </c>
      <c r="H87" t="s">
        <v>316</v>
      </c>
      <c r="I87" s="12">
        <v>67.713043478260872</v>
      </c>
      <c r="J87" s="12">
        <v>13</v>
      </c>
    </row>
    <row r="88" spans="1:10" x14ac:dyDescent="0.35">
      <c r="A88" t="s">
        <v>14</v>
      </c>
      <c r="B88">
        <v>102</v>
      </c>
      <c r="C88">
        <v>34008</v>
      </c>
      <c r="D88" t="s">
        <v>104</v>
      </c>
      <c r="E88" s="12">
        <v>5.99</v>
      </c>
      <c r="F88" s="12">
        <v>4.32</v>
      </c>
      <c r="G88" s="75">
        <v>46190</v>
      </c>
      <c r="H88" t="s">
        <v>340</v>
      </c>
      <c r="I88" s="12">
        <v>83.339130434782618</v>
      </c>
      <c r="J88" s="12">
        <v>16</v>
      </c>
    </row>
    <row r="89" spans="1:10" x14ac:dyDescent="0.35">
      <c r="A89" t="s">
        <v>14</v>
      </c>
      <c r="B89">
        <v>101</v>
      </c>
      <c r="C89">
        <v>62622</v>
      </c>
      <c r="D89" t="s">
        <v>70</v>
      </c>
      <c r="E89" s="12">
        <v>26.99</v>
      </c>
      <c r="F89" s="12">
        <v>14.15</v>
      </c>
      <c r="G89" s="75">
        <v>46188</v>
      </c>
      <c r="H89" t="s">
        <v>315</v>
      </c>
      <c r="I89" s="12">
        <v>70.408695652173918</v>
      </c>
      <c r="J89" s="12">
        <v>3</v>
      </c>
    </row>
    <row r="90" spans="1:10" x14ac:dyDescent="0.35">
      <c r="A90" t="s">
        <v>14</v>
      </c>
      <c r="B90">
        <v>101</v>
      </c>
      <c r="C90">
        <v>62622</v>
      </c>
      <c r="D90" t="s">
        <v>70</v>
      </c>
      <c r="E90" s="12">
        <v>26.99</v>
      </c>
      <c r="F90" s="12">
        <v>14.15</v>
      </c>
      <c r="G90" s="75">
        <v>46189</v>
      </c>
      <c r="H90" t="s">
        <v>316</v>
      </c>
      <c r="I90" s="12">
        <v>0</v>
      </c>
      <c r="J90" s="12">
        <v>0</v>
      </c>
    </row>
    <row r="91" spans="1:10" x14ac:dyDescent="0.35">
      <c r="A91" t="s">
        <v>14</v>
      </c>
      <c r="B91">
        <v>101</v>
      </c>
      <c r="C91">
        <v>62622</v>
      </c>
      <c r="D91" t="s">
        <v>70</v>
      </c>
      <c r="E91" s="12">
        <v>26.99</v>
      </c>
      <c r="F91" s="12">
        <v>14.15</v>
      </c>
      <c r="G91" s="75">
        <v>46190</v>
      </c>
      <c r="H91" t="s">
        <v>340</v>
      </c>
      <c r="I91" s="12">
        <v>91.530434782608694</v>
      </c>
      <c r="J91" s="12">
        <v>4</v>
      </c>
    </row>
    <row r="92" spans="1:10" x14ac:dyDescent="0.35">
      <c r="A92" t="s">
        <v>14</v>
      </c>
      <c r="B92">
        <v>101</v>
      </c>
      <c r="C92">
        <v>58512</v>
      </c>
      <c r="D92" t="s">
        <v>30</v>
      </c>
      <c r="E92" s="12">
        <v>26.99</v>
      </c>
      <c r="F92" s="12">
        <v>10.66</v>
      </c>
      <c r="G92" s="75">
        <v>46188</v>
      </c>
      <c r="H92" t="s">
        <v>315</v>
      </c>
      <c r="I92" s="12">
        <v>70.408695652173918</v>
      </c>
      <c r="J92" s="12">
        <v>3</v>
      </c>
    </row>
    <row r="93" spans="1:10" x14ac:dyDescent="0.35">
      <c r="A93" t="s">
        <v>14</v>
      </c>
      <c r="B93">
        <v>101</v>
      </c>
      <c r="C93">
        <v>58512</v>
      </c>
      <c r="D93" t="s">
        <v>30</v>
      </c>
      <c r="E93" s="12">
        <v>26.99</v>
      </c>
      <c r="F93" s="12">
        <v>10.66</v>
      </c>
      <c r="G93" s="75">
        <v>46189</v>
      </c>
      <c r="H93" t="s">
        <v>316</v>
      </c>
      <c r="I93" s="12">
        <v>70.408695652173918</v>
      </c>
      <c r="J93" s="12">
        <v>3</v>
      </c>
    </row>
    <row r="94" spans="1:10" x14ac:dyDescent="0.35">
      <c r="A94" t="s">
        <v>14</v>
      </c>
      <c r="B94">
        <v>101</v>
      </c>
      <c r="C94">
        <v>58512</v>
      </c>
      <c r="D94" t="s">
        <v>30</v>
      </c>
      <c r="E94" s="12">
        <v>26.99</v>
      </c>
      <c r="F94" s="12">
        <v>10.66</v>
      </c>
      <c r="G94" s="75">
        <v>46190</v>
      </c>
      <c r="H94" t="s">
        <v>340</v>
      </c>
      <c r="I94" s="12">
        <v>70.408695652173918</v>
      </c>
      <c r="J94" s="12">
        <v>3</v>
      </c>
    </row>
    <row r="95" spans="1:10" x14ac:dyDescent="0.35">
      <c r="A95" t="s">
        <v>14</v>
      </c>
      <c r="B95">
        <v>119</v>
      </c>
      <c r="C95">
        <v>34105</v>
      </c>
      <c r="D95" t="s">
        <v>265</v>
      </c>
      <c r="E95" s="12">
        <v>79.989999999999995</v>
      </c>
      <c r="F95" s="12">
        <v>54.64</v>
      </c>
      <c r="G95" s="75">
        <v>46188</v>
      </c>
      <c r="H95" t="s">
        <v>315</v>
      </c>
      <c r="I95" s="12">
        <v>69.556521739130432</v>
      </c>
      <c r="J95" s="12">
        <v>1</v>
      </c>
    </row>
    <row r="96" spans="1:10" x14ac:dyDescent="0.35">
      <c r="A96" t="s">
        <v>14</v>
      </c>
      <c r="B96">
        <v>119</v>
      </c>
      <c r="C96">
        <v>34105</v>
      </c>
      <c r="D96" t="s">
        <v>265</v>
      </c>
      <c r="E96" s="12">
        <v>79.989999999999995</v>
      </c>
      <c r="F96" s="12">
        <v>54.64</v>
      </c>
      <c r="G96" s="75">
        <v>46189</v>
      </c>
      <c r="H96" t="s">
        <v>316</v>
      </c>
      <c r="I96" s="12">
        <v>0</v>
      </c>
      <c r="J96" s="12">
        <v>0</v>
      </c>
    </row>
    <row r="97" spans="1:10" x14ac:dyDescent="0.35">
      <c r="A97" t="s">
        <v>14</v>
      </c>
      <c r="B97">
        <v>119</v>
      </c>
      <c r="C97">
        <v>34105</v>
      </c>
      <c r="D97" t="s">
        <v>265</v>
      </c>
      <c r="E97" s="12">
        <v>79.989999999999995</v>
      </c>
      <c r="F97" s="12">
        <v>54.64</v>
      </c>
      <c r="G97" s="75">
        <v>46190</v>
      </c>
      <c r="H97" t="s">
        <v>340</v>
      </c>
      <c r="I97" s="12">
        <v>208.66956521739129</v>
      </c>
      <c r="J97" s="12">
        <v>3</v>
      </c>
    </row>
    <row r="98" spans="1:10" x14ac:dyDescent="0.35">
      <c r="A98" t="s">
        <v>14</v>
      </c>
      <c r="B98">
        <v>102</v>
      </c>
      <c r="C98">
        <v>32872</v>
      </c>
      <c r="D98" t="s">
        <v>98</v>
      </c>
      <c r="E98" s="12">
        <v>29.99</v>
      </c>
      <c r="F98" s="12">
        <v>11.79</v>
      </c>
      <c r="G98" s="75">
        <v>46188</v>
      </c>
      <c r="H98" t="s">
        <v>315</v>
      </c>
      <c r="I98" s="12">
        <v>69.547826086956519</v>
      </c>
      <c r="J98" s="12">
        <v>2</v>
      </c>
    </row>
    <row r="99" spans="1:10" x14ac:dyDescent="0.35">
      <c r="A99" t="s">
        <v>14</v>
      </c>
      <c r="B99">
        <v>102</v>
      </c>
      <c r="C99">
        <v>32872</v>
      </c>
      <c r="D99" t="s">
        <v>98</v>
      </c>
      <c r="E99" s="12">
        <v>29.99</v>
      </c>
      <c r="F99" s="12">
        <v>11.79</v>
      </c>
      <c r="G99" s="75">
        <v>46189</v>
      </c>
      <c r="H99" t="s">
        <v>316</v>
      </c>
      <c r="I99" s="12">
        <v>0</v>
      </c>
      <c r="J99" s="12">
        <v>0</v>
      </c>
    </row>
    <row r="100" spans="1:10" x14ac:dyDescent="0.35">
      <c r="A100" t="s">
        <v>14</v>
      </c>
      <c r="B100">
        <v>102</v>
      </c>
      <c r="C100">
        <v>32872</v>
      </c>
      <c r="D100" t="s">
        <v>98</v>
      </c>
      <c r="E100" s="12">
        <v>29.99</v>
      </c>
      <c r="F100" s="12">
        <v>11.79</v>
      </c>
      <c r="G100" s="75">
        <v>46190</v>
      </c>
      <c r="H100" t="s">
        <v>340</v>
      </c>
      <c r="I100" s="12">
        <v>206.01739130434783</v>
      </c>
      <c r="J100" s="12">
        <v>8</v>
      </c>
    </row>
    <row r="101" spans="1:10" x14ac:dyDescent="0.35">
      <c r="A101" t="s">
        <v>14</v>
      </c>
      <c r="B101">
        <v>102</v>
      </c>
      <c r="C101">
        <v>32152</v>
      </c>
      <c r="D101" t="s">
        <v>100</v>
      </c>
      <c r="E101" s="12">
        <v>12.99</v>
      </c>
      <c r="F101" s="12">
        <v>6.77</v>
      </c>
      <c r="G101" s="75">
        <v>46188</v>
      </c>
      <c r="H101" t="s">
        <v>315</v>
      </c>
      <c r="I101" s="12">
        <v>67.77391304347826</v>
      </c>
      <c r="J101" s="12">
        <v>6</v>
      </c>
    </row>
    <row r="102" spans="1:10" x14ac:dyDescent="0.35">
      <c r="A102" t="s">
        <v>14</v>
      </c>
      <c r="B102">
        <v>102</v>
      </c>
      <c r="C102">
        <v>32152</v>
      </c>
      <c r="D102" t="s">
        <v>100</v>
      </c>
      <c r="E102" s="12">
        <v>12.99</v>
      </c>
      <c r="F102" s="12">
        <v>6.77</v>
      </c>
      <c r="G102" s="75">
        <v>46189</v>
      </c>
      <c r="H102" t="s">
        <v>316</v>
      </c>
      <c r="I102" s="12">
        <v>22.591304347826089</v>
      </c>
      <c r="J102" s="12">
        <v>2</v>
      </c>
    </row>
    <row r="103" spans="1:10" x14ac:dyDescent="0.35">
      <c r="A103" t="s">
        <v>14</v>
      </c>
      <c r="B103">
        <v>102</v>
      </c>
      <c r="C103">
        <v>32152</v>
      </c>
      <c r="D103" t="s">
        <v>100</v>
      </c>
      <c r="E103" s="12">
        <v>12.99</v>
      </c>
      <c r="F103" s="12">
        <v>6.77</v>
      </c>
      <c r="G103" s="75">
        <v>46190</v>
      </c>
      <c r="H103" t="s">
        <v>340</v>
      </c>
      <c r="I103" s="12">
        <v>56.478260869565219</v>
      </c>
      <c r="J103" s="12">
        <v>5</v>
      </c>
    </row>
    <row r="104" spans="1:10" x14ac:dyDescent="0.35">
      <c r="A104" t="s">
        <v>14</v>
      </c>
      <c r="B104">
        <v>101</v>
      </c>
      <c r="C104">
        <v>34041</v>
      </c>
      <c r="D104" t="s">
        <v>43</v>
      </c>
      <c r="E104" s="12">
        <v>6.99</v>
      </c>
      <c r="F104" s="12">
        <v>3.15</v>
      </c>
      <c r="G104" s="75">
        <v>46188</v>
      </c>
      <c r="H104" t="s">
        <v>315</v>
      </c>
      <c r="I104" s="12">
        <v>66.860869565217399</v>
      </c>
      <c r="J104" s="12">
        <v>11</v>
      </c>
    </row>
    <row r="105" spans="1:10" x14ac:dyDescent="0.35">
      <c r="A105" t="s">
        <v>14</v>
      </c>
      <c r="B105">
        <v>101</v>
      </c>
      <c r="C105">
        <v>34041</v>
      </c>
      <c r="D105" t="s">
        <v>43</v>
      </c>
      <c r="E105" s="12">
        <v>6.99</v>
      </c>
      <c r="F105" s="12">
        <v>3.15</v>
      </c>
      <c r="G105" s="75">
        <v>46189</v>
      </c>
      <c r="H105" t="s">
        <v>316</v>
      </c>
      <c r="I105" s="12">
        <v>42.547826086956519</v>
      </c>
      <c r="J105" s="12">
        <v>7</v>
      </c>
    </row>
    <row r="106" spans="1:10" x14ac:dyDescent="0.35">
      <c r="A106" t="s">
        <v>14</v>
      </c>
      <c r="B106">
        <v>101</v>
      </c>
      <c r="C106">
        <v>34041</v>
      </c>
      <c r="D106" t="s">
        <v>43</v>
      </c>
      <c r="E106" s="12">
        <v>6.99</v>
      </c>
      <c r="F106" s="12">
        <v>3.15</v>
      </c>
      <c r="G106" s="75">
        <v>46190</v>
      </c>
      <c r="H106" t="s">
        <v>340</v>
      </c>
      <c r="I106" s="12">
        <v>48.017391304347825</v>
      </c>
      <c r="J106" s="12">
        <v>8</v>
      </c>
    </row>
    <row r="107" spans="1:10" x14ac:dyDescent="0.35">
      <c r="A107" t="s">
        <v>19</v>
      </c>
      <c r="B107">
        <v>101</v>
      </c>
      <c r="C107">
        <v>51680</v>
      </c>
      <c r="D107" t="s">
        <v>33</v>
      </c>
      <c r="E107" s="12">
        <v>21.99</v>
      </c>
      <c r="F107" s="12">
        <v>12.14</v>
      </c>
      <c r="G107" s="75">
        <v>46188</v>
      </c>
      <c r="H107" t="s">
        <v>315</v>
      </c>
      <c r="I107" s="12">
        <v>57.365217391304348</v>
      </c>
      <c r="J107" s="12">
        <v>3</v>
      </c>
    </row>
    <row r="108" spans="1:10" x14ac:dyDescent="0.35">
      <c r="A108" t="s">
        <v>19</v>
      </c>
      <c r="B108">
        <v>101</v>
      </c>
      <c r="C108">
        <v>51680</v>
      </c>
      <c r="D108" t="s">
        <v>33</v>
      </c>
      <c r="E108" s="12">
        <v>21.99</v>
      </c>
      <c r="F108" s="12">
        <v>12.14</v>
      </c>
      <c r="G108" s="75">
        <v>46189</v>
      </c>
      <c r="H108" t="s">
        <v>316</v>
      </c>
      <c r="I108" s="12">
        <v>19.121739130434783</v>
      </c>
      <c r="J108" s="12">
        <v>1</v>
      </c>
    </row>
    <row r="109" spans="1:10" x14ac:dyDescent="0.35">
      <c r="A109" t="s">
        <v>19</v>
      </c>
      <c r="B109">
        <v>101</v>
      </c>
      <c r="C109">
        <v>51680</v>
      </c>
      <c r="D109" t="s">
        <v>33</v>
      </c>
      <c r="E109" s="12">
        <v>21.99</v>
      </c>
      <c r="F109" s="12">
        <v>12.14</v>
      </c>
      <c r="G109" s="75">
        <v>46190</v>
      </c>
      <c r="H109" t="s">
        <v>340</v>
      </c>
      <c r="I109" s="12">
        <v>19.121739130434783</v>
      </c>
      <c r="J109" s="12">
        <v>1</v>
      </c>
    </row>
    <row r="110" spans="1:10" x14ac:dyDescent="0.35">
      <c r="A110" t="s">
        <v>14</v>
      </c>
      <c r="B110">
        <v>101</v>
      </c>
      <c r="C110">
        <v>34042</v>
      </c>
      <c r="D110" t="s">
        <v>31</v>
      </c>
      <c r="E110" s="12">
        <v>9.5</v>
      </c>
      <c r="F110" s="12">
        <v>4.1500000000000004</v>
      </c>
      <c r="G110" s="75">
        <v>46188</v>
      </c>
      <c r="H110" t="s">
        <v>315</v>
      </c>
      <c r="I110" s="12">
        <v>49.565217391304344</v>
      </c>
      <c r="J110" s="12">
        <v>6</v>
      </c>
    </row>
    <row r="111" spans="1:10" x14ac:dyDescent="0.35">
      <c r="A111" t="s">
        <v>14</v>
      </c>
      <c r="B111">
        <v>101</v>
      </c>
      <c r="C111">
        <v>34042</v>
      </c>
      <c r="D111" t="s">
        <v>31</v>
      </c>
      <c r="E111" s="12">
        <v>9.5</v>
      </c>
      <c r="F111" s="12">
        <v>4.1500000000000004</v>
      </c>
      <c r="G111" s="75">
        <v>46189</v>
      </c>
      <c r="H111" t="s">
        <v>316</v>
      </c>
      <c r="I111" s="12">
        <v>90.869565217391312</v>
      </c>
      <c r="J111" s="12">
        <v>11</v>
      </c>
    </row>
    <row r="112" spans="1:10" x14ac:dyDescent="0.35">
      <c r="A112" t="s">
        <v>14</v>
      </c>
      <c r="B112">
        <v>101</v>
      </c>
      <c r="C112">
        <v>34042</v>
      </c>
      <c r="D112" t="s">
        <v>31</v>
      </c>
      <c r="E112" s="12">
        <v>9.5</v>
      </c>
      <c r="F112" s="12">
        <v>4.1500000000000004</v>
      </c>
      <c r="G112" s="75">
        <v>46190</v>
      </c>
      <c r="H112" t="s">
        <v>340</v>
      </c>
      <c r="I112" s="12">
        <v>97.052173913043475</v>
      </c>
      <c r="J112" s="12">
        <v>12</v>
      </c>
    </row>
    <row r="113" spans="1:10" x14ac:dyDescent="0.35">
      <c r="A113" t="s">
        <v>14</v>
      </c>
      <c r="B113">
        <v>104</v>
      </c>
      <c r="C113">
        <v>43309</v>
      </c>
      <c r="D113" t="s">
        <v>238</v>
      </c>
      <c r="E113" s="12">
        <v>13.99</v>
      </c>
      <c r="F113" s="12">
        <v>6.67</v>
      </c>
      <c r="G113" s="75">
        <v>46188</v>
      </c>
      <c r="H113" t="s">
        <v>315</v>
      </c>
      <c r="I113" s="12">
        <v>48.660869565217389</v>
      </c>
      <c r="J113" s="12">
        <v>4</v>
      </c>
    </row>
    <row r="114" spans="1:10" x14ac:dyDescent="0.35">
      <c r="A114" t="s">
        <v>14</v>
      </c>
      <c r="B114">
        <v>104</v>
      </c>
      <c r="C114">
        <v>43309</v>
      </c>
      <c r="D114" t="s">
        <v>238</v>
      </c>
      <c r="E114" s="12">
        <v>13.99</v>
      </c>
      <c r="F114" s="12">
        <v>6.67</v>
      </c>
      <c r="G114" s="75">
        <v>46189</v>
      </c>
      <c r="H114" t="s">
        <v>316</v>
      </c>
      <c r="I114" s="12">
        <v>12.165217391304347</v>
      </c>
      <c r="J114" s="12">
        <v>1</v>
      </c>
    </row>
    <row r="115" spans="1:10" x14ac:dyDescent="0.35">
      <c r="A115" t="s">
        <v>14</v>
      </c>
      <c r="B115">
        <v>104</v>
      </c>
      <c r="C115">
        <v>43309</v>
      </c>
      <c r="D115" t="s">
        <v>238</v>
      </c>
      <c r="E115" s="12">
        <v>13.99</v>
      </c>
      <c r="F115" s="12">
        <v>6.67</v>
      </c>
      <c r="G115" s="75">
        <v>46190</v>
      </c>
      <c r="H115" t="s">
        <v>340</v>
      </c>
      <c r="I115" s="12">
        <v>24.330434782608695</v>
      </c>
      <c r="J115" s="12">
        <v>2</v>
      </c>
    </row>
    <row r="116" spans="1:10" x14ac:dyDescent="0.35">
      <c r="A116" t="s">
        <v>14</v>
      </c>
      <c r="B116">
        <v>102</v>
      </c>
      <c r="C116">
        <v>32855</v>
      </c>
      <c r="D116" t="s">
        <v>110</v>
      </c>
      <c r="E116" s="12">
        <v>17.989999999999998</v>
      </c>
      <c r="F116" s="12">
        <v>9.14</v>
      </c>
      <c r="G116" s="75">
        <v>46188</v>
      </c>
      <c r="H116" t="s">
        <v>315</v>
      </c>
      <c r="I116" s="12">
        <v>46.930434782608693</v>
      </c>
      <c r="J116" s="12">
        <v>3</v>
      </c>
    </row>
    <row r="117" spans="1:10" x14ac:dyDescent="0.35">
      <c r="A117" t="s">
        <v>14</v>
      </c>
      <c r="B117">
        <v>102</v>
      </c>
      <c r="C117">
        <v>32855</v>
      </c>
      <c r="D117" t="s">
        <v>110</v>
      </c>
      <c r="E117" s="12">
        <v>17.989999999999998</v>
      </c>
      <c r="F117" s="12">
        <v>9.14</v>
      </c>
      <c r="G117" s="75">
        <v>46189</v>
      </c>
      <c r="H117" t="s">
        <v>316</v>
      </c>
      <c r="I117" s="12">
        <v>31.286956521739128</v>
      </c>
      <c r="J117" s="12">
        <v>2</v>
      </c>
    </row>
    <row r="118" spans="1:10" x14ac:dyDescent="0.35">
      <c r="A118" t="s">
        <v>14</v>
      </c>
      <c r="B118">
        <v>102</v>
      </c>
      <c r="C118">
        <v>32855</v>
      </c>
      <c r="D118" t="s">
        <v>110</v>
      </c>
      <c r="E118" s="12">
        <v>17.989999999999998</v>
      </c>
      <c r="F118" s="12">
        <v>9.14</v>
      </c>
      <c r="G118" s="75">
        <v>46190</v>
      </c>
      <c r="H118" t="s">
        <v>340</v>
      </c>
      <c r="I118" s="12">
        <v>46.930434782608693</v>
      </c>
      <c r="J118" s="12">
        <v>3</v>
      </c>
    </row>
    <row r="119" spans="1:10" x14ac:dyDescent="0.35">
      <c r="A119" t="s">
        <v>14</v>
      </c>
      <c r="B119">
        <v>102</v>
      </c>
      <c r="C119">
        <v>32153</v>
      </c>
      <c r="D119" t="s">
        <v>102</v>
      </c>
      <c r="E119" s="12">
        <v>8.99</v>
      </c>
      <c r="F119" s="12">
        <v>4.5599999999999996</v>
      </c>
      <c r="G119" s="75">
        <v>46188</v>
      </c>
      <c r="H119" t="s">
        <v>315</v>
      </c>
      <c r="I119" s="12">
        <v>46.904347826086955</v>
      </c>
      <c r="J119" s="12">
        <v>6</v>
      </c>
    </row>
    <row r="120" spans="1:10" x14ac:dyDescent="0.35">
      <c r="A120" t="s">
        <v>14</v>
      </c>
      <c r="B120">
        <v>102</v>
      </c>
      <c r="C120">
        <v>32153</v>
      </c>
      <c r="D120" t="s">
        <v>102</v>
      </c>
      <c r="E120" s="12">
        <v>8.99</v>
      </c>
      <c r="F120" s="12">
        <v>4.5599999999999996</v>
      </c>
      <c r="G120" s="75">
        <v>46189</v>
      </c>
      <c r="H120" t="s">
        <v>316</v>
      </c>
      <c r="I120" s="12">
        <v>62.539130434782606</v>
      </c>
      <c r="J120" s="12">
        <v>8</v>
      </c>
    </row>
    <row r="121" spans="1:10" x14ac:dyDescent="0.35">
      <c r="A121" t="s">
        <v>14</v>
      </c>
      <c r="B121">
        <v>102</v>
      </c>
      <c r="C121">
        <v>32153</v>
      </c>
      <c r="D121" t="s">
        <v>102</v>
      </c>
      <c r="E121" s="12">
        <v>8.99</v>
      </c>
      <c r="F121" s="12">
        <v>4.5599999999999996</v>
      </c>
      <c r="G121" s="75">
        <v>46190</v>
      </c>
      <c r="H121" t="s">
        <v>340</v>
      </c>
      <c r="I121" s="12">
        <v>39.086956521739133</v>
      </c>
      <c r="J121" s="12">
        <v>5</v>
      </c>
    </row>
    <row r="122" spans="1:10" x14ac:dyDescent="0.35">
      <c r="A122" t="s">
        <v>14</v>
      </c>
      <c r="B122">
        <v>104</v>
      </c>
      <c r="C122">
        <v>34083</v>
      </c>
      <c r="D122" t="s">
        <v>233</v>
      </c>
      <c r="E122" s="12">
        <v>49.99</v>
      </c>
      <c r="F122" s="12">
        <v>13.76</v>
      </c>
      <c r="G122" s="75">
        <v>46188</v>
      </c>
      <c r="H122" t="s">
        <v>315</v>
      </c>
      <c r="I122" s="12">
        <v>43.469565217391306</v>
      </c>
      <c r="J122" s="12">
        <v>1</v>
      </c>
    </row>
    <row r="123" spans="1:10" x14ac:dyDescent="0.35">
      <c r="A123" t="s">
        <v>14</v>
      </c>
      <c r="B123">
        <v>104</v>
      </c>
      <c r="C123">
        <v>34083</v>
      </c>
      <c r="D123" t="s">
        <v>233</v>
      </c>
      <c r="E123" s="12">
        <v>49.99</v>
      </c>
      <c r="F123" s="12">
        <v>13.76</v>
      </c>
      <c r="G123" s="75">
        <v>46189</v>
      </c>
      <c r="H123" t="s">
        <v>316</v>
      </c>
      <c r="I123" s="12">
        <v>130.40869565217392</v>
      </c>
      <c r="J123" s="12">
        <v>3</v>
      </c>
    </row>
    <row r="124" spans="1:10" x14ac:dyDescent="0.35">
      <c r="A124" t="s">
        <v>14</v>
      </c>
      <c r="B124">
        <v>104</v>
      </c>
      <c r="C124">
        <v>34083</v>
      </c>
      <c r="D124" t="s">
        <v>233</v>
      </c>
      <c r="E124" s="12">
        <v>49.99</v>
      </c>
      <c r="F124" s="12">
        <v>13.76</v>
      </c>
      <c r="G124" s="75">
        <v>46190</v>
      </c>
      <c r="H124" t="s">
        <v>340</v>
      </c>
      <c r="I124" s="12">
        <v>130.40869565217392</v>
      </c>
      <c r="J124" s="12">
        <v>3</v>
      </c>
    </row>
    <row r="125" spans="1:10" x14ac:dyDescent="0.35">
      <c r="A125" t="s">
        <v>14</v>
      </c>
      <c r="B125">
        <v>101</v>
      </c>
      <c r="C125">
        <v>34053</v>
      </c>
      <c r="D125" t="s">
        <v>57</v>
      </c>
      <c r="E125" s="12">
        <v>15.99</v>
      </c>
      <c r="F125" s="12">
        <v>6.74</v>
      </c>
      <c r="G125" s="75">
        <v>46188</v>
      </c>
      <c r="H125" t="s">
        <v>315</v>
      </c>
      <c r="I125" s="12">
        <v>41.713043478260872</v>
      </c>
      <c r="J125" s="12">
        <v>3</v>
      </c>
    </row>
    <row r="126" spans="1:10" x14ac:dyDescent="0.35">
      <c r="A126" t="s">
        <v>14</v>
      </c>
      <c r="B126">
        <v>101</v>
      </c>
      <c r="C126">
        <v>34053</v>
      </c>
      <c r="D126" t="s">
        <v>57</v>
      </c>
      <c r="E126" s="12">
        <v>15.99</v>
      </c>
      <c r="F126" s="12">
        <v>6.74</v>
      </c>
      <c r="G126" s="75">
        <v>46189</v>
      </c>
      <c r="H126" t="s">
        <v>316</v>
      </c>
      <c r="I126" s="12">
        <v>55.617391304347827</v>
      </c>
      <c r="J126" s="12">
        <v>4</v>
      </c>
    </row>
    <row r="127" spans="1:10" x14ac:dyDescent="0.35">
      <c r="A127" t="s">
        <v>14</v>
      </c>
      <c r="B127">
        <v>101</v>
      </c>
      <c r="C127">
        <v>34053</v>
      </c>
      <c r="D127" t="s">
        <v>57</v>
      </c>
      <c r="E127" s="12">
        <v>15.99</v>
      </c>
      <c r="F127" s="12">
        <v>6.74</v>
      </c>
      <c r="G127" s="75">
        <v>46190</v>
      </c>
      <c r="H127" t="s">
        <v>340</v>
      </c>
      <c r="I127" s="12">
        <v>0</v>
      </c>
      <c r="J127" s="12">
        <v>0</v>
      </c>
    </row>
    <row r="128" spans="1:10" x14ac:dyDescent="0.35">
      <c r="A128" t="s">
        <v>14</v>
      </c>
      <c r="B128">
        <v>101</v>
      </c>
      <c r="C128">
        <v>33997</v>
      </c>
      <c r="D128" t="s">
        <v>39</v>
      </c>
      <c r="E128" s="12">
        <v>14.99</v>
      </c>
      <c r="F128" s="12">
        <v>7.62</v>
      </c>
      <c r="G128" s="75">
        <v>46188</v>
      </c>
      <c r="H128" t="s">
        <v>315</v>
      </c>
      <c r="I128" s="12">
        <v>39.104347826086958</v>
      </c>
      <c r="J128" s="12">
        <v>3</v>
      </c>
    </row>
    <row r="129" spans="1:10" x14ac:dyDescent="0.35">
      <c r="A129" t="s">
        <v>14</v>
      </c>
      <c r="B129">
        <v>101</v>
      </c>
      <c r="C129">
        <v>33997</v>
      </c>
      <c r="D129" t="s">
        <v>39</v>
      </c>
      <c r="E129" s="12">
        <v>14.99</v>
      </c>
      <c r="F129" s="12">
        <v>7.62</v>
      </c>
      <c r="G129" s="75">
        <v>46189</v>
      </c>
      <c r="H129" t="s">
        <v>316</v>
      </c>
      <c r="I129" s="12">
        <v>52.139130434782608</v>
      </c>
      <c r="J129" s="12">
        <v>4</v>
      </c>
    </row>
    <row r="130" spans="1:10" x14ac:dyDescent="0.35">
      <c r="A130" t="s">
        <v>14</v>
      </c>
      <c r="B130">
        <v>101</v>
      </c>
      <c r="C130">
        <v>33997</v>
      </c>
      <c r="D130" t="s">
        <v>39</v>
      </c>
      <c r="E130" s="12">
        <v>14.99</v>
      </c>
      <c r="F130" s="12">
        <v>7.62</v>
      </c>
      <c r="G130" s="75">
        <v>46190</v>
      </c>
      <c r="H130" t="s">
        <v>340</v>
      </c>
      <c r="I130" s="12">
        <v>39.104347826086958</v>
      </c>
      <c r="J130" s="12">
        <v>3</v>
      </c>
    </row>
    <row r="131" spans="1:10" x14ac:dyDescent="0.35">
      <c r="A131" t="s">
        <v>14</v>
      </c>
      <c r="B131">
        <v>101</v>
      </c>
      <c r="C131">
        <v>34004</v>
      </c>
      <c r="D131" t="s">
        <v>50</v>
      </c>
      <c r="E131" s="12">
        <v>1</v>
      </c>
      <c r="F131" s="12">
        <v>0.65</v>
      </c>
      <c r="G131" s="75">
        <v>46188</v>
      </c>
      <c r="H131" t="s">
        <v>315</v>
      </c>
      <c r="I131" s="12">
        <v>30.434782608695652</v>
      </c>
      <c r="J131" s="12">
        <v>35</v>
      </c>
    </row>
    <row r="132" spans="1:10" x14ac:dyDescent="0.35">
      <c r="A132" t="s">
        <v>14</v>
      </c>
      <c r="B132">
        <v>101</v>
      </c>
      <c r="C132">
        <v>34004</v>
      </c>
      <c r="D132" t="s">
        <v>50</v>
      </c>
      <c r="E132" s="12">
        <v>1</v>
      </c>
      <c r="F132" s="12">
        <v>0.65</v>
      </c>
      <c r="G132" s="75">
        <v>46189</v>
      </c>
      <c r="H132" t="s">
        <v>316</v>
      </c>
      <c r="I132" s="12">
        <v>6.9565217391304346</v>
      </c>
      <c r="J132" s="12">
        <v>8</v>
      </c>
    </row>
    <row r="133" spans="1:10" x14ac:dyDescent="0.35">
      <c r="A133" t="s">
        <v>14</v>
      </c>
      <c r="B133">
        <v>101</v>
      </c>
      <c r="C133">
        <v>34004</v>
      </c>
      <c r="D133" t="s">
        <v>50</v>
      </c>
      <c r="E133" s="12">
        <v>1</v>
      </c>
      <c r="F133" s="12">
        <v>0.65</v>
      </c>
      <c r="G133" s="75">
        <v>46190</v>
      </c>
      <c r="H133" t="s">
        <v>340</v>
      </c>
      <c r="I133" s="12">
        <v>13.043478260869565</v>
      </c>
      <c r="J133" s="12">
        <v>15</v>
      </c>
    </row>
    <row r="134" spans="1:10" x14ac:dyDescent="0.35">
      <c r="A134" t="s">
        <v>14</v>
      </c>
      <c r="B134">
        <v>101</v>
      </c>
      <c r="C134">
        <v>34023</v>
      </c>
      <c r="D134" t="s">
        <v>48</v>
      </c>
      <c r="E134" s="12">
        <v>6.99</v>
      </c>
      <c r="F134" s="12">
        <v>2.85</v>
      </c>
      <c r="G134" s="75">
        <v>46188</v>
      </c>
      <c r="H134" t="s">
        <v>315</v>
      </c>
      <c r="I134" s="12">
        <v>30.39130434782609</v>
      </c>
      <c r="J134" s="12">
        <v>5</v>
      </c>
    </row>
    <row r="135" spans="1:10" x14ac:dyDescent="0.35">
      <c r="A135" t="s">
        <v>14</v>
      </c>
      <c r="B135">
        <v>101</v>
      </c>
      <c r="C135">
        <v>34023</v>
      </c>
      <c r="D135" t="s">
        <v>48</v>
      </c>
      <c r="E135" s="12">
        <v>6.99</v>
      </c>
      <c r="F135" s="12">
        <v>2.85</v>
      </c>
      <c r="G135" s="75">
        <v>46189</v>
      </c>
      <c r="H135" t="s">
        <v>316</v>
      </c>
      <c r="I135" s="12">
        <v>24.31304347826087</v>
      </c>
      <c r="J135" s="12">
        <v>4</v>
      </c>
    </row>
    <row r="136" spans="1:10" x14ac:dyDescent="0.35">
      <c r="A136" t="s">
        <v>14</v>
      </c>
      <c r="B136">
        <v>101</v>
      </c>
      <c r="C136">
        <v>34023</v>
      </c>
      <c r="D136" t="s">
        <v>48</v>
      </c>
      <c r="E136" s="12">
        <v>6.99</v>
      </c>
      <c r="F136" s="12">
        <v>2.85</v>
      </c>
      <c r="G136" s="75">
        <v>46190</v>
      </c>
      <c r="H136" t="s">
        <v>340</v>
      </c>
      <c r="I136" s="12">
        <v>24.008695652173913</v>
      </c>
      <c r="J136" s="12">
        <v>4</v>
      </c>
    </row>
    <row r="137" spans="1:10" x14ac:dyDescent="0.35">
      <c r="A137" t="s">
        <v>14</v>
      </c>
      <c r="B137">
        <v>101</v>
      </c>
      <c r="C137">
        <v>34092</v>
      </c>
      <c r="D137" t="s">
        <v>47</v>
      </c>
      <c r="E137" s="12">
        <v>4.99</v>
      </c>
      <c r="F137" s="12">
        <v>2.52</v>
      </c>
      <c r="G137" s="75">
        <v>46188</v>
      </c>
      <c r="H137" t="s">
        <v>315</v>
      </c>
      <c r="I137" s="12">
        <v>30.373913043478261</v>
      </c>
      <c r="J137" s="12">
        <v>7</v>
      </c>
    </row>
    <row r="138" spans="1:10" x14ac:dyDescent="0.35">
      <c r="A138" t="s">
        <v>14</v>
      </c>
      <c r="B138">
        <v>101</v>
      </c>
      <c r="C138">
        <v>34092</v>
      </c>
      <c r="D138" t="s">
        <v>47</v>
      </c>
      <c r="E138" s="12">
        <v>4.99</v>
      </c>
      <c r="F138" s="12">
        <v>2.52</v>
      </c>
      <c r="G138" s="75">
        <v>46189</v>
      </c>
      <c r="H138" t="s">
        <v>316</v>
      </c>
      <c r="I138" s="12">
        <v>8.6782608695652179</v>
      </c>
      <c r="J138" s="12">
        <v>2</v>
      </c>
    </row>
    <row r="139" spans="1:10" x14ac:dyDescent="0.35">
      <c r="A139" t="s">
        <v>14</v>
      </c>
      <c r="B139">
        <v>101</v>
      </c>
      <c r="C139">
        <v>34092</v>
      </c>
      <c r="D139" t="s">
        <v>47</v>
      </c>
      <c r="E139" s="12">
        <v>4.99</v>
      </c>
      <c r="F139" s="12">
        <v>2.52</v>
      </c>
      <c r="G139" s="75">
        <v>46190</v>
      </c>
      <c r="H139" t="s">
        <v>340</v>
      </c>
      <c r="I139" s="12">
        <v>0</v>
      </c>
      <c r="J139" s="12">
        <v>0</v>
      </c>
    </row>
    <row r="140" spans="1:10" x14ac:dyDescent="0.35">
      <c r="A140" t="s">
        <v>14</v>
      </c>
      <c r="B140">
        <v>102</v>
      </c>
      <c r="C140">
        <v>61938</v>
      </c>
      <c r="D140" t="s">
        <v>124</v>
      </c>
      <c r="E140" s="12">
        <v>10</v>
      </c>
      <c r="F140" s="12">
        <v>3.43</v>
      </c>
      <c r="G140" s="75">
        <v>46188</v>
      </c>
      <c r="H140" t="s">
        <v>315</v>
      </c>
      <c r="I140" s="12">
        <v>26.086956521739129</v>
      </c>
      <c r="J140" s="12">
        <v>3</v>
      </c>
    </row>
    <row r="141" spans="1:10" x14ac:dyDescent="0.35">
      <c r="A141" t="s">
        <v>14</v>
      </c>
      <c r="B141">
        <v>102</v>
      </c>
      <c r="C141">
        <v>61938</v>
      </c>
      <c r="D141" t="s">
        <v>124</v>
      </c>
      <c r="E141" s="12">
        <v>10</v>
      </c>
      <c r="F141" s="12">
        <v>3.43</v>
      </c>
      <c r="G141" s="75">
        <v>46189</v>
      </c>
      <c r="H141" t="s">
        <v>316</v>
      </c>
      <c r="I141" s="12">
        <v>0</v>
      </c>
      <c r="J141" s="12">
        <v>0</v>
      </c>
    </row>
    <row r="142" spans="1:10" x14ac:dyDescent="0.35">
      <c r="A142" t="s">
        <v>14</v>
      </c>
      <c r="B142">
        <v>102</v>
      </c>
      <c r="C142">
        <v>61938</v>
      </c>
      <c r="D142" t="s">
        <v>124</v>
      </c>
      <c r="E142" s="12">
        <v>10</v>
      </c>
      <c r="F142" s="12">
        <v>3.43</v>
      </c>
      <c r="G142" s="75">
        <v>46190</v>
      </c>
      <c r="H142" t="s">
        <v>340</v>
      </c>
      <c r="I142" s="12">
        <v>8.695652173913043</v>
      </c>
      <c r="J142" s="12">
        <v>1</v>
      </c>
    </row>
    <row r="143" spans="1:10" x14ac:dyDescent="0.35">
      <c r="A143" t="s">
        <v>14</v>
      </c>
      <c r="B143">
        <v>101</v>
      </c>
      <c r="C143">
        <v>34022</v>
      </c>
      <c r="D143" t="s">
        <v>54</v>
      </c>
      <c r="E143" s="12">
        <v>5.99</v>
      </c>
      <c r="F143" s="12">
        <v>2.72</v>
      </c>
      <c r="G143" s="75">
        <v>46188</v>
      </c>
      <c r="H143" t="s">
        <v>315</v>
      </c>
      <c r="I143" s="12">
        <v>26.043478260869563</v>
      </c>
      <c r="J143" s="12">
        <v>5</v>
      </c>
    </row>
    <row r="144" spans="1:10" x14ac:dyDescent="0.35">
      <c r="A144" t="s">
        <v>14</v>
      </c>
      <c r="B144">
        <v>101</v>
      </c>
      <c r="C144">
        <v>34022</v>
      </c>
      <c r="D144" t="s">
        <v>54</v>
      </c>
      <c r="E144" s="12">
        <v>5.99</v>
      </c>
      <c r="F144" s="12">
        <v>2.72</v>
      </c>
      <c r="G144" s="75">
        <v>46189</v>
      </c>
      <c r="H144" t="s">
        <v>316</v>
      </c>
      <c r="I144" s="12">
        <v>0</v>
      </c>
      <c r="J144" s="12">
        <v>0</v>
      </c>
    </row>
    <row r="145" spans="1:10" x14ac:dyDescent="0.35">
      <c r="A145" t="s">
        <v>14</v>
      </c>
      <c r="B145">
        <v>101</v>
      </c>
      <c r="C145">
        <v>34022</v>
      </c>
      <c r="D145" t="s">
        <v>54</v>
      </c>
      <c r="E145" s="12">
        <v>5.99</v>
      </c>
      <c r="F145" s="12">
        <v>2.72</v>
      </c>
      <c r="G145" s="75">
        <v>46190</v>
      </c>
      <c r="H145" t="s">
        <v>340</v>
      </c>
      <c r="I145" s="12">
        <v>10.417391304347827</v>
      </c>
      <c r="J145" s="12">
        <v>2</v>
      </c>
    </row>
    <row r="146" spans="1:10" x14ac:dyDescent="0.35">
      <c r="A146" t="s">
        <v>14</v>
      </c>
      <c r="B146">
        <v>101</v>
      </c>
      <c r="C146">
        <v>61947</v>
      </c>
      <c r="D146" t="s">
        <v>42</v>
      </c>
      <c r="E146" s="12">
        <v>28.99</v>
      </c>
      <c r="F146" s="12">
        <v>8.93</v>
      </c>
      <c r="G146" s="75">
        <v>46188</v>
      </c>
      <c r="H146" t="s">
        <v>315</v>
      </c>
      <c r="I146" s="12">
        <v>25.208695652173912</v>
      </c>
      <c r="J146" s="12">
        <v>1</v>
      </c>
    </row>
    <row r="147" spans="1:10" x14ac:dyDescent="0.35">
      <c r="A147" t="s">
        <v>14</v>
      </c>
      <c r="B147">
        <v>101</v>
      </c>
      <c r="C147">
        <v>61947</v>
      </c>
      <c r="D147" t="s">
        <v>42</v>
      </c>
      <c r="E147" s="12">
        <v>28.99</v>
      </c>
      <c r="F147" s="12">
        <v>8.93</v>
      </c>
      <c r="G147" s="75">
        <v>46189</v>
      </c>
      <c r="H147" t="s">
        <v>316</v>
      </c>
      <c r="I147" s="12">
        <v>25.208695652173912</v>
      </c>
      <c r="J147" s="12">
        <v>1</v>
      </c>
    </row>
    <row r="148" spans="1:10" x14ac:dyDescent="0.35">
      <c r="A148" t="s">
        <v>14</v>
      </c>
      <c r="B148">
        <v>101</v>
      </c>
      <c r="C148">
        <v>61947</v>
      </c>
      <c r="D148" t="s">
        <v>42</v>
      </c>
      <c r="E148" s="12">
        <v>28.99</v>
      </c>
      <c r="F148" s="12">
        <v>8.93</v>
      </c>
      <c r="G148" s="75">
        <v>46190</v>
      </c>
      <c r="H148" t="s">
        <v>340</v>
      </c>
      <c r="I148" s="12">
        <v>75.626086956521732</v>
      </c>
      <c r="J148" s="12">
        <v>3</v>
      </c>
    </row>
    <row r="149" spans="1:10" x14ac:dyDescent="0.35">
      <c r="A149" t="s">
        <v>14</v>
      </c>
      <c r="B149">
        <v>101</v>
      </c>
      <c r="C149">
        <v>34068</v>
      </c>
      <c r="D149" t="s">
        <v>74</v>
      </c>
      <c r="E149" s="12">
        <v>1.5</v>
      </c>
      <c r="F149" s="12">
        <v>0.59</v>
      </c>
      <c r="G149" s="75">
        <v>46188</v>
      </c>
      <c r="H149" t="s">
        <v>315</v>
      </c>
      <c r="I149" s="12">
        <v>20.869565217391305</v>
      </c>
      <c r="J149" s="12">
        <v>16</v>
      </c>
    </row>
    <row r="150" spans="1:10" x14ac:dyDescent="0.35">
      <c r="A150" t="s">
        <v>14</v>
      </c>
      <c r="B150">
        <v>101</v>
      </c>
      <c r="C150">
        <v>34068</v>
      </c>
      <c r="D150" t="s">
        <v>74</v>
      </c>
      <c r="E150" s="12">
        <v>1.5</v>
      </c>
      <c r="F150" s="12">
        <v>0.59</v>
      </c>
      <c r="G150" s="75">
        <v>46189</v>
      </c>
      <c r="H150" t="s">
        <v>316</v>
      </c>
      <c r="I150" s="12">
        <v>0</v>
      </c>
      <c r="J150" s="12">
        <v>0</v>
      </c>
    </row>
    <row r="151" spans="1:10" x14ac:dyDescent="0.35">
      <c r="A151" t="s">
        <v>14</v>
      </c>
      <c r="B151">
        <v>101</v>
      </c>
      <c r="C151">
        <v>34068</v>
      </c>
      <c r="D151" t="s">
        <v>74</v>
      </c>
      <c r="E151" s="12">
        <v>1.5</v>
      </c>
      <c r="F151" s="12">
        <v>0.59</v>
      </c>
      <c r="G151" s="75">
        <v>46190</v>
      </c>
      <c r="H151" t="s">
        <v>340</v>
      </c>
      <c r="I151" s="12">
        <v>0</v>
      </c>
      <c r="J151" s="12">
        <v>0</v>
      </c>
    </row>
    <row r="152" spans="1:10" x14ac:dyDescent="0.35">
      <c r="A152" t="s">
        <v>35</v>
      </c>
      <c r="B152">
        <v>101</v>
      </c>
      <c r="C152">
        <v>34687</v>
      </c>
      <c r="D152" t="s">
        <v>40</v>
      </c>
      <c r="E152" s="12">
        <v>3.8</v>
      </c>
      <c r="F152" s="12">
        <v>2.0770666666666666</v>
      </c>
      <c r="G152" s="75">
        <v>46188</v>
      </c>
      <c r="H152" t="s">
        <v>315</v>
      </c>
      <c r="I152" s="12">
        <v>19.826086956521738</v>
      </c>
      <c r="J152" s="12">
        <v>6</v>
      </c>
    </row>
    <row r="153" spans="1:10" x14ac:dyDescent="0.35">
      <c r="A153" t="s">
        <v>35</v>
      </c>
      <c r="B153">
        <v>101</v>
      </c>
      <c r="C153">
        <v>34687</v>
      </c>
      <c r="D153" t="s">
        <v>40</v>
      </c>
      <c r="E153" s="12">
        <v>3.8</v>
      </c>
      <c r="F153" s="12">
        <v>2.0770666666666666</v>
      </c>
      <c r="G153" s="75">
        <v>46189</v>
      </c>
      <c r="H153" t="s">
        <v>316</v>
      </c>
      <c r="I153" s="12">
        <v>3.3043478260869565</v>
      </c>
      <c r="J153" s="12">
        <v>1</v>
      </c>
    </row>
    <row r="154" spans="1:10" x14ac:dyDescent="0.35">
      <c r="A154" t="s">
        <v>35</v>
      </c>
      <c r="B154">
        <v>101</v>
      </c>
      <c r="C154">
        <v>34687</v>
      </c>
      <c r="D154" t="s">
        <v>40</v>
      </c>
      <c r="E154" s="12">
        <v>3.8</v>
      </c>
      <c r="F154" s="12">
        <v>2.0770666666666666</v>
      </c>
      <c r="G154" s="75">
        <v>46190</v>
      </c>
      <c r="H154" t="s">
        <v>340</v>
      </c>
      <c r="I154" s="12">
        <v>23.130434782608695</v>
      </c>
      <c r="J154" s="12">
        <v>7</v>
      </c>
    </row>
    <row r="155" spans="1:10" x14ac:dyDescent="0.35">
      <c r="A155" t="s">
        <v>35</v>
      </c>
      <c r="B155">
        <v>101</v>
      </c>
      <c r="C155">
        <v>32858</v>
      </c>
      <c r="D155" t="s">
        <v>34</v>
      </c>
      <c r="E155" s="12">
        <v>3.8</v>
      </c>
      <c r="F155" s="12">
        <v>2.0770666666666666</v>
      </c>
      <c r="G155" s="75">
        <v>46188</v>
      </c>
      <c r="H155" t="s">
        <v>315</v>
      </c>
      <c r="I155" s="12">
        <v>19.826086956521738</v>
      </c>
      <c r="J155" s="12">
        <v>6</v>
      </c>
    </row>
    <row r="156" spans="1:10" x14ac:dyDescent="0.35">
      <c r="A156" t="s">
        <v>35</v>
      </c>
      <c r="B156">
        <v>101</v>
      </c>
      <c r="C156">
        <v>32858</v>
      </c>
      <c r="D156" t="s">
        <v>34</v>
      </c>
      <c r="E156" s="12">
        <v>3.8</v>
      </c>
      <c r="F156" s="12">
        <v>2.0770666666666666</v>
      </c>
      <c r="G156" s="75">
        <v>46189</v>
      </c>
      <c r="H156" t="s">
        <v>316</v>
      </c>
      <c r="I156" s="12">
        <v>102.43478260869566</v>
      </c>
      <c r="J156" s="12">
        <v>31</v>
      </c>
    </row>
    <row r="157" spans="1:10" x14ac:dyDescent="0.35">
      <c r="A157" t="s">
        <v>35</v>
      </c>
      <c r="B157">
        <v>101</v>
      </c>
      <c r="C157">
        <v>32858</v>
      </c>
      <c r="D157" t="s">
        <v>34</v>
      </c>
      <c r="E157" s="12">
        <v>3.8</v>
      </c>
      <c r="F157" s="12">
        <v>2.0770666666666666</v>
      </c>
      <c r="G157" s="75">
        <v>46190</v>
      </c>
      <c r="H157" t="s">
        <v>340</v>
      </c>
      <c r="I157" s="12">
        <v>194.46086956521739</v>
      </c>
      <c r="J157" s="12">
        <v>59</v>
      </c>
    </row>
    <row r="158" spans="1:10" x14ac:dyDescent="0.35">
      <c r="A158" t="s">
        <v>14</v>
      </c>
      <c r="B158">
        <v>118</v>
      </c>
      <c r="C158">
        <v>40305</v>
      </c>
      <c r="D158" t="s">
        <v>257</v>
      </c>
      <c r="E158" s="12">
        <v>9.99</v>
      </c>
      <c r="F158" s="12">
        <v>4.53</v>
      </c>
      <c r="G158" s="75">
        <v>46188</v>
      </c>
      <c r="H158" t="s">
        <v>315</v>
      </c>
      <c r="I158" s="12">
        <v>17.373913043478261</v>
      </c>
      <c r="J158" s="12">
        <v>2</v>
      </c>
    </row>
    <row r="159" spans="1:10" x14ac:dyDescent="0.35">
      <c r="A159" t="s">
        <v>14</v>
      </c>
      <c r="B159">
        <v>118</v>
      </c>
      <c r="C159">
        <v>40305</v>
      </c>
      <c r="D159" t="s">
        <v>257</v>
      </c>
      <c r="E159" s="12">
        <v>9.99</v>
      </c>
      <c r="F159" s="12">
        <v>4.53</v>
      </c>
      <c r="G159" s="75">
        <v>46189</v>
      </c>
      <c r="H159" t="s">
        <v>316</v>
      </c>
      <c r="I159" s="12">
        <v>86.869565217391312</v>
      </c>
      <c r="J159" s="12">
        <v>10</v>
      </c>
    </row>
    <row r="160" spans="1:10" x14ac:dyDescent="0.35">
      <c r="A160" t="s">
        <v>14</v>
      </c>
      <c r="B160">
        <v>118</v>
      </c>
      <c r="C160">
        <v>40305</v>
      </c>
      <c r="D160" t="s">
        <v>257</v>
      </c>
      <c r="E160" s="12">
        <v>9.99</v>
      </c>
      <c r="F160" s="12">
        <v>4.53</v>
      </c>
      <c r="G160" s="75">
        <v>46190</v>
      </c>
      <c r="H160" t="s">
        <v>340</v>
      </c>
      <c r="I160" s="12">
        <v>8.6869565217391305</v>
      </c>
      <c r="J160" s="12">
        <v>1</v>
      </c>
    </row>
    <row r="161" spans="1:10" x14ac:dyDescent="0.35">
      <c r="A161" t="s">
        <v>107</v>
      </c>
      <c r="B161">
        <v>102</v>
      </c>
      <c r="C161">
        <v>58147</v>
      </c>
      <c r="D161" t="s">
        <v>146</v>
      </c>
      <c r="E161" s="12">
        <v>16.989999999999998</v>
      </c>
      <c r="F161" s="12">
        <v>7.99</v>
      </c>
      <c r="G161" s="75">
        <v>46188</v>
      </c>
      <c r="H161" t="s">
        <v>315</v>
      </c>
      <c r="I161" s="12">
        <v>14.77391304347826</v>
      </c>
      <c r="J161" s="12">
        <v>1</v>
      </c>
    </row>
    <row r="162" spans="1:10" x14ac:dyDescent="0.35">
      <c r="A162" t="s">
        <v>107</v>
      </c>
      <c r="B162">
        <v>102</v>
      </c>
      <c r="C162">
        <v>58147</v>
      </c>
      <c r="D162" t="s">
        <v>146</v>
      </c>
      <c r="E162" s="12">
        <v>16.989999999999998</v>
      </c>
      <c r="F162" s="12">
        <v>7.99</v>
      </c>
      <c r="G162" s="75">
        <v>46189</v>
      </c>
      <c r="H162" t="s">
        <v>316</v>
      </c>
      <c r="I162" s="12">
        <v>0</v>
      </c>
      <c r="J162" s="12">
        <v>0</v>
      </c>
    </row>
    <row r="163" spans="1:10" x14ac:dyDescent="0.35">
      <c r="A163" t="s">
        <v>107</v>
      </c>
      <c r="B163">
        <v>102</v>
      </c>
      <c r="C163">
        <v>58147</v>
      </c>
      <c r="D163" t="s">
        <v>146</v>
      </c>
      <c r="E163" s="12">
        <v>16.989999999999998</v>
      </c>
      <c r="F163" s="12">
        <v>7.99</v>
      </c>
      <c r="G163" s="75">
        <v>46190</v>
      </c>
      <c r="H163" t="s">
        <v>340</v>
      </c>
      <c r="I163" s="12">
        <v>0</v>
      </c>
      <c r="J163" s="12">
        <v>0</v>
      </c>
    </row>
    <row r="164" spans="1:10" x14ac:dyDescent="0.35">
      <c r="A164" t="s">
        <v>14</v>
      </c>
      <c r="B164">
        <v>102</v>
      </c>
      <c r="C164">
        <v>39422</v>
      </c>
      <c r="D164" t="s">
        <v>120</v>
      </c>
      <c r="E164" s="12">
        <v>15.99</v>
      </c>
      <c r="F164" s="12">
        <v>8.3000000000000007</v>
      </c>
      <c r="G164" s="75">
        <v>46188</v>
      </c>
      <c r="H164" t="s">
        <v>315</v>
      </c>
      <c r="I164" s="12">
        <v>13.904347826086957</v>
      </c>
      <c r="J164" s="12">
        <v>1</v>
      </c>
    </row>
    <row r="165" spans="1:10" x14ac:dyDescent="0.35">
      <c r="A165" t="s">
        <v>14</v>
      </c>
      <c r="B165">
        <v>102</v>
      </c>
      <c r="C165">
        <v>39422</v>
      </c>
      <c r="D165" t="s">
        <v>120</v>
      </c>
      <c r="E165" s="12">
        <v>15.99</v>
      </c>
      <c r="F165" s="12">
        <v>8.3000000000000007</v>
      </c>
      <c r="G165" s="75">
        <v>46189</v>
      </c>
      <c r="H165" t="s">
        <v>316</v>
      </c>
      <c r="I165" s="12">
        <v>13.904347826086957</v>
      </c>
      <c r="J165" s="12">
        <v>1</v>
      </c>
    </row>
    <row r="166" spans="1:10" x14ac:dyDescent="0.35">
      <c r="A166" t="s">
        <v>14</v>
      </c>
      <c r="B166">
        <v>102</v>
      </c>
      <c r="C166">
        <v>39422</v>
      </c>
      <c r="D166" t="s">
        <v>120</v>
      </c>
      <c r="E166" s="12">
        <v>15.99</v>
      </c>
      <c r="F166" s="12">
        <v>8.3000000000000007</v>
      </c>
      <c r="G166" s="75">
        <v>46190</v>
      </c>
      <c r="H166" t="s">
        <v>340</v>
      </c>
      <c r="I166" s="12">
        <v>0</v>
      </c>
      <c r="J166" s="12">
        <v>0</v>
      </c>
    </row>
    <row r="167" spans="1:10" x14ac:dyDescent="0.35">
      <c r="A167" t="s">
        <v>14</v>
      </c>
      <c r="B167">
        <v>101</v>
      </c>
      <c r="C167">
        <v>34086</v>
      </c>
      <c r="D167" t="s">
        <v>60</v>
      </c>
      <c r="E167" s="12">
        <v>29.99</v>
      </c>
      <c r="F167" s="12">
        <v>10</v>
      </c>
      <c r="G167" s="75">
        <v>46188</v>
      </c>
      <c r="H167" t="s">
        <v>315</v>
      </c>
      <c r="I167" s="12">
        <v>5.2695652173913041</v>
      </c>
      <c r="J167" s="12">
        <v>0.20200000000000001</v>
      </c>
    </row>
    <row r="168" spans="1:10" x14ac:dyDescent="0.35">
      <c r="A168" t="s">
        <v>14</v>
      </c>
      <c r="B168">
        <v>101</v>
      </c>
      <c r="C168">
        <v>34086</v>
      </c>
      <c r="D168" t="s">
        <v>60</v>
      </c>
      <c r="E168" s="12">
        <v>29.99</v>
      </c>
      <c r="F168" s="12">
        <v>10</v>
      </c>
      <c r="G168" s="75">
        <v>46189</v>
      </c>
      <c r="H168" t="s">
        <v>316</v>
      </c>
      <c r="I168" s="12">
        <v>0</v>
      </c>
      <c r="J168" s="12">
        <v>0</v>
      </c>
    </row>
    <row r="169" spans="1:10" x14ac:dyDescent="0.35">
      <c r="A169" t="s">
        <v>14</v>
      </c>
      <c r="B169">
        <v>101</v>
      </c>
      <c r="C169">
        <v>34086</v>
      </c>
      <c r="D169" t="s">
        <v>60</v>
      </c>
      <c r="E169" s="12">
        <v>29.99</v>
      </c>
      <c r="F169" s="12">
        <v>10</v>
      </c>
      <c r="G169" s="75">
        <v>46190</v>
      </c>
      <c r="H169" t="s">
        <v>340</v>
      </c>
      <c r="I169" s="12">
        <v>9.5739130434782602</v>
      </c>
      <c r="J169" s="12">
        <v>0.376</v>
      </c>
    </row>
    <row r="170" spans="1:10" x14ac:dyDescent="0.35">
      <c r="A170" t="s">
        <v>14</v>
      </c>
      <c r="B170">
        <v>102</v>
      </c>
      <c r="C170">
        <v>67301</v>
      </c>
      <c r="D170" t="s">
        <v>206</v>
      </c>
      <c r="E170" s="12">
        <v>15.99</v>
      </c>
      <c r="F170" s="12">
        <v>9.99</v>
      </c>
      <c r="G170" s="75">
        <v>46188</v>
      </c>
      <c r="H170" t="s">
        <v>315</v>
      </c>
      <c r="I170" s="12">
        <v>0</v>
      </c>
      <c r="J170" s="12">
        <v>0</v>
      </c>
    </row>
    <row r="171" spans="1:10" x14ac:dyDescent="0.35">
      <c r="A171" t="s">
        <v>14</v>
      </c>
      <c r="B171">
        <v>102</v>
      </c>
      <c r="C171">
        <v>67301</v>
      </c>
      <c r="D171" t="s">
        <v>206</v>
      </c>
      <c r="E171" s="12">
        <v>15.99</v>
      </c>
      <c r="F171" s="12">
        <v>9.99</v>
      </c>
      <c r="G171" s="75">
        <v>46189</v>
      </c>
      <c r="H171" t="s">
        <v>316</v>
      </c>
      <c r="I171" s="12">
        <v>0</v>
      </c>
      <c r="J171" s="12">
        <v>0</v>
      </c>
    </row>
    <row r="172" spans="1:10" x14ac:dyDescent="0.35">
      <c r="A172" t="s">
        <v>14</v>
      </c>
      <c r="B172">
        <v>102</v>
      </c>
      <c r="C172">
        <v>67301</v>
      </c>
      <c r="D172" t="s">
        <v>206</v>
      </c>
      <c r="E172" s="12">
        <v>15.99</v>
      </c>
      <c r="F172" s="12">
        <v>9.99</v>
      </c>
      <c r="G172" s="75">
        <v>46190</v>
      </c>
      <c r="H172" t="s">
        <v>340</v>
      </c>
      <c r="I172" s="12">
        <v>0</v>
      </c>
      <c r="J172" s="12">
        <v>0</v>
      </c>
    </row>
    <row r="173" spans="1:10" x14ac:dyDescent="0.35">
      <c r="A173" t="s">
        <v>14</v>
      </c>
      <c r="B173">
        <v>102</v>
      </c>
      <c r="C173">
        <v>67247</v>
      </c>
      <c r="D173" t="s">
        <v>205</v>
      </c>
      <c r="E173" s="12">
        <v>15.99</v>
      </c>
      <c r="F173" s="12">
        <v>8.0500000000000007</v>
      </c>
      <c r="G173" s="75">
        <v>46188</v>
      </c>
      <c r="H173" t="s">
        <v>315</v>
      </c>
      <c r="I173" s="12">
        <v>0</v>
      </c>
      <c r="J173" s="12">
        <v>0</v>
      </c>
    </row>
    <row r="174" spans="1:10" x14ac:dyDescent="0.35">
      <c r="A174" t="s">
        <v>14</v>
      </c>
      <c r="B174">
        <v>102</v>
      </c>
      <c r="C174">
        <v>67247</v>
      </c>
      <c r="D174" t="s">
        <v>205</v>
      </c>
      <c r="E174" s="12">
        <v>15.99</v>
      </c>
      <c r="F174" s="12">
        <v>8.0500000000000007</v>
      </c>
      <c r="G174" s="75">
        <v>46189</v>
      </c>
      <c r="H174" t="s">
        <v>316</v>
      </c>
      <c r="I174" s="12">
        <v>0</v>
      </c>
      <c r="J174" s="12">
        <v>0</v>
      </c>
    </row>
    <row r="175" spans="1:10" x14ac:dyDescent="0.35">
      <c r="A175" t="s">
        <v>14</v>
      </c>
      <c r="B175">
        <v>102</v>
      </c>
      <c r="C175">
        <v>67247</v>
      </c>
      <c r="D175" t="s">
        <v>205</v>
      </c>
      <c r="E175" s="12">
        <v>15.99</v>
      </c>
      <c r="F175" s="12">
        <v>8.0500000000000007</v>
      </c>
      <c r="G175" s="75">
        <v>46190</v>
      </c>
      <c r="H175" t="s">
        <v>340</v>
      </c>
      <c r="I175" s="12">
        <v>0</v>
      </c>
      <c r="J175" s="12">
        <v>0</v>
      </c>
    </row>
    <row r="176" spans="1:10" x14ac:dyDescent="0.35">
      <c r="A176" t="s">
        <v>14</v>
      </c>
      <c r="B176">
        <v>102</v>
      </c>
      <c r="C176">
        <v>67246</v>
      </c>
      <c r="D176" t="s">
        <v>94</v>
      </c>
      <c r="E176" s="12">
        <v>26.99</v>
      </c>
      <c r="F176" s="12">
        <v>7.8</v>
      </c>
      <c r="G176" s="75">
        <v>46188</v>
      </c>
      <c r="H176" t="s">
        <v>315</v>
      </c>
      <c r="I176" s="12">
        <v>0</v>
      </c>
      <c r="J176" s="12">
        <v>0</v>
      </c>
    </row>
    <row r="177" spans="1:10" x14ac:dyDescent="0.35">
      <c r="A177" t="s">
        <v>14</v>
      </c>
      <c r="B177">
        <v>102</v>
      </c>
      <c r="C177">
        <v>67246</v>
      </c>
      <c r="D177" t="s">
        <v>94</v>
      </c>
      <c r="E177" s="12">
        <v>26.99</v>
      </c>
      <c r="F177" s="12">
        <v>7.8</v>
      </c>
      <c r="G177" s="75">
        <v>46189</v>
      </c>
      <c r="H177" t="s">
        <v>316</v>
      </c>
      <c r="I177" s="12">
        <v>0</v>
      </c>
      <c r="J177" s="12">
        <v>0</v>
      </c>
    </row>
    <row r="178" spans="1:10" x14ac:dyDescent="0.35">
      <c r="A178" t="s">
        <v>14</v>
      </c>
      <c r="B178">
        <v>102</v>
      </c>
      <c r="C178">
        <v>67246</v>
      </c>
      <c r="D178" t="s">
        <v>94</v>
      </c>
      <c r="E178" s="12">
        <v>26.99</v>
      </c>
      <c r="F178" s="12">
        <v>7.8</v>
      </c>
      <c r="G178" s="75">
        <v>46190</v>
      </c>
      <c r="H178" t="s">
        <v>340</v>
      </c>
      <c r="I178" s="12">
        <v>0</v>
      </c>
      <c r="J178" s="12">
        <v>0</v>
      </c>
    </row>
    <row r="179" spans="1:10" x14ac:dyDescent="0.35">
      <c r="A179" t="s">
        <v>14</v>
      </c>
      <c r="B179">
        <v>102</v>
      </c>
      <c r="C179">
        <v>67245</v>
      </c>
      <c r="D179" t="s">
        <v>204</v>
      </c>
      <c r="E179" s="12">
        <v>26.99</v>
      </c>
      <c r="F179" s="12">
        <v>7.8</v>
      </c>
      <c r="G179" s="75">
        <v>46188</v>
      </c>
      <c r="H179" t="s">
        <v>315</v>
      </c>
      <c r="I179" s="12">
        <v>0</v>
      </c>
      <c r="J179" s="12">
        <v>0</v>
      </c>
    </row>
    <row r="180" spans="1:10" x14ac:dyDescent="0.35">
      <c r="A180" t="s">
        <v>14</v>
      </c>
      <c r="B180">
        <v>102</v>
      </c>
      <c r="C180">
        <v>67245</v>
      </c>
      <c r="D180" t="s">
        <v>204</v>
      </c>
      <c r="E180" s="12">
        <v>26.99</v>
      </c>
      <c r="F180" s="12">
        <v>7.8</v>
      </c>
      <c r="G180" s="75">
        <v>46189</v>
      </c>
      <c r="H180" t="s">
        <v>316</v>
      </c>
      <c r="I180" s="12">
        <v>0</v>
      </c>
      <c r="J180" s="12">
        <v>0</v>
      </c>
    </row>
    <row r="181" spans="1:10" x14ac:dyDescent="0.35">
      <c r="A181" t="s">
        <v>14</v>
      </c>
      <c r="B181">
        <v>102</v>
      </c>
      <c r="C181">
        <v>67245</v>
      </c>
      <c r="D181" t="s">
        <v>204</v>
      </c>
      <c r="E181" s="12">
        <v>26.99</v>
      </c>
      <c r="F181" s="12">
        <v>7.8</v>
      </c>
      <c r="G181" s="75">
        <v>46190</v>
      </c>
      <c r="H181" t="s">
        <v>340</v>
      </c>
      <c r="I181" s="12">
        <v>0</v>
      </c>
      <c r="J181" s="12">
        <v>0</v>
      </c>
    </row>
    <row r="182" spans="1:10" x14ac:dyDescent="0.35">
      <c r="A182" t="s">
        <v>14</v>
      </c>
      <c r="B182">
        <v>102</v>
      </c>
      <c r="C182">
        <v>67244</v>
      </c>
      <c r="D182" t="s">
        <v>203</v>
      </c>
      <c r="E182" s="12">
        <v>35.99</v>
      </c>
      <c r="F182" s="12">
        <v>12.5</v>
      </c>
      <c r="G182" s="75">
        <v>46188</v>
      </c>
      <c r="H182" t="s">
        <v>315</v>
      </c>
      <c r="I182" s="12">
        <v>0</v>
      </c>
      <c r="J182" s="12">
        <v>0</v>
      </c>
    </row>
    <row r="183" spans="1:10" x14ac:dyDescent="0.35">
      <c r="A183" t="s">
        <v>14</v>
      </c>
      <c r="B183">
        <v>102</v>
      </c>
      <c r="C183">
        <v>67244</v>
      </c>
      <c r="D183" t="s">
        <v>203</v>
      </c>
      <c r="E183" s="12">
        <v>35.99</v>
      </c>
      <c r="F183" s="12">
        <v>12.5</v>
      </c>
      <c r="G183" s="75">
        <v>46189</v>
      </c>
      <c r="H183" t="s">
        <v>316</v>
      </c>
      <c r="I183" s="12">
        <v>0</v>
      </c>
      <c r="J183" s="12">
        <v>0</v>
      </c>
    </row>
    <row r="184" spans="1:10" x14ac:dyDescent="0.35">
      <c r="A184" t="s">
        <v>14</v>
      </c>
      <c r="B184">
        <v>102</v>
      </c>
      <c r="C184">
        <v>67244</v>
      </c>
      <c r="D184" t="s">
        <v>203</v>
      </c>
      <c r="E184" s="12">
        <v>35.99</v>
      </c>
      <c r="F184" s="12">
        <v>12.5</v>
      </c>
      <c r="G184" s="75">
        <v>46190</v>
      </c>
      <c r="H184" t="s">
        <v>340</v>
      </c>
      <c r="I184" s="12">
        <v>0</v>
      </c>
      <c r="J184" s="12">
        <v>0</v>
      </c>
    </row>
    <row r="185" spans="1:10" x14ac:dyDescent="0.35">
      <c r="A185" t="s">
        <v>14</v>
      </c>
      <c r="B185">
        <v>102</v>
      </c>
      <c r="C185">
        <v>67243</v>
      </c>
      <c r="D185" t="s">
        <v>202</v>
      </c>
      <c r="E185" s="12">
        <v>30.99</v>
      </c>
      <c r="F185" s="12">
        <v>9.5</v>
      </c>
      <c r="G185" s="75">
        <v>46188</v>
      </c>
      <c r="H185" t="s">
        <v>315</v>
      </c>
      <c r="I185" s="12">
        <v>0</v>
      </c>
      <c r="J185" s="12">
        <v>0</v>
      </c>
    </row>
    <row r="186" spans="1:10" x14ac:dyDescent="0.35">
      <c r="A186" t="s">
        <v>14</v>
      </c>
      <c r="B186">
        <v>102</v>
      </c>
      <c r="C186">
        <v>67243</v>
      </c>
      <c r="D186" t="s">
        <v>202</v>
      </c>
      <c r="E186" s="12">
        <v>30.99</v>
      </c>
      <c r="F186" s="12">
        <v>9.5</v>
      </c>
      <c r="G186" s="75">
        <v>46189</v>
      </c>
      <c r="H186" t="s">
        <v>316</v>
      </c>
      <c r="I186" s="12">
        <v>0</v>
      </c>
      <c r="J186" s="12">
        <v>0</v>
      </c>
    </row>
    <row r="187" spans="1:10" x14ac:dyDescent="0.35">
      <c r="A187" t="s">
        <v>14</v>
      </c>
      <c r="B187">
        <v>102</v>
      </c>
      <c r="C187">
        <v>67243</v>
      </c>
      <c r="D187" t="s">
        <v>202</v>
      </c>
      <c r="E187" s="12">
        <v>30.99</v>
      </c>
      <c r="F187" s="12">
        <v>9.5</v>
      </c>
      <c r="G187" s="75">
        <v>46190</v>
      </c>
      <c r="H187" t="s">
        <v>340</v>
      </c>
      <c r="I187" s="12">
        <v>0</v>
      </c>
      <c r="J187" s="12">
        <v>0</v>
      </c>
    </row>
    <row r="188" spans="1:10" x14ac:dyDescent="0.35">
      <c r="A188" t="s">
        <v>14</v>
      </c>
      <c r="B188">
        <v>102</v>
      </c>
      <c r="C188">
        <v>67242</v>
      </c>
      <c r="D188" t="s">
        <v>201</v>
      </c>
      <c r="E188" s="12">
        <v>13.99</v>
      </c>
      <c r="F188" s="12">
        <v>3.8</v>
      </c>
      <c r="G188" s="75">
        <v>46188</v>
      </c>
      <c r="H188" t="s">
        <v>315</v>
      </c>
      <c r="I188" s="12">
        <v>0</v>
      </c>
      <c r="J188" s="12">
        <v>0</v>
      </c>
    </row>
    <row r="189" spans="1:10" x14ac:dyDescent="0.35">
      <c r="A189" t="s">
        <v>14</v>
      </c>
      <c r="B189">
        <v>102</v>
      </c>
      <c r="C189">
        <v>67242</v>
      </c>
      <c r="D189" t="s">
        <v>201</v>
      </c>
      <c r="E189" s="12">
        <v>13.99</v>
      </c>
      <c r="F189" s="12">
        <v>3.8</v>
      </c>
      <c r="G189" s="75">
        <v>46189</v>
      </c>
      <c r="H189" t="s">
        <v>316</v>
      </c>
      <c r="I189" s="12">
        <v>0</v>
      </c>
      <c r="J189" s="12">
        <v>0</v>
      </c>
    </row>
    <row r="190" spans="1:10" x14ac:dyDescent="0.35">
      <c r="A190" t="s">
        <v>14</v>
      </c>
      <c r="B190">
        <v>102</v>
      </c>
      <c r="C190">
        <v>67242</v>
      </c>
      <c r="D190" t="s">
        <v>201</v>
      </c>
      <c r="E190" s="12">
        <v>13.99</v>
      </c>
      <c r="F190" s="12">
        <v>3.8</v>
      </c>
      <c r="G190" s="75">
        <v>46190</v>
      </c>
      <c r="H190" t="s">
        <v>340</v>
      </c>
      <c r="I190" s="12">
        <v>0</v>
      </c>
      <c r="J190" s="12">
        <v>0</v>
      </c>
    </row>
    <row r="191" spans="1:10" x14ac:dyDescent="0.35">
      <c r="A191" t="s">
        <v>14</v>
      </c>
      <c r="B191">
        <v>102</v>
      </c>
      <c r="C191">
        <v>67241</v>
      </c>
      <c r="D191" t="s">
        <v>200</v>
      </c>
      <c r="E191" s="12">
        <v>15.99</v>
      </c>
      <c r="F191" s="12">
        <v>6.2</v>
      </c>
      <c r="G191" s="75">
        <v>46188</v>
      </c>
      <c r="H191" t="s">
        <v>315</v>
      </c>
      <c r="I191" s="12">
        <v>0</v>
      </c>
      <c r="J191" s="12">
        <v>0</v>
      </c>
    </row>
    <row r="192" spans="1:10" x14ac:dyDescent="0.35">
      <c r="A192" t="s">
        <v>14</v>
      </c>
      <c r="B192">
        <v>102</v>
      </c>
      <c r="C192">
        <v>67241</v>
      </c>
      <c r="D192" t="s">
        <v>200</v>
      </c>
      <c r="E192" s="12">
        <v>15.99</v>
      </c>
      <c r="F192" s="12">
        <v>6.2</v>
      </c>
      <c r="G192" s="75">
        <v>46189</v>
      </c>
      <c r="H192" t="s">
        <v>316</v>
      </c>
      <c r="I192" s="12">
        <v>0</v>
      </c>
      <c r="J192" s="12">
        <v>0</v>
      </c>
    </row>
    <row r="193" spans="1:10" x14ac:dyDescent="0.35">
      <c r="A193" t="s">
        <v>14</v>
      </c>
      <c r="B193">
        <v>102</v>
      </c>
      <c r="C193">
        <v>67241</v>
      </c>
      <c r="D193" t="s">
        <v>200</v>
      </c>
      <c r="E193" s="12">
        <v>15.99</v>
      </c>
      <c r="F193" s="12">
        <v>6.2</v>
      </c>
      <c r="G193" s="75">
        <v>46190</v>
      </c>
      <c r="H193" t="s">
        <v>340</v>
      </c>
      <c r="I193" s="12">
        <v>0</v>
      </c>
      <c r="J193" s="12">
        <v>0</v>
      </c>
    </row>
    <row r="194" spans="1:10" x14ac:dyDescent="0.35">
      <c r="A194" t="s">
        <v>14</v>
      </c>
      <c r="B194">
        <v>101</v>
      </c>
      <c r="C194">
        <v>67140</v>
      </c>
      <c r="D194" t="s">
        <v>89</v>
      </c>
      <c r="E194" s="12">
        <v>2</v>
      </c>
      <c r="F194" s="12">
        <v>0.68</v>
      </c>
      <c r="G194" s="75">
        <v>46188</v>
      </c>
      <c r="H194" t="s">
        <v>315</v>
      </c>
      <c r="I194" s="12">
        <v>0</v>
      </c>
      <c r="J194" s="12">
        <v>0</v>
      </c>
    </row>
    <row r="195" spans="1:10" x14ac:dyDescent="0.35">
      <c r="A195" t="s">
        <v>14</v>
      </c>
      <c r="B195">
        <v>101</v>
      </c>
      <c r="C195">
        <v>67140</v>
      </c>
      <c r="D195" t="s">
        <v>89</v>
      </c>
      <c r="E195" s="12">
        <v>2</v>
      </c>
      <c r="F195" s="12">
        <v>0.68</v>
      </c>
      <c r="G195" s="75">
        <v>46189</v>
      </c>
      <c r="H195" t="s">
        <v>316</v>
      </c>
      <c r="I195" s="12">
        <v>0</v>
      </c>
      <c r="J195" s="12">
        <v>0</v>
      </c>
    </row>
    <row r="196" spans="1:10" x14ac:dyDescent="0.35">
      <c r="A196" t="s">
        <v>14</v>
      </c>
      <c r="B196">
        <v>101</v>
      </c>
      <c r="C196">
        <v>67140</v>
      </c>
      <c r="D196" t="s">
        <v>89</v>
      </c>
      <c r="E196" s="12">
        <v>2</v>
      </c>
      <c r="F196" s="12">
        <v>0.68</v>
      </c>
      <c r="G196" s="75">
        <v>46190</v>
      </c>
      <c r="H196" t="s">
        <v>340</v>
      </c>
      <c r="I196" s="12">
        <v>0</v>
      </c>
      <c r="J196" s="12">
        <v>0</v>
      </c>
    </row>
    <row r="197" spans="1:10" x14ac:dyDescent="0.35">
      <c r="A197" t="s">
        <v>14</v>
      </c>
      <c r="B197">
        <v>102</v>
      </c>
      <c r="C197">
        <v>66952</v>
      </c>
      <c r="D197" t="s">
        <v>155</v>
      </c>
      <c r="E197" s="12">
        <v>29.99</v>
      </c>
      <c r="F197" s="12">
        <v>28.95</v>
      </c>
      <c r="G197" s="75">
        <v>46188</v>
      </c>
      <c r="H197" t="s">
        <v>315</v>
      </c>
      <c r="I197" s="12">
        <v>0</v>
      </c>
      <c r="J197" s="12">
        <v>0</v>
      </c>
    </row>
    <row r="198" spans="1:10" x14ac:dyDescent="0.35">
      <c r="A198" t="s">
        <v>14</v>
      </c>
      <c r="B198">
        <v>102</v>
      </c>
      <c r="C198">
        <v>66952</v>
      </c>
      <c r="D198" t="s">
        <v>155</v>
      </c>
      <c r="E198" s="12">
        <v>29.99</v>
      </c>
      <c r="F198" s="12">
        <v>28.95</v>
      </c>
      <c r="G198" s="75">
        <v>46189</v>
      </c>
      <c r="H198" t="s">
        <v>316</v>
      </c>
      <c r="I198" s="12">
        <v>0</v>
      </c>
      <c r="J198" s="12">
        <v>0</v>
      </c>
    </row>
    <row r="199" spans="1:10" x14ac:dyDescent="0.35">
      <c r="A199" t="s">
        <v>14</v>
      </c>
      <c r="B199">
        <v>102</v>
      </c>
      <c r="C199">
        <v>66952</v>
      </c>
      <c r="D199" t="s">
        <v>155</v>
      </c>
      <c r="E199" s="12">
        <v>29.99</v>
      </c>
      <c r="F199" s="12">
        <v>28.95</v>
      </c>
      <c r="G199" s="75">
        <v>46190</v>
      </c>
      <c r="H199" t="s">
        <v>340</v>
      </c>
      <c r="I199" s="12">
        <v>0</v>
      </c>
      <c r="J199" s="12">
        <v>0</v>
      </c>
    </row>
    <row r="200" spans="1:10" x14ac:dyDescent="0.35">
      <c r="A200" t="s">
        <v>14</v>
      </c>
      <c r="B200">
        <v>102</v>
      </c>
      <c r="C200">
        <v>66951</v>
      </c>
      <c r="D200" t="s">
        <v>166</v>
      </c>
      <c r="E200" s="12">
        <v>29.99</v>
      </c>
      <c r="F200" s="12">
        <v>28.95</v>
      </c>
      <c r="G200" s="75">
        <v>46188</v>
      </c>
      <c r="H200" t="s">
        <v>315</v>
      </c>
      <c r="I200" s="12">
        <v>0</v>
      </c>
      <c r="J200" s="12">
        <v>0</v>
      </c>
    </row>
    <row r="201" spans="1:10" x14ac:dyDescent="0.35">
      <c r="A201" t="s">
        <v>14</v>
      </c>
      <c r="B201">
        <v>102</v>
      </c>
      <c r="C201">
        <v>66951</v>
      </c>
      <c r="D201" t="s">
        <v>166</v>
      </c>
      <c r="E201" s="12">
        <v>29.99</v>
      </c>
      <c r="F201" s="12">
        <v>28.95</v>
      </c>
      <c r="G201" s="75">
        <v>46189</v>
      </c>
      <c r="H201" t="s">
        <v>316</v>
      </c>
      <c r="I201" s="12">
        <v>0</v>
      </c>
      <c r="J201" s="12">
        <v>0</v>
      </c>
    </row>
    <row r="202" spans="1:10" x14ac:dyDescent="0.35">
      <c r="A202" t="s">
        <v>14</v>
      </c>
      <c r="B202">
        <v>102</v>
      </c>
      <c r="C202">
        <v>66951</v>
      </c>
      <c r="D202" t="s">
        <v>166</v>
      </c>
      <c r="E202" s="12">
        <v>29.99</v>
      </c>
      <c r="F202" s="12">
        <v>28.95</v>
      </c>
      <c r="G202" s="75">
        <v>46190</v>
      </c>
      <c r="H202" t="s">
        <v>340</v>
      </c>
      <c r="I202" s="12">
        <v>0</v>
      </c>
      <c r="J202" s="12">
        <v>0</v>
      </c>
    </row>
    <row r="203" spans="1:10" x14ac:dyDescent="0.35">
      <c r="A203" t="s">
        <v>14</v>
      </c>
      <c r="B203">
        <v>102</v>
      </c>
      <c r="C203">
        <v>66950</v>
      </c>
      <c r="D203" t="s">
        <v>182</v>
      </c>
      <c r="E203" s="12">
        <v>29.99</v>
      </c>
      <c r="F203" s="12">
        <v>28.95</v>
      </c>
      <c r="G203" s="75">
        <v>46188</v>
      </c>
      <c r="H203" t="s">
        <v>315</v>
      </c>
      <c r="I203" s="12">
        <v>0</v>
      </c>
      <c r="J203" s="12">
        <v>0</v>
      </c>
    </row>
    <row r="204" spans="1:10" x14ac:dyDescent="0.35">
      <c r="A204" t="s">
        <v>14</v>
      </c>
      <c r="B204">
        <v>102</v>
      </c>
      <c r="C204">
        <v>66950</v>
      </c>
      <c r="D204" t="s">
        <v>182</v>
      </c>
      <c r="E204" s="12">
        <v>29.99</v>
      </c>
      <c r="F204" s="12">
        <v>28.95</v>
      </c>
      <c r="G204" s="75">
        <v>46189</v>
      </c>
      <c r="H204" t="s">
        <v>316</v>
      </c>
      <c r="I204" s="12">
        <v>0</v>
      </c>
      <c r="J204" s="12">
        <v>0</v>
      </c>
    </row>
    <row r="205" spans="1:10" x14ac:dyDescent="0.35">
      <c r="A205" t="s">
        <v>14</v>
      </c>
      <c r="B205">
        <v>102</v>
      </c>
      <c r="C205">
        <v>66950</v>
      </c>
      <c r="D205" t="s">
        <v>182</v>
      </c>
      <c r="E205" s="12">
        <v>29.99</v>
      </c>
      <c r="F205" s="12">
        <v>28.95</v>
      </c>
      <c r="G205" s="75">
        <v>46190</v>
      </c>
      <c r="H205" t="s">
        <v>340</v>
      </c>
      <c r="I205" s="12">
        <v>0</v>
      </c>
      <c r="J205" s="12">
        <v>0</v>
      </c>
    </row>
    <row r="206" spans="1:10" x14ac:dyDescent="0.35">
      <c r="A206" t="s">
        <v>35</v>
      </c>
      <c r="B206">
        <v>101</v>
      </c>
      <c r="C206">
        <v>66806</v>
      </c>
      <c r="D206" t="s">
        <v>81</v>
      </c>
      <c r="E206" s="12">
        <v>33.99</v>
      </c>
      <c r="F206" s="12">
        <v>17.418749999999999</v>
      </c>
      <c r="G206" s="75">
        <v>46188</v>
      </c>
      <c r="H206" t="s">
        <v>315</v>
      </c>
      <c r="I206" s="12">
        <v>0</v>
      </c>
      <c r="J206" s="12">
        <v>0</v>
      </c>
    </row>
    <row r="207" spans="1:10" x14ac:dyDescent="0.35">
      <c r="A207" t="s">
        <v>35</v>
      </c>
      <c r="B207">
        <v>101</v>
      </c>
      <c r="C207">
        <v>66806</v>
      </c>
      <c r="D207" t="s">
        <v>81</v>
      </c>
      <c r="E207" s="12">
        <v>33.99</v>
      </c>
      <c r="F207" s="12">
        <v>17.418749999999999</v>
      </c>
      <c r="G207" s="75">
        <v>46189</v>
      </c>
      <c r="H207" t="s">
        <v>316</v>
      </c>
      <c r="I207" s="12">
        <v>0</v>
      </c>
      <c r="J207" s="12">
        <v>0</v>
      </c>
    </row>
    <row r="208" spans="1:10" x14ac:dyDescent="0.35">
      <c r="A208" t="s">
        <v>35</v>
      </c>
      <c r="B208">
        <v>101</v>
      </c>
      <c r="C208">
        <v>66806</v>
      </c>
      <c r="D208" t="s">
        <v>81</v>
      </c>
      <c r="E208" s="12">
        <v>33.99</v>
      </c>
      <c r="F208" s="12">
        <v>17.418749999999999</v>
      </c>
      <c r="G208" s="75">
        <v>46190</v>
      </c>
      <c r="H208" t="s">
        <v>340</v>
      </c>
      <c r="I208" s="12">
        <v>0</v>
      </c>
      <c r="J208" s="12">
        <v>0</v>
      </c>
    </row>
    <row r="209" spans="1:10" x14ac:dyDescent="0.35">
      <c r="A209" t="s">
        <v>14</v>
      </c>
      <c r="B209">
        <v>102</v>
      </c>
      <c r="C209">
        <v>66435</v>
      </c>
      <c r="D209" t="s">
        <v>177</v>
      </c>
      <c r="E209" s="12">
        <v>11.99</v>
      </c>
      <c r="F209" s="12">
        <v>7.6</v>
      </c>
      <c r="G209" s="75">
        <v>46188</v>
      </c>
      <c r="H209" t="s">
        <v>315</v>
      </c>
      <c r="I209" s="12">
        <v>0</v>
      </c>
      <c r="J209" s="12">
        <v>0</v>
      </c>
    </row>
    <row r="210" spans="1:10" x14ac:dyDescent="0.35">
      <c r="A210" t="s">
        <v>14</v>
      </c>
      <c r="B210">
        <v>102</v>
      </c>
      <c r="C210">
        <v>66435</v>
      </c>
      <c r="D210" t="s">
        <v>177</v>
      </c>
      <c r="E210" s="12">
        <v>11.99</v>
      </c>
      <c r="F210" s="12">
        <v>7.6</v>
      </c>
      <c r="G210" s="75">
        <v>46189</v>
      </c>
      <c r="H210" t="s">
        <v>316</v>
      </c>
      <c r="I210" s="12">
        <v>0</v>
      </c>
      <c r="J210" s="12">
        <v>0</v>
      </c>
    </row>
    <row r="211" spans="1:10" x14ac:dyDescent="0.35">
      <c r="A211" t="s">
        <v>14</v>
      </c>
      <c r="B211">
        <v>102</v>
      </c>
      <c r="C211">
        <v>66435</v>
      </c>
      <c r="D211" t="s">
        <v>177</v>
      </c>
      <c r="E211" s="12">
        <v>11.99</v>
      </c>
      <c r="F211" s="12">
        <v>7.6</v>
      </c>
      <c r="G211" s="75">
        <v>46190</v>
      </c>
      <c r="H211" t="s">
        <v>340</v>
      </c>
      <c r="I211" s="12">
        <v>0</v>
      </c>
      <c r="J211" s="12">
        <v>0</v>
      </c>
    </row>
    <row r="212" spans="1:10" x14ac:dyDescent="0.35">
      <c r="A212" t="s">
        <v>14</v>
      </c>
      <c r="B212">
        <v>102</v>
      </c>
      <c r="C212">
        <v>66434</v>
      </c>
      <c r="D212" t="s">
        <v>173</v>
      </c>
      <c r="E212" s="12">
        <v>13.99</v>
      </c>
      <c r="F212" s="12">
        <v>9.14</v>
      </c>
      <c r="G212" s="75">
        <v>46188</v>
      </c>
      <c r="H212" t="s">
        <v>315</v>
      </c>
      <c r="I212" s="12">
        <v>0</v>
      </c>
      <c r="J212" s="12">
        <v>0</v>
      </c>
    </row>
    <row r="213" spans="1:10" x14ac:dyDescent="0.35">
      <c r="A213" t="s">
        <v>14</v>
      </c>
      <c r="B213">
        <v>102</v>
      </c>
      <c r="C213">
        <v>66434</v>
      </c>
      <c r="D213" t="s">
        <v>173</v>
      </c>
      <c r="E213" s="12">
        <v>13.99</v>
      </c>
      <c r="F213" s="12">
        <v>9.14</v>
      </c>
      <c r="G213" s="75">
        <v>46189</v>
      </c>
      <c r="H213" t="s">
        <v>316</v>
      </c>
      <c r="I213" s="12">
        <v>0</v>
      </c>
      <c r="J213" s="12">
        <v>0</v>
      </c>
    </row>
    <row r="214" spans="1:10" x14ac:dyDescent="0.35">
      <c r="A214" t="s">
        <v>14</v>
      </c>
      <c r="B214">
        <v>102</v>
      </c>
      <c r="C214">
        <v>66434</v>
      </c>
      <c r="D214" t="s">
        <v>173</v>
      </c>
      <c r="E214" s="12">
        <v>13.99</v>
      </c>
      <c r="F214" s="12">
        <v>9.14</v>
      </c>
      <c r="G214" s="75">
        <v>46190</v>
      </c>
      <c r="H214" t="s">
        <v>340</v>
      </c>
      <c r="I214" s="12">
        <v>0</v>
      </c>
      <c r="J214" s="12">
        <v>0</v>
      </c>
    </row>
    <row r="215" spans="1:10" x14ac:dyDescent="0.35">
      <c r="A215" t="s">
        <v>35</v>
      </c>
      <c r="B215">
        <v>102</v>
      </c>
      <c r="C215">
        <v>66308</v>
      </c>
      <c r="D215" t="s">
        <v>199</v>
      </c>
      <c r="E215" s="12">
        <v>10.85</v>
      </c>
      <c r="F215" s="12">
        <v>5.6590000000000007</v>
      </c>
      <c r="G215" s="75">
        <v>46188</v>
      </c>
      <c r="H215" t="s">
        <v>315</v>
      </c>
      <c r="I215" s="12">
        <v>0</v>
      </c>
      <c r="J215" s="12">
        <v>0</v>
      </c>
    </row>
    <row r="216" spans="1:10" x14ac:dyDescent="0.35">
      <c r="A216" t="s">
        <v>35</v>
      </c>
      <c r="B216">
        <v>102</v>
      </c>
      <c r="C216">
        <v>66308</v>
      </c>
      <c r="D216" t="s">
        <v>199</v>
      </c>
      <c r="E216" s="12">
        <v>10.85</v>
      </c>
      <c r="F216" s="12">
        <v>5.6590000000000007</v>
      </c>
      <c r="G216" s="75">
        <v>46189</v>
      </c>
      <c r="H216" t="s">
        <v>316</v>
      </c>
      <c r="I216" s="12">
        <v>0</v>
      </c>
      <c r="J216" s="12">
        <v>0</v>
      </c>
    </row>
    <row r="217" spans="1:10" x14ac:dyDescent="0.35">
      <c r="A217" t="s">
        <v>35</v>
      </c>
      <c r="B217">
        <v>102</v>
      </c>
      <c r="C217">
        <v>66308</v>
      </c>
      <c r="D217" t="s">
        <v>199</v>
      </c>
      <c r="E217" s="12">
        <v>10.85</v>
      </c>
      <c r="F217" s="12">
        <v>5.6590000000000007</v>
      </c>
      <c r="G217" s="75">
        <v>46190</v>
      </c>
      <c r="H217" t="s">
        <v>340</v>
      </c>
      <c r="I217" s="12">
        <v>0</v>
      </c>
      <c r="J217" s="12">
        <v>0</v>
      </c>
    </row>
    <row r="218" spans="1:10" x14ac:dyDescent="0.35">
      <c r="A218" t="s">
        <v>14</v>
      </c>
      <c r="B218">
        <v>101</v>
      </c>
      <c r="C218">
        <v>65681</v>
      </c>
      <c r="D218" t="s">
        <v>65</v>
      </c>
      <c r="E218" s="12">
        <v>29.99</v>
      </c>
      <c r="F218" s="12">
        <v>16.03</v>
      </c>
      <c r="G218" s="75">
        <v>46188</v>
      </c>
      <c r="H218" t="s">
        <v>315</v>
      </c>
      <c r="I218" s="12">
        <v>0</v>
      </c>
      <c r="J218" s="12">
        <v>0</v>
      </c>
    </row>
    <row r="219" spans="1:10" x14ac:dyDescent="0.35">
      <c r="A219" t="s">
        <v>14</v>
      </c>
      <c r="B219">
        <v>101</v>
      </c>
      <c r="C219">
        <v>65681</v>
      </c>
      <c r="D219" t="s">
        <v>65</v>
      </c>
      <c r="E219" s="12">
        <v>29.99</v>
      </c>
      <c r="F219" s="12">
        <v>16.03</v>
      </c>
      <c r="G219" s="75">
        <v>46189</v>
      </c>
      <c r="H219" t="s">
        <v>316</v>
      </c>
      <c r="I219" s="12">
        <v>0</v>
      </c>
      <c r="J219" s="12">
        <v>0</v>
      </c>
    </row>
    <row r="220" spans="1:10" x14ac:dyDescent="0.35">
      <c r="A220" t="s">
        <v>14</v>
      </c>
      <c r="B220">
        <v>101</v>
      </c>
      <c r="C220">
        <v>65681</v>
      </c>
      <c r="D220" t="s">
        <v>65</v>
      </c>
      <c r="E220" s="12">
        <v>29.99</v>
      </c>
      <c r="F220" s="12">
        <v>16.03</v>
      </c>
      <c r="G220" s="75">
        <v>46190</v>
      </c>
      <c r="H220" t="s">
        <v>340</v>
      </c>
      <c r="I220" s="12">
        <v>0</v>
      </c>
      <c r="J220" s="12">
        <v>0</v>
      </c>
    </row>
    <row r="221" spans="1:10" x14ac:dyDescent="0.35">
      <c r="A221" t="s">
        <v>14</v>
      </c>
      <c r="B221">
        <v>102</v>
      </c>
      <c r="C221">
        <v>65506</v>
      </c>
      <c r="D221" t="s">
        <v>172</v>
      </c>
      <c r="E221" s="12">
        <v>14.99</v>
      </c>
      <c r="F221" s="12">
        <v>7.72</v>
      </c>
      <c r="G221" s="75">
        <v>46188</v>
      </c>
      <c r="H221" t="s">
        <v>315</v>
      </c>
      <c r="I221" s="12">
        <v>0</v>
      </c>
      <c r="J221" s="12">
        <v>0</v>
      </c>
    </row>
    <row r="222" spans="1:10" x14ac:dyDescent="0.35">
      <c r="A222" t="s">
        <v>14</v>
      </c>
      <c r="B222">
        <v>102</v>
      </c>
      <c r="C222">
        <v>65506</v>
      </c>
      <c r="D222" t="s">
        <v>172</v>
      </c>
      <c r="E222" s="12">
        <v>14.99</v>
      </c>
      <c r="F222" s="12">
        <v>7.72</v>
      </c>
      <c r="G222" s="75">
        <v>46189</v>
      </c>
      <c r="H222" t="s">
        <v>316</v>
      </c>
      <c r="I222" s="12">
        <v>0</v>
      </c>
      <c r="J222" s="12">
        <v>0</v>
      </c>
    </row>
    <row r="223" spans="1:10" x14ac:dyDescent="0.35">
      <c r="A223" t="s">
        <v>14</v>
      </c>
      <c r="B223">
        <v>102</v>
      </c>
      <c r="C223">
        <v>65506</v>
      </c>
      <c r="D223" t="s">
        <v>172</v>
      </c>
      <c r="E223" s="12">
        <v>14.99</v>
      </c>
      <c r="F223" s="12">
        <v>7.72</v>
      </c>
      <c r="G223" s="75">
        <v>46190</v>
      </c>
      <c r="H223" t="s">
        <v>340</v>
      </c>
      <c r="I223" s="12">
        <v>0</v>
      </c>
      <c r="J223" s="12">
        <v>0</v>
      </c>
    </row>
    <row r="224" spans="1:10" x14ac:dyDescent="0.35">
      <c r="A224" t="s">
        <v>14</v>
      </c>
      <c r="B224">
        <v>119</v>
      </c>
      <c r="C224">
        <v>65239</v>
      </c>
      <c r="D224" t="s">
        <v>280</v>
      </c>
      <c r="E224" s="12">
        <v>70</v>
      </c>
      <c r="F224" s="12">
        <v>48.14</v>
      </c>
      <c r="G224" s="75">
        <v>46188</v>
      </c>
      <c r="H224" t="s">
        <v>315</v>
      </c>
      <c r="I224" s="12">
        <v>0</v>
      </c>
      <c r="J224" s="12">
        <v>0</v>
      </c>
    </row>
    <row r="225" spans="1:10" x14ac:dyDescent="0.35">
      <c r="A225" t="s">
        <v>14</v>
      </c>
      <c r="B225">
        <v>119</v>
      </c>
      <c r="C225">
        <v>65239</v>
      </c>
      <c r="D225" t="s">
        <v>280</v>
      </c>
      <c r="E225" s="12">
        <v>70</v>
      </c>
      <c r="F225" s="12">
        <v>48.14</v>
      </c>
      <c r="G225" s="75">
        <v>46189</v>
      </c>
      <c r="H225" t="s">
        <v>316</v>
      </c>
      <c r="I225" s="12">
        <v>0</v>
      </c>
      <c r="J225" s="12">
        <v>0</v>
      </c>
    </row>
    <row r="226" spans="1:10" x14ac:dyDescent="0.35">
      <c r="A226" t="s">
        <v>14</v>
      </c>
      <c r="B226">
        <v>119</v>
      </c>
      <c r="C226">
        <v>65239</v>
      </c>
      <c r="D226" t="s">
        <v>280</v>
      </c>
      <c r="E226" s="12">
        <v>70</v>
      </c>
      <c r="F226" s="12">
        <v>48.14</v>
      </c>
      <c r="G226" s="75">
        <v>46190</v>
      </c>
      <c r="H226" t="s">
        <v>340</v>
      </c>
      <c r="I226" s="12">
        <v>0</v>
      </c>
      <c r="J226" s="12">
        <v>0</v>
      </c>
    </row>
    <row r="227" spans="1:10" x14ac:dyDescent="0.35">
      <c r="A227" t="s">
        <v>14</v>
      </c>
      <c r="B227">
        <v>119</v>
      </c>
      <c r="C227">
        <v>65238</v>
      </c>
      <c r="D227" t="s">
        <v>279</v>
      </c>
      <c r="E227" s="12">
        <v>120</v>
      </c>
      <c r="F227" s="12">
        <v>82.1</v>
      </c>
      <c r="G227" s="75">
        <v>46188</v>
      </c>
      <c r="H227" t="s">
        <v>315</v>
      </c>
      <c r="I227" s="12">
        <v>0</v>
      </c>
      <c r="J227" s="12">
        <v>0</v>
      </c>
    </row>
    <row r="228" spans="1:10" x14ac:dyDescent="0.35">
      <c r="A228" t="s">
        <v>14</v>
      </c>
      <c r="B228">
        <v>119</v>
      </c>
      <c r="C228">
        <v>65238</v>
      </c>
      <c r="D228" t="s">
        <v>279</v>
      </c>
      <c r="E228" s="12">
        <v>120</v>
      </c>
      <c r="F228" s="12">
        <v>82.1</v>
      </c>
      <c r="G228" s="75">
        <v>46189</v>
      </c>
      <c r="H228" t="s">
        <v>316</v>
      </c>
      <c r="I228" s="12">
        <v>0</v>
      </c>
      <c r="J228" s="12">
        <v>0</v>
      </c>
    </row>
    <row r="229" spans="1:10" x14ac:dyDescent="0.35">
      <c r="A229" t="s">
        <v>14</v>
      </c>
      <c r="B229">
        <v>119</v>
      </c>
      <c r="C229">
        <v>65238</v>
      </c>
      <c r="D229" t="s">
        <v>279</v>
      </c>
      <c r="E229" s="12">
        <v>120</v>
      </c>
      <c r="F229" s="12">
        <v>82.1</v>
      </c>
      <c r="G229" s="75">
        <v>46190</v>
      </c>
      <c r="H229" t="s">
        <v>340</v>
      </c>
      <c r="I229" s="12">
        <v>0</v>
      </c>
      <c r="J229" s="12">
        <v>0</v>
      </c>
    </row>
    <row r="230" spans="1:10" x14ac:dyDescent="0.35">
      <c r="A230" t="s">
        <v>14</v>
      </c>
      <c r="B230">
        <v>120</v>
      </c>
      <c r="C230">
        <v>64763</v>
      </c>
      <c r="D230" t="s">
        <v>284</v>
      </c>
      <c r="E230" s="12">
        <v>38</v>
      </c>
      <c r="F230" s="12">
        <v>18.920000000000002</v>
      </c>
      <c r="G230" s="75">
        <v>46188</v>
      </c>
      <c r="H230" t="s">
        <v>315</v>
      </c>
      <c r="I230" s="12">
        <v>0</v>
      </c>
      <c r="J230" s="12">
        <v>0</v>
      </c>
    </row>
    <row r="231" spans="1:10" x14ac:dyDescent="0.35">
      <c r="A231" t="s">
        <v>14</v>
      </c>
      <c r="B231">
        <v>120</v>
      </c>
      <c r="C231">
        <v>64763</v>
      </c>
      <c r="D231" t="s">
        <v>284</v>
      </c>
      <c r="E231" s="12">
        <v>38</v>
      </c>
      <c r="F231" s="12">
        <v>18.920000000000002</v>
      </c>
      <c r="G231" s="75">
        <v>46189</v>
      </c>
      <c r="H231" t="s">
        <v>316</v>
      </c>
      <c r="I231" s="12">
        <v>0</v>
      </c>
      <c r="J231" s="12">
        <v>0</v>
      </c>
    </row>
    <row r="232" spans="1:10" x14ac:dyDescent="0.35">
      <c r="A232" t="s">
        <v>14</v>
      </c>
      <c r="B232">
        <v>120</v>
      </c>
      <c r="C232">
        <v>64763</v>
      </c>
      <c r="D232" t="s">
        <v>284</v>
      </c>
      <c r="E232" s="12">
        <v>38</v>
      </c>
      <c r="F232" s="12">
        <v>18.920000000000002</v>
      </c>
      <c r="G232" s="75">
        <v>46190</v>
      </c>
      <c r="H232" t="s">
        <v>340</v>
      </c>
      <c r="I232" s="12">
        <v>0</v>
      </c>
      <c r="J232" s="12">
        <v>0</v>
      </c>
    </row>
    <row r="233" spans="1:10" x14ac:dyDescent="0.35">
      <c r="A233" t="s">
        <v>14</v>
      </c>
      <c r="B233">
        <v>120</v>
      </c>
      <c r="C233">
        <v>64762</v>
      </c>
      <c r="D233" t="s">
        <v>285</v>
      </c>
      <c r="E233" s="12">
        <v>69.989999999999995</v>
      </c>
      <c r="F233" s="12">
        <v>37.380000000000003</v>
      </c>
      <c r="G233" s="75">
        <v>46188</v>
      </c>
      <c r="H233" t="s">
        <v>315</v>
      </c>
      <c r="I233" s="12">
        <v>0</v>
      </c>
      <c r="J233" s="12">
        <v>0</v>
      </c>
    </row>
    <row r="234" spans="1:10" x14ac:dyDescent="0.35">
      <c r="A234" t="s">
        <v>14</v>
      </c>
      <c r="B234">
        <v>120</v>
      </c>
      <c r="C234">
        <v>64762</v>
      </c>
      <c r="D234" t="s">
        <v>285</v>
      </c>
      <c r="E234" s="12">
        <v>69.989999999999995</v>
      </c>
      <c r="F234" s="12">
        <v>37.380000000000003</v>
      </c>
      <c r="G234" s="75">
        <v>46189</v>
      </c>
      <c r="H234" t="s">
        <v>316</v>
      </c>
      <c r="I234" s="12">
        <v>0</v>
      </c>
      <c r="J234" s="12">
        <v>0</v>
      </c>
    </row>
    <row r="235" spans="1:10" x14ac:dyDescent="0.35">
      <c r="A235" t="s">
        <v>14</v>
      </c>
      <c r="B235">
        <v>120</v>
      </c>
      <c r="C235">
        <v>64762</v>
      </c>
      <c r="D235" t="s">
        <v>285</v>
      </c>
      <c r="E235" s="12">
        <v>69.989999999999995</v>
      </c>
      <c r="F235" s="12">
        <v>37.380000000000003</v>
      </c>
      <c r="G235" s="75">
        <v>46190</v>
      </c>
      <c r="H235" t="s">
        <v>340</v>
      </c>
      <c r="I235" s="12">
        <v>0</v>
      </c>
      <c r="J235" s="12">
        <v>0</v>
      </c>
    </row>
    <row r="236" spans="1:10" x14ac:dyDescent="0.35">
      <c r="A236" t="s">
        <v>14</v>
      </c>
      <c r="B236">
        <v>120</v>
      </c>
      <c r="C236">
        <v>64761</v>
      </c>
      <c r="D236" t="s">
        <v>286</v>
      </c>
      <c r="E236" s="12">
        <v>69.989999999999995</v>
      </c>
      <c r="F236" s="12">
        <v>42.18</v>
      </c>
      <c r="G236" s="75">
        <v>46188</v>
      </c>
      <c r="H236" t="s">
        <v>315</v>
      </c>
      <c r="I236" s="12">
        <v>0</v>
      </c>
      <c r="J236" s="12">
        <v>0</v>
      </c>
    </row>
    <row r="237" spans="1:10" x14ac:dyDescent="0.35">
      <c r="A237" t="s">
        <v>14</v>
      </c>
      <c r="B237">
        <v>120</v>
      </c>
      <c r="C237">
        <v>64761</v>
      </c>
      <c r="D237" t="s">
        <v>286</v>
      </c>
      <c r="E237" s="12">
        <v>69.989999999999995</v>
      </c>
      <c r="F237" s="12">
        <v>42.18</v>
      </c>
      <c r="G237" s="75">
        <v>46189</v>
      </c>
      <c r="H237" t="s">
        <v>316</v>
      </c>
      <c r="I237" s="12">
        <v>0</v>
      </c>
      <c r="J237" s="12">
        <v>0</v>
      </c>
    </row>
    <row r="238" spans="1:10" x14ac:dyDescent="0.35">
      <c r="A238" t="s">
        <v>14</v>
      </c>
      <c r="B238">
        <v>120</v>
      </c>
      <c r="C238">
        <v>64761</v>
      </c>
      <c r="D238" t="s">
        <v>286</v>
      </c>
      <c r="E238" s="12">
        <v>69.989999999999995</v>
      </c>
      <c r="F238" s="12">
        <v>42.18</v>
      </c>
      <c r="G238" s="75">
        <v>46190</v>
      </c>
      <c r="H238" t="s">
        <v>340</v>
      </c>
      <c r="I238" s="12">
        <v>0</v>
      </c>
      <c r="J238" s="12">
        <v>0</v>
      </c>
    </row>
    <row r="239" spans="1:10" x14ac:dyDescent="0.35">
      <c r="A239" t="s">
        <v>14</v>
      </c>
      <c r="B239">
        <v>119</v>
      </c>
      <c r="C239">
        <v>64635</v>
      </c>
      <c r="D239" t="s">
        <v>276</v>
      </c>
      <c r="E239" s="12">
        <v>160</v>
      </c>
      <c r="F239" s="12">
        <v>72.88</v>
      </c>
      <c r="G239" s="75">
        <v>46188</v>
      </c>
      <c r="H239" t="s">
        <v>315</v>
      </c>
      <c r="I239" s="12">
        <v>0</v>
      </c>
      <c r="J239" s="12">
        <v>0</v>
      </c>
    </row>
    <row r="240" spans="1:10" x14ac:dyDescent="0.35">
      <c r="A240" t="s">
        <v>14</v>
      </c>
      <c r="B240">
        <v>119</v>
      </c>
      <c r="C240">
        <v>64635</v>
      </c>
      <c r="D240" t="s">
        <v>276</v>
      </c>
      <c r="E240" s="12">
        <v>160</v>
      </c>
      <c r="F240" s="12">
        <v>72.88</v>
      </c>
      <c r="G240" s="75">
        <v>46189</v>
      </c>
      <c r="H240" t="s">
        <v>316</v>
      </c>
      <c r="I240" s="12">
        <v>0</v>
      </c>
      <c r="J240" s="12">
        <v>0</v>
      </c>
    </row>
    <row r="241" spans="1:10" x14ac:dyDescent="0.35">
      <c r="A241" t="s">
        <v>14</v>
      </c>
      <c r="B241">
        <v>119</v>
      </c>
      <c r="C241">
        <v>64635</v>
      </c>
      <c r="D241" t="s">
        <v>276</v>
      </c>
      <c r="E241" s="12">
        <v>160</v>
      </c>
      <c r="F241" s="12">
        <v>72.88</v>
      </c>
      <c r="G241" s="75">
        <v>46190</v>
      </c>
      <c r="H241" t="s">
        <v>340</v>
      </c>
      <c r="I241" s="12">
        <v>0</v>
      </c>
      <c r="J241" s="12">
        <v>0</v>
      </c>
    </row>
    <row r="242" spans="1:10" x14ac:dyDescent="0.35">
      <c r="A242" t="s">
        <v>14</v>
      </c>
      <c r="B242">
        <v>119</v>
      </c>
      <c r="C242">
        <v>64633</v>
      </c>
      <c r="D242" t="s">
        <v>271</v>
      </c>
      <c r="E242" s="12">
        <v>8.99</v>
      </c>
      <c r="F242" s="12">
        <v>3.8</v>
      </c>
      <c r="G242" s="75">
        <v>46188</v>
      </c>
      <c r="H242" t="s">
        <v>315</v>
      </c>
      <c r="I242" s="12">
        <v>0</v>
      </c>
      <c r="J242" s="12">
        <v>0</v>
      </c>
    </row>
    <row r="243" spans="1:10" x14ac:dyDescent="0.35">
      <c r="A243" t="s">
        <v>14</v>
      </c>
      <c r="B243">
        <v>119</v>
      </c>
      <c r="C243">
        <v>64633</v>
      </c>
      <c r="D243" t="s">
        <v>271</v>
      </c>
      <c r="E243" s="12">
        <v>8.99</v>
      </c>
      <c r="F243" s="12">
        <v>3.8</v>
      </c>
      <c r="G243" s="75">
        <v>46189</v>
      </c>
      <c r="H243" t="s">
        <v>316</v>
      </c>
      <c r="I243" s="12">
        <v>0</v>
      </c>
      <c r="J243" s="12">
        <v>0</v>
      </c>
    </row>
    <row r="244" spans="1:10" x14ac:dyDescent="0.35">
      <c r="A244" t="s">
        <v>14</v>
      </c>
      <c r="B244">
        <v>119</v>
      </c>
      <c r="C244">
        <v>64633</v>
      </c>
      <c r="D244" t="s">
        <v>271</v>
      </c>
      <c r="E244" s="12">
        <v>8.99</v>
      </c>
      <c r="F244" s="12">
        <v>3.8</v>
      </c>
      <c r="G244" s="75">
        <v>46190</v>
      </c>
      <c r="H244" t="s">
        <v>340</v>
      </c>
      <c r="I244" s="12">
        <v>0</v>
      </c>
      <c r="J244" s="12">
        <v>0</v>
      </c>
    </row>
    <row r="245" spans="1:10" x14ac:dyDescent="0.35">
      <c r="A245" t="s">
        <v>14</v>
      </c>
      <c r="B245">
        <v>119</v>
      </c>
      <c r="C245">
        <v>64632</v>
      </c>
      <c r="D245" t="s">
        <v>278</v>
      </c>
      <c r="E245" s="12">
        <v>140</v>
      </c>
      <c r="F245" s="12">
        <v>62.14</v>
      </c>
      <c r="G245" s="75">
        <v>46188</v>
      </c>
      <c r="H245" t="s">
        <v>315</v>
      </c>
      <c r="I245" s="12">
        <v>0</v>
      </c>
      <c r="J245" s="12">
        <v>0</v>
      </c>
    </row>
    <row r="246" spans="1:10" x14ac:dyDescent="0.35">
      <c r="A246" t="s">
        <v>14</v>
      </c>
      <c r="B246">
        <v>119</v>
      </c>
      <c r="C246">
        <v>64632</v>
      </c>
      <c r="D246" t="s">
        <v>278</v>
      </c>
      <c r="E246" s="12">
        <v>140</v>
      </c>
      <c r="F246" s="12">
        <v>62.14</v>
      </c>
      <c r="G246" s="75">
        <v>46189</v>
      </c>
      <c r="H246" t="s">
        <v>316</v>
      </c>
      <c r="I246" s="12">
        <v>0</v>
      </c>
      <c r="J246" s="12">
        <v>0</v>
      </c>
    </row>
    <row r="247" spans="1:10" x14ac:dyDescent="0.35">
      <c r="A247" t="s">
        <v>14</v>
      </c>
      <c r="B247">
        <v>119</v>
      </c>
      <c r="C247">
        <v>64632</v>
      </c>
      <c r="D247" t="s">
        <v>278</v>
      </c>
      <c r="E247" s="12">
        <v>140</v>
      </c>
      <c r="F247" s="12">
        <v>62.14</v>
      </c>
      <c r="G247" s="75">
        <v>46190</v>
      </c>
      <c r="H247" t="s">
        <v>340</v>
      </c>
      <c r="I247" s="12">
        <v>0</v>
      </c>
      <c r="J247" s="12">
        <v>0</v>
      </c>
    </row>
    <row r="248" spans="1:10" x14ac:dyDescent="0.35">
      <c r="A248" t="s">
        <v>14</v>
      </c>
      <c r="B248">
        <v>107</v>
      </c>
      <c r="C248">
        <v>64416</v>
      </c>
      <c r="D248" t="s">
        <v>248</v>
      </c>
      <c r="E248" s="12">
        <v>49.99</v>
      </c>
      <c r="F248" s="12">
        <v>32.549999999999997</v>
      </c>
      <c r="G248" s="75">
        <v>46188</v>
      </c>
      <c r="H248" t="s">
        <v>315</v>
      </c>
      <c r="I248" s="12">
        <v>0</v>
      </c>
      <c r="J248" s="12">
        <v>0</v>
      </c>
    </row>
    <row r="249" spans="1:10" x14ac:dyDescent="0.35">
      <c r="A249" t="s">
        <v>14</v>
      </c>
      <c r="B249">
        <v>107</v>
      </c>
      <c r="C249">
        <v>64416</v>
      </c>
      <c r="D249" t="s">
        <v>248</v>
      </c>
      <c r="E249" s="12">
        <v>49.99</v>
      </c>
      <c r="F249" s="12">
        <v>32.549999999999997</v>
      </c>
      <c r="G249" s="75">
        <v>46189</v>
      </c>
      <c r="H249" t="s">
        <v>316</v>
      </c>
      <c r="I249" s="12">
        <v>0</v>
      </c>
      <c r="J249" s="12">
        <v>0</v>
      </c>
    </row>
    <row r="250" spans="1:10" x14ac:dyDescent="0.35">
      <c r="A250" t="s">
        <v>14</v>
      </c>
      <c r="B250">
        <v>107</v>
      </c>
      <c r="C250">
        <v>64416</v>
      </c>
      <c r="D250" t="s">
        <v>248</v>
      </c>
      <c r="E250" s="12">
        <v>49.99</v>
      </c>
      <c r="F250" s="12">
        <v>32.549999999999997</v>
      </c>
      <c r="G250" s="75">
        <v>46190</v>
      </c>
      <c r="H250" t="s">
        <v>340</v>
      </c>
      <c r="I250" s="12">
        <v>0</v>
      </c>
      <c r="J250" s="12">
        <v>0</v>
      </c>
    </row>
    <row r="251" spans="1:10" x14ac:dyDescent="0.35">
      <c r="A251" t="s">
        <v>35</v>
      </c>
      <c r="B251">
        <v>102</v>
      </c>
      <c r="C251">
        <v>63898</v>
      </c>
      <c r="D251" t="s">
        <v>198</v>
      </c>
      <c r="E251" s="12">
        <v>330.99</v>
      </c>
      <c r="F251" s="12">
        <v>179.16</v>
      </c>
      <c r="G251" s="75">
        <v>46188</v>
      </c>
      <c r="H251" t="s">
        <v>315</v>
      </c>
      <c r="I251" s="12">
        <v>0</v>
      </c>
      <c r="J251" s="12">
        <v>0</v>
      </c>
    </row>
    <row r="252" spans="1:10" x14ac:dyDescent="0.35">
      <c r="A252" t="s">
        <v>35</v>
      </c>
      <c r="B252">
        <v>102</v>
      </c>
      <c r="C252">
        <v>63898</v>
      </c>
      <c r="D252" t="s">
        <v>198</v>
      </c>
      <c r="E252" s="12">
        <v>330.99</v>
      </c>
      <c r="F252" s="12">
        <v>179.16</v>
      </c>
      <c r="G252" s="75">
        <v>46189</v>
      </c>
      <c r="H252" t="s">
        <v>316</v>
      </c>
      <c r="I252" s="12">
        <v>0</v>
      </c>
      <c r="J252" s="12">
        <v>0</v>
      </c>
    </row>
    <row r="253" spans="1:10" x14ac:dyDescent="0.35">
      <c r="A253" t="s">
        <v>35</v>
      </c>
      <c r="B253">
        <v>102</v>
      </c>
      <c r="C253">
        <v>63898</v>
      </c>
      <c r="D253" t="s">
        <v>198</v>
      </c>
      <c r="E253" s="12">
        <v>330.99</v>
      </c>
      <c r="F253" s="12">
        <v>179.16</v>
      </c>
      <c r="G253" s="75">
        <v>46190</v>
      </c>
      <c r="H253" t="s">
        <v>340</v>
      </c>
      <c r="I253" s="12">
        <v>0</v>
      </c>
      <c r="J253" s="12">
        <v>0</v>
      </c>
    </row>
    <row r="254" spans="1:10" x14ac:dyDescent="0.35">
      <c r="A254" t="s">
        <v>14</v>
      </c>
      <c r="B254">
        <v>101</v>
      </c>
      <c r="C254">
        <v>63800</v>
      </c>
      <c r="D254" t="s">
        <v>88</v>
      </c>
      <c r="E254" s="12">
        <v>23.99</v>
      </c>
      <c r="F254" s="12">
        <v>11.87</v>
      </c>
      <c r="G254" s="75">
        <v>46188</v>
      </c>
      <c r="H254" t="s">
        <v>315</v>
      </c>
      <c r="I254" s="12">
        <v>0</v>
      </c>
      <c r="J254" s="12">
        <v>0</v>
      </c>
    </row>
    <row r="255" spans="1:10" x14ac:dyDescent="0.35">
      <c r="A255" t="s">
        <v>14</v>
      </c>
      <c r="B255">
        <v>101</v>
      </c>
      <c r="C255">
        <v>63800</v>
      </c>
      <c r="D255" t="s">
        <v>88</v>
      </c>
      <c r="E255" s="12">
        <v>23.99</v>
      </c>
      <c r="F255" s="12">
        <v>11.87</v>
      </c>
      <c r="G255" s="75">
        <v>46189</v>
      </c>
      <c r="H255" t="s">
        <v>316</v>
      </c>
      <c r="I255" s="12">
        <v>0</v>
      </c>
      <c r="J255" s="12">
        <v>0</v>
      </c>
    </row>
    <row r="256" spans="1:10" x14ac:dyDescent="0.35">
      <c r="A256" t="s">
        <v>14</v>
      </c>
      <c r="B256">
        <v>101</v>
      </c>
      <c r="C256">
        <v>63800</v>
      </c>
      <c r="D256" t="s">
        <v>88</v>
      </c>
      <c r="E256" s="12">
        <v>23.99</v>
      </c>
      <c r="F256" s="12">
        <v>11.87</v>
      </c>
      <c r="G256" s="75">
        <v>46190</v>
      </c>
      <c r="H256" t="s">
        <v>340</v>
      </c>
      <c r="I256" s="12">
        <v>0</v>
      </c>
      <c r="J256" s="12">
        <v>0</v>
      </c>
    </row>
    <row r="257" spans="1:10" x14ac:dyDescent="0.35">
      <c r="A257" t="s">
        <v>14</v>
      </c>
      <c r="B257">
        <v>119</v>
      </c>
      <c r="C257">
        <v>63798</v>
      </c>
      <c r="D257" t="s">
        <v>275</v>
      </c>
      <c r="E257" s="12">
        <v>79.989999999999995</v>
      </c>
      <c r="F257" s="12">
        <v>42.68</v>
      </c>
      <c r="G257" s="75">
        <v>46188</v>
      </c>
      <c r="H257" t="s">
        <v>315</v>
      </c>
      <c r="I257" s="12">
        <v>0</v>
      </c>
      <c r="J257" s="12">
        <v>0</v>
      </c>
    </row>
    <row r="258" spans="1:10" x14ac:dyDescent="0.35">
      <c r="A258" t="s">
        <v>14</v>
      </c>
      <c r="B258">
        <v>119</v>
      </c>
      <c r="C258">
        <v>63798</v>
      </c>
      <c r="D258" t="s">
        <v>275</v>
      </c>
      <c r="E258" s="12">
        <v>79.989999999999995</v>
      </c>
      <c r="F258" s="12">
        <v>42.68</v>
      </c>
      <c r="G258" s="75">
        <v>46189</v>
      </c>
      <c r="H258" t="s">
        <v>316</v>
      </c>
      <c r="I258" s="12">
        <v>0</v>
      </c>
      <c r="J258" s="12">
        <v>0</v>
      </c>
    </row>
    <row r="259" spans="1:10" x14ac:dyDescent="0.35">
      <c r="A259" t="s">
        <v>14</v>
      </c>
      <c r="B259">
        <v>119</v>
      </c>
      <c r="C259">
        <v>63798</v>
      </c>
      <c r="D259" t="s">
        <v>275</v>
      </c>
      <c r="E259" s="12">
        <v>79.989999999999995</v>
      </c>
      <c r="F259" s="12">
        <v>42.68</v>
      </c>
      <c r="G259" s="75">
        <v>46190</v>
      </c>
      <c r="H259" t="s">
        <v>340</v>
      </c>
      <c r="I259" s="12">
        <v>0</v>
      </c>
      <c r="J259" s="12">
        <v>0</v>
      </c>
    </row>
    <row r="260" spans="1:10" x14ac:dyDescent="0.35">
      <c r="A260" t="s">
        <v>14</v>
      </c>
      <c r="B260">
        <v>102</v>
      </c>
      <c r="C260">
        <v>63394</v>
      </c>
      <c r="D260" t="s">
        <v>138</v>
      </c>
      <c r="E260" s="12">
        <v>26.97</v>
      </c>
      <c r="F260" s="12">
        <v>13.68</v>
      </c>
      <c r="G260" s="75">
        <v>46188</v>
      </c>
      <c r="H260" t="s">
        <v>315</v>
      </c>
      <c r="I260" s="12">
        <v>0</v>
      </c>
      <c r="J260" s="12">
        <v>0</v>
      </c>
    </row>
    <row r="261" spans="1:10" x14ac:dyDescent="0.35">
      <c r="A261" t="s">
        <v>14</v>
      </c>
      <c r="B261">
        <v>102</v>
      </c>
      <c r="C261">
        <v>63394</v>
      </c>
      <c r="D261" t="s">
        <v>138</v>
      </c>
      <c r="E261" s="12">
        <v>26.97</v>
      </c>
      <c r="F261" s="12">
        <v>13.68</v>
      </c>
      <c r="G261" s="75">
        <v>46189</v>
      </c>
      <c r="H261" t="s">
        <v>316</v>
      </c>
      <c r="I261" s="12">
        <v>0</v>
      </c>
      <c r="J261" s="12">
        <v>0</v>
      </c>
    </row>
    <row r="262" spans="1:10" x14ac:dyDescent="0.35">
      <c r="A262" t="s">
        <v>14</v>
      </c>
      <c r="B262">
        <v>102</v>
      </c>
      <c r="C262">
        <v>63394</v>
      </c>
      <c r="D262" t="s">
        <v>138</v>
      </c>
      <c r="E262" s="12">
        <v>26.97</v>
      </c>
      <c r="F262" s="12">
        <v>13.68</v>
      </c>
      <c r="G262" s="75">
        <v>46190</v>
      </c>
      <c r="H262" t="s">
        <v>340</v>
      </c>
      <c r="I262" s="12">
        <v>0</v>
      </c>
      <c r="J262" s="12">
        <v>0</v>
      </c>
    </row>
    <row r="263" spans="1:10" x14ac:dyDescent="0.35">
      <c r="A263" t="s">
        <v>14</v>
      </c>
      <c r="B263">
        <v>101</v>
      </c>
      <c r="C263">
        <v>62788</v>
      </c>
      <c r="D263" t="s">
        <v>46</v>
      </c>
      <c r="E263" s="12">
        <v>26.99</v>
      </c>
      <c r="F263" s="12">
        <v>10.66</v>
      </c>
      <c r="G263" s="75">
        <v>46188</v>
      </c>
      <c r="H263" t="s">
        <v>315</v>
      </c>
      <c r="I263" s="12">
        <v>0</v>
      </c>
      <c r="J263" s="12">
        <v>0</v>
      </c>
    </row>
    <row r="264" spans="1:10" x14ac:dyDescent="0.35">
      <c r="A264" t="s">
        <v>14</v>
      </c>
      <c r="B264">
        <v>101</v>
      </c>
      <c r="C264">
        <v>62788</v>
      </c>
      <c r="D264" t="s">
        <v>46</v>
      </c>
      <c r="E264" s="12">
        <v>26.99</v>
      </c>
      <c r="F264" s="12">
        <v>10.66</v>
      </c>
      <c r="G264" s="75">
        <v>46189</v>
      </c>
      <c r="H264" t="s">
        <v>316</v>
      </c>
      <c r="I264" s="12">
        <v>0</v>
      </c>
      <c r="J264" s="12">
        <v>0</v>
      </c>
    </row>
    <row r="265" spans="1:10" x14ac:dyDescent="0.35">
      <c r="A265" t="s">
        <v>14</v>
      </c>
      <c r="B265">
        <v>101</v>
      </c>
      <c r="C265">
        <v>62788</v>
      </c>
      <c r="D265" t="s">
        <v>46</v>
      </c>
      <c r="E265" s="12">
        <v>26.99</v>
      </c>
      <c r="F265" s="12">
        <v>10.66</v>
      </c>
      <c r="G265" s="75">
        <v>46190</v>
      </c>
      <c r="H265" t="s">
        <v>340</v>
      </c>
      <c r="I265" s="12">
        <v>0</v>
      </c>
      <c r="J265" s="12">
        <v>0</v>
      </c>
    </row>
    <row r="266" spans="1:10" x14ac:dyDescent="0.35">
      <c r="A266" t="s">
        <v>14</v>
      </c>
      <c r="B266">
        <v>120</v>
      </c>
      <c r="C266">
        <v>62629</v>
      </c>
      <c r="D266" t="s">
        <v>282</v>
      </c>
      <c r="E266" s="12">
        <v>60</v>
      </c>
      <c r="F266" s="12">
        <v>33.18</v>
      </c>
      <c r="G266" s="75">
        <v>46188</v>
      </c>
      <c r="H266" t="s">
        <v>315</v>
      </c>
      <c r="I266" s="12">
        <v>0</v>
      </c>
      <c r="J266" s="12">
        <v>0</v>
      </c>
    </row>
    <row r="267" spans="1:10" x14ac:dyDescent="0.35">
      <c r="A267" t="s">
        <v>14</v>
      </c>
      <c r="B267">
        <v>120</v>
      </c>
      <c r="C267">
        <v>62629</v>
      </c>
      <c r="D267" t="s">
        <v>282</v>
      </c>
      <c r="E267" s="12">
        <v>60</v>
      </c>
      <c r="F267" s="12">
        <v>33.18</v>
      </c>
      <c r="G267" s="75">
        <v>46189</v>
      </c>
      <c r="H267" t="s">
        <v>316</v>
      </c>
      <c r="I267" s="12">
        <v>1043.4782608695652</v>
      </c>
      <c r="J267" s="12">
        <v>20</v>
      </c>
    </row>
    <row r="268" spans="1:10" x14ac:dyDescent="0.35">
      <c r="A268" t="s">
        <v>14</v>
      </c>
      <c r="B268">
        <v>120</v>
      </c>
      <c r="C268">
        <v>62629</v>
      </c>
      <c r="D268" t="s">
        <v>282</v>
      </c>
      <c r="E268" s="12">
        <v>60</v>
      </c>
      <c r="F268" s="12">
        <v>33.18</v>
      </c>
      <c r="G268" s="75">
        <v>46190</v>
      </c>
      <c r="H268" t="s">
        <v>340</v>
      </c>
      <c r="I268" s="12">
        <v>0</v>
      </c>
      <c r="J268" s="12">
        <v>0</v>
      </c>
    </row>
    <row r="269" spans="1:10" x14ac:dyDescent="0.35">
      <c r="A269" t="s">
        <v>14</v>
      </c>
      <c r="B269">
        <v>101</v>
      </c>
      <c r="C269">
        <v>62627</v>
      </c>
      <c r="D269" t="s">
        <v>80</v>
      </c>
      <c r="E269" s="12">
        <v>20.99</v>
      </c>
      <c r="F269" s="12">
        <v>12.88</v>
      </c>
      <c r="G269" s="75">
        <v>46188</v>
      </c>
      <c r="H269" t="s">
        <v>315</v>
      </c>
      <c r="I269" s="12">
        <v>0</v>
      </c>
      <c r="J269" s="12">
        <v>0</v>
      </c>
    </row>
    <row r="270" spans="1:10" x14ac:dyDescent="0.35">
      <c r="A270" t="s">
        <v>14</v>
      </c>
      <c r="B270">
        <v>101</v>
      </c>
      <c r="C270">
        <v>62627</v>
      </c>
      <c r="D270" t="s">
        <v>80</v>
      </c>
      <c r="E270" s="12">
        <v>20.99</v>
      </c>
      <c r="F270" s="12">
        <v>12.88</v>
      </c>
      <c r="G270" s="75">
        <v>46189</v>
      </c>
      <c r="H270" t="s">
        <v>316</v>
      </c>
      <c r="I270" s="12">
        <v>0</v>
      </c>
      <c r="J270" s="12">
        <v>0</v>
      </c>
    </row>
    <row r="271" spans="1:10" x14ac:dyDescent="0.35">
      <c r="A271" t="s">
        <v>14</v>
      </c>
      <c r="B271">
        <v>101</v>
      </c>
      <c r="C271">
        <v>62627</v>
      </c>
      <c r="D271" t="s">
        <v>80</v>
      </c>
      <c r="E271" s="12">
        <v>20.99</v>
      </c>
      <c r="F271" s="12">
        <v>12.88</v>
      </c>
      <c r="G271" s="75">
        <v>46190</v>
      </c>
      <c r="H271" t="s">
        <v>340</v>
      </c>
      <c r="I271" s="12">
        <v>0</v>
      </c>
      <c r="J271" s="12">
        <v>0</v>
      </c>
    </row>
    <row r="272" spans="1:10" x14ac:dyDescent="0.35">
      <c r="A272" t="s">
        <v>14</v>
      </c>
      <c r="B272">
        <v>102</v>
      </c>
      <c r="C272">
        <v>62623</v>
      </c>
      <c r="D272" t="s">
        <v>165</v>
      </c>
      <c r="E272" s="12">
        <v>15.99</v>
      </c>
      <c r="F272" s="12">
        <v>8.31</v>
      </c>
      <c r="G272" s="75">
        <v>46188</v>
      </c>
      <c r="H272" t="s">
        <v>315</v>
      </c>
      <c r="I272" s="12">
        <v>0</v>
      </c>
      <c r="J272" s="12">
        <v>0</v>
      </c>
    </row>
    <row r="273" spans="1:10" x14ac:dyDescent="0.35">
      <c r="A273" t="s">
        <v>14</v>
      </c>
      <c r="B273">
        <v>102</v>
      </c>
      <c r="C273">
        <v>62623</v>
      </c>
      <c r="D273" t="s">
        <v>165</v>
      </c>
      <c r="E273" s="12">
        <v>15.99</v>
      </c>
      <c r="F273" s="12">
        <v>8.31</v>
      </c>
      <c r="G273" s="75">
        <v>46189</v>
      </c>
      <c r="H273" t="s">
        <v>316</v>
      </c>
      <c r="I273" s="12">
        <v>0</v>
      </c>
      <c r="J273" s="12">
        <v>0</v>
      </c>
    </row>
    <row r="274" spans="1:10" x14ac:dyDescent="0.35">
      <c r="A274" t="s">
        <v>14</v>
      </c>
      <c r="B274">
        <v>102</v>
      </c>
      <c r="C274">
        <v>62623</v>
      </c>
      <c r="D274" t="s">
        <v>165</v>
      </c>
      <c r="E274" s="12">
        <v>15.99</v>
      </c>
      <c r="F274" s="12">
        <v>8.31</v>
      </c>
      <c r="G274" s="75">
        <v>46190</v>
      </c>
      <c r="H274" t="s">
        <v>340</v>
      </c>
      <c r="I274" s="12">
        <v>0</v>
      </c>
      <c r="J274" s="12">
        <v>0</v>
      </c>
    </row>
    <row r="275" spans="1:10" x14ac:dyDescent="0.35">
      <c r="A275" t="s">
        <v>14</v>
      </c>
      <c r="B275">
        <v>101</v>
      </c>
      <c r="C275">
        <v>62621</v>
      </c>
      <c r="D275" t="s">
        <v>79</v>
      </c>
      <c r="E275" s="12">
        <v>26.99</v>
      </c>
      <c r="F275" s="12">
        <v>14.15</v>
      </c>
      <c r="G275" s="75">
        <v>46188</v>
      </c>
      <c r="H275" t="s">
        <v>315</v>
      </c>
      <c r="I275" s="12">
        <v>0</v>
      </c>
      <c r="J275" s="12">
        <v>0</v>
      </c>
    </row>
    <row r="276" spans="1:10" x14ac:dyDescent="0.35">
      <c r="A276" t="s">
        <v>14</v>
      </c>
      <c r="B276">
        <v>101</v>
      </c>
      <c r="C276">
        <v>62621</v>
      </c>
      <c r="D276" t="s">
        <v>79</v>
      </c>
      <c r="E276" s="12">
        <v>26.99</v>
      </c>
      <c r="F276" s="12">
        <v>14.15</v>
      </c>
      <c r="G276" s="75">
        <v>46189</v>
      </c>
      <c r="H276" t="s">
        <v>316</v>
      </c>
      <c r="I276" s="12">
        <v>0</v>
      </c>
      <c r="J276" s="12">
        <v>0</v>
      </c>
    </row>
    <row r="277" spans="1:10" x14ac:dyDescent="0.35">
      <c r="A277" t="s">
        <v>14</v>
      </c>
      <c r="B277">
        <v>101</v>
      </c>
      <c r="C277">
        <v>62621</v>
      </c>
      <c r="D277" t="s">
        <v>79</v>
      </c>
      <c r="E277" s="12">
        <v>26.99</v>
      </c>
      <c r="F277" s="12">
        <v>14.15</v>
      </c>
      <c r="G277" s="75">
        <v>46190</v>
      </c>
      <c r="H277" t="s">
        <v>340</v>
      </c>
      <c r="I277" s="12">
        <v>0</v>
      </c>
      <c r="J277" s="12">
        <v>0</v>
      </c>
    </row>
    <row r="278" spans="1:10" x14ac:dyDescent="0.35">
      <c r="A278" t="s">
        <v>14</v>
      </c>
      <c r="B278">
        <v>119</v>
      </c>
      <c r="C278">
        <v>62620</v>
      </c>
      <c r="D278" t="s">
        <v>268</v>
      </c>
      <c r="E278" s="12">
        <v>65.989999999999995</v>
      </c>
      <c r="F278" s="12">
        <v>46.29</v>
      </c>
      <c r="G278" s="75">
        <v>46188</v>
      </c>
      <c r="H278" t="s">
        <v>315</v>
      </c>
      <c r="I278" s="12">
        <v>0</v>
      </c>
      <c r="J278" s="12">
        <v>0</v>
      </c>
    </row>
    <row r="279" spans="1:10" x14ac:dyDescent="0.35">
      <c r="A279" t="s">
        <v>14</v>
      </c>
      <c r="B279">
        <v>119</v>
      </c>
      <c r="C279">
        <v>62620</v>
      </c>
      <c r="D279" t="s">
        <v>268</v>
      </c>
      <c r="E279" s="12">
        <v>65.989999999999995</v>
      </c>
      <c r="F279" s="12">
        <v>46.29</v>
      </c>
      <c r="G279" s="75">
        <v>46189</v>
      </c>
      <c r="H279" t="s">
        <v>316</v>
      </c>
      <c r="I279" s="12">
        <v>0</v>
      </c>
      <c r="J279" s="12">
        <v>0</v>
      </c>
    </row>
    <row r="280" spans="1:10" x14ac:dyDescent="0.35">
      <c r="A280" t="s">
        <v>14</v>
      </c>
      <c r="B280">
        <v>119</v>
      </c>
      <c r="C280">
        <v>62620</v>
      </c>
      <c r="D280" t="s">
        <v>268</v>
      </c>
      <c r="E280" s="12">
        <v>65.989999999999995</v>
      </c>
      <c r="F280" s="12">
        <v>46.29</v>
      </c>
      <c r="G280" s="75">
        <v>46190</v>
      </c>
      <c r="H280" t="s">
        <v>340</v>
      </c>
      <c r="I280" s="12">
        <v>0</v>
      </c>
      <c r="J280" s="12">
        <v>0</v>
      </c>
    </row>
    <row r="281" spans="1:10" x14ac:dyDescent="0.35">
      <c r="A281" t="s">
        <v>14</v>
      </c>
      <c r="B281">
        <v>109</v>
      </c>
      <c r="C281">
        <v>62614</v>
      </c>
      <c r="D281" t="s">
        <v>249</v>
      </c>
      <c r="E281" s="12">
        <v>7.99</v>
      </c>
      <c r="F281" s="12">
        <v>5.54</v>
      </c>
      <c r="G281" s="75">
        <v>46188</v>
      </c>
      <c r="H281" t="s">
        <v>315</v>
      </c>
      <c r="I281" s="12">
        <v>0</v>
      </c>
      <c r="J281" s="12">
        <v>0</v>
      </c>
    </row>
    <row r="282" spans="1:10" x14ac:dyDescent="0.35">
      <c r="A282" t="s">
        <v>14</v>
      </c>
      <c r="B282">
        <v>109</v>
      </c>
      <c r="C282">
        <v>62614</v>
      </c>
      <c r="D282" t="s">
        <v>249</v>
      </c>
      <c r="E282" s="12">
        <v>7.99</v>
      </c>
      <c r="F282" s="12">
        <v>5.54</v>
      </c>
      <c r="G282" s="75">
        <v>46189</v>
      </c>
      <c r="H282" t="s">
        <v>316</v>
      </c>
      <c r="I282" s="12">
        <v>0</v>
      </c>
      <c r="J282" s="12">
        <v>0</v>
      </c>
    </row>
    <row r="283" spans="1:10" x14ac:dyDescent="0.35">
      <c r="A283" t="s">
        <v>14</v>
      </c>
      <c r="B283">
        <v>109</v>
      </c>
      <c r="C283">
        <v>62614</v>
      </c>
      <c r="D283" t="s">
        <v>249</v>
      </c>
      <c r="E283" s="12">
        <v>7.99</v>
      </c>
      <c r="F283" s="12">
        <v>5.54</v>
      </c>
      <c r="G283" s="75">
        <v>46190</v>
      </c>
      <c r="H283" t="s">
        <v>340</v>
      </c>
      <c r="I283" s="12">
        <v>0</v>
      </c>
      <c r="J283" s="12">
        <v>0</v>
      </c>
    </row>
    <row r="284" spans="1:10" x14ac:dyDescent="0.35">
      <c r="A284" t="s">
        <v>14</v>
      </c>
      <c r="B284">
        <v>120</v>
      </c>
      <c r="C284">
        <v>62585</v>
      </c>
      <c r="D284" t="s">
        <v>281</v>
      </c>
      <c r="E284" s="12">
        <v>60</v>
      </c>
      <c r="F284" s="12">
        <v>26.17</v>
      </c>
      <c r="G284" s="75">
        <v>46188</v>
      </c>
      <c r="H284" t="s">
        <v>315</v>
      </c>
      <c r="I284" s="12">
        <v>0</v>
      </c>
      <c r="J284" s="12">
        <v>0</v>
      </c>
    </row>
    <row r="285" spans="1:10" x14ac:dyDescent="0.35">
      <c r="A285" t="s">
        <v>14</v>
      </c>
      <c r="B285">
        <v>120</v>
      </c>
      <c r="C285">
        <v>62585</v>
      </c>
      <c r="D285" t="s">
        <v>281</v>
      </c>
      <c r="E285" s="12">
        <v>60</v>
      </c>
      <c r="F285" s="12">
        <v>26.17</v>
      </c>
      <c r="G285" s="75">
        <v>46189</v>
      </c>
      <c r="H285" t="s">
        <v>316</v>
      </c>
      <c r="I285" s="12">
        <v>6217.391304347826</v>
      </c>
      <c r="J285" s="12">
        <v>130</v>
      </c>
    </row>
    <row r="286" spans="1:10" x14ac:dyDescent="0.35">
      <c r="A286" t="s">
        <v>14</v>
      </c>
      <c r="B286">
        <v>120</v>
      </c>
      <c r="C286">
        <v>62585</v>
      </c>
      <c r="D286" t="s">
        <v>281</v>
      </c>
      <c r="E286" s="12">
        <v>60</v>
      </c>
      <c r="F286" s="12">
        <v>26.17</v>
      </c>
      <c r="G286" s="75">
        <v>46190</v>
      </c>
      <c r="H286" t="s">
        <v>340</v>
      </c>
      <c r="I286" s="12">
        <v>0</v>
      </c>
      <c r="J286" s="12">
        <v>0</v>
      </c>
    </row>
    <row r="287" spans="1:10" x14ac:dyDescent="0.35">
      <c r="A287" t="s">
        <v>14</v>
      </c>
      <c r="B287">
        <v>102</v>
      </c>
      <c r="C287">
        <v>62499</v>
      </c>
      <c r="D287" t="s">
        <v>142</v>
      </c>
      <c r="E287" s="12">
        <v>12.99</v>
      </c>
      <c r="F287" s="12">
        <v>6.69</v>
      </c>
      <c r="G287" s="75">
        <v>46188</v>
      </c>
      <c r="H287" t="s">
        <v>315</v>
      </c>
      <c r="I287" s="12">
        <v>0</v>
      </c>
      <c r="J287" s="12">
        <v>0</v>
      </c>
    </row>
    <row r="288" spans="1:10" x14ac:dyDescent="0.35">
      <c r="A288" t="s">
        <v>14</v>
      </c>
      <c r="B288">
        <v>102</v>
      </c>
      <c r="C288">
        <v>62499</v>
      </c>
      <c r="D288" t="s">
        <v>142</v>
      </c>
      <c r="E288" s="12">
        <v>12.99</v>
      </c>
      <c r="F288" s="12">
        <v>6.69</v>
      </c>
      <c r="G288" s="75">
        <v>46189</v>
      </c>
      <c r="H288" t="s">
        <v>316</v>
      </c>
      <c r="I288" s="12">
        <v>0</v>
      </c>
      <c r="J288" s="12">
        <v>0</v>
      </c>
    </row>
    <row r="289" spans="1:10" x14ac:dyDescent="0.35">
      <c r="A289" t="s">
        <v>14</v>
      </c>
      <c r="B289">
        <v>102</v>
      </c>
      <c r="C289">
        <v>62499</v>
      </c>
      <c r="D289" t="s">
        <v>142</v>
      </c>
      <c r="E289" s="12">
        <v>12.99</v>
      </c>
      <c r="F289" s="12">
        <v>6.69</v>
      </c>
      <c r="G289" s="75">
        <v>46190</v>
      </c>
      <c r="H289" t="s">
        <v>340</v>
      </c>
      <c r="I289" s="12">
        <v>0</v>
      </c>
      <c r="J289" s="12">
        <v>0</v>
      </c>
    </row>
    <row r="290" spans="1:10" x14ac:dyDescent="0.35">
      <c r="A290" t="s">
        <v>14</v>
      </c>
      <c r="B290">
        <v>119</v>
      </c>
      <c r="C290">
        <v>62457</v>
      </c>
      <c r="D290" t="s">
        <v>270</v>
      </c>
      <c r="E290" s="12">
        <v>100</v>
      </c>
      <c r="F290" s="12">
        <v>53.89</v>
      </c>
      <c r="G290" s="75">
        <v>46188</v>
      </c>
      <c r="H290" t="s">
        <v>315</v>
      </c>
      <c r="I290" s="12">
        <v>0</v>
      </c>
      <c r="J290" s="12">
        <v>0</v>
      </c>
    </row>
    <row r="291" spans="1:10" x14ac:dyDescent="0.35">
      <c r="A291" t="s">
        <v>14</v>
      </c>
      <c r="B291">
        <v>119</v>
      </c>
      <c r="C291">
        <v>62457</v>
      </c>
      <c r="D291" t="s">
        <v>270</v>
      </c>
      <c r="E291" s="12">
        <v>100</v>
      </c>
      <c r="F291" s="12">
        <v>53.89</v>
      </c>
      <c r="G291" s="75">
        <v>46189</v>
      </c>
      <c r="H291" t="s">
        <v>316</v>
      </c>
      <c r="I291" s="12">
        <v>0</v>
      </c>
      <c r="J291" s="12">
        <v>0</v>
      </c>
    </row>
    <row r="292" spans="1:10" x14ac:dyDescent="0.35">
      <c r="A292" t="s">
        <v>14</v>
      </c>
      <c r="B292">
        <v>119</v>
      </c>
      <c r="C292">
        <v>62457</v>
      </c>
      <c r="D292" t="s">
        <v>270</v>
      </c>
      <c r="E292" s="12">
        <v>100</v>
      </c>
      <c r="F292" s="12">
        <v>53.89</v>
      </c>
      <c r="G292" s="75">
        <v>46190</v>
      </c>
      <c r="H292" t="s">
        <v>340</v>
      </c>
      <c r="I292" s="12">
        <v>0</v>
      </c>
      <c r="J292" s="12">
        <v>0</v>
      </c>
    </row>
    <row r="293" spans="1:10" x14ac:dyDescent="0.35">
      <c r="A293" t="s">
        <v>14</v>
      </c>
      <c r="B293">
        <v>101</v>
      </c>
      <c r="C293">
        <v>62390</v>
      </c>
      <c r="D293" t="s">
        <v>67</v>
      </c>
      <c r="E293" s="12">
        <v>19.989999999999998</v>
      </c>
      <c r="F293" s="12">
        <v>7.43</v>
      </c>
      <c r="G293" s="75">
        <v>46188</v>
      </c>
      <c r="H293" t="s">
        <v>315</v>
      </c>
      <c r="I293" s="12">
        <v>0</v>
      </c>
      <c r="J293" s="12">
        <v>0</v>
      </c>
    </row>
    <row r="294" spans="1:10" x14ac:dyDescent="0.35">
      <c r="A294" t="s">
        <v>14</v>
      </c>
      <c r="B294">
        <v>101</v>
      </c>
      <c r="C294">
        <v>62390</v>
      </c>
      <c r="D294" t="s">
        <v>67</v>
      </c>
      <c r="E294" s="12">
        <v>19.989999999999998</v>
      </c>
      <c r="F294" s="12">
        <v>7.43</v>
      </c>
      <c r="G294" s="75">
        <v>46189</v>
      </c>
      <c r="H294" t="s">
        <v>316</v>
      </c>
      <c r="I294" s="12">
        <v>0</v>
      </c>
      <c r="J294" s="12">
        <v>0</v>
      </c>
    </row>
    <row r="295" spans="1:10" x14ac:dyDescent="0.35">
      <c r="A295" t="s">
        <v>14</v>
      </c>
      <c r="B295">
        <v>101</v>
      </c>
      <c r="C295">
        <v>62390</v>
      </c>
      <c r="D295" t="s">
        <v>67</v>
      </c>
      <c r="E295" s="12">
        <v>19.989999999999998</v>
      </c>
      <c r="F295" s="12">
        <v>7.43</v>
      </c>
      <c r="G295" s="75">
        <v>46190</v>
      </c>
      <c r="H295" t="s">
        <v>340</v>
      </c>
      <c r="I295" s="12">
        <v>0</v>
      </c>
      <c r="J295" s="12">
        <v>0</v>
      </c>
    </row>
    <row r="296" spans="1:10" x14ac:dyDescent="0.35">
      <c r="A296" t="s">
        <v>14</v>
      </c>
      <c r="B296">
        <v>102</v>
      </c>
      <c r="C296">
        <v>62290</v>
      </c>
      <c r="D296" t="s">
        <v>151</v>
      </c>
      <c r="E296" s="12">
        <v>10</v>
      </c>
      <c r="F296" s="12">
        <v>3.77</v>
      </c>
      <c r="G296" s="75">
        <v>46188</v>
      </c>
      <c r="H296" t="s">
        <v>315</v>
      </c>
      <c r="I296" s="12">
        <v>0</v>
      </c>
      <c r="J296" s="12">
        <v>0</v>
      </c>
    </row>
    <row r="297" spans="1:10" x14ac:dyDescent="0.35">
      <c r="A297" t="s">
        <v>14</v>
      </c>
      <c r="B297">
        <v>102</v>
      </c>
      <c r="C297">
        <v>62290</v>
      </c>
      <c r="D297" t="s">
        <v>151</v>
      </c>
      <c r="E297" s="12">
        <v>10</v>
      </c>
      <c r="F297" s="12">
        <v>3.77</v>
      </c>
      <c r="G297" s="75">
        <v>46189</v>
      </c>
      <c r="H297" t="s">
        <v>316</v>
      </c>
      <c r="I297" s="12">
        <v>0</v>
      </c>
      <c r="J297" s="12">
        <v>0</v>
      </c>
    </row>
    <row r="298" spans="1:10" x14ac:dyDescent="0.35">
      <c r="A298" t="s">
        <v>14</v>
      </c>
      <c r="B298">
        <v>102</v>
      </c>
      <c r="C298">
        <v>62290</v>
      </c>
      <c r="D298" t="s">
        <v>151</v>
      </c>
      <c r="E298" s="12">
        <v>10</v>
      </c>
      <c r="F298" s="12">
        <v>3.77</v>
      </c>
      <c r="G298" s="75">
        <v>46190</v>
      </c>
      <c r="H298" t="s">
        <v>340</v>
      </c>
      <c r="I298" s="12">
        <v>0</v>
      </c>
      <c r="J298" s="12">
        <v>0</v>
      </c>
    </row>
    <row r="299" spans="1:10" x14ac:dyDescent="0.35">
      <c r="A299" t="s">
        <v>14</v>
      </c>
      <c r="B299">
        <v>112</v>
      </c>
      <c r="C299">
        <v>61978</v>
      </c>
      <c r="D299" t="s">
        <v>251</v>
      </c>
      <c r="E299" s="12">
        <v>199.99</v>
      </c>
      <c r="F299" s="12">
        <v>126.16</v>
      </c>
      <c r="G299" s="75">
        <v>46188</v>
      </c>
      <c r="H299" t="s">
        <v>315</v>
      </c>
      <c r="I299" s="12">
        <v>0</v>
      </c>
      <c r="J299" s="12">
        <v>0</v>
      </c>
    </row>
    <row r="300" spans="1:10" x14ac:dyDescent="0.35">
      <c r="A300" t="s">
        <v>14</v>
      </c>
      <c r="B300">
        <v>112</v>
      </c>
      <c r="C300">
        <v>61978</v>
      </c>
      <c r="D300" t="s">
        <v>251</v>
      </c>
      <c r="E300" s="12">
        <v>199.99</v>
      </c>
      <c r="F300" s="12">
        <v>126.16</v>
      </c>
      <c r="G300" s="75">
        <v>46189</v>
      </c>
      <c r="H300" t="s">
        <v>316</v>
      </c>
      <c r="I300" s="12">
        <v>0</v>
      </c>
      <c r="J300" s="12">
        <v>0</v>
      </c>
    </row>
    <row r="301" spans="1:10" x14ac:dyDescent="0.35">
      <c r="A301" t="s">
        <v>14</v>
      </c>
      <c r="B301">
        <v>112</v>
      </c>
      <c r="C301">
        <v>61978</v>
      </c>
      <c r="D301" t="s">
        <v>251</v>
      </c>
      <c r="E301" s="12">
        <v>199.99</v>
      </c>
      <c r="F301" s="12">
        <v>126.16</v>
      </c>
      <c r="G301" s="75">
        <v>46190</v>
      </c>
      <c r="H301" t="s">
        <v>340</v>
      </c>
      <c r="I301" s="12">
        <v>0</v>
      </c>
      <c r="J301" s="12">
        <v>0</v>
      </c>
    </row>
    <row r="302" spans="1:10" x14ac:dyDescent="0.35">
      <c r="A302" t="s">
        <v>14</v>
      </c>
      <c r="B302">
        <v>101</v>
      </c>
      <c r="C302">
        <v>61950</v>
      </c>
      <c r="D302" t="s">
        <v>72</v>
      </c>
      <c r="E302" s="12">
        <v>10</v>
      </c>
      <c r="F302" s="12">
        <v>6.19</v>
      </c>
      <c r="G302" s="75">
        <v>46188</v>
      </c>
      <c r="H302" t="s">
        <v>315</v>
      </c>
      <c r="I302" s="12">
        <v>0</v>
      </c>
      <c r="J302" s="12">
        <v>0</v>
      </c>
    </row>
    <row r="303" spans="1:10" x14ac:dyDescent="0.35">
      <c r="A303" t="s">
        <v>14</v>
      </c>
      <c r="B303">
        <v>101</v>
      </c>
      <c r="C303">
        <v>61950</v>
      </c>
      <c r="D303" t="s">
        <v>72</v>
      </c>
      <c r="E303" s="12">
        <v>10</v>
      </c>
      <c r="F303" s="12">
        <v>6.19</v>
      </c>
      <c r="G303" s="75">
        <v>46189</v>
      </c>
      <c r="H303" t="s">
        <v>316</v>
      </c>
      <c r="I303" s="12">
        <v>0</v>
      </c>
      <c r="J303" s="12">
        <v>0</v>
      </c>
    </row>
    <row r="304" spans="1:10" x14ac:dyDescent="0.35">
      <c r="A304" t="s">
        <v>14</v>
      </c>
      <c r="B304">
        <v>101</v>
      </c>
      <c r="C304">
        <v>61950</v>
      </c>
      <c r="D304" t="s">
        <v>72</v>
      </c>
      <c r="E304" s="12">
        <v>10</v>
      </c>
      <c r="F304" s="12">
        <v>6.19</v>
      </c>
      <c r="G304" s="75">
        <v>46190</v>
      </c>
      <c r="H304" t="s">
        <v>340</v>
      </c>
      <c r="I304" s="12">
        <v>0</v>
      </c>
      <c r="J304" s="12">
        <v>0</v>
      </c>
    </row>
    <row r="305" spans="1:10" x14ac:dyDescent="0.35">
      <c r="A305" t="s">
        <v>14</v>
      </c>
      <c r="B305">
        <v>101</v>
      </c>
      <c r="C305">
        <v>61949</v>
      </c>
      <c r="D305" t="s">
        <v>84</v>
      </c>
      <c r="E305" s="12">
        <v>10</v>
      </c>
      <c r="F305" s="12">
        <v>6.28</v>
      </c>
      <c r="G305" s="75">
        <v>46188</v>
      </c>
      <c r="H305" t="s">
        <v>315</v>
      </c>
      <c r="I305" s="12">
        <v>0</v>
      </c>
      <c r="J305" s="12">
        <v>0</v>
      </c>
    </row>
    <row r="306" spans="1:10" x14ac:dyDescent="0.35">
      <c r="A306" t="s">
        <v>14</v>
      </c>
      <c r="B306">
        <v>101</v>
      </c>
      <c r="C306">
        <v>61949</v>
      </c>
      <c r="D306" t="s">
        <v>84</v>
      </c>
      <c r="E306" s="12">
        <v>10</v>
      </c>
      <c r="F306" s="12">
        <v>6.28</v>
      </c>
      <c r="G306" s="75">
        <v>46189</v>
      </c>
      <c r="H306" t="s">
        <v>316</v>
      </c>
      <c r="I306" s="12">
        <v>0</v>
      </c>
      <c r="J306" s="12">
        <v>0</v>
      </c>
    </row>
    <row r="307" spans="1:10" x14ac:dyDescent="0.35">
      <c r="A307" t="s">
        <v>14</v>
      </c>
      <c r="B307">
        <v>101</v>
      </c>
      <c r="C307">
        <v>61949</v>
      </c>
      <c r="D307" t="s">
        <v>84</v>
      </c>
      <c r="E307" s="12">
        <v>10</v>
      </c>
      <c r="F307" s="12">
        <v>6.28</v>
      </c>
      <c r="G307" s="75">
        <v>46190</v>
      </c>
      <c r="H307" t="s">
        <v>340</v>
      </c>
      <c r="I307" s="12">
        <v>0</v>
      </c>
      <c r="J307" s="12">
        <v>0</v>
      </c>
    </row>
    <row r="308" spans="1:10" x14ac:dyDescent="0.35">
      <c r="A308" t="s">
        <v>14</v>
      </c>
      <c r="B308">
        <v>102</v>
      </c>
      <c r="C308">
        <v>61943</v>
      </c>
      <c r="D308" t="s">
        <v>154</v>
      </c>
      <c r="E308" s="12">
        <v>10</v>
      </c>
      <c r="F308" s="12">
        <v>3.71</v>
      </c>
      <c r="G308" s="75">
        <v>46188</v>
      </c>
      <c r="H308" t="s">
        <v>315</v>
      </c>
      <c r="I308" s="12">
        <v>0</v>
      </c>
      <c r="J308" s="12">
        <v>0</v>
      </c>
    </row>
    <row r="309" spans="1:10" x14ac:dyDescent="0.35">
      <c r="A309" t="s">
        <v>14</v>
      </c>
      <c r="B309">
        <v>102</v>
      </c>
      <c r="C309">
        <v>61943</v>
      </c>
      <c r="D309" t="s">
        <v>154</v>
      </c>
      <c r="E309" s="12">
        <v>10</v>
      </c>
      <c r="F309" s="12">
        <v>3.71</v>
      </c>
      <c r="G309" s="75">
        <v>46189</v>
      </c>
      <c r="H309" t="s">
        <v>316</v>
      </c>
      <c r="I309" s="12">
        <v>0</v>
      </c>
      <c r="J309" s="12">
        <v>0</v>
      </c>
    </row>
    <row r="310" spans="1:10" x14ac:dyDescent="0.35">
      <c r="A310" t="s">
        <v>14</v>
      </c>
      <c r="B310">
        <v>102</v>
      </c>
      <c r="C310">
        <v>61943</v>
      </c>
      <c r="D310" t="s">
        <v>154</v>
      </c>
      <c r="E310" s="12">
        <v>10</v>
      </c>
      <c r="F310" s="12">
        <v>3.71</v>
      </c>
      <c r="G310" s="75">
        <v>46190</v>
      </c>
      <c r="H310" t="s">
        <v>340</v>
      </c>
      <c r="I310" s="12">
        <v>0</v>
      </c>
      <c r="J310" s="12">
        <v>0</v>
      </c>
    </row>
    <row r="311" spans="1:10" x14ac:dyDescent="0.35">
      <c r="A311" t="s">
        <v>14</v>
      </c>
      <c r="B311">
        <v>102</v>
      </c>
      <c r="C311">
        <v>61942</v>
      </c>
      <c r="D311" t="s">
        <v>123</v>
      </c>
      <c r="E311" s="12">
        <v>10</v>
      </c>
      <c r="F311" s="12">
        <v>3.73</v>
      </c>
      <c r="G311" s="75">
        <v>46188</v>
      </c>
      <c r="H311" t="s">
        <v>315</v>
      </c>
      <c r="I311" s="12">
        <v>0</v>
      </c>
      <c r="J311" s="12">
        <v>0</v>
      </c>
    </row>
    <row r="312" spans="1:10" x14ac:dyDescent="0.35">
      <c r="A312" t="s">
        <v>14</v>
      </c>
      <c r="B312">
        <v>102</v>
      </c>
      <c r="C312">
        <v>61942</v>
      </c>
      <c r="D312" t="s">
        <v>123</v>
      </c>
      <c r="E312" s="12">
        <v>10</v>
      </c>
      <c r="F312" s="12">
        <v>3.73</v>
      </c>
      <c r="G312" s="75">
        <v>46189</v>
      </c>
      <c r="H312" t="s">
        <v>316</v>
      </c>
      <c r="I312" s="12">
        <v>0</v>
      </c>
      <c r="J312" s="12">
        <v>0</v>
      </c>
    </row>
    <row r="313" spans="1:10" x14ac:dyDescent="0.35">
      <c r="A313" t="s">
        <v>14</v>
      </c>
      <c r="B313">
        <v>102</v>
      </c>
      <c r="C313">
        <v>61942</v>
      </c>
      <c r="D313" t="s">
        <v>123</v>
      </c>
      <c r="E313" s="12">
        <v>10</v>
      </c>
      <c r="F313" s="12">
        <v>3.73</v>
      </c>
      <c r="G313" s="75">
        <v>46190</v>
      </c>
      <c r="H313" t="s">
        <v>340</v>
      </c>
      <c r="I313" s="12">
        <v>0</v>
      </c>
      <c r="J313" s="12">
        <v>0</v>
      </c>
    </row>
    <row r="314" spans="1:10" x14ac:dyDescent="0.35">
      <c r="A314" t="s">
        <v>14</v>
      </c>
      <c r="B314">
        <v>102</v>
      </c>
      <c r="C314">
        <v>61941</v>
      </c>
      <c r="D314" t="s">
        <v>143</v>
      </c>
      <c r="E314" s="12">
        <v>10</v>
      </c>
      <c r="F314" s="12">
        <v>3.4432999999999998</v>
      </c>
      <c r="G314" s="75">
        <v>46188</v>
      </c>
      <c r="H314" t="s">
        <v>315</v>
      </c>
      <c r="I314" s="12">
        <v>0</v>
      </c>
      <c r="J314" s="12">
        <v>0</v>
      </c>
    </row>
    <row r="315" spans="1:10" x14ac:dyDescent="0.35">
      <c r="A315" t="s">
        <v>14</v>
      </c>
      <c r="B315">
        <v>102</v>
      </c>
      <c r="C315">
        <v>61941</v>
      </c>
      <c r="D315" t="s">
        <v>143</v>
      </c>
      <c r="E315" s="12">
        <v>10</v>
      </c>
      <c r="F315" s="12">
        <v>3.4432999999999998</v>
      </c>
      <c r="G315" s="75">
        <v>46189</v>
      </c>
      <c r="H315" t="s">
        <v>316</v>
      </c>
      <c r="I315" s="12">
        <v>0</v>
      </c>
      <c r="J315" s="12">
        <v>0</v>
      </c>
    </row>
    <row r="316" spans="1:10" x14ac:dyDescent="0.35">
      <c r="A316" t="s">
        <v>14</v>
      </c>
      <c r="B316">
        <v>102</v>
      </c>
      <c r="C316">
        <v>61941</v>
      </c>
      <c r="D316" t="s">
        <v>143</v>
      </c>
      <c r="E316" s="12">
        <v>10</v>
      </c>
      <c r="F316" s="12">
        <v>3.4432999999999998</v>
      </c>
      <c r="G316" s="75">
        <v>46190</v>
      </c>
      <c r="H316" t="s">
        <v>340</v>
      </c>
      <c r="I316" s="12">
        <v>0</v>
      </c>
      <c r="J316" s="12">
        <v>0</v>
      </c>
    </row>
    <row r="317" spans="1:10" x14ac:dyDescent="0.35">
      <c r="A317" t="s">
        <v>14</v>
      </c>
      <c r="B317">
        <v>102</v>
      </c>
      <c r="C317">
        <v>61940</v>
      </c>
      <c r="D317" t="s">
        <v>117</v>
      </c>
      <c r="E317" s="12">
        <v>10</v>
      </c>
      <c r="F317" s="12">
        <v>3.28</v>
      </c>
      <c r="G317" s="75">
        <v>46188</v>
      </c>
      <c r="H317" t="s">
        <v>315</v>
      </c>
      <c r="I317" s="12">
        <v>0</v>
      </c>
      <c r="J317" s="12">
        <v>0</v>
      </c>
    </row>
    <row r="318" spans="1:10" x14ac:dyDescent="0.35">
      <c r="A318" t="s">
        <v>14</v>
      </c>
      <c r="B318">
        <v>102</v>
      </c>
      <c r="C318">
        <v>61940</v>
      </c>
      <c r="D318" t="s">
        <v>117</v>
      </c>
      <c r="E318" s="12">
        <v>10</v>
      </c>
      <c r="F318" s="12">
        <v>3.28</v>
      </c>
      <c r="G318" s="75">
        <v>46189</v>
      </c>
      <c r="H318" t="s">
        <v>316</v>
      </c>
      <c r="I318" s="12">
        <v>0</v>
      </c>
      <c r="J318" s="12">
        <v>0</v>
      </c>
    </row>
    <row r="319" spans="1:10" x14ac:dyDescent="0.35">
      <c r="A319" t="s">
        <v>14</v>
      </c>
      <c r="B319">
        <v>102</v>
      </c>
      <c r="C319">
        <v>61940</v>
      </c>
      <c r="D319" t="s">
        <v>117</v>
      </c>
      <c r="E319" s="12">
        <v>10</v>
      </c>
      <c r="F319" s="12">
        <v>3.28</v>
      </c>
      <c r="G319" s="75">
        <v>46190</v>
      </c>
      <c r="H319" t="s">
        <v>340</v>
      </c>
      <c r="I319" s="12">
        <v>0</v>
      </c>
      <c r="J319" s="12">
        <v>0</v>
      </c>
    </row>
    <row r="320" spans="1:10" x14ac:dyDescent="0.35">
      <c r="A320" t="s">
        <v>14</v>
      </c>
      <c r="B320">
        <v>102</v>
      </c>
      <c r="C320">
        <v>61939</v>
      </c>
      <c r="D320" t="s">
        <v>101</v>
      </c>
      <c r="E320" s="12">
        <v>10</v>
      </c>
      <c r="F320" s="12">
        <v>5.09</v>
      </c>
      <c r="G320" s="75">
        <v>46188</v>
      </c>
      <c r="H320" t="s">
        <v>315</v>
      </c>
      <c r="I320" s="12">
        <v>0</v>
      </c>
      <c r="J320" s="12">
        <v>0</v>
      </c>
    </row>
    <row r="321" spans="1:10" x14ac:dyDescent="0.35">
      <c r="A321" t="s">
        <v>14</v>
      </c>
      <c r="B321">
        <v>102</v>
      </c>
      <c r="C321">
        <v>61939</v>
      </c>
      <c r="D321" t="s">
        <v>101</v>
      </c>
      <c r="E321" s="12">
        <v>10</v>
      </c>
      <c r="F321" s="12">
        <v>5.09</v>
      </c>
      <c r="G321" s="75">
        <v>46189</v>
      </c>
      <c r="H321" t="s">
        <v>316</v>
      </c>
      <c r="I321" s="12">
        <v>147.82608695652175</v>
      </c>
      <c r="J321" s="12">
        <v>17</v>
      </c>
    </row>
    <row r="322" spans="1:10" x14ac:dyDescent="0.35">
      <c r="A322" t="s">
        <v>14</v>
      </c>
      <c r="B322">
        <v>102</v>
      </c>
      <c r="C322">
        <v>61939</v>
      </c>
      <c r="D322" t="s">
        <v>101</v>
      </c>
      <c r="E322" s="12">
        <v>10</v>
      </c>
      <c r="F322" s="12">
        <v>5.09</v>
      </c>
      <c r="G322" s="75">
        <v>46190</v>
      </c>
      <c r="H322" t="s">
        <v>340</v>
      </c>
      <c r="I322" s="12">
        <v>164.78260869565219</v>
      </c>
      <c r="J322" s="12">
        <v>19</v>
      </c>
    </row>
    <row r="323" spans="1:10" x14ac:dyDescent="0.35">
      <c r="A323" t="s">
        <v>19</v>
      </c>
      <c r="B323">
        <v>102</v>
      </c>
      <c r="C323">
        <v>61929</v>
      </c>
      <c r="D323" t="s">
        <v>170</v>
      </c>
      <c r="E323" s="12">
        <v>79.989999999999995</v>
      </c>
      <c r="F323" s="12">
        <v>44.62</v>
      </c>
      <c r="G323" s="75">
        <v>46188</v>
      </c>
      <c r="H323" t="s">
        <v>315</v>
      </c>
      <c r="I323" s="12">
        <v>0</v>
      </c>
      <c r="J323" s="12">
        <v>0</v>
      </c>
    </row>
    <row r="324" spans="1:10" x14ac:dyDescent="0.35">
      <c r="A324" t="s">
        <v>19</v>
      </c>
      <c r="B324">
        <v>102</v>
      </c>
      <c r="C324">
        <v>61929</v>
      </c>
      <c r="D324" t="s">
        <v>170</v>
      </c>
      <c r="E324" s="12">
        <v>79.989999999999995</v>
      </c>
      <c r="F324" s="12">
        <v>44.62</v>
      </c>
      <c r="G324" s="75">
        <v>46189</v>
      </c>
      <c r="H324" t="s">
        <v>316</v>
      </c>
      <c r="I324" s="12">
        <v>0</v>
      </c>
      <c r="J324" s="12">
        <v>0</v>
      </c>
    </row>
    <row r="325" spans="1:10" x14ac:dyDescent="0.35">
      <c r="A325" t="s">
        <v>19</v>
      </c>
      <c r="B325">
        <v>102</v>
      </c>
      <c r="C325">
        <v>61929</v>
      </c>
      <c r="D325" t="s">
        <v>170</v>
      </c>
      <c r="E325" s="12">
        <v>79.989999999999995</v>
      </c>
      <c r="F325" s="12">
        <v>44.62</v>
      </c>
      <c r="G325" s="75">
        <v>46190</v>
      </c>
      <c r="H325" t="s">
        <v>340</v>
      </c>
      <c r="I325" s="12">
        <v>0</v>
      </c>
      <c r="J325" s="12">
        <v>0</v>
      </c>
    </row>
    <row r="326" spans="1:10" x14ac:dyDescent="0.35">
      <c r="A326" t="s">
        <v>19</v>
      </c>
      <c r="B326">
        <v>102</v>
      </c>
      <c r="C326">
        <v>61928</v>
      </c>
      <c r="D326" t="s">
        <v>176</v>
      </c>
      <c r="E326" s="12">
        <v>79.989999999999995</v>
      </c>
      <c r="F326" s="12">
        <v>44.62</v>
      </c>
      <c r="G326" s="75">
        <v>46188</v>
      </c>
      <c r="H326" t="s">
        <v>315</v>
      </c>
      <c r="I326" s="12">
        <v>0</v>
      </c>
      <c r="J326" s="12">
        <v>0</v>
      </c>
    </row>
    <row r="327" spans="1:10" x14ac:dyDescent="0.35">
      <c r="A327" t="s">
        <v>19</v>
      </c>
      <c r="B327">
        <v>102</v>
      </c>
      <c r="C327">
        <v>61928</v>
      </c>
      <c r="D327" t="s">
        <v>176</v>
      </c>
      <c r="E327" s="12">
        <v>79.989999999999995</v>
      </c>
      <c r="F327" s="12">
        <v>44.62</v>
      </c>
      <c r="G327" s="75">
        <v>46189</v>
      </c>
      <c r="H327" t="s">
        <v>316</v>
      </c>
      <c r="I327" s="12">
        <v>0</v>
      </c>
      <c r="J327" s="12">
        <v>0</v>
      </c>
    </row>
    <row r="328" spans="1:10" x14ac:dyDescent="0.35">
      <c r="A328" t="s">
        <v>19</v>
      </c>
      <c r="B328">
        <v>102</v>
      </c>
      <c r="C328">
        <v>61928</v>
      </c>
      <c r="D328" t="s">
        <v>176</v>
      </c>
      <c r="E328" s="12">
        <v>79.989999999999995</v>
      </c>
      <c r="F328" s="12">
        <v>44.62</v>
      </c>
      <c r="G328" s="75">
        <v>46190</v>
      </c>
      <c r="H328" t="s">
        <v>340</v>
      </c>
      <c r="I328" s="12">
        <v>0</v>
      </c>
      <c r="J328" s="12">
        <v>0</v>
      </c>
    </row>
    <row r="329" spans="1:10" x14ac:dyDescent="0.35">
      <c r="A329" t="s">
        <v>19</v>
      </c>
      <c r="B329">
        <v>102</v>
      </c>
      <c r="C329">
        <v>61926</v>
      </c>
      <c r="D329" t="s">
        <v>197</v>
      </c>
      <c r="E329" s="12">
        <v>79.989999999999995</v>
      </c>
      <c r="F329" s="12">
        <v>41.475000000000001</v>
      </c>
      <c r="G329" s="75">
        <v>46188</v>
      </c>
      <c r="H329" t="s">
        <v>315</v>
      </c>
      <c r="I329" s="12">
        <v>0</v>
      </c>
      <c r="J329" s="12">
        <v>0</v>
      </c>
    </row>
    <row r="330" spans="1:10" x14ac:dyDescent="0.35">
      <c r="A330" t="s">
        <v>19</v>
      </c>
      <c r="B330">
        <v>102</v>
      </c>
      <c r="C330">
        <v>61926</v>
      </c>
      <c r="D330" t="s">
        <v>197</v>
      </c>
      <c r="E330" s="12">
        <v>79.989999999999995</v>
      </c>
      <c r="F330" s="12">
        <v>41.475000000000001</v>
      </c>
      <c r="G330" s="75">
        <v>46189</v>
      </c>
      <c r="H330" t="s">
        <v>316</v>
      </c>
      <c r="I330" s="12">
        <v>0</v>
      </c>
      <c r="J330" s="12">
        <v>0</v>
      </c>
    </row>
    <row r="331" spans="1:10" x14ac:dyDescent="0.35">
      <c r="A331" t="s">
        <v>19</v>
      </c>
      <c r="B331">
        <v>102</v>
      </c>
      <c r="C331">
        <v>61926</v>
      </c>
      <c r="D331" t="s">
        <v>197</v>
      </c>
      <c r="E331" s="12">
        <v>79.989999999999995</v>
      </c>
      <c r="F331" s="12">
        <v>41.475000000000001</v>
      </c>
      <c r="G331" s="75">
        <v>46190</v>
      </c>
      <c r="H331" t="s">
        <v>340</v>
      </c>
      <c r="I331" s="12">
        <v>0</v>
      </c>
      <c r="J331" s="12">
        <v>0</v>
      </c>
    </row>
    <row r="332" spans="1:10" x14ac:dyDescent="0.35">
      <c r="A332" t="s">
        <v>19</v>
      </c>
      <c r="B332">
        <v>102</v>
      </c>
      <c r="C332">
        <v>61925</v>
      </c>
      <c r="D332" t="s">
        <v>196</v>
      </c>
      <c r="E332" s="12">
        <v>79.989999999999995</v>
      </c>
      <c r="F332" s="12">
        <v>41.475000000000001</v>
      </c>
      <c r="G332" s="75">
        <v>46188</v>
      </c>
      <c r="H332" t="s">
        <v>315</v>
      </c>
      <c r="I332" s="12">
        <v>0</v>
      </c>
      <c r="J332" s="12">
        <v>0</v>
      </c>
    </row>
    <row r="333" spans="1:10" x14ac:dyDescent="0.35">
      <c r="A333" t="s">
        <v>19</v>
      </c>
      <c r="B333">
        <v>102</v>
      </c>
      <c r="C333">
        <v>61925</v>
      </c>
      <c r="D333" t="s">
        <v>196</v>
      </c>
      <c r="E333" s="12">
        <v>79.989999999999995</v>
      </c>
      <c r="F333" s="12">
        <v>41.475000000000001</v>
      </c>
      <c r="G333" s="75">
        <v>46189</v>
      </c>
      <c r="H333" t="s">
        <v>316</v>
      </c>
      <c r="I333" s="12">
        <v>0</v>
      </c>
      <c r="J333" s="12">
        <v>0</v>
      </c>
    </row>
    <row r="334" spans="1:10" x14ac:dyDescent="0.35">
      <c r="A334" t="s">
        <v>19</v>
      </c>
      <c r="B334">
        <v>102</v>
      </c>
      <c r="C334">
        <v>61925</v>
      </c>
      <c r="D334" t="s">
        <v>196</v>
      </c>
      <c r="E334" s="12">
        <v>79.989999999999995</v>
      </c>
      <c r="F334" s="12">
        <v>41.475000000000001</v>
      </c>
      <c r="G334" s="75">
        <v>46190</v>
      </c>
      <c r="H334" t="s">
        <v>340</v>
      </c>
      <c r="I334" s="12">
        <v>0</v>
      </c>
      <c r="J334" s="12">
        <v>0</v>
      </c>
    </row>
    <row r="335" spans="1:10" x14ac:dyDescent="0.35">
      <c r="A335" t="s">
        <v>19</v>
      </c>
      <c r="B335">
        <v>102</v>
      </c>
      <c r="C335">
        <v>61923</v>
      </c>
      <c r="D335" t="s">
        <v>195</v>
      </c>
      <c r="E335" s="12">
        <v>79.989999999999995</v>
      </c>
      <c r="F335" s="12">
        <v>41.475000000000001</v>
      </c>
      <c r="G335" s="75">
        <v>46188</v>
      </c>
      <c r="H335" t="s">
        <v>315</v>
      </c>
      <c r="I335" s="12">
        <v>0</v>
      </c>
      <c r="J335" s="12">
        <v>0</v>
      </c>
    </row>
    <row r="336" spans="1:10" x14ac:dyDescent="0.35">
      <c r="A336" t="s">
        <v>19</v>
      </c>
      <c r="B336">
        <v>102</v>
      </c>
      <c r="C336">
        <v>61923</v>
      </c>
      <c r="D336" t="s">
        <v>195</v>
      </c>
      <c r="E336" s="12">
        <v>79.989999999999995</v>
      </c>
      <c r="F336" s="12">
        <v>41.475000000000001</v>
      </c>
      <c r="G336" s="75">
        <v>46189</v>
      </c>
      <c r="H336" t="s">
        <v>316</v>
      </c>
      <c r="I336" s="12">
        <v>0</v>
      </c>
      <c r="J336" s="12">
        <v>0</v>
      </c>
    </row>
    <row r="337" spans="1:10" x14ac:dyDescent="0.35">
      <c r="A337" t="s">
        <v>19</v>
      </c>
      <c r="B337">
        <v>102</v>
      </c>
      <c r="C337">
        <v>61923</v>
      </c>
      <c r="D337" t="s">
        <v>195</v>
      </c>
      <c r="E337" s="12">
        <v>79.989999999999995</v>
      </c>
      <c r="F337" s="12">
        <v>41.475000000000001</v>
      </c>
      <c r="G337" s="75">
        <v>46190</v>
      </c>
      <c r="H337" t="s">
        <v>340</v>
      </c>
      <c r="I337" s="12">
        <v>0</v>
      </c>
      <c r="J337" s="12">
        <v>0</v>
      </c>
    </row>
    <row r="338" spans="1:10" x14ac:dyDescent="0.35">
      <c r="A338" t="s">
        <v>14</v>
      </c>
      <c r="B338">
        <v>117</v>
      </c>
      <c r="C338">
        <v>61814</v>
      </c>
      <c r="D338" t="s">
        <v>254</v>
      </c>
      <c r="E338" s="12">
        <v>10</v>
      </c>
      <c r="F338" s="12">
        <v>3.39</v>
      </c>
      <c r="G338" s="75">
        <v>46188</v>
      </c>
      <c r="H338" t="s">
        <v>315</v>
      </c>
      <c r="I338" s="12">
        <v>0</v>
      </c>
      <c r="J338" s="12">
        <v>0</v>
      </c>
    </row>
    <row r="339" spans="1:10" x14ac:dyDescent="0.35">
      <c r="A339" t="s">
        <v>14</v>
      </c>
      <c r="B339">
        <v>117</v>
      </c>
      <c r="C339">
        <v>61814</v>
      </c>
      <c r="D339" t="s">
        <v>254</v>
      </c>
      <c r="E339" s="12">
        <v>10</v>
      </c>
      <c r="F339" s="12">
        <v>3.39</v>
      </c>
      <c r="G339" s="75">
        <v>46189</v>
      </c>
      <c r="H339" t="s">
        <v>316</v>
      </c>
      <c r="I339" s="12">
        <v>0</v>
      </c>
      <c r="J339" s="12">
        <v>0</v>
      </c>
    </row>
    <row r="340" spans="1:10" x14ac:dyDescent="0.35">
      <c r="A340" t="s">
        <v>14</v>
      </c>
      <c r="B340">
        <v>117</v>
      </c>
      <c r="C340">
        <v>61814</v>
      </c>
      <c r="D340" t="s">
        <v>254</v>
      </c>
      <c r="E340" s="12">
        <v>10</v>
      </c>
      <c r="F340" s="12">
        <v>3.39</v>
      </c>
      <c r="G340" s="75">
        <v>46190</v>
      </c>
      <c r="H340" t="s">
        <v>340</v>
      </c>
      <c r="I340" s="12">
        <v>0</v>
      </c>
      <c r="J340" s="12">
        <v>0</v>
      </c>
    </row>
    <row r="341" spans="1:10" x14ac:dyDescent="0.35">
      <c r="A341" t="s">
        <v>14</v>
      </c>
      <c r="B341">
        <v>101</v>
      </c>
      <c r="C341">
        <v>61018</v>
      </c>
      <c r="D341" t="s">
        <v>82</v>
      </c>
      <c r="E341" s="12">
        <v>4</v>
      </c>
      <c r="F341" s="12">
        <v>2.2599999999999998</v>
      </c>
      <c r="G341" s="75">
        <v>46188</v>
      </c>
      <c r="H341" t="s">
        <v>315</v>
      </c>
      <c r="I341" s="12">
        <v>0</v>
      </c>
      <c r="J341" s="12">
        <v>0</v>
      </c>
    </row>
    <row r="342" spans="1:10" x14ac:dyDescent="0.35">
      <c r="A342" t="s">
        <v>14</v>
      </c>
      <c r="B342">
        <v>101</v>
      </c>
      <c r="C342">
        <v>61018</v>
      </c>
      <c r="D342" t="s">
        <v>82</v>
      </c>
      <c r="E342" s="12">
        <v>4</v>
      </c>
      <c r="F342" s="12">
        <v>2.2599999999999998</v>
      </c>
      <c r="G342" s="75">
        <v>46189</v>
      </c>
      <c r="H342" t="s">
        <v>316</v>
      </c>
      <c r="I342" s="12">
        <v>0</v>
      </c>
      <c r="J342" s="12">
        <v>0</v>
      </c>
    </row>
    <row r="343" spans="1:10" x14ac:dyDescent="0.35">
      <c r="A343" t="s">
        <v>14</v>
      </c>
      <c r="B343">
        <v>101</v>
      </c>
      <c r="C343">
        <v>61018</v>
      </c>
      <c r="D343" t="s">
        <v>82</v>
      </c>
      <c r="E343" s="12">
        <v>4</v>
      </c>
      <c r="F343" s="12">
        <v>2.2599999999999998</v>
      </c>
      <c r="G343" s="75">
        <v>46190</v>
      </c>
      <c r="H343" t="s">
        <v>340</v>
      </c>
      <c r="I343" s="12">
        <v>0</v>
      </c>
      <c r="J343" s="12">
        <v>0</v>
      </c>
    </row>
    <row r="344" spans="1:10" x14ac:dyDescent="0.35">
      <c r="A344" t="s">
        <v>14</v>
      </c>
      <c r="B344">
        <v>102</v>
      </c>
      <c r="C344">
        <v>61014</v>
      </c>
      <c r="D344" t="s">
        <v>169</v>
      </c>
      <c r="E344" s="12">
        <v>5.99</v>
      </c>
      <c r="F344" s="12">
        <v>3.1</v>
      </c>
      <c r="G344" s="75">
        <v>46188</v>
      </c>
      <c r="H344" t="s">
        <v>315</v>
      </c>
      <c r="I344" s="12">
        <v>0</v>
      </c>
      <c r="J344" s="12">
        <v>0</v>
      </c>
    </row>
    <row r="345" spans="1:10" x14ac:dyDescent="0.35">
      <c r="A345" t="s">
        <v>14</v>
      </c>
      <c r="B345">
        <v>102</v>
      </c>
      <c r="C345">
        <v>61014</v>
      </c>
      <c r="D345" t="s">
        <v>169</v>
      </c>
      <c r="E345" s="12">
        <v>5.99</v>
      </c>
      <c r="F345" s="12">
        <v>3.1</v>
      </c>
      <c r="G345" s="75">
        <v>46189</v>
      </c>
      <c r="H345" t="s">
        <v>316</v>
      </c>
      <c r="I345" s="12">
        <v>0</v>
      </c>
      <c r="J345" s="12">
        <v>0</v>
      </c>
    </row>
    <row r="346" spans="1:10" x14ac:dyDescent="0.35">
      <c r="A346" t="s">
        <v>14</v>
      </c>
      <c r="B346">
        <v>102</v>
      </c>
      <c r="C346">
        <v>61014</v>
      </c>
      <c r="D346" t="s">
        <v>169</v>
      </c>
      <c r="E346" s="12">
        <v>5.99</v>
      </c>
      <c r="F346" s="12">
        <v>3.1</v>
      </c>
      <c r="G346" s="75">
        <v>46190</v>
      </c>
      <c r="H346" t="s">
        <v>340</v>
      </c>
      <c r="I346" s="12">
        <v>0</v>
      </c>
      <c r="J346" s="12">
        <v>0</v>
      </c>
    </row>
    <row r="347" spans="1:10" x14ac:dyDescent="0.35">
      <c r="A347" t="s">
        <v>14</v>
      </c>
      <c r="B347">
        <v>101</v>
      </c>
      <c r="C347">
        <v>60832</v>
      </c>
      <c r="D347" t="s">
        <v>41</v>
      </c>
      <c r="E347" s="12">
        <v>10</v>
      </c>
      <c r="F347" s="12">
        <v>7.36</v>
      </c>
      <c r="G347" s="75">
        <v>46188</v>
      </c>
      <c r="H347" t="s">
        <v>315</v>
      </c>
      <c r="I347" s="12">
        <v>0</v>
      </c>
      <c r="J347" s="12">
        <v>0</v>
      </c>
    </row>
    <row r="348" spans="1:10" x14ac:dyDescent="0.35">
      <c r="A348" t="s">
        <v>14</v>
      </c>
      <c r="B348">
        <v>101</v>
      </c>
      <c r="C348">
        <v>60832</v>
      </c>
      <c r="D348" t="s">
        <v>41</v>
      </c>
      <c r="E348" s="12">
        <v>10</v>
      </c>
      <c r="F348" s="12">
        <v>7.36</v>
      </c>
      <c r="G348" s="75">
        <v>46189</v>
      </c>
      <c r="H348" t="s">
        <v>316</v>
      </c>
      <c r="I348" s="12">
        <v>0</v>
      </c>
      <c r="J348" s="12">
        <v>0</v>
      </c>
    </row>
    <row r="349" spans="1:10" x14ac:dyDescent="0.35">
      <c r="A349" t="s">
        <v>14</v>
      </c>
      <c r="B349">
        <v>101</v>
      </c>
      <c r="C349">
        <v>60832</v>
      </c>
      <c r="D349" t="s">
        <v>41</v>
      </c>
      <c r="E349" s="12">
        <v>10</v>
      </c>
      <c r="F349" s="12">
        <v>7.36</v>
      </c>
      <c r="G349" s="75">
        <v>46190</v>
      </c>
      <c r="H349" t="s">
        <v>340</v>
      </c>
      <c r="I349" s="12">
        <v>0</v>
      </c>
      <c r="J349" s="12">
        <v>0</v>
      </c>
    </row>
    <row r="350" spans="1:10" x14ac:dyDescent="0.35">
      <c r="A350" t="s">
        <v>14</v>
      </c>
      <c r="B350">
        <v>119</v>
      </c>
      <c r="C350">
        <v>60694</v>
      </c>
      <c r="D350" t="s">
        <v>269</v>
      </c>
      <c r="E350" s="12">
        <v>160</v>
      </c>
      <c r="F350" s="12">
        <v>106.8</v>
      </c>
      <c r="G350" s="75">
        <v>46188</v>
      </c>
      <c r="H350" t="s">
        <v>315</v>
      </c>
      <c r="I350" s="12">
        <v>0</v>
      </c>
      <c r="J350" s="12">
        <v>0</v>
      </c>
    </row>
    <row r="351" spans="1:10" x14ac:dyDescent="0.35">
      <c r="A351" t="s">
        <v>14</v>
      </c>
      <c r="B351">
        <v>119</v>
      </c>
      <c r="C351">
        <v>60694</v>
      </c>
      <c r="D351" t="s">
        <v>269</v>
      </c>
      <c r="E351" s="12">
        <v>160</v>
      </c>
      <c r="F351" s="12">
        <v>106.8</v>
      </c>
      <c r="G351" s="75">
        <v>46189</v>
      </c>
      <c r="H351" t="s">
        <v>316</v>
      </c>
      <c r="I351" s="12">
        <v>0</v>
      </c>
      <c r="J351" s="12">
        <v>0</v>
      </c>
    </row>
    <row r="352" spans="1:10" x14ac:dyDescent="0.35">
      <c r="A352" t="s">
        <v>14</v>
      </c>
      <c r="B352">
        <v>119</v>
      </c>
      <c r="C352">
        <v>60694</v>
      </c>
      <c r="D352" t="s">
        <v>269</v>
      </c>
      <c r="E352" s="12">
        <v>160</v>
      </c>
      <c r="F352" s="12">
        <v>106.8</v>
      </c>
      <c r="G352" s="75">
        <v>46190</v>
      </c>
      <c r="H352" t="s">
        <v>340</v>
      </c>
      <c r="I352" s="12">
        <v>0</v>
      </c>
      <c r="J352" s="12">
        <v>0</v>
      </c>
    </row>
    <row r="353" spans="1:10" x14ac:dyDescent="0.35">
      <c r="A353" t="s">
        <v>14</v>
      </c>
      <c r="B353">
        <v>102</v>
      </c>
      <c r="C353">
        <v>59477</v>
      </c>
      <c r="D353" t="s">
        <v>159</v>
      </c>
      <c r="E353" s="12">
        <v>5.99</v>
      </c>
      <c r="F353" s="12">
        <v>3.1</v>
      </c>
      <c r="G353" s="75">
        <v>46188</v>
      </c>
      <c r="H353" t="s">
        <v>315</v>
      </c>
      <c r="I353" s="12">
        <v>0</v>
      </c>
      <c r="J353" s="12">
        <v>0</v>
      </c>
    </row>
    <row r="354" spans="1:10" x14ac:dyDescent="0.35">
      <c r="A354" t="s">
        <v>14</v>
      </c>
      <c r="B354">
        <v>102</v>
      </c>
      <c r="C354">
        <v>59477</v>
      </c>
      <c r="D354" t="s">
        <v>159</v>
      </c>
      <c r="E354" s="12">
        <v>5.99</v>
      </c>
      <c r="F354" s="12">
        <v>3.1</v>
      </c>
      <c r="G354" s="75">
        <v>46189</v>
      </c>
      <c r="H354" t="s">
        <v>316</v>
      </c>
      <c r="I354" s="12">
        <v>10.417391304347827</v>
      </c>
      <c r="J354" s="12">
        <v>2</v>
      </c>
    </row>
    <row r="355" spans="1:10" x14ac:dyDescent="0.35">
      <c r="A355" t="s">
        <v>14</v>
      </c>
      <c r="B355">
        <v>102</v>
      </c>
      <c r="C355">
        <v>59477</v>
      </c>
      <c r="D355" t="s">
        <v>159</v>
      </c>
      <c r="E355" s="12">
        <v>5.99</v>
      </c>
      <c r="F355" s="12">
        <v>3.1</v>
      </c>
      <c r="G355" s="75">
        <v>46190</v>
      </c>
      <c r="H355" t="s">
        <v>340</v>
      </c>
      <c r="I355" s="12">
        <v>20.834782608695654</v>
      </c>
      <c r="J355" s="12">
        <v>4</v>
      </c>
    </row>
    <row r="356" spans="1:10" x14ac:dyDescent="0.35">
      <c r="A356" t="s">
        <v>14</v>
      </c>
      <c r="B356">
        <v>102</v>
      </c>
      <c r="C356">
        <v>59223</v>
      </c>
      <c r="D356" t="s">
        <v>179</v>
      </c>
      <c r="E356" s="12">
        <v>5.99</v>
      </c>
      <c r="F356" s="12">
        <v>3.1</v>
      </c>
      <c r="G356" s="75">
        <v>46188</v>
      </c>
      <c r="H356" t="s">
        <v>315</v>
      </c>
      <c r="I356" s="12">
        <v>0</v>
      </c>
      <c r="J356" s="12">
        <v>0</v>
      </c>
    </row>
    <row r="357" spans="1:10" x14ac:dyDescent="0.35">
      <c r="A357" t="s">
        <v>14</v>
      </c>
      <c r="B357">
        <v>102</v>
      </c>
      <c r="C357">
        <v>59223</v>
      </c>
      <c r="D357" t="s">
        <v>179</v>
      </c>
      <c r="E357" s="12">
        <v>5.99</v>
      </c>
      <c r="F357" s="12">
        <v>3.1</v>
      </c>
      <c r="G357" s="75">
        <v>46189</v>
      </c>
      <c r="H357" t="s">
        <v>316</v>
      </c>
      <c r="I357" s="12">
        <v>0</v>
      </c>
      <c r="J357" s="12">
        <v>0</v>
      </c>
    </row>
    <row r="358" spans="1:10" x14ac:dyDescent="0.35">
      <c r="A358" t="s">
        <v>14</v>
      </c>
      <c r="B358">
        <v>102</v>
      </c>
      <c r="C358">
        <v>59223</v>
      </c>
      <c r="D358" t="s">
        <v>179</v>
      </c>
      <c r="E358" s="12">
        <v>5.99</v>
      </c>
      <c r="F358" s="12">
        <v>3.1</v>
      </c>
      <c r="G358" s="75">
        <v>46190</v>
      </c>
      <c r="H358" t="s">
        <v>340</v>
      </c>
      <c r="I358" s="12">
        <v>0</v>
      </c>
      <c r="J358" s="12">
        <v>0</v>
      </c>
    </row>
    <row r="359" spans="1:10" x14ac:dyDescent="0.35">
      <c r="A359" t="s">
        <v>14</v>
      </c>
      <c r="B359">
        <v>102</v>
      </c>
      <c r="C359">
        <v>59222</v>
      </c>
      <c r="D359" t="s">
        <v>178</v>
      </c>
      <c r="E359" s="12">
        <v>5.99</v>
      </c>
      <c r="F359" s="12">
        <v>3.1</v>
      </c>
      <c r="G359" s="75">
        <v>46188</v>
      </c>
      <c r="H359" t="s">
        <v>315</v>
      </c>
      <c r="I359" s="12">
        <v>0</v>
      </c>
      <c r="J359" s="12">
        <v>0</v>
      </c>
    </row>
    <row r="360" spans="1:10" x14ac:dyDescent="0.35">
      <c r="A360" t="s">
        <v>14</v>
      </c>
      <c r="B360">
        <v>102</v>
      </c>
      <c r="C360">
        <v>59222</v>
      </c>
      <c r="D360" t="s">
        <v>178</v>
      </c>
      <c r="E360" s="12">
        <v>5.99</v>
      </c>
      <c r="F360" s="12">
        <v>3.1</v>
      </c>
      <c r="G360" s="75">
        <v>46189</v>
      </c>
      <c r="H360" t="s">
        <v>316</v>
      </c>
      <c r="I360" s="12">
        <v>0</v>
      </c>
      <c r="J360" s="12">
        <v>0</v>
      </c>
    </row>
    <row r="361" spans="1:10" x14ac:dyDescent="0.35">
      <c r="A361" t="s">
        <v>14</v>
      </c>
      <c r="B361">
        <v>102</v>
      </c>
      <c r="C361">
        <v>59222</v>
      </c>
      <c r="D361" t="s">
        <v>178</v>
      </c>
      <c r="E361" s="12">
        <v>5.99</v>
      </c>
      <c r="F361" s="12">
        <v>3.1</v>
      </c>
      <c r="G361" s="75">
        <v>46190</v>
      </c>
      <c r="H361" t="s">
        <v>340</v>
      </c>
      <c r="I361" s="12">
        <v>0</v>
      </c>
      <c r="J361" s="12">
        <v>0</v>
      </c>
    </row>
    <row r="362" spans="1:10" x14ac:dyDescent="0.35">
      <c r="A362" t="s">
        <v>14</v>
      </c>
      <c r="B362">
        <v>102</v>
      </c>
      <c r="C362">
        <v>59221</v>
      </c>
      <c r="D362" t="s">
        <v>158</v>
      </c>
      <c r="E362" s="12">
        <v>5.99</v>
      </c>
      <c r="F362" s="12">
        <v>3.1</v>
      </c>
      <c r="G362" s="75">
        <v>46188</v>
      </c>
      <c r="H362" t="s">
        <v>315</v>
      </c>
      <c r="I362" s="12">
        <v>0</v>
      </c>
      <c r="J362" s="12">
        <v>0</v>
      </c>
    </row>
    <row r="363" spans="1:10" x14ac:dyDescent="0.35">
      <c r="A363" t="s">
        <v>14</v>
      </c>
      <c r="B363">
        <v>102</v>
      </c>
      <c r="C363">
        <v>59221</v>
      </c>
      <c r="D363" t="s">
        <v>158</v>
      </c>
      <c r="E363" s="12">
        <v>5.99</v>
      </c>
      <c r="F363" s="12">
        <v>3.1</v>
      </c>
      <c r="G363" s="75">
        <v>46189</v>
      </c>
      <c r="H363" t="s">
        <v>316</v>
      </c>
      <c r="I363" s="12">
        <v>0</v>
      </c>
      <c r="J363" s="12">
        <v>0</v>
      </c>
    </row>
    <row r="364" spans="1:10" x14ac:dyDescent="0.35">
      <c r="A364" t="s">
        <v>14</v>
      </c>
      <c r="B364">
        <v>102</v>
      </c>
      <c r="C364">
        <v>59221</v>
      </c>
      <c r="D364" t="s">
        <v>158</v>
      </c>
      <c r="E364" s="12">
        <v>5.99</v>
      </c>
      <c r="F364" s="12">
        <v>3.1</v>
      </c>
      <c r="G364" s="75">
        <v>46190</v>
      </c>
      <c r="H364" t="s">
        <v>340</v>
      </c>
      <c r="I364" s="12">
        <v>0</v>
      </c>
      <c r="J364" s="12">
        <v>0</v>
      </c>
    </row>
    <row r="365" spans="1:10" x14ac:dyDescent="0.35">
      <c r="A365" t="s">
        <v>14</v>
      </c>
      <c r="B365">
        <v>102</v>
      </c>
      <c r="C365">
        <v>59220</v>
      </c>
      <c r="D365" t="s">
        <v>163</v>
      </c>
      <c r="E365" s="12">
        <v>5.99</v>
      </c>
      <c r="F365" s="12">
        <v>3.1</v>
      </c>
      <c r="G365" s="75">
        <v>46188</v>
      </c>
      <c r="H365" t="s">
        <v>315</v>
      </c>
      <c r="I365" s="12">
        <v>0</v>
      </c>
      <c r="J365" s="12">
        <v>0</v>
      </c>
    </row>
    <row r="366" spans="1:10" x14ac:dyDescent="0.35">
      <c r="A366" t="s">
        <v>14</v>
      </c>
      <c r="B366">
        <v>102</v>
      </c>
      <c r="C366">
        <v>59220</v>
      </c>
      <c r="D366" t="s">
        <v>163</v>
      </c>
      <c r="E366" s="12">
        <v>5.99</v>
      </c>
      <c r="F366" s="12">
        <v>3.1</v>
      </c>
      <c r="G366" s="75">
        <v>46189</v>
      </c>
      <c r="H366" t="s">
        <v>316</v>
      </c>
      <c r="I366" s="12">
        <v>0</v>
      </c>
      <c r="J366" s="12">
        <v>0</v>
      </c>
    </row>
    <row r="367" spans="1:10" x14ac:dyDescent="0.35">
      <c r="A367" t="s">
        <v>14</v>
      </c>
      <c r="B367">
        <v>102</v>
      </c>
      <c r="C367">
        <v>59220</v>
      </c>
      <c r="D367" t="s">
        <v>163</v>
      </c>
      <c r="E367" s="12">
        <v>5.99</v>
      </c>
      <c r="F367" s="12">
        <v>3.1</v>
      </c>
      <c r="G367" s="75">
        <v>46190</v>
      </c>
      <c r="H367" t="s">
        <v>340</v>
      </c>
      <c r="I367" s="12">
        <v>0</v>
      </c>
      <c r="J367" s="12">
        <v>0</v>
      </c>
    </row>
    <row r="368" spans="1:10" x14ac:dyDescent="0.35">
      <c r="A368" t="s">
        <v>14</v>
      </c>
      <c r="B368">
        <v>102</v>
      </c>
      <c r="C368">
        <v>59058</v>
      </c>
      <c r="D368" t="s">
        <v>135</v>
      </c>
      <c r="E368" s="12">
        <v>5.99</v>
      </c>
      <c r="F368" s="12">
        <v>3.1</v>
      </c>
      <c r="G368" s="75">
        <v>46188</v>
      </c>
      <c r="H368" t="s">
        <v>315</v>
      </c>
      <c r="I368" s="12">
        <v>0</v>
      </c>
      <c r="J368" s="12">
        <v>0</v>
      </c>
    </row>
    <row r="369" spans="1:10" x14ac:dyDescent="0.35">
      <c r="A369" t="s">
        <v>14</v>
      </c>
      <c r="B369">
        <v>102</v>
      </c>
      <c r="C369">
        <v>59058</v>
      </c>
      <c r="D369" t="s">
        <v>135</v>
      </c>
      <c r="E369" s="12">
        <v>5.99</v>
      </c>
      <c r="F369" s="12">
        <v>3.1</v>
      </c>
      <c r="G369" s="75">
        <v>46189</v>
      </c>
      <c r="H369" t="s">
        <v>316</v>
      </c>
      <c r="I369" s="12">
        <v>0</v>
      </c>
      <c r="J369" s="12">
        <v>0</v>
      </c>
    </row>
    <row r="370" spans="1:10" x14ac:dyDescent="0.35">
      <c r="A370" t="s">
        <v>14</v>
      </c>
      <c r="B370">
        <v>102</v>
      </c>
      <c r="C370">
        <v>59058</v>
      </c>
      <c r="D370" t="s">
        <v>135</v>
      </c>
      <c r="E370" s="12">
        <v>5.99</v>
      </c>
      <c r="F370" s="12">
        <v>3.1</v>
      </c>
      <c r="G370" s="75">
        <v>46190</v>
      </c>
      <c r="H370" t="s">
        <v>340</v>
      </c>
      <c r="I370" s="12">
        <v>0</v>
      </c>
      <c r="J370" s="12">
        <v>0</v>
      </c>
    </row>
    <row r="371" spans="1:10" x14ac:dyDescent="0.35">
      <c r="A371" t="s">
        <v>14</v>
      </c>
      <c r="B371">
        <v>101</v>
      </c>
      <c r="C371">
        <v>58763</v>
      </c>
      <c r="D371" t="s">
        <v>78</v>
      </c>
      <c r="E371" s="12">
        <v>3.2</v>
      </c>
      <c r="F371" s="12">
        <v>1.62</v>
      </c>
      <c r="G371" s="75">
        <v>46188</v>
      </c>
      <c r="H371" t="s">
        <v>315</v>
      </c>
      <c r="I371" s="12">
        <v>0</v>
      </c>
      <c r="J371" s="12">
        <v>0</v>
      </c>
    </row>
    <row r="372" spans="1:10" x14ac:dyDescent="0.35">
      <c r="A372" t="s">
        <v>14</v>
      </c>
      <c r="B372">
        <v>101</v>
      </c>
      <c r="C372">
        <v>58763</v>
      </c>
      <c r="D372" t="s">
        <v>78</v>
      </c>
      <c r="E372" s="12">
        <v>3.2</v>
      </c>
      <c r="F372" s="12">
        <v>1.62</v>
      </c>
      <c r="G372" s="75">
        <v>46189</v>
      </c>
      <c r="H372" t="s">
        <v>316</v>
      </c>
      <c r="I372" s="12">
        <v>0</v>
      </c>
      <c r="J372" s="12">
        <v>0</v>
      </c>
    </row>
    <row r="373" spans="1:10" x14ac:dyDescent="0.35">
      <c r="A373" t="s">
        <v>14</v>
      </c>
      <c r="B373">
        <v>101</v>
      </c>
      <c r="C373">
        <v>58763</v>
      </c>
      <c r="D373" t="s">
        <v>78</v>
      </c>
      <c r="E373" s="12">
        <v>3.2</v>
      </c>
      <c r="F373" s="12">
        <v>1.62</v>
      </c>
      <c r="G373" s="75">
        <v>46190</v>
      </c>
      <c r="H373" t="s">
        <v>340</v>
      </c>
      <c r="I373" s="12">
        <v>0</v>
      </c>
      <c r="J373" s="12">
        <v>0</v>
      </c>
    </row>
    <row r="374" spans="1:10" x14ac:dyDescent="0.35">
      <c r="A374" t="s">
        <v>14</v>
      </c>
      <c r="B374">
        <v>104</v>
      </c>
      <c r="C374">
        <v>58452</v>
      </c>
      <c r="D374" t="s">
        <v>242</v>
      </c>
      <c r="E374" s="12">
        <v>120</v>
      </c>
      <c r="F374" s="12">
        <v>58.51</v>
      </c>
      <c r="G374" s="75">
        <v>46188</v>
      </c>
      <c r="H374" t="s">
        <v>315</v>
      </c>
      <c r="I374" s="12">
        <v>0</v>
      </c>
      <c r="J374" s="12">
        <v>0</v>
      </c>
    </row>
    <row r="375" spans="1:10" x14ac:dyDescent="0.35">
      <c r="A375" t="s">
        <v>14</v>
      </c>
      <c r="B375">
        <v>104</v>
      </c>
      <c r="C375">
        <v>58452</v>
      </c>
      <c r="D375" t="s">
        <v>242</v>
      </c>
      <c r="E375" s="12">
        <v>120</v>
      </c>
      <c r="F375" s="12">
        <v>58.51</v>
      </c>
      <c r="G375" s="75">
        <v>46189</v>
      </c>
      <c r="H375" t="s">
        <v>316</v>
      </c>
      <c r="I375" s="12">
        <v>0</v>
      </c>
      <c r="J375" s="12">
        <v>0</v>
      </c>
    </row>
    <row r="376" spans="1:10" x14ac:dyDescent="0.35">
      <c r="A376" t="s">
        <v>14</v>
      </c>
      <c r="B376">
        <v>104</v>
      </c>
      <c r="C376">
        <v>58452</v>
      </c>
      <c r="D376" t="s">
        <v>242</v>
      </c>
      <c r="E376" s="12">
        <v>120</v>
      </c>
      <c r="F376" s="12">
        <v>58.51</v>
      </c>
      <c r="G376" s="75">
        <v>46190</v>
      </c>
      <c r="H376" t="s">
        <v>340</v>
      </c>
      <c r="I376" s="12">
        <v>0</v>
      </c>
      <c r="J376" s="12">
        <v>0</v>
      </c>
    </row>
    <row r="377" spans="1:10" x14ac:dyDescent="0.35">
      <c r="A377" t="s">
        <v>14</v>
      </c>
      <c r="B377">
        <v>102</v>
      </c>
      <c r="C377">
        <v>58045</v>
      </c>
      <c r="D377" t="s">
        <v>181</v>
      </c>
      <c r="E377" s="12">
        <v>2.5</v>
      </c>
      <c r="F377" s="12">
        <v>1.29</v>
      </c>
      <c r="G377" s="75">
        <v>46188</v>
      </c>
      <c r="H377" t="s">
        <v>315</v>
      </c>
      <c r="I377" s="12">
        <v>0</v>
      </c>
      <c r="J377" s="12">
        <v>0</v>
      </c>
    </row>
    <row r="378" spans="1:10" x14ac:dyDescent="0.35">
      <c r="A378" t="s">
        <v>14</v>
      </c>
      <c r="B378">
        <v>102</v>
      </c>
      <c r="C378">
        <v>58045</v>
      </c>
      <c r="D378" t="s">
        <v>181</v>
      </c>
      <c r="E378" s="12">
        <v>2.5</v>
      </c>
      <c r="F378" s="12">
        <v>1.29</v>
      </c>
      <c r="G378" s="75">
        <v>46189</v>
      </c>
      <c r="H378" t="s">
        <v>316</v>
      </c>
      <c r="I378" s="12">
        <v>0</v>
      </c>
      <c r="J378" s="12">
        <v>0</v>
      </c>
    </row>
    <row r="379" spans="1:10" x14ac:dyDescent="0.35">
      <c r="A379" t="s">
        <v>14</v>
      </c>
      <c r="B379">
        <v>102</v>
      </c>
      <c r="C379">
        <v>58045</v>
      </c>
      <c r="D379" t="s">
        <v>181</v>
      </c>
      <c r="E379" s="12">
        <v>2.5</v>
      </c>
      <c r="F379" s="12">
        <v>1.29</v>
      </c>
      <c r="G379" s="75">
        <v>46190</v>
      </c>
      <c r="H379" t="s">
        <v>340</v>
      </c>
      <c r="I379" s="12">
        <v>0</v>
      </c>
      <c r="J379" s="12">
        <v>0</v>
      </c>
    </row>
    <row r="380" spans="1:10" x14ac:dyDescent="0.35">
      <c r="A380" t="s">
        <v>19</v>
      </c>
      <c r="B380">
        <v>1138</v>
      </c>
      <c r="C380">
        <v>57870</v>
      </c>
      <c r="D380" t="s">
        <v>287</v>
      </c>
      <c r="E380" s="12">
        <v>0</v>
      </c>
      <c r="F380" s="12">
        <v>120.14</v>
      </c>
      <c r="G380" s="75">
        <v>46188</v>
      </c>
      <c r="H380" t="s">
        <v>315</v>
      </c>
      <c r="I380" s="12">
        <v>0</v>
      </c>
      <c r="J380" s="12">
        <v>0</v>
      </c>
    </row>
    <row r="381" spans="1:10" x14ac:dyDescent="0.35">
      <c r="A381" t="s">
        <v>19</v>
      </c>
      <c r="B381">
        <v>1138</v>
      </c>
      <c r="C381">
        <v>57870</v>
      </c>
      <c r="D381" t="s">
        <v>287</v>
      </c>
      <c r="E381" s="12">
        <v>0</v>
      </c>
      <c r="F381" s="12">
        <v>120.14</v>
      </c>
      <c r="G381" s="75">
        <v>46189</v>
      </c>
      <c r="H381" t="s">
        <v>316</v>
      </c>
      <c r="I381" s="12">
        <v>0</v>
      </c>
      <c r="J381" s="12">
        <v>0</v>
      </c>
    </row>
    <row r="382" spans="1:10" x14ac:dyDescent="0.35">
      <c r="A382" t="s">
        <v>19</v>
      </c>
      <c r="B382">
        <v>1138</v>
      </c>
      <c r="C382">
        <v>57870</v>
      </c>
      <c r="D382" t="s">
        <v>287</v>
      </c>
      <c r="E382" s="12">
        <v>0</v>
      </c>
      <c r="F382" s="12">
        <v>120.14</v>
      </c>
      <c r="G382" s="75">
        <v>46190</v>
      </c>
      <c r="H382" t="s">
        <v>340</v>
      </c>
      <c r="I382" s="12">
        <v>0</v>
      </c>
      <c r="J382" s="12">
        <v>0</v>
      </c>
    </row>
    <row r="383" spans="1:10" x14ac:dyDescent="0.35">
      <c r="A383" t="s">
        <v>14</v>
      </c>
      <c r="B383">
        <v>101</v>
      </c>
      <c r="C383">
        <v>57167</v>
      </c>
      <c r="D383" t="s">
        <v>32</v>
      </c>
      <c r="E383" s="12">
        <v>16.989999999999998</v>
      </c>
      <c r="F383" s="12">
        <v>7.4</v>
      </c>
      <c r="G383" s="75">
        <v>46188</v>
      </c>
      <c r="H383" t="s">
        <v>315</v>
      </c>
      <c r="I383" s="12">
        <v>0</v>
      </c>
      <c r="J383" s="12">
        <v>0</v>
      </c>
    </row>
    <row r="384" spans="1:10" x14ac:dyDescent="0.35">
      <c r="A384" t="s">
        <v>14</v>
      </c>
      <c r="B384">
        <v>101</v>
      </c>
      <c r="C384">
        <v>57167</v>
      </c>
      <c r="D384" t="s">
        <v>32</v>
      </c>
      <c r="E384" s="12">
        <v>16.989999999999998</v>
      </c>
      <c r="F384" s="12">
        <v>7.4</v>
      </c>
      <c r="G384" s="75">
        <v>46189</v>
      </c>
      <c r="H384" t="s">
        <v>316</v>
      </c>
      <c r="I384" s="12">
        <v>0</v>
      </c>
      <c r="J384" s="12">
        <v>0</v>
      </c>
    </row>
    <row r="385" spans="1:10" x14ac:dyDescent="0.35">
      <c r="A385" t="s">
        <v>14</v>
      </c>
      <c r="B385">
        <v>101</v>
      </c>
      <c r="C385">
        <v>57167</v>
      </c>
      <c r="D385" t="s">
        <v>32</v>
      </c>
      <c r="E385" s="12">
        <v>16.989999999999998</v>
      </c>
      <c r="F385" s="12">
        <v>7.4</v>
      </c>
      <c r="G385" s="75">
        <v>46190</v>
      </c>
      <c r="H385" t="s">
        <v>340</v>
      </c>
      <c r="I385" s="12">
        <v>0</v>
      </c>
      <c r="J385" s="12">
        <v>0</v>
      </c>
    </row>
    <row r="386" spans="1:10" x14ac:dyDescent="0.35">
      <c r="A386" t="s">
        <v>14</v>
      </c>
      <c r="B386">
        <v>101</v>
      </c>
      <c r="C386">
        <v>57071</v>
      </c>
      <c r="D386" t="s">
        <v>53</v>
      </c>
      <c r="E386" s="12">
        <v>29.99</v>
      </c>
      <c r="F386" s="12">
        <v>12.66</v>
      </c>
      <c r="G386" s="75">
        <v>46188</v>
      </c>
      <c r="H386" t="s">
        <v>315</v>
      </c>
      <c r="I386" s="12">
        <v>0</v>
      </c>
      <c r="J386" s="12">
        <v>0</v>
      </c>
    </row>
    <row r="387" spans="1:10" x14ac:dyDescent="0.35">
      <c r="A387" t="s">
        <v>14</v>
      </c>
      <c r="B387">
        <v>101</v>
      </c>
      <c r="C387">
        <v>57071</v>
      </c>
      <c r="D387" t="s">
        <v>53</v>
      </c>
      <c r="E387" s="12">
        <v>29.99</v>
      </c>
      <c r="F387" s="12">
        <v>12.66</v>
      </c>
      <c r="G387" s="75">
        <v>46189</v>
      </c>
      <c r="H387" t="s">
        <v>316</v>
      </c>
      <c r="I387" s="12">
        <v>0</v>
      </c>
      <c r="J387" s="12">
        <v>0</v>
      </c>
    </row>
    <row r="388" spans="1:10" x14ac:dyDescent="0.35">
      <c r="A388" t="s">
        <v>14</v>
      </c>
      <c r="B388">
        <v>101</v>
      </c>
      <c r="C388">
        <v>57071</v>
      </c>
      <c r="D388" t="s">
        <v>53</v>
      </c>
      <c r="E388" s="12">
        <v>29.99</v>
      </c>
      <c r="F388" s="12">
        <v>12.66</v>
      </c>
      <c r="G388" s="75">
        <v>46190</v>
      </c>
      <c r="H388" t="s">
        <v>340</v>
      </c>
      <c r="I388" s="12">
        <v>26.078260869565216</v>
      </c>
      <c r="J388" s="12">
        <v>1</v>
      </c>
    </row>
    <row r="389" spans="1:10" x14ac:dyDescent="0.35">
      <c r="A389" t="s">
        <v>14</v>
      </c>
      <c r="B389">
        <v>104</v>
      </c>
      <c r="C389">
        <v>56805</v>
      </c>
      <c r="D389" t="s">
        <v>241</v>
      </c>
      <c r="E389" s="12">
        <v>15</v>
      </c>
      <c r="F389" s="12">
        <v>29.47</v>
      </c>
      <c r="G389" s="75">
        <v>46188</v>
      </c>
      <c r="H389" t="s">
        <v>315</v>
      </c>
      <c r="I389" s="12">
        <v>0</v>
      </c>
      <c r="J389" s="12">
        <v>0</v>
      </c>
    </row>
    <row r="390" spans="1:10" x14ac:dyDescent="0.35">
      <c r="A390" t="s">
        <v>14</v>
      </c>
      <c r="B390">
        <v>104</v>
      </c>
      <c r="C390">
        <v>56805</v>
      </c>
      <c r="D390" t="s">
        <v>241</v>
      </c>
      <c r="E390" s="12">
        <v>15</v>
      </c>
      <c r="F390" s="12">
        <v>29.47</v>
      </c>
      <c r="G390" s="75">
        <v>46189</v>
      </c>
      <c r="H390" t="s">
        <v>316</v>
      </c>
      <c r="I390" s="12">
        <v>0</v>
      </c>
      <c r="J390" s="12">
        <v>0</v>
      </c>
    </row>
    <row r="391" spans="1:10" x14ac:dyDescent="0.35">
      <c r="A391" t="s">
        <v>14</v>
      </c>
      <c r="B391">
        <v>104</v>
      </c>
      <c r="C391">
        <v>56805</v>
      </c>
      <c r="D391" t="s">
        <v>241</v>
      </c>
      <c r="E391" s="12">
        <v>15</v>
      </c>
      <c r="F391" s="12">
        <v>29.47</v>
      </c>
      <c r="G391" s="75">
        <v>46190</v>
      </c>
      <c r="H391" t="s">
        <v>340</v>
      </c>
      <c r="I391" s="12">
        <v>0</v>
      </c>
      <c r="J391" s="12">
        <v>0</v>
      </c>
    </row>
    <row r="392" spans="1:10" x14ac:dyDescent="0.35">
      <c r="A392" t="s">
        <v>19</v>
      </c>
      <c r="B392">
        <v>102</v>
      </c>
      <c r="C392">
        <v>56514</v>
      </c>
      <c r="D392" t="s">
        <v>194</v>
      </c>
      <c r="E392" s="12">
        <v>269.99</v>
      </c>
      <c r="F392" s="12">
        <v>141.47833333333332</v>
      </c>
      <c r="G392" s="75">
        <v>46188</v>
      </c>
      <c r="H392" t="s">
        <v>315</v>
      </c>
      <c r="I392" s="12">
        <v>0</v>
      </c>
      <c r="J392" s="12">
        <v>0</v>
      </c>
    </row>
    <row r="393" spans="1:10" x14ac:dyDescent="0.35">
      <c r="A393" t="s">
        <v>19</v>
      </c>
      <c r="B393">
        <v>102</v>
      </c>
      <c r="C393">
        <v>56514</v>
      </c>
      <c r="D393" t="s">
        <v>194</v>
      </c>
      <c r="E393" s="12">
        <v>269.99</v>
      </c>
      <c r="F393" s="12">
        <v>141.47833333333332</v>
      </c>
      <c r="G393" s="75">
        <v>46189</v>
      </c>
      <c r="H393" t="s">
        <v>316</v>
      </c>
      <c r="I393" s="12">
        <v>0</v>
      </c>
      <c r="J393" s="12">
        <v>0</v>
      </c>
    </row>
    <row r="394" spans="1:10" x14ac:dyDescent="0.35">
      <c r="A394" t="s">
        <v>19</v>
      </c>
      <c r="B394">
        <v>102</v>
      </c>
      <c r="C394">
        <v>56514</v>
      </c>
      <c r="D394" t="s">
        <v>194</v>
      </c>
      <c r="E394" s="12">
        <v>269.99</v>
      </c>
      <c r="F394" s="12">
        <v>141.47833333333332</v>
      </c>
      <c r="G394" s="75">
        <v>46190</v>
      </c>
      <c r="H394" t="s">
        <v>340</v>
      </c>
      <c r="I394" s="12">
        <v>0</v>
      </c>
      <c r="J394" s="12">
        <v>0</v>
      </c>
    </row>
    <row r="395" spans="1:10" x14ac:dyDescent="0.35">
      <c r="A395" t="s">
        <v>14</v>
      </c>
      <c r="B395">
        <v>101</v>
      </c>
      <c r="C395">
        <v>56350</v>
      </c>
      <c r="D395" t="s">
        <v>69</v>
      </c>
      <c r="E395" s="12">
        <v>4.99</v>
      </c>
      <c r="F395" s="12">
        <v>2.61</v>
      </c>
      <c r="G395" s="75">
        <v>46188</v>
      </c>
      <c r="H395" t="s">
        <v>315</v>
      </c>
      <c r="I395" s="12">
        <v>0</v>
      </c>
      <c r="J395" s="12">
        <v>0</v>
      </c>
    </row>
    <row r="396" spans="1:10" x14ac:dyDescent="0.35">
      <c r="A396" t="s">
        <v>14</v>
      </c>
      <c r="B396">
        <v>101</v>
      </c>
      <c r="C396">
        <v>56350</v>
      </c>
      <c r="D396" t="s">
        <v>69</v>
      </c>
      <c r="E396" s="12">
        <v>4.99</v>
      </c>
      <c r="F396" s="12">
        <v>2.61</v>
      </c>
      <c r="G396" s="75">
        <v>46189</v>
      </c>
      <c r="H396" t="s">
        <v>316</v>
      </c>
      <c r="I396" s="12">
        <v>0</v>
      </c>
      <c r="J396" s="12">
        <v>0</v>
      </c>
    </row>
    <row r="397" spans="1:10" x14ac:dyDescent="0.35">
      <c r="A397" t="s">
        <v>14</v>
      </c>
      <c r="B397">
        <v>101</v>
      </c>
      <c r="C397">
        <v>56350</v>
      </c>
      <c r="D397" t="s">
        <v>69</v>
      </c>
      <c r="E397" s="12">
        <v>4.99</v>
      </c>
      <c r="F397" s="12">
        <v>2.61</v>
      </c>
      <c r="G397" s="75">
        <v>46190</v>
      </c>
      <c r="H397" t="s">
        <v>340</v>
      </c>
      <c r="I397" s="12">
        <v>0</v>
      </c>
      <c r="J397" s="12">
        <v>0</v>
      </c>
    </row>
    <row r="398" spans="1:10" x14ac:dyDescent="0.35">
      <c r="A398" t="s">
        <v>14</v>
      </c>
      <c r="B398">
        <v>102</v>
      </c>
      <c r="C398">
        <v>55482</v>
      </c>
      <c r="D398" t="s">
        <v>145</v>
      </c>
      <c r="E398" s="12">
        <v>13.99</v>
      </c>
      <c r="F398" s="12">
        <v>5.44</v>
      </c>
      <c r="G398" s="75">
        <v>46188</v>
      </c>
      <c r="H398" t="s">
        <v>315</v>
      </c>
      <c r="I398" s="12">
        <v>0</v>
      </c>
      <c r="J398" s="12">
        <v>0</v>
      </c>
    </row>
    <row r="399" spans="1:10" x14ac:dyDescent="0.35">
      <c r="A399" t="s">
        <v>14</v>
      </c>
      <c r="B399">
        <v>102</v>
      </c>
      <c r="C399">
        <v>55482</v>
      </c>
      <c r="D399" t="s">
        <v>145</v>
      </c>
      <c r="E399" s="12">
        <v>13.99</v>
      </c>
      <c r="F399" s="12">
        <v>5.44</v>
      </c>
      <c r="G399" s="75">
        <v>46189</v>
      </c>
      <c r="H399" t="s">
        <v>316</v>
      </c>
      <c r="I399" s="12">
        <v>0</v>
      </c>
      <c r="J399" s="12">
        <v>0</v>
      </c>
    </row>
    <row r="400" spans="1:10" x14ac:dyDescent="0.35">
      <c r="A400" t="s">
        <v>14</v>
      </c>
      <c r="B400">
        <v>102</v>
      </c>
      <c r="C400">
        <v>55482</v>
      </c>
      <c r="D400" t="s">
        <v>145</v>
      </c>
      <c r="E400" s="12">
        <v>13.99</v>
      </c>
      <c r="F400" s="12">
        <v>5.44</v>
      </c>
      <c r="G400" s="75">
        <v>46190</v>
      </c>
      <c r="H400" t="s">
        <v>340</v>
      </c>
      <c r="I400" s="12">
        <v>0</v>
      </c>
      <c r="J400" s="12">
        <v>0</v>
      </c>
    </row>
    <row r="401" spans="1:10" x14ac:dyDescent="0.35">
      <c r="A401" t="s">
        <v>107</v>
      </c>
      <c r="B401">
        <v>102</v>
      </c>
      <c r="C401">
        <v>55095</v>
      </c>
      <c r="D401" t="s">
        <v>116</v>
      </c>
      <c r="E401" s="12">
        <v>5</v>
      </c>
      <c r="F401" s="12">
        <v>1.38</v>
      </c>
      <c r="G401" s="75">
        <v>46188</v>
      </c>
      <c r="H401" t="s">
        <v>315</v>
      </c>
      <c r="I401" s="12">
        <v>0</v>
      </c>
      <c r="J401" s="12">
        <v>0</v>
      </c>
    </row>
    <row r="402" spans="1:10" x14ac:dyDescent="0.35">
      <c r="A402" t="s">
        <v>107</v>
      </c>
      <c r="B402">
        <v>102</v>
      </c>
      <c r="C402">
        <v>55095</v>
      </c>
      <c r="D402" t="s">
        <v>116</v>
      </c>
      <c r="E402" s="12">
        <v>5</v>
      </c>
      <c r="F402" s="12">
        <v>1.38</v>
      </c>
      <c r="G402" s="75">
        <v>46189</v>
      </c>
      <c r="H402" t="s">
        <v>316</v>
      </c>
      <c r="I402" s="12">
        <v>30.434782608695652</v>
      </c>
      <c r="J402" s="12">
        <v>7</v>
      </c>
    </row>
    <row r="403" spans="1:10" x14ac:dyDescent="0.35">
      <c r="A403" t="s">
        <v>107</v>
      </c>
      <c r="B403">
        <v>102</v>
      </c>
      <c r="C403">
        <v>55095</v>
      </c>
      <c r="D403" t="s">
        <v>116</v>
      </c>
      <c r="E403" s="12">
        <v>5</v>
      </c>
      <c r="F403" s="12">
        <v>1.38</v>
      </c>
      <c r="G403" s="75">
        <v>46190</v>
      </c>
      <c r="H403" t="s">
        <v>340</v>
      </c>
      <c r="I403" s="12">
        <v>99.565217391304344</v>
      </c>
      <c r="J403" s="12">
        <v>23</v>
      </c>
    </row>
    <row r="404" spans="1:10" x14ac:dyDescent="0.35">
      <c r="A404" t="s">
        <v>35</v>
      </c>
      <c r="B404">
        <v>102</v>
      </c>
      <c r="C404">
        <v>54652</v>
      </c>
      <c r="D404" t="s">
        <v>193</v>
      </c>
      <c r="E404" s="12">
        <v>21.99</v>
      </c>
      <c r="F404" s="12">
        <v>10.989749999999999</v>
      </c>
      <c r="G404" s="75">
        <v>46188</v>
      </c>
      <c r="H404" t="s">
        <v>315</v>
      </c>
      <c r="I404" s="12">
        <v>0</v>
      </c>
      <c r="J404" s="12">
        <v>0</v>
      </c>
    </row>
    <row r="405" spans="1:10" x14ac:dyDescent="0.35">
      <c r="A405" t="s">
        <v>35</v>
      </c>
      <c r="B405">
        <v>102</v>
      </c>
      <c r="C405">
        <v>54652</v>
      </c>
      <c r="D405" t="s">
        <v>193</v>
      </c>
      <c r="E405" s="12">
        <v>21.99</v>
      </c>
      <c r="F405" s="12">
        <v>10.989749999999999</v>
      </c>
      <c r="G405" s="75">
        <v>46189</v>
      </c>
      <c r="H405" t="s">
        <v>316</v>
      </c>
      <c r="I405" s="12">
        <v>0</v>
      </c>
      <c r="J405" s="12">
        <v>0</v>
      </c>
    </row>
    <row r="406" spans="1:10" x14ac:dyDescent="0.35">
      <c r="A406" t="s">
        <v>35</v>
      </c>
      <c r="B406">
        <v>102</v>
      </c>
      <c r="C406">
        <v>54652</v>
      </c>
      <c r="D406" t="s">
        <v>193</v>
      </c>
      <c r="E406" s="12">
        <v>21.99</v>
      </c>
      <c r="F406" s="12">
        <v>10.989749999999999</v>
      </c>
      <c r="G406" s="75">
        <v>46190</v>
      </c>
      <c r="H406" t="s">
        <v>340</v>
      </c>
      <c r="I406" s="12">
        <v>0</v>
      </c>
      <c r="J406" s="12">
        <v>0</v>
      </c>
    </row>
    <row r="407" spans="1:10" x14ac:dyDescent="0.35">
      <c r="A407" t="s">
        <v>14</v>
      </c>
      <c r="B407">
        <v>101</v>
      </c>
      <c r="C407">
        <v>54617</v>
      </c>
      <c r="D407" t="s">
        <v>83</v>
      </c>
      <c r="E407" s="12">
        <v>30.99</v>
      </c>
      <c r="F407" s="12">
        <v>12.4</v>
      </c>
      <c r="G407" s="75">
        <v>46188</v>
      </c>
      <c r="H407" t="s">
        <v>315</v>
      </c>
      <c r="I407" s="12">
        <v>0</v>
      </c>
      <c r="J407" s="12">
        <v>0</v>
      </c>
    </row>
    <row r="408" spans="1:10" x14ac:dyDescent="0.35">
      <c r="A408" t="s">
        <v>14</v>
      </c>
      <c r="B408">
        <v>101</v>
      </c>
      <c r="C408">
        <v>54617</v>
      </c>
      <c r="D408" t="s">
        <v>83</v>
      </c>
      <c r="E408" s="12">
        <v>30.99</v>
      </c>
      <c r="F408" s="12">
        <v>12.4</v>
      </c>
      <c r="G408" s="75">
        <v>46189</v>
      </c>
      <c r="H408" t="s">
        <v>316</v>
      </c>
      <c r="I408" s="12">
        <v>0</v>
      </c>
      <c r="J408" s="12">
        <v>0</v>
      </c>
    </row>
    <row r="409" spans="1:10" x14ac:dyDescent="0.35">
      <c r="A409" t="s">
        <v>14</v>
      </c>
      <c r="B409">
        <v>101</v>
      </c>
      <c r="C409">
        <v>54617</v>
      </c>
      <c r="D409" t="s">
        <v>83</v>
      </c>
      <c r="E409" s="12">
        <v>30.99</v>
      </c>
      <c r="F409" s="12">
        <v>12.4</v>
      </c>
      <c r="G409" s="75">
        <v>46190</v>
      </c>
      <c r="H409" t="s">
        <v>340</v>
      </c>
      <c r="I409" s="12">
        <v>0</v>
      </c>
      <c r="J409" s="12">
        <v>0</v>
      </c>
    </row>
    <row r="410" spans="1:10" x14ac:dyDescent="0.35">
      <c r="A410" t="s">
        <v>14</v>
      </c>
      <c r="B410">
        <v>101</v>
      </c>
      <c r="C410">
        <v>54547</v>
      </c>
      <c r="D410" t="s">
        <v>49</v>
      </c>
      <c r="E410" s="12">
        <v>9.99</v>
      </c>
      <c r="F410" s="12">
        <v>3.23</v>
      </c>
      <c r="G410" s="75">
        <v>46188</v>
      </c>
      <c r="H410" t="s">
        <v>315</v>
      </c>
      <c r="I410" s="12">
        <v>0</v>
      </c>
      <c r="J410" s="12">
        <v>0</v>
      </c>
    </row>
    <row r="411" spans="1:10" x14ac:dyDescent="0.35">
      <c r="A411" t="s">
        <v>14</v>
      </c>
      <c r="B411">
        <v>101</v>
      </c>
      <c r="C411">
        <v>54547</v>
      </c>
      <c r="D411" t="s">
        <v>49</v>
      </c>
      <c r="E411" s="12">
        <v>9.99</v>
      </c>
      <c r="F411" s="12">
        <v>3.23</v>
      </c>
      <c r="G411" s="75">
        <v>46189</v>
      </c>
      <c r="H411" t="s">
        <v>316</v>
      </c>
      <c r="I411" s="12">
        <v>0</v>
      </c>
      <c r="J411" s="12">
        <v>0</v>
      </c>
    </row>
    <row r="412" spans="1:10" x14ac:dyDescent="0.35">
      <c r="A412" t="s">
        <v>14</v>
      </c>
      <c r="B412">
        <v>101</v>
      </c>
      <c r="C412">
        <v>54547</v>
      </c>
      <c r="D412" t="s">
        <v>49</v>
      </c>
      <c r="E412" s="12">
        <v>9.99</v>
      </c>
      <c r="F412" s="12">
        <v>3.23</v>
      </c>
      <c r="G412" s="75">
        <v>46190</v>
      </c>
      <c r="H412" t="s">
        <v>340</v>
      </c>
      <c r="I412" s="12">
        <v>0</v>
      </c>
      <c r="J412" s="12">
        <v>0</v>
      </c>
    </row>
    <row r="413" spans="1:10" x14ac:dyDescent="0.35">
      <c r="A413" t="s">
        <v>14</v>
      </c>
      <c r="B413">
        <v>101</v>
      </c>
      <c r="C413">
        <v>54546</v>
      </c>
      <c r="D413" t="s">
        <v>75</v>
      </c>
      <c r="E413" s="12">
        <v>5.99</v>
      </c>
      <c r="F413" s="12">
        <v>2.5299999999999998</v>
      </c>
      <c r="G413" s="75">
        <v>46188</v>
      </c>
      <c r="H413" t="s">
        <v>315</v>
      </c>
      <c r="I413" s="12">
        <v>0</v>
      </c>
      <c r="J413" s="12">
        <v>0</v>
      </c>
    </row>
    <row r="414" spans="1:10" x14ac:dyDescent="0.35">
      <c r="A414" t="s">
        <v>14</v>
      </c>
      <c r="B414">
        <v>101</v>
      </c>
      <c r="C414">
        <v>54546</v>
      </c>
      <c r="D414" t="s">
        <v>75</v>
      </c>
      <c r="E414" s="12">
        <v>5.99</v>
      </c>
      <c r="F414" s="12">
        <v>2.5299999999999998</v>
      </c>
      <c r="G414" s="75">
        <v>46189</v>
      </c>
      <c r="H414" t="s">
        <v>316</v>
      </c>
      <c r="I414" s="12">
        <v>0</v>
      </c>
      <c r="J414" s="12">
        <v>0</v>
      </c>
    </row>
    <row r="415" spans="1:10" x14ac:dyDescent="0.35">
      <c r="A415" t="s">
        <v>14</v>
      </c>
      <c r="B415">
        <v>101</v>
      </c>
      <c r="C415">
        <v>54546</v>
      </c>
      <c r="D415" t="s">
        <v>75</v>
      </c>
      <c r="E415" s="12">
        <v>5.99</v>
      </c>
      <c r="F415" s="12">
        <v>2.5299999999999998</v>
      </c>
      <c r="G415" s="75">
        <v>46190</v>
      </c>
      <c r="H415" t="s">
        <v>340</v>
      </c>
      <c r="I415" s="12">
        <v>0</v>
      </c>
      <c r="J415" s="12">
        <v>0</v>
      </c>
    </row>
    <row r="416" spans="1:10" x14ac:dyDescent="0.35">
      <c r="A416" t="s">
        <v>14</v>
      </c>
      <c r="B416">
        <v>102</v>
      </c>
      <c r="C416">
        <v>54430</v>
      </c>
      <c r="D416" t="s">
        <v>133</v>
      </c>
      <c r="E416" s="12">
        <v>21.99</v>
      </c>
      <c r="F416" s="12">
        <v>9.9600000000000009</v>
      </c>
      <c r="G416" s="75">
        <v>46188</v>
      </c>
      <c r="H416" t="s">
        <v>315</v>
      </c>
      <c r="I416" s="12">
        <v>0</v>
      </c>
      <c r="J416" s="12">
        <v>0</v>
      </c>
    </row>
    <row r="417" spans="1:10" x14ac:dyDescent="0.35">
      <c r="A417" t="s">
        <v>14</v>
      </c>
      <c r="B417">
        <v>102</v>
      </c>
      <c r="C417">
        <v>54430</v>
      </c>
      <c r="D417" t="s">
        <v>133</v>
      </c>
      <c r="E417" s="12">
        <v>21.99</v>
      </c>
      <c r="F417" s="12">
        <v>9.9600000000000009</v>
      </c>
      <c r="G417" s="75">
        <v>46189</v>
      </c>
      <c r="H417" t="s">
        <v>316</v>
      </c>
      <c r="I417" s="12">
        <v>0</v>
      </c>
      <c r="J417" s="12">
        <v>0</v>
      </c>
    </row>
    <row r="418" spans="1:10" x14ac:dyDescent="0.35">
      <c r="A418" t="s">
        <v>14</v>
      </c>
      <c r="B418">
        <v>102</v>
      </c>
      <c r="C418">
        <v>54430</v>
      </c>
      <c r="D418" t="s">
        <v>133</v>
      </c>
      <c r="E418" s="12">
        <v>21.99</v>
      </c>
      <c r="F418" s="12">
        <v>9.9600000000000009</v>
      </c>
      <c r="G418" s="75">
        <v>46190</v>
      </c>
      <c r="H418" t="s">
        <v>340</v>
      </c>
      <c r="I418" s="12">
        <v>0</v>
      </c>
      <c r="J418" s="12">
        <v>0</v>
      </c>
    </row>
    <row r="419" spans="1:10" x14ac:dyDescent="0.35">
      <c r="A419" t="s">
        <v>14</v>
      </c>
      <c r="B419">
        <v>101</v>
      </c>
      <c r="C419">
        <v>54228</v>
      </c>
      <c r="D419" t="s">
        <v>62</v>
      </c>
      <c r="E419" s="12">
        <v>13.99</v>
      </c>
      <c r="F419" s="12">
        <v>7.37</v>
      </c>
      <c r="G419" s="75">
        <v>46188</v>
      </c>
      <c r="H419" t="s">
        <v>315</v>
      </c>
      <c r="I419" s="12">
        <v>0</v>
      </c>
      <c r="J419" s="12">
        <v>0</v>
      </c>
    </row>
    <row r="420" spans="1:10" x14ac:dyDescent="0.35">
      <c r="A420" t="s">
        <v>14</v>
      </c>
      <c r="B420">
        <v>101</v>
      </c>
      <c r="C420">
        <v>54228</v>
      </c>
      <c r="D420" t="s">
        <v>62</v>
      </c>
      <c r="E420" s="12">
        <v>13.99</v>
      </c>
      <c r="F420" s="12">
        <v>7.37</v>
      </c>
      <c r="G420" s="75">
        <v>46189</v>
      </c>
      <c r="H420" t="s">
        <v>316</v>
      </c>
      <c r="I420" s="12">
        <v>0</v>
      </c>
      <c r="J420" s="12">
        <v>0</v>
      </c>
    </row>
    <row r="421" spans="1:10" x14ac:dyDescent="0.35">
      <c r="A421" t="s">
        <v>14</v>
      </c>
      <c r="B421">
        <v>101</v>
      </c>
      <c r="C421">
        <v>54228</v>
      </c>
      <c r="D421" t="s">
        <v>62</v>
      </c>
      <c r="E421" s="12">
        <v>13.99</v>
      </c>
      <c r="F421" s="12">
        <v>7.37</v>
      </c>
      <c r="G421" s="75">
        <v>46190</v>
      </c>
      <c r="H421" t="s">
        <v>340</v>
      </c>
      <c r="I421" s="12">
        <v>0</v>
      </c>
      <c r="J421" s="12">
        <v>0</v>
      </c>
    </row>
    <row r="422" spans="1:10" x14ac:dyDescent="0.35">
      <c r="A422" t="s">
        <v>14</v>
      </c>
      <c r="B422">
        <v>106</v>
      </c>
      <c r="C422">
        <v>54019</v>
      </c>
      <c r="D422" t="s">
        <v>247</v>
      </c>
      <c r="E422" s="12">
        <v>23.99</v>
      </c>
      <c r="F422" s="12">
        <v>10.37</v>
      </c>
      <c r="G422" s="75">
        <v>46188</v>
      </c>
      <c r="H422" t="s">
        <v>315</v>
      </c>
      <c r="I422" s="12">
        <v>0</v>
      </c>
      <c r="J422" s="12">
        <v>0</v>
      </c>
    </row>
    <row r="423" spans="1:10" x14ac:dyDescent="0.35">
      <c r="A423" t="s">
        <v>14</v>
      </c>
      <c r="B423">
        <v>106</v>
      </c>
      <c r="C423">
        <v>54019</v>
      </c>
      <c r="D423" t="s">
        <v>247</v>
      </c>
      <c r="E423" s="12">
        <v>23.99</v>
      </c>
      <c r="F423" s="12">
        <v>10.37</v>
      </c>
      <c r="G423" s="75">
        <v>46189</v>
      </c>
      <c r="H423" t="s">
        <v>316</v>
      </c>
      <c r="I423" s="12">
        <v>0</v>
      </c>
      <c r="J423" s="12">
        <v>0</v>
      </c>
    </row>
    <row r="424" spans="1:10" x14ac:dyDescent="0.35">
      <c r="A424" t="s">
        <v>14</v>
      </c>
      <c r="B424">
        <v>106</v>
      </c>
      <c r="C424">
        <v>54019</v>
      </c>
      <c r="D424" t="s">
        <v>247</v>
      </c>
      <c r="E424" s="12">
        <v>23.99</v>
      </c>
      <c r="F424" s="12">
        <v>10.37</v>
      </c>
      <c r="G424" s="75">
        <v>46190</v>
      </c>
      <c r="H424" t="s">
        <v>340</v>
      </c>
      <c r="I424" s="12">
        <v>0</v>
      </c>
      <c r="J424" s="12">
        <v>0</v>
      </c>
    </row>
    <row r="425" spans="1:10" x14ac:dyDescent="0.35">
      <c r="A425" t="s">
        <v>14</v>
      </c>
      <c r="B425">
        <v>101</v>
      </c>
      <c r="C425">
        <v>53528</v>
      </c>
      <c r="D425" t="s">
        <v>59</v>
      </c>
      <c r="E425" s="12">
        <v>28.99</v>
      </c>
      <c r="F425" s="12">
        <v>14.86</v>
      </c>
      <c r="G425" s="75">
        <v>46188</v>
      </c>
      <c r="H425" t="s">
        <v>315</v>
      </c>
      <c r="I425" s="12">
        <v>0</v>
      </c>
      <c r="J425" s="12">
        <v>0</v>
      </c>
    </row>
    <row r="426" spans="1:10" x14ac:dyDescent="0.35">
      <c r="A426" t="s">
        <v>14</v>
      </c>
      <c r="B426">
        <v>101</v>
      </c>
      <c r="C426">
        <v>53528</v>
      </c>
      <c r="D426" t="s">
        <v>59</v>
      </c>
      <c r="E426" s="12">
        <v>28.99</v>
      </c>
      <c r="F426" s="12">
        <v>14.86</v>
      </c>
      <c r="G426" s="75">
        <v>46189</v>
      </c>
      <c r="H426" t="s">
        <v>316</v>
      </c>
      <c r="I426" s="12">
        <v>0</v>
      </c>
      <c r="J426" s="12">
        <v>0</v>
      </c>
    </row>
    <row r="427" spans="1:10" x14ac:dyDescent="0.35">
      <c r="A427" t="s">
        <v>14</v>
      </c>
      <c r="B427">
        <v>101</v>
      </c>
      <c r="C427">
        <v>53528</v>
      </c>
      <c r="D427" t="s">
        <v>59</v>
      </c>
      <c r="E427" s="12">
        <v>28.99</v>
      </c>
      <c r="F427" s="12">
        <v>14.86</v>
      </c>
      <c r="G427" s="75">
        <v>46190</v>
      </c>
      <c r="H427" t="s">
        <v>340</v>
      </c>
      <c r="I427" s="12">
        <v>0</v>
      </c>
      <c r="J427" s="12">
        <v>0</v>
      </c>
    </row>
    <row r="428" spans="1:10" x14ac:dyDescent="0.35">
      <c r="A428" t="s">
        <v>14</v>
      </c>
      <c r="B428">
        <v>101</v>
      </c>
      <c r="C428">
        <v>53497</v>
      </c>
      <c r="D428" t="s">
        <v>61</v>
      </c>
      <c r="E428" s="12">
        <v>79.989999999999995</v>
      </c>
      <c r="F428" s="12">
        <v>32.200000000000003</v>
      </c>
      <c r="G428" s="75">
        <v>46188</v>
      </c>
      <c r="H428" t="s">
        <v>315</v>
      </c>
      <c r="I428" s="12">
        <v>0</v>
      </c>
      <c r="J428" s="12">
        <v>0</v>
      </c>
    </row>
    <row r="429" spans="1:10" x14ac:dyDescent="0.35">
      <c r="A429" t="s">
        <v>14</v>
      </c>
      <c r="B429">
        <v>101</v>
      </c>
      <c r="C429">
        <v>53497</v>
      </c>
      <c r="D429" t="s">
        <v>61</v>
      </c>
      <c r="E429" s="12">
        <v>79.989999999999995</v>
      </c>
      <c r="F429" s="12">
        <v>32.200000000000003</v>
      </c>
      <c r="G429" s="75">
        <v>46189</v>
      </c>
      <c r="H429" t="s">
        <v>316</v>
      </c>
      <c r="I429" s="12">
        <v>0</v>
      </c>
      <c r="J429" s="12">
        <v>0</v>
      </c>
    </row>
    <row r="430" spans="1:10" x14ac:dyDescent="0.35">
      <c r="A430" t="s">
        <v>14</v>
      </c>
      <c r="B430">
        <v>101</v>
      </c>
      <c r="C430">
        <v>53497</v>
      </c>
      <c r="D430" t="s">
        <v>61</v>
      </c>
      <c r="E430" s="12">
        <v>79.989999999999995</v>
      </c>
      <c r="F430" s="12">
        <v>32.200000000000003</v>
      </c>
      <c r="G430" s="75">
        <v>46190</v>
      </c>
      <c r="H430" t="s">
        <v>340</v>
      </c>
      <c r="I430" s="12">
        <v>0</v>
      </c>
      <c r="J430" s="12">
        <v>0</v>
      </c>
    </row>
    <row r="431" spans="1:10" x14ac:dyDescent="0.35">
      <c r="A431" t="s">
        <v>107</v>
      </c>
      <c r="B431">
        <v>102</v>
      </c>
      <c r="C431">
        <v>53410</v>
      </c>
      <c r="D431" t="s">
        <v>126</v>
      </c>
      <c r="E431" s="12">
        <v>52</v>
      </c>
      <c r="F431" s="12">
        <v>28.2</v>
      </c>
      <c r="G431" s="75">
        <v>46188</v>
      </c>
      <c r="H431" t="s">
        <v>315</v>
      </c>
      <c r="I431" s="12">
        <v>0</v>
      </c>
      <c r="J431" s="12">
        <v>0</v>
      </c>
    </row>
    <row r="432" spans="1:10" x14ac:dyDescent="0.35">
      <c r="A432" t="s">
        <v>107</v>
      </c>
      <c r="B432">
        <v>102</v>
      </c>
      <c r="C432">
        <v>53410</v>
      </c>
      <c r="D432" t="s">
        <v>126</v>
      </c>
      <c r="E432" s="12">
        <v>52</v>
      </c>
      <c r="F432" s="12">
        <v>28.2</v>
      </c>
      <c r="G432" s="75">
        <v>46189</v>
      </c>
      <c r="H432" t="s">
        <v>316</v>
      </c>
      <c r="I432" s="12">
        <v>0</v>
      </c>
      <c r="J432" s="12">
        <v>0</v>
      </c>
    </row>
    <row r="433" spans="1:10" x14ac:dyDescent="0.35">
      <c r="A433" t="s">
        <v>107</v>
      </c>
      <c r="B433">
        <v>102</v>
      </c>
      <c r="C433">
        <v>53410</v>
      </c>
      <c r="D433" t="s">
        <v>126</v>
      </c>
      <c r="E433" s="12">
        <v>52</v>
      </c>
      <c r="F433" s="12">
        <v>28.2</v>
      </c>
      <c r="G433" s="75">
        <v>46190</v>
      </c>
      <c r="H433" t="s">
        <v>340</v>
      </c>
      <c r="I433" s="12">
        <v>0</v>
      </c>
      <c r="J433" s="12">
        <v>0</v>
      </c>
    </row>
    <row r="434" spans="1:10" x14ac:dyDescent="0.35">
      <c r="A434" t="s">
        <v>14</v>
      </c>
      <c r="B434">
        <v>102</v>
      </c>
      <c r="C434">
        <v>53226</v>
      </c>
      <c r="D434" t="s">
        <v>130</v>
      </c>
      <c r="E434" s="12">
        <v>15.99</v>
      </c>
      <c r="F434" s="12">
        <v>5.13</v>
      </c>
      <c r="G434" s="75">
        <v>46188</v>
      </c>
      <c r="H434" t="s">
        <v>315</v>
      </c>
      <c r="I434" s="12">
        <v>0</v>
      </c>
      <c r="J434" s="12">
        <v>0</v>
      </c>
    </row>
    <row r="435" spans="1:10" x14ac:dyDescent="0.35">
      <c r="A435" t="s">
        <v>14</v>
      </c>
      <c r="B435">
        <v>102</v>
      </c>
      <c r="C435">
        <v>53226</v>
      </c>
      <c r="D435" t="s">
        <v>130</v>
      </c>
      <c r="E435" s="12">
        <v>15.99</v>
      </c>
      <c r="F435" s="12">
        <v>5.13</v>
      </c>
      <c r="G435" s="75">
        <v>46189</v>
      </c>
      <c r="H435" t="s">
        <v>316</v>
      </c>
      <c r="I435" s="12">
        <v>0</v>
      </c>
      <c r="J435" s="12">
        <v>0</v>
      </c>
    </row>
    <row r="436" spans="1:10" x14ac:dyDescent="0.35">
      <c r="A436" t="s">
        <v>14</v>
      </c>
      <c r="B436">
        <v>102</v>
      </c>
      <c r="C436">
        <v>53226</v>
      </c>
      <c r="D436" t="s">
        <v>130</v>
      </c>
      <c r="E436" s="12">
        <v>15.99</v>
      </c>
      <c r="F436" s="12">
        <v>5.13</v>
      </c>
      <c r="G436" s="75">
        <v>46190</v>
      </c>
      <c r="H436" t="s">
        <v>340</v>
      </c>
      <c r="I436" s="12">
        <v>0</v>
      </c>
      <c r="J436" s="12">
        <v>0</v>
      </c>
    </row>
    <row r="437" spans="1:10" x14ac:dyDescent="0.35">
      <c r="A437" t="s">
        <v>14</v>
      </c>
      <c r="B437">
        <v>102</v>
      </c>
      <c r="C437">
        <v>53225</v>
      </c>
      <c r="D437" t="s">
        <v>136</v>
      </c>
      <c r="E437" s="12">
        <v>17.989999999999998</v>
      </c>
      <c r="F437" s="12">
        <v>10.039999999999999</v>
      </c>
      <c r="G437" s="75">
        <v>46188</v>
      </c>
      <c r="H437" t="s">
        <v>315</v>
      </c>
      <c r="I437" s="12">
        <v>0</v>
      </c>
      <c r="J437" s="12">
        <v>0</v>
      </c>
    </row>
    <row r="438" spans="1:10" x14ac:dyDescent="0.35">
      <c r="A438" t="s">
        <v>14</v>
      </c>
      <c r="B438">
        <v>102</v>
      </c>
      <c r="C438">
        <v>53225</v>
      </c>
      <c r="D438" t="s">
        <v>136</v>
      </c>
      <c r="E438" s="12">
        <v>17.989999999999998</v>
      </c>
      <c r="F438" s="12">
        <v>10.039999999999999</v>
      </c>
      <c r="G438" s="75">
        <v>46189</v>
      </c>
      <c r="H438" t="s">
        <v>316</v>
      </c>
      <c r="I438" s="12">
        <v>0</v>
      </c>
      <c r="J438" s="12">
        <v>0</v>
      </c>
    </row>
    <row r="439" spans="1:10" x14ac:dyDescent="0.35">
      <c r="A439" t="s">
        <v>14</v>
      </c>
      <c r="B439">
        <v>102</v>
      </c>
      <c r="C439">
        <v>53225</v>
      </c>
      <c r="D439" t="s">
        <v>136</v>
      </c>
      <c r="E439" s="12">
        <v>17.989999999999998</v>
      </c>
      <c r="F439" s="12">
        <v>10.039999999999999</v>
      </c>
      <c r="G439" s="75">
        <v>46190</v>
      </c>
      <c r="H439" t="s">
        <v>340</v>
      </c>
      <c r="I439" s="12">
        <v>0</v>
      </c>
      <c r="J439" s="12">
        <v>0</v>
      </c>
    </row>
    <row r="440" spans="1:10" x14ac:dyDescent="0.35">
      <c r="A440" t="s">
        <v>14</v>
      </c>
      <c r="B440">
        <v>102</v>
      </c>
      <c r="C440">
        <v>53212</v>
      </c>
      <c r="D440" t="s">
        <v>125</v>
      </c>
      <c r="E440" s="12">
        <v>29.99</v>
      </c>
      <c r="F440" s="12">
        <v>15.38</v>
      </c>
      <c r="G440" s="75">
        <v>46188</v>
      </c>
      <c r="H440" t="s">
        <v>315</v>
      </c>
      <c r="I440" s="12">
        <v>0</v>
      </c>
      <c r="J440" s="12">
        <v>0</v>
      </c>
    </row>
    <row r="441" spans="1:10" x14ac:dyDescent="0.35">
      <c r="A441" t="s">
        <v>14</v>
      </c>
      <c r="B441">
        <v>102</v>
      </c>
      <c r="C441">
        <v>53212</v>
      </c>
      <c r="D441" t="s">
        <v>125</v>
      </c>
      <c r="E441" s="12">
        <v>29.99</v>
      </c>
      <c r="F441" s="12">
        <v>15.38</v>
      </c>
      <c r="G441" s="75">
        <v>46189</v>
      </c>
      <c r="H441" t="s">
        <v>316</v>
      </c>
      <c r="I441" s="12">
        <v>0</v>
      </c>
      <c r="J441" s="12">
        <v>0</v>
      </c>
    </row>
    <row r="442" spans="1:10" x14ac:dyDescent="0.35">
      <c r="A442" t="s">
        <v>14</v>
      </c>
      <c r="B442">
        <v>102</v>
      </c>
      <c r="C442">
        <v>53212</v>
      </c>
      <c r="D442" t="s">
        <v>125</v>
      </c>
      <c r="E442" s="12">
        <v>29.99</v>
      </c>
      <c r="F442" s="12">
        <v>15.38</v>
      </c>
      <c r="G442" s="75">
        <v>46190</v>
      </c>
      <c r="H442" t="s">
        <v>340</v>
      </c>
      <c r="I442" s="12">
        <v>0</v>
      </c>
      <c r="J442" s="12">
        <v>0</v>
      </c>
    </row>
    <row r="443" spans="1:10" x14ac:dyDescent="0.35">
      <c r="A443" t="s">
        <v>14</v>
      </c>
      <c r="B443">
        <v>102</v>
      </c>
      <c r="C443">
        <v>53210</v>
      </c>
      <c r="D443" t="s">
        <v>156</v>
      </c>
      <c r="E443" s="12">
        <v>100</v>
      </c>
      <c r="F443" s="12">
        <v>22.26</v>
      </c>
      <c r="G443" s="75">
        <v>46188</v>
      </c>
      <c r="H443" t="s">
        <v>315</v>
      </c>
      <c r="I443" s="12">
        <v>0</v>
      </c>
      <c r="J443" s="12">
        <v>0</v>
      </c>
    </row>
    <row r="444" spans="1:10" x14ac:dyDescent="0.35">
      <c r="A444" t="s">
        <v>14</v>
      </c>
      <c r="B444">
        <v>102</v>
      </c>
      <c r="C444">
        <v>53210</v>
      </c>
      <c r="D444" t="s">
        <v>156</v>
      </c>
      <c r="E444" s="12">
        <v>100</v>
      </c>
      <c r="F444" s="12">
        <v>22.26</v>
      </c>
      <c r="G444" s="75">
        <v>46189</v>
      </c>
      <c r="H444" t="s">
        <v>316</v>
      </c>
      <c r="I444" s="12">
        <v>0</v>
      </c>
      <c r="J444" s="12">
        <v>0</v>
      </c>
    </row>
    <row r="445" spans="1:10" x14ac:dyDescent="0.35">
      <c r="A445" t="s">
        <v>14</v>
      </c>
      <c r="B445">
        <v>102</v>
      </c>
      <c r="C445">
        <v>53210</v>
      </c>
      <c r="D445" t="s">
        <v>156</v>
      </c>
      <c r="E445" s="12">
        <v>100</v>
      </c>
      <c r="F445" s="12">
        <v>22.26</v>
      </c>
      <c r="G445" s="75">
        <v>46190</v>
      </c>
      <c r="H445" t="s">
        <v>340</v>
      </c>
      <c r="I445" s="12">
        <v>0</v>
      </c>
      <c r="J445" s="12">
        <v>0</v>
      </c>
    </row>
    <row r="446" spans="1:10" x14ac:dyDescent="0.35">
      <c r="A446" t="s">
        <v>14</v>
      </c>
      <c r="B446">
        <v>102</v>
      </c>
      <c r="C446">
        <v>53141</v>
      </c>
      <c r="D446" t="s">
        <v>137</v>
      </c>
      <c r="E446" s="12">
        <v>9.99</v>
      </c>
      <c r="F446" s="12">
        <v>3.26</v>
      </c>
      <c r="G446" s="75">
        <v>46188</v>
      </c>
      <c r="H446" t="s">
        <v>315</v>
      </c>
      <c r="I446" s="12">
        <v>0</v>
      </c>
      <c r="J446" s="12">
        <v>0</v>
      </c>
    </row>
    <row r="447" spans="1:10" x14ac:dyDescent="0.35">
      <c r="A447" t="s">
        <v>14</v>
      </c>
      <c r="B447">
        <v>102</v>
      </c>
      <c r="C447">
        <v>53141</v>
      </c>
      <c r="D447" t="s">
        <v>137</v>
      </c>
      <c r="E447" s="12">
        <v>9.99</v>
      </c>
      <c r="F447" s="12">
        <v>3.26</v>
      </c>
      <c r="G447" s="75">
        <v>46189</v>
      </c>
      <c r="H447" t="s">
        <v>316</v>
      </c>
      <c r="I447" s="12">
        <v>0</v>
      </c>
      <c r="J447" s="12">
        <v>0</v>
      </c>
    </row>
    <row r="448" spans="1:10" x14ac:dyDescent="0.35">
      <c r="A448" t="s">
        <v>14</v>
      </c>
      <c r="B448">
        <v>102</v>
      </c>
      <c r="C448">
        <v>53141</v>
      </c>
      <c r="D448" t="s">
        <v>137</v>
      </c>
      <c r="E448" s="12">
        <v>9.99</v>
      </c>
      <c r="F448" s="12">
        <v>3.26</v>
      </c>
      <c r="G448" s="75">
        <v>46190</v>
      </c>
      <c r="H448" t="s">
        <v>340</v>
      </c>
      <c r="I448" s="12">
        <v>0</v>
      </c>
      <c r="J448" s="12">
        <v>0</v>
      </c>
    </row>
    <row r="449" spans="1:10" x14ac:dyDescent="0.35">
      <c r="A449" t="s">
        <v>14</v>
      </c>
      <c r="B449">
        <v>102</v>
      </c>
      <c r="C449">
        <v>53119</v>
      </c>
      <c r="D449" t="s">
        <v>147</v>
      </c>
      <c r="E449" s="12">
        <v>4.99</v>
      </c>
      <c r="F449" s="12">
        <v>1.29</v>
      </c>
      <c r="G449" s="75">
        <v>46188</v>
      </c>
      <c r="H449" t="s">
        <v>315</v>
      </c>
      <c r="I449" s="12">
        <v>0</v>
      </c>
      <c r="J449" s="12">
        <v>0</v>
      </c>
    </row>
    <row r="450" spans="1:10" x14ac:dyDescent="0.35">
      <c r="A450" t="s">
        <v>14</v>
      </c>
      <c r="B450">
        <v>102</v>
      </c>
      <c r="C450">
        <v>53119</v>
      </c>
      <c r="D450" t="s">
        <v>147</v>
      </c>
      <c r="E450" s="12">
        <v>4.99</v>
      </c>
      <c r="F450" s="12">
        <v>1.29</v>
      </c>
      <c r="G450" s="75">
        <v>46189</v>
      </c>
      <c r="H450" t="s">
        <v>316</v>
      </c>
      <c r="I450" s="12">
        <v>0</v>
      </c>
      <c r="J450" s="12">
        <v>0</v>
      </c>
    </row>
    <row r="451" spans="1:10" x14ac:dyDescent="0.35">
      <c r="A451" t="s">
        <v>14</v>
      </c>
      <c r="B451">
        <v>102</v>
      </c>
      <c r="C451">
        <v>53119</v>
      </c>
      <c r="D451" t="s">
        <v>147</v>
      </c>
      <c r="E451" s="12">
        <v>4.99</v>
      </c>
      <c r="F451" s="12">
        <v>1.29</v>
      </c>
      <c r="G451" s="75">
        <v>46190</v>
      </c>
      <c r="H451" t="s">
        <v>340</v>
      </c>
      <c r="I451" s="12">
        <v>0</v>
      </c>
      <c r="J451" s="12">
        <v>0</v>
      </c>
    </row>
    <row r="452" spans="1:10" x14ac:dyDescent="0.35">
      <c r="A452" t="s">
        <v>14</v>
      </c>
      <c r="B452">
        <v>102</v>
      </c>
      <c r="C452">
        <v>50682</v>
      </c>
      <c r="D452" t="s">
        <v>132</v>
      </c>
      <c r="E452" s="12">
        <v>15.99</v>
      </c>
      <c r="F452" s="12">
        <v>7.86</v>
      </c>
      <c r="G452" s="75">
        <v>46188</v>
      </c>
      <c r="H452" t="s">
        <v>315</v>
      </c>
      <c r="I452" s="12">
        <v>0</v>
      </c>
      <c r="J452" s="12">
        <v>0</v>
      </c>
    </row>
    <row r="453" spans="1:10" x14ac:dyDescent="0.35">
      <c r="A453" t="s">
        <v>14</v>
      </c>
      <c r="B453">
        <v>102</v>
      </c>
      <c r="C453">
        <v>50682</v>
      </c>
      <c r="D453" t="s">
        <v>132</v>
      </c>
      <c r="E453" s="12">
        <v>15.99</v>
      </c>
      <c r="F453" s="12">
        <v>7.86</v>
      </c>
      <c r="G453" s="75">
        <v>46189</v>
      </c>
      <c r="H453" t="s">
        <v>316</v>
      </c>
      <c r="I453" s="12">
        <v>0</v>
      </c>
      <c r="J453" s="12">
        <v>0</v>
      </c>
    </row>
    <row r="454" spans="1:10" x14ac:dyDescent="0.35">
      <c r="A454" t="s">
        <v>14</v>
      </c>
      <c r="B454">
        <v>102</v>
      </c>
      <c r="C454">
        <v>50682</v>
      </c>
      <c r="D454" t="s">
        <v>132</v>
      </c>
      <c r="E454" s="12">
        <v>15.99</v>
      </c>
      <c r="F454" s="12">
        <v>7.86</v>
      </c>
      <c r="G454" s="75">
        <v>46190</v>
      </c>
      <c r="H454" t="s">
        <v>340</v>
      </c>
      <c r="I454" s="12">
        <v>0</v>
      </c>
      <c r="J454" s="12">
        <v>0</v>
      </c>
    </row>
    <row r="455" spans="1:10" x14ac:dyDescent="0.35">
      <c r="A455" t="s">
        <v>107</v>
      </c>
      <c r="B455">
        <v>102</v>
      </c>
      <c r="C455">
        <v>48861</v>
      </c>
      <c r="D455" t="s">
        <v>111</v>
      </c>
      <c r="E455" s="12">
        <v>50</v>
      </c>
      <c r="F455" s="12">
        <v>30</v>
      </c>
      <c r="G455" s="75">
        <v>46188</v>
      </c>
      <c r="H455" t="s">
        <v>315</v>
      </c>
      <c r="I455" s="12">
        <v>0</v>
      </c>
      <c r="J455" s="12">
        <v>0</v>
      </c>
    </row>
    <row r="456" spans="1:10" x14ac:dyDescent="0.35">
      <c r="A456" t="s">
        <v>107</v>
      </c>
      <c r="B456">
        <v>102</v>
      </c>
      <c r="C456">
        <v>48861</v>
      </c>
      <c r="D456" t="s">
        <v>111</v>
      </c>
      <c r="E456" s="12">
        <v>50</v>
      </c>
      <c r="F456" s="12">
        <v>30</v>
      </c>
      <c r="G456" s="75">
        <v>46189</v>
      </c>
      <c r="H456" t="s">
        <v>316</v>
      </c>
      <c r="I456" s="12">
        <v>0</v>
      </c>
      <c r="J456" s="12">
        <v>0</v>
      </c>
    </row>
    <row r="457" spans="1:10" x14ac:dyDescent="0.35">
      <c r="A457" t="s">
        <v>107</v>
      </c>
      <c r="B457">
        <v>102</v>
      </c>
      <c r="C457">
        <v>48861</v>
      </c>
      <c r="D457" t="s">
        <v>111</v>
      </c>
      <c r="E457" s="12">
        <v>50</v>
      </c>
      <c r="F457" s="12">
        <v>30</v>
      </c>
      <c r="G457" s="75">
        <v>46190</v>
      </c>
      <c r="H457" t="s">
        <v>340</v>
      </c>
      <c r="I457" s="12">
        <v>0</v>
      </c>
      <c r="J457" s="12">
        <v>0</v>
      </c>
    </row>
    <row r="458" spans="1:10" x14ac:dyDescent="0.35">
      <c r="A458" t="s">
        <v>35</v>
      </c>
      <c r="B458">
        <v>102</v>
      </c>
      <c r="C458">
        <v>48683</v>
      </c>
      <c r="D458" t="s">
        <v>192</v>
      </c>
      <c r="E458" s="12">
        <v>11.99</v>
      </c>
      <c r="F458" s="12">
        <v>6.6272857142857147</v>
      </c>
      <c r="G458" s="75">
        <v>46188</v>
      </c>
      <c r="H458" t="s">
        <v>315</v>
      </c>
      <c r="I458" s="12">
        <v>0</v>
      </c>
      <c r="J458" s="12">
        <v>0</v>
      </c>
    </row>
    <row r="459" spans="1:10" x14ac:dyDescent="0.35">
      <c r="A459" t="s">
        <v>35</v>
      </c>
      <c r="B459">
        <v>102</v>
      </c>
      <c r="C459">
        <v>48683</v>
      </c>
      <c r="D459" t="s">
        <v>192</v>
      </c>
      <c r="E459" s="12">
        <v>11.99</v>
      </c>
      <c r="F459" s="12">
        <v>6.6272857142857147</v>
      </c>
      <c r="G459" s="75">
        <v>46189</v>
      </c>
      <c r="H459" t="s">
        <v>316</v>
      </c>
      <c r="I459" s="12">
        <v>0</v>
      </c>
      <c r="J459" s="12">
        <v>0</v>
      </c>
    </row>
    <row r="460" spans="1:10" x14ac:dyDescent="0.35">
      <c r="A460" t="s">
        <v>35</v>
      </c>
      <c r="B460">
        <v>102</v>
      </c>
      <c r="C460">
        <v>48683</v>
      </c>
      <c r="D460" t="s">
        <v>192</v>
      </c>
      <c r="E460" s="12">
        <v>11.99</v>
      </c>
      <c r="F460" s="12">
        <v>6.6272857142857147</v>
      </c>
      <c r="G460" s="75">
        <v>46190</v>
      </c>
      <c r="H460" t="s">
        <v>340</v>
      </c>
      <c r="I460" s="12">
        <v>0</v>
      </c>
      <c r="J460" s="12">
        <v>0</v>
      </c>
    </row>
    <row r="461" spans="1:10" x14ac:dyDescent="0.35">
      <c r="A461" t="s">
        <v>35</v>
      </c>
      <c r="B461">
        <v>102</v>
      </c>
      <c r="C461">
        <v>48620</v>
      </c>
      <c r="D461" t="s">
        <v>153</v>
      </c>
      <c r="E461" s="12">
        <v>37.99</v>
      </c>
      <c r="F461" s="12">
        <v>19.462499999999999</v>
      </c>
      <c r="G461" s="75">
        <v>46188</v>
      </c>
      <c r="H461" t="s">
        <v>315</v>
      </c>
      <c r="I461" s="12">
        <v>0</v>
      </c>
      <c r="J461" s="12">
        <v>0</v>
      </c>
    </row>
    <row r="462" spans="1:10" x14ac:dyDescent="0.35">
      <c r="A462" t="s">
        <v>35</v>
      </c>
      <c r="B462">
        <v>102</v>
      </c>
      <c r="C462">
        <v>48620</v>
      </c>
      <c r="D462" t="s">
        <v>153</v>
      </c>
      <c r="E462" s="12">
        <v>37.99</v>
      </c>
      <c r="F462" s="12">
        <v>19.462499999999999</v>
      </c>
      <c r="G462" s="75">
        <v>46189</v>
      </c>
      <c r="H462" t="s">
        <v>316</v>
      </c>
      <c r="I462" s="12">
        <v>33.03478260869565</v>
      </c>
      <c r="J462" s="12">
        <v>1</v>
      </c>
    </row>
    <row r="463" spans="1:10" x14ac:dyDescent="0.35">
      <c r="A463" t="s">
        <v>35</v>
      </c>
      <c r="B463">
        <v>102</v>
      </c>
      <c r="C463">
        <v>48620</v>
      </c>
      <c r="D463" t="s">
        <v>153</v>
      </c>
      <c r="E463" s="12">
        <v>37.99</v>
      </c>
      <c r="F463" s="12">
        <v>19.462499999999999</v>
      </c>
      <c r="G463" s="75">
        <v>46190</v>
      </c>
      <c r="H463" t="s">
        <v>340</v>
      </c>
      <c r="I463" s="12">
        <v>66.0695652173913</v>
      </c>
      <c r="J463" s="12">
        <v>2</v>
      </c>
    </row>
    <row r="464" spans="1:10" x14ac:dyDescent="0.35">
      <c r="A464" t="s">
        <v>19</v>
      </c>
      <c r="B464">
        <v>109</v>
      </c>
      <c r="C464">
        <v>48604</v>
      </c>
      <c r="D464" t="s">
        <v>250</v>
      </c>
      <c r="E464" s="12">
        <v>189.99</v>
      </c>
      <c r="F464" s="12">
        <v>107.69200000000001</v>
      </c>
      <c r="G464" s="75">
        <v>46188</v>
      </c>
      <c r="H464" t="s">
        <v>315</v>
      </c>
      <c r="I464" s="12">
        <v>0</v>
      </c>
      <c r="J464" s="12">
        <v>0</v>
      </c>
    </row>
    <row r="465" spans="1:10" x14ac:dyDescent="0.35">
      <c r="A465" t="s">
        <v>19</v>
      </c>
      <c r="B465">
        <v>109</v>
      </c>
      <c r="C465">
        <v>48604</v>
      </c>
      <c r="D465" t="s">
        <v>250</v>
      </c>
      <c r="E465" s="12">
        <v>189.99</v>
      </c>
      <c r="F465" s="12">
        <v>107.69200000000001</v>
      </c>
      <c r="G465" s="75">
        <v>46189</v>
      </c>
      <c r="H465" t="s">
        <v>316</v>
      </c>
      <c r="I465" s="12">
        <v>0</v>
      </c>
      <c r="J465" s="12">
        <v>0</v>
      </c>
    </row>
    <row r="466" spans="1:10" x14ac:dyDescent="0.35">
      <c r="A466" t="s">
        <v>19</v>
      </c>
      <c r="B466">
        <v>109</v>
      </c>
      <c r="C466">
        <v>48604</v>
      </c>
      <c r="D466" t="s">
        <v>250</v>
      </c>
      <c r="E466" s="12">
        <v>189.99</v>
      </c>
      <c r="F466" s="12">
        <v>107.69200000000001</v>
      </c>
      <c r="G466" s="75">
        <v>46190</v>
      </c>
      <c r="H466" t="s">
        <v>340</v>
      </c>
      <c r="I466" s="12">
        <v>0</v>
      </c>
      <c r="J466" s="12">
        <v>0</v>
      </c>
    </row>
    <row r="467" spans="1:10" x14ac:dyDescent="0.35">
      <c r="A467" t="s">
        <v>19</v>
      </c>
      <c r="B467">
        <v>102</v>
      </c>
      <c r="C467">
        <v>46909</v>
      </c>
      <c r="D467" t="s">
        <v>152</v>
      </c>
      <c r="E467" s="12">
        <v>10.99</v>
      </c>
      <c r="F467" s="12">
        <v>5.7054999999999998</v>
      </c>
      <c r="G467" s="75">
        <v>46188</v>
      </c>
      <c r="H467" t="s">
        <v>315</v>
      </c>
      <c r="I467" s="12">
        <v>0</v>
      </c>
      <c r="J467" s="12">
        <v>0</v>
      </c>
    </row>
    <row r="468" spans="1:10" x14ac:dyDescent="0.35">
      <c r="A468" t="s">
        <v>19</v>
      </c>
      <c r="B468">
        <v>102</v>
      </c>
      <c r="C468">
        <v>46909</v>
      </c>
      <c r="D468" t="s">
        <v>152</v>
      </c>
      <c r="E468" s="12">
        <v>10.99</v>
      </c>
      <c r="F468" s="12">
        <v>5.7054999999999998</v>
      </c>
      <c r="G468" s="75">
        <v>46189</v>
      </c>
      <c r="H468" t="s">
        <v>316</v>
      </c>
      <c r="I468" s="12">
        <v>0</v>
      </c>
      <c r="J468" s="12">
        <v>0</v>
      </c>
    </row>
    <row r="469" spans="1:10" x14ac:dyDescent="0.35">
      <c r="A469" t="s">
        <v>19</v>
      </c>
      <c r="B469">
        <v>102</v>
      </c>
      <c r="C469">
        <v>46909</v>
      </c>
      <c r="D469" t="s">
        <v>152</v>
      </c>
      <c r="E469" s="12">
        <v>10.99</v>
      </c>
      <c r="F469" s="12">
        <v>5.7054999999999998</v>
      </c>
      <c r="G469" s="75">
        <v>46190</v>
      </c>
      <c r="H469" t="s">
        <v>340</v>
      </c>
      <c r="I469" s="12">
        <v>0</v>
      </c>
      <c r="J469" s="12">
        <v>0</v>
      </c>
    </row>
    <row r="470" spans="1:10" x14ac:dyDescent="0.35">
      <c r="A470" t="s">
        <v>14</v>
      </c>
      <c r="B470">
        <v>102</v>
      </c>
      <c r="C470">
        <v>46797</v>
      </c>
      <c r="D470" t="s">
        <v>161</v>
      </c>
      <c r="E470" s="12">
        <v>39.99</v>
      </c>
      <c r="F470" s="12">
        <v>25</v>
      </c>
      <c r="G470" s="75">
        <v>46188</v>
      </c>
      <c r="H470" t="s">
        <v>315</v>
      </c>
      <c r="I470" s="12">
        <v>0</v>
      </c>
      <c r="J470" s="12">
        <v>0</v>
      </c>
    </row>
    <row r="471" spans="1:10" x14ac:dyDescent="0.35">
      <c r="A471" t="s">
        <v>14</v>
      </c>
      <c r="B471">
        <v>102</v>
      </c>
      <c r="C471">
        <v>46797</v>
      </c>
      <c r="D471" t="s">
        <v>161</v>
      </c>
      <c r="E471" s="12">
        <v>39.99</v>
      </c>
      <c r="F471" s="12">
        <v>25</v>
      </c>
      <c r="G471" s="75">
        <v>46189</v>
      </c>
      <c r="H471" t="s">
        <v>316</v>
      </c>
      <c r="I471" s="12">
        <v>0</v>
      </c>
      <c r="J471" s="12">
        <v>0</v>
      </c>
    </row>
    <row r="472" spans="1:10" x14ac:dyDescent="0.35">
      <c r="A472" t="s">
        <v>14</v>
      </c>
      <c r="B472">
        <v>102</v>
      </c>
      <c r="C472">
        <v>46797</v>
      </c>
      <c r="D472" t="s">
        <v>161</v>
      </c>
      <c r="E472" s="12">
        <v>39.99</v>
      </c>
      <c r="F472" s="12">
        <v>25</v>
      </c>
      <c r="G472" s="75">
        <v>46190</v>
      </c>
      <c r="H472" t="s">
        <v>340</v>
      </c>
      <c r="I472" s="12">
        <v>0</v>
      </c>
      <c r="J472" s="12">
        <v>0</v>
      </c>
    </row>
    <row r="473" spans="1:10" x14ac:dyDescent="0.35">
      <c r="A473" t="s">
        <v>14</v>
      </c>
      <c r="B473">
        <v>113</v>
      </c>
      <c r="C473">
        <v>46072</v>
      </c>
      <c r="D473" t="s">
        <v>252</v>
      </c>
      <c r="E473" s="12">
        <v>44.99</v>
      </c>
      <c r="F473" s="12">
        <v>26.64</v>
      </c>
      <c r="G473" s="75">
        <v>46188</v>
      </c>
      <c r="H473" t="s">
        <v>315</v>
      </c>
      <c r="I473" s="12">
        <v>0</v>
      </c>
      <c r="J473" s="12">
        <v>0</v>
      </c>
    </row>
    <row r="474" spans="1:10" x14ac:dyDescent="0.35">
      <c r="A474" t="s">
        <v>14</v>
      </c>
      <c r="B474">
        <v>113</v>
      </c>
      <c r="C474">
        <v>46072</v>
      </c>
      <c r="D474" t="s">
        <v>252</v>
      </c>
      <c r="E474" s="12">
        <v>44.99</v>
      </c>
      <c r="F474" s="12">
        <v>26.64</v>
      </c>
      <c r="G474" s="75">
        <v>46189</v>
      </c>
      <c r="H474" t="s">
        <v>316</v>
      </c>
      <c r="I474" s="12">
        <v>0</v>
      </c>
      <c r="J474" s="12">
        <v>0</v>
      </c>
    </row>
    <row r="475" spans="1:10" x14ac:dyDescent="0.35">
      <c r="A475" t="s">
        <v>14</v>
      </c>
      <c r="B475">
        <v>113</v>
      </c>
      <c r="C475">
        <v>46072</v>
      </c>
      <c r="D475" t="s">
        <v>252</v>
      </c>
      <c r="E475" s="12">
        <v>44.99</v>
      </c>
      <c r="F475" s="12">
        <v>26.64</v>
      </c>
      <c r="G475" s="75">
        <v>46190</v>
      </c>
      <c r="H475" t="s">
        <v>340</v>
      </c>
      <c r="I475" s="12">
        <v>0</v>
      </c>
      <c r="J475" s="12">
        <v>0</v>
      </c>
    </row>
    <row r="476" spans="1:10" x14ac:dyDescent="0.35">
      <c r="A476" t="s">
        <v>19</v>
      </c>
      <c r="B476">
        <v>101</v>
      </c>
      <c r="C476">
        <v>43420</v>
      </c>
      <c r="D476" t="s">
        <v>77</v>
      </c>
      <c r="E476" s="12">
        <v>13.99</v>
      </c>
      <c r="F476" s="12">
        <v>8.3665000000000003</v>
      </c>
      <c r="G476" s="75">
        <v>46188</v>
      </c>
      <c r="H476" t="s">
        <v>315</v>
      </c>
      <c r="I476" s="12">
        <v>0</v>
      </c>
      <c r="J476" s="12">
        <v>0</v>
      </c>
    </row>
    <row r="477" spans="1:10" x14ac:dyDescent="0.35">
      <c r="A477" t="s">
        <v>19</v>
      </c>
      <c r="B477">
        <v>101</v>
      </c>
      <c r="C477">
        <v>43420</v>
      </c>
      <c r="D477" t="s">
        <v>77</v>
      </c>
      <c r="E477" s="12">
        <v>13.99</v>
      </c>
      <c r="F477" s="12">
        <v>8.3665000000000003</v>
      </c>
      <c r="G477" s="75">
        <v>46189</v>
      </c>
      <c r="H477" t="s">
        <v>316</v>
      </c>
      <c r="I477" s="12">
        <v>0</v>
      </c>
      <c r="J477" s="12">
        <v>0</v>
      </c>
    </row>
    <row r="478" spans="1:10" x14ac:dyDescent="0.35">
      <c r="A478" t="s">
        <v>19</v>
      </c>
      <c r="B478">
        <v>101</v>
      </c>
      <c r="C478">
        <v>43420</v>
      </c>
      <c r="D478" t="s">
        <v>77</v>
      </c>
      <c r="E478" s="12">
        <v>13.99</v>
      </c>
      <c r="F478" s="12">
        <v>8.3665000000000003</v>
      </c>
      <c r="G478" s="75">
        <v>46190</v>
      </c>
      <c r="H478" t="s">
        <v>340</v>
      </c>
      <c r="I478" s="12">
        <v>0</v>
      </c>
      <c r="J478" s="12">
        <v>0</v>
      </c>
    </row>
    <row r="479" spans="1:10" x14ac:dyDescent="0.35">
      <c r="A479" t="s">
        <v>19</v>
      </c>
      <c r="B479">
        <v>102</v>
      </c>
      <c r="C479">
        <v>42674</v>
      </c>
      <c r="D479" t="s">
        <v>183</v>
      </c>
      <c r="E479" s="12">
        <v>5.49</v>
      </c>
      <c r="F479" s="12">
        <v>2.788416666666667</v>
      </c>
      <c r="G479" s="75">
        <v>46188</v>
      </c>
      <c r="H479" t="s">
        <v>315</v>
      </c>
      <c r="I479" s="12">
        <v>0</v>
      </c>
      <c r="J479" s="12">
        <v>0</v>
      </c>
    </row>
    <row r="480" spans="1:10" x14ac:dyDescent="0.35">
      <c r="A480" t="s">
        <v>19</v>
      </c>
      <c r="B480">
        <v>102</v>
      </c>
      <c r="C480">
        <v>42674</v>
      </c>
      <c r="D480" t="s">
        <v>183</v>
      </c>
      <c r="E480" s="12">
        <v>5.49</v>
      </c>
      <c r="F480" s="12">
        <v>2.788416666666667</v>
      </c>
      <c r="G480" s="75">
        <v>46189</v>
      </c>
      <c r="H480" t="s">
        <v>316</v>
      </c>
      <c r="I480" s="12">
        <v>0</v>
      </c>
      <c r="J480" s="12">
        <v>0</v>
      </c>
    </row>
    <row r="481" spans="1:10" x14ac:dyDescent="0.35">
      <c r="A481" t="s">
        <v>19</v>
      </c>
      <c r="B481">
        <v>102</v>
      </c>
      <c r="C481">
        <v>42674</v>
      </c>
      <c r="D481" t="s">
        <v>183</v>
      </c>
      <c r="E481" s="12">
        <v>5.49</v>
      </c>
      <c r="F481" s="12">
        <v>2.788416666666667</v>
      </c>
      <c r="G481" s="75">
        <v>46190</v>
      </c>
      <c r="H481" t="s">
        <v>340</v>
      </c>
      <c r="I481" s="12">
        <v>0</v>
      </c>
      <c r="J481" s="12">
        <v>0</v>
      </c>
    </row>
    <row r="482" spans="1:10" x14ac:dyDescent="0.35">
      <c r="A482" t="s">
        <v>14</v>
      </c>
      <c r="B482">
        <v>101</v>
      </c>
      <c r="C482">
        <v>42401</v>
      </c>
      <c r="D482" t="s">
        <v>38</v>
      </c>
      <c r="E482" s="12">
        <v>14.99</v>
      </c>
      <c r="F482" s="12">
        <v>6.62</v>
      </c>
      <c r="G482" s="75">
        <v>46188</v>
      </c>
      <c r="H482" t="s">
        <v>315</v>
      </c>
      <c r="I482" s="12">
        <v>0</v>
      </c>
      <c r="J482" s="12">
        <v>0</v>
      </c>
    </row>
    <row r="483" spans="1:10" x14ac:dyDescent="0.35">
      <c r="A483" t="s">
        <v>14</v>
      </c>
      <c r="B483">
        <v>101</v>
      </c>
      <c r="C483">
        <v>42401</v>
      </c>
      <c r="D483" t="s">
        <v>38</v>
      </c>
      <c r="E483" s="12">
        <v>14.99</v>
      </c>
      <c r="F483" s="12">
        <v>6.62</v>
      </c>
      <c r="G483" s="75">
        <v>46189</v>
      </c>
      <c r="H483" t="s">
        <v>316</v>
      </c>
      <c r="I483" s="12">
        <v>130.34782608695653</v>
      </c>
      <c r="J483" s="12">
        <v>10</v>
      </c>
    </row>
    <row r="484" spans="1:10" x14ac:dyDescent="0.35">
      <c r="A484" t="s">
        <v>14</v>
      </c>
      <c r="B484">
        <v>101</v>
      </c>
      <c r="C484">
        <v>42401</v>
      </c>
      <c r="D484" t="s">
        <v>38</v>
      </c>
      <c r="E484" s="12">
        <v>14.99</v>
      </c>
      <c r="F484" s="12">
        <v>6.62</v>
      </c>
      <c r="G484" s="75">
        <v>46190</v>
      </c>
      <c r="H484" t="s">
        <v>340</v>
      </c>
      <c r="I484" s="12">
        <v>37.799999999999997</v>
      </c>
      <c r="J484" s="12">
        <v>3</v>
      </c>
    </row>
    <row r="485" spans="1:10" x14ac:dyDescent="0.35">
      <c r="A485" t="s">
        <v>14</v>
      </c>
      <c r="B485">
        <v>106</v>
      </c>
      <c r="C485">
        <v>42296</v>
      </c>
      <c r="D485" t="s">
        <v>246</v>
      </c>
      <c r="E485" s="12">
        <v>4.99</v>
      </c>
      <c r="F485" s="12">
        <v>2.97</v>
      </c>
      <c r="G485" s="75">
        <v>46188</v>
      </c>
      <c r="H485" t="s">
        <v>315</v>
      </c>
      <c r="I485" s="12">
        <v>0</v>
      </c>
      <c r="J485" s="12">
        <v>0</v>
      </c>
    </row>
    <row r="486" spans="1:10" x14ac:dyDescent="0.35">
      <c r="A486" t="s">
        <v>14</v>
      </c>
      <c r="B486">
        <v>106</v>
      </c>
      <c r="C486">
        <v>42296</v>
      </c>
      <c r="D486" t="s">
        <v>246</v>
      </c>
      <c r="E486" s="12">
        <v>4.99</v>
      </c>
      <c r="F486" s="12">
        <v>2.97</v>
      </c>
      <c r="G486" s="75">
        <v>46189</v>
      </c>
      <c r="H486" t="s">
        <v>316</v>
      </c>
      <c r="I486" s="12">
        <v>0</v>
      </c>
      <c r="J486" s="12">
        <v>0</v>
      </c>
    </row>
    <row r="487" spans="1:10" x14ac:dyDescent="0.35">
      <c r="A487" t="s">
        <v>14</v>
      </c>
      <c r="B487">
        <v>106</v>
      </c>
      <c r="C487">
        <v>42296</v>
      </c>
      <c r="D487" t="s">
        <v>246</v>
      </c>
      <c r="E487" s="12">
        <v>4.99</v>
      </c>
      <c r="F487" s="12">
        <v>2.97</v>
      </c>
      <c r="G487" s="75">
        <v>46190</v>
      </c>
      <c r="H487" t="s">
        <v>340</v>
      </c>
      <c r="I487" s="12">
        <v>0</v>
      </c>
      <c r="J487" s="12">
        <v>0</v>
      </c>
    </row>
    <row r="488" spans="1:10" x14ac:dyDescent="0.35">
      <c r="A488" t="s">
        <v>14</v>
      </c>
      <c r="B488">
        <v>117</v>
      </c>
      <c r="C488">
        <v>41620</v>
      </c>
      <c r="D488" t="s">
        <v>255</v>
      </c>
      <c r="E488" s="12">
        <v>15.99</v>
      </c>
      <c r="F488" s="12">
        <v>8.11</v>
      </c>
      <c r="G488" s="75">
        <v>46188</v>
      </c>
      <c r="H488" t="s">
        <v>315</v>
      </c>
      <c r="I488" s="12">
        <v>0</v>
      </c>
      <c r="J488" s="12">
        <v>0</v>
      </c>
    </row>
    <row r="489" spans="1:10" x14ac:dyDescent="0.35">
      <c r="A489" t="s">
        <v>14</v>
      </c>
      <c r="B489">
        <v>117</v>
      </c>
      <c r="C489">
        <v>41620</v>
      </c>
      <c r="D489" t="s">
        <v>255</v>
      </c>
      <c r="E489" s="12">
        <v>15.99</v>
      </c>
      <c r="F489" s="12">
        <v>8.11</v>
      </c>
      <c r="G489" s="75">
        <v>46189</v>
      </c>
      <c r="H489" t="s">
        <v>316</v>
      </c>
      <c r="I489" s="12">
        <v>0</v>
      </c>
      <c r="J489" s="12">
        <v>0</v>
      </c>
    </row>
    <row r="490" spans="1:10" x14ac:dyDescent="0.35">
      <c r="A490" t="s">
        <v>14</v>
      </c>
      <c r="B490">
        <v>117</v>
      </c>
      <c r="C490">
        <v>41620</v>
      </c>
      <c r="D490" t="s">
        <v>255</v>
      </c>
      <c r="E490" s="12">
        <v>15.99</v>
      </c>
      <c r="F490" s="12">
        <v>8.11</v>
      </c>
      <c r="G490" s="75">
        <v>46190</v>
      </c>
      <c r="H490" t="s">
        <v>340</v>
      </c>
      <c r="I490" s="12">
        <v>13.904347826086957</v>
      </c>
      <c r="J490" s="12">
        <v>1</v>
      </c>
    </row>
    <row r="491" spans="1:10" x14ac:dyDescent="0.35">
      <c r="A491" t="s">
        <v>14</v>
      </c>
      <c r="B491">
        <v>101</v>
      </c>
      <c r="C491">
        <v>41464</v>
      </c>
      <c r="D491" t="s">
        <v>45</v>
      </c>
      <c r="E491" s="12">
        <v>16.989999999999998</v>
      </c>
      <c r="F491" s="12">
        <v>7.73</v>
      </c>
      <c r="G491" s="75">
        <v>46188</v>
      </c>
      <c r="H491" t="s">
        <v>315</v>
      </c>
      <c r="I491" s="12">
        <v>0</v>
      </c>
      <c r="J491" s="12">
        <v>0</v>
      </c>
    </row>
    <row r="492" spans="1:10" x14ac:dyDescent="0.35">
      <c r="A492" t="s">
        <v>14</v>
      </c>
      <c r="B492">
        <v>101</v>
      </c>
      <c r="C492">
        <v>41464</v>
      </c>
      <c r="D492" t="s">
        <v>45</v>
      </c>
      <c r="E492" s="12">
        <v>16.989999999999998</v>
      </c>
      <c r="F492" s="12">
        <v>7.73</v>
      </c>
      <c r="G492" s="75">
        <v>46189</v>
      </c>
      <c r="H492" t="s">
        <v>316</v>
      </c>
      <c r="I492" s="12">
        <v>0</v>
      </c>
      <c r="J492" s="12">
        <v>0</v>
      </c>
    </row>
    <row r="493" spans="1:10" x14ac:dyDescent="0.35">
      <c r="A493" t="s">
        <v>14</v>
      </c>
      <c r="B493">
        <v>101</v>
      </c>
      <c r="C493">
        <v>41464</v>
      </c>
      <c r="D493" t="s">
        <v>45</v>
      </c>
      <c r="E493" s="12">
        <v>16.989999999999998</v>
      </c>
      <c r="F493" s="12">
        <v>7.73</v>
      </c>
      <c r="G493" s="75">
        <v>46190</v>
      </c>
      <c r="H493" t="s">
        <v>340</v>
      </c>
      <c r="I493" s="12">
        <v>0</v>
      </c>
      <c r="J493" s="12">
        <v>0</v>
      </c>
    </row>
    <row r="494" spans="1:10" x14ac:dyDescent="0.35">
      <c r="A494" t="s">
        <v>107</v>
      </c>
      <c r="B494">
        <v>1821</v>
      </c>
      <c r="C494">
        <v>40827</v>
      </c>
      <c r="D494" t="s">
        <v>289</v>
      </c>
      <c r="E494" s="12">
        <v>29.99</v>
      </c>
      <c r="F494" s="12">
        <v>29.25</v>
      </c>
      <c r="G494" s="75">
        <v>46188</v>
      </c>
      <c r="H494" t="s">
        <v>315</v>
      </c>
      <c r="I494" s="12">
        <v>0</v>
      </c>
      <c r="J494" s="12">
        <v>0</v>
      </c>
    </row>
    <row r="495" spans="1:10" x14ac:dyDescent="0.35">
      <c r="A495" t="s">
        <v>107</v>
      </c>
      <c r="B495">
        <v>1821</v>
      </c>
      <c r="C495">
        <v>40827</v>
      </c>
      <c r="D495" t="s">
        <v>289</v>
      </c>
      <c r="E495" s="12">
        <v>29.99</v>
      </c>
      <c r="F495" s="12">
        <v>29.25</v>
      </c>
      <c r="G495" s="75">
        <v>46189</v>
      </c>
      <c r="H495" t="s">
        <v>316</v>
      </c>
      <c r="I495" s="12">
        <v>0</v>
      </c>
      <c r="J495" s="12">
        <v>0</v>
      </c>
    </row>
    <row r="496" spans="1:10" x14ac:dyDescent="0.35">
      <c r="A496" t="s">
        <v>107</v>
      </c>
      <c r="B496">
        <v>1821</v>
      </c>
      <c r="C496">
        <v>40827</v>
      </c>
      <c r="D496" t="s">
        <v>289</v>
      </c>
      <c r="E496" s="12">
        <v>29.99</v>
      </c>
      <c r="F496" s="12">
        <v>29.25</v>
      </c>
      <c r="G496" s="75">
        <v>46190</v>
      </c>
      <c r="H496" t="s">
        <v>340</v>
      </c>
      <c r="I496" s="12">
        <v>0</v>
      </c>
      <c r="J496" s="12">
        <v>0</v>
      </c>
    </row>
    <row r="497" spans="1:10" x14ac:dyDescent="0.35">
      <c r="A497" t="s">
        <v>14</v>
      </c>
      <c r="B497">
        <v>118</v>
      </c>
      <c r="C497">
        <v>40809</v>
      </c>
      <c r="D497" t="s">
        <v>260</v>
      </c>
      <c r="E497" s="12">
        <v>15.99</v>
      </c>
      <c r="F497" s="12">
        <v>6.5</v>
      </c>
      <c r="G497" s="75">
        <v>46188</v>
      </c>
      <c r="H497" t="s">
        <v>315</v>
      </c>
      <c r="I497" s="12">
        <v>0</v>
      </c>
      <c r="J497" s="12">
        <v>0</v>
      </c>
    </row>
    <row r="498" spans="1:10" x14ac:dyDescent="0.35">
      <c r="A498" t="s">
        <v>14</v>
      </c>
      <c r="B498">
        <v>118</v>
      </c>
      <c r="C498">
        <v>40809</v>
      </c>
      <c r="D498" t="s">
        <v>260</v>
      </c>
      <c r="E498" s="12">
        <v>15.99</v>
      </c>
      <c r="F498" s="12">
        <v>6.5</v>
      </c>
      <c r="G498" s="75">
        <v>46189</v>
      </c>
      <c r="H498" t="s">
        <v>316</v>
      </c>
      <c r="I498" s="12">
        <v>0</v>
      </c>
      <c r="J498" s="12">
        <v>0</v>
      </c>
    </row>
    <row r="499" spans="1:10" x14ac:dyDescent="0.35">
      <c r="A499" t="s">
        <v>14</v>
      </c>
      <c r="B499">
        <v>118</v>
      </c>
      <c r="C499">
        <v>40809</v>
      </c>
      <c r="D499" t="s">
        <v>260</v>
      </c>
      <c r="E499" s="12">
        <v>15.99</v>
      </c>
      <c r="F499" s="12">
        <v>6.5</v>
      </c>
      <c r="G499" s="75">
        <v>46190</v>
      </c>
      <c r="H499" t="s">
        <v>340</v>
      </c>
      <c r="I499" s="12">
        <v>0</v>
      </c>
      <c r="J499" s="12">
        <v>0</v>
      </c>
    </row>
    <row r="500" spans="1:10" x14ac:dyDescent="0.35">
      <c r="A500" t="s">
        <v>14</v>
      </c>
      <c r="B500">
        <v>104</v>
      </c>
      <c r="C500">
        <v>40732</v>
      </c>
      <c r="D500" t="s">
        <v>239</v>
      </c>
      <c r="E500" s="12">
        <v>15</v>
      </c>
      <c r="F500" s="12">
        <v>7.38</v>
      </c>
      <c r="G500" s="75">
        <v>46188</v>
      </c>
      <c r="H500" t="s">
        <v>315</v>
      </c>
      <c r="I500" s="12">
        <v>0</v>
      </c>
      <c r="J500" s="12">
        <v>0</v>
      </c>
    </row>
    <row r="501" spans="1:10" x14ac:dyDescent="0.35">
      <c r="A501" t="s">
        <v>14</v>
      </c>
      <c r="B501">
        <v>104</v>
      </c>
      <c r="C501">
        <v>40732</v>
      </c>
      <c r="D501" t="s">
        <v>239</v>
      </c>
      <c r="E501" s="12">
        <v>15</v>
      </c>
      <c r="F501" s="12">
        <v>7.38</v>
      </c>
      <c r="G501" s="75">
        <v>46189</v>
      </c>
      <c r="H501" t="s">
        <v>316</v>
      </c>
      <c r="I501" s="12">
        <v>0</v>
      </c>
      <c r="J501" s="12">
        <v>0</v>
      </c>
    </row>
    <row r="502" spans="1:10" x14ac:dyDescent="0.35">
      <c r="A502" t="s">
        <v>14</v>
      </c>
      <c r="B502">
        <v>104</v>
      </c>
      <c r="C502">
        <v>40732</v>
      </c>
      <c r="D502" t="s">
        <v>239</v>
      </c>
      <c r="E502" s="12">
        <v>15</v>
      </c>
      <c r="F502" s="12">
        <v>7.38</v>
      </c>
      <c r="G502" s="75">
        <v>46190</v>
      </c>
      <c r="H502" t="s">
        <v>340</v>
      </c>
      <c r="I502" s="12">
        <v>0</v>
      </c>
      <c r="J502" s="12">
        <v>0</v>
      </c>
    </row>
    <row r="503" spans="1:10" x14ac:dyDescent="0.35">
      <c r="A503" t="s">
        <v>35</v>
      </c>
      <c r="B503">
        <v>102</v>
      </c>
      <c r="C503">
        <v>40364</v>
      </c>
      <c r="D503" t="s">
        <v>191</v>
      </c>
      <c r="E503" s="12">
        <v>4.99</v>
      </c>
      <c r="F503" s="12">
        <v>2.8072500000000002</v>
      </c>
      <c r="G503" s="75">
        <v>46188</v>
      </c>
      <c r="H503" t="s">
        <v>315</v>
      </c>
      <c r="I503" s="12">
        <v>0</v>
      </c>
      <c r="J503" s="12">
        <v>0</v>
      </c>
    </row>
    <row r="504" spans="1:10" x14ac:dyDescent="0.35">
      <c r="A504" t="s">
        <v>35</v>
      </c>
      <c r="B504">
        <v>102</v>
      </c>
      <c r="C504">
        <v>40364</v>
      </c>
      <c r="D504" t="s">
        <v>191</v>
      </c>
      <c r="E504" s="12">
        <v>4.99</v>
      </c>
      <c r="F504" s="12">
        <v>2.8072500000000002</v>
      </c>
      <c r="G504" s="75">
        <v>46189</v>
      </c>
      <c r="H504" t="s">
        <v>316</v>
      </c>
      <c r="I504" s="12">
        <v>0</v>
      </c>
      <c r="J504" s="12">
        <v>0</v>
      </c>
    </row>
    <row r="505" spans="1:10" x14ac:dyDescent="0.35">
      <c r="A505" t="s">
        <v>35</v>
      </c>
      <c r="B505">
        <v>102</v>
      </c>
      <c r="C505">
        <v>40364</v>
      </c>
      <c r="D505" t="s">
        <v>191</v>
      </c>
      <c r="E505" s="12">
        <v>4.99</v>
      </c>
      <c r="F505" s="12">
        <v>2.8072500000000002</v>
      </c>
      <c r="G505" s="75">
        <v>46190</v>
      </c>
      <c r="H505" t="s">
        <v>340</v>
      </c>
      <c r="I505" s="12">
        <v>0</v>
      </c>
      <c r="J505" s="12">
        <v>0</v>
      </c>
    </row>
    <row r="506" spans="1:10" x14ac:dyDescent="0.35">
      <c r="A506" t="s">
        <v>19</v>
      </c>
      <c r="B506">
        <v>101</v>
      </c>
      <c r="C506">
        <v>40158</v>
      </c>
      <c r="D506" t="s">
        <v>58</v>
      </c>
      <c r="E506" s="12">
        <v>11.99</v>
      </c>
      <c r="F506" s="12">
        <v>6.05</v>
      </c>
      <c r="G506" s="75">
        <v>46188</v>
      </c>
      <c r="H506" t="s">
        <v>315</v>
      </c>
      <c r="I506" s="12">
        <v>0</v>
      </c>
      <c r="J506" s="12">
        <v>0</v>
      </c>
    </row>
    <row r="507" spans="1:10" x14ac:dyDescent="0.35">
      <c r="A507" t="s">
        <v>19</v>
      </c>
      <c r="B507">
        <v>101</v>
      </c>
      <c r="C507">
        <v>40158</v>
      </c>
      <c r="D507" t="s">
        <v>58</v>
      </c>
      <c r="E507" s="12">
        <v>11.99</v>
      </c>
      <c r="F507" s="12">
        <v>6.05</v>
      </c>
      <c r="G507" s="75">
        <v>46189</v>
      </c>
      <c r="H507" t="s">
        <v>316</v>
      </c>
      <c r="I507" s="12">
        <v>0</v>
      </c>
      <c r="J507" s="12">
        <v>0</v>
      </c>
    </row>
    <row r="508" spans="1:10" x14ac:dyDescent="0.35">
      <c r="A508" t="s">
        <v>19</v>
      </c>
      <c r="B508">
        <v>101</v>
      </c>
      <c r="C508">
        <v>40158</v>
      </c>
      <c r="D508" t="s">
        <v>58</v>
      </c>
      <c r="E508" s="12">
        <v>11.99</v>
      </c>
      <c r="F508" s="12">
        <v>6.05</v>
      </c>
      <c r="G508" s="75">
        <v>46190</v>
      </c>
      <c r="H508" t="s">
        <v>340</v>
      </c>
      <c r="I508" s="12">
        <v>0</v>
      </c>
      <c r="J508" s="12">
        <v>0</v>
      </c>
    </row>
    <row r="509" spans="1:10" x14ac:dyDescent="0.35">
      <c r="A509" t="s">
        <v>14</v>
      </c>
      <c r="B509">
        <v>102</v>
      </c>
      <c r="C509">
        <v>40065</v>
      </c>
      <c r="D509" t="s">
        <v>103</v>
      </c>
      <c r="E509" s="12">
        <v>27.99</v>
      </c>
      <c r="F509" s="12">
        <v>15.7</v>
      </c>
      <c r="G509" s="75">
        <v>46188</v>
      </c>
      <c r="H509" t="s">
        <v>315</v>
      </c>
      <c r="I509" s="12">
        <v>0</v>
      </c>
      <c r="J509" s="12">
        <v>0</v>
      </c>
    </row>
    <row r="510" spans="1:10" x14ac:dyDescent="0.35">
      <c r="A510" t="s">
        <v>14</v>
      </c>
      <c r="B510">
        <v>102</v>
      </c>
      <c r="C510">
        <v>40065</v>
      </c>
      <c r="D510" t="s">
        <v>103</v>
      </c>
      <c r="E510" s="12">
        <v>27.99</v>
      </c>
      <c r="F510" s="12">
        <v>15.7</v>
      </c>
      <c r="G510" s="75">
        <v>46189</v>
      </c>
      <c r="H510" t="s">
        <v>316</v>
      </c>
      <c r="I510" s="12">
        <v>0</v>
      </c>
      <c r="J510" s="12">
        <v>0</v>
      </c>
    </row>
    <row r="511" spans="1:10" x14ac:dyDescent="0.35">
      <c r="A511" t="s">
        <v>14</v>
      </c>
      <c r="B511">
        <v>102</v>
      </c>
      <c r="C511">
        <v>40065</v>
      </c>
      <c r="D511" t="s">
        <v>103</v>
      </c>
      <c r="E511" s="12">
        <v>27.99</v>
      </c>
      <c r="F511" s="12">
        <v>15.7</v>
      </c>
      <c r="G511" s="75">
        <v>46190</v>
      </c>
      <c r="H511" t="s">
        <v>340</v>
      </c>
      <c r="I511" s="12">
        <v>0</v>
      </c>
      <c r="J511" s="12">
        <v>0</v>
      </c>
    </row>
    <row r="512" spans="1:10" x14ac:dyDescent="0.35">
      <c r="A512" t="s">
        <v>35</v>
      </c>
      <c r="B512">
        <v>102</v>
      </c>
      <c r="C512">
        <v>39963</v>
      </c>
      <c r="D512" t="s">
        <v>190</v>
      </c>
      <c r="E512" s="12">
        <v>5.4</v>
      </c>
      <c r="F512" s="12">
        <v>2.9407999999999999</v>
      </c>
      <c r="G512" s="75">
        <v>46188</v>
      </c>
      <c r="H512" t="s">
        <v>315</v>
      </c>
      <c r="I512" s="12">
        <v>0</v>
      </c>
      <c r="J512" s="12">
        <v>0</v>
      </c>
    </row>
    <row r="513" spans="1:10" x14ac:dyDescent="0.35">
      <c r="A513" t="s">
        <v>35</v>
      </c>
      <c r="B513">
        <v>102</v>
      </c>
      <c r="C513">
        <v>39963</v>
      </c>
      <c r="D513" t="s">
        <v>190</v>
      </c>
      <c r="E513" s="12">
        <v>5.4</v>
      </c>
      <c r="F513" s="12">
        <v>2.9407999999999999</v>
      </c>
      <c r="G513" s="75">
        <v>46189</v>
      </c>
      <c r="H513" t="s">
        <v>316</v>
      </c>
      <c r="I513" s="12">
        <v>0</v>
      </c>
      <c r="J513" s="12">
        <v>0</v>
      </c>
    </row>
    <row r="514" spans="1:10" x14ac:dyDescent="0.35">
      <c r="A514" t="s">
        <v>35</v>
      </c>
      <c r="B514">
        <v>102</v>
      </c>
      <c r="C514">
        <v>39963</v>
      </c>
      <c r="D514" t="s">
        <v>190</v>
      </c>
      <c r="E514" s="12">
        <v>5.4</v>
      </c>
      <c r="F514" s="12">
        <v>2.9407999999999999</v>
      </c>
      <c r="G514" s="75">
        <v>46190</v>
      </c>
      <c r="H514" t="s">
        <v>340</v>
      </c>
      <c r="I514" s="12">
        <v>0</v>
      </c>
      <c r="J514" s="12">
        <v>0</v>
      </c>
    </row>
    <row r="515" spans="1:10" x14ac:dyDescent="0.35">
      <c r="A515" t="s">
        <v>14</v>
      </c>
      <c r="B515">
        <v>101</v>
      </c>
      <c r="C515">
        <v>39750</v>
      </c>
      <c r="D515" t="s">
        <v>76</v>
      </c>
      <c r="E515" s="12">
        <v>39.99</v>
      </c>
      <c r="F515" s="12">
        <v>16.100000000000001</v>
      </c>
      <c r="G515" s="75">
        <v>46188</v>
      </c>
      <c r="H515" t="s">
        <v>315</v>
      </c>
      <c r="I515" s="12">
        <v>0</v>
      </c>
      <c r="J515" s="12">
        <v>0</v>
      </c>
    </row>
    <row r="516" spans="1:10" x14ac:dyDescent="0.35">
      <c r="A516" t="s">
        <v>14</v>
      </c>
      <c r="B516">
        <v>101</v>
      </c>
      <c r="C516">
        <v>39750</v>
      </c>
      <c r="D516" t="s">
        <v>76</v>
      </c>
      <c r="E516" s="12">
        <v>39.99</v>
      </c>
      <c r="F516" s="12">
        <v>16.100000000000001</v>
      </c>
      <c r="G516" s="75">
        <v>46189</v>
      </c>
      <c r="H516" t="s">
        <v>316</v>
      </c>
      <c r="I516" s="12">
        <v>0</v>
      </c>
      <c r="J516" s="12">
        <v>0</v>
      </c>
    </row>
    <row r="517" spans="1:10" x14ac:dyDescent="0.35">
      <c r="A517" t="s">
        <v>14</v>
      </c>
      <c r="B517">
        <v>101</v>
      </c>
      <c r="C517">
        <v>39750</v>
      </c>
      <c r="D517" t="s">
        <v>76</v>
      </c>
      <c r="E517" s="12">
        <v>39.99</v>
      </c>
      <c r="F517" s="12">
        <v>16.100000000000001</v>
      </c>
      <c r="G517" s="75">
        <v>46190</v>
      </c>
      <c r="H517" t="s">
        <v>340</v>
      </c>
      <c r="I517" s="12">
        <v>0</v>
      </c>
      <c r="J517" s="12">
        <v>0</v>
      </c>
    </row>
    <row r="518" spans="1:10" x14ac:dyDescent="0.35">
      <c r="A518" t="s">
        <v>35</v>
      </c>
      <c r="B518">
        <v>102</v>
      </c>
      <c r="C518">
        <v>39421</v>
      </c>
      <c r="D518" t="s">
        <v>189</v>
      </c>
      <c r="E518" s="12">
        <v>28.99</v>
      </c>
      <c r="F518" s="12">
        <v>15.703250000000001</v>
      </c>
      <c r="G518" s="75">
        <v>46188</v>
      </c>
      <c r="H518" t="s">
        <v>315</v>
      </c>
      <c r="I518" s="12">
        <v>0</v>
      </c>
      <c r="J518" s="12">
        <v>0</v>
      </c>
    </row>
    <row r="519" spans="1:10" x14ac:dyDescent="0.35">
      <c r="A519" t="s">
        <v>35</v>
      </c>
      <c r="B519">
        <v>102</v>
      </c>
      <c r="C519">
        <v>39421</v>
      </c>
      <c r="D519" t="s">
        <v>189</v>
      </c>
      <c r="E519" s="12">
        <v>28.99</v>
      </c>
      <c r="F519" s="12">
        <v>15.703250000000001</v>
      </c>
      <c r="G519" s="75">
        <v>46189</v>
      </c>
      <c r="H519" t="s">
        <v>316</v>
      </c>
      <c r="I519" s="12">
        <v>0</v>
      </c>
      <c r="J519" s="12">
        <v>0</v>
      </c>
    </row>
    <row r="520" spans="1:10" x14ac:dyDescent="0.35">
      <c r="A520" t="s">
        <v>35</v>
      </c>
      <c r="B520">
        <v>102</v>
      </c>
      <c r="C520">
        <v>39421</v>
      </c>
      <c r="D520" t="s">
        <v>189</v>
      </c>
      <c r="E520" s="12">
        <v>28.99</v>
      </c>
      <c r="F520" s="12">
        <v>15.703250000000001</v>
      </c>
      <c r="G520" s="75">
        <v>46190</v>
      </c>
      <c r="H520" t="s">
        <v>340</v>
      </c>
      <c r="I520" s="12">
        <v>0</v>
      </c>
      <c r="J520" s="12">
        <v>0</v>
      </c>
    </row>
    <row r="521" spans="1:10" x14ac:dyDescent="0.35">
      <c r="A521" t="s">
        <v>35</v>
      </c>
      <c r="B521">
        <v>102</v>
      </c>
      <c r="C521">
        <v>39025</v>
      </c>
      <c r="D521" t="s">
        <v>188</v>
      </c>
      <c r="E521" s="12">
        <v>330.99</v>
      </c>
      <c r="F521" s="12">
        <v>182.6</v>
      </c>
      <c r="G521" s="75">
        <v>46188</v>
      </c>
      <c r="H521" t="s">
        <v>315</v>
      </c>
      <c r="I521" s="12">
        <v>0</v>
      </c>
      <c r="J521" s="12">
        <v>0</v>
      </c>
    </row>
    <row r="522" spans="1:10" x14ac:dyDescent="0.35">
      <c r="A522" t="s">
        <v>35</v>
      </c>
      <c r="B522">
        <v>102</v>
      </c>
      <c r="C522">
        <v>39025</v>
      </c>
      <c r="D522" t="s">
        <v>188</v>
      </c>
      <c r="E522" s="12">
        <v>330.99</v>
      </c>
      <c r="F522" s="12">
        <v>182.6</v>
      </c>
      <c r="G522" s="75">
        <v>46189</v>
      </c>
      <c r="H522" t="s">
        <v>316</v>
      </c>
      <c r="I522" s="12">
        <v>0</v>
      </c>
      <c r="J522" s="12">
        <v>0</v>
      </c>
    </row>
    <row r="523" spans="1:10" x14ac:dyDescent="0.35">
      <c r="A523" t="s">
        <v>35</v>
      </c>
      <c r="B523">
        <v>102</v>
      </c>
      <c r="C523">
        <v>39025</v>
      </c>
      <c r="D523" t="s">
        <v>188</v>
      </c>
      <c r="E523" s="12">
        <v>330.99</v>
      </c>
      <c r="F523" s="12">
        <v>182.6</v>
      </c>
      <c r="G523" s="75">
        <v>46190</v>
      </c>
      <c r="H523" t="s">
        <v>340</v>
      </c>
      <c r="I523" s="12">
        <v>0</v>
      </c>
      <c r="J523" s="12">
        <v>0</v>
      </c>
    </row>
    <row r="524" spans="1:10" x14ac:dyDescent="0.35">
      <c r="A524" t="s">
        <v>35</v>
      </c>
      <c r="B524">
        <v>102</v>
      </c>
      <c r="C524">
        <v>38983</v>
      </c>
      <c r="D524" t="s">
        <v>187</v>
      </c>
      <c r="E524" s="12">
        <v>10.85</v>
      </c>
      <c r="F524" s="12">
        <v>5.9985000000000008</v>
      </c>
      <c r="G524" s="75">
        <v>46188</v>
      </c>
      <c r="H524" t="s">
        <v>315</v>
      </c>
      <c r="I524" s="12">
        <v>0</v>
      </c>
      <c r="J524" s="12">
        <v>0</v>
      </c>
    </row>
    <row r="525" spans="1:10" x14ac:dyDescent="0.35">
      <c r="A525" t="s">
        <v>35</v>
      </c>
      <c r="B525">
        <v>102</v>
      </c>
      <c r="C525">
        <v>38983</v>
      </c>
      <c r="D525" t="s">
        <v>187</v>
      </c>
      <c r="E525" s="12">
        <v>10.85</v>
      </c>
      <c r="F525" s="12">
        <v>5.9985000000000008</v>
      </c>
      <c r="G525" s="75">
        <v>46189</v>
      </c>
      <c r="H525" t="s">
        <v>316</v>
      </c>
      <c r="I525" s="12">
        <v>0</v>
      </c>
      <c r="J525" s="12">
        <v>0</v>
      </c>
    </row>
    <row r="526" spans="1:10" x14ac:dyDescent="0.35">
      <c r="A526" t="s">
        <v>35</v>
      </c>
      <c r="B526">
        <v>102</v>
      </c>
      <c r="C526">
        <v>38983</v>
      </c>
      <c r="D526" t="s">
        <v>187</v>
      </c>
      <c r="E526" s="12">
        <v>10.85</v>
      </c>
      <c r="F526" s="12">
        <v>5.9985000000000008</v>
      </c>
      <c r="G526" s="75">
        <v>46190</v>
      </c>
      <c r="H526" t="s">
        <v>340</v>
      </c>
      <c r="I526" s="12">
        <v>0</v>
      </c>
      <c r="J526" s="12">
        <v>0</v>
      </c>
    </row>
    <row r="527" spans="1:10" x14ac:dyDescent="0.35">
      <c r="A527" t="s">
        <v>35</v>
      </c>
      <c r="B527">
        <v>102</v>
      </c>
      <c r="C527">
        <v>38908</v>
      </c>
      <c r="D527" t="s">
        <v>186</v>
      </c>
      <c r="E527" s="12">
        <v>7.99</v>
      </c>
      <c r="F527" s="12">
        <v>4.3630833333333339</v>
      </c>
      <c r="G527" s="75">
        <v>46188</v>
      </c>
      <c r="H527" t="s">
        <v>315</v>
      </c>
      <c r="I527" s="12">
        <v>0</v>
      </c>
      <c r="J527" s="12">
        <v>0</v>
      </c>
    </row>
    <row r="528" spans="1:10" x14ac:dyDescent="0.35">
      <c r="A528" t="s">
        <v>35</v>
      </c>
      <c r="B528">
        <v>102</v>
      </c>
      <c r="C528">
        <v>38908</v>
      </c>
      <c r="D528" t="s">
        <v>186</v>
      </c>
      <c r="E528" s="12">
        <v>7.99</v>
      </c>
      <c r="F528" s="12">
        <v>4.3630833333333339</v>
      </c>
      <c r="G528" s="75">
        <v>46189</v>
      </c>
      <c r="H528" t="s">
        <v>316</v>
      </c>
      <c r="I528" s="12">
        <v>0</v>
      </c>
      <c r="J528" s="12">
        <v>0</v>
      </c>
    </row>
    <row r="529" spans="1:10" x14ac:dyDescent="0.35">
      <c r="A529" t="s">
        <v>35</v>
      </c>
      <c r="B529">
        <v>102</v>
      </c>
      <c r="C529">
        <v>38908</v>
      </c>
      <c r="D529" t="s">
        <v>186</v>
      </c>
      <c r="E529" s="12">
        <v>7.99</v>
      </c>
      <c r="F529" s="12">
        <v>4.3630833333333339</v>
      </c>
      <c r="G529" s="75">
        <v>46190</v>
      </c>
      <c r="H529" t="s">
        <v>340</v>
      </c>
      <c r="I529" s="12">
        <v>0</v>
      </c>
      <c r="J529" s="12">
        <v>0</v>
      </c>
    </row>
    <row r="530" spans="1:10" x14ac:dyDescent="0.35">
      <c r="A530" t="s">
        <v>35</v>
      </c>
      <c r="B530">
        <v>102</v>
      </c>
      <c r="C530">
        <v>38816</v>
      </c>
      <c r="D530" t="s">
        <v>185</v>
      </c>
      <c r="E530" s="12">
        <v>7.99</v>
      </c>
      <c r="F530" s="12">
        <v>4.1160000000000005</v>
      </c>
      <c r="G530" s="75">
        <v>46188</v>
      </c>
      <c r="H530" t="s">
        <v>315</v>
      </c>
      <c r="I530" s="12">
        <v>0</v>
      </c>
      <c r="J530" s="12">
        <v>0</v>
      </c>
    </row>
    <row r="531" spans="1:10" x14ac:dyDescent="0.35">
      <c r="A531" t="s">
        <v>35</v>
      </c>
      <c r="B531">
        <v>102</v>
      </c>
      <c r="C531">
        <v>38816</v>
      </c>
      <c r="D531" t="s">
        <v>185</v>
      </c>
      <c r="E531" s="12">
        <v>7.99</v>
      </c>
      <c r="F531" s="12">
        <v>4.1160000000000005</v>
      </c>
      <c r="G531" s="75">
        <v>46189</v>
      </c>
      <c r="H531" t="s">
        <v>316</v>
      </c>
      <c r="I531" s="12">
        <v>0</v>
      </c>
      <c r="J531" s="12">
        <v>0</v>
      </c>
    </row>
    <row r="532" spans="1:10" x14ac:dyDescent="0.35">
      <c r="A532" t="s">
        <v>35</v>
      </c>
      <c r="B532">
        <v>102</v>
      </c>
      <c r="C532">
        <v>38816</v>
      </c>
      <c r="D532" t="s">
        <v>185</v>
      </c>
      <c r="E532" s="12">
        <v>7.99</v>
      </c>
      <c r="F532" s="12">
        <v>4.1160000000000005</v>
      </c>
      <c r="G532" s="75">
        <v>46190</v>
      </c>
      <c r="H532" t="s">
        <v>340</v>
      </c>
      <c r="I532" s="12">
        <v>0</v>
      </c>
      <c r="J532" s="12">
        <v>0</v>
      </c>
    </row>
    <row r="533" spans="1:10" x14ac:dyDescent="0.35">
      <c r="A533" t="s">
        <v>35</v>
      </c>
      <c r="B533">
        <v>102</v>
      </c>
      <c r="C533">
        <v>38815</v>
      </c>
      <c r="D533" t="s">
        <v>184</v>
      </c>
      <c r="E533" s="12">
        <v>10.85</v>
      </c>
      <c r="F533" s="12">
        <v>5.9985000000000008</v>
      </c>
      <c r="G533" s="75">
        <v>46188</v>
      </c>
      <c r="H533" t="s">
        <v>315</v>
      </c>
      <c r="I533" s="12">
        <v>0</v>
      </c>
      <c r="J533" s="12">
        <v>0</v>
      </c>
    </row>
    <row r="534" spans="1:10" x14ac:dyDescent="0.35">
      <c r="A534" t="s">
        <v>35</v>
      </c>
      <c r="B534">
        <v>102</v>
      </c>
      <c r="C534">
        <v>38815</v>
      </c>
      <c r="D534" t="s">
        <v>184</v>
      </c>
      <c r="E534" s="12">
        <v>10.85</v>
      </c>
      <c r="F534" s="12">
        <v>5.9985000000000008</v>
      </c>
      <c r="G534" s="75">
        <v>46189</v>
      </c>
      <c r="H534" t="s">
        <v>316</v>
      </c>
      <c r="I534" s="12">
        <v>0</v>
      </c>
      <c r="J534" s="12">
        <v>0</v>
      </c>
    </row>
    <row r="535" spans="1:10" x14ac:dyDescent="0.35">
      <c r="A535" t="s">
        <v>35</v>
      </c>
      <c r="B535">
        <v>102</v>
      </c>
      <c r="C535">
        <v>38815</v>
      </c>
      <c r="D535" t="s">
        <v>184</v>
      </c>
      <c r="E535" s="12">
        <v>10.85</v>
      </c>
      <c r="F535" s="12">
        <v>5.9985000000000008</v>
      </c>
      <c r="G535" s="75">
        <v>46190</v>
      </c>
      <c r="H535" t="s">
        <v>340</v>
      </c>
      <c r="I535" s="12">
        <v>0</v>
      </c>
      <c r="J535" s="12">
        <v>0</v>
      </c>
    </row>
    <row r="536" spans="1:10" x14ac:dyDescent="0.35">
      <c r="A536" t="s">
        <v>14</v>
      </c>
      <c r="B536">
        <v>103</v>
      </c>
      <c r="C536">
        <v>34142</v>
      </c>
      <c r="D536" t="s">
        <v>208</v>
      </c>
      <c r="E536" s="12">
        <v>70.989999999999995</v>
      </c>
      <c r="F536" s="12">
        <v>18.7</v>
      </c>
      <c r="G536" s="75">
        <v>46188</v>
      </c>
      <c r="H536" t="s">
        <v>315</v>
      </c>
      <c r="I536" s="12">
        <v>0</v>
      </c>
      <c r="J536" s="12">
        <v>0</v>
      </c>
    </row>
    <row r="537" spans="1:10" x14ac:dyDescent="0.35">
      <c r="A537" t="s">
        <v>14</v>
      </c>
      <c r="B537">
        <v>103</v>
      </c>
      <c r="C537">
        <v>34142</v>
      </c>
      <c r="D537" t="s">
        <v>208</v>
      </c>
      <c r="E537" s="12">
        <v>70.989999999999995</v>
      </c>
      <c r="F537" s="12">
        <v>18.7</v>
      </c>
      <c r="G537" s="75">
        <v>46189</v>
      </c>
      <c r="H537" t="s">
        <v>316</v>
      </c>
      <c r="I537" s="12">
        <v>0</v>
      </c>
      <c r="J537" s="12">
        <v>0</v>
      </c>
    </row>
    <row r="538" spans="1:10" x14ac:dyDescent="0.35">
      <c r="A538" t="s">
        <v>14</v>
      </c>
      <c r="B538">
        <v>103</v>
      </c>
      <c r="C538">
        <v>34142</v>
      </c>
      <c r="D538" t="s">
        <v>208</v>
      </c>
      <c r="E538" s="12">
        <v>70.989999999999995</v>
      </c>
      <c r="F538" s="12">
        <v>18.7</v>
      </c>
      <c r="G538" s="75">
        <v>46190</v>
      </c>
      <c r="H538" t="s">
        <v>340</v>
      </c>
      <c r="I538" s="12">
        <v>10</v>
      </c>
      <c r="J538" s="12">
        <v>0.16200000000000001</v>
      </c>
    </row>
    <row r="539" spans="1:10" x14ac:dyDescent="0.35">
      <c r="A539" t="s">
        <v>19</v>
      </c>
      <c r="B539">
        <v>101</v>
      </c>
      <c r="C539">
        <v>34141</v>
      </c>
      <c r="D539" t="s">
        <v>24</v>
      </c>
      <c r="E539" s="12">
        <v>5</v>
      </c>
      <c r="F539" s="12">
        <v>3.3388750000000003</v>
      </c>
      <c r="G539" s="75">
        <v>46188</v>
      </c>
      <c r="H539" t="s">
        <v>315</v>
      </c>
      <c r="I539" s="12">
        <v>0</v>
      </c>
      <c r="J539" s="12">
        <v>0</v>
      </c>
    </row>
    <row r="540" spans="1:10" x14ac:dyDescent="0.35">
      <c r="A540" t="s">
        <v>19</v>
      </c>
      <c r="B540">
        <v>101</v>
      </c>
      <c r="C540">
        <v>34141</v>
      </c>
      <c r="D540" t="s">
        <v>24</v>
      </c>
      <c r="E540" s="12">
        <v>5</v>
      </c>
      <c r="F540" s="12">
        <v>3.3388750000000003</v>
      </c>
      <c r="G540" s="75">
        <v>46189</v>
      </c>
      <c r="H540" t="s">
        <v>316</v>
      </c>
      <c r="I540" s="12">
        <v>0</v>
      </c>
      <c r="J540" s="12">
        <v>0</v>
      </c>
    </row>
    <row r="541" spans="1:10" x14ac:dyDescent="0.35">
      <c r="A541" t="s">
        <v>19</v>
      </c>
      <c r="B541">
        <v>101</v>
      </c>
      <c r="C541">
        <v>34141</v>
      </c>
      <c r="D541" t="s">
        <v>24</v>
      </c>
      <c r="E541" s="12">
        <v>5</v>
      </c>
      <c r="F541" s="12">
        <v>3.3388750000000003</v>
      </c>
      <c r="G541" s="75">
        <v>46190</v>
      </c>
      <c r="H541" t="s">
        <v>340</v>
      </c>
      <c r="I541" s="12">
        <v>165.21739130434781</v>
      </c>
      <c r="J541" s="12">
        <v>40</v>
      </c>
    </row>
    <row r="542" spans="1:10" x14ac:dyDescent="0.35">
      <c r="A542" t="s">
        <v>14</v>
      </c>
      <c r="B542">
        <v>119</v>
      </c>
      <c r="C542">
        <v>34140</v>
      </c>
      <c r="D542" t="s">
        <v>267</v>
      </c>
      <c r="E542" s="12">
        <v>385</v>
      </c>
      <c r="F542" s="12">
        <v>201.52</v>
      </c>
      <c r="G542" s="75">
        <v>46188</v>
      </c>
      <c r="H542" t="s">
        <v>315</v>
      </c>
      <c r="I542" s="12">
        <v>0</v>
      </c>
      <c r="J542" s="12">
        <v>0</v>
      </c>
    </row>
    <row r="543" spans="1:10" x14ac:dyDescent="0.35">
      <c r="A543" t="s">
        <v>14</v>
      </c>
      <c r="B543">
        <v>119</v>
      </c>
      <c r="C543">
        <v>34140</v>
      </c>
      <c r="D543" t="s">
        <v>267</v>
      </c>
      <c r="E543" s="12">
        <v>385</v>
      </c>
      <c r="F543" s="12">
        <v>201.52</v>
      </c>
      <c r="G543" s="75">
        <v>46189</v>
      </c>
      <c r="H543" t="s">
        <v>316</v>
      </c>
      <c r="I543" s="12">
        <v>0</v>
      </c>
      <c r="J543" s="12">
        <v>0</v>
      </c>
    </row>
    <row r="544" spans="1:10" x14ac:dyDescent="0.35">
      <c r="A544" t="s">
        <v>14</v>
      </c>
      <c r="B544">
        <v>119</v>
      </c>
      <c r="C544">
        <v>34140</v>
      </c>
      <c r="D544" t="s">
        <v>267</v>
      </c>
      <c r="E544" s="12">
        <v>385</v>
      </c>
      <c r="F544" s="12">
        <v>201.52</v>
      </c>
      <c r="G544" s="75">
        <v>46190</v>
      </c>
      <c r="H544" t="s">
        <v>340</v>
      </c>
      <c r="I544" s="12">
        <v>0</v>
      </c>
      <c r="J544" s="12">
        <v>0</v>
      </c>
    </row>
    <row r="545" spans="1:10" x14ac:dyDescent="0.35">
      <c r="A545" t="s">
        <v>14</v>
      </c>
      <c r="B545">
        <v>102</v>
      </c>
      <c r="C545">
        <v>34139</v>
      </c>
      <c r="D545" t="s">
        <v>141</v>
      </c>
      <c r="E545" s="12">
        <v>49.99</v>
      </c>
      <c r="F545" s="12">
        <v>26.72</v>
      </c>
      <c r="G545" s="75">
        <v>46188</v>
      </c>
      <c r="H545" t="s">
        <v>315</v>
      </c>
      <c r="I545" s="12">
        <v>0</v>
      </c>
      <c r="J545" s="12">
        <v>0</v>
      </c>
    </row>
    <row r="546" spans="1:10" x14ac:dyDescent="0.35">
      <c r="A546" t="s">
        <v>14</v>
      </c>
      <c r="B546">
        <v>102</v>
      </c>
      <c r="C546">
        <v>34139</v>
      </c>
      <c r="D546" t="s">
        <v>141</v>
      </c>
      <c r="E546" s="12">
        <v>49.99</v>
      </c>
      <c r="F546" s="12">
        <v>26.72</v>
      </c>
      <c r="G546" s="75">
        <v>46189</v>
      </c>
      <c r="H546" t="s">
        <v>316</v>
      </c>
      <c r="I546" s="12">
        <v>0</v>
      </c>
      <c r="J546" s="12">
        <v>0</v>
      </c>
    </row>
    <row r="547" spans="1:10" x14ac:dyDescent="0.35">
      <c r="A547" t="s">
        <v>14</v>
      </c>
      <c r="B547">
        <v>102</v>
      </c>
      <c r="C547">
        <v>34139</v>
      </c>
      <c r="D547" t="s">
        <v>141</v>
      </c>
      <c r="E547" s="12">
        <v>49.99</v>
      </c>
      <c r="F547" s="12">
        <v>26.72</v>
      </c>
      <c r="G547" s="75">
        <v>46190</v>
      </c>
      <c r="H547" t="s">
        <v>340</v>
      </c>
      <c r="I547" s="12">
        <v>0</v>
      </c>
      <c r="J547" s="12">
        <v>0</v>
      </c>
    </row>
    <row r="548" spans="1:10" x14ac:dyDescent="0.35">
      <c r="A548" t="s">
        <v>14</v>
      </c>
      <c r="B548">
        <v>103</v>
      </c>
      <c r="C548">
        <v>34136</v>
      </c>
      <c r="D548" t="s">
        <v>218</v>
      </c>
      <c r="E548" s="12">
        <v>112.99</v>
      </c>
      <c r="F548" s="12">
        <v>45</v>
      </c>
      <c r="G548" s="75">
        <v>46188</v>
      </c>
      <c r="H548" t="s">
        <v>315</v>
      </c>
      <c r="I548" s="12">
        <v>0</v>
      </c>
      <c r="J548" s="12">
        <v>0</v>
      </c>
    </row>
    <row r="549" spans="1:10" x14ac:dyDescent="0.35">
      <c r="A549" t="s">
        <v>14</v>
      </c>
      <c r="B549">
        <v>103</v>
      </c>
      <c r="C549">
        <v>34136</v>
      </c>
      <c r="D549" t="s">
        <v>218</v>
      </c>
      <c r="E549" s="12">
        <v>112.99</v>
      </c>
      <c r="F549" s="12">
        <v>45</v>
      </c>
      <c r="G549" s="75">
        <v>46189</v>
      </c>
      <c r="H549" t="s">
        <v>316</v>
      </c>
      <c r="I549" s="12">
        <v>0</v>
      </c>
      <c r="J549" s="12">
        <v>0</v>
      </c>
    </row>
    <row r="550" spans="1:10" x14ac:dyDescent="0.35">
      <c r="A550" t="s">
        <v>14</v>
      </c>
      <c r="B550">
        <v>103</v>
      </c>
      <c r="C550">
        <v>34136</v>
      </c>
      <c r="D550" t="s">
        <v>218</v>
      </c>
      <c r="E550" s="12">
        <v>112.99</v>
      </c>
      <c r="F550" s="12">
        <v>45</v>
      </c>
      <c r="G550" s="75">
        <v>46190</v>
      </c>
      <c r="H550" t="s">
        <v>340</v>
      </c>
      <c r="I550" s="12">
        <v>0</v>
      </c>
      <c r="J550" s="12">
        <v>0</v>
      </c>
    </row>
    <row r="551" spans="1:10" x14ac:dyDescent="0.35">
      <c r="A551" t="s">
        <v>14</v>
      </c>
      <c r="B551">
        <v>103</v>
      </c>
      <c r="C551">
        <v>34135</v>
      </c>
      <c r="D551" t="s">
        <v>230</v>
      </c>
      <c r="E551" s="12">
        <v>189.99</v>
      </c>
      <c r="F551" s="12">
        <v>61</v>
      </c>
      <c r="G551" s="75">
        <v>46188</v>
      </c>
      <c r="H551" t="s">
        <v>315</v>
      </c>
      <c r="I551" s="12">
        <v>0</v>
      </c>
      <c r="J551" s="12">
        <v>0</v>
      </c>
    </row>
    <row r="552" spans="1:10" x14ac:dyDescent="0.35">
      <c r="A552" t="s">
        <v>14</v>
      </c>
      <c r="B552">
        <v>103</v>
      </c>
      <c r="C552">
        <v>34135</v>
      </c>
      <c r="D552" t="s">
        <v>230</v>
      </c>
      <c r="E552" s="12">
        <v>189.99</v>
      </c>
      <c r="F552" s="12">
        <v>61</v>
      </c>
      <c r="G552" s="75">
        <v>46189</v>
      </c>
      <c r="H552" t="s">
        <v>316</v>
      </c>
      <c r="I552" s="12">
        <v>0</v>
      </c>
      <c r="J552" s="12">
        <v>0</v>
      </c>
    </row>
    <row r="553" spans="1:10" x14ac:dyDescent="0.35">
      <c r="A553" t="s">
        <v>14</v>
      </c>
      <c r="B553">
        <v>103</v>
      </c>
      <c r="C553">
        <v>34135</v>
      </c>
      <c r="D553" t="s">
        <v>230</v>
      </c>
      <c r="E553" s="12">
        <v>189.99</v>
      </c>
      <c r="F553" s="12">
        <v>61</v>
      </c>
      <c r="G553" s="75">
        <v>46190</v>
      </c>
      <c r="H553" t="s">
        <v>340</v>
      </c>
      <c r="I553" s="12">
        <v>0</v>
      </c>
      <c r="J553" s="12">
        <v>0</v>
      </c>
    </row>
    <row r="554" spans="1:10" x14ac:dyDescent="0.35">
      <c r="A554" t="s">
        <v>14</v>
      </c>
      <c r="B554">
        <v>103</v>
      </c>
      <c r="C554">
        <v>34134</v>
      </c>
      <c r="D554" t="s">
        <v>215</v>
      </c>
      <c r="E554" s="12">
        <v>313.99</v>
      </c>
      <c r="F554" s="12">
        <v>163.47229999999999</v>
      </c>
      <c r="G554" s="75">
        <v>46188</v>
      </c>
      <c r="H554" t="s">
        <v>315</v>
      </c>
      <c r="I554" s="12">
        <v>0</v>
      </c>
      <c r="J554" s="12">
        <v>0</v>
      </c>
    </row>
    <row r="555" spans="1:10" x14ac:dyDescent="0.35">
      <c r="A555" t="s">
        <v>14</v>
      </c>
      <c r="B555">
        <v>103</v>
      </c>
      <c r="C555">
        <v>34134</v>
      </c>
      <c r="D555" t="s">
        <v>215</v>
      </c>
      <c r="E555" s="12">
        <v>313.99</v>
      </c>
      <c r="F555" s="12">
        <v>163.47229999999999</v>
      </c>
      <c r="G555" s="75">
        <v>46189</v>
      </c>
      <c r="H555" t="s">
        <v>316</v>
      </c>
      <c r="I555" s="12">
        <v>0</v>
      </c>
      <c r="J555" s="12">
        <v>0</v>
      </c>
    </row>
    <row r="556" spans="1:10" x14ac:dyDescent="0.35">
      <c r="A556" t="s">
        <v>14</v>
      </c>
      <c r="B556">
        <v>103</v>
      </c>
      <c r="C556">
        <v>34134</v>
      </c>
      <c r="D556" t="s">
        <v>215</v>
      </c>
      <c r="E556" s="12">
        <v>313.99</v>
      </c>
      <c r="F556" s="12">
        <v>163.47229999999999</v>
      </c>
      <c r="G556" s="75">
        <v>46190</v>
      </c>
      <c r="H556" t="s">
        <v>340</v>
      </c>
      <c r="I556" s="12">
        <v>0</v>
      </c>
      <c r="J556" s="12">
        <v>0</v>
      </c>
    </row>
    <row r="557" spans="1:10" x14ac:dyDescent="0.35">
      <c r="A557" t="s">
        <v>19</v>
      </c>
      <c r="B557">
        <v>101</v>
      </c>
      <c r="C557">
        <v>34132</v>
      </c>
      <c r="D557" t="s">
        <v>55</v>
      </c>
      <c r="E557" s="12">
        <v>3.99</v>
      </c>
      <c r="F557" s="12">
        <v>2.1095999999999999</v>
      </c>
      <c r="G557" s="75">
        <v>46188</v>
      </c>
      <c r="H557" t="s">
        <v>315</v>
      </c>
      <c r="I557" s="12">
        <v>0</v>
      </c>
      <c r="J557" s="12">
        <v>0</v>
      </c>
    </row>
    <row r="558" spans="1:10" x14ac:dyDescent="0.35">
      <c r="A558" t="s">
        <v>19</v>
      </c>
      <c r="B558">
        <v>101</v>
      </c>
      <c r="C558">
        <v>34132</v>
      </c>
      <c r="D558" t="s">
        <v>55</v>
      </c>
      <c r="E558" s="12">
        <v>3.99</v>
      </c>
      <c r="F558" s="12">
        <v>2.1095999999999999</v>
      </c>
      <c r="G558" s="75">
        <v>46189</v>
      </c>
      <c r="H558" t="s">
        <v>316</v>
      </c>
      <c r="I558" s="12">
        <v>0</v>
      </c>
      <c r="J558" s="12">
        <v>0</v>
      </c>
    </row>
    <row r="559" spans="1:10" x14ac:dyDescent="0.35">
      <c r="A559" t="s">
        <v>19</v>
      </c>
      <c r="B559">
        <v>101</v>
      </c>
      <c r="C559">
        <v>34132</v>
      </c>
      <c r="D559" t="s">
        <v>55</v>
      </c>
      <c r="E559" s="12">
        <v>3.99</v>
      </c>
      <c r="F559" s="12">
        <v>2.1095999999999999</v>
      </c>
      <c r="G559" s="75">
        <v>46190</v>
      </c>
      <c r="H559" t="s">
        <v>340</v>
      </c>
      <c r="I559" s="12">
        <v>0</v>
      </c>
      <c r="J559" s="12">
        <v>0</v>
      </c>
    </row>
    <row r="560" spans="1:10" x14ac:dyDescent="0.35">
      <c r="A560" t="s">
        <v>14</v>
      </c>
      <c r="B560">
        <v>120</v>
      </c>
      <c r="C560">
        <v>34124</v>
      </c>
      <c r="D560" t="s">
        <v>283</v>
      </c>
      <c r="E560" s="12">
        <v>29.99</v>
      </c>
      <c r="F560" s="12">
        <v>12.33</v>
      </c>
      <c r="G560" s="75">
        <v>46188</v>
      </c>
      <c r="H560" t="s">
        <v>315</v>
      </c>
      <c r="I560" s="12">
        <v>0</v>
      </c>
      <c r="J560" s="12">
        <v>0</v>
      </c>
    </row>
    <row r="561" spans="1:10" x14ac:dyDescent="0.35">
      <c r="A561" t="s">
        <v>14</v>
      </c>
      <c r="B561">
        <v>120</v>
      </c>
      <c r="C561">
        <v>34124</v>
      </c>
      <c r="D561" t="s">
        <v>283</v>
      </c>
      <c r="E561" s="12">
        <v>29.99</v>
      </c>
      <c r="F561" s="12">
        <v>12.33</v>
      </c>
      <c r="G561" s="75">
        <v>46189</v>
      </c>
      <c r="H561" t="s">
        <v>316</v>
      </c>
      <c r="I561" s="12">
        <v>0</v>
      </c>
      <c r="J561" s="12">
        <v>0</v>
      </c>
    </row>
    <row r="562" spans="1:10" x14ac:dyDescent="0.35">
      <c r="A562" t="s">
        <v>14</v>
      </c>
      <c r="B562">
        <v>120</v>
      </c>
      <c r="C562">
        <v>34124</v>
      </c>
      <c r="D562" t="s">
        <v>283</v>
      </c>
      <c r="E562" s="12">
        <v>29.99</v>
      </c>
      <c r="F562" s="12">
        <v>12.33</v>
      </c>
      <c r="G562" s="75">
        <v>46190</v>
      </c>
      <c r="H562" t="s">
        <v>340</v>
      </c>
      <c r="I562" s="12">
        <v>0</v>
      </c>
      <c r="J562" s="12">
        <v>0</v>
      </c>
    </row>
    <row r="563" spans="1:10" x14ac:dyDescent="0.35">
      <c r="A563" t="s">
        <v>14</v>
      </c>
      <c r="B563">
        <v>102</v>
      </c>
      <c r="C563">
        <v>34122</v>
      </c>
      <c r="D563" t="s">
        <v>167</v>
      </c>
      <c r="E563" s="12">
        <v>25.99</v>
      </c>
      <c r="F563" s="12">
        <v>13.19</v>
      </c>
      <c r="G563" s="75">
        <v>46188</v>
      </c>
      <c r="H563" t="s">
        <v>315</v>
      </c>
      <c r="I563" s="12">
        <v>0</v>
      </c>
      <c r="J563" s="12">
        <v>0</v>
      </c>
    </row>
    <row r="564" spans="1:10" x14ac:dyDescent="0.35">
      <c r="A564" t="s">
        <v>14</v>
      </c>
      <c r="B564">
        <v>102</v>
      </c>
      <c r="C564">
        <v>34122</v>
      </c>
      <c r="D564" t="s">
        <v>167</v>
      </c>
      <c r="E564" s="12">
        <v>25.99</v>
      </c>
      <c r="F564" s="12">
        <v>13.19</v>
      </c>
      <c r="G564" s="75">
        <v>46189</v>
      </c>
      <c r="H564" t="s">
        <v>316</v>
      </c>
      <c r="I564" s="12">
        <v>0</v>
      </c>
      <c r="J564" s="12">
        <v>0</v>
      </c>
    </row>
    <row r="565" spans="1:10" x14ac:dyDescent="0.35">
      <c r="A565" t="s">
        <v>14</v>
      </c>
      <c r="B565">
        <v>102</v>
      </c>
      <c r="C565">
        <v>34122</v>
      </c>
      <c r="D565" t="s">
        <v>167</v>
      </c>
      <c r="E565" s="12">
        <v>25.99</v>
      </c>
      <c r="F565" s="12">
        <v>13.19</v>
      </c>
      <c r="G565" s="75">
        <v>46190</v>
      </c>
      <c r="H565" t="s">
        <v>340</v>
      </c>
      <c r="I565" s="12">
        <v>21.469565217391306</v>
      </c>
      <c r="J565" s="12">
        <v>1</v>
      </c>
    </row>
    <row r="566" spans="1:10" x14ac:dyDescent="0.35">
      <c r="A566" t="s">
        <v>14</v>
      </c>
      <c r="B566">
        <v>101</v>
      </c>
      <c r="C566">
        <v>34121</v>
      </c>
      <c r="D566" t="s">
        <v>25</v>
      </c>
      <c r="E566" s="12">
        <v>3.3</v>
      </c>
      <c r="F566" s="12">
        <v>1.85</v>
      </c>
      <c r="G566" s="75">
        <v>46188</v>
      </c>
      <c r="H566" t="s">
        <v>315</v>
      </c>
      <c r="I566" s="12">
        <v>0</v>
      </c>
      <c r="J566" s="12">
        <v>0</v>
      </c>
    </row>
    <row r="567" spans="1:10" x14ac:dyDescent="0.35">
      <c r="A567" t="s">
        <v>14</v>
      </c>
      <c r="B567">
        <v>101</v>
      </c>
      <c r="C567">
        <v>34121</v>
      </c>
      <c r="D567" t="s">
        <v>25</v>
      </c>
      <c r="E567" s="12">
        <v>3.3</v>
      </c>
      <c r="F567" s="12">
        <v>1.85</v>
      </c>
      <c r="G567" s="75">
        <v>46189</v>
      </c>
      <c r="H567" t="s">
        <v>316</v>
      </c>
      <c r="I567" s="12">
        <v>0</v>
      </c>
      <c r="J567" s="12">
        <v>0</v>
      </c>
    </row>
    <row r="568" spans="1:10" x14ac:dyDescent="0.35">
      <c r="A568" t="s">
        <v>14</v>
      </c>
      <c r="B568">
        <v>101</v>
      </c>
      <c r="C568">
        <v>34121</v>
      </c>
      <c r="D568" t="s">
        <v>25</v>
      </c>
      <c r="E568" s="12">
        <v>3.3</v>
      </c>
      <c r="F568" s="12">
        <v>1.85</v>
      </c>
      <c r="G568" s="75">
        <v>46190</v>
      </c>
      <c r="H568" t="s">
        <v>340</v>
      </c>
      <c r="I568" s="12">
        <v>0</v>
      </c>
      <c r="J568" s="12">
        <v>0</v>
      </c>
    </row>
    <row r="569" spans="1:10" x14ac:dyDescent="0.35">
      <c r="A569" t="s">
        <v>14</v>
      </c>
      <c r="B569">
        <v>102</v>
      </c>
      <c r="C569">
        <v>34120</v>
      </c>
      <c r="D569" t="s">
        <v>134</v>
      </c>
      <c r="E569" s="12">
        <v>8.99</v>
      </c>
      <c r="F569" s="12">
        <v>4.99</v>
      </c>
      <c r="G569" s="75">
        <v>46188</v>
      </c>
      <c r="H569" t="s">
        <v>315</v>
      </c>
      <c r="I569" s="12">
        <v>0</v>
      </c>
      <c r="J569" s="12">
        <v>0</v>
      </c>
    </row>
    <row r="570" spans="1:10" x14ac:dyDescent="0.35">
      <c r="A570" t="s">
        <v>14</v>
      </c>
      <c r="B570">
        <v>102</v>
      </c>
      <c r="C570">
        <v>34120</v>
      </c>
      <c r="D570" t="s">
        <v>134</v>
      </c>
      <c r="E570" s="12">
        <v>8.99</v>
      </c>
      <c r="F570" s="12">
        <v>4.99</v>
      </c>
      <c r="G570" s="75">
        <v>46189</v>
      </c>
      <c r="H570" t="s">
        <v>316</v>
      </c>
      <c r="I570" s="12">
        <v>0</v>
      </c>
      <c r="J570" s="12">
        <v>0</v>
      </c>
    </row>
    <row r="571" spans="1:10" x14ac:dyDescent="0.35">
      <c r="A571" t="s">
        <v>14</v>
      </c>
      <c r="B571">
        <v>102</v>
      </c>
      <c r="C571">
        <v>34120</v>
      </c>
      <c r="D571" t="s">
        <v>134</v>
      </c>
      <c r="E571" s="12">
        <v>8.99</v>
      </c>
      <c r="F571" s="12">
        <v>4.99</v>
      </c>
      <c r="G571" s="75">
        <v>46190</v>
      </c>
      <c r="H571" t="s">
        <v>340</v>
      </c>
      <c r="I571" s="12">
        <v>0</v>
      </c>
      <c r="J571" s="12">
        <v>0</v>
      </c>
    </row>
    <row r="572" spans="1:10" x14ac:dyDescent="0.35">
      <c r="A572" t="s">
        <v>14</v>
      </c>
      <c r="B572">
        <v>104</v>
      </c>
      <c r="C572">
        <v>34118</v>
      </c>
      <c r="D572" t="s">
        <v>231</v>
      </c>
      <c r="E572" s="12">
        <v>29.99</v>
      </c>
      <c r="F572" s="12">
        <v>7.38</v>
      </c>
      <c r="G572" s="75">
        <v>46188</v>
      </c>
      <c r="H572" t="s">
        <v>315</v>
      </c>
      <c r="I572" s="12">
        <v>0</v>
      </c>
      <c r="J572" s="12">
        <v>0</v>
      </c>
    </row>
    <row r="573" spans="1:10" x14ac:dyDescent="0.35">
      <c r="A573" t="s">
        <v>14</v>
      </c>
      <c r="B573">
        <v>104</v>
      </c>
      <c r="C573">
        <v>34118</v>
      </c>
      <c r="D573" t="s">
        <v>231</v>
      </c>
      <c r="E573" s="12">
        <v>29.99</v>
      </c>
      <c r="F573" s="12">
        <v>7.38</v>
      </c>
      <c r="G573" s="75">
        <v>46189</v>
      </c>
      <c r="H573" t="s">
        <v>316</v>
      </c>
      <c r="I573" s="12">
        <v>130.39130434782606</v>
      </c>
      <c r="J573" s="12">
        <v>5</v>
      </c>
    </row>
    <row r="574" spans="1:10" x14ac:dyDescent="0.35">
      <c r="A574" t="s">
        <v>14</v>
      </c>
      <c r="B574">
        <v>104</v>
      </c>
      <c r="C574">
        <v>34118</v>
      </c>
      <c r="D574" t="s">
        <v>231</v>
      </c>
      <c r="E574" s="12">
        <v>29.99</v>
      </c>
      <c r="F574" s="12">
        <v>7.38</v>
      </c>
      <c r="G574" s="75">
        <v>46190</v>
      </c>
      <c r="H574" t="s">
        <v>340</v>
      </c>
      <c r="I574" s="12">
        <v>204.71304347826086</v>
      </c>
      <c r="J574" s="12">
        <v>8</v>
      </c>
    </row>
    <row r="575" spans="1:10" x14ac:dyDescent="0.35">
      <c r="A575" t="s">
        <v>19</v>
      </c>
      <c r="B575">
        <v>101</v>
      </c>
      <c r="C575">
        <v>34113</v>
      </c>
      <c r="D575" t="s">
        <v>56</v>
      </c>
      <c r="E575" s="12">
        <v>3.99</v>
      </c>
      <c r="F575" s="12">
        <v>2.1386000000000003</v>
      </c>
      <c r="G575" s="75">
        <v>46188</v>
      </c>
      <c r="H575" t="s">
        <v>315</v>
      </c>
      <c r="I575" s="12">
        <v>0</v>
      </c>
      <c r="J575" s="12">
        <v>0</v>
      </c>
    </row>
    <row r="576" spans="1:10" x14ac:dyDescent="0.35">
      <c r="A576" t="s">
        <v>19</v>
      </c>
      <c r="B576">
        <v>101</v>
      </c>
      <c r="C576">
        <v>34113</v>
      </c>
      <c r="D576" t="s">
        <v>56</v>
      </c>
      <c r="E576" s="12">
        <v>3.99</v>
      </c>
      <c r="F576" s="12">
        <v>2.1386000000000003</v>
      </c>
      <c r="G576" s="75">
        <v>46189</v>
      </c>
      <c r="H576" t="s">
        <v>316</v>
      </c>
      <c r="I576" s="12">
        <v>0</v>
      </c>
      <c r="J576" s="12">
        <v>0</v>
      </c>
    </row>
    <row r="577" spans="1:10" x14ac:dyDescent="0.35">
      <c r="A577" t="s">
        <v>19</v>
      </c>
      <c r="B577">
        <v>101</v>
      </c>
      <c r="C577">
        <v>34113</v>
      </c>
      <c r="D577" t="s">
        <v>56</v>
      </c>
      <c r="E577" s="12">
        <v>3.99</v>
      </c>
      <c r="F577" s="12">
        <v>2.1386000000000003</v>
      </c>
      <c r="G577" s="75">
        <v>46190</v>
      </c>
      <c r="H577" t="s">
        <v>340</v>
      </c>
      <c r="I577" s="12">
        <v>0</v>
      </c>
      <c r="J577" s="12">
        <v>0</v>
      </c>
    </row>
    <row r="578" spans="1:10" x14ac:dyDescent="0.35">
      <c r="A578" t="s">
        <v>14</v>
      </c>
      <c r="B578">
        <v>102</v>
      </c>
      <c r="C578">
        <v>34106</v>
      </c>
      <c r="D578" t="s">
        <v>131</v>
      </c>
      <c r="E578" s="12">
        <v>11.99</v>
      </c>
      <c r="F578" s="12">
        <v>6.35</v>
      </c>
      <c r="G578" s="75">
        <v>46188</v>
      </c>
      <c r="H578" t="s">
        <v>315</v>
      </c>
      <c r="I578" s="12">
        <v>0</v>
      </c>
      <c r="J578" s="12">
        <v>0</v>
      </c>
    </row>
    <row r="579" spans="1:10" x14ac:dyDescent="0.35">
      <c r="A579" t="s">
        <v>14</v>
      </c>
      <c r="B579">
        <v>102</v>
      </c>
      <c r="C579">
        <v>34106</v>
      </c>
      <c r="D579" t="s">
        <v>131</v>
      </c>
      <c r="E579" s="12">
        <v>11.99</v>
      </c>
      <c r="F579" s="12">
        <v>6.35</v>
      </c>
      <c r="G579" s="75">
        <v>46189</v>
      </c>
      <c r="H579" t="s">
        <v>316</v>
      </c>
      <c r="I579" s="12">
        <v>0</v>
      </c>
      <c r="J579" s="12">
        <v>0</v>
      </c>
    </row>
    <row r="580" spans="1:10" x14ac:dyDescent="0.35">
      <c r="A580" t="s">
        <v>14</v>
      </c>
      <c r="B580">
        <v>102</v>
      </c>
      <c r="C580">
        <v>34106</v>
      </c>
      <c r="D580" t="s">
        <v>131</v>
      </c>
      <c r="E580" s="12">
        <v>11.99</v>
      </c>
      <c r="F580" s="12">
        <v>6.35</v>
      </c>
      <c r="G580" s="75">
        <v>46190</v>
      </c>
      <c r="H580" t="s">
        <v>340</v>
      </c>
      <c r="I580" s="12">
        <v>0</v>
      </c>
      <c r="J580" s="12">
        <v>0</v>
      </c>
    </row>
    <row r="581" spans="1:10" x14ac:dyDescent="0.35">
      <c r="A581" t="s">
        <v>14</v>
      </c>
      <c r="B581">
        <v>102</v>
      </c>
      <c r="C581">
        <v>34102</v>
      </c>
      <c r="D581" t="s">
        <v>129</v>
      </c>
      <c r="E581" s="12">
        <v>9.99</v>
      </c>
      <c r="F581" s="12">
        <v>4.99</v>
      </c>
      <c r="G581" s="75">
        <v>46188</v>
      </c>
      <c r="H581" t="s">
        <v>315</v>
      </c>
      <c r="I581" s="12">
        <v>0</v>
      </c>
      <c r="J581" s="12">
        <v>0</v>
      </c>
    </row>
    <row r="582" spans="1:10" x14ac:dyDescent="0.35">
      <c r="A582" t="s">
        <v>14</v>
      </c>
      <c r="B582">
        <v>102</v>
      </c>
      <c r="C582">
        <v>34102</v>
      </c>
      <c r="D582" t="s">
        <v>129</v>
      </c>
      <c r="E582" s="12">
        <v>9.99</v>
      </c>
      <c r="F582" s="12">
        <v>4.99</v>
      </c>
      <c r="G582" s="75">
        <v>46189</v>
      </c>
      <c r="H582" t="s">
        <v>316</v>
      </c>
      <c r="I582" s="12">
        <v>43.434782608695656</v>
      </c>
      <c r="J582" s="12">
        <v>5</v>
      </c>
    </row>
    <row r="583" spans="1:10" x14ac:dyDescent="0.35">
      <c r="A583" t="s">
        <v>14</v>
      </c>
      <c r="B583">
        <v>102</v>
      </c>
      <c r="C583">
        <v>34102</v>
      </c>
      <c r="D583" t="s">
        <v>129</v>
      </c>
      <c r="E583" s="12">
        <v>9.99</v>
      </c>
      <c r="F583" s="12">
        <v>4.99</v>
      </c>
      <c r="G583" s="75">
        <v>46190</v>
      </c>
      <c r="H583" t="s">
        <v>340</v>
      </c>
      <c r="I583" s="12">
        <v>26.060869565217391</v>
      </c>
      <c r="J583" s="12">
        <v>3</v>
      </c>
    </row>
    <row r="584" spans="1:10" x14ac:dyDescent="0.35">
      <c r="A584" t="s">
        <v>14</v>
      </c>
      <c r="B584">
        <v>103</v>
      </c>
      <c r="C584">
        <v>34101</v>
      </c>
      <c r="D584" t="s">
        <v>209</v>
      </c>
      <c r="E584" s="12">
        <v>216.99</v>
      </c>
      <c r="F584" s="12">
        <v>54</v>
      </c>
      <c r="G584" s="75">
        <v>46188</v>
      </c>
      <c r="H584" t="s">
        <v>315</v>
      </c>
      <c r="I584" s="12">
        <v>0</v>
      </c>
      <c r="J584" s="12">
        <v>0</v>
      </c>
    </row>
    <row r="585" spans="1:10" x14ac:dyDescent="0.35">
      <c r="A585" t="s">
        <v>14</v>
      </c>
      <c r="B585">
        <v>103</v>
      </c>
      <c r="C585">
        <v>34101</v>
      </c>
      <c r="D585" t="s">
        <v>209</v>
      </c>
      <c r="E585" s="12">
        <v>216.99</v>
      </c>
      <c r="F585" s="12">
        <v>54</v>
      </c>
      <c r="G585" s="75">
        <v>46189</v>
      </c>
      <c r="H585" t="s">
        <v>316</v>
      </c>
      <c r="I585" s="12">
        <v>0</v>
      </c>
      <c r="J585" s="12">
        <v>0</v>
      </c>
    </row>
    <row r="586" spans="1:10" x14ac:dyDescent="0.35">
      <c r="A586" t="s">
        <v>14</v>
      </c>
      <c r="B586">
        <v>103</v>
      </c>
      <c r="C586">
        <v>34101</v>
      </c>
      <c r="D586" t="s">
        <v>209</v>
      </c>
      <c r="E586" s="12">
        <v>216.99</v>
      </c>
      <c r="F586" s="12">
        <v>54</v>
      </c>
      <c r="G586" s="75">
        <v>46190</v>
      </c>
      <c r="H586" t="s">
        <v>340</v>
      </c>
      <c r="I586" s="12">
        <v>0</v>
      </c>
      <c r="J586" s="12">
        <v>0</v>
      </c>
    </row>
    <row r="587" spans="1:10" x14ac:dyDescent="0.35">
      <c r="A587" t="s">
        <v>14</v>
      </c>
      <c r="B587">
        <v>103</v>
      </c>
      <c r="C587">
        <v>34100</v>
      </c>
      <c r="D587" t="s">
        <v>211</v>
      </c>
      <c r="E587" s="12">
        <v>402.99</v>
      </c>
      <c r="F587" s="12">
        <v>210</v>
      </c>
      <c r="G587" s="75">
        <v>46188</v>
      </c>
      <c r="H587" t="s">
        <v>315</v>
      </c>
      <c r="I587" s="12">
        <v>0</v>
      </c>
      <c r="J587" s="12">
        <v>0</v>
      </c>
    </row>
    <row r="588" spans="1:10" x14ac:dyDescent="0.35">
      <c r="A588" t="s">
        <v>14</v>
      </c>
      <c r="B588">
        <v>103</v>
      </c>
      <c r="C588">
        <v>34100</v>
      </c>
      <c r="D588" t="s">
        <v>211</v>
      </c>
      <c r="E588" s="12">
        <v>402.99</v>
      </c>
      <c r="F588" s="12">
        <v>210</v>
      </c>
      <c r="G588" s="75">
        <v>46189</v>
      </c>
      <c r="H588" t="s">
        <v>316</v>
      </c>
      <c r="I588" s="12">
        <v>0</v>
      </c>
      <c r="J588" s="12">
        <v>0</v>
      </c>
    </row>
    <row r="589" spans="1:10" x14ac:dyDescent="0.35">
      <c r="A589" t="s">
        <v>14</v>
      </c>
      <c r="B589">
        <v>103</v>
      </c>
      <c r="C589">
        <v>34100</v>
      </c>
      <c r="D589" t="s">
        <v>211</v>
      </c>
      <c r="E589" s="12">
        <v>402.99</v>
      </c>
      <c r="F589" s="12">
        <v>210</v>
      </c>
      <c r="G589" s="75">
        <v>46190</v>
      </c>
      <c r="H589" t="s">
        <v>340</v>
      </c>
      <c r="I589" s="12">
        <v>0</v>
      </c>
      <c r="J589" s="12">
        <v>0</v>
      </c>
    </row>
    <row r="590" spans="1:10" x14ac:dyDescent="0.35">
      <c r="A590" t="s">
        <v>14</v>
      </c>
      <c r="B590">
        <v>104</v>
      </c>
      <c r="C590">
        <v>34095</v>
      </c>
      <c r="D590" t="s">
        <v>235</v>
      </c>
      <c r="E590" s="12">
        <v>29.99</v>
      </c>
      <c r="F590" s="12">
        <v>12.52</v>
      </c>
      <c r="G590" s="75">
        <v>46188</v>
      </c>
      <c r="H590" t="s">
        <v>315</v>
      </c>
      <c r="I590" s="12">
        <v>0</v>
      </c>
      <c r="J590" s="12">
        <v>0</v>
      </c>
    </row>
    <row r="591" spans="1:10" x14ac:dyDescent="0.35">
      <c r="A591" t="s">
        <v>14</v>
      </c>
      <c r="B591">
        <v>104</v>
      </c>
      <c r="C591">
        <v>34095</v>
      </c>
      <c r="D591" t="s">
        <v>235</v>
      </c>
      <c r="E591" s="12">
        <v>29.99</v>
      </c>
      <c r="F591" s="12">
        <v>12.52</v>
      </c>
      <c r="G591" s="75">
        <v>46189</v>
      </c>
      <c r="H591" t="s">
        <v>316</v>
      </c>
      <c r="I591" s="12">
        <v>0</v>
      </c>
      <c r="J591" s="12">
        <v>0</v>
      </c>
    </row>
    <row r="592" spans="1:10" x14ac:dyDescent="0.35">
      <c r="A592" t="s">
        <v>14</v>
      </c>
      <c r="B592">
        <v>104</v>
      </c>
      <c r="C592">
        <v>34095</v>
      </c>
      <c r="D592" t="s">
        <v>235</v>
      </c>
      <c r="E592" s="12">
        <v>29.99</v>
      </c>
      <c r="F592" s="12">
        <v>12.52</v>
      </c>
      <c r="G592" s="75">
        <v>46190</v>
      </c>
      <c r="H592" t="s">
        <v>340</v>
      </c>
      <c r="I592" s="12">
        <v>0</v>
      </c>
      <c r="J592" s="12">
        <v>0</v>
      </c>
    </row>
    <row r="593" spans="1:10" x14ac:dyDescent="0.35">
      <c r="A593" t="s">
        <v>14</v>
      </c>
      <c r="B593">
        <v>103</v>
      </c>
      <c r="C593">
        <v>34094</v>
      </c>
      <c r="D593" t="s">
        <v>229</v>
      </c>
      <c r="E593" s="12">
        <v>302.99</v>
      </c>
      <c r="F593" s="12">
        <v>57</v>
      </c>
      <c r="G593" s="75">
        <v>46188</v>
      </c>
      <c r="H593" t="s">
        <v>315</v>
      </c>
      <c r="I593" s="12">
        <v>0</v>
      </c>
      <c r="J593" s="12">
        <v>0</v>
      </c>
    </row>
    <row r="594" spans="1:10" x14ac:dyDescent="0.35">
      <c r="A594" t="s">
        <v>14</v>
      </c>
      <c r="B594">
        <v>103</v>
      </c>
      <c r="C594">
        <v>34094</v>
      </c>
      <c r="D594" t="s">
        <v>229</v>
      </c>
      <c r="E594" s="12">
        <v>302.99</v>
      </c>
      <c r="F594" s="12">
        <v>57</v>
      </c>
      <c r="G594" s="75">
        <v>46189</v>
      </c>
      <c r="H594" t="s">
        <v>316</v>
      </c>
      <c r="I594" s="12">
        <v>0</v>
      </c>
      <c r="J594" s="12">
        <v>0</v>
      </c>
    </row>
    <row r="595" spans="1:10" x14ac:dyDescent="0.35">
      <c r="A595" t="s">
        <v>14</v>
      </c>
      <c r="B595">
        <v>103</v>
      </c>
      <c r="C595">
        <v>34094</v>
      </c>
      <c r="D595" t="s">
        <v>229</v>
      </c>
      <c r="E595" s="12">
        <v>302.99</v>
      </c>
      <c r="F595" s="12">
        <v>57</v>
      </c>
      <c r="G595" s="75">
        <v>46190</v>
      </c>
      <c r="H595" t="s">
        <v>340</v>
      </c>
      <c r="I595" s="12">
        <v>0</v>
      </c>
      <c r="J595" s="12">
        <v>0</v>
      </c>
    </row>
    <row r="596" spans="1:10" x14ac:dyDescent="0.35">
      <c r="A596" t="s">
        <v>14</v>
      </c>
      <c r="B596">
        <v>102</v>
      </c>
      <c r="C596">
        <v>34090</v>
      </c>
      <c r="D596" t="s">
        <v>144</v>
      </c>
      <c r="E596" s="12">
        <v>3.99</v>
      </c>
      <c r="F596" s="12">
        <v>1.3</v>
      </c>
      <c r="G596" s="75">
        <v>46188</v>
      </c>
      <c r="H596" t="s">
        <v>315</v>
      </c>
      <c r="I596" s="12">
        <v>0</v>
      </c>
      <c r="J596" s="12">
        <v>0</v>
      </c>
    </row>
    <row r="597" spans="1:10" x14ac:dyDescent="0.35">
      <c r="A597" t="s">
        <v>14</v>
      </c>
      <c r="B597">
        <v>102</v>
      </c>
      <c r="C597">
        <v>34090</v>
      </c>
      <c r="D597" t="s">
        <v>144</v>
      </c>
      <c r="E597" s="12">
        <v>3.99</v>
      </c>
      <c r="F597" s="12">
        <v>1.3</v>
      </c>
      <c r="G597" s="75">
        <v>46189</v>
      </c>
      <c r="H597" t="s">
        <v>316</v>
      </c>
      <c r="I597" s="12">
        <v>0</v>
      </c>
      <c r="J597" s="12">
        <v>0</v>
      </c>
    </row>
    <row r="598" spans="1:10" x14ac:dyDescent="0.35">
      <c r="A598" t="s">
        <v>14</v>
      </c>
      <c r="B598">
        <v>102</v>
      </c>
      <c r="C598">
        <v>34090</v>
      </c>
      <c r="D598" t="s">
        <v>144</v>
      </c>
      <c r="E598" s="12">
        <v>3.99</v>
      </c>
      <c r="F598" s="12">
        <v>1.3</v>
      </c>
      <c r="G598" s="75">
        <v>46190</v>
      </c>
      <c r="H598" t="s">
        <v>340</v>
      </c>
      <c r="I598" s="12">
        <v>0</v>
      </c>
      <c r="J598" s="12">
        <v>0</v>
      </c>
    </row>
    <row r="599" spans="1:10" x14ac:dyDescent="0.35">
      <c r="A599" t="s">
        <v>14</v>
      </c>
      <c r="B599">
        <v>102</v>
      </c>
      <c r="C599">
        <v>34089</v>
      </c>
      <c r="D599" t="s">
        <v>180</v>
      </c>
      <c r="E599" s="12">
        <v>39.99</v>
      </c>
      <c r="F599" s="12">
        <v>29.01</v>
      </c>
      <c r="G599" s="75">
        <v>46188</v>
      </c>
      <c r="H599" t="s">
        <v>315</v>
      </c>
      <c r="I599" s="12">
        <v>0</v>
      </c>
      <c r="J599" s="12">
        <v>0</v>
      </c>
    </row>
    <row r="600" spans="1:10" x14ac:dyDescent="0.35">
      <c r="A600" t="s">
        <v>14</v>
      </c>
      <c r="B600">
        <v>102</v>
      </c>
      <c r="C600">
        <v>34089</v>
      </c>
      <c r="D600" t="s">
        <v>180</v>
      </c>
      <c r="E600" s="12">
        <v>39.99</v>
      </c>
      <c r="F600" s="12">
        <v>29.01</v>
      </c>
      <c r="G600" s="75">
        <v>46189</v>
      </c>
      <c r="H600" t="s">
        <v>316</v>
      </c>
      <c r="I600" s="12">
        <v>0</v>
      </c>
      <c r="J600" s="12">
        <v>0</v>
      </c>
    </row>
    <row r="601" spans="1:10" x14ac:dyDescent="0.35">
      <c r="A601" t="s">
        <v>14</v>
      </c>
      <c r="B601">
        <v>102</v>
      </c>
      <c r="C601">
        <v>34089</v>
      </c>
      <c r="D601" t="s">
        <v>180</v>
      </c>
      <c r="E601" s="12">
        <v>39.99</v>
      </c>
      <c r="F601" s="12">
        <v>29.01</v>
      </c>
      <c r="G601" s="75">
        <v>46190</v>
      </c>
      <c r="H601" t="s">
        <v>340</v>
      </c>
      <c r="I601" s="12">
        <v>0</v>
      </c>
      <c r="J601" s="12">
        <v>0</v>
      </c>
    </row>
    <row r="602" spans="1:10" x14ac:dyDescent="0.35">
      <c r="A602" t="s">
        <v>14</v>
      </c>
      <c r="B602">
        <v>101</v>
      </c>
      <c r="C602">
        <v>34088</v>
      </c>
      <c r="D602" t="s">
        <v>44</v>
      </c>
      <c r="E602" s="12">
        <v>1.5</v>
      </c>
      <c r="F602" s="12">
        <v>0.68</v>
      </c>
      <c r="G602" s="75">
        <v>46188</v>
      </c>
      <c r="H602" t="s">
        <v>315</v>
      </c>
      <c r="I602" s="12">
        <v>0</v>
      </c>
      <c r="J602" s="12">
        <v>0</v>
      </c>
    </row>
    <row r="603" spans="1:10" x14ac:dyDescent="0.35">
      <c r="A603" t="s">
        <v>14</v>
      </c>
      <c r="B603">
        <v>101</v>
      </c>
      <c r="C603">
        <v>34088</v>
      </c>
      <c r="D603" t="s">
        <v>44</v>
      </c>
      <c r="E603" s="12">
        <v>1.5</v>
      </c>
      <c r="F603" s="12">
        <v>0.68</v>
      </c>
      <c r="G603" s="75">
        <v>46189</v>
      </c>
      <c r="H603" t="s">
        <v>316</v>
      </c>
      <c r="I603" s="12">
        <v>117.39130434782609</v>
      </c>
      <c r="J603" s="12">
        <v>90</v>
      </c>
    </row>
    <row r="604" spans="1:10" x14ac:dyDescent="0.35">
      <c r="A604" t="s">
        <v>14</v>
      </c>
      <c r="B604">
        <v>101</v>
      </c>
      <c r="C604">
        <v>34088</v>
      </c>
      <c r="D604" t="s">
        <v>44</v>
      </c>
      <c r="E604" s="12">
        <v>1.5</v>
      </c>
      <c r="F604" s="12">
        <v>0.68</v>
      </c>
      <c r="G604" s="75">
        <v>46190</v>
      </c>
      <c r="H604" t="s">
        <v>340</v>
      </c>
      <c r="I604" s="12">
        <v>0</v>
      </c>
      <c r="J604" s="12">
        <v>0</v>
      </c>
    </row>
    <row r="605" spans="1:10" x14ac:dyDescent="0.35">
      <c r="A605" t="s">
        <v>14</v>
      </c>
      <c r="B605">
        <v>103</v>
      </c>
      <c r="C605">
        <v>34087</v>
      </c>
      <c r="D605" t="s">
        <v>213</v>
      </c>
      <c r="E605" s="12">
        <v>99.99</v>
      </c>
      <c r="F605" s="12">
        <v>54.67</v>
      </c>
      <c r="G605" s="75">
        <v>46188</v>
      </c>
      <c r="H605" t="s">
        <v>315</v>
      </c>
      <c r="I605" s="12">
        <v>0</v>
      </c>
      <c r="J605" s="12">
        <v>0</v>
      </c>
    </row>
    <row r="606" spans="1:10" x14ac:dyDescent="0.35">
      <c r="A606" t="s">
        <v>14</v>
      </c>
      <c r="B606">
        <v>103</v>
      </c>
      <c r="C606">
        <v>34087</v>
      </c>
      <c r="D606" t="s">
        <v>213</v>
      </c>
      <c r="E606" s="12">
        <v>99.99</v>
      </c>
      <c r="F606" s="12">
        <v>54.67</v>
      </c>
      <c r="G606" s="75">
        <v>46189</v>
      </c>
      <c r="H606" t="s">
        <v>316</v>
      </c>
      <c r="I606" s="12">
        <v>0</v>
      </c>
      <c r="J606" s="12">
        <v>0</v>
      </c>
    </row>
    <row r="607" spans="1:10" x14ac:dyDescent="0.35">
      <c r="A607" t="s">
        <v>14</v>
      </c>
      <c r="B607">
        <v>103</v>
      </c>
      <c r="C607">
        <v>34087</v>
      </c>
      <c r="D607" t="s">
        <v>213</v>
      </c>
      <c r="E607" s="12">
        <v>99.99</v>
      </c>
      <c r="F607" s="12">
        <v>54.67</v>
      </c>
      <c r="G607" s="75">
        <v>46190</v>
      </c>
      <c r="H607" t="s">
        <v>340</v>
      </c>
      <c r="I607" s="12">
        <v>0</v>
      </c>
      <c r="J607" s="12">
        <v>0</v>
      </c>
    </row>
    <row r="608" spans="1:10" x14ac:dyDescent="0.35">
      <c r="A608" t="s">
        <v>14</v>
      </c>
      <c r="B608">
        <v>104</v>
      </c>
      <c r="C608">
        <v>34082</v>
      </c>
      <c r="D608" t="s">
        <v>237</v>
      </c>
      <c r="E608" s="12">
        <v>55</v>
      </c>
      <c r="F608" s="12">
        <v>25.03</v>
      </c>
      <c r="G608" s="75">
        <v>46188</v>
      </c>
      <c r="H608" t="s">
        <v>315</v>
      </c>
      <c r="I608" s="12">
        <v>0</v>
      </c>
      <c r="J608" s="12">
        <v>0</v>
      </c>
    </row>
    <row r="609" spans="1:10" x14ac:dyDescent="0.35">
      <c r="A609" t="s">
        <v>14</v>
      </c>
      <c r="B609">
        <v>104</v>
      </c>
      <c r="C609">
        <v>34082</v>
      </c>
      <c r="D609" t="s">
        <v>237</v>
      </c>
      <c r="E609" s="12">
        <v>55</v>
      </c>
      <c r="F609" s="12">
        <v>25.03</v>
      </c>
      <c r="G609" s="75">
        <v>46189</v>
      </c>
      <c r="H609" t="s">
        <v>316</v>
      </c>
      <c r="I609" s="12">
        <v>0</v>
      </c>
      <c r="J609" s="12">
        <v>0</v>
      </c>
    </row>
    <row r="610" spans="1:10" x14ac:dyDescent="0.35">
      <c r="A610" t="s">
        <v>14</v>
      </c>
      <c r="B610">
        <v>104</v>
      </c>
      <c r="C610">
        <v>34082</v>
      </c>
      <c r="D610" t="s">
        <v>237</v>
      </c>
      <c r="E610" s="12">
        <v>55</v>
      </c>
      <c r="F610" s="12">
        <v>25.03</v>
      </c>
      <c r="G610" s="75">
        <v>46190</v>
      </c>
      <c r="H610" t="s">
        <v>340</v>
      </c>
      <c r="I610" s="12">
        <v>0</v>
      </c>
      <c r="J610" s="12">
        <v>0</v>
      </c>
    </row>
    <row r="611" spans="1:10" x14ac:dyDescent="0.35">
      <c r="A611" t="s">
        <v>14</v>
      </c>
      <c r="B611">
        <v>104</v>
      </c>
      <c r="C611">
        <v>34081</v>
      </c>
      <c r="D611" t="s">
        <v>232</v>
      </c>
      <c r="E611" s="12">
        <v>29.99</v>
      </c>
      <c r="F611" s="12">
        <v>14.34</v>
      </c>
      <c r="G611" s="75">
        <v>46188</v>
      </c>
      <c r="H611" t="s">
        <v>315</v>
      </c>
      <c r="I611" s="12">
        <v>0</v>
      </c>
      <c r="J611" s="12">
        <v>0</v>
      </c>
    </row>
    <row r="612" spans="1:10" x14ac:dyDescent="0.35">
      <c r="A612" t="s">
        <v>14</v>
      </c>
      <c r="B612">
        <v>104</v>
      </c>
      <c r="C612">
        <v>34081</v>
      </c>
      <c r="D612" t="s">
        <v>232</v>
      </c>
      <c r="E612" s="12">
        <v>29.99</v>
      </c>
      <c r="F612" s="12">
        <v>14.34</v>
      </c>
      <c r="G612" s="75">
        <v>46189</v>
      </c>
      <c r="H612" t="s">
        <v>316</v>
      </c>
      <c r="I612" s="12">
        <v>0</v>
      </c>
      <c r="J612" s="12">
        <v>0</v>
      </c>
    </row>
    <row r="613" spans="1:10" x14ac:dyDescent="0.35">
      <c r="A613" t="s">
        <v>14</v>
      </c>
      <c r="B613">
        <v>104</v>
      </c>
      <c r="C613">
        <v>34081</v>
      </c>
      <c r="D613" t="s">
        <v>232</v>
      </c>
      <c r="E613" s="12">
        <v>29.99</v>
      </c>
      <c r="F613" s="12">
        <v>14.34</v>
      </c>
      <c r="G613" s="75">
        <v>46190</v>
      </c>
      <c r="H613" t="s">
        <v>340</v>
      </c>
      <c r="I613" s="12">
        <v>0</v>
      </c>
      <c r="J613" s="12">
        <v>0</v>
      </c>
    </row>
    <row r="614" spans="1:10" x14ac:dyDescent="0.35">
      <c r="A614" t="s">
        <v>14</v>
      </c>
      <c r="B614">
        <v>104</v>
      </c>
      <c r="C614">
        <v>34080</v>
      </c>
      <c r="D614" t="s">
        <v>234</v>
      </c>
      <c r="E614" s="12">
        <v>49.99</v>
      </c>
      <c r="F614" s="12">
        <v>28.67</v>
      </c>
      <c r="G614" s="75">
        <v>46188</v>
      </c>
      <c r="H614" t="s">
        <v>315</v>
      </c>
      <c r="I614" s="12">
        <v>0</v>
      </c>
      <c r="J614" s="12">
        <v>0</v>
      </c>
    </row>
    <row r="615" spans="1:10" x14ac:dyDescent="0.35">
      <c r="A615" t="s">
        <v>14</v>
      </c>
      <c r="B615">
        <v>104</v>
      </c>
      <c r="C615">
        <v>34080</v>
      </c>
      <c r="D615" t="s">
        <v>234</v>
      </c>
      <c r="E615" s="12">
        <v>49.99</v>
      </c>
      <c r="F615" s="12">
        <v>28.67</v>
      </c>
      <c r="G615" s="75">
        <v>46189</v>
      </c>
      <c r="H615" t="s">
        <v>316</v>
      </c>
      <c r="I615" s="12">
        <v>43.469565217391306</v>
      </c>
      <c r="J615" s="12">
        <v>1</v>
      </c>
    </row>
    <row r="616" spans="1:10" x14ac:dyDescent="0.35">
      <c r="A616" t="s">
        <v>14</v>
      </c>
      <c r="B616">
        <v>104</v>
      </c>
      <c r="C616">
        <v>34080</v>
      </c>
      <c r="D616" t="s">
        <v>234</v>
      </c>
      <c r="E616" s="12">
        <v>49.99</v>
      </c>
      <c r="F616" s="12">
        <v>28.67</v>
      </c>
      <c r="G616" s="75">
        <v>46190</v>
      </c>
      <c r="H616" t="s">
        <v>340</v>
      </c>
      <c r="I616" s="12">
        <v>0</v>
      </c>
      <c r="J616" s="12">
        <v>0</v>
      </c>
    </row>
    <row r="617" spans="1:10" x14ac:dyDescent="0.35">
      <c r="A617" t="s">
        <v>14</v>
      </c>
      <c r="B617">
        <v>104</v>
      </c>
      <c r="C617">
        <v>34079</v>
      </c>
      <c r="D617" t="s">
        <v>236</v>
      </c>
      <c r="E617" s="12">
        <v>60</v>
      </c>
      <c r="F617" s="12">
        <v>29.14</v>
      </c>
      <c r="G617" s="75">
        <v>46188</v>
      </c>
      <c r="H617" t="s">
        <v>315</v>
      </c>
      <c r="I617" s="12">
        <v>0</v>
      </c>
      <c r="J617" s="12">
        <v>0</v>
      </c>
    </row>
    <row r="618" spans="1:10" x14ac:dyDescent="0.35">
      <c r="A618" t="s">
        <v>14</v>
      </c>
      <c r="B618">
        <v>104</v>
      </c>
      <c r="C618">
        <v>34079</v>
      </c>
      <c r="D618" t="s">
        <v>236</v>
      </c>
      <c r="E618" s="12">
        <v>60</v>
      </c>
      <c r="F618" s="12">
        <v>29.14</v>
      </c>
      <c r="G618" s="75">
        <v>46189</v>
      </c>
      <c r="H618" t="s">
        <v>316</v>
      </c>
      <c r="I618" s="12">
        <v>0</v>
      </c>
      <c r="J618" s="12">
        <v>0</v>
      </c>
    </row>
    <row r="619" spans="1:10" x14ac:dyDescent="0.35">
      <c r="A619" t="s">
        <v>14</v>
      </c>
      <c r="B619">
        <v>104</v>
      </c>
      <c r="C619">
        <v>34079</v>
      </c>
      <c r="D619" t="s">
        <v>236</v>
      </c>
      <c r="E619" s="12">
        <v>60</v>
      </c>
      <c r="F619" s="12">
        <v>29.14</v>
      </c>
      <c r="G619" s="75">
        <v>46190</v>
      </c>
      <c r="H619" t="s">
        <v>340</v>
      </c>
      <c r="I619" s="12">
        <v>0</v>
      </c>
      <c r="J619" s="12">
        <v>0</v>
      </c>
    </row>
    <row r="620" spans="1:10" x14ac:dyDescent="0.35">
      <c r="A620" t="s">
        <v>14</v>
      </c>
      <c r="B620">
        <v>103</v>
      </c>
      <c r="C620">
        <v>34076</v>
      </c>
      <c r="D620" t="s">
        <v>228</v>
      </c>
      <c r="E620" s="12">
        <v>114.99</v>
      </c>
      <c r="F620" s="12">
        <v>20.95</v>
      </c>
      <c r="G620" s="75">
        <v>46188</v>
      </c>
      <c r="H620" t="s">
        <v>315</v>
      </c>
      <c r="I620" s="12">
        <v>0</v>
      </c>
      <c r="J620" s="12">
        <v>0</v>
      </c>
    </row>
    <row r="621" spans="1:10" x14ac:dyDescent="0.35">
      <c r="A621" t="s">
        <v>14</v>
      </c>
      <c r="B621">
        <v>103</v>
      </c>
      <c r="C621">
        <v>34076</v>
      </c>
      <c r="D621" t="s">
        <v>228</v>
      </c>
      <c r="E621" s="12">
        <v>114.99</v>
      </c>
      <c r="F621" s="12">
        <v>20.95</v>
      </c>
      <c r="G621" s="75">
        <v>46189</v>
      </c>
      <c r="H621" t="s">
        <v>316</v>
      </c>
      <c r="I621" s="12">
        <v>0</v>
      </c>
      <c r="J621" s="12">
        <v>0</v>
      </c>
    </row>
    <row r="622" spans="1:10" x14ac:dyDescent="0.35">
      <c r="A622" t="s">
        <v>14</v>
      </c>
      <c r="B622">
        <v>103</v>
      </c>
      <c r="C622">
        <v>34076</v>
      </c>
      <c r="D622" t="s">
        <v>228</v>
      </c>
      <c r="E622" s="12">
        <v>114.99</v>
      </c>
      <c r="F622" s="12">
        <v>20.95</v>
      </c>
      <c r="G622" s="75">
        <v>46190</v>
      </c>
      <c r="H622" t="s">
        <v>340</v>
      </c>
      <c r="I622" s="12">
        <v>0</v>
      </c>
      <c r="J622" s="12">
        <v>0</v>
      </c>
    </row>
    <row r="623" spans="1:10" x14ac:dyDescent="0.35">
      <c r="A623" t="s">
        <v>14</v>
      </c>
      <c r="B623">
        <v>104</v>
      </c>
      <c r="C623">
        <v>34075</v>
      </c>
      <c r="D623" t="s">
        <v>240</v>
      </c>
      <c r="E623" s="12">
        <v>69.989999999999995</v>
      </c>
      <c r="F623" s="12">
        <v>36.1</v>
      </c>
      <c r="G623" s="75">
        <v>46188</v>
      </c>
      <c r="H623" t="s">
        <v>315</v>
      </c>
      <c r="I623" s="12">
        <v>0</v>
      </c>
      <c r="J623" s="12">
        <v>0</v>
      </c>
    </row>
    <row r="624" spans="1:10" x14ac:dyDescent="0.35">
      <c r="A624" t="s">
        <v>14</v>
      </c>
      <c r="B624">
        <v>104</v>
      </c>
      <c r="C624">
        <v>34075</v>
      </c>
      <c r="D624" t="s">
        <v>240</v>
      </c>
      <c r="E624" s="12">
        <v>69.989999999999995</v>
      </c>
      <c r="F624" s="12">
        <v>36.1</v>
      </c>
      <c r="G624" s="75">
        <v>46189</v>
      </c>
      <c r="H624" t="s">
        <v>316</v>
      </c>
      <c r="I624" s="12">
        <v>0</v>
      </c>
      <c r="J624" s="12">
        <v>0</v>
      </c>
    </row>
    <row r="625" spans="1:10" x14ac:dyDescent="0.35">
      <c r="A625" t="s">
        <v>14</v>
      </c>
      <c r="B625">
        <v>104</v>
      </c>
      <c r="C625">
        <v>34075</v>
      </c>
      <c r="D625" t="s">
        <v>240</v>
      </c>
      <c r="E625" s="12">
        <v>69.989999999999995</v>
      </c>
      <c r="F625" s="12">
        <v>36.1</v>
      </c>
      <c r="G625" s="75">
        <v>46190</v>
      </c>
      <c r="H625" t="s">
        <v>340</v>
      </c>
      <c r="I625" s="12">
        <v>0</v>
      </c>
      <c r="J625" s="12">
        <v>0</v>
      </c>
    </row>
    <row r="626" spans="1:10" x14ac:dyDescent="0.35">
      <c r="A626" t="s">
        <v>14</v>
      </c>
      <c r="B626">
        <v>102</v>
      </c>
      <c r="C626">
        <v>34074</v>
      </c>
      <c r="D626" t="s">
        <v>140</v>
      </c>
      <c r="E626" s="12">
        <v>21.99</v>
      </c>
      <c r="F626" s="12">
        <v>12.33</v>
      </c>
      <c r="G626" s="75">
        <v>46188</v>
      </c>
      <c r="H626" t="s">
        <v>315</v>
      </c>
      <c r="I626" s="12">
        <v>0</v>
      </c>
      <c r="J626" s="12">
        <v>0</v>
      </c>
    </row>
    <row r="627" spans="1:10" x14ac:dyDescent="0.35">
      <c r="A627" t="s">
        <v>14</v>
      </c>
      <c r="B627">
        <v>102</v>
      </c>
      <c r="C627">
        <v>34074</v>
      </c>
      <c r="D627" t="s">
        <v>140</v>
      </c>
      <c r="E627" s="12">
        <v>21.99</v>
      </c>
      <c r="F627" s="12">
        <v>12.33</v>
      </c>
      <c r="G627" s="75">
        <v>46189</v>
      </c>
      <c r="H627" t="s">
        <v>316</v>
      </c>
      <c r="I627" s="12">
        <v>0</v>
      </c>
      <c r="J627" s="12">
        <v>0</v>
      </c>
    </row>
    <row r="628" spans="1:10" x14ac:dyDescent="0.35">
      <c r="A628" t="s">
        <v>14</v>
      </c>
      <c r="B628">
        <v>102</v>
      </c>
      <c r="C628">
        <v>34074</v>
      </c>
      <c r="D628" t="s">
        <v>140</v>
      </c>
      <c r="E628" s="12">
        <v>21.99</v>
      </c>
      <c r="F628" s="12">
        <v>12.33</v>
      </c>
      <c r="G628" s="75">
        <v>46190</v>
      </c>
      <c r="H628" t="s">
        <v>340</v>
      </c>
      <c r="I628" s="12">
        <v>0</v>
      </c>
      <c r="J628" s="12">
        <v>0</v>
      </c>
    </row>
    <row r="629" spans="1:10" x14ac:dyDescent="0.35">
      <c r="A629" t="s">
        <v>14</v>
      </c>
      <c r="B629">
        <v>102</v>
      </c>
      <c r="C629">
        <v>34061</v>
      </c>
      <c r="D629" t="s">
        <v>150</v>
      </c>
      <c r="E629" s="12">
        <v>39.99</v>
      </c>
      <c r="F629" s="12">
        <v>17.68</v>
      </c>
      <c r="G629" s="75">
        <v>46188</v>
      </c>
      <c r="H629" t="s">
        <v>315</v>
      </c>
      <c r="I629" s="12">
        <v>0</v>
      </c>
      <c r="J629" s="12">
        <v>0</v>
      </c>
    </row>
    <row r="630" spans="1:10" x14ac:dyDescent="0.35">
      <c r="A630" t="s">
        <v>14</v>
      </c>
      <c r="B630">
        <v>102</v>
      </c>
      <c r="C630">
        <v>34061</v>
      </c>
      <c r="D630" t="s">
        <v>150</v>
      </c>
      <c r="E630" s="12">
        <v>39.99</v>
      </c>
      <c r="F630" s="12">
        <v>17.68</v>
      </c>
      <c r="G630" s="75">
        <v>46189</v>
      </c>
      <c r="H630" t="s">
        <v>316</v>
      </c>
      <c r="I630" s="12">
        <v>0</v>
      </c>
      <c r="J630" s="12">
        <v>0</v>
      </c>
    </row>
    <row r="631" spans="1:10" x14ac:dyDescent="0.35">
      <c r="A631" t="s">
        <v>14</v>
      </c>
      <c r="B631">
        <v>102</v>
      </c>
      <c r="C631">
        <v>34061</v>
      </c>
      <c r="D631" t="s">
        <v>150</v>
      </c>
      <c r="E631" s="12">
        <v>39.99</v>
      </c>
      <c r="F631" s="12">
        <v>17.68</v>
      </c>
      <c r="G631" s="75">
        <v>46190</v>
      </c>
      <c r="H631" t="s">
        <v>340</v>
      </c>
      <c r="I631" s="12">
        <v>0</v>
      </c>
      <c r="J631" s="12">
        <v>0</v>
      </c>
    </row>
    <row r="632" spans="1:10" x14ac:dyDescent="0.35">
      <c r="A632" t="s">
        <v>14</v>
      </c>
      <c r="B632">
        <v>101</v>
      </c>
      <c r="C632">
        <v>34059</v>
      </c>
      <c r="D632" t="s">
        <v>64</v>
      </c>
      <c r="E632" s="12">
        <v>6.99</v>
      </c>
      <c r="F632" s="12">
        <v>3.8</v>
      </c>
      <c r="G632" s="75">
        <v>46188</v>
      </c>
      <c r="H632" t="s">
        <v>315</v>
      </c>
      <c r="I632" s="12">
        <v>0</v>
      </c>
      <c r="J632" s="12">
        <v>0</v>
      </c>
    </row>
    <row r="633" spans="1:10" x14ac:dyDescent="0.35">
      <c r="A633" t="s">
        <v>14</v>
      </c>
      <c r="B633">
        <v>101</v>
      </c>
      <c r="C633">
        <v>34059</v>
      </c>
      <c r="D633" t="s">
        <v>64</v>
      </c>
      <c r="E633" s="12">
        <v>6.99</v>
      </c>
      <c r="F633" s="12">
        <v>3.8</v>
      </c>
      <c r="G633" s="75">
        <v>46189</v>
      </c>
      <c r="H633" t="s">
        <v>316</v>
      </c>
      <c r="I633" s="12">
        <v>0</v>
      </c>
      <c r="J633" s="12">
        <v>0</v>
      </c>
    </row>
    <row r="634" spans="1:10" x14ac:dyDescent="0.35">
      <c r="A634" t="s">
        <v>14</v>
      </c>
      <c r="B634">
        <v>101</v>
      </c>
      <c r="C634">
        <v>34059</v>
      </c>
      <c r="D634" t="s">
        <v>64</v>
      </c>
      <c r="E634" s="12">
        <v>6.99</v>
      </c>
      <c r="F634" s="12">
        <v>3.8</v>
      </c>
      <c r="G634" s="75">
        <v>46190</v>
      </c>
      <c r="H634" t="s">
        <v>340</v>
      </c>
      <c r="I634" s="12">
        <v>0</v>
      </c>
      <c r="J634" s="12">
        <v>0</v>
      </c>
    </row>
    <row r="635" spans="1:10" x14ac:dyDescent="0.35">
      <c r="A635" t="s">
        <v>14</v>
      </c>
      <c r="B635">
        <v>118</v>
      </c>
      <c r="C635">
        <v>34054</v>
      </c>
      <c r="D635" t="s">
        <v>259</v>
      </c>
      <c r="E635" s="12">
        <v>100</v>
      </c>
      <c r="F635" s="12">
        <v>54.36</v>
      </c>
      <c r="G635" s="75">
        <v>46188</v>
      </c>
      <c r="H635" t="s">
        <v>315</v>
      </c>
      <c r="I635" s="12">
        <v>0</v>
      </c>
      <c r="J635" s="12">
        <v>0</v>
      </c>
    </row>
    <row r="636" spans="1:10" x14ac:dyDescent="0.35">
      <c r="A636" t="s">
        <v>14</v>
      </c>
      <c r="B636">
        <v>118</v>
      </c>
      <c r="C636">
        <v>34054</v>
      </c>
      <c r="D636" t="s">
        <v>259</v>
      </c>
      <c r="E636" s="12">
        <v>100</v>
      </c>
      <c r="F636" s="12">
        <v>54.36</v>
      </c>
      <c r="G636" s="75">
        <v>46189</v>
      </c>
      <c r="H636" t="s">
        <v>316</v>
      </c>
      <c r="I636" s="12">
        <v>0</v>
      </c>
      <c r="J636" s="12">
        <v>0</v>
      </c>
    </row>
    <row r="637" spans="1:10" x14ac:dyDescent="0.35">
      <c r="A637" t="s">
        <v>14</v>
      </c>
      <c r="B637">
        <v>118</v>
      </c>
      <c r="C637">
        <v>34054</v>
      </c>
      <c r="D637" t="s">
        <v>259</v>
      </c>
      <c r="E637" s="12">
        <v>100</v>
      </c>
      <c r="F637" s="12">
        <v>54.36</v>
      </c>
      <c r="G637" s="75">
        <v>46190</v>
      </c>
      <c r="H637" t="s">
        <v>340</v>
      </c>
      <c r="I637" s="12">
        <v>0</v>
      </c>
      <c r="J637" s="12">
        <v>0</v>
      </c>
    </row>
    <row r="638" spans="1:10" x14ac:dyDescent="0.35">
      <c r="A638" t="s">
        <v>14</v>
      </c>
      <c r="B638">
        <v>101</v>
      </c>
      <c r="C638">
        <v>34052</v>
      </c>
      <c r="D638" t="s">
        <v>71</v>
      </c>
      <c r="E638" s="12">
        <v>24.99</v>
      </c>
      <c r="F638" s="12">
        <v>8.1</v>
      </c>
      <c r="G638" s="75">
        <v>46188</v>
      </c>
      <c r="H638" t="s">
        <v>315</v>
      </c>
      <c r="I638" s="12">
        <v>0</v>
      </c>
      <c r="J638" s="12">
        <v>0</v>
      </c>
    </row>
    <row r="639" spans="1:10" x14ac:dyDescent="0.35">
      <c r="A639" t="s">
        <v>14</v>
      </c>
      <c r="B639">
        <v>101</v>
      </c>
      <c r="C639">
        <v>34052</v>
      </c>
      <c r="D639" t="s">
        <v>71</v>
      </c>
      <c r="E639" s="12">
        <v>24.99</v>
      </c>
      <c r="F639" s="12">
        <v>8.1</v>
      </c>
      <c r="G639" s="75">
        <v>46189</v>
      </c>
      <c r="H639" t="s">
        <v>316</v>
      </c>
      <c r="I639" s="12">
        <v>0</v>
      </c>
      <c r="J639" s="12">
        <v>0</v>
      </c>
    </row>
    <row r="640" spans="1:10" x14ac:dyDescent="0.35">
      <c r="A640" t="s">
        <v>14</v>
      </c>
      <c r="B640">
        <v>101</v>
      </c>
      <c r="C640">
        <v>34052</v>
      </c>
      <c r="D640" t="s">
        <v>71</v>
      </c>
      <c r="E640" s="12">
        <v>24.99</v>
      </c>
      <c r="F640" s="12">
        <v>8.1</v>
      </c>
      <c r="G640" s="75">
        <v>46190</v>
      </c>
      <c r="H640" t="s">
        <v>340</v>
      </c>
      <c r="I640" s="12">
        <v>0</v>
      </c>
      <c r="J640" s="12">
        <v>0</v>
      </c>
    </row>
    <row r="641" spans="1:10" x14ac:dyDescent="0.35">
      <c r="A641" t="s">
        <v>19</v>
      </c>
      <c r="B641">
        <v>101</v>
      </c>
      <c r="C641">
        <v>34047</v>
      </c>
      <c r="D641" t="s">
        <v>87</v>
      </c>
      <c r="E641" s="12">
        <v>3.99</v>
      </c>
      <c r="F641" s="12">
        <v>2.120625</v>
      </c>
      <c r="G641" s="75">
        <v>46188</v>
      </c>
      <c r="H641" t="s">
        <v>315</v>
      </c>
      <c r="I641" s="12">
        <v>0</v>
      </c>
      <c r="J641" s="12">
        <v>0</v>
      </c>
    </row>
    <row r="642" spans="1:10" x14ac:dyDescent="0.35">
      <c r="A642" t="s">
        <v>19</v>
      </c>
      <c r="B642">
        <v>101</v>
      </c>
      <c r="C642">
        <v>34047</v>
      </c>
      <c r="D642" t="s">
        <v>87</v>
      </c>
      <c r="E642" s="12">
        <v>3.99</v>
      </c>
      <c r="F642" s="12">
        <v>2.120625</v>
      </c>
      <c r="G642" s="75">
        <v>46189</v>
      </c>
      <c r="H642" t="s">
        <v>316</v>
      </c>
      <c r="I642" s="12">
        <v>0</v>
      </c>
      <c r="J642" s="12">
        <v>0</v>
      </c>
    </row>
    <row r="643" spans="1:10" x14ac:dyDescent="0.35">
      <c r="A643" t="s">
        <v>19</v>
      </c>
      <c r="B643">
        <v>101</v>
      </c>
      <c r="C643">
        <v>34047</v>
      </c>
      <c r="D643" t="s">
        <v>87</v>
      </c>
      <c r="E643" s="12">
        <v>3.99</v>
      </c>
      <c r="F643" s="12">
        <v>2.120625</v>
      </c>
      <c r="G643" s="75">
        <v>46190</v>
      </c>
      <c r="H643" t="s">
        <v>340</v>
      </c>
      <c r="I643" s="12">
        <v>0</v>
      </c>
      <c r="J643" s="12">
        <v>0</v>
      </c>
    </row>
    <row r="644" spans="1:10" x14ac:dyDescent="0.35">
      <c r="A644" t="s">
        <v>14</v>
      </c>
      <c r="B644">
        <v>118</v>
      </c>
      <c r="C644">
        <v>34040</v>
      </c>
      <c r="D644" t="s">
        <v>262</v>
      </c>
      <c r="E644" s="12">
        <v>80</v>
      </c>
      <c r="F644" s="12">
        <v>36.909999999999997</v>
      </c>
      <c r="G644" s="75">
        <v>46188</v>
      </c>
      <c r="H644" t="s">
        <v>315</v>
      </c>
      <c r="I644" s="12">
        <v>0</v>
      </c>
      <c r="J644" s="12">
        <v>0</v>
      </c>
    </row>
    <row r="645" spans="1:10" x14ac:dyDescent="0.35">
      <c r="A645" t="s">
        <v>14</v>
      </c>
      <c r="B645">
        <v>118</v>
      </c>
      <c r="C645">
        <v>34040</v>
      </c>
      <c r="D645" t="s">
        <v>262</v>
      </c>
      <c r="E645" s="12">
        <v>80</v>
      </c>
      <c r="F645" s="12">
        <v>36.909999999999997</v>
      </c>
      <c r="G645" s="75">
        <v>46189</v>
      </c>
      <c r="H645" t="s">
        <v>316</v>
      </c>
      <c r="I645" s="12">
        <v>0</v>
      </c>
      <c r="J645" s="12">
        <v>0</v>
      </c>
    </row>
    <row r="646" spans="1:10" x14ac:dyDescent="0.35">
      <c r="A646" t="s">
        <v>14</v>
      </c>
      <c r="B646">
        <v>118</v>
      </c>
      <c r="C646">
        <v>34040</v>
      </c>
      <c r="D646" t="s">
        <v>262</v>
      </c>
      <c r="E646" s="12">
        <v>80</v>
      </c>
      <c r="F646" s="12">
        <v>36.909999999999997</v>
      </c>
      <c r="G646" s="75">
        <v>46190</v>
      </c>
      <c r="H646" t="s">
        <v>340</v>
      </c>
      <c r="I646" s="12">
        <v>0</v>
      </c>
      <c r="J646" s="12">
        <v>0</v>
      </c>
    </row>
    <row r="647" spans="1:10" x14ac:dyDescent="0.35">
      <c r="A647" t="s">
        <v>14</v>
      </c>
      <c r="B647">
        <v>102</v>
      </c>
      <c r="C647">
        <v>34039</v>
      </c>
      <c r="D647" t="s">
        <v>115</v>
      </c>
      <c r="E647" s="12">
        <v>11.99</v>
      </c>
      <c r="F647" s="12">
        <v>5.62</v>
      </c>
      <c r="G647" s="75">
        <v>46188</v>
      </c>
      <c r="H647" t="s">
        <v>315</v>
      </c>
      <c r="I647" s="12">
        <v>0</v>
      </c>
      <c r="J647" s="12">
        <v>0</v>
      </c>
    </row>
    <row r="648" spans="1:10" x14ac:dyDescent="0.35">
      <c r="A648" t="s">
        <v>14</v>
      </c>
      <c r="B648">
        <v>102</v>
      </c>
      <c r="C648">
        <v>34039</v>
      </c>
      <c r="D648" t="s">
        <v>115</v>
      </c>
      <c r="E648" s="12">
        <v>11.99</v>
      </c>
      <c r="F648" s="12">
        <v>5.62</v>
      </c>
      <c r="G648" s="75">
        <v>46189</v>
      </c>
      <c r="H648" t="s">
        <v>316</v>
      </c>
      <c r="I648" s="12">
        <v>0</v>
      </c>
      <c r="J648" s="12">
        <v>0</v>
      </c>
    </row>
    <row r="649" spans="1:10" x14ac:dyDescent="0.35">
      <c r="A649" t="s">
        <v>14</v>
      </c>
      <c r="B649">
        <v>102</v>
      </c>
      <c r="C649">
        <v>34039</v>
      </c>
      <c r="D649" t="s">
        <v>115</v>
      </c>
      <c r="E649" s="12">
        <v>11.99</v>
      </c>
      <c r="F649" s="12">
        <v>5.62</v>
      </c>
      <c r="G649" s="75">
        <v>46190</v>
      </c>
      <c r="H649" t="s">
        <v>340</v>
      </c>
      <c r="I649" s="12">
        <v>0</v>
      </c>
      <c r="J649" s="12">
        <v>0</v>
      </c>
    </row>
    <row r="650" spans="1:10" x14ac:dyDescent="0.35">
      <c r="A650" t="s">
        <v>14</v>
      </c>
      <c r="B650">
        <v>102</v>
      </c>
      <c r="C650">
        <v>34037</v>
      </c>
      <c r="D650" t="s">
        <v>157</v>
      </c>
      <c r="E650" s="12">
        <v>29.99</v>
      </c>
      <c r="F650" s="12">
        <v>16.43</v>
      </c>
      <c r="G650" s="75">
        <v>46188</v>
      </c>
      <c r="H650" t="s">
        <v>315</v>
      </c>
      <c r="I650" s="12">
        <v>0</v>
      </c>
      <c r="J650" s="12">
        <v>0</v>
      </c>
    </row>
    <row r="651" spans="1:10" x14ac:dyDescent="0.35">
      <c r="A651" t="s">
        <v>14</v>
      </c>
      <c r="B651">
        <v>102</v>
      </c>
      <c r="C651">
        <v>34037</v>
      </c>
      <c r="D651" t="s">
        <v>157</v>
      </c>
      <c r="E651" s="12">
        <v>29.99</v>
      </c>
      <c r="F651" s="12">
        <v>16.43</v>
      </c>
      <c r="G651" s="75">
        <v>46189</v>
      </c>
      <c r="H651" t="s">
        <v>316</v>
      </c>
      <c r="I651" s="12">
        <v>0</v>
      </c>
      <c r="J651" s="12">
        <v>0</v>
      </c>
    </row>
    <row r="652" spans="1:10" x14ac:dyDescent="0.35">
      <c r="A652" t="s">
        <v>14</v>
      </c>
      <c r="B652">
        <v>102</v>
      </c>
      <c r="C652">
        <v>34037</v>
      </c>
      <c r="D652" t="s">
        <v>157</v>
      </c>
      <c r="E652" s="12">
        <v>29.99</v>
      </c>
      <c r="F652" s="12">
        <v>16.43</v>
      </c>
      <c r="G652" s="75">
        <v>46190</v>
      </c>
      <c r="H652" t="s">
        <v>340</v>
      </c>
      <c r="I652" s="12">
        <v>0</v>
      </c>
      <c r="J652" s="12">
        <v>0</v>
      </c>
    </row>
    <row r="653" spans="1:10" x14ac:dyDescent="0.35">
      <c r="A653" t="s">
        <v>14</v>
      </c>
      <c r="B653">
        <v>117</v>
      </c>
      <c r="C653">
        <v>34034</v>
      </c>
      <c r="D653" t="s">
        <v>253</v>
      </c>
      <c r="E653" s="12">
        <v>19.989999999999998</v>
      </c>
      <c r="F653" s="12">
        <v>8.43</v>
      </c>
      <c r="G653" s="75">
        <v>46188</v>
      </c>
      <c r="H653" t="s">
        <v>315</v>
      </c>
      <c r="I653" s="12">
        <v>0</v>
      </c>
      <c r="J653" s="12">
        <v>0</v>
      </c>
    </row>
    <row r="654" spans="1:10" x14ac:dyDescent="0.35">
      <c r="A654" t="s">
        <v>14</v>
      </c>
      <c r="B654">
        <v>117</v>
      </c>
      <c r="C654">
        <v>34034</v>
      </c>
      <c r="D654" t="s">
        <v>253</v>
      </c>
      <c r="E654" s="12">
        <v>19.989999999999998</v>
      </c>
      <c r="F654" s="12">
        <v>8.43</v>
      </c>
      <c r="G654" s="75">
        <v>46189</v>
      </c>
      <c r="H654" t="s">
        <v>316</v>
      </c>
      <c r="I654" s="12">
        <v>0</v>
      </c>
      <c r="J654" s="12">
        <v>0</v>
      </c>
    </row>
    <row r="655" spans="1:10" x14ac:dyDescent="0.35">
      <c r="A655" t="s">
        <v>14</v>
      </c>
      <c r="B655">
        <v>117</v>
      </c>
      <c r="C655">
        <v>34034</v>
      </c>
      <c r="D655" t="s">
        <v>253</v>
      </c>
      <c r="E655" s="12">
        <v>19.989999999999998</v>
      </c>
      <c r="F655" s="12">
        <v>8.43</v>
      </c>
      <c r="G655" s="75">
        <v>46190</v>
      </c>
      <c r="H655" t="s">
        <v>340</v>
      </c>
      <c r="I655" s="12">
        <v>0</v>
      </c>
      <c r="J655" s="12">
        <v>0</v>
      </c>
    </row>
    <row r="656" spans="1:10" x14ac:dyDescent="0.35">
      <c r="A656" t="s">
        <v>14</v>
      </c>
      <c r="B656">
        <v>106</v>
      </c>
      <c r="C656">
        <v>34028</v>
      </c>
      <c r="D656" t="s">
        <v>244</v>
      </c>
      <c r="E656" s="12">
        <v>26.99</v>
      </c>
      <c r="F656" s="12">
        <v>15.3</v>
      </c>
      <c r="G656" s="75">
        <v>46188</v>
      </c>
      <c r="H656" t="s">
        <v>315</v>
      </c>
      <c r="I656" s="12">
        <v>0</v>
      </c>
      <c r="J656" s="12">
        <v>0</v>
      </c>
    </row>
    <row r="657" spans="1:10" x14ac:dyDescent="0.35">
      <c r="A657" t="s">
        <v>14</v>
      </c>
      <c r="B657">
        <v>106</v>
      </c>
      <c r="C657">
        <v>34028</v>
      </c>
      <c r="D657" t="s">
        <v>244</v>
      </c>
      <c r="E657" s="12">
        <v>26.99</v>
      </c>
      <c r="F657" s="12">
        <v>15.3</v>
      </c>
      <c r="G657" s="75">
        <v>46189</v>
      </c>
      <c r="H657" t="s">
        <v>316</v>
      </c>
      <c r="I657" s="12">
        <v>0</v>
      </c>
      <c r="J657" s="12">
        <v>0</v>
      </c>
    </row>
    <row r="658" spans="1:10" x14ac:dyDescent="0.35">
      <c r="A658" t="s">
        <v>14</v>
      </c>
      <c r="B658">
        <v>106</v>
      </c>
      <c r="C658">
        <v>34028</v>
      </c>
      <c r="D658" t="s">
        <v>244</v>
      </c>
      <c r="E658" s="12">
        <v>26.99</v>
      </c>
      <c r="F658" s="12">
        <v>15.3</v>
      </c>
      <c r="G658" s="75">
        <v>46190</v>
      </c>
      <c r="H658" t="s">
        <v>340</v>
      </c>
      <c r="I658" s="12">
        <v>0</v>
      </c>
      <c r="J658" s="12">
        <v>0</v>
      </c>
    </row>
    <row r="659" spans="1:10" x14ac:dyDescent="0.35">
      <c r="A659" t="s">
        <v>14</v>
      </c>
      <c r="B659">
        <v>106</v>
      </c>
      <c r="C659">
        <v>34027</v>
      </c>
      <c r="D659" t="s">
        <v>245</v>
      </c>
      <c r="E659" s="12">
        <v>27.99</v>
      </c>
      <c r="F659" s="12">
        <v>15.41</v>
      </c>
      <c r="G659" s="75">
        <v>46188</v>
      </c>
      <c r="H659" t="s">
        <v>315</v>
      </c>
      <c r="I659" s="12">
        <v>0</v>
      </c>
      <c r="J659" s="12">
        <v>0</v>
      </c>
    </row>
    <row r="660" spans="1:10" x14ac:dyDescent="0.35">
      <c r="A660" t="s">
        <v>14</v>
      </c>
      <c r="B660">
        <v>106</v>
      </c>
      <c r="C660">
        <v>34027</v>
      </c>
      <c r="D660" t="s">
        <v>245</v>
      </c>
      <c r="E660" s="12">
        <v>27.99</v>
      </c>
      <c r="F660" s="12">
        <v>15.41</v>
      </c>
      <c r="G660" s="75">
        <v>46189</v>
      </c>
      <c r="H660" t="s">
        <v>316</v>
      </c>
      <c r="I660" s="12">
        <v>0</v>
      </c>
      <c r="J660" s="12">
        <v>0</v>
      </c>
    </row>
    <row r="661" spans="1:10" x14ac:dyDescent="0.35">
      <c r="A661" t="s">
        <v>14</v>
      </c>
      <c r="B661">
        <v>106</v>
      </c>
      <c r="C661">
        <v>34027</v>
      </c>
      <c r="D661" t="s">
        <v>245</v>
      </c>
      <c r="E661" s="12">
        <v>27.99</v>
      </c>
      <c r="F661" s="12">
        <v>15.41</v>
      </c>
      <c r="G661" s="75">
        <v>46190</v>
      </c>
      <c r="H661" t="s">
        <v>340</v>
      </c>
      <c r="I661" s="12">
        <v>24.339130434782607</v>
      </c>
      <c r="J661" s="12">
        <v>1</v>
      </c>
    </row>
    <row r="662" spans="1:10" x14ac:dyDescent="0.35">
      <c r="A662" t="s">
        <v>14</v>
      </c>
      <c r="B662">
        <v>118</v>
      </c>
      <c r="C662">
        <v>34025</v>
      </c>
      <c r="D662" t="s">
        <v>261</v>
      </c>
      <c r="E662" s="12">
        <v>120</v>
      </c>
      <c r="F662" s="12">
        <v>62.39</v>
      </c>
      <c r="G662" s="75">
        <v>46188</v>
      </c>
      <c r="H662" t="s">
        <v>315</v>
      </c>
      <c r="I662" s="12">
        <v>0</v>
      </c>
      <c r="J662" s="12">
        <v>0</v>
      </c>
    </row>
    <row r="663" spans="1:10" x14ac:dyDescent="0.35">
      <c r="A663" t="s">
        <v>14</v>
      </c>
      <c r="B663">
        <v>118</v>
      </c>
      <c r="C663">
        <v>34025</v>
      </c>
      <c r="D663" t="s">
        <v>261</v>
      </c>
      <c r="E663" s="12">
        <v>120</v>
      </c>
      <c r="F663" s="12">
        <v>62.39</v>
      </c>
      <c r="G663" s="75">
        <v>46189</v>
      </c>
      <c r="H663" t="s">
        <v>316</v>
      </c>
      <c r="I663" s="12">
        <v>0</v>
      </c>
      <c r="J663" s="12">
        <v>0</v>
      </c>
    </row>
    <row r="664" spans="1:10" x14ac:dyDescent="0.35">
      <c r="A664" t="s">
        <v>14</v>
      </c>
      <c r="B664">
        <v>118</v>
      </c>
      <c r="C664">
        <v>34025</v>
      </c>
      <c r="D664" t="s">
        <v>261</v>
      </c>
      <c r="E664" s="12">
        <v>120</v>
      </c>
      <c r="F664" s="12">
        <v>62.39</v>
      </c>
      <c r="G664" s="75">
        <v>46190</v>
      </c>
      <c r="H664" t="s">
        <v>340</v>
      </c>
      <c r="I664" s="12">
        <v>0</v>
      </c>
      <c r="J664" s="12">
        <v>0</v>
      </c>
    </row>
    <row r="665" spans="1:10" x14ac:dyDescent="0.35">
      <c r="A665" t="s">
        <v>14</v>
      </c>
      <c r="B665">
        <v>102</v>
      </c>
      <c r="C665">
        <v>34021</v>
      </c>
      <c r="D665" t="s">
        <v>168</v>
      </c>
      <c r="E665" s="12">
        <v>32.99</v>
      </c>
      <c r="F665" s="12">
        <v>15.39</v>
      </c>
      <c r="G665" s="75">
        <v>46188</v>
      </c>
      <c r="H665" t="s">
        <v>315</v>
      </c>
      <c r="I665" s="12">
        <v>0</v>
      </c>
      <c r="J665" s="12">
        <v>0</v>
      </c>
    </row>
    <row r="666" spans="1:10" x14ac:dyDescent="0.35">
      <c r="A666" t="s">
        <v>14</v>
      </c>
      <c r="B666">
        <v>102</v>
      </c>
      <c r="C666">
        <v>34021</v>
      </c>
      <c r="D666" t="s">
        <v>168</v>
      </c>
      <c r="E666" s="12">
        <v>32.99</v>
      </c>
      <c r="F666" s="12">
        <v>15.39</v>
      </c>
      <c r="G666" s="75">
        <v>46189</v>
      </c>
      <c r="H666" t="s">
        <v>316</v>
      </c>
      <c r="I666" s="12">
        <v>0</v>
      </c>
      <c r="J666" s="12">
        <v>0</v>
      </c>
    </row>
    <row r="667" spans="1:10" x14ac:dyDescent="0.35">
      <c r="A667" t="s">
        <v>14</v>
      </c>
      <c r="B667">
        <v>102</v>
      </c>
      <c r="C667">
        <v>34021</v>
      </c>
      <c r="D667" t="s">
        <v>168</v>
      </c>
      <c r="E667" s="12">
        <v>32.99</v>
      </c>
      <c r="F667" s="12">
        <v>15.39</v>
      </c>
      <c r="G667" s="75">
        <v>46190</v>
      </c>
      <c r="H667" t="s">
        <v>340</v>
      </c>
      <c r="I667" s="12">
        <v>0</v>
      </c>
      <c r="J667" s="12">
        <v>0</v>
      </c>
    </row>
    <row r="668" spans="1:10" x14ac:dyDescent="0.35">
      <c r="A668" t="s">
        <v>14</v>
      </c>
      <c r="B668">
        <v>101</v>
      </c>
      <c r="C668">
        <v>34019</v>
      </c>
      <c r="D668" t="s">
        <v>56</v>
      </c>
      <c r="E668" s="12">
        <v>5.99</v>
      </c>
      <c r="F668" s="12">
        <v>3.12</v>
      </c>
      <c r="G668" s="75">
        <v>46188</v>
      </c>
      <c r="H668" t="s">
        <v>315</v>
      </c>
      <c r="I668" s="12">
        <v>0</v>
      </c>
      <c r="J668" s="12">
        <v>0</v>
      </c>
    </row>
    <row r="669" spans="1:10" x14ac:dyDescent="0.35">
      <c r="A669" t="s">
        <v>14</v>
      </c>
      <c r="B669">
        <v>101</v>
      </c>
      <c r="C669">
        <v>34019</v>
      </c>
      <c r="D669" t="s">
        <v>56</v>
      </c>
      <c r="E669" s="12">
        <v>5.99</v>
      </c>
      <c r="F669" s="12">
        <v>3.12</v>
      </c>
      <c r="G669" s="75">
        <v>46189</v>
      </c>
      <c r="H669" t="s">
        <v>316</v>
      </c>
      <c r="I669" s="12">
        <v>0</v>
      </c>
      <c r="J669" s="12">
        <v>0</v>
      </c>
    </row>
    <row r="670" spans="1:10" x14ac:dyDescent="0.35">
      <c r="A670" t="s">
        <v>14</v>
      </c>
      <c r="B670">
        <v>101</v>
      </c>
      <c r="C670">
        <v>34019</v>
      </c>
      <c r="D670" t="s">
        <v>56</v>
      </c>
      <c r="E670" s="12">
        <v>5.99</v>
      </c>
      <c r="F670" s="12">
        <v>3.12</v>
      </c>
      <c r="G670" s="75">
        <v>46190</v>
      </c>
      <c r="H670" t="s">
        <v>340</v>
      </c>
      <c r="I670" s="12">
        <v>0</v>
      </c>
      <c r="J670" s="12">
        <v>0</v>
      </c>
    </row>
    <row r="671" spans="1:10" x14ac:dyDescent="0.35">
      <c r="A671" t="s">
        <v>14</v>
      </c>
      <c r="B671">
        <v>101</v>
      </c>
      <c r="C671">
        <v>34011</v>
      </c>
      <c r="D671" t="s">
        <v>66</v>
      </c>
      <c r="E671" s="12">
        <v>19.989999999999998</v>
      </c>
      <c r="F671" s="12">
        <v>2.63</v>
      </c>
      <c r="G671" s="75">
        <v>46188</v>
      </c>
      <c r="H671" t="s">
        <v>315</v>
      </c>
      <c r="I671" s="12">
        <v>0</v>
      </c>
      <c r="J671" s="12">
        <v>0</v>
      </c>
    </row>
    <row r="672" spans="1:10" x14ac:dyDescent="0.35">
      <c r="A672" t="s">
        <v>14</v>
      </c>
      <c r="B672">
        <v>101</v>
      </c>
      <c r="C672">
        <v>34011</v>
      </c>
      <c r="D672" t="s">
        <v>66</v>
      </c>
      <c r="E672" s="12">
        <v>19.989999999999998</v>
      </c>
      <c r="F672" s="12">
        <v>2.63</v>
      </c>
      <c r="G672" s="75">
        <v>46189</v>
      </c>
      <c r="H672" t="s">
        <v>316</v>
      </c>
      <c r="I672" s="12">
        <v>0</v>
      </c>
      <c r="J672" s="12">
        <v>0</v>
      </c>
    </row>
    <row r="673" spans="1:10" x14ac:dyDescent="0.35">
      <c r="A673" t="s">
        <v>14</v>
      </c>
      <c r="B673">
        <v>101</v>
      </c>
      <c r="C673">
        <v>34011</v>
      </c>
      <c r="D673" t="s">
        <v>66</v>
      </c>
      <c r="E673" s="12">
        <v>19.989999999999998</v>
      </c>
      <c r="F673" s="12">
        <v>2.63</v>
      </c>
      <c r="G673" s="75">
        <v>46190</v>
      </c>
      <c r="H673" t="s">
        <v>340</v>
      </c>
      <c r="I673" s="12">
        <v>17.382608695652173</v>
      </c>
      <c r="J673" s="12">
        <v>1</v>
      </c>
    </row>
    <row r="674" spans="1:10" x14ac:dyDescent="0.35">
      <c r="A674" t="s">
        <v>14</v>
      </c>
      <c r="B674">
        <v>101</v>
      </c>
      <c r="C674">
        <v>34006</v>
      </c>
      <c r="D674" t="s">
        <v>63</v>
      </c>
      <c r="E674" s="12">
        <v>10.99</v>
      </c>
      <c r="F674" s="12">
        <v>6.3</v>
      </c>
      <c r="G674" s="75">
        <v>46188</v>
      </c>
      <c r="H674" t="s">
        <v>315</v>
      </c>
      <c r="I674" s="12">
        <v>0</v>
      </c>
      <c r="J674" s="12">
        <v>0</v>
      </c>
    </row>
    <row r="675" spans="1:10" x14ac:dyDescent="0.35">
      <c r="A675" t="s">
        <v>14</v>
      </c>
      <c r="B675">
        <v>101</v>
      </c>
      <c r="C675">
        <v>34006</v>
      </c>
      <c r="D675" t="s">
        <v>63</v>
      </c>
      <c r="E675" s="12">
        <v>10.99</v>
      </c>
      <c r="F675" s="12">
        <v>6.3</v>
      </c>
      <c r="G675" s="75">
        <v>46189</v>
      </c>
      <c r="H675" t="s">
        <v>316</v>
      </c>
      <c r="I675" s="12">
        <v>0</v>
      </c>
      <c r="J675" s="12">
        <v>0</v>
      </c>
    </row>
    <row r="676" spans="1:10" x14ac:dyDescent="0.35">
      <c r="A676" t="s">
        <v>14</v>
      </c>
      <c r="B676">
        <v>101</v>
      </c>
      <c r="C676">
        <v>34006</v>
      </c>
      <c r="D676" t="s">
        <v>63</v>
      </c>
      <c r="E676" s="12">
        <v>10.99</v>
      </c>
      <c r="F676" s="12">
        <v>6.3</v>
      </c>
      <c r="G676" s="75">
        <v>46190</v>
      </c>
      <c r="H676" t="s">
        <v>340</v>
      </c>
      <c r="I676" s="12">
        <v>0</v>
      </c>
      <c r="J676" s="12">
        <v>0</v>
      </c>
    </row>
    <row r="677" spans="1:10" x14ac:dyDescent="0.35">
      <c r="A677" t="s">
        <v>14</v>
      </c>
      <c r="B677">
        <v>119</v>
      </c>
      <c r="C677">
        <v>34003</v>
      </c>
      <c r="D677" t="s">
        <v>266</v>
      </c>
      <c r="E677" s="12">
        <v>120</v>
      </c>
      <c r="F677" s="12">
        <v>62.47</v>
      </c>
      <c r="G677" s="75">
        <v>46188</v>
      </c>
      <c r="H677" t="s">
        <v>315</v>
      </c>
      <c r="I677" s="12">
        <v>0</v>
      </c>
      <c r="J677" s="12">
        <v>0</v>
      </c>
    </row>
    <row r="678" spans="1:10" x14ac:dyDescent="0.35">
      <c r="A678" t="s">
        <v>14</v>
      </c>
      <c r="B678">
        <v>119</v>
      </c>
      <c r="C678">
        <v>34003</v>
      </c>
      <c r="D678" t="s">
        <v>266</v>
      </c>
      <c r="E678" s="12">
        <v>120</v>
      </c>
      <c r="F678" s="12">
        <v>62.47</v>
      </c>
      <c r="G678" s="75">
        <v>46189</v>
      </c>
      <c r="H678" t="s">
        <v>316</v>
      </c>
      <c r="I678" s="12">
        <v>0</v>
      </c>
      <c r="J678" s="12">
        <v>0</v>
      </c>
    </row>
    <row r="679" spans="1:10" x14ac:dyDescent="0.35">
      <c r="A679" t="s">
        <v>14</v>
      </c>
      <c r="B679">
        <v>119</v>
      </c>
      <c r="C679">
        <v>34003</v>
      </c>
      <c r="D679" t="s">
        <v>266</v>
      </c>
      <c r="E679" s="12">
        <v>120</v>
      </c>
      <c r="F679" s="12">
        <v>62.47</v>
      </c>
      <c r="G679" s="75">
        <v>46190</v>
      </c>
      <c r="H679" t="s">
        <v>340</v>
      </c>
      <c r="I679" s="12">
        <v>0</v>
      </c>
      <c r="J679" s="12">
        <v>0</v>
      </c>
    </row>
    <row r="680" spans="1:10" x14ac:dyDescent="0.35">
      <c r="A680" t="s">
        <v>107</v>
      </c>
      <c r="B680">
        <v>1821</v>
      </c>
      <c r="C680">
        <v>33999</v>
      </c>
      <c r="D680" t="s">
        <v>288</v>
      </c>
      <c r="E680" s="12">
        <v>19.989999999999998</v>
      </c>
      <c r="F680" s="12">
        <v>17.149999999999999</v>
      </c>
      <c r="G680" s="75">
        <v>46188</v>
      </c>
      <c r="H680" t="s">
        <v>315</v>
      </c>
      <c r="I680" s="12">
        <v>0</v>
      </c>
      <c r="J680" s="12">
        <v>0</v>
      </c>
    </row>
    <row r="681" spans="1:10" x14ac:dyDescent="0.35">
      <c r="A681" t="s">
        <v>107</v>
      </c>
      <c r="B681">
        <v>1821</v>
      </c>
      <c r="C681">
        <v>33999</v>
      </c>
      <c r="D681" t="s">
        <v>288</v>
      </c>
      <c r="E681" s="12">
        <v>19.989999999999998</v>
      </c>
      <c r="F681" s="12">
        <v>17.149999999999999</v>
      </c>
      <c r="G681" s="75">
        <v>46189</v>
      </c>
      <c r="H681" t="s">
        <v>316</v>
      </c>
      <c r="I681" s="12">
        <v>0</v>
      </c>
      <c r="J681" s="12">
        <v>0</v>
      </c>
    </row>
    <row r="682" spans="1:10" x14ac:dyDescent="0.35">
      <c r="A682" t="s">
        <v>107</v>
      </c>
      <c r="B682">
        <v>1821</v>
      </c>
      <c r="C682">
        <v>33999</v>
      </c>
      <c r="D682" t="s">
        <v>288</v>
      </c>
      <c r="E682" s="12">
        <v>19.989999999999998</v>
      </c>
      <c r="F682" s="12">
        <v>17.149999999999999</v>
      </c>
      <c r="G682" s="75">
        <v>46190</v>
      </c>
      <c r="H682" t="s">
        <v>340</v>
      </c>
      <c r="I682" s="12">
        <v>0</v>
      </c>
      <c r="J682" s="12">
        <v>0</v>
      </c>
    </row>
    <row r="683" spans="1:10" x14ac:dyDescent="0.35">
      <c r="A683" t="s">
        <v>14</v>
      </c>
      <c r="B683">
        <v>118</v>
      </c>
      <c r="C683">
        <v>33991</v>
      </c>
      <c r="D683" t="s">
        <v>264</v>
      </c>
      <c r="E683" s="12">
        <v>100</v>
      </c>
      <c r="F683" s="12">
        <v>51.82</v>
      </c>
      <c r="G683" s="75">
        <v>46188</v>
      </c>
      <c r="H683" t="s">
        <v>315</v>
      </c>
      <c r="I683" s="12">
        <v>0</v>
      </c>
      <c r="J683" s="12">
        <v>0</v>
      </c>
    </row>
    <row r="684" spans="1:10" x14ac:dyDescent="0.35">
      <c r="A684" t="s">
        <v>14</v>
      </c>
      <c r="B684">
        <v>118</v>
      </c>
      <c r="C684">
        <v>33991</v>
      </c>
      <c r="D684" t="s">
        <v>264</v>
      </c>
      <c r="E684" s="12">
        <v>100</v>
      </c>
      <c r="F684" s="12">
        <v>51.82</v>
      </c>
      <c r="G684" s="75">
        <v>46189</v>
      </c>
      <c r="H684" t="s">
        <v>316</v>
      </c>
      <c r="I684" s="12">
        <v>0</v>
      </c>
      <c r="J684" s="12">
        <v>0</v>
      </c>
    </row>
    <row r="685" spans="1:10" x14ac:dyDescent="0.35">
      <c r="A685" t="s">
        <v>14</v>
      </c>
      <c r="B685">
        <v>118</v>
      </c>
      <c r="C685">
        <v>33991</v>
      </c>
      <c r="D685" t="s">
        <v>264</v>
      </c>
      <c r="E685" s="12">
        <v>100</v>
      </c>
      <c r="F685" s="12">
        <v>51.82</v>
      </c>
      <c r="G685" s="75">
        <v>46190</v>
      </c>
      <c r="H685" t="s">
        <v>340</v>
      </c>
      <c r="I685" s="12">
        <v>0</v>
      </c>
      <c r="J685" s="12">
        <v>0</v>
      </c>
    </row>
    <row r="686" spans="1:10" x14ac:dyDescent="0.35">
      <c r="A686" t="s">
        <v>14</v>
      </c>
      <c r="B686">
        <v>103</v>
      </c>
      <c r="C686">
        <v>33990</v>
      </c>
      <c r="D686" t="s">
        <v>207</v>
      </c>
      <c r="E686" s="12">
        <v>21.99</v>
      </c>
      <c r="F686" s="12">
        <v>11.11</v>
      </c>
      <c r="G686" s="75">
        <v>46188</v>
      </c>
      <c r="H686" t="s">
        <v>315</v>
      </c>
      <c r="I686" s="12">
        <v>0</v>
      </c>
      <c r="J686" s="12">
        <v>0</v>
      </c>
    </row>
    <row r="687" spans="1:10" x14ac:dyDescent="0.35">
      <c r="A687" t="s">
        <v>14</v>
      </c>
      <c r="B687">
        <v>103</v>
      </c>
      <c r="C687">
        <v>33990</v>
      </c>
      <c r="D687" t="s">
        <v>207</v>
      </c>
      <c r="E687" s="12">
        <v>21.99</v>
      </c>
      <c r="F687" s="12">
        <v>11.11</v>
      </c>
      <c r="G687" s="75">
        <v>46189</v>
      </c>
      <c r="H687" t="s">
        <v>316</v>
      </c>
      <c r="I687" s="12">
        <v>0</v>
      </c>
      <c r="J687" s="12">
        <v>0</v>
      </c>
    </row>
    <row r="688" spans="1:10" x14ac:dyDescent="0.35">
      <c r="A688" t="s">
        <v>14</v>
      </c>
      <c r="B688">
        <v>103</v>
      </c>
      <c r="C688">
        <v>33990</v>
      </c>
      <c r="D688" t="s">
        <v>207</v>
      </c>
      <c r="E688" s="12">
        <v>21.99</v>
      </c>
      <c r="F688" s="12">
        <v>11.11</v>
      </c>
      <c r="G688" s="75">
        <v>46190</v>
      </c>
      <c r="H688" t="s">
        <v>340</v>
      </c>
      <c r="I688" s="12">
        <v>0</v>
      </c>
      <c r="J688" s="12">
        <v>0</v>
      </c>
    </row>
    <row r="689" spans="1:10" x14ac:dyDescent="0.35">
      <c r="A689" t="s">
        <v>14</v>
      </c>
      <c r="B689">
        <v>103</v>
      </c>
      <c r="C689">
        <v>33989</v>
      </c>
      <c r="D689" t="s">
        <v>212</v>
      </c>
      <c r="E689" s="12">
        <v>30</v>
      </c>
      <c r="F689" s="12">
        <v>20.81</v>
      </c>
      <c r="G689" s="75">
        <v>46188</v>
      </c>
      <c r="H689" t="s">
        <v>315</v>
      </c>
      <c r="I689" s="12">
        <v>0</v>
      </c>
      <c r="J689" s="12">
        <v>0</v>
      </c>
    </row>
    <row r="690" spans="1:10" x14ac:dyDescent="0.35">
      <c r="A690" t="s">
        <v>14</v>
      </c>
      <c r="B690">
        <v>103</v>
      </c>
      <c r="C690">
        <v>33989</v>
      </c>
      <c r="D690" t="s">
        <v>212</v>
      </c>
      <c r="E690" s="12">
        <v>30</v>
      </c>
      <c r="F690" s="12">
        <v>20.81</v>
      </c>
      <c r="G690" s="75">
        <v>46189</v>
      </c>
      <c r="H690" t="s">
        <v>316</v>
      </c>
      <c r="I690" s="12">
        <v>0</v>
      </c>
      <c r="J690" s="12">
        <v>0</v>
      </c>
    </row>
    <row r="691" spans="1:10" x14ac:dyDescent="0.35">
      <c r="A691" t="s">
        <v>14</v>
      </c>
      <c r="B691">
        <v>103</v>
      </c>
      <c r="C691">
        <v>33989</v>
      </c>
      <c r="D691" t="s">
        <v>212</v>
      </c>
      <c r="E691" s="12">
        <v>30</v>
      </c>
      <c r="F691" s="12">
        <v>20.81</v>
      </c>
      <c r="G691" s="75">
        <v>46190</v>
      </c>
      <c r="H691" t="s">
        <v>340</v>
      </c>
      <c r="I691" s="12">
        <v>0</v>
      </c>
      <c r="J691" s="12">
        <v>0</v>
      </c>
    </row>
    <row r="692" spans="1:10" x14ac:dyDescent="0.35">
      <c r="A692" t="s">
        <v>14</v>
      </c>
      <c r="B692">
        <v>103</v>
      </c>
      <c r="C692">
        <v>33988</v>
      </c>
      <c r="D692" t="s">
        <v>217</v>
      </c>
      <c r="E692" s="12">
        <v>15</v>
      </c>
      <c r="F692" s="12">
        <v>9.1300000000000008</v>
      </c>
      <c r="G692" s="75">
        <v>46188</v>
      </c>
      <c r="H692" t="s">
        <v>315</v>
      </c>
      <c r="I692" s="12">
        <v>0</v>
      </c>
      <c r="J692" s="12">
        <v>0</v>
      </c>
    </row>
    <row r="693" spans="1:10" x14ac:dyDescent="0.35">
      <c r="A693" t="s">
        <v>14</v>
      </c>
      <c r="B693">
        <v>103</v>
      </c>
      <c r="C693">
        <v>33988</v>
      </c>
      <c r="D693" t="s">
        <v>217</v>
      </c>
      <c r="E693" s="12">
        <v>15</v>
      </c>
      <c r="F693" s="12">
        <v>9.1300000000000008</v>
      </c>
      <c r="G693" s="75">
        <v>46189</v>
      </c>
      <c r="H693" t="s">
        <v>316</v>
      </c>
      <c r="I693" s="12">
        <v>0</v>
      </c>
      <c r="J693" s="12">
        <v>0</v>
      </c>
    </row>
    <row r="694" spans="1:10" x14ac:dyDescent="0.35">
      <c r="A694" t="s">
        <v>14</v>
      </c>
      <c r="B694">
        <v>103</v>
      </c>
      <c r="C694">
        <v>33988</v>
      </c>
      <c r="D694" t="s">
        <v>217</v>
      </c>
      <c r="E694" s="12">
        <v>15</v>
      </c>
      <c r="F694" s="12">
        <v>9.1300000000000008</v>
      </c>
      <c r="G694" s="75">
        <v>46190</v>
      </c>
      <c r="H694" t="s">
        <v>340</v>
      </c>
      <c r="I694" s="12">
        <v>0</v>
      </c>
      <c r="J694" s="12">
        <v>0</v>
      </c>
    </row>
    <row r="695" spans="1:10" x14ac:dyDescent="0.35">
      <c r="A695" t="s">
        <v>14</v>
      </c>
      <c r="B695">
        <v>103</v>
      </c>
      <c r="C695">
        <v>33051</v>
      </c>
      <c r="D695" t="s">
        <v>221</v>
      </c>
      <c r="E695" s="12">
        <v>10</v>
      </c>
      <c r="F695" s="12">
        <v>5.04</v>
      </c>
      <c r="G695" s="75">
        <v>46188</v>
      </c>
      <c r="H695" t="s">
        <v>315</v>
      </c>
      <c r="I695" s="12">
        <v>0</v>
      </c>
      <c r="J695" s="12">
        <v>0</v>
      </c>
    </row>
    <row r="696" spans="1:10" x14ac:dyDescent="0.35">
      <c r="A696" t="s">
        <v>14</v>
      </c>
      <c r="B696">
        <v>103</v>
      </c>
      <c r="C696">
        <v>33051</v>
      </c>
      <c r="D696" t="s">
        <v>221</v>
      </c>
      <c r="E696" s="12">
        <v>10</v>
      </c>
      <c r="F696" s="12">
        <v>5.04</v>
      </c>
      <c r="G696" s="75">
        <v>46189</v>
      </c>
      <c r="H696" t="s">
        <v>316</v>
      </c>
      <c r="I696" s="12">
        <v>0</v>
      </c>
      <c r="J696" s="12">
        <v>0</v>
      </c>
    </row>
    <row r="697" spans="1:10" x14ac:dyDescent="0.35">
      <c r="A697" t="s">
        <v>14</v>
      </c>
      <c r="B697">
        <v>103</v>
      </c>
      <c r="C697">
        <v>33051</v>
      </c>
      <c r="D697" t="s">
        <v>221</v>
      </c>
      <c r="E697" s="12">
        <v>10</v>
      </c>
      <c r="F697" s="12">
        <v>5.04</v>
      </c>
      <c r="G697" s="75">
        <v>46190</v>
      </c>
      <c r="H697" t="s">
        <v>340</v>
      </c>
      <c r="I697" s="12">
        <v>0</v>
      </c>
      <c r="J697" s="12">
        <v>0</v>
      </c>
    </row>
    <row r="698" spans="1:10" x14ac:dyDescent="0.35">
      <c r="A698" t="s">
        <v>14</v>
      </c>
      <c r="B698">
        <v>103</v>
      </c>
      <c r="C698">
        <v>33050</v>
      </c>
      <c r="D698" t="s">
        <v>227</v>
      </c>
      <c r="E698" s="12">
        <v>10</v>
      </c>
      <c r="F698" s="12">
        <v>4.5599999999999996</v>
      </c>
      <c r="G698" s="75">
        <v>46188</v>
      </c>
      <c r="H698" t="s">
        <v>315</v>
      </c>
      <c r="I698" s="12">
        <v>0</v>
      </c>
      <c r="J698" s="12">
        <v>0</v>
      </c>
    </row>
    <row r="699" spans="1:10" x14ac:dyDescent="0.35">
      <c r="A699" t="s">
        <v>14</v>
      </c>
      <c r="B699">
        <v>103</v>
      </c>
      <c r="C699">
        <v>33050</v>
      </c>
      <c r="D699" t="s">
        <v>227</v>
      </c>
      <c r="E699" s="12">
        <v>10</v>
      </c>
      <c r="F699" s="12">
        <v>4.5599999999999996</v>
      </c>
      <c r="G699" s="75">
        <v>46189</v>
      </c>
      <c r="H699" t="s">
        <v>316</v>
      </c>
      <c r="I699" s="12">
        <v>0</v>
      </c>
      <c r="J699" s="12">
        <v>0</v>
      </c>
    </row>
    <row r="700" spans="1:10" x14ac:dyDescent="0.35">
      <c r="A700" t="s">
        <v>14</v>
      </c>
      <c r="B700">
        <v>103</v>
      </c>
      <c r="C700">
        <v>33050</v>
      </c>
      <c r="D700" t="s">
        <v>227</v>
      </c>
      <c r="E700" s="12">
        <v>10</v>
      </c>
      <c r="F700" s="12">
        <v>4.5599999999999996</v>
      </c>
      <c r="G700" s="75">
        <v>46190</v>
      </c>
      <c r="H700" t="s">
        <v>340</v>
      </c>
      <c r="I700" s="12">
        <v>0</v>
      </c>
      <c r="J700" s="12">
        <v>0</v>
      </c>
    </row>
    <row r="701" spans="1:10" x14ac:dyDescent="0.35">
      <c r="A701" t="s">
        <v>14</v>
      </c>
      <c r="B701">
        <v>103</v>
      </c>
      <c r="C701">
        <v>33049</v>
      </c>
      <c r="D701" t="s">
        <v>226</v>
      </c>
      <c r="E701" s="12">
        <v>10</v>
      </c>
      <c r="F701" s="12">
        <v>2.3199999999999998</v>
      </c>
      <c r="G701" s="75">
        <v>46188</v>
      </c>
      <c r="H701" t="s">
        <v>315</v>
      </c>
      <c r="I701" s="12">
        <v>0</v>
      </c>
      <c r="J701" s="12">
        <v>0</v>
      </c>
    </row>
    <row r="702" spans="1:10" x14ac:dyDescent="0.35">
      <c r="A702" t="s">
        <v>14</v>
      </c>
      <c r="B702">
        <v>103</v>
      </c>
      <c r="C702">
        <v>33049</v>
      </c>
      <c r="D702" t="s">
        <v>226</v>
      </c>
      <c r="E702" s="12">
        <v>10</v>
      </c>
      <c r="F702" s="12">
        <v>2.3199999999999998</v>
      </c>
      <c r="G702" s="75">
        <v>46189</v>
      </c>
      <c r="H702" t="s">
        <v>316</v>
      </c>
      <c r="I702" s="12">
        <v>0</v>
      </c>
      <c r="J702" s="12">
        <v>0</v>
      </c>
    </row>
    <row r="703" spans="1:10" x14ac:dyDescent="0.35">
      <c r="A703" t="s">
        <v>14</v>
      </c>
      <c r="B703">
        <v>103</v>
      </c>
      <c r="C703">
        <v>33049</v>
      </c>
      <c r="D703" t="s">
        <v>226</v>
      </c>
      <c r="E703" s="12">
        <v>10</v>
      </c>
      <c r="F703" s="12">
        <v>2.3199999999999998</v>
      </c>
      <c r="G703" s="75">
        <v>46190</v>
      </c>
      <c r="H703" t="s">
        <v>340</v>
      </c>
      <c r="I703" s="12">
        <v>0</v>
      </c>
      <c r="J703" s="12">
        <v>0</v>
      </c>
    </row>
    <row r="704" spans="1:10" x14ac:dyDescent="0.35">
      <c r="A704" t="s">
        <v>14</v>
      </c>
      <c r="B704">
        <v>103</v>
      </c>
      <c r="C704">
        <v>33048</v>
      </c>
      <c r="D704" t="s">
        <v>220</v>
      </c>
      <c r="E704" s="12">
        <v>15</v>
      </c>
      <c r="F704" s="12">
        <v>7.77</v>
      </c>
      <c r="G704" s="75">
        <v>46188</v>
      </c>
      <c r="H704" t="s">
        <v>315</v>
      </c>
      <c r="I704" s="12">
        <v>0</v>
      </c>
      <c r="J704" s="12">
        <v>0</v>
      </c>
    </row>
    <row r="705" spans="1:10" x14ac:dyDescent="0.35">
      <c r="A705" t="s">
        <v>14</v>
      </c>
      <c r="B705">
        <v>103</v>
      </c>
      <c r="C705">
        <v>33048</v>
      </c>
      <c r="D705" t="s">
        <v>220</v>
      </c>
      <c r="E705" s="12">
        <v>15</v>
      </c>
      <c r="F705" s="12">
        <v>7.77</v>
      </c>
      <c r="G705" s="75">
        <v>46189</v>
      </c>
      <c r="H705" t="s">
        <v>316</v>
      </c>
      <c r="I705" s="12">
        <v>0</v>
      </c>
      <c r="J705" s="12">
        <v>0</v>
      </c>
    </row>
    <row r="706" spans="1:10" x14ac:dyDescent="0.35">
      <c r="A706" t="s">
        <v>14</v>
      </c>
      <c r="B706">
        <v>103</v>
      </c>
      <c r="C706">
        <v>33048</v>
      </c>
      <c r="D706" t="s">
        <v>220</v>
      </c>
      <c r="E706" s="12">
        <v>15</v>
      </c>
      <c r="F706" s="12">
        <v>7.77</v>
      </c>
      <c r="G706" s="75">
        <v>46190</v>
      </c>
      <c r="H706" t="s">
        <v>340</v>
      </c>
      <c r="I706" s="12">
        <v>0</v>
      </c>
      <c r="J706" s="12">
        <v>0</v>
      </c>
    </row>
    <row r="707" spans="1:10" x14ac:dyDescent="0.35">
      <c r="A707" t="s">
        <v>14</v>
      </c>
      <c r="B707">
        <v>103</v>
      </c>
      <c r="C707">
        <v>33047</v>
      </c>
      <c r="D707" t="s">
        <v>216</v>
      </c>
      <c r="E707" s="12">
        <v>15</v>
      </c>
      <c r="F707" s="12">
        <v>6.99</v>
      </c>
      <c r="G707" s="75">
        <v>46188</v>
      </c>
      <c r="H707" t="s">
        <v>315</v>
      </c>
      <c r="I707" s="12">
        <v>0</v>
      </c>
      <c r="J707" s="12">
        <v>0</v>
      </c>
    </row>
    <row r="708" spans="1:10" x14ac:dyDescent="0.35">
      <c r="A708" t="s">
        <v>14</v>
      </c>
      <c r="B708">
        <v>103</v>
      </c>
      <c r="C708">
        <v>33047</v>
      </c>
      <c r="D708" t="s">
        <v>216</v>
      </c>
      <c r="E708" s="12">
        <v>15</v>
      </c>
      <c r="F708" s="12">
        <v>6.99</v>
      </c>
      <c r="G708" s="75">
        <v>46189</v>
      </c>
      <c r="H708" t="s">
        <v>316</v>
      </c>
      <c r="I708" s="12">
        <v>0</v>
      </c>
      <c r="J708" s="12">
        <v>0</v>
      </c>
    </row>
    <row r="709" spans="1:10" x14ac:dyDescent="0.35">
      <c r="A709" t="s">
        <v>14</v>
      </c>
      <c r="B709">
        <v>103</v>
      </c>
      <c r="C709">
        <v>33047</v>
      </c>
      <c r="D709" t="s">
        <v>216</v>
      </c>
      <c r="E709" s="12">
        <v>15</v>
      </c>
      <c r="F709" s="12">
        <v>6.99</v>
      </c>
      <c r="G709" s="75">
        <v>46190</v>
      </c>
      <c r="H709" t="s">
        <v>340</v>
      </c>
      <c r="I709" s="12">
        <v>0</v>
      </c>
      <c r="J709" s="12">
        <v>0</v>
      </c>
    </row>
    <row r="710" spans="1:10" x14ac:dyDescent="0.35">
      <c r="A710" t="s">
        <v>14</v>
      </c>
      <c r="B710">
        <v>103</v>
      </c>
      <c r="C710">
        <v>33046</v>
      </c>
      <c r="D710" t="s">
        <v>225</v>
      </c>
      <c r="E710" s="12">
        <v>10</v>
      </c>
      <c r="F710" s="12">
        <v>3.39</v>
      </c>
      <c r="G710" s="75">
        <v>46188</v>
      </c>
      <c r="H710" t="s">
        <v>315</v>
      </c>
      <c r="I710" s="12">
        <v>0</v>
      </c>
      <c r="J710" s="12">
        <v>0</v>
      </c>
    </row>
    <row r="711" spans="1:10" x14ac:dyDescent="0.35">
      <c r="A711" t="s">
        <v>14</v>
      </c>
      <c r="B711">
        <v>103</v>
      </c>
      <c r="C711">
        <v>33046</v>
      </c>
      <c r="D711" t="s">
        <v>225</v>
      </c>
      <c r="E711" s="12">
        <v>10</v>
      </c>
      <c r="F711" s="12">
        <v>3.39</v>
      </c>
      <c r="G711" s="75">
        <v>46189</v>
      </c>
      <c r="H711" t="s">
        <v>316</v>
      </c>
      <c r="I711" s="12">
        <v>0</v>
      </c>
      <c r="J711" s="12">
        <v>0</v>
      </c>
    </row>
    <row r="712" spans="1:10" x14ac:dyDescent="0.35">
      <c r="A712" t="s">
        <v>14</v>
      </c>
      <c r="B712">
        <v>103</v>
      </c>
      <c r="C712">
        <v>33046</v>
      </c>
      <c r="D712" t="s">
        <v>225</v>
      </c>
      <c r="E712" s="12">
        <v>10</v>
      </c>
      <c r="F712" s="12">
        <v>3.39</v>
      </c>
      <c r="G712" s="75">
        <v>46190</v>
      </c>
      <c r="H712" t="s">
        <v>340</v>
      </c>
      <c r="I712" s="12">
        <v>0</v>
      </c>
      <c r="J712" s="12">
        <v>0</v>
      </c>
    </row>
    <row r="713" spans="1:10" x14ac:dyDescent="0.35">
      <c r="A713" t="s">
        <v>14</v>
      </c>
      <c r="B713">
        <v>103</v>
      </c>
      <c r="C713">
        <v>33045</v>
      </c>
      <c r="D713" t="s">
        <v>224</v>
      </c>
      <c r="E713" s="12">
        <v>10</v>
      </c>
      <c r="F713" s="12">
        <v>2.5</v>
      </c>
      <c r="G713" s="75">
        <v>46188</v>
      </c>
      <c r="H713" t="s">
        <v>315</v>
      </c>
      <c r="I713" s="12">
        <v>0</v>
      </c>
      <c r="J713" s="12">
        <v>0</v>
      </c>
    </row>
    <row r="714" spans="1:10" x14ac:dyDescent="0.35">
      <c r="A714" t="s">
        <v>14</v>
      </c>
      <c r="B714">
        <v>103</v>
      </c>
      <c r="C714">
        <v>33045</v>
      </c>
      <c r="D714" t="s">
        <v>224</v>
      </c>
      <c r="E714" s="12">
        <v>10</v>
      </c>
      <c r="F714" s="12">
        <v>2.5</v>
      </c>
      <c r="G714" s="75">
        <v>46189</v>
      </c>
      <c r="H714" t="s">
        <v>316</v>
      </c>
      <c r="I714" s="12">
        <v>0</v>
      </c>
      <c r="J714" s="12">
        <v>0</v>
      </c>
    </row>
    <row r="715" spans="1:10" x14ac:dyDescent="0.35">
      <c r="A715" t="s">
        <v>14</v>
      </c>
      <c r="B715">
        <v>103</v>
      </c>
      <c r="C715">
        <v>33045</v>
      </c>
      <c r="D715" t="s">
        <v>224</v>
      </c>
      <c r="E715" s="12">
        <v>10</v>
      </c>
      <c r="F715" s="12">
        <v>2.5</v>
      </c>
      <c r="G715" s="75">
        <v>46190</v>
      </c>
      <c r="H715" t="s">
        <v>340</v>
      </c>
      <c r="I715" s="12">
        <v>0</v>
      </c>
      <c r="J715" s="12">
        <v>0</v>
      </c>
    </row>
    <row r="716" spans="1:10" x14ac:dyDescent="0.35">
      <c r="A716" t="s">
        <v>14</v>
      </c>
      <c r="B716">
        <v>103</v>
      </c>
      <c r="C716">
        <v>33044</v>
      </c>
      <c r="D716" t="s">
        <v>219</v>
      </c>
      <c r="E716" s="12">
        <v>15</v>
      </c>
      <c r="F716" s="12">
        <v>10.23</v>
      </c>
      <c r="G716" s="75">
        <v>46188</v>
      </c>
      <c r="H716" t="s">
        <v>315</v>
      </c>
      <c r="I716" s="12">
        <v>0</v>
      </c>
      <c r="J716" s="12">
        <v>0</v>
      </c>
    </row>
    <row r="717" spans="1:10" x14ac:dyDescent="0.35">
      <c r="A717" t="s">
        <v>14</v>
      </c>
      <c r="B717">
        <v>103</v>
      </c>
      <c r="C717">
        <v>33044</v>
      </c>
      <c r="D717" t="s">
        <v>219</v>
      </c>
      <c r="E717" s="12">
        <v>15</v>
      </c>
      <c r="F717" s="12">
        <v>10.23</v>
      </c>
      <c r="G717" s="75">
        <v>46189</v>
      </c>
      <c r="H717" t="s">
        <v>316</v>
      </c>
      <c r="I717" s="12">
        <v>0</v>
      </c>
      <c r="J717" s="12">
        <v>0</v>
      </c>
    </row>
    <row r="718" spans="1:10" x14ac:dyDescent="0.35">
      <c r="A718" t="s">
        <v>14</v>
      </c>
      <c r="B718">
        <v>103</v>
      </c>
      <c r="C718">
        <v>33044</v>
      </c>
      <c r="D718" t="s">
        <v>219</v>
      </c>
      <c r="E718" s="12">
        <v>15</v>
      </c>
      <c r="F718" s="12">
        <v>10.23</v>
      </c>
      <c r="G718" s="75">
        <v>46190</v>
      </c>
      <c r="H718" t="s">
        <v>340</v>
      </c>
      <c r="I718" s="12">
        <v>0</v>
      </c>
      <c r="J718" s="12">
        <v>0</v>
      </c>
    </row>
    <row r="719" spans="1:10" x14ac:dyDescent="0.35">
      <c r="A719" t="s">
        <v>14</v>
      </c>
      <c r="B719">
        <v>103</v>
      </c>
      <c r="C719">
        <v>33043</v>
      </c>
      <c r="D719" t="s">
        <v>223</v>
      </c>
      <c r="E719" s="12">
        <v>15</v>
      </c>
      <c r="F719" s="12">
        <v>4.26</v>
      </c>
      <c r="G719" s="75">
        <v>46188</v>
      </c>
      <c r="H719" t="s">
        <v>315</v>
      </c>
      <c r="I719" s="12">
        <v>0</v>
      </c>
      <c r="J719" s="12">
        <v>0</v>
      </c>
    </row>
    <row r="720" spans="1:10" x14ac:dyDescent="0.35">
      <c r="A720" t="s">
        <v>14</v>
      </c>
      <c r="B720">
        <v>103</v>
      </c>
      <c r="C720">
        <v>33043</v>
      </c>
      <c r="D720" t="s">
        <v>223</v>
      </c>
      <c r="E720" s="12">
        <v>15</v>
      </c>
      <c r="F720" s="12">
        <v>4.26</v>
      </c>
      <c r="G720" s="75">
        <v>46189</v>
      </c>
      <c r="H720" t="s">
        <v>316</v>
      </c>
      <c r="I720" s="12">
        <v>0</v>
      </c>
      <c r="J720" s="12">
        <v>0</v>
      </c>
    </row>
    <row r="721" spans="1:10" x14ac:dyDescent="0.35">
      <c r="A721" t="s">
        <v>14</v>
      </c>
      <c r="B721">
        <v>103</v>
      </c>
      <c r="C721">
        <v>33043</v>
      </c>
      <c r="D721" t="s">
        <v>223</v>
      </c>
      <c r="E721" s="12">
        <v>15</v>
      </c>
      <c r="F721" s="12">
        <v>4.26</v>
      </c>
      <c r="G721" s="75">
        <v>46190</v>
      </c>
      <c r="H721" t="s">
        <v>340</v>
      </c>
      <c r="I721" s="12">
        <v>0</v>
      </c>
      <c r="J721" s="12">
        <v>0</v>
      </c>
    </row>
    <row r="722" spans="1:10" x14ac:dyDescent="0.35">
      <c r="A722" t="s">
        <v>14</v>
      </c>
      <c r="B722">
        <v>103</v>
      </c>
      <c r="C722">
        <v>33042</v>
      </c>
      <c r="D722" t="s">
        <v>214</v>
      </c>
      <c r="E722" s="12">
        <v>20</v>
      </c>
      <c r="F722" s="12">
        <v>10.23</v>
      </c>
      <c r="G722" s="75">
        <v>46188</v>
      </c>
      <c r="H722" t="s">
        <v>315</v>
      </c>
      <c r="I722" s="12">
        <v>0</v>
      </c>
      <c r="J722" s="12">
        <v>0</v>
      </c>
    </row>
    <row r="723" spans="1:10" x14ac:dyDescent="0.35">
      <c r="A723" t="s">
        <v>14</v>
      </c>
      <c r="B723">
        <v>103</v>
      </c>
      <c r="C723">
        <v>33042</v>
      </c>
      <c r="D723" t="s">
        <v>214</v>
      </c>
      <c r="E723" s="12">
        <v>20</v>
      </c>
      <c r="F723" s="12">
        <v>10.23</v>
      </c>
      <c r="G723" s="75">
        <v>46189</v>
      </c>
      <c r="H723" t="s">
        <v>316</v>
      </c>
      <c r="I723" s="12">
        <v>0</v>
      </c>
      <c r="J723" s="12">
        <v>0</v>
      </c>
    </row>
    <row r="724" spans="1:10" x14ac:dyDescent="0.35">
      <c r="A724" t="s">
        <v>14</v>
      </c>
      <c r="B724">
        <v>103</v>
      </c>
      <c r="C724">
        <v>33042</v>
      </c>
      <c r="D724" t="s">
        <v>214</v>
      </c>
      <c r="E724" s="12">
        <v>20</v>
      </c>
      <c r="F724" s="12">
        <v>10.23</v>
      </c>
      <c r="G724" s="75">
        <v>46190</v>
      </c>
      <c r="H724" t="s">
        <v>340</v>
      </c>
      <c r="I724" s="12">
        <v>0</v>
      </c>
      <c r="J724" s="12">
        <v>0</v>
      </c>
    </row>
    <row r="725" spans="1:10" x14ac:dyDescent="0.35">
      <c r="A725" t="s">
        <v>14</v>
      </c>
      <c r="B725">
        <v>103</v>
      </c>
      <c r="C725">
        <v>33041</v>
      </c>
      <c r="D725" t="s">
        <v>222</v>
      </c>
      <c r="E725" s="12">
        <v>10</v>
      </c>
      <c r="F725" s="12">
        <v>1.5</v>
      </c>
      <c r="G725" s="75">
        <v>46188</v>
      </c>
      <c r="H725" t="s">
        <v>315</v>
      </c>
      <c r="I725" s="12">
        <v>0</v>
      </c>
      <c r="J725" s="12">
        <v>0</v>
      </c>
    </row>
    <row r="726" spans="1:10" x14ac:dyDescent="0.35">
      <c r="A726" t="s">
        <v>14</v>
      </c>
      <c r="B726">
        <v>103</v>
      </c>
      <c r="C726">
        <v>33041</v>
      </c>
      <c r="D726" t="s">
        <v>222</v>
      </c>
      <c r="E726" s="12">
        <v>10</v>
      </c>
      <c r="F726" s="12">
        <v>1.5</v>
      </c>
      <c r="G726" s="75">
        <v>46189</v>
      </c>
      <c r="H726" t="s">
        <v>316</v>
      </c>
      <c r="I726" s="12">
        <v>0</v>
      </c>
      <c r="J726" s="12">
        <v>0</v>
      </c>
    </row>
    <row r="727" spans="1:10" x14ac:dyDescent="0.35">
      <c r="A727" t="s">
        <v>14</v>
      </c>
      <c r="B727">
        <v>103</v>
      </c>
      <c r="C727">
        <v>33041</v>
      </c>
      <c r="D727" t="s">
        <v>222</v>
      </c>
      <c r="E727" s="12">
        <v>10</v>
      </c>
      <c r="F727" s="12">
        <v>1.5</v>
      </c>
      <c r="G727" s="75">
        <v>46190</v>
      </c>
      <c r="H727" t="s">
        <v>340</v>
      </c>
      <c r="I727" s="12">
        <v>0</v>
      </c>
      <c r="J727" s="12">
        <v>0</v>
      </c>
    </row>
    <row r="728" spans="1:10" x14ac:dyDescent="0.35">
      <c r="A728" t="s">
        <v>14</v>
      </c>
      <c r="B728">
        <v>103</v>
      </c>
      <c r="C728">
        <v>33040</v>
      </c>
      <c r="D728" t="s">
        <v>210</v>
      </c>
      <c r="E728" s="12">
        <v>30</v>
      </c>
      <c r="F728" s="12">
        <v>18.260000000000002</v>
      </c>
      <c r="G728" s="75">
        <v>46188</v>
      </c>
      <c r="H728" t="s">
        <v>315</v>
      </c>
      <c r="I728" s="12">
        <v>0</v>
      </c>
      <c r="J728" s="12">
        <v>0</v>
      </c>
    </row>
    <row r="729" spans="1:10" x14ac:dyDescent="0.35">
      <c r="A729" t="s">
        <v>14</v>
      </c>
      <c r="B729">
        <v>103</v>
      </c>
      <c r="C729">
        <v>33040</v>
      </c>
      <c r="D729" t="s">
        <v>210</v>
      </c>
      <c r="E729" s="12">
        <v>30</v>
      </c>
      <c r="F729" s="12">
        <v>18.260000000000002</v>
      </c>
      <c r="G729" s="75">
        <v>46189</v>
      </c>
      <c r="H729" t="s">
        <v>316</v>
      </c>
      <c r="I729" s="12">
        <v>0</v>
      </c>
      <c r="J729" s="12">
        <v>0</v>
      </c>
    </row>
    <row r="730" spans="1:10" x14ac:dyDescent="0.35">
      <c r="A730" t="s">
        <v>14</v>
      </c>
      <c r="B730">
        <v>103</v>
      </c>
      <c r="C730">
        <v>33040</v>
      </c>
      <c r="D730" t="s">
        <v>210</v>
      </c>
      <c r="E730" s="12">
        <v>30</v>
      </c>
      <c r="F730" s="12">
        <v>18.260000000000002</v>
      </c>
      <c r="G730" s="75">
        <v>46190</v>
      </c>
      <c r="H730" t="s">
        <v>340</v>
      </c>
      <c r="I730" s="12">
        <v>0</v>
      </c>
      <c r="J730" s="12">
        <v>0</v>
      </c>
    </row>
    <row r="731" spans="1:10" x14ac:dyDescent="0.35">
      <c r="A731" t="s">
        <v>14</v>
      </c>
      <c r="B731">
        <v>119</v>
      </c>
      <c r="C731">
        <v>33038</v>
      </c>
      <c r="D731" t="s">
        <v>272</v>
      </c>
      <c r="E731" s="12">
        <v>35.99</v>
      </c>
      <c r="F731" s="12">
        <v>18</v>
      </c>
      <c r="G731" s="75">
        <v>46188</v>
      </c>
      <c r="H731" t="s">
        <v>315</v>
      </c>
      <c r="I731" s="12">
        <v>0</v>
      </c>
      <c r="J731" s="12">
        <v>0</v>
      </c>
    </row>
    <row r="732" spans="1:10" x14ac:dyDescent="0.35">
      <c r="A732" t="s">
        <v>14</v>
      </c>
      <c r="B732">
        <v>119</v>
      </c>
      <c r="C732">
        <v>33038</v>
      </c>
      <c r="D732" t="s">
        <v>272</v>
      </c>
      <c r="E732" s="12">
        <v>35.99</v>
      </c>
      <c r="F732" s="12">
        <v>18</v>
      </c>
      <c r="G732" s="75">
        <v>46189</v>
      </c>
      <c r="H732" t="s">
        <v>316</v>
      </c>
      <c r="I732" s="12">
        <v>0</v>
      </c>
      <c r="J732" s="12">
        <v>0</v>
      </c>
    </row>
    <row r="733" spans="1:10" x14ac:dyDescent="0.35">
      <c r="A733" t="s">
        <v>14</v>
      </c>
      <c r="B733">
        <v>119</v>
      </c>
      <c r="C733">
        <v>33038</v>
      </c>
      <c r="D733" t="s">
        <v>272</v>
      </c>
      <c r="E733" s="12">
        <v>35.99</v>
      </c>
      <c r="F733" s="12">
        <v>18</v>
      </c>
      <c r="G733" s="75">
        <v>46190</v>
      </c>
      <c r="H733" t="s">
        <v>340</v>
      </c>
      <c r="I733" s="12">
        <v>0</v>
      </c>
      <c r="J733" s="12">
        <v>0</v>
      </c>
    </row>
    <row r="734" spans="1:10" x14ac:dyDescent="0.35">
      <c r="A734" t="s">
        <v>14</v>
      </c>
      <c r="B734">
        <v>119</v>
      </c>
      <c r="C734">
        <v>33037</v>
      </c>
      <c r="D734" t="s">
        <v>274</v>
      </c>
      <c r="E734" s="12">
        <v>59.99</v>
      </c>
      <c r="F734" s="12">
        <v>23.44</v>
      </c>
      <c r="G734" s="75">
        <v>46188</v>
      </c>
      <c r="H734" t="s">
        <v>315</v>
      </c>
      <c r="I734" s="12">
        <v>0</v>
      </c>
      <c r="J734" s="12">
        <v>0</v>
      </c>
    </row>
    <row r="735" spans="1:10" x14ac:dyDescent="0.35">
      <c r="A735" t="s">
        <v>14</v>
      </c>
      <c r="B735">
        <v>119</v>
      </c>
      <c r="C735">
        <v>33037</v>
      </c>
      <c r="D735" t="s">
        <v>274</v>
      </c>
      <c r="E735" s="12">
        <v>59.99</v>
      </c>
      <c r="F735" s="12">
        <v>23.44</v>
      </c>
      <c r="G735" s="75">
        <v>46189</v>
      </c>
      <c r="H735" t="s">
        <v>316</v>
      </c>
      <c r="I735" s="12">
        <v>0</v>
      </c>
      <c r="J735" s="12">
        <v>0</v>
      </c>
    </row>
    <row r="736" spans="1:10" x14ac:dyDescent="0.35">
      <c r="A736" t="s">
        <v>14</v>
      </c>
      <c r="B736">
        <v>119</v>
      </c>
      <c r="C736">
        <v>33037</v>
      </c>
      <c r="D736" t="s">
        <v>274</v>
      </c>
      <c r="E736" s="12">
        <v>59.99</v>
      </c>
      <c r="F736" s="12">
        <v>23.44</v>
      </c>
      <c r="G736" s="75">
        <v>46190</v>
      </c>
      <c r="H736" t="s">
        <v>340</v>
      </c>
      <c r="I736" s="12">
        <v>0</v>
      </c>
      <c r="J736" s="12">
        <v>0</v>
      </c>
    </row>
    <row r="737" spans="1:10" x14ac:dyDescent="0.35">
      <c r="A737" t="s">
        <v>14</v>
      </c>
      <c r="B737">
        <v>102</v>
      </c>
      <c r="C737">
        <v>33036</v>
      </c>
      <c r="D737" t="s">
        <v>119</v>
      </c>
      <c r="E737" s="12">
        <v>400</v>
      </c>
      <c r="F737" s="12">
        <v>204.01</v>
      </c>
      <c r="G737" s="75">
        <v>46188</v>
      </c>
      <c r="H737" t="s">
        <v>315</v>
      </c>
      <c r="I737" s="12">
        <v>0</v>
      </c>
      <c r="J737" s="12">
        <v>0</v>
      </c>
    </row>
    <row r="738" spans="1:10" x14ac:dyDescent="0.35">
      <c r="A738" t="s">
        <v>14</v>
      </c>
      <c r="B738">
        <v>102</v>
      </c>
      <c r="C738">
        <v>33036</v>
      </c>
      <c r="D738" t="s">
        <v>119</v>
      </c>
      <c r="E738" s="12">
        <v>400</v>
      </c>
      <c r="F738" s="12">
        <v>204.01</v>
      </c>
      <c r="G738" s="75">
        <v>46189</v>
      </c>
      <c r="H738" t="s">
        <v>316</v>
      </c>
      <c r="I738" s="12">
        <v>0</v>
      </c>
      <c r="J738" s="12">
        <v>0</v>
      </c>
    </row>
    <row r="739" spans="1:10" x14ac:dyDescent="0.35">
      <c r="A739" t="s">
        <v>14</v>
      </c>
      <c r="B739">
        <v>102</v>
      </c>
      <c r="C739">
        <v>33036</v>
      </c>
      <c r="D739" t="s">
        <v>119</v>
      </c>
      <c r="E739" s="12">
        <v>400</v>
      </c>
      <c r="F739" s="12">
        <v>204.01</v>
      </c>
      <c r="G739" s="75">
        <v>46190</v>
      </c>
      <c r="H739" t="s">
        <v>340</v>
      </c>
      <c r="I739" s="12">
        <v>0</v>
      </c>
      <c r="J739" s="12">
        <v>0</v>
      </c>
    </row>
    <row r="740" spans="1:10" x14ac:dyDescent="0.35">
      <c r="A740" t="s">
        <v>35</v>
      </c>
      <c r="B740">
        <v>102</v>
      </c>
      <c r="C740">
        <v>33032</v>
      </c>
      <c r="D740" t="s">
        <v>160</v>
      </c>
      <c r="E740" s="12">
        <v>28.99</v>
      </c>
      <c r="F740" s="12">
        <v>14.612666666666666</v>
      </c>
      <c r="G740" s="75">
        <v>46188</v>
      </c>
      <c r="H740" t="s">
        <v>315</v>
      </c>
      <c r="I740" s="12">
        <v>0</v>
      </c>
      <c r="J740" s="12">
        <v>0</v>
      </c>
    </row>
    <row r="741" spans="1:10" x14ac:dyDescent="0.35">
      <c r="A741" t="s">
        <v>35</v>
      </c>
      <c r="B741">
        <v>102</v>
      </c>
      <c r="C741">
        <v>33032</v>
      </c>
      <c r="D741" t="s">
        <v>160</v>
      </c>
      <c r="E741" s="12">
        <v>28.99</v>
      </c>
      <c r="F741" s="12">
        <v>14.612666666666666</v>
      </c>
      <c r="G741" s="75">
        <v>46189</v>
      </c>
      <c r="H741" t="s">
        <v>316</v>
      </c>
      <c r="I741" s="12">
        <v>0</v>
      </c>
      <c r="J741" s="12">
        <v>0</v>
      </c>
    </row>
    <row r="742" spans="1:10" x14ac:dyDescent="0.35">
      <c r="A742" t="s">
        <v>35</v>
      </c>
      <c r="B742">
        <v>102</v>
      </c>
      <c r="C742">
        <v>33032</v>
      </c>
      <c r="D742" t="s">
        <v>160</v>
      </c>
      <c r="E742" s="12">
        <v>28.99</v>
      </c>
      <c r="F742" s="12">
        <v>14.612666666666666</v>
      </c>
      <c r="G742" s="75">
        <v>46190</v>
      </c>
      <c r="H742" t="s">
        <v>340</v>
      </c>
      <c r="I742" s="12">
        <v>25.208695652173912</v>
      </c>
      <c r="J742" s="12">
        <v>1</v>
      </c>
    </row>
    <row r="743" spans="1:10" x14ac:dyDescent="0.35">
      <c r="A743" t="s">
        <v>14</v>
      </c>
      <c r="B743">
        <v>101</v>
      </c>
      <c r="C743">
        <v>33027</v>
      </c>
      <c r="D743" t="s">
        <v>85</v>
      </c>
      <c r="E743" s="12">
        <v>19.989999999999998</v>
      </c>
      <c r="F743" s="12">
        <v>7.94</v>
      </c>
      <c r="G743" s="75">
        <v>46188</v>
      </c>
      <c r="H743" t="s">
        <v>315</v>
      </c>
      <c r="I743" s="12">
        <v>0</v>
      </c>
      <c r="J743" s="12">
        <v>0</v>
      </c>
    </row>
    <row r="744" spans="1:10" x14ac:dyDescent="0.35">
      <c r="A744" t="s">
        <v>14</v>
      </c>
      <c r="B744">
        <v>101</v>
      </c>
      <c r="C744">
        <v>33027</v>
      </c>
      <c r="D744" t="s">
        <v>85</v>
      </c>
      <c r="E744" s="12">
        <v>19.989999999999998</v>
      </c>
      <c r="F744" s="12">
        <v>7.94</v>
      </c>
      <c r="G744" s="75">
        <v>46189</v>
      </c>
      <c r="H744" t="s">
        <v>316</v>
      </c>
      <c r="I744" s="12">
        <v>0</v>
      </c>
      <c r="J744" s="12">
        <v>0</v>
      </c>
    </row>
    <row r="745" spans="1:10" x14ac:dyDescent="0.35">
      <c r="A745" t="s">
        <v>14</v>
      </c>
      <c r="B745">
        <v>101</v>
      </c>
      <c r="C745">
        <v>33027</v>
      </c>
      <c r="D745" t="s">
        <v>85</v>
      </c>
      <c r="E745" s="12">
        <v>19.989999999999998</v>
      </c>
      <c r="F745" s="12">
        <v>7.94</v>
      </c>
      <c r="G745" s="75">
        <v>46190</v>
      </c>
      <c r="H745" t="s">
        <v>340</v>
      </c>
      <c r="I745" s="12">
        <v>0</v>
      </c>
      <c r="J745" s="12">
        <v>0</v>
      </c>
    </row>
    <row r="746" spans="1:10" x14ac:dyDescent="0.35">
      <c r="A746" t="s">
        <v>14</v>
      </c>
      <c r="B746">
        <v>102</v>
      </c>
      <c r="C746">
        <v>33025</v>
      </c>
      <c r="D746" t="s">
        <v>121</v>
      </c>
      <c r="E746" s="12">
        <v>5.99</v>
      </c>
      <c r="F746" s="12">
        <v>2.95</v>
      </c>
      <c r="G746" s="75">
        <v>46188</v>
      </c>
      <c r="H746" t="s">
        <v>315</v>
      </c>
      <c r="I746" s="12">
        <v>0</v>
      </c>
      <c r="J746" s="12">
        <v>0</v>
      </c>
    </row>
    <row r="747" spans="1:10" x14ac:dyDescent="0.35">
      <c r="A747" t="s">
        <v>14</v>
      </c>
      <c r="B747">
        <v>102</v>
      </c>
      <c r="C747">
        <v>33025</v>
      </c>
      <c r="D747" t="s">
        <v>121</v>
      </c>
      <c r="E747" s="12">
        <v>5.99</v>
      </c>
      <c r="F747" s="12">
        <v>2.95</v>
      </c>
      <c r="G747" s="75">
        <v>46189</v>
      </c>
      <c r="H747" t="s">
        <v>316</v>
      </c>
      <c r="I747" s="12">
        <v>0</v>
      </c>
      <c r="J747" s="12">
        <v>0</v>
      </c>
    </row>
    <row r="748" spans="1:10" x14ac:dyDescent="0.35">
      <c r="A748" t="s">
        <v>14</v>
      </c>
      <c r="B748">
        <v>102</v>
      </c>
      <c r="C748">
        <v>33025</v>
      </c>
      <c r="D748" t="s">
        <v>121</v>
      </c>
      <c r="E748" s="12">
        <v>5.99</v>
      </c>
      <c r="F748" s="12">
        <v>2.95</v>
      </c>
      <c r="G748" s="75">
        <v>46190</v>
      </c>
      <c r="H748" t="s">
        <v>340</v>
      </c>
      <c r="I748" s="12">
        <v>0</v>
      </c>
      <c r="J748" s="12">
        <v>0</v>
      </c>
    </row>
    <row r="749" spans="1:10" x14ac:dyDescent="0.35">
      <c r="A749" t="s">
        <v>14</v>
      </c>
      <c r="B749">
        <v>102</v>
      </c>
      <c r="C749">
        <v>33023</v>
      </c>
      <c r="D749" t="s">
        <v>113</v>
      </c>
      <c r="E749" s="12">
        <v>19.989999999999998</v>
      </c>
      <c r="F749" s="12">
        <v>10.23</v>
      </c>
      <c r="G749" s="75">
        <v>46188</v>
      </c>
      <c r="H749" t="s">
        <v>315</v>
      </c>
      <c r="I749" s="12">
        <v>0</v>
      </c>
      <c r="J749" s="12">
        <v>0</v>
      </c>
    </row>
    <row r="750" spans="1:10" x14ac:dyDescent="0.35">
      <c r="A750" t="s">
        <v>14</v>
      </c>
      <c r="B750">
        <v>102</v>
      </c>
      <c r="C750">
        <v>33023</v>
      </c>
      <c r="D750" t="s">
        <v>113</v>
      </c>
      <c r="E750" s="12">
        <v>19.989999999999998</v>
      </c>
      <c r="F750" s="12">
        <v>10.23</v>
      </c>
      <c r="G750" s="75">
        <v>46189</v>
      </c>
      <c r="H750" t="s">
        <v>316</v>
      </c>
      <c r="I750" s="12">
        <v>0</v>
      </c>
      <c r="J750" s="12">
        <v>0</v>
      </c>
    </row>
    <row r="751" spans="1:10" x14ac:dyDescent="0.35">
      <c r="A751" t="s">
        <v>14</v>
      </c>
      <c r="B751">
        <v>102</v>
      </c>
      <c r="C751">
        <v>33023</v>
      </c>
      <c r="D751" t="s">
        <v>113</v>
      </c>
      <c r="E751" s="12">
        <v>19.989999999999998</v>
      </c>
      <c r="F751" s="12">
        <v>10.23</v>
      </c>
      <c r="G751" s="75">
        <v>46190</v>
      </c>
      <c r="H751" t="s">
        <v>340</v>
      </c>
      <c r="I751" s="12">
        <v>0</v>
      </c>
      <c r="J751" s="12">
        <v>0</v>
      </c>
    </row>
    <row r="752" spans="1:10" x14ac:dyDescent="0.35">
      <c r="A752" t="s">
        <v>14</v>
      </c>
      <c r="B752">
        <v>118</v>
      </c>
      <c r="C752">
        <v>33021</v>
      </c>
      <c r="D752" t="s">
        <v>263</v>
      </c>
      <c r="E752" s="12">
        <v>130</v>
      </c>
      <c r="F752" s="12">
        <v>64.900000000000006</v>
      </c>
      <c r="G752" s="75">
        <v>46188</v>
      </c>
      <c r="H752" t="s">
        <v>315</v>
      </c>
      <c r="I752" s="12">
        <v>0</v>
      </c>
      <c r="J752" s="12">
        <v>0</v>
      </c>
    </row>
    <row r="753" spans="1:10" x14ac:dyDescent="0.35">
      <c r="A753" t="s">
        <v>14</v>
      </c>
      <c r="B753">
        <v>118</v>
      </c>
      <c r="C753">
        <v>33021</v>
      </c>
      <c r="D753" t="s">
        <v>263</v>
      </c>
      <c r="E753" s="12">
        <v>130</v>
      </c>
      <c r="F753" s="12">
        <v>64.900000000000006</v>
      </c>
      <c r="G753" s="75">
        <v>46189</v>
      </c>
      <c r="H753" t="s">
        <v>316</v>
      </c>
      <c r="I753" s="12">
        <v>0</v>
      </c>
      <c r="J753" s="12">
        <v>0</v>
      </c>
    </row>
    <row r="754" spans="1:10" x14ac:dyDescent="0.35">
      <c r="A754" t="s">
        <v>14</v>
      </c>
      <c r="B754">
        <v>118</v>
      </c>
      <c r="C754">
        <v>33021</v>
      </c>
      <c r="D754" t="s">
        <v>263</v>
      </c>
      <c r="E754" s="12">
        <v>130</v>
      </c>
      <c r="F754" s="12">
        <v>64.900000000000006</v>
      </c>
      <c r="G754" s="75">
        <v>46190</v>
      </c>
      <c r="H754" t="s">
        <v>340</v>
      </c>
      <c r="I754" s="12">
        <v>0</v>
      </c>
      <c r="J754" s="12">
        <v>0</v>
      </c>
    </row>
    <row r="755" spans="1:10" x14ac:dyDescent="0.35">
      <c r="A755" t="s">
        <v>14</v>
      </c>
      <c r="B755">
        <v>102</v>
      </c>
      <c r="C755">
        <v>33019</v>
      </c>
      <c r="D755" t="s">
        <v>112</v>
      </c>
      <c r="E755" s="12">
        <v>14.99</v>
      </c>
      <c r="F755" s="12">
        <v>5.5</v>
      </c>
      <c r="G755" s="75">
        <v>46188</v>
      </c>
      <c r="H755" t="s">
        <v>315</v>
      </c>
      <c r="I755" s="12">
        <v>0</v>
      </c>
      <c r="J755" s="12">
        <v>0</v>
      </c>
    </row>
    <row r="756" spans="1:10" x14ac:dyDescent="0.35">
      <c r="A756" t="s">
        <v>14</v>
      </c>
      <c r="B756">
        <v>102</v>
      </c>
      <c r="C756">
        <v>33019</v>
      </c>
      <c r="D756" t="s">
        <v>112</v>
      </c>
      <c r="E756" s="12">
        <v>14.99</v>
      </c>
      <c r="F756" s="12">
        <v>5.5</v>
      </c>
      <c r="G756" s="75">
        <v>46189</v>
      </c>
      <c r="H756" t="s">
        <v>316</v>
      </c>
      <c r="I756" s="12">
        <v>26.069565217391304</v>
      </c>
      <c r="J756" s="12">
        <v>2</v>
      </c>
    </row>
    <row r="757" spans="1:10" x14ac:dyDescent="0.35">
      <c r="A757" t="s">
        <v>14</v>
      </c>
      <c r="B757">
        <v>102</v>
      </c>
      <c r="C757">
        <v>33019</v>
      </c>
      <c r="D757" t="s">
        <v>112</v>
      </c>
      <c r="E757" s="12">
        <v>14.99</v>
      </c>
      <c r="F757" s="12">
        <v>5.5</v>
      </c>
      <c r="G757" s="75">
        <v>46190</v>
      </c>
      <c r="H757" t="s">
        <v>340</v>
      </c>
      <c r="I757" s="12">
        <v>13.034782608695652</v>
      </c>
      <c r="J757" s="12">
        <v>1</v>
      </c>
    </row>
    <row r="758" spans="1:10" x14ac:dyDescent="0.35">
      <c r="A758" t="s">
        <v>14</v>
      </c>
      <c r="B758">
        <v>119</v>
      </c>
      <c r="C758">
        <v>33017</v>
      </c>
      <c r="D758" t="s">
        <v>277</v>
      </c>
      <c r="E758" s="12">
        <v>69.989999999999995</v>
      </c>
      <c r="F758" s="12">
        <v>32.450000000000003</v>
      </c>
      <c r="G758" s="75">
        <v>46188</v>
      </c>
      <c r="H758" t="s">
        <v>315</v>
      </c>
      <c r="I758" s="12">
        <v>0</v>
      </c>
      <c r="J758" s="12">
        <v>0</v>
      </c>
    </row>
    <row r="759" spans="1:10" x14ac:dyDescent="0.35">
      <c r="A759" t="s">
        <v>14</v>
      </c>
      <c r="B759">
        <v>119</v>
      </c>
      <c r="C759">
        <v>33017</v>
      </c>
      <c r="D759" t="s">
        <v>277</v>
      </c>
      <c r="E759" s="12">
        <v>69.989999999999995</v>
      </c>
      <c r="F759" s="12">
        <v>32.450000000000003</v>
      </c>
      <c r="G759" s="75">
        <v>46189</v>
      </c>
      <c r="H759" t="s">
        <v>316</v>
      </c>
      <c r="I759" s="12">
        <v>0</v>
      </c>
      <c r="J759" s="12">
        <v>0</v>
      </c>
    </row>
    <row r="760" spans="1:10" x14ac:dyDescent="0.35">
      <c r="A760" t="s">
        <v>14</v>
      </c>
      <c r="B760">
        <v>119</v>
      </c>
      <c r="C760">
        <v>33017</v>
      </c>
      <c r="D760" t="s">
        <v>277</v>
      </c>
      <c r="E760" s="12">
        <v>69.989999999999995</v>
      </c>
      <c r="F760" s="12">
        <v>32.450000000000003</v>
      </c>
      <c r="G760" s="75">
        <v>46190</v>
      </c>
      <c r="H760" t="s">
        <v>340</v>
      </c>
      <c r="I760" s="12">
        <v>0</v>
      </c>
      <c r="J760" s="12">
        <v>0</v>
      </c>
    </row>
    <row r="761" spans="1:10" x14ac:dyDescent="0.35">
      <c r="A761" t="s">
        <v>14</v>
      </c>
      <c r="B761">
        <v>102</v>
      </c>
      <c r="C761">
        <v>33013</v>
      </c>
      <c r="D761" t="s">
        <v>148</v>
      </c>
      <c r="E761" s="12">
        <v>5.99</v>
      </c>
      <c r="F761" s="12">
        <v>3.1</v>
      </c>
      <c r="G761" s="75">
        <v>46188</v>
      </c>
      <c r="H761" t="s">
        <v>315</v>
      </c>
      <c r="I761" s="12">
        <v>0</v>
      </c>
      <c r="J761" s="12">
        <v>0</v>
      </c>
    </row>
    <row r="762" spans="1:10" x14ac:dyDescent="0.35">
      <c r="A762" t="s">
        <v>14</v>
      </c>
      <c r="B762">
        <v>102</v>
      </c>
      <c r="C762">
        <v>33013</v>
      </c>
      <c r="D762" t="s">
        <v>148</v>
      </c>
      <c r="E762" s="12">
        <v>5.99</v>
      </c>
      <c r="F762" s="12">
        <v>3.1</v>
      </c>
      <c r="G762" s="75">
        <v>46189</v>
      </c>
      <c r="H762" t="s">
        <v>316</v>
      </c>
      <c r="I762" s="12">
        <v>15.626086956521739</v>
      </c>
      <c r="J762" s="12">
        <v>3</v>
      </c>
    </row>
    <row r="763" spans="1:10" x14ac:dyDescent="0.35">
      <c r="A763" t="s">
        <v>14</v>
      </c>
      <c r="B763">
        <v>102</v>
      </c>
      <c r="C763">
        <v>33013</v>
      </c>
      <c r="D763" t="s">
        <v>148</v>
      </c>
      <c r="E763" s="12">
        <v>5.99</v>
      </c>
      <c r="F763" s="12">
        <v>3.1</v>
      </c>
      <c r="G763" s="75">
        <v>46190</v>
      </c>
      <c r="H763" t="s">
        <v>340</v>
      </c>
      <c r="I763" s="12">
        <v>0</v>
      </c>
      <c r="J763" s="12">
        <v>0</v>
      </c>
    </row>
    <row r="764" spans="1:10" x14ac:dyDescent="0.35">
      <c r="A764" t="s">
        <v>14</v>
      </c>
      <c r="B764">
        <v>102</v>
      </c>
      <c r="C764">
        <v>33012</v>
      </c>
      <c r="D764" t="s">
        <v>149</v>
      </c>
      <c r="E764" s="12">
        <v>47.99</v>
      </c>
      <c r="F764" s="12">
        <v>27.08</v>
      </c>
      <c r="G764" s="75">
        <v>46188</v>
      </c>
      <c r="H764" t="s">
        <v>315</v>
      </c>
      <c r="I764" s="12">
        <v>0</v>
      </c>
      <c r="J764" s="12">
        <v>0</v>
      </c>
    </row>
    <row r="765" spans="1:10" x14ac:dyDescent="0.35">
      <c r="A765" t="s">
        <v>14</v>
      </c>
      <c r="B765">
        <v>102</v>
      </c>
      <c r="C765">
        <v>33012</v>
      </c>
      <c r="D765" t="s">
        <v>149</v>
      </c>
      <c r="E765" s="12">
        <v>47.99</v>
      </c>
      <c r="F765" s="12">
        <v>27.08</v>
      </c>
      <c r="G765" s="75">
        <v>46189</v>
      </c>
      <c r="H765" t="s">
        <v>316</v>
      </c>
      <c r="I765" s="12">
        <v>0</v>
      </c>
      <c r="J765" s="12">
        <v>0</v>
      </c>
    </row>
    <row r="766" spans="1:10" x14ac:dyDescent="0.35">
      <c r="A766" t="s">
        <v>14</v>
      </c>
      <c r="B766">
        <v>102</v>
      </c>
      <c r="C766">
        <v>33012</v>
      </c>
      <c r="D766" t="s">
        <v>149</v>
      </c>
      <c r="E766" s="12">
        <v>47.99</v>
      </c>
      <c r="F766" s="12">
        <v>27.08</v>
      </c>
      <c r="G766" s="75">
        <v>46190</v>
      </c>
      <c r="H766" t="s">
        <v>340</v>
      </c>
      <c r="I766" s="12">
        <v>0</v>
      </c>
      <c r="J766" s="12">
        <v>0</v>
      </c>
    </row>
    <row r="767" spans="1:10" x14ac:dyDescent="0.35">
      <c r="A767" t="s">
        <v>14</v>
      </c>
      <c r="B767">
        <v>101</v>
      </c>
      <c r="C767">
        <v>32871</v>
      </c>
      <c r="D767" t="s">
        <v>73</v>
      </c>
      <c r="E767" s="12">
        <v>8.99</v>
      </c>
      <c r="F767" s="12">
        <v>5</v>
      </c>
      <c r="G767" s="75">
        <v>46188</v>
      </c>
      <c r="H767" t="s">
        <v>315</v>
      </c>
      <c r="I767" s="12">
        <v>0</v>
      </c>
      <c r="J767" s="12">
        <v>0</v>
      </c>
    </row>
    <row r="768" spans="1:10" x14ac:dyDescent="0.35">
      <c r="A768" t="s">
        <v>14</v>
      </c>
      <c r="B768">
        <v>101</v>
      </c>
      <c r="C768">
        <v>32871</v>
      </c>
      <c r="D768" t="s">
        <v>73</v>
      </c>
      <c r="E768" s="12">
        <v>8.99</v>
      </c>
      <c r="F768" s="12">
        <v>5</v>
      </c>
      <c r="G768" s="75">
        <v>46189</v>
      </c>
      <c r="H768" t="s">
        <v>316</v>
      </c>
      <c r="I768" s="12">
        <v>0</v>
      </c>
      <c r="J768" s="12">
        <v>0</v>
      </c>
    </row>
    <row r="769" spans="1:10" x14ac:dyDescent="0.35">
      <c r="A769" t="s">
        <v>14</v>
      </c>
      <c r="B769">
        <v>101</v>
      </c>
      <c r="C769">
        <v>32871</v>
      </c>
      <c r="D769" t="s">
        <v>73</v>
      </c>
      <c r="E769" s="12">
        <v>8.99</v>
      </c>
      <c r="F769" s="12">
        <v>5</v>
      </c>
      <c r="G769" s="75">
        <v>46190</v>
      </c>
      <c r="H769" t="s">
        <v>340</v>
      </c>
      <c r="I769" s="12">
        <v>0</v>
      </c>
      <c r="J769" s="12">
        <v>0</v>
      </c>
    </row>
    <row r="770" spans="1:10" x14ac:dyDescent="0.35">
      <c r="A770" t="s">
        <v>14</v>
      </c>
      <c r="B770">
        <v>102</v>
      </c>
      <c r="C770">
        <v>32869</v>
      </c>
      <c r="D770" t="s">
        <v>139</v>
      </c>
      <c r="E770" s="12">
        <v>3.5</v>
      </c>
      <c r="F770" s="12">
        <v>2.12</v>
      </c>
      <c r="G770" s="75">
        <v>46188</v>
      </c>
      <c r="H770" t="s">
        <v>315</v>
      </c>
      <c r="I770" s="12">
        <v>0</v>
      </c>
      <c r="J770" s="12">
        <v>0</v>
      </c>
    </row>
    <row r="771" spans="1:10" x14ac:dyDescent="0.35">
      <c r="A771" t="s">
        <v>14</v>
      </c>
      <c r="B771">
        <v>102</v>
      </c>
      <c r="C771">
        <v>32869</v>
      </c>
      <c r="D771" t="s">
        <v>139</v>
      </c>
      <c r="E771" s="12">
        <v>3.5</v>
      </c>
      <c r="F771" s="12">
        <v>2.12</v>
      </c>
      <c r="G771" s="75">
        <v>46189</v>
      </c>
      <c r="H771" t="s">
        <v>316</v>
      </c>
      <c r="I771" s="12">
        <v>0</v>
      </c>
      <c r="J771" s="12">
        <v>0</v>
      </c>
    </row>
    <row r="772" spans="1:10" x14ac:dyDescent="0.35">
      <c r="A772" t="s">
        <v>14</v>
      </c>
      <c r="B772">
        <v>102</v>
      </c>
      <c r="C772">
        <v>32869</v>
      </c>
      <c r="D772" t="s">
        <v>139</v>
      </c>
      <c r="E772" s="12">
        <v>3.5</v>
      </c>
      <c r="F772" s="12">
        <v>2.12</v>
      </c>
      <c r="G772" s="75">
        <v>46190</v>
      </c>
      <c r="H772" t="s">
        <v>340</v>
      </c>
      <c r="I772" s="12">
        <v>0</v>
      </c>
      <c r="J772" s="12">
        <v>0</v>
      </c>
    </row>
    <row r="773" spans="1:10" x14ac:dyDescent="0.35">
      <c r="A773" t="s">
        <v>14</v>
      </c>
      <c r="B773">
        <v>102</v>
      </c>
      <c r="C773">
        <v>32868</v>
      </c>
      <c r="D773" t="s">
        <v>175</v>
      </c>
      <c r="E773" s="12">
        <v>5.99</v>
      </c>
      <c r="F773" s="12">
        <v>3.31</v>
      </c>
      <c r="G773" s="75">
        <v>46188</v>
      </c>
      <c r="H773" t="s">
        <v>315</v>
      </c>
      <c r="I773" s="12">
        <v>0</v>
      </c>
      <c r="J773" s="12">
        <v>0</v>
      </c>
    </row>
    <row r="774" spans="1:10" x14ac:dyDescent="0.35">
      <c r="A774" t="s">
        <v>14</v>
      </c>
      <c r="B774">
        <v>102</v>
      </c>
      <c r="C774">
        <v>32868</v>
      </c>
      <c r="D774" t="s">
        <v>175</v>
      </c>
      <c r="E774" s="12">
        <v>5.99</v>
      </c>
      <c r="F774" s="12">
        <v>3.31</v>
      </c>
      <c r="G774" s="75">
        <v>46189</v>
      </c>
      <c r="H774" t="s">
        <v>316</v>
      </c>
      <c r="I774" s="12">
        <v>0</v>
      </c>
      <c r="J774" s="12">
        <v>0</v>
      </c>
    </row>
    <row r="775" spans="1:10" x14ac:dyDescent="0.35">
      <c r="A775" t="s">
        <v>14</v>
      </c>
      <c r="B775">
        <v>102</v>
      </c>
      <c r="C775">
        <v>32868</v>
      </c>
      <c r="D775" t="s">
        <v>175</v>
      </c>
      <c r="E775" s="12">
        <v>5.99</v>
      </c>
      <c r="F775" s="12">
        <v>3.31</v>
      </c>
      <c r="G775" s="75">
        <v>46190</v>
      </c>
      <c r="H775" t="s">
        <v>340</v>
      </c>
      <c r="I775" s="12">
        <v>0</v>
      </c>
      <c r="J775" s="12">
        <v>0</v>
      </c>
    </row>
    <row r="776" spans="1:10" x14ac:dyDescent="0.35">
      <c r="A776" t="s">
        <v>107</v>
      </c>
      <c r="B776">
        <v>102</v>
      </c>
      <c r="C776">
        <v>32864</v>
      </c>
      <c r="D776" t="s">
        <v>108</v>
      </c>
      <c r="E776" s="12">
        <v>9.99</v>
      </c>
      <c r="F776" s="12">
        <v>5</v>
      </c>
      <c r="G776" s="75">
        <v>46188</v>
      </c>
      <c r="H776" t="s">
        <v>315</v>
      </c>
      <c r="I776" s="12">
        <v>0</v>
      </c>
      <c r="J776" s="12">
        <v>0</v>
      </c>
    </row>
    <row r="777" spans="1:10" x14ac:dyDescent="0.35">
      <c r="A777" t="s">
        <v>107</v>
      </c>
      <c r="B777">
        <v>102</v>
      </c>
      <c r="C777">
        <v>32864</v>
      </c>
      <c r="D777" t="s">
        <v>108</v>
      </c>
      <c r="E777" s="12">
        <v>9.99</v>
      </c>
      <c r="F777" s="12">
        <v>5</v>
      </c>
      <c r="G777" s="75">
        <v>46189</v>
      </c>
      <c r="H777" t="s">
        <v>316</v>
      </c>
      <c r="I777" s="12">
        <v>34.747826086956522</v>
      </c>
      <c r="J777" s="12">
        <v>4</v>
      </c>
    </row>
    <row r="778" spans="1:10" x14ac:dyDescent="0.35">
      <c r="A778" t="s">
        <v>107</v>
      </c>
      <c r="B778">
        <v>102</v>
      </c>
      <c r="C778">
        <v>32864</v>
      </c>
      <c r="D778" t="s">
        <v>108</v>
      </c>
      <c r="E778" s="12">
        <v>9.99</v>
      </c>
      <c r="F778" s="12">
        <v>5</v>
      </c>
      <c r="G778" s="75">
        <v>46190</v>
      </c>
      <c r="H778" t="s">
        <v>340</v>
      </c>
      <c r="I778" s="12">
        <v>43.434782608695656</v>
      </c>
      <c r="J778" s="12">
        <v>5</v>
      </c>
    </row>
    <row r="779" spans="1:10" x14ac:dyDescent="0.35">
      <c r="A779" t="s">
        <v>14</v>
      </c>
      <c r="B779">
        <v>101</v>
      </c>
      <c r="C779">
        <v>32862</v>
      </c>
      <c r="D779" t="s">
        <v>68</v>
      </c>
      <c r="E779" s="12">
        <v>9.99</v>
      </c>
      <c r="F779" s="12">
        <v>5.14</v>
      </c>
      <c r="G779" s="75">
        <v>46188</v>
      </c>
      <c r="H779" t="s">
        <v>315</v>
      </c>
      <c r="I779" s="12">
        <v>0</v>
      </c>
      <c r="J779" s="12">
        <v>0</v>
      </c>
    </row>
    <row r="780" spans="1:10" x14ac:dyDescent="0.35">
      <c r="A780" t="s">
        <v>14</v>
      </c>
      <c r="B780">
        <v>101</v>
      </c>
      <c r="C780">
        <v>32862</v>
      </c>
      <c r="D780" t="s">
        <v>68</v>
      </c>
      <c r="E780" s="12">
        <v>9.99</v>
      </c>
      <c r="F780" s="12">
        <v>5.14</v>
      </c>
      <c r="G780" s="75">
        <v>46189</v>
      </c>
      <c r="H780" t="s">
        <v>316</v>
      </c>
      <c r="I780" s="12">
        <v>0</v>
      </c>
      <c r="J780" s="12">
        <v>0</v>
      </c>
    </row>
    <row r="781" spans="1:10" x14ac:dyDescent="0.35">
      <c r="A781" t="s">
        <v>14</v>
      </c>
      <c r="B781">
        <v>101</v>
      </c>
      <c r="C781">
        <v>32862</v>
      </c>
      <c r="D781" t="s">
        <v>68</v>
      </c>
      <c r="E781" s="12">
        <v>9.99</v>
      </c>
      <c r="F781" s="12">
        <v>5.14</v>
      </c>
      <c r="G781" s="75">
        <v>46190</v>
      </c>
      <c r="H781" t="s">
        <v>340</v>
      </c>
      <c r="I781" s="12">
        <v>0</v>
      </c>
      <c r="J781" s="12">
        <v>0</v>
      </c>
    </row>
    <row r="782" spans="1:10" x14ac:dyDescent="0.35">
      <c r="A782" t="s">
        <v>14</v>
      </c>
      <c r="B782">
        <v>102</v>
      </c>
      <c r="C782">
        <v>32155</v>
      </c>
      <c r="D782" t="s">
        <v>171</v>
      </c>
      <c r="E782" s="12">
        <v>11.99</v>
      </c>
      <c r="F782" s="12">
        <v>5.87</v>
      </c>
      <c r="G782" s="75">
        <v>46188</v>
      </c>
      <c r="H782" t="s">
        <v>315</v>
      </c>
      <c r="I782" s="12">
        <v>0</v>
      </c>
      <c r="J782" s="12">
        <v>0</v>
      </c>
    </row>
    <row r="783" spans="1:10" x14ac:dyDescent="0.35">
      <c r="A783" t="s">
        <v>14</v>
      </c>
      <c r="B783">
        <v>102</v>
      </c>
      <c r="C783">
        <v>32155</v>
      </c>
      <c r="D783" t="s">
        <v>171</v>
      </c>
      <c r="E783" s="12">
        <v>11.99</v>
      </c>
      <c r="F783" s="12">
        <v>5.87</v>
      </c>
      <c r="G783" s="75">
        <v>46189</v>
      </c>
      <c r="H783" t="s">
        <v>316</v>
      </c>
      <c r="I783" s="12">
        <v>0</v>
      </c>
      <c r="J783" s="12">
        <v>0</v>
      </c>
    </row>
    <row r="784" spans="1:10" x14ac:dyDescent="0.35">
      <c r="A784" t="s">
        <v>14</v>
      </c>
      <c r="B784">
        <v>102</v>
      </c>
      <c r="C784">
        <v>32155</v>
      </c>
      <c r="D784" t="s">
        <v>171</v>
      </c>
      <c r="E784" s="12">
        <v>11.99</v>
      </c>
      <c r="F784" s="12">
        <v>5.87</v>
      </c>
      <c r="G784" s="75">
        <v>46190</v>
      </c>
      <c r="H784" t="s">
        <v>340</v>
      </c>
      <c r="I784" s="12">
        <v>0</v>
      </c>
      <c r="J784" s="12">
        <v>0</v>
      </c>
    </row>
    <row r="785" spans="1:10" x14ac:dyDescent="0.35">
      <c r="A785" t="s">
        <v>14</v>
      </c>
      <c r="B785">
        <v>102</v>
      </c>
      <c r="C785">
        <v>32151</v>
      </c>
      <c r="D785" t="s">
        <v>164</v>
      </c>
      <c r="E785" s="12">
        <v>12.99</v>
      </c>
      <c r="F785" s="12">
        <v>6.88</v>
      </c>
      <c r="G785" s="75">
        <v>46188</v>
      </c>
      <c r="H785" t="s">
        <v>315</v>
      </c>
      <c r="I785" s="12">
        <v>0</v>
      </c>
      <c r="J785" s="12">
        <v>0</v>
      </c>
    </row>
    <row r="786" spans="1:10" x14ac:dyDescent="0.35">
      <c r="A786" t="s">
        <v>14</v>
      </c>
      <c r="B786">
        <v>102</v>
      </c>
      <c r="C786">
        <v>32151</v>
      </c>
      <c r="D786" t="s">
        <v>164</v>
      </c>
      <c r="E786" s="12">
        <v>12.99</v>
      </c>
      <c r="F786" s="12">
        <v>6.88</v>
      </c>
      <c r="G786" s="75">
        <v>46189</v>
      </c>
      <c r="H786" t="s">
        <v>316</v>
      </c>
      <c r="I786" s="12">
        <v>0</v>
      </c>
      <c r="J786" s="12">
        <v>0</v>
      </c>
    </row>
    <row r="787" spans="1:10" x14ac:dyDescent="0.35">
      <c r="A787" t="s">
        <v>14</v>
      </c>
      <c r="B787">
        <v>102</v>
      </c>
      <c r="C787">
        <v>32151</v>
      </c>
      <c r="D787" t="s">
        <v>164</v>
      </c>
      <c r="E787" s="12">
        <v>12.99</v>
      </c>
      <c r="F787" s="12">
        <v>6.88</v>
      </c>
      <c r="G787" s="75">
        <v>46190</v>
      </c>
      <c r="H787" t="s">
        <v>340</v>
      </c>
      <c r="I787" s="12">
        <v>0</v>
      </c>
      <c r="J787" s="12">
        <v>0</v>
      </c>
    </row>
    <row r="788" spans="1:10" x14ac:dyDescent="0.35">
      <c r="A788" t="s">
        <v>14</v>
      </c>
      <c r="B788">
        <v>102</v>
      </c>
      <c r="C788">
        <v>32150</v>
      </c>
      <c r="D788" t="s">
        <v>128</v>
      </c>
      <c r="E788" s="12">
        <v>8.99</v>
      </c>
      <c r="F788" s="12">
        <v>4.53</v>
      </c>
      <c r="G788" s="75">
        <v>46188</v>
      </c>
      <c r="H788" t="s">
        <v>315</v>
      </c>
      <c r="I788" s="12">
        <v>0</v>
      </c>
      <c r="J788" s="12">
        <v>0</v>
      </c>
    </row>
    <row r="789" spans="1:10" x14ac:dyDescent="0.35">
      <c r="A789" t="s">
        <v>14</v>
      </c>
      <c r="B789">
        <v>102</v>
      </c>
      <c r="C789">
        <v>32150</v>
      </c>
      <c r="D789" t="s">
        <v>128</v>
      </c>
      <c r="E789" s="12">
        <v>8.99</v>
      </c>
      <c r="F789" s="12">
        <v>4.53</v>
      </c>
      <c r="G789" s="75">
        <v>46189</v>
      </c>
      <c r="H789" t="s">
        <v>316</v>
      </c>
      <c r="I789" s="12">
        <v>0</v>
      </c>
      <c r="J789" s="12">
        <v>0</v>
      </c>
    </row>
    <row r="790" spans="1:10" x14ac:dyDescent="0.35">
      <c r="A790" t="s">
        <v>14</v>
      </c>
      <c r="B790">
        <v>102</v>
      </c>
      <c r="C790">
        <v>32150</v>
      </c>
      <c r="D790" t="s">
        <v>128</v>
      </c>
      <c r="E790" s="12">
        <v>8.99</v>
      </c>
      <c r="F790" s="12">
        <v>4.53</v>
      </c>
      <c r="G790" s="75">
        <v>46190</v>
      </c>
      <c r="H790" t="s">
        <v>340</v>
      </c>
      <c r="I790" s="12">
        <v>0</v>
      </c>
      <c r="J790" s="12">
        <v>0</v>
      </c>
    </row>
    <row r="791" spans="1:10" x14ac:dyDescent="0.35">
      <c r="A791" t="s">
        <v>14</v>
      </c>
      <c r="B791">
        <v>102</v>
      </c>
      <c r="C791">
        <v>32149</v>
      </c>
      <c r="D791" t="s">
        <v>118</v>
      </c>
      <c r="E791" s="12">
        <v>24.99</v>
      </c>
      <c r="F791" s="12">
        <v>13</v>
      </c>
      <c r="G791" s="75">
        <v>46188</v>
      </c>
      <c r="H791" t="s">
        <v>315</v>
      </c>
      <c r="I791" s="12">
        <v>0</v>
      </c>
      <c r="J791" s="12">
        <v>0</v>
      </c>
    </row>
    <row r="792" spans="1:10" x14ac:dyDescent="0.35">
      <c r="A792" t="s">
        <v>14</v>
      </c>
      <c r="B792">
        <v>102</v>
      </c>
      <c r="C792">
        <v>32149</v>
      </c>
      <c r="D792" t="s">
        <v>118</v>
      </c>
      <c r="E792" s="12">
        <v>24.99</v>
      </c>
      <c r="F792" s="12">
        <v>13</v>
      </c>
      <c r="G792" s="75">
        <v>46189</v>
      </c>
      <c r="H792" t="s">
        <v>316</v>
      </c>
      <c r="I792" s="12">
        <v>0</v>
      </c>
      <c r="J792" s="12">
        <v>0</v>
      </c>
    </row>
    <row r="793" spans="1:10" x14ac:dyDescent="0.35">
      <c r="A793" t="s">
        <v>14</v>
      </c>
      <c r="B793">
        <v>102</v>
      </c>
      <c r="C793">
        <v>32149</v>
      </c>
      <c r="D793" t="s">
        <v>118</v>
      </c>
      <c r="E793" s="12">
        <v>24.99</v>
      </c>
      <c r="F793" s="12">
        <v>13</v>
      </c>
      <c r="G793" s="75">
        <v>46190</v>
      </c>
      <c r="H793" t="s">
        <v>340</v>
      </c>
      <c r="I793" s="12">
        <v>0</v>
      </c>
      <c r="J793" s="12">
        <v>0</v>
      </c>
    </row>
    <row r="794" spans="1:10" x14ac:dyDescent="0.35">
      <c r="A794" t="s">
        <v>14</v>
      </c>
      <c r="B794">
        <v>102</v>
      </c>
      <c r="C794">
        <v>32131</v>
      </c>
      <c r="D794" t="s">
        <v>94</v>
      </c>
      <c r="E794" s="12">
        <v>18.989999999999998</v>
      </c>
      <c r="F794" s="12">
        <v>9.1300000000000008</v>
      </c>
      <c r="G794" s="75">
        <v>46188</v>
      </c>
      <c r="H794" t="s">
        <v>315</v>
      </c>
      <c r="I794" s="12">
        <v>0</v>
      </c>
      <c r="J794" s="12">
        <v>0</v>
      </c>
    </row>
    <row r="795" spans="1:10" x14ac:dyDescent="0.35">
      <c r="A795" t="s">
        <v>14</v>
      </c>
      <c r="B795">
        <v>102</v>
      </c>
      <c r="C795">
        <v>32131</v>
      </c>
      <c r="D795" t="s">
        <v>94</v>
      </c>
      <c r="E795" s="12">
        <v>18.989999999999998</v>
      </c>
      <c r="F795" s="12">
        <v>9.1300000000000008</v>
      </c>
      <c r="G795" s="75">
        <v>46189</v>
      </c>
      <c r="H795" t="s">
        <v>316</v>
      </c>
      <c r="I795" s="12">
        <v>0</v>
      </c>
      <c r="J795" s="12">
        <v>0</v>
      </c>
    </row>
    <row r="796" spans="1:10" x14ac:dyDescent="0.35">
      <c r="A796" t="s">
        <v>14</v>
      </c>
      <c r="B796">
        <v>102</v>
      </c>
      <c r="C796">
        <v>32131</v>
      </c>
      <c r="D796" t="s">
        <v>94</v>
      </c>
      <c r="E796" s="12">
        <v>18.989999999999998</v>
      </c>
      <c r="F796" s="12">
        <v>9.1300000000000008</v>
      </c>
      <c r="G796" s="75">
        <v>46190</v>
      </c>
      <c r="H796" t="s">
        <v>340</v>
      </c>
      <c r="I796" s="12">
        <v>115.5913043478261</v>
      </c>
      <c r="J796" s="12">
        <v>7</v>
      </c>
    </row>
    <row r="797" spans="1:10" x14ac:dyDescent="0.35">
      <c r="A797" t="s">
        <v>14</v>
      </c>
      <c r="B797">
        <v>119</v>
      </c>
      <c r="C797">
        <v>32130</v>
      </c>
      <c r="D797" t="s">
        <v>273</v>
      </c>
      <c r="E797" s="12">
        <v>140</v>
      </c>
      <c r="F797" s="12">
        <v>92.6</v>
      </c>
      <c r="G797" s="75">
        <v>46188</v>
      </c>
      <c r="H797" t="s">
        <v>315</v>
      </c>
      <c r="I797" s="12">
        <v>0</v>
      </c>
      <c r="J797" s="12">
        <v>0</v>
      </c>
    </row>
    <row r="798" spans="1:10" x14ac:dyDescent="0.35">
      <c r="A798" t="s">
        <v>14</v>
      </c>
      <c r="B798">
        <v>119</v>
      </c>
      <c r="C798">
        <v>32130</v>
      </c>
      <c r="D798" t="s">
        <v>273</v>
      </c>
      <c r="E798" s="12">
        <v>140</v>
      </c>
      <c r="F798" s="12">
        <v>92.6</v>
      </c>
      <c r="G798" s="75">
        <v>46189</v>
      </c>
      <c r="H798" t="s">
        <v>316</v>
      </c>
      <c r="I798" s="12">
        <v>0</v>
      </c>
      <c r="J798" s="12">
        <v>0</v>
      </c>
    </row>
    <row r="799" spans="1:10" x14ac:dyDescent="0.35">
      <c r="A799" t="s">
        <v>14</v>
      </c>
      <c r="B799">
        <v>119</v>
      </c>
      <c r="C799">
        <v>32130</v>
      </c>
      <c r="D799" t="s">
        <v>273</v>
      </c>
      <c r="E799" s="12">
        <v>140</v>
      </c>
      <c r="F799" s="12">
        <v>92.6</v>
      </c>
      <c r="G799" s="75">
        <v>46190</v>
      </c>
      <c r="H799" t="s">
        <v>340</v>
      </c>
      <c r="I799" s="12">
        <v>0</v>
      </c>
      <c r="J799" s="12">
        <v>0</v>
      </c>
    </row>
    <row r="800" spans="1:10" x14ac:dyDescent="0.35">
      <c r="A800" t="s">
        <v>14</v>
      </c>
      <c r="B800">
        <v>102</v>
      </c>
      <c r="C800">
        <v>32128</v>
      </c>
      <c r="D800" t="s">
        <v>96</v>
      </c>
      <c r="E800" s="12">
        <v>18.989999999999998</v>
      </c>
      <c r="F800" s="12">
        <v>11</v>
      </c>
      <c r="G800" s="75">
        <v>46188</v>
      </c>
      <c r="H800" t="s">
        <v>315</v>
      </c>
      <c r="I800" s="12">
        <v>0</v>
      </c>
      <c r="J800" s="12">
        <v>0</v>
      </c>
    </row>
    <row r="801" spans="1:10" x14ac:dyDescent="0.35">
      <c r="A801" t="s">
        <v>14</v>
      </c>
      <c r="B801">
        <v>102</v>
      </c>
      <c r="C801">
        <v>32128</v>
      </c>
      <c r="D801" t="s">
        <v>96</v>
      </c>
      <c r="E801" s="12">
        <v>18.989999999999998</v>
      </c>
      <c r="F801" s="12">
        <v>11</v>
      </c>
      <c r="G801" s="75">
        <v>46189</v>
      </c>
      <c r="H801" t="s">
        <v>316</v>
      </c>
      <c r="I801" s="12">
        <v>0</v>
      </c>
      <c r="J801" s="12">
        <v>0</v>
      </c>
    </row>
    <row r="802" spans="1:10" x14ac:dyDescent="0.35">
      <c r="A802" t="s">
        <v>14</v>
      </c>
      <c r="B802">
        <v>102</v>
      </c>
      <c r="C802">
        <v>32128</v>
      </c>
      <c r="D802" t="s">
        <v>96</v>
      </c>
      <c r="E802" s="12">
        <v>18.989999999999998</v>
      </c>
      <c r="F802" s="12">
        <v>11</v>
      </c>
      <c r="G802" s="75">
        <v>46190</v>
      </c>
      <c r="H802" t="s">
        <v>340</v>
      </c>
      <c r="I802" s="12">
        <v>0</v>
      </c>
      <c r="J802" s="12">
        <v>0</v>
      </c>
    </row>
    <row r="803" spans="1:10" x14ac:dyDescent="0.35">
      <c r="A803" t="s">
        <v>14</v>
      </c>
      <c r="B803">
        <v>102</v>
      </c>
      <c r="C803">
        <v>32125</v>
      </c>
      <c r="D803" t="s">
        <v>162</v>
      </c>
      <c r="E803" s="12">
        <v>3</v>
      </c>
      <c r="F803" s="12">
        <v>1.29</v>
      </c>
      <c r="G803" s="75">
        <v>46188</v>
      </c>
      <c r="H803" t="s">
        <v>315</v>
      </c>
      <c r="I803" s="12">
        <v>0</v>
      </c>
      <c r="J803" s="12">
        <v>0</v>
      </c>
    </row>
    <row r="804" spans="1:10" x14ac:dyDescent="0.35">
      <c r="A804" t="s">
        <v>14</v>
      </c>
      <c r="B804">
        <v>102</v>
      </c>
      <c r="C804">
        <v>32125</v>
      </c>
      <c r="D804" t="s">
        <v>162</v>
      </c>
      <c r="E804" s="12">
        <v>3</v>
      </c>
      <c r="F804" s="12">
        <v>1.29</v>
      </c>
      <c r="G804" s="75">
        <v>46189</v>
      </c>
      <c r="H804" t="s">
        <v>316</v>
      </c>
      <c r="I804" s="12">
        <v>0</v>
      </c>
      <c r="J804" s="12">
        <v>0</v>
      </c>
    </row>
    <row r="805" spans="1:10" x14ac:dyDescent="0.35">
      <c r="A805" t="s">
        <v>14</v>
      </c>
      <c r="B805">
        <v>102</v>
      </c>
      <c r="C805">
        <v>32125</v>
      </c>
      <c r="D805" t="s">
        <v>162</v>
      </c>
      <c r="E805" s="12">
        <v>3</v>
      </c>
      <c r="F805" s="12">
        <v>1.29</v>
      </c>
      <c r="G805" s="75">
        <v>46190</v>
      </c>
      <c r="H805" t="s">
        <v>340</v>
      </c>
      <c r="I805" s="12">
        <v>0</v>
      </c>
      <c r="J805" s="12">
        <v>0</v>
      </c>
    </row>
    <row r="806" spans="1:10" x14ac:dyDescent="0.35">
      <c r="A806" t="s">
        <v>14</v>
      </c>
      <c r="B806">
        <v>102</v>
      </c>
      <c r="C806">
        <v>32124</v>
      </c>
      <c r="D806" t="s">
        <v>174</v>
      </c>
      <c r="E806" s="12">
        <v>47.99</v>
      </c>
      <c r="F806" s="12">
        <v>10.44</v>
      </c>
      <c r="G806" s="75">
        <v>46188</v>
      </c>
      <c r="H806" t="s">
        <v>315</v>
      </c>
      <c r="I806" s="12">
        <v>0</v>
      </c>
      <c r="J806" s="12">
        <v>0</v>
      </c>
    </row>
    <row r="807" spans="1:10" x14ac:dyDescent="0.35">
      <c r="A807" t="s">
        <v>14</v>
      </c>
      <c r="B807">
        <v>102</v>
      </c>
      <c r="C807">
        <v>32124</v>
      </c>
      <c r="D807" t="s">
        <v>174</v>
      </c>
      <c r="E807" s="12">
        <v>47.99</v>
      </c>
      <c r="F807" s="12">
        <v>10.44</v>
      </c>
      <c r="G807" s="75">
        <v>46189</v>
      </c>
      <c r="H807" t="s">
        <v>316</v>
      </c>
      <c r="I807" s="12">
        <v>0</v>
      </c>
      <c r="J807" s="12">
        <v>0</v>
      </c>
    </row>
    <row r="808" spans="1:10" x14ac:dyDescent="0.35">
      <c r="A808" t="s">
        <v>14</v>
      </c>
      <c r="B808">
        <v>102</v>
      </c>
      <c r="C808">
        <v>32124</v>
      </c>
      <c r="D808" t="s">
        <v>174</v>
      </c>
      <c r="E808" s="12">
        <v>47.99</v>
      </c>
      <c r="F808" s="12">
        <v>10.44</v>
      </c>
      <c r="G808" s="75">
        <v>46190</v>
      </c>
      <c r="H808" t="s">
        <v>340</v>
      </c>
      <c r="I808" s="12">
        <v>0</v>
      </c>
      <c r="J808" s="12">
        <v>0</v>
      </c>
    </row>
    <row r="809" spans="1:10" x14ac:dyDescent="0.35">
      <c r="A809" t="s">
        <v>14</v>
      </c>
      <c r="B809">
        <v>101</v>
      </c>
      <c r="C809">
        <v>32067</v>
      </c>
      <c r="D809" t="s">
        <v>29</v>
      </c>
      <c r="E809" s="12">
        <v>34.99</v>
      </c>
      <c r="F809" s="12">
        <v>15.91</v>
      </c>
      <c r="G809" s="75">
        <v>46188</v>
      </c>
      <c r="H809" t="s">
        <v>315</v>
      </c>
      <c r="I809" s="12">
        <v>0</v>
      </c>
      <c r="J809" s="12">
        <v>0</v>
      </c>
    </row>
    <row r="810" spans="1:10" x14ac:dyDescent="0.35">
      <c r="A810" t="s">
        <v>14</v>
      </c>
      <c r="B810">
        <v>101</v>
      </c>
      <c r="C810">
        <v>32067</v>
      </c>
      <c r="D810" t="s">
        <v>29</v>
      </c>
      <c r="E810" s="12">
        <v>34.99</v>
      </c>
      <c r="F810" s="12">
        <v>15.91</v>
      </c>
      <c r="G810" s="75">
        <v>46189</v>
      </c>
      <c r="H810" t="s">
        <v>316</v>
      </c>
      <c r="I810" s="12">
        <v>121.70434782608696</v>
      </c>
      <c r="J810" s="12">
        <v>4</v>
      </c>
    </row>
    <row r="811" spans="1:10" x14ac:dyDescent="0.35">
      <c r="A811" t="s">
        <v>14</v>
      </c>
      <c r="B811">
        <v>101</v>
      </c>
      <c r="C811">
        <v>32067</v>
      </c>
      <c r="D811" t="s">
        <v>29</v>
      </c>
      <c r="E811" s="12">
        <v>34.99</v>
      </c>
      <c r="F811" s="12">
        <v>15.91</v>
      </c>
      <c r="G811" s="75">
        <v>46190</v>
      </c>
      <c r="H811" t="s">
        <v>340</v>
      </c>
      <c r="I811" s="12">
        <v>117.13913043478261</v>
      </c>
      <c r="J811" s="12">
        <v>4</v>
      </c>
    </row>
    <row r="812" spans="1:10" x14ac:dyDescent="0.35">
      <c r="A812" t="s">
        <v>14</v>
      </c>
      <c r="B812">
        <v>102</v>
      </c>
      <c r="C812">
        <v>32066</v>
      </c>
      <c r="D812" t="s">
        <v>114</v>
      </c>
      <c r="E812" s="12">
        <v>10</v>
      </c>
      <c r="F812" s="12">
        <v>4.5</v>
      </c>
      <c r="G812" s="75">
        <v>46188</v>
      </c>
      <c r="H812" t="s">
        <v>315</v>
      </c>
      <c r="I812" s="12">
        <v>0</v>
      </c>
      <c r="J812" s="12">
        <v>0</v>
      </c>
    </row>
    <row r="813" spans="1:10" x14ac:dyDescent="0.35">
      <c r="A813" t="s">
        <v>14</v>
      </c>
      <c r="B813">
        <v>102</v>
      </c>
      <c r="C813">
        <v>32066</v>
      </c>
      <c r="D813" t="s">
        <v>114</v>
      </c>
      <c r="E813" s="12">
        <v>10</v>
      </c>
      <c r="F813" s="12">
        <v>4.5</v>
      </c>
      <c r="G813" s="75">
        <v>46189</v>
      </c>
      <c r="H813" t="s">
        <v>316</v>
      </c>
      <c r="I813" s="12">
        <v>0</v>
      </c>
      <c r="J813" s="12">
        <v>0</v>
      </c>
    </row>
    <row r="814" spans="1:10" x14ac:dyDescent="0.35">
      <c r="A814" t="s">
        <v>14</v>
      </c>
      <c r="B814">
        <v>102</v>
      </c>
      <c r="C814">
        <v>32066</v>
      </c>
      <c r="D814" t="s">
        <v>114</v>
      </c>
      <c r="E814" s="12">
        <v>10</v>
      </c>
      <c r="F814" s="12">
        <v>4.5</v>
      </c>
      <c r="G814" s="75">
        <v>46190</v>
      </c>
      <c r="H814" t="s">
        <v>340</v>
      </c>
      <c r="I814" s="12">
        <v>52.173913043478258</v>
      </c>
      <c r="J814" s="12">
        <v>6</v>
      </c>
    </row>
    <row r="815" spans="1:10" x14ac:dyDescent="0.35">
      <c r="A815" t="s">
        <v>14</v>
      </c>
      <c r="B815">
        <v>101</v>
      </c>
      <c r="C815">
        <v>32063</v>
      </c>
      <c r="D815" t="s">
        <v>52</v>
      </c>
      <c r="E815" s="12">
        <v>19.989999999999998</v>
      </c>
      <c r="F815" s="12">
        <v>8.5</v>
      </c>
      <c r="G815" s="75">
        <v>46188</v>
      </c>
      <c r="H815" t="s">
        <v>315</v>
      </c>
      <c r="I815" s="12">
        <v>0</v>
      </c>
      <c r="J815" s="12">
        <v>0</v>
      </c>
    </row>
    <row r="816" spans="1:10" x14ac:dyDescent="0.35">
      <c r="A816" t="s">
        <v>14</v>
      </c>
      <c r="B816">
        <v>101</v>
      </c>
      <c r="C816">
        <v>32063</v>
      </c>
      <c r="D816" t="s">
        <v>52</v>
      </c>
      <c r="E816" s="12">
        <v>19.989999999999998</v>
      </c>
      <c r="F816" s="12">
        <v>8.5</v>
      </c>
      <c r="G816" s="75">
        <v>46189</v>
      </c>
      <c r="H816" t="s">
        <v>316</v>
      </c>
      <c r="I816" s="12">
        <v>0</v>
      </c>
      <c r="J816" s="12">
        <v>0</v>
      </c>
    </row>
    <row r="817" spans="1:10" x14ac:dyDescent="0.35">
      <c r="A817" t="s">
        <v>14</v>
      </c>
      <c r="B817">
        <v>101</v>
      </c>
      <c r="C817">
        <v>32063</v>
      </c>
      <c r="D817" t="s">
        <v>52</v>
      </c>
      <c r="E817" s="12">
        <v>19.989999999999998</v>
      </c>
      <c r="F817" s="12">
        <v>8.5</v>
      </c>
      <c r="G817" s="75">
        <v>46190</v>
      </c>
      <c r="H817" t="s">
        <v>340</v>
      </c>
      <c r="I817" s="12">
        <v>34.765217391304347</v>
      </c>
      <c r="J817" s="12">
        <v>2</v>
      </c>
    </row>
    <row r="818" spans="1:10" x14ac:dyDescent="0.35">
      <c r="A818" t="s">
        <v>14</v>
      </c>
      <c r="B818">
        <v>101</v>
      </c>
      <c r="C818">
        <v>32062</v>
      </c>
      <c r="D818" t="s">
        <v>51</v>
      </c>
      <c r="E818" s="12">
        <v>24.99</v>
      </c>
      <c r="F818" s="12">
        <v>9.68</v>
      </c>
      <c r="G818" s="75">
        <v>46188</v>
      </c>
      <c r="H818" t="s">
        <v>315</v>
      </c>
      <c r="I818" s="12">
        <v>0</v>
      </c>
      <c r="J818" s="12">
        <v>0</v>
      </c>
    </row>
    <row r="819" spans="1:10" x14ac:dyDescent="0.35">
      <c r="A819" t="s">
        <v>14</v>
      </c>
      <c r="B819">
        <v>101</v>
      </c>
      <c r="C819">
        <v>32062</v>
      </c>
      <c r="D819" t="s">
        <v>51</v>
      </c>
      <c r="E819" s="12">
        <v>24.99</v>
      </c>
      <c r="F819" s="12">
        <v>9.68</v>
      </c>
      <c r="G819" s="75">
        <v>46189</v>
      </c>
      <c r="H819" t="s">
        <v>316</v>
      </c>
      <c r="I819" s="12">
        <v>0</v>
      </c>
      <c r="J819" s="12">
        <v>0</v>
      </c>
    </row>
    <row r="820" spans="1:10" x14ac:dyDescent="0.35">
      <c r="A820" t="s">
        <v>14</v>
      </c>
      <c r="B820">
        <v>101</v>
      </c>
      <c r="C820">
        <v>32062</v>
      </c>
      <c r="D820" t="s">
        <v>51</v>
      </c>
      <c r="E820" s="12">
        <v>24.99</v>
      </c>
      <c r="F820" s="12">
        <v>9.68</v>
      </c>
      <c r="G820" s="75">
        <v>46190</v>
      </c>
      <c r="H820" t="s">
        <v>340</v>
      </c>
      <c r="I820" s="12">
        <v>43.460869565217386</v>
      </c>
      <c r="J820" s="12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All bakery products</vt:lpstr>
      <vt:lpstr>Actuals import</vt:lpstr>
      <vt:lpstr>Actuals Pivot</vt:lpstr>
      <vt:lpstr>Merged data</vt:lpstr>
      <vt:lpstr>Actuals Unpivoted</vt:lpstr>
      <vt:lpstr>Pivot Production plan</vt:lpstr>
      <vt:lpstr>Actuals data</vt:lpstr>
      <vt:lpstr>Bake_prod</vt:lpstr>
      <vt:lpstr>'Pivot Production plan'!Print_Area</vt:lpstr>
      <vt:lpstr>'Pivot Production plan'!Print_Titles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2026-06-18T08:23:26Z</cp:lastPrinted>
  <dcterms:created xsi:type="dcterms:W3CDTF">2026-06-16T15:56:46Z</dcterms:created>
  <dcterms:modified xsi:type="dcterms:W3CDTF">2026-06-18T16:55:58Z</dcterms:modified>
</cp:coreProperties>
</file>
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Services Analysis\Bakery\"/>
    </mc:Choice>
  </mc:AlternateContent>
  <xr:revisionPtr revIDLastSave="0" documentId="8_{80E98CA5-2966-42CE-92FA-BFD17BD0D55B}" xr6:coauthVersionLast="47" xr6:coauthVersionMax="47" xr10:uidLastSave="{00000000-0000-0000-0000-000000000000}"/>
  <bookViews>
    <workbookView xWindow="-110" yWindow="-110" windowWidth="19420" windowHeight="10300" activeTab="1" xr2:uid="{E73BFAA0-D4BB-4FC6-A02B-94A6B3604F4B}"/>
  </bookViews>
  <sheets>
    <sheet name="Production Plan" sheetId="1" r:id="rId1"/>
    <sheet name="Plan vs Actual Pivot" sheetId="32" r:id="rId2"/>
    <sheet name="Variance" sheetId="45" r:id="rId3"/>
    <sheet name="Pivot Production plan" sheetId="3" r:id="rId4"/>
  </sheets>
  <definedNames>
    <definedName name="_xlnm._FilterDatabase" localSheetId="0" hidden="1">'Production Plan'!$A$3:$L$290</definedName>
    <definedName name="Actuals">#REF!</definedName>
    <definedName name="Actuals_data">#REF!</definedName>
    <definedName name="Actuals_data_1">#REF!</definedName>
    <definedName name="Bake_prod">'Production Plan'!$A$3:$K$290</definedName>
    <definedName name="Planned_vs_Actual">#REF!</definedName>
    <definedName name="_xlnm.Print_Area" localSheetId="3">'Pivot Production plan'!$A$1:$J$57</definedName>
    <definedName name="_xlnm.Print_Titles" localSheetId="3">'Pivot Production plan'!$1:$3</definedName>
    <definedName name="_xlnm.Print_Titles" localSheetId="1">'Plan vs Actual Pivot'!$A:$F,'Plan vs Actual Pivot'!$3:$5</definedName>
  </definedNames>
  <calcPr calcId="191029" iterateCount="1"/>
  <pivotCaches>
    <pivotCache cacheId="2" r:id="rId5"/>
    <pivotCache cacheId="3" r:id="rId6"/>
  </pivotCaches>
  <extLst>
    <ext xmlns:x15="http://schemas.microsoft.com/office/spreadsheetml/2010/11/main" uri="{FCE2AD5D-F65C-4FA6-A056-5C36A1767C68}">
      <x15:dataModel>
        <x15:modelTables>
          <x15:modelTable id="Plan vs Actual data_87cdf130-69c9-48b9-86c5-a2189d37a441" name="Plan vs Actual data" connection="Query - Plan vs Actual 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3" i="45" l="1"/>
  <c r="P48" i="45"/>
  <c r="P47" i="45"/>
  <c r="P51" i="45"/>
  <c r="P42" i="45"/>
  <c r="P46" i="45"/>
  <c r="P45" i="45"/>
  <c r="P38" i="45"/>
  <c r="P34" i="45"/>
  <c r="P37" i="45"/>
  <c r="P32" i="45"/>
  <c r="P31" i="45"/>
  <c r="P13" i="45"/>
  <c r="P20" i="45"/>
  <c r="P21" i="45"/>
  <c r="P29" i="45"/>
  <c r="P17" i="45"/>
  <c r="P24" i="45"/>
  <c r="P10" i="45"/>
  <c r="O24" i="45"/>
  <c r="O29" i="45"/>
  <c r="O10" i="45"/>
  <c r="O17" i="45"/>
  <c r="O15" i="45"/>
  <c r="P15" i="45" s="1"/>
  <c r="O19" i="45"/>
  <c r="P19" i="45" s="1"/>
  <c r="O11" i="45"/>
  <c r="P11" i="45" s="1"/>
  <c r="O32" i="45"/>
  <c r="O35" i="45"/>
  <c r="P35" i="45" s="1"/>
  <c r="O21" i="45"/>
  <c r="O23" i="45"/>
  <c r="P23" i="45" s="1"/>
  <c r="O6" i="45"/>
  <c r="P6" i="45" s="1"/>
  <c r="O14" i="45"/>
  <c r="P14" i="45" s="1"/>
  <c r="O31" i="45"/>
  <c r="O30" i="45"/>
  <c r="P30" i="45" s="1"/>
  <c r="O20" i="45"/>
  <c r="O38" i="45"/>
  <c r="O39" i="45"/>
  <c r="P39" i="45" s="1"/>
  <c r="O25" i="45"/>
  <c r="P25" i="45" s="1"/>
  <c r="O26" i="45"/>
  <c r="P26" i="45" s="1"/>
  <c r="O27" i="45"/>
  <c r="P27" i="45" s="1"/>
  <c r="O37" i="45"/>
  <c r="O12" i="45"/>
  <c r="P12" i="45" s="1"/>
  <c r="O43" i="45"/>
  <c r="O42" i="45"/>
  <c r="O48" i="45"/>
  <c r="O47" i="45"/>
  <c r="O52" i="45"/>
  <c r="P52" i="45" s="1"/>
  <c r="O18" i="45"/>
  <c r="P18" i="45" s="1"/>
  <c r="O49" i="45"/>
  <c r="P49" i="45" s="1"/>
  <c r="O33" i="45"/>
  <c r="P33" i="45" s="1"/>
  <c r="O51" i="45"/>
  <c r="O50" i="45"/>
  <c r="P50" i="45" s="1"/>
  <c r="O40" i="45"/>
  <c r="P40" i="45" s="1"/>
  <c r="O46" i="45"/>
  <c r="O41" i="45"/>
  <c r="P41" i="45" s="1"/>
  <c r="O44" i="45"/>
  <c r="P44" i="45" s="1"/>
  <c r="O28" i="45"/>
  <c r="P28" i="45" s="1"/>
  <c r="O45" i="45"/>
  <c r="O34" i="45"/>
  <c r="O36" i="45"/>
  <c r="P36" i="45" s="1"/>
  <c r="O8" i="45"/>
  <c r="P8" i="45" s="1"/>
  <c r="O13" i="45"/>
  <c r="O16" i="45"/>
  <c r="P16" i="45" s="1"/>
  <c r="O7" i="45"/>
  <c r="P7" i="45" s="1"/>
  <c r="O9" i="45"/>
  <c r="P9" i="45" s="1"/>
  <c r="O22" i="45"/>
  <c r="P22" i="45" s="1"/>
  <c r="H287" i="1"/>
  <c r="I287" i="1"/>
  <c r="V193" i="1"/>
  <c r="W193" i="1"/>
  <c r="X193" i="1"/>
  <c r="Y193" i="1"/>
  <c r="H286" i="1"/>
  <c r="I286" i="1"/>
  <c r="V191" i="1"/>
  <c r="W191" i="1"/>
  <c r="X191" i="1"/>
  <c r="Y191" i="1"/>
  <c r="H284" i="1"/>
  <c r="I284" i="1"/>
  <c r="V189" i="1"/>
  <c r="W189" i="1"/>
  <c r="X189" i="1"/>
  <c r="Y189" i="1"/>
  <c r="H283" i="1"/>
  <c r="I283" i="1"/>
  <c r="V187" i="1"/>
  <c r="W187" i="1"/>
  <c r="X187" i="1"/>
  <c r="Y187" i="1"/>
  <c r="H282" i="1"/>
  <c r="I282" i="1"/>
  <c r="V185" i="1"/>
  <c r="W185" i="1"/>
  <c r="X185" i="1"/>
  <c r="Y185" i="1"/>
  <c r="H281" i="1"/>
  <c r="I281" i="1"/>
  <c r="V183" i="1"/>
  <c r="W183" i="1"/>
  <c r="X183" i="1"/>
  <c r="Y183" i="1"/>
  <c r="H280" i="1"/>
  <c r="I280" i="1"/>
  <c r="V181" i="1"/>
  <c r="W181" i="1"/>
  <c r="X181" i="1"/>
  <c r="Y181" i="1"/>
  <c r="H279" i="1"/>
  <c r="I279" i="1"/>
  <c r="V179" i="1"/>
  <c r="W179" i="1"/>
  <c r="X179" i="1"/>
  <c r="Y179" i="1"/>
  <c r="H278" i="1"/>
  <c r="I278" i="1"/>
  <c r="V177" i="1"/>
  <c r="W177" i="1"/>
  <c r="X177" i="1"/>
  <c r="Y177" i="1"/>
  <c r="H277" i="1"/>
  <c r="I277" i="1"/>
  <c r="V175" i="1"/>
  <c r="W175" i="1"/>
  <c r="X175" i="1"/>
  <c r="Y175" i="1"/>
  <c r="H275" i="1"/>
  <c r="I275" i="1"/>
  <c r="V150" i="1"/>
  <c r="W150" i="1"/>
  <c r="X150" i="1"/>
  <c r="Y150" i="1"/>
  <c r="H285" i="1"/>
  <c r="I285" i="1"/>
  <c r="V142" i="1"/>
  <c r="W142" i="1"/>
  <c r="X142" i="1"/>
  <c r="Y142" i="1"/>
  <c r="H276" i="1"/>
  <c r="I276" i="1"/>
  <c r="V38" i="1"/>
  <c r="W38" i="1"/>
  <c r="X38" i="1"/>
  <c r="Y38" i="1"/>
  <c r="H274" i="1"/>
  <c r="I274" i="1"/>
  <c r="V34" i="1"/>
  <c r="W34" i="1"/>
  <c r="X34" i="1"/>
  <c r="Y34" i="1"/>
  <c r="Y290" i="1"/>
  <c r="X290" i="1"/>
  <c r="W290" i="1"/>
  <c r="V290" i="1"/>
  <c r="Y289" i="1"/>
  <c r="X289" i="1"/>
  <c r="W289" i="1"/>
  <c r="V289" i="1"/>
  <c r="Y288" i="1"/>
  <c r="X288" i="1"/>
  <c r="W288" i="1"/>
  <c r="V288" i="1"/>
  <c r="Y287" i="1"/>
  <c r="X287" i="1"/>
  <c r="W287" i="1"/>
  <c r="V287" i="1"/>
  <c r="Y286" i="1"/>
  <c r="X286" i="1"/>
  <c r="W286" i="1"/>
  <c r="V286" i="1"/>
  <c r="Y285" i="1"/>
  <c r="X285" i="1"/>
  <c r="W285" i="1"/>
  <c r="V285" i="1"/>
  <c r="Y284" i="1"/>
  <c r="X284" i="1"/>
  <c r="W284" i="1"/>
  <c r="V284" i="1"/>
  <c r="Y283" i="1"/>
  <c r="X283" i="1"/>
  <c r="W283" i="1"/>
  <c r="V283" i="1"/>
  <c r="Y282" i="1"/>
  <c r="X282" i="1"/>
  <c r="W282" i="1"/>
  <c r="V282" i="1"/>
  <c r="Y281" i="1"/>
  <c r="X281" i="1"/>
  <c r="W281" i="1"/>
  <c r="V281" i="1"/>
  <c r="Y280" i="1"/>
  <c r="X280" i="1"/>
  <c r="W280" i="1"/>
  <c r="V280" i="1"/>
  <c r="Y279" i="1"/>
  <c r="X279" i="1"/>
  <c r="W279" i="1"/>
  <c r="V279" i="1"/>
  <c r="Y278" i="1"/>
  <c r="X278" i="1"/>
  <c r="W278" i="1"/>
  <c r="V278" i="1"/>
  <c r="Y277" i="1"/>
  <c r="X277" i="1"/>
  <c r="W277" i="1"/>
  <c r="V277" i="1"/>
  <c r="Y276" i="1"/>
  <c r="X276" i="1"/>
  <c r="W276" i="1"/>
  <c r="V276" i="1"/>
  <c r="Y275" i="1"/>
  <c r="X275" i="1"/>
  <c r="W275" i="1"/>
  <c r="V275" i="1"/>
  <c r="Y274" i="1"/>
  <c r="X274" i="1"/>
  <c r="W274" i="1"/>
  <c r="V274" i="1"/>
  <c r="Y273" i="1"/>
  <c r="X273" i="1"/>
  <c r="W273" i="1"/>
  <c r="V273" i="1"/>
  <c r="Y272" i="1"/>
  <c r="X272" i="1"/>
  <c r="W272" i="1"/>
  <c r="V272" i="1"/>
  <c r="Y271" i="1"/>
  <c r="X271" i="1"/>
  <c r="W271" i="1"/>
  <c r="V271" i="1"/>
  <c r="Y270" i="1"/>
  <c r="X270" i="1"/>
  <c r="W270" i="1"/>
  <c r="V270" i="1"/>
  <c r="Y269" i="1"/>
  <c r="X269" i="1"/>
  <c r="W269" i="1"/>
  <c r="V269" i="1"/>
  <c r="Y268" i="1"/>
  <c r="X268" i="1"/>
  <c r="W268" i="1"/>
  <c r="V268" i="1"/>
  <c r="Y267" i="1"/>
  <c r="X267" i="1"/>
  <c r="W267" i="1"/>
  <c r="V267" i="1"/>
  <c r="Y266" i="1"/>
  <c r="X266" i="1"/>
  <c r="W266" i="1"/>
  <c r="V266" i="1"/>
  <c r="Y265" i="1"/>
  <c r="X265" i="1"/>
  <c r="W265" i="1"/>
  <c r="V265" i="1"/>
  <c r="Y264" i="1"/>
  <c r="X264" i="1"/>
  <c r="W264" i="1"/>
  <c r="V264" i="1"/>
  <c r="Y263" i="1"/>
  <c r="X263" i="1"/>
  <c r="W263" i="1"/>
  <c r="V263" i="1"/>
  <c r="Y262" i="1"/>
  <c r="X262" i="1"/>
  <c r="W262" i="1"/>
  <c r="V262" i="1"/>
  <c r="Y261" i="1"/>
  <c r="X261" i="1"/>
  <c r="W261" i="1"/>
  <c r="V261" i="1"/>
  <c r="Y260" i="1"/>
  <c r="X260" i="1"/>
  <c r="W260" i="1"/>
  <c r="V260" i="1"/>
  <c r="Y259" i="1"/>
  <c r="X259" i="1"/>
  <c r="W259" i="1"/>
  <c r="V259" i="1"/>
  <c r="Y258" i="1"/>
  <c r="X258" i="1"/>
  <c r="W258" i="1"/>
  <c r="V258" i="1"/>
  <c r="Y257" i="1"/>
  <c r="X257" i="1"/>
  <c r="W257" i="1"/>
  <c r="V257" i="1"/>
  <c r="Y256" i="1"/>
  <c r="X256" i="1"/>
  <c r="W256" i="1"/>
  <c r="V256" i="1"/>
  <c r="Y255" i="1"/>
  <c r="X255" i="1"/>
  <c r="W255" i="1"/>
  <c r="V255" i="1"/>
  <c r="Y254" i="1"/>
  <c r="X254" i="1"/>
  <c r="W254" i="1"/>
  <c r="V254" i="1"/>
  <c r="Y253" i="1"/>
  <c r="X253" i="1"/>
  <c r="W253" i="1"/>
  <c r="V253" i="1"/>
  <c r="Y252" i="1"/>
  <c r="X252" i="1"/>
  <c r="W252" i="1"/>
  <c r="V252" i="1"/>
  <c r="Y251" i="1"/>
  <c r="X251" i="1"/>
  <c r="W251" i="1"/>
  <c r="V251" i="1"/>
  <c r="Y250" i="1"/>
  <c r="X250" i="1"/>
  <c r="W250" i="1"/>
  <c r="V250" i="1"/>
  <c r="Y249" i="1"/>
  <c r="X249" i="1"/>
  <c r="W249" i="1"/>
  <c r="V249" i="1"/>
  <c r="Y248" i="1"/>
  <c r="X248" i="1"/>
  <c r="W248" i="1"/>
  <c r="V248" i="1"/>
  <c r="Y247" i="1"/>
  <c r="X247" i="1"/>
  <c r="W247" i="1"/>
  <c r="V247" i="1"/>
  <c r="Y246" i="1"/>
  <c r="X246" i="1"/>
  <c r="W246" i="1"/>
  <c r="V246" i="1"/>
  <c r="Y245" i="1"/>
  <c r="X245" i="1"/>
  <c r="W245" i="1"/>
  <c r="V245" i="1"/>
  <c r="Y244" i="1"/>
  <c r="X244" i="1"/>
  <c r="W244" i="1"/>
  <c r="V244" i="1"/>
  <c r="Y243" i="1"/>
  <c r="X243" i="1"/>
  <c r="W243" i="1"/>
  <c r="V243" i="1"/>
  <c r="Y242" i="1"/>
  <c r="X242" i="1"/>
  <c r="W242" i="1"/>
  <c r="V242" i="1"/>
  <c r="Y241" i="1"/>
  <c r="X241" i="1"/>
  <c r="W241" i="1"/>
  <c r="V241" i="1"/>
  <c r="Y240" i="1"/>
  <c r="X240" i="1"/>
  <c r="W240" i="1"/>
  <c r="V240" i="1"/>
  <c r="Y239" i="1"/>
  <c r="X239" i="1"/>
  <c r="W239" i="1"/>
  <c r="V239" i="1"/>
  <c r="Y238" i="1"/>
  <c r="X238" i="1"/>
  <c r="W238" i="1"/>
  <c r="V238" i="1"/>
  <c r="Y237" i="1"/>
  <c r="X237" i="1"/>
  <c r="W237" i="1"/>
  <c r="V237" i="1"/>
  <c r="Y236" i="1"/>
  <c r="X236" i="1"/>
  <c r="W236" i="1"/>
  <c r="V236" i="1"/>
  <c r="Y235" i="1"/>
  <c r="X235" i="1"/>
  <c r="W235" i="1"/>
  <c r="V235" i="1"/>
  <c r="Y234" i="1"/>
  <c r="X234" i="1"/>
  <c r="W234" i="1"/>
  <c r="V234" i="1"/>
  <c r="Y233" i="1"/>
  <c r="X233" i="1"/>
  <c r="W233" i="1"/>
  <c r="V233" i="1"/>
  <c r="Y232" i="1"/>
  <c r="X232" i="1"/>
  <c r="W232" i="1"/>
  <c r="V232" i="1"/>
  <c r="Y231" i="1"/>
  <c r="X231" i="1"/>
  <c r="W231" i="1"/>
  <c r="V231" i="1"/>
  <c r="Y230" i="1"/>
  <c r="X230" i="1"/>
  <c r="W230" i="1"/>
  <c r="V230" i="1"/>
  <c r="Y229" i="1"/>
  <c r="X229" i="1"/>
  <c r="W229" i="1"/>
  <c r="V229" i="1"/>
  <c r="Y228" i="1"/>
  <c r="X228" i="1"/>
  <c r="W228" i="1"/>
  <c r="V228" i="1"/>
  <c r="Y227" i="1"/>
  <c r="X227" i="1"/>
  <c r="W227" i="1"/>
  <c r="V227" i="1"/>
  <c r="Y226" i="1"/>
  <c r="X226" i="1"/>
  <c r="W226" i="1"/>
  <c r="V226" i="1"/>
  <c r="Y225" i="1"/>
  <c r="X225" i="1"/>
  <c r="W225" i="1"/>
  <c r="V225" i="1"/>
  <c r="Y224" i="1"/>
  <c r="X224" i="1"/>
  <c r="W224" i="1"/>
  <c r="V224" i="1"/>
  <c r="Y223" i="1"/>
  <c r="X223" i="1"/>
  <c r="W223" i="1"/>
  <c r="V223" i="1"/>
  <c r="Y222" i="1"/>
  <c r="X222" i="1"/>
  <c r="W222" i="1"/>
  <c r="V222" i="1"/>
  <c r="Y221" i="1"/>
  <c r="X221" i="1"/>
  <c r="W221" i="1"/>
  <c r="V221" i="1"/>
  <c r="Y220" i="1"/>
  <c r="X220" i="1"/>
  <c r="W220" i="1"/>
  <c r="V220" i="1"/>
  <c r="Y219" i="1"/>
  <c r="X219" i="1"/>
  <c r="W219" i="1"/>
  <c r="V219" i="1"/>
  <c r="Y218" i="1"/>
  <c r="X218" i="1"/>
  <c r="W218" i="1"/>
  <c r="V218" i="1"/>
  <c r="Y217" i="1"/>
  <c r="X217" i="1"/>
  <c r="W217" i="1"/>
  <c r="V217" i="1"/>
  <c r="Y216" i="1"/>
  <c r="X216" i="1"/>
  <c r="W216" i="1"/>
  <c r="V216" i="1"/>
  <c r="Y215" i="1"/>
  <c r="X215" i="1"/>
  <c r="W215" i="1"/>
  <c r="V215" i="1"/>
  <c r="Y214" i="1"/>
  <c r="X214" i="1"/>
  <c r="W214" i="1"/>
  <c r="V214" i="1"/>
  <c r="Y213" i="1"/>
  <c r="X213" i="1"/>
  <c r="W213" i="1"/>
  <c r="V213" i="1"/>
  <c r="Y212" i="1"/>
  <c r="X212" i="1"/>
  <c r="W212" i="1"/>
  <c r="V212" i="1"/>
  <c r="Y211" i="1"/>
  <c r="X211" i="1"/>
  <c r="W211" i="1"/>
  <c r="V211" i="1"/>
  <c r="Y210" i="1"/>
  <c r="X210" i="1"/>
  <c r="W210" i="1"/>
  <c r="V210" i="1"/>
  <c r="Y209" i="1"/>
  <c r="X209" i="1"/>
  <c r="W209" i="1"/>
  <c r="V209" i="1"/>
  <c r="Y208" i="1"/>
  <c r="X208" i="1"/>
  <c r="W208" i="1"/>
  <c r="V208" i="1"/>
  <c r="Y207" i="1"/>
  <c r="X207" i="1"/>
  <c r="W207" i="1"/>
  <c r="V207" i="1"/>
  <c r="Y206" i="1"/>
  <c r="X206" i="1"/>
  <c r="W206" i="1"/>
  <c r="V206" i="1"/>
  <c r="Y205" i="1"/>
  <c r="X205" i="1"/>
  <c r="W205" i="1"/>
  <c r="V205" i="1"/>
  <c r="Y204" i="1"/>
  <c r="X204" i="1"/>
  <c r="W204" i="1"/>
  <c r="V204" i="1"/>
  <c r="Y203" i="1"/>
  <c r="X203" i="1"/>
  <c r="W203" i="1"/>
  <c r="V203" i="1"/>
  <c r="Y202" i="1"/>
  <c r="X202" i="1"/>
  <c r="W202" i="1"/>
  <c r="V202" i="1"/>
  <c r="Y201" i="1"/>
  <c r="X201" i="1"/>
  <c r="W201" i="1"/>
  <c r="V201" i="1"/>
  <c r="Y200" i="1"/>
  <c r="X200" i="1"/>
  <c r="W200" i="1"/>
  <c r="V200" i="1"/>
  <c r="Y199" i="1"/>
  <c r="X199" i="1"/>
  <c r="W199" i="1"/>
  <c r="V199" i="1"/>
  <c r="Y198" i="1"/>
  <c r="X198" i="1"/>
  <c r="W198" i="1"/>
  <c r="V198" i="1"/>
  <c r="Y197" i="1"/>
  <c r="X197" i="1"/>
  <c r="W197" i="1"/>
  <c r="V197" i="1"/>
  <c r="Y196" i="1"/>
  <c r="X196" i="1"/>
  <c r="W196" i="1"/>
  <c r="V196" i="1"/>
  <c r="Y195" i="1"/>
  <c r="X195" i="1"/>
  <c r="W195" i="1"/>
  <c r="V195" i="1"/>
  <c r="Y194" i="1"/>
  <c r="X194" i="1"/>
  <c r="W194" i="1"/>
  <c r="V194" i="1"/>
  <c r="Y192" i="1"/>
  <c r="X192" i="1"/>
  <c r="W192" i="1"/>
  <c r="V192" i="1"/>
  <c r="Y190" i="1"/>
  <c r="X190" i="1"/>
  <c r="W190" i="1"/>
  <c r="V190" i="1"/>
  <c r="Y188" i="1"/>
  <c r="X188" i="1"/>
  <c r="W188" i="1"/>
  <c r="V188" i="1"/>
  <c r="Y186" i="1"/>
  <c r="X186" i="1"/>
  <c r="W186" i="1"/>
  <c r="V186" i="1"/>
  <c r="Y184" i="1"/>
  <c r="X184" i="1"/>
  <c r="W184" i="1"/>
  <c r="V184" i="1"/>
  <c r="Y182" i="1"/>
  <c r="X182" i="1"/>
  <c r="W182" i="1"/>
  <c r="V182" i="1"/>
  <c r="Y180" i="1"/>
  <c r="X180" i="1"/>
  <c r="W180" i="1"/>
  <c r="V180" i="1"/>
  <c r="Y178" i="1"/>
  <c r="X178" i="1"/>
  <c r="W178" i="1"/>
  <c r="V178" i="1"/>
  <c r="Y176" i="1"/>
  <c r="X176" i="1"/>
  <c r="W176" i="1"/>
  <c r="V176" i="1"/>
  <c r="Y174" i="1"/>
  <c r="X174" i="1"/>
  <c r="W174" i="1"/>
  <c r="V174" i="1"/>
  <c r="Y173" i="1"/>
  <c r="X173" i="1"/>
  <c r="W173" i="1"/>
  <c r="V173" i="1"/>
  <c r="Y172" i="1"/>
  <c r="X172" i="1"/>
  <c r="W172" i="1"/>
  <c r="V172" i="1"/>
  <c r="Y171" i="1"/>
  <c r="X171" i="1"/>
  <c r="W171" i="1"/>
  <c r="V171" i="1"/>
  <c r="Y170" i="1"/>
  <c r="X170" i="1"/>
  <c r="W170" i="1"/>
  <c r="V170" i="1"/>
  <c r="Y169" i="1"/>
  <c r="X169" i="1"/>
  <c r="W169" i="1"/>
  <c r="V169" i="1"/>
  <c r="Y168" i="1"/>
  <c r="X168" i="1"/>
  <c r="W168" i="1"/>
  <c r="V168" i="1"/>
  <c r="Y167" i="1"/>
  <c r="X167" i="1"/>
  <c r="W167" i="1"/>
  <c r="V167" i="1"/>
  <c r="Y166" i="1"/>
  <c r="X166" i="1"/>
  <c r="W166" i="1"/>
  <c r="V166" i="1"/>
  <c r="Y165" i="1"/>
  <c r="X165" i="1"/>
  <c r="W165" i="1"/>
  <c r="V165" i="1"/>
  <c r="Y164" i="1"/>
  <c r="X164" i="1"/>
  <c r="W164" i="1"/>
  <c r="V164" i="1"/>
  <c r="Y163" i="1"/>
  <c r="X163" i="1"/>
  <c r="W163" i="1"/>
  <c r="V163" i="1"/>
  <c r="Y162" i="1"/>
  <c r="X162" i="1"/>
  <c r="W162" i="1"/>
  <c r="V162" i="1"/>
  <c r="Y161" i="1"/>
  <c r="X161" i="1"/>
  <c r="W161" i="1"/>
  <c r="V161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Y157" i="1"/>
  <c r="X157" i="1"/>
  <c r="W157" i="1"/>
  <c r="V157" i="1"/>
  <c r="Y156" i="1"/>
  <c r="X156" i="1"/>
  <c r="W156" i="1"/>
  <c r="V156" i="1"/>
  <c r="Y155" i="1"/>
  <c r="X155" i="1"/>
  <c r="W155" i="1"/>
  <c r="V155" i="1"/>
  <c r="Y154" i="1"/>
  <c r="X154" i="1"/>
  <c r="W154" i="1"/>
  <c r="V154" i="1"/>
  <c r="Y153" i="1"/>
  <c r="X153" i="1"/>
  <c r="W153" i="1"/>
  <c r="V153" i="1"/>
  <c r="Y152" i="1"/>
  <c r="X152" i="1"/>
  <c r="W152" i="1"/>
  <c r="V152" i="1"/>
  <c r="Y151" i="1"/>
  <c r="X151" i="1"/>
  <c r="W151" i="1"/>
  <c r="V151" i="1"/>
  <c r="Y149" i="1"/>
  <c r="X149" i="1"/>
  <c r="W149" i="1"/>
  <c r="V149" i="1"/>
  <c r="Y148" i="1"/>
  <c r="X148" i="1"/>
  <c r="W148" i="1"/>
  <c r="V148" i="1"/>
  <c r="Y147" i="1"/>
  <c r="X147" i="1"/>
  <c r="W147" i="1"/>
  <c r="V147" i="1"/>
  <c r="Y146" i="1"/>
  <c r="X146" i="1"/>
  <c r="W146" i="1"/>
  <c r="V146" i="1"/>
  <c r="Y145" i="1"/>
  <c r="X145" i="1"/>
  <c r="W145" i="1"/>
  <c r="V145" i="1"/>
  <c r="Y144" i="1"/>
  <c r="X144" i="1"/>
  <c r="W144" i="1"/>
  <c r="V144" i="1"/>
  <c r="Y143" i="1"/>
  <c r="X143" i="1"/>
  <c r="W143" i="1"/>
  <c r="V143" i="1"/>
  <c r="Y141" i="1"/>
  <c r="X141" i="1"/>
  <c r="W141" i="1"/>
  <c r="V141" i="1"/>
  <c r="Y140" i="1"/>
  <c r="X140" i="1"/>
  <c r="W140" i="1"/>
  <c r="V140" i="1"/>
  <c r="Y139" i="1"/>
  <c r="X139" i="1"/>
  <c r="W139" i="1"/>
  <c r="V139" i="1"/>
  <c r="Y138" i="1"/>
  <c r="X138" i="1"/>
  <c r="W138" i="1"/>
  <c r="V138" i="1"/>
  <c r="Y137" i="1"/>
  <c r="X137" i="1"/>
  <c r="W137" i="1"/>
  <c r="V137" i="1"/>
  <c r="Y136" i="1"/>
  <c r="X136" i="1"/>
  <c r="W136" i="1"/>
  <c r="V136" i="1"/>
  <c r="Y135" i="1"/>
  <c r="X135" i="1"/>
  <c r="W135" i="1"/>
  <c r="V135" i="1"/>
  <c r="Y134" i="1"/>
  <c r="X134" i="1"/>
  <c r="W134" i="1"/>
  <c r="V134" i="1"/>
  <c r="Y133" i="1"/>
  <c r="X133" i="1"/>
  <c r="W133" i="1"/>
  <c r="V133" i="1"/>
  <c r="Y132" i="1"/>
  <c r="X132" i="1"/>
  <c r="W132" i="1"/>
  <c r="V132" i="1"/>
  <c r="Y131" i="1"/>
  <c r="X131" i="1"/>
  <c r="W131" i="1"/>
  <c r="V131" i="1"/>
  <c r="Y130" i="1"/>
  <c r="X130" i="1"/>
  <c r="W130" i="1"/>
  <c r="V130" i="1"/>
  <c r="Y129" i="1"/>
  <c r="X129" i="1"/>
  <c r="W129" i="1"/>
  <c r="V129" i="1"/>
  <c r="Y128" i="1"/>
  <c r="X128" i="1"/>
  <c r="W128" i="1"/>
  <c r="V128" i="1"/>
  <c r="Y127" i="1"/>
  <c r="X127" i="1"/>
  <c r="W127" i="1"/>
  <c r="V127" i="1"/>
  <c r="Y126" i="1"/>
  <c r="X126" i="1"/>
  <c r="W126" i="1"/>
  <c r="V126" i="1"/>
  <c r="Y125" i="1"/>
  <c r="X125" i="1"/>
  <c r="W125" i="1"/>
  <c r="V125" i="1"/>
  <c r="Y124" i="1"/>
  <c r="X124" i="1"/>
  <c r="W124" i="1"/>
  <c r="V124" i="1"/>
  <c r="Y123" i="1"/>
  <c r="X123" i="1"/>
  <c r="W123" i="1"/>
  <c r="V123" i="1"/>
  <c r="Y122" i="1"/>
  <c r="X122" i="1"/>
  <c r="W122" i="1"/>
  <c r="V122" i="1"/>
  <c r="Y121" i="1"/>
  <c r="X121" i="1"/>
  <c r="W121" i="1"/>
  <c r="V121" i="1"/>
  <c r="Y120" i="1"/>
  <c r="X120" i="1"/>
  <c r="W120" i="1"/>
  <c r="V120" i="1"/>
  <c r="Y119" i="1"/>
  <c r="X119" i="1"/>
  <c r="W119" i="1"/>
  <c r="V119" i="1"/>
  <c r="Y118" i="1"/>
  <c r="X118" i="1"/>
  <c r="W118" i="1"/>
  <c r="V118" i="1"/>
  <c r="Y117" i="1"/>
  <c r="X117" i="1"/>
  <c r="W117" i="1"/>
  <c r="V117" i="1"/>
  <c r="Y116" i="1"/>
  <c r="X116" i="1"/>
  <c r="W116" i="1"/>
  <c r="V116" i="1"/>
  <c r="Y115" i="1"/>
  <c r="X115" i="1"/>
  <c r="W115" i="1"/>
  <c r="V115" i="1"/>
  <c r="Y114" i="1"/>
  <c r="X114" i="1"/>
  <c r="W114" i="1"/>
  <c r="V114" i="1"/>
  <c r="Y113" i="1"/>
  <c r="X113" i="1"/>
  <c r="W113" i="1"/>
  <c r="V113" i="1"/>
  <c r="Y112" i="1"/>
  <c r="X112" i="1"/>
  <c r="W112" i="1"/>
  <c r="V112" i="1"/>
  <c r="Y111" i="1"/>
  <c r="X111" i="1"/>
  <c r="W111" i="1"/>
  <c r="V111" i="1"/>
  <c r="Y110" i="1"/>
  <c r="X110" i="1"/>
  <c r="W110" i="1"/>
  <c r="V110" i="1"/>
  <c r="Y109" i="1"/>
  <c r="X109" i="1"/>
  <c r="W109" i="1"/>
  <c r="V109" i="1"/>
  <c r="Y108" i="1"/>
  <c r="X108" i="1"/>
  <c r="W108" i="1"/>
  <c r="V108" i="1"/>
  <c r="Y107" i="1"/>
  <c r="X107" i="1"/>
  <c r="W107" i="1"/>
  <c r="V107" i="1"/>
  <c r="Y106" i="1"/>
  <c r="X106" i="1"/>
  <c r="W106" i="1"/>
  <c r="V106" i="1"/>
  <c r="Y105" i="1"/>
  <c r="X105" i="1"/>
  <c r="W105" i="1"/>
  <c r="V105" i="1"/>
  <c r="Y104" i="1"/>
  <c r="X104" i="1"/>
  <c r="W104" i="1"/>
  <c r="V104" i="1"/>
  <c r="Y103" i="1"/>
  <c r="X103" i="1"/>
  <c r="W103" i="1"/>
  <c r="V103" i="1"/>
  <c r="Y102" i="1"/>
  <c r="X102" i="1"/>
  <c r="W102" i="1"/>
  <c r="V102" i="1"/>
  <c r="Y101" i="1"/>
  <c r="X101" i="1"/>
  <c r="W101" i="1"/>
  <c r="V101" i="1"/>
  <c r="Y100" i="1"/>
  <c r="X100" i="1"/>
  <c r="W100" i="1"/>
  <c r="V100" i="1"/>
  <c r="Y99" i="1"/>
  <c r="X99" i="1"/>
  <c r="W99" i="1"/>
  <c r="V99" i="1"/>
  <c r="Y98" i="1"/>
  <c r="X98" i="1"/>
  <c r="W98" i="1"/>
  <c r="V98" i="1"/>
  <c r="Y97" i="1"/>
  <c r="X97" i="1"/>
  <c r="W97" i="1"/>
  <c r="V97" i="1"/>
  <c r="Y96" i="1"/>
  <c r="X96" i="1"/>
  <c r="W96" i="1"/>
  <c r="V96" i="1"/>
  <c r="Y95" i="1"/>
  <c r="X95" i="1"/>
  <c r="W95" i="1"/>
  <c r="V95" i="1"/>
  <c r="Y94" i="1"/>
  <c r="X94" i="1"/>
  <c r="W94" i="1"/>
  <c r="V94" i="1"/>
  <c r="Y93" i="1"/>
  <c r="X93" i="1"/>
  <c r="W93" i="1"/>
  <c r="V93" i="1"/>
  <c r="Y92" i="1"/>
  <c r="X92" i="1"/>
  <c r="W92" i="1"/>
  <c r="V92" i="1"/>
  <c r="Y91" i="1"/>
  <c r="X91" i="1"/>
  <c r="W91" i="1"/>
  <c r="V91" i="1"/>
  <c r="Y90" i="1"/>
  <c r="X90" i="1"/>
  <c r="W90" i="1"/>
  <c r="V90" i="1"/>
  <c r="Y89" i="1"/>
  <c r="X89" i="1"/>
  <c r="W89" i="1"/>
  <c r="V89" i="1"/>
  <c r="Y88" i="1"/>
  <c r="X88" i="1"/>
  <c r="W88" i="1"/>
  <c r="V88" i="1"/>
  <c r="Y87" i="1"/>
  <c r="X87" i="1"/>
  <c r="W87" i="1"/>
  <c r="V87" i="1"/>
  <c r="Y86" i="1"/>
  <c r="X86" i="1"/>
  <c r="W86" i="1"/>
  <c r="V86" i="1"/>
  <c r="Y85" i="1"/>
  <c r="X85" i="1"/>
  <c r="W85" i="1"/>
  <c r="V85" i="1"/>
  <c r="Y84" i="1"/>
  <c r="X84" i="1"/>
  <c r="W84" i="1"/>
  <c r="V84" i="1"/>
  <c r="Y83" i="1"/>
  <c r="X83" i="1"/>
  <c r="W83" i="1"/>
  <c r="V83" i="1"/>
  <c r="Y82" i="1"/>
  <c r="X82" i="1"/>
  <c r="W82" i="1"/>
  <c r="V82" i="1"/>
  <c r="Y81" i="1"/>
  <c r="X81" i="1"/>
  <c r="W81" i="1"/>
  <c r="V81" i="1"/>
  <c r="Y80" i="1"/>
  <c r="X80" i="1"/>
  <c r="W80" i="1"/>
  <c r="V80" i="1"/>
  <c r="Y79" i="1"/>
  <c r="X79" i="1"/>
  <c r="W79" i="1"/>
  <c r="V79" i="1"/>
  <c r="Y78" i="1"/>
  <c r="X78" i="1"/>
  <c r="W78" i="1"/>
  <c r="V78" i="1"/>
  <c r="Y77" i="1"/>
  <c r="X77" i="1"/>
  <c r="W77" i="1"/>
  <c r="V77" i="1"/>
  <c r="Y76" i="1"/>
  <c r="X76" i="1"/>
  <c r="W76" i="1"/>
  <c r="V76" i="1"/>
  <c r="Y75" i="1"/>
  <c r="X75" i="1"/>
  <c r="W75" i="1"/>
  <c r="V75" i="1"/>
  <c r="Y74" i="1"/>
  <c r="X74" i="1"/>
  <c r="W74" i="1"/>
  <c r="V74" i="1"/>
  <c r="Y73" i="1"/>
  <c r="X73" i="1"/>
  <c r="W73" i="1"/>
  <c r="V73" i="1"/>
  <c r="Y72" i="1"/>
  <c r="X72" i="1"/>
  <c r="W72" i="1"/>
  <c r="V72" i="1"/>
  <c r="Y71" i="1"/>
  <c r="X71" i="1"/>
  <c r="W71" i="1"/>
  <c r="V71" i="1"/>
  <c r="Y70" i="1"/>
  <c r="X70" i="1"/>
  <c r="W70" i="1"/>
  <c r="V70" i="1"/>
  <c r="Y69" i="1"/>
  <c r="X69" i="1"/>
  <c r="W69" i="1"/>
  <c r="V69" i="1"/>
  <c r="Y68" i="1"/>
  <c r="X68" i="1"/>
  <c r="W68" i="1"/>
  <c r="V68" i="1"/>
  <c r="Y67" i="1"/>
  <c r="X67" i="1"/>
  <c r="W67" i="1"/>
  <c r="V67" i="1"/>
  <c r="Y66" i="1"/>
  <c r="X66" i="1"/>
  <c r="W66" i="1"/>
  <c r="V66" i="1"/>
  <c r="Y65" i="1"/>
  <c r="X65" i="1"/>
  <c r="W65" i="1"/>
  <c r="V65" i="1"/>
  <c r="Y64" i="1"/>
  <c r="X64" i="1"/>
  <c r="W64" i="1"/>
  <c r="V64" i="1"/>
  <c r="Y63" i="1"/>
  <c r="X63" i="1"/>
  <c r="W63" i="1"/>
  <c r="V63" i="1"/>
  <c r="Y62" i="1"/>
  <c r="X62" i="1"/>
  <c r="W62" i="1"/>
  <c r="V62" i="1"/>
  <c r="Y61" i="1"/>
  <c r="X61" i="1"/>
  <c r="W61" i="1"/>
  <c r="V61" i="1"/>
  <c r="Y60" i="1"/>
  <c r="X60" i="1"/>
  <c r="W60" i="1"/>
  <c r="V60" i="1"/>
  <c r="Y59" i="1"/>
  <c r="X59" i="1"/>
  <c r="W59" i="1"/>
  <c r="V59" i="1"/>
  <c r="Y58" i="1"/>
  <c r="X58" i="1"/>
  <c r="W58" i="1"/>
  <c r="V58" i="1"/>
  <c r="Y57" i="1"/>
  <c r="X57" i="1"/>
  <c r="W57" i="1"/>
  <c r="V57" i="1"/>
  <c r="Y56" i="1"/>
  <c r="X56" i="1"/>
  <c r="W56" i="1"/>
  <c r="V56" i="1"/>
  <c r="Y55" i="1"/>
  <c r="X55" i="1"/>
  <c r="W55" i="1"/>
  <c r="V55" i="1"/>
  <c r="Y54" i="1"/>
  <c r="X54" i="1"/>
  <c r="W54" i="1"/>
  <c r="V54" i="1"/>
  <c r="Y53" i="1"/>
  <c r="X53" i="1"/>
  <c r="W53" i="1"/>
  <c r="V53" i="1"/>
  <c r="Y52" i="1"/>
  <c r="X52" i="1"/>
  <c r="W52" i="1"/>
  <c r="V52" i="1"/>
  <c r="Y51" i="1"/>
  <c r="X51" i="1"/>
  <c r="W51" i="1"/>
  <c r="V51" i="1"/>
  <c r="Y50" i="1"/>
  <c r="X50" i="1"/>
  <c r="W50" i="1"/>
  <c r="V50" i="1"/>
  <c r="Y49" i="1"/>
  <c r="X49" i="1"/>
  <c r="W49" i="1"/>
  <c r="V49" i="1"/>
  <c r="Y48" i="1"/>
  <c r="X48" i="1"/>
  <c r="W48" i="1"/>
  <c r="V48" i="1"/>
  <c r="Y47" i="1"/>
  <c r="X47" i="1"/>
  <c r="W47" i="1"/>
  <c r="V47" i="1"/>
  <c r="Y46" i="1"/>
  <c r="X46" i="1"/>
  <c r="W46" i="1"/>
  <c r="V46" i="1"/>
  <c r="Y45" i="1"/>
  <c r="X45" i="1"/>
  <c r="W45" i="1"/>
  <c r="V45" i="1"/>
  <c r="Y44" i="1"/>
  <c r="X44" i="1"/>
  <c r="W44" i="1"/>
  <c r="V44" i="1"/>
  <c r="Y43" i="1"/>
  <c r="X43" i="1"/>
  <c r="W43" i="1"/>
  <c r="V43" i="1"/>
  <c r="Y42" i="1"/>
  <c r="X42" i="1"/>
  <c r="W42" i="1"/>
  <c r="V42" i="1"/>
  <c r="Y41" i="1"/>
  <c r="X41" i="1"/>
  <c r="W41" i="1"/>
  <c r="V41" i="1"/>
  <c r="Y40" i="1"/>
  <c r="X40" i="1"/>
  <c r="W40" i="1"/>
  <c r="V40" i="1"/>
  <c r="Y39" i="1"/>
  <c r="X39" i="1"/>
  <c r="W39" i="1"/>
  <c r="V39" i="1"/>
  <c r="Y37" i="1"/>
  <c r="X37" i="1"/>
  <c r="W37" i="1"/>
  <c r="V37" i="1"/>
  <c r="Y36" i="1"/>
  <c r="X36" i="1"/>
  <c r="W36" i="1"/>
  <c r="V36" i="1"/>
  <c r="Y35" i="1"/>
  <c r="X35" i="1"/>
  <c r="W35" i="1"/>
  <c r="V35" i="1"/>
  <c r="Y33" i="1"/>
  <c r="X33" i="1"/>
  <c r="W33" i="1"/>
  <c r="V33" i="1"/>
  <c r="Y32" i="1"/>
  <c r="X32" i="1"/>
  <c r="W32" i="1"/>
  <c r="V32" i="1"/>
  <c r="Y31" i="1"/>
  <c r="X31" i="1"/>
  <c r="W31" i="1"/>
  <c r="V31" i="1"/>
  <c r="Y30" i="1"/>
  <c r="X30" i="1"/>
  <c r="W30" i="1"/>
  <c r="V30" i="1"/>
  <c r="Y29" i="1"/>
  <c r="X29" i="1"/>
  <c r="W29" i="1"/>
  <c r="V29" i="1"/>
  <c r="Y28" i="1"/>
  <c r="X28" i="1"/>
  <c r="W28" i="1"/>
  <c r="V28" i="1"/>
  <c r="Y27" i="1"/>
  <c r="X27" i="1"/>
  <c r="W27" i="1"/>
  <c r="V27" i="1"/>
  <c r="Y26" i="1"/>
  <c r="X26" i="1"/>
  <c r="W26" i="1"/>
  <c r="V26" i="1"/>
  <c r="Y25" i="1"/>
  <c r="X25" i="1"/>
  <c r="W25" i="1"/>
  <c r="V25" i="1"/>
  <c r="Y24" i="1"/>
  <c r="X24" i="1"/>
  <c r="W24" i="1"/>
  <c r="V24" i="1"/>
  <c r="Y23" i="1"/>
  <c r="X23" i="1"/>
  <c r="W23" i="1"/>
  <c r="V23" i="1"/>
  <c r="Y22" i="1"/>
  <c r="X22" i="1"/>
  <c r="W22" i="1"/>
  <c r="V22" i="1"/>
  <c r="Y21" i="1"/>
  <c r="X21" i="1"/>
  <c r="W21" i="1"/>
  <c r="V21" i="1"/>
  <c r="Y20" i="1"/>
  <c r="X20" i="1"/>
  <c r="W20" i="1"/>
  <c r="V20" i="1"/>
  <c r="Y19" i="1"/>
  <c r="X19" i="1"/>
  <c r="W19" i="1"/>
  <c r="V19" i="1"/>
  <c r="Y18" i="1"/>
  <c r="X18" i="1"/>
  <c r="W18" i="1"/>
  <c r="V18" i="1"/>
  <c r="Y17" i="1"/>
  <c r="X17" i="1"/>
  <c r="W17" i="1"/>
  <c r="V17" i="1"/>
  <c r="Y16" i="1"/>
  <c r="X16" i="1"/>
  <c r="W16" i="1"/>
  <c r="V16" i="1"/>
  <c r="Y15" i="1"/>
  <c r="X15" i="1"/>
  <c r="W15" i="1"/>
  <c r="V15" i="1"/>
  <c r="Y14" i="1"/>
  <c r="X14" i="1"/>
  <c r="W14" i="1"/>
  <c r="V14" i="1"/>
  <c r="Y13" i="1"/>
  <c r="X13" i="1"/>
  <c r="W13" i="1"/>
  <c r="V13" i="1"/>
  <c r="W12" i="1"/>
  <c r="X12" i="1"/>
  <c r="Y12" i="1"/>
  <c r="V12" i="1"/>
  <c r="Y11" i="1"/>
  <c r="X11" i="1"/>
  <c r="W11" i="1"/>
  <c r="V11" i="1"/>
  <c r="Y10" i="1"/>
  <c r="X10" i="1"/>
  <c r="W10" i="1"/>
  <c r="V10" i="1"/>
  <c r="Y9" i="1"/>
  <c r="X9" i="1"/>
  <c r="W9" i="1"/>
  <c r="V9" i="1"/>
  <c r="Y8" i="1"/>
  <c r="X8" i="1"/>
  <c r="W8" i="1"/>
  <c r="V8" i="1"/>
  <c r="Y7" i="1"/>
  <c r="X7" i="1"/>
  <c r="W7" i="1"/>
  <c r="V7" i="1"/>
  <c r="Y6" i="1"/>
  <c r="X6" i="1"/>
  <c r="W6" i="1"/>
  <c r="V6" i="1"/>
  <c r="Y5" i="1"/>
  <c r="X5" i="1"/>
  <c r="W5" i="1"/>
  <c r="V5" i="1"/>
  <c r="X4" i="1"/>
  <c r="Y4" i="1"/>
  <c r="W4" i="1"/>
  <c r="V4" i="1"/>
  <c r="J282" i="1" l="1"/>
  <c r="K282" i="1" s="1"/>
  <c r="J279" i="1"/>
  <c r="K279" i="1" s="1"/>
  <c r="J283" i="1"/>
  <c r="K283" i="1" s="1"/>
  <c r="J284" i="1"/>
  <c r="K284" i="1" s="1"/>
  <c r="J286" i="1"/>
  <c r="K286" i="1" s="1"/>
  <c r="J287" i="1"/>
  <c r="K287" i="1" s="1"/>
  <c r="J281" i="1"/>
  <c r="K281" i="1" s="1"/>
  <c r="J278" i="1"/>
  <c r="K278" i="1" s="1"/>
  <c r="J277" i="1"/>
  <c r="K277" i="1" s="1"/>
  <c r="J280" i="1"/>
  <c r="K280" i="1" s="1"/>
  <c r="J275" i="1"/>
  <c r="K275" i="1" s="1"/>
  <c r="J285" i="1"/>
  <c r="K285" i="1" s="1"/>
  <c r="J276" i="1"/>
  <c r="K276" i="1" s="1"/>
  <c r="J274" i="1"/>
  <c r="K274" i="1" s="1"/>
  <c r="I260" i="1"/>
  <c r="H260" i="1"/>
  <c r="I211" i="1"/>
  <c r="H211" i="1"/>
  <c r="I215" i="1"/>
  <c r="H215" i="1"/>
  <c r="I214" i="1"/>
  <c r="H214" i="1"/>
  <c r="I208" i="1"/>
  <c r="H208" i="1"/>
  <c r="I30" i="1"/>
  <c r="H30" i="1"/>
  <c r="I55" i="1"/>
  <c r="H55" i="1"/>
  <c r="I190" i="1"/>
  <c r="H190" i="1"/>
  <c r="I253" i="1"/>
  <c r="H253" i="1"/>
  <c r="I207" i="1"/>
  <c r="H207" i="1"/>
  <c r="I149" i="1"/>
  <c r="H149" i="1"/>
  <c r="I163" i="1"/>
  <c r="H163" i="1"/>
  <c r="I115" i="1"/>
  <c r="H115" i="1"/>
  <c r="I101" i="1"/>
  <c r="H101" i="1"/>
  <c r="I88" i="1"/>
  <c r="H88" i="1"/>
  <c r="I50" i="1"/>
  <c r="H50" i="1"/>
  <c r="I49" i="1"/>
  <c r="H49" i="1"/>
  <c r="I46" i="1"/>
  <c r="H46" i="1"/>
  <c r="I45" i="1"/>
  <c r="H45" i="1"/>
  <c r="I43" i="1"/>
  <c r="H43" i="1"/>
  <c r="I41" i="1"/>
  <c r="H41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25" i="1"/>
  <c r="H225" i="1"/>
  <c r="I224" i="1"/>
  <c r="H224" i="1"/>
  <c r="I289" i="1"/>
  <c r="H289" i="1"/>
  <c r="I288" i="1"/>
  <c r="H288" i="1"/>
  <c r="I263" i="1"/>
  <c r="H263" i="1"/>
  <c r="I262" i="1"/>
  <c r="H262" i="1"/>
  <c r="I261" i="1"/>
  <c r="H261" i="1"/>
  <c r="I259" i="1"/>
  <c r="H259" i="1"/>
  <c r="I258" i="1"/>
  <c r="H258" i="1"/>
  <c r="I255" i="1"/>
  <c r="H255" i="1"/>
  <c r="I248" i="1"/>
  <c r="H248" i="1"/>
  <c r="I246" i="1"/>
  <c r="H246" i="1"/>
  <c r="I245" i="1"/>
  <c r="H245" i="1"/>
  <c r="I244" i="1"/>
  <c r="H244" i="1"/>
  <c r="I243" i="1"/>
  <c r="H243" i="1"/>
  <c r="I242" i="1"/>
  <c r="H242" i="1"/>
  <c r="I241" i="1"/>
  <c r="H241" i="1"/>
  <c r="I240" i="1"/>
  <c r="H240" i="1"/>
  <c r="I223" i="1"/>
  <c r="H223" i="1"/>
  <c r="I206" i="1"/>
  <c r="H206" i="1"/>
  <c r="I236" i="1"/>
  <c r="H236" i="1"/>
  <c r="I64" i="1"/>
  <c r="H64" i="1"/>
  <c r="I35" i="1"/>
  <c r="H35" i="1"/>
  <c r="I196" i="1"/>
  <c r="H196" i="1"/>
  <c r="I51" i="1"/>
  <c r="H51" i="1"/>
  <c r="I249" i="1"/>
  <c r="H249" i="1"/>
  <c r="I48" i="1"/>
  <c r="H48" i="1"/>
  <c r="I44" i="1"/>
  <c r="H44" i="1"/>
  <c r="I220" i="1"/>
  <c r="H220" i="1"/>
  <c r="I162" i="1"/>
  <c r="H162" i="1"/>
  <c r="I97" i="1"/>
  <c r="H97" i="1"/>
  <c r="I171" i="1"/>
  <c r="H171" i="1"/>
  <c r="I116" i="1"/>
  <c r="H116" i="1"/>
  <c r="I188" i="1"/>
  <c r="H188" i="1"/>
  <c r="I170" i="1"/>
  <c r="H170" i="1"/>
  <c r="I219" i="1"/>
  <c r="H219" i="1"/>
  <c r="I52" i="1"/>
  <c r="H52" i="1"/>
  <c r="I47" i="1"/>
  <c r="H47" i="1"/>
  <c r="I264" i="1"/>
  <c r="H264" i="1"/>
  <c r="I114" i="1"/>
  <c r="H114" i="1"/>
  <c r="I154" i="1"/>
  <c r="H154" i="1"/>
  <c r="I131" i="1"/>
  <c r="H131" i="1"/>
  <c r="I24" i="1"/>
  <c r="H24" i="1"/>
  <c r="I8" i="1"/>
  <c r="H8" i="1"/>
  <c r="I178" i="1"/>
  <c r="H178" i="1"/>
  <c r="I218" i="1"/>
  <c r="H218" i="1"/>
  <c r="I290" i="1"/>
  <c r="H290" i="1"/>
  <c r="I158" i="1"/>
  <c r="H158" i="1"/>
  <c r="I42" i="1"/>
  <c r="H42" i="1"/>
  <c r="I201" i="1"/>
  <c r="H201" i="1"/>
  <c r="I216" i="1"/>
  <c r="H216" i="1"/>
  <c r="I198" i="1"/>
  <c r="H198" i="1"/>
  <c r="I18" i="1"/>
  <c r="H18" i="1"/>
  <c r="I265" i="1"/>
  <c r="H265" i="1"/>
  <c r="I210" i="1"/>
  <c r="H210" i="1"/>
  <c r="I165" i="1"/>
  <c r="H165" i="1"/>
  <c r="I251" i="1"/>
  <c r="H251" i="1"/>
  <c r="I177" i="1"/>
  <c r="H177" i="1"/>
  <c r="I65" i="1"/>
  <c r="H65" i="1"/>
  <c r="I123" i="1"/>
  <c r="H123" i="1"/>
  <c r="I95" i="1"/>
  <c r="H95" i="1"/>
  <c r="I152" i="1"/>
  <c r="H152" i="1"/>
  <c r="I85" i="1"/>
  <c r="H85" i="1"/>
  <c r="I112" i="1"/>
  <c r="H112" i="1"/>
  <c r="I221" i="1"/>
  <c r="H221" i="1"/>
  <c r="I136" i="1"/>
  <c r="H136" i="1"/>
  <c r="I200" i="1"/>
  <c r="H200" i="1"/>
  <c r="I212" i="1"/>
  <c r="H212" i="1"/>
  <c r="I53" i="1"/>
  <c r="H53" i="1"/>
  <c r="I15" i="1"/>
  <c r="H15" i="1"/>
  <c r="I26" i="1"/>
  <c r="H26" i="1"/>
  <c r="I168" i="1"/>
  <c r="H168" i="1"/>
  <c r="I103" i="1"/>
  <c r="H103" i="1"/>
  <c r="I87" i="1"/>
  <c r="H87" i="1"/>
  <c r="I269" i="1"/>
  <c r="H269" i="1"/>
  <c r="I9" i="1"/>
  <c r="H9" i="1"/>
  <c r="I189" i="1"/>
  <c r="H189" i="1"/>
  <c r="I205" i="1"/>
  <c r="H205" i="1"/>
  <c r="I127" i="1"/>
  <c r="H127" i="1"/>
  <c r="I40" i="1"/>
  <c r="H40" i="1"/>
  <c r="I104" i="1"/>
  <c r="H104" i="1"/>
  <c r="I137" i="1"/>
  <c r="H137" i="1"/>
  <c r="I80" i="1"/>
  <c r="H80" i="1"/>
  <c r="I199" i="1"/>
  <c r="H199" i="1"/>
  <c r="I234" i="1"/>
  <c r="H234" i="1"/>
  <c r="I174" i="1"/>
  <c r="H174" i="1"/>
  <c r="I38" i="1"/>
  <c r="H38" i="1"/>
  <c r="I169" i="1"/>
  <c r="H169" i="1"/>
  <c r="I74" i="1"/>
  <c r="H74" i="1"/>
  <c r="I142" i="1"/>
  <c r="H142" i="1"/>
  <c r="I157" i="1"/>
  <c r="H157" i="1"/>
  <c r="I268" i="1"/>
  <c r="H268" i="1"/>
  <c r="I222" i="1"/>
  <c r="H222" i="1"/>
  <c r="I32" i="1"/>
  <c r="H32" i="1"/>
  <c r="I179" i="1"/>
  <c r="H179" i="1"/>
  <c r="I23" i="1"/>
  <c r="H23" i="1"/>
  <c r="I192" i="1"/>
  <c r="H192" i="1"/>
  <c r="I186" i="1"/>
  <c r="H186" i="1"/>
  <c r="I254" i="1"/>
  <c r="H254" i="1"/>
  <c r="I252" i="1"/>
  <c r="H252" i="1"/>
  <c r="I11" i="1"/>
  <c r="H11" i="1"/>
  <c r="I39" i="1"/>
  <c r="H39" i="1"/>
  <c r="I217" i="1"/>
  <c r="H217" i="1"/>
  <c r="I191" i="1"/>
  <c r="H191" i="1"/>
  <c r="I84" i="1"/>
  <c r="H84" i="1"/>
  <c r="I83" i="1"/>
  <c r="H83" i="1"/>
  <c r="I213" i="1"/>
  <c r="H213" i="1"/>
  <c r="I28" i="1"/>
  <c r="H28" i="1"/>
  <c r="I29" i="1"/>
  <c r="H29" i="1"/>
  <c r="I140" i="1"/>
  <c r="H140" i="1"/>
  <c r="I273" i="1"/>
  <c r="H273" i="1"/>
  <c r="I156" i="1"/>
  <c r="H156" i="1"/>
  <c r="I98" i="1"/>
  <c r="H98" i="1"/>
  <c r="I184" i="1"/>
  <c r="H184" i="1"/>
  <c r="I209" i="1"/>
  <c r="H209" i="1"/>
  <c r="I60" i="1"/>
  <c r="H60" i="1"/>
  <c r="I150" i="1"/>
  <c r="H150" i="1"/>
  <c r="I194" i="1"/>
  <c r="H194" i="1"/>
  <c r="I76" i="1"/>
  <c r="H76" i="1"/>
  <c r="I119" i="1"/>
  <c r="H119" i="1"/>
  <c r="I117" i="1"/>
  <c r="H117" i="1"/>
  <c r="I86" i="1"/>
  <c r="H86" i="1"/>
  <c r="I25" i="1"/>
  <c r="H25" i="1"/>
  <c r="I204" i="1"/>
  <c r="H204" i="1"/>
  <c r="I141" i="1"/>
  <c r="H141" i="1"/>
  <c r="I135" i="1"/>
  <c r="H135" i="1"/>
  <c r="I144" i="1"/>
  <c r="H144" i="1"/>
  <c r="I146" i="1"/>
  <c r="H146" i="1"/>
  <c r="I69" i="1"/>
  <c r="H69" i="1"/>
  <c r="I94" i="1"/>
  <c r="H94" i="1"/>
  <c r="I128" i="1"/>
  <c r="H128" i="1"/>
  <c r="I82" i="1"/>
  <c r="H82" i="1"/>
  <c r="I54" i="1"/>
  <c r="H54" i="1"/>
  <c r="I147" i="1"/>
  <c r="H147" i="1"/>
  <c r="I167" i="1"/>
  <c r="H167" i="1"/>
  <c r="I125" i="1"/>
  <c r="H125" i="1"/>
  <c r="I247" i="1"/>
  <c r="H247" i="1"/>
  <c r="I110" i="1"/>
  <c r="H110" i="1"/>
  <c r="I193" i="1"/>
  <c r="H193" i="1"/>
  <c r="I151" i="1"/>
  <c r="H151" i="1"/>
  <c r="I138" i="1"/>
  <c r="H138" i="1"/>
  <c r="I107" i="1"/>
  <c r="H107" i="1"/>
  <c r="I145" i="1"/>
  <c r="H145" i="1"/>
  <c r="I175" i="1"/>
  <c r="H175" i="1"/>
  <c r="I197" i="1"/>
  <c r="H197" i="1"/>
  <c r="I105" i="1"/>
  <c r="H105" i="1"/>
  <c r="I14" i="1"/>
  <c r="H14" i="1"/>
  <c r="I20" i="1"/>
  <c r="H20" i="1"/>
  <c r="I271" i="1"/>
  <c r="H271" i="1"/>
  <c r="I70" i="1"/>
  <c r="H70" i="1"/>
  <c r="I143" i="1"/>
  <c r="H143" i="1"/>
  <c r="I63" i="1"/>
  <c r="H63" i="1"/>
  <c r="I185" i="1"/>
  <c r="H185" i="1"/>
  <c r="I237" i="1"/>
  <c r="H237" i="1"/>
  <c r="I159" i="1"/>
  <c r="H159" i="1"/>
  <c r="I34" i="1"/>
  <c r="H34" i="1"/>
  <c r="I126" i="1"/>
  <c r="H126" i="1"/>
  <c r="I72" i="1"/>
  <c r="H72" i="1"/>
  <c r="I59" i="1"/>
  <c r="H59" i="1"/>
  <c r="I37" i="1"/>
  <c r="H37" i="1"/>
  <c r="I13" i="1"/>
  <c r="H13" i="1"/>
  <c r="I153" i="1"/>
  <c r="H153" i="1"/>
  <c r="I183" i="1"/>
  <c r="H183" i="1"/>
  <c r="I71" i="1"/>
  <c r="H71" i="1"/>
  <c r="I272" i="1"/>
  <c r="H272" i="1"/>
  <c r="I113" i="1"/>
  <c r="H113" i="1"/>
  <c r="I118" i="1"/>
  <c r="H118" i="1"/>
  <c r="I100" i="1"/>
  <c r="H100" i="1"/>
  <c r="I75" i="1"/>
  <c r="H75" i="1"/>
  <c r="I6" i="1"/>
  <c r="H6" i="1"/>
  <c r="I203" i="1"/>
  <c r="H203" i="1"/>
  <c r="I33" i="1"/>
  <c r="H33" i="1"/>
  <c r="I31" i="1"/>
  <c r="H31" i="1"/>
  <c r="I90" i="1"/>
  <c r="H90" i="1"/>
  <c r="I270" i="1"/>
  <c r="H270" i="1"/>
  <c r="I96" i="1"/>
  <c r="H96" i="1"/>
  <c r="I176" i="1"/>
  <c r="H176" i="1"/>
  <c r="I266" i="1"/>
  <c r="H266" i="1"/>
  <c r="I267" i="1"/>
  <c r="H267" i="1"/>
  <c r="I239" i="1"/>
  <c r="H239" i="1"/>
  <c r="I132" i="1"/>
  <c r="H132" i="1"/>
  <c r="I109" i="1"/>
  <c r="H109" i="1"/>
  <c r="I232" i="1"/>
  <c r="H232" i="1"/>
  <c r="I161" i="1"/>
  <c r="H161" i="1"/>
  <c r="I58" i="1"/>
  <c r="H58" i="1"/>
  <c r="I124" i="1"/>
  <c r="H124" i="1"/>
  <c r="I164" i="1"/>
  <c r="H164" i="1"/>
  <c r="I17" i="1"/>
  <c r="H17" i="1"/>
  <c r="I91" i="1"/>
  <c r="H91" i="1"/>
  <c r="I250" i="1"/>
  <c r="H250" i="1"/>
  <c r="I202" i="1"/>
  <c r="H202" i="1"/>
  <c r="I166" i="1"/>
  <c r="H166" i="1"/>
  <c r="I108" i="1"/>
  <c r="H108" i="1"/>
  <c r="I106" i="1"/>
  <c r="H106" i="1"/>
  <c r="I111" i="1"/>
  <c r="H111" i="1"/>
  <c r="I121" i="1"/>
  <c r="H121" i="1"/>
  <c r="I21" i="1"/>
  <c r="H21" i="1"/>
  <c r="I22" i="1"/>
  <c r="H22" i="1"/>
  <c r="I195" i="1"/>
  <c r="H195" i="1"/>
  <c r="I89" i="1"/>
  <c r="H89" i="1"/>
  <c r="I92" i="1"/>
  <c r="H92" i="1"/>
  <c r="I130" i="1"/>
  <c r="H130" i="1"/>
  <c r="I62" i="1"/>
  <c r="H62" i="1"/>
  <c r="I81" i="1"/>
  <c r="H81" i="1"/>
  <c r="I5" i="1"/>
  <c r="H5" i="1"/>
  <c r="I4" i="1"/>
  <c r="H4" i="1"/>
  <c r="I122" i="1"/>
  <c r="H122" i="1"/>
  <c r="I19" i="1"/>
  <c r="H19" i="1"/>
  <c r="I235" i="1"/>
  <c r="H235" i="1"/>
  <c r="I155" i="1"/>
  <c r="H155" i="1"/>
  <c r="I16" i="1"/>
  <c r="H16" i="1"/>
  <c r="I187" i="1"/>
  <c r="H187" i="1"/>
  <c r="I7" i="1"/>
  <c r="H7" i="1"/>
  <c r="I27" i="1"/>
  <c r="H27" i="1"/>
  <c r="I36" i="1"/>
  <c r="H36" i="1"/>
  <c r="I12" i="1"/>
  <c r="H12" i="1"/>
  <c r="I180" i="1"/>
  <c r="H180" i="1"/>
  <c r="I93" i="1"/>
  <c r="H93" i="1"/>
  <c r="I133" i="1"/>
  <c r="H133" i="1"/>
  <c r="I181" i="1"/>
  <c r="H181" i="1"/>
  <c r="I61" i="1"/>
  <c r="H61" i="1"/>
  <c r="I102" i="1"/>
  <c r="H102" i="1"/>
  <c r="I134" i="1"/>
  <c r="H134" i="1"/>
  <c r="I56" i="1"/>
  <c r="H56" i="1"/>
  <c r="I182" i="1"/>
  <c r="H182" i="1"/>
  <c r="I66" i="1"/>
  <c r="H66" i="1"/>
  <c r="I73" i="1"/>
  <c r="H73" i="1"/>
  <c r="I67" i="1"/>
  <c r="H67" i="1"/>
  <c r="I57" i="1"/>
  <c r="H57" i="1"/>
  <c r="I10" i="1"/>
  <c r="H10" i="1"/>
  <c r="I257" i="1"/>
  <c r="H257" i="1"/>
  <c r="I129" i="1"/>
  <c r="H129" i="1"/>
  <c r="I68" i="1"/>
  <c r="H68" i="1"/>
  <c r="I160" i="1"/>
  <c r="H160" i="1"/>
  <c r="I99" i="1"/>
  <c r="H99" i="1"/>
  <c r="I78" i="1"/>
  <c r="H78" i="1"/>
  <c r="I79" i="1"/>
  <c r="H79" i="1"/>
  <c r="I256" i="1"/>
  <c r="H256" i="1"/>
  <c r="I77" i="1"/>
  <c r="H77" i="1"/>
  <c r="I148" i="1"/>
  <c r="H148" i="1"/>
  <c r="I233" i="1"/>
  <c r="H233" i="1"/>
  <c r="I238" i="1"/>
  <c r="H238" i="1"/>
  <c r="I120" i="1"/>
  <c r="H120" i="1"/>
  <c r="I139" i="1"/>
  <c r="H139" i="1"/>
  <c r="I173" i="1"/>
  <c r="H173" i="1"/>
  <c r="I172" i="1"/>
  <c r="H172" i="1"/>
  <c r="J120" i="1" l="1"/>
  <c r="K120" i="1" s="1"/>
  <c r="J68" i="1"/>
  <c r="K68" i="1" s="1"/>
  <c r="J182" i="1"/>
  <c r="K182" i="1" s="1"/>
  <c r="J61" i="1"/>
  <c r="K61" i="1" s="1"/>
  <c r="J7" i="1"/>
  <c r="K7" i="1" s="1"/>
  <c r="J235" i="1"/>
  <c r="K235" i="1" s="1"/>
  <c r="J5" i="1"/>
  <c r="K5" i="1" s="1"/>
  <c r="J21" i="1"/>
  <c r="K21" i="1" s="1"/>
  <c r="J250" i="1"/>
  <c r="K250" i="1" s="1"/>
  <c r="J96" i="1"/>
  <c r="K96" i="1" s="1"/>
  <c r="J33" i="1"/>
  <c r="K33" i="1" s="1"/>
  <c r="J100" i="1"/>
  <c r="K100" i="1" s="1"/>
  <c r="J71" i="1"/>
  <c r="K71" i="1" s="1"/>
  <c r="J37" i="1"/>
  <c r="K37" i="1" s="1"/>
  <c r="J34" i="1"/>
  <c r="K34" i="1" s="1"/>
  <c r="J63" i="1"/>
  <c r="K63" i="1" s="1"/>
  <c r="J271" i="1"/>
  <c r="K271" i="1" s="1"/>
  <c r="J197" i="1"/>
  <c r="K197" i="1" s="1"/>
  <c r="J138" i="1"/>
  <c r="K138" i="1" s="1"/>
  <c r="J247" i="1"/>
  <c r="K247" i="1" s="1"/>
  <c r="J54" i="1"/>
  <c r="K54" i="1" s="1"/>
  <c r="J117" i="1"/>
  <c r="K117" i="1" s="1"/>
  <c r="J98" i="1"/>
  <c r="K98" i="1" s="1"/>
  <c r="J84" i="1"/>
  <c r="K84" i="1" s="1"/>
  <c r="J186" i="1"/>
  <c r="K186" i="1" s="1"/>
  <c r="J142" i="1"/>
  <c r="K142" i="1" s="1"/>
  <c r="J80" i="1"/>
  <c r="K80" i="1" s="1"/>
  <c r="J127" i="1"/>
  <c r="K127" i="1" s="1"/>
  <c r="J269" i="1"/>
  <c r="K269" i="1" s="1"/>
  <c r="J26" i="1"/>
  <c r="K26" i="1" s="1"/>
  <c r="J200" i="1"/>
  <c r="K200" i="1" s="1"/>
  <c r="J85" i="1"/>
  <c r="K85" i="1" s="1"/>
  <c r="J65" i="1"/>
  <c r="K65" i="1" s="1"/>
  <c r="J210" i="1"/>
  <c r="K210" i="1" s="1"/>
  <c r="J216" i="1"/>
  <c r="K216" i="1" s="1"/>
  <c r="J290" i="1"/>
  <c r="K290" i="1" s="1"/>
  <c r="J24" i="1"/>
  <c r="K24" i="1" s="1"/>
  <c r="J264" i="1"/>
  <c r="K264" i="1" s="1"/>
  <c r="J170" i="1"/>
  <c r="K170" i="1" s="1"/>
  <c r="J233" i="1"/>
  <c r="K233" i="1" s="1"/>
  <c r="J134" i="1"/>
  <c r="K134" i="1" s="1"/>
  <c r="J133" i="1"/>
  <c r="K133" i="1" s="1"/>
  <c r="J122" i="1"/>
  <c r="K122" i="1" s="1"/>
  <c r="J62" i="1"/>
  <c r="K62" i="1" s="1"/>
  <c r="J17" i="1"/>
  <c r="K17" i="1" s="1"/>
  <c r="J266" i="1"/>
  <c r="K266" i="1" s="1"/>
  <c r="J90" i="1"/>
  <c r="K90" i="1" s="1"/>
  <c r="J144" i="1"/>
  <c r="K144" i="1" s="1"/>
  <c r="J25" i="1"/>
  <c r="K25" i="1" s="1"/>
  <c r="J76" i="1"/>
  <c r="K76" i="1" s="1"/>
  <c r="J273" i="1"/>
  <c r="K273" i="1" s="1"/>
  <c r="J217" i="1"/>
  <c r="K217" i="1" s="1"/>
  <c r="J23" i="1"/>
  <c r="K23" i="1" s="1"/>
  <c r="J268" i="1"/>
  <c r="K268" i="1" s="1"/>
  <c r="J169" i="1"/>
  <c r="K169" i="1" s="1"/>
  <c r="J160" i="1"/>
  <c r="K160" i="1" s="1"/>
  <c r="J4" i="1"/>
  <c r="K4" i="1" s="1"/>
  <c r="J106" i="1"/>
  <c r="K106" i="1" s="1"/>
  <c r="J202" i="1"/>
  <c r="K202" i="1" s="1"/>
  <c r="J239" i="1"/>
  <c r="K239" i="1" s="1"/>
  <c r="J176" i="1"/>
  <c r="K176" i="1" s="1"/>
  <c r="J31" i="1"/>
  <c r="K31" i="1" s="1"/>
  <c r="J75" i="1"/>
  <c r="K75" i="1" s="1"/>
  <c r="J272" i="1"/>
  <c r="K272" i="1" s="1"/>
  <c r="J13" i="1"/>
  <c r="K13" i="1" s="1"/>
  <c r="J126" i="1"/>
  <c r="K126" i="1" s="1"/>
  <c r="J185" i="1"/>
  <c r="K185" i="1" s="1"/>
  <c r="J70" i="1"/>
  <c r="K70" i="1" s="1"/>
  <c r="J105" i="1"/>
  <c r="K105" i="1" s="1"/>
  <c r="J107" i="1"/>
  <c r="K107" i="1" s="1"/>
  <c r="J110" i="1"/>
  <c r="K110" i="1" s="1"/>
  <c r="J147" i="1"/>
  <c r="K147" i="1" s="1"/>
  <c r="J94" i="1"/>
  <c r="K94" i="1" s="1"/>
  <c r="J135" i="1"/>
  <c r="K135" i="1" s="1"/>
  <c r="J86" i="1"/>
  <c r="K86" i="1" s="1"/>
  <c r="J194" i="1"/>
  <c r="K194" i="1" s="1"/>
  <c r="J184" i="1"/>
  <c r="K184" i="1" s="1"/>
  <c r="J140" i="1"/>
  <c r="K140" i="1" s="1"/>
  <c r="J83" i="1"/>
  <c r="K83" i="1" s="1"/>
  <c r="J39" i="1"/>
  <c r="K39" i="1" s="1"/>
  <c r="J179" i="1"/>
  <c r="K179" i="1" s="1"/>
  <c r="J157" i="1"/>
  <c r="K157" i="1" s="1"/>
  <c r="J38" i="1"/>
  <c r="K38" i="1" s="1"/>
  <c r="J199" i="1"/>
  <c r="K199" i="1" s="1"/>
  <c r="J40" i="1"/>
  <c r="K40" i="1" s="1"/>
  <c r="J9" i="1"/>
  <c r="K9" i="1" s="1"/>
  <c r="J168" i="1"/>
  <c r="K168" i="1" s="1"/>
  <c r="J212" i="1"/>
  <c r="K212" i="1" s="1"/>
  <c r="J112" i="1"/>
  <c r="K112" i="1" s="1"/>
  <c r="J123" i="1"/>
  <c r="K123" i="1" s="1"/>
  <c r="J165" i="1"/>
  <c r="K165" i="1" s="1"/>
  <c r="J198" i="1"/>
  <c r="K198" i="1" s="1"/>
  <c r="J158" i="1"/>
  <c r="K158" i="1" s="1"/>
  <c r="J8" i="1"/>
  <c r="K8" i="1" s="1"/>
  <c r="J114" i="1"/>
  <c r="K114" i="1" s="1"/>
  <c r="J219" i="1"/>
  <c r="K219" i="1" s="1"/>
  <c r="J171" i="1"/>
  <c r="K171" i="1" s="1"/>
  <c r="J44" i="1"/>
  <c r="K44" i="1" s="1"/>
  <c r="J196" i="1"/>
  <c r="K196" i="1" s="1"/>
  <c r="J206" i="1"/>
  <c r="K206" i="1" s="1"/>
  <c r="J241" i="1"/>
  <c r="K241" i="1" s="1"/>
  <c r="J243" i="1"/>
  <c r="K243" i="1" s="1"/>
  <c r="J245" i="1"/>
  <c r="K245" i="1" s="1"/>
  <c r="J248" i="1"/>
  <c r="K248" i="1" s="1"/>
  <c r="J258" i="1"/>
  <c r="K258" i="1" s="1"/>
  <c r="J262" i="1"/>
  <c r="K262" i="1" s="1"/>
  <c r="J224" i="1"/>
  <c r="K224" i="1" s="1"/>
  <c r="J228" i="1"/>
  <c r="K228" i="1" s="1"/>
  <c r="J41" i="1"/>
  <c r="K41" i="1" s="1"/>
  <c r="J49" i="1"/>
  <c r="K49" i="1" s="1"/>
  <c r="J115" i="1"/>
  <c r="K115" i="1" s="1"/>
  <c r="J253" i="1"/>
  <c r="K253" i="1" s="1"/>
  <c r="J208" i="1"/>
  <c r="K208" i="1" s="1"/>
  <c r="J260" i="1"/>
  <c r="K260" i="1" s="1"/>
  <c r="J67" i="1"/>
  <c r="K67" i="1" s="1"/>
  <c r="J56" i="1"/>
  <c r="K56" i="1" s="1"/>
  <c r="J12" i="1"/>
  <c r="K12" i="1" s="1"/>
  <c r="J187" i="1"/>
  <c r="K187" i="1" s="1"/>
  <c r="J19" i="1"/>
  <c r="K19" i="1" s="1"/>
  <c r="J89" i="1"/>
  <c r="K89" i="1" s="1"/>
  <c r="J121" i="1"/>
  <c r="K121" i="1" s="1"/>
  <c r="J166" i="1"/>
  <c r="K166" i="1" s="1"/>
  <c r="J58" i="1"/>
  <c r="K58" i="1" s="1"/>
  <c r="J267" i="1"/>
  <c r="K267" i="1" s="1"/>
  <c r="J270" i="1"/>
  <c r="K270" i="1" s="1"/>
  <c r="J203" i="1"/>
  <c r="K203" i="1" s="1"/>
  <c r="J118" i="1"/>
  <c r="K118" i="1" s="1"/>
  <c r="J183" i="1"/>
  <c r="K183" i="1" s="1"/>
  <c r="J59" i="1"/>
  <c r="K59" i="1" s="1"/>
  <c r="J159" i="1"/>
  <c r="K159" i="1" s="1"/>
  <c r="J143" i="1"/>
  <c r="K143" i="1" s="1"/>
  <c r="J20" i="1"/>
  <c r="K20" i="1" s="1"/>
  <c r="J175" i="1"/>
  <c r="K175" i="1" s="1"/>
  <c r="J151" i="1"/>
  <c r="K151" i="1" s="1"/>
  <c r="J125" i="1"/>
  <c r="K125" i="1" s="1"/>
  <c r="J82" i="1"/>
  <c r="K82" i="1" s="1"/>
  <c r="J172" i="1"/>
  <c r="K172" i="1" s="1"/>
  <c r="J238" i="1"/>
  <c r="K238" i="1" s="1"/>
  <c r="J173" i="1"/>
  <c r="K173" i="1" s="1"/>
  <c r="J10" i="1"/>
  <c r="K10" i="1" s="1"/>
  <c r="J148" i="1"/>
  <c r="K148" i="1" s="1"/>
  <c r="J102" i="1"/>
  <c r="K102" i="1" s="1"/>
  <c r="J155" i="1"/>
  <c r="K155" i="1" s="1"/>
  <c r="J139" i="1"/>
  <c r="K139" i="1" s="1"/>
  <c r="J256" i="1"/>
  <c r="K256" i="1" s="1"/>
  <c r="J257" i="1"/>
  <c r="K257" i="1" s="1"/>
  <c r="J146" i="1"/>
  <c r="K146" i="1" s="1"/>
  <c r="J6" i="1"/>
  <c r="K6" i="1" s="1"/>
  <c r="J113" i="1"/>
  <c r="K113" i="1" s="1"/>
  <c r="J153" i="1"/>
  <c r="K153" i="1" s="1"/>
  <c r="J72" i="1"/>
  <c r="K72" i="1" s="1"/>
  <c r="J237" i="1"/>
  <c r="K237" i="1" s="1"/>
  <c r="J14" i="1"/>
  <c r="K14" i="1" s="1"/>
  <c r="J145" i="1"/>
  <c r="K145" i="1" s="1"/>
  <c r="J193" i="1"/>
  <c r="K193" i="1" s="1"/>
  <c r="J167" i="1"/>
  <c r="K167" i="1" s="1"/>
  <c r="J128" i="1"/>
  <c r="K128" i="1" s="1"/>
  <c r="J204" i="1"/>
  <c r="K204" i="1" s="1"/>
  <c r="J119" i="1"/>
  <c r="K119" i="1" s="1"/>
  <c r="J60" i="1"/>
  <c r="K60" i="1" s="1"/>
  <c r="J156" i="1"/>
  <c r="K156" i="1" s="1"/>
  <c r="J28" i="1"/>
  <c r="K28" i="1" s="1"/>
  <c r="J191" i="1"/>
  <c r="K191" i="1" s="1"/>
  <c r="J252" i="1"/>
  <c r="K252" i="1" s="1"/>
  <c r="J192" i="1"/>
  <c r="K192" i="1" s="1"/>
  <c r="J222" i="1"/>
  <c r="K222" i="1" s="1"/>
  <c r="J74" i="1"/>
  <c r="K74" i="1" s="1"/>
  <c r="J234" i="1"/>
  <c r="K234" i="1" s="1"/>
  <c r="J137" i="1"/>
  <c r="K137" i="1" s="1"/>
  <c r="J205" i="1"/>
  <c r="K205" i="1" s="1"/>
  <c r="J87" i="1"/>
  <c r="K87" i="1" s="1"/>
  <c r="J15" i="1"/>
  <c r="K15" i="1" s="1"/>
  <c r="J136" i="1"/>
  <c r="K136" i="1" s="1"/>
  <c r="J152" i="1"/>
  <c r="K152" i="1" s="1"/>
  <c r="J177" i="1"/>
  <c r="K177" i="1" s="1"/>
  <c r="J265" i="1"/>
  <c r="K265" i="1" s="1"/>
  <c r="J201" i="1"/>
  <c r="K201" i="1" s="1"/>
  <c r="J218" i="1"/>
  <c r="K218" i="1" s="1"/>
  <c r="J131" i="1"/>
  <c r="K131" i="1" s="1"/>
  <c r="J47" i="1"/>
  <c r="K47" i="1" s="1"/>
  <c r="J188" i="1"/>
  <c r="K188" i="1" s="1"/>
  <c r="J162" i="1"/>
  <c r="K162" i="1" s="1"/>
  <c r="J249" i="1"/>
  <c r="K249" i="1" s="1"/>
  <c r="J64" i="1"/>
  <c r="K64" i="1" s="1"/>
  <c r="J240" i="1"/>
  <c r="K240" i="1" s="1"/>
  <c r="J242" i="1"/>
  <c r="K242" i="1" s="1"/>
  <c r="J244" i="1"/>
  <c r="K244" i="1" s="1"/>
  <c r="J246" i="1"/>
  <c r="K246" i="1" s="1"/>
  <c r="J255" i="1"/>
  <c r="K255" i="1" s="1"/>
  <c r="J259" i="1"/>
  <c r="K259" i="1" s="1"/>
  <c r="J288" i="1"/>
  <c r="K288" i="1" s="1"/>
  <c r="J226" i="1"/>
  <c r="K226" i="1" s="1"/>
  <c r="J230" i="1"/>
  <c r="K230" i="1" s="1"/>
  <c r="J45" i="1"/>
  <c r="K45" i="1" s="1"/>
  <c r="J88" i="1"/>
  <c r="K88" i="1" s="1"/>
  <c r="J149" i="1"/>
  <c r="K149" i="1" s="1"/>
  <c r="J55" i="1"/>
  <c r="K55" i="1" s="1"/>
  <c r="J215" i="1"/>
  <c r="K215" i="1" s="1"/>
  <c r="J78" i="1"/>
  <c r="K78" i="1" s="1"/>
  <c r="J77" i="1"/>
  <c r="K77" i="1" s="1"/>
  <c r="J99" i="1"/>
  <c r="K99" i="1" s="1"/>
  <c r="J129" i="1"/>
  <c r="K129" i="1" s="1"/>
  <c r="J97" i="1"/>
  <c r="K97" i="1" s="1"/>
  <c r="J48" i="1"/>
  <c r="K48" i="1" s="1"/>
  <c r="J35" i="1"/>
  <c r="K35" i="1" s="1"/>
  <c r="J223" i="1"/>
  <c r="K223" i="1" s="1"/>
  <c r="J263" i="1"/>
  <c r="K263" i="1" s="1"/>
  <c r="J225" i="1"/>
  <c r="K225" i="1" s="1"/>
  <c r="J229" i="1"/>
  <c r="K229" i="1" s="1"/>
  <c r="J43" i="1"/>
  <c r="K43" i="1" s="1"/>
  <c r="J50" i="1"/>
  <c r="K50" i="1" s="1"/>
  <c r="J163" i="1"/>
  <c r="K163" i="1" s="1"/>
  <c r="J190" i="1"/>
  <c r="K190" i="1" s="1"/>
  <c r="J214" i="1"/>
  <c r="K214" i="1" s="1"/>
  <c r="J108" i="1"/>
  <c r="K108" i="1" s="1"/>
  <c r="J109" i="1"/>
  <c r="K109" i="1" s="1"/>
  <c r="J79" i="1"/>
  <c r="K79" i="1" s="1"/>
  <c r="J73" i="1"/>
  <c r="K73" i="1" s="1"/>
  <c r="J93" i="1"/>
  <c r="K93" i="1" s="1"/>
  <c r="J36" i="1"/>
  <c r="K36" i="1" s="1"/>
  <c r="J130" i="1"/>
  <c r="K130" i="1" s="1"/>
  <c r="J195" i="1"/>
  <c r="K195" i="1" s="1"/>
  <c r="J164" i="1"/>
  <c r="K164" i="1" s="1"/>
  <c r="J161" i="1"/>
  <c r="K161" i="1" s="1"/>
  <c r="J57" i="1"/>
  <c r="K57" i="1" s="1"/>
  <c r="J27" i="1"/>
  <c r="K27" i="1" s="1"/>
  <c r="J16" i="1"/>
  <c r="K16" i="1" s="1"/>
  <c r="J22" i="1"/>
  <c r="K22" i="1" s="1"/>
  <c r="J111" i="1"/>
  <c r="K111" i="1" s="1"/>
  <c r="J232" i="1"/>
  <c r="K232" i="1" s="1"/>
  <c r="J132" i="1"/>
  <c r="K132" i="1" s="1"/>
  <c r="J213" i="1"/>
  <c r="K213" i="1" s="1"/>
  <c r="J66" i="1"/>
  <c r="K66" i="1" s="1"/>
  <c r="J181" i="1"/>
  <c r="K181" i="1" s="1"/>
  <c r="J180" i="1"/>
  <c r="K180" i="1" s="1"/>
  <c r="J81" i="1"/>
  <c r="K81" i="1" s="1"/>
  <c r="J92" i="1"/>
  <c r="K92" i="1" s="1"/>
  <c r="J91" i="1"/>
  <c r="K91" i="1" s="1"/>
  <c r="J124" i="1"/>
  <c r="K124" i="1" s="1"/>
  <c r="J141" i="1"/>
  <c r="K141" i="1" s="1"/>
  <c r="J29" i="1"/>
  <c r="K29" i="1" s="1"/>
  <c r="J32" i="1"/>
  <c r="K32" i="1" s="1"/>
  <c r="J209" i="1"/>
  <c r="K209" i="1" s="1"/>
  <c r="J254" i="1"/>
  <c r="K254" i="1" s="1"/>
  <c r="J104" i="1"/>
  <c r="K104" i="1" s="1"/>
  <c r="J189" i="1"/>
  <c r="K189" i="1" s="1"/>
  <c r="J103" i="1"/>
  <c r="K103" i="1" s="1"/>
  <c r="J53" i="1"/>
  <c r="K53" i="1" s="1"/>
  <c r="J221" i="1"/>
  <c r="K221" i="1" s="1"/>
  <c r="J95" i="1"/>
  <c r="K95" i="1" s="1"/>
  <c r="J251" i="1"/>
  <c r="K251" i="1" s="1"/>
  <c r="J18" i="1"/>
  <c r="K18" i="1" s="1"/>
  <c r="J42" i="1"/>
  <c r="K42" i="1" s="1"/>
  <c r="J178" i="1"/>
  <c r="K178" i="1" s="1"/>
  <c r="J154" i="1"/>
  <c r="K154" i="1" s="1"/>
  <c r="J52" i="1"/>
  <c r="K52" i="1" s="1"/>
  <c r="J116" i="1"/>
  <c r="K116" i="1" s="1"/>
  <c r="J220" i="1"/>
  <c r="K220" i="1" s="1"/>
  <c r="J51" i="1"/>
  <c r="K51" i="1" s="1"/>
  <c r="J236" i="1"/>
  <c r="K236" i="1" s="1"/>
  <c r="J261" i="1"/>
  <c r="K261" i="1" s="1"/>
  <c r="J289" i="1"/>
  <c r="K289" i="1" s="1"/>
  <c r="J227" i="1"/>
  <c r="K227" i="1" s="1"/>
  <c r="J231" i="1"/>
  <c r="K231" i="1" s="1"/>
  <c r="J46" i="1"/>
  <c r="K46" i="1" s="1"/>
  <c r="J101" i="1"/>
  <c r="K101" i="1" s="1"/>
  <c r="J207" i="1"/>
  <c r="K207" i="1" s="1"/>
  <c r="J30" i="1"/>
  <c r="K30" i="1" s="1"/>
  <c r="J211" i="1"/>
  <c r="K211" i="1" s="1"/>
  <c r="J69" i="1"/>
  <c r="K69" i="1" s="1"/>
  <c r="J150" i="1"/>
  <c r="K150" i="1" s="1"/>
  <c r="J11" i="1"/>
  <c r="K11" i="1" s="1"/>
  <c r="J174" i="1"/>
  <c r="K17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27B2DD-4C5C-4AD6-BD24-6E9C2B049671}" keepAlive="1" name="Query - Actuals data" description="Connection to the 'Actuals data' query in the workbook." type="5" refreshedVersion="0" background="1">
    <dbPr connection="Provider=Microsoft.Mashup.OleDb.1;Data Source=$Workbook$;Location=&quot;Actuals data&quot;;Extended Properties=&quot;&quot;" command="SELECT * FROM [Actuals data]"/>
  </connection>
  <connection id="2" xr16:uid="{135B859B-00C4-49AF-AE93-AFA43BB7B7BB}" keepAlive="1" name="Query - Actuals_data" description="Connection to the 'Actuals_data' query in the workbook." type="5" refreshedVersion="8" background="1" saveData="1">
    <dbPr connection="Provider=Microsoft.Mashup.OleDb.1;Data Source=$Workbook$;Location=Actuals_data;Extended Properties=&quot;&quot;" command="SELECT * FROM [Actuals_data]"/>
  </connection>
  <connection id="3" xr16:uid="{798B07CB-40AB-4ECA-882F-52F5F20DD600}" name="Query - Plan vs Actual data" description="Connection to the 'Plan vs Actual data' query in the workbook." type="100" refreshedVersion="8" minRefreshableVersion="5">
    <extLst>
      <ext xmlns:x15="http://schemas.microsoft.com/office/spreadsheetml/2010/11/main" uri="{DE250136-89BD-433C-8126-D09CA5730AF9}">
        <x15:connection id="229c5aa7-a2c1-4bf2-aa6b-d86acd5aea01"/>
      </ext>
    </extLst>
  </connection>
  <connection id="4" xr16:uid="{FF39924E-6638-4761-AC18-710E184EEB4C}" keepAlive="1" name="Query - Planned Production" description="Connection to the 'Planned Production' query in the workbook." type="5" refreshedVersion="8" background="1" saveData="1">
    <dbPr connection="Provider=Microsoft.Mashup.OleDb.1;Data Source=$Workbook$;Location=&quot;Planned Production&quot;;Extended Properties=&quot;&quot;" command="SELECT * FROM [Planned Production]"/>
  </connection>
  <connection id="5" xr16:uid="{2C093872-78DD-4ECE-BD56-F19368ECB75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<sst xmlns="http://schemas.openxmlformats.org/spreadsheetml/2006/main" count="800" uniqueCount="325">
  <si>
    <t>Supplier Name</t>
  </si>
  <si>
    <t>Product Code</t>
  </si>
  <si>
    <t>Product Description</t>
  </si>
  <si>
    <t>SP</t>
  </si>
  <si>
    <t>List Cost</t>
  </si>
  <si>
    <t>Sales incl. VAT</t>
  </si>
  <si>
    <t>Sales excl. VAT</t>
  </si>
  <si>
    <t>Sales at CP</t>
  </si>
  <si>
    <t>Sales Quantity</t>
  </si>
  <si>
    <t>Gross Profit</t>
  </si>
  <si>
    <t>Ø SP (Incl. VAT)</t>
  </si>
  <si>
    <t>Ø SP (Excl. VAT)</t>
  </si>
  <si>
    <t>Ø CP</t>
  </si>
  <si>
    <t>GP %</t>
  </si>
  <si>
    <t>BAKERY PRODUCTS</t>
  </si>
  <si>
    <t>WHITE BREAD STD</t>
  </si>
  <si>
    <t>HOTDOG ROLLS 6'S</t>
  </si>
  <si>
    <t>BROWN BREAD STD</t>
  </si>
  <si>
    <t>OUMA BROOD</t>
  </si>
  <si>
    <t>GOOSEBUMPS DISTR.(BREAD STOP)</t>
  </si>
  <si>
    <t>HAMBURGER BUNS 6'S</t>
  </si>
  <si>
    <t>FOCACCIA  CHICKEN MAYO</t>
  </si>
  <si>
    <t>CHEESE BUNS 6'S</t>
  </si>
  <si>
    <t>FOCACCIA</t>
  </si>
  <si>
    <t>WHAMMY BURGER BUNS</t>
  </si>
  <si>
    <t>HOTDOG ROLLS BULK</t>
  </si>
  <si>
    <t>TOMATO,ONION &amp; CHEESE SQUARE</t>
  </si>
  <si>
    <t>CHEESE &amp; GARLIC ROLLS 6'S</t>
  </si>
  <si>
    <t>BANANA BREAD</t>
  </si>
  <si>
    <t>MEDITERRANEAN SQUARE</t>
  </si>
  <si>
    <t>MINI OUMA BROOD</t>
  </si>
  <si>
    <t>GATSBY ROLL</t>
  </si>
  <si>
    <t>CONEY ROLL 6'S</t>
  </si>
  <si>
    <t>HAMBURGER BUNS</t>
  </si>
  <si>
    <t>VECTOR LOG.(PTY)LTD GOOSEBUMPS</t>
  </si>
  <si>
    <t>HAMBURGER BUNS BULK</t>
  </si>
  <si>
    <t>MOSBOLLE</t>
  </si>
  <si>
    <t>BANANA BREAD MINI</t>
  </si>
  <si>
    <t>FRENCH LOAF</t>
  </si>
  <si>
    <t>HOTDOG ROLLS</t>
  </si>
  <si>
    <t>WHITE BREAD STD BULK</t>
  </si>
  <si>
    <t>CUSTARD DELIGHT</t>
  </si>
  <si>
    <t>MINI LOAF</t>
  </si>
  <si>
    <t>BULK C/TAIL BUNS</t>
  </si>
  <si>
    <t>OUPA BROOD</t>
  </si>
  <si>
    <t>MEATY SQUARE</t>
  </si>
  <si>
    <t>CHEESE BUNS</t>
  </si>
  <si>
    <t>DUMPIE WHITE BREAD</t>
  </si>
  <si>
    <t xml:space="preserve"> MINI GATSBY</t>
  </si>
  <si>
    <t>BREAD SLICES</t>
  </si>
  <si>
    <t>ARTISAN FETA &amp; SPINACH LOAF</t>
  </si>
  <si>
    <t>ARTISAN CHEESE &amp; ONION BREAD</t>
  </si>
  <si>
    <t>FOCACCIA CHAKALAKA</t>
  </si>
  <si>
    <t>DUMPIE BROWN BREAD</t>
  </si>
  <si>
    <t>PORTUGUESE ROLL</t>
  </si>
  <si>
    <t>RAISIN BREAD</t>
  </si>
  <si>
    <t>JELLY CREAM TART SMALL</t>
  </si>
  <si>
    <t>MADEIRA LOAF</t>
  </si>
  <si>
    <t>BREAD CRUMBS</t>
  </si>
  <si>
    <t>PARTY WHEEL 30'S</t>
  </si>
  <si>
    <t>CHAKALAKA ROLL</t>
  </si>
  <si>
    <t>BRUINBROODDEEG</t>
  </si>
  <si>
    <t>SUITABLE FOR TOAST</t>
  </si>
  <si>
    <t>CINNAMON BUN 6'S</t>
  </si>
  <si>
    <t>CHEESE LOAF</t>
  </si>
  <si>
    <t>MADEIRA LOAF MINI</t>
  </si>
  <si>
    <t>JAM DOUGHNUT</t>
  </si>
  <si>
    <t>FOCACCIA SLICE</t>
  </si>
  <si>
    <t>SEEDED HAMBURGER ROLLS 6'S</t>
  </si>
  <si>
    <t>POTBREAD</t>
  </si>
  <si>
    <t>LARGE CRUNCHIE BISCUIT</t>
  </si>
  <si>
    <t>LEMON MEGANGUE TARTLETTE</t>
  </si>
  <si>
    <t>VETKOEK COCKTAIL</t>
  </si>
  <si>
    <t>BABY FOCACCIA</t>
  </si>
  <si>
    <t>PARTY WHEEL 15'S</t>
  </si>
  <si>
    <t>CINNAMON BUN</t>
  </si>
  <si>
    <t>C/TAIL SEEDED BUNS</t>
  </si>
  <si>
    <t>SEEDED HOTDOG ROLLS 6'S</t>
  </si>
  <si>
    <t>BROWN HAMBURGER ROLLS 6'S</t>
  </si>
  <si>
    <t>GB SOURDOUGH CIABATTA LOAF</t>
  </si>
  <si>
    <t>SEEDED HAMBURGER ROLL</t>
  </si>
  <si>
    <t>PIZZA BOAT MEATY</t>
  </si>
  <si>
    <t>LARGE MELTING MOMENT BISCUIT</t>
  </si>
  <si>
    <t>SEED LOAF</t>
  </si>
  <si>
    <t>CRISPY ROLL</t>
  </si>
  <si>
    <t>MULTI SEED SANDWICH WEDGE</t>
  </si>
  <si>
    <t>CHAKALAKA BREAD</t>
  </si>
  <si>
    <t xml:space="preserve"> C/TAIL BUNS</t>
  </si>
  <si>
    <t>SAGO PUDDING</t>
  </si>
  <si>
    <t>DOUGHNUT IMITATION CREAM</t>
  </si>
  <si>
    <t>SMALL MALVA PUDDING</t>
  </si>
  <si>
    <t>MALVA PUDDING MED</t>
  </si>
  <si>
    <t>CARROT CAKE SLICE</t>
  </si>
  <si>
    <t>CARAMEL DOUGHNUT</t>
  </si>
  <si>
    <t>SLICE MILK TART</t>
  </si>
  <si>
    <t>MEDIUM MILKTART</t>
  </si>
  <si>
    <t>GANASH TOPPED  RING DOUGHNUT</t>
  </si>
  <si>
    <t>DOUGHNUT CUSTARD</t>
  </si>
  <si>
    <t>MADEIRA COCANUT SLICE</t>
  </si>
  <si>
    <t>DOUGHNUT RING C/TAIL</t>
  </si>
  <si>
    <t>DOUGHNUT IMITAT CREAM 2'S</t>
  </si>
  <si>
    <t>C/TAIL ECLAIR</t>
  </si>
  <si>
    <t>BEESTING ROLL</t>
  </si>
  <si>
    <t>CHOCOLATE ECLAIRS WITH IMM CREAM</t>
  </si>
  <si>
    <t>ROSSOUW D</t>
  </si>
  <si>
    <t>KOEKSISTERS SMALL</t>
  </si>
  <si>
    <t>KOEKSISTERS MEDIUM</t>
  </si>
  <si>
    <t>ECLAIRS CARAMEL</t>
  </si>
  <si>
    <t>KOEKSISTERS SMALL 6'S</t>
  </si>
  <si>
    <t>POEDING ASSORTED</t>
  </si>
  <si>
    <t>SCONES 6'S</t>
  </si>
  <si>
    <t>ASSORTED LARGE CUPCAKE</t>
  </si>
  <si>
    <t>LAMINGTON WITH IMMITATION CREAM</t>
  </si>
  <si>
    <t>CAPE MELAY DOUGHNUT</t>
  </si>
  <si>
    <t>GARLIC TWIST</t>
  </si>
  <si>
    <t>DOUGHNUT CINNAMON &amp; SUGAR 4S</t>
  </si>
  <si>
    <t>TEMPTING TREATS PLATTER</t>
  </si>
  <si>
    <t>CREAM HORN</t>
  </si>
  <si>
    <t>SCONES GEVUL</t>
  </si>
  <si>
    <t>CUSTARD BUNS 3'S</t>
  </si>
  <si>
    <t>SCONE 2'S</t>
  </si>
  <si>
    <t>SCHOOL BUN 8'S</t>
  </si>
  <si>
    <t>ASS DELIGHTS</t>
  </si>
  <si>
    <t>KOEKSISTERS MED  3'S</t>
  </si>
  <si>
    <t>BACON AVO &amp; FETA PIZZA</t>
  </si>
  <si>
    <t>DOUGHNUT C/TAIL IMMITATION CREAM</t>
  </si>
  <si>
    <t>CROISSANT IMMATATION CREAM LARGE</t>
  </si>
  <si>
    <t xml:space="preserve"> CHOCOLATE SLICE</t>
  </si>
  <si>
    <t>DOUGHNUT C/TAIL C/MEL</t>
  </si>
  <si>
    <t>JELLY CREAM TART MEDIUM</t>
  </si>
  <si>
    <t>PEPPERMINT CRUSH CUP</t>
  </si>
  <si>
    <t>HERTZOGGIES</t>
  </si>
  <si>
    <t>MINI MUFFIN B/BERRY</t>
  </si>
  <si>
    <t>AP RED VELVET SLICE</t>
  </si>
  <si>
    <t>B COPENHAGEN</t>
  </si>
  <si>
    <t>C/TAIL-RING DOUGHNUT 3'S</t>
  </si>
  <si>
    <t>LEMINGTON C/TAIL IMMATATION CREAM</t>
  </si>
  <si>
    <t>YOGHURT &amp; MUESLI</t>
  </si>
  <si>
    <t>VANILLA SPONGE</t>
  </si>
  <si>
    <t>BREAD &amp; BUTTER PUDDING</t>
  </si>
  <si>
    <t>CHOCOLATE BREAD TWIST</t>
  </si>
  <si>
    <t>C/TAIL PEPPERMINT TERT</t>
  </si>
  <si>
    <t>SAVOURY ROLL</t>
  </si>
  <si>
    <t>SCOTCH PANCAKS</t>
  </si>
  <si>
    <t>B CHELSEA BUN</t>
  </si>
  <si>
    <t>MINI MUFFIN CAPPUCINO</t>
  </si>
  <si>
    <t>MALVA PUDDING FAMILY</t>
  </si>
  <si>
    <t>SWISS JAM ROLL</t>
  </si>
  <si>
    <t>ROCKY ROAD TREAT</t>
  </si>
  <si>
    <t>CHELSEA BUN</t>
  </si>
  <si>
    <t>CHEESE CAKE SLICED</t>
  </si>
  <si>
    <t>ROCK BUN 2'S</t>
  </si>
  <si>
    <t>MINI CUPCAKE VANILLA</t>
  </si>
  <si>
    <t>RED VELVET CAKE</t>
  </si>
  <si>
    <t>IMMITATION CREAMY BUNS 6'S</t>
  </si>
  <si>
    <t>MINI MUFFIN BRAN</t>
  </si>
  <si>
    <t>MINI MUFFIN CHOC CHIP</t>
  </si>
  <si>
    <t>SLICE TIRAMISU</t>
  </si>
  <si>
    <t>CHOCOLATE SWISS ROLL</t>
  </si>
  <si>
    <t>C/T AILRING DOUGHNUT</t>
  </si>
  <si>
    <t>MINI MUFFIN BANANA</t>
  </si>
  <si>
    <t>DOUGHNUT COCONUT</t>
  </si>
  <si>
    <t>PEANUT BUTTER BARS</t>
  </si>
  <si>
    <t>MINI CUPCAKE CARAMEL</t>
  </si>
  <si>
    <t>JAM SWISS ROLL</t>
  </si>
  <si>
    <t>CUSTARD BUNS 6'S</t>
  </si>
  <si>
    <t>MINI MUFFIN CARROT</t>
  </si>
  <si>
    <t>MADEIRA LOAF VINALLA</t>
  </si>
  <si>
    <t>FILLED C/TAIL DOUGHNUT</t>
  </si>
  <si>
    <t>COCANUT SLICE</t>
  </si>
  <si>
    <t>BLACK FOREST DANISH</t>
  </si>
  <si>
    <t>C/TAIL MILKTARTS 6'S</t>
  </si>
  <si>
    <t>LEMINGTON C/TAIL</t>
  </si>
  <si>
    <t>MADEIRA LOAF CHOC</t>
  </si>
  <si>
    <t>APPLE DANISH</t>
  </si>
  <si>
    <t>MINI MUFFIN LEM &amp; POPPY SEED</t>
  </si>
  <si>
    <t>MINI MUFFIN CARAMEL</t>
  </si>
  <si>
    <t>C/TAIL LEMON MERINGUE 6'S</t>
  </si>
  <si>
    <t xml:space="preserve"> BULK C/T RING DOUGHNUT</t>
  </si>
  <si>
    <t>MINI CUPCAKE CHOC</t>
  </si>
  <si>
    <t>C/TAIL APPLE DANISH</t>
  </si>
  <si>
    <t>GB PRE-FRIED LONG DOUGHNUT</t>
  </si>
  <si>
    <t>GB C/TAIL PRE-FRIED LONG DOUGHNUT</t>
  </si>
  <si>
    <t>GB C/TAIL PRE-FRIED RING DOUGHNUT</t>
  </si>
  <si>
    <t>GB PRE-FRIED RING DOUGHNUT</t>
  </si>
  <si>
    <t>GB WONDER WHIP VANILLA</t>
  </si>
  <si>
    <t>GB TART BASE LARGE-SWEET</t>
  </si>
  <si>
    <t>GB ECLAIR C/TAIL</t>
  </si>
  <si>
    <t>GB TART BASE MINI SWEET</t>
  </si>
  <si>
    <t>GB ECLAIR JUMBO</t>
  </si>
  <si>
    <t>JUMBO  CROISSANT</t>
  </si>
  <si>
    <t>GB BAVARIAN WHIP</t>
  </si>
  <si>
    <t>MINI SWIS ROLL VANILLACARMEL</t>
  </si>
  <si>
    <t>MINI SWIS ROLL CHOC FILLING</t>
  </si>
  <si>
    <t>MINI SWISS ROLL RED VELVET</t>
  </si>
  <si>
    <t>WHITE CHOC CANACHE</t>
  </si>
  <si>
    <t xml:space="preserve"> ROUND DOUGHNUT</t>
  </si>
  <si>
    <t>MOIST CHOC PUDDING</t>
  </si>
  <si>
    <t>MOIST VANILLA PUDDING</t>
  </si>
  <si>
    <t>MOIST VANILLA LOAF</t>
  </si>
  <si>
    <t>MOIST CHOC LOAF</t>
  </si>
  <si>
    <t>CHOC MOUSSE SLICE</t>
  </si>
  <si>
    <t>VANIILA CAKE SLICE</t>
  </si>
  <si>
    <t>CARAMEL &amp; CUSTARD DANISH</t>
  </si>
  <si>
    <t>FRUIT TRIFLE</t>
  </si>
  <si>
    <t>YEAST</t>
  </si>
  <si>
    <t>COCONUT</t>
  </si>
  <si>
    <t>TOPPING BACON</t>
  </si>
  <si>
    <t>COCOA POWDER</t>
  </si>
  <si>
    <t>TOPPING SALAMI</t>
  </si>
  <si>
    <t>IMMATATION CREAM</t>
  </si>
  <si>
    <t>TOPPING CHEESE</t>
  </si>
  <si>
    <t>SADE : POPPY</t>
  </si>
  <si>
    <t>TOPPING HAM</t>
  </si>
  <si>
    <t>TOPPING PINEAPPLE</t>
  </si>
  <si>
    <t>SADE :SONNEBLOM</t>
  </si>
  <si>
    <t>TOPPING FETA</t>
  </si>
  <si>
    <t>TOPPING MUSHROOM</t>
  </si>
  <si>
    <t>TOPPING PEPPERDEW</t>
  </si>
  <si>
    <t>TOPPING BANANA</t>
  </si>
  <si>
    <t>TOPPING CHICKEN MAYO</t>
  </si>
  <si>
    <t>TOPPING GARLIC</t>
  </si>
  <si>
    <t>TOPPING GREEN PEPPER</t>
  </si>
  <si>
    <t>TOPPING OLIVES</t>
  </si>
  <si>
    <t>TOPPING AVO</t>
  </si>
  <si>
    <t>BAKING POWDER</t>
  </si>
  <si>
    <t>CHERRIES</t>
  </si>
  <si>
    <t>SADE :SESAME</t>
  </si>
  <si>
    <t>GINGER BISCUITS 500G</t>
  </si>
  <si>
    <t>BISCUIT COCNUT 500G</t>
  </si>
  <si>
    <t>BISCUIT GINGER 1KG</t>
  </si>
  <si>
    <t>BISCUIT COCONUT 1KG</t>
  </si>
  <si>
    <t>CHOC CHIP BISCUITS 500G</t>
  </si>
  <si>
    <t>BISCUIT CHOC CHIP 1KG</t>
  </si>
  <si>
    <t>BISCUIT KELLOGG 1KG</t>
  </si>
  <si>
    <t>BISCUITS 250G</t>
  </si>
  <si>
    <t>MARKDOWN GINGER BISCUITS 500G</t>
  </si>
  <si>
    <t>BAKERS MIX</t>
  </si>
  <si>
    <t>LUXURY COOKIES</t>
  </si>
  <si>
    <t>MELTING MOMENTS</t>
  </si>
  <si>
    <t>BREAKFAST ROLL</t>
  </si>
  <si>
    <t>GARLIC LOAF</t>
  </si>
  <si>
    <t>GARLIC BUNS 6'S</t>
  </si>
  <si>
    <t>GARLIC BUNS SINGLE</t>
  </si>
  <si>
    <t>SUNNYSEED BREAD</t>
  </si>
  <si>
    <t>MINI SWISSROLLS 5'S</t>
  </si>
  <si>
    <t>BEANTREE BISC CHOC</t>
  </si>
  <si>
    <t>GB DIP -WHITE</t>
  </si>
  <si>
    <t>GATUE CAKES</t>
  </si>
  <si>
    <t>PIEMANS MINI PIES ASSORTED</t>
  </si>
  <si>
    <t>HOT CROSS BUNS 6'S</t>
  </si>
  <si>
    <t>HOT CROSS BUN LOAF</t>
  </si>
  <si>
    <t xml:space="preserve"> JUMBO MUFFIN ALL BRAN</t>
  </si>
  <si>
    <t>HAWAIAN PIZZA</t>
  </si>
  <si>
    <t>PIZZA SLICE</t>
  </si>
  <si>
    <t>CHICKEN MUSHROOM &amp; PEPPERDEW PIZZA</t>
  </si>
  <si>
    <t>REGINA PIZZA</t>
  </si>
  <si>
    <t>SOUR DOUGH PIZZA SLICE</t>
  </si>
  <si>
    <t>FOUR SEASONS PIZZA</t>
  </si>
  <si>
    <t>MARGHERITA PIZZA</t>
  </si>
  <si>
    <t>SALAMI FETA &amp; OLIVE PIZZA</t>
  </si>
  <si>
    <t>VEGETARIAN PIZZA</t>
  </si>
  <si>
    <t>DESSERT TOPPING VANILLA CAKE</t>
  </si>
  <si>
    <t>BOX CAKE WITH ICING</t>
  </si>
  <si>
    <t>VERJAARSDAGKOEK GROOT</t>
  </si>
  <si>
    <t>BUDGET CAKE</t>
  </si>
  <si>
    <t>ROUND CAKE ASST.</t>
  </si>
  <si>
    <t>OREO  CAKE</t>
  </si>
  <si>
    <t>C/T MILKTARTLET</t>
  </si>
  <si>
    <t>YOGHURT TART</t>
  </si>
  <si>
    <t>CARROT CAKE</t>
  </si>
  <si>
    <t>LEMON MERAINGUE TART</t>
  </si>
  <si>
    <t>MINI CAKE</t>
  </si>
  <si>
    <t>MIST CHOC CAKE</t>
  </si>
  <si>
    <t>PEPPERMINT TERT</t>
  </si>
  <si>
    <t>BLACK FOREST CAKE</t>
  </si>
  <si>
    <t>CREMORA TART</t>
  </si>
  <si>
    <t>ALTAS MILKTART MEDIUM</t>
  </si>
  <si>
    <t>BULK BISCUITS 1KG</t>
  </si>
  <si>
    <t>BULK CHOC CHIP BISCUITS</t>
  </si>
  <si>
    <t>KELLOGGS BISCUIT 500G</t>
  </si>
  <si>
    <t xml:space="preserve"> CRUNCHIE BISCUITS 500G</t>
  </si>
  <si>
    <t xml:space="preserve"> CRUNCHIE BISCUITS 1KG</t>
  </si>
  <si>
    <t>BULK CRUNCHIE BISCUITS</t>
  </si>
  <si>
    <t>TROLLEY COVERS</t>
  </si>
  <si>
    <t>AMAZING PIES MARK DOWN</t>
  </si>
  <si>
    <t>MACCOY PIES MARK DOWN</t>
  </si>
  <si>
    <t>Total prod</t>
  </si>
  <si>
    <t>Potential Sales</t>
  </si>
  <si>
    <t>CP of potential sales</t>
  </si>
  <si>
    <t>Potential GP</t>
  </si>
  <si>
    <t>Potential GP%</t>
  </si>
  <si>
    <t>Grand Total</t>
  </si>
  <si>
    <t>Data</t>
  </si>
  <si>
    <t>List Cost (Sigma)</t>
  </si>
  <si>
    <t>Prod Plan</t>
  </si>
  <si>
    <t>Plan Sales</t>
  </si>
  <si>
    <t>CP of Plan Sales</t>
  </si>
  <si>
    <t>Plan GP</t>
  </si>
  <si>
    <t>Bakery production plan for week starting 15 June 26</t>
  </si>
  <si>
    <t>Sub-Department</t>
  </si>
  <si>
    <t>Price Ex Vat (Sigma)</t>
  </si>
  <si>
    <t>Planned GP%</t>
  </si>
  <si>
    <t>15/06/26</t>
  </si>
  <si>
    <t xml:space="preserve"> </t>
  </si>
  <si>
    <t>16/06/26</t>
  </si>
  <si>
    <t>Monday</t>
  </si>
  <si>
    <t>Tuesday</t>
  </si>
  <si>
    <t>Date</t>
  </si>
  <si>
    <t>Day</t>
  </si>
  <si>
    <t>Wednesday</t>
  </si>
  <si>
    <t>CHIPKINS PURATOS (BIDVEST SOL)</t>
  </si>
  <si>
    <t>SOUTHBAKELS (PTY) LTD</t>
  </si>
  <si>
    <t>BAKE IT EASY</t>
  </si>
  <si>
    <t>ANCHOR YEAST(BULK BAKERY)</t>
  </si>
  <si>
    <t>Thursday</t>
  </si>
  <si>
    <t>Planned Production</t>
  </si>
  <si>
    <t>Actual Quantity</t>
  </si>
  <si>
    <t>Friday</t>
  </si>
  <si>
    <t>Saturday</t>
  </si>
  <si>
    <t>Sunday</t>
  </si>
  <si>
    <t>Bakery Planned vs Actuals week  15 to 21 June 2026</t>
  </si>
  <si>
    <t>Products with a Planned value only</t>
  </si>
  <si>
    <t>Plan vs Actual variance</t>
  </si>
  <si>
    <t>Plan vs actual Var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</si>
</sst>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##0;\-###0"/>
    <numFmt numFmtId="165" formatCode="#,##0.0"/>
    <numFmt numFmtId="166" formatCode="#,##0.00_ ;\-#,##0.00\ "/>
    <numFmt numFmtId="167" formatCode="0.0"/>
    <numFmt numFmtId="168" formatCode="0.0%"/>
  </numFmts>
  <fonts count="7" x14ac:knownFonts="1">
    <font>
      <sz val="9"/>
      <name val="MS Sans Serif"/>
    </font>
    <font>
      <sz val="9"/>
      <color indexed="10"/>
      <name val="MS Sans Serif"/>
    </font>
    <font>
      <sz val="9"/>
      <name val="MS Sans Serif"/>
    </font>
    <font>
      <b/>
      <sz val="16"/>
      <name val="MS Sans Serif"/>
    </font>
    <font>
      <b/>
      <sz val="9"/>
      <color rgb="FFFFFFFF"/>
      <name val="MS Sans Serif"/>
    </font>
    <font>
      <b/>
      <sz val="9"/>
      <name val="MS Sans Serif"/>
    </font>
    <font>
      <b/>
      <sz val="12"/>
      <name val="MS Sans Serif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rgb="FFFFFF99"/>
        <bgColor indexed="64"/>
      </patternFill>
    </fill>
    <fill>
      <patternFill patternType="solid">
        <fgColor rgb="FF4472C4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indexed="64"/>
      </bottom>
      <diagonal/>
    </border>
  </borders>
  <cellStyleXfs count="2">
    <xf numFmtId="0" fontId="0" fillId="0" borderId="0" applyAlignment="0">
      <alignment vertical="top" wrapText="1"/>
      <protection locked="0"/>
    </xf>
    <xf numFmtId="43" fontId="2" fillId="0" borderId="0" applyFont="0" applyFill="0" applyBorder="0" applyAlignment="0" applyProtection="0">
      <alignment vertical="top" wrapText="1"/>
      <protection locked="0"/>
    </xf>
  </cellStyleXfs>
  <cellXfs count="87">
    <xf numFmtId="0" fontId="0" fillId="0" borderId="0" xfId="0" applyAlignment="1">
      <alignment vertical="top"/>
      <protection locked="0"/>
    </xf>
    <xf numFmtId="0" fontId="0" fillId="0" borderId="0" xfId="0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 wrapText="1"/>
      <protection locked="0"/>
    </xf>
    <xf numFmtId="49" fontId="0" fillId="3" borderId="0" xfId="0" applyNumberFormat="1" applyFill="1" applyAlignment="1">
      <alignment horizontal="left" vertical="top"/>
      <protection locked="0"/>
    </xf>
    <xf numFmtId="164" fontId="0" fillId="3" borderId="0" xfId="0" applyNumberFormat="1" applyFill="1" applyAlignment="1">
      <alignment horizontal="right" vertical="top"/>
      <protection locked="0"/>
    </xf>
    <xf numFmtId="1" fontId="0" fillId="3" borderId="0" xfId="0" applyNumberFormat="1" applyFill="1" applyAlignment="1">
      <alignment horizontal="right" vertical="top"/>
      <protection locked="0"/>
    </xf>
    <xf numFmtId="39" fontId="0" fillId="3" borderId="0" xfId="0" applyNumberFormat="1" applyFill="1" applyAlignment="1">
      <alignment horizontal="right" vertical="top"/>
      <protection locked="0"/>
    </xf>
    <xf numFmtId="3" fontId="0" fillId="2" borderId="0" xfId="0" applyNumberFormat="1" applyFill="1" applyAlignment="1">
      <alignment horizontal="left" vertical="top" wrapText="1"/>
      <protection locked="0"/>
    </xf>
    <xf numFmtId="3" fontId="1" fillId="0" borderId="0" xfId="0" applyNumberFormat="1" applyFont="1" applyAlignment="1">
      <alignment horizontal="right" vertical="top"/>
      <protection locked="0"/>
    </xf>
    <xf numFmtId="3" fontId="0" fillId="0" borderId="0" xfId="0" applyNumberFormat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 wrapText="1"/>
      <protection locked="0"/>
    </xf>
    <xf numFmtId="4" fontId="1" fillId="0" borderId="0" xfId="0" applyNumberFormat="1" applyFont="1" applyAlignment="1">
      <alignment horizontal="right" vertical="top"/>
      <protection locked="0"/>
    </xf>
    <xf numFmtId="4" fontId="0" fillId="0" borderId="0" xfId="0" applyNumberFormat="1" applyAlignment="1">
      <alignment horizontal="left" vertical="top"/>
      <protection locked="0"/>
    </xf>
    <xf numFmtId="165" fontId="0" fillId="2" borderId="0" xfId="0" applyNumberFormat="1" applyFill="1" applyAlignment="1">
      <alignment horizontal="left" vertical="top" wrapText="1"/>
      <protection locked="0"/>
    </xf>
    <xf numFmtId="165" fontId="1" fillId="0" borderId="0" xfId="0" applyNumberFormat="1" applyFont="1" applyAlignment="1">
      <alignment horizontal="right" vertical="top"/>
      <protection locked="0"/>
    </xf>
    <xf numFmtId="165" fontId="0" fillId="0" borderId="0" xfId="0" applyNumberFormat="1" applyAlignment="1">
      <alignment horizontal="left" vertical="top"/>
      <protection locked="0"/>
    </xf>
    <xf numFmtId="4" fontId="0" fillId="3" borderId="0" xfId="0" applyNumberFormat="1" applyFill="1" applyAlignment="1">
      <alignment horizontal="right" vertical="top"/>
      <protection locked="0"/>
    </xf>
    <xf numFmtId="4" fontId="0" fillId="3" borderId="0" xfId="0" applyNumberFormat="1" applyFill="1" applyAlignment="1">
      <alignment horizontal="left" vertical="top"/>
      <protection locked="0"/>
    </xf>
    <xf numFmtId="49" fontId="0" fillId="4" borderId="0" xfId="0" applyNumberFormat="1" applyFill="1" applyAlignment="1">
      <alignment horizontal="left" vertical="top"/>
      <protection locked="0"/>
    </xf>
    <xf numFmtId="164" fontId="0" fillId="4" borderId="0" xfId="0" applyNumberFormat="1" applyFill="1" applyAlignment="1">
      <alignment horizontal="right" vertical="top"/>
      <protection locked="0"/>
    </xf>
    <xf numFmtId="1" fontId="0" fillId="4" borderId="0" xfId="0" applyNumberFormat="1" applyFill="1" applyAlignment="1">
      <alignment horizontal="right" vertical="top"/>
      <protection locked="0"/>
    </xf>
    <xf numFmtId="39" fontId="0" fillId="4" borderId="0" xfId="0" applyNumberFormat="1" applyFill="1" applyAlignment="1">
      <alignment horizontal="right" vertical="top"/>
      <protection locked="0"/>
    </xf>
    <xf numFmtId="0" fontId="0" fillId="0" borderId="0" xfId="0" applyAlignment="1">
      <alignment vertical="top" wrapText="1"/>
      <protection locked="0"/>
    </xf>
    <xf numFmtId="0" fontId="0" fillId="0" borderId="1" xfId="0" applyBorder="1" applyAlignment="1">
      <alignment vertical="top"/>
      <protection locked="0"/>
    </xf>
    <xf numFmtId="0" fontId="0" fillId="0" borderId="1" xfId="0" pivotButton="1" applyBorder="1" applyAlignment="1">
      <alignment vertical="top"/>
      <protection locked="0"/>
    </xf>
    <xf numFmtId="0" fontId="4" fillId="5" borderId="1" xfId="0" applyFont="1" applyFill="1" applyBorder="1" applyAlignment="1">
      <alignment horizontal="center" vertical="top" wrapText="1"/>
      <protection locked="0"/>
    </xf>
    <xf numFmtId="3" fontId="0" fillId="0" borderId="1" xfId="0" applyNumberFormat="1" applyBorder="1" applyAlignment="1">
      <alignment horizontal="right" vertical="center"/>
      <protection locked="0"/>
    </xf>
    <xf numFmtId="4" fontId="0" fillId="0" borderId="1" xfId="0" applyNumberFormat="1" applyBorder="1" applyAlignment="1">
      <alignment horizontal="right" vertical="center"/>
      <protection locked="0"/>
    </xf>
    <xf numFmtId="166" fontId="0" fillId="0" borderId="1" xfId="0" applyNumberFormat="1" applyBorder="1" applyAlignment="1">
      <alignment horizontal="right" vertical="center"/>
      <protection locked="0"/>
    </xf>
    <xf numFmtId="168" fontId="0" fillId="0" borderId="1" xfId="0" applyNumberFormat="1" applyBorder="1" applyAlignment="1">
      <alignment horizontal="right" vertical="center"/>
      <protection locked="0"/>
    </xf>
    <xf numFmtId="0" fontId="0" fillId="0" borderId="0" xfId="0" applyAlignment="1">
      <alignment vertical="center"/>
      <protection locked="0"/>
    </xf>
    <xf numFmtId="0" fontId="4" fillId="5" borderId="1" xfId="0" applyFont="1" applyFill="1" applyBorder="1" applyAlignment="1">
      <alignment horizontal="left" vertical="center"/>
      <protection locked="0"/>
    </xf>
    <xf numFmtId="3" fontId="4" fillId="5" borderId="1" xfId="0" applyNumberFormat="1" applyFont="1" applyFill="1" applyBorder="1" applyAlignment="1">
      <alignment horizontal="right" vertical="center"/>
      <protection locked="0"/>
    </xf>
    <xf numFmtId="4" fontId="4" fillId="5" borderId="1" xfId="0" applyNumberFormat="1" applyFont="1" applyFill="1" applyBorder="1" applyAlignment="1">
      <alignment horizontal="right" vertical="center"/>
      <protection locked="0"/>
    </xf>
    <xf numFmtId="166" fontId="4" fillId="5" borderId="1" xfId="0" applyNumberFormat="1" applyFont="1" applyFill="1" applyBorder="1" applyAlignment="1">
      <alignment horizontal="right" vertical="center"/>
      <protection locked="0"/>
    </xf>
    <xf numFmtId="168" fontId="4" fillId="5" borderId="1" xfId="0" applyNumberFormat="1" applyFont="1" applyFill="1" applyBorder="1" applyAlignment="1">
      <alignment horizontal="right" vertical="center"/>
      <protection locked="0"/>
    </xf>
    <xf numFmtId="4" fontId="0" fillId="0" borderId="0" xfId="0" applyNumberFormat="1" applyAlignment="1">
      <alignment horizontal="right" vertical="top"/>
      <protection locked="0"/>
    </xf>
    <xf numFmtId="4" fontId="0" fillId="4" borderId="0" xfId="0" applyNumberFormat="1" applyFill="1" applyAlignment="1">
      <alignment horizontal="right" vertical="top"/>
      <protection locked="0"/>
    </xf>
    <xf numFmtId="0" fontId="4" fillId="5" borderId="1" xfId="0" applyFont="1" applyFill="1" applyBorder="1" applyAlignment="1">
      <alignment horizontal="center" vertical="top"/>
      <protection locked="0"/>
    </xf>
    <xf numFmtId="0" fontId="0" fillId="0" borderId="0" xfId="0" applyAlignment="1">
      <alignment horizontal="right" vertical="top"/>
      <protection locked="0"/>
    </xf>
    <xf numFmtId="4" fontId="0" fillId="0" borderId="0" xfId="0" applyNumberFormat="1" applyAlignment="1">
      <alignment vertical="top"/>
      <protection locked="0"/>
    </xf>
    <xf numFmtId="0" fontId="0" fillId="0" borderId="2" xfId="0" applyBorder="1" applyAlignment="1">
      <alignment vertical="top"/>
      <protection locked="0"/>
    </xf>
    <xf numFmtId="0" fontId="0" fillId="0" borderId="3" xfId="0" applyBorder="1" applyAlignment="1">
      <alignment vertical="top"/>
      <protection locked="0"/>
    </xf>
    <xf numFmtId="0" fontId="0" fillId="0" borderId="2" xfId="0" pivotButton="1" applyBorder="1" applyAlignment="1">
      <alignment vertical="top"/>
      <protection locked="0"/>
    </xf>
    <xf numFmtId="0" fontId="0" fillId="0" borderId="4" xfId="0" applyBorder="1" applyAlignment="1">
      <alignment vertical="top"/>
      <protection locked="0"/>
    </xf>
    <xf numFmtId="0" fontId="0" fillId="0" borderId="6" xfId="0" applyBorder="1" applyAlignment="1">
      <alignment vertical="top"/>
      <protection locked="0"/>
    </xf>
    <xf numFmtId="1" fontId="0" fillId="0" borderId="1" xfId="0" applyNumberFormat="1" applyBorder="1" applyAlignment="1">
      <alignment vertical="top"/>
      <protection locked="0"/>
    </xf>
    <xf numFmtId="1" fontId="4" fillId="5" borderId="1" xfId="0" applyNumberFormat="1" applyFont="1" applyFill="1" applyBorder="1" applyAlignment="1">
      <alignment horizontal="left" vertical="center"/>
      <protection locked="0"/>
    </xf>
    <xf numFmtId="4" fontId="0" fillId="0" borderId="0" xfId="0" applyNumberFormat="1" applyAlignment="1">
      <alignment horizontal="left" vertical="top" wrapText="1"/>
      <protection locked="0"/>
    </xf>
    <xf numFmtId="3" fontId="0" fillId="0" borderId="0" xfId="0" applyNumberFormat="1" applyAlignment="1">
      <alignment horizontal="right" vertical="top"/>
      <protection locked="0"/>
    </xf>
    <xf numFmtId="166" fontId="0" fillId="0" borderId="0" xfId="1" applyNumberFormat="1" applyFont="1" applyFill="1" applyAlignment="1">
      <alignment horizontal="right" vertical="top"/>
      <protection locked="0"/>
    </xf>
    <xf numFmtId="167" fontId="0" fillId="0" borderId="0" xfId="1" applyNumberFormat="1" applyFont="1" applyFill="1" applyAlignment="1">
      <alignment horizontal="right" vertical="top"/>
      <protection locked="0"/>
    </xf>
    <xf numFmtId="0" fontId="0" fillId="0" borderId="7" xfId="0" applyBorder="1" applyAlignment="1">
      <alignment vertical="top"/>
      <protection locked="0"/>
    </xf>
    <xf numFmtId="0" fontId="0" fillId="0" borderId="8" xfId="0" applyBorder="1" applyAlignment="1">
      <alignment vertical="top"/>
      <protection locked="0"/>
    </xf>
    <xf numFmtId="0" fontId="0" fillId="0" borderId="3" xfId="0" pivotButton="1" applyBorder="1" applyAlignment="1">
      <alignment vertical="top"/>
      <protection locked="0"/>
    </xf>
    <xf numFmtId="4" fontId="0" fillId="0" borderId="2" xfId="0" applyNumberFormat="1" applyBorder="1" applyAlignment="1">
      <alignment vertical="top"/>
      <protection locked="0"/>
    </xf>
    <xf numFmtId="165" fontId="0" fillId="0" borderId="9" xfId="0" applyNumberFormat="1" applyBorder="1" applyAlignment="1">
      <alignment vertical="top"/>
      <protection locked="0"/>
    </xf>
    <xf numFmtId="0" fontId="0" fillId="0" borderId="5" xfId="0" applyBorder="1" applyAlignment="1">
      <alignment vertical="top"/>
      <protection locked="0"/>
    </xf>
    <xf numFmtId="165" fontId="0" fillId="0" borderId="10" xfId="0" applyNumberFormat="1" applyBorder="1" applyAlignment="1">
      <alignment vertical="top"/>
      <protection locked="0"/>
    </xf>
    <xf numFmtId="0" fontId="0" fillId="0" borderId="2" xfId="0" pivotButton="1" applyBorder="1" applyAlignment="1">
      <alignment horizontal="center" vertical="top" wrapText="1"/>
      <protection locked="0"/>
    </xf>
    <xf numFmtId="0" fontId="0" fillId="0" borderId="2" xfId="0" applyBorder="1" applyAlignment="1">
      <alignment horizontal="center" vertical="top" wrapText="1"/>
      <protection locked="0"/>
    </xf>
    <xf numFmtId="0" fontId="0" fillId="0" borderId="0" xfId="0" applyAlignment="1">
      <alignment horizontal="center" vertical="top" wrapText="1"/>
      <protection locked="0"/>
    </xf>
    <xf numFmtId="4" fontId="5" fillId="0" borderId="2" xfId="0" applyNumberFormat="1" applyFont="1" applyBorder="1" applyAlignment="1">
      <alignment vertical="top"/>
      <protection locked="0"/>
    </xf>
    <xf numFmtId="14" fontId="0" fillId="0" borderId="1" xfId="0" applyNumberFormat="1" applyBorder="1" applyAlignment="1">
      <alignment horizontal="center" vertical="top" wrapText="1"/>
      <protection locked="0"/>
    </xf>
    <xf numFmtId="0" fontId="0" fillId="0" borderId="1" xfId="0" applyBorder="1" applyAlignment="1">
      <alignment horizontal="center" vertical="top" wrapText="1"/>
      <protection locked="0"/>
    </xf>
    <xf numFmtId="165" fontId="0" fillId="0" borderId="2" xfId="0" applyNumberFormat="1" applyBorder="1" applyAlignment="1">
      <alignment vertical="top"/>
      <protection locked="0"/>
    </xf>
    <xf numFmtId="14" fontId="0" fillId="0" borderId="2" xfId="0" applyNumberFormat="1" applyBorder="1" applyAlignment="1">
      <alignment horizontal="left" vertical="top"/>
      <protection locked="0"/>
    </xf>
    <xf numFmtId="2" fontId="0" fillId="0" borderId="2" xfId="0" pivotButton="1" applyNumberFormat="1" applyBorder="1" applyAlignment="1">
      <alignment horizontal="center" vertical="top" wrapText="1"/>
      <protection locked="0"/>
    </xf>
    <xf numFmtId="165" fontId="0" fillId="0" borderId="5" xfId="0" applyNumberFormat="1" applyBorder="1" applyAlignment="1">
      <alignment vertical="top"/>
      <protection locked="0"/>
    </xf>
    <xf numFmtId="0" fontId="0" fillId="0" borderId="17" xfId="0" applyBorder="1" applyAlignment="1">
      <alignment vertical="top"/>
      <protection locked="0"/>
    </xf>
    <xf numFmtId="4" fontId="0" fillId="0" borderId="17" xfId="0" applyNumberFormat="1" applyBorder="1" applyAlignment="1">
      <alignment vertical="top"/>
      <protection locked="0"/>
    </xf>
    <xf numFmtId="3" fontId="0" fillId="0" borderId="3" xfId="0" applyNumberFormat="1" applyBorder="1" applyAlignment="1">
      <alignment vertical="top"/>
      <protection locked="0"/>
    </xf>
    <xf numFmtId="3" fontId="0" fillId="0" borderId="8" xfId="0" applyNumberFormat="1" applyBorder="1" applyAlignment="1">
      <alignment vertical="top"/>
      <protection locked="0"/>
    </xf>
    <xf numFmtId="3" fontId="0" fillId="0" borderId="2" xfId="0" applyNumberFormat="1" applyBorder="1" applyAlignment="1">
      <alignment horizontal="center" vertical="top" wrapText="1"/>
      <protection locked="0"/>
    </xf>
    <xf numFmtId="3" fontId="0" fillId="0" borderId="2" xfId="0" applyNumberFormat="1" applyBorder="1" applyAlignment="1">
      <alignment vertical="top"/>
      <protection locked="0"/>
    </xf>
    <xf numFmtId="3" fontId="0" fillId="0" borderId="17" xfId="0" applyNumberFormat="1" applyBorder="1" applyAlignment="1">
      <alignment vertical="top"/>
      <protection locked="0"/>
    </xf>
    <xf numFmtId="3" fontId="0" fillId="0" borderId="0" xfId="0" applyNumberFormat="1" applyAlignment="1">
      <alignment vertical="top"/>
      <protection locked="0"/>
    </xf>
    <xf numFmtId="3" fontId="0" fillId="0" borderId="9" xfId="0" applyNumberFormat="1" applyBorder="1" applyAlignment="1">
      <alignment vertical="top"/>
      <protection locked="0"/>
    </xf>
    <xf numFmtId="3" fontId="0" fillId="0" borderId="16" xfId="0" applyNumberFormat="1" applyBorder="1" applyAlignment="1">
      <alignment vertical="top"/>
      <protection locked="0"/>
    </xf>
    <xf numFmtId="4" fontId="5" fillId="0" borderId="17" xfId="0" applyNumberFormat="1" applyFont="1" applyBorder="1" applyAlignment="1">
      <alignment vertical="top"/>
      <protection locked="0"/>
    </xf>
    <xf numFmtId="168" fontId="0" fillId="0" borderId="0" xfId="0" applyNumberFormat="1" applyAlignment="1">
      <alignment vertical="top"/>
      <protection locked="0"/>
    </xf>
    <xf numFmtId="0" fontId="6" fillId="0" borderId="11" xfId="0" applyFont="1" applyBorder="1" applyAlignment="1">
      <alignment horizontal="center" vertical="center"/>
      <protection locked="0"/>
    </xf>
    <xf numFmtId="0" fontId="6" fillId="0" borderId="12" xfId="0" applyFont="1" applyBorder="1" applyAlignment="1">
      <alignment horizontal="center" vertical="center"/>
      <protection locked="0"/>
    </xf>
    <xf numFmtId="0" fontId="6" fillId="0" borderId="13" xfId="0" applyFont="1" applyBorder="1" applyAlignment="1">
      <alignment horizontal="center" vertical="center"/>
      <protection locked="0"/>
    </xf>
    <xf numFmtId="14" fontId="0" fillId="0" borderId="14" xfId="0" applyNumberFormat="1" applyBorder="1" applyAlignment="1">
      <alignment horizontal="center" wrapText="1"/>
      <protection locked="0"/>
    </xf>
    <xf numFmtId="14" fontId="0" fillId="0" borderId="15" xfId="0" applyNumberFormat="1" applyBorder="1" applyAlignment="1">
      <alignment horizontal="center" wrapText="1"/>
      <protection locked="0"/>
    </xf>
    <xf numFmtId="0" fontId="3" fillId="0" borderId="1" xfId="0" applyFont="1" applyBorder="1" applyAlignment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273"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numFmt numFmtId="168" formatCode="0.0%"/>
    </dxf>
    <dxf>
      <alignment wrapText="1"/>
    </dxf>
    <dxf>
      <alignment wrapText="1"/>
    </dxf>
    <dxf>
      <alignment wrapText="1"/>
    </dxf>
    <dxf>
      <alignment horizontal="left"/>
    </dxf>
    <dxf>
      <alignment horizontal="right"/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ont>
        <b/>
      </font>
    </dxf>
    <dxf>
      <numFmt numFmtId="2" formatCode="0.00"/>
    </dxf>
    <dxf>
      <alignment horizontal="right"/>
    </dxf>
    <dxf>
      <alignment horizontal="center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wrapText="1"/>
    </dxf>
    <dxf>
      <numFmt numFmtId="165" formatCode="#,##0.0"/>
    </dxf>
    <dxf>
      <numFmt numFmtId="19" formatCode="yyyy/mm/dd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2.508920370368" createdVersion="8" refreshedVersion="8" recordCount="287" xr:uid="{E2C28089-6876-4AFD-9B73-B509836A08FC}">
  <cacheSource type="worksheet">
    <worksheetSource name="Bake_prod"/>
  </cacheSource>
  <cacheFields count="12">
    <cacheField name="Supplier Name" numFmtId="49">
      <sharedItems/>
    </cacheField>
    <cacheField name="Sub-Department" numFmtId="164">
      <sharedItems containsSemiMixedTypes="0" containsString="0" containsNumber="1" containsInteger="1" minValue="101" maxValue="1821"/>
    </cacheField>
    <cacheField name="Product Code" numFmtId="1">
      <sharedItems containsSemiMixedTypes="0" containsString="0" containsNumber="1" containsInteger="1" minValue="32062" maxValue="67301" count="273">
        <n v="32062"/>
        <n v="32063"/>
        <n v="32066"/>
        <n v="32067"/>
        <n v="32124"/>
        <n v="32125"/>
        <n v="32127"/>
        <n v="32130"/>
        <n v="32131"/>
        <n v="32149"/>
        <n v="32150"/>
        <n v="32151"/>
        <n v="32152"/>
        <n v="32153"/>
        <n v="32155"/>
        <n v="32855"/>
        <n v="32857"/>
        <n v="32859"/>
        <n v="32860"/>
        <n v="32862"/>
        <n v="32868"/>
        <n v="32869"/>
        <n v="32871"/>
        <n v="32872"/>
        <n v="33012"/>
        <n v="33013"/>
        <n v="33017"/>
        <n v="33019"/>
        <n v="33021"/>
        <n v="33023"/>
        <n v="33025"/>
        <n v="33027"/>
        <n v="33031"/>
        <n v="33036"/>
        <n v="33037"/>
        <n v="33038"/>
        <n v="33040"/>
        <n v="33041"/>
        <n v="33042"/>
        <n v="33043"/>
        <n v="33044"/>
        <n v="33045"/>
        <n v="33046"/>
        <n v="33047"/>
        <n v="33048"/>
        <n v="33049"/>
        <n v="33050"/>
        <n v="33051"/>
        <n v="33988"/>
        <n v="33989"/>
        <n v="33990"/>
        <n v="33991"/>
        <n v="33995"/>
        <n v="33997"/>
        <n v="34003"/>
        <n v="34004"/>
        <n v="34006"/>
        <n v="34008"/>
        <n v="34011"/>
        <n v="34014"/>
        <n v="34019"/>
        <n v="34021"/>
        <n v="34022"/>
        <n v="34023"/>
        <n v="34024"/>
        <n v="34025"/>
        <n v="34027"/>
        <n v="34028"/>
        <n v="34033"/>
        <n v="34034"/>
        <n v="34037"/>
        <n v="34039"/>
        <n v="34040"/>
        <n v="34041"/>
        <n v="34042"/>
        <n v="34046"/>
        <n v="34052"/>
        <n v="34053"/>
        <n v="34054"/>
        <n v="34059"/>
        <n v="34061"/>
        <n v="34068"/>
        <n v="34074"/>
        <n v="34075"/>
        <n v="34076"/>
        <n v="34079"/>
        <n v="34080"/>
        <n v="34081"/>
        <n v="34082"/>
        <n v="34083"/>
        <n v="34086"/>
        <n v="34087"/>
        <n v="34088"/>
        <n v="34089"/>
        <n v="34090"/>
        <n v="34091"/>
        <n v="34092"/>
        <n v="34094"/>
        <n v="34095"/>
        <n v="34100"/>
        <n v="34101"/>
        <n v="34102"/>
        <n v="34105"/>
        <n v="34106"/>
        <n v="34118"/>
        <n v="34119"/>
        <n v="34120"/>
        <n v="34121"/>
        <n v="34122"/>
        <n v="34124"/>
        <n v="34134"/>
        <n v="34135"/>
        <n v="34136"/>
        <n v="34139"/>
        <n v="34140"/>
        <n v="34142"/>
        <n v="34690"/>
        <n v="38977"/>
        <n v="39422"/>
        <n v="39750"/>
        <n v="40065"/>
        <n v="40158"/>
        <n v="40305"/>
        <n v="40732"/>
        <n v="40809"/>
        <n v="41464"/>
        <n v="41620"/>
        <n v="42296"/>
        <n v="42401"/>
        <n v="42797"/>
        <n v="42990"/>
        <n v="43309"/>
        <n v="46072"/>
        <n v="46797"/>
        <n v="50682"/>
        <n v="52943"/>
        <n v="53119"/>
        <n v="53141"/>
        <n v="53210"/>
        <n v="53212"/>
        <n v="53225"/>
        <n v="53226"/>
        <n v="53497"/>
        <n v="53528"/>
        <n v="54018"/>
        <n v="54019"/>
        <n v="54228"/>
        <n v="54430"/>
        <n v="54546"/>
        <n v="54547"/>
        <n v="54617"/>
        <n v="55481"/>
        <n v="55482"/>
        <n v="56350"/>
        <n v="56805"/>
        <n v="57071"/>
        <n v="57073"/>
        <n v="57167"/>
        <n v="58045"/>
        <n v="58452"/>
        <n v="58512"/>
        <n v="58763"/>
        <n v="58767"/>
        <n v="59058"/>
        <n v="59220"/>
        <n v="59221"/>
        <n v="59222"/>
        <n v="59223"/>
        <n v="59381"/>
        <n v="59425"/>
        <n v="59477"/>
        <n v="60694"/>
        <n v="60832"/>
        <n v="61014"/>
        <n v="61018"/>
        <n v="61814"/>
        <n v="61937"/>
        <n v="61938"/>
        <n v="61939"/>
        <n v="61940"/>
        <n v="61941"/>
        <n v="61942"/>
        <n v="61943"/>
        <n v="61947"/>
        <n v="61949"/>
        <n v="61950"/>
        <n v="61978"/>
        <n v="62290"/>
        <n v="62390"/>
        <n v="62457"/>
        <n v="62499"/>
        <n v="62585"/>
        <n v="62614"/>
        <n v="62620"/>
        <n v="62621"/>
        <n v="62622"/>
        <n v="62623"/>
        <n v="62627"/>
        <n v="62629"/>
        <n v="62788"/>
        <n v="63394"/>
        <n v="63798"/>
        <n v="63800"/>
        <n v="64416"/>
        <n v="64632"/>
        <n v="64633"/>
        <n v="64635"/>
        <n v="64761"/>
        <n v="64762"/>
        <n v="64763"/>
        <n v="65238"/>
        <n v="65239"/>
        <n v="65506"/>
        <n v="65681"/>
        <n v="66434"/>
        <n v="66435"/>
        <n v="66950"/>
        <n v="66951"/>
        <n v="66952"/>
        <n v="67140"/>
        <n v="67241"/>
        <n v="67242"/>
        <n v="67243"/>
        <n v="67244"/>
        <n v="67245"/>
        <n v="67246"/>
        <n v="67247"/>
        <n v="67301"/>
        <n v="32858"/>
        <n v="33032"/>
        <n v="34015"/>
        <n v="34047"/>
        <n v="34132"/>
        <n v="34141"/>
        <n v="34687"/>
        <n v="38815"/>
        <n v="38816"/>
        <n v="38908"/>
        <n v="38983"/>
        <n v="39025"/>
        <n v="39421"/>
        <n v="39963"/>
        <n v="40364"/>
        <n v="42674"/>
        <n v="43420"/>
        <n v="46909"/>
        <n v="48604"/>
        <n v="48620"/>
        <n v="48683"/>
        <n v="50037"/>
        <n v="51680"/>
        <n v="54652"/>
        <n v="56514"/>
        <n v="57870"/>
        <n v="61923"/>
        <n v="61925"/>
        <n v="61926"/>
        <n v="61928"/>
        <n v="61929"/>
        <n v="32863"/>
        <n v="32864"/>
        <n v="33999"/>
        <n v="40827"/>
        <n v="48861"/>
        <n v="53410"/>
        <n v="55095"/>
        <n v="58147"/>
        <n v="63898"/>
        <n v="66308"/>
        <n v="66806"/>
        <n v="34070" u="1"/>
        <n v="34113" u="1"/>
        <n v="32128" u="1"/>
      </sharedItems>
    </cacheField>
    <cacheField name="Product Description" numFmtId="0">
      <sharedItems count="272">
        <s v="ARTISAN FETA &amp; SPINACH LOAF"/>
        <s v="ARTISAN CHEESE &amp; ONION BREAD"/>
        <s v="ASSORTED LARGE CUPCAKE"/>
        <s v="BANANA BREAD"/>
        <s v="C/TAIL MILKTARTS 6'S"/>
        <s v="C/T AILRING DOUGHNUT"/>
        <s v="SMALL MALVA PUDDING"/>
        <s v="CARROT CAKE"/>
        <s v="CARROT CAKE SLICE"/>
        <s v="DOUGHNUT CINNAMON &amp; SUGAR 4S"/>
        <s v="DOUGHNUT C/TAIL IMMITATION CREAM"/>
        <s v="DOUGHNUT COCONUT"/>
        <s v="DOUGHNUT CUSTARD"/>
        <s v="DOUGHNUT RING C/TAIL"/>
        <s v="FILLED C/TAIL DOUGHNUT"/>
        <s v="ECLAIRS CARAMEL"/>
        <s v="BACON AVO &amp; FETA PIZZA"/>
        <s v="HAMBURGER BUNS 6'S"/>
        <s v="HOTDOG ROLLS 6'S"/>
        <s v="JAM DOUGHNUT"/>
        <s v="LEMINGTON C/TAIL"/>
        <s v="LEMINGTON C/TAIL IMMATATION CREAM"/>
        <s v="LEMON MEGANGUE TARTLETTE"/>
        <s v="MEDIUM MILKTART"/>
        <s v="MALVA PUDDING FAMILY"/>
        <s v="MINI MUFFIN CAPPUCINO"/>
        <s v="PEPPERMINT TERT"/>
        <s v="POEDING ASSORTED"/>
        <s v="SALAMI FETA &amp; OLIVE PIZZA"/>
        <s v="SCONES 6'S"/>
        <s v="SCONES GEVUL"/>
        <s v="SEED LOAF"/>
        <s v="SLICE MILK TART"/>
        <s v="TEMPTING TREATS PLATTER"/>
        <s v="LEMON MERAINGUE TART"/>
        <s v="YOGHURT TART"/>
        <s v="TOPPING BACON"/>
        <s v="TOPPING BANANA"/>
        <s v="TOPPING CHEESE"/>
        <s v="TOPPING CHICKEN MAYO"/>
        <s v="TOPPING FETA"/>
        <s v="TOPPING GARLIC"/>
        <s v="TOPPING GREEN PEPPER"/>
        <s v="TOPPING HAM"/>
        <s v="TOPPING MUSHROOM"/>
        <s v="TOPPING OLIVES"/>
        <s v="TOPPING AVO"/>
        <s v="TOPPING PEPPERDEW"/>
        <s v="TOPPING PINEAPPLE"/>
        <s v="TOPPING SALAMI"/>
        <s v="FRUIT TRIFLE"/>
        <s v="VEGETARIAN PIZZA"/>
        <s v="DOUGHNUT IMITATION CREAM"/>
        <s v="FRENCH LOAF"/>
        <s v="BOX CAKE WITH ICING"/>
        <s v="BREAD SLICES"/>
        <s v="BRUINBROODDEEG"/>
        <s v="C/TAIL ECLAIR"/>
        <s v="CHEESE LOAF"/>
        <s v="CHICKEN MUSHROOM &amp; PEPPERDEW PIZZA"/>
        <s v="CRISPY ROLL"/>
        <s v="CUSTARD BUNS 6'S"/>
        <s v="DUMPIE BROWN BREAD"/>
        <s v="DUMPIE WHITE BREAD"/>
        <s v="FOCACCIA"/>
        <s v="FOUR SEASONS PIZZA"/>
        <s v="GARLIC BUNS 6'S"/>
        <s v="GARLIC LOAF"/>
        <s v="HAWAIAN PIZZA"/>
        <s v="HOT CROSS BUNS 6'S"/>
        <s v="IMMITATION CREAMY BUNS 6'S"/>
        <s v="LAMINGTON WITH IMMITATION CREAM"/>
        <s v="MARGHERITA PIZZA"/>
        <s v="MINI LOAF"/>
        <s v="MINI OUMA BROOD"/>
        <s v="MOSBOLLE"/>
        <s v="POTBREAD"/>
        <s v="RAISIN BREAD"/>
        <s v="REGINA PIZZA"/>
        <s v="SUITABLE FOR TOAST"/>
        <s v="SWISS JAM ROLL"/>
        <s v="VETKOEK COCKTAIL"/>
        <s v="YOGHURT &amp; MUESLI"/>
        <s v="BAKERS MIX"/>
        <s v="BAKING POWDER"/>
        <s v="BISCUIT CHOC CHIP 1KG"/>
        <s v="BISCUIT COCONUT 1KG"/>
        <s v="BISCUIT COCNUT 500G"/>
        <s v="BISCUIT KELLOGG 1KG"/>
        <s v="BISCUIT GINGER 1KG"/>
        <s v="BREAD CRUMBS"/>
        <s v="IMMATATION CREAM"/>
        <s v="BULK C/TAIL BUNS"/>
        <s v="C/TAIL LEMON MERINGUE 6'S"/>
        <s v="C/TAIL PEPPERMINT TERT"/>
        <s v="CHEESE &amp; GARLIC ROLLS 6'S"/>
        <s v="CHEESE BUNS"/>
        <s v="CHERRIES"/>
        <s v="CHOC CHIP BISCUITS 500G"/>
        <s v="COCOA POWDER"/>
        <s v="COCONUT"/>
        <s v="CROISSANT IMMATATION CREAM LARGE"/>
        <s v="DESSERT TOPPING VANILLA CAKE"/>
        <s v="DOUGHNUT C/TAIL C/MEL"/>
        <s v="GINGER BISCUITS 500G"/>
        <s v="HAMBURGER BUNS BULK"/>
        <s v="HERTZOGGIES"/>
        <s v="HOTDOG ROLLS BULK"/>
        <s v="JAM SWISS ROLL"/>
        <s v="KELLOGGS BISCUIT 500G"/>
        <s v="SADE : POPPY"/>
        <s v="SADE :SESAME"/>
        <s v="SADE :SONNEBLOM"/>
        <s v="VANILLA SPONGE"/>
        <s v="VERJAARSDAGKOEK GROOT"/>
        <s v="YEAST"/>
        <s v="OUMA BROOD"/>
        <s v="CARAMEL DOUGHNUT"/>
        <s v="CREAM HORN"/>
        <s v="PARTY WHEEL 15'S"/>
        <s v="DOUGHNUT IMITAT CREAM 2'S"/>
        <s v="JELLY CREAM TART SMALL"/>
        <s v="PIZZA SLICE"/>
        <s v="MARKDOWN GINGER BISCUITS 500G"/>
        <s v="SOUR DOUGH PIZZA SLICE"/>
        <s v="OUPA BROOD"/>
        <s v=" JUMBO MUFFIN ALL BRAN"/>
        <s v="GARLIC BUNS SINGLE"/>
        <s v="BANANA BREAD MINI"/>
        <s v="GANASH TOPPED  RING DOUGHNUT"/>
        <s v="MALVA PUDDING MED"/>
        <s v="BISCUITS 250G"/>
        <s v="PIEMANS MINI PIES ASSORTED"/>
        <s v="CHOCOLATE SWISS ROLL"/>
        <s v="JELLY CREAM TART MEDIUM"/>
        <s v="SAGO PUDDING"/>
        <s v="B CHELSEA BUN"/>
        <s v="B COPENHAGEN"/>
        <s v="RED VELVET CAKE"/>
        <s v="ASS DELIGHTS"/>
        <s v="AP RED VELVET SLICE"/>
        <s v=" CHOCOLATE SLICE"/>
        <s v="PARTY WHEEL 30'S"/>
        <s v="MADEIRA LOAF"/>
        <s v="BREAKFAST ROLL"/>
        <s v="SUNNYSEED BREAD"/>
        <s v="CHAKALAKA ROLL"/>
        <s v="PEPPERMINT CRUSH CUP"/>
        <s v="BABY FOCACCIA"/>
        <s v=" MINI GATSBY"/>
        <s v="PIZZA BOAT MEATY"/>
        <s v="BEESTING ROLL"/>
        <s v="SAVOURY ROLL"/>
        <s v="FOCACCIA SLICE"/>
        <s v="LUXURY COOKIES"/>
        <s v="FOCACCIA CHAKALAKA"/>
        <s v="FOCACCIA  CHICKEN MAYO"/>
        <s v="GATSBY ROLL"/>
        <s v=" BULK C/T RING DOUGHNUT"/>
        <s v="MELTING MOMENTS"/>
        <s v="MEDITERRANEAN SQUARE"/>
        <s v="C/TAIL SEEDED BUNS"/>
        <s v="TOMATO,ONION &amp; CHEESE SQUARE"/>
        <s v="MINI MUFFIN B/BERRY"/>
        <s v="MINI MUFFIN BANANA"/>
        <s v="MINI MUFFIN BRAN"/>
        <s v="MINI MUFFIN LEM &amp; POPPY SEED"/>
        <s v="MINI MUFFIN CARAMEL"/>
        <s v="WHITE BREAD STD"/>
        <s v="BROWN BREAD STD"/>
        <s v="MINI MUFFIN CHOC CHIP"/>
        <s v="ROUND CAKE ASST."/>
        <s v="WHITE BREAD STD BULK"/>
        <s v="MINI MUFFIN CARROT"/>
        <s v="SEEDED HAMBURGER ROLL"/>
        <s v="HOT CROSS BUN LOAF"/>
        <s v="CUSTARD BUNS 3'S"/>
        <s v="SCHOOL BUN 8'S"/>
        <s v="MADEIRA COCANUT SLICE"/>
        <s v="GARLIC TWIST"/>
        <s v="CHOCOLATE BREAD TWIST"/>
        <s v="SCONE 2'S"/>
        <s v="ROCK BUN 2'S"/>
        <s v="CUSTARD DELIGHT"/>
        <s v="LARGE MELTING MOMENT BISCUIT"/>
        <s v="LARGE CRUNCHIE BISCUIT"/>
        <s v="GATUE CAKES"/>
        <s v="ROCKY ROAD TREAT"/>
        <s v="MADEIRA LOAF MINI"/>
        <s v="OREO  CAKE"/>
        <s v="BREAD &amp; BUTTER PUDDING"/>
        <s v="BULK BISCUITS 1KG"/>
        <s v="BEANTREE BISC CHOC"/>
        <s v="BUDGET CAKE"/>
        <s v="SEEDED HOTDOG ROLLS 6'S"/>
        <s v="SEEDED HAMBURGER ROLLS 6'S"/>
        <s v="PEANUT BUTTER BARS"/>
        <s v="BROWN HAMBURGER ROLLS 6'S"/>
        <s v="BULK CHOC CHIP BISCUITS"/>
        <s v="MEATY SQUARE"/>
        <s v="C/TAIL-RING DOUGHNUT 3'S"/>
        <s v="MINI CAKE"/>
        <s v="CHAKALAKA BREAD"/>
        <s v="MINI SWISSROLLS 5'S"/>
        <s v="BLACK FOREST CAKE"/>
        <s v="C/T MILKTARTLET"/>
        <s v="MIST CHOC CAKE"/>
        <s v="BULK CRUNCHIE BISCUITS"/>
        <s v=" CRUNCHIE BISCUITS 1KG"/>
        <s v=" CRUNCHIE BISCUITS 500G"/>
        <s v="CREMORA TART"/>
        <s v="ALTAS MILKTART MEDIUM"/>
        <s v="COCANUT SLICE"/>
        <s v="CINNAMON BUN 6'S"/>
        <s v="BLACK FOREST DANISH"/>
        <s v="APPLE DANISH"/>
        <s v="MINI CUPCAKE CHOC"/>
        <s v="MINI CUPCAKE CARAMEL"/>
        <s v="MINI CUPCAKE VANILLA"/>
        <s v=" C/TAIL BUNS"/>
        <s v="MOIST CHOC PUDDING"/>
        <s v="MOIST VANILLA PUDDING"/>
        <s v="MOIST VANILLA LOAF"/>
        <s v="MOIST CHOC LOAF"/>
        <s v="CHOC MOUSSE SLICE"/>
        <s v="VANIILA CAKE SLICE"/>
        <s v="CARAMEL &amp; CUSTARD DANISH"/>
        <s v="HAMBURGER BUNS"/>
        <s v="SLICE TIRAMISU"/>
        <s v="CHOCOLATE ECLAIRS WITH IMM CREAM"/>
        <s v="MULTI SEED SANDWICH WEDGE"/>
        <s v="PORTUGUESE ROLL"/>
        <s v="WHAMMY BURGER BUNS"/>
        <s v="HOTDOG ROLLS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C/TAIL APPLE DANISH"/>
        <s v="CINNAMON BUN"/>
        <s v="CHELSEA BUN"/>
        <s v="GB DIP -WHITE"/>
        <s v="CHEESE CAKE SLICED"/>
        <s v="GB ECLAIR JUMBO"/>
        <s v="CHEESE BUNS 6'S"/>
        <s v="CONEY ROLL 6'S"/>
        <s v="JUMBO  CROISSANT"/>
        <s v="GB BAVARIAN WHIP"/>
        <s v="TROLLEY COVERS"/>
        <s v="MINI SWIS ROLL VANILLACARMEL"/>
        <s v="MINI SWIS ROLL CHOC FILLING"/>
        <s v="MINI SWISS ROLL RED VELVET"/>
        <s v="MADEIRA LOAF CHOC"/>
        <s v="MADEIRA LOAF VINALLA"/>
        <s v="KOEKSISTERS MEDIUM"/>
        <s v="KOEKSISTERS SMALL"/>
        <s v="AMAZING PIES MARK DOWN"/>
        <s v="MACCOY PIES MARK DOWN"/>
        <s v="KOEKSISTERS SMALL 6'S"/>
        <s v="KOEKSISTERS MED  3'S"/>
        <s v="CAPE MELAY DOUGHNUT"/>
        <s v="SCOTCH PANCAKS"/>
        <s v="WHITE CHOC CANACHE"/>
        <s v=" ROUND DOUGHNUT"/>
        <s v="GB SOURDOUGH CIABATTA LOAF"/>
        <s v="WHITE BREAD DOUGH" u="1"/>
        <s v="CONEY ROLL" u="1"/>
        <s v="CAKE SLICE ASSORTED" u="1"/>
      </sharedItems>
    </cacheField>
    <cacheField name="SP" numFmtId="0">
      <sharedItems containsSemiMixedTypes="0" containsString="0" containsNumber="1" minValue="0" maxValue="402.99"/>
    </cacheField>
    <cacheField name="List Cost" numFmtId="4">
      <sharedItems containsSemiMixedTypes="0" containsString="0" containsNumber="1" minValue="0.59" maxValue="210"/>
    </cacheField>
    <cacheField name="Total prod" numFmtId="3">
      <sharedItems containsSemiMixedTypes="0" containsString="0" containsNumber="1" minValue="0" maxValue="780"/>
    </cacheField>
    <cacheField name="Potential Sales" numFmtId="166">
      <sharedItems containsSemiMixedTypes="0" containsString="0" containsNumber="1" minValue="0" maxValue="10912.2"/>
    </cacheField>
    <cacheField name="CP of potential sales" numFmtId="166">
      <sharedItems containsSemiMixedTypes="0" containsString="0" containsNumber="1" minValue="0" maxValue="5740.8"/>
    </cacheField>
    <cacheField name="Potential GP" numFmtId="166">
      <sharedItems containsSemiMixedTypes="0" containsString="0" containsNumber="1" minValue="0" maxValue="5171.4000000000005"/>
    </cacheField>
    <cacheField name="Potential GP%" numFmtId="167">
      <sharedItems containsSemiMixedTypes="0" containsString="0" containsNumber="1" minValue="0" maxValue="89.400170427179418"/>
    </cacheField>
    <cacheField name="GP%" numFmtId="0" formula="('Potential Sales'-'CP of potential sales') /'Potential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5.304393749997" createdVersion="8" refreshedVersion="8" minRefreshableVersion="3" recordCount="6342" xr:uid="{9DD7E8C0-B7B1-48EB-8C99-637612A0E4AF}">
  <cacheSource type="worksheet">
    <worksheetSource name="Plan_vs_actual_data"/>
  </cacheSource>
  <cacheFields count="12">
    <cacheField name="Supplier Name" numFmtId="0">
      <sharedItems/>
    </cacheField>
    <cacheField name="Sub-Department" numFmtId="0">
      <sharedItems containsSemiMixedTypes="0" containsString="0" containsNumber="1" containsInteger="1" minValue="101" maxValue="1142" count="20">
        <n v="101"/>
        <n v="107"/>
        <n v="109"/>
        <n v="106"/>
        <n v="111"/>
        <n v="103"/>
        <n v="105"/>
        <n v="1142"/>
        <n v="119"/>
        <n v="118"/>
        <n v="110"/>
        <n v="102"/>
        <n v="117"/>
        <n v="104"/>
        <n v="108"/>
        <n v="113"/>
        <n v="115"/>
        <n v="120"/>
        <n v="112"/>
        <n v="116"/>
      </sharedItems>
    </cacheField>
    <cacheField name="Product Code" numFmtId="0">
      <sharedItems containsSemiMixedTypes="0" containsString="0" containsNumber="1" containsInteger="1" minValue="2701" maxValue="99991142" count="906">
        <n v="62334"/>
        <n v="52397"/>
        <n v="64714"/>
        <n v="64713"/>
        <n v="64712"/>
        <n v="64711"/>
        <n v="62692"/>
        <n v="62335"/>
        <n v="62333"/>
        <n v="62332"/>
        <n v="49837"/>
        <n v="49835"/>
        <n v="14860"/>
        <n v="14858"/>
        <n v="14857"/>
        <n v="59274"/>
        <n v="99990101"/>
        <n v="66803"/>
        <n v="66656"/>
        <n v="66655"/>
        <n v="66654"/>
        <n v="66653"/>
        <n v="65796"/>
        <n v="65794"/>
        <n v="65793"/>
        <n v="65792"/>
        <n v="65741"/>
        <n v="65740"/>
        <n v="65739"/>
        <n v="65025"/>
        <n v="65024"/>
        <n v="64615"/>
        <n v="64614"/>
        <n v="64596"/>
        <n v="64392"/>
        <n v="64391"/>
        <n v="64390"/>
        <n v="63563"/>
        <n v="62326"/>
        <n v="62321"/>
        <n v="62319"/>
        <n v="62318"/>
        <n v="62302"/>
        <n v="61659"/>
        <n v="61658"/>
        <n v="61657"/>
        <n v="56706"/>
        <n v="56705"/>
        <n v="50628"/>
        <n v="50627"/>
        <n v="50626"/>
        <n v="47453"/>
        <n v="42162"/>
        <n v="39536"/>
        <n v="16663"/>
        <n v="16067"/>
        <n v="16060"/>
        <n v="16058"/>
        <n v="16056"/>
        <n v="15844"/>
        <n v="15843"/>
        <n v="15842"/>
        <n v="15841"/>
        <n v="15840"/>
        <n v="15839"/>
        <n v="15811"/>
        <n v="15799"/>
        <n v="15795"/>
        <n v="15777"/>
        <n v="15774"/>
        <n v="15773"/>
        <n v="15772"/>
        <n v="15771"/>
        <n v="15770"/>
        <n v="15766"/>
        <n v="15337"/>
        <n v="15305"/>
        <n v="15304"/>
        <n v="15273"/>
        <n v="15205"/>
        <n v="14976"/>
        <n v="14596"/>
        <n v="12670"/>
        <n v="2733"/>
        <n v="16123"/>
        <n v="16519"/>
        <n v="50651"/>
        <n v="15080"/>
        <n v="99990107"/>
        <n v="66660"/>
        <n v="66659"/>
        <n v="66658"/>
        <n v="66657"/>
        <n v="64917"/>
        <n v="62235"/>
        <n v="61845"/>
        <n v="61788"/>
        <n v="61786"/>
        <n v="60394"/>
        <n v="60393"/>
        <n v="60392"/>
        <n v="60391"/>
        <n v="60390"/>
        <n v="48392"/>
        <n v="40844"/>
        <n v="40273"/>
        <n v="16146"/>
        <n v="16122"/>
        <n v="16121"/>
        <n v="16120"/>
        <n v="16119"/>
        <n v="16099"/>
        <n v="16091"/>
        <n v="16089"/>
        <n v="16088"/>
        <n v="16087"/>
        <n v="16085"/>
        <n v="16079"/>
        <n v="15988"/>
        <n v="15985"/>
        <n v="15984"/>
        <n v="15983"/>
        <n v="15978"/>
        <n v="15885"/>
        <n v="15860"/>
        <n v="15857"/>
        <n v="15778"/>
        <n v="15757"/>
        <n v="15756"/>
        <n v="15339"/>
        <n v="15336"/>
        <n v="15335"/>
        <n v="15334"/>
        <n v="15306"/>
        <n v="15297"/>
        <n v="15296"/>
        <n v="15295"/>
        <n v="15286"/>
        <n v="15285"/>
        <n v="15284"/>
        <n v="15283"/>
        <n v="15282"/>
        <n v="15281"/>
        <n v="15277"/>
        <n v="15272"/>
        <n v="15270"/>
        <n v="15142"/>
        <n v="15141"/>
        <n v="15120"/>
        <n v="15111"/>
        <n v="15101"/>
        <n v="15098"/>
        <n v="15097"/>
        <n v="15096"/>
        <n v="14970"/>
        <n v="14936"/>
        <n v="15964"/>
        <n v="62327"/>
        <n v="16048"/>
        <n v="16045"/>
        <n v="62331"/>
        <n v="62328"/>
        <n v="15290"/>
        <n v="62320"/>
        <n v="99990109"/>
        <n v="66667"/>
        <n v="66666"/>
        <n v="64321"/>
        <n v="64320"/>
        <n v="62329"/>
        <n v="62325"/>
        <n v="61790"/>
        <n v="61789"/>
        <n v="61787"/>
        <n v="50652"/>
        <n v="50649"/>
        <n v="46077"/>
        <n v="44656"/>
        <n v="44655"/>
        <n v="42167"/>
        <n v="42166"/>
        <n v="42165"/>
        <n v="16518"/>
        <n v="16434"/>
        <n v="16082"/>
        <n v="16061"/>
        <n v="16059"/>
        <n v="16049"/>
        <n v="16047"/>
        <n v="16046"/>
        <n v="16022"/>
        <n v="16021"/>
        <n v="16020"/>
        <n v="15997"/>
        <n v="15972"/>
        <n v="15969"/>
        <n v="15963"/>
        <n v="15962"/>
        <n v="15287"/>
        <n v="15280"/>
        <n v="15278"/>
        <n v="14964"/>
        <n v="14963"/>
        <n v="14952"/>
        <n v="14718"/>
        <n v="14712"/>
        <n v="14721"/>
        <n v="14728"/>
        <n v="66799"/>
        <n v="66665"/>
        <n v="66664"/>
        <n v="66663"/>
        <n v="66662"/>
        <n v="66661"/>
        <n v="65029"/>
        <n v="65028"/>
        <n v="65027"/>
        <n v="65026"/>
        <n v="48498"/>
        <n v="48497"/>
        <n v="48496"/>
        <n v="46182"/>
        <n v="15827"/>
        <n v="15824"/>
        <n v="15822"/>
        <n v="15821"/>
        <n v="15781"/>
        <n v="15780"/>
        <n v="15779"/>
        <n v="14989"/>
        <n v="14988"/>
        <n v="14987"/>
        <n v="14986"/>
        <n v="14984"/>
        <n v="14727"/>
        <n v="14726"/>
        <n v="14723"/>
        <n v="14722"/>
        <n v="14720"/>
        <n v="14719"/>
        <n v="14717"/>
        <n v="14716"/>
        <n v="14715"/>
        <n v="14714"/>
        <n v="14582"/>
        <n v="14947"/>
        <n v="65795"/>
        <n v="64105"/>
        <n v="64104"/>
        <n v="64103"/>
        <n v="64102"/>
        <n v="64101"/>
        <n v="64100"/>
        <n v="64099"/>
        <n v="64098"/>
        <n v="60956"/>
        <n v="59896"/>
        <n v="54883"/>
        <n v="54882"/>
        <n v="16095"/>
        <n v="16094"/>
        <n v="16093"/>
        <n v="16092"/>
        <n v="15961"/>
        <n v="15289"/>
        <n v="15288"/>
        <n v="15118"/>
        <n v="15116"/>
        <n v="15115"/>
        <n v="15113"/>
        <n v="15112"/>
        <n v="15092"/>
        <n v="15081"/>
        <n v="14991"/>
        <n v="14960"/>
        <n v="14951"/>
        <n v="14950"/>
        <n v="14949"/>
        <n v="14948"/>
        <n v="99990103"/>
        <n v="59293"/>
        <n v="57173"/>
        <n v="57172"/>
        <n v="55599"/>
        <n v="51575"/>
        <n v="51573"/>
        <n v="51556"/>
        <n v="51117"/>
        <n v="12677"/>
        <n v="2730"/>
        <n v="2729"/>
        <n v="2720"/>
        <n v="14944"/>
        <n v="14965"/>
        <n v="16078"/>
        <n v="16066"/>
        <n v="15838"/>
        <n v="15755"/>
        <n v="14971"/>
        <n v="14968"/>
        <n v="14967"/>
        <n v="14962"/>
        <n v="14961"/>
        <n v="14959"/>
        <n v="14942"/>
        <n v="14939"/>
        <n v="14938"/>
        <n v="99991142"/>
        <n v="99990119"/>
        <n v="99990118"/>
        <n v="99990110"/>
        <n v="99990102"/>
        <n v="49830"/>
        <n v="49809"/>
        <n v="49807"/>
        <n v="49805"/>
        <n v="49804"/>
        <n v="49803"/>
        <n v="43398"/>
        <n v="42169"/>
        <n v="15800"/>
        <n v="15214"/>
        <n v="15213"/>
        <n v="15212"/>
        <n v="15208"/>
        <n v="14859"/>
        <n v="14854"/>
        <n v="14849"/>
        <n v="14848"/>
        <n v="14847"/>
        <n v="14846"/>
        <n v="14835"/>
        <n v="14834"/>
        <n v="14833"/>
        <n v="14543"/>
        <n v="11523"/>
        <n v="2701"/>
        <n v="34118"/>
        <n v="34027"/>
        <n v="64763"/>
        <n v="64762"/>
        <n v="64761"/>
        <n v="64416"/>
        <n v="62629"/>
        <n v="62614"/>
        <n v="62585"/>
        <n v="61978"/>
        <n v="61814"/>
        <n v="58452"/>
        <n v="56805"/>
        <n v="54019"/>
        <n v="46072"/>
        <n v="43309"/>
        <n v="42296"/>
        <n v="40809"/>
        <n v="40732"/>
        <n v="40305"/>
        <n v="34124"/>
        <n v="34081"/>
        <n v="34080"/>
        <n v="34075"/>
        <n v="34054"/>
        <n v="34040"/>
        <n v="34033"/>
        <n v="34028"/>
        <n v="34025"/>
        <n v="34014"/>
        <n v="33991"/>
        <n v="33021"/>
        <n v="65239"/>
        <n v="65238"/>
        <n v="64633"/>
        <n v="64632"/>
        <n v="63798"/>
        <n v="62620"/>
        <n v="62457"/>
        <n v="60694"/>
        <n v="34140"/>
        <n v="34105"/>
        <n v="34003"/>
        <n v="33038"/>
        <n v="33037"/>
        <n v="33017"/>
        <n v="32130"/>
        <n v="34135"/>
        <n v="34100"/>
        <n v="34087"/>
        <n v="33990"/>
        <n v="33989"/>
        <n v="33988"/>
        <n v="33051"/>
        <n v="33050"/>
        <n v="33049"/>
        <n v="33048"/>
        <n v="33047"/>
        <n v="33046"/>
        <n v="33045"/>
        <n v="33044"/>
        <n v="33043"/>
        <n v="33042"/>
        <n v="33041"/>
        <n v="33040"/>
        <n v="54547"/>
        <n v="58512"/>
        <n v="34687"/>
        <n v="67140"/>
        <n v="65681"/>
        <n v="63800"/>
        <n v="62788"/>
        <n v="62627"/>
        <n v="62622"/>
        <n v="62621"/>
        <n v="62390"/>
        <n v="61950"/>
        <n v="61949"/>
        <n v="61018"/>
        <n v="60832"/>
        <n v="58767"/>
        <n v="58763"/>
        <n v="57167"/>
        <n v="57071"/>
        <n v="56350"/>
        <n v="54617"/>
        <n v="54546"/>
        <n v="54228"/>
        <n v="53528"/>
        <n v="53497"/>
        <n v="42401"/>
        <n v="40158"/>
        <n v="39750"/>
        <n v="34121"/>
        <n v="34119"/>
        <n v="34092"/>
        <n v="34088"/>
        <n v="34086"/>
        <n v="34068"/>
        <n v="34059"/>
        <n v="34052"/>
        <n v="34019"/>
        <n v="34006"/>
        <n v="33027"/>
        <n v="32871"/>
        <n v="32862"/>
        <n v="59477"/>
        <n v="33023"/>
        <n v="59058"/>
        <n v="33013"/>
        <n v="67301"/>
        <n v="67247"/>
        <n v="67246"/>
        <n v="67245"/>
        <n v="67244"/>
        <n v="67243"/>
        <n v="67242"/>
        <n v="67241"/>
        <n v="66952"/>
        <n v="66951"/>
        <n v="66950"/>
        <n v="66435"/>
        <n v="66434"/>
        <n v="65506"/>
        <n v="63394"/>
        <n v="62623"/>
        <n v="62499"/>
        <n v="62290"/>
        <n v="61943"/>
        <n v="61942"/>
        <n v="61941"/>
        <n v="61940"/>
        <n v="61014"/>
        <n v="59223"/>
        <n v="59222"/>
        <n v="59221"/>
        <n v="59220"/>
        <n v="58045"/>
        <n v="55482"/>
        <n v="54430"/>
        <n v="53226"/>
        <n v="53225"/>
        <n v="53212"/>
        <n v="53210"/>
        <n v="53141"/>
        <n v="53119"/>
        <n v="50682"/>
        <n v="46797"/>
        <n v="40065"/>
        <n v="38977"/>
        <n v="34139"/>
        <n v="34130"/>
        <n v="34122"/>
        <n v="34120"/>
        <n v="34106"/>
        <n v="34102"/>
        <n v="34090"/>
        <n v="34089"/>
        <n v="34074"/>
        <n v="34039"/>
        <n v="34037"/>
        <n v="34021"/>
        <n v="33036"/>
        <n v="33025"/>
        <n v="33019"/>
        <n v="33012"/>
        <n v="32869"/>
        <n v="32868"/>
        <n v="32857"/>
        <n v="32155"/>
        <n v="32151"/>
        <n v="32150"/>
        <n v="32149"/>
        <n v="32128"/>
        <n v="32125"/>
        <n v="32124"/>
        <n v="32066"/>
        <n v="42883"/>
        <n v="42875"/>
        <n v="66728"/>
        <n v="42767"/>
        <n v="42921"/>
        <n v="42768"/>
        <n v="43125"/>
        <n v="42915"/>
        <n v="42900"/>
        <n v="42920"/>
        <n v="67302"/>
        <n v="42924"/>
        <n v="42925"/>
        <n v="42769"/>
        <n v="43618"/>
        <n v="66729"/>
        <n v="65274"/>
        <n v="65225"/>
        <n v="61784"/>
        <n v="60730"/>
        <n v="55996"/>
        <n v="54199"/>
        <n v="52034"/>
        <n v="46388"/>
        <n v="45334"/>
        <n v="45161"/>
        <n v="43829"/>
        <n v="43567"/>
        <n v="43127"/>
        <n v="43126"/>
        <n v="43028"/>
        <n v="42923"/>
        <n v="42922"/>
        <n v="42919"/>
        <n v="42916"/>
        <n v="42914"/>
        <n v="42912"/>
        <n v="42911"/>
        <n v="42910"/>
        <n v="42909"/>
        <n v="42908"/>
        <n v="42907"/>
        <n v="42906"/>
        <n v="42902"/>
        <n v="42901"/>
        <n v="42899"/>
        <n v="42898"/>
        <n v="42893"/>
        <n v="42873"/>
        <n v="42871"/>
        <n v="42653"/>
        <n v="42650"/>
        <n v="42648"/>
        <n v="34132"/>
        <n v="8913"/>
        <n v="48598"/>
        <n v="34113"/>
        <n v="8915"/>
        <n v="66806"/>
        <n v="66093"/>
        <n v="66092"/>
        <n v="64488"/>
        <n v="64097"/>
        <n v="63920"/>
        <n v="63578"/>
        <n v="62859"/>
        <n v="62858"/>
        <n v="62857"/>
        <n v="62856"/>
        <n v="62578"/>
        <n v="62577"/>
        <n v="62576"/>
        <n v="62479"/>
        <n v="62360"/>
        <n v="62359"/>
        <n v="62358"/>
        <n v="62357"/>
        <n v="61190"/>
        <n v="61189"/>
        <n v="61188"/>
        <n v="61187"/>
        <n v="61186"/>
        <n v="61185"/>
        <n v="61102"/>
        <n v="60080"/>
        <n v="60076"/>
        <n v="60075"/>
        <n v="59267"/>
        <n v="58367"/>
        <n v="58039"/>
        <n v="56248"/>
        <n v="55738"/>
        <n v="54740"/>
        <n v="53396"/>
        <n v="53395"/>
        <n v="52224"/>
        <n v="51414"/>
        <n v="49765"/>
        <n v="49316"/>
        <n v="48604"/>
        <n v="48599"/>
        <n v="48597"/>
        <n v="48596"/>
        <n v="45712"/>
        <n v="43981"/>
        <n v="43600"/>
        <n v="43420"/>
        <n v="41821"/>
        <n v="38948"/>
        <n v="38947"/>
        <n v="38809"/>
        <n v="38808"/>
        <n v="38807"/>
        <n v="38806"/>
        <n v="35050"/>
        <n v="35049"/>
        <n v="35048"/>
        <n v="35047"/>
        <n v="35046"/>
        <n v="35045"/>
        <n v="35044"/>
        <n v="34935"/>
        <n v="34047"/>
        <n v="32136"/>
        <n v="24047"/>
        <n v="24046"/>
        <n v="24045"/>
        <n v="24044"/>
        <n v="24308"/>
        <n v="24286"/>
        <n v="24653"/>
        <n v="24621"/>
        <n v="24291"/>
        <n v="24105"/>
        <n v="24306"/>
        <n v="24304"/>
        <n v="24633"/>
        <n v="99990105"/>
        <n v="53982"/>
        <n v="50117"/>
        <n v="50116"/>
        <n v="39922"/>
        <n v="39921"/>
        <n v="38941"/>
        <n v="24639"/>
        <n v="24637"/>
        <n v="24636"/>
        <n v="24635"/>
        <n v="24307"/>
        <n v="24305"/>
        <n v="24297"/>
        <n v="24282"/>
        <n v="24096"/>
        <n v="24095"/>
        <n v="24094"/>
        <n v="58844"/>
        <n v="58322"/>
        <n v="53139"/>
        <n v="53134"/>
        <n v="53133"/>
        <n v="53132"/>
        <n v="53131"/>
        <n v="53130"/>
        <n v="53123"/>
        <n v="53122"/>
        <n v="53121"/>
        <n v="63797"/>
        <n v="63796"/>
        <n v="62932"/>
        <n v="62483"/>
        <n v="62482"/>
        <n v="62481"/>
        <n v="62480"/>
        <n v="61337"/>
        <n v="61053"/>
        <n v="60841"/>
        <n v="60812"/>
        <n v="59235"/>
        <n v="34061"/>
        <n v="48861"/>
        <n v="32864"/>
        <n v="55095"/>
        <n v="67418"/>
        <n v="62031"/>
        <n v="61929"/>
        <n v="61928"/>
        <n v="61926"/>
        <n v="61925"/>
        <n v="61923"/>
        <n v="58147"/>
        <n v="56914"/>
        <n v="56594"/>
        <n v="56514"/>
        <n v="56267"/>
        <n v="56177"/>
        <n v="56175"/>
        <n v="56174"/>
        <n v="55627"/>
        <n v="53410"/>
        <n v="49933"/>
        <n v="46909"/>
        <n v="42674"/>
        <n v="41078"/>
        <n v="40926"/>
        <n v="33011"/>
        <n v="32853"/>
        <n v="32147"/>
        <n v="33032"/>
        <n v="48620"/>
        <n v="66308"/>
        <n v="63898"/>
        <n v="54652"/>
        <n v="48683"/>
        <n v="40364"/>
        <n v="39963"/>
        <n v="39421"/>
        <n v="39025"/>
        <n v="38983"/>
        <n v="38908"/>
        <n v="38816"/>
        <n v="38815"/>
        <n v="65777"/>
        <n v="55737"/>
        <n v="55736"/>
        <n v="55735"/>
        <n v="53402"/>
        <n v="53401"/>
        <n v="48980"/>
        <n v="42791"/>
        <n v="42743"/>
        <n v="42742"/>
        <n v="59233"/>
        <n v="64802"/>
        <n v="64801"/>
        <n v="64393"/>
        <n v="62993"/>
        <n v="62933"/>
        <n v="60813"/>
        <n v="60811"/>
        <n v="59234"/>
        <n v="55626"/>
        <n v="54556"/>
        <n v="54555"/>
        <n v="54554"/>
        <n v="54433"/>
        <n v="54316"/>
        <n v="54001"/>
        <n v="53138"/>
        <n v="53124"/>
        <n v="49764"/>
        <n v="45708"/>
        <n v="42747"/>
        <n v="42740"/>
        <n v="40477"/>
        <n v="39865"/>
        <n v="39863"/>
        <n v="39566"/>
        <n v="39399"/>
        <n v="39018"/>
        <n v="34142"/>
        <n v="49483"/>
        <n v="49482"/>
        <n v="49481"/>
        <n v="43152"/>
        <n v="43151"/>
        <n v="43150"/>
        <n v="42954"/>
        <n v="42849"/>
        <n v="42823"/>
        <n v="42822"/>
        <n v="42821"/>
        <n v="42820"/>
        <n v="42819"/>
        <n v="42818"/>
        <n v="42817"/>
        <n v="42816"/>
        <n v="67240"/>
        <n v="67239"/>
        <n v="67238"/>
        <n v="67237"/>
        <n v="67236"/>
        <n v="66187"/>
        <n v="62864"/>
        <n v="53987"/>
        <n v="49479"/>
        <n v="49033"/>
        <n v="46687"/>
        <n v="43041"/>
        <n v="42955"/>
        <n v="42738"/>
        <n v="42112"/>
        <n v="41946"/>
        <n v="41638"/>
        <n v="41637"/>
        <n v="41079"/>
        <n v="39882"/>
        <n v="39881"/>
        <n v="39592"/>
        <n v="39591"/>
        <n v="39493"/>
        <n v="39222"/>
        <n v="39220"/>
        <n v="38912"/>
        <n v="38911"/>
        <n v="38909"/>
        <n v="34336"/>
        <n v="34136"/>
        <n v="34134"/>
        <n v="34101"/>
        <n v="34094"/>
        <n v="34076"/>
        <n v="32056"/>
        <n v="32872"/>
        <n v="32131"/>
        <n v="34095"/>
        <n v="33031"/>
        <n v="59425"/>
        <n v="55481"/>
        <n v="61939"/>
        <n v="61947"/>
        <n v="61938"/>
        <n v="61937"/>
        <n v="57073"/>
        <n v="41620"/>
        <n v="41464"/>
        <n v="39422"/>
        <n v="34690"/>
        <n v="34091"/>
        <n v="34082"/>
        <n v="34079"/>
        <n v="34053"/>
        <n v="34046"/>
        <n v="34042"/>
        <n v="34041"/>
        <n v="34034"/>
        <n v="34022"/>
        <n v="34011"/>
        <n v="33997"/>
        <n v="32067"/>
        <n v="32063"/>
        <n v="32062"/>
        <n v="51680"/>
        <n v="34141"/>
        <n v="42797"/>
        <n v="50037"/>
        <n v="34015"/>
        <n v="34083"/>
        <n v="54018"/>
        <n v="52943"/>
        <n v="42990"/>
        <n v="32127"/>
        <n v="33995"/>
        <n v="32855"/>
        <n v="34008"/>
        <n v="32152"/>
        <n v="59381"/>
        <n v="32859"/>
        <n v="34024"/>
        <n v="34023"/>
        <n v="34070"/>
        <n v="32860"/>
        <n v="32858"/>
        <n v="34004"/>
        <n v="32153"/>
        <n v="14713"/>
        <n v="34934"/>
        <n v="34932"/>
        <n v="34931"/>
        <n v="32863"/>
        <n v="24298"/>
        <n v="14937"/>
        <n v="58843"/>
        <n v="24083"/>
        <n v="24620"/>
        <n v="24081"/>
        <n v="24652"/>
        <n v="24619"/>
        <n v="24631"/>
        <n v="24626"/>
        <n v="24303"/>
        <n v="24634"/>
        <n v="14934"/>
        <n v="24092"/>
        <n v="24088"/>
        <n v="24090"/>
        <n v="24086"/>
        <n v="34727"/>
        <n v="24084"/>
        <n v="24093"/>
        <n v="24089"/>
        <n v="24109"/>
        <n v="24108"/>
      </sharedItems>
    </cacheField>
    <cacheField name="Product Description" numFmtId="0">
      <sharedItems count="888">
        <s v="CAPE BAKERY B/CAKE 1'S BANOFF"/>
        <s v="CANI RUSK FRUIT &amp; NUT 450GR"/>
        <s v="EXQUISITE T/CAKE 1'S CARROT"/>
        <s v="EXQUISITE T/CAKE 1'S FUNFETTI"/>
        <s v="EXQUISITE T/CAKE 1'S CARAM VAN"/>
        <s v="EXQUISITE T/CAKE 1'S CHOC FUDG"/>
        <s v="CANI RUSKS 450GR COCONUT"/>
        <s v="CAPE BAKERY B/CAKE 1'S BLUEB"/>
        <s v="CAPE BAKERY B/CAKE 1'S P/MINT"/>
        <s v="CAPE BAKERY B/CAKE 1'S CARROT"/>
        <s v="SPAR TFS ROLL COMBO"/>
        <s v="SPAR TFS WRAP COMBO"/>
        <s v="CANI RUSK OATS&amp;SUNFLOWER"/>
        <s v="CANI RUSK BUTTERMILK"/>
        <s v="CANI RUSK BRAN SEED&amp;RAIS"/>
        <s v="SBK CROISSANT BUTTER 1'S"/>
        <s v="BAKERY 15%"/>
        <s v="CARB BALANCE WRAPS LOW CARB 6E"/>
        <s v="S/B MUFFIN 1'S CMB TRIP&amp;VAN CH"/>
        <s v="S/B MUFFINS 4'S CMB TRIP&amp;VAN C"/>
        <s v="S/B MUFFINS 4'S VANILLA CHOC"/>
        <s v="S/B MUFFINS 4'S TRIPLE CHOC"/>
        <s v="E/ONE LOVES PITAS SOURDOUGH 6'"/>
        <s v="COIMBRA T/CAKE ORANGE MADEIRA"/>
        <s v="COIMBRA T/CAKE BANANA 1'S"/>
        <s v="COIMBRA T/CAKE APPLE/DATE/WNUT"/>
        <s v="CANI TRAIN COOKIE KIT 740GR"/>
        <s v="CANI COOKIE KIT 400GR"/>
        <s v="CANI BUNNY KIT 374GR"/>
        <s v="COIMBRA STOLLEN AUTHENTIC 1'S"/>
        <s v="COIMBRA KOURIBIEDES TUB 12'S"/>
        <s v="CANI G/BREAD HOUSE KIT 690GR"/>
        <s v="CANI CHRITMAS COOKIE KIT 410GR"/>
        <s v="T/AFFAIR WRAPS SOURDOUGH 5'S"/>
        <s v="CANI CHRISTMAS GINGERBREAD KIT"/>
        <s v="CANI CHRISTMAS COOKIE KIT 430G"/>
        <s v="CANI CHRISTMAS SLEIGH KIT 648G"/>
        <s v="E/ONE LOVES BREADS PITA MINI 1"/>
        <s v="CAPE BAKERY BIRTHDAY CAKE SQU"/>
        <s v="CAPE BAKERY CAKE 6IN B/FOREST"/>
        <s v="CAPE BAKERY CUPCAKES SKILL BOB"/>
        <s v="CAPE BAKERY CUPCAKES DECORATED"/>
        <s v="CAPE BAKERY B/CAKES MINI ASSTD"/>
        <s v="CANI EASTER RUSK 400GR"/>
        <s v="CANI MINI EASTER VILLAGE KIT 6"/>
        <s v="CANI EASTER COOKIE KIT 410GR"/>
        <s v="S/B MELBA 100GR S/D TOMATO"/>
        <s v="S/B MELBA 100GR BLACK PEPPER"/>
        <s v="CANI CRUNCHIES OATS"/>
        <s v="CANI CRUNCHIES CRAN&amp;PUMPK"/>
        <s v="CANI CRUNCHIES CASHEW&amp;MAC"/>
        <s v="T/TIME CAKES M/BUNT ASST"/>
        <s v="SBK SOUR DOUGH LOAF"/>
        <s v="COMESSA PITA BREAD WHITE"/>
        <s v="SSB KOEKSISTERS TRAD"/>
        <s v="MTC RYE &amp; MULTI SEED RND"/>
        <s v="H/B CAKE BLUEBERRY S/L"/>
        <s v="H/B CAKE LEMOEN KOEK S/L"/>
        <s v="H/B CAKE RED VELVET"/>
        <s v="F/L DANISH BLACK FOREST"/>
        <s v="F/L PANCAKES BLUEB SCOTCH"/>
        <s v="F/L P/CAKES SCOTCH COMBO2"/>
        <s v="F/L P/CAKE CIN&amp;APP SCOTCH"/>
        <s v="F/L P/CAKE DBL CHOC SCOT"/>
        <s v="F/L P/CAKES BANAN CHOC SC"/>
        <s v="VIEIRA'S BRAAI BRD GAR&amp;HB"/>
        <s v="VIEIRA'S PIZZA BASE MED"/>
        <s v="VIEIRA'S  PIZZA SAUCE"/>
        <s v="F/L COMBO DANISH"/>
        <s v="F/L CARAMEL&amp;CUSTAD DANISH"/>
        <s v="F/L APPLE DANISH"/>
        <s v="F/L WAFFLES COMBO 2'S"/>
        <s v="F/L WAFFLES SYRUP"/>
        <s v="F/L WAFFLES PLAIN"/>
        <s v="F/L WAFFLES DESSERT"/>
        <s v="F/L MUFFINS CARAMEL FUDGE"/>
        <s v="F/L CHOC ORANGE MUFFINS"/>
        <s v="F/L MUFFIN COMBO 3"/>
        <s v="F/L MUFFINS COMBO LUG"/>
        <s v="C/MUNCH BISC CRUNCHIE"/>
        <s v="F/L CROISSANT CHEESE MINI"/>
        <s v="F/L CROUTONS GARLIC&amp;HERB"/>
        <s v="VIDA LONGA SOFT SERVE L/L VANILLA"/>
        <s v="SMARTBAKER MIX"/>
        <s v="F/L CAKE VANILLA FLAVOURD"/>
        <s v="C/VALUE QUEENIES"/>
        <s v="S/B CAKE RICH CHOC"/>
        <s v="F/L TRAD MILK TART"/>
        <s v="BAKERY F/L INDULGE 15%"/>
        <s v="S/B BLONDIES CRANB &amp; WHT CHOC"/>
        <s v="S/B BROWNIES CHOC 4'S"/>
        <s v="S/B BROWNIES CHOC &amp; PECAN NUTS"/>
        <s v="S/B TRAY CAKE CHOC &amp; VAN 1'S"/>
        <s v="S/B CAKE R/BOW SPONG ICED VAN"/>
        <s v="F/LINE MALVA PUDDING"/>
        <s v="SBK CAKE GATEAUX CHOC GANACHE"/>
        <s v="S/B ROLL H/DOG 3'S BRIOCHE"/>
        <s v="S/B BUNS 3'S BRIOCHE"/>
        <s v="SBK CAKE GATEAUX CHOC RICH 1'S"/>
        <s v="SBK CAKE GATEAUX CHOC MOUSSE 1"/>
        <s v="SBK CAKE GATEAUX CHOC&amp;P/MINT 1"/>
        <s v="SBK CAKE GATEAUX BLACK FOREST"/>
        <s v="SBK CAKE GATEAUX CHOC&amp;CARAM 1'"/>
        <s v="F/L COMBO 2 SOFT ROLL"/>
        <s v="F/L SCOTCH PANCAKES"/>
        <s v="F/L CARAMEL &amp; ICING SWISS ROLL"/>
        <s v="F/L VETKOEK"/>
        <s v="F/L CAKE CHOCOLATE FLAV"/>
        <s v="F/L BLACK FOREST CAKE"/>
        <s v="F/L STRAWBERRY FLAV CAKE"/>
        <s v="F/L DESSERT TOPPING CAKE"/>
        <s v="F/L COMBO SWISS ROLL"/>
        <s v="F/L S/ROLL VANIL LRGE"/>
        <s v="F/L S/ROLL CHOCOLATE"/>
        <s v="F/L S/ROLL CHOC MINI"/>
        <s v="F/L MINI SWISS ROLLS"/>
        <s v="F/L S/ROLL CARAMEL MINI"/>
        <s v="F/L ROTI  BROWN"/>
        <s v="F/L CAKE CARML &amp;CUST FLAV"/>
        <s v="F/L LEMON CHEESE CAKE"/>
        <s v="F/L DESSERT COMBO 1"/>
        <s v="F/L CARAMEL DESSERT"/>
        <s v="F/L TIN ROOF DESSERT"/>
        <s v="F/L STICKY TOFFEE PUDDING"/>
        <s v="F/L CHOCOLATE PUDDING"/>
        <s v="F/L K/SISTERS TRAD"/>
        <s v="F/L COMBO MINI TARTLETS"/>
        <s v="F/L TART MINI LEM&amp;MERINGUE"/>
        <s v="F/L TARTLET MINI MILK"/>
        <s v="F/L RAINBOW SPG SLAB CAKE"/>
        <s v="F/L MUFFINS BANANA"/>
        <s v="F/L MUFFINS BRAN&amp;RAISIN"/>
        <s v="F/L S/BERRY CHOC MUFFINS"/>
        <s v="F/L MUFFINS BLUEBERRY"/>
        <s v="F/L MUFFINS CAPPUCCINO"/>
        <s v="F/L MUFFINS CHOC CHIP"/>
        <s v="F/L BRAN &amp; FRUIT MUFFINS"/>
        <s v="F/L BLUEBERRY MUFFINS"/>
        <s v="F/L BANANA MUFFINS"/>
        <s v="F/L CARROT MUFFINS"/>
        <s v="F/L LEMON &amp; POPPY MUFFINS 6'S"/>
        <s v="F/L MUFFINS COMBO"/>
        <s v="F/L BROWNIES CHOCOLATE"/>
        <s v="F/L HERTZOGGIES"/>
        <s v="COUNTRY VALUE CUPCAKES"/>
        <s v="F/L CUPCAKES VANILLA"/>
        <s v="F/L CUPCAKE BLACK FOREST"/>
        <s v="F/L COMBO CUPCAKES"/>
        <s v="F/L MINI CARAMEL CUPCAKES"/>
        <s v="F/L MIN CUPCAKE CHOC"/>
        <s v="F/L MINI CUPCAKES VANILLA"/>
        <s v="C/VALUE CHELSEA BUN"/>
        <s v="F/L CROISSNTS BUTTER"/>
        <s v="F/L CAKE DARK&amp;WHITE CHOC"/>
        <s v="CAPE BAKERY BIRTHDAY CAKE RND"/>
        <s v="H/B CAKE CHOCOLATE FLAKE"/>
        <s v="H/B CAKE CUSTARD 7INCH"/>
        <s v="CAPE BAKERY B/CAKE 1'S R/VELV"/>
        <s v="CAPE BAKERY B/CAKE 1'S C/CARAM"/>
        <s v="F/L FRUIT &amp; NUT BOSTON"/>
        <s v="CAPE BAKERY CUPCAKES SKIL PART"/>
        <s v="BAKERY F/L SVRY BRE 15%"/>
        <s v="S/B SOURDOUGH BREAD 400GR"/>
        <s v="S/B SOURDOUGH BREAD M/SEED 400"/>
        <s v="S/B CHEESE ROLLS"/>
        <s v="CAPE BAKERY B/CAKE 1'S C&amp;CRM"/>
        <s v="CAPE BAKERY OCCASION CAKE 1'S"/>
        <s v="S/B BAGELS PLAIN 4'S"/>
        <s v="S/B ROLL H/DOG 3'S BRIOCHE SES"/>
        <s v="S/B BUNS 3'S BRIOCHE SESAME"/>
        <s v="S/B CAKE RAINBOW"/>
        <s v="S/B CAKE COFFEE"/>
        <s v="C/VALUE CAKE TRAY I/TRIO"/>
        <s v="F/L ROTIS BROWN LARGE"/>
        <s v="F/L ROTIS LARGE"/>
        <s v="F/L CAKE CV CHOCOLATE"/>
        <s v="F/L CAKE CV VANILLA"/>
        <s v="F/L CAKE CV BLACK FOREST"/>
        <s v="R/SIDE CAKE CHOCOLATE 4T"/>
        <s v="TEATIME CAKE PEPPERMINT"/>
        <s v="F/L NAAN GARLIC BREAD"/>
        <s v="H/B CAKE BLACKFOREST S/L"/>
        <s v="H/B CAKE STRAWBERRY S/L"/>
        <s v="H/B CAKE CHOC MINT"/>
        <s v="H/B CAKE VAN/CARAMEL 7INC"/>
        <s v="H/B CAKE CHOC/CARAMEL 7IN"/>
        <s v="F/L CAKE CHOC &amp; HAZELNUT"/>
        <s v="F/L CAKE CHOC &amp; P/BUTTER"/>
        <s v="F/L CAKE HOT CHOCOLATE"/>
        <s v="F/L CAKE CARROT"/>
        <s v="F/L MILKYBAR FLAV CAKE"/>
        <s v="F/L BAR ONE FLAV CAKE"/>
        <s v="F/L CAKE SPNGE DEATH/CHOC"/>
        <s v="F/L CAKE BLACK FOREST"/>
        <s v="F/L BANANA LOAF"/>
        <s v="F/L GINGER LOAF"/>
        <s v="F/L MADEIRA CAKE"/>
        <s v="F/L BROWN HOTDOG ROLLS"/>
        <s v="F/L BROWN HAMBURGER ROLLS 6'S"/>
        <s v="F/L SOFT WHITE ROLLS"/>
        <s v="F/L ICED CARROT CAKE"/>
        <s v="F/L BREAD GARLIC MINI"/>
        <s v="F/L CHILLI GARLIC BREAD"/>
        <s v="F/L BILTONG BRAAI ROLLS"/>
        <s v="S/B CIABATTA 1'S CHEESE&amp;CHILLI"/>
        <s v="S/B CIABATTA 1'S COMBO 2"/>
        <s v="S/B CIABATTA 1'S COMBO 1"/>
        <s v="S/B CIABATTA 1'S CHEESE&amp;GARLIC"/>
        <s v="S/B CIABATTA 1'S CHEESE&amp;ONION"/>
        <s v="S/B CIABATTA 1'S MARGHERITA"/>
        <s v="S/B BREAD S/GRAIN 1'S COMBO1"/>
        <s v="S/B BREAD S/GRAIN 1'S HERB"/>
        <s v="S/B BREAD S/GRAIN 1'S GARLIC"/>
        <s v="S/B BREAD S/GRAIN 1'S CHS&amp;ONIO"/>
        <s v="F/L COMBO BRAAI ROLLS"/>
        <s v="F/L ROLLS BRAAI COMBO2"/>
        <s v="F/L BRAAI BREAD MIXED"/>
        <s v="F/L WRAPS BROWN LARGE"/>
        <s v="F/L ROOSTERKOEK"/>
        <s v="F/L WRAPS BRAN AND SEED"/>
        <s v="F/L B PEPPER &amp; BASIL WRAP"/>
        <s v="F/L BROWN WRAPS"/>
        <s v="FRESH LINE WRAPS LARGE"/>
        <s v="F/L WRAPS"/>
        <s v="F/L FILLED CIABATTA COMBO"/>
        <s v="F/L CIABATTA CHILLI&amp;CHSE"/>
        <s v="F/L CIABATTA CHSE&amp;ONION"/>
        <s v="F/L CIABATTA S/CHILL&amp;FETA"/>
        <s v="F/L CIABATTA GARLIC"/>
        <s v="F/L JALAPENO BRAAI ROLLS"/>
        <s v="F/L CHSE &amp; TO BRAAI ROLLS"/>
        <s v="F/L SWEET CHIL CHSE BREAD"/>
        <s v="F/LE GARLIC BREAD COMBO 3"/>
        <s v="F/L BRAAI ROLLS GARLIC"/>
        <s v="F/L BRAAI ROLLS HERB"/>
        <s v="F/L BRAAI BREAD CHILLI"/>
        <s v="F/L BRAAIBRD GARLIC"/>
        <s v="F/L BRAAIBRD HERB."/>
        <s v="F/L BRAAIBRD CHSE&amp;ONION"/>
        <s v="F/L CROUTONS"/>
        <s v="F/LINE HOT CROSS BUNS"/>
        <s v="S/B ICED EASTER SQR CAKE"/>
        <s v="S/B BISC CINNAMON SNAPS 200GR"/>
        <s v="S/B BISC CINNAMON SNAPS CHOC 2"/>
        <s v="S/B FRUIT CAKES MIXED MINI 250"/>
        <s v="S/B FESTIVE BRANDY PUDDING 450"/>
        <s v="S/B CIAB FEST APP/CRANB&amp;F/MNCE"/>
        <s v="S/B CIAB FEST CHOC&amp;MIX CITRUS"/>
        <s v="S/B CIAB FEST CHOC &amp; P/MINT 6'"/>
        <s v="S/B PANETTONE 500GR"/>
        <s v="S/B H/CROSS BUNS MINI TRAD 12'"/>
        <s v="SBK XMAS CAKE ALCOHOL 900GR"/>
        <s v="S/B XMAS FRT CAKE ICED ALC 900"/>
        <s v="S/B XMAS FRT CAKE ALC 750GR"/>
        <s v="F/L ICED CHRISTMAS CAKE"/>
        <s v="F/L XMAS FRUIT CAKE"/>
        <s v="F/L STEAM XMAS PUDD"/>
        <s v="F/L XMAS TRIFLE SPONGE"/>
        <s v="F/L XMAS MINCE PIE RANGE"/>
        <s v="F/L XMAS MINCE PIES"/>
        <s v="F/L FESTIVE CHOC LOG CAKE"/>
        <s v="F/L CUPCAKES LUX COMBO1"/>
        <s v="F/L CUPCAKES CARAMEL C/M"/>
        <s v="F/L CUPCAKE GL S/BERRY"/>
        <s v="F/L CUPCAKES CHOC MOUSSE"/>
        <s v="F/L FESTIVE CUPCAKES"/>
        <s v="F/L EASTER CUP CAKE"/>
        <s v="F/L RAISIN FREE HOT X BUN"/>
        <s v="F/L HOT X BUN COMBO3"/>
        <s v="FL CARA&amp;CHOC FLAV HOTXBUN"/>
        <s v="F/L CAR&amp;CHOC CROSS BUNS"/>
        <s v="F/L CHOC HOTX  BUN 6'S"/>
        <s v="F/L EXTRA SPICY H/CROSS BUNS"/>
        <s v="BAKERY INGREDIENTS 15%"/>
        <s v="SBK MIX CRUNCHIE 5KG"/>
        <s v="P/SKY S/DOUGH ART A/GRAIN 500G"/>
        <s v="P/SKY S/DOUGH ART C/WHEAT 500G"/>
        <s v="SBK FTO PASTEIS DE NATA"/>
        <s v="SBK MIX MADEIRA BUTTER"/>
        <s v="SBK MIX COASTAL SCONE"/>
        <s v="SB PREMIX CRUST CRISPY"/>
        <s v="SBK PAN RELEASE OIL"/>
        <s v="VIDA S/SERVE L/L STRAWB"/>
        <s v="SBK PREMIX SWEET N LIGHT"/>
        <s v="SB PREMIX SOFT SILKY WHT"/>
        <s v="SB WHITE BREAD FULL MIX"/>
        <s v="F/L BUNS HAMB S/SEED"/>
        <s v="F/L W/W SANDWICH ROLLS"/>
        <s v="F/L ROTI"/>
        <s v="MTC RYE &amp; MULTI SEED"/>
        <s v="C/VALUE SCONES"/>
        <s v="F/L BRD RYE GERMAN"/>
        <s v="C/VALUE LUNCH BUNS"/>
        <s v="F/L BROWN ROLL COMBO"/>
        <s v="F/L JUMBO SEEDED H/B ROLL"/>
        <s v="F/L ROLLS FOOTLONG"/>
        <s v="C/VALUE LOAVES MINI"/>
        <s v="F/L ROLLS PORTUGUESE"/>
        <s v="F/LINE BRD CIABATTA WHITE"/>
        <s v="F/L ROLLS HOTDOG"/>
        <s v="F/L W/WHEAT SEEDED"/>
        <s v="BAKKERY LABELS 15%"/>
        <s v="OWN CAKES 15%"/>
        <s v="OWN PIZZA 15%"/>
        <s v="BAKERY F/L SVRY SNAC 15%"/>
        <s v="CONFECTIONARY 15%"/>
        <s v="SPAR TFS PIZZA COMBO"/>
        <s v="SPAR TFS PIZZA BBQ CHICK"/>
        <s v="SPAR TFS PIZZA REGINA"/>
        <s v="SPAR TFS PIZZA MARGHERITA"/>
        <s v="SPAR TFS PIZZA HAWAIIAN"/>
        <s v="SPAR TFS PIZZA CLUB"/>
        <s v="F/L COMBO CROUTONS"/>
        <s v="SBK SOURDOUGH RYE"/>
        <s v="VIEIRA'S PIZZA BASES LARG"/>
        <s v="CRUNCHIE BISCUIT"/>
        <s v="GINGER BISCUIT"/>
        <s v="C/MUNCH BISC ASST"/>
        <s v="CANI RUSK BRAN DOUBLE"/>
        <s v="CANI RUSK REFINED S/F"/>
        <s v="F/L BOERE BESKUIT"/>
        <s v="F/L RUSKS MUESLI"/>
        <s v="F/L RUSK"/>
        <s v="F/L BRAN RUSK"/>
        <s v="F/L RUSKS RAISIN BRN&amp;SEED"/>
        <s v="F/L RUSKS BUTTERMILK"/>
        <s v="F/L RUSKS DOUBLE BRAN"/>
        <s v="PAPPAS SNACK PACK FIVE"/>
        <s v="PIEMANS CHICKEN PERI/PERI"/>
        <s v="SPAR SC PALM OIL"/>
        <s v="GINGER BISCUITS 500G"/>
        <s v="GARLIC BUNS 6'S"/>
        <s v=" CRUNCHIE BISCUITS 500G"/>
        <s v=" CRUNCHIE BISCUITS 1KG"/>
        <s v="BULK CRUNCHIE BISCUITS"/>
        <s v="MINI SWISSROLLS 5'S"/>
        <s v="BULK CHOC CHIP BISCUITS"/>
        <s v="BEANTREE BISC CHOC"/>
        <s v="BULK BISCUITS 1KG"/>
        <s v="GATUE CAKES"/>
        <s v="HOT CROSS BUN LOAF"/>
        <s v="MELTING MOMENTS"/>
        <s v="LUXURY COOKIES"/>
        <s v="SUNNYSEED BREAD"/>
        <s v="PIEMANS MINI PIES ASSORTED"/>
        <s v="BISCUITS 250G"/>
        <s v="GARLIC BUNS SINGLE"/>
        <s v="SOUR DOUGH PIZZA SLICE"/>
        <s v="MARKDOWN GINGER BISCUITS 500G"/>
        <s v="PIZZA SLICE"/>
        <s v="KELLOGGS BISCUIT 500G"/>
        <s v="BISCUIT COCNUT 500G"/>
        <s v="BISCUIT COCONUT 1KG"/>
        <s v="BAKERS MIX"/>
        <s v="REGINA PIZZA"/>
        <s v="MARGHERITA PIZZA"/>
        <s v="HAWAIAN PIZZA"/>
        <s v="GARLIC LOAF"/>
        <s v="FOUR SEASONS PIZZA"/>
        <s v="CHICKEN MUSHROOM &amp; PEPPERDEW PIZZA"/>
        <s v="VEGETARIAN PIZZA"/>
        <s v="SALAMI FETA &amp; OLIVE PIZZA"/>
        <s v="ALTAS MILKTART MEDIUM"/>
        <s v="CREMORA TART"/>
        <s v="C/T MILKTARTLET"/>
        <s v="BLACK FOREST CAKE"/>
        <s v="MINI CAKE"/>
        <s v="BUDGET CAKE"/>
        <s v="OREO  CAKE"/>
        <s v="ROUND CAKE ASST."/>
        <s v="VERJAARSDAGKOEK GROOT"/>
        <s v="DESSERT TOPPING VANILLA CAKE"/>
        <s v="BOX CAKE WITH ICING"/>
        <s v="YOGHURT TART"/>
        <s v="LEMON MERAINGUE TART"/>
        <s v="PEPPERMINT TERT"/>
        <s v="CARROT CAKE"/>
        <s v="SADE :SESAME"/>
        <s v="COCOA POWDER"/>
        <s v="IMMATATION CREAM"/>
        <s v="FRUIT TRIFLE"/>
        <s v="TOPPING SALAMI"/>
        <s v="TOPPING PINEAPPLE"/>
        <s v="TOPPING PEPPERDEW"/>
        <s v="TOPPING AVO"/>
        <s v="TOPPING OLIVES"/>
        <s v="TOPPING MUSHROOM"/>
        <s v="TOPPING HAM"/>
        <s v="TOPPING GREEN PEPPER"/>
        <s v="TOPPING GARLIC"/>
        <s v="TOPPING FETA"/>
        <s v="TOPPING CHICKEN MAYO"/>
        <s v="TOPPING CHEESE"/>
        <s v="TOPPING BANANA"/>
        <s v="TOPPING BACON"/>
        <s v=" MINI GATSBY"/>
        <s v="MEDITERRANEAN SQUARE"/>
        <s v="HOTDOG ROLLS"/>
        <s v=" C/TAIL BUNS"/>
        <s v="CINNAMON BUN 6'S"/>
        <s v="CHAKALAKA BREAD"/>
        <s v="MEATY SQUARE"/>
        <s v="BROWN HAMBURGER ROLLS 6'S"/>
        <s v="SEEDED HAMBURGER ROLLS 6'S"/>
        <s v="SEEDED HOTDOG ROLLS 6'S"/>
        <s v="MADEIRA LOAF MINI"/>
        <s v="LARGE CRUNCHIE BISCUIT"/>
        <s v="LARGE MELTING MOMENT BISCUIT"/>
        <s v="SEEDED HAMBURGER ROLL"/>
        <s v="WHITE BREAD STD BULK"/>
        <s v="TOMATO,ONION &amp; CHEESE SQUARE"/>
        <s v="C/TAIL SEEDED BUNS"/>
        <s v="GATSBY ROLL"/>
        <s v="FOCACCIA CHAKALAKA"/>
        <s v="FOCACCIA SLICE"/>
        <s v="PIZZA BOAT MEATY"/>
        <s v="BABY FOCACCIA"/>
        <s v="CHAKALAKA ROLL"/>
        <s v="MADEIRA LOAF"/>
        <s v="PARTY WHEEL 30'S"/>
        <s v="BANANA BREAD MINI"/>
        <s v="JELLY CREAM TART SMALL"/>
        <s v="PARTY WHEEL 15'S"/>
        <s v="HOTDOG ROLLS BULK"/>
        <s v="HAMBURGER BUNS BULK"/>
        <s v="CHEESE BUNS"/>
        <s v="BULK C/TAIL BUNS"/>
        <s v="BREAD CRUMBS"/>
        <s v="VETKOEK COCKTAIL"/>
        <s v="SUITABLE FOR TOAST"/>
        <s v="POTBREAD"/>
        <s v="CONEY ROLL"/>
        <s v="BRUINBROODDEEG"/>
        <s v="SEED LOAF"/>
        <s v="LEMON MEGANGUE TARTLETTE"/>
        <s v="JAM DOUGHNUT"/>
        <s v="MINI MUFFIN CHOC CHIP"/>
        <s v="SCONES 6'S"/>
        <s v="MINI MUFFIN B/BERRY"/>
        <s v="MINI MUFFIN CAPPUCINO"/>
        <s v="CARAMEL &amp; CUSTARD DANISH"/>
        <s v="VANIILA CAKE SLICE"/>
        <s v="CARROT CAKE SLICE"/>
        <s v="CHOC MOUSSE SLICE"/>
        <s v="MOIST CHOC LOAF"/>
        <s v="MOIST VANILLA LOAF"/>
        <s v="MOIST VANILLA PUDDING"/>
        <s v="MOIST CHOC PUDDING"/>
        <s v="MINI CUPCAKE VANILLA"/>
        <s v="MINI CUPCAKE CARAMEL"/>
        <s v="MINI CUPCAKE CHOC"/>
        <s v="APPLE DANISH"/>
        <s v="BLACK FOREST DANISH"/>
        <s v="COCANUT SLICE"/>
        <s v="C/TAIL-RING DOUGHNUT 3'S"/>
        <s v="PEANUT BUTTER BARS"/>
        <s v="BREAD &amp; BUTTER PUDDING"/>
        <s v="ROCKY ROAD TREAT"/>
        <s v="ROCK BUN 2'S"/>
        <s v="SCONE 2'S"/>
        <s v="CHOCOLATE BREAD TWIST"/>
        <s v="GARLIC TWIST"/>
        <s v="MINI MUFFIN CARROT"/>
        <s v="MINI MUFFIN CARAMEL"/>
        <s v="MINI MUFFIN LEM &amp; POPPY SEED"/>
        <s v="MINI MUFFIN BRAN"/>
        <s v="MINI MUFFIN BANANA"/>
        <s v=" BULK C/T RING DOUGHNUT"/>
        <s v="SAVOURY ROLL"/>
        <s v="PEPPERMINT CRUSH CUP"/>
        <s v=" CHOCOLATE SLICE"/>
        <s v="AP RED VELVET SLICE"/>
        <s v="ASS DELIGHTS"/>
        <s v="RED VELVET CAKE"/>
        <s v="B COPENHAGEN"/>
        <s v="B CHELSEA BUN"/>
        <s v="JELLY CREAM TART MEDIUM"/>
        <s v="CHOCOLATE SWISS ROLL"/>
        <s v="DOUGHNUT IMITAT CREAM 2'S"/>
        <s v="CARAMEL DOUGHNUT"/>
        <s v="VANILLA SPONGE"/>
        <s v="PLAAT ONVERSIER HEEL"/>
        <s v="JAM SWISS ROLL"/>
        <s v="HERTZOGGIES"/>
        <s v="DOUGHNUT C/TAIL C/MEL"/>
        <s v="CROISSANT IMMATATION CREAM LARGE"/>
        <s v="C/TAIL PEPPERMINT TERT"/>
        <s v="C/TAIL LEMON MERINGUE 6'S"/>
        <s v="YOGHURT &amp; MUESLI"/>
        <s v="LAMINGTON WITH IMMITATION CREAM"/>
        <s v="IMMITATION CREAMY BUNS 6'S"/>
        <s v="CUSTARD BUNS 6'S"/>
        <s v="TEMPTING TREATS PLATTER"/>
        <s v="SCONES GEVUL"/>
        <s v="POEDING ASSORTED"/>
        <s v="MALVA PUDDING FAMILY"/>
        <s v="LEMINGTON C/TAIL IMMATATION CREAM"/>
        <s v="LEMINGTON C/TAIL"/>
        <s v="BACON AVO &amp; FETA PIZZA"/>
        <s v="FILLED C/TAIL DOUGHNUT"/>
        <s v="DOUGHNUT COCONUT"/>
        <s v="DOUGHNUT C/TAIL IMMITATION CREAM"/>
        <s v="DOUGHNUT CINNAMON &amp; SUGAR 4S"/>
        <s v="CAKE SLICE ASSORTED"/>
        <s v="C/T AILRING DOUGHNUT"/>
        <s v="C/TAIL MILKTARTS 6'S"/>
        <s v="ASSORTED LARGE CUPCAKE"/>
        <s v="CARROT CAKE DOUBLE"/>
        <s v="BAR-ONE CAKE SQUARE"/>
        <s v="BUDGET  CARROT CAKE"/>
        <s v="BUDGET  ROND  CAKE"/>
        <s v="COFFEE CARAMEL TART"/>
        <s v="CHOCOLATE MOUSSE CAKE"/>
        <s v="DATE BALLS/CHOC OATS COMBO"/>
        <s v="LAMINGTONS/CUPCAKE COMBO (12)"/>
        <s v="CARROT MUFFINS (12)"/>
        <s v="SWEET MIX LARGE (12)"/>
        <s v="CUP CAKES (12) MIX"/>
        <s v="MILK TART"/>
        <s v="MILK TART MEDIUM"/>
        <s v="SWEET TREAT 6'S"/>
        <s v="CHICKEN PIES"/>
        <s v="COOKIES &amp; CREAM CAKE"/>
        <s v="CUP CAKES  VANILLA (12)"/>
        <s v="SAUSAGE ROLLS"/>
        <s v="QUICHE LARGE"/>
        <s v="RED VELVET CUP CAKES (6)"/>
        <s v="CARROT MUFFINS MINI (12)"/>
        <s v="TRAD HERTZOGGIES (12)"/>
        <s v="SAVOURY MIX 14'S"/>
        <s v="CUP CAKE MINI"/>
        <s v="CHOC OATS CLUSTERS"/>
        <s v="MILK TART CUPS CAKES (6)"/>
        <s v="PEPPERMINT TART"/>
        <s v="SAVOURY MIX 6'S"/>
        <s v="QUICHES 6'S"/>
        <s v="ECLAIRS (6)"/>
        <s v="LEMON MERINGUE TART"/>
        <s v="SWEET MIX SMALL (12)"/>
        <s v="LAMINGTONS/CUPCAKE COMBO (6)"/>
        <s v="LAMINGTONS (6)"/>
        <s v="HERTZOGGIES (6)"/>
        <s v="HERTZOGGIES (12)"/>
        <s v="ECLAIRS (12)"/>
        <s v="CUP CAKES (6)"/>
        <s v="CUP CAKES (12)"/>
        <s v="CREAM HORNS (8)"/>
        <s v="CHOCOLATE MOUSSE CUP CAKES (6)"/>
        <s v="CARAMEL HORNS (8)"/>
        <s v="CARROT MUFFINS (6)"/>
        <s v="APPLE CRUMBLE (6)"/>
        <s v="APPLE CRUMBLE (12)"/>
        <s v="COFFEE CARAMEL CAKE"/>
        <s v="DATE BREAD"/>
        <s v="BAR-ONE LOAF"/>
        <s v="CARAMEL DELUXE CAKE"/>
        <s v="HORNS"/>
        <s v="BAR ONE CAKE"/>
        <s v="PORTUGUESE ROLL"/>
        <s v="TINKIES H&amp;H  CHO&amp;VAN"/>
        <s v="SPOOKASEM STRAWBERRY  85G"/>
        <s v="TINKIES H&amp;H STR&amp;VAN"/>
        <s v="GB SOURDOUGH CIABATTA LOAF"/>
        <s v="CRUNCHIE BISCUITS 200G"/>
        <s v="GINGER BISCUITS 200G"/>
        <s v="B/WORS ROLL BAKERY"/>
        <s v="CINNAMON BUN 2S"/>
        <s v="GARLIC LOOSE BAK"/>
        <s v="B-LICIOUS MERINGUE"/>
        <s v="PEAR TARTS"/>
        <s v="GRENADILLA CAKE"/>
        <s v="CARAMEL VANILLA"/>
        <s v="CHOCLATE CAKE"/>
        <s v="CAPPUCCINO CREAMS"/>
        <s v="BISCUITS ASSORTED"/>
        <s v="LEMON CREAMS"/>
        <s v="RUSSIAN &amp; CHIPS BUNNY CHOW"/>
        <s v="MINI  DOUBLE DELIGHT STRIPS 5'S"/>
        <s v="MINI OAT CRUNCHIES STRIPS 5'S"/>
        <s v="MINI CHOC CHIP STRIPS 5'S"/>
        <s v="MINI GINGER STRIPS 5'S"/>
        <s v="AMRICAN SINGLE"/>
        <s v="OATIES SINGLE"/>
        <s v="SHORT BREAD SINGLE"/>
        <s v="YOGHURT CREAMS"/>
        <s v="OATIES"/>
        <s v="CHOCOLATE CREAMS"/>
        <s v="X/FRUITY BUN MIX"/>
        <s v="MANGO&amp;MACADAMIA S/BAR"/>
        <s v="DARK CHOC COATED"/>
        <s v="SEED CRACKERS"/>
        <s v="SPOOKASEM BLACK SODA 85G"/>
        <s v="SPOOKASEM BUBBLE-BERRY  85G"/>
        <s v="SCOTTY'S STREAKY BACON"/>
        <s v="NAVY BLUE FOOD GEL COLOURING"/>
        <s v="GARLIC &amp; HERB BAKKERY"/>
        <s v="WC MILLING CRISPY ROLL MIX"/>
        <s v="WC MILLING SOFT ROLL MIX"/>
        <s v="BUN SPICE"/>
        <s v="GARLIC  CRUSHED"/>
        <s v=" RICH'S  PARBAKED PIZZA"/>
        <s v="SPOOKASEM NAARTJIE  85G"/>
        <s v="GB DIP -WHITE"/>
        <s v="SPOOKASEM BLACK CHERRY 85G"/>
        <s v="SPOOKASEM BUBBLEGUM  85G"/>
        <s v="SPOOKASEM CREAMSODA  85G"/>
        <s v="XMAS RIBBON"/>
        <s v="LIGHT COCOA POWDER"/>
        <s v="RUSKS"/>
        <s v="CINNAMON BUN"/>
        <s v="POLONY &amp; CHIPS BUNNY CHOW"/>
        <s v="WC MILLING BROWN BREAD MIX 9.5KG"/>
        <s v="WC MILLING WHITE BREAD MIX 9.5KG"/>
        <s v="BUTTERMILK ANISEED RUSKS"/>
        <s v="BUTTERMILK HOPS RUSK"/>
        <s v="WHOLEWHEAT  HOP ANISEED RUSKS"/>
        <s v="BUTTERMILK PECAN NUT RUSKS"/>
        <s v="ANISEED HOP BESKUIT"/>
        <s v="BREAKFAST RUSKS HOP"/>
        <s v="MUESLI RUSKS"/>
        <s v="ALL BRAN RUSKS"/>
        <s v="WHOLEWHEAT RUSKS HOP"/>
        <s v="BUTTER EAT-SUM-MORE RUSKS"/>
        <s v="TRADIITONAL HOP BESKUIT"/>
        <s v="ALB TINKIES CHOC POT"/>
        <s v="MULTI SEED SANDWICH WEDGE"/>
        <s v="CIABATTA"/>
        <s v="WC MILLING FLOUR WHITE BREAD"/>
        <s v="WC MILLING WHEAT CRUSHED"/>
        <s v="WC MILLING CAKE FLOUR"/>
        <s v="WC MILLING FLOUR BROWN BREAD"/>
        <s v="B/R  DUO HIGH  FIBRE"/>
        <s v="B/R CLASSIC WHITE"/>
        <s v="ALB  E/DAY BRN THCK"/>
        <s v="ALB LGI W/W BROWN"/>
        <s v="B/R CLASSIC BROWN"/>
        <s v="S/O BROWN DU LGI CR/BERRY"/>
        <s v="B/R SQUARE M/SEED"/>
        <s v="B/R S/W SQUARE WHITE"/>
        <s v="ALB SUP SUST WHITE"/>
        <s v="BAKERY BUY-INS 15%"/>
        <s v="SPAR STACK CHSE FLAV"/>
        <s v="BrBrown_STD/Swch_600g_SlBg_Sas"/>
        <s v="BrWhite_STD/Swch_600g_SlBg_Sas"/>
        <s v="SPAR STACK RYE&amp;CAR"/>
        <s v="SPAR STACK TOM&amp;HERB"/>
        <s v=" SOUR DOUGH BREAD"/>
        <s v="ALB SUP WHITE ROLLS"/>
        <s v="ALBANY ROLLS SUP BOB WHT"/>
        <s v="ALB BUNS SUP WHITE"/>
        <s v="ALBANY E/DAY WHITE BREAD"/>
        <s v="B/R SQUARE WW"/>
        <s v="B/R  S/WICH SQ BROWN"/>
        <s v="B/R TOASTER BROWN"/>
        <s v="B/RIBBON BRD BRW S/W SLIC"/>
        <s v="SASKO BUN REGULAR PLAIN"/>
        <s v="SASKO ROLL REGULAR PLAIN"/>
        <s v="S/O REG L/GI SESAME BUN"/>
        <s v="EURO CHOC MIX"/>
        <s v="PETTINA SPONGE CHOC"/>
        <s v="EUR COLD GLAZE COCOA"/>
        <s v="PIE APPLES AUSTRIAN PRIME"/>
        <s v="DONUT GLAZE WHITE"/>
        <s v="DONUT GLAZE STRAWBERRY"/>
        <s v="DONUT GLAZE CARAMEL"/>
        <s v="DONUT GLAZE BANANA"/>
        <s v="JENNA'S VANILLA  CAKE/MUFFIN MIX"/>
        <s v="JENNA'S RED VEL CAKE/MUFFIN MIX"/>
        <s v="JENNA'S CHOC CAKE/MUFFIN MIX"/>
        <s v="SPONGE ROUND 6 PLAIN"/>
        <s v="SPONGE ROUND 6 CHOC"/>
        <s v="SPONGE ROUND 8 PLAIN"/>
        <s v="CHOC CAKE 8 MOIST"/>
        <s v="SPONGE ROUND 8 RED VELVET"/>
        <s v="SPONGE ROUND 8 CHOC"/>
        <s v="FRUITELIOUS BLUEBERRY"/>
        <s v="YUM-YUMS"/>
        <s v="DANISH CHOC TWIST"/>
        <s v="DONUT POPS CUPS"/>
        <s v="FRENCH DONUT"/>
        <s v="FRUITELICOUS BLACK FOREST"/>
        <s v="SWISS JAM ROLL"/>
        <s v="KOEKSISTERS SMALL 6'S"/>
        <s v="KOEKSISTERS SMALL"/>
        <s v="CAPE MELAY DOUGHNUT"/>
        <s v="EUROPEAN STYLE WHIP TOPPING"/>
        <s v="B/BERRY MUFFINS 4&quot;S"/>
        <s v="MADEIRA LOAF VINALLA"/>
        <s v="MADEIRA LOAF CHOC"/>
        <s v="MINI SWISS ROLL RED VELVET"/>
        <s v="MINI SWIS ROLL CHOC FILLING"/>
        <s v="MINI SWIS ROLL VANILLACARMEL"/>
        <s v="SCOTCH PANCAKS"/>
        <s v="WNB JUMBO MUFFIN B/FOREST"/>
        <s v="WNB JUMBO CARAMEL"/>
        <s v="GB BAVARIAN WHIP"/>
        <s v="JUMBO MUFFIN ORANGE"/>
        <s v="JUMBO MUFFIN LEM&amp;POPPYSEED"/>
        <s v=" JUMBO MUFFIN CUPPUCINNO"/>
        <s v=" JUMBO MUFFIN B/BERRY"/>
        <s v="MAC SPONGE COLOURLESS"/>
        <s v="KOEKSISTERS MED  3'S"/>
        <s v="WHIP N GO CHOC ICING"/>
        <s v="CHELSEA BUN"/>
        <s v="C/TAIL APPLE DANISH"/>
        <s v="MIXED FRUIT"/>
        <s v="DONUT MIX SP"/>
        <s v="MINI CUPCAKES"/>
        <s v="BROWNIE SLICE"/>
        <s v="DELIGHTFULLY DECADENT PLATTER"/>
        <s v="SLICE TIRAMISU"/>
        <s v="CHEESE CAKE SLICED"/>
        <s v=" ROUND DOUGHNUT"/>
        <s v="WHITE CHOC CANACHE"/>
        <s v="JUMBO  CROISSANT"/>
        <s v="GB ECLAIR JUMBO"/>
        <s v="GB TART BASE MINI SWEET"/>
        <s v="GB ECLAIR C/TAIL"/>
        <s v="GB TART BASE LARGE-SWEET"/>
        <s v="GB WONDER WHIP VANILLA"/>
        <s v="GB PRE-FRIED RING DOUGHNUT"/>
        <s v="GB C/TAIL PRE-FRIED RING DOUGHNUT"/>
        <s v="GB C/TAIL PRE-FRIED LONG DOUGHNUT"/>
        <s v="GB PRE-FRIED LONG DOUGHNUT"/>
        <s v="VERMICELLI COLOURS"/>
        <s v="DEEP NAVY BLUE GEL FOOD COL"/>
        <s v="DEEP FOREST GREEN  GEL FOOD COL"/>
        <s v="DEEP WHITE GEL FOOD COL"/>
        <s v="VERMICELLI CHOC"/>
        <s v="EDIBLE  GLITTERS"/>
        <s v="RED RED FOOD GEL COLOURING"/>
        <s v="SUPER BLACK GEL FOOD COL"/>
        <s v="DEEP PINK GEL FOOD COL"/>
        <s v="PUFF PASTRY HORN"/>
        <s v="YUM-YUMS CHOC"/>
        <s v="YUM-YUMS  3'S"/>
        <s v="EASY DIP CHOCOLATE"/>
        <s v="INTENS FRESHNESS"/>
        <s v="FRUITELIOUS CHOCLATE"/>
        <s v="KRO-NUTS"/>
        <s v="DONUT POPS"/>
        <s v="FRUITELIOUS STR/BERRY"/>
        <s v="CREAM CHEESE ICING"/>
        <s v="YELLOW PEPPER"/>
        <s v="RED PEPPER"/>
        <s v="GREENPEPPER"/>
        <s v="SCOTTY'S BACK BACON"/>
        <s v="MUSHROOM  PP"/>
        <s v="MOZARELLA  GRATED"/>
        <s v="LA OLA"/>
        <s v="MADEIRA MIX"/>
        <s v="RICH'S PARNAKED PIZZA"/>
        <s v="GLITTER SILVER"/>
        <s v="100G LUSTRE D/POWDER SUN GOLD"/>
        <s v="GLITTER  PINK"/>
        <s v="CHEDDAR MINI LOAF"/>
        <s v="AMIBIANTE TOPPING INT"/>
        <s v="WHIP N GO VANILLA"/>
        <s v="GLITTER-GOLD"/>
        <s v="CAKE SHEET"/>
        <s v="YEAST"/>
        <s v="Water"/>
        <s v="Bakery Salt"/>
        <s v="White Vinegar"/>
        <s v="Spar Sugar White"/>
        <s v="SC Sunflower Oil"/>
        <s v="Nestle Caramel Treat"/>
        <s v="Bakers Yeast"/>
        <s v="Bakery Sugar"/>
        <s v="Bakery Brown Bread Flour"/>
        <s v="Bakery White Bread Flour"/>
        <s v="Bakery Crushed Wheat"/>
        <s v="Bakery Brown Bread Mix"/>
        <s v="Bakery White Bread Mix"/>
        <s v="Bakery Cake Flour"/>
        <s v="CARROT CAKE MIX"/>
        <s v="NO-BAKE CHOC"/>
        <s v="CHOCOMOUSSE MIX"/>
        <s v="IVORY  MOIST  CAKE MIX"/>
        <s v="EBONY MOIST CHOC CAKE MIX"/>
        <s v="CHOC MUFFIN BATTER"/>
        <s v="SYRUP GOLDEN"/>
        <s v="CREAMY YELLOW"/>
        <s v="SUNFLOWER SEED"/>
        <s v="VANILLA  ESSENCE"/>
        <s v="DARK BLOCK SLICE"/>
        <s v="ASST MUFFIN BATTER"/>
        <s v="BICARBONATE SODA"/>
        <s v="RUBY PINK CHOC BLOCK"/>
        <s v="MASTERMARG WHITE"/>
        <s v="PETT ICING SUGAR"/>
        <s v="CINNAMON GROUND"/>
        <s v="LEMINGTON CHOC"/>
        <s v="MIXED SPICES"/>
        <s v="INSTANT THICKEN"/>
        <s v="BAVARIAN SUPREME"/>
        <s v="SESAME SEED"/>
        <s v="LEMINGTON R/BERRY"/>
        <s v="GINGER PDR GRN"/>
        <s v="MASTERMARG YELLOW"/>
        <s v="NIBS CHOCKEX"/>
        <s v="BAKELS DELIGHT"/>
        <s v="PETTINA SPONGE"/>
        <s v="CREAM OF TARTAR"/>
        <s v="SADE :SONNEBLOM"/>
        <s v="SADE : POPPY"/>
        <s v="COCONUT"/>
        <s v="CHERRIES"/>
        <s v="BAKING POWDER"/>
        <s v="ANYS"/>
        <s v="MEDIUM MILKTART"/>
        <s v="CHOC CHIP BISCUITS 500G"/>
        <s v="SLICE MILK TART"/>
        <s v="BROWN BREAD STD"/>
        <s v="BEESTING ROLL"/>
        <s v="MADEIRA COCANUT SLICE"/>
        <s v="CUSTARD DELIGHT"/>
        <s v="SCHOOL BUN 8'S"/>
        <s v="CUSTARD BUNS 3'S"/>
        <s v="FOCACCIA  CHICKEN MAYO"/>
        <s v=" JUMBO MUFFIN ALL BRAN"/>
        <s v="OUPA BROOD"/>
        <s v="CREAM HORN"/>
        <s v="OUMA BROOD"/>
        <s v="CHEESE &amp; GARLIC ROLLS 6'S"/>
        <s v="BISCUIT KELLOGG 1KG"/>
        <s v="BISCUIT CHOC CHIP 1KG"/>
        <s v="RAISIN BREAD"/>
        <s v="MOSBOLLE"/>
        <s v="MINI OUMA BROOD"/>
        <s v="MINI LOAF"/>
        <s v="HOT CROSS BUNS 6'S"/>
        <s v="DUMPIE BROWN BREAD"/>
        <s v="CHEESE LOAF"/>
        <s v="FRENCH LOAF"/>
        <s v="BANANA BREAD"/>
        <s v="ARTISAN CHEESE &amp; ONION BREAD"/>
        <s v="ARTISAN FETA &amp; SPINACH LOAF"/>
        <s v="CONEY ROLL 6'S"/>
        <s v="WHAMMY BURGER BUNS"/>
        <s v="GANASH TOPPED  RING DOUGHNUT"/>
        <s v="CHEESE BUNS 6'S"/>
        <s v="CHOCOLATE ECLAIRS WITH IMM CREAM"/>
        <s v="BISCUIT GINGER 1KG"/>
        <s v="BREAKFAST ROLL"/>
        <s v="SAGO PUDDING"/>
        <s v="MALVA PUDDING MED"/>
        <s v="SMALL MALVA PUDDING"/>
        <s v="DOUGHNUT IMITATION CREAM"/>
        <s v="ECLAIRS CARAMEL"/>
        <s v="C/TAIL ECLAIR"/>
        <s v="DOUGHNUT CUSTARD"/>
        <s v="WHITE BREAD STD"/>
        <s v="HAMBURGER BUNS 6'S"/>
        <s v="FOCACCIA"/>
        <s v="DUMPIE WHITE BREAD"/>
        <s v="WHITE BREAD DOUGH"/>
        <s v="HOTDOG ROLLS 6'S"/>
        <s v="HAMBURGER BUNS"/>
        <s v="BREAD SLICES"/>
        <s v="DOUGHNUT RING C/TAIL"/>
        <s v="F/L BRD GARLIC LARGE"/>
        <s v="ALB TINKIES FDG SWRL"/>
        <s v="ALB TINKIES VAN WHIZZ"/>
        <s v="ALB TINKIES STRW"/>
        <s v="KOEKSISTERS MEDIUM"/>
        <s v="B/R TOASTER WHITE"/>
        <s v="F/L BUNS HAMBURGER"/>
        <s v="SPAR WHT TOASTER"/>
        <s v="ALB BROWN SUP"/>
        <s v="SPAR  BRN TOASTER"/>
        <s v="ALB E/DAY WHITE THICK"/>
        <s v="ALB WHITE SUP"/>
        <s v="ALB  SUP LGI BRN SEED"/>
        <s v="ALB BOB"/>
        <s v="B/R WW BROWN"/>
        <s v="ALBANY E/DAY BROWN BREAD"/>
        <s v="F/L ROLLS WHTE PANINI"/>
        <s v="S/O WHITE STD/SWCH"/>
        <s v="S/O BR STD S/W"/>
        <s v="S/O WHT SQ/SWCH PREM"/>
        <s v="S/O SQ/SWCH BRN PREM"/>
        <s v="S/O WW  DU LGI"/>
        <s v="S/O W/W DU LOW GI"/>
        <s v="S/O WHITE DU L/GI H/OATS"/>
        <s v="S/O S/W  BROWN L/GI"/>
        <s v="S/O ROLL REG PLAIN 1X8"/>
        <s v="S/O BUN PLAIN 1X8"/>
      </sharedItems>
    </cacheField>
    <cacheField name="SP" numFmtId="0">
      <sharedItems containsSemiMixedTypes="0" containsString="0" containsNumber="1" minValue="0" maxValue="999.99" count="221">
        <n v="69.989999999999995"/>
        <n v="21.99"/>
        <n v="1"/>
        <n v="57.99"/>
        <n v="31.99"/>
        <n v="39.99"/>
        <n v="43.99"/>
        <n v="48.99"/>
        <n v="52.99"/>
        <n v="189.99"/>
        <n v="159.99"/>
        <n v="99.99"/>
        <n v="129.99"/>
        <n v="71.989999999999995"/>
        <n v="237.59"/>
        <n v="149.99"/>
        <n v="42.99"/>
        <n v="119.99"/>
        <n v="199.99"/>
        <n v="38.99"/>
        <n v="59.99"/>
        <n v="49.99"/>
        <n v="89.99"/>
        <n v="79.989999999999995"/>
        <n v="29.99"/>
        <n v="25.99"/>
        <n v="36.99"/>
        <n v="26.99"/>
        <n v="92.99"/>
        <n v="65.989999999999995"/>
        <n v="35.99"/>
        <n v="945"/>
        <n v="62.99"/>
        <n v="64.989999999999995"/>
        <n v="14.99"/>
        <n v="19.989999999999998"/>
        <n v="621.19000000000005"/>
        <n v="41.99"/>
        <n v="117.99"/>
        <n v="84.99"/>
        <n v="169.99"/>
        <n v="55.99"/>
        <n v="46.99"/>
        <n v="53.99"/>
        <n v="37.99"/>
        <n v="102.99"/>
        <n v="106.99"/>
        <n v="109.99"/>
        <n v="75.989999999999995"/>
        <n v="74.989999999999995"/>
        <n v="72.989999999999995"/>
        <n v="51.99"/>
        <n v="45.99"/>
        <n v="44.99"/>
        <n v="104.99"/>
        <n v="54.99"/>
        <n v="66.989999999999995"/>
        <n v="23.99"/>
        <n v="165.99"/>
        <n v="24.99"/>
        <n v="56.99"/>
        <n v="28.99"/>
        <n v="27.99"/>
        <n v="179.99"/>
        <n v="32.99"/>
        <n v="194.99"/>
        <n v="204.99"/>
        <n v="184.99"/>
        <n v="78.989999999999995"/>
        <n v="219.99"/>
        <n v="34.99"/>
        <n v="47.99"/>
        <n v="513.04999999999995"/>
        <n v="12.49"/>
        <n v="901.85"/>
        <n v="598.65"/>
        <n v="316.95"/>
        <n v="522.15"/>
        <n v="580"/>
        <n v="317.64999999999998"/>
        <n v="335.79"/>
        <n v="276.39"/>
        <n v="13.99"/>
        <n v="22.99"/>
        <n v="15.99"/>
        <n v="33.99"/>
        <n v="86.99"/>
        <n v="67.989999999999995"/>
        <n v="94.99"/>
        <n v="999.99"/>
        <n v="38"/>
        <n v="60"/>
        <n v="7.99"/>
        <n v="10"/>
        <n v="120"/>
        <n v="15"/>
        <n v="4.99"/>
        <n v="9.99"/>
        <n v="55"/>
        <n v="100"/>
        <n v="80"/>
        <n v="130"/>
        <n v="70"/>
        <n v="8.99"/>
        <n v="140"/>
        <n v="160"/>
        <n v="385"/>
        <n v="402.99"/>
        <n v="30"/>
        <n v="20"/>
        <n v="3"/>
        <n v="2"/>
        <n v="20.99"/>
        <n v="4"/>
        <n v="3.2"/>
        <n v="16.989999999999998"/>
        <n v="30.99"/>
        <n v="5.99"/>
        <n v="11.99"/>
        <n v="3.3"/>
        <n v="1.5"/>
        <n v="6.99"/>
        <n v="10.99"/>
        <n v="26.97"/>
        <n v="12.99"/>
        <n v="2.5"/>
        <n v="17.989999999999998"/>
        <n v="18.989999999999998"/>
        <n v="105"/>
        <n v="3.99"/>
        <n v="400"/>
        <n v="3.5"/>
        <n v="154.99"/>
        <n v="97.99"/>
        <n v="107.99"/>
        <n v="103.99"/>
        <n v="96.99"/>
        <n v="139.99"/>
        <n v="124.99"/>
        <n v="134.99"/>
        <n v="93.99"/>
        <n v="76.989999999999995"/>
        <n v="61.99"/>
        <n v="156.99"/>
        <n v="105.99"/>
        <n v="162.99"/>
        <n v="383.99"/>
        <n v="95"/>
        <n v="200"/>
        <n v="35"/>
        <n v="225"/>
        <n v="4.26"/>
        <n v="0"/>
        <n v="312.99"/>
        <n v="333.99"/>
        <n v="499.99"/>
        <n v="6.5"/>
        <n v="22"/>
        <n v="182.99"/>
        <n v="230.99"/>
        <n v="85.99"/>
        <n v="91.99"/>
        <n v="244.99"/>
        <n v="227.99"/>
        <n v="30.49"/>
        <n v="101.99"/>
        <n v="191.99"/>
        <n v="115.99"/>
        <n v="223.99"/>
        <n v="3.49"/>
        <n v="12"/>
        <n v="14"/>
        <n v="330.99"/>
        <n v="50"/>
        <n v="5"/>
        <n v="273.99"/>
        <n v="269.99"/>
        <n v="135.99"/>
        <n v="52"/>
        <n v="216.99"/>
        <n v="5.49"/>
        <n v="250"/>
        <n v="10.85"/>
        <n v="5.4"/>
        <n v="40.99"/>
        <n v="235.99"/>
        <n v="136.99"/>
        <n v="258.99"/>
        <n v="151.99"/>
        <n v="80.989999999999995"/>
        <n v="175.99"/>
        <n v="178.99"/>
        <n v="142.99"/>
        <n v="70.989999999999995"/>
        <n v="0.45"/>
        <n v="21.32"/>
        <n v="28"/>
        <n v="73.989999999999995"/>
        <n v="157.99"/>
        <n v="190.99"/>
        <n v="100.99"/>
        <n v="112.99"/>
        <n v="114.99"/>
        <n v="83.99"/>
        <n v="289.99"/>
        <n v="122.99"/>
        <n v="279.99"/>
        <n v="224.99"/>
        <n v="206.99"/>
        <n v="486"/>
        <n v="147.99"/>
        <n v="82.99"/>
        <n v="265.99"/>
        <n v="313.99"/>
        <n v="302.99"/>
        <n v="359"/>
        <n v="9.5"/>
        <n v="18"/>
        <n v="3.8"/>
        <n v="16.489999999999998"/>
        <n v="29.49"/>
      </sharedItems>
    </cacheField>
    <cacheField name="List Cost" numFmtId="0">
      <sharedItems containsSemiMixedTypes="0" containsString="0" containsNumber="1" minValue="0" maxValue="700.03539999999998" count="623">
        <n v="40.963850000000001"/>
        <n v="43.867849999999997"/>
        <n v="42.759033333333328"/>
        <n v="41.859112500000002"/>
        <n v="43.013849999999998"/>
        <n v="13.344114285714285"/>
        <n v="0.61399999999999999"/>
        <n v="36.701500000000003"/>
        <n v="19.670829166666667"/>
        <n v="30.655766666666665"/>
        <n v="27.3046875"/>
        <n v="30.723587500000001"/>
        <n v="33.364849999999997"/>
        <n v="121.1"/>
        <n v="101.7647"/>
        <n v="64.748530000000002"/>
        <n v="82.593216666666663"/>
        <n v="45.418750000000003"/>
        <n v="148.43432000000001"/>
        <n v="98.592690000000005"/>
        <n v="27.290666666666667"/>
        <n v="76.42528999999999"/>
        <n v="95.557050000000004"/>
        <n v="127.40941000000001"/>
        <n v="24.4"/>
        <n v="118.89879999999999"/>
        <n v="35.628733333333336"/>
        <n v="29.528099999999998"/>
        <n v="55.301200000000001"/>
        <n v="23.0421625"/>
        <n v="32.823656249999999"/>
        <n v="125.01445000000001"/>
        <n v="104.60464999999999"/>
        <n v="19"/>
        <n v="33.467258333333334"/>
        <n v="25.283157142857142"/>
        <n v="15.19318125"/>
        <n v="24.413912499999999"/>
        <n v="23.019766666666666"/>
        <n v="16.816925000000001"/>
        <n v="63.478499999999997"/>
        <n v="58.793824999999998"/>
        <n v="40.863366666666671"/>
        <n v="22.138549999999999"/>
        <n v="22.137550000000001"/>
        <n v="30.185550000000003"/>
        <n v="37.729750000000003"/>
        <n v="575.39409999999998"/>
        <n v="38.492049999999999"/>
        <n v="39.992016666666665"/>
        <n v="35.469050000000003"/>
        <n v="33.068858333333331"/>
        <n v="32.459833333333329"/>
        <n v="44.50665"/>
        <n v="9.3998474999999999"/>
        <n v="39.031133333333337"/>
        <n v="13.88095"/>
        <n v="28.506091666666666"/>
        <n v="410"/>
        <n v="56.233649999999997"/>
        <n v="26.324400000000001"/>
        <n v="48.031500000000001"/>
        <n v="73.990016666666662"/>
        <n v="36.566250000000004"/>
        <n v="42.594366666666666"/>
        <n v="51.977899999999998"/>
        <n v="73.869024999999993"/>
        <n v="106.80515"/>
        <n v="40.770000000000003"/>
        <n v="126.18295000000001"/>
        <n v="13.11445"/>
        <n v="126.16755000000001"/>
        <n v="126.1682"/>
        <n v="17.935974999999999"/>
        <n v="24.806049999999999"/>
        <n v="25.29"/>
        <n v="19.003183333333332"/>
        <n v="38.960799999999999"/>
        <n v="38.153199999999998"/>
        <n v="29.593250000000001"/>
        <n v="33.508975"/>
        <n v="23.413162499999999"/>
        <n v="113.3473"/>
        <n v="64.224900000000005"/>
        <n v="65.467866666666666"/>
        <n v="67.740949999999998"/>
        <n v="64.081833333333336"/>
        <n v="45.345300000000002"/>
        <n v="53.798399999999994"/>
        <n v="33.346962499999997"/>
        <n v="47.475050000000003"/>
        <n v="50.088349999999998"/>
        <n v="46.516966666666669"/>
        <n v="68.574399999999997"/>
        <n v="45.359116666666665"/>
        <n v="31.952175"/>
        <n v="31.320666666666668"/>
        <n v="37.144833333333331"/>
        <n v="56.050874999999998"/>
        <n v="28.530116666666668"/>
        <n v="12.326425"/>
        <n v="27.607716666666665"/>
        <n v="65.781599999999997"/>
        <n v="53.668624999999999"/>
        <n v="34.594366666666666"/>
        <n v="29.9498"/>
        <n v="40.953800000000001"/>
        <n v="19.7093375"/>
        <n v="22.535209999999999"/>
        <n v="106.25"/>
        <n v="16.242160000000002"/>
        <n v="14.221549999999999"/>
        <n v="104.07210000000001"/>
        <n v="31.899799999999999"/>
        <n v="45.37"/>
        <n v="68.936000000000007"/>
        <n v="51.839849999999998"/>
        <n v="25.053916666666666"/>
        <n v="27.522083333333331"/>
        <n v="12.880108333333332"/>
        <n v="18.379850000000001"/>
        <n v="34.176700000000004"/>
        <n v="32.214849999999998"/>
        <n v="26.658679999999997"/>
        <n v="32.159280000000003"/>
        <n v="36.417149999999999"/>
        <n v="34.086333333333336"/>
        <n v="31.904758333333334"/>
        <n v="30.067858333333334"/>
        <n v="32.776783333333334"/>
        <n v="33.055550000000004"/>
        <n v="18.022949999999998"/>
        <n v="32.083824999999997"/>
        <n v="27.226793749999999"/>
        <n v="36.994506250000001"/>
        <n v="16.99879"/>
        <n v="24.895566666666667"/>
        <n v="23.88654166666667"/>
        <n v="25.6656625"/>
        <n v="30.384766666666668"/>
        <n v="27.406949999999998"/>
        <n v="24.194766666666666"/>
        <n v="24.260149999999999"/>
        <n v="36.126940000000005"/>
        <n v="30.480033333333335"/>
        <n v="27.177240000000001"/>
        <n v="23.431950000000001"/>
        <n v="110.65475000000001"/>
        <n v="20.476183333333335"/>
        <n v="26.627216666666666"/>
        <n v="40.784300000000002"/>
        <n v="53.571416666666664"/>
        <n v="43.265050000000002"/>
        <n v="120.48191666666666"/>
        <n v="121.37896666666667"/>
        <n v="127.14569999999999"/>
        <n v="116.49606666666666"/>
        <n v="52.716299999999997"/>
        <n v="48.908725000000004"/>
        <n v="134.15673333333334"/>
        <n v="80.531733333333335"/>
        <n v="32.066175000000001"/>
        <n v="41.177616666666665"/>
        <n v="31.051583333333337"/>
        <n v="55.882350000000002"/>
        <n v="56.055387500000002"/>
        <n v="37.301583333333333"/>
        <n v="45.088233333333335"/>
        <n v="20.451219999999999"/>
        <n v="23.704699999999999"/>
        <n v="28.777100000000001"/>
        <n v="27.023809999999997"/>
        <n v="29.691210000000002"/>
        <n v="24.260349999999999"/>
        <n v="296.55169999999998"/>
        <n v="22.251468750000001"/>
        <n v="16.675816666666666"/>
        <n v="6.4669311111111121"/>
        <n v="631.07339999999999"/>
        <n v="418.90390000000002"/>
        <n v="209.18639999999999"/>
        <n v="395.34879999999998"/>
        <n v="354.16660000000002"/>
        <n v="209.6497"/>
        <n v="221.62710000000001"/>
        <n v="182.42449999999999"/>
        <n v="18.186512499999999"/>
        <n v="14.908975"/>
        <n v="26.097375"/>
        <n v="31.62275"/>
        <n v="9.5773250000000001"/>
        <n v="14.848391666666666"/>
        <n v="14.118466666666668"/>
        <n v="11.882824999999999"/>
        <n v="9.5993916666666674"/>
        <n v="15.246979999999999"/>
        <n v="17.327516666666668"/>
        <n v="20.647629999999999"/>
        <n v="0"/>
        <n v="60.508079999999993"/>
        <n v="62.066974999999999"/>
        <n v="54.272500000000001"/>
        <n v="60.204949999999997"/>
        <n v="19.55"/>
        <n v="35.372916666666669"/>
        <n v="22.5837"/>
        <n v="42.009399999999999"/>
        <n v="41.68047"/>
        <n v="67.861333333333334"/>
        <n v="30.12068"/>
        <n v="17.388622222222224"/>
        <n v="700.03539999999998"/>
        <n v="7.38"/>
        <n v="15.41"/>
        <n v="18.920000000000002"/>
        <n v="37.380000000000003"/>
        <n v="42.18"/>
        <n v="32.549999999999997"/>
        <n v="33.18"/>
        <n v="5.54"/>
        <n v="26.17"/>
        <n v="126.16"/>
        <n v="3.39"/>
        <n v="58.51"/>
        <n v="29.47"/>
        <n v="10.37"/>
        <n v="26.64"/>
        <n v="6.67"/>
        <n v="2.97"/>
        <n v="6.5"/>
        <n v="4.53"/>
        <n v="12.33"/>
        <n v="14.34"/>
        <n v="24.25"/>
        <n v="36.1"/>
        <n v="54.36"/>
        <n v="36.909999999999997"/>
        <n v="64.849999999999994"/>
        <n v="15.3"/>
        <n v="62.39"/>
        <n v="52.03"/>
        <n v="51.82"/>
        <n v="64.900000000000006"/>
        <n v="48.14"/>
        <n v="82.1"/>
        <n v="3.8"/>
        <n v="62.14"/>
        <n v="42.68"/>
        <n v="46.29"/>
        <n v="53.89"/>
        <n v="106.8"/>
        <n v="201.52"/>
        <n v="54.64"/>
        <n v="62.47"/>
        <n v="18"/>
        <n v="23.44"/>
        <n v="32.450000000000003"/>
        <n v="92.6"/>
        <n v="61"/>
        <n v="210"/>
        <n v="54.67"/>
        <n v="11.11"/>
        <n v="20.81"/>
        <n v="9.1300000000000008"/>
        <n v="5.04"/>
        <n v="4.5599999999999996"/>
        <n v="2.3199999999999998"/>
        <n v="7.77"/>
        <n v="6.99"/>
        <n v="2.5"/>
        <n v="10.23"/>
        <n v="4.26"/>
        <n v="1.5"/>
        <n v="18.260000000000002"/>
        <n v="3.23"/>
        <n v="10.66"/>
        <n v="1.53"/>
        <n v="0.68"/>
        <n v="16.03"/>
        <n v="11.87"/>
        <n v="12.88"/>
        <n v="14.15"/>
        <n v="7.43"/>
        <n v="6.19"/>
        <n v="6.28"/>
        <n v="2.2599999999999998"/>
        <n v="7.36"/>
        <n v="7.04"/>
        <n v="1.62"/>
        <n v="7.4"/>
        <n v="12.66"/>
        <n v="2.61"/>
        <n v="12.4"/>
        <n v="2.5299999999999998"/>
        <n v="7.37"/>
        <n v="14.86"/>
        <n v="32.200000000000003"/>
        <n v="6.62"/>
        <n v="6.05"/>
        <n v="16.100000000000001"/>
        <n v="1.85"/>
        <n v="2.52"/>
        <n v="10"/>
        <n v="0.59"/>
        <n v="8.1"/>
        <n v="3.12"/>
        <n v="6.3"/>
        <n v="7.94"/>
        <n v="5"/>
        <n v="5.14"/>
        <n v="3.1"/>
        <n v="9.99"/>
        <n v="8.0500000000000007"/>
        <n v="7.8"/>
        <n v="12.5"/>
        <n v="9.5"/>
        <n v="6.2"/>
        <n v="28.95"/>
        <n v="7.6"/>
        <n v="9.14"/>
        <n v="7.72"/>
        <n v="13.68"/>
        <n v="8.31"/>
        <n v="6.69"/>
        <n v="3.77"/>
        <n v="3.71"/>
        <n v="3.73"/>
        <n v="3.4432999999999998"/>
        <n v="3.28"/>
        <n v="1.29"/>
        <n v="5.44"/>
        <n v="9.9600000000000009"/>
        <n v="5.13"/>
        <n v="10.039999999999999"/>
        <n v="15.38"/>
        <n v="22.26"/>
        <n v="3.26"/>
        <n v="7.86"/>
        <n v="25"/>
        <n v="15.7"/>
        <n v="9.6999999999999993"/>
        <n v="26.72"/>
        <n v="59.49"/>
        <n v="13.19"/>
        <n v="4.99"/>
        <n v="6.35"/>
        <n v="1.3"/>
        <n v="29.01"/>
        <n v="5.62"/>
        <n v="16.43"/>
        <n v="15.39"/>
        <n v="204.01"/>
        <n v="2.95"/>
        <n v="5.5"/>
        <n v="27.08"/>
        <n v="2.12"/>
        <n v="3.31"/>
        <n v="68.680000000000007"/>
        <n v="5.87"/>
        <n v="6.88"/>
        <n v="13"/>
        <n v="11"/>
        <n v="10.44"/>
        <n v="4.5"/>
        <n v="95.686899999999994"/>
        <n v="104.9478"/>
        <n v="49.382599999999996"/>
        <n v="60.495600000000003"/>
        <n v="43.2087"/>
        <n v="67.904300000000006"/>
        <n v="66.669499999999999"/>
        <n v="66.052099999999996"/>
        <n v="64.2"/>
        <n v="41.9739"/>
        <n v="38.886899999999997"/>
        <n v="61.730400000000003"/>
        <n v="59.878300000000003"/>
        <n v="86.426100000000005"/>
        <n v="40.121699999999997"/>
        <n v="46.912999999999997"/>
        <n v="74.078199999999995"/>
        <n v="37.034700000000001"/>
        <n v="82.104299999999995"/>
        <n v="83.339100000000002"/>
        <n v="58.0261"/>
        <n v="40.739100000000001"/>
        <n v="47.5304"/>
        <n v="38.269500000000001"/>
        <n v="96.921700000000001"/>
        <n v="27.773900000000001"/>
        <n v="59.8782"/>
        <n v="111.1217"/>
        <n v="65.434700000000007"/>
        <n v="100.62609999999999"/>
        <n v="2.1095999999999999"/>
        <n v="5.7391666666666667"/>
        <n v="15"/>
        <n v="2.1386000000000003"/>
        <n v="17.418749999999999"/>
        <n v="13.25"/>
        <n v="12"/>
        <n v="1.75"/>
        <n v="195"/>
        <n v="70"/>
        <n v="150"/>
        <n v="16.5"/>
        <n v="18.32"/>
        <n v="18.4375"/>
        <n v="1.4"/>
        <n v="10.5"/>
        <n v="29.52"/>
        <n v="16.8"/>
        <n v="30.5"/>
        <n v="40.5"/>
        <n v="114.99"/>
        <n v="17.22"/>
        <n v="39"/>
        <n v="162.97"/>
        <n v="173.74"/>
        <n v="275.29000000000002"/>
        <n v="11.3055"/>
        <n v="107.69200000000001"/>
        <n v="13.5"/>
        <n v="4.46"/>
        <n v="10.75"/>
        <n v="109.79"/>
        <n v="120.3"/>
        <n v="45.3"/>
        <n v="48.4"/>
        <n v="2.120625"/>
        <n v="7.89"/>
        <n v="138.11000000000001"/>
        <n v="146.72999999999999"/>
        <n v="136.72"/>
        <n v="16.059999999999999"/>
        <n v="15.52"/>
        <n v="14.5"/>
        <n v="19.2"/>
        <n v="24.57"/>
        <n v="9.0299999999999994"/>
        <n v="17.57"/>
        <n v="10.08"/>
        <n v="15.8"/>
        <n v="12.7"/>
        <n v="16.36"/>
        <n v="16.96"/>
        <n v="14.35"/>
        <n v="16.68"/>
        <n v="16.239999999999998"/>
        <n v="36.58"/>
        <n v="64.857100000000003"/>
        <n v="51.65"/>
        <n v="104.9"/>
        <n v="29.4"/>
        <n v="30.8"/>
        <n v="44.32"/>
        <n v="17.5"/>
        <n v="34.54"/>
        <n v="60.598333333333329"/>
        <n v="29.61"/>
        <n v="35.230000000000004"/>
        <n v="116.533"/>
        <n v="1.8360000000000001"/>
        <n v="10.011607142857143"/>
        <n v="5.88"/>
        <n v="5.5296250000000002"/>
        <n v="172.32300000000001"/>
        <n v="17.68"/>
        <n v="30"/>
        <n v="1.38"/>
        <n v="142.87222222222221"/>
        <n v="15.22"/>
        <n v="44.62"/>
        <n v="41.475000000000001"/>
        <n v="7.99"/>
        <n v="8.11"/>
        <n v="141.47833333333332"/>
        <n v="72.8"/>
        <n v="28.2"/>
        <n v="115.6"/>
        <n v="5.7054999999999998"/>
        <n v="2.788416666666667"/>
        <n v="33.53"/>
        <n v="32.22"/>
        <n v="2.83"/>
        <n v="8.5"/>
        <n v="92.73"/>
        <n v="14.612666666666666"/>
        <n v="19.462499999999999"/>
        <n v="5.6590000000000007"/>
        <n v="179.16"/>
        <n v="10.989749999999999"/>
        <n v="7.0248571428571429"/>
        <n v="2.8072500000000002"/>
        <n v="2.9407999999999999"/>
        <n v="16.567"/>
        <n v="182.6"/>
        <n v="5.9985000000000008"/>
        <n v="4.3630833333333339"/>
        <n v="4.1160000000000005"/>
        <n v="45.83"/>
        <n v="19.13"/>
        <n v="24.09"/>
        <n v="23.48"/>
        <n v="22.52"/>
        <n v="7.9799999999999995"/>
        <n v="4.13"/>
        <n v="10.77"/>
        <n v="122.938"/>
        <n v="73.599999999999994"/>
        <n v="133.38"/>
        <n v="6.8199999999999994"/>
        <n v="1.59"/>
        <n v="85.1"/>
        <n v="50"/>
        <n v="64"/>
        <n v="48"/>
        <n v="107.99"/>
        <n v="20.5"/>
        <n v="93"/>
        <n v="112.5333"/>
        <n v="32.76"/>
        <n v="8.2605000000000004"/>
        <n v="104.85"/>
        <n v="142.6"/>
        <n v="104"/>
        <n v="74.166600000000003"/>
        <n v="95.5"/>
        <n v="100"/>
        <n v="36.56"/>
        <n v="38.369999999999997"/>
        <n v="82.32"/>
        <n v="99.54"/>
        <n v="52.33"/>
        <n v="55.967700000000001"/>
        <n v="43.054499999999997"/>
        <n v="44.288899999999998"/>
        <n v="61.36"/>
        <n v="112.98"/>
        <n v="55.21"/>
        <n v="59.83"/>
        <n v="27.93"/>
        <n v="57.51"/>
        <n v="45.459899999999998"/>
        <n v="30.267900000000001"/>
        <n v="143.44"/>
        <n v="64.09"/>
        <n v="147.18"/>
        <n v="112.6"/>
        <n v="81.678100000000001"/>
        <n v="112.29"/>
        <n v="48.6"/>
        <n v="260"/>
        <n v="76.97"/>
        <n v="57.39"/>
        <n v="72.180000000000007"/>
        <n v="42.97"/>
        <n v="138.65"/>
        <n v="60.22"/>
        <n v="163.47229999999999"/>
        <n v="117.59"/>
        <n v="157.83000000000001"/>
        <n v="191.73"/>
        <n v="11.79"/>
        <n v="12.52"/>
        <n v="9.1199999999999992"/>
        <n v="5.0999999999999996"/>
        <n v="5.09"/>
        <n v="8.93"/>
        <n v="3.43"/>
        <n v="2.67"/>
        <n v="16.05"/>
        <n v="7.73"/>
        <n v="8.3000000000000007"/>
        <n v="7.7"/>
        <n v="12.24"/>
        <n v="25.03"/>
        <n v="29.14"/>
        <n v="6.74"/>
        <n v="12.2"/>
        <n v="4.1500000000000004"/>
        <n v="3.15"/>
        <n v="8.43"/>
        <n v="2.72"/>
        <n v="2.63"/>
        <n v="7.62"/>
        <n v="15.91"/>
        <n v="9.68"/>
        <n v="12.14"/>
        <n v="3.3388750000000003"/>
        <n v="4.968"/>
        <n v="13.4"/>
        <n v="3.1788888888888889"/>
        <n v="25.97"/>
        <n v="9.83"/>
        <n v="15.17"/>
        <n v="10.85"/>
        <n v="6.02"/>
        <n v="8.2200000000000006"/>
        <n v="4.32"/>
        <n v="6.77"/>
        <n v="7.46"/>
        <n v="2.85"/>
        <n v="6.81"/>
        <n v="8.44"/>
        <n v="0.65"/>
        <n v="25.062649999999998"/>
        <n v="9.4"/>
        <n v="15.19"/>
        <n v="15.529409999999999"/>
        <n v="14.77"/>
        <n v="14.44"/>
        <n v="18.8"/>
        <n v="16.350000000000001"/>
        <n v="16.39"/>
        <n v="22.271466666666669"/>
        <n v="17.420000000000002"/>
        <n v="17.82"/>
        <n v="23.32"/>
        <n v="23.65"/>
        <n v="18.82"/>
        <n v="17.98"/>
        <n v="18.18"/>
      </sharedItems>
    </cacheField>
    <cacheField name="Planned Production" numFmtId="0">
      <sharedItems containsMixedTypes="1" containsNumber="1" minValue="0" maxValue="780" count="54">
        <n v="0"/>
        <n v="8"/>
        <n v="15"/>
        <n v="240"/>
        <n v="6"/>
        <n v="24"/>
        <n v="12"/>
        <n v="10"/>
        <n v="36"/>
        <n v="184"/>
        <n v="40"/>
        <n v="5"/>
        <n v="3"/>
        <n v="50"/>
        <n v="48"/>
        <n v="70"/>
        <n v="30"/>
        <n v="34"/>
        <n v="144"/>
        <n v="65"/>
        <n v="93"/>
        <n v="213"/>
        <n v="16"/>
        <n v="32"/>
        <n v="780"/>
        <n v="104.666666666667"/>
        <n v="28"/>
        <s v="0" u="1"/>
        <s v="8" u="1"/>
        <s v="15" u="1"/>
        <s v="240" u="1"/>
        <s v="6" u="1"/>
        <s v="24" u="1"/>
        <s v="12" u="1"/>
        <s v="10" u="1"/>
        <s v="36" u="1"/>
        <s v="184" u="1"/>
        <s v="40" u="1"/>
        <s v="5" u="1"/>
        <s v="3" u="1"/>
        <s v="50" u="1"/>
        <s v="48" u="1"/>
        <s v="70" u="1"/>
        <s v="30" u="1"/>
        <s v="34" u="1"/>
        <s v="144" u="1"/>
        <s v="65" u="1"/>
        <s v="93" u="1"/>
        <s v="213" u="1"/>
        <s v="16" u="1"/>
        <s v="32" u="1"/>
        <s v="780" u="1"/>
        <s v="104.6666667" u="1"/>
        <s v="28" u="1"/>
      </sharedItems>
    </cacheField>
    <cacheField name="Date" numFmtId="0">
      <sharedItems containsSemiMixedTypes="0" containsString="0" containsNumber="1" containsInteger="1" minValue="46188" maxValue="46194" count="7">
        <n v="46188"/>
        <n v="46189"/>
        <n v="46190"/>
        <n v="46191"/>
        <n v="46192"/>
        <n v="46193"/>
        <n v="46194"/>
      </sharedItems>
    </cacheField>
    <cacheField name="Day" numFmtId="0">
      <sharedItems count="7">
        <s v="Monday"/>
        <s v="Tuesday"/>
        <s v="Wednesday"/>
        <s v="Thursday"/>
        <s v="Friday"/>
        <s v="Saturday"/>
        <s v="Sunday"/>
      </sharedItems>
    </cacheField>
    <cacheField name="Sales excl. VAT" numFmtId="0">
      <sharedItems containsSemiMixedTypes="0" containsString="0" containsNumber="1" minValue="0" maxValue="6217.391304347826"/>
    </cacheField>
    <cacheField name="Sales Quantity" numFmtId="0">
      <sharedItems containsSemiMixedTypes="0" containsString="0" containsNumber="1" containsInteger="1" minValue="0" maxValue="207"/>
    </cacheField>
    <cacheField name="Planned Sales" numFmtId="0" formula="'Planned Production'*SP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s v="BAKERY PRODUCTS"/>
    <n v="101"/>
    <x v="0"/>
    <x v="0"/>
    <n v="24.99"/>
    <n v="9.68"/>
    <n v="6"/>
    <n v="149.94"/>
    <n v="58.08"/>
    <n v="91.86"/>
    <n v="61.264505802320933"/>
  </r>
  <r>
    <s v="BAKERY PRODUCTS"/>
    <n v="101"/>
    <x v="1"/>
    <x v="1"/>
    <n v="19.989999999999998"/>
    <n v="8.5"/>
    <n v="6"/>
    <n v="119.94"/>
    <n v="51"/>
    <n v="68.94"/>
    <n v="57.478739369684838"/>
  </r>
  <r>
    <s v="BAKERY PRODUCTS"/>
    <n v="102"/>
    <x v="2"/>
    <x v="2"/>
    <n v="10"/>
    <n v="4.5"/>
    <n v="0"/>
    <n v="0"/>
    <n v="0"/>
    <n v="0"/>
    <n v="0"/>
  </r>
  <r>
    <s v="BAKERY PRODUCTS"/>
    <n v="101"/>
    <x v="3"/>
    <x v="3"/>
    <n v="34.99"/>
    <n v="15.91"/>
    <n v="8"/>
    <n v="279.92"/>
    <n v="127.28"/>
    <n v="152.64000000000001"/>
    <n v="54.529865675907409"/>
  </r>
  <r>
    <s v="BAKERY PRODUCTS"/>
    <n v="102"/>
    <x v="4"/>
    <x v="4"/>
    <n v="47.99"/>
    <n v="10.44"/>
    <n v="0"/>
    <n v="0"/>
    <n v="0"/>
    <n v="0"/>
    <n v="0"/>
  </r>
  <r>
    <s v="BAKERY PRODUCTS"/>
    <n v="102"/>
    <x v="5"/>
    <x v="5"/>
    <n v="3"/>
    <n v="1.29"/>
    <n v="0"/>
    <n v="0"/>
    <n v="0"/>
    <n v="0"/>
    <n v="0"/>
  </r>
  <r>
    <s v="BAKERY PRODUCTS"/>
    <n v="102"/>
    <x v="6"/>
    <x v="6"/>
    <n v="11.99"/>
    <n v="6.02"/>
    <n v="32"/>
    <n v="383.68"/>
    <n v="192.64"/>
    <n v="191.04000000000002"/>
    <n v="49.791492910758976"/>
  </r>
  <r>
    <s v="BAKERY PRODUCTS"/>
    <n v="119"/>
    <x v="7"/>
    <x v="7"/>
    <n v="140"/>
    <n v="92.6"/>
    <n v="0"/>
    <n v="0"/>
    <n v="0"/>
    <n v="0"/>
    <n v="0"/>
  </r>
  <r>
    <s v="BAKERY PRODUCTS"/>
    <n v="102"/>
    <x v="8"/>
    <x v="8"/>
    <n v="18.989999999999998"/>
    <n v="9.1300000000000008"/>
    <n v="8"/>
    <n v="151.91999999999999"/>
    <n v="73.040000000000006"/>
    <n v="78.879999999999981"/>
    <n v="51.922064244339118"/>
  </r>
  <r>
    <s v="BAKERY PRODUCTS"/>
    <n v="102"/>
    <x v="9"/>
    <x v="9"/>
    <n v="24.99"/>
    <n v="13"/>
    <n v="0"/>
    <n v="0"/>
    <n v="0"/>
    <n v="0"/>
    <n v="0"/>
  </r>
  <r>
    <s v="BAKERY PRODUCTS"/>
    <n v="102"/>
    <x v="10"/>
    <x v="10"/>
    <n v="8.99"/>
    <n v="4.53"/>
    <n v="0"/>
    <n v="0"/>
    <n v="0"/>
    <n v="0"/>
    <n v="0"/>
  </r>
  <r>
    <s v="BAKERY PRODUCTS"/>
    <n v="102"/>
    <x v="11"/>
    <x v="11"/>
    <n v="12.99"/>
    <n v="6.88"/>
    <n v="0"/>
    <n v="0"/>
    <n v="0"/>
    <n v="0"/>
    <n v="0"/>
  </r>
  <r>
    <s v="BAKERY PRODUCTS"/>
    <n v="102"/>
    <x v="12"/>
    <x v="12"/>
    <n v="12.99"/>
    <n v="6.77"/>
    <n v="6"/>
    <n v="77.94"/>
    <n v="40.619999999999997"/>
    <n v="37.32"/>
    <n v="47.882986913010015"/>
  </r>
  <r>
    <s v="BAKERY PRODUCTS"/>
    <n v="102"/>
    <x v="13"/>
    <x v="13"/>
    <n v="8.99"/>
    <n v="4.5599999999999996"/>
    <n v="0"/>
    <n v="0"/>
    <n v="0"/>
    <n v="0"/>
    <n v="0"/>
  </r>
  <r>
    <s v="BAKERY PRODUCTS"/>
    <n v="102"/>
    <x v="14"/>
    <x v="14"/>
    <n v="11.99"/>
    <n v="5.87"/>
    <n v="0"/>
    <n v="0"/>
    <n v="0"/>
    <n v="0"/>
    <n v="0"/>
  </r>
  <r>
    <s v="BAKERY PRODUCTS"/>
    <n v="102"/>
    <x v="15"/>
    <x v="15"/>
    <n v="17.989999999999998"/>
    <n v="9.14"/>
    <n v="6"/>
    <n v="107.94"/>
    <n v="54.84"/>
    <n v="53.099999999999994"/>
    <n v="49.193996664813781"/>
  </r>
  <r>
    <s v="BAKERY PRODUCTS"/>
    <n v="102"/>
    <x v="16"/>
    <x v="16"/>
    <n v="130"/>
    <n v="68.680000000000007"/>
    <n v="0"/>
    <n v="0"/>
    <n v="0"/>
    <n v="0"/>
    <n v="0"/>
  </r>
  <r>
    <s v="BAKERY PRODUCTS"/>
    <n v="101"/>
    <x v="17"/>
    <x v="17"/>
    <n v="20.99"/>
    <n v="7.46"/>
    <n v="0"/>
    <n v="0"/>
    <n v="0"/>
    <n v="0"/>
    <n v="0"/>
  </r>
  <r>
    <s v="BAKERY PRODUCTS"/>
    <n v="101"/>
    <x v="18"/>
    <x v="18"/>
    <n v="18"/>
    <n v="8.44"/>
    <n v="0"/>
    <n v="0"/>
    <n v="0"/>
    <n v="0"/>
    <n v="0"/>
  </r>
  <r>
    <s v="BAKERY PRODUCTS"/>
    <n v="101"/>
    <x v="19"/>
    <x v="19"/>
    <n v="9.99"/>
    <n v="5.14"/>
    <n v="0"/>
    <n v="0"/>
    <n v="0"/>
    <n v="0"/>
    <n v="0"/>
  </r>
  <r>
    <s v="BAKERY PRODUCTS"/>
    <n v="102"/>
    <x v="20"/>
    <x v="20"/>
    <n v="5.99"/>
    <n v="3.31"/>
    <n v="0"/>
    <n v="0"/>
    <n v="0"/>
    <n v="0"/>
    <n v="0"/>
  </r>
  <r>
    <s v="BAKERY PRODUCTS"/>
    <n v="102"/>
    <x v="21"/>
    <x v="21"/>
    <n v="3.5"/>
    <n v="2.12"/>
    <n v="0"/>
    <n v="0"/>
    <n v="0"/>
    <n v="0"/>
    <n v="0"/>
  </r>
  <r>
    <s v="BAKERY PRODUCTS"/>
    <n v="101"/>
    <x v="22"/>
    <x v="22"/>
    <n v="8.99"/>
    <n v="5"/>
    <n v="0"/>
    <n v="0"/>
    <n v="0"/>
    <n v="0"/>
    <n v="0"/>
  </r>
  <r>
    <s v="BAKERY PRODUCTS"/>
    <n v="102"/>
    <x v="23"/>
    <x v="23"/>
    <n v="29.99"/>
    <n v="11.79"/>
    <n v="8"/>
    <n v="239.92"/>
    <n v="94.32"/>
    <n v="145.6"/>
    <n v="60.686895631877292"/>
  </r>
  <r>
    <s v="BAKERY PRODUCTS"/>
    <n v="102"/>
    <x v="24"/>
    <x v="24"/>
    <n v="47.99"/>
    <n v="27.08"/>
    <n v="0"/>
    <n v="0"/>
    <n v="0"/>
    <n v="0"/>
    <n v="0"/>
  </r>
  <r>
    <s v="BAKERY PRODUCTS"/>
    <n v="102"/>
    <x v="25"/>
    <x v="25"/>
    <n v="5.99"/>
    <n v="3.1"/>
    <n v="0"/>
    <n v="0"/>
    <n v="0"/>
    <n v="0"/>
    <n v="0"/>
  </r>
  <r>
    <s v="BAKERY PRODUCTS"/>
    <n v="119"/>
    <x v="26"/>
    <x v="26"/>
    <n v="69.989999999999995"/>
    <n v="32.450000000000003"/>
    <n v="0"/>
    <n v="0"/>
    <n v="0"/>
    <n v="0"/>
    <n v="0"/>
  </r>
  <r>
    <s v="BAKERY PRODUCTS"/>
    <n v="102"/>
    <x v="27"/>
    <x v="27"/>
    <n v="14.99"/>
    <n v="5.5"/>
    <n v="0"/>
    <n v="0"/>
    <n v="0"/>
    <n v="0"/>
    <n v="0"/>
  </r>
  <r>
    <s v="BAKERY PRODUCTS"/>
    <n v="118"/>
    <x v="28"/>
    <x v="28"/>
    <n v="130"/>
    <n v="64.900000000000006"/>
    <n v="0"/>
    <n v="0"/>
    <n v="0"/>
    <n v="0"/>
    <n v="0"/>
  </r>
  <r>
    <s v="BAKERY PRODUCTS"/>
    <n v="102"/>
    <x v="29"/>
    <x v="29"/>
    <n v="19.989999999999998"/>
    <n v="10.23"/>
    <n v="0"/>
    <n v="0"/>
    <n v="0"/>
    <n v="0"/>
    <n v="0"/>
  </r>
  <r>
    <s v="BAKERY PRODUCTS"/>
    <n v="102"/>
    <x v="30"/>
    <x v="30"/>
    <n v="5.99"/>
    <n v="2.95"/>
    <n v="0"/>
    <n v="0"/>
    <n v="0"/>
    <n v="0"/>
    <n v="0"/>
  </r>
  <r>
    <s v="BAKERY PRODUCTS"/>
    <n v="101"/>
    <x v="31"/>
    <x v="31"/>
    <n v="19.989999999999998"/>
    <n v="7.94"/>
    <n v="0"/>
    <n v="0"/>
    <n v="0"/>
    <n v="0"/>
    <n v="0"/>
  </r>
  <r>
    <s v="BAKERY PRODUCTS"/>
    <n v="102"/>
    <x v="32"/>
    <x v="32"/>
    <n v="17.989999999999998"/>
    <n v="9.1199999999999992"/>
    <n v="8"/>
    <n v="143.91999999999999"/>
    <n v="72.959999999999994"/>
    <n v="70.959999999999994"/>
    <n v="49.305169538632576"/>
  </r>
  <r>
    <s v="BAKERY PRODUCTS"/>
    <n v="102"/>
    <x v="33"/>
    <x v="33"/>
    <n v="400"/>
    <n v="204.01"/>
    <n v="0"/>
    <n v="0"/>
    <n v="0"/>
    <n v="0"/>
    <n v="0"/>
  </r>
  <r>
    <s v="BAKERY PRODUCTS"/>
    <n v="119"/>
    <x v="34"/>
    <x v="34"/>
    <n v="59.99"/>
    <n v="23.44"/>
    <n v="0"/>
    <n v="0"/>
    <n v="0"/>
    <n v="0"/>
    <n v="0"/>
  </r>
  <r>
    <s v="BAKERY PRODUCTS"/>
    <n v="119"/>
    <x v="35"/>
    <x v="35"/>
    <n v="35.99"/>
    <n v="18"/>
    <n v="0"/>
    <n v="0"/>
    <n v="0"/>
    <n v="0"/>
    <n v="0"/>
  </r>
  <r>
    <s v="BAKERY PRODUCTS"/>
    <n v="103"/>
    <x v="36"/>
    <x v="36"/>
    <n v="30"/>
    <n v="18.260000000000002"/>
    <n v="0"/>
    <n v="0"/>
    <n v="0"/>
    <n v="0"/>
    <n v="0"/>
  </r>
  <r>
    <s v="BAKERY PRODUCTS"/>
    <n v="103"/>
    <x v="37"/>
    <x v="37"/>
    <n v="10"/>
    <n v="1.5"/>
    <n v="0"/>
    <n v="0"/>
    <n v="0"/>
    <n v="0"/>
    <n v="0"/>
  </r>
  <r>
    <s v="BAKERY PRODUCTS"/>
    <n v="103"/>
    <x v="38"/>
    <x v="38"/>
    <n v="20"/>
    <n v="10.23"/>
    <n v="0"/>
    <n v="0"/>
    <n v="0"/>
    <n v="0"/>
    <n v="0"/>
  </r>
  <r>
    <s v="BAKERY PRODUCTS"/>
    <n v="103"/>
    <x v="39"/>
    <x v="39"/>
    <n v="15"/>
    <n v="4.26"/>
    <n v="0"/>
    <n v="0"/>
    <n v="0"/>
    <n v="0"/>
    <n v="0"/>
  </r>
  <r>
    <s v="BAKERY PRODUCTS"/>
    <n v="103"/>
    <x v="40"/>
    <x v="40"/>
    <n v="15"/>
    <n v="10.23"/>
    <n v="0"/>
    <n v="0"/>
    <n v="0"/>
    <n v="0"/>
    <n v="0"/>
  </r>
  <r>
    <s v="BAKERY PRODUCTS"/>
    <n v="103"/>
    <x v="41"/>
    <x v="41"/>
    <n v="10"/>
    <n v="2.5"/>
    <n v="0"/>
    <n v="0"/>
    <n v="0"/>
    <n v="0"/>
    <n v="0"/>
  </r>
  <r>
    <s v="BAKERY PRODUCTS"/>
    <n v="103"/>
    <x v="42"/>
    <x v="42"/>
    <n v="10"/>
    <n v="3.39"/>
    <n v="0"/>
    <n v="0"/>
    <n v="0"/>
    <n v="0"/>
    <n v="0"/>
  </r>
  <r>
    <s v="BAKERY PRODUCTS"/>
    <n v="103"/>
    <x v="43"/>
    <x v="43"/>
    <n v="15"/>
    <n v="6.99"/>
    <n v="0"/>
    <n v="0"/>
    <n v="0"/>
    <n v="0"/>
    <n v="0"/>
  </r>
  <r>
    <s v="BAKERY PRODUCTS"/>
    <n v="103"/>
    <x v="44"/>
    <x v="44"/>
    <n v="15"/>
    <n v="7.77"/>
    <n v="0"/>
    <n v="0"/>
    <n v="0"/>
    <n v="0"/>
    <n v="0"/>
  </r>
  <r>
    <s v="BAKERY PRODUCTS"/>
    <n v="103"/>
    <x v="45"/>
    <x v="45"/>
    <n v="10"/>
    <n v="2.3199999999999998"/>
    <n v="0"/>
    <n v="0"/>
    <n v="0"/>
    <n v="0"/>
    <n v="0"/>
  </r>
  <r>
    <s v="BAKERY PRODUCTS"/>
    <n v="103"/>
    <x v="46"/>
    <x v="46"/>
    <n v="10"/>
    <n v="4.5599999999999996"/>
    <n v="0"/>
    <n v="0"/>
    <n v="0"/>
    <n v="0"/>
    <n v="0"/>
  </r>
  <r>
    <s v="BAKERY PRODUCTS"/>
    <n v="103"/>
    <x v="47"/>
    <x v="47"/>
    <n v="10"/>
    <n v="5.04"/>
    <n v="0"/>
    <n v="0"/>
    <n v="0"/>
    <n v="0"/>
    <n v="0"/>
  </r>
  <r>
    <s v="BAKERY PRODUCTS"/>
    <n v="103"/>
    <x v="48"/>
    <x v="48"/>
    <n v="15"/>
    <n v="9.1300000000000008"/>
    <n v="0"/>
    <n v="0"/>
    <n v="0"/>
    <n v="0"/>
    <n v="0"/>
  </r>
  <r>
    <s v="BAKERY PRODUCTS"/>
    <n v="103"/>
    <x v="49"/>
    <x v="49"/>
    <n v="30"/>
    <n v="20.81"/>
    <n v="0"/>
    <n v="0"/>
    <n v="0"/>
    <n v="0"/>
    <n v="0"/>
  </r>
  <r>
    <s v="BAKERY PRODUCTS"/>
    <n v="103"/>
    <x v="50"/>
    <x v="50"/>
    <n v="21.99"/>
    <n v="11.11"/>
    <n v="0"/>
    <n v="0"/>
    <n v="0"/>
    <n v="0"/>
    <n v="0"/>
  </r>
  <r>
    <s v="BAKERY PRODUCTS"/>
    <n v="118"/>
    <x v="51"/>
    <x v="51"/>
    <n v="100"/>
    <n v="51.82"/>
    <n v="0"/>
    <n v="0"/>
    <n v="0"/>
    <n v="0"/>
    <n v="0"/>
  </r>
  <r>
    <s v="BAKERY PRODUCTS"/>
    <n v="102"/>
    <x v="52"/>
    <x v="52"/>
    <n v="15.99"/>
    <n v="8.2200000000000006"/>
    <n v="16"/>
    <n v="255.84"/>
    <n v="131.52000000000001"/>
    <n v="124.32"/>
    <n v="48.592870544090054"/>
  </r>
  <r>
    <s v="BAKERY PRODUCTS"/>
    <n v="101"/>
    <x v="53"/>
    <x v="53"/>
    <n v="14.99"/>
    <n v="7.62"/>
    <n v="30"/>
    <n v="449.7"/>
    <n v="228.6"/>
    <n v="221.1"/>
    <n v="49.166110740493664"/>
  </r>
  <r>
    <s v="BAKERY PRODUCTS"/>
    <n v="119"/>
    <x v="54"/>
    <x v="54"/>
    <n v="120"/>
    <n v="62.47"/>
    <n v="0"/>
    <n v="0"/>
    <n v="0"/>
    <n v="0"/>
    <n v="0"/>
  </r>
  <r>
    <s v="BAKERY PRODUCTS"/>
    <n v="101"/>
    <x v="55"/>
    <x v="55"/>
    <n v="1"/>
    <n v="0.65"/>
    <n v="0"/>
    <n v="0"/>
    <n v="0"/>
    <n v="0"/>
    <n v="0"/>
  </r>
  <r>
    <s v="BAKERY PRODUCTS"/>
    <n v="101"/>
    <x v="56"/>
    <x v="56"/>
    <n v="10.99"/>
    <n v="6.3"/>
    <n v="0"/>
    <n v="0"/>
    <n v="0"/>
    <n v="0"/>
    <n v="0"/>
  </r>
  <r>
    <s v="BAKERY PRODUCTS"/>
    <n v="102"/>
    <x v="57"/>
    <x v="57"/>
    <n v="5.99"/>
    <n v="4.32"/>
    <n v="12"/>
    <n v="71.88"/>
    <n v="51.84"/>
    <n v="20.039999999999992"/>
    <n v="27.879799666110173"/>
  </r>
  <r>
    <s v="BAKERY PRODUCTS"/>
    <n v="101"/>
    <x v="58"/>
    <x v="58"/>
    <n v="19.989999999999998"/>
    <n v="2.63"/>
    <n v="6"/>
    <n v="119.94"/>
    <n v="15.78"/>
    <n v="104.16"/>
    <n v="86.843421710855424"/>
  </r>
  <r>
    <s v="BAKERY PRODUCTS"/>
    <n v="118"/>
    <x v="59"/>
    <x v="59"/>
    <n v="100"/>
    <n v="52.03"/>
    <n v="0"/>
    <n v="0"/>
    <n v="0"/>
    <n v="0"/>
    <n v="0"/>
  </r>
  <r>
    <s v="BAKERY PRODUCTS"/>
    <n v="101"/>
    <x v="60"/>
    <x v="60"/>
    <n v="5.99"/>
    <n v="3.12"/>
    <n v="0"/>
    <n v="0"/>
    <n v="0"/>
    <n v="0"/>
    <n v="0"/>
  </r>
  <r>
    <s v="BAKERY PRODUCTS"/>
    <n v="102"/>
    <x v="61"/>
    <x v="61"/>
    <n v="32.99"/>
    <n v="15.39"/>
    <n v="0"/>
    <n v="0"/>
    <n v="0"/>
    <n v="0"/>
    <n v="0"/>
  </r>
  <r>
    <s v="BAKERY PRODUCTS"/>
    <n v="101"/>
    <x v="62"/>
    <x v="62"/>
    <n v="5.99"/>
    <n v="2.72"/>
    <n v="24"/>
    <n v="143.76"/>
    <n v="65.28"/>
    <n v="78.47999999999999"/>
    <n v="54.590984974958253"/>
  </r>
  <r>
    <s v="BAKERY PRODUCTS"/>
    <n v="101"/>
    <x v="63"/>
    <x v="63"/>
    <n v="6.99"/>
    <n v="2.85"/>
    <n v="28"/>
    <n v="195.72"/>
    <n v="79.8"/>
    <n v="115.92"/>
    <n v="59.227467811158796"/>
  </r>
  <r>
    <s v="BAKERY PRODUCTS"/>
    <n v="101"/>
    <x v="64"/>
    <x v="64"/>
    <n v="37.99"/>
    <n v="16.5"/>
    <n v="36"/>
    <n v="1367.64"/>
    <n v="594"/>
    <n v="773.6400000000001"/>
    <n v="56.567517767833642"/>
  </r>
  <r>
    <s v="BAKERY PRODUCTS"/>
    <n v="118"/>
    <x v="65"/>
    <x v="65"/>
    <n v="120"/>
    <n v="62.39"/>
    <n v="0"/>
    <n v="0"/>
    <n v="0"/>
    <n v="0"/>
    <n v="0"/>
  </r>
  <r>
    <s v="BAKERY PRODUCTS"/>
    <n v="106"/>
    <x v="66"/>
    <x v="66"/>
    <n v="27.99"/>
    <n v="15.41"/>
    <n v="0"/>
    <n v="0"/>
    <n v="0"/>
    <n v="0"/>
    <n v="0"/>
  </r>
  <r>
    <s v="BAKERY PRODUCTS"/>
    <n v="106"/>
    <x v="67"/>
    <x v="67"/>
    <n v="26.99"/>
    <n v="15.3"/>
    <n v="0"/>
    <n v="0"/>
    <n v="0"/>
    <n v="0"/>
    <n v="0"/>
  </r>
  <r>
    <s v="BAKERY PRODUCTS"/>
    <n v="118"/>
    <x v="68"/>
    <x v="68"/>
    <n v="120"/>
    <n v="64.849999999999994"/>
    <n v="0"/>
    <n v="0"/>
    <n v="0"/>
    <n v="0"/>
    <n v="0"/>
  </r>
  <r>
    <s v="BAKERY PRODUCTS"/>
    <n v="117"/>
    <x v="69"/>
    <x v="69"/>
    <n v="19.989999999999998"/>
    <n v="8.43"/>
    <n v="24"/>
    <n v="479.76"/>
    <n v="202.32"/>
    <n v="277.44"/>
    <n v="57.82891445722862"/>
  </r>
  <r>
    <s v="BAKERY PRODUCTS"/>
    <n v="102"/>
    <x v="70"/>
    <x v="70"/>
    <n v="29.99"/>
    <n v="16.43"/>
    <n v="0"/>
    <n v="0"/>
    <n v="0"/>
    <n v="0"/>
    <n v="0"/>
  </r>
  <r>
    <s v="BAKERY PRODUCTS"/>
    <n v="102"/>
    <x v="71"/>
    <x v="71"/>
    <n v="11.99"/>
    <n v="5.62"/>
    <n v="0"/>
    <n v="0"/>
    <n v="0"/>
    <n v="0"/>
    <n v="0"/>
  </r>
  <r>
    <s v="BAKERY PRODUCTS"/>
    <n v="118"/>
    <x v="72"/>
    <x v="72"/>
    <n v="80"/>
    <n v="36.909999999999997"/>
    <n v="0"/>
    <n v="0"/>
    <n v="0"/>
    <n v="0"/>
    <n v="0"/>
  </r>
  <r>
    <s v="BAKERY PRODUCTS"/>
    <n v="101"/>
    <x v="73"/>
    <x v="73"/>
    <n v="6.99"/>
    <n v="3.15"/>
    <n v="70"/>
    <n v="489.3"/>
    <n v="220.5"/>
    <n v="268.8"/>
    <n v="54.935622317596568"/>
  </r>
  <r>
    <s v="BAKERY PRODUCTS"/>
    <n v="101"/>
    <x v="74"/>
    <x v="74"/>
    <n v="9.5"/>
    <n v="4.1500000000000004"/>
    <n v="48"/>
    <n v="456"/>
    <n v="199.20000000000002"/>
    <n v="256.79999999999995"/>
    <n v="56.315789473684198"/>
  </r>
  <r>
    <s v="BAKERY PRODUCTS"/>
    <n v="101"/>
    <x v="75"/>
    <x v="75"/>
    <n v="19.989999999999998"/>
    <n v="12.2"/>
    <n v="50"/>
    <n v="999.49999999999989"/>
    <n v="610"/>
    <n v="389.49999999999989"/>
    <n v="38.969484742371179"/>
  </r>
  <r>
    <s v="BAKERY PRODUCTS"/>
    <n v="101"/>
    <x v="76"/>
    <x v="76"/>
    <n v="24.99"/>
    <n v="8.1"/>
    <n v="0"/>
    <n v="0"/>
    <n v="0"/>
    <n v="0"/>
    <n v="0"/>
  </r>
  <r>
    <s v="BAKERY PRODUCTS"/>
    <n v="101"/>
    <x v="77"/>
    <x v="77"/>
    <n v="15.99"/>
    <n v="6.74"/>
    <n v="6"/>
    <n v="95.94"/>
    <n v="40.44"/>
    <n v="55.5"/>
    <n v="57.848655409631021"/>
  </r>
  <r>
    <s v="BAKERY PRODUCTS"/>
    <n v="118"/>
    <x v="78"/>
    <x v="78"/>
    <n v="100"/>
    <n v="54.36"/>
    <n v="0"/>
    <n v="0"/>
    <n v="0"/>
    <n v="0"/>
    <n v="0"/>
  </r>
  <r>
    <s v="BAKERY PRODUCTS"/>
    <n v="101"/>
    <x v="79"/>
    <x v="79"/>
    <n v="6.99"/>
    <n v="3.8"/>
    <n v="0"/>
    <n v="0"/>
    <n v="0"/>
    <n v="0"/>
    <n v="0"/>
  </r>
  <r>
    <s v="CHIPKINS PURATOS (BIDVEST SOL)"/>
    <n v="102"/>
    <x v="80"/>
    <x v="80"/>
    <n v="39.99"/>
    <n v="17.68"/>
    <n v="0"/>
    <n v="0"/>
    <n v="0"/>
    <n v="0"/>
    <n v="0"/>
  </r>
  <r>
    <s v="BAKERY PRODUCTS"/>
    <n v="101"/>
    <x v="81"/>
    <x v="81"/>
    <n v="1.5"/>
    <n v="0.59"/>
    <n v="0"/>
    <n v="0"/>
    <n v="0"/>
    <n v="0"/>
    <n v="0"/>
  </r>
  <r>
    <s v="BAKERY PRODUCTS"/>
    <n v="102"/>
    <x v="82"/>
    <x v="82"/>
    <n v="21.99"/>
    <n v="12.33"/>
    <n v="0"/>
    <n v="0"/>
    <n v="0"/>
    <n v="0"/>
    <n v="0"/>
  </r>
  <r>
    <s v="BAKERY PRODUCTS"/>
    <n v="104"/>
    <x v="83"/>
    <x v="83"/>
    <n v="69.989999999999995"/>
    <n v="36.1"/>
    <n v="0"/>
    <n v="0"/>
    <n v="0"/>
    <n v="0"/>
    <n v="0"/>
  </r>
  <r>
    <s v="SOUTHBAKELS (PTY) LTD"/>
    <n v="103"/>
    <x v="84"/>
    <x v="84"/>
    <n v="114.99"/>
    <n v="59.83"/>
    <n v="0"/>
    <n v="0"/>
    <n v="0"/>
    <n v="0"/>
    <n v="0"/>
  </r>
  <r>
    <s v="BAKERY PRODUCTS"/>
    <n v="104"/>
    <x v="85"/>
    <x v="85"/>
    <n v="60"/>
    <n v="29.14"/>
    <n v="3"/>
    <n v="180"/>
    <n v="87.42"/>
    <n v="92.58"/>
    <n v="51.43333333333333"/>
  </r>
  <r>
    <s v="BAKERY PRODUCTS"/>
    <n v="104"/>
    <x v="86"/>
    <x v="86"/>
    <n v="55"/>
    <n v="24.25"/>
    <n v="0"/>
    <n v="0"/>
    <n v="0"/>
    <n v="0"/>
    <n v="0"/>
  </r>
  <r>
    <s v="BAKERY PRODUCTS"/>
    <n v="104"/>
    <x v="87"/>
    <x v="87"/>
    <n v="29.99"/>
    <n v="14.34"/>
    <n v="0"/>
    <n v="0"/>
    <n v="0"/>
    <n v="0"/>
    <n v="0"/>
  </r>
  <r>
    <s v="BAKERY PRODUCTS"/>
    <n v="104"/>
    <x v="88"/>
    <x v="88"/>
    <n v="55"/>
    <n v="25.03"/>
    <n v="5"/>
    <n v="275"/>
    <n v="125.15"/>
    <n v="149.85"/>
    <n v="54.490909090909092"/>
  </r>
  <r>
    <s v="BAKERY PRODUCTS"/>
    <n v="104"/>
    <x v="89"/>
    <x v="89"/>
    <n v="55"/>
    <n v="25.97"/>
    <n v="10"/>
    <n v="550"/>
    <n v="259.7"/>
    <n v="290.3"/>
    <n v="52.781818181818188"/>
  </r>
  <r>
    <s v="BAKERY PRODUCTS"/>
    <n v="101"/>
    <x v="90"/>
    <x v="90"/>
    <n v="29.99"/>
    <n v="10"/>
    <n v="0"/>
    <n v="0"/>
    <n v="0"/>
    <n v="0"/>
    <n v="0"/>
  </r>
  <r>
    <s v="BAKERY PRODUCTS"/>
    <n v="103"/>
    <x v="91"/>
    <x v="91"/>
    <n v="99.99"/>
    <n v="54.67"/>
    <n v="0"/>
    <n v="0"/>
    <n v="0"/>
    <n v="0"/>
    <n v="0"/>
  </r>
  <r>
    <s v="BAKERY PRODUCTS"/>
    <n v="101"/>
    <x v="92"/>
    <x v="92"/>
    <n v="1.5"/>
    <n v="0.68"/>
    <n v="0"/>
    <n v="0"/>
    <n v="0"/>
    <n v="0"/>
    <n v="0"/>
  </r>
  <r>
    <s v="BAKERY PRODUCTS"/>
    <n v="102"/>
    <x v="93"/>
    <x v="93"/>
    <n v="39.99"/>
    <n v="29.01"/>
    <n v="0"/>
    <n v="0"/>
    <n v="0"/>
    <n v="0"/>
    <n v="0"/>
  </r>
  <r>
    <s v="BAKERY PRODUCTS"/>
    <n v="102"/>
    <x v="94"/>
    <x v="94"/>
    <n v="3.99"/>
    <n v="1.3"/>
    <n v="0"/>
    <n v="0"/>
    <n v="0"/>
    <n v="0"/>
    <n v="0"/>
  </r>
  <r>
    <s v="BAKERY PRODUCTS"/>
    <n v="101"/>
    <x v="95"/>
    <x v="95"/>
    <n v="17.989999999999998"/>
    <n v="12.24"/>
    <n v="40"/>
    <n v="719.59999999999991"/>
    <n v="489.6"/>
    <n v="229.99999999999989"/>
    <n v="31.962201222901598"/>
  </r>
  <r>
    <s v="BAKERY PRODUCTS"/>
    <n v="101"/>
    <x v="96"/>
    <x v="96"/>
    <n v="4.99"/>
    <n v="2.52"/>
    <n v="0"/>
    <n v="0"/>
    <n v="0"/>
    <n v="0"/>
    <n v="0"/>
  </r>
  <r>
    <s v="SOUTHBAKELS (PTY) LTD"/>
    <n v="103"/>
    <x v="97"/>
    <x v="97"/>
    <n v="302.99"/>
    <n v="157.83000000000001"/>
    <n v="0"/>
    <n v="0"/>
    <n v="0"/>
    <n v="0"/>
    <n v="0"/>
  </r>
  <r>
    <s v="BAKERY PRODUCTS"/>
    <n v="104"/>
    <x v="98"/>
    <x v="98"/>
    <n v="29.99"/>
    <n v="12.52"/>
    <n v="15"/>
    <n v="449.84999999999997"/>
    <n v="187.79999999999998"/>
    <n v="262.04999999999995"/>
    <n v="58.252750916972317"/>
  </r>
  <r>
    <s v="BAKERY PRODUCTS"/>
    <n v="103"/>
    <x v="99"/>
    <x v="99"/>
    <n v="402.99"/>
    <n v="210"/>
    <n v="0"/>
    <n v="0"/>
    <n v="0"/>
    <n v="0"/>
    <n v="0"/>
  </r>
  <r>
    <s v="SOUTHBAKELS (PTY) LTD"/>
    <n v="103"/>
    <x v="100"/>
    <x v="100"/>
    <n v="216.99"/>
    <n v="117.59"/>
    <n v="0"/>
    <n v="0"/>
    <n v="0"/>
    <n v="0"/>
    <n v="0"/>
  </r>
  <r>
    <s v="BAKERY PRODUCTS"/>
    <n v="102"/>
    <x v="101"/>
    <x v="101"/>
    <n v="9.99"/>
    <n v="4.99"/>
    <n v="0"/>
    <n v="0"/>
    <n v="0"/>
    <n v="0"/>
    <n v="0"/>
  </r>
  <r>
    <s v="BAKERY PRODUCTS"/>
    <n v="119"/>
    <x v="102"/>
    <x v="102"/>
    <n v="79.989999999999995"/>
    <n v="54.64"/>
    <n v="0"/>
    <n v="0"/>
    <n v="0"/>
    <n v="0"/>
    <n v="0"/>
  </r>
  <r>
    <s v="BAKERY PRODUCTS"/>
    <n v="102"/>
    <x v="103"/>
    <x v="103"/>
    <n v="11.99"/>
    <n v="6.35"/>
    <n v="0"/>
    <n v="0"/>
    <n v="0"/>
    <n v="0"/>
    <n v="0"/>
  </r>
  <r>
    <s v="BAKERY PRODUCTS"/>
    <n v="104"/>
    <x v="104"/>
    <x v="104"/>
    <n v="29.99"/>
    <n v="7.38"/>
    <n v="0"/>
    <n v="0"/>
    <n v="0"/>
    <n v="0"/>
    <n v="0"/>
  </r>
  <r>
    <s v="BAKERY PRODUCTS"/>
    <n v="101"/>
    <x v="105"/>
    <x v="105"/>
    <n v="3.3"/>
    <n v="1.85"/>
    <n v="0"/>
    <n v="0"/>
    <n v="0"/>
    <n v="0"/>
    <n v="0"/>
  </r>
  <r>
    <s v="BAKERY PRODUCTS"/>
    <n v="102"/>
    <x v="106"/>
    <x v="106"/>
    <n v="8.99"/>
    <n v="4.99"/>
    <n v="0"/>
    <n v="0"/>
    <n v="0"/>
    <n v="0"/>
    <n v="0"/>
  </r>
  <r>
    <s v="BAKERY PRODUCTS"/>
    <n v="101"/>
    <x v="107"/>
    <x v="107"/>
    <n v="3.3"/>
    <n v="1.85"/>
    <n v="0"/>
    <n v="0"/>
    <n v="0"/>
    <n v="0"/>
    <n v="0"/>
  </r>
  <r>
    <s v="BAKERY PRODUCTS"/>
    <n v="102"/>
    <x v="108"/>
    <x v="108"/>
    <n v="25.99"/>
    <n v="13.19"/>
    <n v="0"/>
    <n v="0"/>
    <n v="0"/>
    <n v="0"/>
    <n v="0"/>
  </r>
  <r>
    <s v="BAKERY PRODUCTS"/>
    <n v="120"/>
    <x v="109"/>
    <x v="109"/>
    <n v="29.99"/>
    <n v="12.33"/>
    <n v="0"/>
    <n v="0"/>
    <n v="0"/>
    <n v="0"/>
    <n v="0"/>
  </r>
  <r>
    <s v="SOUTHBAKELS (PTY) LTD"/>
    <n v="103"/>
    <x v="110"/>
    <x v="110"/>
    <n v="313.99"/>
    <n v="163.47229999999999"/>
    <n v="0"/>
    <n v="0"/>
    <n v="0"/>
    <n v="0"/>
    <n v="0"/>
  </r>
  <r>
    <s v="BAKERY PRODUCTS"/>
    <n v="103"/>
    <x v="111"/>
    <x v="111"/>
    <n v="189.99"/>
    <n v="61"/>
    <n v="0"/>
    <n v="0"/>
    <n v="0"/>
    <n v="0"/>
    <n v="0"/>
  </r>
  <r>
    <s v="SOUTHBAKELS (PTY) LTD"/>
    <n v="103"/>
    <x v="112"/>
    <x v="112"/>
    <n v="112.99"/>
    <n v="60.22"/>
    <n v="0"/>
    <n v="0"/>
    <n v="0"/>
    <n v="0"/>
    <n v="0"/>
  </r>
  <r>
    <s v="BAKERY PRODUCTS"/>
    <n v="102"/>
    <x v="113"/>
    <x v="113"/>
    <n v="49.99"/>
    <n v="26.72"/>
    <n v="0"/>
    <n v="0"/>
    <n v="0"/>
    <n v="0"/>
    <n v="0"/>
  </r>
  <r>
    <s v="BAKERY PRODUCTS"/>
    <n v="119"/>
    <x v="114"/>
    <x v="114"/>
    <n v="385"/>
    <n v="201.52"/>
    <n v="0"/>
    <n v="0"/>
    <n v="0"/>
    <n v="0"/>
    <n v="0"/>
  </r>
  <r>
    <s v="ANCHOR YEAST(BULK BAKERY)"/>
    <n v="103"/>
    <x v="115"/>
    <x v="115"/>
    <n v="70.989999999999995"/>
    <n v="36.56"/>
    <n v="0"/>
    <n v="0"/>
    <n v="0"/>
    <n v="0"/>
    <n v="0"/>
  </r>
  <r>
    <s v="BAKERY PRODUCTS"/>
    <n v="101"/>
    <x v="116"/>
    <x v="116"/>
    <n v="16.989999999999998"/>
    <n v="7.7"/>
    <n v="184"/>
    <n v="3126.16"/>
    <n v="1416.8"/>
    <n v="1709.36"/>
    <n v="54.679223072395523"/>
  </r>
  <r>
    <s v="BAKERY PRODUCTS"/>
    <n v="102"/>
    <x v="117"/>
    <x v="117"/>
    <n v="18.989999999999998"/>
    <n v="9.6999999999999993"/>
    <n v="0"/>
    <n v="0"/>
    <n v="0"/>
    <n v="0"/>
    <n v="0"/>
  </r>
  <r>
    <s v="BAKERY PRODUCTS"/>
    <n v="102"/>
    <x v="118"/>
    <x v="118"/>
    <n v="15.99"/>
    <n v="8.3000000000000007"/>
    <n v="6"/>
    <n v="95.94"/>
    <n v="49.800000000000004"/>
    <n v="46.139999999999993"/>
    <n v="48.092557848655403"/>
  </r>
  <r>
    <s v="BAKERY PRODUCTS"/>
    <n v="101"/>
    <x v="119"/>
    <x v="119"/>
    <n v="39.99"/>
    <n v="16.100000000000001"/>
    <n v="0"/>
    <n v="0"/>
    <n v="0"/>
    <n v="0"/>
    <n v="0"/>
  </r>
  <r>
    <s v="BAKERY PRODUCTS"/>
    <n v="102"/>
    <x v="120"/>
    <x v="120"/>
    <n v="27.99"/>
    <n v="15.7"/>
    <n v="0"/>
    <n v="0"/>
    <n v="0"/>
    <n v="0"/>
    <n v="0"/>
  </r>
  <r>
    <s v="BAKERY PRODUCTS"/>
    <n v="101"/>
    <x v="121"/>
    <x v="121"/>
    <n v="11.99"/>
    <n v="6.05"/>
    <n v="0"/>
    <n v="0"/>
    <n v="0"/>
    <n v="0"/>
    <n v="0"/>
  </r>
  <r>
    <s v="BAKERY PRODUCTS"/>
    <n v="118"/>
    <x v="122"/>
    <x v="122"/>
    <n v="9.99"/>
    <n v="4.53"/>
    <n v="0"/>
    <n v="0"/>
    <n v="0"/>
    <n v="0"/>
    <n v="0"/>
  </r>
  <r>
    <s v="BAKERY PRODUCTS"/>
    <n v="104"/>
    <x v="123"/>
    <x v="123"/>
    <n v="15"/>
    <n v="7.38"/>
    <n v="0"/>
    <n v="0"/>
    <n v="0"/>
    <n v="0"/>
    <n v="0"/>
  </r>
  <r>
    <s v="BAKERY PRODUCTS"/>
    <n v="118"/>
    <x v="124"/>
    <x v="124"/>
    <n v="15.99"/>
    <n v="6.5"/>
    <n v="0"/>
    <n v="0"/>
    <n v="0"/>
    <n v="0"/>
    <n v="0"/>
  </r>
  <r>
    <s v="BAKERY PRODUCTS"/>
    <n v="101"/>
    <x v="125"/>
    <x v="125"/>
    <n v="16.989999999999998"/>
    <n v="7.73"/>
    <n v="36"/>
    <n v="611.64"/>
    <n v="278.28000000000003"/>
    <n v="333.35999999999996"/>
    <n v="54.502648616833426"/>
  </r>
  <r>
    <s v="BAKERY PRODUCTS"/>
    <n v="117"/>
    <x v="126"/>
    <x v="126"/>
    <n v="15.99"/>
    <n v="8.11"/>
    <n v="6"/>
    <n v="95.94"/>
    <n v="48.66"/>
    <n v="47.28"/>
    <n v="49.280800500312701"/>
  </r>
  <r>
    <s v="BAKERY PRODUCTS"/>
    <n v="106"/>
    <x v="127"/>
    <x v="127"/>
    <n v="4.99"/>
    <n v="2.97"/>
    <n v="0"/>
    <n v="0"/>
    <n v="0"/>
    <n v="0"/>
    <n v="0"/>
  </r>
  <r>
    <s v="BAKERY PRODUCTS"/>
    <n v="101"/>
    <x v="128"/>
    <x v="128"/>
    <n v="14.99"/>
    <n v="6.62"/>
    <n v="0"/>
    <n v="0"/>
    <n v="0"/>
    <n v="0"/>
    <n v="0"/>
  </r>
  <r>
    <s v="BAKE IT EASY"/>
    <n v="102"/>
    <x v="129"/>
    <x v="129"/>
    <n v="11.99"/>
    <n v="4.968"/>
    <n v="10"/>
    <n v="119.9"/>
    <n v="49.68"/>
    <n v="70.22"/>
    <n v="58.565471226021678"/>
  </r>
  <r>
    <s v="BAKERY PRODUCTS"/>
    <n v="102"/>
    <x v="130"/>
    <x v="130"/>
    <n v="19.989999999999998"/>
    <n v="10.85"/>
    <n v="16"/>
    <n v="319.83999999999997"/>
    <n v="173.6"/>
    <n v="146.23999999999998"/>
    <n v="45.722861430715355"/>
  </r>
  <r>
    <s v="BAKERY PRODUCTS"/>
    <n v="104"/>
    <x v="131"/>
    <x v="131"/>
    <n v="13.99"/>
    <n v="6.67"/>
    <n v="0"/>
    <n v="0"/>
    <n v="0"/>
    <n v="0"/>
    <n v="0"/>
  </r>
  <r>
    <s v="BAKERY PRODUCTS"/>
    <n v="113"/>
    <x v="132"/>
    <x v="132"/>
    <n v="44.99"/>
    <n v="26.64"/>
    <n v="0"/>
    <n v="0"/>
    <n v="0"/>
    <n v="0"/>
    <n v="0"/>
  </r>
  <r>
    <s v="BAKERY PRODUCTS"/>
    <n v="102"/>
    <x v="133"/>
    <x v="133"/>
    <n v="39.99"/>
    <n v="25"/>
    <n v="0"/>
    <n v="0"/>
    <n v="0"/>
    <n v="0"/>
    <n v="0"/>
  </r>
  <r>
    <s v="BAKERY PRODUCTS"/>
    <n v="102"/>
    <x v="134"/>
    <x v="134"/>
    <n v="15.99"/>
    <n v="7.86"/>
    <n v="0"/>
    <n v="0"/>
    <n v="0"/>
    <n v="0"/>
    <n v="0"/>
  </r>
  <r>
    <s v="BAKERY PRODUCTS"/>
    <n v="102"/>
    <x v="135"/>
    <x v="135"/>
    <n v="31.99"/>
    <n v="15.17"/>
    <n v="213"/>
    <n v="6813.87"/>
    <n v="3231.21"/>
    <n v="3582.66"/>
    <n v="52.578930915911229"/>
  </r>
  <r>
    <s v="BAKERY PRODUCTS"/>
    <n v="102"/>
    <x v="136"/>
    <x v="136"/>
    <n v="4.99"/>
    <n v="1.29"/>
    <n v="0"/>
    <n v="0"/>
    <n v="0"/>
    <n v="0"/>
    <n v="0"/>
  </r>
  <r>
    <s v="BAKERY PRODUCTS"/>
    <n v="102"/>
    <x v="137"/>
    <x v="137"/>
    <n v="9.99"/>
    <n v="3.26"/>
    <n v="0"/>
    <n v="0"/>
    <n v="0"/>
    <n v="0"/>
    <n v="0"/>
  </r>
  <r>
    <s v="BAKERY PRODUCTS"/>
    <n v="102"/>
    <x v="138"/>
    <x v="138"/>
    <n v="100"/>
    <n v="22.26"/>
    <n v="0"/>
    <n v="0"/>
    <n v="0"/>
    <n v="0"/>
    <n v="0"/>
  </r>
  <r>
    <s v="BAKERY PRODUCTS"/>
    <n v="102"/>
    <x v="139"/>
    <x v="139"/>
    <n v="29.99"/>
    <n v="15.38"/>
    <n v="0"/>
    <n v="0"/>
    <n v="0"/>
    <n v="0"/>
    <n v="0"/>
  </r>
  <r>
    <s v="BAKERY PRODUCTS"/>
    <n v="102"/>
    <x v="140"/>
    <x v="140"/>
    <n v="17.989999999999998"/>
    <n v="10.039999999999999"/>
    <n v="0"/>
    <n v="0"/>
    <n v="0"/>
    <n v="0"/>
    <n v="0"/>
  </r>
  <r>
    <s v="BAKERY PRODUCTS"/>
    <n v="102"/>
    <x v="141"/>
    <x v="141"/>
    <n v="15.99"/>
    <n v="5.13"/>
    <n v="0"/>
    <n v="0"/>
    <n v="0"/>
    <n v="0"/>
    <n v="0"/>
  </r>
  <r>
    <s v="BAKERY PRODUCTS"/>
    <n v="101"/>
    <x v="142"/>
    <x v="142"/>
    <n v="79.989999999999995"/>
    <n v="32.200000000000003"/>
    <n v="0"/>
    <n v="0"/>
    <n v="0"/>
    <n v="0"/>
    <n v="0"/>
  </r>
  <r>
    <s v="BAKERY PRODUCTS"/>
    <n v="101"/>
    <x v="143"/>
    <x v="143"/>
    <n v="28.99"/>
    <n v="14.86"/>
    <n v="0"/>
    <n v="0"/>
    <n v="0"/>
    <n v="0"/>
    <n v="0"/>
  </r>
  <r>
    <s v="BAKERY PRODUCTS"/>
    <n v="106"/>
    <x v="144"/>
    <x v="144"/>
    <n v="18.989999999999998"/>
    <n v="9.83"/>
    <n v="93"/>
    <n v="1766.07"/>
    <n v="914.19"/>
    <n v="851.87999999999988"/>
    <n v="48.235913638757232"/>
  </r>
  <r>
    <s v="BAKERY PRODUCTS"/>
    <n v="106"/>
    <x v="145"/>
    <x v="145"/>
    <n v="23.99"/>
    <n v="10.37"/>
    <n v="0"/>
    <n v="0"/>
    <n v="0"/>
    <n v="0"/>
    <n v="0"/>
  </r>
  <r>
    <s v="BAKERY PRODUCTS"/>
    <n v="101"/>
    <x v="146"/>
    <x v="146"/>
    <n v="13.99"/>
    <n v="7.37"/>
    <n v="0"/>
    <n v="0"/>
    <n v="0"/>
    <n v="0"/>
    <n v="0"/>
  </r>
  <r>
    <s v="BAKERY PRODUCTS"/>
    <n v="102"/>
    <x v="147"/>
    <x v="147"/>
    <n v="21.99"/>
    <n v="9.9600000000000009"/>
    <n v="0"/>
    <n v="0"/>
    <n v="0"/>
    <n v="0"/>
    <n v="0"/>
  </r>
  <r>
    <s v="BAKERY PRODUCTS"/>
    <n v="101"/>
    <x v="148"/>
    <x v="148"/>
    <n v="5.99"/>
    <n v="2.5299999999999998"/>
    <n v="0"/>
    <n v="0"/>
    <n v="0"/>
    <n v="0"/>
    <n v="0"/>
  </r>
  <r>
    <s v="BAKERY PRODUCTS"/>
    <n v="101"/>
    <x v="149"/>
    <x v="149"/>
    <n v="9.99"/>
    <n v="3.23"/>
    <n v="0"/>
    <n v="0"/>
    <n v="0"/>
    <n v="0"/>
    <n v="0"/>
  </r>
  <r>
    <s v="BAKERY PRODUCTS"/>
    <n v="101"/>
    <x v="150"/>
    <x v="150"/>
    <n v="30.99"/>
    <n v="12.4"/>
    <n v="0"/>
    <n v="0"/>
    <n v="0"/>
    <n v="0"/>
    <n v="0"/>
  </r>
  <r>
    <s v="BAKERY PRODUCTS"/>
    <n v="102"/>
    <x v="151"/>
    <x v="151"/>
    <n v="11.99"/>
    <n v="5.0999999999999996"/>
    <n v="6"/>
    <n v="71.94"/>
    <n v="30.599999999999998"/>
    <n v="41.34"/>
    <n v="57.46455379482903"/>
  </r>
  <r>
    <s v="BAKERY PRODUCTS"/>
    <n v="102"/>
    <x v="152"/>
    <x v="152"/>
    <n v="13.99"/>
    <n v="5.44"/>
    <n v="0"/>
    <n v="0"/>
    <n v="0"/>
    <n v="0"/>
    <n v="0"/>
  </r>
  <r>
    <s v="BAKERY PRODUCTS"/>
    <n v="101"/>
    <x v="153"/>
    <x v="153"/>
    <n v="4.99"/>
    <n v="2.61"/>
    <n v="0"/>
    <n v="0"/>
    <n v="0"/>
    <n v="0"/>
    <n v="0"/>
  </r>
  <r>
    <s v="BAKERY PRODUCTS"/>
    <n v="104"/>
    <x v="154"/>
    <x v="154"/>
    <n v="15"/>
    <n v="29.47"/>
    <n v="0"/>
    <n v="0"/>
    <n v="0"/>
    <n v="0"/>
    <n v="0"/>
  </r>
  <r>
    <s v="BAKERY PRODUCTS"/>
    <n v="101"/>
    <x v="155"/>
    <x v="155"/>
    <n v="29.99"/>
    <n v="12.66"/>
    <n v="0"/>
    <n v="0"/>
    <n v="0"/>
    <n v="0"/>
    <n v="0"/>
  </r>
  <r>
    <s v="BAKERY PRODUCTS"/>
    <n v="101"/>
    <x v="156"/>
    <x v="156"/>
    <n v="36.99"/>
    <n v="16.05"/>
    <n v="36"/>
    <n v="1331.64"/>
    <n v="577.80000000000007"/>
    <n v="753.84"/>
    <n v="56.609894566098937"/>
  </r>
  <r>
    <s v="BAKERY PRODUCTS"/>
    <n v="101"/>
    <x v="157"/>
    <x v="157"/>
    <n v="16.989999999999998"/>
    <n v="7.4"/>
    <n v="0"/>
    <n v="0"/>
    <n v="0"/>
    <n v="0"/>
    <n v="0"/>
  </r>
  <r>
    <s v="BAKERY PRODUCTS"/>
    <n v="102"/>
    <x v="158"/>
    <x v="158"/>
    <n v="2.5"/>
    <n v="1.29"/>
    <n v="0"/>
    <n v="0"/>
    <n v="0"/>
    <n v="0"/>
    <n v="0"/>
  </r>
  <r>
    <s v="BAKERY PRODUCTS"/>
    <n v="104"/>
    <x v="159"/>
    <x v="159"/>
    <n v="120"/>
    <n v="58.51"/>
    <n v="0"/>
    <n v="0"/>
    <n v="0"/>
    <n v="0"/>
    <n v="0"/>
  </r>
  <r>
    <s v="BAKERY PRODUCTS"/>
    <n v="101"/>
    <x v="160"/>
    <x v="160"/>
    <n v="26.99"/>
    <n v="10.66"/>
    <n v="0"/>
    <n v="0"/>
    <n v="0"/>
    <n v="0"/>
    <n v="0"/>
  </r>
  <r>
    <s v="BAKERY PRODUCTS"/>
    <n v="101"/>
    <x v="161"/>
    <x v="161"/>
    <n v="3.2"/>
    <n v="1.62"/>
    <n v="0"/>
    <n v="0"/>
    <n v="0"/>
    <n v="0"/>
    <n v="0"/>
  </r>
  <r>
    <s v="BAKERY PRODUCTS"/>
    <n v="101"/>
    <x v="162"/>
    <x v="162"/>
    <n v="19.989999999999998"/>
    <n v="7.04"/>
    <n v="0"/>
    <n v="0"/>
    <n v="0"/>
    <n v="0"/>
    <n v="0"/>
  </r>
  <r>
    <s v="BAKERY PRODUCTS"/>
    <n v="102"/>
    <x v="163"/>
    <x v="163"/>
    <n v="5.99"/>
    <n v="3.1"/>
    <n v="0"/>
    <n v="0"/>
    <n v="0"/>
    <n v="0"/>
    <n v="0"/>
  </r>
  <r>
    <s v="BAKERY PRODUCTS"/>
    <n v="102"/>
    <x v="164"/>
    <x v="164"/>
    <n v="5.99"/>
    <n v="3.1"/>
    <n v="0"/>
    <n v="0"/>
    <n v="0"/>
    <n v="0"/>
    <n v="0"/>
  </r>
  <r>
    <s v="BAKERY PRODUCTS"/>
    <n v="102"/>
    <x v="165"/>
    <x v="165"/>
    <n v="5.99"/>
    <n v="3.1"/>
    <n v="0"/>
    <n v="0"/>
    <n v="0"/>
    <n v="0"/>
    <n v="0"/>
  </r>
  <r>
    <s v="BAKERY PRODUCTS"/>
    <n v="102"/>
    <x v="166"/>
    <x v="166"/>
    <n v="5.99"/>
    <n v="3.1"/>
    <n v="0"/>
    <n v="0"/>
    <n v="0"/>
    <n v="0"/>
    <n v="0"/>
  </r>
  <r>
    <s v="BAKERY PRODUCTS"/>
    <n v="102"/>
    <x v="167"/>
    <x v="167"/>
    <n v="5.99"/>
    <n v="3.1"/>
    <n v="0"/>
    <n v="0"/>
    <n v="0"/>
    <n v="0"/>
    <n v="0"/>
  </r>
  <r>
    <s v="BAKERY PRODUCTS"/>
    <n v="101"/>
    <x v="168"/>
    <x v="168"/>
    <n v="13.99"/>
    <n v="7.36"/>
    <n v="780"/>
    <n v="10912.2"/>
    <n v="5740.8"/>
    <n v="5171.4000000000005"/>
    <n v="47.390993566833458"/>
  </r>
  <r>
    <s v="BAKERY PRODUCTS"/>
    <n v="101"/>
    <x v="169"/>
    <x v="169"/>
    <n v="10.99"/>
    <n v="6.3"/>
    <n v="240"/>
    <n v="2637.6"/>
    <n v="1512"/>
    <n v="1125.5999999999999"/>
    <n v="42.675159235668787"/>
  </r>
  <r>
    <s v="BAKERY PRODUCTS"/>
    <n v="102"/>
    <x v="170"/>
    <x v="170"/>
    <n v="5.99"/>
    <n v="3.1"/>
    <n v="0"/>
    <n v="0"/>
    <n v="0"/>
    <n v="0"/>
    <n v="0"/>
  </r>
  <r>
    <s v="BAKERY PRODUCTS"/>
    <n v="119"/>
    <x v="171"/>
    <x v="171"/>
    <n v="160"/>
    <n v="106.8"/>
    <n v="0"/>
    <n v="0"/>
    <n v="0"/>
    <n v="0"/>
    <n v="0"/>
  </r>
  <r>
    <s v="BAKERY PRODUCTS"/>
    <n v="101"/>
    <x v="172"/>
    <x v="172"/>
    <n v="10"/>
    <n v="7.36"/>
    <n v="0"/>
    <n v="0"/>
    <n v="0"/>
    <n v="0"/>
    <n v="0"/>
  </r>
  <r>
    <s v="BAKERY PRODUCTS"/>
    <n v="102"/>
    <x v="173"/>
    <x v="173"/>
    <n v="5.99"/>
    <n v="3.1"/>
    <n v="0"/>
    <n v="0"/>
    <n v="0"/>
    <n v="0"/>
    <n v="0"/>
  </r>
  <r>
    <s v="BAKERY PRODUCTS"/>
    <n v="101"/>
    <x v="174"/>
    <x v="174"/>
    <n v="4"/>
    <n v="2.2599999999999998"/>
    <n v="0"/>
    <n v="0"/>
    <n v="0"/>
    <n v="0"/>
    <n v="0"/>
  </r>
  <r>
    <s v="BAKERY PRODUCTS"/>
    <n v="117"/>
    <x v="175"/>
    <x v="175"/>
    <n v="10"/>
    <n v="3.39"/>
    <n v="0"/>
    <n v="0"/>
    <n v="0"/>
    <n v="0"/>
    <n v="0"/>
  </r>
  <r>
    <s v="BAKERY PRODUCTS"/>
    <n v="102"/>
    <x v="176"/>
    <x v="176"/>
    <n v="10"/>
    <n v="2.67"/>
    <n v="10"/>
    <n v="100"/>
    <n v="26.7"/>
    <n v="73.3"/>
    <n v="73.3"/>
  </r>
  <r>
    <s v="BAKERY PRODUCTS"/>
    <n v="102"/>
    <x v="177"/>
    <x v="177"/>
    <n v="10"/>
    <n v="3.43"/>
    <n v="12"/>
    <n v="120"/>
    <n v="41.160000000000004"/>
    <n v="78.84"/>
    <n v="65.7"/>
  </r>
  <r>
    <s v="BAKERY PRODUCTS"/>
    <n v="102"/>
    <x v="178"/>
    <x v="178"/>
    <n v="10"/>
    <n v="5.09"/>
    <n v="24"/>
    <n v="240"/>
    <n v="122.16"/>
    <n v="117.84"/>
    <n v="49.1"/>
  </r>
  <r>
    <s v="BAKERY PRODUCTS"/>
    <n v="102"/>
    <x v="179"/>
    <x v="179"/>
    <n v="10"/>
    <n v="3.28"/>
    <n v="0"/>
    <n v="0"/>
    <n v="0"/>
    <n v="0"/>
    <n v="0"/>
  </r>
  <r>
    <s v="BAKERY PRODUCTS"/>
    <n v="102"/>
    <x v="180"/>
    <x v="180"/>
    <n v="10"/>
    <n v="3.4432999999999998"/>
    <n v="0"/>
    <n v="0"/>
    <n v="0"/>
    <n v="0"/>
    <n v="0"/>
  </r>
  <r>
    <s v="BAKERY PRODUCTS"/>
    <n v="102"/>
    <x v="181"/>
    <x v="181"/>
    <n v="10"/>
    <n v="3.73"/>
    <n v="0"/>
    <n v="0"/>
    <n v="0"/>
    <n v="0"/>
    <n v="0"/>
  </r>
  <r>
    <s v="BAKERY PRODUCTS"/>
    <n v="102"/>
    <x v="182"/>
    <x v="182"/>
    <n v="10"/>
    <n v="3.71"/>
    <n v="0"/>
    <n v="0"/>
    <n v="0"/>
    <n v="0"/>
    <n v="0"/>
  </r>
  <r>
    <s v="BAKERY PRODUCTS"/>
    <n v="101"/>
    <x v="183"/>
    <x v="183"/>
    <n v="28.99"/>
    <n v="8.93"/>
    <n v="8"/>
    <n v="231.92"/>
    <n v="71.44"/>
    <n v="160.47999999999999"/>
    <n v="69.196274577440491"/>
  </r>
  <r>
    <s v="BAKERY PRODUCTS"/>
    <n v="101"/>
    <x v="184"/>
    <x v="184"/>
    <n v="10"/>
    <n v="6.28"/>
    <n v="0"/>
    <n v="0"/>
    <n v="0"/>
    <n v="0"/>
    <n v="0"/>
  </r>
  <r>
    <s v="BAKERY PRODUCTS"/>
    <n v="101"/>
    <x v="185"/>
    <x v="185"/>
    <n v="10"/>
    <n v="6.19"/>
    <n v="0"/>
    <n v="0"/>
    <n v="0"/>
    <n v="0"/>
    <n v="0"/>
  </r>
  <r>
    <s v="BAKERY PRODUCTS"/>
    <n v="112"/>
    <x v="186"/>
    <x v="186"/>
    <n v="199.99"/>
    <n v="126.16"/>
    <n v="0"/>
    <n v="0"/>
    <n v="0"/>
    <n v="0"/>
    <n v="0"/>
  </r>
  <r>
    <s v="BAKERY PRODUCTS"/>
    <n v="102"/>
    <x v="187"/>
    <x v="187"/>
    <n v="10"/>
    <n v="3.77"/>
    <n v="0"/>
    <n v="0"/>
    <n v="0"/>
    <n v="0"/>
    <n v="0"/>
  </r>
  <r>
    <s v="BAKERY PRODUCTS"/>
    <n v="101"/>
    <x v="188"/>
    <x v="188"/>
    <n v="19.989999999999998"/>
    <n v="7.43"/>
    <n v="0"/>
    <n v="0"/>
    <n v="0"/>
    <n v="0"/>
    <n v="0"/>
  </r>
  <r>
    <s v="BAKERY PRODUCTS"/>
    <n v="119"/>
    <x v="189"/>
    <x v="189"/>
    <n v="100"/>
    <n v="53.89"/>
    <n v="0"/>
    <n v="0"/>
    <n v="0"/>
    <n v="0"/>
    <n v="0"/>
  </r>
  <r>
    <s v="BAKERY PRODUCTS"/>
    <n v="102"/>
    <x v="190"/>
    <x v="190"/>
    <n v="12.99"/>
    <n v="6.69"/>
    <n v="0"/>
    <n v="0"/>
    <n v="0"/>
    <n v="0"/>
    <n v="0"/>
  </r>
  <r>
    <s v="BAKERY PRODUCTS"/>
    <n v="120"/>
    <x v="191"/>
    <x v="191"/>
    <n v="60"/>
    <n v="26.17"/>
    <n v="0"/>
    <n v="0"/>
    <n v="0"/>
    <n v="0"/>
    <n v="0"/>
  </r>
  <r>
    <s v="BAKERY PRODUCTS"/>
    <n v="109"/>
    <x v="192"/>
    <x v="192"/>
    <n v="7.99"/>
    <n v="5.54"/>
    <n v="0"/>
    <n v="0"/>
    <n v="0"/>
    <n v="0"/>
    <n v="0"/>
  </r>
  <r>
    <s v="BAKERY PRODUCTS"/>
    <n v="119"/>
    <x v="193"/>
    <x v="193"/>
    <n v="65.989999999999995"/>
    <n v="46.29"/>
    <n v="0"/>
    <n v="0"/>
    <n v="0"/>
    <n v="0"/>
    <n v="0"/>
  </r>
  <r>
    <s v="BAKERY PRODUCTS"/>
    <n v="101"/>
    <x v="194"/>
    <x v="194"/>
    <n v="26.99"/>
    <n v="14.15"/>
    <n v="0"/>
    <n v="0"/>
    <n v="0"/>
    <n v="0"/>
    <n v="0"/>
  </r>
  <r>
    <s v="BAKERY PRODUCTS"/>
    <n v="101"/>
    <x v="195"/>
    <x v="195"/>
    <n v="26.99"/>
    <n v="14.15"/>
    <n v="0"/>
    <n v="0"/>
    <n v="0"/>
    <n v="0"/>
    <n v="0"/>
  </r>
  <r>
    <s v="BAKERY PRODUCTS"/>
    <n v="102"/>
    <x v="196"/>
    <x v="196"/>
    <n v="15.99"/>
    <n v="8.31"/>
    <n v="0"/>
    <n v="0"/>
    <n v="0"/>
    <n v="0"/>
    <n v="0"/>
  </r>
  <r>
    <s v="BAKERY PRODUCTS"/>
    <n v="101"/>
    <x v="197"/>
    <x v="197"/>
    <n v="20.99"/>
    <n v="12.88"/>
    <n v="0"/>
    <n v="0"/>
    <n v="0"/>
    <n v="0"/>
    <n v="0"/>
  </r>
  <r>
    <s v="BAKERY PRODUCTS"/>
    <n v="120"/>
    <x v="198"/>
    <x v="198"/>
    <n v="60"/>
    <n v="33.18"/>
    <n v="0"/>
    <n v="0"/>
    <n v="0"/>
    <n v="0"/>
    <n v="0"/>
  </r>
  <r>
    <s v="BAKERY PRODUCTS"/>
    <n v="101"/>
    <x v="199"/>
    <x v="199"/>
    <n v="26.99"/>
    <n v="10.66"/>
    <n v="0"/>
    <n v="0"/>
    <n v="0"/>
    <n v="0"/>
    <n v="0"/>
  </r>
  <r>
    <s v="BAKERY PRODUCTS"/>
    <n v="102"/>
    <x v="200"/>
    <x v="200"/>
    <n v="26.97"/>
    <n v="13.68"/>
    <n v="0"/>
    <n v="0"/>
    <n v="0"/>
    <n v="0"/>
    <n v="0"/>
  </r>
  <r>
    <s v="BAKERY PRODUCTS"/>
    <n v="119"/>
    <x v="201"/>
    <x v="201"/>
    <n v="79.989999999999995"/>
    <n v="42.68"/>
    <n v="0"/>
    <n v="0"/>
    <n v="0"/>
    <n v="0"/>
    <n v="0"/>
  </r>
  <r>
    <s v="BAKERY PRODUCTS"/>
    <n v="101"/>
    <x v="202"/>
    <x v="202"/>
    <n v="23.99"/>
    <n v="11.87"/>
    <n v="0"/>
    <n v="0"/>
    <n v="0"/>
    <n v="0"/>
    <n v="0"/>
  </r>
  <r>
    <s v="BAKERY PRODUCTS"/>
    <n v="107"/>
    <x v="203"/>
    <x v="203"/>
    <n v="49.99"/>
    <n v="32.549999999999997"/>
    <n v="0"/>
    <n v="0"/>
    <n v="0"/>
    <n v="0"/>
    <n v="0"/>
  </r>
  <r>
    <s v="BAKERY PRODUCTS"/>
    <n v="119"/>
    <x v="204"/>
    <x v="204"/>
    <n v="140"/>
    <n v="62.14"/>
    <n v="0"/>
    <n v="0"/>
    <n v="0"/>
    <n v="0"/>
    <n v="0"/>
  </r>
  <r>
    <s v="BAKERY PRODUCTS"/>
    <n v="119"/>
    <x v="205"/>
    <x v="205"/>
    <n v="8.99"/>
    <n v="3.8"/>
    <n v="0"/>
    <n v="0"/>
    <n v="0"/>
    <n v="0"/>
    <n v="0"/>
  </r>
  <r>
    <s v="BAKERY PRODUCTS"/>
    <n v="119"/>
    <x v="206"/>
    <x v="206"/>
    <n v="160"/>
    <n v="72.88"/>
    <n v="0"/>
    <n v="0"/>
    <n v="0"/>
    <n v="0"/>
    <n v="0"/>
  </r>
  <r>
    <s v="BAKERY PRODUCTS"/>
    <n v="120"/>
    <x v="207"/>
    <x v="207"/>
    <n v="69.989999999999995"/>
    <n v="42.18"/>
    <n v="0"/>
    <n v="0"/>
    <n v="0"/>
    <n v="0"/>
    <n v="0"/>
  </r>
  <r>
    <s v="BAKERY PRODUCTS"/>
    <n v="120"/>
    <x v="208"/>
    <x v="208"/>
    <n v="69.989999999999995"/>
    <n v="37.380000000000003"/>
    <n v="0"/>
    <n v="0"/>
    <n v="0"/>
    <n v="0"/>
    <n v="0"/>
  </r>
  <r>
    <s v="BAKERY PRODUCTS"/>
    <n v="120"/>
    <x v="209"/>
    <x v="209"/>
    <n v="38"/>
    <n v="18.920000000000002"/>
    <n v="0"/>
    <n v="0"/>
    <n v="0"/>
    <n v="0"/>
    <n v="0"/>
  </r>
  <r>
    <s v="BAKERY PRODUCTS"/>
    <n v="119"/>
    <x v="210"/>
    <x v="210"/>
    <n v="120"/>
    <n v="82.1"/>
    <n v="0"/>
    <n v="0"/>
    <n v="0"/>
    <n v="0"/>
    <n v="0"/>
  </r>
  <r>
    <s v="BAKERY PRODUCTS"/>
    <n v="119"/>
    <x v="211"/>
    <x v="211"/>
    <n v="70"/>
    <n v="48.14"/>
    <n v="0"/>
    <n v="0"/>
    <n v="0"/>
    <n v="0"/>
    <n v="0"/>
  </r>
  <r>
    <s v="BAKERY PRODUCTS"/>
    <n v="102"/>
    <x v="212"/>
    <x v="212"/>
    <n v="14.99"/>
    <n v="7.72"/>
    <n v="0"/>
    <n v="0"/>
    <n v="0"/>
    <n v="0"/>
    <n v="0"/>
  </r>
  <r>
    <s v="BAKERY PRODUCTS"/>
    <n v="101"/>
    <x v="213"/>
    <x v="213"/>
    <n v="29.99"/>
    <n v="16.03"/>
    <n v="0"/>
    <n v="0"/>
    <n v="0"/>
    <n v="0"/>
    <n v="0"/>
  </r>
  <r>
    <s v="BAKERY PRODUCTS"/>
    <n v="102"/>
    <x v="214"/>
    <x v="214"/>
    <n v="13.99"/>
    <n v="9.14"/>
    <n v="0"/>
    <n v="0"/>
    <n v="0"/>
    <n v="0"/>
    <n v="0"/>
  </r>
  <r>
    <s v="BAKERY PRODUCTS"/>
    <n v="102"/>
    <x v="215"/>
    <x v="215"/>
    <n v="11.99"/>
    <n v="7.6"/>
    <n v="0"/>
    <n v="0"/>
    <n v="0"/>
    <n v="0"/>
    <n v="0"/>
  </r>
  <r>
    <s v="BAKERY PRODUCTS"/>
    <n v="102"/>
    <x v="216"/>
    <x v="216"/>
    <n v="29.99"/>
    <n v="28.95"/>
    <n v="0"/>
    <n v="0"/>
    <n v="0"/>
    <n v="0"/>
    <n v="0"/>
  </r>
  <r>
    <s v="BAKERY PRODUCTS"/>
    <n v="102"/>
    <x v="217"/>
    <x v="217"/>
    <n v="29.99"/>
    <n v="28.95"/>
    <n v="0"/>
    <n v="0"/>
    <n v="0"/>
    <n v="0"/>
    <n v="0"/>
  </r>
  <r>
    <s v="BAKERY PRODUCTS"/>
    <n v="102"/>
    <x v="218"/>
    <x v="218"/>
    <n v="29.99"/>
    <n v="28.95"/>
    <n v="0"/>
    <n v="0"/>
    <n v="0"/>
    <n v="0"/>
    <n v="0"/>
  </r>
  <r>
    <s v="BAKERY PRODUCTS"/>
    <n v="101"/>
    <x v="219"/>
    <x v="219"/>
    <n v="2"/>
    <n v="0.68"/>
    <n v="0"/>
    <n v="0"/>
    <n v="0"/>
    <n v="0"/>
    <n v="0"/>
  </r>
  <r>
    <s v="BAKERY PRODUCTS"/>
    <n v="102"/>
    <x v="220"/>
    <x v="220"/>
    <n v="15.99"/>
    <n v="6.2"/>
    <n v="0"/>
    <n v="0"/>
    <n v="0"/>
    <n v="0"/>
    <n v="0"/>
  </r>
  <r>
    <s v="BAKERY PRODUCTS"/>
    <n v="102"/>
    <x v="221"/>
    <x v="221"/>
    <n v="13.99"/>
    <n v="3.8"/>
    <n v="0"/>
    <n v="0"/>
    <n v="0"/>
    <n v="0"/>
    <n v="0"/>
  </r>
  <r>
    <s v="BAKERY PRODUCTS"/>
    <n v="102"/>
    <x v="222"/>
    <x v="222"/>
    <n v="30.99"/>
    <n v="9.5"/>
    <n v="0"/>
    <n v="0"/>
    <n v="0"/>
    <n v="0"/>
    <n v="0"/>
  </r>
  <r>
    <s v="BAKERY PRODUCTS"/>
    <n v="102"/>
    <x v="223"/>
    <x v="223"/>
    <n v="35.99"/>
    <n v="12.5"/>
    <n v="0"/>
    <n v="0"/>
    <n v="0"/>
    <n v="0"/>
    <n v="0"/>
  </r>
  <r>
    <s v="BAKERY PRODUCTS"/>
    <n v="102"/>
    <x v="224"/>
    <x v="224"/>
    <n v="26.99"/>
    <n v="7.8"/>
    <n v="0"/>
    <n v="0"/>
    <n v="0"/>
    <n v="0"/>
    <n v="0"/>
  </r>
  <r>
    <s v="BAKERY PRODUCTS"/>
    <n v="102"/>
    <x v="225"/>
    <x v="8"/>
    <n v="26.99"/>
    <n v="7.8"/>
    <n v="0"/>
    <n v="0"/>
    <n v="0"/>
    <n v="0"/>
    <n v="0"/>
  </r>
  <r>
    <s v="BAKERY PRODUCTS"/>
    <n v="102"/>
    <x v="226"/>
    <x v="225"/>
    <n v="15.99"/>
    <n v="8.0500000000000007"/>
    <n v="0"/>
    <n v="0"/>
    <n v="0"/>
    <n v="0"/>
    <n v="0"/>
  </r>
  <r>
    <s v="BAKERY PRODUCTS"/>
    <n v="102"/>
    <x v="227"/>
    <x v="226"/>
    <n v="15.99"/>
    <n v="9.99"/>
    <n v="0"/>
    <n v="0"/>
    <n v="0"/>
    <n v="0"/>
    <n v="0"/>
  </r>
  <r>
    <s v="BAKERY PRODUCTS"/>
    <n v="101"/>
    <x v="228"/>
    <x v="227"/>
    <n v="3.8"/>
    <n v="1.3"/>
    <n v="0"/>
    <n v="0"/>
    <n v="0"/>
    <n v="0"/>
    <n v="0"/>
  </r>
  <r>
    <s v="BAKERY PRODUCTS"/>
    <n v="101"/>
    <x v="17"/>
    <x v="17"/>
    <n v="20.99"/>
    <n v="7.46"/>
    <n v="104.666666666667"/>
    <n v="2196.9533333333402"/>
    <n v="780.81333333333578"/>
    <n v="1416.1400000000044"/>
    <n v="64.459266317293952"/>
  </r>
  <r>
    <s v="VECTOR LOG.(PTY)LTD GOOSEBUMPS"/>
    <n v="102"/>
    <x v="229"/>
    <x v="228"/>
    <n v="28.99"/>
    <n v="14.6126666666667"/>
    <n v="0"/>
    <n v="0"/>
    <n v="0"/>
    <n v="0"/>
    <n v="0"/>
  </r>
  <r>
    <s v="GOOSEBUMPS DISTR.(BREAD STOP)"/>
    <n v="102"/>
    <x v="230"/>
    <x v="229"/>
    <n v="29.99"/>
    <n v="3.1788888888888902"/>
    <n v="6"/>
    <n v="179.94"/>
    <n v="19.073333333333341"/>
    <n v="160.86666666666665"/>
    <n v="89.400170427179418"/>
  </r>
  <r>
    <s v="GOOSEBUMPS DISTR.(BREAD STOP)"/>
    <n v="101"/>
    <x v="231"/>
    <x v="230"/>
    <n v="3.99"/>
    <n v="2.120625"/>
    <n v="0"/>
    <n v="0"/>
    <n v="0"/>
    <n v="0"/>
    <n v="0"/>
  </r>
  <r>
    <s v="GOOSEBUMPS DISTR.(BREAD STOP)"/>
    <n v="101"/>
    <x v="232"/>
    <x v="231"/>
    <n v="3.99"/>
    <n v="2.1095999999999999"/>
    <n v="0"/>
    <n v="0"/>
    <n v="0"/>
    <n v="0"/>
    <n v="0"/>
  </r>
  <r>
    <s v="GOOSEBUMPS DISTR.(BREAD STOP)"/>
    <n v="101"/>
    <x v="233"/>
    <x v="232"/>
    <n v="5"/>
    <n v="3.3388749999999998"/>
    <n v="144"/>
    <n v="720"/>
    <n v="480.798"/>
    <n v="239.202"/>
    <n v="33.222499999999997"/>
  </r>
  <r>
    <s v="BAKERY PRODUCTS"/>
    <n v="101"/>
    <x v="234"/>
    <x v="233"/>
    <n v="3"/>
    <n v="1.53"/>
    <n v="0"/>
    <n v="0"/>
    <n v="0"/>
    <n v="0"/>
    <n v="0"/>
  </r>
  <r>
    <s v="VECTOR LOG.(PTY)LTD GOOSEBUMPS"/>
    <n v="102"/>
    <x v="235"/>
    <x v="234"/>
    <n v="10.85"/>
    <n v="5.9984999999999999"/>
    <n v="0"/>
    <n v="0"/>
    <n v="0"/>
    <n v="0"/>
    <n v="0"/>
  </r>
  <r>
    <s v="VECTOR LOG.(PTY)LTD GOOSEBUMPS"/>
    <n v="102"/>
    <x v="236"/>
    <x v="235"/>
    <n v="7.99"/>
    <n v="4.1159999999999997"/>
    <n v="0"/>
    <n v="0"/>
    <n v="0"/>
    <n v="0"/>
    <n v="0"/>
  </r>
  <r>
    <s v="VECTOR LOG.(PTY)LTD GOOSEBUMPS"/>
    <n v="102"/>
    <x v="237"/>
    <x v="236"/>
    <n v="7.99"/>
    <n v="4.3630833333333303"/>
    <n v="0"/>
    <n v="0"/>
    <n v="0"/>
    <n v="0"/>
    <n v="0"/>
  </r>
  <r>
    <s v="VECTOR LOG.(PTY)LTD GOOSEBUMPS"/>
    <n v="102"/>
    <x v="238"/>
    <x v="237"/>
    <n v="10.85"/>
    <n v="5.9984999999999999"/>
    <n v="0"/>
    <n v="0"/>
    <n v="0"/>
    <n v="0"/>
    <n v="0"/>
  </r>
  <r>
    <s v="VECTOR LOG.(PTY)LTD GOOSEBUMPS"/>
    <n v="102"/>
    <x v="239"/>
    <x v="238"/>
    <n v="330.99"/>
    <n v="182.6"/>
    <n v="0"/>
    <n v="0"/>
    <n v="0"/>
    <n v="0"/>
    <n v="0"/>
  </r>
  <r>
    <s v="VECTOR LOG.(PTY)LTD GOOSEBUMPS"/>
    <n v="102"/>
    <x v="240"/>
    <x v="239"/>
    <n v="28.99"/>
    <n v="16.567"/>
    <n v="0"/>
    <n v="0"/>
    <n v="0"/>
    <n v="0"/>
    <n v="0"/>
  </r>
  <r>
    <s v="VECTOR LOG.(PTY)LTD GOOSEBUMPS"/>
    <n v="102"/>
    <x v="241"/>
    <x v="240"/>
    <n v="5.4"/>
    <n v="2.9407999999999999"/>
    <n v="0"/>
    <n v="0"/>
    <n v="0"/>
    <n v="0"/>
    <n v="0"/>
  </r>
  <r>
    <s v="BAKERY PRODUCTS"/>
    <n v="101"/>
    <x v="121"/>
    <x v="121"/>
    <n v="11.99"/>
    <n v="6.05"/>
    <n v="0"/>
    <n v="0"/>
    <n v="0"/>
    <n v="0"/>
    <n v="0"/>
  </r>
  <r>
    <s v="VECTOR LOG.(PTY)LTD GOOSEBUMPS"/>
    <n v="102"/>
    <x v="242"/>
    <x v="241"/>
    <n v="4.99"/>
    <n v="2.8072499999999998"/>
    <n v="0"/>
    <n v="0"/>
    <n v="0"/>
    <n v="0"/>
    <n v="0"/>
  </r>
  <r>
    <s v="GOOSEBUMPS DISTR.(BREAD STOP)"/>
    <n v="102"/>
    <x v="243"/>
    <x v="242"/>
    <n v="5.49"/>
    <n v="2.7884166666666701"/>
    <n v="0"/>
    <n v="0"/>
    <n v="0"/>
    <n v="0"/>
    <n v="0"/>
  </r>
  <r>
    <s v="BAKE IT EASY"/>
    <n v="102"/>
    <x v="129"/>
    <x v="129"/>
    <n v="11.99"/>
    <n v="4.968"/>
    <n v="0"/>
    <n v="0"/>
    <n v="0"/>
    <n v="0"/>
    <n v="0"/>
  </r>
  <r>
    <s v="BAKE IT EASY"/>
    <n v="101"/>
    <x v="244"/>
    <x v="243"/>
    <n v="13.99"/>
    <n v="6.5"/>
    <n v="0"/>
    <n v="0"/>
    <n v="0"/>
    <n v="0"/>
    <n v="0"/>
  </r>
  <r>
    <s v="GOOSEBUMPS DISTR.(BREAD STOP)"/>
    <n v="102"/>
    <x v="245"/>
    <x v="244"/>
    <n v="10.99"/>
    <n v="5.7054999999999998"/>
    <n v="0"/>
    <n v="0"/>
    <n v="0"/>
    <n v="0"/>
    <n v="0"/>
  </r>
  <r>
    <s v="GOOSEBUMPS DISTR.(BREAD STOP)"/>
    <n v="109"/>
    <x v="246"/>
    <x v="245"/>
    <n v="189.99"/>
    <n v="107.69199999999999"/>
    <n v="0"/>
    <n v="0"/>
    <n v="0"/>
    <n v="0"/>
    <n v="0"/>
  </r>
  <r>
    <s v="VECTOR LOG.(PTY)LTD GOOSEBUMPS"/>
    <n v="102"/>
    <x v="247"/>
    <x v="246"/>
    <n v="37.99"/>
    <n v="19.462499999999999"/>
    <n v="0"/>
    <n v="0"/>
    <n v="0"/>
    <n v="0"/>
    <n v="0"/>
  </r>
  <r>
    <s v="VECTOR LOG.(PTY)LTD GOOSEBUMPS"/>
    <n v="102"/>
    <x v="248"/>
    <x v="247"/>
    <n v="11.99"/>
    <n v="7.0248571428571402"/>
    <n v="0"/>
    <n v="0"/>
    <n v="0"/>
    <n v="0"/>
    <n v="0"/>
  </r>
  <r>
    <s v="GOOSEBUMPS DISTR.(BREAD STOP)"/>
    <n v="101"/>
    <x v="249"/>
    <x v="248"/>
    <n v="25.99"/>
    <n v="13.4"/>
    <n v="65"/>
    <n v="1689.35"/>
    <n v="871"/>
    <n v="818.34999999999991"/>
    <n v="48.441708349365136"/>
  </r>
  <r>
    <s v="GOOSEBUMPS DISTR.(BREAD STOP)"/>
    <n v="101"/>
    <x v="250"/>
    <x v="249"/>
    <n v="21.99"/>
    <n v="12.14"/>
    <n v="34"/>
    <n v="747.66"/>
    <n v="412.76"/>
    <n v="334.9"/>
    <n v="44.793087767166895"/>
  </r>
  <r>
    <s v="VECTOR LOG.(PTY)LTD GOOSEBUMPS"/>
    <n v="102"/>
    <x v="251"/>
    <x v="250"/>
    <n v="21.99"/>
    <n v="10.989750000000001"/>
    <n v="0"/>
    <n v="0"/>
    <n v="0"/>
    <n v="0"/>
    <n v="0"/>
  </r>
  <r>
    <s v="GOOSEBUMPS DISTR.(BREAD STOP)"/>
    <n v="102"/>
    <x v="252"/>
    <x v="251"/>
    <n v="269.99"/>
    <n v="141.47833333333301"/>
    <n v="0"/>
    <n v="0"/>
    <n v="0"/>
    <n v="0"/>
    <n v="0"/>
  </r>
  <r>
    <s v="GOOSEBUMPS DISTR.(BREAD STOP)"/>
    <n v="1138"/>
    <x v="253"/>
    <x v="252"/>
    <n v="0"/>
    <n v="120.14"/>
    <n v="0"/>
    <n v="0"/>
    <n v="0"/>
    <n v="0"/>
    <n v="0"/>
  </r>
  <r>
    <s v="GOOSEBUMPS DISTR.(BREAD STOP)"/>
    <n v="102"/>
    <x v="254"/>
    <x v="253"/>
    <n v="79.989999999999995"/>
    <n v="41.475000000000001"/>
    <n v="0"/>
    <n v="0"/>
    <n v="0"/>
    <n v="0"/>
    <n v="0"/>
  </r>
  <r>
    <s v="GOOSEBUMPS DISTR.(BREAD STOP)"/>
    <n v="102"/>
    <x v="255"/>
    <x v="254"/>
    <n v="79.989999999999995"/>
    <n v="41.475000000000001"/>
    <n v="0"/>
    <n v="0"/>
    <n v="0"/>
    <n v="0"/>
    <n v="0"/>
  </r>
  <r>
    <s v="GOOSEBUMPS DISTR.(BREAD STOP)"/>
    <n v="102"/>
    <x v="256"/>
    <x v="255"/>
    <n v="79.989999999999995"/>
    <n v="41.475000000000001"/>
    <n v="0"/>
    <n v="0"/>
    <n v="0"/>
    <n v="0"/>
    <n v="0"/>
  </r>
  <r>
    <s v="GOOSEBUMPS DISTR.(BREAD STOP)"/>
    <n v="102"/>
    <x v="257"/>
    <x v="256"/>
    <n v="79.989999999999995"/>
    <n v="44.62"/>
    <n v="0"/>
    <n v="0"/>
    <n v="0"/>
    <n v="0"/>
    <n v="0"/>
  </r>
  <r>
    <s v="GOOSEBUMPS DISTR.(BREAD STOP)"/>
    <n v="102"/>
    <x v="258"/>
    <x v="257"/>
    <n v="79.989999999999995"/>
    <n v="44.62"/>
    <n v="0"/>
    <n v="0"/>
    <n v="0"/>
    <n v="0"/>
    <n v="0"/>
  </r>
  <r>
    <s v="ROSSOUW D"/>
    <n v="102"/>
    <x v="259"/>
    <x v="258"/>
    <n v="17.989999999999998"/>
    <n v="9.4"/>
    <n v="0"/>
    <n v="0"/>
    <n v="0"/>
    <n v="0"/>
    <n v="0"/>
  </r>
  <r>
    <s v="ROSSOUW D"/>
    <n v="102"/>
    <x v="260"/>
    <x v="259"/>
    <n v="9.99"/>
    <n v="5"/>
    <n v="0"/>
    <n v="0"/>
    <n v="0"/>
    <n v="0"/>
    <n v="0"/>
  </r>
  <r>
    <s v="ROSSOUW D"/>
    <n v="1821"/>
    <x v="261"/>
    <x v="260"/>
    <n v="19.989999999999998"/>
    <n v="17.149999999999999"/>
    <n v="0"/>
    <n v="0"/>
    <n v="0"/>
    <n v="0"/>
    <n v="0"/>
  </r>
  <r>
    <s v="ROSSOUW D"/>
    <n v="1821"/>
    <x v="262"/>
    <x v="261"/>
    <n v="29.99"/>
    <n v="29.25"/>
    <n v="0"/>
    <n v="0"/>
    <n v="0"/>
    <n v="0"/>
    <n v="0"/>
  </r>
  <r>
    <s v="ROSSOUW D"/>
    <n v="102"/>
    <x v="263"/>
    <x v="262"/>
    <n v="50"/>
    <n v="30"/>
    <n v="0"/>
    <n v="0"/>
    <n v="0"/>
    <n v="0"/>
    <n v="0"/>
  </r>
  <r>
    <s v="ROSSOUW D"/>
    <n v="102"/>
    <x v="264"/>
    <x v="263"/>
    <n v="52"/>
    <n v="28.2"/>
    <n v="0"/>
    <n v="0"/>
    <n v="0"/>
    <n v="0"/>
    <n v="0"/>
  </r>
  <r>
    <s v="ROSSOUW D"/>
    <n v="102"/>
    <x v="265"/>
    <x v="264"/>
    <n v="5"/>
    <n v="1.38"/>
    <n v="0"/>
    <n v="0"/>
    <n v="0"/>
    <n v="0"/>
    <n v="0"/>
  </r>
  <r>
    <s v="ROSSOUW D"/>
    <n v="102"/>
    <x v="266"/>
    <x v="265"/>
    <n v="16.989999999999998"/>
    <n v="7.99"/>
    <n v="0"/>
    <n v="0"/>
    <n v="0"/>
    <n v="0"/>
    <n v="0"/>
  </r>
  <r>
    <s v="BAKERY PRODUCTS"/>
    <n v="101"/>
    <x v="228"/>
    <x v="227"/>
    <n v="3.8"/>
    <n v="1.3"/>
    <n v="0"/>
    <n v="0"/>
    <n v="0"/>
    <n v="0"/>
    <n v="0"/>
  </r>
  <r>
    <s v="VECTOR LOG.(PTY)LTD GOOSEBUMPS"/>
    <n v="102"/>
    <x v="229"/>
    <x v="228"/>
    <n v="28.99"/>
    <n v="14.6126666666667"/>
    <n v="0"/>
    <n v="0"/>
    <n v="0"/>
    <n v="0"/>
    <n v="0"/>
  </r>
  <r>
    <s v="BAKERY PRODUCTS"/>
    <n v="101"/>
    <x v="234"/>
    <x v="233"/>
    <n v="3"/>
    <n v="1.53"/>
    <n v="0"/>
    <n v="0"/>
    <n v="0"/>
    <n v="0"/>
    <n v="0"/>
  </r>
  <r>
    <s v="VECTOR LOG.(PTY)LTD GOOSEBUMPS"/>
    <n v="102"/>
    <x v="235"/>
    <x v="234"/>
    <n v="10.85"/>
    <n v="5.9984999999999999"/>
    <n v="0"/>
    <n v="0"/>
    <n v="0"/>
    <n v="0"/>
    <n v="0"/>
  </r>
  <r>
    <s v="VECTOR LOG.(PTY)LTD GOOSEBUMPS"/>
    <n v="102"/>
    <x v="236"/>
    <x v="235"/>
    <n v="7.99"/>
    <n v="4.1159999999999997"/>
    <n v="0"/>
    <n v="0"/>
    <n v="0"/>
    <n v="0"/>
    <n v="0"/>
  </r>
  <r>
    <s v="VECTOR LOG.(PTY)LTD GOOSEBUMPS"/>
    <n v="102"/>
    <x v="237"/>
    <x v="236"/>
    <n v="7.99"/>
    <n v="4.3630833333333303"/>
    <n v="0"/>
    <n v="0"/>
    <n v="0"/>
    <n v="0"/>
    <n v="0"/>
  </r>
  <r>
    <s v="VECTOR LOG.(PTY)LTD GOOSEBUMPS"/>
    <n v="102"/>
    <x v="238"/>
    <x v="237"/>
    <n v="10.85"/>
    <n v="5.9984999999999999"/>
    <n v="0"/>
    <n v="0"/>
    <n v="0"/>
    <n v="0"/>
    <n v="0"/>
  </r>
  <r>
    <s v="VECTOR LOG.(PTY)LTD GOOSEBUMPS"/>
    <n v="102"/>
    <x v="239"/>
    <x v="238"/>
    <n v="330.99"/>
    <n v="182.6"/>
    <n v="0"/>
    <n v="0"/>
    <n v="0"/>
    <n v="0"/>
    <n v="0"/>
  </r>
  <r>
    <s v="VECTOR LOG.(PTY)LTD GOOSEBUMPS"/>
    <n v="102"/>
    <x v="240"/>
    <x v="239"/>
    <n v="28.99"/>
    <n v="16.567"/>
    <n v="0"/>
    <n v="0"/>
    <n v="0"/>
    <n v="0"/>
    <n v="0"/>
  </r>
  <r>
    <s v="VECTOR LOG.(PTY)LTD GOOSEBUMPS"/>
    <n v="102"/>
    <x v="241"/>
    <x v="240"/>
    <n v="5.4"/>
    <n v="2.9407999999999999"/>
    <n v="0"/>
    <n v="0"/>
    <n v="0"/>
    <n v="0"/>
    <n v="0"/>
  </r>
  <r>
    <s v="VECTOR LOG.(PTY)LTD GOOSEBUMPS"/>
    <n v="102"/>
    <x v="242"/>
    <x v="241"/>
    <n v="4.99"/>
    <n v="2.8072499999999998"/>
    <n v="0"/>
    <n v="0"/>
    <n v="0"/>
    <n v="0"/>
    <n v="0"/>
  </r>
  <r>
    <s v="VECTOR LOG.(PTY)LTD GOOSEBUMPS"/>
    <n v="102"/>
    <x v="247"/>
    <x v="246"/>
    <n v="37.99"/>
    <n v="19.462499999999999"/>
    <n v="0"/>
    <n v="0"/>
    <n v="0"/>
    <n v="0"/>
    <n v="0"/>
  </r>
  <r>
    <s v="VECTOR LOG.(PTY)LTD GOOSEBUMPS"/>
    <n v="102"/>
    <x v="248"/>
    <x v="247"/>
    <n v="11.99"/>
    <n v="7.0248571428571402"/>
    <n v="0"/>
    <n v="0"/>
    <n v="0"/>
    <n v="0"/>
    <n v="0"/>
  </r>
  <r>
    <s v="VECTOR LOG.(PTY)LTD GOOSEBUMPS"/>
    <n v="102"/>
    <x v="251"/>
    <x v="250"/>
    <n v="21.99"/>
    <n v="10.989750000000001"/>
    <n v="0"/>
    <n v="0"/>
    <n v="0"/>
    <n v="0"/>
    <n v="0"/>
  </r>
  <r>
    <s v="VECTOR LOG.(PTY)LTD GOOSEBUMPS"/>
    <n v="102"/>
    <x v="267"/>
    <x v="266"/>
    <n v="330.99"/>
    <n v="179.16"/>
    <n v="0"/>
    <n v="0"/>
    <n v="0"/>
    <n v="0"/>
    <n v="0"/>
  </r>
  <r>
    <s v="VECTOR LOG.(PTY)LTD GOOSEBUMPS"/>
    <n v="102"/>
    <x v="268"/>
    <x v="267"/>
    <n v="10.85"/>
    <n v="5.6589999999999998"/>
    <n v="0"/>
    <n v="0"/>
    <n v="0"/>
    <n v="0"/>
    <n v="0"/>
  </r>
  <r>
    <s v="VECTOR LOG.(PTY)LTD GOOSEBUMPS"/>
    <n v="101"/>
    <x v="269"/>
    <x v="268"/>
    <n v="33.99"/>
    <n v="17.418749999999999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42">
  <r>
    <s v="SPAR WESTERN CAPE"/>
    <x v="0"/>
    <x v="0"/>
    <x v="0"/>
    <x v="0"/>
    <x v="0"/>
    <x v="0"/>
    <x v="0"/>
    <x v="0"/>
    <n v="0"/>
    <n v="0"/>
  </r>
  <r>
    <s v="SPAR WESTERN CAPE"/>
    <x v="0"/>
    <x v="0"/>
    <x v="0"/>
    <x v="0"/>
    <x v="0"/>
    <x v="0"/>
    <x v="1"/>
    <x v="1"/>
    <n v="0"/>
    <n v="0"/>
  </r>
  <r>
    <s v="SPAR WESTERN CAPE"/>
    <x v="0"/>
    <x v="0"/>
    <x v="0"/>
    <x v="0"/>
    <x v="0"/>
    <x v="0"/>
    <x v="2"/>
    <x v="2"/>
    <n v="0"/>
    <n v="0"/>
  </r>
  <r>
    <s v="SPAR WESTERN CAPE"/>
    <x v="0"/>
    <x v="0"/>
    <x v="0"/>
    <x v="0"/>
    <x v="0"/>
    <x v="0"/>
    <x v="3"/>
    <x v="3"/>
    <n v="0"/>
    <n v="0"/>
  </r>
  <r>
    <s v="SPAR WESTERN CAPE"/>
    <x v="0"/>
    <x v="0"/>
    <x v="0"/>
    <x v="0"/>
    <x v="0"/>
    <x v="0"/>
    <x v="4"/>
    <x v="4"/>
    <n v="0"/>
    <n v="0"/>
  </r>
  <r>
    <s v="SPAR WESTERN CAPE"/>
    <x v="0"/>
    <x v="0"/>
    <x v="0"/>
    <x v="0"/>
    <x v="0"/>
    <x v="0"/>
    <x v="5"/>
    <x v="5"/>
    <n v="0"/>
    <n v="0"/>
  </r>
  <r>
    <s v="SPAR WESTERN CAPE"/>
    <x v="0"/>
    <x v="1"/>
    <x v="1"/>
    <x v="0"/>
    <x v="1"/>
    <x v="0"/>
    <x v="0"/>
    <x v="0"/>
    <n v="0"/>
    <n v="0"/>
  </r>
  <r>
    <s v="SPAR WESTERN CAPE"/>
    <x v="0"/>
    <x v="1"/>
    <x v="1"/>
    <x v="0"/>
    <x v="1"/>
    <x v="0"/>
    <x v="1"/>
    <x v="1"/>
    <n v="0"/>
    <n v="0"/>
  </r>
  <r>
    <s v="SPAR WESTERN CAPE"/>
    <x v="0"/>
    <x v="1"/>
    <x v="1"/>
    <x v="0"/>
    <x v="1"/>
    <x v="0"/>
    <x v="2"/>
    <x v="2"/>
    <n v="0"/>
    <n v="0"/>
  </r>
  <r>
    <s v="SPAR WESTERN CAPE"/>
    <x v="0"/>
    <x v="1"/>
    <x v="1"/>
    <x v="0"/>
    <x v="1"/>
    <x v="0"/>
    <x v="3"/>
    <x v="3"/>
    <n v="0"/>
    <n v="0"/>
  </r>
  <r>
    <s v="SPAR WESTERN CAPE"/>
    <x v="0"/>
    <x v="1"/>
    <x v="1"/>
    <x v="0"/>
    <x v="1"/>
    <x v="0"/>
    <x v="4"/>
    <x v="4"/>
    <n v="0"/>
    <n v="0"/>
  </r>
  <r>
    <s v="SPAR WESTERN CAPE"/>
    <x v="0"/>
    <x v="1"/>
    <x v="1"/>
    <x v="0"/>
    <x v="1"/>
    <x v="0"/>
    <x v="5"/>
    <x v="5"/>
    <n v="0"/>
    <n v="0"/>
  </r>
  <r>
    <s v="SPAR WESTERN CAPE"/>
    <x v="0"/>
    <x v="2"/>
    <x v="2"/>
    <x v="0"/>
    <x v="2"/>
    <x v="0"/>
    <x v="0"/>
    <x v="0"/>
    <n v="0"/>
    <n v="0"/>
  </r>
  <r>
    <s v="SPAR WESTERN CAPE"/>
    <x v="0"/>
    <x v="2"/>
    <x v="2"/>
    <x v="0"/>
    <x v="2"/>
    <x v="0"/>
    <x v="1"/>
    <x v="1"/>
    <n v="0"/>
    <n v="0"/>
  </r>
  <r>
    <s v="SPAR WESTERN CAPE"/>
    <x v="0"/>
    <x v="2"/>
    <x v="2"/>
    <x v="0"/>
    <x v="2"/>
    <x v="0"/>
    <x v="2"/>
    <x v="2"/>
    <n v="0"/>
    <n v="0"/>
  </r>
  <r>
    <s v="SPAR WESTERN CAPE"/>
    <x v="0"/>
    <x v="2"/>
    <x v="2"/>
    <x v="0"/>
    <x v="2"/>
    <x v="0"/>
    <x v="3"/>
    <x v="3"/>
    <n v="0"/>
    <n v="0"/>
  </r>
  <r>
    <s v="SPAR WESTERN CAPE"/>
    <x v="0"/>
    <x v="2"/>
    <x v="2"/>
    <x v="0"/>
    <x v="2"/>
    <x v="0"/>
    <x v="4"/>
    <x v="4"/>
    <n v="0"/>
    <n v="0"/>
  </r>
  <r>
    <s v="SPAR WESTERN CAPE"/>
    <x v="0"/>
    <x v="2"/>
    <x v="2"/>
    <x v="0"/>
    <x v="2"/>
    <x v="0"/>
    <x v="5"/>
    <x v="5"/>
    <n v="0"/>
    <n v="0"/>
  </r>
  <r>
    <s v="SPAR WESTERN CAPE"/>
    <x v="0"/>
    <x v="2"/>
    <x v="2"/>
    <x v="0"/>
    <x v="2"/>
    <x v="0"/>
    <x v="6"/>
    <x v="6"/>
    <n v="0"/>
    <n v="0"/>
  </r>
  <r>
    <s v="SPAR WESTERN CAPE"/>
    <x v="0"/>
    <x v="3"/>
    <x v="3"/>
    <x v="0"/>
    <x v="2"/>
    <x v="0"/>
    <x v="0"/>
    <x v="0"/>
    <n v="0"/>
    <n v="0"/>
  </r>
  <r>
    <s v="SPAR WESTERN CAPE"/>
    <x v="0"/>
    <x v="3"/>
    <x v="3"/>
    <x v="0"/>
    <x v="2"/>
    <x v="0"/>
    <x v="1"/>
    <x v="1"/>
    <n v="0"/>
    <n v="0"/>
  </r>
  <r>
    <s v="SPAR WESTERN CAPE"/>
    <x v="0"/>
    <x v="3"/>
    <x v="3"/>
    <x v="0"/>
    <x v="2"/>
    <x v="0"/>
    <x v="2"/>
    <x v="2"/>
    <n v="0"/>
    <n v="0"/>
  </r>
  <r>
    <s v="SPAR WESTERN CAPE"/>
    <x v="0"/>
    <x v="3"/>
    <x v="3"/>
    <x v="0"/>
    <x v="2"/>
    <x v="0"/>
    <x v="3"/>
    <x v="3"/>
    <n v="0"/>
    <n v="0"/>
  </r>
  <r>
    <s v="SPAR WESTERN CAPE"/>
    <x v="0"/>
    <x v="3"/>
    <x v="3"/>
    <x v="0"/>
    <x v="2"/>
    <x v="0"/>
    <x v="4"/>
    <x v="4"/>
    <n v="0"/>
    <n v="0"/>
  </r>
  <r>
    <s v="SPAR WESTERN CAPE"/>
    <x v="0"/>
    <x v="3"/>
    <x v="3"/>
    <x v="0"/>
    <x v="2"/>
    <x v="0"/>
    <x v="5"/>
    <x v="5"/>
    <n v="0"/>
    <n v="0"/>
  </r>
  <r>
    <s v="SPAR WESTERN CAPE"/>
    <x v="0"/>
    <x v="3"/>
    <x v="3"/>
    <x v="0"/>
    <x v="2"/>
    <x v="0"/>
    <x v="6"/>
    <x v="6"/>
    <n v="0"/>
    <n v="0"/>
  </r>
  <r>
    <s v="SPAR WESTERN CAPE"/>
    <x v="0"/>
    <x v="4"/>
    <x v="4"/>
    <x v="0"/>
    <x v="2"/>
    <x v="0"/>
    <x v="0"/>
    <x v="0"/>
    <n v="0"/>
    <n v="0"/>
  </r>
  <r>
    <s v="SPAR WESTERN CAPE"/>
    <x v="0"/>
    <x v="4"/>
    <x v="4"/>
    <x v="0"/>
    <x v="2"/>
    <x v="0"/>
    <x v="1"/>
    <x v="1"/>
    <n v="0"/>
    <n v="0"/>
  </r>
  <r>
    <s v="SPAR WESTERN CAPE"/>
    <x v="0"/>
    <x v="4"/>
    <x v="4"/>
    <x v="0"/>
    <x v="2"/>
    <x v="0"/>
    <x v="2"/>
    <x v="2"/>
    <n v="0"/>
    <n v="0"/>
  </r>
  <r>
    <s v="SPAR WESTERN CAPE"/>
    <x v="0"/>
    <x v="4"/>
    <x v="4"/>
    <x v="0"/>
    <x v="2"/>
    <x v="0"/>
    <x v="3"/>
    <x v="3"/>
    <n v="0"/>
    <n v="0"/>
  </r>
  <r>
    <s v="SPAR WESTERN CAPE"/>
    <x v="0"/>
    <x v="4"/>
    <x v="4"/>
    <x v="0"/>
    <x v="2"/>
    <x v="0"/>
    <x v="4"/>
    <x v="4"/>
    <n v="0"/>
    <n v="0"/>
  </r>
  <r>
    <s v="SPAR WESTERN CAPE"/>
    <x v="0"/>
    <x v="4"/>
    <x v="4"/>
    <x v="0"/>
    <x v="2"/>
    <x v="0"/>
    <x v="5"/>
    <x v="5"/>
    <n v="0"/>
    <n v="0"/>
  </r>
  <r>
    <s v="SPAR WESTERN CAPE"/>
    <x v="0"/>
    <x v="4"/>
    <x v="4"/>
    <x v="0"/>
    <x v="2"/>
    <x v="0"/>
    <x v="6"/>
    <x v="6"/>
    <n v="0"/>
    <n v="0"/>
  </r>
  <r>
    <s v="SPAR WESTERN CAPE"/>
    <x v="0"/>
    <x v="5"/>
    <x v="5"/>
    <x v="0"/>
    <x v="2"/>
    <x v="0"/>
    <x v="0"/>
    <x v="0"/>
    <n v="0"/>
    <n v="0"/>
  </r>
  <r>
    <s v="SPAR WESTERN CAPE"/>
    <x v="0"/>
    <x v="5"/>
    <x v="5"/>
    <x v="0"/>
    <x v="2"/>
    <x v="0"/>
    <x v="1"/>
    <x v="1"/>
    <n v="0"/>
    <n v="0"/>
  </r>
  <r>
    <s v="SPAR WESTERN CAPE"/>
    <x v="0"/>
    <x v="5"/>
    <x v="5"/>
    <x v="0"/>
    <x v="2"/>
    <x v="0"/>
    <x v="2"/>
    <x v="2"/>
    <n v="0"/>
    <n v="0"/>
  </r>
  <r>
    <s v="SPAR WESTERN CAPE"/>
    <x v="0"/>
    <x v="5"/>
    <x v="5"/>
    <x v="0"/>
    <x v="2"/>
    <x v="0"/>
    <x v="3"/>
    <x v="3"/>
    <n v="0"/>
    <n v="0"/>
  </r>
  <r>
    <s v="SPAR WESTERN CAPE"/>
    <x v="0"/>
    <x v="5"/>
    <x v="5"/>
    <x v="0"/>
    <x v="2"/>
    <x v="0"/>
    <x v="4"/>
    <x v="4"/>
    <n v="0"/>
    <n v="0"/>
  </r>
  <r>
    <s v="SPAR WESTERN CAPE"/>
    <x v="0"/>
    <x v="5"/>
    <x v="5"/>
    <x v="0"/>
    <x v="2"/>
    <x v="0"/>
    <x v="5"/>
    <x v="5"/>
    <n v="0"/>
    <n v="0"/>
  </r>
  <r>
    <s v="SPAR WESTERN CAPE"/>
    <x v="0"/>
    <x v="5"/>
    <x v="5"/>
    <x v="0"/>
    <x v="2"/>
    <x v="0"/>
    <x v="6"/>
    <x v="6"/>
    <n v="0"/>
    <n v="0"/>
  </r>
  <r>
    <s v="SPAR WESTERN CAPE"/>
    <x v="0"/>
    <x v="6"/>
    <x v="6"/>
    <x v="0"/>
    <x v="1"/>
    <x v="0"/>
    <x v="0"/>
    <x v="0"/>
    <n v="0"/>
    <n v="0"/>
  </r>
  <r>
    <s v="SPAR WESTERN CAPE"/>
    <x v="0"/>
    <x v="6"/>
    <x v="6"/>
    <x v="0"/>
    <x v="1"/>
    <x v="0"/>
    <x v="1"/>
    <x v="1"/>
    <n v="0"/>
    <n v="0"/>
  </r>
  <r>
    <s v="SPAR WESTERN CAPE"/>
    <x v="0"/>
    <x v="6"/>
    <x v="6"/>
    <x v="0"/>
    <x v="1"/>
    <x v="0"/>
    <x v="3"/>
    <x v="3"/>
    <n v="0"/>
    <n v="0"/>
  </r>
  <r>
    <s v="SPAR WESTERN CAPE"/>
    <x v="0"/>
    <x v="6"/>
    <x v="6"/>
    <x v="0"/>
    <x v="1"/>
    <x v="0"/>
    <x v="4"/>
    <x v="4"/>
    <n v="0"/>
    <n v="0"/>
  </r>
  <r>
    <s v="SPAR WESTERN CAPE"/>
    <x v="0"/>
    <x v="6"/>
    <x v="6"/>
    <x v="0"/>
    <x v="1"/>
    <x v="0"/>
    <x v="5"/>
    <x v="5"/>
    <n v="0"/>
    <n v="0"/>
  </r>
  <r>
    <s v="SPAR WESTERN CAPE"/>
    <x v="0"/>
    <x v="6"/>
    <x v="6"/>
    <x v="0"/>
    <x v="1"/>
    <x v="0"/>
    <x v="6"/>
    <x v="6"/>
    <n v="0"/>
    <n v="0"/>
  </r>
  <r>
    <s v="SPAR WESTERN CAPE"/>
    <x v="0"/>
    <x v="7"/>
    <x v="7"/>
    <x v="0"/>
    <x v="0"/>
    <x v="0"/>
    <x v="0"/>
    <x v="0"/>
    <n v="0"/>
    <n v="0"/>
  </r>
  <r>
    <s v="SPAR WESTERN CAPE"/>
    <x v="0"/>
    <x v="7"/>
    <x v="7"/>
    <x v="0"/>
    <x v="0"/>
    <x v="0"/>
    <x v="1"/>
    <x v="1"/>
    <n v="0"/>
    <n v="0"/>
  </r>
  <r>
    <s v="SPAR WESTERN CAPE"/>
    <x v="0"/>
    <x v="7"/>
    <x v="7"/>
    <x v="0"/>
    <x v="0"/>
    <x v="0"/>
    <x v="2"/>
    <x v="2"/>
    <n v="0"/>
    <n v="0"/>
  </r>
  <r>
    <s v="SPAR WESTERN CAPE"/>
    <x v="0"/>
    <x v="7"/>
    <x v="7"/>
    <x v="0"/>
    <x v="0"/>
    <x v="0"/>
    <x v="3"/>
    <x v="3"/>
    <n v="0"/>
    <n v="0"/>
  </r>
  <r>
    <s v="SPAR WESTERN CAPE"/>
    <x v="0"/>
    <x v="7"/>
    <x v="7"/>
    <x v="0"/>
    <x v="0"/>
    <x v="0"/>
    <x v="4"/>
    <x v="4"/>
    <n v="0"/>
    <n v="0"/>
  </r>
  <r>
    <s v="SPAR WESTERN CAPE"/>
    <x v="0"/>
    <x v="7"/>
    <x v="7"/>
    <x v="0"/>
    <x v="0"/>
    <x v="0"/>
    <x v="5"/>
    <x v="5"/>
    <n v="0"/>
    <n v="0"/>
  </r>
  <r>
    <s v="SPAR WESTERN CAPE"/>
    <x v="0"/>
    <x v="7"/>
    <x v="7"/>
    <x v="0"/>
    <x v="0"/>
    <x v="0"/>
    <x v="6"/>
    <x v="6"/>
    <n v="0"/>
    <n v="0"/>
  </r>
  <r>
    <s v="SPAR WESTERN CAPE"/>
    <x v="0"/>
    <x v="8"/>
    <x v="8"/>
    <x v="0"/>
    <x v="0"/>
    <x v="0"/>
    <x v="0"/>
    <x v="0"/>
    <n v="0"/>
    <n v="0"/>
  </r>
  <r>
    <s v="SPAR WESTERN CAPE"/>
    <x v="0"/>
    <x v="8"/>
    <x v="8"/>
    <x v="0"/>
    <x v="0"/>
    <x v="0"/>
    <x v="2"/>
    <x v="2"/>
    <n v="0"/>
    <n v="0"/>
  </r>
  <r>
    <s v="SPAR WESTERN CAPE"/>
    <x v="0"/>
    <x v="8"/>
    <x v="8"/>
    <x v="0"/>
    <x v="0"/>
    <x v="0"/>
    <x v="3"/>
    <x v="3"/>
    <n v="0"/>
    <n v="0"/>
  </r>
  <r>
    <s v="SPAR WESTERN CAPE"/>
    <x v="0"/>
    <x v="8"/>
    <x v="8"/>
    <x v="0"/>
    <x v="0"/>
    <x v="0"/>
    <x v="4"/>
    <x v="4"/>
    <n v="0"/>
    <n v="0"/>
  </r>
  <r>
    <s v="SPAR WESTERN CAPE"/>
    <x v="0"/>
    <x v="8"/>
    <x v="8"/>
    <x v="0"/>
    <x v="0"/>
    <x v="0"/>
    <x v="6"/>
    <x v="6"/>
    <n v="0"/>
    <n v="0"/>
  </r>
  <r>
    <s v="SPAR WESTERN CAPE"/>
    <x v="0"/>
    <x v="9"/>
    <x v="9"/>
    <x v="0"/>
    <x v="0"/>
    <x v="0"/>
    <x v="0"/>
    <x v="0"/>
    <n v="0"/>
    <n v="0"/>
  </r>
  <r>
    <s v="SPAR WESTERN CAPE"/>
    <x v="0"/>
    <x v="9"/>
    <x v="9"/>
    <x v="0"/>
    <x v="0"/>
    <x v="0"/>
    <x v="1"/>
    <x v="1"/>
    <n v="0"/>
    <n v="0"/>
  </r>
  <r>
    <s v="SPAR WESTERN CAPE"/>
    <x v="0"/>
    <x v="9"/>
    <x v="9"/>
    <x v="0"/>
    <x v="0"/>
    <x v="0"/>
    <x v="2"/>
    <x v="2"/>
    <n v="0"/>
    <n v="0"/>
  </r>
  <r>
    <s v="SPAR WESTERN CAPE"/>
    <x v="0"/>
    <x v="9"/>
    <x v="9"/>
    <x v="0"/>
    <x v="0"/>
    <x v="0"/>
    <x v="3"/>
    <x v="3"/>
    <n v="0"/>
    <n v="0"/>
  </r>
  <r>
    <s v="SPAR WESTERN CAPE"/>
    <x v="0"/>
    <x v="9"/>
    <x v="9"/>
    <x v="0"/>
    <x v="0"/>
    <x v="0"/>
    <x v="4"/>
    <x v="4"/>
    <n v="0"/>
    <n v="0"/>
  </r>
  <r>
    <s v="SPAR WESTERN CAPE"/>
    <x v="0"/>
    <x v="9"/>
    <x v="9"/>
    <x v="0"/>
    <x v="0"/>
    <x v="0"/>
    <x v="6"/>
    <x v="6"/>
    <n v="0"/>
    <n v="0"/>
  </r>
  <r>
    <s v="SPAR WESTERN CAPE"/>
    <x v="0"/>
    <x v="10"/>
    <x v="10"/>
    <x v="0"/>
    <x v="3"/>
    <x v="0"/>
    <x v="0"/>
    <x v="0"/>
    <n v="0"/>
    <n v="0"/>
  </r>
  <r>
    <s v="SPAR WESTERN CAPE"/>
    <x v="0"/>
    <x v="10"/>
    <x v="10"/>
    <x v="0"/>
    <x v="3"/>
    <x v="0"/>
    <x v="1"/>
    <x v="1"/>
    <n v="0"/>
    <n v="0"/>
  </r>
  <r>
    <s v="SPAR WESTERN CAPE"/>
    <x v="0"/>
    <x v="10"/>
    <x v="10"/>
    <x v="0"/>
    <x v="3"/>
    <x v="0"/>
    <x v="2"/>
    <x v="2"/>
    <n v="0"/>
    <n v="0"/>
  </r>
  <r>
    <s v="SPAR WESTERN CAPE"/>
    <x v="0"/>
    <x v="10"/>
    <x v="10"/>
    <x v="0"/>
    <x v="3"/>
    <x v="0"/>
    <x v="3"/>
    <x v="3"/>
    <n v="0"/>
    <n v="0"/>
  </r>
  <r>
    <s v="SPAR WESTERN CAPE"/>
    <x v="0"/>
    <x v="10"/>
    <x v="10"/>
    <x v="0"/>
    <x v="3"/>
    <x v="0"/>
    <x v="4"/>
    <x v="4"/>
    <n v="0"/>
    <n v="0"/>
  </r>
  <r>
    <s v="SPAR WESTERN CAPE"/>
    <x v="0"/>
    <x v="10"/>
    <x v="10"/>
    <x v="0"/>
    <x v="3"/>
    <x v="0"/>
    <x v="5"/>
    <x v="5"/>
    <n v="0"/>
    <n v="0"/>
  </r>
  <r>
    <s v="SPAR WESTERN CAPE"/>
    <x v="0"/>
    <x v="10"/>
    <x v="10"/>
    <x v="0"/>
    <x v="3"/>
    <x v="0"/>
    <x v="6"/>
    <x v="6"/>
    <n v="0"/>
    <n v="0"/>
  </r>
  <r>
    <s v="SPAR WESTERN CAPE"/>
    <x v="0"/>
    <x v="11"/>
    <x v="11"/>
    <x v="0"/>
    <x v="4"/>
    <x v="0"/>
    <x v="0"/>
    <x v="0"/>
    <n v="0"/>
    <n v="0"/>
  </r>
  <r>
    <s v="SPAR WESTERN CAPE"/>
    <x v="0"/>
    <x v="11"/>
    <x v="11"/>
    <x v="0"/>
    <x v="4"/>
    <x v="0"/>
    <x v="1"/>
    <x v="1"/>
    <n v="0"/>
    <n v="0"/>
  </r>
  <r>
    <s v="SPAR WESTERN CAPE"/>
    <x v="0"/>
    <x v="11"/>
    <x v="11"/>
    <x v="0"/>
    <x v="4"/>
    <x v="0"/>
    <x v="2"/>
    <x v="2"/>
    <n v="0"/>
    <n v="0"/>
  </r>
  <r>
    <s v="SPAR WESTERN CAPE"/>
    <x v="0"/>
    <x v="11"/>
    <x v="11"/>
    <x v="0"/>
    <x v="4"/>
    <x v="0"/>
    <x v="3"/>
    <x v="3"/>
    <n v="0"/>
    <n v="0"/>
  </r>
  <r>
    <s v="SPAR WESTERN CAPE"/>
    <x v="0"/>
    <x v="11"/>
    <x v="11"/>
    <x v="0"/>
    <x v="4"/>
    <x v="0"/>
    <x v="4"/>
    <x v="4"/>
    <n v="0"/>
    <n v="0"/>
  </r>
  <r>
    <s v="SPAR WESTERN CAPE"/>
    <x v="0"/>
    <x v="11"/>
    <x v="11"/>
    <x v="0"/>
    <x v="4"/>
    <x v="0"/>
    <x v="5"/>
    <x v="5"/>
    <n v="0"/>
    <n v="0"/>
  </r>
  <r>
    <s v="SPAR WESTERN CAPE"/>
    <x v="0"/>
    <x v="11"/>
    <x v="11"/>
    <x v="0"/>
    <x v="4"/>
    <x v="0"/>
    <x v="6"/>
    <x v="6"/>
    <n v="0"/>
    <n v="0"/>
  </r>
  <r>
    <s v="SPAR WESTERN CAPE"/>
    <x v="0"/>
    <x v="12"/>
    <x v="12"/>
    <x v="0"/>
    <x v="1"/>
    <x v="0"/>
    <x v="0"/>
    <x v="0"/>
    <n v="0"/>
    <n v="0"/>
  </r>
  <r>
    <s v="SPAR WESTERN CAPE"/>
    <x v="0"/>
    <x v="12"/>
    <x v="12"/>
    <x v="0"/>
    <x v="1"/>
    <x v="0"/>
    <x v="1"/>
    <x v="1"/>
    <n v="0"/>
    <n v="0"/>
  </r>
  <r>
    <s v="SPAR WESTERN CAPE"/>
    <x v="0"/>
    <x v="12"/>
    <x v="12"/>
    <x v="0"/>
    <x v="1"/>
    <x v="0"/>
    <x v="2"/>
    <x v="2"/>
    <n v="0"/>
    <n v="0"/>
  </r>
  <r>
    <s v="SPAR WESTERN CAPE"/>
    <x v="0"/>
    <x v="12"/>
    <x v="12"/>
    <x v="0"/>
    <x v="1"/>
    <x v="0"/>
    <x v="5"/>
    <x v="5"/>
    <n v="0"/>
    <n v="0"/>
  </r>
  <r>
    <s v="SPAR WESTERN CAPE"/>
    <x v="0"/>
    <x v="12"/>
    <x v="12"/>
    <x v="0"/>
    <x v="1"/>
    <x v="0"/>
    <x v="6"/>
    <x v="6"/>
    <n v="0"/>
    <n v="0"/>
  </r>
  <r>
    <s v="SPAR WESTERN CAPE"/>
    <x v="0"/>
    <x v="13"/>
    <x v="13"/>
    <x v="0"/>
    <x v="1"/>
    <x v="0"/>
    <x v="1"/>
    <x v="1"/>
    <n v="0"/>
    <n v="0"/>
  </r>
  <r>
    <s v="SPAR WESTERN CAPE"/>
    <x v="0"/>
    <x v="13"/>
    <x v="13"/>
    <x v="0"/>
    <x v="1"/>
    <x v="0"/>
    <x v="3"/>
    <x v="3"/>
    <n v="0"/>
    <n v="0"/>
  </r>
  <r>
    <s v="SPAR WESTERN CAPE"/>
    <x v="0"/>
    <x v="13"/>
    <x v="13"/>
    <x v="0"/>
    <x v="1"/>
    <x v="0"/>
    <x v="4"/>
    <x v="4"/>
    <n v="0"/>
    <n v="0"/>
  </r>
  <r>
    <s v="SPAR WESTERN CAPE"/>
    <x v="0"/>
    <x v="13"/>
    <x v="13"/>
    <x v="0"/>
    <x v="1"/>
    <x v="0"/>
    <x v="6"/>
    <x v="6"/>
    <n v="0"/>
    <n v="0"/>
  </r>
  <r>
    <s v="SPAR WESTERN CAPE"/>
    <x v="0"/>
    <x v="14"/>
    <x v="14"/>
    <x v="0"/>
    <x v="1"/>
    <x v="0"/>
    <x v="0"/>
    <x v="0"/>
    <n v="0"/>
    <n v="0"/>
  </r>
  <r>
    <s v="SPAR WESTERN CAPE"/>
    <x v="0"/>
    <x v="14"/>
    <x v="14"/>
    <x v="0"/>
    <x v="1"/>
    <x v="0"/>
    <x v="1"/>
    <x v="1"/>
    <n v="0"/>
    <n v="0"/>
  </r>
  <r>
    <s v="SPAR WESTERN CAPE"/>
    <x v="0"/>
    <x v="14"/>
    <x v="14"/>
    <x v="0"/>
    <x v="1"/>
    <x v="0"/>
    <x v="3"/>
    <x v="3"/>
    <n v="0"/>
    <n v="0"/>
  </r>
  <r>
    <s v="SPAR WESTERN CAPE"/>
    <x v="0"/>
    <x v="14"/>
    <x v="14"/>
    <x v="0"/>
    <x v="1"/>
    <x v="0"/>
    <x v="4"/>
    <x v="4"/>
    <n v="0"/>
    <n v="0"/>
  </r>
  <r>
    <s v="SPAR WESTERN CAPE"/>
    <x v="0"/>
    <x v="14"/>
    <x v="14"/>
    <x v="0"/>
    <x v="1"/>
    <x v="0"/>
    <x v="5"/>
    <x v="5"/>
    <n v="0"/>
    <n v="0"/>
  </r>
  <r>
    <s v="SPAR WESTERN CAPE"/>
    <x v="0"/>
    <x v="14"/>
    <x v="14"/>
    <x v="0"/>
    <x v="1"/>
    <x v="0"/>
    <x v="6"/>
    <x v="6"/>
    <n v="0"/>
    <n v="0"/>
  </r>
  <r>
    <s v="SPAR WESTERN CAPE"/>
    <x v="0"/>
    <x v="15"/>
    <x v="15"/>
    <x v="1"/>
    <x v="5"/>
    <x v="0"/>
    <x v="0"/>
    <x v="0"/>
    <n v="0"/>
    <n v="0"/>
  </r>
  <r>
    <s v="SPAR WESTERN CAPE"/>
    <x v="0"/>
    <x v="15"/>
    <x v="15"/>
    <x v="1"/>
    <x v="5"/>
    <x v="0"/>
    <x v="1"/>
    <x v="1"/>
    <n v="0"/>
    <n v="0"/>
  </r>
  <r>
    <s v="SPAR WESTERN CAPE"/>
    <x v="0"/>
    <x v="15"/>
    <x v="15"/>
    <x v="1"/>
    <x v="5"/>
    <x v="0"/>
    <x v="2"/>
    <x v="2"/>
    <n v="0"/>
    <n v="0"/>
  </r>
  <r>
    <s v="SPAR WESTERN CAPE"/>
    <x v="0"/>
    <x v="15"/>
    <x v="15"/>
    <x v="1"/>
    <x v="5"/>
    <x v="0"/>
    <x v="4"/>
    <x v="4"/>
    <n v="0"/>
    <n v="0"/>
  </r>
  <r>
    <s v="SPAR WESTERN CAPE"/>
    <x v="0"/>
    <x v="15"/>
    <x v="15"/>
    <x v="1"/>
    <x v="5"/>
    <x v="0"/>
    <x v="5"/>
    <x v="5"/>
    <n v="0"/>
    <n v="0"/>
  </r>
  <r>
    <s v="SPAR WESTERN CAPE"/>
    <x v="0"/>
    <x v="16"/>
    <x v="16"/>
    <x v="2"/>
    <x v="6"/>
    <x v="0"/>
    <x v="0"/>
    <x v="0"/>
    <n v="0"/>
    <n v="0"/>
  </r>
  <r>
    <s v="SPAR WESTERN CAPE"/>
    <x v="0"/>
    <x v="16"/>
    <x v="16"/>
    <x v="2"/>
    <x v="6"/>
    <x v="0"/>
    <x v="1"/>
    <x v="1"/>
    <n v="0"/>
    <n v="0"/>
  </r>
  <r>
    <s v="SPAR WESTERN CAPE"/>
    <x v="0"/>
    <x v="16"/>
    <x v="16"/>
    <x v="2"/>
    <x v="6"/>
    <x v="0"/>
    <x v="2"/>
    <x v="2"/>
    <n v="0"/>
    <n v="0"/>
  </r>
  <r>
    <s v="SPAR WESTERN CAPE"/>
    <x v="0"/>
    <x v="16"/>
    <x v="16"/>
    <x v="2"/>
    <x v="6"/>
    <x v="0"/>
    <x v="3"/>
    <x v="3"/>
    <n v="0"/>
    <n v="0"/>
  </r>
  <r>
    <s v="SPAR WESTERN CAPE"/>
    <x v="0"/>
    <x v="16"/>
    <x v="16"/>
    <x v="2"/>
    <x v="6"/>
    <x v="0"/>
    <x v="4"/>
    <x v="4"/>
    <n v="0"/>
    <n v="0"/>
  </r>
  <r>
    <s v="SPAR WESTERN CAPE"/>
    <x v="0"/>
    <x v="16"/>
    <x v="16"/>
    <x v="2"/>
    <x v="6"/>
    <x v="0"/>
    <x v="5"/>
    <x v="5"/>
    <n v="0"/>
    <n v="0"/>
  </r>
  <r>
    <s v="SPAR WESTERN CAPE"/>
    <x v="0"/>
    <x v="16"/>
    <x v="16"/>
    <x v="2"/>
    <x v="6"/>
    <x v="0"/>
    <x v="6"/>
    <x v="6"/>
    <n v="0"/>
    <n v="0"/>
  </r>
  <r>
    <s v="SPAR WESTERN CAPE"/>
    <x v="0"/>
    <x v="17"/>
    <x v="17"/>
    <x v="3"/>
    <x v="7"/>
    <x v="0"/>
    <x v="0"/>
    <x v="0"/>
    <n v="0"/>
    <n v="0"/>
  </r>
  <r>
    <s v="SPAR WESTERN CAPE"/>
    <x v="0"/>
    <x v="17"/>
    <x v="17"/>
    <x v="3"/>
    <x v="7"/>
    <x v="0"/>
    <x v="1"/>
    <x v="1"/>
    <n v="0"/>
    <n v="0"/>
  </r>
  <r>
    <s v="SPAR WESTERN CAPE"/>
    <x v="0"/>
    <x v="17"/>
    <x v="17"/>
    <x v="3"/>
    <x v="7"/>
    <x v="0"/>
    <x v="2"/>
    <x v="2"/>
    <n v="0"/>
    <n v="0"/>
  </r>
  <r>
    <s v="SPAR WESTERN CAPE"/>
    <x v="0"/>
    <x v="17"/>
    <x v="17"/>
    <x v="3"/>
    <x v="7"/>
    <x v="0"/>
    <x v="3"/>
    <x v="3"/>
    <n v="0"/>
    <n v="0"/>
  </r>
  <r>
    <s v="SPAR WESTERN CAPE"/>
    <x v="0"/>
    <x v="17"/>
    <x v="17"/>
    <x v="3"/>
    <x v="7"/>
    <x v="0"/>
    <x v="4"/>
    <x v="4"/>
    <n v="0"/>
    <n v="0"/>
  </r>
  <r>
    <s v="SPAR WESTERN CAPE"/>
    <x v="0"/>
    <x v="17"/>
    <x v="17"/>
    <x v="3"/>
    <x v="7"/>
    <x v="0"/>
    <x v="5"/>
    <x v="5"/>
    <n v="0"/>
    <n v="0"/>
  </r>
  <r>
    <s v="SPAR WESTERN CAPE"/>
    <x v="0"/>
    <x v="17"/>
    <x v="17"/>
    <x v="3"/>
    <x v="7"/>
    <x v="0"/>
    <x v="6"/>
    <x v="6"/>
    <n v="0"/>
    <n v="0"/>
  </r>
  <r>
    <s v="SPAR WESTERN CAPE"/>
    <x v="0"/>
    <x v="18"/>
    <x v="18"/>
    <x v="4"/>
    <x v="8"/>
    <x v="0"/>
    <x v="0"/>
    <x v="0"/>
    <n v="0"/>
    <n v="0"/>
  </r>
  <r>
    <s v="SPAR WESTERN CAPE"/>
    <x v="0"/>
    <x v="18"/>
    <x v="18"/>
    <x v="4"/>
    <x v="8"/>
    <x v="0"/>
    <x v="1"/>
    <x v="1"/>
    <n v="0"/>
    <n v="0"/>
  </r>
  <r>
    <s v="SPAR WESTERN CAPE"/>
    <x v="0"/>
    <x v="18"/>
    <x v="18"/>
    <x v="4"/>
    <x v="8"/>
    <x v="0"/>
    <x v="2"/>
    <x v="2"/>
    <n v="0"/>
    <n v="0"/>
  </r>
  <r>
    <s v="SPAR WESTERN CAPE"/>
    <x v="0"/>
    <x v="18"/>
    <x v="18"/>
    <x v="4"/>
    <x v="8"/>
    <x v="0"/>
    <x v="3"/>
    <x v="3"/>
    <n v="0"/>
    <n v="0"/>
  </r>
  <r>
    <s v="SPAR WESTERN CAPE"/>
    <x v="0"/>
    <x v="18"/>
    <x v="18"/>
    <x v="4"/>
    <x v="8"/>
    <x v="0"/>
    <x v="4"/>
    <x v="4"/>
    <n v="0"/>
    <n v="0"/>
  </r>
  <r>
    <s v="SPAR WESTERN CAPE"/>
    <x v="0"/>
    <x v="18"/>
    <x v="18"/>
    <x v="4"/>
    <x v="8"/>
    <x v="0"/>
    <x v="5"/>
    <x v="5"/>
    <n v="0"/>
    <n v="0"/>
  </r>
  <r>
    <s v="SPAR WESTERN CAPE"/>
    <x v="0"/>
    <x v="18"/>
    <x v="18"/>
    <x v="4"/>
    <x v="8"/>
    <x v="0"/>
    <x v="6"/>
    <x v="6"/>
    <n v="0"/>
    <n v="0"/>
  </r>
  <r>
    <s v="SPAR WESTERN CAPE"/>
    <x v="0"/>
    <x v="19"/>
    <x v="19"/>
    <x v="5"/>
    <x v="9"/>
    <x v="0"/>
    <x v="0"/>
    <x v="0"/>
    <n v="0"/>
    <n v="0"/>
  </r>
  <r>
    <s v="SPAR WESTERN CAPE"/>
    <x v="0"/>
    <x v="19"/>
    <x v="19"/>
    <x v="5"/>
    <x v="9"/>
    <x v="0"/>
    <x v="1"/>
    <x v="1"/>
    <n v="0"/>
    <n v="0"/>
  </r>
  <r>
    <s v="SPAR WESTERN CAPE"/>
    <x v="0"/>
    <x v="19"/>
    <x v="19"/>
    <x v="5"/>
    <x v="9"/>
    <x v="0"/>
    <x v="2"/>
    <x v="2"/>
    <n v="0"/>
    <n v="0"/>
  </r>
  <r>
    <s v="SPAR WESTERN CAPE"/>
    <x v="0"/>
    <x v="19"/>
    <x v="19"/>
    <x v="5"/>
    <x v="9"/>
    <x v="0"/>
    <x v="3"/>
    <x v="3"/>
    <n v="0"/>
    <n v="0"/>
  </r>
  <r>
    <s v="SPAR WESTERN CAPE"/>
    <x v="0"/>
    <x v="19"/>
    <x v="19"/>
    <x v="5"/>
    <x v="9"/>
    <x v="0"/>
    <x v="4"/>
    <x v="4"/>
    <n v="0"/>
    <n v="0"/>
  </r>
  <r>
    <s v="SPAR WESTERN CAPE"/>
    <x v="0"/>
    <x v="19"/>
    <x v="19"/>
    <x v="5"/>
    <x v="9"/>
    <x v="0"/>
    <x v="5"/>
    <x v="5"/>
    <n v="0"/>
    <n v="0"/>
  </r>
  <r>
    <s v="SPAR WESTERN CAPE"/>
    <x v="0"/>
    <x v="19"/>
    <x v="19"/>
    <x v="5"/>
    <x v="9"/>
    <x v="0"/>
    <x v="6"/>
    <x v="6"/>
    <n v="0"/>
    <n v="0"/>
  </r>
  <r>
    <s v="SPAR WESTERN CAPE"/>
    <x v="0"/>
    <x v="20"/>
    <x v="20"/>
    <x v="5"/>
    <x v="9"/>
    <x v="0"/>
    <x v="0"/>
    <x v="0"/>
    <n v="0"/>
    <n v="0"/>
  </r>
  <r>
    <s v="SPAR WESTERN CAPE"/>
    <x v="0"/>
    <x v="20"/>
    <x v="20"/>
    <x v="5"/>
    <x v="9"/>
    <x v="0"/>
    <x v="1"/>
    <x v="1"/>
    <n v="0"/>
    <n v="0"/>
  </r>
  <r>
    <s v="SPAR WESTERN CAPE"/>
    <x v="0"/>
    <x v="20"/>
    <x v="20"/>
    <x v="5"/>
    <x v="9"/>
    <x v="0"/>
    <x v="2"/>
    <x v="2"/>
    <n v="0"/>
    <n v="0"/>
  </r>
  <r>
    <s v="SPAR WESTERN CAPE"/>
    <x v="0"/>
    <x v="20"/>
    <x v="20"/>
    <x v="5"/>
    <x v="9"/>
    <x v="0"/>
    <x v="3"/>
    <x v="3"/>
    <n v="0"/>
    <n v="0"/>
  </r>
  <r>
    <s v="SPAR WESTERN CAPE"/>
    <x v="0"/>
    <x v="20"/>
    <x v="20"/>
    <x v="5"/>
    <x v="9"/>
    <x v="0"/>
    <x v="4"/>
    <x v="4"/>
    <n v="0"/>
    <n v="0"/>
  </r>
  <r>
    <s v="SPAR WESTERN CAPE"/>
    <x v="0"/>
    <x v="20"/>
    <x v="20"/>
    <x v="5"/>
    <x v="9"/>
    <x v="0"/>
    <x v="5"/>
    <x v="5"/>
    <n v="0"/>
    <n v="0"/>
  </r>
  <r>
    <s v="SPAR WESTERN CAPE"/>
    <x v="0"/>
    <x v="20"/>
    <x v="20"/>
    <x v="5"/>
    <x v="9"/>
    <x v="0"/>
    <x v="6"/>
    <x v="6"/>
    <n v="0"/>
    <n v="0"/>
  </r>
  <r>
    <s v="SPAR WESTERN CAPE"/>
    <x v="0"/>
    <x v="21"/>
    <x v="21"/>
    <x v="5"/>
    <x v="9"/>
    <x v="0"/>
    <x v="0"/>
    <x v="0"/>
    <n v="0"/>
    <n v="0"/>
  </r>
  <r>
    <s v="SPAR WESTERN CAPE"/>
    <x v="0"/>
    <x v="21"/>
    <x v="21"/>
    <x v="5"/>
    <x v="9"/>
    <x v="0"/>
    <x v="1"/>
    <x v="1"/>
    <n v="0"/>
    <n v="0"/>
  </r>
  <r>
    <s v="SPAR WESTERN CAPE"/>
    <x v="0"/>
    <x v="21"/>
    <x v="21"/>
    <x v="5"/>
    <x v="9"/>
    <x v="0"/>
    <x v="4"/>
    <x v="4"/>
    <n v="0"/>
    <n v="0"/>
  </r>
  <r>
    <s v="SPAR WESTERN CAPE"/>
    <x v="0"/>
    <x v="21"/>
    <x v="21"/>
    <x v="5"/>
    <x v="9"/>
    <x v="0"/>
    <x v="5"/>
    <x v="5"/>
    <n v="0"/>
    <n v="0"/>
  </r>
  <r>
    <s v="SPAR WESTERN CAPE"/>
    <x v="0"/>
    <x v="21"/>
    <x v="21"/>
    <x v="5"/>
    <x v="9"/>
    <x v="0"/>
    <x v="6"/>
    <x v="6"/>
    <n v="0"/>
    <n v="0"/>
  </r>
  <r>
    <s v="SPAR WESTERN CAPE"/>
    <x v="0"/>
    <x v="22"/>
    <x v="22"/>
    <x v="6"/>
    <x v="10"/>
    <x v="0"/>
    <x v="0"/>
    <x v="0"/>
    <n v="0"/>
    <n v="0"/>
  </r>
  <r>
    <s v="SPAR WESTERN CAPE"/>
    <x v="0"/>
    <x v="22"/>
    <x v="22"/>
    <x v="6"/>
    <x v="10"/>
    <x v="0"/>
    <x v="1"/>
    <x v="1"/>
    <n v="0"/>
    <n v="0"/>
  </r>
  <r>
    <s v="SPAR WESTERN CAPE"/>
    <x v="0"/>
    <x v="22"/>
    <x v="22"/>
    <x v="6"/>
    <x v="10"/>
    <x v="0"/>
    <x v="2"/>
    <x v="2"/>
    <n v="0"/>
    <n v="0"/>
  </r>
  <r>
    <s v="SPAR WESTERN CAPE"/>
    <x v="0"/>
    <x v="22"/>
    <x v="22"/>
    <x v="6"/>
    <x v="10"/>
    <x v="0"/>
    <x v="3"/>
    <x v="3"/>
    <n v="0"/>
    <n v="0"/>
  </r>
  <r>
    <s v="SPAR WESTERN CAPE"/>
    <x v="0"/>
    <x v="22"/>
    <x v="22"/>
    <x v="6"/>
    <x v="10"/>
    <x v="0"/>
    <x v="4"/>
    <x v="4"/>
    <n v="0"/>
    <n v="0"/>
  </r>
  <r>
    <s v="SPAR WESTERN CAPE"/>
    <x v="0"/>
    <x v="22"/>
    <x v="22"/>
    <x v="6"/>
    <x v="10"/>
    <x v="0"/>
    <x v="5"/>
    <x v="5"/>
    <n v="0"/>
    <n v="0"/>
  </r>
  <r>
    <s v="SPAR WESTERN CAPE"/>
    <x v="0"/>
    <x v="22"/>
    <x v="22"/>
    <x v="6"/>
    <x v="10"/>
    <x v="0"/>
    <x v="6"/>
    <x v="6"/>
    <n v="0"/>
    <n v="0"/>
  </r>
  <r>
    <s v="SPAR WESTERN CAPE"/>
    <x v="0"/>
    <x v="23"/>
    <x v="23"/>
    <x v="7"/>
    <x v="11"/>
    <x v="0"/>
    <x v="0"/>
    <x v="0"/>
    <n v="0"/>
    <n v="0"/>
  </r>
  <r>
    <s v="SPAR WESTERN CAPE"/>
    <x v="0"/>
    <x v="23"/>
    <x v="23"/>
    <x v="7"/>
    <x v="11"/>
    <x v="0"/>
    <x v="1"/>
    <x v="1"/>
    <n v="0"/>
    <n v="0"/>
  </r>
  <r>
    <s v="SPAR WESTERN CAPE"/>
    <x v="0"/>
    <x v="23"/>
    <x v="23"/>
    <x v="7"/>
    <x v="11"/>
    <x v="0"/>
    <x v="2"/>
    <x v="2"/>
    <n v="0"/>
    <n v="0"/>
  </r>
  <r>
    <s v="SPAR WESTERN CAPE"/>
    <x v="0"/>
    <x v="23"/>
    <x v="23"/>
    <x v="7"/>
    <x v="11"/>
    <x v="0"/>
    <x v="3"/>
    <x v="3"/>
    <n v="0"/>
    <n v="0"/>
  </r>
  <r>
    <s v="SPAR WESTERN CAPE"/>
    <x v="0"/>
    <x v="23"/>
    <x v="23"/>
    <x v="7"/>
    <x v="11"/>
    <x v="0"/>
    <x v="4"/>
    <x v="4"/>
    <n v="0"/>
    <n v="0"/>
  </r>
  <r>
    <s v="SPAR WESTERN CAPE"/>
    <x v="0"/>
    <x v="23"/>
    <x v="23"/>
    <x v="7"/>
    <x v="11"/>
    <x v="0"/>
    <x v="5"/>
    <x v="5"/>
    <n v="0"/>
    <n v="0"/>
  </r>
  <r>
    <s v="SPAR WESTERN CAPE"/>
    <x v="0"/>
    <x v="23"/>
    <x v="23"/>
    <x v="7"/>
    <x v="11"/>
    <x v="0"/>
    <x v="6"/>
    <x v="6"/>
    <n v="0"/>
    <n v="0"/>
  </r>
  <r>
    <s v="SPAR WESTERN CAPE"/>
    <x v="0"/>
    <x v="24"/>
    <x v="24"/>
    <x v="7"/>
    <x v="11"/>
    <x v="0"/>
    <x v="0"/>
    <x v="0"/>
    <n v="0"/>
    <n v="0"/>
  </r>
  <r>
    <s v="SPAR WESTERN CAPE"/>
    <x v="0"/>
    <x v="24"/>
    <x v="24"/>
    <x v="7"/>
    <x v="11"/>
    <x v="0"/>
    <x v="1"/>
    <x v="1"/>
    <n v="0"/>
    <n v="0"/>
  </r>
  <r>
    <s v="SPAR WESTERN CAPE"/>
    <x v="0"/>
    <x v="24"/>
    <x v="24"/>
    <x v="7"/>
    <x v="11"/>
    <x v="0"/>
    <x v="2"/>
    <x v="2"/>
    <n v="0"/>
    <n v="0"/>
  </r>
  <r>
    <s v="SPAR WESTERN CAPE"/>
    <x v="0"/>
    <x v="24"/>
    <x v="24"/>
    <x v="7"/>
    <x v="11"/>
    <x v="0"/>
    <x v="3"/>
    <x v="3"/>
    <n v="0"/>
    <n v="0"/>
  </r>
  <r>
    <s v="SPAR WESTERN CAPE"/>
    <x v="0"/>
    <x v="24"/>
    <x v="24"/>
    <x v="7"/>
    <x v="11"/>
    <x v="0"/>
    <x v="4"/>
    <x v="4"/>
    <n v="0"/>
    <n v="0"/>
  </r>
  <r>
    <s v="SPAR WESTERN CAPE"/>
    <x v="0"/>
    <x v="24"/>
    <x v="24"/>
    <x v="7"/>
    <x v="11"/>
    <x v="0"/>
    <x v="5"/>
    <x v="5"/>
    <n v="0"/>
    <n v="0"/>
  </r>
  <r>
    <s v="SPAR WESTERN CAPE"/>
    <x v="0"/>
    <x v="24"/>
    <x v="24"/>
    <x v="7"/>
    <x v="11"/>
    <x v="0"/>
    <x v="6"/>
    <x v="6"/>
    <n v="0"/>
    <n v="0"/>
  </r>
  <r>
    <s v="SPAR WESTERN CAPE"/>
    <x v="0"/>
    <x v="25"/>
    <x v="25"/>
    <x v="8"/>
    <x v="12"/>
    <x v="0"/>
    <x v="0"/>
    <x v="0"/>
    <n v="0"/>
    <n v="0"/>
  </r>
  <r>
    <s v="SPAR WESTERN CAPE"/>
    <x v="0"/>
    <x v="25"/>
    <x v="25"/>
    <x v="8"/>
    <x v="12"/>
    <x v="0"/>
    <x v="1"/>
    <x v="1"/>
    <n v="0"/>
    <n v="0"/>
  </r>
  <r>
    <s v="SPAR WESTERN CAPE"/>
    <x v="0"/>
    <x v="25"/>
    <x v="25"/>
    <x v="8"/>
    <x v="12"/>
    <x v="0"/>
    <x v="2"/>
    <x v="2"/>
    <n v="0"/>
    <n v="0"/>
  </r>
  <r>
    <s v="SPAR WESTERN CAPE"/>
    <x v="0"/>
    <x v="25"/>
    <x v="25"/>
    <x v="8"/>
    <x v="12"/>
    <x v="0"/>
    <x v="3"/>
    <x v="3"/>
    <n v="0"/>
    <n v="0"/>
  </r>
  <r>
    <s v="SPAR WESTERN CAPE"/>
    <x v="0"/>
    <x v="25"/>
    <x v="25"/>
    <x v="8"/>
    <x v="12"/>
    <x v="0"/>
    <x v="4"/>
    <x v="4"/>
    <n v="0"/>
    <n v="0"/>
  </r>
  <r>
    <s v="SPAR WESTERN CAPE"/>
    <x v="0"/>
    <x v="25"/>
    <x v="25"/>
    <x v="8"/>
    <x v="12"/>
    <x v="0"/>
    <x v="5"/>
    <x v="5"/>
    <n v="0"/>
    <n v="0"/>
  </r>
  <r>
    <s v="SPAR WESTERN CAPE"/>
    <x v="0"/>
    <x v="25"/>
    <x v="25"/>
    <x v="8"/>
    <x v="12"/>
    <x v="0"/>
    <x v="6"/>
    <x v="6"/>
    <n v="0"/>
    <n v="0"/>
  </r>
  <r>
    <s v="SPAR WESTERN CAPE"/>
    <x v="0"/>
    <x v="26"/>
    <x v="26"/>
    <x v="9"/>
    <x v="13"/>
    <x v="0"/>
    <x v="0"/>
    <x v="0"/>
    <n v="0"/>
    <n v="0"/>
  </r>
  <r>
    <s v="SPAR WESTERN CAPE"/>
    <x v="0"/>
    <x v="26"/>
    <x v="26"/>
    <x v="9"/>
    <x v="13"/>
    <x v="0"/>
    <x v="1"/>
    <x v="1"/>
    <n v="0"/>
    <n v="0"/>
  </r>
  <r>
    <s v="SPAR WESTERN CAPE"/>
    <x v="0"/>
    <x v="26"/>
    <x v="26"/>
    <x v="9"/>
    <x v="13"/>
    <x v="0"/>
    <x v="2"/>
    <x v="2"/>
    <n v="0"/>
    <n v="0"/>
  </r>
  <r>
    <s v="SPAR WESTERN CAPE"/>
    <x v="0"/>
    <x v="26"/>
    <x v="26"/>
    <x v="9"/>
    <x v="13"/>
    <x v="0"/>
    <x v="3"/>
    <x v="3"/>
    <n v="0"/>
    <n v="0"/>
  </r>
  <r>
    <s v="SPAR WESTERN CAPE"/>
    <x v="0"/>
    <x v="26"/>
    <x v="26"/>
    <x v="9"/>
    <x v="13"/>
    <x v="0"/>
    <x v="4"/>
    <x v="4"/>
    <n v="0"/>
    <n v="0"/>
  </r>
  <r>
    <s v="SPAR WESTERN CAPE"/>
    <x v="0"/>
    <x v="26"/>
    <x v="26"/>
    <x v="9"/>
    <x v="13"/>
    <x v="0"/>
    <x v="5"/>
    <x v="5"/>
    <n v="0"/>
    <n v="0"/>
  </r>
  <r>
    <s v="SPAR WESTERN CAPE"/>
    <x v="0"/>
    <x v="26"/>
    <x v="26"/>
    <x v="9"/>
    <x v="13"/>
    <x v="0"/>
    <x v="6"/>
    <x v="6"/>
    <n v="0"/>
    <n v="0"/>
  </r>
  <r>
    <s v="SPAR WESTERN CAPE"/>
    <x v="0"/>
    <x v="27"/>
    <x v="27"/>
    <x v="10"/>
    <x v="14"/>
    <x v="0"/>
    <x v="0"/>
    <x v="0"/>
    <n v="0"/>
    <n v="0"/>
  </r>
  <r>
    <s v="SPAR WESTERN CAPE"/>
    <x v="0"/>
    <x v="27"/>
    <x v="27"/>
    <x v="10"/>
    <x v="14"/>
    <x v="0"/>
    <x v="1"/>
    <x v="1"/>
    <n v="0"/>
    <n v="0"/>
  </r>
  <r>
    <s v="SPAR WESTERN CAPE"/>
    <x v="0"/>
    <x v="27"/>
    <x v="27"/>
    <x v="10"/>
    <x v="14"/>
    <x v="0"/>
    <x v="2"/>
    <x v="2"/>
    <n v="0"/>
    <n v="0"/>
  </r>
  <r>
    <s v="SPAR WESTERN CAPE"/>
    <x v="0"/>
    <x v="27"/>
    <x v="27"/>
    <x v="10"/>
    <x v="14"/>
    <x v="0"/>
    <x v="3"/>
    <x v="3"/>
    <n v="0"/>
    <n v="0"/>
  </r>
  <r>
    <s v="SPAR WESTERN CAPE"/>
    <x v="0"/>
    <x v="27"/>
    <x v="27"/>
    <x v="10"/>
    <x v="14"/>
    <x v="0"/>
    <x v="4"/>
    <x v="4"/>
    <n v="0"/>
    <n v="0"/>
  </r>
  <r>
    <s v="SPAR WESTERN CAPE"/>
    <x v="0"/>
    <x v="27"/>
    <x v="27"/>
    <x v="10"/>
    <x v="14"/>
    <x v="0"/>
    <x v="5"/>
    <x v="5"/>
    <n v="0"/>
    <n v="0"/>
  </r>
  <r>
    <s v="SPAR WESTERN CAPE"/>
    <x v="0"/>
    <x v="27"/>
    <x v="27"/>
    <x v="10"/>
    <x v="14"/>
    <x v="0"/>
    <x v="6"/>
    <x v="6"/>
    <n v="0"/>
    <n v="0"/>
  </r>
  <r>
    <s v="SPAR WESTERN CAPE"/>
    <x v="0"/>
    <x v="28"/>
    <x v="28"/>
    <x v="11"/>
    <x v="15"/>
    <x v="0"/>
    <x v="0"/>
    <x v="0"/>
    <n v="0"/>
    <n v="0"/>
  </r>
  <r>
    <s v="SPAR WESTERN CAPE"/>
    <x v="0"/>
    <x v="28"/>
    <x v="28"/>
    <x v="11"/>
    <x v="15"/>
    <x v="0"/>
    <x v="1"/>
    <x v="1"/>
    <n v="0"/>
    <n v="0"/>
  </r>
  <r>
    <s v="SPAR WESTERN CAPE"/>
    <x v="0"/>
    <x v="28"/>
    <x v="28"/>
    <x v="11"/>
    <x v="15"/>
    <x v="0"/>
    <x v="2"/>
    <x v="2"/>
    <n v="0"/>
    <n v="0"/>
  </r>
  <r>
    <s v="SPAR WESTERN CAPE"/>
    <x v="0"/>
    <x v="28"/>
    <x v="28"/>
    <x v="11"/>
    <x v="15"/>
    <x v="0"/>
    <x v="3"/>
    <x v="3"/>
    <n v="0"/>
    <n v="0"/>
  </r>
  <r>
    <s v="SPAR WESTERN CAPE"/>
    <x v="0"/>
    <x v="28"/>
    <x v="28"/>
    <x v="11"/>
    <x v="15"/>
    <x v="0"/>
    <x v="4"/>
    <x v="4"/>
    <n v="0"/>
    <n v="0"/>
  </r>
  <r>
    <s v="SPAR WESTERN CAPE"/>
    <x v="0"/>
    <x v="28"/>
    <x v="28"/>
    <x v="11"/>
    <x v="15"/>
    <x v="0"/>
    <x v="5"/>
    <x v="5"/>
    <n v="0"/>
    <n v="0"/>
  </r>
  <r>
    <s v="SPAR WESTERN CAPE"/>
    <x v="0"/>
    <x v="28"/>
    <x v="28"/>
    <x v="11"/>
    <x v="15"/>
    <x v="0"/>
    <x v="6"/>
    <x v="6"/>
    <n v="0"/>
    <n v="0"/>
  </r>
  <r>
    <s v="SPAR WESTERN CAPE"/>
    <x v="0"/>
    <x v="29"/>
    <x v="29"/>
    <x v="12"/>
    <x v="16"/>
    <x v="0"/>
    <x v="0"/>
    <x v="0"/>
    <n v="0"/>
    <n v="0"/>
  </r>
  <r>
    <s v="SPAR WESTERN CAPE"/>
    <x v="0"/>
    <x v="29"/>
    <x v="29"/>
    <x v="12"/>
    <x v="16"/>
    <x v="0"/>
    <x v="1"/>
    <x v="1"/>
    <n v="0"/>
    <n v="0"/>
  </r>
  <r>
    <s v="SPAR WESTERN CAPE"/>
    <x v="0"/>
    <x v="29"/>
    <x v="29"/>
    <x v="12"/>
    <x v="16"/>
    <x v="0"/>
    <x v="2"/>
    <x v="2"/>
    <n v="0"/>
    <n v="0"/>
  </r>
  <r>
    <s v="SPAR WESTERN CAPE"/>
    <x v="0"/>
    <x v="29"/>
    <x v="29"/>
    <x v="12"/>
    <x v="16"/>
    <x v="0"/>
    <x v="3"/>
    <x v="3"/>
    <n v="0"/>
    <n v="0"/>
  </r>
  <r>
    <s v="SPAR WESTERN CAPE"/>
    <x v="0"/>
    <x v="29"/>
    <x v="29"/>
    <x v="12"/>
    <x v="16"/>
    <x v="0"/>
    <x v="4"/>
    <x v="4"/>
    <n v="0"/>
    <n v="0"/>
  </r>
  <r>
    <s v="SPAR WESTERN CAPE"/>
    <x v="0"/>
    <x v="29"/>
    <x v="29"/>
    <x v="12"/>
    <x v="16"/>
    <x v="0"/>
    <x v="5"/>
    <x v="5"/>
    <n v="0"/>
    <n v="0"/>
  </r>
  <r>
    <s v="SPAR WESTERN CAPE"/>
    <x v="0"/>
    <x v="29"/>
    <x v="29"/>
    <x v="12"/>
    <x v="16"/>
    <x v="0"/>
    <x v="6"/>
    <x v="6"/>
    <n v="0"/>
    <n v="0"/>
  </r>
  <r>
    <s v="SPAR WESTERN CAPE"/>
    <x v="0"/>
    <x v="30"/>
    <x v="30"/>
    <x v="13"/>
    <x v="17"/>
    <x v="0"/>
    <x v="0"/>
    <x v="0"/>
    <n v="0"/>
    <n v="0"/>
  </r>
  <r>
    <s v="SPAR WESTERN CAPE"/>
    <x v="0"/>
    <x v="30"/>
    <x v="30"/>
    <x v="13"/>
    <x v="17"/>
    <x v="0"/>
    <x v="1"/>
    <x v="1"/>
    <n v="0"/>
    <n v="0"/>
  </r>
  <r>
    <s v="SPAR WESTERN CAPE"/>
    <x v="0"/>
    <x v="30"/>
    <x v="30"/>
    <x v="13"/>
    <x v="17"/>
    <x v="0"/>
    <x v="2"/>
    <x v="2"/>
    <n v="0"/>
    <n v="0"/>
  </r>
  <r>
    <s v="SPAR WESTERN CAPE"/>
    <x v="0"/>
    <x v="30"/>
    <x v="30"/>
    <x v="13"/>
    <x v="17"/>
    <x v="0"/>
    <x v="3"/>
    <x v="3"/>
    <n v="0"/>
    <n v="0"/>
  </r>
  <r>
    <s v="SPAR WESTERN CAPE"/>
    <x v="0"/>
    <x v="30"/>
    <x v="30"/>
    <x v="13"/>
    <x v="17"/>
    <x v="0"/>
    <x v="4"/>
    <x v="4"/>
    <n v="0"/>
    <n v="0"/>
  </r>
  <r>
    <s v="SPAR WESTERN CAPE"/>
    <x v="0"/>
    <x v="30"/>
    <x v="30"/>
    <x v="13"/>
    <x v="17"/>
    <x v="0"/>
    <x v="5"/>
    <x v="5"/>
    <n v="0"/>
    <n v="0"/>
  </r>
  <r>
    <s v="SPAR WESTERN CAPE"/>
    <x v="0"/>
    <x v="30"/>
    <x v="30"/>
    <x v="13"/>
    <x v="17"/>
    <x v="0"/>
    <x v="6"/>
    <x v="6"/>
    <n v="0"/>
    <n v="0"/>
  </r>
  <r>
    <s v="SPAR WESTERN CAPE"/>
    <x v="0"/>
    <x v="31"/>
    <x v="31"/>
    <x v="14"/>
    <x v="18"/>
    <x v="0"/>
    <x v="0"/>
    <x v="0"/>
    <n v="0"/>
    <n v="0"/>
  </r>
  <r>
    <s v="SPAR WESTERN CAPE"/>
    <x v="0"/>
    <x v="31"/>
    <x v="31"/>
    <x v="14"/>
    <x v="18"/>
    <x v="0"/>
    <x v="1"/>
    <x v="1"/>
    <n v="0"/>
    <n v="0"/>
  </r>
  <r>
    <s v="SPAR WESTERN CAPE"/>
    <x v="0"/>
    <x v="31"/>
    <x v="31"/>
    <x v="14"/>
    <x v="18"/>
    <x v="0"/>
    <x v="2"/>
    <x v="2"/>
    <n v="0"/>
    <n v="0"/>
  </r>
  <r>
    <s v="SPAR WESTERN CAPE"/>
    <x v="0"/>
    <x v="31"/>
    <x v="31"/>
    <x v="14"/>
    <x v="18"/>
    <x v="0"/>
    <x v="3"/>
    <x v="3"/>
    <n v="0"/>
    <n v="0"/>
  </r>
  <r>
    <s v="SPAR WESTERN CAPE"/>
    <x v="0"/>
    <x v="31"/>
    <x v="31"/>
    <x v="14"/>
    <x v="18"/>
    <x v="0"/>
    <x v="4"/>
    <x v="4"/>
    <n v="0"/>
    <n v="0"/>
  </r>
  <r>
    <s v="SPAR WESTERN CAPE"/>
    <x v="0"/>
    <x v="31"/>
    <x v="31"/>
    <x v="14"/>
    <x v="18"/>
    <x v="0"/>
    <x v="5"/>
    <x v="5"/>
    <n v="0"/>
    <n v="0"/>
  </r>
  <r>
    <s v="SPAR WESTERN CAPE"/>
    <x v="0"/>
    <x v="31"/>
    <x v="31"/>
    <x v="14"/>
    <x v="18"/>
    <x v="0"/>
    <x v="6"/>
    <x v="6"/>
    <n v="0"/>
    <n v="0"/>
  </r>
  <r>
    <s v="SPAR WESTERN CAPE"/>
    <x v="0"/>
    <x v="32"/>
    <x v="32"/>
    <x v="15"/>
    <x v="19"/>
    <x v="0"/>
    <x v="0"/>
    <x v="0"/>
    <n v="0"/>
    <n v="0"/>
  </r>
  <r>
    <s v="SPAR WESTERN CAPE"/>
    <x v="0"/>
    <x v="32"/>
    <x v="32"/>
    <x v="15"/>
    <x v="19"/>
    <x v="0"/>
    <x v="1"/>
    <x v="1"/>
    <n v="0"/>
    <n v="0"/>
  </r>
  <r>
    <s v="SPAR WESTERN CAPE"/>
    <x v="0"/>
    <x v="32"/>
    <x v="32"/>
    <x v="15"/>
    <x v="19"/>
    <x v="0"/>
    <x v="2"/>
    <x v="2"/>
    <n v="0"/>
    <n v="0"/>
  </r>
  <r>
    <s v="SPAR WESTERN CAPE"/>
    <x v="0"/>
    <x v="32"/>
    <x v="32"/>
    <x v="15"/>
    <x v="19"/>
    <x v="0"/>
    <x v="3"/>
    <x v="3"/>
    <n v="0"/>
    <n v="0"/>
  </r>
  <r>
    <s v="SPAR WESTERN CAPE"/>
    <x v="0"/>
    <x v="32"/>
    <x v="32"/>
    <x v="15"/>
    <x v="19"/>
    <x v="0"/>
    <x v="4"/>
    <x v="4"/>
    <n v="0"/>
    <n v="0"/>
  </r>
  <r>
    <s v="SPAR WESTERN CAPE"/>
    <x v="0"/>
    <x v="32"/>
    <x v="32"/>
    <x v="15"/>
    <x v="19"/>
    <x v="0"/>
    <x v="5"/>
    <x v="5"/>
    <n v="0"/>
    <n v="0"/>
  </r>
  <r>
    <s v="SPAR WESTERN CAPE"/>
    <x v="0"/>
    <x v="32"/>
    <x v="32"/>
    <x v="15"/>
    <x v="19"/>
    <x v="0"/>
    <x v="6"/>
    <x v="6"/>
    <n v="0"/>
    <n v="0"/>
  </r>
  <r>
    <s v="SPAR WESTERN CAPE"/>
    <x v="0"/>
    <x v="33"/>
    <x v="33"/>
    <x v="16"/>
    <x v="20"/>
    <x v="0"/>
    <x v="1"/>
    <x v="1"/>
    <n v="0"/>
    <n v="0"/>
  </r>
  <r>
    <s v="SPAR WESTERN CAPE"/>
    <x v="0"/>
    <x v="33"/>
    <x v="33"/>
    <x v="16"/>
    <x v="20"/>
    <x v="0"/>
    <x v="3"/>
    <x v="3"/>
    <n v="0"/>
    <n v="0"/>
  </r>
  <r>
    <s v="SPAR WESTERN CAPE"/>
    <x v="0"/>
    <x v="33"/>
    <x v="33"/>
    <x v="16"/>
    <x v="20"/>
    <x v="0"/>
    <x v="4"/>
    <x v="4"/>
    <n v="0"/>
    <n v="0"/>
  </r>
  <r>
    <s v="SPAR WESTERN CAPE"/>
    <x v="0"/>
    <x v="33"/>
    <x v="33"/>
    <x v="16"/>
    <x v="20"/>
    <x v="0"/>
    <x v="5"/>
    <x v="5"/>
    <n v="0"/>
    <n v="0"/>
  </r>
  <r>
    <s v="SPAR WESTERN CAPE"/>
    <x v="0"/>
    <x v="33"/>
    <x v="33"/>
    <x v="16"/>
    <x v="20"/>
    <x v="0"/>
    <x v="6"/>
    <x v="6"/>
    <n v="0"/>
    <n v="0"/>
  </r>
  <r>
    <s v="SPAR WESTERN CAPE"/>
    <x v="0"/>
    <x v="34"/>
    <x v="34"/>
    <x v="17"/>
    <x v="21"/>
    <x v="0"/>
    <x v="0"/>
    <x v="0"/>
    <n v="0"/>
    <n v="0"/>
  </r>
  <r>
    <s v="SPAR WESTERN CAPE"/>
    <x v="0"/>
    <x v="34"/>
    <x v="34"/>
    <x v="17"/>
    <x v="21"/>
    <x v="0"/>
    <x v="1"/>
    <x v="1"/>
    <n v="0"/>
    <n v="0"/>
  </r>
  <r>
    <s v="SPAR WESTERN CAPE"/>
    <x v="0"/>
    <x v="34"/>
    <x v="34"/>
    <x v="17"/>
    <x v="21"/>
    <x v="0"/>
    <x v="2"/>
    <x v="2"/>
    <n v="0"/>
    <n v="0"/>
  </r>
  <r>
    <s v="SPAR WESTERN CAPE"/>
    <x v="0"/>
    <x v="34"/>
    <x v="34"/>
    <x v="17"/>
    <x v="21"/>
    <x v="0"/>
    <x v="3"/>
    <x v="3"/>
    <n v="0"/>
    <n v="0"/>
  </r>
  <r>
    <s v="SPAR WESTERN CAPE"/>
    <x v="0"/>
    <x v="34"/>
    <x v="34"/>
    <x v="17"/>
    <x v="21"/>
    <x v="0"/>
    <x v="4"/>
    <x v="4"/>
    <n v="0"/>
    <n v="0"/>
  </r>
  <r>
    <s v="SPAR WESTERN CAPE"/>
    <x v="0"/>
    <x v="34"/>
    <x v="34"/>
    <x v="17"/>
    <x v="21"/>
    <x v="0"/>
    <x v="5"/>
    <x v="5"/>
    <n v="0"/>
    <n v="0"/>
  </r>
  <r>
    <s v="SPAR WESTERN CAPE"/>
    <x v="0"/>
    <x v="34"/>
    <x v="34"/>
    <x v="17"/>
    <x v="21"/>
    <x v="0"/>
    <x v="6"/>
    <x v="6"/>
    <n v="0"/>
    <n v="0"/>
  </r>
  <r>
    <s v="SPAR WESTERN CAPE"/>
    <x v="0"/>
    <x v="35"/>
    <x v="35"/>
    <x v="15"/>
    <x v="22"/>
    <x v="0"/>
    <x v="0"/>
    <x v="0"/>
    <n v="0"/>
    <n v="0"/>
  </r>
  <r>
    <s v="SPAR WESTERN CAPE"/>
    <x v="0"/>
    <x v="35"/>
    <x v="35"/>
    <x v="15"/>
    <x v="22"/>
    <x v="0"/>
    <x v="1"/>
    <x v="1"/>
    <n v="0"/>
    <n v="0"/>
  </r>
  <r>
    <s v="SPAR WESTERN CAPE"/>
    <x v="0"/>
    <x v="35"/>
    <x v="35"/>
    <x v="15"/>
    <x v="22"/>
    <x v="0"/>
    <x v="2"/>
    <x v="2"/>
    <n v="0"/>
    <n v="0"/>
  </r>
  <r>
    <s v="SPAR WESTERN CAPE"/>
    <x v="0"/>
    <x v="35"/>
    <x v="35"/>
    <x v="15"/>
    <x v="22"/>
    <x v="0"/>
    <x v="3"/>
    <x v="3"/>
    <n v="0"/>
    <n v="0"/>
  </r>
  <r>
    <s v="SPAR WESTERN CAPE"/>
    <x v="0"/>
    <x v="35"/>
    <x v="35"/>
    <x v="15"/>
    <x v="22"/>
    <x v="0"/>
    <x v="4"/>
    <x v="4"/>
    <n v="0"/>
    <n v="0"/>
  </r>
  <r>
    <s v="SPAR WESTERN CAPE"/>
    <x v="0"/>
    <x v="35"/>
    <x v="35"/>
    <x v="15"/>
    <x v="22"/>
    <x v="0"/>
    <x v="5"/>
    <x v="5"/>
    <n v="0"/>
    <n v="0"/>
  </r>
  <r>
    <s v="SPAR WESTERN CAPE"/>
    <x v="0"/>
    <x v="35"/>
    <x v="35"/>
    <x v="15"/>
    <x v="22"/>
    <x v="0"/>
    <x v="6"/>
    <x v="6"/>
    <n v="0"/>
    <n v="0"/>
  </r>
  <r>
    <s v="SPAR WESTERN CAPE"/>
    <x v="0"/>
    <x v="36"/>
    <x v="36"/>
    <x v="18"/>
    <x v="23"/>
    <x v="0"/>
    <x v="0"/>
    <x v="0"/>
    <n v="0"/>
    <n v="0"/>
  </r>
  <r>
    <s v="SPAR WESTERN CAPE"/>
    <x v="0"/>
    <x v="36"/>
    <x v="36"/>
    <x v="18"/>
    <x v="23"/>
    <x v="0"/>
    <x v="1"/>
    <x v="1"/>
    <n v="0"/>
    <n v="0"/>
  </r>
  <r>
    <s v="SPAR WESTERN CAPE"/>
    <x v="0"/>
    <x v="36"/>
    <x v="36"/>
    <x v="18"/>
    <x v="23"/>
    <x v="0"/>
    <x v="2"/>
    <x v="2"/>
    <n v="0"/>
    <n v="0"/>
  </r>
  <r>
    <s v="SPAR WESTERN CAPE"/>
    <x v="0"/>
    <x v="36"/>
    <x v="36"/>
    <x v="18"/>
    <x v="23"/>
    <x v="0"/>
    <x v="3"/>
    <x v="3"/>
    <n v="0"/>
    <n v="0"/>
  </r>
  <r>
    <s v="SPAR WESTERN CAPE"/>
    <x v="0"/>
    <x v="36"/>
    <x v="36"/>
    <x v="18"/>
    <x v="23"/>
    <x v="0"/>
    <x v="4"/>
    <x v="4"/>
    <n v="0"/>
    <n v="0"/>
  </r>
  <r>
    <s v="SPAR WESTERN CAPE"/>
    <x v="0"/>
    <x v="36"/>
    <x v="36"/>
    <x v="18"/>
    <x v="23"/>
    <x v="0"/>
    <x v="5"/>
    <x v="5"/>
    <n v="0"/>
    <n v="0"/>
  </r>
  <r>
    <s v="SPAR WESTERN CAPE"/>
    <x v="0"/>
    <x v="36"/>
    <x v="36"/>
    <x v="18"/>
    <x v="23"/>
    <x v="0"/>
    <x v="6"/>
    <x v="6"/>
    <n v="0"/>
    <n v="0"/>
  </r>
  <r>
    <s v="SPAR WESTERN CAPE"/>
    <x v="0"/>
    <x v="37"/>
    <x v="37"/>
    <x v="19"/>
    <x v="24"/>
    <x v="0"/>
    <x v="0"/>
    <x v="0"/>
    <n v="0"/>
    <n v="0"/>
  </r>
  <r>
    <s v="SPAR WESTERN CAPE"/>
    <x v="0"/>
    <x v="37"/>
    <x v="37"/>
    <x v="19"/>
    <x v="24"/>
    <x v="0"/>
    <x v="1"/>
    <x v="1"/>
    <n v="0"/>
    <n v="0"/>
  </r>
  <r>
    <s v="SPAR WESTERN CAPE"/>
    <x v="0"/>
    <x v="37"/>
    <x v="37"/>
    <x v="19"/>
    <x v="24"/>
    <x v="0"/>
    <x v="2"/>
    <x v="2"/>
    <n v="0"/>
    <n v="0"/>
  </r>
  <r>
    <s v="SPAR WESTERN CAPE"/>
    <x v="0"/>
    <x v="37"/>
    <x v="37"/>
    <x v="19"/>
    <x v="24"/>
    <x v="0"/>
    <x v="3"/>
    <x v="3"/>
    <n v="0"/>
    <n v="0"/>
  </r>
  <r>
    <s v="SPAR WESTERN CAPE"/>
    <x v="0"/>
    <x v="37"/>
    <x v="37"/>
    <x v="19"/>
    <x v="24"/>
    <x v="0"/>
    <x v="4"/>
    <x v="4"/>
    <n v="0"/>
    <n v="0"/>
  </r>
  <r>
    <s v="SPAR WESTERN CAPE"/>
    <x v="0"/>
    <x v="37"/>
    <x v="37"/>
    <x v="19"/>
    <x v="24"/>
    <x v="0"/>
    <x v="5"/>
    <x v="5"/>
    <n v="0"/>
    <n v="0"/>
  </r>
  <r>
    <s v="SPAR WESTERN CAPE"/>
    <x v="0"/>
    <x v="37"/>
    <x v="37"/>
    <x v="19"/>
    <x v="24"/>
    <x v="0"/>
    <x v="6"/>
    <x v="6"/>
    <n v="0"/>
    <n v="0"/>
  </r>
  <r>
    <s v="SPAR WESTERN CAPE"/>
    <x v="0"/>
    <x v="38"/>
    <x v="38"/>
    <x v="9"/>
    <x v="25"/>
    <x v="0"/>
    <x v="0"/>
    <x v="0"/>
    <n v="0"/>
    <n v="0"/>
  </r>
  <r>
    <s v="SPAR WESTERN CAPE"/>
    <x v="0"/>
    <x v="38"/>
    <x v="38"/>
    <x v="9"/>
    <x v="25"/>
    <x v="0"/>
    <x v="1"/>
    <x v="1"/>
    <n v="0"/>
    <n v="0"/>
  </r>
  <r>
    <s v="SPAR WESTERN CAPE"/>
    <x v="0"/>
    <x v="38"/>
    <x v="38"/>
    <x v="9"/>
    <x v="25"/>
    <x v="0"/>
    <x v="3"/>
    <x v="3"/>
    <n v="0"/>
    <n v="0"/>
  </r>
  <r>
    <s v="SPAR WESTERN CAPE"/>
    <x v="0"/>
    <x v="38"/>
    <x v="38"/>
    <x v="9"/>
    <x v="25"/>
    <x v="0"/>
    <x v="4"/>
    <x v="4"/>
    <n v="0"/>
    <n v="0"/>
  </r>
  <r>
    <s v="SPAR WESTERN CAPE"/>
    <x v="0"/>
    <x v="38"/>
    <x v="38"/>
    <x v="9"/>
    <x v="25"/>
    <x v="0"/>
    <x v="6"/>
    <x v="6"/>
    <n v="0"/>
    <n v="0"/>
  </r>
  <r>
    <s v="SPAR WESTERN CAPE"/>
    <x v="0"/>
    <x v="39"/>
    <x v="39"/>
    <x v="20"/>
    <x v="26"/>
    <x v="0"/>
    <x v="0"/>
    <x v="0"/>
    <n v="0"/>
    <n v="0"/>
  </r>
  <r>
    <s v="SPAR WESTERN CAPE"/>
    <x v="0"/>
    <x v="39"/>
    <x v="39"/>
    <x v="20"/>
    <x v="26"/>
    <x v="0"/>
    <x v="1"/>
    <x v="1"/>
    <n v="0"/>
    <n v="0"/>
  </r>
  <r>
    <s v="SPAR WESTERN CAPE"/>
    <x v="0"/>
    <x v="39"/>
    <x v="39"/>
    <x v="20"/>
    <x v="26"/>
    <x v="0"/>
    <x v="2"/>
    <x v="2"/>
    <n v="0"/>
    <n v="0"/>
  </r>
  <r>
    <s v="SPAR WESTERN CAPE"/>
    <x v="0"/>
    <x v="39"/>
    <x v="39"/>
    <x v="20"/>
    <x v="26"/>
    <x v="0"/>
    <x v="3"/>
    <x v="3"/>
    <n v="0"/>
    <n v="0"/>
  </r>
  <r>
    <s v="SPAR WESTERN CAPE"/>
    <x v="0"/>
    <x v="39"/>
    <x v="39"/>
    <x v="20"/>
    <x v="26"/>
    <x v="0"/>
    <x v="4"/>
    <x v="4"/>
    <n v="0"/>
    <n v="0"/>
  </r>
  <r>
    <s v="SPAR WESTERN CAPE"/>
    <x v="0"/>
    <x v="39"/>
    <x v="39"/>
    <x v="20"/>
    <x v="26"/>
    <x v="0"/>
    <x v="5"/>
    <x v="5"/>
    <n v="0"/>
    <n v="0"/>
  </r>
  <r>
    <s v="SPAR WESTERN CAPE"/>
    <x v="0"/>
    <x v="39"/>
    <x v="39"/>
    <x v="20"/>
    <x v="26"/>
    <x v="0"/>
    <x v="6"/>
    <x v="6"/>
    <n v="0"/>
    <n v="0"/>
  </r>
  <r>
    <s v="SPAR WESTERN CAPE"/>
    <x v="0"/>
    <x v="40"/>
    <x v="40"/>
    <x v="21"/>
    <x v="27"/>
    <x v="0"/>
    <x v="2"/>
    <x v="2"/>
    <n v="0"/>
    <n v="0"/>
  </r>
  <r>
    <s v="SPAR WESTERN CAPE"/>
    <x v="0"/>
    <x v="40"/>
    <x v="40"/>
    <x v="21"/>
    <x v="27"/>
    <x v="0"/>
    <x v="3"/>
    <x v="3"/>
    <n v="0"/>
    <n v="0"/>
  </r>
  <r>
    <s v="SPAR WESTERN CAPE"/>
    <x v="0"/>
    <x v="40"/>
    <x v="40"/>
    <x v="21"/>
    <x v="27"/>
    <x v="0"/>
    <x v="4"/>
    <x v="4"/>
    <n v="0"/>
    <n v="0"/>
  </r>
  <r>
    <s v="SPAR WESTERN CAPE"/>
    <x v="0"/>
    <x v="40"/>
    <x v="40"/>
    <x v="21"/>
    <x v="27"/>
    <x v="0"/>
    <x v="6"/>
    <x v="6"/>
    <n v="0"/>
    <n v="0"/>
  </r>
  <r>
    <s v="SPAR WESTERN CAPE"/>
    <x v="0"/>
    <x v="41"/>
    <x v="41"/>
    <x v="22"/>
    <x v="28"/>
    <x v="0"/>
    <x v="0"/>
    <x v="0"/>
    <n v="0"/>
    <n v="0"/>
  </r>
  <r>
    <s v="SPAR WESTERN CAPE"/>
    <x v="0"/>
    <x v="41"/>
    <x v="41"/>
    <x v="22"/>
    <x v="28"/>
    <x v="0"/>
    <x v="1"/>
    <x v="1"/>
    <n v="0"/>
    <n v="0"/>
  </r>
  <r>
    <s v="SPAR WESTERN CAPE"/>
    <x v="0"/>
    <x v="41"/>
    <x v="41"/>
    <x v="22"/>
    <x v="28"/>
    <x v="0"/>
    <x v="2"/>
    <x v="2"/>
    <n v="0"/>
    <n v="0"/>
  </r>
  <r>
    <s v="SPAR WESTERN CAPE"/>
    <x v="0"/>
    <x v="41"/>
    <x v="41"/>
    <x v="22"/>
    <x v="28"/>
    <x v="0"/>
    <x v="3"/>
    <x v="3"/>
    <n v="0"/>
    <n v="0"/>
  </r>
  <r>
    <s v="SPAR WESTERN CAPE"/>
    <x v="0"/>
    <x v="41"/>
    <x v="41"/>
    <x v="22"/>
    <x v="28"/>
    <x v="0"/>
    <x v="4"/>
    <x v="4"/>
    <n v="0"/>
    <n v="0"/>
  </r>
  <r>
    <s v="SPAR WESTERN CAPE"/>
    <x v="0"/>
    <x v="41"/>
    <x v="41"/>
    <x v="22"/>
    <x v="28"/>
    <x v="0"/>
    <x v="5"/>
    <x v="5"/>
    <n v="0"/>
    <n v="0"/>
  </r>
  <r>
    <s v="SPAR WESTERN CAPE"/>
    <x v="0"/>
    <x v="41"/>
    <x v="41"/>
    <x v="22"/>
    <x v="28"/>
    <x v="0"/>
    <x v="6"/>
    <x v="6"/>
    <n v="0"/>
    <n v="0"/>
  </r>
  <r>
    <s v="SPAR WESTERN CAPE"/>
    <x v="0"/>
    <x v="42"/>
    <x v="42"/>
    <x v="5"/>
    <x v="29"/>
    <x v="0"/>
    <x v="0"/>
    <x v="0"/>
    <n v="0"/>
    <n v="0"/>
  </r>
  <r>
    <s v="SPAR WESTERN CAPE"/>
    <x v="0"/>
    <x v="42"/>
    <x v="42"/>
    <x v="5"/>
    <x v="29"/>
    <x v="0"/>
    <x v="1"/>
    <x v="1"/>
    <n v="0"/>
    <n v="0"/>
  </r>
  <r>
    <s v="SPAR WESTERN CAPE"/>
    <x v="0"/>
    <x v="42"/>
    <x v="42"/>
    <x v="5"/>
    <x v="29"/>
    <x v="0"/>
    <x v="2"/>
    <x v="2"/>
    <n v="0"/>
    <n v="0"/>
  </r>
  <r>
    <s v="SPAR WESTERN CAPE"/>
    <x v="0"/>
    <x v="42"/>
    <x v="42"/>
    <x v="5"/>
    <x v="29"/>
    <x v="0"/>
    <x v="3"/>
    <x v="3"/>
    <n v="0"/>
    <n v="0"/>
  </r>
  <r>
    <s v="SPAR WESTERN CAPE"/>
    <x v="0"/>
    <x v="42"/>
    <x v="42"/>
    <x v="5"/>
    <x v="29"/>
    <x v="0"/>
    <x v="4"/>
    <x v="4"/>
    <n v="0"/>
    <n v="0"/>
  </r>
  <r>
    <s v="SPAR WESTERN CAPE"/>
    <x v="0"/>
    <x v="42"/>
    <x v="42"/>
    <x v="5"/>
    <x v="29"/>
    <x v="0"/>
    <x v="5"/>
    <x v="5"/>
    <n v="0"/>
    <n v="0"/>
  </r>
  <r>
    <s v="SPAR WESTERN CAPE"/>
    <x v="0"/>
    <x v="42"/>
    <x v="42"/>
    <x v="5"/>
    <x v="29"/>
    <x v="0"/>
    <x v="6"/>
    <x v="6"/>
    <n v="0"/>
    <n v="0"/>
  </r>
  <r>
    <s v="SPAR WESTERN CAPE"/>
    <x v="0"/>
    <x v="43"/>
    <x v="43"/>
    <x v="23"/>
    <x v="30"/>
    <x v="0"/>
    <x v="0"/>
    <x v="0"/>
    <n v="0"/>
    <n v="0"/>
  </r>
  <r>
    <s v="SPAR WESTERN CAPE"/>
    <x v="0"/>
    <x v="43"/>
    <x v="43"/>
    <x v="23"/>
    <x v="30"/>
    <x v="0"/>
    <x v="1"/>
    <x v="1"/>
    <n v="0"/>
    <n v="0"/>
  </r>
  <r>
    <s v="SPAR WESTERN CAPE"/>
    <x v="0"/>
    <x v="43"/>
    <x v="43"/>
    <x v="23"/>
    <x v="30"/>
    <x v="0"/>
    <x v="2"/>
    <x v="2"/>
    <n v="0"/>
    <n v="0"/>
  </r>
  <r>
    <s v="SPAR WESTERN CAPE"/>
    <x v="0"/>
    <x v="43"/>
    <x v="43"/>
    <x v="23"/>
    <x v="30"/>
    <x v="0"/>
    <x v="3"/>
    <x v="3"/>
    <n v="0"/>
    <n v="0"/>
  </r>
  <r>
    <s v="SPAR WESTERN CAPE"/>
    <x v="0"/>
    <x v="43"/>
    <x v="43"/>
    <x v="23"/>
    <x v="30"/>
    <x v="0"/>
    <x v="4"/>
    <x v="4"/>
    <n v="0"/>
    <n v="0"/>
  </r>
  <r>
    <s v="SPAR WESTERN CAPE"/>
    <x v="0"/>
    <x v="43"/>
    <x v="43"/>
    <x v="23"/>
    <x v="30"/>
    <x v="0"/>
    <x v="5"/>
    <x v="5"/>
    <n v="0"/>
    <n v="0"/>
  </r>
  <r>
    <s v="SPAR WESTERN CAPE"/>
    <x v="0"/>
    <x v="43"/>
    <x v="43"/>
    <x v="23"/>
    <x v="30"/>
    <x v="0"/>
    <x v="6"/>
    <x v="6"/>
    <n v="0"/>
    <n v="0"/>
  </r>
  <r>
    <s v="SPAR WESTERN CAPE"/>
    <x v="0"/>
    <x v="44"/>
    <x v="44"/>
    <x v="9"/>
    <x v="31"/>
    <x v="0"/>
    <x v="0"/>
    <x v="0"/>
    <n v="0"/>
    <n v="0"/>
  </r>
  <r>
    <s v="SPAR WESTERN CAPE"/>
    <x v="0"/>
    <x v="44"/>
    <x v="44"/>
    <x v="9"/>
    <x v="31"/>
    <x v="0"/>
    <x v="1"/>
    <x v="1"/>
    <n v="0"/>
    <n v="0"/>
  </r>
  <r>
    <s v="SPAR WESTERN CAPE"/>
    <x v="0"/>
    <x v="44"/>
    <x v="44"/>
    <x v="9"/>
    <x v="31"/>
    <x v="0"/>
    <x v="2"/>
    <x v="2"/>
    <n v="0"/>
    <n v="0"/>
  </r>
  <r>
    <s v="SPAR WESTERN CAPE"/>
    <x v="0"/>
    <x v="44"/>
    <x v="44"/>
    <x v="9"/>
    <x v="31"/>
    <x v="0"/>
    <x v="3"/>
    <x v="3"/>
    <n v="0"/>
    <n v="0"/>
  </r>
  <r>
    <s v="SPAR WESTERN CAPE"/>
    <x v="0"/>
    <x v="44"/>
    <x v="44"/>
    <x v="9"/>
    <x v="31"/>
    <x v="0"/>
    <x v="4"/>
    <x v="4"/>
    <n v="0"/>
    <n v="0"/>
  </r>
  <r>
    <s v="SPAR WESTERN CAPE"/>
    <x v="0"/>
    <x v="44"/>
    <x v="44"/>
    <x v="9"/>
    <x v="31"/>
    <x v="0"/>
    <x v="5"/>
    <x v="5"/>
    <n v="0"/>
    <n v="0"/>
  </r>
  <r>
    <s v="SPAR WESTERN CAPE"/>
    <x v="0"/>
    <x v="44"/>
    <x v="44"/>
    <x v="9"/>
    <x v="31"/>
    <x v="0"/>
    <x v="6"/>
    <x v="6"/>
    <n v="0"/>
    <n v="0"/>
  </r>
  <r>
    <s v="SPAR WESTERN CAPE"/>
    <x v="0"/>
    <x v="45"/>
    <x v="45"/>
    <x v="10"/>
    <x v="32"/>
    <x v="0"/>
    <x v="0"/>
    <x v="0"/>
    <n v="0"/>
    <n v="0"/>
  </r>
  <r>
    <s v="SPAR WESTERN CAPE"/>
    <x v="0"/>
    <x v="45"/>
    <x v="45"/>
    <x v="10"/>
    <x v="32"/>
    <x v="0"/>
    <x v="1"/>
    <x v="1"/>
    <n v="0"/>
    <n v="0"/>
  </r>
  <r>
    <s v="SPAR WESTERN CAPE"/>
    <x v="0"/>
    <x v="45"/>
    <x v="45"/>
    <x v="10"/>
    <x v="32"/>
    <x v="0"/>
    <x v="2"/>
    <x v="2"/>
    <n v="0"/>
    <n v="0"/>
  </r>
  <r>
    <s v="SPAR WESTERN CAPE"/>
    <x v="0"/>
    <x v="45"/>
    <x v="45"/>
    <x v="10"/>
    <x v="32"/>
    <x v="0"/>
    <x v="3"/>
    <x v="3"/>
    <n v="0"/>
    <n v="0"/>
  </r>
  <r>
    <s v="SPAR WESTERN CAPE"/>
    <x v="0"/>
    <x v="45"/>
    <x v="45"/>
    <x v="10"/>
    <x v="32"/>
    <x v="0"/>
    <x v="4"/>
    <x v="4"/>
    <n v="0"/>
    <n v="0"/>
  </r>
  <r>
    <s v="SPAR WESTERN CAPE"/>
    <x v="0"/>
    <x v="45"/>
    <x v="45"/>
    <x v="10"/>
    <x v="32"/>
    <x v="0"/>
    <x v="5"/>
    <x v="5"/>
    <n v="0"/>
    <n v="0"/>
  </r>
  <r>
    <s v="SPAR WESTERN CAPE"/>
    <x v="0"/>
    <x v="45"/>
    <x v="45"/>
    <x v="10"/>
    <x v="32"/>
    <x v="0"/>
    <x v="6"/>
    <x v="6"/>
    <n v="0"/>
    <n v="0"/>
  </r>
  <r>
    <s v="SPAR WESTERN CAPE"/>
    <x v="0"/>
    <x v="46"/>
    <x v="46"/>
    <x v="24"/>
    <x v="33"/>
    <x v="0"/>
    <x v="0"/>
    <x v="0"/>
    <n v="0"/>
    <n v="0"/>
  </r>
  <r>
    <s v="SPAR WESTERN CAPE"/>
    <x v="0"/>
    <x v="46"/>
    <x v="46"/>
    <x v="24"/>
    <x v="33"/>
    <x v="0"/>
    <x v="1"/>
    <x v="1"/>
    <n v="0"/>
    <n v="0"/>
  </r>
  <r>
    <s v="SPAR WESTERN CAPE"/>
    <x v="0"/>
    <x v="46"/>
    <x v="46"/>
    <x v="24"/>
    <x v="33"/>
    <x v="0"/>
    <x v="2"/>
    <x v="2"/>
    <n v="0"/>
    <n v="0"/>
  </r>
  <r>
    <s v="SPAR WESTERN CAPE"/>
    <x v="0"/>
    <x v="46"/>
    <x v="46"/>
    <x v="24"/>
    <x v="33"/>
    <x v="0"/>
    <x v="3"/>
    <x v="3"/>
    <n v="0"/>
    <n v="0"/>
  </r>
  <r>
    <s v="SPAR WESTERN CAPE"/>
    <x v="0"/>
    <x v="46"/>
    <x v="46"/>
    <x v="24"/>
    <x v="33"/>
    <x v="0"/>
    <x v="4"/>
    <x v="4"/>
    <n v="0"/>
    <n v="0"/>
  </r>
  <r>
    <s v="SPAR WESTERN CAPE"/>
    <x v="0"/>
    <x v="46"/>
    <x v="46"/>
    <x v="24"/>
    <x v="33"/>
    <x v="0"/>
    <x v="5"/>
    <x v="5"/>
    <n v="0"/>
    <n v="0"/>
  </r>
  <r>
    <s v="SPAR WESTERN CAPE"/>
    <x v="0"/>
    <x v="46"/>
    <x v="46"/>
    <x v="24"/>
    <x v="33"/>
    <x v="0"/>
    <x v="6"/>
    <x v="6"/>
    <n v="0"/>
    <n v="0"/>
  </r>
  <r>
    <s v="SPAR WESTERN CAPE"/>
    <x v="0"/>
    <x v="47"/>
    <x v="47"/>
    <x v="24"/>
    <x v="33"/>
    <x v="0"/>
    <x v="0"/>
    <x v="0"/>
    <n v="0"/>
    <n v="0"/>
  </r>
  <r>
    <s v="SPAR WESTERN CAPE"/>
    <x v="0"/>
    <x v="47"/>
    <x v="47"/>
    <x v="24"/>
    <x v="33"/>
    <x v="0"/>
    <x v="1"/>
    <x v="1"/>
    <n v="0"/>
    <n v="0"/>
  </r>
  <r>
    <s v="SPAR WESTERN CAPE"/>
    <x v="0"/>
    <x v="47"/>
    <x v="47"/>
    <x v="24"/>
    <x v="33"/>
    <x v="0"/>
    <x v="2"/>
    <x v="2"/>
    <n v="0"/>
    <n v="0"/>
  </r>
  <r>
    <s v="SPAR WESTERN CAPE"/>
    <x v="0"/>
    <x v="47"/>
    <x v="47"/>
    <x v="24"/>
    <x v="33"/>
    <x v="0"/>
    <x v="3"/>
    <x v="3"/>
    <n v="0"/>
    <n v="0"/>
  </r>
  <r>
    <s v="SPAR WESTERN CAPE"/>
    <x v="0"/>
    <x v="47"/>
    <x v="47"/>
    <x v="24"/>
    <x v="33"/>
    <x v="0"/>
    <x v="4"/>
    <x v="4"/>
    <n v="0"/>
    <n v="0"/>
  </r>
  <r>
    <s v="SPAR WESTERN CAPE"/>
    <x v="0"/>
    <x v="47"/>
    <x v="47"/>
    <x v="24"/>
    <x v="33"/>
    <x v="0"/>
    <x v="5"/>
    <x v="5"/>
    <n v="0"/>
    <n v="0"/>
  </r>
  <r>
    <s v="SPAR WESTERN CAPE"/>
    <x v="0"/>
    <x v="47"/>
    <x v="47"/>
    <x v="24"/>
    <x v="33"/>
    <x v="0"/>
    <x v="6"/>
    <x v="6"/>
    <n v="0"/>
    <n v="0"/>
  </r>
  <r>
    <s v="SPAR WESTERN CAPE"/>
    <x v="0"/>
    <x v="48"/>
    <x v="48"/>
    <x v="8"/>
    <x v="34"/>
    <x v="0"/>
    <x v="0"/>
    <x v="0"/>
    <n v="0"/>
    <n v="0"/>
  </r>
  <r>
    <s v="SPAR WESTERN CAPE"/>
    <x v="0"/>
    <x v="48"/>
    <x v="48"/>
    <x v="8"/>
    <x v="34"/>
    <x v="0"/>
    <x v="1"/>
    <x v="1"/>
    <n v="0"/>
    <n v="0"/>
  </r>
  <r>
    <s v="SPAR WESTERN CAPE"/>
    <x v="0"/>
    <x v="48"/>
    <x v="48"/>
    <x v="8"/>
    <x v="34"/>
    <x v="0"/>
    <x v="2"/>
    <x v="2"/>
    <n v="0"/>
    <n v="0"/>
  </r>
  <r>
    <s v="SPAR WESTERN CAPE"/>
    <x v="0"/>
    <x v="48"/>
    <x v="48"/>
    <x v="8"/>
    <x v="34"/>
    <x v="0"/>
    <x v="3"/>
    <x v="3"/>
    <n v="0"/>
    <n v="0"/>
  </r>
  <r>
    <s v="SPAR WESTERN CAPE"/>
    <x v="0"/>
    <x v="48"/>
    <x v="48"/>
    <x v="8"/>
    <x v="34"/>
    <x v="0"/>
    <x v="4"/>
    <x v="4"/>
    <n v="0"/>
    <n v="0"/>
  </r>
  <r>
    <s v="SPAR WESTERN CAPE"/>
    <x v="0"/>
    <x v="48"/>
    <x v="48"/>
    <x v="8"/>
    <x v="34"/>
    <x v="0"/>
    <x v="5"/>
    <x v="5"/>
    <n v="0"/>
    <n v="0"/>
  </r>
  <r>
    <s v="SPAR WESTERN CAPE"/>
    <x v="0"/>
    <x v="48"/>
    <x v="48"/>
    <x v="8"/>
    <x v="34"/>
    <x v="0"/>
    <x v="6"/>
    <x v="6"/>
    <n v="0"/>
    <n v="0"/>
  </r>
  <r>
    <s v="SPAR WESTERN CAPE"/>
    <x v="0"/>
    <x v="49"/>
    <x v="49"/>
    <x v="8"/>
    <x v="34"/>
    <x v="0"/>
    <x v="0"/>
    <x v="0"/>
    <n v="0"/>
    <n v="0"/>
  </r>
  <r>
    <s v="SPAR WESTERN CAPE"/>
    <x v="0"/>
    <x v="49"/>
    <x v="49"/>
    <x v="8"/>
    <x v="34"/>
    <x v="0"/>
    <x v="1"/>
    <x v="1"/>
    <n v="0"/>
    <n v="0"/>
  </r>
  <r>
    <s v="SPAR WESTERN CAPE"/>
    <x v="0"/>
    <x v="49"/>
    <x v="49"/>
    <x v="8"/>
    <x v="34"/>
    <x v="0"/>
    <x v="2"/>
    <x v="2"/>
    <n v="0"/>
    <n v="0"/>
  </r>
  <r>
    <s v="SPAR WESTERN CAPE"/>
    <x v="0"/>
    <x v="49"/>
    <x v="49"/>
    <x v="8"/>
    <x v="34"/>
    <x v="0"/>
    <x v="3"/>
    <x v="3"/>
    <n v="0"/>
    <n v="0"/>
  </r>
  <r>
    <s v="SPAR WESTERN CAPE"/>
    <x v="0"/>
    <x v="49"/>
    <x v="49"/>
    <x v="8"/>
    <x v="34"/>
    <x v="0"/>
    <x v="4"/>
    <x v="4"/>
    <n v="0"/>
    <n v="0"/>
  </r>
  <r>
    <s v="SPAR WESTERN CAPE"/>
    <x v="0"/>
    <x v="49"/>
    <x v="49"/>
    <x v="8"/>
    <x v="34"/>
    <x v="0"/>
    <x v="5"/>
    <x v="5"/>
    <n v="0"/>
    <n v="0"/>
  </r>
  <r>
    <s v="SPAR WESTERN CAPE"/>
    <x v="0"/>
    <x v="49"/>
    <x v="49"/>
    <x v="8"/>
    <x v="34"/>
    <x v="0"/>
    <x v="6"/>
    <x v="6"/>
    <n v="0"/>
    <n v="0"/>
  </r>
  <r>
    <s v="SPAR WESTERN CAPE"/>
    <x v="0"/>
    <x v="50"/>
    <x v="50"/>
    <x v="8"/>
    <x v="34"/>
    <x v="0"/>
    <x v="0"/>
    <x v="0"/>
    <n v="0"/>
    <n v="0"/>
  </r>
  <r>
    <s v="SPAR WESTERN CAPE"/>
    <x v="0"/>
    <x v="50"/>
    <x v="50"/>
    <x v="8"/>
    <x v="34"/>
    <x v="0"/>
    <x v="1"/>
    <x v="1"/>
    <n v="0"/>
    <n v="0"/>
  </r>
  <r>
    <s v="SPAR WESTERN CAPE"/>
    <x v="0"/>
    <x v="50"/>
    <x v="50"/>
    <x v="8"/>
    <x v="34"/>
    <x v="0"/>
    <x v="2"/>
    <x v="2"/>
    <n v="0"/>
    <n v="0"/>
  </r>
  <r>
    <s v="SPAR WESTERN CAPE"/>
    <x v="0"/>
    <x v="50"/>
    <x v="50"/>
    <x v="8"/>
    <x v="34"/>
    <x v="0"/>
    <x v="3"/>
    <x v="3"/>
    <n v="0"/>
    <n v="0"/>
  </r>
  <r>
    <s v="SPAR WESTERN CAPE"/>
    <x v="0"/>
    <x v="50"/>
    <x v="50"/>
    <x v="8"/>
    <x v="34"/>
    <x v="0"/>
    <x v="4"/>
    <x v="4"/>
    <n v="0"/>
    <n v="0"/>
  </r>
  <r>
    <s v="SPAR WESTERN CAPE"/>
    <x v="0"/>
    <x v="50"/>
    <x v="50"/>
    <x v="8"/>
    <x v="34"/>
    <x v="0"/>
    <x v="5"/>
    <x v="5"/>
    <n v="0"/>
    <n v="0"/>
  </r>
  <r>
    <s v="SPAR WESTERN CAPE"/>
    <x v="0"/>
    <x v="50"/>
    <x v="50"/>
    <x v="8"/>
    <x v="34"/>
    <x v="0"/>
    <x v="6"/>
    <x v="6"/>
    <n v="0"/>
    <n v="0"/>
  </r>
  <r>
    <s v="SPAR WESTERN CAPE"/>
    <x v="0"/>
    <x v="51"/>
    <x v="51"/>
    <x v="5"/>
    <x v="35"/>
    <x v="0"/>
    <x v="0"/>
    <x v="0"/>
    <n v="0"/>
    <n v="0"/>
  </r>
  <r>
    <s v="SPAR WESTERN CAPE"/>
    <x v="0"/>
    <x v="51"/>
    <x v="51"/>
    <x v="5"/>
    <x v="35"/>
    <x v="0"/>
    <x v="1"/>
    <x v="1"/>
    <n v="0"/>
    <n v="0"/>
  </r>
  <r>
    <s v="SPAR WESTERN CAPE"/>
    <x v="0"/>
    <x v="51"/>
    <x v="51"/>
    <x v="5"/>
    <x v="35"/>
    <x v="0"/>
    <x v="2"/>
    <x v="2"/>
    <n v="0"/>
    <n v="0"/>
  </r>
  <r>
    <s v="SPAR WESTERN CAPE"/>
    <x v="0"/>
    <x v="51"/>
    <x v="51"/>
    <x v="5"/>
    <x v="35"/>
    <x v="0"/>
    <x v="3"/>
    <x v="3"/>
    <n v="0"/>
    <n v="0"/>
  </r>
  <r>
    <s v="SPAR WESTERN CAPE"/>
    <x v="0"/>
    <x v="51"/>
    <x v="51"/>
    <x v="5"/>
    <x v="35"/>
    <x v="0"/>
    <x v="4"/>
    <x v="4"/>
    <n v="0"/>
    <n v="0"/>
  </r>
  <r>
    <s v="SPAR WESTERN CAPE"/>
    <x v="0"/>
    <x v="51"/>
    <x v="51"/>
    <x v="5"/>
    <x v="35"/>
    <x v="0"/>
    <x v="5"/>
    <x v="5"/>
    <n v="0"/>
    <n v="0"/>
  </r>
  <r>
    <s v="SPAR WESTERN CAPE"/>
    <x v="0"/>
    <x v="51"/>
    <x v="51"/>
    <x v="5"/>
    <x v="35"/>
    <x v="0"/>
    <x v="6"/>
    <x v="6"/>
    <n v="0"/>
    <n v="0"/>
  </r>
  <r>
    <s v="SPAR WESTERN CAPE"/>
    <x v="0"/>
    <x v="52"/>
    <x v="52"/>
    <x v="25"/>
    <x v="36"/>
    <x v="0"/>
    <x v="0"/>
    <x v="0"/>
    <n v="0"/>
    <n v="0"/>
  </r>
  <r>
    <s v="SPAR WESTERN CAPE"/>
    <x v="0"/>
    <x v="52"/>
    <x v="52"/>
    <x v="25"/>
    <x v="36"/>
    <x v="0"/>
    <x v="1"/>
    <x v="1"/>
    <n v="0"/>
    <n v="0"/>
  </r>
  <r>
    <s v="SPAR WESTERN CAPE"/>
    <x v="0"/>
    <x v="52"/>
    <x v="52"/>
    <x v="25"/>
    <x v="36"/>
    <x v="0"/>
    <x v="2"/>
    <x v="2"/>
    <n v="0"/>
    <n v="0"/>
  </r>
  <r>
    <s v="SPAR WESTERN CAPE"/>
    <x v="0"/>
    <x v="52"/>
    <x v="52"/>
    <x v="25"/>
    <x v="36"/>
    <x v="0"/>
    <x v="3"/>
    <x v="3"/>
    <n v="0"/>
    <n v="0"/>
  </r>
  <r>
    <s v="SPAR WESTERN CAPE"/>
    <x v="0"/>
    <x v="52"/>
    <x v="52"/>
    <x v="25"/>
    <x v="36"/>
    <x v="0"/>
    <x v="4"/>
    <x v="4"/>
    <n v="0"/>
    <n v="0"/>
  </r>
  <r>
    <s v="SPAR WESTERN CAPE"/>
    <x v="0"/>
    <x v="52"/>
    <x v="52"/>
    <x v="25"/>
    <x v="36"/>
    <x v="0"/>
    <x v="5"/>
    <x v="5"/>
    <n v="0"/>
    <n v="0"/>
  </r>
  <r>
    <s v="SPAR WESTERN CAPE"/>
    <x v="0"/>
    <x v="52"/>
    <x v="52"/>
    <x v="25"/>
    <x v="36"/>
    <x v="0"/>
    <x v="6"/>
    <x v="6"/>
    <n v="0"/>
    <n v="0"/>
  </r>
  <r>
    <s v="SPAR WESTERN CAPE"/>
    <x v="0"/>
    <x v="53"/>
    <x v="53"/>
    <x v="19"/>
    <x v="37"/>
    <x v="0"/>
    <x v="0"/>
    <x v="0"/>
    <n v="0"/>
    <n v="0"/>
  </r>
  <r>
    <s v="SPAR WESTERN CAPE"/>
    <x v="0"/>
    <x v="53"/>
    <x v="53"/>
    <x v="19"/>
    <x v="37"/>
    <x v="0"/>
    <x v="1"/>
    <x v="1"/>
    <n v="0"/>
    <n v="0"/>
  </r>
  <r>
    <s v="SPAR WESTERN CAPE"/>
    <x v="0"/>
    <x v="53"/>
    <x v="53"/>
    <x v="19"/>
    <x v="37"/>
    <x v="0"/>
    <x v="2"/>
    <x v="2"/>
    <n v="0"/>
    <n v="0"/>
  </r>
  <r>
    <s v="SPAR WESTERN CAPE"/>
    <x v="0"/>
    <x v="53"/>
    <x v="53"/>
    <x v="19"/>
    <x v="37"/>
    <x v="0"/>
    <x v="3"/>
    <x v="3"/>
    <n v="0"/>
    <n v="0"/>
  </r>
  <r>
    <s v="SPAR WESTERN CAPE"/>
    <x v="0"/>
    <x v="53"/>
    <x v="53"/>
    <x v="19"/>
    <x v="37"/>
    <x v="0"/>
    <x v="4"/>
    <x v="4"/>
    <n v="0"/>
    <n v="0"/>
  </r>
  <r>
    <s v="SPAR WESTERN CAPE"/>
    <x v="0"/>
    <x v="53"/>
    <x v="53"/>
    <x v="19"/>
    <x v="37"/>
    <x v="0"/>
    <x v="5"/>
    <x v="5"/>
    <n v="0"/>
    <n v="0"/>
  </r>
  <r>
    <s v="SPAR WESTERN CAPE"/>
    <x v="0"/>
    <x v="53"/>
    <x v="53"/>
    <x v="19"/>
    <x v="37"/>
    <x v="0"/>
    <x v="6"/>
    <x v="6"/>
    <n v="0"/>
    <n v="0"/>
  </r>
  <r>
    <s v="SPAR WESTERN CAPE"/>
    <x v="0"/>
    <x v="54"/>
    <x v="54"/>
    <x v="26"/>
    <x v="38"/>
    <x v="0"/>
    <x v="0"/>
    <x v="0"/>
    <n v="0"/>
    <n v="0"/>
  </r>
  <r>
    <s v="SPAR WESTERN CAPE"/>
    <x v="0"/>
    <x v="54"/>
    <x v="54"/>
    <x v="26"/>
    <x v="38"/>
    <x v="0"/>
    <x v="1"/>
    <x v="1"/>
    <n v="0"/>
    <n v="0"/>
  </r>
  <r>
    <s v="SPAR WESTERN CAPE"/>
    <x v="0"/>
    <x v="54"/>
    <x v="54"/>
    <x v="26"/>
    <x v="38"/>
    <x v="0"/>
    <x v="2"/>
    <x v="2"/>
    <n v="0"/>
    <n v="0"/>
  </r>
  <r>
    <s v="SPAR WESTERN CAPE"/>
    <x v="0"/>
    <x v="54"/>
    <x v="54"/>
    <x v="26"/>
    <x v="38"/>
    <x v="0"/>
    <x v="3"/>
    <x v="3"/>
    <n v="0"/>
    <n v="0"/>
  </r>
  <r>
    <s v="SPAR WESTERN CAPE"/>
    <x v="0"/>
    <x v="54"/>
    <x v="54"/>
    <x v="26"/>
    <x v="38"/>
    <x v="0"/>
    <x v="4"/>
    <x v="4"/>
    <n v="0"/>
    <n v="0"/>
  </r>
  <r>
    <s v="SPAR WESTERN CAPE"/>
    <x v="0"/>
    <x v="54"/>
    <x v="54"/>
    <x v="26"/>
    <x v="38"/>
    <x v="0"/>
    <x v="5"/>
    <x v="5"/>
    <n v="0"/>
    <n v="0"/>
  </r>
  <r>
    <s v="SPAR WESTERN CAPE"/>
    <x v="0"/>
    <x v="54"/>
    <x v="54"/>
    <x v="26"/>
    <x v="38"/>
    <x v="0"/>
    <x v="6"/>
    <x v="6"/>
    <n v="0"/>
    <n v="0"/>
  </r>
  <r>
    <s v="SPAR WESTERN CAPE"/>
    <x v="0"/>
    <x v="55"/>
    <x v="55"/>
    <x v="27"/>
    <x v="39"/>
    <x v="0"/>
    <x v="2"/>
    <x v="2"/>
    <n v="0"/>
    <n v="0"/>
  </r>
  <r>
    <s v="SPAR WESTERN CAPE"/>
    <x v="0"/>
    <x v="55"/>
    <x v="55"/>
    <x v="27"/>
    <x v="39"/>
    <x v="0"/>
    <x v="3"/>
    <x v="3"/>
    <n v="0"/>
    <n v="0"/>
  </r>
  <r>
    <s v="SPAR WESTERN CAPE"/>
    <x v="0"/>
    <x v="55"/>
    <x v="55"/>
    <x v="27"/>
    <x v="39"/>
    <x v="0"/>
    <x v="4"/>
    <x v="4"/>
    <n v="0"/>
    <n v="0"/>
  </r>
  <r>
    <s v="SPAR WESTERN CAPE"/>
    <x v="0"/>
    <x v="55"/>
    <x v="55"/>
    <x v="27"/>
    <x v="39"/>
    <x v="0"/>
    <x v="5"/>
    <x v="5"/>
    <n v="0"/>
    <n v="0"/>
  </r>
  <r>
    <s v="SPAR WESTERN CAPE"/>
    <x v="0"/>
    <x v="55"/>
    <x v="55"/>
    <x v="27"/>
    <x v="39"/>
    <x v="0"/>
    <x v="6"/>
    <x v="6"/>
    <n v="0"/>
    <n v="0"/>
  </r>
  <r>
    <s v="SPAR WESTERN CAPE"/>
    <x v="0"/>
    <x v="56"/>
    <x v="56"/>
    <x v="11"/>
    <x v="40"/>
    <x v="0"/>
    <x v="0"/>
    <x v="0"/>
    <n v="0"/>
    <n v="0"/>
  </r>
  <r>
    <s v="SPAR WESTERN CAPE"/>
    <x v="0"/>
    <x v="56"/>
    <x v="56"/>
    <x v="11"/>
    <x v="40"/>
    <x v="0"/>
    <x v="1"/>
    <x v="1"/>
    <n v="0"/>
    <n v="0"/>
  </r>
  <r>
    <s v="SPAR WESTERN CAPE"/>
    <x v="0"/>
    <x v="56"/>
    <x v="56"/>
    <x v="11"/>
    <x v="40"/>
    <x v="0"/>
    <x v="2"/>
    <x v="2"/>
    <n v="0"/>
    <n v="0"/>
  </r>
  <r>
    <s v="SPAR WESTERN CAPE"/>
    <x v="0"/>
    <x v="56"/>
    <x v="56"/>
    <x v="11"/>
    <x v="40"/>
    <x v="0"/>
    <x v="3"/>
    <x v="3"/>
    <n v="0"/>
    <n v="0"/>
  </r>
  <r>
    <s v="SPAR WESTERN CAPE"/>
    <x v="0"/>
    <x v="56"/>
    <x v="56"/>
    <x v="11"/>
    <x v="40"/>
    <x v="0"/>
    <x v="5"/>
    <x v="5"/>
    <n v="0"/>
    <n v="0"/>
  </r>
  <r>
    <s v="SPAR WESTERN CAPE"/>
    <x v="0"/>
    <x v="56"/>
    <x v="56"/>
    <x v="11"/>
    <x v="40"/>
    <x v="0"/>
    <x v="6"/>
    <x v="6"/>
    <n v="0"/>
    <n v="0"/>
  </r>
  <r>
    <s v="SPAR WESTERN CAPE"/>
    <x v="0"/>
    <x v="57"/>
    <x v="57"/>
    <x v="11"/>
    <x v="40"/>
    <x v="0"/>
    <x v="0"/>
    <x v="0"/>
    <n v="0"/>
    <n v="0"/>
  </r>
  <r>
    <s v="SPAR WESTERN CAPE"/>
    <x v="0"/>
    <x v="57"/>
    <x v="57"/>
    <x v="11"/>
    <x v="40"/>
    <x v="0"/>
    <x v="1"/>
    <x v="1"/>
    <n v="0"/>
    <n v="0"/>
  </r>
  <r>
    <s v="SPAR WESTERN CAPE"/>
    <x v="0"/>
    <x v="57"/>
    <x v="57"/>
    <x v="11"/>
    <x v="40"/>
    <x v="0"/>
    <x v="2"/>
    <x v="2"/>
    <n v="0"/>
    <n v="0"/>
  </r>
  <r>
    <s v="SPAR WESTERN CAPE"/>
    <x v="0"/>
    <x v="57"/>
    <x v="57"/>
    <x v="11"/>
    <x v="40"/>
    <x v="0"/>
    <x v="3"/>
    <x v="3"/>
    <n v="0"/>
    <n v="0"/>
  </r>
  <r>
    <s v="SPAR WESTERN CAPE"/>
    <x v="0"/>
    <x v="57"/>
    <x v="57"/>
    <x v="11"/>
    <x v="40"/>
    <x v="0"/>
    <x v="5"/>
    <x v="5"/>
    <n v="0"/>
    <n v="0"/>
  </r>
  <r>
    <s v="SPAR WESTERN CAPE"/>
    <x v="0"/>
    <x v="57"/>
    <x v="57"/>
    <x v="11"/>
    <x v="40"/>
    <x v="0"/>
    <x v="6"/>
    <x v="6"/>
    <n v="0"/>
    <n v="0"/>
  </r>
  <r>
    <s v="SPAR WESTERN CAPE"/>
    <x v="0"/>
    <x v="58"/>
    <x v="58"/>
    <x v="28"/>
    <x v="41"/>
    <x v="0"/>
    <x v="0"/>
    <x v="0"/>
    <n v="0"/>
    <n v="0"/>
  </r>
  <r>
    <s v="SPAR WESTERN CAPE"/>
    <x v="0"/>
    <x v="58"/>
    <x v="58"/>
    <x v="28"/>
    <x v="41"/>
    <x v="0"/>
    <x v="1"/>
    <x v="1"/>
    <n v="0"/>
    <n v="0"/>
  </r>
  <r>
    <s v="SPAR WESTERN CAPE"/>
    <x v="0"/>
    <x v="58"/>
    <x v="58"/>
    <x v="28"/>
    <x v="41"/>
    <x v="0"/>
    <x v="2"/>
    <x v="2"/>
    <n v="0"/>
    <n v="0"/>
  </r>
  <r>
    <s v="SPAR WESTERN CAPE"/>
    <x v="0"/>
    <x v="58"/>
    <x v="58"/>
    <x v="28"/>
    <x v="41"/>
    <x v="0"/>
    <x v="3"/>
    <x v="3"/>
    <n v="0"/>
    <n v="0"/>
  </r>
  <r>
    <s v="SPAR WESTERN CAPE"/>
    <x v="0"/>
    <x v="58"/>
    <x v="58"/>
    <x v="28"/>
    <x v="41"/>
    <x v="0"/>
    <x v="4"/>
    <x v="4"/>
    <n v="0"/>
    <n v="0"/>
  </r>
  <r>
    <s v="SPAR WESTERN CAPE"/>
    <x v="0"/>
    <x v="58"/>
    <x v="58"/>
    <x v="28"/>
    <x v="41"/>
    <x v="0"/>
    <x v="5"/>
    <x v="5"/>
    <n v="0"/>
    <n v="0"/>
  </r>
  <r>
    <s v="SPAR WESTERN CAPE"/>
    <x v="0"/>
    <x v="58"/>
    <x v="58"/>
    <x v="28"/>
    <x v="41"/>
    <x v="0"/>
    <x v="6"/>
    <x v="6"/>
    <n v="0"/>
    <n v="0"/>
  </r>
  <r>
    <s v="SPAR WESTERN CAPE"/>
    <x v="0"/>
    <x v="59"/>
    <x v="59"/>
    <x v="29"/>
    <x v="42"/>
    <x v="0"/>
    <x v="0"/>
    <x v="0"/>
    <n v="0"/>
    <n v="0"/>
  </r>
  <r>
    <s v="SPAR WESTERN CAPE"/>
    <x v="0"/>
    <x v="59"/>
    <x v="59"/>
    <x v="29"/>
    <x v="42"/>
    <x v="0"/>
    <x v="1"/>
    <x v="1"/>
    <n v="0"/>
    <n v="0"/>
  </r>
  <r>
    <s v="SPAR WESTERN CAPE"/>
    <x v="0"/>
    <x v="59"/>
    <x v="59"/>
    <x v="29"/>
    <x v="42"/>
    <x v="0"/>
    <x v="2"/>
    <x v="2"/>
    <n v="0"/>
    <n v="0"/>
  </r>
  <r>
    <s v="SPAR WESTERN CAPE"/>
    <x v="0"/>
    <x v="59"/>
    <x v="59"/>
    <x v="29"/>
    <x v="42"/>
    <x v="0"/>
    <x v="3"/>
    <x v="3"/>
    <n v="0"/>
    <n v="0"/>
  </r>
  <r>
    <s v="SPAR WESTERN CAPE"/>
    <x v="0"/>
    <x v="59"/>
    <x v="59"/>
    <x v="29"/>
    <x v="42"/>
    <x v="0"/>
    <x v="4"/>
    <x v="4"/>
    <n v="0"/>
    <n v="0"/>
  </r>
  <r>
    <s v="SPAR WESTERN CAPE"/>
    <x v="0"/>
    <x v="59"/>
    <x v="59"/>
    <x v="29"/>
    <x v="42"/>
    <x v="0"/>
    <x v="5"/>
    <x v="5"/>
    <n v="0"/>
    <n v="0"/>
  </r>
  <r>
    <s v="SPAR WESTERN CAPE"/>
    <x v="0"/>
    <x v="59"/>
    <x v="59"/>
    <x v="29"/>
    <x v="42"/>
    <x v="0"/>
    <x v="6"/>
    <x v="6"/>
    <n v="0"/>
    <n v="0"/>
  </r>
  <r>
    <s v="SPAR WESTERN CAPE"/>
    <x v="0"/>
    <x v="60"/>
    <x v="60"/>
    <x v="30"/>
    <x v="43"/>
    <x v="0"/>
    <x v="0"/>
    <x v="0"/>
    <n v="0"/>
    <n v="0"/>
  </r>
  <r>
    <s v="SPAR WESTERN CAPE"/>
    <x v="0"/>
    <x v="60"/>
    <x v="60"/>
    <x v="30"/>
    <x v="43"/>
    <x v="0"/>
    <x v="1"/>
    <x v="1"/>
    <n v="0"/>
    <n v="0"/>
  </r>
  <r>
    <s v="SPAR WESTERN CAPE"/>
    <x v="0"/>
    <x v="60"/>
    <x v="60"/>
    <x v="30"/>
    <x v="43"/>
    <x v="0"/>
    <x v="2"/>
    <x v="2"/>
    <n v="0"/>
    <n v="0"/>
  </r>
  <r>
    <s v="SPAR WESTERN CAPE"/>
    <x v="0"/>
    <x v="60"/>
    <x v="60"/>
    <x v="30"/>
    <x v="43"/>
    <x v="0"/>
    <x v="3"/>
    <x v="3"/>
    <n v="0"/>
    <n v="0"/>
  </r>
  <r>
    <s v="SPAR WESTERN CAPE"/>
    <x v="0"/>
    <x v="60"/>
    <x v="60"/>
    <x v="30"/>
    <x v="43"/>
    <x v="0"/>
    <x v="4"/>
    <x v="4"/>
    <n v="0"/>
    <n v="0"/>
  </r>
  <r>
    <s v="SPAR WESTERN CAPE"/>
    <x v="0"/>
    <x v="60"/>
    <x v="60"/>
    <x v="30"/>
    <x v="43"/>
    <x v="0"/>
    <x v="5"/>
    <x v="5"/>
    <n v="0"/>
    <n v="0"/>
  </r>
  <r>
    <s v="SPAR WESTERN CAPE"/>
    <x v="0"/>
    <x v="60"/>
    <x v="60"/>
    <x v="30"/>
    <x v="43"/>
    <x v="0"/>
    <x v="6"/>
    <x v="6"/>
    <n v="0"/>
    <n v="0"/>
  </r>
  <r>
    <s v="SPAR WESTERN CAPE"/>
    <x v="0"/>
    <x v="61"/>
    <x v="61"/>
    <x v="30"/>
    <x v="44"/>
    <x v="0"/>
    <x v="0"/>
    <x v="0"/>
    <n v="0"/>
    <n v="0"/>
  </r>
  <r>
    <s v="SPAR WESTERN CAPE"/>
    <x v="0"/>
    <x v="61"/>
    <x v="61"/>
    <x v="30"/>
    <x v="44"/>
    <x v="0"/>
    <x v="1"/>
    <x v="1"/>
    <n v="0"/>
    <n v="0"/>
  </r>
  <r>
    <s v="SPAR WESTERN CAPE"/>
    <x v="0"/>
    <x v="61"/>
    <x v="61"/>
    <x v="30"/>
    <x v="44"/>
    <x v="0"/>
    <x v="2"/>
    <x v="2"/>
    <n v="0"/>
    <n v="0"/>
  </r>
  <r>
    <s v="SPAR WESTERN CAPE"/>
    <x v="0"/>
    <x v="61"/>
    <x v="61"/>
    <x v="30"/>
    <x v="44"/>
    <x v="0"/>
    <x v="3"/>
    <x v="3"/>
    <n v="0"/>
    <n v="0"/>
  </r>
  <r>
    <s v="SPAR WESTERN CAPE"/>
    <x v="0"/>
    <x v="61"/>
    <x v="61"/>
    <x v="30"/>
    <x v="44"/>
    <x v="0"/>
    <x v="4"/>
    <x v="4"/>
    <n v="0"/>
    <n v="0"/>
  </r>
  <r>
    <s v="SPAR WESTERN CAPE"/>
    <x v="0"/>
    <x v="61"/>
    <x v="61"/>
    <x v="30"/>
    <x v="44"/>
    <x v="0"/>
    <x v="5"/>
    <x v="5"/>
    <n v="0"/>
    <n v="0"/>
  </r>
  <r>
    <s v="SPAR WESTERN CAPE"/>
    <x v="0"/>
    <x v="61"/>
    <x v="61"/>
    <x v="30"/>
    <x v="44"/>
    <x v="0"/>
    <x v="6"/>
    <x v="6"/>
    <n v="0"/>
    <n v="0"/>
  </r>
  <r>
    <s v="SPAR WESTERN CAPE"/>
    <x v="0"/>
    <x v="62"/>
    <x v="62"/>
    <x v="30"/>
    <x v="43"/>
    <x v="0"/>
    <x v="0"/>
    <x v="0"/>
    <n v="0"/>
    <n v="0"/>
  </r>
  <r>
    <s v="SPAR WESTERN CAPE"/>
    <x v="0"/>
    <x v="62"/>
    <x v="62"/>
    <x v="30"/>
    <x v="43"/>
    <x v="0"/>
    <x v="1"/>
    <x v="1"/>
    <n v="0"/>
    <n v="0"/>
  </r>
  <r>
    <s v="SPAR WESTERN CAPE"/>
    <x v="0"/>
    <x v="62"/>
    <x v="62"/>
    <x v="30"/>
    <x v="43"/>
    <x v="0"/>
    <x v="2"/>
    <x v="2"/>
    <n v="0"/>
    <n v="0"/>
  </r>
  <r>
    <s v="SPAR WESTERN CAPE"/>
    <x v="0"/>
    <x v="62"/>
    <x v="62"/>
    <x v="30"/>
    <x v="43"/>
    <x v="0"/>
    <x v="3"/>
    <x v="3"/>
    <n v="0"/>
    <n v="0"/>
  </r>
  <r>
    <s v="SPAR WESTERN CAPE"/>
    <x v="0"/>
    <x v="62"/>
    <x v="62"/>
    <x v="30"/>
    <x v="43"/>
    <x v="0"/>
    <x v="4"/>
    <x v="4"/>
    <n v="0"/>
    <n v="0"/>
  </r>
  <r>
    <s v="SPAR WESTERN CAPE"/>
    <x v="0"/>
    <x v="62"/>
    <x v="62"/>
    <x v="30"/>
    <x v="43"/>
    <x v="0"/>
    <x v="5"/>
    <x v="5"/>
    <n v="0"/>
    <n v="0"/>
  </r>
  <r>
    <s v="SPAR WESTERN CAPE"/>
    <x v="0"/>
    <x v="62"/>
    <x v="62"/>
    <x v="30"/>
    <x v="43"/>
    <x v="0"/>
    <x v="6"/>
    <x v="6"/>
    <n v="0"/>
    <n v="0"/>
  </r>
  <r>
    <s v="SPAR WESTERN CAPE"/>
    <x v="0"/>
    <x v="63"/>
    <x v="63"/>
    <x v="30"/>
    <x v="43"/>
    <x v="0"/>
    <x v="0"/>
    <x v="0"/>
    <n v="0"/>
    <n v="0"/>
  </r>
  <r>
    <s v="SPAR WESTERN CAPE"/>
    <x v="0"/>
    <x v="63"/>
    <x v="63"/>
    <x v="30"/>
    <x v="43"/>
    <x v="0"/>
    <x v="1"/>
    <x v="1"/>
    <n v="0"/>
    <n v="0"/>
  </r>
  <r>
    <s v="SPAR WESTERN CAPE"/>
    <x v="0"/>
    <x v="63"/>
    <x v="63"/>
    <x v="30"/>
    <x v="43"/>
    <x v="0"/>
    <x v="2"/>
    <x v="2"/>
    <n v="0"/>
    <n v="0"/>
  </r>
  <r>
    <s v="SPAR WESTERN CAPE"/>
    <x v="0"/>
    <x v="63"/>
    <x v="63"/>
    <x v="30"/>
    <x v="43"/>
    <x v="0"/>
    <x v="3"/>
    <x v="3"/>
    <n v="0"/>
    <n v="0"/>
  </r>
  <r>
    <s v="SPAR WESTERN CAPE"/>
    <x v="0"/>
    <x v="63"/>
    <x v="63"/>
    <x v="30"/>
    <x v="43"/>
    <x v="0"/>
    <x v="4"/>
    <x v="4"/>
    <n v="0"/>
    <n v="0"/>
  </r>
  <r>
    <s v="SPAR WESTERN CAPE"/>
    <x v="0"/>
    <x v="63"/>
    <x v="63"/>
    <x v="30"/>
    <x v="43"/>
    <x v="0"/>
    <x v="5"/>
    <x v="5"/>
    <n v="0"/>
    <n v="0"/>
  </r>
  <r>
    <s v="SPAR WESTERN CAPE"/>
    <x v="0"/>
    <x v="63"/>
    <x v="63"/>
    <x v="30"/>
    <x v="43"/>
    <x v="0"/>
    <x v="6"/>
    <x v="6"/>
    <n v="0"/>
    <n v="0"/>
  </r>
  <r>
    <s v="SPAR WESTERN CAPE"/>
    <x v="0"/>
    <x v="64"/>
    <x v="64"/>
    <x v="30"/>
    <x v="43"/>
    <x v="0"/>
    <x v="0"/>
    <x v="0"/>
    <n v="0"/>
    <n v="0"/>
  </r>
  <r>
    <s v="SPAR WESTERN CAPE"/>
    <x v="0"/>
    <x v="64"/>
    <x v="64"/>
    <x v="30"/>
    <x v="43"/>
    <x v="0"/>
    <x v="1"/>
    <x v="1"/>
    <n v="0"/>
    <n v="0"/>
  </r>
  <r>
    <s v="SPAR WESTERN CAPE"/>
    <x v="0"/>
    <x v="64"/>
    <x v="64"/>
    <x v="30"/>
    <x v="43"/>
    <x v="0"/>
    <x v="2"/>
    <x v="2"/>
    <n v="0"/>
    <n v="0"/>
  </r>
  <r>
    <s v="SPAR WESTERN CAPE"/>
    <x v="0"/>
    <x v="64"/>
    <x v="64"/>
    <x v="30"/>
    <x v="43"/>
    <x v="0"/>
    <x v="3"/>
    <x v="3"/>
    <n v="0"/>
    <n v="0"/>
  </r>
  <r>
    <s v="SPAR WESTERN CAPE"/>
    <x v="0"/>
    <x v="64"/>
    <x v="64"/>
    <x v="30"/>
    <x v="43"/>
    <x v="0"/>
    <x v="4"/>
    <x v="4"/>
    <n v="0"/>
    <n v="0"/>
  </r>
  <r>
    <s v="SPAR WESTERN CAPE"/>
    <x v="0"/>
    <x v="64"/>
    <x v="64"/>
    <x v="30"/>
    <x v="43"/>
    <x v="0"/>
    <x v="5"/>
    <x v="5"/>
    <n v="0"/>
    <n v="0"/>
  </r>
  <r>
    <s v="SPAR WESTERN CAPE"/>
    <x v="0"/>
    <x v="64"/>
    <x v="64"/>
    <x v="30"/>
    <x v="43"/>
    <x v="0"/>
    <x v="6"/>
    <x v="6"/>
    <n v="0"/>
    <n v="0"/>
  </r>
  <r>
    <s v="SPAR WESTERN CAPE"/>
    <x v="0"/>
    <x v="65"/>
    <x v="65"/>
    <x v="7"/>
    <x v="45"/>
    <x v="0"/>
    <x v="0"/>
    <x v="0"/>
    <n v="0"/>
    <n v="0"/>
  </r>
  <r>
    <s v="SPAR WESTERN CAPE"/>
    <x v="0"/>
    <x v="65"/>
    <x v="65"/>
    <x v="7"/>
    <x v="45"/>
    <x v="0"/>
    <x v="1"/>
    <x v="1"/>
    <n v="0"/>
    <n v="0"/>
  </r>
  <r>
    <s v="SPAR WESTERN CAPE"/>
    <x v="0"/>
    <x v="65"/>
    <x v="65"/>
    <x v="7"/>
    <x v="45"/>
    <x v="0"/>
    <x v="2"/>
    <x v="2"/>
    <n v="0"/>
    <n v="0"/>
  </r>
  <r>
    <s v="SPAR WESTERN CAPE"/>
    <x v="0"/>
    <x v="65"/>
    <x v="65"/>
    <x v="7"/>
    <x v="45"/>
    <x v="0"/>
    <x v="3"/>
    <x v="3"/>
    <n v="0"/>
    <n v="0"/>
  </r>
  <r>
    <s v="SPAR WESTERN CAPE"/>
    <x v="0"/>
    <x v="65"/>
    <x v="65"/>
    <x v="7"/>
    <x v="45"/>
    <x v="0"/>
    <x v="4"/>
    <x v="4"/>
    <n v="0"/>
    <n v="0"/>
  </r>
  <r>
    <s v="SPAR WESTERN CAPE"/>
    <x v="0"/>
    <x v="65"/>
    <x v="65"/>
    <x v="7"/>
    <x v="45"/>
    <x v="0"/>
    <x v="5"/>
    <x v="5"/>
    <n v="0"/>
    <n v="0"/>
  </r>
  <r>
    <s v="SPAR WESTERN CAPE"/>
    <x v="0"/>
    <x v="65"/>
    <x v="65"/>
    <x v="7"/>
    <x v="45"/>
    <x v="0"/>
    <x v="6"/>
    <x v="6"/>
    <n v="0"/>
    <n v="0"/>
  </r>
  <r>
    <s v="SPAR WESTERN CAPE"/>
    <x v="0"/>
    <x v="66"/>
    <x v="66"/>
    <x v="20"/>
    <x v="46"/>
    <x v="0"/>
    <x v="0"/>
    <x v="0"/>
    <n v="0"/>
    <n v="0"/>
  </r>
  <r>
    <s v="SPAR WESTERN CAPE"/>
    <x v="0"/>
    <x v="66"/>
    <x v="66"/>
    <x v="20"/>
    <x v="46"/>
    <x v="0"/>
    <x v="1"/>
    <x v="1"/>
    <n v="0"/>
    <n v="0"/>
  </r>
  <r>
    <s v="SPAR WESTERN CAPE"/>
    <x v="0"/>
    <x v="66"/>
    <x v="66"/>
    <x v="20"/>
    <x v="46"/>
    <x v="0"/>
    <x v="2"/>
    <x v="2"/>
    <n v="0"/>
    <n v="0"/>
  </r>
  <r>
    <s v="SPAR WESTERN CAPE"/>
    <x v="0"/>
    <x v="66"/>
    <x v="66"/>
    <x v="20"/>
    <x v="46"/>
    <x v="0"/>
    <x v="3"/>
    <x v="3"/>
    <n v="0"/>
    <n v="0"/>
  </r>
  <r>
    <s v="SPAR WESTERN CAPE"/>
    <x v="0"/>
    <x v="66"/>
    <x v="66"/>
    <x v="20"/>
    <x v="46"/>
    <x v="0"/>
    <x v="4"/>
    <x v="4"/>
    <n v="0"/>
    <n v="0"/>
  </r>
  <r>
    <s v="SPAR WESTERN CAPE"/>
    <x v="0"/>
    <x v="66"/>
    <x v="66"/>
    <x v="20"/>
    <x v="46"/>
    <x v="0"/>
    <x v="5"/>
    <x v="5"/>
    <n v="0"/>
    <n v="0"/>
  </r>
  <r>
    <s v="SPAR WESTERN CAPE"/>
    <x v="0"/>
    <x v="66"/>
    <x v="66"/>
    <x v="20"/>
    <x v="46"/>
    <x v="0"/>
    <x v="6"/>
    <x v="6"/>
    <n v="0"/>
    <n v="0"/>
  </r>
  <r>
    <s v="SPAR WESTERN CAPE"/>
    <x v="0"/>
    <x v="67"/>
    <x v="67"/>
    <x v="31"/>
    <x v="47"/>
    <x v="0"/>
    <x v="0"/>
    <x v="0"/>
    <n v="0"/>
    <n v="0"/>
  </r>
  <r>
    <s v="SPAR WESTERN CAPE"/>
    <x v="0"/>
    <x v="67"/>
    <x v="67"/>
    <x v="31"/>
    <x v="47"/>
    <x v="0"/>
    <x v="1"/>
    <x v="1"/>
    <n v="0"/>
    <n v="0"/>
  </r>
  <r>
    <s v="SPAR WESTERN CAPE"/>
    <x v="0"/>
    <x v="67"/>
    <x v="67"/>
    <x v="31"/>
    <x v="47"/>
    <x v="0"/>
    <x v="2"/>
    <x v="2"/>
    <n v="0"/>
    <n v="0"/>
  </r>
  <r>
    <s v="SPAR WESTERN CAPE"/>
    <x v="0"/>
    <x v="67"/>
    <x v="67"/>
    <x v="31"/>
    <x v="47"/>
    <x v="0"/>
    <x v="3"/>
    <x v="3"/>
    <n v="0"/>
    <n v="0"/>
  </r>
  <r>
    <s v="SPAR WESTERN CAPE"/>
    <x v="0"/>
    <x v="67"/>
    <x v="67"/>
    <x v="31"/>
    <x v="47"/>
    <x v="0"/>
    <x v="4"/>
    <x v="4"/>
    <n v="0"/>
    <n v="0"/>
  </r>
  <r>
    <s v="SPAR WESTERN CAPE"/>
    <x v="0"/>
    <x v="67"/>
    <x v="67"/>
    <x v="31"/>
    <x v="47"/>
    <x v="0"/>
    <x v="5"/>
    <x v="5"/>
    <n v="0"/>
    <n v="0"/>
  </r>
  <r>
    <s v="SPAR WESTERN CAPE"/>
    <x v="0"/>
    <x v="67"/>
    <x v="67"/>
    <x v="31"/>
    <x v="47"/>
    <x v="0"/>
    <x v="6"/>
    <x v="6"/>
    <n v="0"/>
    <n v="0"/>
  </r>
  <r>
    <s v="SPAR WESTERN CAPE"/>
    <x v="0"/>
    <x v="68"/>
    <x v="68"/>
    <x v="32"/>
    <x v="48"/>
    <x v="0"/>
    <x v="0"/>
    <x v="0"/>
    <n v="0"/>
    <n v="0"/>
  </r>
  <r>
    <s v="SPAR WESTERN CAPE"/>
    <x v="0"/>
    <x v="68"/>
    <x v="68"/>
    <x v="32"/>
    <x v="48"/>
    <x v="0"/>
    <x v="1"/>
    <x v="1"/>
    <n v="0"/>
    <n v="0"/>
  </r>
  <r>
    <s v="SPAR WESTERN CAPE"/>
    <x v="0"/>
    <x v="68"/>
    <x v="68"/>
    <x v="32"/>
    <x v="48"/>
    <x v="0"/>
    <x v="2"/>
    <x v="2"/>
    <n v="0"/>
    <n v="0"/>
  </r>
  <r>
    <s v="SPAR WESTERN CAPE"/>
    <x v="0"/>
    <x v="68"/>
    <x v="68"/>
    <x v="32"/>
    <x v="48"/>
    <x v="0"/>
    <x v="3"/>
    <x v="3"/>
    <n v="0"/>
    <n v="0"/>
  </r>
  <r>
    <s v="SPAR WESTERN CAPE"/>
    <x v="0"/>
    <x v="68"/>
    <x v="68"/>
    <x v="32"/>
    <x v="48"/>
    <x v="0"/>
    <x v="4"/>
    <x v="4"/>
    <n v="0"/>
    <n v="0"/>
  </r>
  <r>
    <s v="SPAR WESTERN CAPE"/>
    <x v="0"/>
    <x v="68"/>
    <x v="68"/>
    <x v="32"/>
    <x v="48"/>
    <x v="0"/>
    <x v="5"/>
    <x v="5"/>
    <n v="0"/>
    <n v="0"/>
  </r>
  <r>
    <s v="SPAR WESTERN CAPE"/>
    <x v="0"/>
    <x v="68"/>
    <x v="68"/>
    <x v="32"/>
    <x v="48"/>
    <x v="0"/>
    <x v="6"/>
    <x v="6"/>
    <n v="0"/>
    <n v="0"/>
  </r>
  <r>
    <s v="SPAR WESTERN CAPE"/>
    <x v="0"/>
    <x v="69"/>
    <x v="69"/>
    <x v="33"/>
    <x v="49"/>
    <x v="0"/>
    <x v="0"/>
    <x v="0"/>
    <n v="0"/>
    <n v="0"/>
  </r>
  <r>
    <s v="SPAR WESTERN CAPE"/>
    <x v="0"/>
    <x v="69"/>
    <x v="69"/>
    <x v="33"/>
    <x v="49"/>
    <x v="0"/>
    <x v="1"/>
    <x v="1"/>
    <n v="0"/>
    <n v="0"/>
  </r>
  <r>
    <s v="SPAR WESTERN CAPE"/>
    <x v="0"/>
    <x v="69"/>
    <x v="69"/>
    <x v="33"/>
    <x v="49"/>
    <x v="0"/>
    <x v="2"/>
    <x v="2"/>
    <n v="0"/>
    <n v="0"/>
  </r>
  <r>
    <s v="SPAR WESTERN CAPE"/>
    <x v="0"/>
    <x v="69"/>
    <x v="69"/>
    <x v="33"/>
    <x v="49"/>
    <x v="0"/>
    <x v="3"/>
    <x v="3"/>
    <n v="0"/>
    <n v="0"/>
  </r>
  <r>
    <s v="SPAR WESTERN CAPE"/>
    <x v="0"/>
    <x v="69"/>
    <x v="69"/>
    <x v="33"/>
    <x v="49"/>
    <x v="0"/>
    <x v="4"/>
    <x v="4"/>
    <n v="0"/>
    <n v="0"/>
  </r>
  <r>
    <s v="SPAR WESTERN CAPE"/>
    <x v="0"/>
    <x v="69"/>
    <x v="69"/>
    <x v="33"/>
    <x v="49"/>
    <x v="0"/>
    <x v="5"/>
    <x v="5"/>
    <n v="0"/>
    <n v="0"/>
  </r>
  <r>
    <s v="SPAR WESTERN CAPE"/>
    <x v="0"/>
    <x v="69"/>
    <x v="69"/>
    <x v="33"/>
    <x v="49"/>
    <x v="0"/>
    <x v="6"/>
    <x v="6"/>
    <n v="0"/>
    <n v="0"/>
  </r>
  <r>
    <s v="SPAR WESTERN CAPE"/>
    <x v="0"/>
    <x v="70"/>
    <x v="70"/>
    <x v="3"/>
    <x v="50"/>
    <x v="0"/>
    <x v="0"/>
    <x v="0"/>
    <n v="0"/>
    <n v="0"/>
  </r>
  <r>
    <s v="SPAR WESTERN CAPE"/>
    <x v="0"/>
    <x v="70"/>
    <x v="70"/>
    <x v="3"/>
    <x v="50"/>
    <x v="0"/>
    <x v="1"/>
    <x v="1"/>
    <n v="0"/>
    <n v="0"/>
  </r>
  <r>
    <s v="SPAR WESTERN CAPE"/>
    <x v="0"/>
    <x v="70"/>
    <x v="70"/>
    <x v="3"/>
    <x v="50"/>
    <x v="0"/>
    <x v="2"/>
    <x v="2"/>
    <n v="0"/>
    <n v="0"/>
  </r>
  <r>
    <s v="SPAR WESTERN CAPE"/>
    <x v="0"/>
    <x v="70"/>
    <x v="70"/>
    <x v="3"/>
    <x v="50"/>
    <x v="0"/>
    <x v="3"/>
    <x v="3"/>
    <n v="0"/>
    <n v="0"/>
  </r>
  <r>
    <s v="SPAR WESTERN CAPE"/>
    <x v="0"/>
    <x v="70"/>
    <x v="70"/>
    <x v="3"/>
    <x v="50"/>
    <x v="0"/>
    <x v="4"/>
    <x v="4"/>
    <n v="0"/>
    <n v="0"/>
  </r>
  <r>
    <s v="SPAR WESTERN CAPE"/>
    <x v="0"/>
    <x v="70"/>
    <x v="70"/>
    <x v="3"/>
    <x v="50"/>
    <x v="0"/>
    <x v="5"/>
    <x v="5"/>
    <n v="0"/>
    <n v="0"/>
  </r>
  <r>
    <s v="SPAR WESTERN CAPE"/>
    <x v="0"/>
    <x v="70"/>
    <x v="70"/>
    <x v="3"/>
    <x v="50"/>
    <x v="0"/>
    <x v="6"/>
    <x v="6"/>
    <n v="0"/>
    <n v="0"/>
  </r>
  <r>
    <s v="SPAR WESTERN CAPE"/>
    <x v="0"/>
    <x v="71"/>
    <x v="71"/>
    <x v="8"/>
    <x v="51"/>
    <x v="0"/>
    <x v="0"/>
    <x v="0"/>
    <n v="0"/>
    <n v="0"/>
  </r>
  <r>
    <s v="SPAR WESTERN CAPE"/>
    <x v="0"/>
    <x v="71"/>
    <x v="71"/>
    <x v="8"/>
    <x v="51"/>
    <x v="0"/>
    <x v="1"/>
    <x v="1"/>
    <n v="0"/>
    <n v="0"/>
  </r>
  <r>
    <s v="SPAR WESTERN CAPE"/>
    <x v="0"/>
    <x v="71"/>
    <x v="71"/>
    <x v="8"/>
    <x v="51"/>
    <x v="0"/>
    <x v="2"/>
    <x v="2"/>
    <n v="0"/>
    <n v="0"/>
  </r>
  <r>
    <s v="SPAR WESTERN CAPE"/>
    <x v="0"/>
    <x v="71"/>
    <x v="71"/>
    <x v="8"/>
    <x v="51"/>
    <x v="0"/>
    <x v="3"/>
    <x v="3"/>
    <n v="0"/>
    <n v="0"/>
  </r>
  <r>
    <s v="SPAR WESTERN CAPE"/>
    <x v="0"/>
    <x v="71"/>
    <x v="71"/>
    <x v="8"/>
    <x v="51"/>
    <x v="0"/>
    <x v="4"/>
    <x v="4"/>
    <n v="0"/>
    <n v="0"/>
  </r>
  <r>
    <s v="SPAR WESTERN CAPE"/>
    <x v="0"/>
    <x v="71"/>
    <x v="71"/>
    <x v="8"/>
    <x v="51"/>
    <x v="0"/>
    <x v="5"/>
    <x v="5"/>
    <n v="0"/>
    <n v="0"/>
  </r>
  <r>
    <s v="SPAR WESTERN CAPE"/>
    <x v="0"/>
    <x v="71"/>
    <x v="71"/>
    <x v="8"/>
    <x v="51"/>
    <x v="0"/>
    <x v="6"/>
    <x v="6"/>
    <n v="0"/>
    <n v="0"/>
  </r>
  <r>
    <s v="SPAR WESTERN CAPE"/>
    <x v="0"/>
    <x v="72"/>
    <x v="72"/>
    <x v="8"/>
    <x v="52"/>
    <x v="0"/>
    <x v="0"/>
    <x v="0"/>
    <n v="0"/>
    <n v="0"/>
  </r>
  <r>
    <s v="SPAR WESTERN CAPE"/>
    <x v="0"/>
    <x v="72"/>
    <x v="72"/>
    <x v="8"/>
    <x v="52"/>
    <x v="0"/>
    <x v="1"/>
    <x v="1"/>
    <n v="0"/>
    <n v="0"/>
  </r>
  <r>
    <s v="SPAR WESTERN CAPE"/>
    <x v="0"/>
    <x v="72"/>
    <x v="72"/>
    <x v="8"/>
    <x v="52"/>
    <x v="0"/>
    <x v="2"/>
    <x v="2"/>
    <n v="0"/>
    <n v="0"/>
  </r>
  <r>
    <s v="SPAR WESTERN CAPE"/>
    <x v="0"/>
    <x v="72"/>
    <x v="72"/>
    <x v="8"/>
    <x v="52"/>
    <x v="0"/>
    <x v="3"/>
    <x v="3"/>
    <n v="0"/>
    <n v="0"/>
  </r>
  <r>
    <s v="SPAR WESTERN CAPE"/>
    <x v="0"/>
    <x v="72"/>
    <x v="72"/>
    <x v="8"/>
    <x v="52"/>
    <x v="0"/>
    <x v="4"/>
    <x v="4"/>
    <n v="0"/>
    <n v="0"/>
  </r>
  <r>
    <s v="SPAR WESTERN CAPE"/>
    <x v="0"/>
    <x v="72"/>
    <x v="72"/>
    <x v="8"/>
    <x v="52"/>
    <x v="0"/>
    <x v="5"/>
    <x v="5"/>
    <n v="0"/>
    <n v="0"/>
  </r>
  <r>
    <s v="SPAR WESTERN CAPE"/>
    <x v="0"/>
    <x v="72"/>
    <x v="72"/>
    <x v="8"/>
    <x v="52"/>
    <x v="0"/>
    <x v="6"/>
    <x v="6"/>
    <n v="0"/>
    <n v="0"/>
  </r>
  <r>
    <s v="SPAR WESTERN CAPE"/>
    <x v="0"/>
    <x v="73"/>
    <x v="73"/>
    <x v="8"/>
    <x v="52"/>
    <x v="0"/>
    <x v="0"/>
    <x v="0"/>
    <n v="0"/>
    <n v="0"/>
  </r>
  <r>
    <s v="SPAR WESTERN CAPE"/>
    <x v="0"/>
    <x v="73"/>
    <x v="73"/>
    <x v="8"/>
    <x v="52"/>
    <x v="0"/>
    <x v="1"/>
    <x v="1"/>
    <n v="0"/>
    <n v="0"/>
  </r>
  <r>
    <s v="SPAR WESTERN CAPE"/>
    <x v="0"/>
    <x v="73"/>
    <x v="73"/>
    <x v="8"/>
    <x v="52"/>
    <x v="0"/>
    <x v="2"/>
    <x v="2"/>
    <n v="0"/>
    <n v="0"/>
  </r>
  <r>
    <s v="SPAR WESTERN CAPE"/>
    <x v="0"/>
    <x v="73"/>
    <x v="73"/>
    <x v="8"/>
    <x v="52"/>
    <x v="0"/>
    <x v="3"/>
    <x v="3"/>
    <n v="0"/>
    <n v="0"/>
  </r>
  <r>
    <s v="SPAR WESTERN CAPE"/>
    <x v="0"/>
    <x v="73"/>
    <x v="73"/>
    <x v="8"/>
    <x v="52"/>
    <x v="0"/>
    <x v="4"/>
    <x v="4"/>
    <n v="0"/>
    <n v="0"/>
  </r>
  <r>
    <s v="SPAR WESTERN CAPE"/>
    <x v="0"/>
    <x v="73"/>
    <x v="73"/>
    <x v="8"/>
    <x v="52"/>
    <x v="0"/>
    <x v="5"/>
    <x v="5"/>
    <n v="0"/>
    <n v="0"/>
  </r>
  <r>
    <s v="SPAR WESTERN CAPE"/>
    <x v="0"/>
    <x v="73"/>
    <x v="73"/>
    <x v="8"/>
    <x v="52"/>
    <x v="0"/>
    <x v="6"/>
    <x v="6"/>
    <n v="0"/>
    <n v="0"/>
  </r>
  <r>
    <s v="SPAR WESTERN CAPE"/>
    <x v="0"/>
    <x v="74"/>
    <x v="74"/>
    <x v="8"/>
    <x v="52"/>
    <x v="0"/>
    <x v="0"/>
    <x v="0"/>
    <n v="0"/>
    <n v="0"/>
  </r>
  <r>
    <s v="SPAR WESTERN CAPE"/>
    <x v="0"/>
    <x v="74"/>
    <x v="74"/>
    <x v="8"/>
    <x v="52"/>
    <x v="0"/>
    <x v="1"/>
    <x v="1"/>
    <n v="0"/>
    <n v="0"/>
  </r>
  <r>
    <s v="SPAR WESTERN CAPE"/>
    <x v="0"/>
    <x v="74"/>
    <x v="74"/>
    <x v="8"/>
    <x v="52"/>
    <x v="0"/>
    <x v="2"/>
    <x v="2"/>
    <n v="0"/>
    <n v="0"/>
  </r>
  <r>
    <s v="SPAR WESTERN CAPE"/>
    <x v="0"/>
    <x v="74"/>
    <x v="74"/>
    <x v="8"/>
    <x v="52"/>
    <x v="0"/>
    <x v="3"/>
    <x v="3"/>
    <n v="0"/>
    <n v="0"/>
  </r>
  <r>
    <s v="SPAR WESTERN CAPE"/>
    <x v="0"/>
    <x v="74"/>
    <x v="74"/>
    <x v="8"/>
    <x v="52"/>
    <x v="0"/>
    <x v="4"/>
    <x v="4"/>
    <n v="0"/>
    <n v="0"/>
  </r>
  <r>
    <s v="SPAR WESTERN CAPE"/>
    <x v="0"/>
    <x v="74"/>
    <x v="74"/>
    <x v="8"/>
    <x v="52"/>
    <x v="0"/>
    <x v="5"/>
    <x v="5"/>
    <n v="0"/>
    <n v="0"/>
  </r>
  <r>
    <s v="SPAR WESTERN CAPE"/>
    <x v="0"/>
    <x v="74"/>
    <x v="74"/>
    <x v="8"/>
    <x v="52"/>
    <x v="0"/>
    <x v="6"/>
    <x v="6"/>
    <n v="0"/>
    <n v="0"/>
  </r>
  <r>
    <s v="SPAR WESTERN CAPE"/>
    <x v="0"/>
    <x v="75"/>
    <x v="75"/>
    <x v="13"/>
    <x v="53"/>
    <x v="0"/>
    <x v="0"/>
    <x v="0"/>
    <n v="0"/>
    <n v="0"/>
  </r>
  <r>
    <s v="SPAR WESTERN CAPE"/>
    <x v="0"/>
    <x v="75"/>
    <x v="75"/>
    <x v="13"/>
    <x v="53"/>
    <x v="0"/>
    <x v="1"/>
    <x v="1"/>
    <n v="0"/>
    <n v="0"/>
  </r>
  <r>
    <s v="SPAR WESTERN CAPE"/>
    <x v="0"/>
    <x v="75"/>
    <x v="75"/>
    <x v="13"/>
    <x v="53"/>
    <x v="0"/>
    <x v="2"/>
    <x v="2"/>
    <n v="0"/>
    <n v="0"/>
  </r>
  <r>
    <s v="SPAR WESTERN CAPE"/>
    <x v="0"/>
    <x v="75"/>
    <x v="75"/>
    <x v="13"/>
    <x v="53"/>
    <x v="0"/>
    <x v="3"/>
    <x v="3"/>
    <n v="0"/>
    <n v="0"/>
  </r>
  <r>
    <s v="SPAR WESTERN CAPE"/>
    <x v="0"/>
    <x v="75"/>
    <x v="75"/>
    <x v="13"/>
    <x v="53"/>
    <x v="0"/>
    <x v="4"/>
    <x v="4"/>
    <n v="0"/>
    <n v="0"/>
  </r>
  <r>
    <s v="SPAR WESTERN CAPE"/>
    <x v="0"/>
    <x v="75"/>
    <x v="75"/>
    <x v="13"/>
    <x v="53"/>
    <x v="0"/>
    <x v="5"/>
    <x v="5"/>
    <n v="0"/>
    <n v="0"/>
  </r>
  <r>
    <s v="SPAR WESTERN CAPE"/>
    <x v="0"/>
    <x v="75"/>
    <x v="75"/>
    <x v="13"/>
    <x v="53"/>
    <x v="0"/>
    <x v="6"/>
    <x v="6"/>
    <n v="0"/>
    <n v="0"/>
  </r>
  <r>
    <s v="SPAR WESTERN CAPE"/>
    <x v="0"/>
    <x v="76"/>
    <x v="76"/>
    <x v="13"/>
    <x v="53"/>
    <x v="0"/>
    <x v="0"/>
    <x v="0"/>
    <n v="0"/>
    <n v="0"/>
  </r>
  <r>
    <s v="SPAR WESTERN CAPE"/>
    <x v="0"/>
    <x v="76"/>
    <x v="76"/>
    <x v="13"/>
    <x v="53"/>
    <x v="0"/>
    <x v="2"/>
    <x v="2"/>
    <n v="0"/>
    <n v="0"/>
  </r>
  <r>
    <s v="SPAR WESTERN CAPE"/>
    <x v="0"/>
    <x v="76"/>
    <x v="76"/>
    <x v="13"/>
    <x v="53"/>
    <x v="0"/>
    <x v="3"/>
    <x v="3"/>
    <n v="0"/>
    <n v="0"/>
  </r>
  <r>
    <s v="SPAR WESTERN CAPE"/>
    <x v="0"/>
    <x v="76"/>
    <x v="76"/>
    <x v="13"/>
    <x v="53"/>
    <x v="0"/>
    <x v="4"/>
    <x v="4"/>
    <n v="0"/>
    <n v="0"/>
  </r>
  <r>
    <s v="SPAR WESTERN CAPE"/>
    <x v="0"/>
    <x v="76"/>
    <x v="76"/>
    <x v="13"/>
    <x v="53"/>
    <x v="0"/>
    <x v="5"/>
    <x v="5"/>
    <n v="0"/>
    <n v="0"/>
  </r>
  <r>
    <s v="SPAR WESTERN CAPE"/>
    <x v="0"/>
    <x v="76"/>
    <x v="76"/>
    <x v="13"/>
    <x v="53"/>
    <x v="0"/>
    <x v="6"/>
    <x v="6"/>
    <n v="0"/>
    <n v="0"/>
  </r>
  <r>
    <s v="SPAR WESTERN CAPE"/>
    <x v="0"/>
    <x v="77"/>
    <x v="77"/>
    <x v="13"/>
    <x v="53"/>
    <x v="0"/>
    <x v="0"/>
    <x v="0"/>
    <n v="0"/>
    <n v="0"/>
  </r>
  <r>
    <s v="SPAR WESTERN CAPE"/>
    <x v="0"/>
    <x v="77"/>
    <x v="77"/>
    <x v="13"/>
    <x v="53"/>
    <x v="0"/>
    <x v="1"/>
    <x v="1"/>
    <n v="0"/>
    <n v="0"/>
  </r>
  <r>
    <s v="SPAR WESTERN CAPE"/>
    <x v="0"/>
    <x v="77"/>
    <x v="77"/>
    <x v="13"/>
    <x v="53"/>
    <x v="0"/>
    <x v="2"/>
    <x v="2"/>
    <n v="0"/>
    <n v="0"/>
  </r>
  <r>
    <s v="SPAR WESTERN CAPE"/>
    <x v="0"/>
    <x v="77"/>
    <x v="77"/>
    <x v="13"/>
    <x v="53"/>
    <x v="0"/>
    <x v="3"/>
    <x v="3"/>
    <n v="0"/>
    <n v="0"/>
  </r>
  <r>
    <s v="SPAR WESTERN CAPE"/>
    <x v="0"/>
    <x v="77"/>
    <x v="77"/>
    <x v="13"/>
    <x v="53"/>
    <x v="0"/>
    <x v="4"/>
    <x v="4"/>
    <n v="0"/>
    <n v="0"/>
  </r>
  <r>
    <s v="SPAR WESTERN CAPE"/>
    <x v="0"/>
    <x v="77"/>
    <x v="77"/>
    <x v="13"/>
    <x v="53"/>
    <x v="0"/>
    <x v="5"/>
    <x v="5"/>
    <n v="0"/>
    <n v="0"/>
  </r>
  <r>
    <s v="SPAR WESTERN CAPE"/>
    <x v="0"/>
    <x v="77"/>
    <x v="77"/>
    <x v="13"/>
    <x v="53"/>
    <x v="0"/>
    <x v="6"/>
    <x v="6"/>
    <n v="0"/>
    <n v="0"/>
  </r>
  <r>
    <s v="SPAR WESTERN CAPE"/>
    <x v="0"/>
    <x v="78"/>
    <x v="78"/>
    <x v="13"/>
    <x v="53"/>
    <x v="0"/>
    <x v="0"/>
    <x v="0"/>
    <n v="0"/>
    <n v="0"/>
  </r>
  <r>
    <s v="SPAR WESTERN CAPE"/>
    <x v="0"/>
    <x v="78"/>
    <x v="78"/>
    <x v="13"/>
    <x v="53"/>
    <x v="0"/>
    <x v="1"/>
    <x v="1"/>
    <n v="0"/>
    <n v="0"/>
  </r>
  <r>
    <s v="SPAR WESTERN CAPE"/>
    <x v="0"/>
    <x v="78"/>
    <x v="78"/>
    <x v="13"/>
    <x v="53"/>
    <x v="0"/>
    <x v="2"/>
    <x v="2"/>
    <n v="0"/>
    <n v="0"/>
  </r>
  <r>
    <s v="SPAR WESTERN CAPE"/>
    <x v="0"/>
    <x v="78"/>
    <x v="78"/>
    <x v="13"/>
    <x v="53"/>
    <x v="0"/>
    <x v="3"/>
    <x v="3"/>
    <n v="0"/>
    <n v="0"/>
  </r>
  <r>
    <s v="SPAR WESTERN CAPE"/>
    <x v="0"/>
    <x v="78"/>
    <x v="78"/>
    <x v="13"/>
    <x v="53"/>
    <x v="0"/>
    <x v="4"/>
    <x v="4"/>
    <n v="0"/>
    <n v="0"/>
  </r>
  <r>
    <s v="SPAR WESTERN CAPE"/>
    <x v="0"/>
    <x v="78"/>
    <x v="78"/>
    <x v="13"/>
    <x v="53"/>
    <x v="0"/>
    <x v="5"/>
    <x v="5"/>
    <n v="0"/>
    <n v="0"/>
  </r>
  <r>
    <s v="SPAR WESTERN CAPE"/>
    <x v="0"/>
    <x v="78"/>
    <x v="78"/>
    <x v="13"/>
    <x v="53"/>
    <x v="0"/>
    <x v="6"/>
    <x v="6"/>
    <n v="0"/>
    <n v="0"/>
  </r>
  <r>
    <s v="SPAR WESTERN CAPE"/>
    <x v="0"/>
    <x v="79"/>
    <x v="79"/>
    <x v="34"/>
    <x v="54"/>
    <x v="0"/>
    <x v="0"/>
    <x v="0"/>
    <n v="0"/>
    <n v="0"/>
  </r>
  <r>
    <s v="SPAR WESTERN CAPE"/>
    <x v="0"/>
    <x v="79"/>
    <x v="79"/>
    <x v="34"/>
    <x v="54"/>
    <x v="0"/>
    <x v="1"/>
    <x v="1"/>
    <n v="0"/>
    <n v="0"/>
  </r>
  <r>
    <s v="SPAR WESTERN CAPE"/>
    <x v="0"/>
    <x v="79"/>
    <x v="79"/>
    <x v="34"/>
    <x v="54"/>
    <x v="0"/>
    <x v="2"/>
    <x v="2"/>
    <n v="0"/>
    <n v="0"/>
  </r>
  <r>
    <s v="SPAR WESTERN CAPE"/>
    <x v="0"/>
    <x v="79"/>
    <x v="79"/>
    <x v="34"/>
    <x v="54"/>
    <x v="0"/>
    <x v="3"/>
    <x v="3"/>
    <n v="0"/>
    <n v="0"/>
  </r>
  <r>
    <s v="SPAR WESTERN CAPE"/>
    <x v="0"/>
    <x v="79"/>
    <x v="79"/>
    <x v="34"/>
    <x v="54"/>
    <x v="0"/>
    <x v="4"/>
    <x v="4"/>
    <n v="0"/>
    <n v="0"/>
  </r>
  <r>
    <s v="SPAR WESTERN CAPE"/>
    <x v="0"/>
    <x v="79"/>
    <x v="79"/>
    <x v="34"/>
    <x v="54"/>
    <x v="0"/>
    <x v="5"/>
    <x v="5"/>
    <n v="0"/>
    <n v="0"/>
  </r>
  <r>
    <s v="SPAR WESTERN CAPE"/>
    <x v="0"/>
    <x v="79"/>
    <x v="79"/>
    <x v="34"/>
    <x v="54"/>
    <x v="0"/>
    <x v="6"/>
    <x v="6"/>
    <n v="0"/>
    <n v="0"/>
  </r>
  <r>
    <s v="SPAR WESTERN CAPE"/>
    <x v="0"/>
    <x v="80"/>
    <x v="80"/>
    <x v="32"/>
    <x v="55"/>
    <x v="0"/>
    <x v="0"/>
    <x v="0"/>
    <n v="0"/>
    <n v="0"/>
  </r>
  <r>
    <s v="SPAR WESTERN CAPE"/>
    <x v="0"/>
    <x v="80"/>
    <x v="80"/>
    <x v="32"/>
    <x v="55"/>
    <x v="0"/>
    <x v="5"/>
    <x v="5"/>
    <n v="0"/>
    <n v="0"/>
  </r>
  <r>
    <s v="SPAR WESTERN CAPE"/>
    <x v="0"/>
    <x v="80"/>
    <x v="80"/>
    <x v="32"/>
    <x v="55"/>
    <x v="0"/>
    <x v="6"/>
    <x v="6"/>
    <n v="0"/>
    <n v="0"/>
  </r>
  <r>
    <s v="SPAR WESTERN CAPE"/>
    <x v="0"/>
    <x v="81"/>
    <x v="81"/>
    <x v="35"/>
    <x v="56"/>
    <x v="0"/>
    <x v="0"/>
    <x v="0"/>
    <n v="0"/>
    <n v="0"/>
  </r>
  <r>
    <s v="SPAR WESTERN CAPE"/>
    <x v="0"/>
    <x v="81"/>
    <x v="81"/>
    <x v="35"/>
    <x v="56"/>
    <x v="0"/>
    <x v="1"/>
    <x v="1"/>
    <n v="0"/>
    <n v="0"/>
  </r>
  <r>
    <s v="SPAR WESTERN CAPE"/>
    <x v="0"/>
    <x v="81"/>
    <x v="81"/>
    <x v="35"/>
    <x v="56"/>
    <x v="0"/>
    <x v="2"/>
    <x v="2"/>
    <n v="0"/>
    <n v="0"/>
  </r>
  <r>
    <s v="SPAR WESTERN CAPE"/>
    <x v="0"/>
    <x v="81"/>
    <x v="81"/>
    <x v="35"/>
    <x v="56"/>
    <x v="0"/>
    <x v="3"/>
    <x v="3"/>
    <n v="0"/>
    <n v="0"/>
  </r>
  <r>
    <s v="SPAR WESTERN CAPE"/>
    <x v="0"/>
    <x v="81"/>
    <x v="81"/>
    <x v="35"/>
    <x v="56"/>
    <x v="0"/>
    <x v="4"/>
    <x v="4"/>
    <n v="0"/>
    <n v="0"/>
  </r>
  <r>
    <s v="SPAR WESTERN CAPE"/>
    <x v="0"/>
    <x v="81"/>
    <x v="81"/>
    <x v="35"/>
    <x v="56"/>
    <x v="0"/>
    <x v="5"/>
    <x v="5"/>
    <n v="0"/>
    <n v="0"/>
  </r>
  <r>
    <s v="SPAR WESTERN CAPE"/>
    <x v="0"/>
    <x v="81"/>
    <x v="81"/>
    <x v="35"/>
    <x v="56"/>
    <x v="0"/>
    <x v="6"/>
    <x v="6"/>
    <n v="0"/>
    <n v="0"/>
  </r>
  <r>
    <s v="SPAR WESTERN CAPE"/>
    <x v="0"/>
    <x v="82"/>
    <x v="82"/>
    <x v="21"/>
    <x v="57"/>
    <x v="0"/>
    <x v="0"/>
    <x v="0"/>
    <n v="0"/>
    <n v="0"/>
  </r>
  <r>
    <s v="SPAR WESTERN CAPE"/>
    <x v="0"/>
    <x v="82"/>
    <x v="82"/>
    <x v="21"/>
    <x v="57"/>
    <x v="0"/>
    <x v="1"/>
    <x v="1"/>
    <n v="0"/>
    <n v="0"/>
  </r>
  <r>
    <s v="SPAR WESTERN CAPE"/>
    <x v="0"/>
    <x v="82"/>
    <x v="82"/>
    <x v="21"/>
    <x v="57"/>
    <x v="0"/>
    <x v="2"/>
    <x v="2"/>
    <n v="0"/>
    <n v="0"/>
  </r>
  <r>
    <s v="SPAR WESTERN CAPE"/>
    <x v="0"/>
    <x v="82"/>
    <x v="82"/>
    <x v="21"/>
    <x v="57"/>
    <x v="0"/>
    <x v="3"/>
    <x v="3"/>
    <n v="0"/>
    <n v="0"/>
  </r>
  <r>
    <s v="SPAR WESTERN CAPE"/>
    <x v="0"/>
    <x v="82"/>
    <x v="82"/>
    <x v="21"/>
    <x v="57"/>
    <x v="0"/>
    <x v="4"/>
    <x v="4"/>
    <n v="0"/>
    <n v="0"/>
  </r>
  <r>
    <s v="SPAR WESTERN CAPE"/>
    <x v="0"/>
    <x v="82"/>
    <x v="82"/>
    <x v="21"/>
    <x v="57"/>
    <x v="0"/>
    <x v="5"/>
    <x v="5"/>
    <n v="0"/>
    <n v="0"/>
  </r>
  <r>
    <s v="SPAR WESTERN CAPE"/>
    <x v="0"/>
    <x v="82"/>
    <x v="82"/>
    <x v="21"/>
    <x v="57"/>
    <x v="0"/>
    <x v="6"/>
    <x v="6"/>
    <n v="0"/>
    <n v="0"/>
  </r>
  <r>
    <s v="SPAR WESTERN CAPE"/>
    <x v="0"/>
    <x v="83"/>
    <x v="83"/>
    <x v="36"/>
    <x v="58"/>
    <x v="0"/>
    <x v="0"/>
    <x v="0"/>
    <n v="0"/>
    <n v="0"/>
  </r>
  <r>
    <s v="SPAR WESTERN CAPE"/>
    <x v="0"/>
    <x v="83"/>
    <x v="83"/>
    <x v="36"/>
    <x v="58"/>
    <x v="0"/>
    <x v="1"/>
    <x v="1"/>
    <n v="0"/>
    <n v="0"/>
  </r>
  <r>
    <s v="SPAR WESTERN CAPE"/>
    <x v="0"/>
    <x v="83"/>
    <x v="83"/>
    <x v="36"/>
    <x v="58"/>
    <x v="0"/>
    <x v="2"/>
    <x v="2"/>
    <n v="0"/>
    <n v="0"/>
  </r>
  <r>
    <s v="SPAR WESTERN CAPE"/>
    <x v="0"/>
    <x v="83"/>
    <x v="83"/>
    <x v="36"/>
    <x v="58"/>
    <x v="0"/>
    <x v="3"/>
    <x v="3"/>
    <n v="0"/>
    <n v="0"/>
  </r>
  <r>
    <s v="SPAR WESTERN CAPE"/>
    <x v="0"/>
    <x v="83"/>
    <x v="83"/>
    <x v="36"/>
    <x v="58"/>
    <x v="0"/>
    <x v="4"/>
    <x v="4"/>
    <n v="0"/>
    <n v="0"/>
  </r>
  <r>
    <s v="SPAR WESTERN CAPE"/>
    <x v="0"/>
    <x v="83"/>
    <x v="83"/>
    <x v="36"/>
    <x v="58"/>
    <x v="0"/>
    <x v="5"/>
    <x v="5"/>
    <n v="0"/>
    <n v="0"/>
  </r>
  <r>
    <s v="SPAR WESTERN CAPE"/>
    <x v="0"/>
    <x v="83"/>
    <x v="83"/>
    <x v="36"/>
    <x v="58"/>
    <x v="0"/>
    <x v="6"/>
    <x v="6"/>
    <n v="0"/>
    <n v="0"/>
  </r>
  <r>
    <s v="SPAR WESTERN CAPE"/>
    <x v="1"/>
    <x v="84"/>
    <x v="84"/>
    <x v="22"/>
    <x v="59"/>
    <x v="0"/>
    <x v="1"/>
    <x v="1"/>
    <n v="0"/>
    <n v="0"/>
  </r>
  <r>
    <s v="SPAR WESTERN CAPE"/>
    <x v="1"/>
    <x v="84"/>
    <x v="84"/>
    <x v="22"/>
    <x v="59"/>
    <x v="0"/>
    <x v="2"/>
    <x v="2"/>
    <n v="0"/>
    <n v="0"/>
  </r>
  <r>
    <s v="SPAR WESTERN CAPE"/>
    <x v="1"/>
    <x v="84"/>
    <x v="84"/>
    <x v="22"/>
    <x v="59"/>
    <x v="0"/>
    <x v="3"/>
    <x v="3"/>
    <n v="0"/>
    <n v="0"/>
  </r>
  <r>
    <s v="SPAR WESTERN CAPE"/>
    <x v="1"/>
    <x v="84"/>
    <x v="84"/>
    <x v="22"/>
    <x v="59"/>
    <x v="0"/>
    <x v="4"/>
    <x v="4"/>
    <n v="0"/>
    <n v="0"/>
  </r>
  <r>
    <s v="SPAR WESTERN CAPE"/>
    <x v="1"/>
    <x v="84"/>
    <x v="84"/>
    <x v="22"/>
    <x v="59"/>
    <x v="0"/>
    <x v="5"/>
    <x v="5"/>
    <n v="0"/>
    <n v="0"/>
  </r>
  <r>
    <s v="SPAR WESTERN CAPE"/>
    <x v="1"/>
    <x v="85"/>
    <x v="85"/>
    <x v="37"/>
    <x v="60"/>
    <x v="0"/>
    <x v="3"/>
    <x v="3"/>
    <n v="0"/>
    <n v="0"/>
  </r>
  <r>
    <s v="SPAR WESTERN CAPE"/>
    <x v="1"/>
    <x v="85"/>
    <x v="85"/>
    <x v="37"/>
    <x v="60"/>
    <x v="0"/>
    <x v="4"/>
    <x v="4"/>
    <n v="0"/>
    <n v="0"/>
  </r>
  <r>
    <s v="SPAR WESTERN CAPE"/>
    <x v="1"/>
    <x v="86"/>
    <x v="86"/>
    <x v="23"/>
    <x v="61"/>
    <x v="0"/>
    <x v="0"/>
    <x v="0"/>
    <n v="0"/>
    <n v="0"/>
  </r>
  <r>
    <s v="SPAR WESTERN CAPE"/>
    <x v="1"/>
    <x v="86"/>
    <x v="86"/>
    <x v="23"/>
    <x v="61"/>
    <x v="0"/>
    <x v="3"/>
    <x v="3"/>
    <n v="0"/>
    <n v="0"/>
  </r>
  <r>
    <s v="SPAR WESTERN CAPE"/>
    <x v="1"/>
    <x v="86"/>
    <x v="86"/>
    <x v="23"/>
    <x v="61"/>
    <x v="0"/>
    <x v="4"/>
    <x v="4"/>
    <n v="0"/>
    <n v="0"/>
  </r>
  <r>
    <s v="SPAR WESTERN CAPE"/>
    <x v="1"/>
    <x v="86"/>
    <x v="86"/>
    <x v="23"/>
    <x v="61"/>
    <x v="0"/>
    <x v="5"/>
    <x v="5"/>
    <n v="0"/>
    <n v="0"/>
  </r>
  <r>
    <s v="SPAR WESTERN CAPE"/>
    <x v="1"/>
    <x v="87"/>
    <x v="87"/>
    <x v="38"/>
    <x v="62"/>
    <x v="0"/>
    <x v="0"/>
    <x v="0"/>
    <n v="0"/>
    <n v="0"/>
  </r>
  <r>
    <s v="SPAR WESTERN CAPE"/>
    <x v="1"/>
    <x v="87"/>
    <x v="87"/>
    <x v="38"/>
    <x v="62"/>
    <x v="0"/>
    <x v="2"/>
    <x v="2"/>
    <n v="0"/>
    <n v="0"/>
  </r>
  <r>
    <s v="SPAR WESTERN CAPE"/>
    <x v="1"/>
    <x v="87"/>
    <x v="87"/>
    <x v="38"/>
    <x v="62"/>
    <x v="0"/>
    <x v="3"/>
    <x v="3"/>
    <n v="0"/>
    <n v="0"/>
  </r>
  <r>
    <s v="SPAR WESTERN CAPE"/>
    <x v="1"/>
    <x v="87"/>
    <x v="87"/>
    <x v="38"/>
    <x v="62"/>
    <x v="0"/>
    <x v="4"/>
    <x v="4"/>
    <n v="0"/>
    <n v="0"/>
  </r>
  <r>
    <s v="SPAR WESTERN CAPE"/>
    <x v="1"/>
    <x v="87"/>
    <x v="87"/>
    <x v="38"/>
    <x v="62"/>
    <x v="0"/>
    <x v="5"/>
    <x v="5"/>
    <n v="0"/>
    <n v="0"/>
  </r>
  <r>
    <s v="SPAR WESTERN CAPE"/>
    <x v="1"/>
    <x v="88"/>
    <x v="88"/>
    <x v="2"/>
    <x v="6"/>
    <x v="0"/>
    <x v="0"/>
    <x v="0"/>
    <n v="0"/>
    <n v="0"/>
  </r>
  <r>
    <s v="SPAR WESTERN CAPE"/>
    <x v="1"/>
    <x v="88"/>
    <x v="88"/>
    <x v="2"/>
    <x v="6"/>
    <x v="0"/>
    <x v="1"/>
    <x v="1"/>
    <n v="0"/>
    <n v="0"/>
  </r>
  <r>
    <s v="SPAR WESTERN CAPE"/>
    <x v="1"/>
    <x v="88"/>
    <x v="88"/>
    <x v="2"/>
    <x v="6"/>
    <x v="0"/>
    <x v="2"/>
    <x v="2"/>
    <n v="0"/>
    <n v="0"/>
  </r>
  <r>
    <s v="SPAR WESTERN CAPE"/>
    <x v="1"/>
    <x v="88"/>
    <x v="88"/>
    <x v="2"/>
    <x v="6"/>
    <x v="0"/>
    <x v="3"/>
    <x v="3"/>
    <n v="0"/>
    <n v="0"/>
  </r>
  <r>
    <s v="SPAR WESTERN CAPE"/>
    <x v="1"/>
    <x v="88"/>
    <x v="88"/>
    <x v="2"/>
    <x v="6"/>
    <x v="0"/>
    <x v="4"/>
    <x v="4"/>
    <n v="0"/>
    <n v="0"/>
  </r>
  <r>
    <s v="SPAR WESTERN CAPE"/>
    <x v="1"/>
    <x v="88"/>
    <x v="88"/>
    <x v="2"/>
    <x v="6"/>
    <x v="0"/>
    <x v="5"/>
    <x v="5"/>
    <n v="0"/>
    <n v="0"/>
  </r>
  <r>
    <s v="SPAR WESTERN CAPE"/>
    <x v="1"/>
    <x v="88"/>
    <x v="88"/>
    <x v="2"/>
    <x v="6"/>
    <x v="0"/>
    <x v="6"/>
    <x v="6"/>
    <n v="0"/>
    <n v="0"/>
  </r>
  <r>
    <s v="SPAR WESTERN CAPE"/>
    <x v="1"/>
    <x v="89"/>
    <x v="89"/>
    <x v="20"/>
    <x v="63"/>
    <x v="0"/>
    <x v="0"/>
    <x v="0"/>
    <n v="0"/>
    <n v="0"/>
  </r>
  <r>
    <s v="SPAR WESTERN CAPE"/>
    <x v="1"/>
    <x v="89"/>
    <x v="89"/>
    <x v="20"/>
    <x v="63"/>
    <x v="0"/>
    <x v="1"/>
    <x v="1"/>
    <n v="0"/>
    <n v="0"/>
  </r>
  <r>
    <s v="SPAR WESTERN CAPE"/>
    <x v="1"/>
    <x v="89"/>
    <x v="89"/>
    <x v="20"/>
    <x v="63"/>
    <x v="0"/>
    <x v="2"/>
    <x v="2"/>
    <n v="0"/>
    <n v="0"/>
  </r>
  <r>
    <s v="SPAR WESTERN CAPE"/>
    <x v="1"/>
    <x v="89"/>
    <x v="89"/>
    <x v="20"/>
    <x v="63"/>
    <x v="0"/>
    <x v="3"/>
    <x v="3"/>
    <n v="0"/>
    <n v="0"/>
  </r>
  <r>
    <s v="SPAR WESTERN CAPE"/>
    <x v="1"/>
    <x v="89"/>
    <x v="89"/>
    <x v="20"/>
    <x v="63"/>
    <x v="0"/>
    <x v="4"/>
    <x v="4"/>
    <n v="0"/>
    <n v="0"/>
  </r>
  <r>
    <s v="SPAR WESTERN CAPE"/>
    <x v="1"/>
    <x v="89"/>
    <x v="89"/>
    <x v="20"/>
    <x v="63"/>
    <x v="0"/>
    <x v="5"/>
    <x v="5"/>
    <n v="0"/>
    <n v="0"/>
  </r>
  <r>
    <s v="SPAR WESTERN CAPE"/>
    <x v="1"/>
    <x v="89"/>
    <x v="89"/>
    <x v="20"/>
    <x v="63"/>
    <x v="0"/>
    <x v="6"/>
    <x v="6"/>
    <n v="0"/>
    <n v="0"/>
  </r>
  <r>
    <s v="SPAR WESTERN CAPE"/>
    <x v="1"/>
    <x v="90"/>
    <x v="90"/>
    <x v="0"/>
    <x v="64"/>
    <x v="0"/>
    <x v="0"/>
    <x v="0"/>
    <n v="0"/>
    <n v="0"/>
  </r>
  <r>
    <s v="SPAR WESTERN CAPE"/>
    <x v="1"/>
    <x v="90"/>
    <x v="90"/>
    <x v="0"/>
    <x v="64"/>
    <x v="0"/>
    <x v="1"/>
    <x v="1"/>
    <n v="0"/>
    <n v="0"/>
  </r>
  <r>
    <s v="SPAR WESTERN CAPE"/>
    <x v="1"/>
    <x v="90"/>
    <x v="90"/>
    <x v="0"/>
    <x v="64"/>
    <x v="0"/>
    <x v="2"/>
    <x v="2"/>
    <n v="0"/>
    <n v="0"/>
  </r>
  <r>
    <s v="SPAR WESTERN CAPE"/>
    <x v="1"/>
    <x v="90"/>
    <x v="90"/>
    <x v="0"/>
    <x v="64"/>
    <x v="0"/>
    <x v="3"/>
    <x v="3"/>
    <n v="0"/>
    <n v="0"/>
  </r>
  <r>
    <s v="SPAR WESTERN CAPE"/>
    <x v="1"/>
    <x v="90"/>
    <x v="90"/>
    <x v="0"/>
    <x v="64"/>
    <x v="0"/>
    <x v="4"/>
    <x v="4"/>
    <n v="0"/>
    <n v="0"/>
  </r>
  <r>
    <s v="SPAR WESTERN CAPE"/>
    <x v="1"/>
    <x v="90"/>
    <x v="90"/>
    <x v="0"/>
    <x v="64"/>
    <x v="0"/>
    <x v="5"/>
    <x v="5"/>
    <n v="0"/>
    <n v="0"/>
  </r>
  <r>
    <s v="SPAR WESTERN CAPE"/>
    <x v="1"/>
    <x v="90"/>
    <x v="90"/>
    <x v="0"/>
    <x v="64"/>
    <x v="0"/>
    <x v="6"/>
    <x v="6"/>
    <n v="0"/>
    <n v="0"/>
  </r>
  <r>
    <s v="SPAR WESTERN CAPE"/>
    <x v="1"/>
    <x v="91"/>
    <x v="91"/>
    <x v="39"/>
    <x v="65"/>
    <x v="0"/>
    <x v="0"/>
    <x v="0"/>
    <n v="0"/>
    <n v="0"/>
  </r>
  <r>
    <s v="SPAR WESTERN CAPE"/>
    <x v="1"/>
    <x v="91"/>
    <x v="91"/>
    <x v="39"/>
    <x v="65"/>
    <x v="0"/>
    <x v="1"/>
    <x v="1"/>
    <n v="0"/>
    <n v="0"/>
  </r>
  <r>
    <s v="SPAR WESTERN CAPE"/>
    <x v="1"/>
    <x v="91"/>
    <x v="91"/>
    <x v="39"/>
    <x v="65"/>
    <x v="0"/>
    <x v="2"/>
    <x v="2"/>
    <n v="0"/>
    <n v="0"/>
  </r>
  <r>
    <s v="SPAR WESTERN CAPE"/>
    <x v="1"/>
    <x v="91"/>
    <x v="91"/>
    <x v="39"/>
    <x v="65"/>
    <x v="0"/>
    <x v="3"/>
    <x v="3"/>
    <n v="0"/>
    <n v="0"/>
  </r>
  <r>
    <s v="SPAR WESTERN CAPE"/>
    <x v="1"/>
    <x v="91"/>
    <x v="91"/>
    <x v="39"/>
    <x v="65"/>
    <x v="0"/>
    <x v="4"/>
    <x v="4"/>
    <n v="0"/>
    <n v="0"/>
  </r>
  <r>
    <s v="SPAR WESTERN CAPE"/>
    <x v="1"/>
    <x v="91"/>
    <x v="91"/>
    <x v="39"/>
    <x v="65"/>
    <x v="0"/>
    <x v="5"/>
    <x v="5"/>
    <n v="0"/>
    <n v="0"/>
  </r>
  <r>
    <s v="SPAR WESTERN CAPE"/>
    <x v="1"/>
    <x v="91"/>
    <x v="91"/>
    <x v="39"/>
    <x v="65"/>
    <x v="0"/>
    <x v="6"/>
    <x v="6"/>
    <n v="0"/>
    <n v="0"/>
  </r>
  <r>
    <s v="SPAR WESTERN CAPE"/>
    <x v="1"/>
    <x v="92"/>
    <x v="92"/>
    <x v="17"/>
    <x v="66"/>
    <x v="0"/>
    <x v="0"/>
    <x v="0"/>
    <n v="0"/>
    <n v="0"/>
  </r>
  <r>
    <s v="SPAR WESTERN CAPE"/>
    <x v="1"/>
    <x v="92"/>
    <x v="92"/>
    <x v="17"/>
    <x v="66"/>
    <x v="0"/>
    <x v="1"/>
    <x v="1"/>
    <n v="0"/>
    <n v="0"/>
  </r>
  <r>
    <s v="SPAR WESTERN CAPE"/>
    <x v="1"/>
    <x v="92"/>
    <x v="92"/>
    <x v="17"/>
    <x v="66"/>
    <x v="0"/>
    <x v="2"/>
    <x v="2"/>
    <n v="0"/>
    <n v="0"/>
  </r>
  <r>
    <s v="SPAR WESTERN CAPE"/>
    <x v="1"/>
    <x v="92"/>
    <x v="92"/>
    <x v="17"/>
    <x v="66"/>
    <x v="0"/>
    <x v="3"/>
    <x v="3"/>
    <n v="0"/>
    <n v="0"/>
  </r>
  <r>
    <s v="SPAR WESTERN CAPE"/>
    <x v="1"/>
    <x v="92"/>
    <x v="92"/>
    <x v="17"/>
    <x v="66"/>
    <x v="0"/>
    <x v="4"/>
    <x v="4"/>
    <n v="0"/>
    <n v="0"/>
  </r>
  <r>
    <s v="SPAR WESTERN CAPE"/>
    <x v="1"/>
    <x v="92"/>
    <x v="92"/>
    <x v="17"/>
    <x v="66"/>
    <x v="0"/>
    <x v="5"/>
    <x v="5"/>
    <n v="0"/>
    <n v="0"/>
  </r>
  <r>
    <s v="SPAR WESTERN CAPE"/>
    <x v="1"/>
    <x v="92"/>
    <x v="92"/>
    <x v="17"/>
    <x v="66"/>
    <x v="0"/>
    <x v="6"/>
    <x v="6"/>
    <n v="0"/>
    <n v="0"/>
  </r>
  <r>
    <s v="SPAR WESTERN CAPE"/>
    <x v="1"/>
    <x v="93"/>
    <x v="93"/>
    <x v="40"/>
    <x v="67"/>
    <x v="0"/>
    <x v="0"/>
    <x v="0"/>
    <n v="0"/>
    <n v="0"/>
  </r>
  <r>
    <s v="SPAR WESTERN CAPE"/>
    <x v="1"/>
    <x v="93"/>
    <x v="93"/>
    <x v="40"/>
    <x v="67"/>
    <x v="0"/>
    <x v="1"/>
    <x v="1"/>
    <n v="0"/>
    <n v="0"/>
  </r>
  <r>
    <s v="SPAR WESTERN CAPE"/>
    <x v="1"/>
    <x v="93"/>
    <x v="93"/>
    <x v="40"/>
    <x v="67"/>
    <x v="0"/>
    <x v="2"/>
    <x v="2"/>
    <n v="0"/>
    <n v="0"/>
  </r>
  <r>
    <s v="SPAR WESTERN CAPE"/>
    <x v="1"/>
    <x v="93"/>
    <x v="93"/>
    <x v="40"/>
    <x v="67"/>
    <x v="0"/>
    <x v="3"/>
    <x v="3"/>
    <n v="0"/>
    <n v="0"/>
  </r>
  <r>
    <s v="SPAR WESTERN CAPE"/>
    <x v="1"/>
    <x v="93"/>
    <x v="93"/>
    <x v="40"/>
    <x v="67"/>
    <x v="0"/>
    <x v="4"/>
    <x v="4"/>
    <n v="0"/>
    <n v="0"/>
  </r>
  <r>
    <s v="SPAR WESTERN CAPE"/>
    <x v="1"/>
    <x v="93"/>
    <x v="93"/>
    <x v="40"/>
    <x v="67"/>
    <x v="0"/>
    <x v="5"/>
    <x v="5"/>
    <n v="0"/>
    <n v="0"/>
  </r>
  <r>
    <s v="SPAR WESTERN CAPE"/>
    <x v="1"/>
    <x v="93"/>
    <x v="93"/>
    <x v="40"/>
    <x v="67"/>
    <x v="0"/>
    <x v="6"/>
    <x v="6"/>
    <n v="0"/>
    <n v="0"/>
  </r>
  <r>
    <s v="SPAR WESTERN CAPE"/>
    <x v="1"/>
    <x v="94"/>
    <x v="94"/>
    <x v="0"/>
    <x v="68"/>
    <x v="0"/>
    <x v="0"/>
    <x v="0"/>
    <n v="0"/>
    <n v="0"/>
  </r>
  <r>
    <s v="SPAR WESTERN CAPE"/>
    <x v="1"/>
    <x v="94"/>
    <x v="94"/>
    <x v="0"/>
    <x v="68"/>
    <x v="0"/>
    <x v="1"/>
    <x v="1"/>
    <n v="0"/>
    <n v="0"/>
  </r>
  <r>
    <s v="SPAR WESTERN CAPE"/>
    <x v="1"/>
    <x v="94"/>
    <x v="94"/>
    <x v="0"/>
    <x v="68"/>
    <x v="0"/>
    <x v="2"/>
    <x v="2"/>
    <n v="0"/>
    <n v="0"/>
  </r>
  <r>
    <s v="SPAR WESTERN CAPE"/>
    <x v="1"/>
    <x v="94"/>
    <x v="94"/>
    <x v="0"/>
    <x v="68"/>
    <x v="0"/>
    <x v="3"/>
    <x v="3"/>
    <n v="0"/>
    <n v="0"/>
  </r>
  <r>
    <s v="SPAR WESTERN CAPE"/>
    <x v="1"/>
    <x v="94"/>
    <x v="94"/>
    <x v="0"/>
    <x v="68"/>
    <x v="0"/>
    <x v="4"/>
    <x v="4"/>
    <n v="0"/>
    <n v="0"/>
  </r>
  <r>
    <s v="SPAR WESTERN CAPE"/>
    <x v="1"/>
    <x v="94"/>
    <x v="94"/>
    <x v="0"/>
    <x v="68"/>
    <x v="0"/>
    <x v="5"/>
    <x v="5"/>
    <n v="0"/>
    <n v="0"/>
  </r>
  <r>
    <s v="SPAR WESTERN CAPE"/>
    <x v="1"/>
    <x v="94"/>
    <x v="94"/>
    <x v="0"/>
    <x v="68"/>
    <x v="0"/>
    <x v="6"/>
    <x v="6"/>
    <n v="0"/>
    <n v="0"/>
  </r>
  <r>
    <s v="SPAR WESTERN CAPE"/>
    <x v="1"/>
    <x v="95"/>
    <x v="95"/>
    <x v="18"/>
    <x v="69"/>
    <x v="0"/>
    <x v="0"/>
    <x v="0"/>
    <n v="0"/>
    <n v="0"/>
  </r>
  <r>
    <s v="SPAR WESTERN CAPE"/>
    <x v="1"/>
    <x v="95"/>
    <x v="95"/>
    <x v="18"/>
    <x v="69"/>
    <x v="0"/>
    <x v="1"/>
    <x v="1"/>
    <n v="0"/>
    <n v="0"/>
  </r>
  <r>
    <s v="SPAR WESTERN CAPE"/>
    <x v="1"/>
    <x v="95"/>
    <x v="95"/>
    <x v="18"/>
    <x v="69"/>
    <x v="0"/>
    <x v="2"/>
    <x v="2"/>
    <n v="0"/>
    <n v="0"/>
  </r>
  <r>
    <s v="SPAR WESTERN CAPE"/>
    <x v="1"/>
    <x v="95"/>
    <x v="95"/>
    <x v="18"/>
    <x v="69"/>
    <x v="0"/>
    <x v="3"/>
    <x v="3"/>
    <n v="0"/>
    <n v="0"/>
  </r>
  <r>
    <s v="SPAR WESTERN CAPE"/>
    <x v="1"/>
    <x v="95"/>
    <x v="95"/>
    <x v="18"/>
    <x v="69"/>
    <x v="0"/>
    <x v="4"/>
    <x v="4"/>
    <n v="0"/>
    <n v="0"/>
  </r>
  <r>
    <s v="SPAR WESTERN CAPE"/>
    <x v="1"/>
    <x v="95"/>
    <x v="95"/>
    <x v="18"/>
    <x v="69"/>
    <x v="0"/>
    <x v="5"/>
    <x v="5"/>
    <n v="0"/>
    <n v="0"/>
  </r>
  <r>
    <s v="SPAR WESTERN CAPE"/>
    <x v="1"/>
    <x v="95"/>
    <x v="95"/>
    <x v="18"/>
    <x v="69"/>
    <x v="0"/>
    <x v="6"/>
    <x v="6"/>
    <n v="0"/>
    <n v="0"/>
  </r>
  <r>
    <s v="SPAR WESTERN CAPE"/>
    <x v="1"/>
    <x v="96"/>
    <x v="96"/>
    <x v="1"/>
    <x v="70"/>
    <x v="0"/>
    <x v="0"/>
    <x v="0"/>
    <n v="0"/>
    <n v="0"/>
  </r>
  <r>
    <s v="SPAR WESTERN CAPE"/>
    <x v="1"/>
    <x v="96"/>
    <x v="96"/>
    <x v="1"/>
    <x v="70"/>
    <x v="0"/>
    <x v="1"/>
    <x v="1"/>
    <n v="0"/>
    <n v="0"/>
  </r>
  <r>
    <s v="SPAR WESTERN CAPE"/>
    <x v="1"/>
    <x v="96"/>
    <x v="96"/>
    <x v="1"/>
    <x v="70"/>
    <x v="0"/>
    <x v="2"/>
    <x v="2"/>
    <n v="0"/>
    <n v="0"/>
  </r>
  <r>
    <s v="SPAR WESTERN CAPE"/>
    <x v="1"/>
    <x v="96"/>
    <x v="96"/>
    <x v="1"/>
    <x v="70"/>
    <x v="0"/>
    <x v="3"/>
    <x v="3"/>
    <n v="0"/>
    <n v="0"/>
  </r>
  <r>
    <s v="SPAR WESTERN CAPE"/>
    <x v="1"/>
    <x v="96"/>
    <x v="96"/>
    <x v="1"/>
    <x v="70"/>
    <x v="0"/>
    <x v="4"/>
    <x v="4"/>
    <n v="0"/>
    <n v="0"/>
  </r>
  <r>
    <s v="SPAR WESTERN CAPE"/>
    <x v="1"/>
    <x v="96"/>
    <x v="96"/>
    <x v="1"/>
    <x v="70"/>
    <x v="0"/>
    <x v="5"/>
    <x v="5"/>
    <n v="0"/>
    <n v="0"/>
  </r>
  <r>
    <s v="SPAR WESTERN CAPE"/>
    <x v="1"/>
    <x v="96"/>
    <x v="96"/>
    <x v="1"/>
    <x v="70"/>
    <x v="0"/>
    <x v="6"/>
    <x v="6"/>
    <n v="0"/>
    <n v="0"/>
  </r>
  <r>
    <s v="SPAR WESTERN CAPE"/>
    <x v="1"/>
    <x v="97"/>
    <x v="97"/>
    <x v="1"/>
    <x v="70"/>
    <x v="0"/>
    <x v="0"/>
    <x v="0"/>
    <n v="0"/>
    <n v="0"/>
  </r>
  <r>
    <s v="SPAR WESTERN CAPE"/>
    <x v="1"/>
    <x v="97"/>
    <x v="97"/>
    <x v="1"/>
    <x v="70"/>
    <x v="0"/>
    <x v="5"/>
    <x v="5"/>
    <n v="0"/>
    <n v="0"/>
  </r>
  <r>
    <s v="SPAR WESTERN CAPE"/>
    <x v="1"/>
    <x v="97"/>
    <x v="97"/>
    <x v="1"/>
    <x v="70"/>
    <x v="0"/>
    <x v="6"/>
    <x v="6"/>
    <n v="0"/>
    <n v="0"/>
  </r>
  <r>
    <s v="SPAR WESTERN CAPE"/>
    <x v="1"/>
    <x v="98"/>
    <x v="98"/>
    <x v="18"/>
    <x v="71"/>
    <x v="0"/>
    <x v="0"/>
    <x v="0"/>
    <n v="0"/>
    <n v="0"/>
  </r>
  <r>
    <s v="SPAR WESTERN CAPE"/>
    <x v="1"/>
    <x v="98"/>
    <x v="98"/>
    <x v="18"/>
    <x v="71"/>
    <x v="0"/>
    <x v="1"/>
    <x v="1"/>
    <n v="0"/>
    <n v="0"/>
  </r>
  <r>
    <s v="SPAR WESTERN CAPE"/>
    <x v="1"/>
    <x v="98"/>
    <x v="98"/>
    <x v="18"/>
    <x v="71"/>
    <x v="0"/>
    <x v="2"/>
    <x v="2"/>
    <n v="0"/>
    <n v="0"/>
  </r>
  <r>
    <s v="SPAR WESTERN CAPE"/>
    <x v="1"/>
    <x v="98"/>
    <x v="98"/>
    <x v="18"/>
    <x v="71"/>
    <x v="0"/>
    <x v="3"/>
    <x v="3"/>
    <n v="0"/>
    <n v="0"/>
  </r>
  <r>
    <s v="SPAR WESTERN CAPE"/>
    <x v="1"/>
    <x v="98"/>
    <x v="98"/>
    <x v="18"/>
    <x v="71"/>
    <x v="0"/>
    <x v="4"/>
    <x v="4"/>
    <n v="0"/>
    <n v="0"/>
  </r>
  <r>
    <s v="SPAR WESTERN CAPE"/>
    <x v="1"/>
    <x v="98"/>
    <x v="98"/>
    <x v="18"/>
    <x v="71"/>
    <x v="0"/>
    <x v="5"/>
    <x v="5"/>
    <n v="0"/>
    <n v="0"/>
  </r>
  <r>
    <s v="SPAR WESTERN CAPE"/>
    <x v="1"/>
    <x v="98"/>
    <x v="98"/>
    <x v="18"/>
    <x v="71"/>
    <x v="0"/>
    <x v="6"/>
    <x v="6"/>
    <n v="0"/>
    <n v="0"/>
  </r>
  <r>
    <s v="SPAR WESTERN CAPE"/>
    <x v="1"/>
    <x v="99"/>
    <x v="99"/>
    <x v="18"/>
    <x v="72"/>
    <x v="0"/>
    <x v="0"/>
    <x v="0"/>
    <n v="0"/>
    <n v="0"/>
  </r>
  <r>
    <s v="SPAR WESTERN CAPE"/>
    <x v="1"/>
    <x v="99"/>
    <x v="99"/>
    <x v="18"/>
    <x v="72"/>
    <x v="0"/>
    <x v="1"/>
    <x v="1"/>
    <n v="0"/>
    <n v="0"/>
  </r>
  <r>
    <s v="SPAR WESTERN CAPE"/>
    <x v="1"/>
    <x v="99"/>
    <x v="99"/>
    <x v="18"/>
    <x v="72"/>
    <x v="0"/>
    <x v="2"/>
    <x v="2"/>
    <n v="0"/>
    <n v="0"/>
  </r>
  <r>
    <s v="SPAR WESTERN CAPE"/>
    <x v="1"/>
    <x v="99"/>
    <x v="99"/>
    <x v="18"/>
    <x v="72"/>
    <x v="0"/>
    <x v="3"/>
    <x v="3"/>
    <n v="0"/>
    <n v="0"/>
  </r>
  <r>
    <s v="SPAR WESTERN CAPE"/>
    <x v="1"/>
    <x v="99"/>
    <x v="99"/>
    <x v="18"/>
    <x v="72"/>
    <x v="0"/>
    <x v="4"/>
    <x v="4"/>
    <n v="0"/>
    <n v="0"/>
  </r>
  <r>
    <s v="SPAR WESTERN CAPE"/>
    <x v="1"/>
    <x v="99"/>
    <x v="99"/>
    <x v="18"/>
    <x v="72"/>
    <x v="0"/>
    <x v="5"/>
    <x v="5"/>
    <n v="0"/>
    <n v="0"/>
  </r>
  <r>
    <s v="SPAR WESTERN CAPE"/>
    <x v="1"/>
    <x v="99"/>
    <x v="99"/>
    <x v="18"/>
    <x v="72"/>
    <x v="0"/>
    <x v="6"/>
    <x v="6"/>
    <n v="0"/>
    <n v="0"/>
  </r>
  <r>
    <s v="SPAR WESTERN CAPE"/>
    <x v="1"/>
    <x v="100"/>
    <x v="100"/>
    <x v="18"/>
    <x v="72"/>
    <x v="0"/>
    <x v="0"/>
    <x v="0"/>
    <n v="0"/>
    <n v="0"/>
  </r>
  <r>
    <s v="SPAR WESTERN CAPE"/>
    <x v="1"/>
    <x v="100"/>
    <x v="100"/>
    <x v="18"/>
    <x v="72"/>
    <x v="0"/>
    <x v="1"/>
    <x v="1"/>
    <n v="0"/>
    <n v="0"/>
  </r>
  <r>
    <s v="SPAR WESTERN CAPE"/>
    <x v="1"/>
    <x v="100"/>
    <x v="100"/>
    <x v="18"/>
    <x v="72"/>
    <x v="0"/>
    <x v="2"/>
    <x v="2"/>
    <n v="0"/>
    <n v="0"/>
  </r>
  <r>
    <s v="SPAR WESTERN CAPE"/>
    <x v="1"/>
    <x v="100"/>
    <x v="100"/>
    <x v="18"/>
    <x v="72"/>
    <x v="0"/>
    <x v="3"/>
    <x v="3"/>
    <n v="0"/>
    <n v="0"/>
  </r>
  <r>
    <s v="SPAR WESTERN CAPE"/>
    <x v="1"/>
    <x v="100"/>
    <x v="100"/>
    <x v="18"/>
    <x v="72"/>
    <x v="0"/>
    <x v="4"/>
    <x v="4"/>
    <n v="0"/>
    <n v="0"/>
  </r>
  <r>
    <s v="SPAR WESTERN CAPE"/>
    <x v="1"/>
    <x v="100"/>
    <x v="100"/>
    <x v="18"/>
    <x v="72"/>
    <x v="0"/>
    <x v="5"/>
    <x v="5"/>
    <n v="0"/>
    <n v="0"/>
  </r>
  <r>
    <s v="SPAR WESTERN CAPE"/>
    <x v="1"/>
    <x v="100"/>
    <x v="100"/>
    <x v="18"/>
    <x v="72"/>
    <x v="0"/>
    <x v="6"/>
    <x v="6"/>
    <n v="0"/>
    <n v="0"/>
  </r>
  <r>
    <s v="SPAR WESTERN CAPE"/>
    <x v="1"/>
    <x v="101"/>
    <x v="101"/>
    <x v="18"/>
    <x v="71"/>
    <x v="0"/>
    <x v="0"/>
    <x v="0"/>
    <n v="0"/>
    <n v="0"/>
  </r>
  <r>
    <s v="SPAR WESTERN CAPE"/>
    <x v="1"/>
    <x v="101"/>
    <x v="101"/>
    <x v="18"/>
    <x v="71"/>
    <x v="0"/>
    <x v="1"/>
    <x v="1"/>
    <n v="0"/>
    <n v="0"/>
  </r>
  <r>
    <s v="SPAR WESTERN CAPE"/>
    <x v="1"/>
    <x v="101"/>
    <x v="101"/>
    <x v="18"/>
    <x v="71"/>
    <x v="0"/>
    <x v="2"/>
    <x v="2"/>
    <n v="0"/>
    <n v="0"/>
  </r>
  <r>
    <s v="SPAR WESTERN CAPE"/>
    <x v="1"/>
    <x v="101"/>
    <x v="101"/>
    <x v="18"/>
    <x v="71"/>
    <x v="0"/>
    <x v="3"/>
    <x v="3"/>
    <n v="0"/>
    <n v="0"/>
  </r>
  <r>
    <s v="SPAR WESTERN CAPE"/>
    <x v="1"/>
    <x v="101"/>
    <x v="101"/>
    <x v="18"/>
    <x v="71"/>
    <x v="0"/>
    <x v="4"/>
    <x v="4"/>
    <n v="0"/>
    <n v="0"/>
  </r>
  <r>
    <s v="SPAR WESTERN CAPE"/>
    <x v="1"/>
    <x v="101"/>
    <x v="101"/>
    <x v="18"/>
    <x v="71"/>
    <x v="0"/>
    <x v="5"/>
    <x v="5"/>
    <n v="0"/>
    <n v="0"/>
  </r>
  <r>
    <s v="SPAR WESTERN CAPE"/>
    <x v="1"/>
    <x v="101"/>
    <x v="101"/>
    <x v="18"/>
    <x v="71"/>
    <x v="0"/>
    <x v="6"/>
    <x v="6"/>
    <n v="0"/>
    <n v="0"/>
  </r>
  <r>
    <s v="SPAR WESTERN CAPE"/>
    <x v="1"/>
    <x v="102"/>
    <x v="102"/>
    <x v="18"/>
    <x v="72"/>
    <x v="0"/>
    <x v="0"/>
    <x v="0"/>
    <n v="0"/>
    <n v="0"/>
  </r>
  <r>
    <s v="SPAR WESTERN CAPE"/>
    <x v="1"/>
    <x v="102"/>
    <x v="102"/>
    <x v="18"/>
    <x v="72"/>
    <x v="0"/>
    <x v="1"/>
    <x v="1"/>
    <n v="0"/>
    <n v="0"/>
  </r>
  <r>
    <s v="SPAR WESTERN CAPE"/>
    <x v="1"/>
    <x v="102"/>
    <x v="102"/>
    <x v="18"/>
    <x v="72"/>
    <x v="0"/>
    <x v="2"/>
    <x v="2"/>
    <n v="0"/>
    <n v="0"/>
  </r>
  <r>
    <s v="SPAR WESTERN CAPE"/>
    <x v="1"/>
    <x v="102"/>
    <x v="102"/>
    <x v="18"/>
    <x v="72"/>
    <x v="0"/>
    <x v="3"/>
    <x v="3"/>
    <n v="0"/>
    <n v="0"/>
  </r>
  <r>
    <s v="SPAR WESTERN CAPE"/>
    <x v="1"/>
    <x v="102"/>
    <x v="102"/>
    <x v="18"/>
    <x v="72"/>
    <x v="0"/>
    <x v="4"/>
    <x v="4"/>
    <n v="0"/>
    <n v="0"/>
  </r>
  <r>
    <s v="SPAR WESTERN CAPE"/>
    <x v="1"/>
    <x v="102"/>
    <x v="102"/>
    <x v="18"/>
    <x v="72"/>
    <x v="0"/>
    <x v="5"/>
    <x v="5"/>
    <n v="0"/>
    <n v="0"/>
  </r>
  <r>
    <s v="SPAR WESTERN CAPE"/>
    <x v="1"/>
    <x v="102"/>
    <x v="102"/>
    <x v="18"/>
    <x v="72"/>
    <x v="0"/>
    <x v="6"/>
    <x v="6"/>
    <n v="0"/>
    <n v="0"/>
  </r>
  <r>
    <s v="SPAR WESTERN CAPE"/>
    <x v="1"/>
    <x v="103"/>
    <x v="103"/>
    <x v="24"/>
    <x v="73"/>
    <x v="0"/>
    <x v="0"/>
    <x v="0"/>
    <n v="0"/>
    <n v="0"/>
  </r>
  <r>
    <s v="SPAR WESTERN CAPE"/>
    <x v="1"/>
    <x v="103"/>
    <x v="103"/>
    <x v="24"/>
    <x v="73"/>
    <x v="0"/>
    <x v="1"/>
    <x v="1"/>
    <n v="0"/>
    <n v="0"/>
  </r>
  <r>
    <s v="SPAR WESTERN CAPE"/>
    <x v="1"/>
    <x v="103"/>
    <x v="103"/>
    <x v="24"/>
    <x v="73"/>
    <x v="0"/>
    <x v="2"/>
    <x v="2"/>
    <n v="0"/>
    <n v="0"/>
  </r>
  <r>
    <s v="SPAR WESTERN CAPE"/>
    <x v="1"/>
    <x v="103"/>
    <x v="103"/>
    <x v="24"/>
    <x v="73"/>
    <x v="0"/>
    <x v="3"/>
    <x v="3"/>
    <n v="0"/>
    <n v="0"/>
  </r>
  <r>
    <s v="SPAR WESTERN CAPE"/>
    <x v="1"/>
    <x v="103"/>
    <x v="103"/>
    <x v="24"/>
    <x v="73"/>
    <x v="0"/>
    <x v="4"/>
    <x v="4"/>
    <n v="0"/>
    <n v="0"/>
  </r>
  <r>
    <s v="SPAR WESTERN CAPE"/>
    <x v="1"/>
    <x v="103"/>
    <x v="103"/>
    <x v="24"/>
    <x v="73"/>
    <x v="0"/>
    <x v="5"/>
    <x v="5"/>
    <n v="0"/>
    <n v="0"/>
  </r>
  <r>
    <s v="SPAR WESTERN CAPE"/>
    <x v="1"/>
    <x v="103"/>
    <x v="103"/>
    <x v="24"/>
    <x v="73"/>
    <x v="0"/>
    <x v="6"/>
    <x v="6"/>
    <n v="0"/>
    <n v="0"/>
  </r>
  <r>
    <s v="SPAR WESTERN CAPE"/>
    <x v="1"/>
    <x v="104"/>
    <x v="104"/>
    <x v="5"/>
    <x v="74"/>
    <x v="0"/>
    <x v="0"/>
    <x v="0"/>
    <n v="0"/>
    <n v="0"/>
  </r>
  <r>
    <s v="SPAR WESTERN CAPE"/>
    <x v="1"/>
    <x v="104"/>
    <x v="104"/>
    <x v="5"/>
    <x v="74"/>
    <x v="0"/>
    <x v="1"/>
    <x v="1"/>
    <n v="0"/>
    <n v="0"/>
  </r>
  <r>
    <s v="SPAR WESTERN CAPE"/>
    <x v="1"/>
    <x v="104"/>
    <x v="104"/>
    <x v="5"/>
    <x v="74"/>
    <x v="0"/>
    <x v="2"/>
    <x v="2"/>
    <n v="0"/>
    <n v="0"/>
  </r>
  <r>
    <s v="SPAR WESTERN CAPE"/>
    <x v="1"/>
    <x v="104"/>
    <x v="104"/>
    <x v="5"/>
    <x v="74"/>
    <x v="0"/>
    <x v="3"/>
    <x v="3"/>
    <n v="0"/>
    <n v="0"/>
  </r>
  <r>
    <s v="SPAR WESTERN CAPE"/>
    <x v="1"/>
    <x v="104"/>
    <x v="104"/>
    <x v="5"/>
    <x v="74"/>
    <x v="0"/>
    <x v="4"/>
    <x v="4"/>
    <n v="0"/>
    <n v="0"/>
  </r>
  <r>
    <s v="SPAR WESTERN CAPE"/>
    <x v="1"/>
    <x v="104"/>
    <x v="104"/>
    <x v="5"/>
    <x v="74"/>
    <x v="0"/>
    <x v="6"/>
    <x v="6"/>
    <n v="0"/>
    <n v="0"/>
  </r>
  <r>
    <s v="SPAR WESTERN CAPE"/>
    <x v="1"/>
    <x v="105"/>
    <x v="105"/>
    <x v="41"/>
    <x v="75"/>
    <x v="0"/>
    <x v="0"/>
    <x v="0"/>
    <n v="0"/>
    <n v="0"/>
  </r>
  <r>
    <s v="SPAR WESTERN CAPE"/>
    <x v="1"/>
    <x v="105"/>
    <x v="105"/>
    <x v="41"/>
    <x v="75"/>
    <x v="0"/>
    <x v="1"/>
    <x v="1"/>
    <n v="0"/>
    <n v="0"/>
  </r>
  <r>
    <s v="SPAR WESTERN CAPE"/>
    <x v="1"/>
    <x v="105"/>
    <x v="105"/>
    <x v="41"/>
    <x v="75"/>
    <x v="0"/>
    <x v="2"/>
    <x v="2"/>
    <n v="0"/>
    <n v="0"/>
  </r>
  <r>
    <s v="SPAR WESTERN CAPE"/>
    <x v="1"/>
    <x v="105"/>
    <x v="105"/>
    <x v="41"/>
    <x v="75"/>
    <x v="0"/>
    <x v="3"/>
    <x v="3"/>
    <n v="0"/>
    <n v="0"/>
  </r>
  <r>
    <s v="SPAR WESTERN CAPE"/>
    <x v="1"/>
    <x v="105"/>
    <x v="105"/>
    <x v="41"/>
    <x v="75"/>
    <x v="0"/>
    <x v="4"/>
    <x v="4"/>
    <n v="0"/>
    <n v="0"/>
  </r>
  <r>
    <s v="SPAR WESTERN CAPE"/>
    <x v="1"/>
    <x v="105"/>
    <x v="105"/>
    <x v="41"/>
    <x v="75"/>
    <x v="0"/>
    <x v="5"/>
    <x v="5"/>
    <n v="0"/>
    <n v="0"/>
  </r>
  <r>
    <s v="SPAR WESTERN CAPE"/>
    <x v="1"/>
    <x v="105"/>
    <x v="105"/>
    <x v="41"/>
    <x v="75"/>
    <x v="0"/>
    <x v="6"/>
    <x v="6"/>
    <n v="0"/>
    <n v="0"/>
  </r>
  <r>
    <s v="SPAR WESTERN CAPE"/>
    <x v="1"/>
    <x v="106"/>
    <x v="106"/>
    <x v="24"/>
    <x v="76"/>
    <x v="0"/>
    <x v="0"/>
    <x v="0"/>
    <n v="0"/>
    <n v="0"/>
  </r>
  <r>
    <s v="SPAR WESTERN CAPE"/>
    <x v="1"/>
    <x v="106"/>
    <x v="106"/>
    <x v="24"/>
    <x v="76"/>
    <x v="0"/>
    <x v="1"/>
    <x v="1"/>
    <n v="0"/>
    <n v="0"/>
  </r>
  <r>
    <s v="SPAR WESTERN CAPE"/>
    <x v="1"/>
    <x v="106"/>
    <x v="106"/>
    <x v="24"/>
    <x v="76"/>
    <x v="0"/>
    <x v="2"/>
    <x v="2"/>
    <n v="0"/>
    <n v="0"/>
  </r>
  <r>
    <s v="SPAR WESTERN CAPE"/>
    <x v="1"/>
    <x v="106"/>
    <x v="106"/>
    <x v="24"/>
    <x v="76"/>
    <x v="0"/>
    <x v="3"/>
    <x v="3"/>
    <n v="0"/>
    <n v="0"/>
  </r>
  <r>
    <s v="SPAR WESTERN CAPE"/>
    <x v="1"/>
    <x v="106"/>
    <x v="106"/>
    <x v="24"/>
    <x v="76"/>
    <x v="0"/>
    <x v="4"/>
    <x v="4"/>
    <n v="0"/>
    <n v="0"/>
  </r>
  <r>
    <s v="SPAR WESTERN CAPE"/>
    <x v="1"/>
    <x v="106"/>
    <x v="106"/>
    <x v="24"/>
    <x v="76"/>
    <x v="0"/>
    <x v="5"/>
    <x v="5"/>
    <n v="0"/>
    <n v="0"/>
  </r>
  <r>
    <s v="SPAR WESTERN CAPE"/>
    <x v="1"/>
    <x v="106"/>
    <x v="106"/>
    <x v="24"/>
    <x v="76"/>
    <x v="0"/>
    <x v="6"/>
    <x v="6"/>
    <n v="0"/>
    <n v="0"/>
  </r>
  <r>
    <s v="SPAR WESTERN CAPE"/>
    <x v="1"/>
    <x v="107"/>
    <x v="107"/>
    <x v="22"/>
    <x v="59"/>
    <x v="0"/>
    <x v="0"/>
    <x v="0"/>
    <n v="0"/>
    <n v="0"/>
  </r>
  <r>
    <s v="SPAR WESTERN CAPE"/>
    <x v="1"/>
    <x v="107"/>
    <x v="107"/>
    <x v="22"/>
    <x v="59"/>
    <x v="0"/>
    <x v="1"/>
    <x v="1"/>
    <n v="0"/>
    <n v="0"/>
  </r>
  <r>
    <s v="SPAR WESTERN CAPE"/>
    <x v="1"/>
    <x v="107"/>
    <x v="107"/>
    <x v="22"/>
    <x v="59"/>
    <x v="0"/>
    <x v="2"/>
    <x v="2"/>
    <n v="0"/>
    <n v="0"/>
  </r>
  <r>
    <s v="SPAR WESTERN CAPE"/>
    <x v="1"/>
    <x v="107"/>
    <x v="107"/>
    <x v="22"/>
    <x v="59"/>
    <x v="0"/>
    <x v="3"/>
    <x v="3"/>
    <n v="0"/>
    <n v="0"/>
  </r>
  <r>
    <s v="SPAR WESTERN CAPE"/>
    <x v="1"/>
    <x v="107"/>
    <x v="107"/>
    <x v="22"/>
    <x v="59"/>
    <x v="0"/>
    <x v="4"/>
    <x v="4"/>
    <n v="0"/>
    <n v="0"/>
  </r>
  <r>
    <s v="SPAR WESTERN CAPE"/>
    <x v="1"/>
    <x v="107"/>
    <x v="107"/>
    <x v="22"/>
    <x v="59"/>
    <x v="0"/>
    <x v="6"/>
    <x v="6"/>
    <n v="0"/>
    <n v="0"/>
  </r>
  <r>
    <s v="SPAR WESTERN CAPE"/>
    <x v="1"/>
    <x v="108"/>
    <x v="108"/>
    <x v="22"/>
    <x v="59"/>
    <x v="0"/>
    <x v="0"/>
    <x v="0"/>
    <n v="0"/>
    <n v="0"/>
  </r>
  <r>
    <s v="SPAR WESTERN CAPE"/>
    <x v="1"/>
    <x v="108"/>
    <x v="108"/>
    <x v="22"/>
    <x v="59"/>
    <x v="0"/>
    <x v="1"/>
    <x v="1"/>
    <n v="0"/>
    <n v="0"/>
  </r>
  <r>
    <s v="SPAR WESTERN CAPE"/>
    <x v="1"/>
    <x v="108"/>
    <x v="108"/>
    <x v="22"/>
    <x v="59"/>
    <x v="0"/>
    <x v="2"/>
    <x v="2"/>
    <n v="0"/>
    <n v="0"/>
  </r>
  <r>
    <s v="SPAR WESTERN CAPE"/>
    <x v="1"/>
    <x v="108"/>
    <x v="108"/>
    <x v="22"/>
    <x v="59"/>
    <x v="0"/>
    <x v="3"/>
    <x v="3"/>
    <n v="0"/>
    <n v="0"/>
  </r>
  <r>
    <s v="SPAR WESTERN CAPE"/>
    <x v="1"/>
    <x v="108"/>
    <x v="108"/>
    <x v="22"/>
    <x v="59"/>
    <x v="0"/>
    <x v="6"/>
    <x v="6"/>
    <n v="0"/>
    <n v="0"/>
  </r>
  <r>
    <s v="SPAR WESTERN CAPE"/>
    <x v="1"/>
    <x v="109"/>
    <x v="109"/>
    <x v="22"/>
    <x v="59"/>
    <x v="0"/>
    <x v="0"/>
    <x v="0"/>
    <n v="0"/>
    <n v="0"/>
  </r>
  <r>
    <s v="SPAR WESTERN CAPE"/>
    <x v="1"/>
    <x v="109"/>
    <x v="109"/>
    <x v="22"/>
    <x v="59"/>
    <x v="0"/>
    <x v="1"/>
    <x v="1"/>
    <n v="0"/>
    <n v="0"/>
  </r>
  <r>
    <s v="SPAR WESTERN CAPE"/>
    <x v="1"/>
    <x v="109"/>
    <x v="109"/>
    <x v="22"/>
    <x v="59"/>
    <x v="0"/>
    <x v="2"/>
    <x v="2"/>
    <n v="0"/>
    <n v="0"/>
  </r>
  <r>
    <s v="SPAR WESTERN CAPE"/>
    <x v="1"/>
    <x v="109"/>
    <x v="109"/>
    <x v="22"/>
    <x v="59"/>
    <x v="0"/>
    <x v="3"/>
    <x v="3"/>
    <n v="0"/>
    <n v="0"/>
  </r>
  <r>
    <s v="SPAR WESTERN CAPE"/>
    <x v="1"/>
    <x v="109"/>
    <x v="109"/>
    <x v="22"/>
    <x v="59"/>
    <x v="0"/>
    <x v="4"/>
    <x v="4"/>
    <n v="0"/>
    <n v="0"/>
  </r>
  <r>
    <s v="SPAR WESTERN CAPE"/>
    <x v="1"/>
    <x v="109"/>
    <x v="109"/>
    <x v="22"/>
    <x v="59"/>
    <x v="0"/>
    <x v="5"/>
    <x v="5"/>
    <n v="0"/>
    <n v="0"/>
  </r>
  <r>
    <s v="SPAR WESTERN CAPE"/>
    <x v="1"/>
    <x v="109"/>
    <x v="109"/>
    <x v="22"/>
    <x v="59"/>
    <x v="0"/>
    <x v="6"/>
    <x v="6"/>
    <n v="0"/>
    <n v="0"/>
  </r>
  <r>
    <s v="SPAR WESTERN CAPE"/>
    <x v="1"/>
    <x v="110"/>
    <x v="110"/>
    <x v="22"/>
    <x v="59"/>
    <x v="0"/>
    <x v="0"/>
    <x v="0"/>
    <n v="0"/>
    <n v="0"/>
  </r>
  <r>
    <s v="SPAR WESTERN CAPE"/>
    <x v="1"/>
    <x v="110"/>
    <x v="110"/>
    <x v="22"/>
    <x v="59"/>
    <x v="0"/>
    <x v="1"/>
    <x v="1"/>
    <n v="0"/>
    <n v="0"/>
  </r>
  <r>
    <s v="SPAR WESTERN CAPE"/>
    <x v="1"/>
    <x v="110"/>
    <x v="110"/>
    <x v="22"/>
    <x v="59"/>
    <x v="0"/>
    <x v="2"/>
    <x v="2"/>
    <n v="0"/>
    <n v="0"/>
  </r>
  <r>
    <s v="SPAR WESTERN CAPE"/>
    <x v="1"/>
    <x v="110"/>
    <x v="110"/>
    <x v="22"/>
    <x v="59"/>
    <x v="0"/>
    <x v="3"/>
    <x v="3"/>
    <n v="0"/>
    <n v="0"/>
  </r>
  <r>
    <s v="SPAR WESTERN CAPE"/>
    <x v="1"/>
    <x v="110"/>
    <x v="110"/>
    <x v="22"/>
    <x v="59"/>
    <x v="0"/>
    <x v="4"/>
    <x v="4"/>
    <n v="0"/>
    <n v="0"/>
  </r>
  <r>
    <s v="SPAR WESTERN CAPE"/>
    <x v="1"/>
    <x v="110"/>
    <x v="110"/>
    <x v="22"/>
    <x v="59"/>
    <x v="0"/>
    <x v="6"/>
    <x v="6"/>
    <n v="0"/>
    <n v="0"/>
  </r>
  <r>
    <s v="SPAR WESTERN CAPE"/>
    <x v="1"/>
    <x v="111"/>
    <x v="111"/>
    <x v="32"/>
    <x v="77"/>
    <x v="0"/>
    <x v="0"/>
    <x v="0"/>
    <n v="0"/>
    <n v="0"/>
  </r>
  <r>
    <s v="SPAR WESTERN CAPE"/>
    <x v="1"/>
    <x v="111"/>
    <x v="111"/>
    <x v="32"/>
    <x v="77"/>
    <x v="0"/>
    <x v="1"/>
    <x v="1"/>
    <n v="0"/>
    <n v="0"/>
  </r>
  <r>
    <s v="SPAR WESTERN CAPE"/>
    <x v="1"/>
    <x v="111"/>
    <x v="111"/>
    <x v="32"/>
    <x v="77"/>
    <x v="0"/>
    <x v="2"/>
    <x v="2"/>
    <n v="0"/>
    <n v="0"/>
  </r>
  <r>
    <s v="SPAR WESTERN CAPE"/>
    <x v="1"/>
    <x v="111"/>
    <x v="111"/>
    <x v="32"/>
    <x v="77"/>
    <x v="0"/>
    <x v="3"/>
    <x v="3"/>
    <n v="0"/>
    <n v="0"/>
  </r>
  <r>
    <s v="SPAR WESTERN CAPE"/>
    <x v="1"/>
    <x v="111"/>
    <x v="111"/>
    <x v="32"/>
    <x v="77"/>
    <x v="0"/>
    <x v="4"/>
    <x v="4"/>
    <n v="0"/>
    <n v="0"/>
  </r>
  <r>
    <s v="SPAR WESTERN CAPE"/>
    <x v="1"/>
    <x v="111"/>
    <x v="111"/>
    <x v="32"/>
    <x v="77"/>
    <x v="0"/>
    <x v="5"/>
    <x v="5"/>
    <n v="0"/>
    <n v="0"/>
  </r>
  <r>
    <s v="SPAR WESTERN CAPE"/>
    <x v="1"/>
    <x v="111"/>
    <x v="111"/>
    <x v="32"/>
    <x v="77"/>
    <x v="0"/>
    <x v="6"/>
    <x v="6"/>
    <n v="0"/>
    <n v="0"/>
  </r>
  <r>
    <s v="SPAR WESTERN CAPE"/>
    <x v="1"/>
    <x v="112"/>
    <x v="112"/>
    <x v="20"/>
    <x v="78"/>
    <x v="0"/>
    <x v="0"/>
    <x v="0"/>
    <n v="0"/>
    <n v="0"/>
  </r>
  <r>
    <s v="SPAR WESTERN CAPE"/>
    <x v="1"/>
    <x v="112"/>
    <x v="112"/>
    <x v="20"/>
    <x v="78"/>
    <x v="0"/>
    <x v="2"/>
    <x v="2"/>
    <n v="0"/>
    <n v="0"/>
  </r>
  <r>
    <s v="SPAR WESTERN CAPE"/>
    <x v="1"/>
    <x v="112"/>
    <x v="112"/>
    <x v="20"/>
    <x v="78"/>
    <x v="0"/>
    <x v="3"/>
    <x v="3"/>
    <n v="0"/>
    <n v="0"/>
  </r>
  <r>
    <s v="SPAR WESTERN CAPE"/>
    <x v="1"/>
    <x v="112"/>
    <x v="112"/>
    <x v="20"/>
    <x v="78"/>
    <x v="0"/>
    <x v="4"/>
    <x v="4"/>
    <n v="0"/>
    <n v="0"/>
  </r>
  <r>
    <s v="SPAR WESTERN CAPE"/>
    <x v="1"/>
    <x v="112"/>
    <x v="112"/>
    <x v="20"/>
    <x v="78"/>
    <x v="0"/>
    <x v="5"/>
    <x v="5"/>
    <n v="0"/>
    <n v="0"/>
  </r>
  <r>
    <s v="SPAR WESTERN CAPE"/>
    <x v="1"/>
    <x v="112"/>
    <x v="112"/>
    <x v="20"/>
    <x v="78"/>
    <x v="0"/>
    <x v="6"/>
    <x v="6"/>
    <n v="0"/>
    <n v="0"/>
  </r>
  <r>
    <s v="SPAR WESTERN CAPE"/>
    <x v="1"/>
    <x v="113"/>
    <x v="113"/>
    <x v="20"/>
    <x v="78"/>
    <x v="0"/>
    <x v="0"/>
    <x v="0"/>
    <n v="0"/>
    <n v="0"/>
  </r>
  <r>
    <s v="SPAR WESTERN CAPE"/>
    <x v="1"/>
    <x v="113"/>
    <x v="113"/>
    <x v="20"/>
    <x v="78"/>
    <x v="0"/>
    <x v="1"/>
    <x v="1"/>
    <n v="0"/>
    <n v="0"/>
  </r>
  <r>
    <s v="SPAR WESTERN CAPE"/>
    <x v="1"/>
    <x v="113"/>
    <x v="113"/>
    <x v="20"/>
    <x v="78"/>
    <x v="0"/>
    <x v="2"/>
    <x v="2"/>
    <n v="0"/>
    <n v="0"/>
  </r>
  <r>
    <s v="SPAR WESTERN CAPE"/>
    <x v="1"/>
    <x v="113"/>
    <x v="113"/>
    <x v="20"/>
    <x v="78"/>
    <x v="0"/>
    <x v="3"/>
    <x v="3"/>
    <n v="0"/>
    <n v="0"/>
  </r>
  <r>
    <s v="SPAR WESTERN CAPE"/>
    <x v="1"/>
    <x v="113"/>
    <x v="113"/>
    <x v="20"/>
    <x v="78"/>
    <x v="0"/>
    <x v="4"/>
    <x v="4"/>
    <n v="0"/>
    <n v="0"/>
  </r>
  <r>
    <s v="SPAR WESTERN CAPE"/>
    <x v="1"/>
    <x v="113"/>
    <x v="113"/>
    <x v="20"/>
    <x v="78"/>
    <x v="0"/>
    <x v="5"/>
    <x v="5"/>
    <n v="0"/>
    <n v="0"/>
  </r>
  <r>
    <s v="SPAR WESTERN CAPE"/>
    <x v="1"/>
    <x v="113"/>
    <x v="113"/>
    <x v="20"/>
    <x v="78"/>
    <x v="0"/>
    <x v="6"/>
    <x v="6"/>
    <n v="0"/>
    <n v="0"/>
  </r>
  <r>
    <s v="SPAR WESTERN CAPE"/>
    <x v="1"/>
    <x v="114"/>
    <x v="114"/>
    <x v="42"/>
    <x v="79"/>
    <x v="0"/>
    <x v="0"/>
    <x v="0"/>
    <n v="0"/>
    <n v="0"/>
  </r>
  <r>
    <s v="SPAR WESTERN CAPE"/>
    <x v="1"/>
    <x v="114"/>
    <x v="114"/>
    <x v="42"/>
    <x v="79"/>
    <x v="0"/>
    <x v="1"/>
    <x v="1"/>
    <n v="0"/>
    <n v="0"/>
  </r>
  <r>
    <s v="SPAR WESTERN CAPE"/>
    <x v="1"/>
    <x v="114"/>
    <x v="114"/>
    <x v="42"/>
    <x v="79"/>
    <x v="0"/>
    <x v="2"/>
    <x v="2"/>
    <n v="0"/>
    <n v="0"/>
  </r>
  <r>
    <s v="SPAR WESTERN CAPE"/>
    <x v="1"/>
    <x v="114"/>
    <x v="114"/>
    <x v="42"/>
    <x v="79"/>
    <x v="0"/>
    <x v="3"/>
    <x v="3"/>
    <n v="0"/>
    <n v="0"/>
  </r>
  <r>
    <s v="SPAR WESTERN CAPE"/>
    <x v="1"/>
    <x v="114"/>
    <x v="114"/>
    <x v="42"/>
    <x v="79"/>
    <x v="0"/>
    <x v="4"/>
    <x v="4"/>
    <n v="0"/>
    <n v="0"/>
  </r>
  <r>
    <s v="SPAR WESTERN CAPE"/>
    <x v="1"/>
    <x v="114"/>
    <x v="114"/>
    <x v="42"/>
    <x v="79"/>
    <x v="0"/>
    <x v="5"/>
    <x v="5"/>
    <n v="0"/>
    <n v="0"/>
  </r>
  <r>
    <s v="SPAR WESTERN CAPE"/>
    <x v="1"/>
    <x v="114"/>
    <x v="114"/>
    <x v="42"/>
    <x v="79"/>
    <x v="0"/>
    <x v="6"/>
    <x v="6"/>
    <n v="0"/>
    <n v="0"/>
  </r>
  <r>
    <s v="SPAR WESTERN CAPE"/>
    <x v="1"/>
    <x v="115"/>
    <x v="115"/>
    <x v="42"/>
    <x v="79"/>
    <x v="0"/>
    <x v="0"/>
    <x v="0"/>
    <n v="0"/>
    <n v="0"/>
  </r>
  <r>
    <s v="SPAR WESTERN CAPE"/>
    <x v="1"/>
    <x v="115"/>
    <x v="115"/>
    <x v="42"/>
    <x v="79"/>
    <x v="0"/>
    <x v="1"/>
    <x v="1"/>
    <n v="0"/>
    <n v="0"/>
  </r>
  <r>
    <s v="SPAR WESTERN CAPE"/>
    <x v="1"/>
    <x v="115"/>
    <x v="115"/>
    <x v="42"/>
    <x v="79"/>
    <x v="0"/>
    <x v="2"/>
    <x v="2"/>
    <n v="0"/>
    <n v="0"/>
  </r>
  <r>
    <s v="SPAR WESTERN CAPE"/>
    <x v="1"/>
    <x v="115"/>
    <x v="115"/>
    <x v="42"/>
    <x v="79"/>
    <x v="0"/>
    <x v="3"/>
    <x v="3"/>
    <n v="0"/>
    <n v="0"/>
  </r>
  <r>
    <s v="SPAR WESTERN CAPE"/>
    <x v="1"/>
    <x v="115"/>
    <x v="115"/>
    <x v="42"/>
    <x v="79"/>
    <x v="0"/>
    <x v="4"/>
    <x v="4"/>
    <n v="0"/>
    <n v="0"/>
  </r>
  <r>
    <s v="SPAR WESTERN CAPE"/>
    <x v="1"/>
    <x v="115"/>
    <x v="115"/>
    <x v="42"/>
    <x v="79"/>
    <x v="0"/>
    <x v="5"/>
    <x v="5"/>
    <n v="0"/>
    <n v="0"/>
  </r>
  <r>
    <s v="SPAR WESTERN CAPE"/>
    <x v="1"/>
    <x v="115"/>
    <x v="115"/>
    <x v="42"/>
    <x v="79"/>
    <x v="0"/>
    <x v="6"/>
    <x v="6"/>
    <n v="0"/>
    <n v="0"/>
  </r>
  <r>
    <s v="SPAR WESTERN CAPE"/>
    <x v="1"/>
    <x v="116"/>
    <x v="116"/>
    <x v="43"/>
    <x v="80"/>
    <x v="0"/>
    <x v="0"/>
    <x v="0"/>
    <n v="0"/>
    <n v="0"/>
  </r>
  <r>
    <s v="SPAR WESTERN CAPE"/>
    <x v="1"/>
    <x v="116"/>
    <x v="116"/>
    <x v="43"/>
    <x v="80"/>
    <x v="0"/>
    <x v="1"/>
    <x v="1"/>
    <n v="0"/>
    <n v="0"/>
  </r>
  <r>
    <s v="SPAR WESTERN CAPE"/>
    <x v="1"/>
    <x v="116"/>
    <x v="116"/>
    <x v="43"/>
    <x v="80"/>
    <x v="0"/>
    <x v="2"/>
    <x v="2"/>
    <n v="0"/>
    <n v="0"/>
  </r>
  <r>
    <s v="SPAR WESTERN CAPE"/>
    <x v="1"/>
    <x v="116"/>
    <x v="116"/>
    <x v="43"/>
    <x v="80"/>
    <x v="0"/>
    <x v="3"/>
    <x v="3"/>
    <n v="0"/>
    <n v="0"/>
  </r>
  <r>
    <s v="SPAR WESTERN CAPE"/>
    <x v="1"/>
    <x v="116"/>
    <x v="116"/>
    <x v="43"/>
    <x v="80"/>
    <x v="0"/>
    <x v="4"/>
    <x v="4"/>
    <n v="0"/>
    <n v="0"/>
  </r>
  <r>
    <s v="SPAR WESTERN CAPE"/>
    <x v="1"/>
    <x v="116"/>
    <x v="116"/>
    <x v="43"/>
    <x v="80"/>
    <x v="0"/>
    <x v="5"/>
    <x v="5"/>
    <n v="0"/>
    <n v="0"/>
  </r>
  <r>
    <s v="SPAR WESTERN CAPE"/>
    <x v="1"/>
    <x v="116"/>
    <x v="116"/>
    <x v="43"/>
    <x v="80"/>
    <x v="0"/>
    <x v="6"/>
    <x v="6"/>
    <n v="0"/>
    <n v="0"/>
  </r>
  <r>
    <s v="SPAR WESTERN CAPE"/>
    <x v="1"/>
    <x v="117"/>
    <x v="117"/>
    <x v="44"/>
    <x v="81"/>
    <x v="0"/>
    <x v="0"/>
    <x v="0"/>
    <n v="0"/>
    <n v="0"/>
  </r>
  <r>
    <s v="SPAR WESTERN CAPE"/>
    <x v="1"/>
    <x v="117"/>
    <x v="117"/>
    <x v="44"/>
    <x v="81"/>
    <x v="0"/>
    <x v="1"/>
    <x v="1"/>
    <n v="0"/>
    <n v="0"/>
  </r>
  <r>
    <s v="SPAR WESTERN CAPE"/>
    <x v="1"/>
    <x v="117"/>
    <x v="117"/>
    <x v="44"/>
    <x v="81"/>
    <x v="0"/>
    <x v="2"/>
    <x v="2"/>
    <n v="0"/>
    <n v="0"/>
  </r>
  <r>
    <s v="SPAR WESTERN CAPE"/>
    <x v="1"/>
    <x v="117"/>
    <x v="117"/>
    <x v="44"/>
    <x v="81"/>
    <x v="0"/>
    <x v="3"/>
    <x v="3"/>
    <n v="0"/>
    <n v="0"/>
  </r>
  <r>
    <s v="SPAR WESTERN CAPE"/>
    <x v="1"/>
    <x v="117"/>
    <x v="117"/>
    <x v="44"/>
    <x v="81"/>
    <x v="0"/>
    <x v="5"/>
    <x v="5"/>
    <n v="0"/>
    <n v="0"/>
  </r>
  <r>
    <s v="SPAR WESTERN CAPE"/>
    <x v="1"/>
    <x v="117"/>
    <x v="117"/>
    <x v="44"/>
    <x v="81"/>
    <x v="0"/>
    <x v="6"/>
    <x v="6"/>
    <n v="0"/>
    <n v="0"/>
  </r>
  <r>
    <s v="SPAR WESTERN CAPE"/>
    <x v="1"/>
    <x v="118"/>
    <x v="118"/>
    <x v="10"/>
    <x v="82"/>
    <x v="0"/>
    <x v="0"/>
    <x v="0"/>
    <n v="0"/>
    <n v="0"/>
  </r>
  <r>
    <s v="SPAR WESTERN CAPE"/>
    <x v="1"/>
    <x v="118"/>
    <x v="118"/>
    <x v="10"/>
    <x v="82"/>
    <x v="0"/>
    <x v="2"/>
    <x v="2"/>
    <n v="0"/>
    <n v="0"/>
  </r>
  <r>
    <s v="SPAR WESTERN CAPE"/>
    <x v="1"/>
    <x v="118"/>
    <x v="118"/>
    <x v="10"/>
    <x v="82"/>
    <x v="0"/>
    <x v="3"/>
    <x v="3"/>
    <n v="0"/>
    <n v="0"/>
  </r>
  <r>
    <s v="SPAR WESTERN CAPE"/>
    <x v="1"/>
    <x v="118"/>
    <x v="118"/>
    <x v="10"/>
    <x v="82"/>
    <x v="0"/>
    <x v="5"/>
    <x v="5"/>
    <n v="0"/>
    <n v="0"/>
  </r>
  <r>
    <s v="SPAR WESTERN CAPE"/>
    <x v="1"/>
    <x v="118"/>
    <x v="118"/>
    <x v="10"/>
    <x v="82"/>
    <x v="0"/>
    <x v="6"/>
    <x v="6"/>
    <n v="0"/>
    <n v="0"/>
  </r>
  <r>
    <s v="SPAR WESTERN CAPE"/>
    <x v="1"/>
    <x v="119"/>
    <x v="119"/>
    <x v="45"/>
    <x v="83"/>
    <x v="0"/>
    <x v="0"/>
    <x v="0"/>
    <n v="0"/>
    <n v="0"/>
  </r>
  <r>
    <s v="SPAR WESTERN CAPE"/>
    <x v="1"/>
    <x v="119"/>
    <x v="119"/>
    <x v="45"/>
    <x v="83"/>
    <x v="0"/>
    <x v="1"/>
    <x v="1"/>
    <n v="0"/>
    <n v="0"/>
  </r>
  <r>
    <s v="SPAR WESTERN CAPE"/>
    <x v="1"/>
    <x v="119"/>
    <x v="119"/>
    <x v="45"/>
    <x v="83"/>
    <x v="0"/>
    <x v="2"/>
    <x v="2"/>
    <n v="0"/>
    <n v="0"/>
  </r>
  <r>
    <s v="SPAR WESTERN CAPE"/>
    <x v="1"/>
    <x v="119"/>
    <x v="119"/>
    <x v="45"/>
    <x v="83"/>
    <x v="0"/>
    <x v="3"/>
    <x v="3"/>
    <n v="0"/>
    <n v="0"/>
  </r>
  <r>
    <s v="SPAR WESTERN CAPE"/>
    <x v="1"/>
    <x v="119"/>
    <x v="119"/>
    <x v="45"/>
    <x v="83"/>
    <x v="0"/>
    <x v="4"/>
    <x v="4"/>
    <n v="0"/>
    <n v="0"/>
  </r>
  <r>
    <s v="SPAR WESTERN CAPE"/>
    <x v="1"/>
    <x v="119"/>
    <x v="119"/>
    <x v="45"/>
    <x v="83"/>
    <x v="0"/>
    <x v="5"/>
    <x v="5"/>
    <n v="0"/>
    <n v="0"/>
  </r>
  <r>
    <s v="SPAR WESTERN CAPE"/>
    <x v="1"/>
    <x v="119"/>
    <x v="119"/>
    <x v="45"/>
    <x v="83"/>
    <x v="0"/>
    <x v="6"/>
    <x v="6"/>
    <n v="0"/>
    <n v="0"/>
  </r>
  <r>
    <s v="SPAR WESTERN CAPE"/>
    <x v="1"/>
    <x v="120"/>
    <x v="120"/>
    <x v="46"/>
    <x v="84"/>
    <x v="0"/>
    <x v="0"/>
    <x v="0"/>
    <n v="0"/>
    <n v="0"/>
  </r>
  <r>
    <s v="SPAR WESTERN CAPE"/>
    <x v="1"/>
    <x v="120"/>
    <x v="120"/>
    <x v="46"/>
    <x v="84"/>
    <x v="0"/>
    <x v="1"/>
    <x v="1"/>
    <n v="0"/>
    <n v="0"/>
  </r>
  <r>
    <s v="SPAR WESTERN CAPE"/>
    <x v="1"/>
    <x v="120"/>
    <x v="120"/>
    <x v="46"/>
    <x v="84"/>
    <x v="0"/>
    <x v="2"/>
    <x v="2"/>
    <n v="0"/>
    <n v="0"/>
  </r>
  <r>
    <s v="SPAR WESTERN CAPE"/>
    <x v="1"/>
    <x v="120"/>
    <x v="120"/>
    <x v="46"/>
    <x v="84"/>
    <x v="0"/>
    <x v="3"/>
    <x v="3"/>
    <n v="0"/>
    <n v="0"/>
  </r>
  <r>
    <s v="SPAR WESTERN CAPE"/>
    <x v="1"/>
    <x v="120"/>
    <x v="120"/>
    <x v="46"/>
    <x v="84"/>
    <x v="0"/>
    <x v="4"/>
    <x v="4"/>
    <n v="0"/>
    <n v="0"/>
  </r>
  <r>
    <s v="SPAR WESTERN CAPE"/>
    <x v="1"/>
    <x v="120"/>
    <x v="120"/>
    <x v="46"/>
    <x v="84"/>
    <x v="0"/>
    <x v="5"/>
    <x v="5"/>
    <n v="0"/>
    <n v="0"/>
  </r>
  <r>
    <s v="SPAR WESTERN CAPE"/>
    <x v="1"/>
    <x v="120"/>
    <x v="120"/>
    <x v="46"/>
    <x v="84"/>
    <x v="0"/>
    <x v="6"/>
    <x v="6"/>
    <n v="0"/>
    <n v="0"/>
  </r>
  <r>
    <s v="SPAR WESTERN CAPE"/>
    <x v="1"/>
    <x v="121"/>
    <x v="121"/>
    <x v="47"/>
    <x v="85"/>
    <x v="0"/>
    <x v="0"/>
    <x v="0"/>
    <n v="0"/>
    <n v="0"/>
  </r>
  <r>
    <s v="SPAR WESTERN CAPE"/>
    <x v="1"/>
    <x v="121"/>
    <x v="121"/>
    <x v="47"/>
    <x v="85"/>
    <x v="0"/>
    <x v="1"/>
    <x v="1"/>
    <n v="0"/>
    <n v="0"/>
  </r>
  <r>
    <s v="SPAR WESTERN CAPE"/>
    <x v="1"/>
    <x v="121"/>
    <x v="121"/>
    <x v="47"/>
    <x v="85"/>
    <x v="0"/>
    <x v="2"/>
    <x v="2"/>
    <n v="0"/>
    <n v="0"/>
  </r>
  <r>
    <s v="SPAR WESTERN CAPE"/>
    <x v="1"/>
    <x v="121"/>
    <x v="121"/>
    <x v="47"/>
    <x v="85"/>
    <x v="0"/>
    <x v="3"/>
    <x v="3"/>
    <n v="0"/>
    <n v="0"/>
  </r>
  <r>
    <s v="SPAR WESTERN CAPE"/>
    <x v="1"/>
    <x v="121"/>
    <x v="121"/>
    <x v="47"/>
    <x v="85"/>
    <x v="0"/>
    <x v="4"/>
    <x v="4"/>
    <n v="0"/>
    <n v="0"/>
  </r>
  <r>
    <s v="SPAR WESTERN CAPE"/>
    <x v="1"/>
    <x v="121"/>
    <x v="121"/>
    <x v="47"/>
    <x v="85"/>
    <x v="0"/>
    <x v="5"/>
    <x v="5"/>
    <n v="0"/>
    <n v="0"/>
  </r>
  <r>
    <s v="SPAR WESTERN CAPE"/>
    <x v="1"/>
    <x v="121"/>
    <x v="121"/>
    <x v="47"/>
    <x v="85"/>
    <x v="0"/>
    <x v="6"/>
    <x v="6"/>
    <n v="0"/>
    <n v="0"/>
  </r>
  <r>
    <s v="SPAR WESTERN CAPE"/>
    <x v="1"/>
    <x v="122"/>
    <x v="122"/>
    <x v="45"/>
    <x v="86"/>
    <x v="0"/>
    <x v="0"/>
    <x v="0"/>
    <n v="0"/>
    <n v="0"/>
  </r>
  <r>
    <s v="SPAR WESTERN CAPE"/>
    <x v="1"/>
    <x v="122"/>
    <x v="122"/>
    <x v="45"/>
    <x v="86"/>
    <x v="0"/>
    <x v="1"/>
    <x v="1"/>
    <n v="0"/>
    <n v="0"/>
  </r>
  <r>
    <s v="SPAR WESTERN CAPE"/>
    <x v="1"/>
    <x v="122"/>
    <x v="122"/>
    <x v="45"/>
    <x v="86"/>
    <x v="0"/>
    <x v="2"/>
    <x v="2"/>
    <n v="0"/>
    <n v="0"/>
  </r>
  <r>
    <s v="SPAR WESTERN CAPE"/>
    <x v="1"/>
    <x v="122"/>
    <x v="122"/>
    <x v="45"/>
    <x v="86"/>
    <x v="0"/>
    <x v="3"/>
    <x v="3"/>
    <n v="0"/>
    <n v="0"/>
  </r>
  <r>
    <s v="SPAR WESTERN CAPE"/>
    <x v="1"/>
    <x v="122"/>
    <x v="122"/>
    <x v="45"/>
    <x v="86"/>
    <x v="0"/>
    <x v="4"/>
    <x v="4"/>
    <n v="0"/>
    <n v="0"/>
  </r>
  <r>
    <s v="SPAR WESTERN CAPE"/>
    <x v="1"/>
    <x v="122"/>
    <x v="122"/>
    <x v="45"/>
    <x v="86"/>
    <x v="0"/>
    <x v="5"/>
    <x v="5"/>
    <n v="0"/>
    <n v="0"/>
  </r>
  <r>
    <s v="SPAR WESTERN CAPE"/>
    <x v="1"/>
    <x v="122"/>
    <x v="122"/>
    <x v="45"/>
    <x v="86"/>
    <x v="0"/>
    <x v="6"/>
    <x v="6"/>
    <n v="0"/>
    <n v="0"/>
  </r>
  <r>
    <s v="SPAR WESTERN CAPE"/>
    <x v="1"/>
    <x v="123"/>
    <x v="123"/>
    <x v="0"/>
    <x v="87"/>
    <x v="0"/>
    <x v="0"/>
    <x v="0"/>
    <n v="0"/>
    <n v="0"/>
  </r>
  <r>
    <s v="SPAR WESTERN CAPE"/>
    <x v="1"/>
    <x v="123"/>
    <x v="123"/>
    <x v="0"/>
    <x v="87"/>
    <x v="0"/>
    <x v="1"/>
    <x v="1"/>
    <n v="0"/>
    <n v="0"/>
  </r>
  <r>
    <s v="SPAR WESTERN CAPE"/>
    <x v="1"/>
    <x v="123"/>
    <x v="123"/>
    <x v="0"/>
    <x v="87"/>
    <x v="0"/>
    <x v="2"/>
    <x v="2"/>
    <n v="0"/>
    <n v="0"/>
  </r>
  <r>
    <s v="SPAR WESTERN CAPE"/>
    <x v="1"/>
    <x v="123"/>
    <x v="123"/>
    <x v="0"/>
    <x v="87"/>
    <x v="0"/>
    <x v="3"/>
    <x v="3"/>
    <n v="0"/>
    <n v="0"/>
  </r>
  <r>
    <s v="SPAR WESTERN CAPE"/>
    <x v="1"/>
    <x v="123"/>
    <x v="123"/>
    <x v="0"/>
    <x v="87"/>
    <x v="0"/>
    <x v="4"/>
    <x v="4"/>
    <n v="0"/>
    <n v="0"/>
  </r>
  <r>
    <s v="SPAR WESTERN CAPE"/>
    <x v="1"/>
    <x v="123"/>
    <x v="123"/>
    <x v="0"/>
    <x v="87"/>
    <x v="0"/>
    <x v="5"/>
    <x v="5"/>
    <n v="0"/>
    <n v="0"/>
  </r>
  <r>
    <s v="SPAR WESTERN CAPE"/>
    <x v="1"/>
    <x v="123"/>
    <x v="123"/>
    <x v="0"/>
    <x v="87"/>
    <x v="0"/>
    <x v="6"/>
    <x v="6"/>
    <n v="0"/>
    <n v="0"/>
  </r>
  <r>
    <s v="SPAR WESTERN CAPE"/>
    <x v="1"/>
    <x v="124"/>
    <x v="124"/>
    <x v="0"/>
    <x v="88"/>
    <x v="0"/>
    <x v="0"/>
    <x v="0"/>
    <n v="0"/>
    <n v="0"/>
  </r>
  <r>
    <s v="SPAR WESTERN CAPE"/>
    <x v="1"/>
    <x v="124"/>
    <x v="124"/>
    <x v="0"/>
    <x v="88"/>
    <x v="0"/>
    <x v="1"/>
    <x v="1"/>
    <n v="0"/>
    <n v="0"/>
  </r>
  <r>
    <s v="SPAR WESTERN CAPE"/>
    <x v="1"/>
    <x v="124"/>
    <x v="124"/>
    <x v="0"/>
    <x v="88"/>
    <x v="0"/>
    <x v="2"/>
    <x v="2"/>
    <n v="0"/>
    <n v="0"/>
  </r>
  <r>
    <s v="SPAR WESTERN CAPE"/>
    <x v="1"/>
    <x v="124"/>
    <x v="124"/>
    <x v="0"/>
    <x v="88"/>
    <x v="0"/>
    <x v="3"/>
    <x v="3"/>
    <n v="0"/>
    <n v="0"/>
  </r>
  <r>
    <s v="SPAR WESTERN CAPE"/>
    <x v="1"/>
    <x v="124"/>
    <x v="124"/>
    <x v="0"/>
    <x v="88"/>
    <x v="0"/>
    <x v="4"/>
    <x v="4"/>
    <n v="0"/>
    <n v="0"/>
  </r>
  <r>
    <s v="SPAR WESTERN CAPE"/>
    <x v="1"/>
    <x v="124"/>
    <x v="124"/>
    <x v="0"/>
    <x v="88"/>
    <x v="0"/>
    <x v="5"/>
    <x v="5"/>
    <n v="0"/>
    <n v="0"/>
  </r>
  <r>
    <s v="SPAR WESTERN CAPE"/>
    <x v="1"/>
    <x v="124"/>
    <x v="124"/>
    <x v="0"/>
    <x v="88"/>
    <x v="0"/>
    <x v="6"/>
    <x v="6"/>
    <n v="0"/>
    <n v="0"/>
  </r>
  <r>
    <s v="SPAR WESTERN CAPE"/>
    <x v="1"/>
    <x v="125"/>
    <x v="125"/>
    <x v="8"/>
    <x v="89"/>
    <x v="0"/>
    <x v="0"/>
    <x v="0"/>
    <n v="0"/>
    <n v="0"/>
  </r>
  <r>
    <s v="SPAR WESTERN CAPE"/>
    <x v="1"/>
    <x v="125"/>
    <x v="125"/>
    <x v="8"/>
    <x v="89"/>
    <x v="0"/>
    <x v="1"/>
    <x v="1"/>
    <n v="0"/>
    <n v="0"/>
  </r>
  <r>
    <s v="SPAR WESTERN CAPE"/>
    <x v="1"/>
    <x v="125"/>
    <x v="125"/>
    <x v="8"/>
    <x v="89"/>
    <x v="0"/>
    <x v="2"/>
    <x v="2"/>
    <n v="0"/>
    <n v="0"/>
  </r>
  <r>
    <s v="SPAR WESTERN CAPE"/>
    <x v="1"/>
    <x v="125"/>
    <x v="125"/>
    <x v="8"/>
    <x v="89"/>
    <x v="0"/>
    <x v="3"/>
    <x v="3"/>
    <n v="0"/>
    <n v="0"/>
  </r>
  <r>
    <s v="SPAR WESTERN CAPE"/>
    <x v="1"/>
    <x v="125"/>
    <x v="125"/>
    <x v="8"/>
    <x v="89"/>
    <x v="0"/>
    <x v="4"/>
    <x v="4"/>
    <n v="0"/>
    <n v="0"/>
  </r>
  <r>
    <s v="SPAR WESTERN CAPE"/>
    <x v="1"/>
    <x v="125"/>
    <x v="125"/>
    <x v="8"/>
    <x v="89"/>
    <x v="0"/>
    <x v="5"/>
    <x v="5"/>
    <n v="0"/>
    <n v="0"/>
  </r>
  <r>
    <s v="SPAR WESTERN CAPE"/>
    <x v="1"/>
    <x v="125"/>
    <x v="125"/>
    <x v="8"/>
    <x v="89"/>
    <x v="0"/>
    <x v="6"/>
    <x v="6"/>
    <n v="0"/>
    <n v="0"/>
  </r>
  <r>
    <s v="SPAR WESTERN CAPE"/>
    <x v="1"/>
    <x v="126"/>
    <x v="126"/>
    <x v="48"/>
    <x v="90"/>
    <x v="0"/>
    <x v="0"/>
    <x v="0"/>
    <n v="0"/>
    <n v="0"/>
  </r>
  <r>
    <s v="SPAR WESTERN CAPE"/>
    <x v="1"/>
    <x v="126"/>
    <x v="126"/>
    <x v="48"/>
    <x v="90"/>
    <x v="0"/>
    <x v="1"/>
    <x v="1"/>
    <n v="0"/>
    <n v="0"/>
  </r>
  <r>
    <s v="SPAR WESTERN CAPE"/>
    <x v="1"/>
    <x v="126"/>
    <x v="126"/>
    <x v="48"/>
    <x v="90"/>
    <x v="0"/>
    <x v="2"/>
    <x v="2"/>
    <n v="0"/>
    <n v="0"/>
  </r>
  <r>
    <s v="SPAR WESTERN CAPE"/>
    <x v="1"/>
    <x v="126"/>
    <x v="126"/>
    <x v="48"/>
    <x v="90"/>
    <x v="0"/>
    <x v="3"/>
    <x v="3"/>
    <n v="0"/>
    <n v="0"/>
  </r>
  <r>
    <s v="SPAR WESTERN CAPE"/>
    <x v="1"/>
    <x v="126"/>
    <x v="126"/>
    <x v="48"/>
    <x v="90"/>
    <x v="0"/>
    <x v="4"/>
    <x v="4"/>
    <n v="0"/>
    <n v="0"/>
  </r>
  <r>
    <s v="SPAR WESTERN CAPE"/>
    <x v="1"/>
    <x v="126"/>
    <x v="126"/>
    <x v="48"/>
    <x v="90"/>
    <x v="0"/>
    <x v="5"/>
    <x v="5"/>
    <n v="0"/>
    <n v="0"/>
  </r>
  <r>
    <s v="SPAR WESTERN CAPE"/>
    <x v="1"/>
    <x v="126"/>
    <x v="126"/>
    <x v="48"/>
    <x v="90"/>
    <x v="0"/>
    <x v="6"/>
    <x v="6"/>
    <n v="0"/>
    <n v="0"/>
  </r>
  <r>
    <s v="SPAR WESTERN CAPE"/>
    <x v="1"/>
    <x v="127"/>
    <x v="127"/>
    <x v="23"/>
    <x v="91"/>
    <x v="0"/>
    <x v="0"/>
    <x v="0"/>
    <n v="0"/>
    <n v="0"/>
  </r>
  <r>
    <s v="SPAR WESTERN CAPE"/>
    <x v="1"/>
    <x v="127"/>
    <x v="127"/>
    <x v="23"/>
    <x v="91"/>
    <x v="0"/>
    <x v="1"/>
    <x v="1"/>
    <n v="0"/>
    <n v="0"/>
  </r>
  <r>
    <s v="SPAR WESTERN CAPE"/>
    <x v="1"/>
    <x v="127"/>
    <x v="127"/>
    <x v="23"/>
    <x v="91"/>
    <x v="0"/>
    <x v="2"/>
    <x v="2"/>
    <n v="0"/>
    <n v="0"/>
  </r>
  <r>
    <s v="SPAR WESTERN CAPE"/>
    <x v="1"/>
    <x v="127"/>
    <x v="127"/>
    <x v="23"/>
    <x v="91"/>
    <x v="0"/>
    <x v="3"/>
    <x v="3"/>
    <n v="0"/>
    <n v="0"/>
  </r>
  <r>
    <s v="SPAR WESTERN CAPE"/>
    <x v="1"/>
    <x v="127"/>
    <x v="127"/>
    <x v="23"/>
    <x v="91"/>
    <x v="0"/>
    <x v="4"/>
    <x v="4"/>
    <n v="0"/>
    <n v="0"/>
  </r>
  <r>
    <s v="SPAR WESTERN CAPE"/>
    <x v="1"/>
    <x v="127"/>
    <x v="127"/>
    <x v="23"/>
    <x v="91"/>
    <x v="0"/>
    <x v="5"/>
    <x v="5"/>
    <n v="0"/>
    <n v="0"/>
  </r>
  <r>
    <s v="SPAR WESTERN CAPE"/>
    <x v="1"/>
    <x v="127"/>
    <x v="127"/>
    <x v="23"/>
    <x v="91"/>
    <x v="0"/>
    <x v="6"/>
    <x v="6"/>
    <n v="0"/>
    <n v="0"/>
  </r>
  <r>
    <s v="SPAR WESTERN CAPE"/>
    <x v="1"/>
    <x v="128"/>
    <x v="128"/>
    <x v="49"/>
    <x v="92"/>
    <x v="0"/>
    <x v="0"/>
    <x v="0"/>
    <n v="0"/>
    <n v="0"/>
  </r>
  <r>
    <s v="SPAR WESTERN CAPE"/>
    <x v="1"/>
    <x v="128"/>
    <x v="128"/>
    <x v="49"/>
    <x v="92"/>
    <x v="0"/>
    <x v="1"/>
    <x v="1"/>
    <n v="0"/>
    <n v="0"/>
  </r>
  <r>
    <s v="SPAR WESTERN CAPE"/>
    <x v="1"/>
    <x v="128"/>
    <x v="128"/>
    <x v="49"/>
    <x v="92"/>
    <x v="0"/>
    <x v="2"/>
    <x v="2"/>
    <n v="0"/>
    <n v="0"/>
  </r>
  <r>
    <s v="SPAR WESTERN CAPE"/>
    <x v="1"/>
    <x v="128"/>
    <x v="128"/>
    <x v="49"/>
    <x v="92"/>
    <x v="0"/>
    <x v="3"/>
    <x v="3"/>
    <n v="0"/>
    <n v="0"/>
  </r>
  <r>
    <s v="SPAR WESTERN CAPE"/>
    <x v="1"/>
    <x v="128"/>
    <x v="128"/>
    <x v="49"/>
    <x v="92"/>
    <x v="0"/>
    <x v="4"/>
    <x v="4"/>
    <n v="0"/>
    <n v="0"/>
  </r>
  <r>
    <s v="SPAR WESTERN CAPE"/>
    <x v="1"/>
    <x v="128"/>
    <x v="128"/>
    <x v="49"/>
    <x v="92"/>
    <x v="0"/>
    <x v="5"/>
    <x v="5"/>
    <n v="0"/>
    <n v="0"/>
  </r>
  <r>
    <s v="SPAR WESTERN CAPE"/>
    <x v="1"/>
    <x v="128"/>
    <x v="128"/>
    <x v="49"/>
    <x v="92"/>
    <x v="0"/>
    <x v="6"/>
    <x v="6"/>
    <n v="0"/>
    <n v="0"/>
  </r>
  <r>
    <s v="SPAR WESTERN CAPE"/>
    <x v="1"/>
    <x v="129"/>
    <x v="129"/>
    <x v="47"/>
    <x v="93"/>
    <x v="0"/>
    <x v="0"/>
    <x v="0"/>
    <n v="0"/>
    <n v="0"/>
  </r>
  <r>
    <s v="SPAR WESTERN CAPE"/>
    <x v="1"/>
    <x v="129"/>
    <x v="129"/>
    <x v="47"/>
    <x v="93"/>
    <x v="0"/>
    <x v="1"/>
    <x v="1"/>
    <n v="0"/>
    <n v="0"/>
  </r>
  <r>
    <s v="SPAR WESTERN CAPE"/>
    <x v="1"/>
    <x v="129"/>
    <x v="129"/>
    <x v="47"/>
    <x v="93"/>
    <x v="0"/>
    <x v="2"/>
    <x v="2"/>
    <n v="0"/>
    <n v="0"/>
  </r>
  <r>
    <s v="SPAR WESTERN CAPE"/>
    <x v="1"/>
    <x v="129"/>
    <x v="129"/>
    <x v="47"/>
    <x v="93"/>
    <x v="0"/>
    <x v="3"/>
    <x v="3"/>
    <n v="0"/>
    <n v="0"/>
  </r>
  <r>
    <s v="SPAR WESTERN CAPE"/>
    <x v="1"/>
    <x v="129"/>
    <x v="129"/>
    <x v="47"/>
    <x v="93"/>
    <x v="0"/>
    <x v="4"/>
    <x v="4"/>
    <n v="0"/>
    <n v="0"/>
  </r>
  <r>
    <s v="SPAR WESTERN CAPE"/>
    <x v="1"/>
    <x v="129"/>
    <x v="129"/>
    <x v="47"/>
    <x v="93"/>
    <x v="0"/>
    <x v="5"/>
    <x v="5"/>
    <n v="0"/>
    <n v="0"/>
  </r>
  <r>
    <s v="SPAR WESTERN CAPE"/>
    <x v="1"/>
    <x v="129"/>
    <x v="129"/>
    <x v="47"/>
    <x v="93"/>
    <x v="0"/>
    <x v="6"/>
    <x v="6"/>
    <n v="0"/>
    <n v="0"/>
  </r>
  <r>
    <s v="SPAR WESTERN CAPE"/>
    <x v="1"/>
    <x v="130"/>
    <x v="75"/>
    <x v="5"/>
    <x v="9"/>
    <x v="0"/>
    <x v="0"/>
    <x v="0"/>
    <n v="0"/>
    <n v="0"/>
  </r>
  <r>
    <s v="SPAR WESTERN CAPE"/>
    <x v="1"/>
    <x v="130"/>
    <x v="75"/>
    <x v="5"/>
    <x v="9"/>
    <x v="0"/>
    <x v="1"/>
    <x v="1"/>
    <n v="0"/>
    <n v="0"/>
  </r>
  <r>
    <s v="SPAR WESTERN CAPE"/>
    <x v="1"/>
    <x v="130"/>
    <x v="75"/>
    <x v="5"/>
    <x v="9"/>
    <x v="0"/>
    <x v="2"/>
    <x v="2"/>
    <n v="0"/>
    <n v="0"/>
  </r>
  <r>
    <s v="SPAR WESTERN CAPE"/>
    <x v="1"/>
    <x v="130"/>
    <x v="75"/>
    <x v="5"/>
    <x v="9"/>
    <x v="0"/>
    <x v="3"/>
    <x v="3"/>
    <n v="0"/>
    <n v="0"/>
  </r>
  <r>
    <s v="SPAR WESTERN CAPE"/>
    <x v="1"/>
    <x v="130"/>
    <x v="75"/>
    <x v="5"/>
    <x v="9"/>
    <x v="0"/>
    <x v="4"/>
    <x v="4"/>
    <n v="0"/>
    <n v="0"/>
  </r>
  <r>
    <s v="SPAR WESTERN CAPE"/>
    <x v="1"/>
    <x v="130"/>
    <x v="75"/>
    <x v="5"/>
    <x v="9"/>
    <x v="0"/>
    <x v="5"/>
    <x v="5"/>
    <n v="0"/>
    <n v="0"/>
  </r>
  <r>
    <s v="SPAR WESTERN CAPE"/>
    <x v="1"/>
    <x v="130"/>
    <x v="75"/>
    <x v="5"/>
    <x v="9"/>
    <x v="0"/>
    <x v="6"/>
    <x v="6"/>
    <n v="0"/>
    <n v="0"/>
  </r>
  <r>
    <s v="SPAR WESTERN CAPE"/>
    <x v="1"/>
    <x v="131"/>
    <x v="130"/>
    <x v="5"/>
    <x v="9"/>
    <x v="0"/>
    <x v="0"/>
    <x v="0"/>
    <n v="0"/>
    <n v="0"/>
  </r>
  <r>
    <s v="SPAR WESTERN CAPE"/>
    <x v="1"/>
    <x v="131"/>
    <x v="130"/>
    <x v="5"/>
    <x v="9"/>
    <x v="0"/>
    <x v="1"/>
    <x v="1"/>
    <n v="0"/>
    <n v="0"/>
  </r>
  <r>
    <s v="SPAR WESTERN CAPE"/>
    <x v="1"/>
    <x v="131"/>
    <x v="130"/>
    <x v="5"/>
    <x v="9"/>
    <x v="0"/>
    <x v="2"/>
    <x v="2"/>
    <n v="0"/>
    <n v="0"/>
  </r>
  <r>
    <s v="SPAR WESTERN CAPE"/>
    <x v="1"/>
    <x v="131"/>
    <x v="130"/>
    <x v="5"/>
    <x v="9"/>
    <x v="0"/>
    <x v="3"/>
    <x v="3"/>
    <n v="0"/>
    <n v="0"/>
  </r>
  <r>
    <s v="SPAR WESTERN CAPE"/>
    <x v="1"/>
    <x v="131"/>
    <x v="130"/>
    <x v="5"/>
    <x v="9"/>
    <x v="0"/>
    <x v="4"/>
    <x v="4"/>
    <n v="0"/>
    <n v="0"/>
  </r>
  <r>
    <s v="SPAR WESTERN CAPE"/>
    <x v="1"/>
    <x v="131"/>
    <x v="130"/>
    <x v="5"/>
    <x v="9"/>
    <x v="0"/>
    <x v="5"/>
    <x v="5"/>
    <n v="0"/>
    <n v="0"/>
  </r>
  <r>
    <s v="SPAR WESTERN CAPE"/>
    <x v="1"/>
    <x v="131"/>
    <x v="130"/>
    <x v="5"/>
    <x v="9"/>
    <x v="0"/>
    <x v="6"/>
    <x v="6"/>
    <n v="0"/>
    <n v="0"/>
  </r>
  <r>
    <s v="SPAR WESTERN CAPE"/>
    <x v="1"/>
    <x v="132"/>
    <x v="131"/>
    <x v="5"/>
    <x v="9"/>
    <x v="0"/>
    <x v="0"/>
    <x v="0"/>
    <n v="0"/>
    <n v="0"/>
  </r>
  <r>
    <s v="SPAR WESTERN CAPE"/>
    <x v="1"/>
    <x v="132"/>
    <x v="131"/>
    <x v="5"/>
    <x v="9"/>
    <x v="0"/>
    <x v="1"/>
    <x v="1"/>
    <n v="0"/>
    <n v="0"/>
  </r>
  <r>
    <s v="SPAR WESTERN CAPE"/>
    <x v="1"/>
    <x v="132"/>
    <x v="131"/>
    <x v="5"/>
    <x v="9"/>
    <x v="0"/>
    <x v="2"/>
    <x v="2"/>
    <n v="0"/>
    <n v="0"/>
  </r>
  <r>
    <s v="SPAR WESTERN CAPE"/>
    <x v="1"/>
    <x v="132"/>
    <x v="131"/>
    <x v="5"/>
    <x v="9"/>
    <x v="0"/>
    <x v="3"/>
    <x v="3"/>
    <n v="0"/>
    <n v="0"/>
  </r>
  <r>
    <s v="SPAR WESTERN CAPE"/>
    <x v="1"/>
    <x v="132"/>
    <x v="131"/>
    <x v="5"/>
    <x v="9"/>
    <x v="0"/>
    <x v="4"/>
    <x v="4"/>
    <n v="0"/>
    <n v="0"/>
  </r>
  <r>
    <s v="SPAR WESTERN CAPE"/>
    <x v="1"/>
    <x v="132"/>
    <x v="131"/>
    <x v="5"/>
    <x v="9"/>
    <x v="0"/>
    <x v="5"/>
    <x v="5"/>
    <n v="0"/>
    <n v="0"/>
  </r>
  <r>
    <s v="SPAR WESTERN CAPE"/>
    <x v="1"/>
    <x v="132"/>
    <x v="131"/>
    <x v="5"/>
    <x v="9"/>
    <x v="0"/>
    <x v="6"/>
    <x v="6"/>
    <n v="0"/>
    <n v="0"/>
  </r>
  <r>
    <s v="SPAR WESTERN CAPE"/>
    <x v="1"/>
    <x v="133"/>
    <x v="132"/>
    <x v="13"/>
    <x v="53"/>
    <x v="0"/>
    <x v="0"/>
    <x v="0"/>
    <n v="0"/>
    <n v="0"/>
  </r>
  <r>
    <s v="SPAR WESTERN CAPE"/>
    <x v="1"/>
    <x v="133"/>
    <x v="132"/>
    <x v="13"/>
    <x v="53"/>
    <x v="0"/>
    <x v="2"/>
    <x v="2"/>
    <n v="0"/>
    <n v="0"/>
  </r>
  <r>
    <s v="SPAR WESTERN CAPE"/>
    <x v="1"/>
    <x v="133"/>
    <x v="132"/>
    <x v="13"/>
    <x v="53"/>
    <x v="0"/>
    <x v="3"/>
    <x v="3"/>
    <n v="0"/>
    <n v="0"/>
  </r>
  <r>
    <s v="SPAR WESTERN CAPE"/>
    <x v="1"/>
    <x v="133"/>
    <x v="132"/>
    <x v="13"/>
    <x v="53"/>
    <x v="0"/>
    <x v="4"/>
    <x v="4"/>
    <n v="0"/>
    <n v="0"/>
  </r>
  <r>
    <s v="SPAR WESTERN CAPE"/>
    <x v="1"/>
    <x v="133"/>
    <x v="132"/>
    <x v="13"/>
    <x v="53"/>
    <x v="0"/>
    <x v="5"/>
    <x v="5"/>
    <n v="0"/>
    <n v="0"/>
  </r>
  <r>
    <s v="SPAR WESTERN CAPE"/>
    <x v="1"/>
    <x v="133"/>
    <x v="132"/>
    <x v="13"/>
    <x v="53"/>
    <x v="0"/>
    <x v="6"/>
    <x v="6"/>
    <n v="0"/>
    <n v="0"/>
  </r>
  <r>
    <s v="SPAR WESTERN CAPE"/>
    <x v="1"/>
    <x v="134"/>
    <x v="133"/>
    <x v="5"/>
    <x v="9"/>
    <x v="0"/>
    <x v="0"/>
    <x v="0"/>
    <n v="0"/>
    <n v="0"/>
  </r>
  <r>
    <s v="SPAR WESTERN CAPE"/>
    <x v="1"/>
    <x v="134"/>
    <x v="133"/>
    <x v="5"/>
    <x v="9"/>
    <x v="0"/>
    <x v="2"/>
    <x v="2"/>
    <n v="0"/>
    <n v="0"/>
  </r>
  <r>
    <s v="SPAR WESTERN CAPE"/>
    <x v="1"/>
    <x v="134"/>
    <x v="133"/>
    <x v="5"/>
    <x v="9"/>
    <x v="0"/>
    <x v="4"/>
    <x v="4"/>
    <n v="0"/>
    <n v="0"/>
  </r>
  <r>
    <s v="SPAR WESTERN CAPE"/>
    <x v="1"/>
    <x v="134"/>
    <x v="133"/>
    <x v="5"/>
    <x v="9"/>
    <x v="0"/>
    <x v="5"/>
    <x v="5"/>
    <n v="0"/>
    <n v="0"/>
  </r>
  <r>
    <s v="SPAR WESTERN CAPE"/>
    <x v="1"/>
    <x v="134"/>
    <x v="133"/>
    <x v="5"/>
    <x v="9"/>
    <x v="0"/>
    <x v="6"/>
    <x v="6"/>
    <n v="0"/>
    <n v="0"/>
  </r>
  <r>
    <s v="SPAR WESTERN CAPE"/>
    <x v="1"/>
    <x v="135"/>
    <x v="134"/>
    <x v="5"/>
    <x v="9"/>
    <x v="0"/>
    <x v="0"/>
    <x v="0"/>
    <n v="0"/>
    <n v="0"/>
  </r>
  <r>
    <s v="SPAR WESTERN CAPE"/>
    <x v="1"/>
    <x v="135"/>
    <x v="134"/>
    <x v="5"/>
    <x v="9"/>
    <x v="0"/>
    <x v="1"/>
    <x v="1"/>
    <n v="0"/>
    <n v="0"/>
  </r>
  <r>
    <s v="SPAR WESTERN CAPE"/>
    <x v="1"/>
    <x v="135"/>
    <x v="134"/>
    <x v="5"/>
    <x v="9"/>
    <x v="0"/>
    <x v="2"/>
    <x v="2"/>
    <n v="0"/>
    <n v="0"/>
  </r>
  <r>
    <s v="SPAR WESTERN CAPE"/>
    <x v="1"/>
    <x v="135"/>
    <x v="134"/>
    <x v="5"/>
    <x v="9"/>
    <x v="0"/>
    <x v="3"/>
    <x v="3"/>
    <n v="0"/>
    <n v="0"/>
  </r>
  <r>
    <s v="SPAR WESTERN CAPE"/>
    <x v="1"/>
    <x v="135"/>
    <x v="134"/>
    <x v="5"/>
    <x v="9"/>
    <x v="0"/>
    <x v="4"/>
    <x v="4"/>
    <n v="0"/>
    <n v="0"/>
  </r>
  <r>
    <s v="SPAR WESTERN CAPE"/>
    <x v="1"/>
    <x v="135"/>
    <x v="134"/>
    <x v="5"/>
    <x v="9"/>
    <x v="0"/>
    <x v="5"/>
    <x v="5"/>
    <n v="0"/>
    <n v="0"/>
  </r>
  <r>
    <s v="SPAR WESTERN CAPE"/>
    <x v="1"/>
    <x v="135"/>
    <x v="134"/>
    <x v="5"/>
    <x v="9"/>
    <x v="0"/>
    <x v="6"/>
    <x v="6"/>
    <n v="0"/>
    <n v="0"/>
  </r>
  <r>
    <s v="SPAR WESTERN CAPE"/>
    <x v="1"/>
    <x v="136"/>
    <x v="135"/>
    <x v="5"/>
    <x v="9"/>
    <x v="0"/>
    <x v="0"/>
    <x v="0"/>
    <n v="0"/>
    <n v="0"/>
  </r>
  <r>
    <s v="SPAR WESTERN CAPE"/>
    <x v="1"/>
    <x v="136"/>
    <x v="135"/>
    <x v="5"/>
    <x v="9"/>
    <x v="0"/>
    <x v="1"/>
    <x v="1"/>
    <n v="0"/>
    <n v="0"/>
  </r>
  <r>
    <s v="SPAR WESTERN CAPE"/>
    <x v="1"/>
    <x v="136"/>
    <x v="135"/>
    <x v="5"/>
    <x v="9"/>
    <x v="0"/>
    <x v="2"/>
    <x v="2"/>
    <n v="0"/>
    <n v="0"/>
  </r>
  <r>
    <s v="SPAR WESTERN CAPE"/>
    <x v="1"/>
    <x v="136"/>
    <x v="135"/>
    <x v="5"/>
    <x v="9"/>
    <x v="0"/>
    <x v="3"/>
    <x v="3"/>
    <n v="0"/>
    <n v="0"/>
  </r>
  <r>
    <s v="SPAR WESTERN CAPE"/>
    <x v="1"/>
    <x v="136"/>
    <x v="135"/>
    <x v="5"/>
    <x v="9"/>
    <x v="0"/>
    <x v="4"/>
    <x v="4"/>
    <n v="0"/>
    <n v="0"/>
  </r>
  <r>
    <s v="SPAR WESTERN CAPE"/>
    <x v="1"/>
    <x v="136"/>
    <x v="135"/>
    <x v="5"/>
    <x v="9"/>
    <x v="0"/>
    <x v="5"/>
    <x v="5"/>
    <n v="0"/>
    <n v="0"/>
  </r>
  <r>
    <s v="SPAR WESTERN CAPE"/>
    <x v="1"/>
    <x v="136"/>
    <x v="135"/>
    <x v="5"/>
    <x v="9"/>
    <x v="0"/>
    <x v="6"/>
    <x v="6"/>
    <n v="0"/>
    <n v="0"/>
  </r>
  <r>
    <s v="SPAR WESTERN CAPE"/>
    <x v="1"/>
    <x v="137"/>
    <x v="136"/>
    <x v="13"/>
    <x v="53"/>
    <x v="0"/>
    <x v="0"/>
    <x v="0"/>
    <n v="0"/>
    <n v="0"/>
  </r>
  <r>
    <s v="SPAR WESTERN CAPE"/>
    <x v="1"/>
    <x v="137"/>
    <x v="136"/>
    <x v="13"/>
    <x v="53"/>
    <x v="0"/>
    <x v="1"/>
    <x v="1"/>
    <n v="0"/>
    <n v="0"/>
  </r>
  <r>
    <s v="SPAR WESTERN CAPE"/>
    <x v="1"/>
    <x v="137"/>
    <x v="136"/>
    <x v="13"/>
    <x v="53"/>
    <x v="0"/>
    <x v="2"/>
    <x v="2"/>
    <n v="0"/>
    <n v="0"/>
  </r>
  <r>
    <s v="SPAR WESTERN CAPE"/>
    <x v="1"/>
    <x v="137"/>
    <x v="136"/>
    <x v="13"/>
    <x v="53"/>
    <x v="0"/>
    <x v="3"/>
    <x v="3"/>
    <n v="0"/>
    <n v="0"/>
  </r>
  <r>
    <s v="SPAR WESTERN CAPE"/>
    <x v="1"/>
    <x v="137"/>
    <x v="136"/>
    <x v="13"/>
    <x v="53"/>
    <x v="0"/>
    <x v="4"/>
    <x v="4"/>
    <n v="0"/>
    <n v="0"/>
  </r>
  <r>
    <s v="SPAR WESTERN CAPE"/>
    <x v="1"/>
    <x v="137"/>
    <x v="136"/>
    <x v="13"/>
    <x v="53"/>
    <x v="0"/>
    <x v="5"/>
    <x v="5"/>
    <n v="0"/>
    <n v="0"/>
  </r>
  <r>
    <s v="SPAR WESTERN CAPE"/>
    <x v="1"/>
    <x v="137"/>
    <x v="136"/>
    <x v="13"/>
    <x v="53"/>
    <x v="0"/>
    <x v="6"/>
    <x v="6"/>
    <n v="0"/>
    <n v="0"/>
  </r>
  <r>
    <s v="SPAR WESTERN CAPE"/>
    <x v="1"/>
    <x v="138"/>
    <x v="137"/>
    <x v="13"/>
    <x v="53"/>
    <x v="0"/>
    <x v="0"/>
    <x v="0"/>
    <n v="0"/>
    <n v="0"/>
  </r>
  <r>
    <s v="SPAR WESTERN CAPE"/>
    <x v="1"/>
    <x v="138"/>
    <x v="137"/>
    <x v="13"/>
    <x v="53"/>
    <x v="0"/>
    <x v="1"/>
    <x v="1"/>
    <n v="0"/>
    <n v="0"/>
  </r>
  <r>
    <s v="SPAR WESTERN CAPE"/>
    <x v="1"/>
    <x v="138"/>
    <x v="137"/>
    <x v="13"/>
    <x v="53"/>
    <x v="0"/>
    <x v="3"/>
    <x v="3"/>
    <n v="0"/>
    <n v="0"/>
  </r>
  <r>
    <s v="SPAR WESTERN CAPE"/>
    <x v="1"/>
    <x v="138"/>
    <x v="137"/>
    <x v="13"/>
    <x v="53"/>
    <x v="0"/>
    <x v="4"/>
    <x v="4"/>
    <n v="0"/>
    <n v="0"/>
  </r>
  <r>
    <s v="SPAR WESTERN CAPE"/>
    <x v="1"/>
    <x v="138"/>
    <x v="137"/>
    <x v="13"/>
    <x v="53"/>
    <x v="0"/>
    <x v="5"/>
    <x v="5"/>
    <n v="0"/>
    <n v="0"/>
  </r>
  <r>
    <s v="SPAR WESTERN CAPE"/>
    <x v="1"/>
    <x v="138"/>
    <x v="137"/>
    <x v="13"/>
    <x v="53"/>
    <x v="0"/>
    <x v="6"/>
    <x v="6"/>
    <n v="0"/>
    <n v="0"/>
  </r>
  <r>
    <s v="SPAR WESTERN CAPE"/>
    <x v="1"/>
    <x v="139"/>
    <x v="138"/>
    <x v="13"/>
    <x v="53"/>
    <x v="0"/>
    <x v="0"/>
    <x v="0"/>
    <n v="0"/>
    <n v="0"/>
  </r>
  <r>
    <s v="SPAR WESTERN CAPE"/>
    <x v="1"/>
    <x v="139"/>
    <x v="138"/>
    <x v="13"/>
    <x v="53"/>
    <x v="0"/>
    <x v="1"/>
    <x v="1"/>
    <n v="0"/>
    <n v="0"/>
  </r>
  <r>
    <s v="SPAR WESTERN CAPE"/>
    <x v="1"/>
    <x v="139"/>
    <x v="138"/>
    <x v="13"/>
    <x v="53"/>
    <x v="0"/>
    <x v="2"/>
    <x v="2"/>
    <n v="0"/>
    <n v="0"/>
  </r>
  <r>
    <s v="SPAR WESTERN CAPE"/>
    <x v="1"/>
    <x v="139"/>
    <x v="138"/>
    <x v="13"/>
    <x v="53"/>
    <x v="0"/>
    <x v="3"/>
    <x v="3"/>
    <n v="0"/>
    <n v="0"/>
  </r>
  <r>
    <s v="SPAR WESTERN CAPE"/>
    <x v="1"/>
    <x v="139"/>
    <x v="138"/>
    <x v="13"/>
    <x v="53"/>
    <x v="0"/>
    <x v="4"/>
    <x v="4"/>
    <n v="0"/>
    <n v="0"/>
  </r>
  <r>
    <s v="SPAR WESTERN CAPE"/>
    <x v="1"/>
    <x v="139"/>
    <x v="138"/>
    <x v="13"/>
    <x v="53"/>
    <x v="0"/>
    <x v="5"/>
    <x v="5"/>
    <n v="0"/>
    <n v="0"/>
  </r>
  <r>
    <s v="SPAR WESTERN CAPE"/>
    <x v="1"/>
    <x v="139"/>
    <x v="138"/>
    <x v="13"/>
    <x v="53"/>
    <x v="0"/>
    <x v="6"/>
    <x v="6"/>
    <n v="0"/>
    <n v="0"/>
  </r>
  <r>
    <s v="SPAR WESTERN CAPE"/>
    <x v="1"/>
    <x v="140"/>
    <x v="135"/>
    <x v="13"/>
    <x v="53"/>
    <x v="0"/>
    <x v="0"/>
    <x v="0"/>
    <n v="0"/>
    <n v="0"/>
  </r>
  <r>
    <s v="SPAR WESTERN CAPE"/>
    <x v="1"/>
    <x v="140"/>
    <x v="135"/>
    <x v="13"/>
    <x v="53"/>
    <x v="0"/>
    <x v="1"/>
    <x v="1"/>
    <n v="0"/>
    <n v="0"/>
  </r>
  <r>
    <s v="SPAR WESTERN CAPE"/>
    <x v="1"/>
    <x v="140"/>
    <x v="135"/>
    <x v="13"/>
    <x v="53"/>
    <x v="0"/>
    <x v="3"/>
    <x v="3"/>
    <n v="0"/>
    <n v="0"/>
  </r>
  <r>
    <s v="SPAR WESTERN CAPE"/>
    <x v="1"/>
    <x v="140"/>
    <x v="135"/>
    <x v="13"/>
    <x v="53"/>
    <x v="0"/>
    <x v="4"/>
    <x v="4"/>
    <n v="0"/>
    <n v="0"/>
  </r>
  <r>
    <s v="SPAR WESTERN CAPE"/>
    <x v="1"/>
    <x v="140"/>
    <x v="135"/>
    <x v="13"/>
    <x v="53"/>
    <x v="0"/>
    <x v="5"/>
    <x v="5"/>
    <n v="0"/>
    <n v="0"/>
  </r>
  <r>
    <s v="SPAR WESTERN CAPE"/>
    <x v="1"/>
    <x v="140"/>
    <x v="135"/>
    <x v="13"/>
    <x v="53"/>
    <x v="0"/>
    <x v="6"/>
    <x v="6"/>
    <n v="0"/>
    <n v="0"/>
  </r>
  <r>
    <s v="SPAR WESTERN CAPE"/>
    <x v="1"/>
    <x v="141"/>
    <x v="139"/>
    <x v="13"/>
    <x v="53"/>
    <x v="0"/>
    <x v="0"/>
    <x v="0"/>
    <n v="0"/>
    <n v="0"/>
  </r>
  <r>
    <s v="SPAR WESTERN CAPE"/>
    <x v="1"/>
    <x v="141"/>
    <x v="139"/>
    <x v="13"/>
    <x v="53"/>
    <x v="0"/>
    <x v="1"/>
    <x v="1"/>
    <n v="0"/>
    <n v="0"/>
  </r>
  <r>
    <s v="SPAR WESTERN CAPE"/>
    <x v="1"/>
    <x v="141"/>
    <x v="139"/>
    <x v="13"/>
    <x v="53"/>
    <x v="0"/>
    <x v="2"/>
    <x v="2"/>
    <n v="0"/>
    <n v="0"/>
  </r>
  <r>
    <s v="SPAR WESTERN CAPE"/>
    <x v="1"/>
    <x v="141"/>
    <x v="139"/>
    <x v="13"/>
    <x v="53"/>
    <x v="0"/>
    <x v="3"/>
    <x v="3"/>
    <n v="0"/>
    <n v="0"/>
  </r>
  <r>
    <s v="SPAR WESTERN CAPE"/>
    <x v="1"/>
    <x v="141"/>
    <x v="139"/>
    <x v="13"/>
    <x v="53"/>
    <x v="0"/>
    <x v="4"/>
    <x v="4"/>
    <n v="0"/>
    <n v="0"/>
  </r>
  <r>
    <s v="SPAR WESTERN CAPE"/>
    <x v="1"/>
    <x v="141"/>
    <x v="139"/>
    <x v="13"/>
    <x v="53"/>
    <x v="0"/>
    <x v="5"/>
    <x v="5"/>
    <n v="0"/>
    <n v="0"/>
  </r>
  <r>
    <s v="SPAR WESTERN CAPE"/>
    <x v="1"/>
    <x v="141"/>
    <x v="139"/>
    <x v="13"/>
    <x v="53"/>
    <x v="0"/>
    <x v="6"/>
    <x v="6"/>
    <n v="0"/>
    <n v="0"/>
  </r>
  <r>
    <s v="SPAR WESTERN CAPE"/>
    <x v="1"/>
    <x v="142"/>
    <x v="140"/>
    <x v="13"/>
    <x v="53"/>
    <x v="0"/>
    <x v="0"/>
    <x v="0"/>
    <n v="0"/>
    <n v="0"/>
  </r>
  <r>
    <s v="SPAR WESTERN CAPE"/>
    <x v="1"/>
    <x v="142"/>
    <x v="140"/>
    <x v="13"/>
    <x v="53"/>
    <x v="0"/>
    <x v="1"/>
    <x v="1"/>
    <n v="0"/>
    <n v="0"/>
  </r>
  <r>
    <s v="SPAR WESTERN CAPE"/>
    <x v="1"/>
    <x v="142"/>
    <x v="140"/>
    <x v="13"/>
    <x v="53"/>
    <x v="0"/>
    <x v="2"/>
    <x v="2"/>
    <n v="0"/>
    <n v="0"/>
  </r>
  <r>
    <s v="SPAR WESTERN CAPE"/>
    <x v="1"/>
    <x v="142"/>
    <x v="140"/>
    <x v="13"/>
    <x v="53"/>
    <x v="0"/>
    <x v="3"/>
    <x v="3"/>
    <n v="0"/>
    <n v="0"/>
  </r>
  <r>
    <s v="SPAR WESTERN CAPE"/>
    <x v="1"/>
    <x v="142"/>
    <x v="140"/>
    <x v="13"/>
    <x v="53"/>
    <x v="0"/>
    <x v="4"/>
    <x v="4"/>
    <n v="0"/>
    <n v="0"/>
  </r>
  <r>
    <s v="SPAR WESTERN CAPE"/>
    <x v="1"/>
    <x v="142"/>
    <x v="140"/>
    <x v="13"/>
    <x v="53"/>
    <x v="0"/>
    <x v="5"/>
    <x v="5"/>
    <n v="0"/>
    <n v="0"/>
  </r>
  <r>
    <s v="SPAR WESTERN CAPE"/>
    <x v="1"/>
    <x v="142"/>
    <x v="140"/>
    <x v="13"/>
    <x v="53"/>
    <x v="0"/>
    <x v="6"/>
    <x v="6"/>
    <n v="0"/>
    <n v="0"/>
  </r>
  <r>
    <s v="SPAR WESTERN CAPE"/>
    <x v="1"/>
    <x v="143"/>
    <x v="134"/>
    <x v="13"/>
    <x v="53"/>
    <x v="0"/>
    <x v="0"/>
    <x v="0"/>
    <n v="0"/>
    <n v="0"/>
  </r>
  <r>
    <s v="SPAR WESTERN CAPE"/>
    <x v="1"/>
    <x v="143"/>
    <x v="134"/>
    <x v="13"/>
    <x v="53"/>
    <x v="0"/>
    <x v="1"/>
    <x v="1"/>
    <n v="0"/>
    <n v="0"/>
  </r>
  <r>
    <s v="SPAR WESTERN CAPE"/>
    <x v="1"/>
    <x v="143"/>
    <x v="134"/>
    <x v="13"/>
    <x v="53"/>
    <x v="0"/>
    <x v="2"/>
    <x v="2"/>
    <n v="0"/>
    <n v="0"/>
  </r>
  <r>
    <s v="SPAR WESTERN CAPE"/>
    <x v="1"/>
    <x v="143"/>
    <x v="134"/>
    <x v="13"/>
    <x v="53"/>
    <x v="0"/>
    <x v="3"/>
    <x v="3"/>
    <n v="0"/>
    <n v="0"/>
  </r>
  <r>
    <s v="SPAR WESTERN CAPE"/>
    <x v="1"/>
    <x v="143"/>
    <x v="134"/>
    <x v="13"/>
    <x v="53"/>
    <x v="0"/>
    <x v="4"/>
    <x v="4"/>
    <n v="0"/>
    <n v="0"/>
  </r>
  <r>
    <s v="SPAR WESTERN CAPE"/>
    <x v="1"/>
    <x v="143"/>
    <x v="134"/>
    <x v="13"/>
    <x v="53"/>
    <x v="0"/>
    <x v="5"/>
    <x v="5"/>
    <n v="0"/>
    <n v="0"/>
  </r>
  <r>
    <s v="SPAR WESTERN CAPE"/>
    <x v="1"/>
    <x v="143"/>
    <x v="134"/>
    <x v="13"/>
    <x v="53"/>
    <x v="0"/>
    <x v="6"/>
    <x v="6"/>
    <n v="0"/>
    <n v="0"/>
  </r>
  <r>
    <s v="SPAR WESTERN CAPE"/>
    <x v="1"/>
    <x v="144"/>
    <x v="141"/>
    <x v="13"/>
    <x v="53"/>
    <x v="0"/>
    <x v="0"/>
    <x v="0"/>
    <n v="0"/>
    <n v="0"/>
  </r>
  <r>
    <s v="SPAR WESTERN CAPE"/>
    <x v="1"/>
    <x v="144"/>
    <x v="141"/>
    <x v="13"/>
    <x v="53"/>
    <x v="0"/>
    <x v="1"/>
    <x v="1"/>
    <n v="0"/>
    <n v="0"/>
  </r>
  <r>
    <s v="SPAR WESTERN CAPE"/>
    <x v="1"/>
    <x v="144"/>
    <x v="141"/>
    <x v="13"/>
    <x v="53"/>
    <x v="0"/>
    <x v="2"/>
    <x v="2"/>
    <n v="0"/>
    <n v="0"/>
  </r>
  <r>
    <s v="SPAR WESTERN CAPE"/>
    <x v="1"/>
    <x v="144"/>
    <x v="141"/>
    <x v="13"/>
    <x v="53"/>
    <x v="0"/>
    <x v="3"/>
    <x v="3"/>
    <n v="0"/>
    <n v="0"/>
  </r>
  <r>
    <s v="SPAR WESTERN CAPE"/>
    <x v="1"/>
    <x v="144"/>
    <x v="141"/>
    <x v="13"/>
    <x v="53"/>
    <x v="0"/>
    <x v="4"/>
    <x v="4"/>
    <n v="0"/>
    <n v="0"/>
  </r>
  <r>
    <s v="SPAR WESTERN CAPE"/>
    <x v="1"/>
    <x v="144"/>
    <x v="141"/>
    <x v="13"/>
    <x v="53"/>
    <x v="0"/>
    <x v="5"/>
    <x v="5"/>
    <n v="0"/>
    <n v="0"/>
  </r>
  <r>
    <s v="SPAR WESTERN CAPE"/>
    <x v="1"/>
    <x v="144"/>
    <x v="141"/>
    <x v="13"/>
    <x v="53"/>
    <x v="0"/>
    <x v="6"/>
    <x v="6"/>
    <n v="0"/>
    <n v="0"/>
  </r>
  <r>
    <s v="SPAR WESTERN CAPE"/>
    <x v="1"/>
    <x v="145"/>
    <x v="142"/>
    <x v="50"/>
    <x v="94"/>
    <x v="0"/>
    <x v="0"/>
    <x v="0"/>
    <n v="0"/>
    <n v="0"/>
  </r>
  <r>
    <s v="SPAR WESTERN CAPE"/>
    <x v="1"/>
    <x v="145"/>
    <x v="142"/>
    <x v="50"/>
    <x v="94"/>
    <x v="0"/>
    <x v="1"/>
    <x v="1"/>
    <n v="0"/>
    <n v="0"/>
  </r>
  <r>
    <s v="SPAR WESTERN CAPE"/>
    <x v="1"/>
    <x v="145"/>
    <x v="142"/>
    <x v="50"/>
    <x v="94"/>
    <x v="0"/>
    <x v="2"/>
    <x v="2"/>
    <n v="0"/>
    <n v="0"/>
  </r>
  <r>
    <s v="SPAR WESTERN CAPE"/>
    <x v="1"/>
    <x v="145"/>
    <x v="142"/>
    <x v="50"/>
    <x v="94"/>
    <x v="0"/>
    <x v="3"/>
    <x v="3"/>
    <n v="0"/>
    <n v="0"/>
  </r>
  <r>
    <s v="SPAR WESTERN CAPE"/>
    <x v="1"/>
    <x v="145"/>
    <x v="142"/>
    <x v="50"/>
    <x v="94"/>
    <x v="0"/>
    <x v="4"/>
    <x v="4"/>
    <n v="0"/>
    <n v="0"/>
  </r>
  <r>
    <s v="SPAR WESTERN CAPE"/>
    <x v="1"/>
    <x v="145"/>
    <x v="142"/>
    <x v="50"/>
    <x v="94"/>
    <x v="0"/>
    <x v="5"/>
    <x v="5"/>
    <n v="0"/>
    <n v="0"/>
  </r>
  <r>
    <s v="SPAR WESTERN CAPE"/>
    <x v="1"/>
    <x v="145"/>
    <x v="142"/>
    <x v="50"/>
    <x v="94"/>
    <x v="0"/>
    <x v="6"/>
    <x v="6"/>
    <n v="0"/>
    <n v="0"/>
  </r>
  <r>
    <s v="SPAR WESTERN CAPE"/>
    <x v="1"/>
    <x v="146"/>
    <x v="143"/>
    <x v="51"/>
    <x v="95"/>
    <x v="0"/>
    <x v="0"/>
    <x v="0"/>
    <n v="0"/>
    <n v="0"/>
  </r>
  <r>
    <s v="SPAR WESTERN CAPE"/>
    <x v="1"/>
    <x v="146"/>
    <x v="143"/>
    <x v="51"/>
    <x v="95"/>
    <x v="0"/>
    <x v="1"/>
    <x v="1"/>
    <n v="0"/>
    <n v="0"/>
  </r>
  <r>
    <s v="SPAR WESTERN CAPE"/>
    <x v="1"/>
    <x v="146"/>
    <x v="143"/>
    <x v="51"/>
    <x v="95"/>
    <x v="0"/>
    <x v="2"/>
    <x v="2"/>
    <n v="0"/>
    <n v="0"/>
  </r>
  <r>
    <s v="SPAR WESTERN CAPE"/>
    <x v="1"/>
    <x v="146"/>
    <x v="143"/>
    <x v="51"/>
    <x v="95"/>
    <x v="0"/>
    <x v="3"/>
    <x v="3"/>
    <n v="0"/>
    <n v="0"/>
  </r>
  <r>
    <s v="SPAR WESTERN CAPE"/>
    <x v="1"/>
    <x v="146"/>
    <x v="143"/>
    <x v="51"/>
    <x v="95"/>
    <x v="0"/>
    <x v="4"/>
    <x v="4"/>
    <n v="0"/>
    <n v="0"/>
  </r>
  <r>
    <s v="SPAR WESTERN CAPE"/>
    <x v="1"/>
    <x v="146"/>
    <x v="143"/>
    <x v="51"/>
    <x v="95"/>
    <x v="0"/>
    <x v="5"/>
    <x v="5"/>
    <n v="0"/>
    <n v="0"/>
  </r>
  <r>
    <s v="SPAR WESTERN CAPE"/>
    <x v="1"/>
    <x v="146"/>
    <x v="143"/>
    <x v="51"/>
    <x v="95"/>
    <x v="0"/>
    <x v="6"/>
    <x v="6"/>
    <n v="0"/>
    <n v="0"/>
  </r>
  <r>
    <s v="SPAR WESTERN CAPE"/>
    <x v="1"/>
    <x v="147"/>
    <x v="144"/>
    <x v="21"/>
    <x v="96"/>
    <x v="0"/>
    <x v="0"/>
    <x v="0"/>
    <n v="0"/>
    <n v="0"/>
  </r>
  <r>
    <s v="SPAR WESTERN CAPE"/>
    <x v="1"/>
    <x v="147"/>
    <x v="144"/>
    <x v="21"/>
    <x v="96"/>
    <x v="0"/>
    <x v="1"/>
    <x v="1"/>
    <n v="0"/>
    <n v="0"/>
  </r>
  <r>
    <s v="SPAR WESTERN CAPE"/>
    <x v="1"/>
    <x v="147"/>
    <x v="144"/>
    <x v="21"/>
    <x v="96"/>
    <x v="0"/>
    <x v="2"/>
    <x v="2"/>
    <n v="0"/>
    <n v="0"/>
  </r>
  <r>
    <s v="SPAR WESTERN CAPE"/>
    <x v="1"/>
    <x v="147"/>
    <x v="144"/>
    <x v="21"/>
    <x v="96"/>
    <x v="0"/>
    <x v="3"/>
    <x v="3"/>
    <n v="0"/>
    <n v="0"/>
  </r>
  <r>
    <s v="SPAR WESTERN CAPE"/>
    <x v="1"/>
    <x v="147"/>
    <x v="144"/>
    <x v="21"/>
    <x v="96"/>
    <x v="0"/>
    <x v="4"/>
    <x v="4"/>
    <n v="0"/>
    <n v="0"/>
  </r>
  <r>
    <s v="SPAR WESTERN CAPE"/>
    <x v="1"/>
    <x v="147"/>
    <x v="144"/>
    <x v="21"/>
    <x v="96"/>
    <x v="0"/>
    <x v="5"/>
    <x v="5"/>
    <n v="0"/>
    <n v="0"/>
  </r>
  <r>
    <s v="SPAR WESTERN CAPE"/>
    <x v="1"/>
    <x v="147"/>
    <x v="144"/>
    <x v="21"/>
    <x v="96"/>
    <x v="0"/>
    <x v="6"/>
    <x v="6"/>
    <n v="0"/>
    <n v="0"/>
  </r>
  <r>
    <s v="SPAR WESTERN CAPE"/>
    <x v="1"/>
    <x v="148"/>
    <x v="145"/>
    <x v="20"/>
    <x v="97"/>
    <x v="0"/>
    <x v="0"/>
    <x v="0"/>
    <n v="0"/>
    <n v="0"/>
  </r>
  <r>
    <s v="SPAR WESTERN CAPE"/>
    <x v="1"/>
    <x v="148"/>
    <x v="145"/>
    <x v="20"/>
    <x v="97"/>
    <x v="0"/>
    <x v="1"/>
    <x v="1"/>
    <n v="0"/>
    <n v="0"/>
  </r>
  <r>
    <s v="SPAR WESTERN CAPE"/>
    <x v="1"/>
    <x v="148"/>
    <x v="145"/>
    <x v="20"/>
    <x v="97"/>
    <x v="0"/>
    <x v="2"/>
    <x v="2"/>
    <n v="0"/>
    <n v="0"/>
  </r>
  <r>
    <s v="SPAR WESTERN CAPE"/>
    <x v="1"/>
    <x v="148"/>
    <x v="145"/>
    <x v="20"/>
    <x v="97"/>
    <x v="0"/>
    <x v="3"/>
    <x v="3"/>
    <n v="0"/>
    <n v="0"/>
  </r>
  <r>
    <s v="SPAR WESTERN CAPE"/>
    <x v="1"/>
    <x v="148"/>
    <x v="145"/>
    <x v="20"/>
    <x v="97"/>
    <x v="0"/>
    <x v="4"/>
    <x v="4"/>
    <n v="0"/>
    <n v="0"/>
  </r>
  <r>
    <s v="SPAR WESTERN CAPE"/>
    <x v="1"/>
    <x v="148"/>
    <x v="145"/>
    <x v="20"/>
    <x v="97"/>
    <x v="0"/>
    <x v="5"/>
    <x v="5"/>
    <n v="0"/>
    <n v="0"/>
  </r>
  <r>
    <s v="SPAR WESTERN CAPE"/>
    <x v="1"/>
    <x v="148"/>
    <x v="145"/>
    <x v="20"/>
    <x v="97"/>
    <x v="0"/>
    <x v="6"/>
    <x v="6"/>
    <n v="0"/>
    <n v="0"/>
  </r>
  <r>
    <s v="SPAR WESTERN CAPE"/>
    <x v="1"/>
    <x v="149"/>
    <x v="146"/>
    <x v="22"/>
    <x v="98"/>
    <x v="0"/>
    <x v="0"/>
    <x v="0"/>
    <n v="0"/>
    <n v="0"/>
  </r>
  <r>
    <s v="SPAR WESTERN CAPE"/>
    <x v="1"/>
    <x v="149"/>
    <x v="146"/>
    <x v="22"/>
    <x v="98"/>
    <x v="0"/>
    <x v="1"/>
    <x v="1"/>
    <n v="0"/>
    <n v="0"/>
  </r>
  <r>
    <s v="SPAR WESTERN CAPE"/>
    <x v="1"/>
    <x v="149"/>
    <x v="146"/>
    <x v="22"/>
    <x v="98"/>
    <x v="0"/>
    <x v="2"/>
    <x v="2"/>
    <n v="0"/>
    <n v="0"/>
  </r>
  <r>
    <s v="SPAR WESTERN CAPE"/>
    <x v="1"/>
    <x v="149"/>
    <x v="146"/>
    <x v="22"/>
    <x v="98"/>
    <x v="0"/>
    <x v="3"/>
    <x v="3"/>
    <n v="0"/>
    <n v="0"/>
  </r>
  <r>
    <s v="SPAR WESTERN CAPE"/>
    <x v="1"/>
    <x v="149"/>
    <x v="146"/>
    <x v="22"/>
    <x v="98"/>
    <x v="0"/>
    <x v="4"/>
    <x v="4"/>
    <n v="0"/>
    <n v="0"/>
  </r>
  <r>
    <s v="SPAR WESTERN CAPE"/>
    <x v="1"/>
    <x v="149"/>
    <x v="146"/>
    <x v="22"/>
    <x v="98"/>
    <x v="0"/>
    <x v="5"/>
    <x v="5"/>
    <n v="0"/>
    <n v="0"/>
  </r>
  <r>
    <s v="SPAR WESTERN CAPE"/>
    <x v="1"/>
    <x v="149"/>
    <x v="146"/>
    <x v="22"/>
    <x v="98"/>
    <x v="0"/>
    <x v="6"/>
    <x v="6"/>
    <n v="0"/>
    <n v="0"/>
  </r>
  <r>
    <s v="SPAR WESTERN CAPE"/>
    <x v="1"/>
    <x v="150"/>
    <x v="147"/>
    <x v="52"/>
    <x v="99"/>
    <x v="0"/>
    <x v="0"/>
    <x v="0"/>
    <n v="0"/>
    <n v="0"/>
  </r>
  <r>
    <s v="SPAR WESTERN CAPE"/>
    <x v="1"/>
    <x v="150"/>
    <x v="147"/>
    <x v="52"/>
    <x v="99"/>
    <x v="0"/>
    <x v="1"/>
    <x v="1"/>
    <n v="0"/>
    <n v="0"/>
  </r>
  <r>
    <s v="SPAR WESTERN CAPE"/>
    <x v="1"/>
    <x v="150"/>
    <x v="147"/>
    <x v="52"/>
    <x v="99"/>
    <x v="0"/>
    <x v="2"/>
    <x v="2"/>
    <n v="0"/>
    <n v="0"/>
  </r>
  <r>
    <s v="SPAR WESTERN CAPE"/>
    <x v="1"/>
    <x v="150"/>
    <x v="147"/>
    <x v="52"/>
    <x v="99"/>
    <x v="0"/>
    <x v="3"/>
    <x v="3"/>
    <n v="0"/>
    <n v="0"/>
  </r>
  <r>
    <s v="SPAR WESTERN CAPE"/>
    <x v="1"/>
    <x v="150"/>
    <x v="147"/>
    <x v="52"/>
    <x v="99"/>
    <x v="0"/>
    <x v="4"/>
    <x v="4"/>
    <n v="0"/>
    <n v="0"/>
  </r>
  <r>
    <s v="SPAR WESTERN CAPE"/>
    <x v="1"/>
    <x v="150"/>
    <x v="147"/>
    <x v="52"/>
    <x v="99"/>
    <x v="0"/>
    <x v="5"/>
    <x v="5"/>
    <n v="0"/>
    <n v="0"/>
  </r>
  <r>
    <s v="SPAR WESTERN CAPE"/>
    <x v="1"/>
    <x v="150"/>
    <x v="147"/>
    <x v="52"/>
    <x v="99"/>
    <x v="0"/>
    <x v="6"/>
    <x v="6"/>
    <n v="0"/>
    <n v="0"/>
  </r>
  <r>
    <s v="SPAR WESTERN CAPE"/>
    <x v="1"/>
    <x v="151"/>
    <x v="148"/>
    <x v="52"/>
    <x v="99"/>
    <x v="0"/>
    <x v="0"/>
    <x v="0"/>
    <n v="0"/>
    <n v="0"/>
  </r>
  <r>
    <s v="SPAR WESTERN CAPE"/>
    <x v="1"/>
    <x v="151"/>
    <x v="148"/>
    <x v="52"/>
    <x v="99"/>
    <x v="0"/>
    <x v="1"/>
    <x v="1"/>
    <n v="0"/>
    <n v="0"/>
  </r>
  <r>
    <s v="SPAR WESTERN CAPE"/>
    <x v="1"/>
    <x v="151"/>
    <x v="148"/>
    <x v="52"/>
    <x v="99"/>
    <x v="0"/>
    <x v="2"/>
    <x v="2"/>
    <n v="0"/>
    <n v="0"/>
  </r>
  <r>
    <s v="SPAR WESTERN CAPE"/>
    <x v="1"/>
    <x v="151"/>
    <x v="148"/>
    <x v="52"/>
    <x v="99"/>
    <x v="0"/>
    <x v="3"/>
    <x v="3"/>
    <n v="0"/>
    <n v="0"/>
  </r>
  <r>
    <s v="SPAR WESTERN CAPE"/>
    <x v="1"/>
    <x v="151"/>
    <x v="148"/>
    <x v="52"/>
    <x v="99"/>
    <x v="0"/>
    <x v="4"/>
    <x v="4"/>
    <n v="0"/>
    <n v="0"/>
  </r>
  <r>
    <s v="SPAR WESTERN CAPE"/>
    <x v="1"/>
    <x v="151"/>
    <x v="148"/>
    <x v="52"/>
    <x v="99"/>
    <x v="0"/>
    <x v="5"/>
    <x v="5"/>
    <n v="0"/>
    <n v="0"/>
  </r>
  <r>
    <s v="SPAR WESTERN CAPE"/>
    <x v="1"/>
    <x v="151"/>
    <x v="148"/>
    <x v="52"/>
    <x v="99"/>
    <x v="0"/>
    <x v="6"/>
    <x v="6"/>
    <n v="0"/>
    <n v="0"/>
  </r>
  <r>
    <s v="SPAR WESTERN CAPE"/>
    <x v="1"/>
    <x v="152"/>
    <x v="149"/>
    <x v="52"/>
    <x v="99"/>
    <x v="0"/>
    <x v="0"/>
    <x v="0"/>
    <n v="0"/>
    <n v="0"/>
  </r>
  <r>
    <s v="SPAR WESTERN CAPE"/>
    <x v="1"/>
    <x v="152"/>
    <x v="149"/>
    <x v="52"/>
    <x v="99"/>
    <x v="0"/>
    <x v="1"/>
    <x v="1"/>
    <n v="0"/>
    <n v="0"/>
  </r>
  <r>
    <s v="SPAR WESTERN CAPE"/>
    <x v="1"/>
    <x v="152"/>
    <x v="149"/>
    <x v="52"/>
    <x v="99"/>
    <x v="0"/>
    <x v="2"/>
    <x v="2"/>
    <n v="0"/>
    <n v="0"/>
  </r>
  <r>
    <s v="SPAR WESTERN CAPE"/>
    <x v="1"/>
    <x v="152"/>
    <x v="149"/>
    <x v="52"/>
    <x v="99"/>
    <x v="0"/>
    <x v="5"/>
    <x v="5"/>
    <n v="0"/>
    <n v="0"/>
  </r>
  <r>
    <s v="SPAR WESTERN CAPE"/>
    <x v="1"/>
    <x v="152"/>
    <x v="149"/>
    <x v="52"/>
    <x v="99"/>
    <x v="0"/>
    <x v="6"/>
    <x v="6"/>
    <n v="0"/>
    <n v="0"/>
  </r>
  <r>
    <s v="SPAR WESTERN CAPE"/>
    <x v="1"/>
    <x v="153"/>
    <x v="150"/>
    <x v="52"/>
    <x v="99"/>
    <x v="0"/>
    <x v="0"/>
    <x v="0"/>
    <n v="0"/>
    <n v="0"/>
  </r>
  <r>
    <s v="SPAR WESTERN CAPE"/>
    <x v="1"/>
    <x v="153"/>
    <x v="150"/>
    <x v="52"/>
    <x v="99"/>
    <x v="0"/>
    <x v="1"/>
    <x v="1"/>
    <n v="0"/>
    <n v="0"/>
  </r>
  <r>
    <s v="SPAR WESTERN CAPE"/>
    <x v="1"/>
    <x v="153"/>
    <x v="150"/>
    <x v="52"/>
    <x v="99"/>
    <x v="0"/>
    <x v="2"/>
    <x v="2"/>
    <n v="0"/>
    <n v="0"/>
  </r>
  <r>
    <s v="SPAR WESTERN CAPE"/>
    <x v="1"/>
    <x v="153"/>
    <x v="150"/>
    <x v="52"/>
    <x v="99"/>
    <x v="0"/>
    <x v="3"/>
    <x v="3"/>
    <n v="0"/>
    <n v="0"/>
  </r>
  <r>
    <s v="SPAR WESTERN CAPE"/>
    <x v="1"/>
    <x v="153"/>
    <x v="150"/>
    <x v="52"/>
    <x v="99"/>
    <x v="0"/>
    <x v="4"/>
    <x v="4"/>
    <n v="0"/>
    <n v="0"/>
  </r>
  <r>
    <s v="SPAR WESTERN CAPE"/>
    <x v="1"/>
    <x v="153"/>
    <x v="150"/>
    <x v="52"/>
    <x v="99"/>
    <x v="0"/>
    <x v="5"/>
    <x v="5"/>
    <n v="0"/>
    <n v="0"/>
  </r>
  <r>
    <s v="SPAR WESTERN CAPE"/>
    <x v="1"/>
    <x v="153"/>
    <x v="150"/>
    <x v="52"/>
    <x v="99"/>
    <x v="0"/>
    <x v="6"/>
    <x v="6"/>
    <n v="0"/>
    <n v="0"/>
  </r>
  <r>
    <s v="SPAR WESTERN CAPE"/>
    <x v="1"/>
    <x v="154"/>
    <x v="151"/>
    <x v="35"/>
    <x v="100"/>
    <x v="0"/>
    <x v="0"/>
    <x v="0"/>
    <n v="0"/>
    <n v="0"/>
  </r>
  <r>
    <s v="SPAR WESTERN CAPE"/>
    <x v="1"/>
    <x v="154"/>
    <x v="151"/>
    <x v="35"/>
    <x v="100"/>
    <x v="0"/>
    <x v="1"/>
    <x v="1"/>
    <n v="0"/>
    <n v="0"/>
  </r>
  <r>
    <s v="SPAR WESTERN CAPE"/>
    <x v="1"/>
    <x v="154"/>
    <x v="151"/>
    <x v="35"/>
    <x v="100"/>
    <x v="0"/>
    <x v="6"/>
    <x v="6"/>
    <n v="0"/>
    <n v="0"/>
  </r>
  <r>
    <s v="SPAR WESTERN CAPE"/>
    <x v="1"/>
    <x v="155"/>
    <x v="152"/>
    <x v="53"/>
    <x v="101"/>
    <x v="0"/>
    <x v="0"/>
    <x v="0"/>
    <n v="0"/>
    <n v="0"/>
  </r>
  <r>
    <s v="SPAR WESTERN CAPE"/>
    <x v="1"/>
    <x v="155"/>
    <x v="152"/>
    <x v="53"/>
    <x v="101"/>
    <x v="0"/>
    <x v="1"/>
    <x v="1"/>
    <n v="0"/>
    <n v="0"/>
  </r>
  <r>
    <s v="SPAR WESTERN CAPE"/>
    <x v="1"/>
    <x v="155"/>
    <x v="152"/>
    <x v="53"/>
    <x v="101"/>
    <x v="0"/>
    <x v="4"/>
    <x v="4"/>
    <n v="0"/>
    <n v="0"/>
  </r>
  <r>
    <s v="SPAR WESTERN CAPE"/>
    <x v="1"/>
    <x v="155"/>
    <x v="152"/>
    <x v="53"/>
    <x v="101"/>
    <x v="0"/>
    <x v="6"/>
    <x v="6"/>
    <n v="0"/>
    <n v="0"/>
  </r>
  <r>
    <s v="SPAR WESTERN CAPE"/>
    <x v="2"/>
    <x v="156"/>
    <x v="153"/>
    <x v="10"/>
    <x v="82"/>
    <x v="0"/>
    <x v="0"/>
    <x v="0"/>
    <n v="0"/>
    <n v="0"/>
  </r>
  <r>
    <s v="SPAR WESTERN CAPE"/>
    <x v="2"/>
    <x v="156"/>
    <x v="153"/>
    <x v="10"/>
    <x v="82"/>
    <x v="0"/>
    <x v="1"/>
    <x v="1"/>
    <n v="0"/>
    <n v="0"/>
  </r>
  <r>
    <s v="SPAR WESTERN CAPE"/>
    <x v="2"/>
    <x v="156"/>
    <x v="153"/>
    <x v="10"/>
    <x v="82"/>
    <x v="0"/>
    <x v="2"/>
    <x v="2"/>
    <n v="0"/>
    <n v="0"/>
  </r>
  <r>
    <s v="SPAR WESTERN CAPE"/>
    <x v="2"/>
    <x v="156"/>
    <x v="153"/>
    <x v="10"/>
    <x v="82"/>
    <x v="0"/>
    <x v="3"/>
    <x v="3"/>
    <n v="0"/>
    <n v="0"/>
  </r>
  <r>
    <s v="SPAR WESTERN CAPE"/>
    <x v="2"/>
    <x v="156"/>
    <x v="153"/>
    <x v="10"/>
    <x v="82"/>
    <x v="0"/>
    <x v="4"/>
    <x v="4"/>
    <n v="0"/>
    <n v="0"/>
  </r>
  <r>
    <s v="SPAR WESTERN CAPE"/>
    <x v="2"/>
    <x v="157"/>
    <x v="154"/>
    <x v="54"/>
    <x v="102"/>
    <x v="0"/>
    <x v="1"/>
    <x v="1"/>
    <n v="0"/>
    <n v="0"/>
  </r>
  <r>
    <s v="SPAR WESTERN CAPE"/>
    <x v="2"/>
    <x v="157"/>
    <x v="154"/>
    <x v="54"/>
    <x v="102"/>
    <x v="0"/>
    <x v="2"/>
    <x v="2"/>
    <n v="0"/>
    <n v="0"/>
  </r>
  <r>
    <s v="SPAR WESTERN CAPE"/>
    <x v="2"/>
    <x v="157"/>
    <x v="154"/>
    <x v="54"/>
    <x v="102"/>
    <x v="0"/>
    <x v="3"/>
    <x v="3"/>
    <n v="0"/>
    <n v="0"/>
  </r>
  <r>
    <s v="SPAR WESTERN CAPE"/>
    <x v="2"/>
    <x v="157"/>
    <x v="154"/>
    <x v="54"/>
    <x v="102"/>
    <x v="0"/>
    <x v="4"/>
    <x v="4"/>
    <n v="0"/>
    <n v="0"/>
  </r>
  <r>
    <s v="SPAR WESTERN CAPE"/>
    <x v="2"/>
    <x v="158"/>
    <x v="155"/>
    <x v="39"/>
    <x v="103"/>
    <x v="0"/>
    <x v="1"/>
    <x v="1"/>
    <n v="0"/>
    <n v="0"/>
  </r>
  <r>
    <s v="SPAR WESTERN CAPE"/>
    <x v="2"/>
    <x v="158"/>
    <x v="155"/>
    <x v="39"/>
    <x v="103"/>
    <x v="0"/>
    <x v="2"/>
    <x v="2"/>
    <n v="0"/>
    <n v="0"/>
  </r>
  <r>
    <s v="SPAR WESTERN CAPE"/>
    <x v="2"/>
    <x v="158"/>
    <x v="155"/>
    <x v="39"/>
    <x v="103"/>
    <x v="0"/>
    <x v="3"/>
    <x v="3"/>
    <n v="0"/>
    <n v="0"/>
  </r>
  <r>
    <s v="SPAR WESTERN CAPE"/>
    <x v="2"/>
    <x v="158"/>
    <x v="155"/>
    <x v="39"/>
    <x v="103"/>
    <x v="0"/>
    <x v="4"/>
    <x v="4"/>
    <n v="0"/>
    <n v="0"/>
  </r>
  <r>
    <s v="SPAR WESTERN CAPE"/>
    <x v="2"/>
    <x v="158"/>
    <x v="155"/>
    <x v="39"/>
    <x v="103"/>
    <x v="0"/>
    <x v="5"/>
    <x v="5"/>
    <n v="0"/>
    <n v="0"/>
  </r>
  <r>
    <s v="SPAR WESTERN CAPE"/>
    <x v="2"/>
    <x v="159"/>
    <x v="156"/>
    <x v="39"/>
    <x v="103"/>
    <x v="0"/>
    <x v="1"/>
    <x v="1"/>
    <n v="0"/>
    <n v="0"/>
  </r>
  <r>
    <s v="SPAR WESTERN CAPE"/>
    <x v="2"/>
    <x v="159"/>
    <x v="156"/>
    <x v="39"/>
    <x v="103"/>
    <x v="0"/>
    <x v="2"/>
    <x v="2"/>
    <n v="0"/>
    <n v="0"/>
  </r>
  <r>
    <s v="SPAR WESTERN CAPE"/>
    <x v="2"/>
    <x v="159"/>
    <x v="156"/>
    <x v="39"/>
    <x v="103"/>
    <x v="0"/>
    <x v="3"/>
    <x v="3"/>
    <n v="0"/>
    <n v="0"/>
  </r>
  <r>
    <s v="SPAR WESTERN CAPE"/>
    <x v="2"/>
    <x v="159"/>
    <x v="156"/>
    <x v="39"/>
    <x v="103"/>
    <x v="0"/>
    <x v="4"/>
    <x v="4"/>
    <n v="0"/>
    <n v="0"/>
  </r>
  <r>
    <s v="SPAR WESTERN CAPE"/>
    <x v="2"/>
    <x v="159"/>
    <x v="156"/>
    <x v="39"/>
    <x v="103"/>
    <x v="0"/>
    <x v="5"/>
    <x v="5"/>
    <n v="0"/>
    <n v="0"/>
  </r>
  <r>
    <s v="SPAR WESTERN CAPE"/>
    <x v="2"/>
    <x v="160"/>
    <x v="157"/>
    <x v="0"/>
    <x v="0"/>
    <x v="0"/>
    <x v="0"/>
    <x v="0"/>
    <n v="0"/>
    <n v="0"/>
  </r>
  <r>
    <s v="SPAR WESTERN CAPE"/>
    <x v="2"/>
    <x v="160"/>
    <x v="157"/>
    <x v="0"/>
    <x v="0"/>
    <x v="0"/>
    <x v="1"/>
    <x v="1"/>
    <n v="0"/>
    <n v="0"/>
  </r>
  <r>
    <s v="SPAR WESTERN CAPE"/>
    <x v="2"/>
    <x v="160"/>
    <x v="157"/>
    <x v="0"/>
    <x v="0"/>
    <x v="0"/>
    <x v="2"/>
    <x v="2"/>
    <n v="0"/>
    <n v="0"/>
  </r>
  <r>
    <s v="SPAR WESTERN CAPE"/>
    <x v="2"/>
    <x v="160"/>
    <x v="157"/>
    <x v="0"/>
    <x v="0"/>
    <x v="0"/>
    <x v="3"/>
    <x v="3"/>
    <n v="0"/>
    <n v="0"/>
  </r>
  <r>
    <s v="SPAR WESTERN CAPE"/>
    <x v="2"/>
    <x v="160"/>
    <x v="157"/>
    <x v="0"/>
    <x v="0"/>
    <x v="0"/>
    <x v="4"/>
    <x v="4"/>
    <n v="0"/>
    <n v="0"/>
  </r>
  <r>
    <s v="SPAR WESTERN CAPE"/>
    <x v="2"/>
    <x v="161"/>
    <x v="158"/>
    <x v="0"/>
    <x v="0"/>
    <x v="0"/>
    <x v="1"/>
    <x v="1"/>
    <n v="0"/>
    <n v="0"/>
  </r>
  <r>
    <s v="SPAR WESTERN CAPE"/>
    <x v="2"/>
    <x v="161"/>
    <x v="158"/>
    <x v="0"/>
    <x v="0"/>
    <x v="0"/>
    <x v="3"/>
    <x v="3"/>
    <n v="0"/>
    <n v="0"/>
  </r>
  <r>
    <s v="SPAR WESTERN CAPE"/>
    <x v="2"/>
    <x v="161"/>
    <x v="158"/>
    <x v="0"/>
    <x v="0"/>
    <x v="0"/>
    <x v="4"/>
    <x v="4"/>
    <n v="0"/>
    <n v="0"/>
  </r>
  <r>
    <s v="SPAR WESTERN CAPE"/>
    <x v="2"/>
    <x v="161"/>
    <x v="158"/>
    <x v="0"/>
    <x v="0"/>
    <x v="0"/>
    <x v="5"/>
    <x v="5"/>
    <n v="0"/>
    <n v="0"/>
  </r>
  <r>
    <s v="SPAR WESTERN CAPE"/>
    <x v="2"/>
    <x v="162"/>
    <x v="159"/>
    <x v="55"/>
    <x v="104"/>
    <x v="0"/>
    <x v="0"/>
    <x v="0"/>
    <n v="0"/>
    <n v="0"/>
  </r>
  <r>
    <s v="SPAR WESTERN CAPE"/>
    <x v="2"/>
    <x v="162"/>
    <x v="159"/>
    <x v="55"/>
    <x v="104"/>
    <x v="0"/>
    <x v="1"/>
    <x v="1"/>
    <n v="0"/>
    <n v="0"/>
  </r>
  <r>
    <s v="SPAR WESTERN CAPE"/>
    <x v="2"/>
    <x v="162"/>
    <x v="159"/>
    <x v="55"/>
    <x v="104"/>
    <x v="0"/>
    <x v="2"/>
    <x v="2"/>
    <n v="0"/>
    <n v="0"/>
  </r>
  <r>
    <s v="SPAR WESTERN CAPE"/>
    <x v="2"/>
    <x v="162"/>
    <x v="159"/>
    <x v="55"/>
    <x v="104"/>
    <x v="0"/>
    <x v="5"/>
    <x v="5"/>
    <n v="0"/>
    <n v="0"/>
  </r>
  <r>
    <s v="SPAR WESTERN CAPE"/>
    <x v="2"/>
    <x v="163"/>
    <x v="160"/>
    <x v="21"/>
    <x v="27"/>
    <x v="0"/>
    <x v="0"/>
    <x v="0"/>
    <n v="0"/>
    <n v="0"/>
  </r>
  <r>
    <s v="SPAR WESTERN CAPE"/>
    <x v="2"/>
    <x v="163"/>
    <x v="160"/>
    <x v="21"/>
    <x v="27"/>
    <x v="0"/>
    <x v="1"/>
    <x v="1"/>
    <n v="0"/>
    <n v="0"/>
  </r>
  <r>
    <s v="SPAR WESTERN CAPE"/>
    <x v="2"/>
    <x v="163"/>
    <x v="160"/>
    <x v="21"/>
    <x v="27"/>
    <x v="0"/>
    <x v="2"/>
    <x v="2"/>
    <n v="0"/>
    <n v="0"/>
  </r>
  <r>
    <s v="SPAR WESTERN CAPE"/>
    <x v="2"/>
    <x v="163"/>
    <x v="160"/>
    <x v="21"/>
    <x v="27"/>
    <x v="0"/>
    <x v="3"/>
    <x v="3"/>
    <n v="0"/>
    <n v="0"/>
  </r>
  <r>
    <s v="SPAR WESTERN CAPE"/>
    <x v="2"/>
    <x v="163"/>
    <x v="160"/>
    <x v="21"/>
    <x v="27"/>
    <x v="0"/>
    <x v="4"/>
    <x v="4"/>
    <n v="0"/>
    <n v="0"/>
  </r>
  <r>
    <s v="SPAR WESTERN CAPE"/>
    <x v="2"/>
    <x v="164"/>
    <x v="161"/>
    <x v="2"/>
    <x v="6"/>
    <x v="0"/>
    <x v="0"/>
    <x v="0"/>
    <n v="0"/>
    <n v="0"/>
  </r>
  <r>
    <s v="SPAR WESTERN CAPE"/>
    <x v="2"/>
    <x v="164"/>
    <x v="161"/>
    <x v="2"/>
    <x v="6"/>
    <x v="0"/>
    <x v="1"/>
    <x v="1"/>
    <n v="0"/>
    <n v="0"/>
  </r>
  <r>
    <s v="SPAR WESTERN CAPE"/>
    <x v="2"/>
    <x v="164"/>
    <x v="161"/>
    <x v="2"/>
    <x v="6"/>
    <x v="0"/>
    <x v="2"/>
    <x v="2"/>
    <n v="0"/>
    <n v="0"/>
  </r>
  <r>
    <s v="SPAR WESTERN CAPE"/>
    <x v="2"/>
    <x v="164"/>
    <x v="161"/>
    <x v="2"/>
    <x v="6"/>
    <x v="0"/>
    <x v="3"/>
    <x v="3"/>
    <n v="0"/>
    <n v="0"/>
  </r>
  <r>
    <s v="SPAR WESTERN CAPE"/>
    <x v="2"/>
    <x v="164"/>
    <x v="161"/>
    <x v="2"/>
    <x v="6"/>
    <x v="0"/>
    <x v="4"/>
    <x v="4"/>
    <n v="0"/>
    <n v="0"/>
  </r>
  <r>
    <s v="SPAR WESTERN CAPE"/>
    <x v="2"/>
    <x v="164"/>
    <x v="161"/>
    <x v="2"/>
    <x v="6"/>
    <x v="0"/>
    <x v="5"/>
    <x v="5"/>
    <n v="0"/>
    <n v="0"/>
  </r>
  <r>
    <s v="SPAR WESTERN CAPE"/>
    <x v="2"/>
    <x v="164"/>
    <x v="161"/>
    <x v="2"/>
    <x v="6"/>
    <x v="0"/>
    <x v="6"/>
    <x v="6"/>
    <n v="0"/>
    <n v="0"/>
  </r>
  <r>
    <s v="SPAR WESTERN CAPE"/>
    <x v="2"/>
    <x v="165"/>
    <x v="162"/>
    <x v="21"/>
    <x v="105"/>
    <x v="0"/>
    <x v="0"/>
    <x v="0"/>
    <n v="0"/>
    <n v="0"/>
  </r>
  <r>
    <s v="SPAR WESTERN CAPE"/>
    <x v="2"/>
    <x v="165"/>
    <x v="162"/>
    <x v="21"/>
    <x v="105"/>
    <x v="0"/>
    <x v="1"/>
    <x v="1"/>
    <n v="0"/>
    <n v="0"/>
  </r>
  <r>
    <s v="SPAR WESTERN CAPE"/>
    <x v="2"/>
    <x v="165"/>
    <x v="162"/>
    <x v="21"/>
    <x v="105"/>
    <x v="0"/>
    <x v="2"/>
    <x v="2"/>
    <n v="0"/>
    <n v="0"/>
  </r>
  <r>
    <s v="SPAR WESTERN CAPE"/>
    <x v="2"/>
    <x v="165"/>
    <x v="162"/>
    <x v="21"/>
    <x v="105"/>
    <x v="0"/>
    <x v="3"/>
    <x v="3"/>
    <n v="0"/>
    <n v="0"/>
  </r>
  <r>
    <s v="SPAR WESTERN CAPE"/>
    <x v="2"/>
    <x v="165"/>
    <x v="162"/>
    <x v="21"/>
    <x v="105"/>
    <x v="0"/>
    <x v="4"/>
    <x v="4"/>
    <n v="0"/>
    <n v="0"/>
  </r>
  <r>
    <s v="SPAR WESTERN CAPE"/>
    <x v="2"/>
    <x v="165"/>
    <x v="162"/>
    <x v="21"/>
    <x v="105"/>
    <x v="0"/>
    <x v="5"/>
    <x v="5"/>
    <n v="0"/>
    <n v="0"/>
  </r>
  <r>
    <s v="SPAR WESTERN CAPE"/>
    <x v="2"/>
    <x v="165"/>
    <x v="162"/>
    <x v="21"/>
    <x v="105"/>
    <x v="0"/>
    <x v="6"/>
    <x v="6"/>
    <n v="0"/>
    <n v="0"/>
  </r>
  <r>
    <s v="SPAR WESTERN CAPE"/>
    <x v="2"/>
    <x v="166"/>
    <x v="163"/>
    <x v="56"/>
    <x v="106"/>
    <x v="0"/>
    <x v="0"/>
    <x v="0"/>
    <n v="0"/>
    <n v="0"/>
  </r>
  <r>
    <s v="SPAR WESTERN CAPE"/>
    <x v="2"/>
    <x v="166"/>
    <x v="163"/>
    <x v="56"/>
    <x v="106"/>
    <x v="0"/>
    <x v="1"/>
    <x v="1"/>
    <n v="0"/>
    <n v="0"/>
  </r>
  <r>
    <s v="SPAR WESTERN CAPE"/>
    <x v="2"/>
    <x v="166"/>
    <x v="163"/>
    <x v="56"/>
    <x v="106"/>
    <x v="0"/>
    <x v="2"/>
    <x v="2"/>
    <n v="0"/>
    <n v="0"/>
  </r>
  <r>
    <s v="SPAR WESTERN CAPE"/>
    <x v="2"/>
    <x v="166"/>
    <x v="163"/>
    <x v="56"/>
    <x v="106"/>
    <x v="0"/>
    <x v="3"/>
    <x v="3"/>
    <n v="0"/>
    <n v="0"/>
  </r>
  <r>
    <s v="SPAR WESTERN CAPE"/>
    <x v="2"/>
    <x v="166"/>
    <x v="163"/>
    <x v="56"/>
    <x v="106"/>
    <x v="0"/>
    <x v="4"/>
    <x v="4"/>
    <n v="0"/>
    <n v="0"/>
  </r>
  <r>
    <s v="SPAR WESTERN CAPE"/>
    <x v="2"/>
    <x v="166"/>
    <x v="163"/>
    <x v="56"/>
    <x v="106"/>
    <x v="0"/>
    <x v="5"/>
    <x v="5"/>
    <n v="0"/>
    <n v="0"/>
  </r>
  <r>
    <s v="SPAR WESTERN CAPE"/>
    <x v="2"/>
    <x v="166"/>
    <x v="163"/>
    <x v="56"/>
    <x v="106"/>
    <x v="0"/>
    <x v="6"/>
    <x v="6"/>
    <n v="0"/>
    <n v="0"/>
  </r>
  <r>
    <s v="SPAR WESTERN CAPE"/>
    <x v="2"/>
    <x v="167"/>
    <x v="164"/>
    <x v="4"/>
    <x v="107"/>
    <x v="0"/>
    <x v="0"/>
    <x v="0"/>
    <n v="0"/>
    <n v="0"/>
  </r>
  <r>
    <s v="SPAR WESTERN CAPE"/>
    <x v="2"/>
    <x v="167"/>
    <x v="164"/>
    <x v="4"/>
    <x v="107"/>
    <x v="0"/>
    <x v="6"/>
    <x v="6"/>
    <n v="0"/>
    <n v="0"/>
  </r>
  <r>
    <s v="SPAR WESTERN CAPE"/>
    <x v="2"/>
    <x v="168"/>
    <x v="151"/>
    <x v="30"/>
    <x v="108"/>
    <x v="0"/>
    <x v="0"/>
    <x v="0"/>
    <n v="0"/>
    <n v="0"/>
  </r>
  <r>
    <s v="SPAR WESTERN CAPE"/>
    <x v="2"/>
    <x v="168"/>
    <x v="151"/>
    <x v="30"/>
    <x v="108"/>
    <x v="0"/>
    <x v="1"/>
    <x v="1"/>
    <n v="0"/>
    <n v="0"/>
  </r>
  <r>
    <s v="SPAR WESTERN CAPE"/>
    <x v="2"/>
    <x v="168"/>
    <x v="151"/>
    <x v="30"/>
    <x v="108"/>
    <x v="0"/>
    <x v="2"/>
    <x v="2"/>
    <n v="0"/>
    <n v="0"/>
  </r>
  <r>
    <s v="SPAR WESTERN CAPE"/>
    <x v="2"/>
    <x v="168"/>
    <x v="151"/>
    <x v="30"/>
    <x v="108"/>
    <x v="0"/>
    <x v="3"/>
    <x v="3"/>
    <n v="0"/>
    <n v="0"/>
  </r>
  <r>
    <s v="SPAR WESTERN CAPE"/>
    <x v="2"/>
    <x v="168"/>
    <x v="151"/>
    <x v="30"/>
    <x v="108"/>
    <x v="0"/>
    <x v="4"/>
    <x v="4"/>
    <n v="0"/>
    <n v="0"/>
  </r>
  <r>
    <s v="SPAR WESTERN CAPE"/>
    <x v="2"/>
    <x v="168"/>
    <x v="151"/>
    <x v="30"/>
    <x v="108"/>
    <x v="0"/>
    <x v="5"/>
    <x v="5"/>
    <n v="0"/>
    <n v="0"/>
  </r>
  <r>
    <s v="SPAR WESTERN CAPE"/>
    <x v="2"/>
    <x v="168"/>
    <x v="151"/>
    <x v="30"/>
    <x v="108"/>
    <x v="0"/>
    <x v="6"/>
    <x v="6"/>
    <n v="0"/>
    <n v="0"/>
  </r>
  <r>
    <s v="SPAR WESTERN CAPE"/>
    <x v="2"/>
    <x v="169"/>
    <x v="165"/>
    <x v="0"/>
    <x v="0"/>
    <x v="0"/>
    <x v="0"/>
    <x v="0"/>
    <n v="0"/>
    <n v="0"/>
  </r>
  <r>
    <s v="SPAR WESTERN CAPE"/>
    <x v="2"/>
    <x v="169"/>
    <x v="165"/>
    <x v="0"/>
    <x v="0"/>
    <x v="0"/>
    <x v="2"/>
    <x v="2"/>
    <n v="0"/>
    <n v="0"/>
  </r>
  <r>
    <s v="SPAR WESTERN CAPE"/>
    <x v="2"/>
    <x v="169"/>
    <x v="165"/>
    <x v="0"/>
    <x v="0"/>
    <x v="0"/>
    <x v="3"/>
    <x v="3"/>
    <n v="0"/>
    <n v="0"/>
  </r>
  <r>
    <s v="SPAR WESTERN CAPE"/>
    <x v="2"/>
    <x v="169"/>
    <x v="165"/>
    <x v="0"/>
    <x v="0"/>
    <x v="0"/>
    <x v="4"/>
    <x v="4"/>
    <n v="0"/>
    <n v="0"/>
  </r>
  <r>
    <s v="SPAR WESTERN CAPE"/>
    <x v="2"/>
    <x v="169"/>
    <x v="165"/>
    <x v="0"/>
    <x v="0"/>
    <x v="0"/>
    <x v="5"/>
    <x v="5"/>
    <n v="0"/>
    <n v="0"/>
  </r>
  <r>
    <s v="SPAR WESTERN CAPE"/>
    <x v="2"/>
    <x v="169"/>
    <x v="165"/>
    <x v="0"/>
    <x v="0"/>
    <x v="0"/>
    <x v="6"/>
    <x v="6"/>
    <n v="0"/>
    <n v="0"/>
  </r>
  <r>
    <s v="SPAR WESTERN CAPE"/>
    <x v="2"/>
    <x v="170"/>
    <x v="166"/>
    <x v="40"/>
    <x v="109"/>
    <x v="0"/>
    <x v="0"/>
    <x v="0"/>
    <n v="0"/>
    <n v="0"/>
  </r>
  <r>
    <s v="SPAR WESTERN CAPE"/>
    <x v="2"/>
    <x v="170"/>
    <x v="166"/>
    <x v="40"/>
    <x v="109"/>
    <x v="0"/>
    <x v="1"/>
    <x v="1"/>
    <n v="0"/>
    <n v="0"/>
  </r>
  <r>
    <s v="SPAR WESTERN CAPE"/>
    <x v="2"/>
    <x v="170"/>
    <x v="166"/>
    <x v="40"/>
    <x v="109"/>
    <x v="0"/>
    <x v="2"/>
    <x v="2"/>
    <n v="0"/>
    <n v="0"/>
  </r>
  <r>
    <s v="SPAR WESTERN CAPE"/>
    <x v="2"/>
    <x v="170"/>
    <x v="166"/>
    <x v="40"/>
    <x v="109"/>
    <x v="0"/>
    <x v="3"/>
    <x v="3"/>
    <n v="0"/>
    <n v="0"/>
  </r>
  <r>
    <s v="SPAR WESTERN CAPE"/>
    <x v="2"/>
    <x v="170"/>
    <x v="166"/>
    <x v="40"/>
    <x v="109"/>
    <x v="0"/>
    <x v="4"/>
    <x v="4"/>
    <n v="0"/>
    <n v="0"/>
  </r>
  <r>
    <s v="SPAR WESTERN CAPE"/>
    <x v="2"/>
    <x v="170"/>
    <x v="166"/>
    <x v="40"/>
    <x v="109"/>
    <x v="0"/>
    <x v="5"/>
    <x v="5"/>
    <n v="0"/>
    <n v="0"/>
  </r>
  <r>
    <s v="SPAR WESTERN CAPE"/>
    <x v="2"/>
    <x v="170"/>
    <x v="166"/>
    <x v="40"/>
    <x v="109"/>
    <x v="0"/>
    <x v="6"/>
    <x v="6"/>
    <n v="0"/>
    <n v="0"/>
  </r>
  <r>
    <s v="SPAR WESTERN CAPE"/>
    <x v="2"/>
    <x v="171"/>
    <x v="167"/>
    <x v="27"/>
    <x v="110"/>
    <x v="0"/>
    <x v="0"/>
    <x v="0"/>
    <n v="0"/>
    <n v="0"/>
  </r>
  <r>
    <s v="SPAR WESTERN CAPE"/>
    <x v="2"/>
    <x v="171"/>
    <x v="167"/>
    <x v="27"/>
    <x v="110"/>
    <x v="0"/>
    <x v="1"/>
    <x v="1"/>
    <n v="0"/>
    <n v="0"/>
  </r>
  <r>
    <s v="SPAR WESTERN CAPE"/>
    <x v="2"/>
    <x v="171"/>
    <x v="167"/>
    <x v="27"/>
    <x v="110"/>
    <x v="0"/>
    <x v="2"/>
    <x v="2"/>
    <n v="0"/>
    <n v="0"/>
  </r>
  <r>
    <s v="SPAR WESTERN CAPE"/>
    <x v="2"/>
    <x v="171"/>
    <x v="167"/>
    <x v="27"/>
    <x v="110"/>
    <x v="0"/>
    <x v="3"/>
    <x v="3"/>
    <n v="0"/>
    <n v="0"/>
  </r>
  <r>
    <s v="SPAR WESTERN CAPE"/>
    <x v="2"/>
    <x v="171"/>
    <x v="167"/>
    <x v="27"/>
    <x v="110"/>
    <x v="0"/>
    <x v="4"/>
    <x v="4"/>
    <n v="0"/>
    <n v="0"/>
  </r>
  <r>
    <s v="SPAR WESTERN CAPE"/>
    <x v="2"/>
    <x v="171"/>
    <x v="167"/>
    <x v="27"/>
    <x v="110"/>
    <x v="0"/>
    <x v="5"/>
    <x v="5"/>
    <n v="0"/>
    <n v="0"/>
  </r>
  <r>
    <s v="SPAR WESTERN CAPE"/>
    <x v="2"/>
    <x v="171"/>
    <x v="167"/>
    <x v="27"/>
    <x v="110"/>
    <x v="0"/>
    <x v="6"/>
    <x v="6"/>
    <n v="0"/>
    <n v="0"/>
  </r>
  <r>
    <s v="SPAR WESTERN CAPE"/>
    <x v="2"/>
    <x v="172"/>
    <x v="168"/>
    <x v="57"/>
    <x v="111"/>
    <x v="0"/>
    <x v="0"/>
    <x v="0"/>
    <n v="0"/>
    <n v="0"/>
  </r>
  <r>
    <s v="SPAR WESTERN CAPE"/>
    <x v="2"/>
    <x v="172"/>
    <x v="168"/>
    <x v="57"/>
    <x v="111"/>
    <x v="0"/>
    <x v="1"/>
    <x v="1"/>
    <n v="0"/>
    <n v="0"/>
  </r>
  <r>
    <s v="SPAR WESTERN CAPE"/>
    <x v="2"/>
    <x v="172"/>
    <x v="168"/>
    <x v="57"/>
    <x v="111"/>
    <x v="0"/>
    <x v="2"/>
    <x v="2"/>
    <n v="0"/>
    <n v="0"/>
  </r>
  <r>
    <s v="SPAR WESTERN CAPE"/>
    <x v="2"/>
    <x v="172"/>
    <x v="168"/>
    <x v="57"/>
    <x v="111"/>
    <x v="0"/>
    <x v="3"/>
    <x v="3"/>
    <n v="0"/>
    <n v="0"/>
  </r>
  <r>
    <s v="SPAR WESTERN CAPE"/>
    <x v="2"/>
    <x v="172"/>
    <x v="168"/>
    <x v="57"/>
    <x v="111"/>
    <x v="0"/>
    <x v="4"/>
    <x v="4"/>
    <n v="0"/>
    <n v="0"/>
  </r>
  <r>
    <s v="SPAR WESTERN CAPE"/>
    <x v="2"/>
    <x v="172"/>
    <x v="168"/>
    <x v="57"/>
    <x v="111"/>
    <x v="0"/>
    <x v="5"/>
    <x v="5"/>
    <n v="0"/>
    <n v="0"/>
  </r>
  <r>
    <s v="SPAR WESTERN CAPE"/>
    <x v="2"/>
    <x v="172"/>
    <x v="168"/>
    <x v="57"/>
    <x v="111"/>
    <x v="0"/>
    <x v="6"/>
    <x v="6"/>
    <n v="0"/>
    <n v="0"/>
  </r>
  <r>
    <s v="SPAR WESTERN CAPE"/>
    <x v="2"/>
    <x v="173"/>
    <x v="169"/>
    <x v="57"/>
    <x v="111"/>
    <x v="0"/>
    <x v="1"/>
    <x v="1"/>
    <n v="0"/>
    <n v="0"/>
  </r>
  <r>
    <s v="SPAR WESTERN CAPE"/>
    <x v="2"/>
    <x v="173"/>
    <x v="169"/>
    <x v="57"/>
    <x v="111"/>
    <x v="0"/>
    <x v="2"/>
    <x v="2"/>
    <n v="0"/>
    <n v="0"/>
  </r>
  <r>
    <s v="SPAR WESTERN CAPE"/>
    <x v="2"/>
    <x v="173"/>
    <x v="169"/>
    <x v="57"/>
    <x v="111"/>
    <x v="0"/>
    <x v="3"/>
    <x v="3"/>
    <n v="0"/>
    <n v="0"/>
  </r>
  <r>
    <s v="SPAR WESTERN CAPE"/>
    <x v="2"/>
    <x v="173"/>
    <x v="169"/>
    <x v="57"/>
    <x v="111"/>
    <x v="0"/>
    <x v="4"/>
    <x v="4"/>
    <n v="0"/>
    <n v="0"/>
  </r>
  <r>
    <s v="SPAR WESTERN CAPE"/>
    <x v="2"/>
    <x v="173"/>
    <x v="169"/>
    <x v="57"/>
    <x v="111"/>
    <x v="0"/>
    <x v="5"/>
    <x v="5"/>
    <n v="0"/>
    <n v="0"/>
  </r>
  <r>
    <s v="SPAR WESTERN CAPE"/>
    <x v="2"/>
    <x v="173"/>
    <x v="169"/>
    <x v="57"/>
    <x v="111"/>
    <x v="0"/>
    <x v="6"/>
    <x v="6"/>
    <n v="0"/>
    <n v="0"/>
  </r>
  <r>
    <s v="SPAR WESTERN CAPE"/>
    <x v="2"/>
    <x v="174"/>
    <x v="170"/>
    <x v="23"/>
    <x v="61"/>
    <x v="0"/>
    <x v="1"/>
    <x v="1"/>
    <n v="0"/>
    <n v="0"/>
  </r>
  <r>
    <s v="SPAR WESTERN CAPE"/>
    <x v="2"/>
    <x v="174"/>
    <x v="170"/>
    <x v="23"/>
    <x v="61"/>
    <x v="0"/>
    <x v="2"/>
    <x v="2"/>
    <n v="0"/>
    <n v="0"/>
  </r>
  <r>
    <s v="SPAR WESTERN CAPE"/>
    <x v="2"/>
    <x v="174"/>
    <x v="170"/>
    <x v="23"/>
    <x v="61"/>
    <x v="0"/>
    <x v="5"/>
    <x v="5"/>
    <n v="0"/>
    <n v="0"/>
  </r>
  <r>
    <s v="SPAR WESTERN CAPE"/>
    <x v="2"/>
    <x v="174"/>
    <x v="170"/>
    <x v="23"/>
    <x v="61"/>
    <x v="0"/>
    <x v="6"/>
    <x v="6"/>
    <n v="0"/>
    <n v="0"/>
  </r>
  <r>
    <s v="SPAR WESTERN CAPE"/>
    <x v="2"/>
    <x v="175"/>
    <x v="171"/>
    <x v="23"/>
    <x v="61"/>
    <x v="0"/>
    <x v="0"/>
    <x v="0"/>
    <n v="0"/>
    <n v="0"/>
  </r>
  <r>
    <s v="SPAR WESTERN CAPE"/>
    <x v="2"/>
    <x v="175"/>
    <x v="171"/>
    <x v="23"/>
    <x v="61"/>
    <x v="0"/>
    <x v="1"/>
    <x v="1"/>
    <n v="0"/>
    <n v="0"/>
  </r>
  <r>
    <s v="SPAR WESTERN CAPE"/>
    <x v="2"/>
    <x v="175"/>
    <x v="171"/>
    <x v="23"/>
    <x v="61"/>
    <x v="0"/>
    <x v="2"/>
    <x v="2"/>
    <n v="0"/>
    <n v="0"/>
  </r>
  <r>
    <s v="SPAR WESTERN CAPE"/>
    <x v="2"/>
    <x v="175"/>
    <x v="171"/>
    <x v="23"/>
    <x v="61"/>
    <x v="0"/>
    <x v="3"/>
    <x v="3"/>
    <n v="0"/>
    <n v="0"/>
  </r>
  <r>
    <s v="SPAR WESTERN CAPE"/>
    <x v="2"/>
    <x v="175"/>
    <x v="171"/>
    <x v="23"/>
    <x v="61"/>
    <x v="0"/>
    <x v="4"/>
    <x v="4"/>
    <n v="0"/>
    <n v="0"/>
  </r>
  <r>
    <s v="SPAR WESTERN CAPE"/>
    <x v="2"/>
    <x v="175"/>
    <x v="171"/>
    <x v="23"/>
    <x v="61"/>
    <x v="0"/>
    <x v="5"/>
    <x v="5"/>
    <n v="0"/>
    <n v="0"/>
  </r>
  <r>
    <s v="SPAR WESTERN CAPE"/>
    <x v="2"/>
    <x v="175"/>
    <x v="171"/>
    <x v="23"/>
    <x v="61"/>
    <x v="0"/>
    <x v="6"/>
    <x v="6"/>
    <n v="0"/>
    <n v="0"/>
  </r>
  <r>
    <s v="SPAR WESTERN CAPE"/>
    <x v="2"/>
    <x v="176"/>
    <x v="172"/>
    <x v="58"/>
    <x v="112"/>
    <x v="0"/>
    <x v="0"/>
    <x v="0"/>
    <n v="0"/>
    <n v="0"/>
  </r>
  <r>
    <s v="SPAR WESTERN CAPE"/>
    <x v="2"/>
    <x v="176"/>
    <x v="172"/>
    <x v="58"/>
    <x v="112"/>
    <x v="0"/>
    <x v="1"/>
    <x v="1"/>
    <n v="0"/>
    <n v="0"/>
  </r>
  <r>
    <s v="SPAR WESTERN CAPE"/>
    <x v="2"/>
    <x v="176"/>
    <x v="172"/>
    <x v="58"/>
    <x v="112"/>
    <x v="0"/>
    <x v="2"/>
    <x v="2"/>
    <n v="0"/>
    <n v="0"/>
  </r>
  <r>
    <s v="SPAR WESTERN CAPE"/>
    <x v="2"/>
    <x v="176"/>
    <x v="172"/>
    <x v="58"/>
    <x v="112"/>
    <x v="0"/>
    <x v="3"/>
    <x v="3"/>
    <n v="0"/>
    <n v="0"/>
  </r>
  <r>
    <s v="SPAR WESTERN CAPE"/>
    <x v="2"/>
    <x v="176"/>
    <x v="172"/>
    <x v="58"/>
    <x v="112"/>
    <x v="0"/>
    <x v="4"/>
    <x v="4"/>
    <n v="0"/>
    <n v="0"/>
  </r>
  <r>
    <s v="SPAR WESTERN CAPE"/>
    <x v="2"/>
    <x v="176"/>
    <x v="172"/>
    <x v="58"/>
    <x v="112"/>
    <x v="0"/>
    <x v="5"/>
    <x v="5"/>
    <n v="0"/>
    <n v="0"/>
  </r>
  <r>
    <s v="SPAR WESTERN CAPE"/>
    <x v="2"/>
    <x v="176"/>
    <x v="172"/>
    <x v="58"/>
    <x v="112"/>
    <x v="0"/>
    <x v="6"/>
    <x v="6"/>
    <n v="0"/>
    <n v="0"/>
  </r>
  <r>
    <s v="SPAR WESTERN CAPE"/>
    <x v="2"/>
    <x v="177"/>
    <x v="173"/>
    <x v="51"/>
    <x v="113"/>
    <x v="0"/>
    <x v="0"/>
    <x v="0"/>
    <n v="0"/>
    <n v="0"/>
  </r>
  <r>
    <s v="SPAR WESTERN CAPE"/>
    <x v="2"/>
    <x v="177"/>
    <x v="173"/>
    <x v="51"/>
    <x v="113"/>
    <x v="0"/>
    <x v="1"/>
    <x v="1"/>
    <n v="0"/>
    <n v="0"/>
  </r>
  <r>
    <s v="SPAR WESTERN CAPE"/>
    <x v="2"/>
    <x v="177"/>
    <x v="173"/>
    <x v="51"/>
    <x v="113"/>
    <x v="0"/>
    <x v="2"/>
    <x v="2"/>
    <n v="0"/>
    <n v="0"/>
  </r>
  <r>
    <s v="SPAR WESTERN CAPE"/>
    <x v="2"/>
    <x v="177"/>
    <x v="173"/>
    <x v="51"/>
    <x v="113"/>
    <x v="0"/>
    <x v="3"/>
    <x v="3"/>
    <n v="0"/>
    <n v="0"/>
  </r>
  <r>
    <s v="SPAR WESTERN CAPE"/>
    <x v="2"/>
    <x v="177"/>
    <x v="173"/>
    <x v="51"/>
    <x v="113"/>
    <x v="0"/>
    <x v="4"/>
    <x v="4"/>
    <n v="0"/>
    <n v="0"/>
  </r>
  <r>
    <s v="SPAR WESTERN CAPE"/>
    <x v="2"/>
    <x v="177"/>
    <x v="173"/>
    <x v="51"/>
    <x v="113"/>
    <x v="0"/>
    <x v="5"/>
    <x v="5"/>
    <n v="0"/>
    <n v="0"/>
  </r>
  <r>
    <s v="SPAR WESTERN CAPE"/>
    <x v="2"/>
    <x v="177"/>
    <x v="173"/>
    <x v="51"/>
    <x v="113"/>
    <x v="0"/>
    <x v="6"/>
    <x v="6"/>
    <n v="0"/>
    <n v="0"/>
  </r>
  <r>
    <s v="SPAR WESTERN CAPE"/>
    <x v="2"/>
    <x v="178"/>
    <x v="174"/>
    <x v="51"/>
    <x v="113"/>
    <x v="0"/>
    <x v="0"/>
    <x v="0"/>
    <n v="0"/>
    <n v="0"/>
  </r>
  <r>
    <s v="SPAR WESTERN CAPE"/>
    <x v="2"/>
    <x v="178"/>
    <x v="174"/>
    <x v="51"/>
    <x v="113"/>
    <x v="0"/>
    <x v="1"/>
    <x v="1"/>
    <n v="0"/>
    <n v="0"/>
  </r>
  <r>
    <s v="SPAR WESTERN CAPE"/>
    <x v="2"/>
    <x v="178"/>
    <x v="174"/>
    <x v="51"/>
    <x v="113"/>
    <x v="0"/>
    <x v="2"/>
    <x v="2"/>
    <n v="0"/>
    <n v="0"/>
  </r>
  <r>
    <s v="SPAR WESTERN CAPE"/>
    <x v="2"/>
    <x v="178"/>
    <x v="174"/>
    <x v="51"/>
    <x v="113"/>
    <x v="0"/>
    <x v="3"/>
    <x v="3"/>
    <n v="0"/>
    <n v="0"/>
  </r>
  <r>
    <s v="SPAR WESTERN CAPE"/>
    <x v="2"/>
    <x v="178"/>
    <x v="174"/>
    <x v="51"/>
    <x v="113"/>
    <x v="0"/>
    <x v="4"/>
    <x v="4"/>
    <n v="0"/>
    <n v="0"/>
  </r>
  <r>
    <s v="SPAR WESTERN CAPE"/>
    <x v="2"/>
    <x v="178"/>
    <x v="174"/>
    <x v="51"/>
    <x v="113"/>
    <x v="0"/>
    <x v="5"/>
    <x v="5"/>
    <n v="0"/>
    <n v="0"/>
  </r>
  <r>
    <s v="SPAR WESTERN CAPE"/>
    <x v="2"/>
    <x v="178"/>
    <x v="174"/>
    <x v="51"/>
    <x v="113"/>
    <x v="0"/>
    <x v="6"/>
    <x v="6"/>
    <n v="0"/>
    <n v="0"/>
  </r>
  <r>
    <s v="SPAR WESTERN CAPE"/>
    <x v="2"/>
    <x v="179"/>
    <x v="175"/>
    <x v="50"/>
    <x v="114"/>
    <x v="0"/>
    <x v="0"/>
    <x v="0"/>
    <n v="0"/>
    <n v="0"/>
  </r>
  <r>
    <s v="SPAR WESTERN CAPE"/>
    <x v="2"/>
    <x v="179"/>
    <x v="175"/>
    <x v="50"/>
    <x v="114"/>
    <x v="0"/>
    <x v="1"/>
    <x v="1"/>
    <n v="0"/>
    <n v="0"/>
  </r>
  <r>
    <s v="SPAR WESTERN CAPE"/>
    <x v="2"/>
    <x v="179"/>
    <x v="175"/>
    <x v="50"/>
    <x v="114"/>
    <x v="0"/>
    <x v="2"/>
    <x v="2"/>
    <n v="0"/>
    <n v="0"/>
  </r>
  <r>
    <s v="SPAR WESTERN CAPE"/>
    <x v="2"/>
    <x v="179"/>
    <x v="175"/>
    <x v="50"/>
    <x v="114"/>
    <x v="0"/>
    <x v="3"/>
    <x v="3"/>
    <n v="0"/>
    <n v="0"/>
  </r>
  <r>
    <s v="SPAR WESTERN CAPE"/>
    <x v="2"/>
    <x v="179"/>
    <x v="175"/>
    <x v="50"/>
    <x v="114"/>
    <x v="0"/>
    <x v="4"/>
    <x v="4"/>
    <n v="0"/>
    <n v="0"/>
  </r>
  <r>
    <s v="SPAR WESTERN CAPE"/>
    <x v="2"/>
    <x v="179"/>
    <x v="175"/>
    <x v="50"/>
    <x v="114"/>
    <x v="0"/>
    <x v="5"/>
    <x v="5"/>
    <n v="0"/>
    <n v="0"/>
  </r>
  <r>
    <s v="SPAR WESTERN CAPE"/>
    <x v="2"/>
    <x v="179"/>
    <x v="175"/>
    <x v="50"/>
    <x v="114"/>
    <x v="0"/>
    <x v="6"/>
    <x v="6"/>
    <n v="0"/>
    <n v="0"/>
  </r>
  <r>
    <s v="SPAR WESTERN CAPE"/>
    <x v="2"/>
    <x v="180"/>
    <x v="176"/>
    <x v="50"/>
    <x v="114"/>
    <x v="0"/>
    <x v="0"/>
    <x v="0"/>
    <n v="0"/>
    <n v="0"/>
  </r>
  <r>
    <s v="SPAR WESTERN CAPE"/>
    <x v="2"/>
    <x v="180"/>
    <x v="176"/>
    <x v="50"/>
    <x v="114"/>
    <x v="0"/>
    <x v="1"/>
    <x v="1"/>
    <n v="0"/>
    <n v="0"/>
  </r>
  <r>
    <s v="SPAR WESTERN CAPE"/>
    <x v="2"/>
    <x v="180"/>
    <x v="176"/>
    <x v="50"/>
    <x v="114"/>
    <x v="0"/>
    <x v="2"/>
    <x v="2"/>
    <n v="0"/>
    <n v="0"/>
  </r>
  <r>
    <s v="SPAR WESTERN CAPE"/>
    <x v="2"/>
    <x v="180"/>
    <x v="176"/>
    <x v="50"/>
    <x v="114"/>
    <x v="0"/>
    <x v="3"/>
    <x v="3"/>
    <n v="0"/>
    <n v="0"/>
  </r>
  <r>
    <s v="SPAR WESTERN CAPE"/>
    <x v="2"/>
    <x v="180"/>
    <x v="176"/>
    <x v="50"/>
    <x v="114"/>
    <x v="0"/>
    <x v="4"/>
    <x v="4"/>
    <n v="0"/>
    <n v="0"/>
  </r>
  <r>
    <s v="SPAR WESTERN CAPE"/>
    <x v="2"/>
    <x v="180"/>
    <x v="176"/>
    <x v="50"/>
    <x v="114"/>
    <x v="0"/>
    <x v="5"/>
    <x v="5"/>
    <n v="0"/>
    <n v="0"/>
  </r>
  <r>
    <s v="SPAR WESTERN CAPE"/>
    <x v="2"/>
    <x v="180"/>
    <x v="176"/>
    <x v="50"/>
    <x v="114"/>
    <x v="0"/>
    <x v="6"/>
    <x v="6"/>
    <n v="0"/>
    <n v="0"/>
  </r>
  <r>
    <s v="SPAR WESTERN CAPE"/>
    <x v="2"/>
    <x v="181"/>
    <x v="177"/>
    <x v="50"/>
    <x v="114"/>
    <x v="0"/>
    <x v="0"/>
    <x v="0"/>
    <n v="0"/>
    <n v="0"/>
  </r>
  <r>
    <s v="SPAR WESTERN CAPE"/>
    <x v="2"/>
    <x v="181"/>
    <x v="177"/>
    <x v="50"/>
    <x v="114"/>
    <x v="0"/>
    <x v="1"/>
    <x v="1"/>
    <n v="0"/>
    <n v="0"/>
  </r>
  <r>
    <s v="SPAR WESTERN CAPE"/>
    <x v="2"/>
    <x v="181"/>
    <x v="177"/>
    <x v="50"/>
    <x v="114"/>
    <x v="0"/>
    <x v="2"/>
    <x v="2"/>
    <n v="0"/>
    <n v="0"/>
  </r>
  <r>
    <s v="SPAR WESTERN CAPE"/>
    <x v="2"/>
    <x v="181"/>
    <x v="177"/>
    <x v="50"/>
    <x v="114"/>
    <x v="0"/>
    <x v="3"/>
    <x v="3"/>
    <n v="0"/>
    <n v="0"/>
  </r>
  <r>
    <s v="SPAR WESTERN CAPE"/>
    <x v="2"/>
    <x v="181"/>
    <x v="177"/>
    <x v="50"/>
    <x v="114"/>
    <x v="0"/>
    <x v="4"/>
    <x v="4"/>
    <n v="0"/>
    <n v="0"/>
  </r>
  <r>
    <s v="SPAR WESTERN CAPE"/>
    <x v="2"/>
    <x v="181"/>
    <x v="177"/>
    <x v="50"/>
    <x v="114"/>
    <x v="0"/>
    <x v="5"/>
    <x v="5"/>
    <n v="0"/>
    <n v="0"/>
  </r>
  <r>
    <s v="SPAR WESTERN CAPE"/>
    <x v="2"/>
    <x v="181"/>
    <x v="177"/>
    <x v="50"/>
    <x v="114"/>
    <x v="0"/>
    <x v="6"/>
    <x v="6"/>
    <n v="0"/>
    <n v="0"/>
  </r>
  <r>
    <s v="SPAR WESTERN CAPE"/>
    <x v="2"/>
    <x v="182"/>
    <x v="178"/>
    <x v="47"/>
    <x v="115"/>
    <x v="0"/>
    <x v="0"/>
    <x v="0"/>
    <n v="0"/>
    <n v="0"/>
  </r>
  <r>
    <s v="SPAR WESTERN CAPE"/>
    <x v="2"/>
    <x v="182"/>
    <x v="178"/>
    <x v="47"/>
    <x v="115"/>
    <x v="0"/>
    <x v="1"/>
    <x v="1"/>
    <n v="0"/>
    <n v="0"/>
  </r>
  <r>
    <s v="SPAR WESTERN CAPE"/>
    <x v="2"/>
    <x v="182"/>
    <x v="178"/>
    <x v="47"/>
    <x v="115"/>
    <x v="0"/>
    <x v="2"/>
    <x v="2"/>
    <n v="0"/>
    <n v="0"/>
  </r>
  <r>
    <s v="SPAR WESTERN CAPE"/>
    <x v="2"/>
    <x v="182"/>
    <x v="178"/>
    <x v="47"/>
    <x v="115"/>
    <x v="0"/>
    <x v="3"/>
    <x v="3"/>
    <n v="0"/>
    <n v="0"/>
  </r>
  <r>
    <s v="SPAR WESTERN CAPE"/>
    <x v="2"/>
    <x v="182"/>
    <x v="178"/>
    <x v="47"/>
    <x v="115"/>
    <x v="0"/>
    <x v="4"/>
    <x v="4"/>
    <n v="0"/>
    <n v="0"/>
  </r>
  <r>
    <s v="SPAR WESTERN CAPE"/>
    <x v="2"/>
    <x v="182"/>
    <x v="178"/>
    <x v="47"/>
    <x v="115"/>
    <x v="0"/>
    <x v="5"/>
    <x v="5"/>
    <n v="0"/>
    <n v="0"/>
  </r>
  <r>
    <s v="SPAR WESTERN CAPE"/>
    <x v="2"/>
    <x v="182"/>
    <x v="178"/>
    <x v="47"/>
    <x v="115"/>
    <x v="0"/>
    <x v="6"/>
    <x v="6"/>
    <n v="0"/>
    <n v="0"/>
  </r>
  <r>
    <s v="SPAR WESTERN CAPE"/>
    <x v="2"/>
    <x v="183"/>
    <x v="179"/>
    <x v="39"/>
    <x v="116"/>
    <x v="0"/>
    <x v="0"/>
    <x v="0"/>
    <n v="0"/>
    <n v="0"/>
  </r>
  <r>
    <s v="SPAR WESTERN CAPE"/>
    <x v="2"/>
    <x v="183"/>
    <x v="179"/>
    <x v="39"/>
    <x v="116"/>
    <x v="0"/>
    <x v="1"/>
    <x v="1"/>
    <n v="0"/>
    <n v="0"/>
  </r>
  <r>
    <s v="SPAR WESTERN CAPE"/>
    <x v="2"/>
    <x v="183"/>
    <x v="179"/>
    <x v="39"/>
    <x v="116"/>
    <x v="0"/>
    <x v="2"/>
    <x v="2"/>
    <n v="0"/>
    <n v="0"/>
  </r>
  <r>
    <s v="SPAR WESTERN CAPE"/>
    <x v="2"/>
    <x v="183"/>
    <x v="179"/>
    <x v="39"/>
    <x v="116"/>
    <x v="0"/>
    <x v="3"/>
    <x v="3"/>
    <n v="0"/>
    <n v="0"/>
  </r>
  <r>
    <s v="SPAR WESTERN CAPE"/>
    <x v="2"/>
    <x v="183"/>
    <x v="179"/>
    <x v="39"/>
    <x v="116"/>
    <x v="0"/>
    <x v="4"/>
    <x v="4"/>
    <n v="0"/>
    <n v="0"/>
  </r>
  <r>
    <s v="SPAR WESTERN CAPE"/>
    <x v="2"/>
    <x v="183"/>
    <x v="179"/>
    <x v="39"/>
    <x v="116"/>
    <x v="0"/>
    <x v="5"/>
    <x v="5"/>
    <n v="0"/>
    <n v="0"/>
  </r>
  <r>
    <s v="SPAR WESTERN CAPE"/>
    <x v="2"/>
    <x v="183"/>
    <x v="179"/>
    <x v="39"/>
    <x v="116"/>
    <x v="0"/>
    <x v="6"/>
    <x v="6"/>
    <n v="0"/>
    <n v="0"/>
  </r>
  <r>
    <s v="SPAR WESTERN CAPE"/>
    <x v="2"/>
    <x v="184"/>
    <x v="180"/>
    <x v="26"/>
    <x v="117"/>
    <x v="0"/>
    <x v="0"/>
    <x v="0"/>
    <n v="0"/>
    <n v="0"/>
  </r>
  <r>
    <s v="SPAR WESTERN CAPE"/>
    <x v="2"/>
    <x v="184"/>
    <x v="180"/>
    <x v="26"/>
    <x v="117"/>
    <x v="0"/>
    <x v="1"/>
    <x v="1"/>
    <n v="0"/>
    <n v="0"/>
  </r>
  <r>
    <s v="SPAR WESTERN CAPE"/>
    <x v="2"/>
    <x v="184"/>
    <x v="180"/>
    <x v="26"/>
    <x v="117"/>
    <x v="0"/>
    <x v="2"/>
    <x v="2"/>
    <n v="0"/>
    <n v="0"/>
  </r>
  <r>
    <s v="SPAR WESTERN CAPE"/>
    <x v="2"/>
    <x v="184"/>
    <x v="180"/>
    <x v="26"/>
    <x v="117"/>
    <x v="0"/>
    <x v="3"/>
    <x v="3"/>
    <n v="0"/>
    <n v="0"/>
  </r>
  <r>
    <s v="SPAR WESTERN CAPE"/>
    <x v="2"/>
    <x v="184"/>
    <x v="180"/>
    <x v="26"/>
    <x v="117"/>
    <x v="0"/>
    <x v="4"/>
    <x v="4"/>
    <n v="0"/>
    <n v="0"/>
  </r>
  <r>
    <s v="SPAR WESTERN CAPE"/>
    <x v="2"/>
    <x v="184"/>
    <x v="180"/>
    <x v="26"/>
    <x v="117"/>
    <x v="0"/>
    <x v="5"/>
    <x v="5"/>
    <n v="0"/>
    <n v="0"/>
  </r>
  <r>
    <s v="SPAR WESTERN CAPE"/>
    <x v="2"/>
    <x v="184"/>
    <x v="180"/>
    <x v="26"/>
    <x v="117"/>
    <x v="0"/>
    <x v="6"/>
    <x v="6"/>
    <n v="0"/>
    <n v="0"/>
  </r>
  <r>
    <s v="SPAR WESTERN CAPE"/>
    <x v="2"/>
    <x v="185"/>
    <x v="181"/>
    <x v="11"/>
    <x v="40"/>
    <x v="0"/>
    <x v="0"/>
    <x v="0"/>
    <n v="0"/>
    <n v="0"/>
  </r>
  <r>
    <s v="SPAR WESTERN CAPE"/>
    <x v="2"/>
    <x v="185"/>
    <x v="181"/>
    <x v="11"/>
    <x v="40"/>
    <x v="0"/>
    <x v="1"/>
    <x v="1"/>
    <n v="0"/>
    <n v="0"/>
  </r>
  <r>
    <s v="SPAR WESTERN CAPE"/>
    <x v="2"/>
    <x v="185"/>
    <x v="181"/>
    <x v="11"/>
    <x v="40"/>
    <x v="0"/>
    <x v="2"/>
    <x v="2"/>
    <n v="0"/>
    <n v="0"/>
  </r>
  <r>
    <s v="SPAR WESTERN CAPE"/>
    <x v="2"/>
    <x v="185"/>
    <x v="181"/>
    <x v="11"/>
    <x v="40"/>
    <x v="0"/>
    <x v="3"/>
    <x v="3"/>
    <n v="0"/>
    <n v="0"/>
  </r>
  <r>
    <s v="SPAR WESTERN CAPE"/>
    <x v="2"/>
    <x v="185"/>
    <x v="181"/>
    <x v="11"/>
    <x v="40"/>
    <x v="0"/>
    <x v="5"/>
    <x v="5"/>
    <n v="0"/>
    <n v="0"/>
  </r>
  <r>
    <s v="SPAR WESTERN CAPE"/>
    <x v="2"/>
    <x v="185"/>
    <x v="181"/>
    <x v="11"/>
    <x v="40"/>
    <x v="0"/>
    <x v="6"/>
    <x v="6"/>
    <n v="0"/>
    <n v="0"/>
  </r>
  <r>
    <s v="SPAR WESTERN CAPE"/>
    <x v="2"/>
    <x v="186"/>
    <x v="182"/>
    <x v="11"/>
    <x v="40"/>
    <x v="0"/>
    <x v="0"/>
    <x v="0"/>
    <n v="0"/>
    <n v="0"/>
  </r>
  <r>
    <s v="SPAR WESTERN CAPE"/>
    <x v="2"/>
    <x v="186"/>
    <x v="182"/>
    <x v="11"/>
    <x v="40"/>
    <x v="0"/>
    <x v="1"/>
    <x v="1"/>
    <n v="0"/>
    <n v="0"/>
  </r>
  <r>
    <s v="SPAR WESTERN CAPE"/>
    <x v="2"/>
    <x v="186"/>
    <x v="182"/>
    <x v="11"/>
    <x v="40"/>
    <x v="0"/>
    <x v="2"/>
    <x v="2"/>
    <n v="0"/>
    <n v="0"/>
  </r>
  <r>
    <s v="SPAR WESTERN CAPE"/>
    <x v="2"/>
    <x v="186"/>
    <x v="182"/>
    <x v="11"/>
    <x v="40"/>
    <x v="0"/>
    <x v="3"/>
    <x v="3"/>
    <n v="0"/>
    <n v="0"/>
  </r>
  <r>
    <s v="SPAR WESTERN CAPE"/>
    <x v="2"/>
    <x v="186"/>
    <x v="182"/>
    <x v="11"/>
    <x v="40"/>
    <x v="0"/>
    <x v="4"/>
    <x v="4"/>
    <n v="0"/>
    <n v="0"/>
  </r>
  <r>
    <s v="SPAR WESTERN CAPE"/>
    <x v="2"/>
    <x v="186"/>
    <x v="182"/>
    <x v="11"/>
    <x v="40"/>
    <x v="0"/>
    <x v="5"/>
    <x v="5"/>
    <n v="0"/>
    <n v="0"/>
  </r>
  <r>
    <s v="SPAR WESTERN CAPE"/>
    <x v="2"/>
    <x v="186"/>
    <x v="182"/>
    <x v="11"/>
    <x v="40"/>
    <x v="0"/>
    <x v="6"/>
    <x v="6"/>
    <n v="0"/>
    <n v="0"/>
  </r>
  <r>
    <s v="SPAR WESTERN CAPE"/>
    <x v="2"/>
    <x v="187"/>
    <x v="183"/>
    <x v="39"/>
    <x v="103"/>
    <x v="0"/>
    <x v="0"/>
    <x v="0"/>
    <n v="0"/>
    <n v="0"/>
  </r>
  <r>
    <s v="SPAR WESTERN CAPE"/>
    <x v="2"/>
    <x v="187"/>
    <x v="183"/>
    <x v="39"/>
    <x v="103"/>
    <x v="0"/>
    <x v="1"/>
    <x v="1"/>
    <n v="0"/>
    <n v="0"/>
  </r>
  <r>
    <s v="SPAR WESTERN CAPE"/>
    <x v="2"/>
    <x v="187"/>
    <x v="183"/>
    <x v="39"/>
    <x v="103"/>
    <x v="0"/>
    <x v="2"/>
    <x v="2"/>
    <n v="0"/>
    <n v="0"/>
  </r>
  <r>
    <s v="SPAR WESTERN CAPE"/>
    <x v="2"/>
    <x v="187"/>
    <x v="183"/>
    <x v="39"/>
    <x v="103"/>
    <x v="0"/>
    <x v="3"/>
    <x v="3"/>
    <n v="0"/>
    <n v="0"/>
  </r>
  <r>
    <s v="SPAR WESTERN CAPE"/>
    <x v="2"/>
    <x v="187"/>
    <x v="183"/>
    <x v="39"/>
    <x v="103"/>
    <x v="0"/>
    <x v="4"/>
    <x v="4"/>
    <n v="0"/>
    <n v="0"/>
  </r>
  <r>
    <s v="SPAR WESTERN CAPE"/>
    <x v="2"/>
    <x v="187"/>
    <x v="183"/>
    <x v="39"/>
    <x v="103"/>
    <x v="0"/>
    <x v="5"/>
    <x v="5"/>
    <n v="0"/>
    <n v="0"/>
  </r>
  <r>
    <s v="SPAR WESTERN CAPE"/>
    <x v="2"/>
    <x v="187"/>
    <x v="183"/>
    <x v="39"/>
    <x v="103"/>
    <x v="0"/>
    <x v="6"/>
    <x v="6"/>
    <n v="0"/>
    <n v="0"/>
  </r>
  <r>
    <s v="SPAR WESTERN CAPE"/>
    <x v="2"/>
    <x v="188"/>
    <x v="184"/>
    <x v="39"/>
    <x v="103"/>
    <x v="0"/>
    <x v="2"/>
    <x v="2"/>
    <n v="0"/>
    <n v="0"/>
  </r>
  <r>
    <s v="SPAR WESTERN CAPE"/>
    <x v="2"/>
    <x v="188"/>
    <x v="184"/>
    <x v="39"/>
    <x v="103"/>
    <x v="0"/>
    <x v="3"/>
    <x v="3"/>
    <n v="0"/>
    <n v="0"/>
  </r>
  <r>
    <s v="SPAR WESTERN CAPE"/>
    <x v="2"/>
    <x v="188"/>
    <x v="184"/>
    <x v="39"/>
    <x v="103"/>
    <x v="0"/>
    <x v="4"/>
    <x v="4"/>
    <n v="0"/>
    <n v="0"/>
  </r>
  <r>
    <s v="SPAR WESTERN CAPE"/>
    <x v="2"/>
    <x v="188"/>
    <x v="184"/>
    <x v="39"/>
    <x v="103"/>
    <x v="0"/>
    <x v="5"/>
    <x v="5"/>
    <n v="0"/>
    <n v="0"/>
  </r>
  <r>
    <s v="SPAR WESTERN CAPE"/>
    <x v="2"/>
    <x v="188"/>
    <x v="184"/>
    <x v="39"/>
    <x v="103"/>
    <x v="0"/>
    <x v="6"/>
    <x v="6"/>
    <n v="0"/>
    <n v="0"/>
  </r>
  <r>
    <s v="SPAR WESTERN CAPE"/>
    <x v="2"/>
    <x v="189"/>
    <x v="185"/>
    <x v="39"/>
    <x v="103"/>
    <x v="0"/>
    <x v="0"/>
    <x v="0"/>
    <n v="0"/>
    <n v="0"/>
  </r>
  <r>
    <s v="SPAR WESTERN CAPE"/>
    <x v="2"/>
    <x v="189"/>
    <x v="185"/>
    <x v="39"/>
    <x v="103"/>
    <x v="0"/>
    <x v="1"/>
    <x v="1"/>
    <n v="0"/>
    <n v="0"/>
  </r>
  <r>
    <s v="SPAR WESTERN CAPE"/>
    <x v="2"/>
    <x v="189"/>
    <x v="185"/>
    <x v="39"/>
    <x v="103"/>
    <x v="0"/>
    <x v="2"/>
    <x v="2"/>
    <n v="0"/>
    <n v="0"/>
  </r>
  <r>
    <s v="SPAR WESTERN CAPE"/>
    <x v="2"/>
    <x v="189"/>
    <x v="185"/>
    <x v="39"/>
    <x v="103"/>
    <x v="0"/>
    <x v="3"/>
    <x v="3"/>
    <n v="0"/>
    <n v="0"/>
  </r>
  <r>
    <s v="SPAR WESTERN CAPE"/>
    <x v="2"/>
    <x v="189"/>
    <x v="185"/>
    <x v="39"/>
    <x v="103"/>
    <x v="0"/>
    <x v="4"/>
    <x v="4"/>
    <n v="0"/>
    <n v="0"/>
  </r>
  <r>
    <s v="SPAR WESTERN CAPE"/>
    <x v="2"/>
    <x v="189"/>
    <x v="185"/>
    <x v="39"/>
    <x v="103"/>
    <x v="0"/>
    <x v="5"/>
    <x v="5"/>
    <n v="0"/>
    <n v="0"/>
  </r>
  <r>
    <s v="SPAR WESTERN CAPE"/>
    <x v="2"/>
    <x v="189"/>
    <x v="185"/>
    <x v="39"/>
    <x v="103"/>
    <x v="0"/>
    <x v="6"/>
    <x v="6"/>
    <n v="0"/>
    <n v="0"/>
  </r>
  <r>
    <s v="SPAR WESTERN CAPE"/>
    <x v="2"/>
    <x v="190"/>
    <x v="186"/>
    <x v="10"/>
    <x v="82"/>
    <x v="0"/>
    <x v="0"/>
    <x v="0"/>
    <n v="0"/>
    <n v="0"/>
  </r>
  <r>
    <s v="SPAR WESTERN CAPE"/>
    <x v="2"/>
    <x v="190"/>
    <x v="186"/>
    <x v="10"/>
    <x v="82"/>
    <x v="0"/>
    <x v="1"/>
    <x v="1"/>
    <n v="0"/>
    <n v="0"/>
  </r>
  <r>
    <s v="SPAR WESTERN CAPE"/>
    <x v="2"/>
    <x v="190"/>
    <x v="186"/>
    <x v="10"/>
    <x v="82"/>
    <x v="0"/>
    <x v="2"/>
    <x v="2"/>
    <n v="0"/>
    <n v="0"/>
  </r>
  <r>
    <s v="SPAR WESTERN CAPE"/>
    <x v="2"/>
    <x v="190"/>
    <x v="186"/>
    <x v="10"/>
    <x v="82"/>
    <x v="0"/>
    <x v="3"/>
    <x v="3"/>
    <n v="0"/>
    <n v="0"/>
  </r>
  <r>
    <s v="SPAR WESTERN CAPE"/>
    <x v="2"/>
    <x v="190"/>
    <x v="186"/>
    <x v="10"/>
    <x v="82"/>
    <x v="0"/>
    <x v="4"/>
    <x v="4"/>
    <n v="0"/>
    <n v="0"/>
  </r>
  <r>
    <s v="SPAR WESTERN CAPE"/>
    <x v="2"/>
    <x v="190"/>
    <x v="186"/>
    <x v="10"/>
    <x v="82"/>
    <x v="0"/>
    <x v="5"/>
    <x v="5"/>
    <n v="0"/>
    <n v="0"/>
  </r>
  <r>
    <s v="SPAR WESTERN CAPE"/>
    <x v="2"/>
    <x v="190"/>
    <x v="186"/>
    <x v="10"/>
    <x v="82"/>
    <x v="0"/>
    <x v="6"/>
    <x v="6"/>
    <n v="0"/>
    <n v="0"/>
  </r>
  <r>
    <s v="SPAR WESTERN CAPE"/>
    <x v="2"/>
    <x v="191"/>
    <x v="187"/>
    <x v="10"/>
    <x v="82"/>
    <x v="0"/>
    <x v="0"/>
    <x v="0"/>
    <n v="0"/>
    <n v="0"/>
  </r>
  <r>
    <s v="SPAR WESTERN CAPE"/>
    <x v="2"/>
    <x v="191"/>
    <x v="187"/>
    <x v="10"/>
    <x v="82"/>
    <x v="0"/>
    <x v="1"/>
    <x v="1"/>
    <n v="0"/>
    <n v="0"/>
  </r>
  <r>
    <s v="SPAR WESTERN CAPE"/>
    <x v="2"/>
    <x v="191"/>
    <x v="187"/>
    <x v="10"/>
    <x v="82"/>
    <x v="0"/>
    <x v="2"/>
    <x v="2"/>
    <n v="0"/>
    <n v="0"/>
  </r>
  <r>
    <s v="SPAR WESTERN CAPE"/>
    <x v="2"/>
    <x v="191"/>
    <x v="187"/>
    <x v="10"/>
    <x v="82"/>
    <x v="0"/>
    <x v="3"/>
    <x v="3"/>
    <n v="0"/>
    <n v="0"/>
  </r>
  <r>
    <s v="SPAR WESTERN CAPE"/>
    <x v="2"/>
    <x v="191"/>
    <x v="187"/>
    <x v="10"/>
    <x v="82"/>
    <x v="0"/>
    <x v="4"/>
    <x v="4"/>
    <n v="0"/>
    <n v="0"/>
  </r>
  <r>
    <s v="SPAR WESTERN CAPE"/>
    <x v="2"/>
    <x v="191"/>
    <x v="187"/>
    <x v="10"/>
    <x v="82"/>
    <x v="0"/>
    <x v="5"/>
    <x v="5"/>
    <n v="0"/>
    <n v="0"/>
  </r>
  <r>
    <s v="SPAR WESTERN CAPE"/>
    <x v="2"/>
    <x v="191"/>
    <x v="187"/>
    <x v="10"/>
    <x v="82"/>
    <x v="0"/>
    <x v="6"/>
    <x v="6"/>
    <n v="0"/>
    <n v="0"/>
  </r>
  <r>
    <s v="SPAR WESTERN CAPE"/>
    <x v="2"/>
    <x v="192"/>
    <x v="188"/>
    <x v="10"/>
    <x v="82"/>
    <x v="0"/>
    <x v="0"/>
    <x v="0"/>
    <n v="0"/>
    <n v="0"/>
  </r>
  <r>
    <s v="SPAR WESTERN CAPE"/>
    <x v="2"/>
    <x v="192"/>
    <x v="188"/>
    <x v="10"/>
    <x v="82"/>
    <x v="0"/>
    <x v="1"/>
    <x v="1"/>
    <n v="0"/>
    <n v="0"/>
  </r>
  <r>
    <s v="SPAR WESTERN CAPE"/>
    <x v="2"/>
    <x v="192"/>
    <x v="188"/>
    <x v="10"/>
    <x v="82"/>
    <x v="0"/>
    <x v="2"/>
    <x v="2"/>
    <n v="0"/>
    <n v="0"/>
  </r>
  <r>
    <s v="SPAR WESTERN CAPE"/>
    <x v="2"/>
    <x v="192"/>
    <x v="188"/>
    <x v="10"/>
    <x v="82"/>
    <x v="0"/>
    <x v="3"/>
    <x v="3"/>
    <n v="0"/>
    <n v="0"/>
  </r>
  <r>
    <s v="SPAR WESTERN CAPE"/>
    <x v="2"/>
    <x v="192"/>
    <x v="188"/>
    <x v="10"/>
    <x v="82"/>
    <x v="0"/>
    <x v="4"/>
    <x v="4"/>
    <n v="0"/>
    <n v="0"/>
  </r>
  <r>
    <s v="SPAR WESTERN CAPE"/>
    <x v="2"/>
    <x v="192"/>
    <x v="188"/>
    <x v="10"/>
    <x v="82"/>
    <x v="0"/>
    <x v="5"/>
    <x v="5"/>
    <n v="0"/>
    <n v="0"/>
  </r>
  <r>
    <s v="SPAR WESTERN CAPE"/>
    <x v="2"/>
    <x v="192"/>
    <x v="188"/>
    <x v="10"/>
    <x v="82"/>
    <x v="0"/>
    <x v="6"/>
    <x v="6"/>
    <n v="0"/>
    <n v="0"/>
  </r>
  <r>
    <s v="SPAR WESTERN CAPE"/>
    <x v="2"/>
    <x v="193"/>
    <x v="189"/>
    <x v="18"/>
    <x v="72"/>
    <x v="0"/>
    <x v="0"/>
    <x v="0"/>
    <n v="0"/>
    <n v="0"/>
  </r>
  <r>
    <s v="SPAR WESTERN CAPE"/>
    <x v="2"/>
    <x v="193"/>
    <x v="189"/>
    <x v="18"/>
    <x v="72"/>
    <x v="0"/>
    <x v="1"/>
    <x v="1"/>
    <n v="0"/>
    <n v="0"/>
  </r>
  <r>
    <s v="SPAR WESTERN CAPE"/>
    <x v="2"/>
    <x v="193"/>
    <x v="189"/>
    <x v="18"/>
    <x v="72"/>
    <x v="0"/>
    <x v="2"/>
    <x v="2"/>
    <n v="0"/>
    <n v="0"/>
  </r>
  <r>
    <s v="SPAR WESTERN CAPE"/>
    <x v="2"/>
    <x v="193"/>
    <x v="189"/>
    <x v="18"/>
    <x v="72"/>
    <x v="0"/>
    <x v="3"/>
    <x v="3"/>
    <n v="0"/>
    <n v="0"/>
  </r>
  <r>
    <s v="SPAR WESTERN CAPE"/>
    <x v="2"/>
    <x v="193"/>
    <x v="189"/>
    <x v="18"/>
    <x v="72"/>
    <x v="0"/>
    <x v="4"/>
    <x v="4"/>
    <n v="0"/>
    <n v="0"/>
  </r>
  <r>
    <s v="SPAR WESTERN CAPE"/>
    <x v="2"/>
    <x v="193"/>
    <x v="189"/>
    <x v="18"/>
    <x v="72"/>
    <x v="0"/>
    <x v="5"/>
    <x v="5"/>
    <n v="0"/>
    <n v="0"/>
  </r>
  <r>
    <s v="SPAR WESTERN CAPE"/>
    <x v="2"/>
    <x v="193"/>
    <x v="189"/>
    <x v="18"/>
    <x v="72"/>
    <x v="0"/>
    <x v="6"/>
    <x v="6"/>
    <n v="0"/>
    <n v="0"/>
  </r>
  <r>
    <s v="SPAR WESTERN CAPE"/>
    <x v="2"/>
    <x v="194"/>
    <x v="190"/>
    <x v="18"/>
    <x v="72"/>
    <x v="0"/>
    <x v="0"/>
    <x v="0"/>
    <n v="0"/>
    <n v="0"/>
  </r>
  <r>
    <s v="SPAR WESTERN CAPE"/>
    <x v="2"/>
    <x v="194"/>
    <x v="190"/>
    <x v="18"/>
    <x v="72"/>
    <x v="0"/>
    <x v="1"/>
    <x v="1"/>
    <n v="0"/>
    <n v="0"/>
  </r>
  <r>
    <s v="SPAR WESTERN CAPE"/>
    <x v="2"/>
    <x v="194"/>
    <x v="190"/>
    <x v="18"/>
    <x v="72"/>
    <x v="0"/>
    <x v="2"/>
    <x v="2"/>
    <n v="0"/>
    <n v="0"/>
  </r>
  <r>
    <s v="SPAR WESTERN CAPE"/>
    <x v="2"/>
    <x v="194"/>
    <x v="190"/>
    <x v="18"/>
    <x v="72"/>
    <x v="0"/>
    <x v="3"/>
    <x v="3"/>
    <n v="0"/>
    <n v="0"/>
  </r>
  <r>
    <s v="SPAR WESTERN CAPE"/>
    <x v="2"/>
    <x v="194"/>
    <x v="190"/>
    <x v="18"/>
    <x v="72"/>
    <x v="0"/>
    <x v="4"/>
    <x v="4"/>
    <n v="0"/>
    <n v="0"/>
  </r>
  <r>
    <s v="SPAR WESTERN CAPE"/>
    <x v="2"/>
    <x v="194"/>
    <x v="190"/>
    <x v="18"/>
    <x v="72"/>
    <x v="0"/>
    <x v="5"/>
    <x v="5"/>
    <n v="0"/>
    <n v="0"/>
  </r>
  <r>
    <s v="SPAR WESTERN CAPE"/>
    <x v="2"/>
    <x v="194"/>
    <x v="190"/>
    <x v="18"/>
    <x v="72"/>
    <x v="0"/>
    <x v="6"/>
    <x v="6"/>
    <n v="0"/>
    <n v="0"/>
  </r>
  <r>
    <s v="SPAR WESTERN CAPE"/>
    <x v="2"/>
    <x v="195"/>
    <x v="191"/>
    <x v="18"/>
    <x v="72"/>
    <x v="0"/>
    <x v="0"/>
    <x v="0"/>
    <n v="0"/>
    <n v="0"/>
  </r>
  <r>
    <s v="SPAR WESTERN CAPE"/>
    <x v="2"/>
    <x v="195"/>
    <x v="191"/>
    <x v="18"/>
    <x v="72"/>
    <x v="0"/>
    <x v="1"/>
    <x v="1"/>
    <n v="0"/>
    <n v="0"/>
  </r>
  <r>
    <s v="SPAR WESTERN CAPE"/>
    <x v="2"/>
    <x v="195"/>
    <x v="191"/>
    <x v="18"/>
    <x v="72"/>
    <x v="0"/>
    <x v="2"/>
    <x v="2"/>
    <n v="0"/>
    <n v="0"/>
  </r>
  <r>
    <s v="SPAR WESTERN CAPE"/>
    <x v="2"/>
    <x v="195"/>
    <x v="191"/>
    <x v="18"/>
    <x v="72"/>
    <x v="0"/>
    <x v="3"/>
    <x v="3"/>
    <n v="0"/>
    <n v="0"/>
  </r>
  <r>
    <s v="SPAR WESTERN CAPE"/>
    <x v="2"/>
    <x v="195"/>
    <x v="191"/>
    <x v="18"/>
    <x v="72"/>
    <x v="0"/>
    <x v="4"/>
    <x v="4"/>
    <n v="0"/>
    <n v="0"/>
  </r>
  <r>
    <s v="SPAR WESTERN CAPE"/>
    <x v="2"/>
    <x v="195"/>
    <x v="191"/>
    <x v="18"/>
    <x v="72"/>
    <x v="0"/>
    <x v="5"/>
    <x v="5"/>
    <n v="0"/>
    <n v="0"/>
  </r>
  <r>
    <s v="SPAR WESTERN CAPE"/>
    <x v="2"/>
    <x v="195"/>
    <x v="191"/>
    <x v="18"/>
    <x v="72"/>
    <x v="0"/>
    <x v="6"/>
    <x v="6"/>
    <n v="0"/>
    <n v="0"/>
  </r>
  <r>
    <s v="SPAR WESTERN CAPE"/>
    <x v="2"/>
    <x v="196"/>
    <x v="192"/>
    <x v="10"/>
    <x v="82"/>
    <x v="0"/>
    <x v="0"/>
    <x v="0"/>
    <n v="0"/>
    <n v="0"/>
  </r>
  <r>
    <s v="SPAR WESTERN CAPE"/>
    <x v="2"/>
    <x v="196"/>
    <x v="192"/>
    <x v="10"/>
    <x v="82"/>
    <x v="0"/>
    <x v="1"/>
    <x v="1"/>
    <n v="0"/>
    <n v="0"/>
  </r>
  <r>
    <s v="SPAR WESTERN CAPE"/>
    <x v="2"/>
    <x v="196"/>
    <x v="192"/>
    <x v="10"/>
    <x v="82"/>
    <x v="0"/>
    <x v="2"/>
    <x v="2"/>
    <n v="0"/>
    <n v="0"/>
  </r>
  <r>
    <s v="SPAR WESTERN CAPE"/>
    <x v="2"/>
    <x v="196"/>
    <x v="192"/>
    <x v="10"/>
    <x v="82"/>
    <x v="0"/>
    <x v="3"/>
    <x v="3"/>
    <n v="0"/>
    <n v="0"/>
  </r>
  <r>
    <s v="SPAR WESTERN CAPE"/>
    <x v="2"/>
    <x v="196"/>
    <x v="192"/>
    <x v="10"/>
    <x v="82"/>
    <x v="0"/>
    <x v="4"/>
    <x v="4"/>
    <n v="0"/>
    <n v="0"/>
  </r>
  <r>
    <s v="SPAR WESTERN CAPE"/>
    <x v="2"/>
    <x v="196"/>
    <x v="192"/>
    <x v="10"/>
    <x v="82"/>
    <x v="0"/>
    <x v="6"/>
    <x v="6"/>
    <n v="0"/>
    <n v="0"/>
  </r>
  <r>
    <s v="SPAR WESTERN CAPE"/>
    <x v="2"/>
    <x v="197"/>
    <x v="193"/>
    <x v="10"/>
    <x v="82"/>
    <x v="0"/>
    <x v="0"/>
    <x v="0"/>
    <n v="0"/>
    <n v="0"/>
  </r>
  <r>
    <s v="SPAR WESTERN CAPE"/>
    <x v="2"/>
    <x v="197"/>
    <x v="193"/>
    <x v="10"/>
    <x v="82"/>
    <x v="0"/>
    <x v="1"/>
    <x v="1"/>
    <n v="0"/>
    <n v="0"/>
  </r>
  <r>
    <s v="SPAR WESTERN CAPE"/>
    <x v="2"/>
    <x v="197"/>
    <x v="193"/>
    <x v="10"/>
    <x v="82"/>
    <x v="0"/>
    <x v="2"/>
    <x v="2"/>
    <n v="0"/>
    <n v="0"/>
  </r>
  <r>
    <s v="SPAR WESTERN CAPE"/>
    <x v="2"/>
    <x v="197"/>
    <x v="193"/>
    <x v="10"/>
    <x v="82"/>
    <x v="0"/>
    <x v="3"/>
    <x v="3"/>
    <n v="0"/>
    <n v="0"/>
  </r>
  <r>
    <s v="SPAR WESTERN CAPE"/>
    <x v="2"/>
    <x v="197"/>
    <x v="193"/>
    <x v="10"/>
    <x v="82"/>
    <x v="0"/>
    <x v="5"/>
    <x v="5"/>
    <n v="0"/>
    <n v="0"/>
  </r>
  <r>
    <s v="SPAR WESTERN CAPE"/>
    <x v="2"/>
    <x v="197"/>
    <x v="193"/>
    <x v="10"/>
    <x v="82"/>
    <x v="0"/>
    <x v="6"/>
    <x v="6"/>
    <n v="0"/>
    <n v="0"/>
  </r>
  <r>
    <s v="SPAR WESTERN CAPE"/>
    <x v="2"/>
    <x v="198"/>
    <x v="194"/>
    <x v="6"/>
    <x v="118"/>
    <x v="0"/>
    <x v="1"/>
    <x v="1"/>
    <n v="0"/>
    <n v="0"/>
  </r>
  <r>
    <s v="SPAR WESTERN CAPE"/>
    <x v="2"/>
    <x v="198"/>
    <x v="194"/>
    <x v="6"/>
    <x v="118"/>
    <x v="0"/>
    <x v="2"/>
    <x v="2"/>
    <n v="0"/>
    <n v="0"/>
  </r>
  <r>
    <s v="SPAR WESTERN CAPE"/>
    <x v="2"/>
    <x v="198"/>
    <x v="194"/>
    <x v="6"/>
    <x v="118"/>
    <x v="0"/>
    <x v="3"/>
    <x v="3"/>
    <n v="0"/>
    <n v="0"/>
  </r>
  <r>
    <s v="SPAR WESTERN CAPE"/>
    <x v="2"/>
    <x v="198"/>
    <x v="194"/>
    <x v="6"/>
    <x v="118"/>
    <x v="0"/>
    <x v="4"/>
    <x v="4"/>
    <n v="0"/>
    <n v="0"/>
  </r>
  <r>
    <s v="SPAR WESTERN CAPE"/>
    <x v="2"/>
    <x v="198"/>
    <x v="194"/>
    <x v="6"/>
    <x v="118"/>
    <x v="0"/>
    <x v="5"/>
    <x v="5"/>
    <n v="0"/>
    <n v="0"/>
  </r>
  <r>
    <s v="SPAR WESTERN CAPE"/>
    <x v="2"/>
    <x v="198"/>
    <x v="194"/>
    <x v="6"/>
    <x v="118"/>
    <x v="0"/>
    <x v="6"/>
    <x v="6"/>
    <n v="0"/>
    <n v="0"/>
  </r>
  <r>
    <s v="SPAR WESTERN CAPE"/>
    <x v="2"/>
    <x v="199"/>
    <x v="195"/>
    <x v="6"/>
    <x v="118"/>
    <x v="0"/>
    <x v="0"/>
    <x v="0"/>
    <n v="0"/>
    <n v="0"/>
  </r>
  <r>
    <s v="SPAR WESTERN CAPE"/>
    <x v="2"/>
    <x v="199"/>
    <x v="195"/>
    <x v="6"/>
    <x v="118"/>
    <x v="0"/>
    <x v="1"/>
    <x v="1"/>
    <n v="0"/>
    <n v="0"/>
  </r>
  <r>
    <s v="SPAR WESTERN CAPE"/>
    <x v="2"/>
    <x v="199"/>
    <x v="195"/>
    <x v="6"/>
    <x v="118"/>
    <x v="0"/>
    <x v="2"/>
    <x v="2"/>
    <n v="0"/>
    <n v="0"/>
  </r>
  <r>
    <s v="SPAR WESTERN CAPE"/>
    <x v="2"/>
    <x v="199"/>
    <x v="195"/>
    <x v="6"/>
    <x v="118"/>
    <x v="0"/>
    <x v="3"/>
    <x v="3"/>
    <n v="0"/>
    <n v="0"/>
  </r>
  <r>
    <s v="SPAR WESTERN CAPE"/>
    <x v="2"/>
    <x v="199"/>
    <x v="195"/>
    <x v="6"/>
    <x v="118"/>
    <x v="0"/>
    <x v="4"/>
    <x v="4"/>
    <n v="0"/>
    <n v="0"/>
  </r>
  <r>
    <s v="SPAR WESTERN CAPE"/>
    <x v="2"/>
    <x v="199"/>
    <x v="195"/>
    <x v="6"/>
    <x v="118"/>
    <x v="0"/>
    <x v="5"/>
    <x v="5"/>
    <n v="0"/>
    <n v="0"/>
  </r>
  <r>
    <s v="SPAR WESTERN CAPE"/>
    <x v="2"/>
    <x v="199"/>
    <x v="195"/>
    <x v="6"/>
    <x v="118"/>
    <x v="0"/>
    <x v="6"/>
    <x v="6"/>
    <n v="0"/>
    <n v="0"/>
  </r>
  <r>
    <s v="SPAR WESTERN CAPE"/>
    <x v="2"/>
    <x v="200"/>
    <x v="196"/>
    <x v="6"/>
    <x v="118"/>
    <x v="0"/>
    <x v="0"/>
    <x v="0"/>
    <n v="0"/>
    <n v="0"/>
  </r>
  <r>
    <s v="SPAR WESTERN CAPE"/>
    <x v="2"/>
    <x v="200"/>
    <x v="196"/>
    <x v="6"/>
    <x v="118"/>
    <x v="0"/>
    <x v="1"/>
    <x v="1"/>
    <n v="0"/>
    <n v="0"/>
  </r>
  <r>
    <s v="SPAR WESTERN CAPE"/>
    <x v="2"/>
    <x v="200"/>
    <x v="196"/>
    <x v="6"/>
    <x v="118"/>
    <x v="0"/>
    <x v="2"/>
    <x v="2"/>
    <n v="0"/>
    <n v="0"/>
  </r>
  <r>
    <s v="SPAR WESTERN CAPE"/>
    <x v="2"/>
    <x v="200"/>
    <x v="196"/>
    <x v="6"/>
    <x v="118"/>
    <x v="0"/>
    <x v="3"/>
    <x v="3"/>
    <n v="0"/>
    <n v="0"/>
  </r>
  <r>
    <s v="SPAR WESTERN CAPE"/>
    <x v="2"/>
    <x v="200"/>
    <x v="196"/>
    <x v="6"/>
    <x v="118"/>
    <x v="0"/>
    <x v="4"/>
    <x v="4"/>
    <n v="0"/>
    <n v="0"/>
  </r>
  <r>
    <s v="SPAR WESTERN CAPE"/>
    <x v="2"/>
    <x v="200"/>
    <x v="196"/>
    <x v="6"/>
    <x v="118"/>
    <x v="0"/>
    <x v="5"/>
    <x v="5"/>
    <n v="0"/>
    <n v="0"/>
  </r>
  <r>
    <s v="SPAR WESTERN CAPE"/>
    <x v="2"/>
    <x v="200"/>
    <x v="196"/>
    <x v="6"/>
    <x v="118"/>
    <x v="0"/>
    <x v="6"/>
    <x v="6"/>
    <n v="0"/>
    <n v="0"/>
  </r>
  <r>
    <s v="SPAR WESTERN CAPE"/>
    <x v="2"/>
    <x v="201"/>
    <x v="197"/>
    <x v="59"/>
    <x v="119"/>
    <x v="0"/>
    <x v="3"/>
    <x v="3"/>
    <n v="0"/>
    <n v="0"/>
  </r>
  <r>
    <s v="SPAR WESTERN CAPE"/>
    <x v="2"/>
    <x v="201"/>
    <x v="197"/>
    <x v="59"/>
    <x v="119"/>
    <x v="0"/>
    <x v="5"/>
    <x v="5"/>
    <n v="0"/>
    <n v="0"/>
  </r>
  <r>
    <s v="SPAR WESTERN CAPE"/>
    <x v="2"/>
    <x v="201"/>
    <x v="197"/>
    <x v="59"/>
    <x v="119"/>
    <x v="0"/>
    <x v="6"/>
    <x v="6"/>
    <n v="0"/>
    <n v="0"/>
  </r>
  <r>
    <s v="SPAR WESTERN CAPE"/>
    <x v="2"/>
    <x v="202"/>
    <x v="198"/>
    <x v="59"/>
    <x v="119"/>
    <x v="0"/>
    <x v="0"/>
    <x v="0"/>
    <n v="0"/>
    <n v="0"/>
  </r>
  <r>
    <s v="SPAR WESTERN CAPE"/>
    <x v="2"/>
    <x v="202"/>
    <x v="198"/>
    <x v="59"/>
    <x v="119"/>
    <x v="0"/>
    <x v="2"/>
    <x v="2"/>
    <n v="0"/>
    <n v="0"/>
  </r>
  <r>
    <s v="SPAR WESTERN CAPE"/>
    <x v="2"/>
    <x v="202"/>
    <x v="198"/>
    <x v="59"/>
    <x v="119"/>
    <x v="0"/>
    <x v="5"/>
    <x v="5"/>
    <n v="0"/>
    <n v="0"/>
  </r>
  <r>
    <s v="SPAR WESTERN CAPE"/>
    <x v="2"/>
    <x v="202"/>
    <x v="198"/>
    <x v="59"/>
    <x v="119"/>
    <x v="0"/>
    <x v="6"/>
    <x v="6"/>
    <n v="0"/>
    <n v="0"/>
  </r>
  <r>
    <s v="SPAR WESTERN CAPE"/>
    <x v="2"/>
    <x v="203"/>
    <x v="199"/>
    <x v="24"/>
    <x v="120"/>
    <x v="0"/>
    <x v="0"/>
    <x v="0"/>
    <n v="0"/>
    <n v="0"/>
  </r>
  <r>
    <s v="SPAR WESTERN CAPE"/>
    <x v="2"/>
    <x v="203"/>
    <x v="199"/>
    <x v="24"/>
    <x v="120"/>
    <x v="0"/>
    <x v="1"/>
    <x v="1"/>
    <n v="0"/>
    <n v="0"/>
  </r>
  <r>
    <s v="SPAR WESTERN CAPE"/>
    <x v="2"/>
    <x v="203"/>
    <x v="199"/>
    <x v="24"/>
    <x v="120"/>
    <x v="0"/>
    <x v="2"/>
    <x v="2"/>
    <n v="0"/>
    <n v="0"/>
  </r>
  <r>
    <s v="SPAR WESTERN CAPE"/>
    <x v="2"/>
    <x v="203"/>
    <x v="199"/>
    <x v="24"/>
    <x v="120"/>
    <x v="0"/>
    <x v="3"/>
    <x v="3"/>
    <n v="0"/>
    <n v="0"/>
  </r>
  <r>
    <s v="SPAR WESTERN CAPE"/>
    <x v="2"/>
    <x v="203"/>
    <x v="199"/>
    <x v="24"/>
    <x v="120"/>
    <x v="0"/>
    <x v="4"/>
    <x v="4"/>
    <n v="0"/>
    <n v="0"/>
  </r>
  <r>
    <s v="SPAR WESTERN CAPE"/>
    <x v="2"/>
    <x v="203"/>
    <x v="199"/>
    <x v="24"/>
    <x v="120"/>
    <x v="0"/>
    <x v="5"/>
    <x v="5"/>
    <n v="0"/>
    <n v="0"/>
  </r>
  <r>
    <s v="SPAR WESTERN CAPE"/>
    <x v="2"/>
    <x v="203"/>
    <x v="199"/>
    <x v="24"/>
    <x v="120"/>
    <x v="0"/>
    <x v="6"/>
    <x v="6"/>
    <n v="0"/>
    <n v="0"/>
  </r>
  <r>
    <s v="SPAR WESTERN CAPE"/>
    <x v="2"/>
    <x v="204"/>
    <x v="200"/>
    <x v="55"/>
    <x v="121"/>
    <x v="0"/>
    <x v="0"/>
    <x v="0"/>
    <n v="0"/>
    <n v="0"/>
  </r>
  <r>
    <s v="SPAR WESTERN CAPE"/>
    <x v="2"/>
    <x v="204"/>
    <x v="200"/>
    <x v="55"/>
    <x v="121"/>
    <x v="0"/>
    <x v="1"/>
    <x v="1"/>
    <n v="0"/>
    <n v="0"/>
  </r>
  <r>
    <s v="SPAR WESTERN CAPE"/>
    <x v="2"/>
    <x v="204"/>
    <x v="200"/>
    <x v="55"/>
    <x v="121"/>
    <x v="0"/>
    <x v="2"/>
    <x v="2"/>
    <n v="0"/>
    <n v="0"/>
  </r>
  <r>
    <s v="SPAR WESTERN CAPE"/>
    <x v="2"/>
    <x v="204"/>
    <x v="200"/>
    <x v="55"/>
    <x v="121"/>
    <x v="0"/>
    <x v="3"/>
    <x v="3"/>
    <n v="0"/>
    <n v="0"/>
  </r>
  <r>
    <s v="SPAR WESTERN CAPE"/>
    <x v="2"/>
    <x v="204"/>
    <x v="200"/>
    <x v="55"/>
    <x v="121"/>
    <x v="0"/>
    <x v="4"/>
    <x v="4"/>
    <n v="0"/>
    <n v="0"/>
  </r>
  <r>
    <s v="SPAR WESTERN CAPE"/>
    <x v="2"/>
    <x v="204"/>
    <x v="200"/>
    <x v="55"/>
    <x v="121"/>
    <x v="0"/>
    <x v="5"/>
    <x v="5"/>
    <n v="0"/>
    <n v="0"/>
  </r>
  <r>
    <s v="SPAR WESTERN CAPE"/>
    <x v="2"/>
    <x v="204"/>
    <x v="200"/>
    <x v="55"/>
    <x v="121"/>
    <x v="0"/>
    <x v="6"/>
    <x v="6"/>
    <n v="0"/>
    <n v="0"/>
  </r>
  <r>
    <s v="SPAR WESTERN CAPE"/>
    <x v="3"/>
    <x v="205"/>
    <x v="201"/>
    <x v="51"/>
    <x v="122"/>
    <x v="0"/>
    <x v="1"/>
    <x v="1"/>
    <n v="0"/>
    <n v="0"/>
  </r>
  <r>
    <s v="SPAR WESTERN CAPE"/>
    <x v="3"/>
    <x v="205"/>
    <x v="201"/>
    <x v="51"/>
    <x v="122"/>
    <x v="0"/>
    <x v="2"/>
    <x v="2"/>
    <n v="0"/>
    <n v="0"/>
  </r>
  <r>
    <s v="SPAR WESTERN CAPE"/>
    <x v="3"/>
    <x v="205"/>
    <x v="201"/>
    <x v="51"/>
    <x v="122"/>
    <x v="0"/>
    <x v="3"/>
    <x v="3"/>
    <n v="0"/>
    <n v="0"/>
  </r>
  <r>
    <s v="SPAR WESTERN CAPE"/>
    <x v="3"/>
    <x v="205"/>
    <x v="201"/>
    <x v="51"/>
    <x v="122"/>
    <x v="0"/>
    <x v="4"/>
    <x v="4"/>
    <n v="0"/>
    <n v="0"/>
  </r>
  <r>
    <s v="SPAR WESTERN CAPE"/>
    <x v="3"/>
    <x v="206"/>
    <x v="202"/>
    <x v="16"/>
    <x v="123"/>
    <x v="0"/>
    <x v="1"/>
    <x v="1"/>
    <n v="0"/>
    <n v="0"/>
  </r>
  <r>
    <s v="SPAR WESTERN CAPE"/>
    <x v="3"/>
    <x v="206"/>
    <x v="202"/>
    <x v="16"/>
    <x v="123"/>
    <x v="0"/>
    <x v="2"/>
    <x v="2"/>
    <n v="0"/>
    <n v="0"/>
  </r>
  <r>
    <s v="SPAR WESTERN CAPE"/>
    <x v="3"/>
    <x v="206"/>
    <x v="202"/>
    <x v="16"/>
    <x v="123"/>
    <x v="0"/>
    <x v="3"/>
    <x v="3"/>
    <n v="0"/>
    <n v="0"/>
  </r>
  <r>
    <s v="SPAR WESTERN CAPE"/>
    <x v="3"/>
    <x v="206"/>
    <x v="202"/>
    <x v="16"/>
    <x v="123"/>
    <x v="0"/>
    <x v="5"/>
    <x v="5"/>
    <n v="0"/>
    <n v="0"/>
  </r>
  <r>
    <s v="SPAR WESTERN CAPE"/>
    <x v="3"/>
    <x v="207"/>
    <x v="203"/>
    <x v="51"/>
    <x v="124"/>
    <x v="0"/>
    <x v="1"/>
    <x v="1"/>
    <n v="0"/>
    <n v="0"/>
  </r>
  <r>
    <s v="SPAR WESTERN CAPE"/>
    <x v="3"/>
    <x v="207"/>
    <x v="203"/>
    <x v="51"/>
    <x v="124"/>
    <x v="0"/>
    <x v="2"/>
    <x v="2"/>
    <n v="0"/>
    <n v="0"/>
  </r>
  <r>
    <s v="SPAR WESTERN CAPE"/>
    <x v="3"/>
    <x v="207"/>
    <x v="203"/>
    <x v="51"/>
    <x v="124"/>
    <x v="0"/>
    <x v="3"/>
    <x v="3"/>
    <n v="0"/>
    <n v="0"/>
  </r>
  <r>
    <s v="SPAR WESTERN CAPE"/>
    <x v="3"/>
    <x v="207"/>
    <x v="203"/>
    <x v="51"/>
    <x v="124"/>
    <x v="0"/>
    <x v="5"/>
    <x v="5"/>
    <n v="0"/>
    <n v="0"/>
  </r>
  <r>
    <s v="SPAR WESTERN CAPE"/>
    <x v="3"/>
    <x v="208"/>
    <x v="204"/>
    <x v="20"/>
    <x v="125"/>
    <x v="0"/>
    <x v="0"/>
    <x v="0"/>
    <n v="0"/>
    <n v="0"/>
  </r>
  <r>
    <s v="SPAR WESTERN CAPE"/>
    <x v="3"/>
    <x v="208"/>
    <x v="204"/>
    <x v="20"/>
    <x v="125"/>
    <x v="0"/>
    <x v="1"/>
    <x v="1"/>
    <n v="0"/>
    <n v="0"/>
  </r>
  <r>
    <s v="SPAR WESTERN CAPE"/>
    <x v="3"/>
    <x v="208"/>
    <x v="204"/>
    <x v="20"/>
    <x v="125"/>
    <x v="0"/>
    <x v="2"/>
    <x v="2"/>
    <n v="0"/>
    <n v="0"/>
  </r>
  <r>
    <s v="SPAR WESTERN CAPE"/>
    <x v="3"/>
    <x v="208"/>
    <x v="204"/>
    <x v="20"/>
    <x v="125"/>
    <x v="0"/>
    <x v="3"/>
    <x v="3"/>
    <n v="0"/>
    <n v="0"/>
  </r>
  <r>
    <s v="SPAR WESTERN CAPE"/>
    <x v="3"/>
    <x v="208"/>
    <x v="204"/>
    <x v="20"/>
    <x v="125"/>
    <x v="0"/>
    <x v="4"/>
    <x v="4"/>
    <n v="0"/>
    <n v="0"/>
  </r>
  <r>
    <s v="SPAR WESTERN CAPE"/>
    <x v="3"/>
    <x v="208"/>
    <x v="204"/>
    <x v="20"/>
    <x v="125"/>
    <x v="0"/>
    <x v="5"/>
    <x v="5"/>
    <n v="0"/>
    <n v="0"/>
  </r>
  <r>
    <s v="SPAR WESTERN CAPE"/>
    <x v="3"/>
    <x v="208"/>
    <x v="204"/>
    <x v="20"/>
    <x v="125"/>
    <x v="0"/>
    <x v="6"/>
    <x v="6"/>
    <n v="0"/>
    <n v="0"/>
  </r>
  <r>
    <s v="SPAR WESTERN CAPE"/>
    <x v="3"/>
    <x v="209"/>
    <x v="205"/>
    <x v="60"/>
    <x v="126"/>
    <x v="0"/>
    <x v="0"/>
    <x v="0"/>
    <n v="0"/>
    <n v="0"/>
  </r>
  <r>
    <s v="SPAR WESTERN CAPE"/>
    <x v="3"/>
    <x v="209"/>
    <x v="205"/>
    <x v="60"/>
    <x v="126"/>
    <x v="0"/>
    <x v="1"/>
    <x v="1"/>
    <n v="0"/>
    <n v="0"/>
  </r>
  <r>
    <s v="SPAR WESTERN CAPE"/>
    <x v="3"/>
    <x v="209"/>
    <x v="205"/>
    <x v="60"/>
    <x v="126"/>
    <x v="0"/>
    <x v="2"/>
    <x v="2"/>
    <n v="0"/>
    <n v="0"/>
  </r>
  <r>
    <s v="SPAR WESTERN CAPE"/>
    <x v="3"/>
    <x v="209"/>
    <x v="205"/>
    <x v="60"/>
    <x v="126"/>
    <x v="0"/>
    <x v="3"/>
    <x v="3"/>
    <n v="0"/>
    <n v="0"/>
  </r>
  <r>
    <s v="SPAR WESTERN CAPE"/>
    <x v="3"/>
    <x v="209"/>
    <x v="205"/>
    <x v="60"/>
    <x v="126"/>
    <x v="0"/>
    <x v="4"/>
    <x v="4"/>
    <n v="0"/>
    <n v="0"/>
  </r>
  <r>
    <s v="SPAR WESTERN CAPE"/>
    <x v="3"/>
    <x v="209"/>
    <x v="205"/>
    <x v="60"/>
    <x v="126"/>
    <x v="0"/>
    <x v="5"/>
    <x v="5"/>
    <n v="0"/>
    <n v="0"/>
  </r>
  <r>
    <s v="SPAR WESTERN CAPE"/>
    <x v="3"/>
    <x v="209"/>
    <x v="205"/>
    <x v="60"/>
    <x v="126"/>
    <x v="0"/>
    <x v="6"/>
    <x v="6"/>
    <n v="0"/>
    <n v="0"/>
  </r>
  <r>
    <s v="SPAR WESTERN CAPE"/>
    <x v="3"/>
    <x v="210"/>
    <x v="206"/>
    <x v="20"/>
    <x v="125"/>
    <x v="0"/>
    <x v="0"/>
    <x v="0"/>
    <n v="0"/>
    <n v="0"/>
  </r>
  <r>
    <s v="SPAR WESTERN CAPE"/>
    <x v="3"/>
    <x v="210"/>
    <x v="206"/>
    <x v="20"/>
    <x v="125"/>
    <x v="0"/>
    <x v="1"/>
    <x v="1"/>
    <n v="0"/>
    <n v="0"/>
  </r>
  <r>
    <s v="SPAR WESTERN CAPE"/>
    <x v="3"/>
    <x v="210"/>
    <x v="206"/>
    <x v="20"/>
    <x v="125"/>
    <x v="0"/>
    <x v="2"/>
    <x v="2"/>
    <n v="0"/>
    <n v="0"/>
  </r>
  <r>
    <s v="SPAR WESTERN CAPE"/>
    <x v="3"/>
    <x v="210"/>
    <x v="206"/>
    <x v="20"/>
    <x v="125"/>
    <x v="0"/>
    <x v="3"/>
    <x v="3"/>
    <n v="0"/>
    <n v="0"/>
  </r>
  <r>
    <s v="SPAR WESTERN CAPE"/>
    <x v="3"/>
    <x v="210"/>
    <x v="206"/>
    <x v="20"/>
    <x v="125"/>
    <x v="0"/>
    <x v="4"/>
    <x v="4"/>
    <n v="0"/>
    <n v="0"/>
  </r>
  <r>
    <s v="SPAR WESTERN CAPE"/>
    <x v="3"/>
    <x v="210"/>
    <x v="206"/>
    <x v="20"/>
    <x v="125"/>
    <x v="0"/>
    <x v="5"/>
    <x v="5"/>
    <n v="0"/>
    <n v="0"/>
  </r>
  <r>
    <s v="SPAR WESTERN CAPE"/>
    <x v="3"/>
    <x v="210"/>
    <x v="206"/>
    <x v="20"/>
    <x v="125"/>
    <x v="0"/>
    <x v="6"/>
    <x v="6"/>
    <n v="0"/>
    <n v="0"/>
  </r>
  <r>
    <s v="SPAR WESTERN CAPE"/>
    <x v="3"/>
    <x v="211"/>
    <x v="207"/>
    <x v="20"/>
    <x v="125"/>
    <x v="0"/>
    <x v="0"/>
    <x v="0"/>
    <n v="0"/>
    <n v="0"/>
  </r>
  <r>
    <s v="SPAR WESTERN CAPE"/>
    <x v="3"/>
    <x v="211"/>
    <x v="207"/>
    <x v="20"/>
    <x v="125"/>
    <x v="0"/>
    <x v="1"/>
    <x v="1"/>
    <n v="0"/>
    <n v="0"/>
  </r>
  <r>
    <s v="SPAR WESTERN CAPE"/>
    <x v="3"/>
    <x v="211"/>
    <x v="207"/>
    <x v="20"/>
    <x v="125"/>
    <x v="0"/>
    <x v="2"/>
    <x v="2"/>
    <n v="0"/>
    <n v="0"/>
  </r>
  <r>
    <s v="SPAR WESTERN CAPE"/>
    <x v="3"/>
    <x v="211"/>
    <x v="207"/>
    <x v="20"/>
    <x v="125"/>
    <x v="0"/>
    <x v="3"/>
    <x v="3"/>
    <n v="0"/>
    <n v="0"/>
  </r>
  <r>
    <s v="SPAR WESTERN CAPE"/>
    <x v="3"/>
    <x v="211"/>
    <x v="207"/>
    <x v="20"/>
    <x v="125"/>
    <x v="0"/>
    <x v="4"/>
    <x v="4"/>
    <n v="0"/>
    <n v="0"/>
  </r>
  <r>
    <s v="SPAR WESTERN CAPE"/>
    <x v="3"/>
    <x v="211"/>
    <x v="207"/>
    <x v="20"/>
    <x v="125"/>
    <x v="0"/>
    <x v="5"/>
    <x v="5"/>
    <n v="0"/>
    <n v="0"/>
  </r>
  <r>
    <s v="SPAR WESTERN CAPE"/>
    <x v="3"/>
    <x v="211"/>
    <x v="207"/>
    <x v="20"/>
    <x v="125"/>
    <x v="0"/>
    <x v="6"/>
    <x v="6"/>
    <n v="0"/>
    <n v="0"/>
  </r>
  <r>
    <s v="SPAR WESTERN CAPE"/>
    <x v="3"/>
    <x v="212"/>
    <x v="208"/>
    <x v="60"/>
    <x v="126"/>
    <x v="0"/>
    <x v="0"/>
    <x v="0"/>
    <n v="0"/>
    <n v="0"/>
  </r>
  <r>
    <s v="SPAR WESTERN CAPE"/>
    <x v="3"/>
    <x v="212"/>
    <x v="208"/>
    <x v="60"/>
    <x v="126"/>
    <x v="0"/>
    <x v="1"/>
    <x v="1"/>
    <n v="0"/>
    <n v="0"/>
  </r>
  <r>
    <s v="SPAR WESTERN CAPE"/>
    <x v="3"/>
    <x v="212"/>
    <x v="208"/>
    <x v="60"/>
    <x v="126"/>
    <x v="0"/>
    <x v="2"/>
    <x v="2"/>
    <n v="0"/>
    <n v="0"/>
  </r>
  <r>
    <s v="SPAR WESTERN CAPE"/>
    <x v="3"/>
    <x v="212"/>
    <x v="208"/>
    <x v="60"/>
    <x v="126"/>
    <x v="0"/>
    <x v="3"/>
    <x v="3"/>
    <n v="0"/>
    <n v="0"/>
  </r>
  <r>
    <s v="SPAR WESTERN CAPE"/>
    <x v="3"/>
    <x v="212"/>
    <x v="208"/>
    <x v="60"/>
    <x v="126"/>
    <x v="0"/>
    <x v="4"/>
    <x v="4"/>
    <n v="0"/>
    <n v="0"/>
  </r>
  <r>
    <s v="SPAR WESTERN CAPE"/>
    <x v="3"/>
    <x v="212"/>
    <x v="208"/>
    <x v="60"/>
    <x v="126"/>
    <x v="0"/>
    <x v="5"/>
    <x v="5"/>
    <n v="0"/>
    <n v="0"/>
  </r>
  <r>
    <s v="SPAR WESTERN CAPE"/>
    <x v="3"/>
    <x v="212"/>
    <x v="208"/>
    <x v="60"/>
    <x v="126"/>
    <x v="0"/>
    <x v="6"/>
    <x v="6"/>
    <n v="0"/>
    <n v="0"/>
  </r>
  <r>
    <s v="SPAR WESTERN CAPE"/>
    <x v="3"/>
    <x v="213"/>
    <x v="209"/>
    <x v="60"/>
    <x v="126"/>
    <x v="0"/>
    <x v="0"/>
    <x v="0"/>
    <n v="0"/>
    <n v="0"/>
  </r>
  <r>
    <s v="SPAR WESTERN CAPE"/>
    <x v="3"/>
    <x v="213"/>
    <x v="209"/>
    <x v="60"/>
    <x v="126"/>
    <x v="0"/>
    <x v="1"/>
    <x v="1"/>
    <n v="0"/>
    <n v="0"/>
  </r>
  <r>
    <s v="SPAR WESTERN CAPE"/>
    <x v="3"/>
    <x v="213"/>
    <x v="209"/>
    <x v="60"/>
    <x v="126"/>
    <x v="0"/>
    <x v="2"/>
    <x v="2"/>
    <n v="0"/>
    <n v="0"/>
  </r>
  <r>
    <s v="SPAR WESTERN CAPE"/>
    <x v="3"/>
    <x v="213"/>
    <x v="209"/>
    <x v="60"/>
    <x v="126"/>
    <x v="0"/>
    <x v="3"/>
    <x v="3"/>
    <n v="0"/>
    <n v="0"/>
  </r>
  <r>
    <s v="SPAR WESTERN CAPE"/>
    <x v="3"/>
    <x v="213"/>
    <x v="209"/>
    <x v="60"/>
    <x v="126"/>
    <x v="0"/>
    <x v="4"/>
    <x v="4"/>
    <n v="0"/>
    <n v="0"/>
  </r>
  <r>
    <s v="SPAR WESTERN CAPE"/>
    <x v="3"/>
    <x v="213"/>
    <x v="209"/>
    <x v="60"/>
    <x v="126"/>
    <x v="0"/>
    <x v="5"/>
    <x v="5"/>
    <n v="0"/>
    <n v="0"/>
  </r>
  <r>
    <s v="SPAR WESTERN CAPE"/>
    <x v="3"/>
    <x v="213"/>
    <x v="209"/>
    <x v="60"/>
    <x v="126"/>
    <x v="0"/>
    <x v="6"/>
    <x v="6"/>
    <n v="0"/>
    <n v="0"/>
  </r>
  <r>
    <s v="SPAR WESTERN CAPE"/>
    <x v="3"/>
    <x v="214"/>
    <x v="210"/>
    <x v="51"/>
    <x v="127"/>
    <x v="0"/>
    <x v="0"/>
    <x v="0"/>
    <n v="0"/>
    <n v="0"/>
  </r>
  <r>
    <s v="SPAR WESTERN CAPE"/>
    <x v="3"/>
    <x v="214"/>
    <x v="210"/>
    <x v="51"/>
    <x v="127"/>
    <x v="0"/>
    <x v="1"/>
    <x v="1"/>
    <n v="0"/>
    <n v="0"/>
  </r>
  <r>
    <s v="SPAR WESTERN CAPE"/>
    <x v="3"/>
    <x v="214"/>
    <x v="210"/>
    <x v="51"/>
    <x v="127"/>
    <x v="0"/>
    <x v="2"/>
    <x v="2"/>
    <n v="0"/>
    <n v="0"/>
  </r>
  <r>
    <s v="SPAR WESTERN CAPE"/>
    <x v="3"/>
    <x v="214"/>
    <x v="210"/>
    <x v="51"/>
    <x v="127"/>
    <x v="0"/>
    <x v="3"/>
    <x v="3"/>
    <n v="0"/>
    <n v="0"/>
  </r>
  <r>
    <s v="SPAR WESTERN CAPE"/>
    <x v="3"/>
    <x v="214"/>
    <x v="210"/>
    <x v="51"/>
    <x v="127"/>
    <x v="0"/>
    <x v="4"/>
    <x v="4"/>
    <n v="0"/>
    <n v="0"/>
  </r>
  <r>
    <s v="SPAR WESTERN CAPE"/>
    <x v="3"/>
    <x v="214"/>
    <x v="210"/>
    <x v="51"/>
    <x v="127"/>
    <x v="0"/>
    <x v="5"/>
    <x v="5"/>
    <n v="0"/>
    <n v="0"/>
  </r>
  <r>
    <s v="SPAR WESTERN CAPE"/>
    <x v="3"/>
    <x v="214"/>
    <x v="210"/>
    <x v="51"/>
    <x v="127"/>
    <x v="0"/>
    <x v="6"/>
    <x v="6"/>
    <n v="0"/>
    <n v="0"/>
  </r>
  <r>
    <s v="SPAR WESTERN CAPE"/>
    <x v="3"/>
    <x v="215"/>
    <x v="211"/>
    <x v="7"/>
    <x v="128"/>
    <x v="0"/>
    <x v="0"/>
    <x v="0"/>
    <n v="0"/>
    <n v="0"/>
  </r>
  <r>
    <s v="SPAR WESTERN CAPE"/>
    <x v="3"/>
    <x v="215"/>
    <x v="211"/>
    <x v="7"/>
    <x v="128"/>
    <x v="0"/>
    <x v="1"/>
    <x v="1"/>
    <n v="0"/>
    <n v="0"/>
  </r>
  <r>
    <s v="SPAR WESTERN CAPE"/>
    <x v="3"/>
    <x v="215"/>
    <x v="211"/>
    <x v="7"/>
    <x v="128"/>
    <x v="0"/>
    <x v="2"/>
    <x v="2"/>
    <n v="0"/>
    <n v="0"/>
  </r>
  <r>
    <s v="SPAR WESTERN CAPE"/>
    <x v="3"/>
    <x v="215"/>
    <x v="211"/>
    <x v="7"/>
    <x v="128"/>
    <x v="0"/>
    <x v="3"/>
    <x v="3"/>
    <n v="0"/>
    <n v="0"/>
  </r>
  <r>
    <s v="SPAR WESTERN CAPE"/>
    <x v="3"/>
    <x v="215"/>
    <x v="211"/>
    <x v="7"/>
    <x v="128"/>
    <x v="0"/>
    <x v="4"/>
    <x v="4"/>
    <n v="0"/>
    <n v="0"/>
  </r>
  <r>
    <s v="SPAR WESTERN CAPE"/>
    <x v="3"/>
    <x v="215"/>
    <x v="211"/>
    <x v="7"/>
    <x v="128"/>
    <x v="0"/>
    <x v="5"/>
    <x v="5"/>
    <n v="0"/>
    <n v="0"/>
  </r>
  <r>
    <s v="SPAR WESTERN CAPE"/>
    <x v="3"/>
    <x v="215"/>
    <x v="211"/>
    <x v="7"/>
    <x v="128"/>
    <x v="0"/>
    <x v="6"/>
    <x v="6"/>
    <n v="0"/>
    <n v="0"/>
  </r>
  <r>
    <s v="SPAR WESTERN CAPE"/>
    <x v="3"/>
    <x v="216"/>
    <x v="212"/>
    <x v="8"/>
    <x v="129"/>
    <x v="0"/>
    <x v="0"/>
    <x v="0"/>
    <n v="0"/>
    <n v="0"/>
  </r>
  <r>
    <s v="SPAR WESTERN CAPE"/>
    <x v="3"/>
    <x v="216"/>
    <x v="212"/>
    <x v="8"/>
    <x v="129"/>
    <x v="0"/>
    <x v="1"/>
    <x v="1"/>
    <n v="0"/>
    <n v="0"/>
  </r>
  <r>
    <s v="SPAR WESTERN CAPE"/>
    <x v="3"/>
    <x v="216"/>
    <x v="212"/>
    <x v="8"/>
    <x v="129"/>
    <x v="0"/>
    <x v="2"/>
    <x v="2"/>
    <n v="0"/>
    <n v="0"/>
  </r>
  <r>
    <s v="SPAR WESTERN CAPE"/>
    <x v="3"/>
    <x v="216"/>
    <x v="212"/>
    <x v="8"/>
    <x v="129"/>
    <x v="0"/>
    <x v="3"/>
    <x v="3"/>
    <n v="0"/>
    <n v="0"/>
  </r>
  <r>
    <s v="SPAR WESTERN CAPE"/>
    <x v="3"/>
    <x v="216"/>
    <x v="212"/>
    <x v="8"/>
    <x v="129"/>
    <x v="0"/>
    <x v="4"/>
    <x v="4"/>
    <n v="0"/>
    <n v="0"/>
  </r>
  <r>
    <s v="SPAR WESTERN CAPE"/>
    <x v="3"/>
    <x v="216"/>
    <x v="212"/>
    <x v="8"/>
    <x v="129"/>
    <x v="0"/>
    <x v="5"/>
    <x v="5"/>
    <n v="0"/>
    <n v="0"/>
  </r>
  <r>
    <s v="SPAR WESTERN CAPE"/>
    <x v="3"/>
    <x v="216"/>
    <x v="212"/>
    <x v="8"/>
    <x v="129"/>
    <x v="0"/>
    <x v="6"/>
    <x v="6"/>
    <n v="0"/>
    <n v="0"/>
  </r>
  <r>
    <s v="SPAR WESTERN CAPE"/>
    <x v="3"/>
    <x v="217"/>
    <x v="213"/>
    <x v="8"/>
    <x v="130"/>
    <x v="0"/>
    <x v="0"/>
    <x v="0"/>
    <n v="0"/>
    <n v="0"/>
  </r>
  <r>
    <s v="SPAR WESTERN CAPE"/>
    <x v="3"/>
    <x v="217"/>
    <x v="213"/>
    <x v="8"/>
    <x v="130"/>
    <x v="0"/>
    <x v="1"/>
    <x v="1"/>
    <n v="0"/>
    <n v="0"/>
  </r>
  <r>
    <s v="SPAR WESTERN CAPE"/>
    <x v="3"/>
    <x v="217"/>
    <x v="213"/>
    <x v="8"/>
    <x v="130"/>
    <x v="0"/>
    <x v="2"/>
    <x v="2"/>
    <n v="0"/>
    <n v="0"/>
  </r>
  <r>
    <s v="SPAR WESTERN CAPE"/>
    <x v="3"/>
    <x v="217"/>
    <x v="213"/>
    <x v="8"/>
    <x v="130"/>
    <x v="0"/>
    <x v="3"/>
    <x v="3"/>
    <n v="0"/>
    <n v="0"/>
  </r>
  <r>
    <s v="SPAR WESTERN CAPE"/>
    <x v="3"/>
    <x v="217"/>
    <x v="213"/>
    <x v="8"/>
    <x v="130"/>
    <x v="0"/>
    <x v="4"/>
    <x v="4"/>
    <n v="0"/>
    <n v="0"/>
  </r>
  <r>
    <s v="SPAR WESTERN CAPE"/>
    <x v="3"/>
    <x v="217"/>
    <x v="213"/>
    <x v="8"/>
    <x v="130"/>
    <x v="0"/>
    <x v="5"/>
    <x v="5"/>
    <n v="0"/>
    <n v="0"/>
  </r>
  <r>
    <s v="SPAR WESTERN CAPE"/>
    <x v="3"/>
    <x v="217"/>
    <x v="213"/>
    <x v="8"/>
    <x v="130"/>
    <x v="0"/>
    <x v="6"/>
    <x v="6"/>
    <n v="0"/>
    <n v="0"/>
  </r>
  <r>
    <s v="SPAR WESTERN CAPE"/>
    <x v="3"/>
    <x v="218"/>
    <x v="214"/>
    <x v="61"/>
    <x v="131"/>
    <x v="0"/>
    <x v="0"/>
    <x v="0"/>
    <n v="0"/>
    <n v="0"/>
  </r>
  <r>
    <s v="SPAR WESTERN CAPE"/>
    <x v="3"/>
    <x v="218"/>
    <x v="214"/>
    <x v="61"/>
    <x v="131"/>
    <x v="0"/>
    <x v="1"/>
    <x v="1"/>
    <n v="0"/>
    <n v="0"/>
  </r>
  <r>
    <s v="SPAR WESTERN CAPE"/>
    <x v="3"/>
    <x v="218"/>
    <x v="214"/>
    <x v="61"/>
    <x v="131"/>
    <x v="0"/>
    <x v="2"/>
    <x v="2"/>
    <n v="0"/>
    <n v="0"/>
  </r>
  <r>
    <s v="SPAR WESTERN CAPE"/>
    <x v="3"/>
    <x v="218"/>
    <x v="214"/>
    <x v="61"/>
    <x v="131"/>
    <x v="0"/>
    <x v="3"/>
    <x v="3"/>
    <n v="0"/>
    <n v="0"/>
  </r>
  <r>
    <s v="SPAR WESTERN CAPE"/>
    <x v="3"/>
    <x v="218"/>
    <x v="214"/>
    <x v="61"/>
    <x v="131"/>
    <x v="0"/>
    <x v="4"/>
    <x v="4"/>
    <n v="0"/>
    <n v="0"/>
  </r>
  <r>
    <s v="SPAR WESTERN CAPE"/>
    <x v="3"/>
    <x v="218"/>
    <x v="214"/>
    <x v="61"/>
    <x v="131"/>
    <x v="0"/>
    <x v="5"/>
    <x v="5"/>
    <n v="0"/>
    <n v="0"/>
  </r>
  <r>
    <s v="SPAR WESTERN CAPE"/>
    <x v="3"/>
    <x v="218"/>
    <x v="214"/>
    <x v="61"/>
    <x v="131"/>
    <x v="0"/>
    <x v="6"/>
    <x v="6"/>
    <n v="0"/>
    <n v="0"/>
  </r>
  <r>
    <s v="SPAR WESTERN CAPE"/>
    <x v="3"/>
    <x v="219"/>
    <x v="215"/>
    <x v="51"/>
    <x v="132"/>
    <x v="0"/>
    <x v="0"/>
    <x v="0"/>
    <n v="0"/>
    <n v="0"/>
  </r>
  <r>
    <s v="SPAR WESTERN CAPE"/>
    <x v="3"/>
    <x v="219"/>
    <x v="215"/>
    <x v="51"/>
    <x v="132"/>
    <x v="0"/>
    <x v="1"/>
    <x v="1"/>
    <n v="0"/>
    <n v="0"/>
  </r>
  <r>
    <s v="SPAR WESTERN CAPE"/>
    <x v="3"/>
    <x v="219"/>
    <x v="215"/>
    <x v="51"/>
    <x v="132"/>
    <x v="0"/>
    <x v="2"/>
    <x v="2"/>
    <n v="0"/>
    <n v="0"/>
  </r>
  <r>
    <s v="SPAR WESTERN CAPE"/>
    <x v="3"/>
    <x v="219"/>
    <x v="215"/>
    <x v="51"/>
    <x v="132"/>
    <x v="0"/>
    <x v="3"/>
    <x v="3"/>
    <n v="0"/>
    <n v="0"/>
  </r>
  <r>
    <s v="SPAR WESTERN CAPE"/>
    <x v="3"/>
    <x v="219"/>
    <x v="215"/>
    <x v="51"/>
    <x v="132"/>
    <x v="0"/>
    <x v="4"/>
    <x v="4"/>
    <n v="0"/>
    <n v="0"/>
  </r>
  <r>
    <s v="SPAR WESTERN CAPE"/>
    <x v="3"/>
    <x v="219"/>
    <x v="215"/>
    <x v="51"/>
    <x v="132"/>
    <x v="0"/>
    <x v="5"/>
    <x v="5"/>
    <n v="0"/>
    <n v="0"/>
  </r>
  <r>
    <s v="SPAR WESTERN CAPE"/>
    <x v="3"/>
    <x v="219"/>
    <x v="215"/>
    <x v="51"/>
    <x v="132"/>
    <x v="0"/>
    <x v="6"/>
    <x v="6"/>
    <n v="0"/>
    <n v="0"/>
  </r>
  <r>
    <s v="SPAR WESTERN CAPE"/>
    <x v="3"/>
    <x v="220"/>
    <x v="216"/>
    <x v="6"/>
    <x v="133"/>
    <x v="0"/>
    <x v="0"/>
    <x v="0"/>
    <n v="0"/>
    <n v="0"/>
  </r>
  <r>
    <s v="SPAR WESTERN CAPE"/>
    <x v="3"/>
    <x v="220"/>
    <x v="216"/>
    <x v="6"/>
    <x v="133"/>
    <x v="0"/>
    <x v="1"/>
    <x v="1"/>
    <n v="0"/>
    <n v="0"/>
  </r>
  <r>
    <s v="SPAR WESTERN CAPE"/>
    <x v="3"/>
    <x v="220"/>
    <x v="216"/>
    <x v="6"/>
    <x v="133"/>
    <x v="0"/>
    <x v="2"/>
    <x v="2"/>
    <n v="0"/>
    <n v="0"/>
  </r>
  <r>
    <s v="SPAR WESTERN CAPE"/>
    <x v="3"/>
    <x v="220"/>
    <x v="216"/>
    <x v="6"/>
    <x v="133"/>
    <x v="0"/>
    <x v="3"/>
    <x v="3"/>
    <n v="0"/>
    <n v="0"/>
  </r>
  <r>
    <s v="SPAR WESTERN CAPE"/>
    <x v="3"/>
    <x v="220"/>
    <x v="216"/>
    <x v="6"/>
    <x v="133"/>
    <x v="0"/>
    <x v="4"/>
    <x v="4"/>
    <n v="0"/>
    <n v="0"/>
  </r>
  <r>
    <s v="SPAR WESTERN CAPE"/>
    <x v="3"/>
    <x v="220"/>
    <x v="216"/>
    <x v="6"/>
    <x v="133"/>
    <x v="0"/>
    <x v="5"/>
    <x v="5"/>
    <n v="0"/>
    <n v="0"/>
  </r>
  <r>
    <s v="SPAR WESTERN CAPE"/>
    <x v="3"/>
    <x v="220"/>
    <x v="216"/>
    <x v="6"/>
    <x v="133"/>
    <x v="0"/>
    <x v="6"/>
    <x v="6"/>
    <n v="0"/>
    <n v="0"/>
  </r>
  <r>
    <s v="SPAR WESTERN CAPE"/>
    <x v="3"/>
    <x v="221"/>
    <x v="217"/>
    <x v="20"/>
    <x v="134"/>
    <x v="0"/>
    <x v="3"/>
    <x v="3"/>
    <n v="0"/>
    <n v="0"/>
  </r>
  <r>
    <s v="SPAR WESTERN CAPE"/>
    <x v="3"/>
    <x v="221"/>
    <x v="217"/>
    <x v="20"/>
    <x v="134"/>
    <x v="0"/>
    <x v="4"/>
    <x v="4"/>
    <n v="0"/>
    <n v="0"/>
  </r>
  <r>
    <s v="SPAR WESTERN CAPE"/>
    <x v="3"/>
    <x v="221"/>
    <x v="217"/>
    <x v="20"/>
    <x v="134"/>
    <x v="0"/>
    <x v="5"/>
    <x v="5"/>
    <n v="0"/>
    <n v="0"/>
  </r>
  <r>
    <s v="SPAR WESTERN CAPE"/>
    <x v="3"/>
    <x v="221"/>
    <x v="217"/>
    <x v="20"/>
    <x v="134"/>
    <x v="0"/>
    <x v="6"/>
    <x v="6"/>
    <n v="0"/>
    <n v="0"/>
  </r>
  <r>
    <s v="SPAR WESTERN CAPE"/>
    <x v="3"/>
    <x v="222"/>
    <x v="218"/>
    <x v="62"/>
    <x v="135"/>
    <x v="0"/>
    <x v="0"/>
    <x v="0"/>
    <n v="0"/>
    <n v="0"/>
  </r>
  <r>
    <s v="SPAR WESTERN CAPE"/>
    <x v="3"/>
    <x v="222"/>
    <x v="218"/>
    <x v="62"/>
    <x v="135"/>
    <x v="0"/>
    <x v="1"/>
    <x v="1"/>
    <n v="0"/>
    <n v="0"/>
  </r>
  <r>
    <s v="SPAR WESTERN CAPE"/>
    <x v="3"/>
    <x v="222"/>
    <x v="218"/>
    <x v="62"/>
    <x v="135"/>
    <x v="0"/>
    <x v="2"/>
    <x v="2"/>
    <n v="0"/>
    <n v="0"/>
  </r>
  <r>
    <s v="SPAR WESTERN CAPE"/>
    <x v="3"/>
    <x v="222"/>
    <x v="218"/>
    <x v="62"/>
    <x v="135"/>
    <x v="0"/>
    <x v="3"/>
    <x v="3"/>
    <n v="0"/>
    <n v="0"/>
  </r>
  <r>
    <s v="SPAR WESTERN CAPE"/>
    <x v="3"/>
    <x v="222"/>
    <x v="218"/>
    <x v="62"/>
    <x v="135"/>
    <x v="0"/>
    <x v="4"/>
    <x v="4"/>
    <n v="0"/>
    <n v="0"/>
  </r>
  <r>
    <s v="SPAR WESTERN CAPE"/>
    <x v="3"/>
    <x v="222"/>
    <x v="218"/>
    <x v="62"/>
    <x v="135"/>
    <x v="0"/>
    <x v="5"/>
    <x v="5"/>
    <n v="0"/>
    <n v="0"/>
  </r>
  <r>
    <s v="SPAR WESTERN CAPE"/>
    <x v="3"/>
    <x v="222"/>
    <x v="218"/>
    <x v="62"/>
    <x v="135"/>
    <x v="0"/>
    <x v="6"/>
    <x v="6"/>
    <n v="0"/>
    <n v="0"/>
  </r>
  <r>
    <s v="SPAR WESTERN CAPE"/>
    <x v="3"/>
    <x v="223"/>
    <x v="218"/>
    <x v="5"/>
    <x v="136"/>
    <x v="0"/>
    <x v="0"/>
    <x v="0"/>
    <n v="0"/>
    <n v="0"/>
  </r>
  <r>
    <s v="SPAR WESTERN CAPE"/>
    <x v="3"/>
    <x v="223"/>
    <x v="218"/>
    <x v="5"/>
    <x v="136"/>
    <x v="0"/>
    <x v="1"/>
    <x v="1"/>
    <n v="0"/>
    <n v="0"/>
  </r>
  <r>
    <s v="SPAR WESTERN CAPE"/>
    <x v="3"/>
    <x v="223"/>
    <x v="218"/>
    <x v="5"/>
    <x v="136"/>
    <x v="0"/>
    <x v="2"/>
    <x v="2"/>
    <n v="0"/>
    <n v="0"/>
  </r>
  <r>
    <s v="SPAR WESTERN CAPE"/>
    <x v="3"/>
    <x v="223"/>
    <x v="218"/>
    <x v="5"/>
    <x v="136"/>
    <x v="0"/>
    <x v="3"/>
    <x v="3"/>
    <n v="0"/>
    <n v="0"/>
  </r>
  <r>
    <s v="SPAR WESTERN CAPE"/>
    <x v="3"/>
    <x v="223"/>
    <x v="218"/>
    <x v="5"/>
    <x v="136"/>
    <x v="0"/>
    <x v="4"/>
    <x v="4"/>
    <n v="0"/>
    <n v="0"/>
  </r>
  <r>
    <s v="SPAR WESTERN CAPE"/>
    <x v="3"/>
    <x v="223"/>
    <x v="218"/>
    <x v="5"/>
    <x v="136"/>
    <x v="0"/>
    <x v="5"/>
    <x v="5"/>
    <n v="0"/>
    <n v="0"/>
  </r>
  <r>
    <s v="SPAR WESTERN CAPE"/>
    <x v="3"/>
    <x v="223"/>
    <x v="218"/>
    <x v="5"/>
    <x v="136"/>
    <x v="0"/>
    <x v="6"/>
    <x v="6"/>
    <n v="0"/>
    <n v="0"/>
  </r>
  <r>
    <s v="SPAR WESTERN CAPE"/>
    <x v="3"/>
    <x v="224"/>
    <x v="219"/>
    <x v="20"/>
    <x v="134"/>
    <x v="0"/>
    <x v="1"/>
    <x v="1"/>
    <n v="0"/>
    <n v="0"/>
  </r>
  <r>
    <s v="SPAR WESTERN CAPE"/>
    <x v="3"/>
    <x v="224"/>
    <x v="219"/>
    <x v="20"/>
    <x v="134"/>
    <x v="0"/>
    <x v="2"/>
    <x v="2"/>
    <n v="0"/>
    <n v="0"/>
  </r>
  <r>
    <s v="SPAR WESTERN CAPE"/>
    <x v="3"/>
    <x v="224"/>
    <x v="219"/>
    <x v="20"/>
    <x v="134"/>
    <x v="0"/>
    <x v="3"/>
    <x v="3"/>
    <n v="0"/>
    <n v="0"/>
  </r>
  <r>
    <s v="SPAR WESTERN CAPE"/>
    <x v="3"/>
    <x v="224"/>
    <x v="219"/>
    <x v="20"/>
    <x v="134"/>
    <x v="0"/>
    <x v="4"/>
    <x v="4"/>
    <n v="0"/>
    <n v="0"/>
  </r>
  <r>
    <s v="SPAR WESTERN CAPE"/>
    <x v="3"/>
    <x v="224"/>
    <x v="219"/>
    <x v="20"/>
    <x v="134"/>
    <x v="0"/>
    <x v="5"/>
    <x v="5"/>
    <n v="0"/>
    <n v="0"/>
  </r>
  <r>
    <s v="SPAR WESTERN CAPE"/>
    <x v="3"/>
    <x v="224"/>
    <x v="219"/>
    <x v="20"/>
    <x v="134"/>
    <x v="0"/>
    <x v="6"/>
    <x v="6"/>
    <n v="0"/>
    <n v="0"/>
  </r>
  <r>
    <s v="SPAR WESTERN CAPE"/>
    <x v="3"/>
    <x v="225"/>
    <x v="220"/>
    <x v="20"/>
    <x v="134"/>
    <x v="0"/>
    <x v="0"/>
    <x v="0"/>
    <n v="0"/>
    <n v="0"/>
  </r>
  <r>
    <s v="SPAR WESTERN CAPE"/>
    <x v="3"/>
    <x v="225"/>
    <x v="220"/>
    <x v="20"/>
    <x v="134"/>
    <x v="0"/>
    <x v="1"/>
    <x v="1"/>
    <n v="0"/>
    <n v="0"/>
  </r>
  <r>
    <s v="SPAR WESTERN CAPE"/>
    <x v="3"/>
    <x v="225"/>
    <x v="220"/>
    <x v="20"/>
    <x v="134"/>
    <x v="0"/>
    <x v="2"/>
    <x v="2"/>
    <n v="0"/>
    <n v="0"/>
  </r>
  <r>
    <s v="SPAR WESTERN CAPE"/>
    <x v="3"/>
    <x v="225"/>
    <x v="220"/>
    <x v="20"/>
    <x v="134"/>
    <x v="0"/>
    <x v="3"/>
    <x v="3"/>
    <n v="0"/>
    <n v="0"/>
  </r>
  <r>
    <s v="SPAR WESTERN CAPE"/>
    <x v="3"/>
    <x v="225"/>
    <x v="220"/>
    <x v="20"/>
    <x v="134"/>
    <x v="0"/>
    <x v="4"/>
    <x v="4"/>
    <n v="0"/>
    <n v="0"/>
  </r>
  <r>
    <s v="SPAR WESTERN CAPE"/>
    <x v="3"/>
    <x v="225"/>
    <x v="220"/>
    <x v="20"/>
    <x v="134"/>
    <x v="0"/>
    <x v="5"/>
    <x v="5"/>
    <n v="0"/>
    <n v="0"/>
  </r>
  <r>
    <s v="SPAR WESTERN CAPE"/>
    <x v="3"/>
    <x v="225"/>
    <x v="220"/>
    <x v="20"/>
    <x v="134"/>
    <x v="0"/>
    <x v="6"/>
    <x v="6"/>
    <n v="0"/>
    <n v="0"/>
  </r>
  <r>
    <s v="SPAR WESTERN CAPE"/>
    <x v="3"/>
    <x v="226"/>
    <x v="221"/>
    <x v="19"/>
    <x v="137"/>
    <x v="0"/>
    <x v="0"/>
    <x v="0"/>
    <n v="0"/>
    <n v="0"/>
  </r>
  <r>
    <s v="SPAR WESTERN CAPE"/>
    <x v="3"/>
    <x v="226"/>
    <x v="221"/>
    <x v="19"/>
    <x v="137"/>
    <x v="0"/>
    <x v="1"/>
    <x v="1"/>
    <n v="0"/>
    <n v="0"/>
  </r>
  <r>
    <s v="SPAR WESTERN CAPE"/>
    <x v="3"/>
    <x v="226"/>
    <x v="221"/>
    <x v="19"/>
    <x v="137"/>
    <x v="0"/>
    <x v="2"/>
    <x v="2"/>
    <n v="0"/>
    <n v="0"/>
  </r>
  <r>
    <s v="SPAR WESTERN CAPE"/>
    <x v="3"/>
    <x v="226"/>
    <x v="221"/>
    <x v="19"/>
    <x v="137"/>
    <x v="0"/>
    <x v="3"/>
    <x v="3"/>
    <n v="0"/>
    <n v="0"/>
  </r>
  <r>
    <s v="SPAR WESTERN CAPE"/>
    <x v="3"/>
    <x v="226"/>
    <x v="221"/>
    <x v="19"/>
    <x v="137"/>
    <x v="0"/>
    <x v="4"/>
    <x v="4"/>
    <n v="0"/>
    <n v="0"/>
  </r>
  <r>
    <s v="SPAR WESTERN CAPE"/>
    <x v="3"/>
    <x v="226"/>
    <x v="221"/>
    <x v="19"/>
    <x v="137"/>
    <x v="0"/>
    <x v="5"/>
    <x v="5"/>
    <n v="0"/>
    <n v="0"/>
  </r>
  <r>
    <s v="SPAR WESTERN CAPE"/>
    <x v="3"/>
    <x v="226"/>
    <x v="221"/>
    <x v="19"/>
    <x v="137"/>
    <x v="0"/>
    <x v="6"/>
    <x v="6"/>
    <n v="0"/>
    <n v="0"/>
  </r>
  <r>
    <s v="SPAR WESTERN CAPE"/>
    <x v="3"/>
    <x v="227"/>
    <x v="222"/>
    <x v="20"/>
    <x v="134"/>
    <x v="0"/>
    <x v="2"/>
    <x v="2"/>
    <n v="0"/>
    <n v="0"/>
  </r>
  <r>
    <s v="SPAR WESTERN CAPE"/>
    <x v="3"/>
    <x v="227"/>
    <x v="222"/>
    <x v="20"/>
    <x v="134"/>
    <x v="0"/>
    <x v="6"/>
    <x v="6"/>
    <n v="0"/>
    <n v="0"/>
  </r>
  <r>
    <s v="SPAR WESTERN CAPE"/>
    <x v="3"/>
    <x v="228"/>
    <x v="223"/>
    <x v="19"/>
    <x v="137"/>
    <x v="0"/>
    <x v="0"/>
    <x v="0"/>
    <n v="0"/>
    <n v="0"/>
  </r>
  <r>
    <s v="SPAR WESTERN CAPE"/>
    <x v="3"/>
    <x v="228"/>
    <x v="223"/>
    <x v="19"/>
    <x v="137"/>
    <x v="0"/>
    <x v="1"/>
    <x v="1"/>
    <n v="0"/>
    <n v="0"/>
  </r>
  <r>
    <s v="SPAR WESTERN CAPE"/>
    <x v="3"/>
    <x v="228"/>
    <x v="223"/>
    <x v="19"/>
    <x v="137"/>
    <x v="0"/>
    <x v="2"/>
    <x v="2"/>
    <n v="0"/>
    <n v="0"/>
  </r>
  <r>
    <s v="SPAR WESTERN CAPE"/>
    <x v="3"/>
    <x v="228"/>
    <x v="223"/>
    <x v="19"/>
    <x v="137"/>
    <x v="0"/>
    <x v="3"/>
    <x v="3"/>
    <n v="0"/>
    <n v="0"/>
  </r>
  <r>
    <s v="SPAR WESTERN CAPE"/>
    <x v="3"/>
    <x v="228"/>
    <x v="223"/>
    <x v="19"/>
    <x v="137"/>
    <x v="0"/>
    <x v="4"/>
    <x v="4"/>
    <n v="0"/>
    <n v="0"/>
  </r>
  <r>
    <s v="SPAR WESTERN CAPE"/>
    <x v="3"/>
    <x v="228"/>
    <x v="223"/>
    <x v="19"/>
    <x v="137"/>
    <x v="0"/>
    <x v="5"/>
    <x v="5"/>
    <n v="0"/>
    <n v="0"/>
  </r>
  <r>
    <s v="SPAR WESTERN CAPE"/>
    <x v="3"/>
    <x v="228"/>
    <x v="223"/>
    <x v="19"/>
    <x v="137"/>
    <x v="0"/>
    <x v="6"/>
    <x v="6"/>
    <n v="0"/>
    <n v="0"/>
  </r>
  <r>
    <s v="SPAR WESTERN CAPE"/>
    <x v="3"/>
    <x v="229"/>
    <x v="224"/>
    <x v="37"/>
    <x v="138"/>
    <x v="0"/>
    <x v="0"/>
    <x v="0"/>
    <n v="0"/>
    <n v="0"/>
  </r>
  <r>
    <s v="SPAR WESTERN CAPE"/>
    <x v="3"/>
    <x v="229"/>
    <x v="224"/>
    <x v="37"/>
    <x v="138"/>
    <x v="0"/>
    <x v="1"/>
    <x v="1"/>
    <n v="0"/>
    <n v="0"/>
  </r>
  <r>
    <s v="SPAR WESTERN CAPE"/>
    <x v="3"/>
    <x v="229"/>
    <x v="224"/>
    <x v="37"/>
    <x v="138"/>
    <x v="0"/>
    <x v="2"/>
    <x v="2"/>
    <n v="0"/>
    <n v="0"/>
  </r>
  <r>
    <s v="SPAR WESTERN CAPE"/>
    <x v="3"/>
    <x v="229"/>
    <x v="224"/>
    <x v="37"/>
    <x v="138"/>
    <x v="0"/>
    <x v="3"/>
    <x v="3"/>
    <n v="0"/>
    <n v="0"/>
  </r>
  <r>
    <s v="SPAR WESTERN CAPE"/>
    <x v="3"/>
    <x v="229"/>
    <x v="224"/>
    <x v="37"/>
    <x v="138"/>
    <x v="0"/>
    <x v="4"/>
    <x v="4"/>
    <n v="0"/>
    <n v="0"/>
  </r>
  <r>
    <s v="SPAR WESTERN CAPE"/>
    <x v="3"/>
    <x v="229"/>
    <x v="224"/>
    <x v="37"/>
    <x v="138"/>
    <x v="0"/>
    <x v="5"/>
    <x v="5"/>
    <n v="0"/>
    <n v="0"/>
  </r>
  <r>
    <s v="SPAR WESTERN CAPE"/>
    <x v="3"/>
    <x v="229"/>
    <x v="224"/>
    <x v="37"/>
    <x v="138"/>
    <x v="0"/>
    <x v="6"/>
    <x v="6"/>
    <n v="0"/>
    <n v="0"/>
  </r>
  <r>
    <s v="SPAR WESTERN CAPE"/>
    <x v="3"/>
    <x v="230"/>
    <x v="225"/>
    <x v="7"/>
    <x v="139"/>
    <x v="0"/>
    <x v="0"/>
    <x v="0"/>
    <n v="0"/>
    <n v="0"/>
  </r>
  <r>
    <s v="SPAR WESTERN CAPE"/>
    <x v="3"/>
    <x v="230"/>
    <x v="225"/>
    <x v="7"/>
    <x v="139"/>
    <x v="0"/>
    <x v="1"/>
    <x v="1"/>
    <n v="0"/>
    <n v="0"/>
  </r>
  <r>
    <s v="SPAR WESTERN CAPE"/>
    <x v="3"/>
    <x v="230"/>
    <x v="225"/>
    <x v="7"/>
    <x v="139"/>
    <x v="0"/>
    <x v="2"/>
    <x v="2"/>
    <n v="0"/>
    <n v="0"/>
  </r>
  <r>
    <s v="SPAR WESTERN CAPE"/>
    <x v="3"/>
    <x v="230"/>
    <x v="225"/>
    <x v="7"/>
    <x v="139"/>
    <x v="0"/>
    <x v="3"/>
    <x v="3"/>
    <n v="0"/>
    <n v="0"/>
  </r>
  <r>
    <s v="SPAR WESTERN CAPE"/>
    <x v="3"/>
    <x v="230"/>
    <x v="225"/>
    <x v="7"/>
    <x v="139"/>
    <x v="0"/>
    <x v="4"/>
    <x v="4"/>
    <n v="0"/>
    <n v="0"/>
  </r>
  <r>
    <s v="SPAR WESTERN CAPE"/>
    <x v="3"/>
    <x v="230"/>
    <x v="225"/>
    <x v="7"/>
    <x v="139"/>
    <x v="0"/>
    <x v="5"/>
    <x v="5"/>
    <n v="0"/>
    <n v="0"/>
  </r>
  <r>
    <s v="SPAR WESTERN CAPE"/>
    <x v="3"/>
    <x v="230"/>
    <x v="225"/>
    <x v="7"/>
    <x v="139"/>
    <x v="0"/>
    <x v="6"/>
    <x v="6"/>
    <n v="0"/>
    <n v="0"/>
  </r>
  <r>
    <s v="SPAR WESTERN CAPE"/>
    <x v="3"/>
    <x v="231"/>
    <x v="226"/>
    <x v="6"/>
    <x v="140"/>
    <x v="0"/>
    <x v="0"/>
    <x v="0"/>
    <n v="0"/>
    <n v="0"/>
  </r>
  <r>
    <s v="SPAR WESTERN CAPE"/>
    <x v="3"/>
    <x v="231"/>
    <x v="226"/>
    <x v="6"/>
    <x v="140"/>
    <x v="0"/>
    <x v="1"/>
    <x v="1"/>
    <n v="0"/>
    <n v="0"/>
  </r>
  <r>
    <s v="SPAR WESTERN CAPE"/>
    <x v="3"/>
    <x v="231"/>
    <x v="226"/>
    <x v="6"/>
    <x v="140"/>
    <x v="0"/>
    <x v="2"/>
    <x v="2"/>
    <n v="0"/>
    <n v="0"/>
  </r>
  <r>
    <s v="SPAR WESTERN CAPE"/>
    <x v="3"/>
    <x v="231"/>
    <x v="226"/>
    <x v="6"/>
    <x v="140"/>
    <x v="0"/>
    <x v="3"/>
    <x v="3"/>
    <n v="0"/>
    <n v="0"/>
  </r>
  <r>
    <s v="SPAR WESTERN CAPE"/>
    <x v="3"/>
    <x v="231"/>
    <x v="226"/>
    <x v="6"/>
    <x v="140"/>
    <x v="0"/>
    <x v="5"/>
    <x v="5"/>
    <n v="0"/>
    <n v="0"/>
  </r>
  <r>
    <s v="SPAR WESTERN CAPE"/>
    <x v="3"/>
    <x v="231"/>
    <x v="226"/>
    <x v="6"/>
    <x v="140"/>
    <x v="0"/>
    <x v="6"/>
    <x v="6"/>
    <n v="0"/>
    <n v="0"/>
  </r>
  <r>
    <s v="SPAR WESTERN CAPE"/>
    <x v="3"/>
    <x v="232"/>
    <x v="227"/>
    <x v="19"/>
    <x v="141"/>
    <x v="0"/>
    <x v="0"/>
    <x v="0"/>
    <n v="0"/>
    <n v="0"/>
  </r>
  <r>
    <s v="SPAR WESTERN CAPE"/>
    <x v="3"/>
    <x v="232"/>
    <x v="227"/>
    <x v="19"/>
    <x v="141"/>
    <x v="0"/>
    <x v="1"/>
    <x v="1"/>
    <n v="0"/>
    <n v="0"/>
  </r>
  <r>
    <s v="SPAR WESTERN CAPE"/>
    <x v="3"/>
    <x v="232"/>
    <x v="227"/>
    <x v="19"/>
    <x v="141"/>
    <x v="0"/>
    <x v="2"/>
    <x v="2"/>
    <n v="0"/>
    <n v="0"/>
  </r>
  <r>
    <s v="SPAR WESTERN CAPE"/>
    <x v="3"/>
    <x v="232"/>
    <x v="227"/>
    <x v="19"/>
    <x v="141"/>
    <x v="0"/>
    <x v="3"/>
    <x v="3"/>
    <n v="0"/>
    <n v="0"/>
  </r>
  <r>
    <s v="SPAR WESTERN CAPE"/>
    <x v="3"/>
    <x v="232"/>
    <x v="227"/>
    <x v="19"/>
    <x v="141"/>
    <x v="0"/>
    <x v="4"/>
    <x v="4"/>
    <n v="0"/>
    <n v="0"/>
  </r>
  <r>
    <s v="SPAR WESTERN CAPE"/>
    <x v="3"/>
    <x v="232"/>
    <x v="227"/>
    <x v="19"/>
    <x v="141"/>
    <x v="0"/>
    <x v="6"/>
    <x v="6"/>
    <n v="0"/>
    <n v="0"/>
  </r>
  <r>
    <s v="SPAR WESTERN CAPE"/>
    <x v="3"/>
    <x v="233"/>
    <x v="228"/>
    <x v="19"/>
    <x v="142"/>
    <x v="0"/>
    <x v="1"/>
    <x v="1"/>
    <n v="0"/>
    <n v="0"/>
  </r>
  <r>
    <s v="SPAR WESTERN CAPE"/>
    <x v="3"/>
    <x v="233"/>
    <x v="228"/>
    <x v="19"/>
    <x v="142"/>
    <x v="0"/>
    <x v="2"/>
    <x v="2"/>
    <n v="0"/>
    <n v="0"/>
  </r>
  <r>
    <s v="SPAR WESTERN CAPE"/>
    <x v="3"/>
    <x v="233"/>
    <x v="228"/>
    <x v="19"/>
    <x v="142"/>
    <x v="0"/>
    <x v="3"/>
    <x v="3"/>
    <n v="0"/>
    <n v="0"/>
  </r>
  <r>
    <s v="SPAR WESTERN CAPE"/>
    <x v="3"/>
    <x v="233"/>
    <x v="228"/>
    <x v="19"/>
    <x v="142"/>
    <x v="0"/>
    <x v="4"/>
    <x v="4"/>
    <n v="0"/>
    <n v="0"/>
  </r>
  <r>
    <s v="SPAR WESTERN CAPE"/>
    <x v="3"/>
    <x v="233"/>
    <x v="228"/>
    <x v="19"/>
    <x v="142"/>
    <x v="0"/>
    <x v="6"/>
    <x v="6"/>
    <n v="0"/>
    <n v="0"/>
  </r>
  <r>
    <s v="SPAR WESTERN CAPE"/>
    <x v="3"/>
    <x v="234"/>
    <x v="229"/>
    <x v="51"/>
    <x v="124"/>
    <x v="0"/>
    <x v="0"/>
    <x v="0"/>
    <n v="0"/>
    <n v="0"/>
  </r>
  <r>
    <s v="SPAR WESTERN CAPE"/>
    <x v="3"/>
    <x v="234"/>
    <x v="229"/>
    <x v="51"/>
    <x v="124"/>
    <x v="0"/>
    <x v="1"/>
    <x v="1"/>
    <n v="0"/>
    <n v="0"/>
  </r>
  <r>
    <s v="SPAR WESTERN CAPE"/>
    <x v="3"/>
    <x v="234"/>
    <x v="229"/>
    <x v="51"/>
    <x v="124"/>
    <x v="0"/>
    <x v="2"/>
    <x v="2"/>
    <n v="0"/>
    <n v="0"/>
  </r>
  <r>
    <s v="SPAR WESTERN CAPE"/>
    <x v="3"/>
    <x v="234"/>
    <x v="229"/>
    <x v="51"/>
    <x v="124"/>
    <x v="0"/>
    <x v="3"/>
    <x v="3"/>
    <n v="0"/>
    <n v="0"/>
  </r>
  <r>
    <s v="SPAR WESTERN CAPE"/>
    <x v="3"/>
    <x v="234"/>
    <x v="229"/>
    <x v="51"/>
    <x v="124"/>
    <x v="0"/>
    <x v="4"/>
    <x v="4"/>
    <n v="0"/>
    <n v="0"/>
  </r>
  <r>
    <s v="SPAR WESTERN CAPE"/>
    <x v="3"/>
    <x v="234"/>
    <x v="229"/>
    <x v="51"/>
    <x v="124"/>
    <x v="0"/>
    <x v="5"/>
    <x v="5"/>
    <n v="0"/>
    <n v="0"/>
  </r>
  <r>
    <s v="SPAR WESTERN CAPE"/>
    <x v="3"/>
    <x v="234"/>
    <x v="229"/>
    <x v="51"/>
    <x v="124"/>
    <x v="0"/>
    <x v="6"/>
    <x v="6"/>
    <n v="0"/>
    <n v="0"/>
  </r>
  <r>
    <s v="SPAR WESTERN CAPE"/>
    <x v="3"/>
    <x v="235"/>
    <x v="230"/>
    <x v="51"/>
    <x v="124"/>
    <x v="0"/>
    <x v="0"/>
    <x v="0"/>
    <n v="0"/>
    <n v="0"/>
  </r>
  <r>
    <s v="SPAR WESTERN CAPE"/>
    <x v="3"/>
    <x v="235"/>
    <x v="230"/>
    <x v="51"/>
    <x v="124"/>
    <x v="0"/>
    <x v="1"/>
    <x v="1"/>
    <n v="0"/>
    <n v="0"/>
  </r>
  <r>
    <s v="SPAR WESTERN CAPE"/>
    <x v="3"/>
    <x v="235"/>
    <x v="230"/>
    <x v="51"/>
    <x v="124"/>
    <x v="0"/>
    <x v="2"/>
    <x v="2"/>
    <n v="0"/>
    <n v="0"/>
  </r>
  <r>
    <s v="SPAR WESTERN CAPE"/>
    <x v="3"/>
    <x v="235"/>
    <x v="230"/>
    <x v="51"/>
    <x v="124"/>
    <x v="0"/>
    <x v="3"/>
    <x v="3"/>
    <n v="0"/>
    <n v="0"/>
  </r>
  <r>
    <s v="SPAR WESTERN CAPE"/>
    <x v="3"/>
    <x v="235"/>
    <x v="230"/>
    <x v="51"/>
    <x v="124"/>
    <x v="0"/>
    <x v="5"/>
    <x v="5"/>
    <n v="0"/>
    <n v="0"/>
  </r>
  <r>
    <s v="SPAR WESTERN CAPE"/>
    <x v="3"/>
    <x v="235"/>
    <x v="230"/>
    <x v="51"/>
    <x v="124"/>
    <x v="0"/>
    <x v="6"/>
    <x v="6"/>
    <n v="0"/>
    <n v="0"/>
  </r>
  <r>
    <s v="SPAR WESTERN CAPE"/>
    <x v="3"/>
    <x v="236"/>
    <x v="231"/>
    <x v="3"/>
    <x v="143"/>
    <x v="0"/>
    <x v="0"/>
    <x v="0"/>
    <n v="0"/>
    <n v="0"/>
  </r>
  <r>
    <s v="SPAR WESTERN CAPE"/>
    <x v="3"/>
    <x v="236"/>
    <x v="231"/>
    <x v="3"/>
    <x v="143"/>
    <x v="0"/>
    <x v="2"/>
    <x v="2"/>
    <n v="0"/>
    <n v="0"/>
  </r>
  <r>
    <s v="SPAR WESTERN CAPE"/>
    <x v="3"/>
    <x v="236"/>
    <x v="231"/>
    <x v="3"/>
    <x v="143"/>
    <x v="0"/>
    <x v="3"/>
    <x v="3"/>
    <n v="0"/>
    <n v="0"/>
  </r>
  <r>
    <s v="SPAR WESTERN CAPE"/>
    <x v="3"/>
    <x v="236"/>
    <x v="231"/>
    <x v="3"/>
    <x v="143"/>
    <x v="0"/>
    <x v="5"/>
    <x v="5"/>
    <n v="0"/>
    <n v="0"/>
  </r>
  <r>
    <s v="SPAR WESTERN CAPE"/>
    <x v="3"/>
    <x v="236"/>
    <x v="231"/>
    <x v="3"/>
    <x v="143"/>
    <x v="0"/>
    <x v="6"/>
    <x v="6"/>
    <n v="0"/>
    <n v="0"/>
  </r>
  <r>
    <s v="SPAR WESTERN CAPE"/>
    <x v="3"/>
    <x v="237"/>
    <x v="232"/>
    <x v="7"/>
    <x v="144"/>
    <x v="0"/>
    <x v="0"/>
    <x v="0"/>
    <n v="0"/>
    <n v="0"/>
  </r>
  <r>
    <s v="SPAR WESTERN CAPE"/>
    <x v="3"/>
    <x v="237"/>
    <x v="232"/>
    <x v="7"/>
    <x v="144"/>
    <x v="0"/>
    <x v="1"/>
    <x v="1"/>
    <n v="0"/>
    <n v="0"/>
  </r>
  <r>
    <s v="SPAR WESTERN CAPE"/>
    <x v="3"/>
    <x v="237"/>
    <x v="232"/>
    <x v="7"/>
    <x v="144"/>
    <x v="0"/>
    <x v="2"/>
    <x v="2"/>
    <n v="0"/>
    <n v="0"/>
  </r>
  <r>
    <s v="SPAR WESTERN CAPE"/>
    <x v="3"/>
    <x v="237"/>
    <x v="232"/>
    <x v="7"/>
    <x v="144"/>
    <x v="0"/>
    <x v="3"/>
    <x v="3"/>
    <n v="0"/>
    <n v="0"/>
  </r>
  <r>
    <s v="SPAR WESTERN CAPE"/>
    <x v="3"/>
    <x v="237"/>
    <x v="232"/>
    <x v="7"/>
    <x v="144"/>
    <x v="0"/>
    <x v="4"/>
    <x v="4"/>
    <n v="0"/>
    <n v="0"/>
  </r>
  <r>
    <s v="SPAR WESTERN CAPE"/>
    <x v="3"/>
    <x v="237"/>
    <x v="232"/>
    <x v="7"/>
    <x v="144"/>
    <x v="0"/>
    <x v="5"/>
    <x v="5"/>
    <n v="0"/>
    <n v="0"/>
  </r>
  <r>
    <s v="SPAR WESTERN CAPE"/>
    <x v="3"/>
    <x v="237"/>
    <x v="232"/>
    <x v="7"/>
    <x v="144"/>
    <x v="0"/>
    <x v="6"/>
    <x v="6"/>
    <n v="0"/>
    <n v="0"/>
  </r>
  <r>
    <s v="SPAR WESTERN CAPE"/>
    <x v="3"/>
    <x v="238"/>
    <x v="233"/>
    <x v="61"/>
    <x v="131"/>
    <x v="0"/>
    <x v="0"/>
    <x v="0"/>
    <n v="0"/>
    <n v="0"/>
  </r>
  <r>
    <s v="SPAR WESTERN CAPE"/>
    <x v="3"/>
    <x v="238"/>
    <x v="233"/>
    <x v="61"/>
    <x v="131"/>
    <x v="0"/>
    <x v="1"/>
    <x v="1"/>
    <n v="0"/>
    <n v="0"/>
  </r>
  <r>
    <s v="SPAR WESTERN CAPE"/>
    <x v="3"/>
    <x v="238"/>
    <x v="233"/>
    <x v="61"/>
    <x v="131"/>
    <x v="0"/>
    <x v="2"/>
    <x v="2"/>
    <n v="0"/>
    <n v="0"/>
  </r>
  <r>
    <s v="SPAR WESTERN CAPE"/>
    <x v="3"/>
    <x v="238"/>
    <x v="233"/>
    <x v="61"/>
    <x v="131"/>
    <x v="0"/>
    <x v="3"/>
    <x v="3"/>
    <n v="0"/>
    <n v="0"/>
  </r>
  <r>
    <s v="SPAR WESTERN CAPE"/>
    <x v="3"/>
    <x v="238"/>
    <x v="233"/>
    <x v="61"/>
    <x v="131"/>
    <x v="0"/>
    <x v="4"/>
    <x v="4"/>
    <n v="0"/>
    <n v="0"/>
  </r>
  <r>
    <s v="SPAR WESTERN CAPE"/>
    <x v="3"/>
    <x v="238"/>
    <x v="233"/>
    <x v="61"/>
    <x v="131"/>
    <x v="0"/>
    <x v="5"/>
    <x v="5"/>
    <n v="0"/>
    <n v="0"/>
  </r>
  <r>
    <s v="SPAR WESTERN CAPE"/>
    <x v="3"/>
    <x v="238"/>
    <x v="233"/>
    <x v="61"/>
    <x v="131"/>
    <x v="0"/>
    <x v="6"/>
    <x v="6"/>
    <n v="0"/>
    <n v="0"/>
  </r>
  <r>
    <s v="SPAR WESTERN CAPE"/>
    <x v="3"/>
    <x v="239"/>
    <x v="234"/>
    <x v="61"/>
    <x v="131"/>
    <x v="0"/>
    <x v="0"/>
    <x v="0"/>
    <n v="0"/>
    <n v="0"/>
  </r>
  <r>
    <s v="SPAR WESTERN CAPE"/>
    <x v="3"/>
    <x v="239"/>
    <x v="234"/>
    <x v="61"/>
    <x v="131"/>
    <x v="0"/>
    <x v="1"/>
    <x v="1"/>
    <n v="0"/>
    <n v="0"/>
  </r>
  <r>
    <s v="SPAR WESTERN CAPE"/>
    <x v="3"/>
    <x v="239"/>
    <x v="234"/>
    <x v="61"/>
    <x v="131"/>
    <x v="0"/>
    <x v="2"/>
    <x v="2"/>
    <n v="0"/>
    <n v="0"/>
  </r>
  <r>
    <s v="SPAR WESTERN CAPE"/>
    <x v="3"/>
    <x v="239"/>
    <x v="234"/>
    <x v="61"/>
    <x v="131"/>
    <x v="0"/>
    <x v="3"/>
    <x v="3"/>
    <n v="0"/>
    <n v="0"/>
  </r>
  <r>
    <s v="SPAR WESTERN CAPE"/>
    <x v="3"/>
    <x v="239"/>
    <x v="234"/>
    <x v="61"/>
    <x v="131"/>
    <x v="0"/>
    <x v="4"/>
    <x v="4"/>
    <n v="0"/>
    <n v="0"/>
  </r>
  <r>
    <s v="SPAR WESTERN CAPE"/>
    <x v="3"/>
    <x v="239"/>
    <x v="234"/>
    <x v="61"/>
    <x v="131"/>
    <x v="0"/>
    <x v="5"/>
    <x v="5"/>
    <n v="0"/>
    <n v="0"/>
  </r>
  <r>
    <s v="SPAR WESTERN CAPE"/>
    <x v="3"/>
    <x v="239"/>
    <x v="234"/>
    <x v="61"/>
    <x v="131"/>
    <x v="0"/>
    <x v="6"/>
    <x v="6"/>
    <n v="0"/>
    <n v="0"/>
  </r>
  <r>
    <s v="SPAR WESTERN CAPE"/>
    <x v="3"/>
    <x v="240"/>
    <x v="235"/>
    <x v="6"/>
    <x v="145"/>
    <x v="0"/>
    <x v="0"/>
    <x v="0"/>
    <n v="0"/>
    <n v="0"/>
  </r>
  <r>
    <s v="SPAR WESTERN CAPE"/>
    <x v="3"/>
    <x v="240"/>
    <x v="235"/>
    <x v="6"/>
    <x v="145"/>
    <x v="0"/>
    <x v="1"/>
    <x v="1"/>
    <n v="0"/>
    <n v="0"/>
  </r>
  <r>
    <s v="SPAR WESTERN CAPE"/>
    <x v="3"/>
    <x v="240"/>
    <x v="235"/>
    <x v="6"/>
    <x v="145"/>
    <x v="0"/>
    <x v="2"/>
    <x v="2"/>
    <n v="0"/>
    <n v="0"/>
  </r>
  <r>
    <s v="SPAR WESTERN CAPE"/>
    <x v="3"/>
    <x v="240"/>
    <x v="235"/>
    <x v="6"/>
    <x v="145"/>
    <x v="0"/>
    <x v="3"/>
    <x v="3"/>
    <n v="0"/>
    <n v="0"/>
  </r>
  <r>
    <s v="SPAR WESTERN CAPE"/>
    <x v="3"/>
    <x v="240"/>
    <x v="235"/>
    <x v="6"/>
    <x v="145"/>
    <x v="0"/>
    <x v="4"/>
    <x v="4"/>
    <n v="0"/>
    <n v="0"/>
  </r>
  <r>
    <s v="SPAR WESTERN CAPE"/>
    <x v="3"/>
    <x v="240"/>
    <x v="235"/>
    <x v="6"/>
    <x v="145"/>
    <x v="0"/>
    <x v="5"/>
    <x v="5"/>
    <n v="0"/>
    <n v="0"/>
  </r>
  <r>
    <s v="SPAR WESTERN CAPE"/>
    <x v="3"/>
    <x v="240"/>
    <x v="235"/>
    <x v="6"/>
    <x v="145"/>
    <x v="0"/>
    <x v="6"/>
    <x v="6"/>
    <n v="0"/>
    <n v="0"/>
  </r>
  <r>
    <s v="SPAR WESTERN CAPE"/>
    <x v="3"/>
    <x v="241"/>
    <x v="236"/>
    <x v="6"/>
    <x v="145"/>
    <x v="0"/>
    <x v="1"/>
    <x v="1"/>
    <n v="0"/>
    <n v="0"/>
  </r>
  <r>
    <s v="SPAR WESTERN CAPE"/>
    <x v="3"/>
    <x v="241"/>
    <x v="236"/>
    <x v="6"/>
    <x v="145"/>
    <x v="0"/>
    <x v="2"/>
    <x v="2"/>
    <n v="0"/>
    <n v="0"/>
  </r>
  <r>
    <s v="SPAR WESTERN CAPE"/>
    <x v="3"/>
    <x v="241"/>
    <x v="236"/>
    <x v="6"/>
    <x v="145"/>
    <x v="0"/>
    <x v="4"/>
    <x v="4"/>
    <n v="0"/>
    <n v="0"/>
  </r>
  <r>
    <s v="SPAR WESTERN CAPE"/>
    <x v="3"/>
    <x v="241"/>
    <x v="236"/>
    <x v="6"/>
    <x v="145"/>
    <x v="0"/>
    <x v="6"/>
    <x v="6"/>
    <n v="0"/>
    <n v="0"/>
  </r>
  <r>
    <s v="SPAR WESTERN CAPE"/>
    <x v="3"/>
    <x v="242"/>
    <x v="237"/>
    <x v="6"/>
    <x v="145"/>
    <x v="0"/>
    <x v="0"/>
    <x v="0"/>
    <n v="0"/>
    <n v="0"/>
  </r>
  <r>
    <s v="SPAR WESTERN CAPE"/>
    <x v="3"/>
    <x v="242"/>
    <x v="237"/>
    <x v="6"/>
    <x v="145"/>
    <x v="0"/>
    <x v="1"/>
    <x v="1"/>
    <n v="0"/>
    <n v="0"/>
  </r>
  <r>
    <s v="SPAR WESTERN CAPE"/>
    <x v="3"/>
    <x v="242"/>
    <x v="237"/>
    <x v="6"/>
    <x v="145"/>
    <x v="0"/>
    <x v="2"/>
    <x v="2"/>
    <n v="0"/>
    <n v="0"/>
  </r>
  <r>
    <s v="SPAR WESTERN CAPE"/>
    <x v="3"/>
    <x v="242"/>
    <x v="237"/>
    <x v="6"/>
    <x v="145"/>
    <x v="0"/>
    <x v="3"/>
    <x v="3"/>
    <n v="0"/>
    <n v="0"/>
  </r>
  <r>
    <s v="SPAR WESTERN CAPE"/>
    <x v="3"/>
    <x v="242"/>
    <x v="237"/>
    <x v="6"/>
    <x v="145"/>
    <x v="0"/>
    <x v="4"/>
    <x v="4"/>
    <n v="0"/>
    <n v="0"/>
  </r>
  <r>
    <s v="SPAR WESTERN CAPE"/>
    <x v="3"/>
    <x v="242"/>
    <x v="237"/>
    <x v="6"/>
    <x v="145"/>
    <x v="0"/>
    <x v="5"/>
    <x v="5"/>
    <n v="0"/>
    <n v="0"/>
  </r>
  <r>
    <s v="SPAR WESTERN CAPE"/>
    <x v="3"/>
    <x v="242"/>
    <x v="237"/>
    <x v="6"/>
    <x v="145"/>
    <x v="0"/>
    <x v="6"/>
    <x v="6"/>
    <n v="0"/>
    <n v="0"/>
  </r>
  <r>
    <s v="SPAR WESTERN CAPE"/>
    <x v="3"/>
    <x v="243"/>
    <x v="238"/>
    <x v="6"/>
    <x v="145"/>
    <x v="0"/>
    <x v="1"/>
    <x v="1"/>
    <n v="0"/>
    <n v="0"/>
  </r>
  <r>
    <s v="SPAR WESTERN CAPE"/>
    <x v="3"/>
    <x v="243"/>
    <x v="238"/>
    <x v="6"/>
    <x v="145"/>
    <x v="0"/>
    <x v="2"/>
    <x v="2"/>
    <n v="0"/>
    <n v="0"/>
  </r>
  <r>
    <s v="SPAR WESTERN CAPE"/>
    <x v="3"/>
    <x v="243"/>
    <x v="238"/>
    <x v="6"/>
    <x v="145"/>
    <x v="0"/>
    <x v="3"/>
    <x v="3"/>
    <n v="0"/>
    <n v="0"/>
  </r>
  <r>
    <s v="SPAR WESTERN CAPE"/>
    <x v="3"/>
    <x v="243"/>
    <x v="238"/>
    <x v="6"/>
    <x v="145"/>
    <x v="0"/>
    <x v="4"/>
    <x v="4"/>
    <n v="0"/>
    <n v="0"/>
  </r>
  <r>
    <s v="SPAR WESTERN CAPE"/>
    <x v="3"/>
    <x v="243"/>
    <x v="238"/>
    <x v="6"/>
    <x v="145"/>
    <x v="0"/>
    <x v="5"/>
    <x v="5"/>
    <n v="0"/>
    <n v="0"/>
  </r>
  <r>
    <s v="SPAR WESTERN CAPE"/>
    <x v="3"/>
    <x v="243"/>
    <x v="238"/>
    <x v="6"/>
    <x v="145"/>
    <x v="0"/>
    <x v="6"/>
    <x v="6"/>
    <n v="0"/>
    <n v="0"/>
  </r>
  <r>
    <s v="SPAR WESTERN CAPE"/>
    <x v="3"/>
    <x v="244"/>
    <x v="239"/>
    <x v="35"/>
    <x v="56"/>
    <x v="0"/>
    <x v="0"/>
    <x v="0"/>
    <n v="0"/>
    <n v="0"/>
  </r>
  <r>
    <s v="SPAR WESTERN CAPE"/>
    <x v="3"/>
    <x v="244"/>
    <x v="239"/>
    <x v="35"/>
    <x v="56"/>
    <x v="0"/>
    <x v="1"/>
    <x v="1"/>
    <n v="0"/>
    <n v="0"/>
  </r>
  <r>
    <s v="SPAR WESTERN CAPE"/>
    <x v="3"/>
    <x v="244"/>
    <x v="239"/>
    <x v="35"/>
    <x v="56"/>
    <x v="0"/>
    <x v="2"/>
    <x v="2"/>
    <n v="0"/>
    <n v="0"/>
  </r>
  <r>
    <s v="SPAR WESTERN CAPE"/>
    <x v="3"/>
    <x v="244"/>
    <x v="239"/>
    <x v="35"/>
    <x v="56"/>
    <x v="0"/>
    <x v="4"/>
    <x v="4"/>
    <n v="0"/>
    <n v="0"/>
  </r>
  <r>
    <s v="SPAR WESTERN CAPE"/>
    <x v="3"/>
    <x v="244"/>
    <x v="239"/>
    <x v="35"/>
    <x v="56"/>
    <x v="0"/>
    <x v="5"/>
    <x v="5"/>
    <n v="0"/>
    <n v="0"/>
  </r>
  <r>
    <s v="SPAR WESTERN CAPE"/>
    <x v="3"/>
    <x v="244"/>
    <x v="239"/>
    <x v="35"/>
    <x v="56"/>
    <x v="0"/>
    <x v="6"/>
    <x v="6"/>
    <n v="0"/>
    <n v="0"/>
  </r>
  <r>
    <s v="SPAR WESTERN CAPE"/>
    <x v="4"/>
    <x v="245"/>
    <x v="240"/>
    <x v="44"/>
    <x v="146"/>
    <x v="0"/>
    <x v="2"/>
    <x v="2"/>
    <n v="0"/>
    <n v="0"/>
  </r>
  <r>
    <s v="SPAR WESTERN CAPE"/>
    <x v="4"/>
    <x v="245"/>
    <x v="240"/>
    <x v="44"/>
    <x v="146"/>
    <x v="0"/>
    <x v="4"/>
    <x v="4"/>
    <n v="0"/>
    <n v="0"/>
  </r>
  <r>
    <s v="SPAR WESTERN CAPE"/>
    <x v="4"/>
    <x v="246"/>
    <x v="241"/>
    <x v="63"/>
    <x v="147"/>
    <x v="0"/>
    <x v="0"/>
    <x v="0"/>
    <n v="0"/>
    <n v="0"/>
  </r>
  <r>
    <s v="SPAR WESTERN CAPE"/>
    <x v="4"/>
    <x v="246"/>
    <x v="241"/>
    <x v="63"/>
    <x v="147"/>
    <x v="0"/>
    <x v="1"/>
    <x v="1"/>
    <n v="0"/>
    <n v="0"/>
  </r>
  <r>
    <s v="SPAR WESTERN CAPE"/>
    <x v="4"/>
    <x v="246"/>
    <x v="241"/>
    <x v="63"/>
    <x v="147"/>
    <x v="0"/>
    <x v="2"/>
    <x v="2"/>
    <n v="0"/>
    <n v="0"/>
  </r>
  <r>
    <s v="SPAR WESTERN CAPE"/>
    <x v="4"/>
    <x v="246"/>
    <x v="241"/>
    <x v="63"/>
    <x v="147"/>
    <x v="0"/>
    <x v="3"/>
    <x v="3"/>
    <n v="0"/>
    <n v="0"/>
  </r>
  <r>
    <s v="SPAR WESTERN CAPE"/>
    <x v="4"/>
    <x v="246"/>
    <x v="241"/>
    <x v="63"/>
    <x v="147"/>
    <x v="0"/>
    <x v="4"/>
    <x v="4"/>
    <n v="0"/>
    <n v="0"/>
  </r>
  <r>
    <s v="SPAR WESTERN CAPE"/>
    <x v="4"/>
    <x v="246"/>
    <x v="241"/>
    <x v="63"/>
    <x v="147"/>
    <x v="0"/>
    <x v="5"/>
    <x v="5"/>
    <n v="0"/>
    <n v="0"/>
  </r>
  <r>
    <s v="SPAR WESTERN CAPE"/>
    <x v="4"/>
    <x v="246"/>
    <x v="241"/>
    <x v="63"/>
    <x v="147"/>
    <x v="0"/>
    <x v="6"/>
    <x v="6"/>
    <n v="0"/>
    <n v="0"/>
  </r>
  <r>
    <s v="SPAR WESTERN CAPE"/>
    <x v="4"/>
    <x v="247"/>
    <x v="242"/>
    <x v="64"/>
    <x v="148"/>
    <x v="0"/>
    <x v="0"/>
    <x v="0"/>
    <n v="0"/>
    <n v="0"/>
  </r>
  <r>
    <s v="SPAR WESTERN CAPE"/>
    <x v="4"/>
    <x v="247"/>
    <x v="242"/>
    <x v="64"/>
    <x v="148"/>
    <x v="0"/>
    <x v="1"/>
    <x v="1"/>
    <n v="0"/>
    <n v="0"/>
  </r>
  <r>
    <s v="SPAR WESTERN CAPE"/>
    <x v="4"/>
    <x v="247"/>
    <x v="242"/>
    <x v="64"/>
    <x v="148"/>
    <x v="0"/>
    <x v="2"/>
    <x v="2"/>
    <n v="0"/>
    <n v="0"/>
  </r>
  <r>
    <s v="SPAR WESTERN CAPE"/>
    <x v="4"/>
    <x v="247"/>
    <x v="242"/>
    <x v="64"/>
    <x v="148"/>
    <x v="0"/>
    <x v="3"/>
    <x v="3"/>
    <n v="0"/>
    <n v="0"/>
  </r>
  <r>
    <s v="SPAR WESTERN CAPE"/>
    <x v="4"/>
    <x v="247"/>
    <x v="242"/>
    <x v="64"/>
    <x v="148"/>
    <x v="0"/>
    <x v="4"/>
    <x v="4"/>
    <n v="0"/>
    <n v="0"/>
  </r>
  <r>
    <s v="SPAR WESTERN CAPE"/>
    <x v="4"/>
    <x v="247"/>
    <x v="242"/>
    <x v="64"/>
    <x v="148"/>
    <x v="0"/>
    <x v="5"/>
    <x v="5"/>
    <n v="0"/>
    <n v="0"/>
  </r>
  <r>
    <s v="SPAR WESTERN CAPE"/>
    <x v="4"/>
    <x v="247"/>
    <x v="242"/>
    <x v="64"/>
    <x v="148"/>
    <x v="0"/>
    <x v="6"/>
    <x v="6"/>
    <n v="0"/>
    <n v="0"/>
  </r>
  <r>
    <s v="SPAR WESTERN CAPE"/>
    <x v="4"/>
    <x v="248"/>
    <x v="243"/>
    <x v="16"/>
    <x v="149"/>
    <x v="0"/>
    <x v="0"/>
    <x v="0"/>
    <n v="0"/>
    <n v="0"/>
  </r>
  <r>
    <s v="SPAR WESTERN CAPE"/>
    <x v="4"/>
    <x v="248"/>
    <x v="243"/>
    <x v="16"/>
    <x v="149"/>
    <x v="0"/>
    <x v="1"/>
    <x v="1"/>
    <n v="0"/>
    <n v="0"/>
  </r>
  <r>
    <s v="SPAR WESTERN CAPE"/>
    <x v="4"/>
    <x v="248"/>
    <x v="243"/>
    <x v="16"/>
    <x v="149"/>
    <x v="0"/>
    <x v="2"/>
    <x v="2"/>
    <n v="0"/>
    <n v="0"/>
  </r>
  <r>
    <s v="SPAR WESTERN CAPE"/>
    <x v="4"/>
    <x v="248"/>
    <x v="243"/>
    <x v="16"/>
    <x v="149"/>
    <x v="0"/>
    <x v="3"/>
    <x v="3"/>
    <n v="0"/>
    <n v="0"/>
  </r>
  <r>
    <s v="SPAR WESTERN CAPE"/>
    <x v="4"/>
    <x v="248"/>
    <x v="243"/>
    <x v="16"/>
    <x v="149"/>
    <x v="0"/>
    <x v="4"/>
    <x v="4"/>
    <n v="0"/>
    <n v="0"/>
  </r>
  <r>
    <s v="SPAR WESTERN CAPE"/>
    <x v="4"/>
    <x v="248"/>
    <x v="243"/>
    <x v="16"/>
    <x v="149"/>
    <x v="0"/>
    <x v="5"/>
    <x v="5"/>
    <n v="0"/>
    <n v="0"/>
  </r>
  <r>
    <s v="SPAR WESTERN CAPE"/>
    <x v="4"/>
    <x v="248"/>
    <x v="243"/>
    <x v="16"/>
    <x v="149"/>
    <x v="0"/>
    <x v="6"/>
    <x v="6"/>
    <n v="0"/>
    <n v="0"/>
  </r>
  <r>
    <s v="SPAR WESTERN CAPE"/>
    <x v="4"/>
    <x v="249"/>
    <x v="244"/>
    <x v="33"/>
    <x v="150"/>
    <x v="0"/>
    <x v="0"/>
    <x v="0"/>
    <n v="0"/>
    <n v="0"/>
  </r>
  <r>
    <s v="SPAR WESTERN CAPE"/>
    <x v="4"/>
    <x v="249"/>
    <x v="244"/>
    <x v="33"/>
    <x v="150"/>
    <x v="0"/>
    <x v="1"/>
    <x v="1"/>
    <n v="0"/>
    <n v="0"/>
  </r>
  <r>
    <s v="SPAR WESTERN CAPE"/>
    <x v="4"/>
    <x v="249"/>
    <x v="244"/>
    <x v="33"/>
    <x v="150"/>
    <x v="0"/>
    <x v="2"/>
    <x v="2"/>
    <n v="0"/>
    <n v="0"/>
  </r>
  <r>
    <s v="SPAR WESTERN CAPE"/>
    <x v="4"/>
    <x v="249"/>
    <x v="244"/>
    <x v="33"/>
    <x v="150"/>
    <x v="0"/>
    <x v="3"/>
    <x v="3"/>
    <n v="0"/>
    <n v="0"/>
  </r>
  <r>
    <s v="SPAR WESTERN CAPE"/>
    <x v="4"/>
    <x v="249"/>
    <x v="244"/>
    <x v="33"/>
    <x v="150"/>
    <x v="0"/>
    <x v="4"/>
    <x v="4"/>
    <n v="0"/>
    <n v="0"/>
  </r>
  <r>
    <s v="SPAR WESTERN CAPE"/>
    <x v="4"/>
    <x v="249"/>
    <x v="244"/>
    <x v="33"/>
    <x v="150"/>
    <x v="0"/>
    <x v="5"/>
    <x v="5"/>
    <n v="0"/>
    <n v="0"/>
  </r>
  <r>
    <s v="SPAR WESTERN CAPE"/>
    <x v="4"/>
    <x v="249"/>
    <x v="244"/>
    <x v="33"/>
    <x v="150"/>
    <x v="0"/>
    <x v="6"/>
    <x v="6"/>
    <n v="0"/>
    <n v="0"/>
  </r>
  <r>
    <s v="SPAR WESTERN CAPE"/>
    <x v="4"/>
    <x v="250"/>
    <x v="245"/>
    <x v="22"/>
    <x v="151"/>
    <x v="0"/>
    <x v="0"/>
    <x v="0"/>
    <n v="0"/>
    <n v="0"/>
  </r>
  <r>
    <s v="SPAR WESTERN CAPE"/>
    <x v="4"/>
    <x v="250"/>
    <x v="245"/>
    <x v="22"/>
    <x v="151"/>
    <x v="0"/>
    <x v="1"/>
    <x v="1"/>
    <n v="0"/>
    <n v="0"/>
  </r>
  <r>
    <s v="SPAR WESTERN CAPE"/>
    <x v="4"/>
    <x v="250"/>
    <x v="245"/>
    <x v="22"/>
    <x v="151"/>
    <x v="0"/>
    <x v="2"/>
    <x v="2"/>
    <n v="0"/>
    <n v="0"/>
  </r>
  <r>
    <s v="SPAR WESTERN CAPE"/>
    <x v="4"/>
    <x v="250"/>
    <x v="245"/>
    <x v="22"/>
    <x v="151"/>
    <x v="0"/>
    <x v="3"/>
    <x v="3"/>
    <n v="0"/>
    <n v="0"/>
  </r>
  <r>
    <s v="SPAR WESTERN CAPE"/>
    <x v="4"/>
    <x v="250"/>
    <x v="245"/>
    <x v="22"/>
    <x v="151"/>
    <x v="0"/>
    <x v="4"/>
    <x v="4"/>
    <n v="0"/>
    <n v="0"/>
  </r>
  <r>
    <s v="SPAR WESTERN CAPE"/>
    <x v="4"/>
    <x v="250"/>
    <x v="245"/>
    <x v="22"/>
    <x v="151"/>
    <x v="0"/>
    <x v="5"/>
    <x v="5"/>
    <n v="0"/>
    <n v="0"/>
  </r>
  <r>
    <s v="SPAR WESTERN CAPE"/>
    <x v="4"/>
    <x v="250"/>
    <x v="245"/>
    <x v="22"/>
    <x v="151"/>
    <x v="0"/>
    <x v="6"/>
    <x v="6"/>
    <n v="0"/>
    <n v="0"/>
  </r>
  <r>
    <s v="SPAR WESTERN CAPE"/>
    <x v="4"/>
    <x v="251"/>
    <x v="246"/>
    <x v="0"/>
    <x v="152"/>
    <x v="0"/>
    <x v="0"/>
    <x v="0"/>
    <n v="0"/>
    <n v="0"/>
  </r>
  <r>
    <s v="SPAR WESTERN CAPE"/>
    <x v="4"/>
    <x v="251"/>
    <x v="246"/>
    <x v="0"/>
    <x v="152"/>
    <x v="0"/>
    <x v="1"/>
    <x v="1"/>
    <n v="0"/>
    <n v="0"/>
  </r>
  <r>
    <s v="SPAR WESTERN CAPE"/>
    <x v="4"/>
    <x v="251"/>
    <x v="246"/>
    <x v="0"/>
    <x v="152"/>
    <x v="0"/>
    <x v="2"/>
    <x v="2"/>
    <n v="0"/>
    <n v="0"/>
  </r>
  <r>
    <s v="SPAR WESTERN CAPE"/>
    <x v="4"/>
    <x v="251"/>
    <x v="246"/>
    <x v="0"/>
    <x v="152"/>
    <x v="0"/>
    <x v="3"/>
    <x v="3"/>
    <n v="0"/>
    <n v="0"/>
  </r>
  <r>
    <s v="SPAR WESTERN CAPE"/>
    <x v="4"/>
    <x v="251"/>
    <x v="246"/>
    <x v="0"/>
    <x v="152"/>
    <x v="0"/>
    <x v="4"/>
    <x v="4"/>
    <n v="0"/>
    <n v="0"/>
  </r>
  <r>
    <s v="SPAR WESTERN CAPE"/>
    <x v="4"/>
    <x v="251"/>
    <x v="246"/>
    <x v="0"/>
    <x v="152"/>
    <x v="0"/>
    <x v="5"/>
    <x v="5"/>
    <n v="0"/>
    <n v="0"/>
  </r>
  <r>
    <s v="SPAR WESTERN CAPE"/>
    <x v="4"/>
    <x v="251"/>
    <x v="246"/>
    <x v="0"/>
    <x v="152"/>
    <x v="0"/>
    <x v="6"/>
    <x v="6"/>
    <n v="0"/>
    <n v="0"/>
  </r>
  <r>
    <s v="SPAR WESTERN CAPE"/>
    <x v="4"/>
    <x v="252"/>
    <x v="247"/>
    <x v="0"/>
    <x v="152"/>
    <x v="0"/>
    <x v="0"/>
    <x v="0"/>
    <n v="0"/>
    <n v="0"/>
  </r>
  <r>
    <s v="SPAR WESTERN CAPE"/>
    <x v="4"/>
    <x v="252"/>
    <x v="247"/>
    <x v="0"/>
    <x v="152"/>
    <x v="0"/>
    <x v="1"/>
    <x v="1"/>
    <n v="0"/>
    <n v="0"/>
  </r>
  <r>
    <s v="SPAR WESTERN CAPE"/>
    <x v="4"/>
    <x v="252"/>
    <x v="247"/>
    <x v="0"/>
    <x v="152"/>
    <x v="0"/>
    <x v="2"/>
    <x v="2"/>
    <n v="0"/>
    <n v="0"/>
  </r>
  <r>
    <s v="SPAR WESTERN CAPE"/>
    <x v="4"/>
    <x v="252"/>
    <x v="247"/>
    <x v="0"/>
    <x v="152"/>
    <x v="0"/>
    <x v="3"/>
    <x v="3"/>
    <n v="0"/>
    <n v="0"/>
  </r>
  <r>
    <s v="SPAR WESTERN CAPE"/>
    <x v="4"/>
    <x v="252"/>
    <x v="247"/>
    <x v="0"/>
    <x v="152"/>
    <x v="0"/>
    <x v="4"/>
    <x v="4"/>
    <n v="0"/>
    <n v="0"/>
  </r>
  <r>
    <s v="SPAR WESTERN CAPE"/>
    <x v="4"/>
    <x v="252"/>
    <x v="247"/>
    <x v="0"/>
    <x v="152"/>
    <x v="0"/>
    <x v="5"/>
    <x v="5"/>
    <n v="0"/>
    <n v="0"/>
  </r>
  <r>
    <s v="SPAR WESTERN CAPE"/>
    <x v="4"/>
    <x v="252"/>
    <x v="247"/>
    <x v="0"/>
    <x v="152"/>
    <x v="0"/>
    <x v="6"/>
    <x v="6"/>
    <n v="0"/>
    <n v="0"/>
  </r>
  <r>
    <s v="SPAR WESTERN CAPE"/>
    <x v="4"/>
    <x v="253"/>
    <x v="248"/>
    <x v="0"/>
    <x v="152"/>
    <x v="0"/>
    <x v="0"/>
    <x v="0"/>
    <n v="0"/>
    <n v="0"/>
  </r>
  <r>
    <s v="SPAR WESTERN CAPE"/>
    <x v="4"/>
    <x v="253"/>
    <x v="248"/>
    <x v="0"/>
    <x v="152"/>
    <x v="0"/>
    <x v="1"/>
    <x v="1"/>
    <n v="0"/>
    <n v="0"/>
  </r>
  <r>
    <s v="SPAR WESTERN CAPE"/>
    <x v="4"/>
    <x v="253"/>
    <x v="248"/>
    <x v="0"/>
    <x v="152"/>
    <x v="0"/>
    <x v="2"/>
    <x v="2"/>
    <n v="0"/>
    <n v="0"/>
  </r>
  <r>
    <s v="SPAR WESTERN CAPE"/>
    <x v="4"/>
    <x v="253"/>
    <x v="248"/>
    <x v="0"/>
    <x v="152"/>
    <x v="0"/>
    <x v="3"/>
    <x v="3"/>
    <n v="0"/>
    <n v="0"/>
  </r>
  <r>
    <s v="SPAR WESTERN CAPE"/>
    <x v="4"/>
    <x v="253"/>
    <x v="248"/>
    <x v="0"/>
    <x v="152"/>
    <x v="0"/>
    <x v="4"/>
    <x v="4"/>
    <n v="0"/>
    <n v="0"/>
  </r>
  <r>
    <s v="SPAR WESTERN CAPE"/>
    <x v="4"/>
    <x v="253"/>
    <x v="248"/>
    <x v="0"/>
    <x v="152"/>
    <x v="0"/>
    <x v="5"/>
    <x v="5"/>
    <n v="0"/>
    <n v="0"/>
  </r>
  <r>
    <s v="SPAR WESTERN CAPE"/>
    <x v="4"/>
    <x v="253"/>
    <x v="248"/>
    <x v="0"/>
    <x v="152"/>
    <x v="0"/>
    <x v="6"/>
    <x v="6"/>
    <n v="0"/>
    <n v="0"/>
  </r>
  <r>
    <s v="SPAR WESTERN CAPE"/>
    <x v="4"/>
    <x v="254"/>
    <x v="249"/>
    <x v="18"/>
    <x v="153"/>
    <x v="0"/>
    <x v="0"/>
    <x v="0"/>
    <n v="0"/>
    <n v="0"/>
  </r>
  <r>
    <s v="SPAR WESTERN CAPE"/>
    <x v="4"/>
    <x v="254"/>
    <x v="249"/>
    <x v="18"/>
    <x v="153"/>
    <x v="0"/>
    <x v="1"/>
    <x v="1"/>
    <n v="0"/>
    <n v="0"/>
  </r>
  <r>
    <s v="SPAR WESTERN CAPE"/>
    <x v="4"/>
    <x v="254"/>
    <x v="249"/>
    <x v="18"/>
    <x v="153"/>
    <x v="0"/>
    <x v="2"/>
    <x v="2"/>
    <n v="0"/>
    <n v="0"/>
  </r>
  <r>
    <s v="SPAR WESTERN CAPE"/>
    <x v="4"/>
    <x v="254"/>
    <x v="249"/>
    <x v="18"/>
    <x v="153"/>
    <x v="0"/>
    <x v="3"/>
    <x v="3"/>
    <n v="0"/>
    <n v="0"/>
  </r>
  <r>
    <s v="SPAR WESTERN CAPE"/>
    <x v="4"/>
    <x v="254"/>
    <x v="249"/>
    <x v="18"/>
    <x v="153"/>
    <x v="0"/>
    <x v="4"/>
    <x v="4"/>
    <n v="0"/>
    <n v="0"/>
  </r>
  <r>
    <s v="SPAR WESTERN CAPE"/>
    <x v="4"/>
    <x v="254"/>
    <x v="249"/>
    <x v="18"/>
    <x v="153"/>
    <x v="0"/>
    <x v="5"/>
    <x v="5"/>
    <n v="0"/>
    <n v="0"/>
  </r>
  <r>
    <s v="SPAR WESTERN CAPE"/>
    <x v="4"/>
    <x v="254"/>
    <x v="249"/>
    <x v="18"/>
    <x v="153"/>
    <x v="0"/>
    <x v="6"/>
    <x v="6"/>
    <n v="0"/>
    <n v="0"/>
  </r>
  <r>
    <s v="SPAR WESTERN CAPE"/>
    <x v="4"/>
    <x v="255"/>
    <x v="250"/>
    <x v="44"/>
    <x v="146"/>
    <x v="0"/>
    <x v="0"/>
    <x v="0"/>
    <n v="0"/>
    <n v="0"/>
  </r>
  <r>
    <s v="SPAR WESTERN CAPE"/>
    <x v="4"/>
    <x v="255"/>
    <x v="250"/>
    <x v="44"/>
    <x v="146"/>
    <x v="0"/>
    <x v="1"/>
    <x v="1"/>
    <n v="0"/>
    <n v="0"/>
  </r>
  <r>
    <s v="SPAR WESTERN CAPE"/>
    <x v="4"/>
    <x v="255"/>
    <x v="250"/>
    <x v="44"/>
    <x v="146"/>
    <x v="0"/>
    <x v="2"/>
    <x v="2"/>
    <n v="0"/>
    <n v="0"/>
  </r>
  <r>
    <s v="SPAR WESTERN CAPE"/>
    <x v="4"/>
    <x v="255"/>
    <x v="250"/>
    <x v="44"/>
    <x v="146"/>
    <x v="0"/>
    <x v="3"/>
    <x v="3"/>
    <n v="0"/>
    <n v="0"/>
  </r>
  <r>
    <s v="SPAR WESTERN CAPE"/>
    <x v="4"/>
    <x v="255"/>
    <x v="250"/>
    <x v="44"/>
    <x v="146"/>
    <x v="0"/>
    <x v="4"/>
    <x v="4"/>
    <n v="0"/>
    <n v="0"/>
  </r>
  <r>
    <s v="SPAR WESTERN CAPE"/>
    <x v="4"/>
    <x v="255"/>
    <x v="250"/>
    <x v="44"/>
    <x v="146"/>
    <x v="0"/>
    <x v="5"/>
    <x v="5"/>
    <n v="0"/>
    <n v="0"/>
  </r>
  <r>
    <s v="SPAR WESTERN CAPE"/>
    <x v="4"/>
    <x v="255"/>
    <x v="250"/>
    <x v="44"/>
    <x v="146"/>
    <x v="0"/>
    <x v="6"/>
    <x v="6"/>
    <n v="0"/>
    <n v="0"/>
  </r>
  <r>
    <s v="SPAR WESTERN CAPE"/>
    <x v="4"/>
    <x v="256"/>
    <x v="251"/>
    <x v="65"/>
    <x v="154"/>
    <x v="0"/>
    <x v="0"/>
    <x v="0"/>
    <n v="0"/>
    <n v="0"/>
  </r>
  <r>
    <s v="SPAR WESTERN CAPE"/>
    <x v="4"/>
    <x v="256"/>
    <x v="251"/>
    <x v="65"/>
    <x v="154"/>
    <x v="0"/>
    <x v="1"/>
    <x v="1"/>
    <n v="0"/>
    <n v="0"/>
  </r>
  <r>
    <s v="SPAR WESTERN CAPE"/>
    <x v="4"/>
    <x v="256"/>
    <x v="251"/>
    <x v="65"/>
    <x v="154"/>
    <x v="0"/>
    <x v="2"/>
    <x v="2"/>
    <n v="0"/>
    <n v="0"/>
  </r>
  <r>
    <s v="SPAR WESTERN CAPE"/>
    <x v="4"/>
    <x v="256"/>
    <x v="251"/>
    <x v="65"/>
    <x v="154"/>
    <x v="0"/>
    <x v="3"/>
    <x v="3"/>
    <n v="0"/>
    <n v="0"/>
  </r>
  <r>
    <s v="SPAR WESTERN CAPE"/>
    <x v="4"/>
    <x v="256"/>
    <x v="251"/>
    <x v="65"/>
    <x v="154"/>
    <x v="0"/>
    <x v="4"/>
    <x v="4"/>
    <n v="0"/>
    <n v="0"/>
  </r>
  <r>
    <s v="SPAR WESTERN CAPE"/>
    <x v="4"/>
    <x v="256"/>
    <x v="251"/>
    <x v="65"/>
    <x v="154"/>
    <x v="0"/>
    <x v="5"/>
    <x v="5"/>
    <n v="0"/>
    <n v="0"/>
  </r>
  <r>
    <s v="SPAR WESTERN CAPE"/>
    <x v="4"/>
    <x v="256"/>
    <x v="251"/>
    <x v="65"/>
    <x v="154"/>
    <x v="0"/>
    <x v="6"/>
    <x v="6"/>
    <n v="0"/>
    <n v="0"/>
  </r>
  <r>
    <s v="SPAR WESTERN CAPE"/>
    <x v="4"/>
    <x v="257"/>
    <x v="252"/>
    <x v="66"/>
    <x v="155"/>
    <x v="0"/>
    <x v="0"/>
    <x v="0"/>
    <n v="0"/>
    <n v="0"/>
  </r>
  <r>
    <s v="SPAR WESTERN CAPE"/>
    <x v="4"/>
    <x v="257"/>
    <x v="252"/>
    <x v="66"/>
    <x v="155"/>
    <x v="0"/>
    <x v="1"/>
    <x v="1"/>
    <n v="0"/>
    <n v="0"/>
  </r>
  <r>
    <s v="SPAR WESTERN CAPE"/>
    <x v="4"/>
    <x v="257"/>
    <x v="252"/>
    <x v="66"/>
    <x v="155"/>
    <x v="0"/>
    <x v="2"/>
    <x v="2"/>
    <n v="0"/>
    <n v="0"/>
  </r>
  <r>
    <s v="SPAR WESTERN CAPE"/>
    <x v="4"/>
    <x v="257"/>
    <x v="252"/>
    <x v="66"/>
    <x v="155"/>
    <x v="0"/>
    <x v="3"/>
    <x v="3"/>
    <n v="0"/>
    <n v="0"/>
  </r>
  <r>
    <s v="SPAR WESTERN CAPE"/>
    <x v="4"/>
    <x v="257"/>
    <x v="252"/>
    <x v="66"/>
    <x v="155"/>
    <x v="0"/>
    <x v="4"/>
    <x v="4"/>
    <n v="0"/>
    <n v="0"/>
  </r>
  <r>
    <s v="SPAR WESTERN CAPE"/>
    <x v="4"/>
    <x v="257"/>
    <x v="252"/>
    <x v="66"/>
    <x v="155"/>
    <x v="0"/>
    <x v="5"/>
    <x v="5"/>
    <n v="0"/>
    <n v="0"/>
  </r>
  <r>
    <s v="SPAR WESTERN CAPE"/>
    <x v="4"/>
    <x v="257"/>
    <x v="252"/>
    <x v="66"/>
    <x v="155"/>
    <x v="0"/>
    <x v="6"/>
    <x v="6"/>
    <n v="0"/>
    <n v="0"/>
  </r>
  <r>
    <s v="SPAR WESTERN CAPE"/>
    <x v="4"/>
    <x v="258"/>
    <x v="253"/>
    <x v="67"/>
    <x v="156"/>
    <x v="0"/>
    <x v="0"/>
    <x v="0"/>
    <n v="0"/>
    <n v="0"/>
  </r>
  <r>
    <s v="SPAR WESTERN CAPE"/>
    <x v="4"/>
    <x v="258"/>
    <x v="253"/>
    <x v="67"/>
    <x v="156"/>
    <x v="0"/>
    <x v="1"/>
    <x v="1"/>
    <n v="0"/>
    <n v="0"/>
  </r>
  <r>
    <s v="SPAR WESTERN CAPE"/>
    <x v="4"/>
    <x v="258"/>
    <x v="253"/>
    <x v="67"/>
    <x v="156"/>
    <x v="0"/>
    <x v="2"/>
    <x v="2"/>
    <n v="0"/>
    <n v="0"/>
  </r>
  <r>
    <s v="SPAR WESTERN CAPE"/>
    <x v="4"/>
    <x v="258"/>
    <x v="253"/>
    <x v="67"/>
    <x v="156"/>
    <x v="0"/>
    <x v="3"/>
    <x v="3"/>
    <n v="0"/>
    <n v="0"/>
  </r>
  <r>
    <s v="SPAR WESTERN CAPE"/>
    <x v="4"/>
    <x v="258"/>
    <x v="253"/>
    <x v="67"/>
    <x v="156"/>
    <x v="0"/>
    <x v="4"/>
    <x v="4"/>
    <n v="0"/>
    <n v="0"/>
  </r>
  <r>
    <s v="SPAR WESTERN CAPE"/>
    <x v="4"/>
    <x v="258"/>
    <x v="253"/>
    <x v="67"/>
    <x v="156"/>
    <x v="0"/>
    <x v="5"/>
    <x v="5"/>
    <n v="0"/>
    <n v="0"/>
  </r>
  <r>
    <s v="SPAR WESTERN CAPE"/>
    <x v="4"/>
    <x v="258"/>
    <x v="253"/>
    <x v="67"/>
    <x v="156"/>
    <x v="0"/>
    <x v="6"/>
    <x v="6"/>
    <n v="0"/>
    <n v="0"/>
  </r>
  <r>
    <s v="SPAR WESTERN CAPE"/>
    <x v="4"/>
    <x v="259"/>
    <x v="254"/>
    <x v="39"/>
    <x v="157"/>
    <x v="0"/>
    <x v="0"/>
    <x v="0"/>
    <n v="0"/>
    <n v="0"/>
  </r>
  <r>
    <s v="SPAR WESTERN CAPE"/>
    <x v="4"/>
    <x v="259"/>
    <x v="254"/>
    <x v="39"/>
    <x v="157"/>
    <x v="0"/>
    <x v="1"/>
    <x v="1"/>
    <n v="0"/>
    <n v="0"/>
  </r>
  <r>
    <s v="SPAR WESTERN CAPE"/>
    <x v="4"/>
    <x v="259"/>
    <x v="254"/>
    <x v="39"/>
    <x v="157"/>
    <x v="0"/>
    <x v="2"/>
    <x v="2"/>
    <n v="0"/>
    <n v="0"/>
  </r>
  <r>
    <s v="SPAR WESTERN CAPE"/>
    <x v="4"/>
    <x v="259"/>
    <x v="254"/>
    <x v="39"/>
    <x v="157"/>
    <x v="0"/>
    <x v="3"/>
    <x v="3"/>
    <n v="0"/>
    <n v="0"/>
  </r>
  <r>
    <s v="SPAR WESTERN CAPE"/>
    <x v="4"/>
    <x v="259"/>
    <x v="254"/>
    <x v="39"/>
    <x v="157"/>
    <x v="0"/>
    <x v="4"/>
    <x v="4"/>
    <n v="0"/>
    <n v="0"/>
  </r>
  <r>
    <s v="SPAR WESTERN CAPE"/>
    <x v="4"/>
    <x v="259"/>
    <x v="254"/>
    <x v="39"/>
    <x v="157"/>
    <x v="0"/>
    <x v="5"/>
    <x v="5"/>
    <n v="0"/>
    <n v="0"/>
  </r>
  <r>
    <s v="SPAR WESTERN CAPE"/>
    <x v="4"/>
    <x v="259"/>
    <x v="254"/>
    <x v="39"/>
    <x v="157"/>
    <x v="0"/>
    <x v="6"/>
    <x v="6"/>
    <n v="0"/>
    <n v="0"/>
  </r>
  <r>
    <s v="SPAR WESTERN CAPE"/>
    <x v="4"/>
    <x v="260"/>
    <x v="255"/>
    <x v="68"/>
    <x v="158"/>
    <x v="0"/>
    <x v="0"/>
    <x v="0"/>
    <n v="0"/>
    <n v="0"/>
  </r>
  <r>
    <s v="SPAR WESTERN CAPE"/>
    <x v="4"/>
    <x v="260"/>
    <x v="255"/>
    <x v="68"/>
    <x v="158"/>
    <x v="0"/>
    <x v="1"/>
    <x v="1"/>
    <n v="0"/>
    <n v="0"/>
  </r>
  <r>
    <s v="SPAR WESTERN CAPE"/>
    <x v="4"/>
    <x v="260"/>
    <x v="255"/>
    <x v="68"/>
    <x v="158"/>
    <x v="0"/>
    <x v="2"/>
    <x v="2"/>
    <n v="0"/>
    <n v="0"/>
  </r>
  <r>
    <s v="SPAR WESTERN CAPE"/>
    <x v="4"/>
    <x v="260"/>
    <x v="255"/>
    <x v="68"/>
    <x v="158"/>
    <x v="0"/>
    <x v="3"/>
    <x v="3"/>
    <n v="0"/>
    <n v="0"/>
  </r>
  <r>
    <s v="SPAR WESTERN CAPE"/>
    <x v="4"/>
    <x v="260"/>
    <x v="255"/>
    <x v="68"/>
    <x v="158"/>
    <x v="0"/>
    <x v="4"/>
    <x v="4"/>
    <n v="0"/>
    <n v="0"/>
  </r>
  <r>
    <s v="SPAR WESTERN CAPE"/>
    <x v="4"/>
    <x v="260"/>
    <x v="255"/>
    <x v="68"/>
    <x v="158"/>
    <x v="0"/>
    <x v="5"/>
    <x v="5"/>
    <n v="0"/>
    <n v="0"/>
  </r>
  <r>
    <s v="SPAR WESTERN CAPE"/>
    <x v="4"/>
    <x v="260"/>
    <x v="255"/>
    <x v="68"/>
    <x v="158"/>
    <x v="0"/>
    <x v="6"/>
    <x v="6"/>
    <n v="0"/>
    <n v="0"/>
  </r>
  <r>
    <s v="SPAR WESTERN CAPE"/>
    <x v="4"/>
    <x v="261"/>
    <x v="256"/>
    <x v="69"/>
    <x v="159"/>
    <x v="0"/>
    <x v="0"/>
    <x v="0"/>
    <n v="0"/>
    <n v="0"/>
  </r>
  <r>
    <s v="SPAR WESTERN CAPE"/>
    <x v="4"/>
    <x v="261"/>
    <x v="256"/>
    <x v="69"/>
    <x v="159"/>
    <x v="0"/>
    <x v="1"/>
    <x v="1"/>
    <n v="0"/>
    <n v="0"/>
  </r>
  <r>
    <s v="SPAR WESTERN CAPE"/>
    <x v="4"/>
    <x v="261"/>
    <x v="256"/>
    <x v="69"/>
    <x v="159"/>
    <x v="0"/>
    <x v="2"/>
    <x v="2"/>
    <n v="0"/>
    <n v="0"/>
  </r>
  <r>
    <s v="SPAR WESTERN CAPE"/>
    <x v="4"/>
    <x v="261"/>
    <x v="256"/>
    <x v="69"/>
    <x v="159"/>
    <x v="0"/>
    <x v="3"/>
    <x v="3"/>
    <n v="0"/>
    <n v="0"/>
  </r>
  <r>
    <s v="SPAR WESTERN CAPE"/>
    <x v="4"/>
    <x v="261"/>
    <x v="256"/>
    <x v="69"/>
    <x v="159"/>
    <x v="0"/>
    <x v="4"/>
    <x v="4"/>
    <n v="0"/>
    <n v="0"/>
  </r>
  <r>
    <s v="SPAR WESTERN CAPE"/>
    <x v="4"/>
    <x v="261"/>
    <x v="256"/>
    <x v="69"/>
    <x v="159"/>
    <x v="0"/>
    <x v="5"/>
    <x v="5"/>
    <n v="0"/>
    <n v="0"/>
  </r>
  <r>
    <s v="SPAR WESTERN CAPE"/>
    <x v="4"/>
    <x v="261"/>
    <x v="256"/>
    <x v="69"/>
    <x v="159"/>
    <x v="0"/>
    <x v="6"/>
    <x v="6"/>
    <n v="0"/>
    <n v="0"/>
  </r>
  <r>
    <s v="SPAR WESTERN CAPE"/>
    <x v="4"/>
    <x v="262"/>
    <x v="256"/>
    <x v="12"/>
    <x v="160"/>
    <x v="0"/>
    <x v="0"/>
    <x v="0"/>
    <n v="0"/>
    <n v="0"/>
  </r>
  <r>
    <s v="SPAR WESTERN CAPE"/>
    <x v="4"/>
    <x v="262"/>
    <x v="256"/>
    <x v="12"/>
    <x v="160"/>
    <x v="0"/>
    <x v="1"/>
    <x v="1"/>
    <n v="0"/>
    <n v="0"/>
  </r>
  <r>
    <s v="SPAR WESTERN CAPE"/>
    <x v="4"/>
    <x v="262"/>
    <x v="256"/>
    <x v="12"/>
    <x v="160"/>
    <x v="0"/>
    <x v="2"/>
    <x v="2"/>
    <n v="0"/>
    <n v="0"/>
  </r>
  <r>
    <s v="SPAR WESTERN CAPE"/>
    <x v="4"/>
    <x v="262"/>
    <x v="256"/>
    <x v="12"/>
    <x v="160"/>
    <x v="0"/>
    <x v="3"/>
    <x v="3"/>
    <n v="0"/>
    <n v="0"/>
  </r>
  <r>
    <s v="SPAR WESTERN CAPE"/>
    <x v="4"/>
    <x v="262"/>
    <x v="256"/>
    <x v="12"/>
    <x v="160"/>
    <x v="0"/>
    <x v="4"/>
    <x v="4"/>
    <n v="0"/>
    <n v="0"/>
  </r>
  <r>
    <s v="SPAR WESTERN CAPE"/>
    <x v="4"/>
    <x v="262"/>
    <x v="256"/>
    <x v="12"/>
    <x v="160"/>
    <x v="0"/>
    <x v="5"/>
    <x v="5"/>
    <n v="0"/>
    <n v="0"/>
  </r>
  <r>
    <s v="SPAR WESTERN CAPE"/>
    <x v="4"/>
    <x v="262"/>
    <x v="256"/>
    <x v="12"/>
    <x v="160"/>
    <x v="0"/>
    <x v="6"/>
    <x v="6"/>
    <n v="0"/>
    <n v="0"/>
  </r>
  <r>
    <s v="SPAR WESTERN CAPE"/>
    <x v="4"/>
    <x v="263"/>
    <x v="257"/>
    <x v="51"/>
    <x v="161"/>
    <x v="0"/>
    <x v="0"/>
    <x v="0"/>
    <n v="0"/>
    <n v="0"/>
  </r>
  <r>
    <s v="SPAR WESTERN CAPE"/>
    <x v="4"/>
    <x v="263"/>
    <x v="257"/>
    <x v="51"/>
    <x v="161"/>
    <x v="0"/>
    <x v="1"/>
    <x v="1"/>
    <n v="0"/>
    <n v="0"/>
  </r>
  <r>
    <s v="SPAR WESTERN CAPE"/>
    <x v="4"/>
    <x v="263"/>
    <x v="257"/>
    <x v="51"/>
    <x v="161"/>
    <x v="0"/>
    <x v="2"/>
    <x v="2"/>
    <n v="0"/>
    <n v="0"/>
  </r>
  <r>
    <s v="SPAR WESTERN CAPE"/>
    <x v="4"/>
    <x v="263"/>
    <x v="257"/>
    <x v="51"/>
    <x v="161"/>
    <x v="0"/>
    <x v="3"/>
    <x v="3"/>
    <n v="0"/>
    <n v="0"/>
  </r>
  <r>
    <s v="SPAR WESTERN CAPE"/>
    <x v="4"/>
    <x v="263"/>
    <x v="257"/>
    <x v="51"/>
    <x v="161"/>
    <x v="0"/>
    <x v="4"/>
    <x v="4"/>
    <n v="0"/>
    <n v="0"/>
  </r>
  <r>
    <s v="SPAR WESTERN CAPE"/>
    <x v="4"/>
    <x v="263"/>
    <x v="257"/>
    <x v="51"/>
    <x v="161"/>
    <x v="0"/>
    <x v="5"/>
    <x v="5"/>
    <n v="0"/>
    <n v="0"/>
  </r>
  <r>
    <s v="SPAR WESTERN CAPE"/>
    <x v="4"/>
    <x v="263"/>
    <x v="257"/>
    <x v="51"/>
    <x v="161"/>
    <x v="0"/>
    <x v="6"/>
    <x v="6"/>
    <n v="0"/>
    <n v="0"/>
  </r>
  <r>
    <s v="SPAR WESTERN CAPE"/>
    <x v="4"/>
    <x v="264"/>
    <x v="258"/>
    <x v="29"/>
    <x v="162"/>
    <x v="0"/>
    <x v="0"/>
    <x v="0"/>
    <n v="0"/>
    <n v="0"/>
  </r>
  <r>
    <s v="SPAR WESTERN CAPE"/>
    <x v="4"/>
    <x v="264"/>
    <x v="258"/>
    <x v="29"/>
    <x v="162"/>
    <x v="0"/>
    <x v="1"/>
    <x v="1"/>
    <n v="0"/>
    <n v="0"/>
  </r>
  <r>
    <s v="SPAR WESTERN CAPE"/>
    <x v="4"/>
    <x v="264"/>
    <x v="258"/>
    <x v="29"/>
    <x v="162"/>
    <x v="0"/>
    <x v="2"/>
    <x v="2"/>
    <n v="0"/>
    <n v="0"/>
  </r>
  <r>
    <s v="SPAR WESTERN CAPE"/>
    <x v="4"/>
    <x v="264"/>
    <x v="258"/>
    <x v="29"/>
    <x v="162"/>
    <x v="0"/>
    <x v="3"/>
    <x v="3"/>
    <n v="0"/>
    <n v="0"/>
  </r>
  <r>
    <s v="SPAR WESTERN CAPE"/>
    <x v="4"/>
    <x v="264"/>
    <x v="258"/>
    <x v="29"/>
    <x v="162"/>
    <x v="0"/>
    <x v="4"/>
    <x v="4"/>
    <n v="0"/>
    <n v="0"/>
  </r>
  <r>
    <s v="SPAR WESTERN CAPE"/>
    <x v="4"/>
    <x v="264"/>
    <x v="258"/>
    <x v="29"/>
    <x v="162"/>
    <x v="0"/>
    <x v="5"/>
    <x v="5"/>
    <n v="0"/>
    <n v="0"/>
  </r>
  <r>
    <s v="SPAR WESTERN CAPE"/>
    <x v="4"/>
    <x v="264"/>
    <x v="258"/>
    <x v="29"/>
    <x v="162"/>
    <x v="0"/>
    <x v="6"/>
    <x v="6"/>
    <n v="0"/>
    <n v="0"/>
  </r>
  <r>
    <s v="SPAR WESTERN CAPE"/>
    <x v="4"/>
    <x v="265"/>
    <x v="259"/>
    <x v="21"/>
    <x v="163"/>
    <x v="0"/>
    <x v="0"/>
    <x v="0"/>
    <n v="0"/>
    <n v="0"/>
  </r>
  <r>
    <s v="SPAR WESTERN CAPE"/>
    <x v="4"/>
    <x v="265"/>
    <x v="259"/>
    <x v="21"/>
    <x v="163"/>
    <x v="0"/>
    <x v="1"/>
    <x v="1"/>
    <n v="0"/>
    <n v="0"/>
  </r>
  <r>
    <s v="SPAR WESTERN CAPE"/>
    <x v="4"/>
    <x v="265"/>
    <x v="259"/>
    <x v="21"/>
    <x v="163"/>
    <x v="0"/>
    <x v="2"/>
    <x v="2"/>
    <n v="0"/>
    <n v="0"/>
  </r>
  <r>
    <s v="SPAR WESTERN CAPE"/>
    <x v="4"/>
    <x v="265"/>
    <x v="259"/>
    <x v="21"/>
    <x v="163"/>
    <x v="0"/>
    <x v="3"/>
    <x v="3"/>
    <n v="0"/>
    <n v="0"/>
  </r>
  <r>
    <s v="SPAR WESTERN CAPE"/>
    <x v="4"/>
    <x v="265"/>
    <x v="259"/>
    <x v="21"/>
    <x v="163"/>
    <x v="0"/>
    <x v="4"/>
    <x v="4"/>
    <n v="0"/>
    <n v="0"/>
  </r>
  <r>
    <s v="SPAR WESTERN CAPE"/>
    <x v="4"/>
    <x v="265"/>
    <x v="259"/>
    <x v="21"/>
    <x v="163"/>
    <x v="0"/>
    <x v="5"/>
    <x v="5"/>
    <n v="0"/>
    <n v="0"/>
  </r>
  <r>
    <s v="SPAR WESTERN CAPE"/>
    <x v="4"/>
    <x v="265"/>
    <x v="259"/>
    <x v="21"/>
    <x v="163"/>
    <x v="0"/>
    <x v="6"/>
    <x v="6"/>
    <n v="0"/>
    <n v="0"/>
  </r>
  <r>
    <s v="SPAR WESTERN CAPE"/>
    <x v="4"/>
    <x v="266"/>
    <x v="260"/>
    <x v="22"/>
    <x v="164"/>
    <x v="0"/>
    <x v="0"/>
    <x v="0"/>
    <n v="0"/>
    <n v="0"/>
  </r>
  <r>
    <s v="SPAR WESTERN CAPE"/>
    <x v="4"/>
    <x v="266"/>
    <x v="260"/>
    <x v="22"/>
    <x v="164"/>
    <x v="0"/>
    <x v="1"/>
    <x v="1"/>
    <n v="0"/>
    <n v="0"/>
  </r>
  <r>
    <s v="SPAR WESTERN CAPE"/>
    <x v="4"/>
    <x v="266"/>
    <x v="260"/>
    <x v="22"/>
    <x v="164"/>
    <x v="0"/>
    <x v="2"/>
    <x v="2"/>
    <n v="0"/>
    <n v="0"/>
  </r>
  <r>
    <s v="SPAR WESTERN CAPE"/>
    <x v="4"/>
    <x v="266"/>
    <x v="260"/>
    <x v="22"/>
    <x v="164"/>
    <x v="0"/>
    <x v="3"/>
    <x v="3"/>
    <n v="0"/>
    <n v="0"/>
  </r>
  <r>
    <s v="SPAR WESTERN CAPE"/>
    <x v="4"/>
    <x v="266"/>
    <x v="260"/>
    <x v="22"/>
    <x v="164"/>
    <x v="0"/>
    <x v="4"/>
    <x v="4"/>
    <n v="0"/>
    <n v="0"/>
  </r>
  <r>
    <s v="SPAR WESTERN CAPE"/>
    <x v="4"/>
    <x v="266"/>
    <x v="260"/>
    <x v="22"/>
    <x v="164"/>
    <x v="0"/>
    <x v="5"/>
    <x v="5"/>
    <n v="0"/>
    <n v="0"/>
  </r>
  <r>
    <s v="SPAR WESTERN CAPE"/>
    <x v="4"/>
    <x v="266"/>
    <x v="260"/>
    <x v="22"/>
    <x v="164"/>
    <x v="0"/>
    <x v="6"/>
    <x v="6"/>
    <n v="0"/>
    <n v="0"/>
  </r>
  <r>
    <s v="SPAR WESTERN CAPE"/>
    <x v="4"/>
    <x v="267"/>
    <x v="261"/>
    <x v="22"/>
    <x v="165"/>
    <x v="0"/>
    <x v="0"/>
    <x v="0"/>
    <n v="0"/>
    <n v="0"/>
  </r>
  <r>
    <s v="SPAR WESTERN CAPE"/>
    <x v="4"/>
    <x v="267"/>
    <x v="261"/>
    <x v="22"/>
    <x v="165"/>
    <x v="0"/>
    <x v="1"/>
    <x v="1"/>
    <n v="0"/>
    <n v="0"/>
  </r>
  <r>
    <s v="SPAR WESTERN CAPE"/>
    <x v="4"/>
    <x v="267"/>
    <x v="261"/>
    <x v="22"/>
    <x v="165"/>
    <x v="0"/>
    <x v="2"/>
    <x v="2"/>
    <n v="0"/>
    <n v="0"/>
  </r>
  <r>
    <s v="SPAR WESTERN CAPE"/>
    <x v="4"/>
    <x v="267"/>
    <x v="261"/>
    <x v="22"/>
    <x v="165"/>
    <x v="0"/>
    <x v="3"/>
    <x v="3"/>
    <n v="0"/>
    <n v="0"/>
  </r>
  <r>
    <s v="SPAR WESTERN CAPE"/>
    <x v="4"/>
    <x v="267"/>
    <x v="261"/>
    <x v="22"/>
    <x v="165"/>
    <x v="0"/>
    <x v="4"/>
    <x v="4"/>
    <n v="0"/>
    <n v="0"/>
  </r>
  <r>
    <s v="SPAR WESTERN CAPE"/>
    <x v="4"/>
    <x v="267"/>
    <x v="261"/>
    <x v="22"/>
    <x v="165"/>
    <x v="0"/>
    <x v="5"/>
    <x v="5"/>
    <n v="0"/>
    <n v="0"/>
  </r>
  <r>
    <s v="SPAR WESTERN CAPE"/>
    <x v="4"/>
    <x v="267"/>
    <x v="261"/>
    <x v="22"/>
    <x v="165"/>
    <x v="0"/>
    <x v="6"/>
    <x v="6"/>
    <n v="0"/>
    <n v="0"/>
  </r>
  <r>
    <s v="SPAR WESTERN CAPE"/>
    <x v="4"/>
    <x v="268"/>
    <x v="262"/>
    <x v="22"/>
    <x v="98"/>
    <x v="0"/>
    <x v="0"/>
    <x v="0"/>
    <n v="0"/>
    <n v="0"/>
  </r>
  <r>
    <s v="SPAR WESTERN CAPE"/>
    <x v="4"/>
    <x v="268"/>
    <x v="262"/>
    <x v="22"/>
    <x v="98"/>
    <x v="0"/>
    <x v="1"/>
    <x v="1"/>
    <n v="0"/>
    <n v="0"/>
  </r>
  <r>
    <s v="SPAR WESTERN CAPE"/>
    <x v="4"/>
    <x v="268"/>
    <x v="262"/>
    <x v="22"/>
    <x v="98"/>
    <x v="0"/>
    <x v="2"/>
    <x v="2"/>
    <n v="0"/>
    <n v="0"/>
  </r>
  <r>
    <s v="SPAR WESTERN CAPE"/>
    <x v="4"/>
    <x v="268"/>
    <x v="262"/>
    <x v="22"/>
    <x v="98"/>
    <x v="0"/>
    <x v="3"/>
    <x v="3"/>
    <n v="0"/>
    <n v="0"/>
  </r>
  <r>
    <s v="SPAR WESTERN CAPE"/>
    <x v="4"/>
    <x v="268"/>
    <x v="262"/>
    <x v="22"/>
    <x v="98"/>
    <x v="0"/>
    <x v="4"/>
    <x v="4"/>
    <n v="0"/>
    <n v="0"/>
  </r>
  <r>
    <s v="SPAR WESTERN CAPE"/>
    <x v="4"/>
    <x v="268"/>
    <x v="262"/>
    <x v="22"/>
    <x v="98"/>
    <x v="0"/>
    <x v="5"/>
    <x v="5"/>
    <n v="0"/>
    <n v="0"/>
  </r>
  <r>
    <s v="SPAR WESTERN CAPE"/>
    <x v="4"/>
    <x v="268"/>
    <x v="262"/>
    <x v="22"/>
    <x v="98"/>
    <x v="0"/>
    <x v="6"/>
    <x v="6"/>
    <n v="0"/>
    <n v="0"/>
  </r>
  <r>
    <s v="SPAR WESTERN CAPE"/>
    <x v="4"/>
    <x v="269"/>
    <x v="263"/>
    <x v="22"/>
    <x v="98"/>
    <x v="0"/>
    <x v="0"/>
    <x v="0"/>
    <n v="0"/>
    <n v="0"/>
  </r>
  <r>
    <s v="SPAR WESTERN CAPE"/>
    <x v="4"/>
    <x v="269"/>
    <x v="263"/>
    <x v="22"/>
    <x v="98"/>
    <x v="0"/>
    <x v="1"/>
    <x v="1"/>
    <n v="0"/>
    <n v="0"/>
  </r>
  <r>
    <s v="SPAR WESTERN CAPE"/>
    <x v="4"/>
    <x v="269"/>
    <x v="263"/>
    <x v="22"/>
    <x v="98"/>
    <x v="0"/>
    <x v="2"/>
    <x v="2"/>
    <n v="0"/>
    <n v="0"/>
  </r>
  <r>
    <s v="SPAR WESTERN CAPE"/>
    <x v="4"/>
    <x v="269"/>
    <x v="263"/>
    <x v="22"/>
    <x v="98"/>
    <x v="0"/>
    <x v="3"/>
    <x v="3"/>
    <n v="0"/>
    <n v="0"/>
  </r>
  <r>
    <s v="SPAR WESTERN CAPE"/>
    <x v="4"/>
    <x v="269"/>
    <x v="263"/>
    <x v="22"/>
    <x v="98"/>
    <x v="0"/>
    <x v="4"/>
    <x v="4"/>
    <n v="0"/>
    <n v="0"/>
  </r>
  <r>
    <s v="SPAR WESTERN CAPE"/>
    <x v="4"/>
    <x v="269"/>
    <x v="263"/>
    <x v="22"/>
    <x v="98"/>
    <x v="0"/>
    <x v="5"/>
    <x v="5"/>
    <n v="0"/>
    <n v="0"/>
  </r>
  <r>
    <s v="SPAR WESTERN CAPE"/>
    <x v="4"/>
    <x v="269"/>
    <x v="263"/>
    <x v="22"/>
    <x v="98"/>
    <x v="0"/>
    <x v="6"/>
    <x v="6"/>
    <n v="0"/>
    <n v="0"/>
  </r>
  <r>
    <s v="SPAR WESTERN CAPE"/>
    <x v="4"/>
    <x v="270"/>
    <x v="264"/>
    <x v="22"/>
    <x v="98"/>
    <x v="0"/>
    <x v="0"/>
    <x v="0"/>
    <n v="0"/>
    <n v="0"/>
  </r>
  <r>
    <s v="SPAR WESTERN CAPE"/>
    <x v="4"/>
    <x v="270"/>
    <x v="264"/>
    <x v="22"/>
    <x v="98"/>
    <x v="0"/>
    <x v="1"/>
    <x v="1"/>
    <n v="0"/>
    <n v="0"/>
  </r>
  <r>
    <s v="SPAR WESTERN CAPE"/>
    <x v="4"/>
    <x v="270"/>
    <x v="264"/>
    <x v="22"/>
    <x v="98"/>
    <x v="0"/>
    <x v="2"/>
    <x v="2"/>
    <n v="0"/>
    <n v="0"/>
  </r>
  <r>
    <s v="SPAR WESTERN CAPE"/>
    <x v="4"/>
    <x v="270"/>
    <x v="264"/>
    <x v="22"/>
    <x v="98"/>
    <x v="0"/>
    <x v="3"/>
    <x v="3"/>
    <n v="0"/>
    <n v="0"/>
  </r>
  <r>
    <s v="SPAR WESTERN CAPE"/>
    <x v="4"/>
    <x v="270"/>
    <x v="264"/>
    <x v="22"/>
    <x v="98"/>
    <x v="0"/>
    <x v="4"/>
    <x v="4"/>
    <n v="0"/>
    <n v="0"/>
  </r>
  <r>
    <s v="SPAR WESTERN CAPE"/>
    <x v="4"/>
    <x v="270"/>
    <x v="264"/>
    <x v="22"/>
    <x v="98"/>
    <x v="0"/>
    <x v="5"/>
    <x v="5"/>
    <n v="0"/>
    <n v="0"/>
  </r>
  <r>
    <s v="SPAR WESTERN CAPE"/>
    <x v="4"/>
    <x v="270"/>
    <x v="264"/>
    <x v="22"/>
    <x v="98"/>
    <x v="0"/>
    <x v="6"/>
    <x v="6"/>
    <n v="0"/>
    <n v="0"/>
  </r>
  <r>
    <s v="SPAR WESTERN CAPE"/>
    <x v="4"/>
    <x v="271"/>
    <x v="265"/>
    <x v="20"/>
    <x v="166"/>
    <x v="0"/>
    <x v="0"/>
    <x v="0"/>
    <n v="0"/>
    <n v="0"/>
  </r>
  <r>
    <s v="SPAR WESTERN CAPE"/>
    <x v="4"/>
    <x v="271"/>
    <x v="265"/>
    <x v="20"/>
    <x v="166"/>
    <x v="0"/>
    <x v="1"/>
    <x v="1"/>
    <n v="0"/>
    <n v="0"/>
  </r>
  <r>
    <s v="SPAR WESTERN CAPE"/>
    <x v="4"/>
    <x v="271"/>
    <x v="265"/>
    <x v="20"/>
    <x v="166"/>
    <x v="0"/>
    <x v="2"/>
    <x v="2"/>
    <n v="0"/>
    <n v="0"/>
  </r>
  <r>
    <s v="SPAR WESTERN CAPE"/>
    <x v="4"/>
    <x v="271"/>
    <x v="265"/>
    <x v="20"/>
    <x v="166"/>
    <x v="0"/>
    <x v="3"/>
    <x v="3"/>
    <n v="0"/>
    <n v="0"/>
  </r>
  <r>
    <s v="SPAR WESTERN CAPE"/>
    <x v="4"/>
    <x v="271"/>
    <x v="265"/>
    <x v="20"/>
    <x v="166"/>
    <x v="0"/>
    <x v="4"/>
    <x v="4"/>
    <n v="0"/>
    <n v="0"/>
  </r>
  <r>
    <s v="SPAR WESTERN CAPE"/>
    <x v="4"/>
    <x v="271"/>
    <x v="265"/>
    <x v="20"/>
    <x v="166"/>
    <x v="0"/>
    <x v="5"/>
    <x v="5"/>
    <n v="0"/>
    <n v="0"/>
  </r>
  <r>
    <s v="SPAR WESTERN CAPE"/>
    <x v="4"/>
    <x v="271"/>
    <x v="265"/>
    <x v="20"/>
    <x v="166"/>
    <x v="0"/>
    <x v="6"/>
    <x v="6"/>
    <n v="0"/>
    <n v="0"/>
  </r>
  <r>
    <s v="SPAR WESTERN CAPE"/>
    <x v="4"/>
    <x v="272"/>
    <x v="266"/>
    <x v="50"/>
    <x v="167"/>
    <x v="0"/>
    <x v="0"/>
    <x v="0"/>
    <n v="0"/>
    <n v="0"/>
  </r>
  <r>
    <s v="SPAR WESTERN CAPE"/>
    <x v="4"/>
    <x v="272"/>
    <x v="266"/>
    <x v="50"/>
    <x v="167"/>
    <x v="0"/>
    <x v="1"/>
    <x v="1"/>
    <n v="0"/>
    <n v="0"/>
  </r>
  <r>
    <s v="SPAR WESTERN CAPE"/>
    <x v="4"/>
    <x v="272"/>
    <x v="266"/>
    <x v="50"/>
    <x v="167"/>
    <x v="0"/>
    <x v="2"/>
    <x v="2"/>
    <n v="0"/>
    <n v="0"/>
  </r>
  <r>
    <s v="SPAR WESTERN CAPE"/>
    <x v="4"/>
    <x v="272"/>
    <x v="266"/>
    <x v="50"/>
    <x v="167"/>
    <x v="0"/>
    <x v="3"/>
    <x v="3"/>
    <n v="0"/>
    <n v="0"/>
  </r>
  <r>
    <s v="SPAR WESTERN CAPE"/>
    <x v="4"/>
    <x v="272"/>
    <x v="266"/>
    <x v="50"/>
    <x v="167"/>
    <x v="0"/>
    <x v="4"/>
    <x v="4"/>
    <n v="0"/>
    <n v="0"/>
  </r>
  <r>
    <s v="SPAR WESTERN CAPE"/>
    <x v="4"/>
    <x v="272"/>
    <x v="266"/>
    <x v="50"/>
    <x v="167"/>
    <x v="0"/>
    <x v="5"/>
    <x v="5"/>
    <n v="0"/>
    <n v="0"/>
  </r>
  <r>
    <s v="SPAR WESTERN CAPE"/>
    <x v="4"/>
    <x v="272"/>
    <x v="266"/>
    <x v="50"/>
    <x v="167"/>
    <x v="0"/>
    <x v="6"/>
    <x v="6"/>
    <n v="0"/>
    <n v="0"/>
  </r>
  <r>
    <s v="SPAR WESTERN CAPE"/>
    <x v="4"/>
    <x v="273"/>
    <x v="267"/>
    <x v="70"/>
    <x v="168"/>
    <x v="0"/>
    <x v="0"/>
    <x v="0"/>
    <n v="0"/>
    <n v="0"/>
  </r>
  <r>
    <s v="SPAR WESTERN CAPE"/>
    <x v="4"/>
    <x v="273"/>
    <x v="267"/>
    <x v="70"/>
    <x v="168"/>
    <x v="0"/>
    <x v="1"/>
    <x v="1"/>
    <n v="0"/>
    <n v="0"/>
  </r>
  <r>
    <s v="SPAR WESTERN CAPE"/>
    <x v="4"/>
    <x v="273"/>
    <x v="267"/>
    <x v="70"/>
    <x v="168"/>
    <x v="0"/>
    <x v="2"/>
    <x v="2"/>
    <n v="0"/>
    <n v="0"/>
  </r>
  <r>
    <s v="SPAR WESTERN CAPE"/>
    <x v="4"/>
    <x v="273"/>
    <x v="267"/>
    <x v="70"/>
    <x v="168"/>
    <x v="0"/>
    <x v="3"/>
    <x v="3"/>
    <n v="0"/>
    <n v="0"/>
  </r>
  <r>
    <s v="SPAR WESTERN CAPE"/>
    <x v="4"/>
    <x v="273"/>
    <x v="267"/>
    <x v="70"/>
    <x v="168"/>
    <x v="0"/>
    <x v="4"/>
    <x v="4"/>
    <n v="0"/>
    <n v="0"/>
  </r>
  <r>
    <s v="SPAR WESTERN CAPE"/>
    <x v="4"/>
    <x v="273"/>
    <x v="267"/>
    <x v="70"/>
    <x v="168"/>
    <x v="0"/>
    <x v="5"/>
    <x v="5"/>
    <n v="0"/>
    <n v="0"/>
  </r>
  <r>
    <s v="SPAR WESTERN CAPE"/>
    <x v="4"/>
    <x v="273"/>
    <x v="267"/>
    <x v="70"/>
    <x v="168"/>
    <x v="0"/>
    <x v="6"/>
    <x v="6"/>
    <n v="0"/>
    <n v="0"/>
  </r>
  <r>
    <s v="SPAR WESTERN CAPE"/>
    <x v="4"/>
    <x v="274"/>
    <x v="268"/>
    <x v="5"/>
    <x v="169"/>
    <x v="0"/>
    <x v="0"/>
    <x v="0"/>
    <n v="0"/>
    <n v="0"/>
  </r>
  <r>
    <s v="SPAR WESTERN CAPE"/>
    <x v="4"/>
    <x v="274"/>
    <x v="268"/>
    <x v="5"/>
    <x v="169"/>
    <x v="0"/>
    <x v="1"/>
    <x v="1"/>
    <n v="0"/>
    <n v="0"/>
  </r>
  <r>
    <s v="SPAR WESTERN CAPE"/>
    <x v="4"/>
    <x v="274"/>
    <x v="268"/>
    <x v="5"/>
    <x v="169"/>
    <x v="0"/>
    <x v="2"/>
    <x v="2"/>
    <n v="0"/>
    <n v="0"/>
  </r>
  <r>
    <s v="SPAR WESTERN CAPE"/>
    <x v="4"/>
    <x v="274"/>
    <x v="268"/>
    <x v="5"/>
    <x v="169"/>
    <x v="0"/>
    <x v="3"/>
    <x v="3"/>
    <n v="0"/>
    <n v="0"/>
  </r>
  <r>
    <s v="SPAR WESTERN CAPE"/>
    <x v="4"/>
    <x v="274"/>
    <x v="268"/>
    <x v="5"/>
    <x v="169"/>
    <x v="0"/>
    <x v="4"/>
    <x v="4"/>
    <n v="0"/>
    <n v="0"/>
  </r>
  <r>
    <s v="SPAR WESTERN CAPE"/>
    <x v="4"/>
    <x v="274"/>
    <x v="268"/>
    <x v="5"/>
    <x v="169"/>
    <x v="0"/>
    <x v="5"/>
    <x v="5"/>
    <n v="0"/>
    <n v="0"/>
  </r>
  <r>
    <s v="SPAR WESTERN CAPE"/>
    <x v="4"/>
    <x v="274"/>
    <x v="268"/>
    <x v="5"/>
    <x v="169"/>
    <x v="0"/>
    <x v="6"/>
    <x v="6"/>
    <n v="0"/>
    <n v="0"/>
  </r>
  <r>
    <s v="SPAR WESTERN CAPE"/>
    <x v="4"/>
    <x v="275"/>
    <x v="269"/>
    <x v="42"/>
    <x v="170"/>
    <x v="0"/>
    <x v="0"/>
    <x v="0"/>
    <n v="0"/>
    <n v="0"/>
  </r>
  <r>
    <s v="SPAR WESTERN CAPE"/>
    <x v="4"/>
    <x v="275"/>
    <x v="269"/>
    <x v="42"/>
    <x v="170"/>
    <x v="0"/>
    <x v="1"/>
    <x v="1"/>
    <n v="0"/>
    <n v="0"/>
  </r>
  <r>
    <s v="SPAR WESTERN CAPE"/>
    <x v="4"/>
    <x v="275"/>
    <x v="269"/>
    <x v="42"/>
    <x v="170"/>
    <x v="0"/>
    <x v="2"/>
    <x v="2"/>
    <n v="0"/>
    <n v="0"/>
  </r>
  <r>
    <s v="SPAR WESTERN CAPE"/>
    <x v="4"/>
    <x v="275"/>
    <x v="269"/>
    <x v="42"/>
    <x v="170"/>
    <x v="0"/>
    <x v="3"/>
    <x v="3"/>
    <n v="0"/>
    <n v="0"/>
  </r>
  <r>
    <s v="SPAR WESTERN CAPE"/>
    <x v="4"/>
    <x v="275"/>
    <x v="269"/>
    <x v="42"/>
    <x v="170"/>
    <x v="0"/>
    <x v="4"/>
    <x v="4"/>
    <n v="0"/>
    <n v="0"/>
  </r>
  <r>
    <s v="SPAR WESTERN CAPE"/>
    <x v="4"/>
    <x v="275"/>
    <x v="269"/>
    <x v="42"/>
    <x v="170"/>
    <x v="0"/>
    <x v="5"/>
    <x v="5"/>
    <n v="0"/>
    <n v="0"/>
  </r>
  <r>
    <s v="SPAR WESTERN CAPE"/>
    <x v="4"/>
    <x v="275"/>
    <x v="269"/>
    <x v="42"/>
    <x v="170"/>
    <x v="0"/>
    <x v="6"/>
    <x v="6"/>
    <n v="0"/>
    <n v="0"/>
  </r>
  <r>
    <s v="SPAR WESTERN CAPE"/>
    <x v="4"/>
    <x v="276"/>
    <x v="270"/>
    <x v="53"/>
    <x v="171"/>
    <x v="0"/>
    <x v="0"/>
    <x v="0"/>
    <n v="0"/>
    <n v="0"/>
  </r>
  <r>
    <s v="SPAR WESTERN CAPE"/>
    <x v="4"/>
    <x v="276"/>
    <x v="270"/>
    <x v="53"/>
    <x v="171"/>
    <x v="0"/>
    <x v="1"/>
    <x v="1"/>
    <n v="0"/>
    <n v="0"/>
  </r>
  <r>
    <s v="SPAR WESTERN CAPE"/>
    <x v="4"/>
    <x v="276"/>
    <x v="270"/>
    <x v="53"/>
    <x v="171"/>
    <x v="0"/>
    <x v="2"/>
    <x v="2"/>
    <n v="0"/>
    <n v="0"/>
  </r>
  <r>
    <s v="SPAR WESTERN CAPE"/>
    <x v="4"/>
    <x v="276"/>
    <x v="270"/>
    <x v="53"/>
    <x v="171"/>
    <x v="0"/>
    <x v="3"/>
    <x v="3"/>
    <n v="0"/>
    <n v="0"/>
  </r>
  <r>
    <s v="SPAR WESTERN CAPE"/>
    <x v="4"/>
    <x v="276"/>
    <x v="270"/>
    <x v="53"/>
    <x v="171"/>
    <x v="0"/>
    <x v="4"/>
    <x v="4"/>
    <n v="0"/>
    <n v="0"/>
  </r>
  <r>
    <s v="SPAR WESTERN CAPE"/>
    <x v="4"/>
    <x v="276"/>
    <x v="270"/>
    <x v="53"/>
    <x v="171"/>
    <x v="0"/>
    <x v="5"/>
    <x v="5"/>
    <n v="0"/>
    <n v="0"/>
  </r>
  <r>
    <s v="SPAR WESTERN CAPE"/>
    <x v="4"/>
    <x v="276"/>
    <x v="270"/>
    <x v="53"/>
    <x v="171"/>
    <x v="0"/>
    <x v="6"/>
    <x v="6"/>
    <n v="0"/>
    <n v="0"/>
  </r>
  <r>
    <s v="SPAR WESTERN CAPE"/>
    <x v="4"/>
    <x v="277"/>
    <x v="271"/>
    <x v="71"/>
    <x v="172"/>
    <x v="0"/>
    <x v="0"/>
    <x v="0"/>
    <n v="0"/>
    <n v="0"/>
  </r>
  <r>
    <s v="SPAR WESTERN CAPE"/>
    <x v="4"/>
    <x v="277"/>
    <x v="271"/>
    <x v="71"/>
    <x v="172"/>
    <x v="0"/>
    <x v="1"/>
    <x v="1"/>
    <n v="0"/>
    <n v="0"/>
  </r>
  <r>
    <s v="SPAR WESTERN CAPE"/>
    <x v="4"/>
    <x v="277"/>
    <x v="271"/>
    <x v="71"/>
    <x v="172"/>
    <x v="0"/>
    <x v="2"/>
    <x v="2"/>
    <n v="0"/>
    <n v="0"/>
  </r>
  <r>
    <s v="SPAR WESTERN CAPE"/>
    <x v="4"/>
    <x v="277"/>
    <x v="271"/>
    <x v="71"/>
    <x v="172"/>
    <x v="0"/>
    <x v="3"/>
    <x v="3"/>
    <n v="0"/>
    <n v="0"/>
  </r>
  <r>
    <s v="SPAR WESTERN CAPE"/>
    <x v="4"/>
    <x v="277"/>
    <x v="271"/>
    <x v="71"/>
    <x v="172"/>
    <x v="0"/>
    <x v="4"/>
    <x v="4"/>
    <n v="0"/>
    <n v="0"/>
  </r>
  <r>
    <s v="SPAR WESTERN CAPE"/>
    <x v="4"/>
    <x v="277"/>
    <x v="271"/>
    <x v="71"/>
    <x v="172"/>
    <x v="0"/>
    <x v="5"/>
    <x v="5"/>
    <n v="0"/>
    <n v="0"/>
  </r>
  <r>
    <s v="SPAR WESTERN CAPE"/>
    <x v="4"/>
    <x v="277"/>
    <x v="271"/>
    <x v="71"/>
    <x v="172"/>
    <x v="0"/>
    <x v="6"/>
    <x v="6"/>
    <n v="0"/>
    <n v="0"/>
  </r>
  <r>
    <s v="SPAR WESTERN CAPE"/>
    <x v="4"/>
    <x v="278"/>
    <x v="272"/>
    <x v="19"/>
    <x v="173"/>
    <x v="0"/>
    <x v="0"/>
    <x v="0"/>
    <n v="0"/>
    <n v="0"/>
  </r>
  <r>
    <s v="SPAR WESTERN CAPE"/>
    <x v="4"/>
    <x v="278"/>
    <x v="272"/>
    <x v="19"/>
    <x v="173"/>
    <x v="0"/>
    <x v="1"/>
    <x v="1"/>
    <n v="0"/>
    <n v="0"/>
  </r>
  <r>
    <s v="SPAR WESTERN CAPE"/>
    <x v="4"/>
    <x v="278"/>
    <x v="272"/>
    <x v="19"/>
    <x v="173"/>
    <x v="0"/>
    <x v="2"/>
    <x v="2"/>
    <n v="0"/>
    <n v="0"/>
  </r>
  <r>
    <s v="SPAR WESTERN CAPE"/>
    <x v="4"/>
    <x v="278"/>
    <x v="272"/>
    <x v="19"/>
    <x v="173"/>
    <x v="0"/>
    <x v="3"/>
    <x v="3"/>
    <n v="0"/>
    <n v="0"/>
  </r>
  <r>
    <s v="SPAR WESTERN CAPE"/>
    <x v="4"/>
    <x v="278"/>
    <x v="272"/>
    <x v="19"/>
    <x v="173"/>
    <x v="0"/>
    <x v="4"/>
    <x v="4"/>
    <n v="0"/>
    <n v="0"/>
  </r>
  <r>
    <s v="SPAR WESTERN CAPE"/>
    <x v="4"/>
    <x v="278"/>
    <x v="272"/>
    <x v="19"/>
    <x v="173"/>
    <x v="0"/>
    <x v="5"/>
    <x v="5"/>
    <n v="0"/>
    <n v="0"/>
  </r>
  <r>
    <s v="SPAR WESTERN CAPE"/>
    <x v="4"/>
    <x v="278"/>
    <x v="272"/>
    <x v="19"/>
    <x v="173"/>
    <x v="0"/>
    <x v="6"/>
    <x v="6"/>
    <n v="0"/>
    <n v="0"/>
  </r>
  <r>
    <s v="SPAR WESTERN CAPE"/>
    <x v="5"/>
    <x v="279"/>
    <x v="273"/>
    <x v="2"/>
    <x v="6"/>
    <x v="0"/>
    <x v="0"/>
    <x v="0"/>
    <n v="0"/>
    <n v="0"/>
  </r>
  <r>
    <s v="SPAR WESTERN CAPE"/>
    <x v="5"/>
    <x v="279"/>
    <x v="273"/>
    <x v="2"/>
    <x v="6"/>
    <x v="0"/>
    <x v="1"/>
    <x v="1"/>
    <n v="0"/>
    <n v="0"/>
  </r>
  <r>
    <s v="SPAR WESTERN CAPE"/>
    <x v="5"/>
    <x v="279"/>
    <x v="273"/>
    <x v="2"/>
    <x v="6"/>
    <x v="0"/>
    <x v="2"/>
    <x v="2"/>
    <n v="0"/>
    <n v="0"/>
  </r>
  <r>
    <s v="SPAR WESTERN CAPE"/>
    <x v="5"/>
    <x v="279"/>
    <x v="273"/>
    <x v="2"/>
    <x v="6"/>
    <x v="0"/>
    <x v="3"/>
    <x v="3"/>
    <n v="0"/>
    <n v="0"/>
  </r>
  <r>
    <s v="SPAR WESTERN CAPE"/>
    <x v="5"/>
    <x v="279"/>
    <x v="273"/>
    <x v="2"/>
    <x v="6"/>
    <x v="0"/>
    <x v="4"/>
    <x v="4"/>
    <n v="0"/>
    <n v="0"/>
  </r>
  <r>
    <s v="SPAR WESTERN CAPE"/>
    <x v="5"/>
    <x v="279"/>
    <x v="273"/>
    <x v="2"/>
    <x v="6"/>
    <x v="0"/>
    <x v="5"/>
    <x v="5"/>
    <n v="0"/>
    <n v="0"/>
  </r>
  <r>
    <s v="SPAR WESTERN CAPE"/>
    <x v="5"/>
    <x v="279"/>
    <x v="273"/>
    <x v="2"/>
    <x v="6"/>
    <x v="0"/>
    <x v="6"/>
    <x v="6"/>
    <n v="0"/>
    <n v="0"/>
  </r>
  <r>
    <s v="SPAR WESTERN CAPE"/>
    <x v="5"/>
    <x v="280"/>
    <x v="274"/>
    <x v="72"/>
    <x v="174"/>
    <x v="0"/>
    <x v="0"/>
    <x v="0"/>
    <n v="0"/>
    <n v="0"/>
  </r>
  <r>
    <s v="SPAR WESTERN CAPE"/>
    <x v="5"/>
    <x v="280"/>
    <x v="274"/>
    <x v="72"/>
    <x v="174"/>
    <x v="0"/>
    <x v="1"/>
    <x v="1"/>
    <n v="0"/>
    <n v="0"/>
  </r>
  <r>
    <s v="SPAR WESTERN CAPE"/>
    <x v="5"/>
    <x v="280"/>
    <x v="274"/>
    <x v="72"/>
    <x v="174"/>
    <x v="0"/>
    <x v="2"/>
    <x v="2"/>
    <n v="0"/>
    <n v="0"/>
  </r>
  <r>
    <s v="SPAR WESTERN CAPE"/>
    <x v="5"/>
    <x v="280"/>
    <x v="274"/>
    <x v="72"/>
    <x v="174"/>
    <x v="0"/>
    <x v="3"/>
    <x v="3"/>
    <n v="0"/>
    <n v="0"/>
  </r>
  <r>
    <s v="SPAR WESTERN CAPE"/>
    <x v="5"/>
    <x v="280"/>
    <x v="274"/>
    <x v="72"/>
    <x v="174"/>
    <x v="0"/>
    <x v="4"/>
    <x v="4"/>
    <n v="0"/>
    <n v="0"/>
  </r>
  <r>
    <s v="SPAR WESTERN CAPE"/>
    <x v="5"/>
    <x v="280"/>
    <x v="274"/>
    <x v="72"/>
    <x v="174"/>
    <x v="0"/>
    <x v="5"/>
    <x v="5"/>
    <n v="0"/>
    <n v="0"/>
  </r>
  <r>
    <s v="SPAR WESTERN CAPE"/>
    <x v="5"/>
    <x v="280"/>
    <x v="274"/>
    <x v="72"/>
    <x v="174"/>
    <x v="0"/>
    <x v="6"/>
    <x v="6"/>
    <n v="0"/>
    <n v="0"/>
  </r>
  <r>
    <s v="SPAR WESTERN CAPE"/>
    <x v="5"/>
    <x v="281"/>
    <x v="275"/>
    <x v="26"/>
    <x v="175"/>
    <x v="0"/>
    <x v="0"/>
    <x v="0"/>
    <n v="0"/>
    <n v="0"/>
  </r>
  <r>
    <s v="SPAR WESTERN CAPE"/>
    <x v="5"/>
    <x v="281"/>
    <x v="275"/>
    <x v="26"/>
    <x v="175"/>
    <x v="0"/>
    <x v="1"/>
    <x v="1"/>
    <n v="0"/>
    <n v="0"/>
  </r>
  <r>
    <s v="SPAR WESTERN CAPE"/>
    <x v="5"/>
    <x v="281"/>
    <x v="275"/>
    <x v="26"/>
    <x v="175"/>
    <x v="0"/>
    <x v="2"/>
    <x v="2"/>
    <n v="0"/>
    <n v="0"/>
  </r>
  <r>
    <s v="SPAR WESTERN CAPE"/>
    <x v="5"/>
    <x v="281"/>
    <x v="275"/>
    <x v="26"/>
    <x v="175"/>
    <x v="0"/>
    <x v="3"/>
    <x v="3"/>
    <n v="0"/>
    <n v="0"/>
  </r>
  <r>
    <s v="SPAR WESTERN CAPE"/>
    <x v="5"/>
    <x v="281"/>
    <x v="275"/>
    <x v="26"/>
    <x v="175"/>
    <x v="0"/>
    <x v="4"/>
    <x v="4"/>
    <n v="0"/>
    <n v="0"/>
  </r>
  <r>
    <s v="SPAR WESTERN CAPE"/>
    <x v="5"/>
    <x v="281"/>
    <x v="275"/>
    <x v="26"/>
    <x v="175"/>
    <x v="0"/>
    <x v="5"/>
    <x v="5"/>
    <n v="0"/>
    <n v="0"/>
  </r>
  <r>
    <s v="SPAR WESTERN CAPE"/>
    <x v="5"/>
    <x v="281"/>
    <x v="275"/>
    <x v="26"/>
    <x v="175"/>
    <x v="0"/>
    <x v="6"/>
    <x v="6"/>
    <n v="0"/>
    <n v="0"/>
  </r>
  <r>
    <s v="SPAR WESTERN CAPE"/>
    <x v="5"/>
    <x v="282"/>
    <x v="276"/>
    <x v="62"/>
    <x v="176"/>
    <x v="0"/>
    <x v="0"/>
    <x v="0"/>
    <n v="0"/>
    <n v="0"/>
  </r>
  <r>
    <s v="SPAR WESTERN CAPE"/>
    <x v="5"/>
    <x v="282"/>
    <x v="276"/>
    <x v="62"/>
    <x v="176"/>
    <x v="0"/>
    <x v="1"/>
    <x v="1"/>
    <n v="0"/>
    <n v="0"/>
  </r>
  <r>
    <s v="SPAR WESTERN CAPE"/>
    <x v="5"/>
    <x v="282"/>
    <x v="276"/>
    <x v="62"/>
    <x v="176"/>
    <x v="0"/>
    <x v="2"/>
    <x v="2"/>
    <n v="0"/>
    <n v="0"/>
  </r>
  <r>
    <s v="SPAR WESTERN CAPE"/>
    <x v="5"/>
    <x v="282"/>
    <x v="276"/>
    <x v="62"/>
    <x v="176"/>
    <x v="0"/>
    <x v="3"/>
    <x v="3"/>
    <n v="0"/>
    <n v="0"/>
  </r>
  <r>
    <s v="SPAR WESTERN CAPE"/>
    <x v="5"/>
    <x v="282"/>
    <x v="276"/>
    <x v="62"/>
    <x v="176"/>
    <x v="0"/>
    <x v="4"/>
    <x v="4"/>
    <n v="0"/>
    <n v="0"/>
  </r>
  <r>
    <s v="SPAR WESTERN CAPE"/>
    <x v="5"/>
    <x v="282"/>
    <x v="276"/>
    <x v="62"/>
    <x v="176"/>
    <x v="0"/>
    <x v="5"/>
    <x v="5"/>
    <n v="0"/>
    <n v="0"/>
  </r>
  <r>
    <s v="SPAR WESTERN CAPE"/>
    <x v="5"/>
    <x v="282"/>
    <x v="276"/>
    <x v="62"/>
    <x v="176"/>
    <x v="0"/>
    <x v="6"/>
    <x v="6"/>
    <n v="0"/>
    <n v="0"/>
  </r>
  <r>
    <s v="SPAR WESTERN CAPE"/>
    <x v="5"/>
    <x v="283"/>
    <x v="277"/>
    <x v="73"/>
    <x v="177"/>
    <x v="0"/>
    <x v="0"/>
    <x v="0"/>
    <n v="0"/>
    <n v="0"/>
  </r>
  <r>
    <s v="SPAR WESTERN CAPE"/>
    <x v="5"/>
    <x v="283"/>
    <x v="277"/>
    <x v="73"/>
    <x v="177"/>
    <x v="0"/>
    <x v="1"/>
    <x v="1"/>
    <n v="0"/>
    <n v="0"/>
  </r>
  <r>
    <s v="SPAR WESTERN CAPE"/>
    <x v="5"/>
    <x v="283"/>
    <x v="277"/>
    <x v="73"/>
    <x v="177"/>
    <x v="0"/>
    <x v="2"/>
    <x v="2"/>
    <n v="0"/>
    <n v="0"/>
  </r>
  <r>
    <s v="SPAR WESTERN CAPE"/>
    <x v="5"/>
    <x v="283"/>
    <x v="277"/>
    <x v="73"/>
    <x v="177"/>
    <x v="0"/>
    <x v="3"/>
    <x v="3"/>
    <n v="0"/>
    <n v="0"/>
  </r>
  <r>
    <s v="SPAR WESTERN CAPE"/>
    <x v="5"/>
    <x v="283"/>
    <x v="277"/>
    <x v="73"/>
    <x v="177"/>
    <x v="0"/>
    <x v="4"/>
    <x v="4"/>
    <n v="0"/>
    <n v="0"/>
  </r>
  <r>
    <s v="SPAR WESTERN CAPE"/>
    <x v="5"/>
    <x v="283"/>
    <x v="277"/>
    <x v="73"/>
    <x v="177"/>
    <x v="0"/>
    <x v="5"/>
    <x v="5"/>
    <n v="0"/>
    <n v="0"/>
  </r>
  <r>
    <s v="SPAR WESTERN CAPE"/>
    <x v="5"/>
    <x v="283"/>
    <x v="277"/>
    <x v="73"/>
    <x v="177"/>
    <x v="0"/>
    <x v="6"/>
    <x v="6"/>
    <n v="0"/>
    <n v="0"/>
  </r>
  <r>
    <s v="SPAR WESTERN CAPE"/>
    <x v="5"/>
    <x v="284"/>
    <x v="278"/>
    <x v="74"/>
    <x v="178"/>
    <x v="0"/>
    <x v="0"/>
    <x v="0"/>
    <n v="0"/>
    <n v="0"/>
  </r>
  <r>
    <s v="SPAR WESTERN CAPE"/>
    <x v="5"/>
    <x v="284"/>
    <x v="278"/>
    <x v="74"/>
    <x v="178"/>
    <x v="0"/>
    <x v="1"/>
    <x v="1"/>
    <n v="0"/>
    <n v="0"/>
  </r>
  <r>
    <s v="SPAR WESTERN CAPE"/>
    <x v="5"/>
    <x v="284"/>
    <x v="278"/>
    <x v="74"/>
    <x v="178"/>
    <x v="0"/>
    <x v="2"/>
    <x v="2"/>
    <n v="0"/>
    <n v="0"/>
  </r>
  <r>
    <s v="SPAR WESTERN CAPE"/>
    <x v="5"/>
    <x v="284"/>
    <x v="278"/>
    <x v="74"/>
    <x v="178"/>
    <x v="0"/>
    <x v="3"/>
    <x v="3"/>
    <n v="0"/>
    <n v="0"/>
  </r>
  <r>
    <s v="SPAR WESTERN CAPE"/>
    <x v="5"/>
    <x v="284"/>
    <x v="278"/>
    <x v="74"/>
    <x v="178"/>
    <x v="0"/>
    <x v="4"/>
    <x v="4"/>
    <n v="0"/>
    <n v="0"/>
  </r>
  <r>
    <s v="SPAR WESTERN CAPE"/>
    <x v="5"/>
    <x v="284"/>
    <x v="278"/>
    <x v="74"/>
    <x v="178"/>
    <x v="0"/>
    <x v="5"/>
    <x v="5"/>
    <n v="0"/>
    <n v="0"/>
  </r>
  <r>
    <s v="SPAR WESTERN CAPE"/>
    <x v="5"/>
    <x v="284"/>
    <x v="278"/>
    <x v="74"/>
    <x v="178"/>
    <x v="0"/>
    <x v="6"/>
    <x v="6"/>
    <n v="0"/>
    <n v="0"/>
  </r>
  <r>
    <s v="SPAR WESTERN CAPE"/>
    <x v="5"/>
    <x v="285"/>
    <x v="279"/>
    <x v="75"/>
    <x v="179"/>
    <x v="0"/>
    <x v="0"/>
    <x v="0"/>
    <n v="0"/>
    <n v="0"/>
  </r>
  <r>
    <s v="SPAR WESTERN CAPE"/>
    <x v="5"/>
    <x v="285"/>
    <x v="279"/>
    <x v="75"/>
    <x v="179"/>
    <x v="0"/>
    <x v="1"/>
    <x v="1"/>
    <n v="0"/>
    <n v="0"/>
  </r>
  <r>
    <s v="SPAR WESTERN CAPE"/>
    <x v="5"/>
    <x v="285"/>
    <x v="279"/>
    <x v="75"/>
    <x v="179"/>
    <x v="0"/>
    <x v="2"/>
    <x v="2"/>
    <n v="0"/>
    <n v="0"/>
  </r>
  <r>
    <s v="SPAR WESTERN CAPE"/>
    <x v="5"/>
    <x v="285"/>
    <x v="279"/>
    <x v="75"/>
    <x v="179"/>
    <x v="0"/>
    <x v="3"/>
    <x v="3"/>
    <n v="0"/>
    <n v="0"/>
  </r>
  <r>
    <s v="SPAR WESTERN CAPE"/>
    <x v="5"/>
    <x v="285"/>
    <x v="279"/>
    <x v="75"/>
    <x v="179"/>
    <x v="0"/>
    <x v="4"/>
    <x v="4"/>
    <n v="0"/>
    <n v="0"/>
  </r>
  <r>
    <s v="SPAR WESTERN CAPE"/>
    <x v="5"/>
    <x v="285"/>
    <x v="279"/>
    <x v="75"/>
    <x v="179"/>
    <x v="0"/>
    <x v="5"/>
    <x v="5"/>
    <n v="0"/>
    <n v="0"/>
  </r>
  <r>
    <s v="SPAR WESTERN CAPE"/>
    <x v="5"/>
    <x v="285"/>
    <x v="279"/>
    <x v="75"/>
    <x v="179"/>
    <x v="0"/>
    <x v="6"/>
    <x v="6"/>
    <n v="0"/>
    <n v="0"/>
  </r>
  <r>
    <s v="SPAR WESTERN CAPE"/>
    <x v="5"/>
    <x v="286"/>
    <x v="280"/>
    <x v="76"/>
    <x v="180"/>
    <x v="0"/>
    <x v="0"/>
    <x v="0"/>
    <n v="0"/>
    <n v="0"/>
  </r>
  <r>
    <s v="SPAR WESTERN CAPE"/>
    <x v="5"/>
    <x v="286"/>
    <x v="280"/>
    <x v="76"/>
    <x v="180"/>
    <x v="0"/>
    <x v="1"/>
    <x v="1"/>
    <n v="0"/>
    <n v="0"/>
  </r>
  <r>
    <s v="SPAR WESTERN CAPE"/>
    <x v="5"/>
    <x v="286"/>
    <x v="280"/>
    <x v="76"/>
    <x v="180"/>
    <x v="0"/>
    <x v="2"/>
    <x v="2"/>
    <n v="0"/>
    <n v="0"/>
  </r>
  <r>
    <s v="SPAR WESTERN CAPE"/>
    <x v="5"/>
    <x v="286"/>
    <x v="280"/>
    <x v="76"/>
    <x v="180"/>
    <x v="0"/>
    <x v="3"/>
    <x v="3"/>
    <n v="0"/>
    <n v="0"/>
  </r>
  <r>
    <s v="SPAR WESTERN CAPE"/>
    <x v="5"/>
    <x v="286"/>
    <x v="280"/>
    <x v="76"/>
    <x v="180"/>
    <x v="0"/>
    <x v="4"/>
    <x v="4"/>
    <n v="0"/>
    <n v="0"/>
  </r>
  <r>
    <s v="SPAR WESTERN CAPE"/>
    <x v="5"/>
    <x v="286"/>
    <x v="280"/>
    <x v="76"/>
    <x v="180"/>
    <x v="0"/>
    <x v="5"/>
    <x v="5"/>
    <n v="0"/>
    <n v="0"/>
  </r>
  <r>
    <s v="SPAR WESTERN CAPE"/>
    <x v="5"/>
    <x v="286"/>
    <x v="280"/>
    <x v="76"/>
    <x v="180"/>
    <x v="0"/>
    <x v="6"/>
    <x v="6"/>
    <n v="0"/>
    <n v="0"/>
  </r>
  <r>
    <s v="SPAR WESTERN CAPE"/>
    <x v="5"/>
    <x v="287"/>
    <x v="281"/>
    <x v="77"/>
    <x v="181"/>
    <x v="0"/>
    <x v="0"/>
    <x v="0"/>
    <n v="0"/>
    <n v="0"/>
  </r>
  <r>
    <s v="SPAR WESTERN CAPE"/>
    <x v="5"/>
    <x v="287"/>
    <x v="281"/>
    <x v="77"/>
    <x v="181"/>
    <x v="0"/>
    <x v="1"/>
    <x v="1"/>
    <n v="0"/>
    <n v="0"/>
  </r>
  <r>
    <s v="SPAR WESTERN CAPE"/>
    <x v="5"/>
    <x v="287"/>
    <x v="281"/>
    <x v="77"/>
    <x v="181"/>
    <x v="0"/>
    <x v="2"/>
    <x v="2"/>
    <n v="0"/>
    <n v="0"/>
  </r>
  <r>
    <s v="SPAR WESTERN CAPE"/>
    <x v="5"/>
    <x v="287"/>
    <x v="281"/>
    <x v="77"/>
    <x v="181"/>
    <x v="0"/>
    <x v="3"/>
    <x v="3"/>
    <n v="0"/>
    <n v="0"/>
  </r>
  <r>
    <s v="SPAR WESTERN CAPE"/>
    <x v="5"/>
    <x v="287"/>
    <x v="281"/>
    <x v="77"/>
    <x v="181"/>
    <x v="0"/>
    <x v="4"/>
    <x v="4"/>
    <n v="0"/>
    <n v="0"/>
  </r>
  <r>
    <s v="SPAR WESTERN CAPE"/>
    <x v="5"/>
    <x v="287"/>
    <x v="281"/>
    <x v="77"/>
    <x v="181"/>
    <x v="0"/>
    <x v="5"/>
    <x v="5"/>
    <n v="0"/>
    <n v="0"/>
  </r>
  <r>
    <s v="SPAR WESTERN CAPE"/>
    <x v="5"/>
    <x v="287"/>
    <x v="281"/>
    <x v="77"/>
    <x v="181"/>
    <x v="0"/>
    <x v="6"/>
    <x v="6"/>
    <n v="0"/>
    <n v="0"/>
  </r>
  <r>
    <s v="SPAR WESTERN CAPE"/>
    <x v="5"/>
    <x v="288"/>
    <x v="282"/>
    <x v="78"/>
    <x v="182"/>
    <x v="0"/>
    <x v="0"/>
    <x v="0"/>
    <n v="0"/>
    <n v="0"/>
  </r>
  <r>
    <s v="SPAR WESTERN CAPE"/>
    <x v="5"/>
    <x v="288"/>
    <x v="282"/>
    <x v="78"/>
    <x v="182"/>
    <x v="0"/>
    <x v="1"/>
    <x v="1"/>
    <n v="0"/>
    <n v="0"/>
  </r>
  <r>
    <s v="SPAR WESTERN CAPE"/>
    <x v="5"/>
    <x v="288"/>
    <x v="282"/>
    <x v="78"/>
    <x v="182"/>
    <x v="0"/>
    <x v="2"/>
    <x v="2"/>
    <n v="0"/>
    <n v="0"/>
  </r>
  <r>
    <s v="SPAR WESTERN CAPE"/>
    <x v="5"/>
    <x v="288"/>
    <x v="282"/>
    <x v="78"/>
    <x v="182"/>
    <x v="0"/>
    <x v="3"/>
    <x v="3"/>
    <n v="0"/>
    <n v="0"/>
  </r>
  <r>
    <s v="SPAR WESTERN CAPE"/>
    <x v="5"/>
    <x v="288"/>
    <x v="282"/>
    <x v="78"/>
    <x v="182"/>
    <x v="0"/>
    <x v="4"/>
    <x v="4"/>
    <n v="0"/>
    <n v="0"/>
  </r>
  <r>
    <s v="SPAR WESTERN CAPE"/>
    <x v="5"/>
    <x v="288"/>
    <x v="282"/>
    <x v="78"/>
    <x v="182"/>
    <x v="0"/>
    <x v="5"/>
    <x v="5"/>
    <n v="0"/>
    <n v="0"/>
  </r>
  <r>
    <s v="SPAR WESTERN CAPE"/>
    <x v="5"/>
    <x v="288"/>
    <x v="282"/>
    <x v="78"/>
    <x v="182"/>
    <x v="0"/>
    <x v="6"/>
    <x v="6"/>
    <n v="0"/>
    <n v="0"/>
  </r>
  <r>
    <s v="SPAR WESTERN CAPE"/>
    <x v="5"/>
    <x v="289"/>
    <x v="283"/>
    <x v="79"/>
    <x v="183"/>
    <x v="0"/>
    <x v="0"/>
    <x v="0"/>
    <n v="0"/>
    <n v="0"/>
  </r>
  <r>
    <s v="SPAR WESTERN CAPE"/>
    <x v="5"/>
    <x v="289"/>
    <x v="283"/>
    <x v="79"/>
    <x v="183"/>
    <x v="0"/>
    <x v="1"/>
    <x v="1"/>
    <n v="0"/>
    <n v="0"/>
  </r>
  <r>
    <s v="SPAR WESTERN CAPE"/>
    <x v="5"/>
    <x v="289"/>
    <x v="283"/>
    <x v="79"/>
    <x v="183"/>
    <x v="0"/>
    <x v="2"/>
    <x v="2"/>
    <n v="0"/>
    <n v="0"/>
  </r>
  <r>
    <s v="SPAR WESTERN CAPE"/>
    <x v="5"/>
    <x v="289"/>
    <x v="283"/>
    <x v="79"/>
    <x v="183"/>
    <x v="0"/>
    <x v="3"/>
    <x v="3"/>
    <n v="0"/>
    <n v="0"/>
  </r>
  <r>
    <s v="SPAR WESTERN CAPE"/>
    <x v="5"/>
    <x v="289"/>
    <x v="283"/>
    <x v="79"/>
    <x v="183"/>
    <x v="0"/>
    <x v="4"/>
    <x v="4"/>
    <n v="0"/>
    <n v="0"/>
  </r>
  <r>
    <s v="SPAR WESTERN CAPE"/>
    <x v="5"/>
    <x v="289"/>
    <x v="283"/>
    <x v="79"/>
    <x v="183"/>
    <x v="0"/>
    <x v="5"/>
    <x v="5"/>
    <n v="0"/>
    <n v="0"/>
  </r>
  <r>
    <s v="SPAR WESTERN CAPE"/>
    <x v="5"/>
    <x v="289"/>
    <x v="283"/>
    <x v="79"/>
    <x v="183"/>
    <x v="0"/>
    <x v="6"/>
    <x v="6"/>
    <n v="0"/>
    <n v="0"/>
  </r>
  <r>
    <s v="SPAR WESTERN CAPE"/>
    <x v="5"/>
    <x v="290"/>
    <x v="284"/>
    <x v="80"/>
    <x v="184"/>
    <x v="0"/>
    <x v="0"/>
    <x v="0"/>
    <n v="0"/>
    <n v="0"/>
  </r>
  <r>
    <s v="SPAR WESTERN CAPE"/>
    <x v="5"/>
    <x v="290"/>
    <x v="284"/>
    <x v="80"/>
    <x v="184"/>
    <x v="0"/>
    <x v="1"/>
    <x v="1"/>
    <n v="0"/>
    <n v="0"/>
  </r>
  <r>
    <s v="SPAR WESTERN CAPE"/>
    <x v="5"/>
    <x v="290"/>
    <x v="284"/>
    <x v="80"/>
    <x v="184"/>
    <x v="0"/>
    <x v="2"/>
    <x v="2"/>
    <n v="0"/>
    <n v="0"/>
  </r>
  <r>
    <s v="SPAR WESTERN CAPE"/>
    <x v="5"/>
    <x v="290"/>
    <x v="284"/>
    <x v="80"/>
    <x v="184"/>
    <x v="0"/>
    <x v="3"/>
    <x v="3"/>
    <n v="0"/>
    <n v="0"/>
  </r>
  <r>
    <s v="SPAR WESTERN CAPE"/>
    <x v="5"/>
    <x v="290"/>
    <x v="284"/>
    <x v="80"/>
    <x v="184"/>
    <x v="0"/>
    <x v="4"/>
    <x v="4"/>
    <n v="0"/>
    <n v="0"/>
  </r>
  <r>
    <s v="SPAR WESTERN CAPE"/>
    <x v="5"/>
    <x v="290"/>
    <x v="284"/>
    <x v="80"/>
    <x v="184"/>
    <x v="0"/>
    <x v="5"/>
    <x v="5"/>
    <n v="0"/>
    <n v="0"/>
  </r>
  <r>
    <s v="SPAR WESTERN CAPE"/>
    <x v="5"/>
    <x v="290"/>
    <x v="284"/>
    <x v="80"/>
    <x v="184"/>
    <x v="0"/>
    <x v="6"/>
    <x v="6"/>
    <n v="0"/>
    <n v="0"/>
  </r>
  <r>
    <s v="SPAR WESTERN CAPE"/>
    <x v="5"/>
    <x v="291"/>
    <x v="285"/>
    <x v="81"/>
    <x v="185"/>
    <x v="0"/>
    <x v="0"/>
    <x v="0"/>
    <n v="0"/>
    <n v="0"/>
  </r>
  <r>
    <s v="SPAR WESTERN CAPE"/>
    <x v="5"/>
    <x v="291"/>
    <x v="285"/>
    <x v="81"/>
    <x v="185"/>
    <x v="0"/>
    <x v="1"/>
    <x v="1"/>
    <n v="0"/>
    <n v="0"/>
  </r>
  <r>
    <s v="SPAR WESTERN CAPE"/>
    <x v="5"/>
    <x v="291"/>
    <x v="285"/>
    <x v="81"/>
    <x v="185"/>
    <x v="0"/>
    <x v="2"/>
    <x v="2"/>
    <n v="0"/>
    <n v="0"/>
  </r>
  <r>
    <s v="SPAR WESTERN CAPE"/>
    <x v="5"/>
    <x v="291"/>
    <x v="285"/>
    <x v="81"/>
    <x v="185"/>
    <x v="0"/>
    <x v="3"/>
    <x v="3"/>
    <n v="0"/>
    <n v="0"/>
  </r>
  <r>
    <s v="SPAR WESTERN CAPE"/>
    <x v="5"/>
    <x v="291"/>
    <x v="285"/>
    <x v="81"/>
    <x v="185"/>
    <x v="0"/>
    <x v="4"/>
    <x v="4"/>
    <n v="0"/>
    <n v="0"/>
  </r>
  <r>
    <s v="SPAR WESTERN CAPE"/>
    <x v="5"/>
    <x v="291"/>
    <x v="285"/>
    <x v="81"/>
    <x v="185"/>
    <x v="0"/>
    <x v="5"/>
    <x v="5"/>
    <n v="0"/>
    <n v="0"/>
  </r>
  <r>
    <s v="SPAR WESTERN CAPE"/>
    <x v="5"/>
    <x v="291"/>
    <x v="285"/>
    <x v="81"/>
    <x v="185"/>
    <x v="0"/>
    <x v="6"/>
    <x v="6"/>
    <n v="0"/>
    <n v="0"/>
  </r>
  <r>
    <s v="SPAR WESTERN CAPE"/>
    <x v="6"/>
    <x v="292"/>
    <x v="286"/>
    <x v="24"/>
    <x v="186"/>
    <x v="0"/>
    <x v="0"/>
    <x v="0"/>
    <n v="0"/>
    <n v="0"/>
  </r>
  <r>
    <s v="SPAR WESTERN CAPE"/>
    <x v="6"/>
    <x v="292"/>
    <x v="286"/>
    <x v="24"/>
    <x v="186"/>
    <x v="0"/>
    <x v="4"/>
    <x v="4"/>
    <n v="0"/>
    <n v="0"/>
  </r>
  <r>
    <s v="SPAR WESTERN CAPE"/>
    <x v="6"/>
    <x v="293"/>
    <x v="287"/>
    <x v="1"/>
    <x v="187"/>
    <x v="0"/>
    <x v="0"/>
    <x v="0"/>
    <n v="0"/>
    <n v="0"/>
  </r>
  <r>
    <s v="SPAR WESTERN CAPE"/>
    <x v="6"/>
    <x v="293"/>
    <x v="287"/>
    <x v="1"/>
    <x v="187"/>
    <x v="0"/>
    <x v="3"/>
    <x v="3"/>
    <n v="0"/>
    <n v="0"/>
  </r>
  <r>
    <s v="SPAR WESTERN CAPE"/>
    <x v="6"/>
    <x v="293"/>
    <x v="287"/>
    <x v="1"/>
    <x v="187"/>
    <x v="0"/>
    <x v="4"/>
    <x v="4"/>
    <n v="0"/>
    <n v="0"/>
  </r>
  <r>
    <s v="SPAR WESTERN CAPE"/>
    <x v="6"/>
    <x v="294"/>
    <x v="288"/>
    <x v="44"/>
    <x v="81"/>
    <x v="0"/>
    <x v="0"/>
    <x v="0"/>
    <n v="0"/>
    <n v="0"/>
  </r>
  <r>
    <s v="SPAR WESTERN CAPE"/>
    <x v="6"/>
    <x v="294"/>
    <x v="288"/>
    <x v="44"/>
    <x v="81"/>
    <x v="0"/>
    <x v="3"/>
    <x v="3"/>
    <n v="0"/>
    <n v="0"/>
  </r>
  <r>
    <s v="SPAR WESTERN CAPE"/>
    <x v="6"/>
    <x v="294"/>
    <x v="288"/>
    <x v="44"/>
    <x v="81"/>
    <x v="0"/>
    <x v="4"/>
    <x v="4"/>
    <n v="0"/>
    <n v="0"/>
  </r>
  <r>
    <s v="SPAR WESTERN CAPE"/>
    <x v="6"/>
    <x v="294"/>
    <x v="288"/>
    <x v="44"/>
    <x v="81"/>
    <x v="0"/>
    <x v="5"/>
    <x v="5"/>
    <n v="0"/>
    <n v="0"/>
  </r>
  <r>
    <s v="SPAR WESTERN CAPE"/>
    <x v="6"/>
    <x v="295"/>
    <x v="289"/>
    <x v="27"/>
    <x v="39"/>
    <x v="0"/>
    <x v="0"/>
    <x v="0"/>
    <n v="0"/>
    <n v="0"/>
  </r>
  <r>
    <s v="SPAR WESTERN CAPE"/>
    <x v="6"/>
    <x v="295"/>
    <x v="289"/>
    <x v="27"/>
    <x v="39"/>
    <x v="0"/>
    <x v="1"/>
    <x v="1"/>
    <n v="0"/>
    <n v="0"/>
  </r>
  <r>
    <s v="SPAR WESTERN CAPE"/>
    <x v="6"/>
    <x v="295"/>
    <x v="289"/>
    <x v="27"/>
    <x v="39"/>
    <x v="0"/>
    <x v="2"/>
    <x v="2"/>
    <n v="0"/>
    <n v="0"/>
  </r>
  <r>
    <s v="SPAR WESTERN CAPE"/>
    <x v="6"/>
    <x v="295"/>
    <x v="289"/>
    <x v="27"/>
    <x v="39"/>
    <x v="0"/>
    <x v="3"/>
    <x v="3"/>
    <n v="0"/>
    <n v="0"/>
  </r>
  <r>
    <s v="SPAR WESTERN CAPE"/>
    <x v="6"/>
    <x v="295"/>
    <x v="289"/>
    <x v="27"/>
    <x v="39"/>
    <x v="0"/>
    <x v="4"/>
    <x v="4"/>
    <n v="0"/>
    <n v="0"/>
  </r>
  <r>
    <s v="SPAR WESTERN CAPE"/>
    <x v="6"/>
    <x v="295"/>
    <x v="289"/>
    <x v="27"/>
    <x v="39"/>
    <x v="0"/>
    <x v="5"/>
    <x v="5"/>
    <n v="0"/>
    <n v="0"/>
  </r>
  <r>
    <s v="SPAR WESTERN CAPE"/>
    <x v="6"/>
    <x v="295"/>
    <x v="289"/>
    <x v="27"/>
    <x v="39"/>
    <x v="0"/>
    <x v="6"/>
    <x v="6"/>
    <n v="0"/>
    <n v="0"/>
  </r>
  <r>
    <s v="SPAR WESTERN CAPE"/>
    <x v="6"/>
    <x v="296"/>
    <x v="290"/>
    <x v="19"/>
    <x v="188"/>
    <x v="0"/>
    <x v="0"/>
    <x v="0"/>
    <n v="0"/>
    <n v="0"/>
  </r>
  <r>
    <s v="SPAR WESTERN CAPE"/>
    <x v="6"/>
    <x v="296"/>
    <x v="290"/>
    <x v="19"/>
    <x v="188"/>
    <x v="0"/>
    <x v="1"/>
    <x v="1"/>
    <n v="0"/>
    <n v="0"/>
  </r>
  <r>
    <s v="SPAR WESTERN CAPE"/>
    <x v="6"/>
    <x v="296"/>
    <x v="290"/>
    <x v="19"/>
    <x v="188"/>
    <x v="0"/>
    <x v="2"/>
    <x v="2"/>
    <n v="0"/>
    <n v="0"/>
  </r>
  <r>
    <s v="SPAR WESTERN CAPE"/>
    <x v="6"/>
    <x v="296"/>
    <x v="290"/>
    <x v="19"/>
    <x v="188"/>
    <x v="0"/>
    <x v="3"/>
    <x v="3"/>
    <n v="0"/>
    <n v="0"/>
  </r>
  <r>
    <s v="SPAR WESTERN CAPE"/>
    <x v="6"/>
    <x v="296"/>
    <x v="290"/>
    <x v="19"/>
    <x v="188"/>
    <x v="0"/>
    <x v="4"/>
    <x v="4"/>
    <n v="0"/>
    <n v="0"/>
  </r>
  <r>
    <s v="SPAR WESTERN CAPE"/>
    <x v="6"/>
    <x v="296"/>
    <x v="290"/>
    <x v="19"/>
    <x v="188"/>
    <x v="0"/>
    <x v="5"/>
    <x v="5"/>
    <n v="0"/>
    <n v="0"/>
  </r>
  <r>
    <s v="SPAR WESTERN CAPE"/>
    <x v="6"/>
    <x v="296"/>
    <x v="290"/>
    <x v="19"/>
    <x v="188"/>
    <x v="0"/>
    <x v="6"/>
    <x v="6"/>
    <n v="0"/>
    <n v="0"/>
  </r>
  <r>
    <s v="SPAR WESTERN CAPE"/>
    <x v="6"/>
    <x v="297"/>
    <x v="291"/>
    <x v="51"/>
    <x v="189"/>
    <x v="0"/>
    <x v="0"/>
    <x v="0"/>
    <n v="0"/>
    <n v="0"/>
  </r>
  <r>
    <s v="SPAR WESTERN CAPE"/>
    <x v="6"/>
    <x v="297"/>
    <x v="291"/>
    <x v="51"/>
    <x v="189"/>
    <x v="0"/>
    <x v="1"/>
    <x v="1"/>
    <n v="0"/>
    <n v="0"/>
  </r>
  <r>
    <s v="SPAR WESTERN CAPE"/>
    <x v="6"/>
    <x v="297"/>
    <x v="291"/>
    <x v="51"/>
    <x v="189"/>
    <x v="0"/>
    <x v="2"/>
    <x v="2"/>
    <n v="0"/>
    <n v="0"/>
  </r>
  <r>
    <s v="SPAR WESTERN CAPE"/>
    <x v="6"/>
    <x v="297"/>
    <x v="291"/>
    <x v="51"/>
    <x v="189"/>
    <x v="0"/>
    <x v="3"/>
    <x v="3"/>
    <n v="0"/>
    <n v="0"/>
  </r>
  <r>
    <s v="SPAR WESTERN CAPE"/>
    <x v="6"/>
    <x v="297"/>
    <x v="291"/>
    <x v="51"/>
    <x v="189"/>
    <x v="0"/>
    <x v="4"/>
    <x v="4"/>
    <n v="0"/>
    <n v="0"/>
  </r>
  <r>
    <s v="SPAR WESTERN CAPE"/>
    <x v="6"/>
    <x v="297"/>
    <x v="291"/>
    <x v="51"/>
    <x v="189"/>
    <x v="0"/>
    <x v="5"/>
    <x v="5"/>
    <n v="0"/>
    <n v="0"/>
  </r>
  <r>
    <s v="SPAR WESTERN CAPE"/>
    <x v="6"/>
    <x v="297"/>
    <x v="291"/>
    <x v="51"/>
    <x v="189"/>
    <x v="0"/>
    <x v="6"/>
    <x v="6"/>
    <n v="0"/>
    <n v="0"/>
  </r>
  <r>
    <s v="SPAR WESTERN CAPE"/>
    <x v="6"/>
    <x v="298"/>
    <x v="292"/>
    <x v="82"/>
    <x v="190"/>
    <x v="0"/>
    <x v="0"/>
    <x v="0"/>
    <n v="0"/>
    <n v="0"/>
  </r>
  <r>
    <s v="SPAR WESTERN CAPE"/>
    <x v="6"/>
    <x v="298"/>
    <x v="292"/>
    <x v="82"/>
    <x v="190"/>
    <x v="0"/>
    <x v="2"/>
    <x v="2"/>
    <n v="0"/>
    <n v="0"/>
  </r>
  <r>
    <s v="SPAR WESTERN CAPE"/>
    <x v="6"/>
    <x v="298"/>
    <x v="292"/>
    <x v="82"/>
    <x v="190"/>
    <x v="0"/>
    <x v="3"/>
    <x v="3"/>
    <n v="0"/>
    <n v="0"/>
  </r>
  <r>
    <s v="SPAR WESTERN CAPE"/>
    <x v="6"/>
    <x v="298"/>
    <x v="292"/>
    <x v="82"/>
    <x v="190"/>
    <x v="0"/>
    <x v="4"/>
    <x v="4"/>
    <n v="0"/>
    <n v="0"/>
  </r>
  <r>
    <s v="SPAR WESTERN CAPE"/>
    <x v="6"/>
    <x v="298"/>
    <x v="292"/>
    <x v="82"/>
    <x v="190"/>
    <x v="0"/>
    <x v="5"/>
    <x v="5"/>
    <n v="0"/>
    <n v="0"/>
  </r>
  <r>
    <s v="SPAR WESTERN CAPE"/>
    <x v="6"/>
    <x v="298"/>
    <x v="292"/>
    <x v="82"/>
    <x v="190"/>
    <x v="0"/>
    <x v="6"/>
    <x v="6"/>
    <n v="0"/>
    <n v="0"/>
  </r>
  <r>
    <s v="SPAR WESTERN CAPE"/>
    <x v="6"/>
    <x v="299"/>
    <x v="293"/>
    <x v="59"/>
    <x v="191"/>
    <x v="0"/>
    <x v="0"/>
    <x v="0"/>
    <n v="0"/>
    <n v="0"/>
  </r>
  <r>
    <s v="SPAR WESTERN CAPE"/>
    <x v="6"/>
    <x v="299"/>
    <x v="293"/>
    <x v="59"/>
    <x v="191"/>
    <x v="0"/>
    <x v="1"/>
    <x v="1"/>
    <n v="0"/>
    <n v="0"/>
  </r>
  <r>
    <s v="SPAR WESTERN CAPE"/>
    <x v="6"/>
    <x v="299"/>
    <x v="293"/>
    <x v="59"/>
    <x v="191"/>
    <x v="0"/>
    <x v="2"/>
    <x v="2"/>
    <n v="0"/>
    <n v="0"/>
  </r>
  <r>
    <s v="SPAR WESTERN CAPE"/>
    <x v="6"/>
    <x v="299"/>
    <x v="293"/>
    <x v="59"/>
    <x v="191"/>
    <x v="0"/>
    <x v="3"/>
    <x v="3"/>
    <n v="0"/>
    <n v="0"/>
  </r>
  <r>
    <s v="SPAR WESTERN CAPE"/>
    <x v="6"/>
    <x v="299"/>
    <x v="293"/>
    <x v="59"/>
    <x v="191"/>
    <x v="0"/>
    <x v="4"/>
    <x v="4"/>
    <n v="0"/>
    <n v="0"/>
  </r>
  <r>
    <s v="SPAR WESTERN CAPE"/>
    <x v="6"/>
    <x v="299"/>
    <x v="293"/>
    <x v="59"/>
    <x v="191"/>
    <x v="0"/>
    <x v="5"/>
    <x v="5"/>
    <n v="0"/>
    <n v="0"/>
  </r>
  <r>
    <s v="SPAR WESTERN CAPE"/>
    <x v="6"/>
    <x v="299"/>
    <x v="293"/>
    <x v="59"/>
    <x v="191"/>
    <x v="0"/>
    <x v="6"/>
    <x v="6"/>
    <n v="0"/>
    <n v="0"/>
  </r>
  <r>
    <s v="SPAR WESTERN CAPE"/>
    <x v="6"/>
    <x v="300"/>
    <x v="294"/>
    <x v="83"/>
    <x v="192"/>
    <x v="0"/>
    <x v="0"/>
    <x v="0"/>
    <n v="0"/>
    <n v="0"/>
  </r>
  <r>
    <s v="SPAR WESTERN CAPE"/>
    <x v="6"/>
    <x v="300"/>
    <x v="294"/>
    <x v="83"/>
    <x v="192"/>
    <x v="0"/>
    <x v="3"/>
    <x v="3"/>
    <n v="0"/>
    <n v="0"/>
  </r>
  <r>
    <s v="SPAR WESTERN CAPE"/>
    <x v="6"/>
    <x v="300"/>
    <x v="294"/>
    <x v="83"/>
    <x v="192"/>
    <x v="0"/>
    <x v="6"/>
    <x v="6"/>
    <n v="0"/>
    <n v="0"/>
  </r>
  <r>
    <s v="SPAR WESTERN CAPE"/>
    <x v="6"/>
    <x v="301"/>
    <x v="295"/>
    <x v="35"/>
    <x v="193"/>
    <x v="0"/>
    <x v="0"/>
    <x v="0"/>
    <n v="0"/>
    <n v="0"/>
  </r>
  <r>
    <s v="SPAR WESTERN CAPE"/>
    <x v="6"/>
    <x v="301"/>
    <x v="295"/>
    <x v="35"/>
    <x v="193"/>
    <x v="0"/>
    <x v="1"/>
    <x v="1"/>
    <n v="0"/>
    <n v="0"/>
  </r>
  <r>
    <s v="SPAR WESTERN CAPE"/>
    <x v="6"/>
    <x v="301"/>
    <x v="295"/>
    <x v="35"/>
    <x v="193"/>
    <x v="0"/>
    <x v="2"/>
    <x v="2"/>
    <n v="0"/>
    <n v="0"/>
  </r>
  <r>
    <s v="SPAR WESTERN CAPE"/>
    <x v="6"/>
    <x v="301"/>
    <x v="295"/>
    <x v="35"/>
    <x v="193"/>
    <x v="0"/>
    <x v="3"/>
    <x v="3"/>
    <n v="0"/>
    <n v="0"/>
  </r>
  <r>
    <s v="SPAR WESTERN CAPE"/>
    <x v="6"/>
    <x v="301"/>
    <x v="295"/>
    <x v="35"/>
    <x v="193"/>
    <x v="0"/>
    <x v="4"/>
    <x v="4"/>
    <n v="0"/>
    <n v="0"/>
  </r>
  <r>
    <s v="SPAR WESTERN CAPE"/>
    <x v="6"/>
    <x v="301"/>
    <x v="295"/>
    <x v="35"/>
    <x v="193"/>
    <x v="0"/>
    <x v="5"/>
    <x v="5"/>
    <n v="0"/>
    <n v="0"/>
  </r>
  <r>
    <s v="SPAR WESTERN CAPE"/>
    <x v="6"/>
    <x v="301"/>
    <x v="295"/>
    <x v="35"/>
    <x v="193"/>
    <x v="0"/>
    <x v="6"/>
    <x v="6"/>
    <n v="0"/>
    <n v="0"/>
  </r>
  <r>
    <s v="SPAR WESTERN CAPE"/>
    <x v="6"/>
    <x v="302"/>
    <x v="296"/>
    <x v="84"/>
    <x v="194"/>
    <x v="0"/>
    <x v="0"/>
    <x v="0"/>
    <n v="0"/>
    <n v="0"/>
  </r>
  <r>
    <s v="SPAR WESTERN CAPE"/>
    <x v="6"/>
    <x v="302"/>
    <x v="296"/>
    <x v="84"/>
    <x v="194"/>
    <x v="0"/>
    <x v="6"/>
    <x v="6"/>
    <n v="0"/>
    <n v="0"/>
  </r>
  <r>
    <s v="SPAR WESTERN CAPE"/>
    <x v="6"/>
    <x v="303"/>
    <x v="297"/>
    <x v="59"/>
    <x v="195"/>
    <x v="0"/>
    <x v="0"/>
    <x v="0"/>
    <n v="0"/>
    <n v="0"/>
  </r>
  <r>
    <s v="SPAR WESTERN CAPE"/>
    <x v="6"/>
    <x v="303"/>
    <x v="297"/>
    <x v="59"/>
    <x v="195"/>
    <x v="0"/>
    <x v="1"/>
    <x v="1"/>
    <n v="0"/>
    <n v="0"/>
  </r>
  <r>
    <s v="SPAR WESTERN CAPE"/>
    <x v="6"/>
    <x v="303"/>
    <x v="297"/>
    <x v="59"/>
    <x v="195"/>
    <x v="0"/>
    <x v="5"/>
    <x v="5"/>
    <n v="0"/>
    <n v="0"/>
  </r>
  <r>
    <s v="SPAR WESTERN CAPE"/>
    <x v="6"/>
    <x v="303"/>
    <x v="297"/>
    <x v="59"/>
    <x v="195"/>
    <x v="0"/>
    <x v="6"/>
    <x v="6"/>
    <n v="0"/>
    <n v="0"/>
  </r>
  <r>
    <s v="SPAR WESTERN CAPE"/>
    <x v="6"/>
    <x v="304"/>
    <x v="298"/>
    <x v="27"/>
    <x v="196"/>
    <x v="0"/>
    <x v="0"/>
    <x v="0"/>
    <n v="0"/>
    <n v="0"/>
  </r>
  <r>
    <s v="SPAR WESTERN CAPE"/>
    <x v="6"/>
    <x v="304"/>
    <x v="298"/>
    <x v="27"/>
    <x v="196"/>
    <x v="0"/>
    <x v="6"/>
    <x v="6"/>
    <n v="0"/>
    <n v="0"/>
  </r>
  <r>
    <s v="SPAR WESTERN CAPE"/>
    <x v="6"/>
    <x v="305"/>
    <x v="299"/>
    <x v="24"/>
    <x v="186"/>
    <x v="0"/>
    <x v="0"/>
    <x v="0"/>
    <n v="0"/>
    <n v="0"/>
  </r>
  <r>
    <s v="SPAR WESTERN CAPE"/>
    <x v="6"/>
    <x v="305"/>
    <x v="299"/>
    <x v="24"/>
    <x v="186"/>
    <x v="0"/>
    <x v="1"/>
    <x v="1"/>
    <n v="0"/>
    <n v="0"/>
  </r>
  <r>
    <s v="SPAR WESTERN CAPE"/>
    <x v="6"/>
    <x v="305"/>
    <x v="299"/>
    <x v="24"/>
    <x v="186"/>
    <x v="0"/>
    <x v="2"/>
    <x v="2"/>
    <n v="0"/>
    <n v="0"/>
  </r>
  <r>
    <s v="SPAR WESTERN CAPE"/>
    <x v="6"/>
    <x v="305"/>
    <x v="299"/>
    <x v="24"/>
    <x v="186"/>
    <x v="0"/>
    <x v="3"/>
    <x v="3"/>
    <n v="0"/>
    <n v="0"/>
  </r>
  <r>
    <s v="SPAR WESTERN CAPE"/>
    <x v="6"/>
    <x v="305"/>
    <x v="299"/>
    <x v="24"/>
    <x v="186"/>
    <x v="0"/>
    <x v="4"/>
    <x v="4"/>
    <n v="0"/>
    <n v="0"/>
  </r>
  <r>
    <s v="SPAR WESTERN CAPE"/>
    <x v="6"/>
    <x v="305"/>
    <x v="299"/>
    <x v="24"/>
    <x v="186"/>
    <x v="0"/>
    <x v="5"/>
    <x v="5"/>
    <n v="0"/>
    <n v="0"/>
  </r>
  <r>
    <s v="SPAR WESTERN CAPE"/>
    <x v="6"/>
    <x v="305"/>
    <x v="299"/>
    <x v="24"/>
    <x v="186"/>
    <x v="0"/>
    <x v="6"/>
    <x v="6"/>
    <n v="0"/>
    <n v="0"/>
  </r>
  <r>
    <s v="SPAR WESTERN CAPE"/>
    <x v="6"/>
    <x v="306"/>
    <x v="300"/>
    <x v="85"/>
    <x v="197"/>
    <x v="0"/>
    <x v="0"/>
    <x v="0"/>
    <n v="0"/>
    <n v="0"/>
  </r>
  <r>
    <s v="SPAR WESTERN CAPE"/>
    <x v="6"/>
    <x v="306"/>
    <x v="300"/>
    <x v="85"/>
    <x v="197"/>
    <x v="0"/>
    <x v="1"/>
    <x v="1"/>
    <n v="0"/>
    <n v="0"/>
  </r>
  <r>
    <s v="SPAR WESTERN CAPE"/>
    <x v="6"/>
    <x v="306"/>
    <x v="300"/>
    <x v="85"/>
    <x v="197"/>
    <x v="0"/>
    <x v="2"/>
    <x v="2"/>
    <n v="0"/>
    <n v="0"/>
  </r>
  <r>
    <s v="SPAR WESTERN CAPE"/>
    <x v="6"/>
    <x v="306"/>
    <x v="300"/>
    <x v="85"/>
    <x v="197"/>
    <x v="0"/>
    <x v="3"/>
    <x v="3"/>
    <n v="0"/>
    <n v="0"/>
  </r>
  <r>
    <s v="SPAR WESTERN CAPE"/>
    <x v="6"/>
    <x v="306"/>
    <x v="300"/>
    <x v="85"/>
    <x v="197"/>
    <x v="0"/>
    <x v="6"/>
    <x v="6"/>
    <n v="0"/>
    <n v="0"/>
  </r>
  <r>
    <s v="SPAR WESTERN CAPE"/>
    <x v="7"/>
    <x v="307"/>
    <x v="301"/>
    <x v="2"/>
    <x v="198"/>
    <x v="0"/>
    <x v="0"/>
    <x v="0"/>
    <n v="0"/>
    <n v="0"/>
  </r>
  <r>
    <s v="SPAR WESTERN CAPE"/>
    <x v="7"/>
    <x v="307"/>
    <x v="301"/>
    <x v="2"/>
    <x v="198"/>
    <x v="0"/>
    <x v="1"/>
    <x v="1"/>
    <n v="0"/>
    <n v="0"/>
  </r>
  <r>
    <s v="SPAR WESTERN CAPE"/>
    <x v="7"/>
    <x v="307"/>
    <x v="301"/>
    <x v="2"/>
    <x v="198"/>
    <x v="0"/>
    <x v="2"/>
    <x v="2"/>
    <n v="0"/>
    <n v="0"/>
  </r>
  <r>
    <s v="SPAR WESTERN CAPE"/>
    <x v="7"/>
    <x v="307"/>
    <x v="301"/>
    <x v="2"/>
    <x v="198"/>
    <x v="0"/>
    <x v="3"/>
    <x v="3"/>
    <n v="0"/>
    <n v="0"/>
  </r>
  <r>
    <s v="SPAR WESTERN CAPE"/>
    <x v="7"/>
    <x v="307"/>
    <x v="301"/>
    <x v="2"/>
    <x v="198"/>
    <x v="0"/>
    <x v="4"/>
    <x v="4"/>
    <n v="0"/>
    <n v="0"/>
  </r>
  <r>
    <s v="SPAR WESTERN CAPE"/>
    <x v="7"/>
    <x v="307"/>
    <x v="301"/>
    <x v="2"/>
    <x v="198"/>
    <x v="0"/>
    <x v="5"/>
    <x v="5"/>
    <n v="0"/>
    <n v="0"/>
  </r>
  <r>
    <s v="SPAR WESTERN CAPE"/>
    <x v="7"/>
    <x v="307"/>
    <x v="301"/>
    <x v="2"/>
    <x v="198"/>
    <x v="0"/>
    <x v="6"/>
    <x v="6"/>
    <n v="0"/>
    <n v="0"/>
  </r>
  <r>
    <s v="SPAR WESTERN CAPE"/>
    <x v="8"/>
    <x v="308"/>
    <x v="302"/>
    <x v="2"/>
    <x v="198"/>
    <x v="0"/>
    <x v="0"/>
    <x v="0"/>
    <n v="0"/>
    <n v="0"/>
  </r>
  <r>
    <s v="SPAR WESTERN CAPE"/>
    <x v="8"/>
    <x v="308"/>
    <x v="302"/>
    <x v="2"/>
    <x v="198"/>
    <x v="0"/>
    <x v="1"/>
    <x v="1"/>
    <n v="0"/>
    <n v="0"/>
  </r>
  <r>
    <s v="SPAR WESTERN CAPE"/>
    <x v="8"/>
    <x v="308"/>
    <x v="302"/>
    <x v="2"/>
    <x v="198"/>
    <x v="0"/>
    <x v="2"/>
    <x v="2"/>
    <n v="0"/>
    <n v="0"/>
  </r>
  <r>
    <s v="SPAR WESTERN CAPE"/>
    <x v="8"/>
    <x v="308"/>
    <x v="302"/>
    <x v="2"/>
    <x v="198"/>
    <x v="0"/>
    <x v="3"/>
    <x v="3"/>
    <n v="0"/>
    <n v="0"/>
  </r>
  <r>
    <s v="SPAR WESTERN CAPE"/>
    <x v="8"/>
    <x v="308"/>
    <x v="302"/>
    <x v="2"/>
    <x v="198"/>
    <x v="0"/>
    <x v="4"/>
    <x v="4"/>
    <n v="0"/>
    <n v="0"/>
  </r>
  <r>
    <s v="SPAR WESTERN CAPE"/>
    <x v="8"/>
    <x v="308"/>
    <x v="302"/>
    <x v="2"/>
    <x v="198"/>
    <x v="0"/>
    <x v="5"/>
    <x v="5"/>
    <n v="0"/>
    <n v="0"/>
  </r>
  <r>
    <s v="SPAR WESTERN CAPE"/>
    <x v="8"/>
    <x v="308"/>
    <x v="302"/>
    <x v="2"/>
    <x v="198"/>
    <x v="0"/>
    <x v="6"/>
    <x v="6"/>
    <n v="0"/>
    <n v="0"/>
  </r>
  <r>
    <s v="SPAR WESTERN CAPE"/>
    <x v="9"/>
    <x v="309"/>
    <x v="303"/>
    <x v="2"/>
    <x v="198"/>
    <x v="0"/>
    <x v="0"/>
    <x v="0"/>
    <n v="0"/>
    <n v="0"/>
  </r>
  <r>
    <s v="SPAR WESTERN CAPE"/>
    <x v="9"/>
    <x v="309"/>
    <x v="303"/>
    <x v="2"/>
    <x v="198"/>
    <x v="0"/>
    <x v="1"/>
    <x v="1"/>
    <n v="0"/>
    <n v="0"/>
  </r>
  <r>
    <s v="SPAR WESTERN CAPE"/>
    <x v="9"/>
    <x v="309"/>
    <x v="303"/>
    <x v="2"/>
    <x v="198"/>
    <x v="0"/>
    <x v="2"/>
    <x v="2"/>
    <n v="0"/>
    <n v="0"/>
  </r>
  <r>
    <s v="SPAR WESTERN CAPE"/>
    <x v="9"/>
    <x v="309"/>
    <x v="303"/>
    <x v="2"/>
    <x v="198"/>
    <x v="0"/>
    <x v="3"/>
    <x v="3"/>
    <n v="0"/>
    <n v="0"/>
  </r>
  <r>
    <s v="SPAR WESTERN CAPE"/>
    <x v="9"/>
    <x v="309"/>
    <x v="303"/>
    <x v="2"/>
    <x v="198"/>
    <x v="0"/>
    <x v="4"/>
    <x v="4"/>
    <n v="0"/>
    <n v="0"/>
  </r>
  <r>
    <s v="SPAR WESTERN CAPE"/>
    <x v="9"/>
    <x v="309"/>
    <x v="303"/>
    <x v="2"/>
    <x v="198"/>
    <x v="0"/>
    <x v="5"/>
    <x v="5"/>
    <n v="0"/>
    <n v="0"/>
  </r>
  <r>
    <s v="SPAR WESTERN CAPE"/>
    <x v="9"/>
    <x v="309"/>
    <x v="303"/>
    <x v="2"/>
    <x v="198"/>
    <x v="0"/>
    <x v="6"/>
    <x v="6"/>
    <n v="0"/>
    <n v="0"/>
  </r>
  <r>
    <s v="SPAR WESTERN CAPE"/>
    <x v="10"/>
    <x v="310"/>
    <x v="304"/>
    <x v="2"/>
    <x v="6"/>
    <x v="0"/>
    <x v="0"/>
    <x v="0"/>
    <n v="0"/>
    <n v="0"/>
  </r>
  <r>
    <s v="SPAR WESTERN CAPE"/>
    <x v="10"/>
    <x v="310"/>
    <x v="304"/>
    <x v="2"/>
    <x v="6"/>
    <x v="0"/>
    <x v="1"/>
    <x v="1"/>
    <n v="0"/>
    <n v="0"/>
  </r>
  <r>
    <s v="SPAR WESTERN CAPE"/>
    <x v="10"/>
    <x v="310"/>
    <x v="304"/>
    <x v="2"/>
    <x v="6"/>
    <x v="0"/>
    <x v="2"/>
    <x v="2"/>
    <n v="0"/>
    <n v="0"/>
  </r>
  <r>
    <s v="SPAR WESTERN CAPE"/>
    <x v="10"/>
    <x v="310"/>
    <x v="304"/>
    <x v="2"/>
    <x v="6"/>
    <x v="0"/>
    <x v="3"/>
    <x v="3"/>
    <n v="0"/>
    <n v="0"/>
  </r>
  <r>
    <s v="SPAR WESTERN CAPE"/>
    <x v="10"/>
    <x v="310"/>
    <x v="304"/>
    <x v="2"/>
    <x v="6"/>
    <x v="0"/>
    <x v="4"/>
    <x v="4"/>
    <n v="0"/>
    <n v="0"/>
  </r>
  <r>
    <s v="SPAR WESTERN CAPE"/>
    <x v="10"/>
    <x v="310"/>
    <x v="304"/>
    <x v="2"/>
    <x v="6"/>
    <x v="0"/>
    <x v="5"/>
    <x v="5"/>
    <n v="0"/>
    <n v="0"/>
  </r>
  <r>
    <s v="SPAR WESTERN CAPE"/>
    <x v="10"/>
    <x v="310"/>
    <x v="304"/>
    <x v="2"/>
    <x v="6"/>
    <x v="0"/>
    <x v="6"/>
    <x v="6"/>
    <n v="0"/>
    <n v="0"/>
  </r>
  <r>
    <s v="SPAR WESTERN CAPE"/>
    <x v="11"/>
    <x v="311"/>
    <x v="305"/>
    <x v="2"/>
    <x v="6"/>
    <x v="0"/>
    <x v="0"/>
    <x v="0"/>
    <n v="0"/>
    <n v="0"/>
  </r>
  <r>
    <s v="SPAR WESTERN CAPE"/>
    <x v="11"/>
    <x v="311"/>
    <x v="305"/>
    <x v="2"/>
    <x v="6"/>
    <x v="0"/>
    <x v="1"/>
    <x v="1"/>
    <n v="0"/>
    <n v="0"/>
  </r>
  <r>
    <s v="SPAR WESTERN CAPE"/>
    <x v="11"/>
    <x v="311"/>
    <x v="305"/>
    <x v="2"/>
    <x v="6"/>
    <x v="0"/>
    <x v="2"/>
    <x v="2"/>
    <n v="0"/>
    <n v="0"/>
  </r>
  <r>
    <s v="SPAR WESTERN CAPE"/>
    <x v="11"/>
    <x v="311"/>
    <x v="305"/>
    <x v="2"/>
    <x v="6"/>
    <x v="0"/>
    <x v="3"/>
    <x v="3"/>
    <n v="0"/>
    <n v="0"/>
  </r>
  <r>
    <s v="SPAR WESTERN CAPE"/>
    <x v="11"/>
    <x v="311"/>
    <x v="305"/>
    <x v="2"/>
    <x v="6"/>
    <x v="0"/>
    <x v="4"/>
    <x v="4"/>
    <n v="0"/>
    <n v="0"/>
  </r>
  <r>
    <s v="SPAR WESTERN CAPE"/>
    <x v="11"/>
    <x v="311"/>
    <x v="305"/>
    <x v="2"/>
    <x v="6"/>
    <x v="0"/>
    <x v="5"/>
    <x v="5"/>
    <n v="0"/>
    <n v="0"/>
  </r>
  <r>
    <s v="SPAR WESTERN CAPE"/>
    <x v="11"/>
    <x v="311"/>
    <x v="305"/>
    <x v="2"/>
    <x v="6"/>
    <x v="0"/>
    <x v="6"/>
    <x v="6"/>
    <n v="0"/>
    <n v="0"/>
  </r>
  <r>
    <s v="SPAR WESTERN CAPE"/>
    <x v="10"/>
    <x v="312"/>
    <x v="306"/>
    <x v="11"/>
    <x v="199"/>
    <x v="0"/>
    <x v="0"/>
    <x v="0"/>
    <n v="0"/>
    <n v="0"/>
  </r>
  <r>
    <s v="SPAR WESTERN CAPE"/>
    <x v="10"/>
    <x v="312"/>
    <x v="306"/>
    <x v="11"/>
    <x v="199"/>
    <x v="0"/>
    <x v="1"/>
    <x v="1"/>
    <n v="0"/>
    <n v="0"/>
  </r>
  <r>
    <s v="SPAR WESTERN CAPE"/>
    <x v="10"/>
    <x v="312"/>
    <x v="306"/>
    <x v="11"/>
    <x v="199"/>
    <x v="0"/>
    <x v="2"/>
    <x v="2"/>
    <n v="0"/>
    <n v="0"/>
  </r>
  <r>
    <s v="SPAR WESTERN CAPE"/>
    <x v="10"/>
    <x v="312"/>
    <x v="306"/>
    <x v="11"/>
    <x v="199"/>
    <x v="0"/>
    <x v="3"/>
    <x v="3"/>
    <n v="0"/>
    <n v="0"/>
  </r>
  <r>
    <s v="SPAR WESTERN CAPE"/>
    <x v="10"/>
    <x v="312"/>
    <x v="306"/>
    <x v="11"/>
    <x v="199"/>
    <x v="0"/>
    <x v="4"/>
    <x v="4"/>
    <n v="0"/>
    <n v="0"/>
  </r>
  <r>
    <s v="SPAR WESTERN CAPE"/>
    <x v="10"/>
    <x v="312"/>
    <x v="306"/>
    <x v="11"/>
    <x v="199"/>
    <x v="0"/>
    <x v="5"/>
    <x v="5"/>
    <n v="0"/>
    <n v="0"/>
  </r>
  <r>
    <s v="SPAR WESTERN CAPE"/>
    <x v="10"/>
    <x v="312"/>
    <x v="306"/>
    <x v="11"/>
    <x v="199"/>
    <x v="0"/>
    <x v="6"/>
    <x v="6"/>
    <n v="0"/>
    <n v="0"/>
  </r>
  <r>
    <s v="SPAR WESTERN CAPE"/>
    <x v="10"/>
    <x v="313"/>
    <x v="307"/>
    <x v="11"/>
    <x v="200"/>
    <x v="0"/>
    <x v="0"/>
    <x v="0"/>
    <n v="0"/>
    <n v="0"/>
  </r>
  <r>
    <s v="SPAR WESTERN CAPE"/>
    <x v="10"/>
    <x v="313"/>
    <x v="307"/>
    <x v="11"/>
    <x v="200"/>
    <x v="0"/>
    <x v="3"/>
    <x v="3"/>
    <n v="0"/>
    <n v="0"/>
  </r>
  <r>
    <s v="SPAR WESTERN CAPE"/>
    <x v="10"/>
    <x v="313"/>
    <x v="307"/>
    <x v="11"/>
    <x v="200"/>
    <x v="0"/>
    <x v="4"/>
    <x v="4"/>
    <n v="0"/>
    <n v="0"/>
  </r>
  <r>
    <s v="SPAR WESTERN CAPE"/>
    <x v="10"/>
    <x v="313"/>
    <x v="307"/>
    <x v="11"/>
    <x v="200"/>
    <x v="0"/>
    <x v="6"/>
    <x v="6"/>
    <n v="0"/>
    <n v="0"/>
  </r>
  <r>
    <s v="SPAR WESTERN CAPE"/>
    <x v="10"/>
    <x v="314"/>
    <x v="308"/>
    <x v="11"/>
    <x v="200"/>
    <x v="0"/>
    <x v="0"/>
    <x v="0"/>
    <n v="0"/>
    <n v="0"/>
  </r>
  <r>
    <s v="SPAR WESTERN CAPE"/>
    <x v="10"/>
    <x v="314"/>
    <x v="308"/>
    <x v="11"/>
    <x v="200"/>
    <x v="0"/>
    <x v="2"/>
    <x v="2"/>
    <n v="0"/>
    <n v="0"/>
  </r>
  <r>
    <s v="SPAR WESTERN CAPE"/>
    <x v="10"/>
    <x v="314"/>
    <x v="308"/>
    <x v="11"/>
    <x v="200"/>
    <x v="0"/>
    <x v="3"/>
    <x v="3"/>
    <n v="0"/>
    <n v="0"/>
  </r>
  <r>
    <s v="SPAR WESTERN CAPE"/>
    <x v="10"/>
    <x v="314"/>
    <x v="308"/>
    <x v="11"/>
    <x v="200"/>
    <x v="0"/>
    <x v="4"/>
    <x v="4"/>
    <n v="0"/>
    <n v="0"/>
  </r>
  <r>
    <s v="SPAR WESTERN CAPE"/>
    <x v="10"/>
    <x v="314"/>
    <x v="308"/>
    <x v="11"/>
    <x v="200"/>
    <x v="0"/>
    <x v="6"/>
    <x v="6"/>
    <n v="0"/>
    <n v="0"/>
  </r>
  <r>
    <s v="SPAR WESTERN CAPE"/>
    <x v="10"/>
    <x v="315"/>
    <x v="309"/>
    <x v="86"/>
    <x v="201"/>
    <x v="0"/>
    <x v="0"/>
    <x v="0"/>
    <n v="0"/>
    <n v="0"/>
  </r>
  <r>
    <s v="SPAR WESTERN CAPE"/>
    <x v="10"/>
    <x v="315"/>
    <x v="309"/>
    <x v="86"/>
    <x v="201"/>
    <x v="0"/>
    <x v="1"/>
    <x v="1"/>
    <n v="0"/>
    <n v="0"/>
  </r>
  <r>
    <s v="SPAR WESTERN CAPE"/>
    <x v="10"/>
    <x v="315"/>
    <x v="309"/>
    <x v="86"/>
    <x v="201"/>
    <x v="0"/>
    <x v="2"/>
    <x v="2"/>
    <n v="0"/>
    <n v="0"/>
  </r>
  <r>
    <s v="SPAR WESTERN CAPE"/>
    <x v="10"/>
    <x v="315"/>
    <x v="309"/>
    <x v="86"/>
    <x v="201"/>
    <x v="0"/>
    <x v="5"/>
    <x v="5"/>
    <n v="0"/>
    <n v="0"/>
  </r>
  <r>
    <s v="SPAR WESTERN CAPE"/>
    <x v="10"/>
    <x v="315"/>
    <x v="309"/>
    <x v="86"/>
    <x v="201"/>
    <x v="0"/>
    <x v="6"/>
    <x v="6"/>
    <n v="0"/>
    <n v="0"/>
  </r>
  <r>
    <s v="SPAR WESTERN CAPE"/>
    <x v="10"/>
    <x v="316"/>
    <x v="310"/>
    <x v="11"/>
    <x v="202"/>
    <x v="0"/>
    <x v="0"/>
    <x v="0"/>
    <n v="0"/>
    <n v="0"/>
  </r>
  <r>
    <s v="SPAR WESTERN CAPE"/>
    <x v="10"/>
    <x v="316"/>
    <x v="310"/>
    <x v="11"/>
    <x v="202"/>
    <x v="0"/>
    <x v="1"/>
    <x v="1"/>
    <n v="0"/>
    <n v="0"/>
  </r>
  <r>
    <s v="SPAR WESTERN CAPE"/>
    <x v="10"/>
    <x v="316"/>
    <x v="310"/>
    <x v="11"/>
    <x v="202"/>
    <x v="0"/>
    <x v="3"/>
    <x v="3"/>
    <n v="0"/>
    <n v="0"/>
  </r>
  <r>
    <s v="SPAR WESTERN CAPE"/>
    <x v="10"/>
    <x v="316"/>
    <x v="310"/>
    <x v="11"/>
    <x v="202"/>
    <x v="0"/>
    <x v="6"/>
    <x v="6"/>
    <n v="0"/>
    <n v="0"/>
  </r>
  <r>
    <s v="SPAR WESTERN CAPE"/>
    <x v="10"/>
    <x v="317"/>
    <x v="311"/>
    <x v="11"/>
    <x v="200"/>
    <x v="0"/>
    <x v="0"/>
    <x v="0"/>
    <n v="0"/>
    <n v="0"/>
  </r>
  <r>
    <s v="SPAR WESTERN CAPE"/>
    <x v="10"/>
    <x v="317"/>
    <x v="311"/>
    <x v="11"/>
    <x v="200"/>
    <x v="0"/>
    <x v="1"/>
    <x v="1"/>
    <n v="0"/>
    <n v="0"/>
  </r>
  <r>
    <s v="SPAR WESTERN CAPE"/>
    <x v="10"/>
    <x v="317"/>
    <x v="311"/>
    <x v="11"/>
    <x v="200"/>
    <x v="0"/>
    <x v="4"/>
    <x v="4"/>
    <n v="0"/>
    <n v="0"/>
  </r>
  <r>
    <s v="SPAR WESTERN CAPE"/>
    <x v="10"/>
    <x v="317"/>
    <x v="311"/>
    <x v="11"/>
    <x v="200"/>
    <x v="0"/>
    <x v="5"/>
    <x v="5"/>
    <n v="0"/>
    <n v="0"/>
  </r>
  <r>
    <s v="SPAR WESTERN CAPE"/>
    <x v="10"/>
    <x v="317"/>
    <x v="311"/>
    <x v="11"/>
    <x v="200"/>
    <x v="0"/>
    <x v="6"/>
    <x v="6"/>
    <n v="0"/>
    <n v="0"/>
  </r>
  <r>
    <s v="SPAR WESTERN CAPE"/>
    <x v="10"/>
    <x v="318"/>
    <x v="312"/>
    <x v="83"/>
    <x v="56"/>
    <x v="0"/>
    <x v="0"/>
    <x v="0"/>
    <n v="0"/>
    <n v="0"/>
  </r>
  <r>
    <s v="SPAR WESTERN CAPE"/>
    <x v="10"/>
    <x v="318"/>
    <x v="312"/>
    <x v="83"/>
    <x v="56"/>
    <x v="0"/>
    <x v="1"/>
    <x v="1"/>
    <n v="0"/>
    <n v="0"/>
  </r>
  <r>
    <s v="SPAR WESTERN CAPE"/>
    <x v="10"/>
    <x v="318"/>
    <x v="312"/>
    <x v="83"/>
    <x v="56"/>
    <x v="0"/>
    <x v="2"/>
    <x v="2"/>
    <n v="0"/>
    <n v="0"/>
  </r>
  <r>
    <s v="SPAR WESTERN CAPE"/>
    <x v="10"/>
    <x v="318"/>
    <x v="312"/>
    <x v="83"/>
    <x v="56"/>
    <x v="0"/>
    <x v="3"/>
    <x v="3"/>
    <n v="0"/>
    <n v="0"/>
  </r>
  <r>
    <s v="SPAR WESTERN CAPE"/>
    <x v="10"/>
    <x v="318"/>
    <x v="312"/>
    <x v="83"/>
    <x v="56"/>
    <x v="0"/>
    <x v="4"/>
    <x v="4"/>
    <n v="0"/>
    <n v="0"/>
  </r>
  <r>
    <s v="SPAR WESTERN CAPE"/>
    <x v="10"/>
    <x v="318"/>
    <x v="312"/>
    <x v="83"/>
    <x v="56"/>
    <x v="0"/>
    <x v="5"/>
    <x v="5"/>
    <n v="0"/>
    <n v="0"/>
  </r>
  <r>
    <s v="SPAR WESTERN CAPE"/>
    <x v="10"/>
    <x v="318"/>
    <x v="312"/>
    <x v="83"/>
    <x v="56"/>
    <x v="0"/>
    <x v="6"/>
    <x v="6"/>
    <n v="0"/>
    <n v="0"/>
  </r>
  <r>
    <s v="SPAR WESTERN CAPE"/>
    <x v="12"/>
    <x v="319"/>
    <x v="313"/>
    <x v="64"/>
    <x v="203"/>
    <x v="0"/>
    <x v="0"/>
    <x v="0"/>
    <n v="0"/>
    <n v="0"/>
  </r>
  <r>
    <s v="SPAR WESTERN CAPE"/>
    <x v="12"/>
    <x v="319"/>
    <x v="313"/>
    <x v="64"/>
    <x v="203"/>
    <x v="0"/>
    <x v="1"/>
    <x v="1"/>
    <n v="0"/>
    <n v="0"/>
  </r>
  <r>
    <s v="SPAR WESTERN CAPE"/>
    <x v="12"/>
    <x v="319"/>
    <x v="313"/>
    <x v="64"/>
    <x v="203"/>
    <x v="0"/>
    <x v="2"/>
    <x v="2"/>
    <n v="0"/>
    <n v="0"/>
  </r>
  <r>
    <s v="SPAR WESTERN CAPE"/>
    <x v="12"/>
    <x v="319"/>
    <x v="313"/>
    <x v="64"/>
    <x v="203"/>
    <x v="0"/>
    <x v="3"/>
    <x v="3"/>
    <n v="0"/>
    <n v="0"/>
  </r>
  <r>
    <s v="SPAR WESTERN CAPE"/>
    <x v="12"/>
    <x v="319"/>
    <x v="313"/>
    <x v="64"/>
    <x v="203"/>
    <x v="0"/>
    <x v="4"/>
    <x v="4"/>
    <n v="0"/>
    <n v="0"/>
  </r>
  <r>
    <s v="SPAR WESTERN CAPE"/>
    <x v="12"/>
    <x v="319"/>
    <x v="313"/>
    <x v="64"/>
    <x v="203"/>
    <x v="0"/>
    <x v="5"/>
    <x v="5"/>
    <n v="0"/>
    <n v="0"/>
  </r>
  <r>
    <s v="SPAR WESTERN CAPE"/>
    <x v="12"/>
    <x v="319"/>
    <x v="313"/>
    <x v="64"/>
    <x v="203"/>
    <x v="0"/>
    <x v="6"/>
    <x v="6"/>
    <n v="0"/>
    <n v="0"/>
  </r>
  <r>
    <s v="SPAR WESTERN CAPE"/>
    <x v="10"/>
    <x v="320"/>
    <x v="314"/>
    <x v="60"/>
    <x v="204"/>
    <x v="0"/>
    <x v="0"/>
    <x v="0"/>
    <n v="0"/>
    <n v="0"/>
  </r>
  <r>
    <s v="SPAR WESTERN CAPE"/>
    <x v="10"/>
    <x v="320"/>
    <x v="314"/>
    <x v="60"/>
    <x v="204"/>
    <x v="0"/>
    <x v="1"/>
    <x v="1"/>
    <n v="0"/>
    <n v="0"/>
  </r>
  <r>
    <s v="SPAR WESTERN CAPE"/>
    <x v="10"/>
    <x v="320"/>
    <x v="314"/>
    <x v="60"/>
    <x v="204"/>
    <x v="0"/>
    <x v="2"/>
    <x v="2"/>
    <n v="0"/>
    <n v="0"/>
  </r>
  <r>
    <s v="SPAR WESTERN CAPE"/>
    <x v="10"/>
    <x v="320"/>
    <x v="314"/>
    <x v="60"/>
    <x v="204"/>
    <x v="0"/>
    <x v="6"/>
    <x v="6"/>
    <n v="0"/>
    <n v="0"/>
  </r>
  <r>
    <s v="SPAR WESTERN CAPE"/>
    <x v="13"/>
    <x v="321"/>
    <x v="315"/>
    <x v="30"/>
    <x v="205"/>
    <x v="0"/>
    <x v="0"/>
    <x v="0"/>
    <n v="0"/>
    <n v="0"/>
  </r>
  <r>
    <s v="SPAR WESTERN CAPE"/>
    <x v="13"/>
    <x v="321"/>
    <x v="315"/>
    <x v="30"/>
    <x v="205"/>
    <x v="0"/>
    <x v="1"/>
    <x v="1"/>
    <n v="0"/>
    <n v="0"/>
  </r>
  <r>
    <s v="SPAR WESTERN CAPE"/>
    <x v="13"/>
    <x v="321"/>
    <x v="315"/>
    <x v="30"/>
    <x v="205"/>
    <x v="0"/>
    <x v="2"/>
    <x v="2"/>
    <n v="0"/>
    <n v="0"/>
  </r>
  <r>
    <s v="SPAR WESTERN CAPE"/>
    <x v="13"/>
    <x v="321"/>
    <x v="315"/>
    <x v="30"/>
    <x v="205"/>
    <x v="0"/>
    <x v="3"/>
    <x v="3"/>
    <n v="0"/>
    <n v="0"/>
  </r>
  <r>
    <s v="SPAR WESTERN CAPE"/>
    <x v="13"/>
    <x v="321"/>
    <x v="315"/>
    <x v="30"/>
    <x v="205"/>
    <x v="0"/>
    <x v="4"/>
    <x v="4"/>
    <n v="0"/>
    <n v="0"/>
  </r>
  <r>
    <s v="SPAR WESTERN CAPE"/>
    <x v="13"/>
    <x v="321"/>
    <x v="315"/>
    <x v="30"/>
    <x v="205"/>
    <x v="0"/>
    <x v="5"/>
    <x v="5"/>
    <n v="0"/>
    <n v="0"/>
  </r>
  <r>
    <s v="SPAR WESTERN CAPE"/>
    <x v="13"/>
    <x v="321"/>
    <x v="315"/>
    <x v="30"/>
    <x v="205"/>
    <x v="0"/>
    <x v="6"/>
    <x v="6"/>
    <n v="0"/>
    <n v="0"/>
  </r>
  <r>
    <s v="SPAR WESTERN CAPE"/>
    <x v="13"/>
    <x v="322"/>
    <x v="316"/>
    <x v="30"/>
    <x v="205"/>
    <x v="0"/>
    <x v="0"/>
    <x v="0"/>
    <n v="0"/>
    <n v="0"/>
  </r>
  <r>
    <s v="SPAR WESTERN CAPE"/>
    <x v="13"/>
    <x v="322"/>
    <x v="316"/>
    <x v="30"/>
    <x v="205"/>
    <x v="0"/>
    <x v="1"/>
    <x v="1"/>
    <n v="0"/>
    <n v="0"/>
  </r>
  <r>
    <s v="SPAR WESTERN CAPE"/>
    <x v="13"/>
    <x v="322"/>
    <x v="316"/>
    <x v="30"/>
    <x v="205"/>
    <x v="0"/>
    <x v="2"/>
    <x v="2"/>
    <n v="0"/>
    <n v="0"/>
  </r>
  <r>
    <s v="SPAR WESTERN CAPE"/>
    <x v="13"/>
    <x v="322"/>
    <x v="316"/>
    <x v="30"/>
    <x v="205"/>
    <x v="0"/>
    <x v="3"/>
    <x v="3"/>
    <n v="0"/>
    <n v="0"/>
  </r>
  <r>
    <s v="SPAR WESTERN CAPE"/>
    <x v="13"/>
    <x v="322"/>
    <x v="316"/>
    <x v="30"/>
    <x v="205"/>
    <x v="0"/>
    <x v="4"/>
    <x v="4"/>
    <n v="0"/>
    <n v="0"/>
  </r>
  <r>
    <s v="SPAR WESTERN CAPE"/>
    <x v="13"/>
    <x v="322"/>
    <x v="316"/>
    <x v="30"/>
    <x v="205"/>
    <x v="0"/>
    <x v="5"/>
    <x v="5"/>
    <n v="0"/>
    <n v="0"/>
  </r>
  <r>
    <s v="SPAR WESTERN CAPE"/>
    <x v="13"/>
    <x v="322"/>
    <x v="316"/>
    <x v="30"/>
    <x v="205"/>
    <x v="0"/>
    <x v="6"/>
    <x v="6"/>
    <n v="0"/>
    <n v="0"/>
  </r>
  <r>
    <s v="SPAR WESTERN CAPE"/>
    <x v="13"/>
    <x v="323"/>
    <x v="317"/>
    <x v="30"/>
    <x v="205"/>
    <x v="0"/>
    <x v="0"/>
    <x v="0"/>
    <n v="0"/>
    <n v="0"/>
  </r>
  <r>
    <s v="SPAR WESTERN CAPE"/>
    <x v="13"/>
    <x v="323"/>
    <x v="317"/>
    <x v="30"/>
    <x v="205"/>
    <x v="0"/>
    <x v="1"/>
    <x v="1"/>
    <n v="0"/>
    <n v="0"/>
  </r>
  <r>
    <s v="SPAR WESTERN CAPE"/>
    <x v="13"/>
    <x v="323"/>
    <x v="317"/>
    <x v="30"/>
    <x v="205"/>
    <x v="0"/>
    <x v="2"/>
    <x v="2"/>
    <n v="0"/>
    <n v="0"/>
  </r>
  <r>
    <s v="SPAR WESTERN CAPE"/>
    <x v="13"/>
    <x v="323"/>
    <x v="317"/>
    <x v="30"/>
    <x v="205"/>
    <x v="0"/>
    <x v="3"/>
    <x v="3"/>
    <n v="0"/>
    <n v="0"/>
  </r>
  <r>
    <s v="SPAR WESTERN CAPE"/>
    <x v="13"/>
    <x v="323"/>
    <x v="317"/>
    <x v="30"/>
    <x v="205"/>
    <x v="0"/>
    <x v="4"/>
    <x v="4"/>
    <n v="0"/>
    <n v="0"/>
  </r>
  <r>
    <s v="SPAR WESTERN CAPE"/>
    <x v="13"/>
    <x v="323"/>
    <x v="317"/>
    <x v="30"/>
    <x v="205"/>
    <x v="0"/>
    <x v="5"/>
    <x v="5"/>
    <n v="0"/>
    <n v="0"/>
  </r>
  <r>
    <s v="SPAR WESTERN CAPE"/>
    <x v="13"/>
    <x v="323"/>
    <x v="317"/>
    <x v="30"/>
    <x v="205"/>
    <x v="0"/>
    <x v="6"/>
    <x v="6"/>
    <n v="0"/>
    <n v="0"/>
  </r>
  <r>
    <s v="SPAR WESTERN CAPE"/>
    <x v="13"/>
    <x v="324"/>
    <x v="317"/>
    <x v="34"/>
    <x v="54"/>
    <x v="0"/>
    <x v="0"/>
    <x v="0"/>
    <n v="0"/>
    <n v="0"/>
  </r>
  <r>
    <s v="SPAR WESTERN CAPE"/>
    <x v="13"/>
    <x v="324"/>
    <x v="317"/>
    <x v="34"/>
    <x v="54"/>
    <x v="0"/>
    <x v="1"/>
    <x v="1"/>
    <n v="0"/>
    <n v="0"/>
  </r>
  <r>
    <s v="SPAR WESTERN CAPE"/>
    <x v="13"/>
    <x v="324"/>
    <x v="317"/>
    <x v="34"/>
    <x v="54"/>
    <x v="0"/>
    <x v="2"/>
    <x v="2"/>
    <n v="0"/>
    <n v="0"/>
  </r>
  <r>
    <s v="SPAR WESTERN CAPE"/>
    <x v="13"/>
    <x v="324"/>
    <x v="317"/>
    <x v="34"/>
    <x v="54"/>
    <x v="0"/>
    <x v="3"/>
    <x v="3"/>
    <n v="0"/>
    <n v="0"/>
  </r>
  <r>
    <s v="SPAR WESTERN CAPE"/>
    <x v="13"/>
    <x v="324"/>
    <x v="317"/>
    <x v="34"/>
    <x v="54"/>
    <x v="0"/>
    <x v="4"/>
    <x v="4"/>
    <n v="0"/>
    <n v="0"/>
  </r>
  <r>
    <s v="SPAR WESTERN CAPE"/>
    <x v="13"/>
    <x v="324"/>
    <x v="317"/>
    <x v="34"/>
    <x v="54"/>
    <x v="0"/>
    <x v="5"/>
    <x v="5"/>
    <n v="0"/>
    <n v="0"/>
  </r>
  <r>
    <s v="SPAR WESTERN CAPE"/>
    <x v="13"/>
    <x v="324"/>
    <x v="317"/>
    <x v="34"/>
    <x v="54"/>
    <x v="0"/>
    <x v="6"/>
    <x v="6"/>
    <n v="0"/>
    <n v="0"/>
  </r>
  <r>
    <s v="SPAR WESTERN CAPE"/>
    <x v="14"/>
    <x v="325"/>
    <x v="318"/>
    <x v="0"/>
    <x v="1"/>
    <x v="0"/>
    <x v="0"/>
    <x v="0"/>
    <n v="0"/>
    <n v="0"/>
  </r>
  <r>
    <s v="SPAR WESTERN CAPE"/>
    <x v="14"/>
    <x v="325"/>
    <x v="318"/>
    <x v="0"/>
    <x v="1"/>
    <x v="0"/>
    <x v="2"/>
    <x v="2"/>
    <n v="0"/>
    <n v="0"/>
  </r>
  <r>
    <s v="SPAR WESTERN CAPE"/>
    <x v="14"/>
    <x v="325"/>
    <x v="318"/>
    <x v="0"/>
    <x v="1"/>
    <x v="0"/>
    <x v="3"/>
    <x v="3"/>
    <n v="0"/>
    <n v="0"/>
  </r>
  <r>
    <s v="SPAR WESTERN CAPE"/>
    <x v="14"/>
    <x v="325"/>
    <x v="318"/>
    <x v="0"/>
    <x v="1"/>
    <x v="0"/>
    <x v="4"/>
    <x v="4"/>
    <n v="0"/>
    <n v="0"/>
  </r>
  <r>
    <s v="SPAR WESTERN CAPE"/>
    <x v="14"/>
    <x v="325"/>
    <x v="318"/>
    <x v="0"/>
    <x v="1"/>
    <x v="0"/>
    <x v="5"/>
    <x v="5"/>
    <n v="0"/>
    <n v="0"/>
  </r>
  <r>
    <s v="SPAR WESTERN CAPE"/>
    <x v="14"/>
    <x v="325"/>
    <x v="318"/>
    <x v="0"/>
    <x v="1"/>
    <x v="0"/>
    <x v="6"/>
    <x v="6"/>
    <n v="0"/>
    <n v="0"/>
  </r>
  <r>
    <s v="SPAR WESTERN CAPE"/>
    <x v="14"/>
    <x v="326"/>
    <x v="319"/>
    <x v="0"/>
    <x v="1"/>
    <x v="0"/>
    <x v="1"/>
    <x v="1"/>
    <n v="0"/>
    <n v="0"/>
  </r>
  <r>
    <s v="SPAR WESTERN CAPE"/>
    <x v="14"/>
    <x v="326"/>
    <x v="319"/>
    <x v="0"/>
    <x v="1"/>
    <x v="0"/>
    <x v="3"/>
    <x v="3"/>
    <n v="0"/>
    <n v="0"/>
  </r>
  <r>
    <s v="SPAR WESTERN CAPE"/>
    <x v="14"/>
    <x v="326"/>
    <x v="319"/>
    <x v="0"/>
    <x v="1"/>
    <x v="0"/>
    <x v="4"/>
    <x v="4"/>
    <n v="0"/>
    <n v="0"/>
  </r>
  <r>
    <s v="SPAR WESTERN CAPE"/>
    <x v="14"/>
    <x v="326"/>
    <x v="319"/>
    <x v="0"/>
    <x v="1"/>
    <x v="0"/>
    <x v="6"/>
    <x v="6"/>
    <n v="0"/>
    <n v="0"/>
  </r>
  <r>
    <s v="SPAR WESTERN CAPE"/>
    <x v="14"/>
    <x v="327"/>
    <x v="320"/>
    <x v="87"/>
    <x v="206"/>
    <x v="0"/>
    <x v="0"/>
    <x v="0"/>
    <n v="0"/>
    <n v="0"/>
  </r>
  <r>
    <s v="SPAR WESTERN CAPE"/>
    <x v="14"/>
    <x v="327"/>
    <x v="320"/>
    <x v="87"/>
    <x v="206"/>
    <x v="0"/>
    <x v="1"/>
    <x v="1"/>
    <n v="0"/>
    <n v="0"/>
  </r>
  <r>
    <s v="SPAR WESTERN CAPE"/>
    <x v="14"/>
    <x v="327"/>
    <x v="320"/>
    <x v="87"/>
    <x v="206"/>
    <x v="0"/>
    <x v="2"/>
    <x v="2"/>
    <n v="0"/>
    <n v="0"/>
  </r>
  <r>
    <s v="SPAR WESTERN CAPE"/>
    <x v="14"/>
    <x v="327"/>
    <x v="320"/>
    <x v="87"/>
    <x v="206"/>
    <x v="0"/>
    <x v="3"/>
    <x v="3"/>
    <n v="0"/>
    <n v="0"/>
  </r>
  <r>
    <s v="SPAR WESTERN CAPE"/>
    <x v="14"/>
    <x v="327"/>
    <x v="320"/>
    <x v="87"/>
    <x v="206"/>
    <x v="0"/>
    <x v="5"/>
    <x v="5"/>
    <n v="0"/>
    <n v="0"/>
  </r>
  <r>
    <s v="SPAR WESTERN CAPE"/>
    <x v="14"/>
    <x v="327"/>
    <x v="320"/>
    <x v="87"/>
    <x v="206"/>
    <x v="0"/>
    <x v="6"/>
    <x v="6"/>
    <n v="0"/>
    <n v="0"/>
  </r>
  <r>
    <s v="SPAR WESTERN CAPE"/>
    <x v="14"/>
    <x v="328"/>
    <x v="321"/>
    <x v="87"/>
    <x v="207"/>
    <x v="0"/>
    <x v="0"/>
    <x v="0"/>
    <n v="0"/>
    <n v="0"/>
  </r>
  <r>
    <s v="SPAR WESTERN CAPE"/>
    <x v="14"/>
    <x v="328"/>
    <x v="321"/>
    <x v="87"/>
    <x v="207"/>
    <x v="0"/>
    <x v="1"/>
    <x v="1"/>
    <n v="0"/>
    <n v="0"/>
  </r>
  <r>
    <s v="SPAR WESTERN CAPE"/>
    <x v="14"/>
    <x v="328"/>
    <x v="321"/>
    <x v="87"/>
    <x v="207"/>
    <x v="0"/>
    <x v="2"/>
    <x v="2"/>
    <n v="0"/>
    <n v="0"/>
  </r>
  <r>
    <s v="SPAR WESTERN CAPE"/>
    <x v="14"/>
    <x v="328"/>
    <x v="321"/>
    <x v="87"/>
    <x v="207"/>
    <x v="0"/>
    <x v="4"/>
    <x v="4"/>
    <n v="0"/>
    <n v="0"/>
  </r>
  <r>
    <s v="SPAR WESTERN CAPE"/>
    <x v="14"/>
    <x v="328"/>
    <x v="321"/>
    <x v="87"/>
    <x v="207"/>
    <x v="0"/>
    <x v="5"/>
    <x v="5"/>
    <n v="0"/>
    <n v="0"/>
  </r>
  <r>
    <s v="SPAR WESTERN CAPE"/>
    <x v="14"/>
    <x v="328"/>
    <x v="321"/>
    <x v="87"/>
    <x v="207"/>
    <x v="0"/>
    <x v="6"/>
    <x v="6"/>
    <n v="0"/>
    <n v="0"/>
  </r>
  <r>
    <s v="SPAR WESTERN CAPE"/>
    <x v="14"/>
    <x v="329"/>
    <x v="322"/>
    <x v="88"/>
    <x v="208"/>
    <x v="0"/>
    <x v="2"/>
    <x v="2"/>
    <n v="0"/>
    <n v="0"/>
  </r>
  <r>
    <s v="SPAR WESTERN CAPE"/>
    <x v="14"/>
    <x v="329"/>
    <x v="322"/>
    <x v="88"/>
    <x v="208"/>
    <x v="0"/>
    <x v="4"/>
    <x v="4"/>
    <n v="0"/>
    <n v="0"/>
  </r>
  <r>
    <s v="SPAR WESTERN CAPE"/>
    <x v="14"/>
    <x v="329"/>
    <x v="322"/>
    <x v="88"/>
    <x v="208"/>
    <x v="0"/>
    <x v="5"/>
    <x v="5"/>
    <n v="0"/>
    <n v="0"/>
  </r>
  <r>
    <s v="SPAR WESTERN CAPE"/>
    <x v="14"/>
    <x v="329"/>
    <x v="322"/>
    <x v="88"/>
    <x v="208"/>
    <x v="0"/>
    <x v="6"/>
    <x v="6"/>
    <n v="0"/>
    <n v="0"/>
  </r>
  <r>
    <s v="SPAR WESTERN CAPE"/>
    <x v="14"/>
    <x v="330"/>
    <x v="323"/>
    <x v="88"/>
    <x v="208"/>
    <x v="0"/>
    <x v="0"/>
    <x v="0"/>
    <n v="0"/>
    <n v="0"/>
  </r>
  <r>
    <s v="SPAR WESTERN CAPE"/>
    <x v="14"/>
    <x v="330"/>
    <x v="323"/>
    <x v="88"/>
    <x v="208"/>
    <x v="0"/>
    <x v="2"/>
    <x v="2"/>
    <n v="0"/>
    <n v="0"/>
  </r>
  <r>
    <s v="SPAR WESTERN CAPE"/>
    <x v="14"/>
    <x v="330"/>
    <x v="323"/>
    <x v="88"/>
    <x v="208"/>
    <x v="0"/>
    <x v="3"/>
    <x v="3"/>
    <n v="0"/>
    <n v="0"/>
  </r>
  <r>
    <s v="SPAR WESTERN CAPE"/>
    <x v="14"/>
    <x v="330"/>
    <x v="323"/>
    <x v="88"/>
    <x v="208"/>
    <x v="0"/>
    <x v="5"/>
    <x v="5"/>
    <n v="0"/>
    <n v="0"/>
  </r>
  <r>
    <s v="SPAR WESTERN CAPE"/>
    <x v="14"/>
    <x v="330"/>
    <x v="323"/>
    <x v="88"/>
    <x v="208"/>
    <x v="0"/>
    <x v="6"/>
    <x v="6"/>
    <n v="0"/>
    <n v="0"/>
  </r>
  <r>
    <s v="SPAR WESTERN CAPE"/>
    <x v="14"/>
    <x v="331"/>
    <x v="324"/>
    <x v="87"/>
    <x v="207"/>
    <x v="0"/>
    <x v="0"/>
    <x v="0"/>
    <n v="0"/>
    <n v="0"/>
  </r>
  <r>
    <s v="SPAR WESTERN CAPE"/>
    <x v="14"/>
    <x v="331"/>
    <x v="324"/>
    <x v="87"/>
    <x v="207"/>
    <x v="0"/>
    <x v="1"/>
    <x v="1"/>
    <n v="0"/>
    <n v="0"/>
  </r>
  <r>
    <s v="SPAR WESTERN CAPE"/>
    <x v="14"/>
    <x v="331"/>
    <x v="324"/>
    <x v="87"/>
    <x v="207"/>
    <x v="0"/>
    <x v="2"/>
    <x v="2"/>
    <n v="0"/>
    <n v="0"/>
  </r>
  <r>
    <s v="SPAR WESTERN CAPE"/>
    <x v="14"/>
    <x v="331"/>
    <x v="324"/>
    <x v="87"/>
    <x v="207"/>
    <x v="0"/>
    <x v="4"/>
    <x v="4"/>
    <n v="0"/>
    <n v="0"/>
  </r>
  <r>
    <s v="SPAR WESTERN CAPE"/>
    <x v="14"/>
    <x v="331"/>
    <x v="324"/>
    <x v="87"/>
    <x v="207"/>
    <x v="0"/>
    <x v="5"/>
    <x v="5"/>
    <n v="0"/>
    <n v="0"/>
  </r>
  <r>
    <s v="SPAR WESTERN CAPE"/>
    <x v="14"/>
    <x v="331"/>
    <x v="324"/>
    <x v="87"/>
    <x v="207"/>
    <x v="0"/>
    <x v="6"/>
    <x v="6"/>
    <n v="0"/>
    <n v="0"/>
  </r>
  <r>
    <s v="SPAR WESTERN CAPE"/>
    <x v="14"/>
    <x v="332"/>
    <x v="325"/>
    <x v="87"/>
    <x v="207"/>
    <x v="0"/>
    <x v="0"/>
    <x v="0"/>
    <n v="0"/>
    <n v="0"/>
  </r>
  <r>
    <s v="SPAR WESTERN CAPE"/>
    <x v="14"/>
    <x v="332"/>
    <x v="325"/>
    <x v="87"/>
    <x v="207"/>
    <x v="0"/>
    <x v="2"/>
    <x v="2"/>
    <n v="0"/>
    <n v="0"/>
  </r>
  <r>
    <s v="SPAR WESTERN CAPE"/>
    <x v="14"/>
    <x v="332"/>
    <x v="325"/>
    <x v="87"/>
    <x v="207"/>
    <x v="0"/>
    <x v="3"/>
    <x v="3"/>
    <n v="0"/>
    <n v="0"/>
  </r>
  <r>
    <s v="SPAR WESTERN CAPE"/>
    <x v="14"/>
    <x v="332"/>
    <x v="325"/>
    <x v="87"/>
    <x v="207"/>
    <x v="0"/>
    <x v="4"/>
    <x v="4"/>
    <n v="0"/>
    <n v="0"/>
  </r>
  <r>
    <s v="SPAR WESTERN CAPE"/>
    <x v="14"/>
    <x v="332"/>
    <x v="325"/>
    <x v="87"/>
    <x v="207"/>
    <x v="0"/>
    <x v="5"/>
    <x v="5"/>
    <n v="0"/>
    <n v="0"/>
  </r>
  <r>
    <s v="SPAR WESTERN CAPE"/>
    <x v="14"/>
    <x v="332"/>
    <x v="325"/>
    <x v="87"/>
    <x v="207"/>
    <x v="0"/>
    <x v="6"/>
    <x v="6"/>
    <n v="0"/>
    <n v="0"/>
  </r>
  <r>
    <s v="SPAR WESTERN CAPE"/>
    <x v="14"/>
    <x v="333"/>
    <x v="326"/>
    <x v="87"/>
    <x v="207"/>
    <x v="0"/>
    <x v="0"/>
    <x v="0"/>
    <n v="0"/>
    <n v="0"/>
  </r>
  <r>
    <s v="SPAR WESTERN CAPE"/>
    <x v="14"/>
    <x v="333"/>
    <x v="326"/>
    <x v="87"/>
    <x v="207"/>
    <x v="0"/>
    <x v="1"/>
    <x v="1"/>
    <n v="0"/>
    <n v="0"/>
  </r>
  <r>
    <s v="SPAR WESTERN CAPE"/>
    <x v="14"/>
    <x v="333"/>
    <x v="326"/>
    <x v="87"/>
    <x v="207"/>
    <x v="0"/>
    <x v="2"/>
    <x v="2"/>
    <n v="0"/>
    <n v="0"/>
  </r>
  <r>
    <s v="SPAR WESTERN CAPE"/>
    <x v="14"/>
    <x v="333"/>
    <x v="326"/>
    <x v="87"/>
    <x v="207"/>
    <x v="0"/>
    <x v="3"/>
    <x v="3"/>
    <n v="0"/>
    <n v="0"/>
  </r>
  <r>
    <s v="SPAR WESTERN CAPE"/>
    <x v="14"/>
    <x v="333"/>
    <x v="326"/>
    <x v="87"/>
    <x v="207"/>
    <x v="0"/>
    <x v="4"/>
    <x v="4"/>
    <n v="0"/>
    <n v="0"/>
  </r>
  <r>
    <s v="SPAR WESTERN CAPE"/>
    <x v="14"/>
    <x v="333"/>
    <x v="326"/>
    <x v="87"/>
    <x v="207"/>
    <x v="0"/>
    <x v="5"/>
    <x v="5"/>
    <n v="0"/>
    <n v="0"/>
  </r>
  <r>
    <s v="SPAR WESTERN CAPE"/>
    <x v="14"/>
    <x v="333"/>
    <x v="326"/>
    <x v="87"/>
    <x v="207"/>
    <x v="0"/>
    <x v="6"/>
    <x v="6"/>
    <n v="0"/>
    <n v="0"/>
  </r>
  <r>
    <s v="SPAR WESTERN CAPE"/>
    <x v="10"/>
    <x v="334"/>
    <x v="327"/>
    <x v="7"/>
    <x v="209"/>
    <x v="0"/>
    <x v="0"/>
    <x v="0"/>
    <n v="0"/>
    <n v="0"/>
  </r>
  <r>
    <s v="SPAR WESTERN CAPE"/>
    <x v="10"/>
    <x v="334"/>
    <x v="327"/>
    <x v="7"/>
    <x v="209"/>
    <x v="0"/>
    <x v="1"/>
    <x v="1"/>
    <n v="0"/>
    <n v="0"/>
  </r>
  <r>
    <s v="SPAR WESTERN CAPE"/>
    <x v="10"/>
    <x v="334"/>
    <x v="327"/>
    <x v="7"/>
    <x v="209"/>
    <x v="0"/>
    <x v="2"/>
    <x v="2"/>
    <n v="0"/>
    <n v="0"/>
  </r>
  <r>
    <s v="SPAR WESTERN CAPE"/>
    <x v="10"/>
    <x v="334"/>
    <x v="327"/>
    <x v="7"/>
    <x v="209"/>
    <x v="0"/>
    <x v="3"/>
    <x v="3"/>
    <n v="0"/>
    <n v="0"/>
  </r>
  <r>
    <s v="SPAR WESTERN CAPE"/>
    <x v="10"/>
    <x v="334"/>
    <x v="327"/>
    <x v="7"/>
    <x v="209"/>
    <x v="0"/>
    <x v="4"/>
    <x v="4"/>
    <n v="0"/>
    <n v="0"/>
  </r>
  <r>
    <s v="SPAR WESTERN CAPE"/>
    <x v="10"/>
    <x v="334"/>
    <x v="327"/>
    <x v="7"/>
    <x v="209"/>
    <x v="0"/>
    <x v="5"/>
    <x v="5"/>
    <n v="0"/>
    <n v="0"/>
  </r>
  <r>
    <s v="SPAR WESTERN CAPE"/>
    <x v="10"/>
    <x v="334"/>
    <x v="327"/>
    <x v="7"/>
    <x v="209"/>
    <x v="0"/>
    <x v="6"/>
    <x v="6"/>
    <n v="0"/>
    <n v="0"/>
  </r>
  <r>
    <s v="SPAR WESTERN CAPE"/>
    <x v="15"/>
    <x v="335"/>
    <x v="328"/>
    <x v="4"/>
    <x v="210"/>
    <x v="0"/>
    <x v="0"/>
    <x v="0"/>
    <n v="0"/>
    <n v="0"/>
  </r>
  <r>
    <s v="SPAR WESTERN CAPE"/>
    <x v="15"/>
    <x v="335"/>
    <x v="328"/>
    <x v="4"/>
    <x v="210"/>
    <x v="0"/>
    <x v="1"/>
    <x v="1"/>
    <n v="0"/>
    <n v="0"/>
  </r>
  <r>
    <s v="SPAR WESTERN CAPE"/>
    <x v="15"/>
    <x v="335"/>
    <x v="328"/>
    <x v="4"/>
    <x v="210"/>
    <x v="0"/>
    <x v="2"/>
    <x v="2"/>
    <n v="0"/>
    <n v="0"/>
  </r>
  <r>
    <s v="SPAR WESTERN CAPE"/>
    <x v="15"/>
    <x v="335"/>
    <x v="328"/>
    <x v="4"/>
    <x v="210"/>
    <x v="0"/>
    <x v="3"/>
    <x v="3"/>
    <n v="0"/>
    <n v="0"/>
  </r>
  <r>
    <s v="SPAR WESTERN CAPE"/>
    <x v="15"/>
    <x v="335"/>
    <x v="328"/>
    <x v="4"/>
    <x v="210"/>
    <x v="0"/>
    <x v="4"/>
    <x v="4"/>
    <n v="0"/>
    <n v="0"/>
  </r>
  <r>
    <s v="SPAR WESTERN CAPE"/>
    <x v="15"/>
    <x v="335"/>
    <x v="328"/>
    <x v="4"/>
    <x v="210"/>
    <x v="0"/>
    <x v="5"/>
    <x v="5"/>
    <n v="0"/>
    <n v="0"/>
  </r>
  <r>
    <s v="SPAR WESTERN CAPE"/>
    <x v="15"/>
    <x v="335"/>
    <x v="328"/>
    <x v="4"/>
    <x v="210"/>
    <x v="0"/>
    <x v="6"/>
    <x v="6"/>
    <n v="0"/>
    <n v="0"/>
  </r>
  <r>
    <s v="SPAR WESTERN CAPE"/>
    <x v="16"/>
    <x v="336"/>
    <x v="329"/>
    <x v="89"/>
    <x v="211"/>
    <x v="0"/>
    <x v="0"/>
    <x v="0"/>
    <n v="0"/>
    <n v="0"/>
  </r>
  <r>
    <s v="SPAR WESTERN CAPE"/>
    <x v="16"/>
    <x v="336"/>
    <x v="329"/>
    <x v="89"/>
    <x v="211"/>
    <x v="0"/>
    <x v="1"/>
    <x v="1"/>
    <n v="0"/>
    <n v="0"/>
  </r>
  <r>
    <s v="SPAR WESTERN CAPE"/>
    <x v="16"/>
    <x v="336"/>
    <x v="329"/>
    <x v="89"/>
    <x v="211"/>
    <x v="0"/>
    <x v="2"/>
    <x v="2"/>
    <n v="0"/>
    <n v="0"/>
  </r>
  <r>
    <s v="SPAR WESTERN CAPE"/>
    <x v="16"/>
    <x v="336"/>
    <x v="329"/>
    <x v="89"/>
    <x v="211"/>
    <x v="0"/>
    <x v="3"/>
    <x v="3"/>
    <n v="0"/>
    <n v="0"/>
  </r>
  <r>
    <s v="SPAR WESTERN CAPE"/>
    <x v="16"/>
    <x v="336"/>
    <x v="329"/>
    <x v="89"/>
    <x v="211"/>
    <x v="0"/>
    <x v="4"/>
    <x v="4"/>
    <n v="0"/>
    <n v="0"/>
  </r>
  <r>
    <s v="SPAR WESTERN CAPE"/>
    <x v="16"/>
    <x v="336"/>
    <x v="329"/>
    <x v="89"/>
    <x v="211"/>
    <x v="0"/>
    <x v="5"/>
    <x v="5"/>
    <n v="0"/>
    <n v="0"/>
  </r>
  <r>
    <s v="SPAR WESTERN CAPE"/>
    <x v="16"/>
    <x v="336"/>
    <x v="329"/>
    <x v="89"/>
    <x v="211"/>
    <x v="0"/>
    <x v="6"/>
    <x v="6"/>
    <n v="0"/>
    <n v="0"/>
  </r>
  <r>
    <s v="BAKERY PRODUCTS"/>
    <x v="13"/>
    <x v="337"/>
    <x v="330"/>
    <x v="24"/>
    <x v="212"/>
    <x v="0"/>
    <x v="0"/>
    <x v="0"/>
    <n v="0"/>
    <n v="0"/>
  </r>
  <r>
    <s v="BAKERY PRODUCTS"/>
    <x v="13"/>
    <x v="337"/>
    <x v="330"/>
    <x v="24"/>
    <x v="212"/>
    <x v="0"/>
    <x v="3"/>
    <x v="3"/>
    <n v="0"/>
    <n v="0"/>
  </r>
  <r>
    <s v="BAKERY PRODUCTS"/>
    <x v="3"/>
    <x v="338"/>
    <x v="331"/>
    <x v="62"/>
    <x v="213"/>
    <x v="0"/>
    <x v="0"/>
    <x v="0"/>
    <n v="0"/>
    <n v="0"/>
  </r>
  <r>
    <s v="BAKERY PRODUCTS"/>
    <x v="3"/>
    <x v="338"/>
    <x v="331"/>
    <x v="62"/>
    <x v="213"/>
    <x v="0"/>
    <x v="1"/>
    <x v="1"/>
    <n v="0"/>
    <n v="0"/>
  </r>
  <r>
    <s v="BAKERY PRODUCTS"/>
    <x v="17"/>
    <x v="339"/>
    <x v="332"/>
    <x v="90"/>
    <x v="214"/>
    <x v="0"/>
    <x v="0"/>
    <x v="0"/>
    <n v="0"/>
    <n v="0"/>
  </r>
  <r>
    <s v="BAKERY PRODUCTS"/>
    <x v="17"/>
    <x v="339"/>
    <x v="332"/>
    <x v="90"/>
    <x v="214"/>
    <x v="0"/>
    <x v="1"/>
    <x v="1"/>
    <n v="0"/>
    <n v="0"/>
  </r>
  <r>
    <s v="BAKERY PRODUCTS"/>
    <x v="17"/>
    <x v="339"/>
    <x v="332"/>
    <x v="90"/>
    <x v="214"/>
    <x v="0"/>
    <x v="2"/>
    <x v="2"/>
    <n v="0"/>
    <n v="0"/>
  </r>
  <r>
    <s v="BAKERY PRODUCTS"/>
    <x v="17"/>
    <x v="339"/>
    <x v="332"/>
    <x v="90"/>
    <x v="214"/>
    <x v="0"/>
    <x v="3"/>
    <x v="3"/>
    <n v="0"/>
    <n v="0"/>
  </r>
  <r>
    <s v="BAKERY PRODUCTS"/>
    <x v="17"/>
    <x v="339"/>
    <x v="332"/>
    <x v="90"/>
    <x v="214"/>
    <x v="0"/>
    <x v="4"/>
    <x v="4"/>
    <n v="0"/>
    <n v="0"/>
  </r>
  <r>
    <s v="BAKERY PRODUCTS"/>
    <x v="17"/>
    <x v="339"/>
    <x v="332"/>
    <x v="90"/>
    <x v="214"/>
    <x v="0"/>
    <x v="5"/>
    <x v="5"/>
    <n v="0"/>
    <n v="0"/>
  </r>
  <r>
    <s v="BAKERY PRODUCTS"/>
    <x v="17"/>
    <x v="339"/>
    <x v="332"/>
    <x v="90"/>
    <x v="214"/>
    <x v="0"/>
    <x v="6"/>
    <x v="6"/>
    <n v="0"/>
    <n v="0"/>
  </r>
  <r>
    <s v="BAKERY PRODUCTS"/>
    <x v="17"/>
    <x v="340"/>
    <x v="333"/>
    <x v="0"/>
    <x v="215"/>
    <x v="0"/>
    <x v="0"/>
    <x v="0"/>
    <n v="0"/>
    <n v="0"/>
  </r>
  <r>
    <s v="BAKERY PRODUCTS"/>
    <x v="17"/>
    <x v="340"/>
    <x v="333"/>
    <x v="0"/>
    <x v="215"/>
    <x v="0"/>
    <x v="1"/>
    <x v="1"/>
    <n v="0"/>
    <n v="0"/>
  </r>
  <r>
    <s v="BAKERY PRODUCTS"/>
    <x v="17"/>
    <x v="340"/>
    <x v="333"/>
    <x v="0"/>
    <x v="215"/>
    <x v="0"/>
    <x v="2"/>
    <x v="2"/>
    <n v="0"/>
    <n v="0"/>
  </r>
  <r>
    <s v="BAKERY PRODUCTS"/>
    <x v="17"/>
    <x v="340"/>
    <x v="333"/>
    <x v="0"/>
    <x v="215"/>
    <x v="0"/>
    <x v="3"/>
    <x v="3"/>
    <n v="0"/>
    <n v="0"/>
  </r>
  <r>
    <s v="BAKERY PRODUCTS"/>
    <x v="17"/>
    <x v="340"/>
    <x v="333"/>
    <x v="0"/>
    <x v="215"/>
    <x v="0"/>
    <x v="4"/>
    <x v="4"/>
    <n v="0"/>
    <n v="0"/>
  </r>
  <r>
    <s v="BAKERY PRODUCTS"/>
    <x v="17"/>
    <x v="340"/>
    <x v="333"/>
    <x v="0"/>
    <x v="215"/>
    <x v="0"/>
    <x v="5"/>
    <x v="5"/>
    <n v="0"/>
    <n v="0"/>
  </r>
  <r>
    <s v="BAKERY PRODUCTS"/>
    <x v="17"/>
    <x v="340"/>
    <x v="333"/>
    <x v="0"/>
    <x v="215"/>
    <x v="0"/>
    <x v="6"/>
    <x v="6"/>
    <n v="0"/>
    <n v="0"/>
  </r>
  <r>
    <s v="BAKERY PRODUCTS"/>
    <x v="17"/>
    <x v="341"/>
    <x v="334"/>
    <x v="0"/>
    <x v="216"/>
    <x v="0"/>
    <x v="0"/>
    <x v="0"/>
    <n v="0"/>
    <n v="0"/>
  </r>
  <r>
    <s v="BAKERY PRODUCTS"/>
    <x v="17"/>
    <x v="341"/>
    <x v="334"/>
    <x v="0"/>
    <x v="216"/>
    <x v="0"/>
    <x v="1"/>
    <x v="1"/>
    <n v="0"/>
    <n v="0"/>
  </r>
  <r>
    <s v="BAKERY PRODUCTS"/>
    <x v="17"/>
    <x v="341"/>
    <x v="334"/>
    <x v="0"/>
    <x v="216"/>
    <x v="0"/>
    <x v="2"/>
    <x v="2"/>
    <n v="0"/>
    <n v="0"/>
  </r>
  <r>
    <s v="BAKERY PRODUCTS"/>
    <x v="17"/>
    <x v="341"/>
    <x v="334"/>
    <x v="0"/>
    <x v="216"/>
    <x v="0"/>
    <x v="3"/>
    <x v="3"/>
    <n v="0"/>
    <n v="0"/>
  </r>
  <r>
    <s v="BAKERY PRODUCTS"/>
    <x v="17"/>
    <x v="341"/>
    <x v="334"/>
    <x v="0"/>
    <x v="216"/>
    <x v="0"/>
    <x v="4"/>
    <x v="4"/>
    <n v="0"/>
    <n v="0"/>
  </r>
  <r>
    <s v="BAKERY PRODUCTS"/>
    <x v="17"/>
    <x v="341"/>
    <x v="334"/>
    <x v="0"/>
    <x v="216"/>
    <x v="0"/>
    <x v="5"/>
    <x v="5"/>
    <n v="0"/>
    <n v="0"/>
  </r>
  <r>
    <s v="BAKERY PRODUCTS"/>
    <x v="17"/>
    <x v="341"/>
    <x v="334"/>
    <x v="0"/>
    <x v="216"/>
    <x v="0"/>
    <x v="6"/>
    <x v="6"/>
    <n v="0"/>
    <n v="0"/>
  </r>
  <r>
    <s v="BAKERY PRODUCTS"/>
    <x v="1"/>
    <x v="342"/>
    <x v="335"/>
    <x v="21"/>
    <x v="217"/>
    <x v="0"/>
    <x v="0"/>
    <x v="0"/>
    <n v="0"/>
    <n v="0"/>
  </r>
  <r>
    <s v="BAKERY PRODUCTS"/>
    <x v="1"/>
    <x v="342"/>
    <x v="335"/>
    <x v="21"/>
    <x v="217"/>
    <x v="0"/>
    <x v="1"/>
    <x v="1"/>
    <n v="0"/>
    <n v="0"/>
  </r>
  <r>
    <s v="BAKERY PRODUCTS"/>
    <x v="1"/>
    <x v="342"/>
    <x v="335"/>
    <x v="21"/>
    <x v="217"/>
    <x v="0"/>
    <x v="2"/>
    <x v="2"/>
    <n v="0"/>
    <n v="0"/>
  </r>
  <r>
    <s v="BAKERY PRODUCTS"/>
    <x v="1"/>
    <x v="342"/>
    <x v="335"/>
    <x v="21"/>
    <x v="217"/>
    <x v="0"/>
    <x v="3"/>
    <x v="3"/>
    <n v="0"/>
    <n v="0"/>
  </r>
  <r>
    <s v="BAKERY PRODUCTS"/>
    <x v="1"/>
    <x v="342"/>
    <x v="335"/>
    <x v="21"/>
    <x v="217"/>
    <x v="0"/>
    <x v="4"/>
    <x v="4"/>
    <n v="0"/>
    <n v="0"/>
  </r>
  <r>
    <s v="BAKERY PRODUCTS"/>
    <x v="1"/>
    <x v="342"/>
    <x v="335"/>
    <x v="21"/>
    <x v="217"/>
    <x v="0"/>
    <x v="5"/>
    <x v="5"/>
    <n v="0"/>
    <n v="0"/>
  </r>
  <r>
    <s v="BAKERY PRODUCTS"/>
    <x v="1"/>
    <x v="342"/>
    <x v="335"/>
    <x v="21"/>
    <x v="217"/>
    <x v="0"/>
    <x v="6"/>
    <x v="6"/>
    <n v="0"/>
    <n v="0"/>
  </r>
  <r>
    <s v="BAKERY PRODUCTS"/>
    <x v="17"/>
    <x v="343"/>
    <x v="336"/>
    <x v="91"/>
    <x v="218"/>
    <x v="0"/>
    <x v="0"/>
    <x v="0"/>
    <n v="0"/>
    <n v="0"/>
  </r>
  <r>
    <s v="BAKERY PRODUCTS"/>
    <x v="17"/>
    <x v="343"/>
    <x v="336"/>
    <x v="91"/>
    <x v="218"/>
    <x v="0"/>
    <x v="2"/>
    <x v="2"/>
    <n v="0"/>
    <n v="0"/>
  </r>
  <r>
    <s v="BAKERY PRODUCTS"/>
    <x v="17"/>
    <x v="343"/>
    <x v="336"/>
    <x v="91"/>
    <x v="218"/>
    <x v="0"/>
    <x v="3"/>
    <x v="3"/>
    <n v="0"/>
    <n v="0"/>
  </r>
  <r>
    <s v="BAKERY PRODUCTS"/>
    <x v="17"/>
    <x v="343"/>
    <x v="336"/>
    <x v="91"/>
    <x v="218"/>
    <x v="0"/>
    <x v="4"/>
    <x v="4"/>
    <n v="0"/>
    <n v="0"/>
  </r>
  <r>
    <s v="BAKERY PRODUCTS"/>
    <x v="17"/>
    <x v="343"/>
    <x v="336"/>
    <x v="91"/>
    <x v="218"/>
    <x v="0"/>
    <x v="5"/>
    <x v="5"/>
    <n v="0"/>
    <n v="0"/>
  </r>
  <r>
    <s v="BAKERY PRODUCTS"/>
    <x v="17"/>
    <x v="343"/>
    <x v="336"/>
    <x v="91"/>
    <x v="218"/>
    <x v="0"/>
    <x v="6"/>
    <x v="6"/>
    <n v="0"/>
    <n v="0"/>
  </r>
  <r>
    <s v="BAKERY PRODUCTS"/>
    <x v="2"/>
    <x v="344"/>
    <x v="337"/>
    <x v="92"/>
    <x v="219"/>
    <x v="0"/>
    <x v="0"/>
    <x v="0"/>
    <n v="0"/>
    <n v="0"/>
  </r>
  <r>
    <s v="BAKERY PRODUCTS"/>
    <x v="2"/>
    <x v="344"/>
    <x v="337"/>
    <x v="92"/>
    <x v="219"/>
    <x v="0"/>
    <x v="1"/>
    <x v="1"/>
    <n v="0"/>
    <n v="0"/>
  </r>
  <r>
    <s v="BAKERY PRODUCTS"/>
    <x v="2"/>
    <x v="344"/>
    <x v="337"/>
    <x v="92"/>
    <x v="219"/>
    <x v="0"/>
    <x v="2"/>
    <x v="2"/>
    <n v="0"/>
    <n v="0"/>
  </r>
  <r>
    <s v="BAKERY PRODUCTS"/>
    <x v="2"/>
    <x v="344"/>
    <x v="337"/>
    <x v="92"/>
    <x v="219"/>
    <x v="0"/>
    <x v="3"/>
    <x v="3"/>
    <n v="0"/>
    <n v="0"/>
  </r>
  <r>
    <s v="BAKERY PRODUCTS"/>
    <x v="2"/>
    <x v="344"/>
    <x v="337"/>
    <x v="92"/>
    <x v="219"/>
    <x v="0"/>
    <x v="4"/>
    <x v="4"/>
    <n v="0"/>
    <n v="0"/>
  </r>
  <r>
    <s v="BAKERY PRODUCTS"/>
    <x v="2"/>
    <x v="344"/>
    <x v="337"/>
    <x v="92"/>
    <x v="219"/>
    <x v="0"/>
    <x v="5"/>
    <x v="5"/>
    <n v="0"/>
    <n v="0"/>
  </r>
  <r>
    <s v="BAKERY PRODUCTS"/>
    <x v="2"/>
    <x v="344"/>
    <x v="337"/>
    <x v="92"/>
    <x v="219"/>
    <x v="0"/>
    <x v="6"/>
    <x v="6"/>
    <n v="0"/>
    <n v="0"/>
  </r>
  <r>
    <s v="BAKERY PRODUCTS"/>
    <x v="17"/>
    <x v="345"/>
    <x v="338"/>
    <x v="91"/>
    <x v="220"/>
    <x v="0"/>
    <x v="0"/>
    <x v="0"/>
    <n v="0"/>
    <n v="0"/>
  </r>
  <r>
    <s v="BAKERY PRODUCTS"/>
    <x v="17"/>
    <x v="345"/>
    <x v="338"/>
    <x v="91"/>
    <x v="220"/>
    <x v="0"/>
    <x v="2"/>
    <x v="2"/>
    <n v="0"/>
    <n v="0"/>
  </r>
  <r>
    <s v="BAKERY PRODUCTS"/>
    <x v="17"/>
    <x v="345"/>
    <x v="338"/>
    <x v="91"/>
    <x v="220"/>
    <x v="0"/>
    <x v="3"/>
    <x v="3"/>
    <n v="0"/>
    <n v="0"/>
  </r>
  <r>
    <s v="BAKERY PRODUCTS"/>
    <x v="17"/>
    <x v="345"/>
    <x v="338"/>
    <x v="91"/>
    <x v="220"/>
    <x v="0"/>
    <x v="4"/>
    <x v="4"/>
    <n v="0"/>
    <n v="0"/>
  </r>
  <r>
    <s v="BAKERY PRODUCTS"/>
    <x v="17"/>
    <x v="345"/>
    <x v="338"/>
    <x v="91"/>
    <x v="220"/>
    <x v="0"/>
    <x v="5"/>
    <x v="5"/>
    <n v="0"/>
    <n v="0"/>
  </r>
  <r>
    <s v="BAKERY PRODUCTS"/>
    <x v="17"/>
    <x v="345"/>
    <x v="338"/>
    <x v="91"/>
    <x v="220"/>
    <x v="0"/>
    <x v="6"/>
    <x v="6"/>
    <n v="0"/>
    <n v="0"/>
  </r>
  <r>
    <s v="BAKERY PRODUCTS"/>
    <x v="18"/>
    <x v="346"/>
    <x v="339"/>
    <x v="18"/>
    <x v="221"/>
    <x v="0"/>
    <x v="0"/>
    <x v="0"/>
    <n v="0"/>
    <n v="0"/>
  </r>
  <r>
    <s v="BAKERY PRODUCTS"/>
    <x v="18"/>
    <x v="346"/>
    <x v="339"/>
    <x v="18"/>
    <x v="221"/>
    <x v="0"/>
    <x v="1"/>
    <x v="1"/>
    <n v="0"/>
    <n v="0"/>
  </r>
  <r>
    <s v="BAKERY PRODUCTS"/>
    <x v="18"/>
    <x v="346"/>
    <x v="339"/>
    <x v="18"/>
    <x v="221"/>
    <x v="0"/>
    <x v="2"/>
    <x v="2"/>
    <n v="0"/>
    <n v="0"/>
  </r>
  <r>
    <s v="BAKERY PRODUCTS"/>
    <x v="18"/>
    <x v="346"/>
    <x v="339"/>
    <x v="18"/>
    <x v="221"/>
    <x v="0"/>
    <x v="3"/>
    <x v="3"/>
    <n v="0"/>
    <n v="0"/>
  </r>
  <r>
    <s v="BAKERY PRODUCTS"/>
    <x v="18"/>
    <x v="346"/>
    <x v="339"/>
    <x v="18"/>
    <x v="221"/>
    <x v="0"/>
    <x v="4"/>
    <x v="4"/>
    <n v="0"/>
    <n v="0"/>
  </r>
  <r>
    <s v="BAKERY PRODUCTS"/>
    <x v="18"/>
    <x v="346"/>
    <x v="339"/>
    <x v="18"/>
    <x v="221"/>
    <x v="0"/>
    <x v="5"/>
    <x v="5"/>
    <n v="0"/>
    <n v="0"/>
  </r>
  <r>
    <s v="BAKERY PRODUCTS"/>
    <x v="18"/>
    <x v="346"/>
    <x v="339"/>
    <x v="18"/>
    <x v="221"/>
    <x v="0"/>
    <x v="6"/>
    <x v="6"/>
    <n v="0"/>
    <n v="0"/>
  </r>
  <r>
    <s v="BAKERY PRODUCTS"/>
    <x v="12"/>
    <x v="347"/>
    <x v="340"/>
    <x v="93"/>
    <x v="222"/>
    <x v="0"/>
    <x v="0"/>
    <x v="0"/>
    <n v="0"/>
    <n v="0"/>
  </r>
  <r>
    <s v="BAKERY PRODUCTS"/>
    <x v="12"/>
    <x v="347"/>
    <x v="340"/>
    <x v="93"/>
    <x v="222"/>
    <x v="0"/>
    <x v="1"/>
    <x v="1"/>
    <n v="0"/>
    <n v="0"/>
  </r>
  <r>
    <s v="BAKERY PRODUCTS"/>
    <x v="12"/>
    <x v="347"/>
    <x v="340"/>
    <x v="93"/>
    <x v="222"/>
    <x v="0"/>
    <x v="2"/>
    <x v="2"/>
    <n v="0"/>
    <n v="0"/>
  </r>
  <r>
    <s v="BAKERY PRODUCTS"/>
    <x v="12"/>
    <x v="347"/>
    <x v="340"/>
    <x v="93"/>
    <x v="222"/>
    <x v="0"/>
    <x v="3"/>
    <x v="3"/>
    <n v="0"/>
    <n v="0"/>
  </r>
  <r>
    <s v="BAKERY PRODUCTS"/>
    <x v="12"/>
    <x v="347"/>
    <x v="340"/>
    <x v="93"/>
    <x v="222"/>
    <x v="0"/>
    <x v="4"/>
    <x v="4"/>
    <n v="0"/>
    <n v="0"/>
  </r>
  <r>
    <s v="BAKERY PRODUCTS"/>
    <x v="12"/>
    <x v="347"/>
    <x v="340"/>
    <x v="93"/>
    <x v="222"/>
    <x v="0"/>
    <x v="5"/>
    <x v="5"/>
    <n v="0"/>
    <n v="0"/>
  </r>
  <r>
    <s v="BAKERY PRODUCTS"/>
    <x v="12"/>
    <x v="347"/>
    <x v="340"/>
    <x v="93"/>
    <x v="222"/>
    <x v="0"/>
    <x v="6"/>
    <x v="6"/>
    <n v="0"/>
    <n v="0"/>
  </r>
  <r>
    <s v="BAKERY PRODUCTS"/>
    <x v="13"/>
    <x v="348"/>
    <x v="341"/>
    <x v="94"/>
    <x v="223"/>
    <x v="0"/>
    <x v="0"/>
    <x v="0"/>
    <n v="0"/>
    <n v="0"/>
  </r>
  <r>
    <s v="BAKERY PRODUCTS"/>
    <x v="13"/>
    <x v="348"/>
    <x v="341"/>
    <x v="94"/>
    <x v="223"/>
    <x v="0"/>
    <x v="1"/>
    <x v="1"/>
    <n v="0"/>
    <n v="0"/>
  </r>
  <r>
    <s v="BAKERY PRODUCTS"/>
    <x v="13"/>
    <x v="348"/>
    <x v="341"/>
    <x v="94"/>
    <x v="223"/>
    <x v="0"/>
    <x v="2"/>
    <x v="2"/>
    <n v="0"/>
    <n v="0"/>
  </r>
  <r>
    <s v="BAKERY PRODUCTS"/>
    <x v="13"/>
    <x v="348"/>
    <x v="341"/>
    <x v="94"/>
    <x v="223"/>
    <x v="0"/>
    <x v="3"/>
    <x v="3"/>
    <n v="0"/>
    <n v="0"/>
  </r>
  <r>
    <s v="BAKERY PRODUCTS"/>
    <x v="13"/>
    <x v="348"/>
    <x v="341"/>
    <x v="94"/>
    <x v="223"/>
    <x v="0"/>
    <x v="4"/>
    <x v="4"/>
    <n v="0"/>
    <n v="0"/>
  </r>
  <r>
    <s v="BAKERY PRODUCTS"/>
    <x v="13"/>
    <x v="348"/>
    <x v="341"/>
    <x v="94"/>
    <x v="223"/>
    <x v="0"/>
    <x v="5"/>
    <x v="5"/>
    <n v="0"/>
    <n v="0"/>
  </r>
  <r>
    <s v="BAKERY PRODUCTS"/>
    <x v="13"/>
    <x v="348"/>
    <x v="341"/>
    <x v="94"/>
    <x v="223"/>
    <x v="0"/>
    <x v="6"/>
    <x v="6"/>
    <n v="0"/>
    <n v="0"/>
  </r>
  <r>
    <s v="BAKERY PRODUCTS"/>
    <x v="13"/>
    <x v="349"/>
    <x v="342"/>
    <x v="95"/>
    <x v="224"/>
    <x v="0"/>
    <x v="0"/>
    <x v="0"/>
    <n v="0"/>
    <n v="0"/>
  </r>
  <r>
    <s v="BAKERY PRODUCTS"/>
    <x v="13"/>
    <x v="349"/>
    <x v="342"/>
    <x v="95"/>
    <x v="224"/>
    <x v="0"/>
    <x v="1"/>
    <x v="1"/>
    <n v="0"/>
    <n v="0"/>
  </r>
  <r>
    <s v="BAKERY PRODUCTS"/>
    <x v="13"/>
    <x v="349"/>
    <x v="342"/>
    <x v="95"/>
    <x v="224"/>
    <x v="0"/>
    <x v="2"/>
    <x v="2"/>
    <n v="0"/>
    <n v="0"/>
  </r>
  <r>
    <s v="BAKERY PRODUCTS"/>
    <x v="13"/>
    <x v="349"/>
    <x v="342"/>
    <x v="95"/>
    <x v="224"/>
    <x v="0"/>
    <x v="3"/>
    <x v="3"/>
    <n v="0"/>
    <n v="0"/>
  </r>
  <r>
    <s v="BAKERY PRODUCTS"/>
    <x v="13"/>
    <x v="349"/>
    <x v="342"/>
    <x v="95"/>
    <x v="224"/>
    <x v="0"/>
    <x v="4"/>
    <x v="4"/>
    <n v="0"/>
    <n v="0"/>
  </r>
  <r>
    <s v="BAKERY PRODUCTS"/>
    <x v="13"/>
    <x v="349"/>
    <x v="342"/>
    <x v="95"/>
    <x v="224"/>
    <x v="0"/>
    <x v="5"/>
    <x v="5"/>
    <n v="0"/>
    <n v="0"/>
  </r>
  <r>
    <s v="BAKERY PRODUCTS"/>
    <x v="13"/>
    <x v="349"/>
    <x v="342"/>
    <x v="95"/>
    <x v="224"/>
    <x v="0"/>
    <x v="6"/>
    <x v="6"/>
    <n v="0"/>
    <n v="0"/>
  </r>
  <r>
    <s v="BAKERY PRODUCTS"/>
    <x v="3"/>
    <x v="350"/>
    <x v="343"/>
    <x v="57"/>
    <x v="225"/>
    <x v="0"/>
    <x v="0"/>
    <x v="0"/>
    <n v="0"/>
    <n v="0"/>
  </r>
  <r>
    <s v="BAKERY PRODUCTS"/>
    <x v="3"/>
    <x v="350"/>
    <x v="343"/>
    <x v="57"/>
    <x v="225"/>
    <x v="0"/>
    <x v="1"/>
    <x v="1"/>
    <n v="0"/>
    <n v="0"/>
  </r>
  <r>
    <s v="BAKERY PRODUCTS"/>
    <x v="3"/>
    <x v="350"/>
    <x v="343"/>
    <x v="57"/>
    <x v="225"/>
    <x v="0"/>
    <x v="2"/>
    <x v="2"/>
    <n v="0"/>
    <n v="0"/>
  </r>
  <r>
    <s v="BAKERY PRODUCTS"/>
    <x v="3"/>
    <x v="350"/>
    <x v="343"/>
    <x v="57"/>
    <x v="225"/>
    <x v="0"/>
    <x v="3"/>
    <x v="3"/>
    <n v="0"/>
    <n v="0"/>
  </r>
  <r>
    <s v="BAKERY PRODUCTS"/>
    <x v="3"/>
    <x v="350"/>
    <x v="343"/>
    <x v="57"/>
    <x v="225"/>
    <x v="0"/>
    <x v="4"/>
    <x v="4"/>
    <n v="0"/>
    <n v="0"/>
  </r>
  <r>
    <s v="BAKERY PRODUCTS"/>
    <x v="3"/>
    <x v="350"/>
    <x v="343"/>
    <x v="57"/>
    <x v="225"/>
    <x v="0"/>
    <x v="5"/>
    <x v="5"/>
    <n v="0"/>
    <n v="0"/>
  </r>
  <r>
    <s v="BAKERY PRODUCTS"/>
    <x v="3"/>
    <x v="350"/>
    <x v="343"/>
    <x v="57"/>
    <x v="225"/>
    <x v="0"/>
    <x v="6"/>
    <x v="6"/>
    <n v="0"/>
    <n v="0"/>
  </r>
  <r>
    <s v="BAKERY PRODUCTS"/>
    <x v="15"/>
    <x v="351"/>
    <x v="344"/>
    <x v="53"/>
    <x v="226"/>
    <x v="0"/>
    <x v="0"/>
    <x v="0"/>
    <n v="0"/>
    <n v="0"/>
  </r>
  <r>
    <s v="BAKERY PRODUCTS"/>
    <x v="15"/>
    <x v="351"/>
    <x v="344"/>
    <x v="53"/>
    <x v="226"/>
    <x v="0"/>
    <x v="1"/>
    <x v="1"/>
    <n v="0"/>
    <n v="0"/>
  </r>
  <r>
    <s v="BAKERY PRODUCTS"/>
    <x v="15"/>
    <x v="351"/>
    <x v="344"/>
    <x v="53"/>
    <x v="226"/>
    <x v="0"/>
    <x v="2"/>
    <x v="2"/>
    <n v="0"/>
    <n v="0"/>
  </r>
  <r>
    <s v="BAKERY PRODUCTS"/>
    <x v="15"/>
    <x v="351"/>
    <x v="344"/>
    <x v="53"/>
    <x v="226"/>
    <x v="0"/>
    <x v="3"/>
    <x v="3"/>
    <n v="0"/>
    <n v="0"/>
  </r>
  <r>
    <s v="BAKERY PRODUCTS"/>
    <x v="15"/>
    <x v="351"/>
    <x v="344"/>
    <x v="53"/>
    <x v="226"/>
    <x v="0"/>
    <x v="4"/>
    <x v="4"/>
    <n v="0"/>
    <n v="0"/>
  </r>
  <r>
    <s v="BAKERY PRODUCTS"/>
    <x v="15"/>
    <x v="351"/>
    <x v="344"/>
    <x v="53"/>
    <x v="226"/>
    <x v="0"/>
    <x v="5"/>
    <x v="5"/>
    <n v="0"/>
    <n v="0"/>
  </r>
  <r>
    <s v="BAKERY PRODUCTS"/>
    <x v="15"/>
    <x v="351"/>
    <x v="344"/>
    <x v="53"/>
    <x v="226"/>
    <x v="0"/>
    <x v="6"/>
    <x v="6"/>
    <n v="0"/>
    <n v="0"/>
  </r>
  <r>
    <s v="BAKERY PRODUCTS"/>
    <x v="13"/>
    <x v="352"/>
    <x v="345"/>
    <x v="82"/>
    <x v="227"/>
    <x v="0"/>
    <x v="6"/>
    <x v="6"/>
    <n v="0"/>
    <n v="0"/>
  </r>
  <r>
    <s v="BAKERY PRODUCTS"/>
    <x v="3"/>
    <x v="353"/>
    <x v="346"/>
    <x v="96"/>
    <x v="228"/>
    <x v="0"/>
    <x v="0"/>
    <x v="0"/>
    <n v="0"/>
    <n v="0"/>
  </r>
  <r>
    <s v="BAKERY PRODUCTS"/>
    <x v="3"/>
    <x v="353"/>
    <x v="346"/>
    <x v="96"/>
    <x v="228"/>
    <x v="0"/>
    <x v="1"/>
    <x v="1"/>
    <n v="0"/>
    <n v="0"/>
  </r>
  <r>
    <s v="BAKERY PRODUCTS"/>
    <x v="3"/>
    <x v="353"/>
    <x v="346"/>
    <x v="96"/>
    <x v="228"/>
    <x v="0"/>
    <x v="2"/>
    <x v="2"/>
    <n v="0"/>
    <n v="0"/>
  </r>
  <r>
    <s v="BAKERY PRODUCTS"/>
    <x v="3"/>
    <x v="353"/>
    <x v="346"/>
    <x v="96"/>
    <x v="228"/>
    <x v="0"/>
    <x v="3"/>
    <x v="3"/>
    <n v="0"/>
    <n v="0"/>
  </r>
  <r>
    <s v="BAKERY PRODUCTS"/>
    <x v="3"/>
    <x v="353"/>
    <x v="346"/>
    <x v="96"/>
    <x v="228"/>
    <x v="0"/>
    <x v="5"/>
    <x v="5"/>
    <n v="0"/>
    <n v="0"/>
  </r>
  <r>
    <s v="BAKERY PRODUCTS"/>
    <x v="3"/>
    <x v="353"/>
    <x v="346"/>
    <x v="96"/>
    <x v="228"/>
    <x v="0"/>
    <x v="6"/>
    <x v="6"/>
    <n v="0"/>
    <n v="0"/>
  </r>
  <r>
    <s v="BAKERY PRODUCTS"/>
    <x v="9"/>
    <x v="354"/>
    <x v="347"/>
    <x v="84"/>
    <x v="229"/>
    <x v="0"/>
    <x v="0"/>
    <x v="0"/>
    <n v="0"/>
    <n v="0"/>
  </r>
  <r>
    <s v="BAKERY PRODUCTS"/>
    <x v="9"/>
    <x v="354"/>
    <x v="347"/>
    <x v="84"/>
    <x v="229"/>
    <x v="0"/>
    <x v="1"/>
    <x v="1"/>
    <n v="0"/>
    <n v="0"/>
  </r>
  <r>
    <s v="BAKERY PRODUCTS"/>
    <x v="9"/>
    <x v="354"/>
    <x v="347"/>
    <x v="84"/>
    <x v="229"/>
    <x v="0"/>
    <x v="2"/>
    <x v="2"/>
    <n v="0"/>
    <n v="0"/>
  </r>
  <r>
    <s v="BAKERY PRODUCTS"/>
    <x v="9"/>
    <x v="354"/>
    <x v="347"/>
    <x v="84"/>
    <x v="229"/>
    <x v="0"/>
    <x v="3"/>
    <x v="3"/>
    <n v="0"/>
    <n v="0"/>
  </r>
  <r>
    <s v="BAKERY PRODUCTS"/>
    <x v="9"/>
    <x v="354"/>
    <x v="347"/>
    <x v="84"/>
    <x v="229"/>
    <x v="0"/>
    <x v="4"/>
    <x v="4"/>
    <n v="0"/>
    <n v="0"/>
  </r>
  <r>
    <s v="BAKERY PRODUCTS"/>
    <x v="9"/>
    <x v="354"/>
    <x v="347"/>
    <x v="84"/>
    <x v="229"/>
    <x v="0"/>
    <x v="5"/>
    <x v="5"/>
    <n v="0"/>
    <n v="0"/>
  </r>
  <r>
    <s v="BAKERY PRODUCTS"/>
    <x v="9"/>
    <x v="354"/>
    <x v="347"/>
    <x v="84"/>
    <x v="229"/>
    <x v="0"/>
    <x v="6"/>
    <x v="6"/>
    <n v="0"/>
    <n v="0"/>
  </r>
  <r>
    <s v="BAKERY PRODUCTS"/>
    <x v="13"/>
    <x v="355"/>
    <x v="348"/>
    <x v="95"/>
    <x v="212"/>
    <x v="0"/>
    <x v="0"/>
    <x v="0"/>
    <n v="0"/>
    <n v="0"/>
  </r>
  <r>
    <s v="BAKERY PRODUCTS"/>
    <x v="13"/>
    <x v="355"/>
    <x v="348"/>
    <x v="95"/>
    <x v="212"/>
    <x v="0"/>
    <x v="1"/>
    <x v="1"/>
    <n v="0"/>
    <n v="0"/>
  </r>
  <r>
    <s v="BAKERY PRODUCTS"/>
    <x v="13"/>
    <x v="355"/>
    <x v="348"/>
    <x v="95"/>
    <x v="212"/>
    <x v="0"/>
    <x v="2"/>
    <x v="2"/>
    <n v="0"/>
    <n v="0"/>
  </r>
  <r>
    <s v="BAKERY PRODUCTS"/>
    <x v="13"/>
    <x v="355"/>
    <x v="348"/>
    <x v="95"/>
    <x v="212"/>
    <x v="0"/>
    <x v="3"/>
    <x v="3"/>
    <n v="0"/>
    <n v="0"/>
  </r>
  <r>
    <s v="BAKERY PRODUCTS"/>
    <x v="13"/>
    <x v="355"/>
    <x v="348"/>
    <x v="95"/>
    <x v="212"/>
    <x v="0"/>
    <x v="4"/>
    <x v="4"/>
    <n v="0"/>
    <n v="0"/>
  </r>
  <r>
    <s v="BAKERY PRODUCTS"/>
    <x v="13"/>
    <x v="355"/>
    <x v="348"/>
    <x v="95"/>
    <x v="212"/>
    <x v="0"/>
    <x v="5"/>
    <x v="5"/>
    <n v="0"/>
    <n v="0"/>
  </r>
  <r>
    <s v="BAKERY PRODUCTS"/>
    <x v="13"/>
    <x v="355"/>
    <x v="348"/>
    <x v="95"/>
    <x v="212"/>
    <x v="0"/>
    <x v="6"/>
    <x v="6"/>
    <n v="0"/>
    <n v="0"/>
  </r>
  <r>
    <s v="BAKERY PRODUCTS"/>
    <x v="9"/>
    <x v="356"/>
    <x v="349"/>
    <x v="97"/>
    <x v="230"/>
    <x v="0"/>
    <x v="3"/>
    <x v="3"/>
    <n v="0"/>
    <n v="0"/>
  </r>
  <r>
    <s v="BAKERY PRODUCTS"/>
    <x v="9"/>
    <x v="356"/>
    <x v="349"/>
    <x v="97"/>
    <x v="230"/>
    <x v="0"/>
    <x v="4"/>
    <x v="4"/>
    <n v="0"/>
    <n v="0"/>
  </r>
  <r>
    <s v="BAKERY PRODUCTS"/>
    <x v="9"/>
    <x v="356"/>
    <x v="349"/>
    <x v="97"/>
    <x v="230"/>
    <x v="0"/>
    <x v="5"/>
    <x v="5"/>
    <n v="0"/>
    <n v="0"/>
  </r>
  <r>
    <s v="BAKERY PRODUCTS"/>
    <x v="9"/>
    <x v="356"/>
    <x v="349"/>
    <x v="97"/>
    <x v="230"/>
    <x v="0"/>
    <x v="6"/>
    <x v="6"/>
    <n v="0"/>
    <n v="0"/>
  </r>
  <r>
    <s v="BAKERY PRODUCTS"/>
    <x v="17"/>
    <x v="357"/>
    <x v="350"/>
    <x v="24"/>
    <x v="231"/>
    <x v="0"/>
    <x v="0"/>
    <x v="0"/>
    <n v="0"/>
    <n v="0"/>
  </r>
  <r>
    <s v="BAKERY PRODUCTS"/>
    <x v="17"/>
    <x v="357"/>
    <x v="350"/>
    <x v="24"/>
    <x v="231"/>
    <x v="0"/>
    <x v="1"/>
    <x v="1"/>
    <n v="0"/>
    <n v="0"/>
  </r>
  <r>
    <s v="BAKERY PRODUCTS"/>
    <x v="17"/>
    <x v="357"/>
    <x v="350"/>
    <x v="24"/>
    <x v="231"/>
    <x v="0"/>
    <x v="2"/>
    <x v="2"/>
    <n v="0"/>
    <n v="0"/>
  </r>
  <r>
    <s v="BAKERY PRODUCTS"/>
    <x v="17"/>
    <x v="357"/>
    <x v="350"/>
    <x v="24"/>
    <x v="231"/>
    <x v="0"/>
    <x v="3"/>
    <x v="3"/>
    <n v="0"/>
    <n v="0"/>
  </r>
  <r>
    <s v="BAKERY PRODUCTS"/>
    <x v="17"/>
    <x v="357"/>
    <x v="350"/>
    <x v="24"/>
    <x v="231"/>
    <x v="0"/>
    <x v="4"/>
    <x v="4"/>
    <n v="0"/>
    <n v="0"/>
  </r>
  <r>
    <s v="BAKERY PRODUCTS"/>
    <x v="17"/>
    <x v="357"/>
    <x v="350"/>
    <x v="24"/>
    <x v="231"/>
    <x v="0"/>
    <x v="5"/>
    <x v="5"/>
    <n v="0"/>
    <n v="0"/>
  </r>
  <r>
    <s v="BAKERY PRODUCTS"/>
    <x v="17"/>
    <x v="357"/>
    <x v="350"/>
    <x v="24"/>
    <x v="231"/>
    <x v="0"/>
    <x v="6"/>
    <x v="6"/>
    <n v="0"/>
    <n v="0"/>
  </r>
  <r>
    <s v="BAKERY PRODUCTS"/>
    <x v="13"/>
    <x v="358"/>
    <x v="351"/>
    <x v="24"/>
    <x v="232"/>
    <x v="0"/>
    <x v="0"/>
    <x v="0"/>
    <n v="0"/>
    <n v="0"/>
  </r>
  <r>
    <s v="BAKERY PRODUCTS"/>
    <x v="13"/>
    <x v="358"/>
    <x v="351"/>
    <x v="24"/>
    <x v="232"/>
    <x v="0"/>
    <x v="1"/>
    <x v="1"/>
    <n v="0"/>
    <n v="0"/>
  </r>
  <r>
    <s v="BAKERY PRODUCTS"/>
    <x v="13"/>
    <x v="358"/>
    <x v="351"/>
    <x v="24"/>
    <x v="232"/>
    <x v="0"/>
    <x v="2"/>
    <x v="2"/>
    <n v="0"/>
    <n v="0"/>
  </r>
  <r>
    <s v="BAKERY PRODUCTS"/>
    <x v="13"/>
    <x v="358"/>
    <x v="351"/>
    <x v="24"/>
    <x v="232"/>
    <x v="0"/>
    <x v="3"/>
    <x v="3"/>
    <n v="0"/>
    <n v="0"/>
  </r>
  <r>
    <s v="BAKERY PRODUCTS"/>
    <x v="13"/>
    <x v="358"/>
    <x v="351"/>
    <x v="24"/>
    <x v="232"/>
    <x v="0"/>
    <x v="4"/>
    <x v="4"/>
    <n v="0"/>
    <n v="0"/>
  </r>
  <r>
    <s v="BAKERY PRODUCTS"/>
    <x v="13"/>
    <x v="358"/>
    <x v="351"/>
    <x v="24"/>
    <x v="232"/>
    <x v="0"/>
    <x v="5"/>
    <x v="5"/>
    <n v="0"/>
    <n v="0"/>
  </r>
  <r>
    <s v="BAKERY PRODUCTS"/>
    <x v="13"/>
    <x v="358"/>
    <x v="351"/>
    <x v="24"/>
    <x v="232"/>
    <x v="0"/>
    <x v="6"/>
    <x v="6"/>
    <n v="0"/>
    <n v="0"/>
  </r>
  <r>
    <s v="BAKERY PRODUCTS"/>
    <x v="13"/>
    <x v="359"/>
    <x v="352"/>
    <x v="98"/>
    <x v="233"/>
    <x v="0"/>
    <x v="0"/>
    <x v="0"/>
    <n v="0"/>
    <n v="0"/>
  </r>
  <r>
    <s v="BAKERY PRODUCTS"/>
    <x v="13"/>
    <x v="359"/>
    <x v="352"/>
    <x v="98"/>
    <x v="233"/>
    <x v="0"/>
    <x v="2"/>
    <x v="2"/>
    <n v="0"/>
    <n v="0"/>
  </r>
  <r>
    <s v="BAKERY PRODUCTS"/>
    <x v="13"/>
    <x v="359"/>
    <x v="352"/>
    <x v="98"/>
    <x v="233"/>
    <x v="0"/>
    <x v="4"/>
    <x v="4"/>
    <n v="0"/>
    <n v="0"/>
  </r>
  <r>
    <s v="BAKERY PRODUCTS"/>
    <x v="13"/>
    <x v="359"/>
    <x v="352"/>
    <x v="98"/>
    <x v="233"/>
    <x v="0"/>
    <x v="5"/>
    <x v="5"/>
    <n v="0"/>
    <n v="0"/>
  </r>
  <r>
    <s v="BAKERY PRODUCTS"/>
    <x v="13"/>
    <x v="359"/>
    <x v="352"/>
    <x v="98"/>
    <x v="233"/>
    <x v="0"/>
    <x v="6"/>
    <x v="6"/>
    <n v="0"/>
    <n v="0"/>
  </r>
  <r>
    <s v="BAKERY PRODUCTS"/>
    <x v="13"/>
    <x v="360"/>
    <x v="353"/>
    <x v="0"/>
    <x v="234"/>
    <x v="0"/>
    <x v="0"/>
    <x v="0"/>
    <n v="0"/>
    <n v="0"/>
  </r>
  <r>
    <s v="BAKERY PRODUCTS"/>
    <x v="13"/>
    <x v="360"/>
    <x v="353"/>
    <x v="0"/>
    <x v="234"/>
    <x v="0"/>
    <x v="1"/>
    <x v="1"/>
    <n v="0"/>
    <n v="0"/>
  </r>
  <r>
    <s v="BAKERY PRODUCTS"/>
    <x v="13"/>
    <x v="360"/>
    <x v="353"/>
    <x v="0"/>
    <x v="234"/>
    <x v="0"/>
    <x v="2"/>
    <x v="2"/>
    <n v="0"/>
    <n v="0"/>
  </r>
  <r>
    <s v="BAKERY PRODUCTS"/>
    <x v="13"/>
    <x v="360"/>
    <x v="353"/>
    <x v="0"/>
    <x v="234"/>
    <x v="0"/>
    <x v="3"/>
    <x v="3"/>
    <n v="0"/>
    <n v="0"/>
  </r>
  <r>
    <s v="BAKERY PRODUCTS"/>
    <x v="13"/>
    <x v="360"/>
    <x v="353"/>
    <x v="0"/>
    <x v="234"/>
    <x v="0"/>
    <x v="4"/>
    <x v="4"/>
    <n v="0"/>
    <n v="0"/>
  </r>
  <r>
    <s v="BAKERY PRODUCTS"/>
    <x v="13"/>
    <x v="360"/>
    <x v="353"/>
    <x v="0"/>
    <x v="234"/>
    <x v="0"/>
    <x v="5"/>
    <x v="5"/>
    <n v="0"/>
    <n v="0"/>
  </r>
  <r>
    <s v="BAKERY PRODUCTS"/>
    <x v="13"/>
    <x v="360"/>
    <x v="353"/>
    <x v="0"/>
    <x v="234"/>
    <x v="0"/>
    <x v="6"/>
    <x v="6"/>
    <n v="0"/>
    <n v="0"/>
  </r>
  <r>
    <s v="BAKERY PRODUCTS"/>
    <x v="9"/>
    <x v="361"/>
    <x v="354"/>
    <x v="99"/>
    <x v="235"/>
    <x v="0"/>
    <x v="0"/>
    <x v="0"/>
    <n v="0"/>
    <n v="0"/>
  </r>
  <r>
    <s v="BAKERY PRODUCTS"/>
    <x v="9"/>
    <x v="361"/>
    <x v="354"/>
    <x v="99"/>
    <x v="235"/>
    <x v="0"/>
    <x v="1"/>
    <x v="1"/>
    <n v="0"/>
    <n v="0"/>
  </r>
  <r>
    <s v="BAKERY PRODUCTS"/>
    <x v="9"/>
    <x v="361"/>
    <x v="354"/>
    <x v="99"/>
    <x v="235"/>
    <x v="0"/>
    <x v="2"/>
    <x v="2"/>
    <n v="0"/>
    <n v="0"/>
  </r>
  <r>
    <s v="BAKERY PRODUCTS"/>
    <x v="9"/>
    <x v="361"/>
    <x v="354"/>
    <x v="99"/>
    <x v="235"/>
    <x v="0"/>
    <x v="3"/>
    <x v="3"/>
    <n v="0"/>
    <n v="0"/>
  </r>
  <r>
    <s v="BAKERY PRODUCTS"/>
    <x v="9"/>
    <x v="361"/>
    <x v="354"/>
    <x v="99"/>
    <x v="235"/>
    <x v="0"/>
    <x v="4"/>
    <x v="4"/>
    <n v="0"/>
    <n v="0"/>
  </r>
  <r>
    <s v="BAKERY PRODUCTS"/>
    <x v="9"/>
    <x v="361"/>
    <x v="354"/>
    <x v="99"/>
    <x v="235"/>
    <x v="0"/>
    <x v="5"/>
    <x v="5"/>
    <n v="0"/>
    <n v="0"/>
  </r>
  <r>
    <s v="BAKERY PRODUCTS"/>
    <x v="9"/>
    <x v="361"/>
    <x v="354"/>
    <x v="99"/>
    <x v="235"/>
    <x v="0"/>
    <x v="6"/>
    <x v="6"/>
    <n v="0"/>
    <n v="0"/>
  </r>
  <r>
    <s v="BAKERY PRODUCTS"/>
    <x v="9"/>
    <x v="362"/>
    <x v="355"/>
    <x v="100"/>
    <x v="236"/>
    <x v="0"/>
    <x v="0"/>
    <x v="0"/>
    <n v="0"/>
    <n v="0"/>
  </r>
  <r>
    <s v="BAKERY PRODUCTS"/>
    <x v="9"/>
    <x v="362"/>
    <x v="355"/>
    <x v="100"/>
    <x v="236"/>
    <x v="0"/>
    <x v="1"/>
    <x v="1"/>
    <n v="0"/>
    <n v="0"/>
  </r>
  <r>
    <s v="BAKERY PRODUCTS"/>
    <x v="9"/>
    <x v="362"/>
    <x v="355"/>
    <x v="100"/>
    <x v="236"/>
    <x v="0"/>
    <x v="2"/>
    <x v="2"/>
    <n v="0"/>
    <n v="0"/>
  </r>
  <r>
    <s v="BAKERY PRODUCTS"/>
    <x v="9"/>
    <x v="362"/>
    <x v="355"/>
    <x v="100"/>
    <x v="236"/>
    <x v="0"/>
    <x v="3"/>
    <x v="3"/>
    <n v="0"/>
    <n v="0"/>
  </r>
  <r>
    <s v="BAKERY PRODUCTS"/>
    <x v="9"/>
    <x v="362"/>
    <x v="355"/>
    <x v="100"/>
    <x v="236"/>
    <x v="0"/>
    <x v="4"/>
    <x v="4"/>
    <n v="0"/>
    <n v="0"/>
  </r>
  <r>
    <s v="BAKERY PRODUCTS"/>
    <x v="9"/>
    <x v="362"/>
    <x v="355"/>
    <x v="100"/>
    <x v="236"/>
    <x v="0"/>
    <x v="5"/>
    <x v="5"/>
    <n v="0"/>
    <n v="0"/>
  </r>
  <r>
    <s v="BAKERY PRODUCTS"/>
    <x v="9"/>
    <x v="362"/>
    <x v="355"/>
    <x v="100"/>
    <x v="236"/>
    <x v="0"/>
    <x v="6"/>
    <x v="6"/>
    <n v="0"/>
    <n v="0"/>
  </r>
  <r>
    <s v="BAKERY PRODUCTS"/>
    <x v="9"/>
    <x v="363"/>
    <x v="356"/>
    <x v="94"/>
    <x v="237"/>
    <x v="0"/>
    <x v="2"/>
    <x v="2"/>
    <n v="0"/>
    <n v="0"/>
  </r>
  <r>
    <s v="BAKERY PRODUCTS"/>
    <x v="9"/>
    <x v="363"/>
    <x v="356"/>
    <x v="94"/>
    <x v="237"/>
    <x v="0"/>
    <x v="3"/>
    <x v="3"/>
    <n v="0"/>
    <n v="0"/>
  </r>
  <r>
    <s v="BAKERY PRODUCTS"/>
    <x v="9"/>
    <x v="363"/>
    <x v="356"/>
    <x v="94"/>
    <x v="237"/>
    <x v="0"/>
    <x v="4"/>
    <x v="4"/>
    <n v="0"/>
    <n v="0"/>
  </r>
  <r>
    <s v="BAKERY PRODUCTS"/>
    <x v="9"/>
    <x v="363"/>
    <x v="356"/>
    <x v="94"/>
    <x v="237"/>
    <x v="0"/>
    <x v="5"/>
    <x v="5"/>
    <n v="0"/>
    <n v="0"/>
  </r>
  <r>
    <s v="BAKERY PRODUCTS"/>
    <x v="9"/>
    <x v="363"/>
    <x v="356"/>
    <x v="94"/>
    <x v="237"/>
    <x v="0"/>
    <x v="6"/>
    <x v="6"/>
    <n v="0"/>
    <n v="0"/>
  </r>
  <r>
    <s v="BAKERY PRODUCTS"/>
    <x v="3"/>
    <x v="364"/>
    <x v="357"/>
    <x v="27"/>
    <x v="238"/>
    <x v="0"/>
    <x v="0"/>
    <x v="0"/>
    <n v="0"/>
    <n v="0"/>
  </r>
  <r>
    <s v="BAKERY PRODUCTS"/>
    <x v="3"/>
    <x v="364"/>
    <x v="357"/>
    <x v="27"/>
    <x v="238"/>
    <x v="0"/>
    <x v="1"/>
    <x v="1"/>
    <n v="0"/>
    <n v="0"/>
  </r>
  <r>
    <s v="BAKERY PRODUCTS"/>
    <x v="3"/>
    <x v="364"/>
    <x v="357"/>
    <x v="27"/>
    <x v="238"/>
    <x v="0"/>
    <x v="2"/>
    <x v="2"/>
    <n v="0"/>
    <n v="0"/>
  </r>
  <r>
    <s v="BAKERY PRODUCTS"/>
    <x v="3"/>
    <x v="364"/>
    <x v="357"/>
    <x v="27"/>
    <x v="238"/>
    <x v="0"/>
    <x v="3"/>
    <x v="3"/>
    <n v="0"/>
    <n v="0"/>
  </r>
  <r>
    <s v="BAKERY PRODUCTS"/>
    <x v="3"/>
    <x v="364"/>
    <x v="357"/>
    <x v="27"/>
    <x v="238"/>
    <x v="0"/>
    <x v="4"/>
    <x v="4"/>
    <n v="0"/>
    <n v="0"/>
  </r>
  <r>
    <s v="BAKERY PRODUCTS"/>
    <x v="3"/>
    <x v="364"/>
    <x v="357"/>
    <x v="27"/>
    <x v="238"/>
    <x v="0"/>
    <x v="5"/>
    <x v="5"/>
    <n v="0"/>
    <n v="0"/>
  </r>
  <r>
    <s v="BAKERY PRODUCTS"/>
    <x v="3"/>
    <x v="364"/>
    <x v="357"/>
    <x v="27"/>
    <x v="238"/>
    <x v="0"/>
    <x v="6"/>
    <x v="6"/>
    <n v="0"/>
    <n v="0"/>
  </r>
  <r>
    <s v="BAKERY PRODUCTS"/>
    <x v="9"/>
    <x v="365"/>
    <x v="358"/>
    <x v="94"/>
    <x v="239"/>
    <x v="0"/>
    <x v="0"/>
    <x v="0"/>
    <n v="0"/>
    <n v="0"/>
  </r>
  <r>
    <s v="BAKERY PRODUCTS"/>
    <x v="9"/>
    <x v="365"/>
    <x v="358"/>
    <x v="94"/>
    <x v="239"/>
    <x v="0"/>
    <x v="1"/>
    <x v="1"/>
    <n v="0"/>
    <n v="0"/>
  </r>
  <r>
    <s v="BAKERY PRODUCTS"/>
    <x v="9"/>
    <x v="365"/>
    <x v="358"/>
    <x v="94"/>
    <x v="239"/>
    <x v="0"/>
    <x v="2"/>
    <x v="2"/>
    <n v="0"/>
    <n v="0"/>
  </r>
  <r>
    <s v="BAKERY PRODUCTS"/>
    <x v="9"/>
    <x v="365"/>
    <x v="358"/>
    <x v="94"/>
    <x v="239"/>
    <x v="0"/>
    <x v="3"/>
    <x v="3"/>
    <n v="0"/>
    <n v="0"/>
  </r>
  <r>
    <s v="BAKERY PRODUCTS"/>
    <x v="9"/>
    <x v="365"/>
    <x v="358"/>
    <x v="94"/>
    <x v="239"/>
    <x v="0"/>
    <x v="4"/>
    <x v="4"/>
    <n v="0"/>
    <n v="0"/>
  </r>
  <r>
    <s v="BAKERY PRODUCTS"/>
    <x v="9"/>
    <x v="365"/>
    <x v="358"/>
    <x v="94"/>
    <x v="239"/>
    <x v="0"/>
    <x v="6"/>
    <x v="6"/>
    <n v="0"/>
    <n v="0"/>
  </r>
  <r>
    <s v="BAKERY PRODUCTS"/>
    <x v="9"/>
    <x v="366"/>
    <x v="359"/>
    <x v="99"/>
    <x v="240"/>
    <x v="0"/>
    <x v="1"/>
    <x v="1"/>
    <n v="0"/>
    <n v="0"/>
  </r>
  <r>
    <s v="BAKERY PRODUCTS"/>
    <x v="9"/>
    <x v="366"/>
    <x v="359"/>
    <x v="99"/>
    <x v="240"/>
    <x v="0"/>
    <x v="2"/>
    <x v="2"/>
    <n v="0"/>
    <n v="0"/>
  </r>
  <r>
    <s v="BAKERY PRODUCTS"/>
    <x v="9"/>
    <x v="366"/>
    <x v="359"/>
    <x v="99"/>
    <x v="240"/>
    <x v="0"/>
    <x v="3"/>
    <x v="3"/>
    <n v="0"/>
    <n v="0"/>
  </r>
  <r>
    <s v="BAKERY PRODUCTS"/>
    <x v="9"/>
    <x v="366"/>
    <x v="359"/>
    <x v="99"/>
    <x v="240"/>
    <x v="0"/>
    <x v="4"/>
    <x v="4"/>
    <n v="0"/>
    <n v="0"/>
  </r>
  <r>
    <s v="BAKERY PRODUCTS"/>
    <x v="9"/>
    <x v="366"/>
    <x v="359"/>
    <x v="99"/>
    <x v="240"/>
    <x v="0"/>
    <x v="5"/>
    <x v="5"/>
    <n v="0"/>
    <n v="0"/>
  </r>
  <r>
    <s v="BAKERY PRODUCTS"/>
    <x v="9"/>
    <x v="366"/>
    <x v="359"/>
    <x v="99"/>
    <x v="240"/>
    <x v="0"/>
    <x v="6"/>
    <x v="6"/>
    <n v="0"/>
    <n v="0"/>
  </r>
  <r>
    <s v="BAKERY PRODUCTS"/>
    <x v="9"/>
    <x v="367"/>
    <x v="360"/>
    <x v="99"/>
    <x v="241"/>
    <x v="0"/>
    <x v="0"/>
    <x v="0"/>
    <n v="0"/>
    <n v="0"/>
  </r>
  <r>
    <s v="BAKERY PRODUCTS"/>
    <x v="9"/>
    <x v="367"/>
    <x v="360"/>
    <x v="99"/>
    <x v="241"/>
    <x v="0"/>
    <x v="1"/>
    <x v="1"/>
    <n v="0"/>
    <n v="0"/>
  </r>
  <r>
    <s v="BAKERY PRODUCTS"/>
    <x v="9"/>
    <x v="367"/>
    <x v="360"/>
    <x v="99"/>
    <x v="241"/>
    <x v="0"/>
    <x v="2"/>
    <x v="2"/>
    <n v="0"/>
    <n v="0"/>
  </r>
  <r>
    <s v="BAKERY PRODUCTS"/>
    <x v="9"/>
    <x v="367"/>
    <x v="360"/>
    <x v="99"/>
    <x v="241"/>
    <x v="0"/>
    <x v="3"/>
    <x v="3"/>
    <n v="0"/>
    <n v="0"/>
  </r>
  <r>
    <s v="BAKERY PRODUCTS"/>
    <x v="9"/>
    <x v="367"/>
    <x v="360"/>
    <x v="99"/>
    <x v="241"/>
    <x v="0"/>
    <x v="4"/>
    <x v="4"/>
    <n v="0"/>
    <n v="0"/>
  </r>
  <r>
    <s v="BAKERY PRODUCTS"/>
    <x v="9"/>
    <x v="367"/>
    <x v="360"/>
    <x v="99"/>
    <x v="241"/>
    <x v="0"/>
    <x v="5"/>
    <x v="5"/>
    <n v="0"/>
    <n v="0"/>
  </r>
  <r>
    <s v="BAKERY PRODUCTS"/>
    <x v="9"/>
    <x v="367"/>
    <x v="360"/>
    <x v="99"/>
    <x v="241"/>
    <x v="0"/>
    <x v="6"/>
    <x v="6"/>
    <n v="0"/>
    <n v="0"/>
  </r>
  <r>
    <s v="BAKERY PRODUCTS"/>
    <x v="9"/>
    <x v="368"/>
    <x v="361"/>
    <x v="101"/>
    <x v="242"/>
    <x v="0"/>
    <x v="0"/>
    <x v="0"/>
    <n v="0"/>
    <n v="0"/>
  </r>
  <r>
    <s v="BAKERY PRODUCTS"/>
    <x v="9"/>
    <x v="368"/>
    <x v="361"/>
    <x v="101"/>
    <x v="242"/>
    <x v="0"/>
    <x v="1"/>
    <x v="1"/>
    <n v="0"/>
    <n v="0"/>
  </r>
  <r>
    <s v="BAKERY PRODUCTS"/>
    <x v="9"/>
    <x v="368"/>
    <x v="361"/>
    <x v="101"/>
    <x v="242"/>
    <x v="0"/>
    <x v="2"/>
    <x v="2"/>
    <n v="0"/>
    <n v="0"/>
  </r>
  <r>
    <s v="BAKERY PRODUCTS"/>
    <x v="9"/>
    <x v="368"/>
    <x v="361"/>
    <x v="101"/>
    <x v="242"/>
    <x v="0"/>
    <x v="3"/>
    <x v="3"/>
    <n v="0"/>
    <n v="0"/>
  </r>
  <r>
    <s v="BAKERY PRODUCTS"/>
    <x v="9"/>
    <x v="368"/>
    <x v="361"/>
    <x v="101"/>
    <x v="242"/>
    <x v="0"/>
    <x v="4"/>
    <x v="4"/>
    <n v="0"/>
    <n v="0"/>
  </r>
  <r>
    <s v="BAKERY PRODUCTS"/>
    <x v="9"/>
    <x v="368"/>
    <x v="361"/>
    <x v="101"/>
    <x v="242"/>
    <x v="0"/>
    <x v="5"/>
    <x v="5"/>
    <n v="0"/>
    <n v="0"/>
  </r>
  <r>
    <s v="BAKERY PRODUCTS"/>
    <x v="9"/>
    <x v="368"/>
    <x v="361"/>
    <x v="101"/>
    <x v="242"/>
    <x v="0"/>
    <x v="6"/>
    <x v="6"/>
    <n v="0"/>
    <n v="0"/>
  </r>
  <r>
    <s v="BAKERY PRODUCTS"/>
    <x v="8"/>
    <x v="369"/>
    <x v="362"/>
    <x v="102"/>
    <x v="243"/>
    <x v="0"/>
    <x v="0"/>
    <x v="0"/>
    <n v="0"/>
    <n v="0"/>
  </r>
  <r>
    <s v="BAKERY PRODUCTS"/>
    <x v="8"/>
    <x v="369"/>
    <x v="362"/>
    <x v="102"/>
    <x v="243"/>
    <x v="0"/>
    <x v="1"/>
    <x v="1"/>
    <n v="0"/>
    <n v="0"/>
  </r>
  <r>
    <s v="BAKERY PRODUCTS"/>
    <x v="8"/>
    <x v="369"/>
    <x v="362"/>
    <x v="102"/>
    <x v="243"/>
    <x v="0"/>
    <x v="2"/>
    <x v="2"/>
    <n v="0"/>
    <n v="0"/>
  </r>
  <r>
    <s v="BAKERY PRODUCTS"/>
    <x v="8"/>
    <x v="369"/>
    <x v="362"/>
    <x v="102"/>
    <x v="243"/>
    <x v="0"/>
    <x v="3"/>
    <x v="3"/>
    <n v="0"/>
    <n v="0"/>
  </r>
  <r>
    <s v="BAKERY PRODUCTS"/>
    <x v="8"/>
    <x v="369"/>
    <x v="362"/>
    <x v="102"/>
    <x v="243"/>
    <x v="0"/>
    <x v="4"/>
    <x v="4"/>
    <n v="0"/>
    <n v="0"/>
  </r>
  <r>
    <s v="BAKERY PRODUCTS"/>
    <x v="8"/>
    <x v="369"/>
    <x v="362"/>
    <x v="102"/>
    <x v="243"/>
    <x v="0"/>
    <x v="5"/>
    <x v="5"/>
    <n v="0"/>
    <n v="0"/>
  </r>
  <r>
    <s v="BAKERY PRODUCTS"/>
    <x v="8"/>
    <x v="369"/>
    <x v="362"/>
    <x v="102"/>
    <x v="243"/>
    <x v="0"/>
    <x v="6"/>
    <x v="6"/>
    <n v="0"/>
    <n v="0"/>
  </r>
  <r>
    <s v="BAKERY PRODUCTS"/>
    <x v="8"/>
    <x v="370"/>
    <x v="363"/>
    <x v="94"/>
    <x v="244"/>
    <x v="0"/>
    <x v="0"/>
    <x v="0"/>
    <n v="0"/>
    <n v="0"/>
  </r>
  <r>
    <s v="BAKERY PRODUCTS"/>
    <x v="8"/>
    <x v="370"/>
    <x v="363"/>
    <x v="94"/>
    <x v="244"/>
    <x v="0"/>
    <x v="1"/>
    <x v="1"/>
    <n v="0"/>
    <n v="0"/>
  </r>
  <r>
    <s v="BAKERY PRODUCTS"/>
    <x v="8"/>
    <x v="370"/>
    <x v="363"/>
    <x v="94"/>
    <x v="244"/>
    <x v="0"/>
    <x v="2"/>
    <x v="2"/>
    <n v="0"/>
    <n v="0"/>
  </r>
  <r>
    <s v="BAKERY PRODUCTS"/>
    <x v="8"/>
    <x v="370"/>
    <x v="363"/>
    <x v="94"/>
    <x v="244"/>
    <x v="0"/>
    <x v="3"/>
    <x v="3"/>
    <n v="0"/>
    <n v="0"/>
  </r>
  <r>
    <s v="BAKERY PRODUCTS"/>
    <x v="8"/>
    <x v="370"/>
    <x v="363"/>
    <x v="94"/>
    <x v="244"/>
    <x v="0"/>
    <x v="4"/>
    <x v="4"/>
    <n v="0"/>
    <n v="0"/>
  </r>
  <r>
    <s v="BAKERY PRODUCTS"/>
    <x v="8"/>
    <x v="370"/>
    <x v="363"/>
    <x v="94"/>
    <x v="244"/>
    <x v="0"/>
    <x v="5"/>
    <x v="5"/>
    <n v="0"/>
    <n v="0"/>
  </r>
  <r>
    <s v="BAKERY PRODUCTS"/>
    <x v="8"/>
    <x v="370"/>
    <x v="363"/>
    <x v="94"/>
    <x v="244"/>
    <x v="0"/>
    <x v="6"/>
    <x v="6"/>
    <n v="0"/>
    <n v="0"/>
  </r>
  <r>
    <s v="BAKERY PRODUCTS"/>
    <x v="8"/>
    <x v="371"/>
    <x v="364"/>
    <x v="103"/>
    <x v="245"/>
    <x v="0"/>
    <x v="0"/>
    <x v="0"/>
    <n v="0"/>
    <n v="0"/>
  </r>
  <r>
    <s v="BAKERY PRODUCTS"/>
    <x v="8"/>
    <x v="371"/>
    <x v="364"/>
    <x v="103"/>
    <x v="245"/>
    <x v="0"/>
    <x v="1"/>
    <x v="1"/>
    <n v="0"/>
    <n v="0"/>
  </r>
  <r>
    <s v="BAKERY PRODUCTS"/>
    <x v="8"/>
    <x v="371"/>
    <x v="364"/>
    <x v="103"/>
    <x v="245"/>
    <x v="0"/>
    <x v="2"/>
    <x v="2"/>
    <n v="0"/>
    <n v="0"/>
  </r>
  <r>
    <s v="BAKERY PRODUCTS"/>
    <x v="8"/>
    <x v="371"/>
    <x v="364"/>
    <x v="103"/>
    <x v="245"/>
    <x v="0"/>
    <x v="3"/>
    <x v="3"/>
    <n v="0"/>
    <n v="0"/>
  </r>
  <r>
    <s v="BAKERY PRODUCTS"/>
    <x v="8"/>
    <x v="371"/>
    <x v="364"/>
    <x v="103"/>
    <x v="245"/>
    <x v="0"/>
    <x v="4"/>
    <x v="4"/>
    <n v="0"/>
    <n v="0"/>
  </r>
  <r>
    <s v="BAKERY PRODUCTS"/>
    <x v="8"/>
    <x v="371"/>
    <x v="364"/>
    <x v="103"/>
    <x v="245"/>
    <x v="0"/>
    <x v="5"/>
    <x v="5"/>
    <n v="0"/>
    <n v="0"/>
  </r>
  <r>
    <s v="BAKERY PRODUCTS"/>
    <x v="8"/>
    <x v="371"/>
    <x v="364"/>
    <x v="103"/>
    <x v="245"/>
    <x v="0"/>
    <x v="6"/>
    <x v="6"/>
    <n v="0"/>
    <n v="0"/>
  </r>
  <r>
    <s v="BAKERY PRODUCTS"/>
    <x v="8"/>
    <x v="372"/>
    <x v="365"/>
    <x v="104"/>
    <x v="246"/>
    <x v="0"/>
    <x v="0"/>
    <x v="0"/>
    <n v="0"/>
    <n v="0"/>
  </r>
  <r>
    <s v="BAKERY PRODUCTS"/>
    <x v="8"/>
    <x v="372"/>
    <x v="365"/>
    <x v="104"/>
    <x v="246"/>
    <x v="0"/>
    <x v="1"/>
    <x v="1"/>
    <n v="0"/>
    <n v="0"/>
  </r>
  <r>
    <s v="BAKERY PRODUCTS"/>
    <x v="8"/>
    <x v="372"/>
    <x v="365"/>
    <x v="104"/>
    <x v="246"/>
    <x v="0"/>
    <x v="2"/>
    <x v="2"/>
    <n v="0"/>
    <n v="0"/>
  </r>
  <r>
    <s v="BAKERY PRODUCTS"/>
    <x v="8"/>
    <x v="372"/>
    <x v="365"/>
    <x v="104"/>
    <x v="246"/>
    <x v="0"/>
    <x v="3"/>
    <x v="3"/>
    <n v="0"/>
    <n v="0"/>
  </r>
  <r>
    <s v="BAKERY PRODUCTS"/>
    <x v="8"/>
    <x v="372"/>
    <x v="365"/>
    <x v="104"/>
    <x v="246"/>
    <x v="0"/>
    <x v="4"/>
    <x v="4"/>
    <n v="0"/>
    <n v="0"/>
  </r>
  <r>
    <s v="BAKERY PRODUCTS"/>
    <x v="8"/>
    <x v="372"/>
    <x v="365"/>
    <x v="104"/>
    <x v="246"/>
    <x v="0"/>
    <x v="5"/>
    <x v="5"/>
    <n v="0"/>
    <n v="0"/>
  </r>
  <r>
    <s v="BAKERY PRODUCTS"/>
    <x v="8"/>
    <x v="372"/>
    <x v="365"/>
    <x v="104"/>
    <x v="246"/>
    <x v="0"/>
    <x v="6"/>
    <x v="6"/>
    <n v="0"/>
    <n v="0"/>
  </r>
  <r>
    <s v="BAKERY PRODUCTS"/>
    <x v="8"/>
    <x v="373"/>
    <x v="366"/>
    <x v="23"/>
    <x v="247"/>
    <x v="0"/>
    <x v="0"/>
    <x v="0"/>
    <n v="0"/>
    <n v="0"/>
  </r>
  <r>
    <s v="BAKERY PRODUCTS"/>
    <x v="8"/>
    <x v="373"/>
    <x v="366"/>
    <x v="23"/>
    <x v="247"/>
    <x v="0"/>
    <x v="1"/>
    <x v="1"/>
    <n v="0"/>
    <n v="0"/>
  </r>
  <r>
    <s v="BAKERY PRODUCTS"/>
    <x v="8"/>
    <x v="373"/>
    <x v="366"/>
    <x v="23"/>
    <x v="247"/>
    <x v="0"/>
    <x v="2"/>
    <x v="2"/>
    <n v="0"/>
    <n v="0"/>
  </r>
  <r>
    <s v="BAKERY PRODUCTS"/>
    <x v="8"/>
    <x v="373"/>
    <x v="366"/>
    <x v="23"/>
    <x v="247"/>
    <x v="0"/>
    <x v="3"/>
    <x v="3"/>
    <n v="0"/>
    <n v="0"/>
  </r>
  <r>
    <s v="BAKERY PRODUCTS"/>
    <x v="8"/>
    <x v="373"/>
    <x v="366"/>
    <x v="23"/>
    <x v="247"/>
    <x v="0"/>
    <x v="4"/>
    <x v="4"/>
    <n v="0"/>
    <n v="0"/>
  </r>
  <r>
    <s v="BAKERY PRODUCTS"/>
    <x v="8"/>
    <x v="373"/>
    <x v="366"/>
    <x v="23"/>
    <x v="247"/>
    <x v="0"/>
    <x v="5"/>
    <x v="5"/>
    <n v="0"/>
    <n v="0"/>
  </r>
  <r>
    <s v="BAKERY PRODUCTS"/>
    <x v="8"/>
    <x v="373"/>
    <x v="366"/>
    <x v="23"/>
    <x v="247"/>
    <x v="0"/>
    <x v="6"/>
    <x v="6"/>
    <n v="0"/>
    <n v="0"/>
  </r>
  <r>
    <s v="BAKERY PRODUCTS"/>
    <x v="8"/>
    <x v="374"/>
    <x v="367"/>
    <x v="29"/>
    <x v="248"/>
    <x v="0"/>
    <x v="0"/>
    <x v="0"/>
    <n v="0"/>
    <n v="0"/>
  </r>
  <r>
    <s v="BAKERY PRODUCTS"/>
    <x v="8"/>
    <x v="374"/>
    <x v="367"/>
    <x v="29"/>
    <x v="248"/>
    <x v="0"/>
    <x v="1"/>
    <x v="1"/>
    <n v="0"/>
    <n v="0"/>
  </r>
  <r>
    <s v="BAKERY PRODUCTS"/>
    <x v="8"/>
    <x v="374"/>
    <x v="367"/>
    <x v="29"/>
    <x v="248"/>
    <x v="0"/>
    <x v="2"/>
    <x v="2"/>
    <n v="0"/>
    <n v="0"/>
  </r>
  <r>
    <s v="BAKERY PRODUCTS"/>
    <x v="8"/>
    <x v="374"/>
    <x v="367"/>
    <x v="29"/>
    <x v="248"/>
    <x v="0"/>
    <x v="3"/>
    <x v="3"/>
    <n v="0"/>
    <n v="0"/>
  </r>
  <r>
    <s v="BAKERY PRODUCTS"/>
    <x v="8"/>
    <x v="374"/>
    <x v="367"/>
    <x v="29"/>
    <x v="248"/>
    <x v="0"/>
    <x v="4"/>
    <x v="4"/>
    <n v="0"/>
    <n v="0"/>
  </r>
  <r>
    <s v="BAKERY PRODUCTS"/>
    <x v="8"/>
    <x v="374"/>
    <x v="367"/>
    <x v="29"/>
    <x v="248"/>
    <x v="0"/>
    <x v="5"/>
    <x v="5"/>
    <n v="0"/>
    <n v="0"/>
  </r>
  <r>
    <s v="BAKERY PRODUCTS"/>
    <x v="8"/>
    <x v="374"/>
    <x v="367"/>
    <x v="29"/>
    <x v="248"/>
    <x v="0"/>
    <x v="6"/>
    <x v="6"/>
    <n v="0"/>
    <n v="0"/>
  </r>
  <r>
    <s v="BAKERY PRODUCTS"/>
    <x v="8"/>
    <x v="375"/>
    <x v="368"/>
    <x v="99"/>
    <x v="249"/>
    <x v="0"/>
    <x v="0"/>
    <x v="0"/>
    <n v="0"/>
    <n v="0"/>
  </r>
  <r>
    <s v="BAKERY PRODUCTS"/>
    <x v="8"/>
    <x v="375"/>
    <x v="368"/>
    <x v="99"/>
    <x v="249"/>
    <x v="0"/>
    <x v="1"/>
    <x v="1"/>
    <n v="0"/>
    <n v="0"/>
  </r>
  <r>
    <s v="BAKERY PRODUCTS"/>
    <x v="8"/>
    <x v="375"/>
    <x v="368"/>
    <x v="99"/>
    <x v="249"/>
    <x v="0"/>
    <x v="2"/>
    <x v="2"/>
    <n v="0"/>
    <n v="0"/>
  </r>
  <r>
    <s v="BAKERY PRODUCTS"/>
    <x v="8"/>
    <x v="375"/>
    <x v="368"/>
    <x v="99"/>
    <x v="249"/>
    <x v="0"/>
    <x v="3"/>
    <x v="3"/>
    <n v="0"/>
    <n v="0"/>
  </r>
  <r>
    <s v="BAKERY PRODUCTS"/>
    <x v="8"/>
    <x v="375"/>
    <x v="368"/>
    <x v="99"/>
    <x v="249"/>
    <x v="0"/>
    <x v="4"/>
    <x v="4"/>
    <n v="0"/>
    <n v="0"/>
  </r>
  <r>
    <s v="BAKERY PRODUCTS"/>
    <x v="8"/>
    <x v="375"/>
    <x v="368"/>
    <x v="99"/>
    <x v="249"/>
    <x v="0"/>
    <x v="5"/>
    <x v="5"/>
    <n v="0"/>
    <n v="0"/>
  </r>
  <r>
    <s v="BAKERY PRODUCTS"/>
    <x v="8"/>
    <x v="375"/>
    <x v="368"/>
    <x v="99"/>
    <x v="249"/>
    <x v="0"/>
    <x v="6"/>
    <x v="6"/>
    <n v="0"/>
    <n v="0"/>
  </r>
  <r>
    <s v="BAKERY PRODUCTS"/>
    <x v="8"/>
    <x v="376"/>
    <x v="369"/>
    <x v="105"/>
    <x v="250"/>
    <x v="0"/>
    <x v="0"/>
    <x v="0"/>
    <n v="0"/>
    <n v="0"/>
  </r>
  <r>
    <s v="BAKERY PRODUCTS"/>
    <x v="8"/>
    <x v="376"/>
    <x v="369"/>
    <x v="105"/>
    <x v="250"/>
    <x v="0"/>
    <x v="1"/>
    <x v="1"/>
    <n v="0"/>
    <n v="0"/>
  </r>
  <r>
    <s v="BAKERY PRODUCTS"/>
    <x v="8"/>
    <x v="376"/>
    <x v="369"/>
    <x v="105"/>
    <x v="250"/>
    <x v="0"/>
    <x v="2"/>
    <x v="2"/>
    <n v="0"/>
    <n v="0"/>
  </r>
  <r>
    <s v="BAKERY PRODUCTS"/>
    <x v="8"/>
    <x v="376"/>
    <x v="369"/>
    <x v="105"/>
    <x v="250"/>
    <x v="0"/>
    <x v="3"/>
    <x v="3"/>
    <n v="0"/>
    <n v="0"/>
  </r>
  <r>
    <s v="BAKERY PRODUCTS"/>
    <x v="8"/>
    <x v="376"/>
    <x v="369"/>
    <x v="105"/>
    <x v="250"/>
    <x v="0"/>
    <x v="4"/>
    <x v="4"/>
    <n v="0"/>
    <n v="0"/>
  </r>
  <r>
    <s v="BAKERY PRODUCTS"/>
    <x v="8"/>
    <x v="376"/>
    <x v="369"/>
    <x v="105"/>
    <x v="250"/>
    <x v="0"/>
    <x v="5"/>
    <x v="5"/>
    <n v="0"/>
    <n v="0"/>
  </r>
  <r>
    <s v="BAKERY PRODUCTS"/>
    <x v="8"/>
    <x v="376"/>
    <x v="369"/>
    <x v="105"/>
    <x v="250"/>
    <x v="0"/>
    <x v="6"/>
    <x v="6"/>
    <n v="0"/>
    <n v="0"/>
  </r>
  <r>
    <s v="BAKERY PRODUCTS"/>
    <x v="8"/>
    <x v="377"/>
    <x v="370"/>
    <x v="106"/>
    <x v="251"/>
    <x v="0"/>
    <x v="0"/>
    <x v="0"/>
    <n v="0"/>
    <n v="0"/>
  </r>
  <r>
    <s v="BAKERY PRODUCTS"/>
    <x v="8"/>
    <x v="377"/>
    <x v="370"/>
    <x v="106"/>
    <x v="251"/>
    <x v="0"/>
    <x v="1"/>
    <x v="1"/>
    <n v="0"/>
    <n v="0"/>
  </r>
  <r>
    <s v="BAKERY PRODUCTS"/>
    <x v="8"/>
    <x v="377"/>
    <x v="370"/>
    <x v="106"/>
    <x v="251"/>
    <x v="0"/>
    <x v="2"/>
    <x v="2"/>
    <n v="0"/>
    <n v="0"/>
  </r>
  <r>
    <s v="BAKERY PRODUCTS"/>
    <x v="8"/>
    <x v="377"/>
    <x v="370"/>
    <x v="106"/>
    <x v="251"/>
    <x v="0"/>
    <x v="3"/>
    <x v="3"/>
    <n v="0"/>
    <n v="0"/>
  </r>
  <r>
    <s v="BAKERY PRODUCTS"/>
    <x v="8"/>
    <x v="377"/>
    <x v="370"/>
    <x v="106"/>
    <x v="251"/>
    <x v="0"/>
    <x v="4"/>
    <x v="4"/>
    <n v="0"/>
    <n v="0"/>
  </r>
  <r>
    <s v="BAKERY PRODUCTS"/>
    <x v="8"/>
    <x v="377"/>
    <x v="370"/>
    <x v="106"/>
    <x v="251"/>
    <x v="0"/>
    <x v="5"/>
    <x v="5"/>
    <n v="0"/>
    <n v="0"/>
  </r>
  <r>
    <s v="BAKERY PRODUCTS"/>
    <x v="8"/>
    <x v="377"/>
    <x v="370"/>
    <x v="106"/>
    <x v="251"/>
    <x v="0"/>
    <x v="6"/>
    <x v="6"/>
    <n v="0"/>
    <n v="0"/>
  </r>
  <r>
    <s v="BAKERY PRODUCTS"/>
    <x v="8"/>
    <x v="378"/>
    <x v="371"/>
    <x v="23"/>
    <x v="252"/>
    <x v="0"/>
    <x v="1"/>
    <x v="1"/>
    <n v="0"/>
    <n v="0"/>
  </r>
  <r>
    <s v="BAKERY PRODUCTS"/>
    <x v="8"/>
    <x v="378"/>
    <x v="371"/>
    <x v="23"/>
    <x v="252"/>
    <x v="0"/>
    <x v="3"/>
    <x v="3"/>
    <n v="0"/>
    <n v="0"/>
  </r>
  <r>
    <s v="BAKERY PRODUCTS"/>
    <x v="8"/>
    <x v="378"/>
    <x v="371"/>
    <x v="23"/>
    <x v="252"/>
    <x v="0"/>
    <x v="6"/>
    <x v="6"/>
    <n v="0"/>
    <n v="0"/>
  </r>
  <r>
    <s v="BAKERY PRODUCTS"/>
    <x v="8"/>
    <x v="379"/>
    <x v="372"/>
    <x v="94"/>
    <x v="253"/>
    <x v="0"/>
    <x v="0"/>
    <x v="0"/>
    <n v="0"/>
    <n v="0"/>
  </r>
  <r>
    <s v="BAKERY PRODUCTS"/>
    <x v="8"/>
    <x v="379"/>
    <x v="372"/>
    <x v="94"/>
    <x v="253"/>
    <x v="0"/>
    <x v="1"/>
    <x v="1"/>
    <n v="0"/>
    <n v="0"/>
  </r>
  <r>
    <s v="BAKERY PRODUCTS"/>
    <x v="8"/>
    <x v="379"/>
    <x v="372"/>
    <x v="94"/>
    <x v="253"/>
    <x v="0"/>
    <x v="2"/>
    <x v="2"/>
    <n v="0"/>
    <n v="0"/>
  </r>
  <r>
    <s v="BAKERY PRODUCTS"/>
    <x v="8"/>
    <x v="379"/>
    <x v="372"/>
    <x v="94"/>
    <x v="253"/>
    <x v="0"/>
    <x v="3"/>
    <x v="3"/>
    <n v="0"/>
    <n v="0"/>
  </r>
  <r>
    <s v="BAKERY PRODUCTS"/>
    <x v="8"/>
    <x v="379"/>
    <x v="372"/>
    <x v="94"/>
    <x v="253"/>
    <x v="0"/>
    <x v="4"/>
    <x v="4"/>
    <n v="0"/>
    <n v="0"/>
  </r>
  <r>
    <s v="BAKERY PRODUCTS"/>
    <x v="8"/>
    <x v="379"/>
    <x v="372"/>
    <x v="94"/>
    <x v="253"/>
    <x v="0"/>
    <x v="6"/>
    <x v="6"/>
    <n v="0"/>
    <n v="0"/>
  </r>
  <r>
    <s v="BAKERY PRODUCTS"/>
    <x v="8"/>
    <x v="380"/>
    <x v="373"/>
    <x v="30"/>
    <x v="254"/>
    <x v="0"/>
    <x v="0"/>
    <x v="0"/>
    <n v="0"/>
    <n v="0"/>
  </r>
  <r>
    <s v="BAKERY PRODUCTS"/>
    <x v="8"/>
    <x v="380"/>
    <x v="373"/>
    <x v="30"/>
    <x v="254"/>
    <x v="0"/>
    <x v="1"/>
    <x v="1"/>
    <n v="0"/>
    <n v="0"/>
  </r>
  <r>
    <s v="BAKERY PRODUCTS"/>
    <x v="8"/>
    <x v="380"/>
    <x v="373"/>
    <x v="30"/>
    <x v="254"/>
    <x v="0"/>
    <x v="2"/>
    <x v="2"/>
    <n v="0"/>
    <n v="0"/>
  </r>
  <r>
    <s v="BAKERY PRODUCTS"/>
    <x v="8"/>
    <x v="380"/>
    <x v="373"/>
    <x v="30"/>
    <x v="254"/>
    <x v="0"/>
    <x v="3"/>
    <x v="3"/>
    <n v="0"/>
    <n v="0"/>
  </r>
  <r>
    <s v="BAKERY PRODUCTS"/>
    <x v="8"/>
    <x v="380"/>
    <x v="373"/>
    <x v="30"/>
    <x v="254"/>
    <x v="0"/>
    <x v="4"/>
    <x v="4"/>
    <n v="0"/>
    <n v="0"/>
  </r>
  <r>
    <s v="BAKERY PRODUCTS"/>
    <x v="8"/>
    <x v="380"/>
    <x v="373"/>
    <x v="30"/>
    <x v="254"/>
    <x v="0"/>
    <x v="5"/>
    <x v="5"/>
    <n v="0"/>
    <n v="0"/>
  </r>
  <r>
    <s v="BAKERY PRODUCTS"/>
    <x v="8"/>
    <x v="380"/>
    <x v="373"/>
    <x v="30"/>
    <x v="254"/>
    <x v="0"/>
    <x v="6"/>
    <x v="6"/>
    <n v="0"/>
    <n v="0"/>
  </r>
  <r>
    <s v="BAKERY PRODUCTS"/>
    <x v="8"/>
    <x v="381"/>
    <x v="374"/>
    <x v="20"/>
    <x v="255"/>
    <x v="0"/>
    <x v="0"/>
    <x v="0"/>
    <n v="0"/>
    <n v="0"/>
  </r>
  <r>
    <s v="BAKERY PRODUCTS"/>
    <x v="8"/>
    <x v="381"/>
    <x v="374"/>
    <x v="20"/>
    <x v="255"/>
    <x v="0"/>
    <x v="1"/>
    <x v="1"/>
    <n v="0"/>
    <n v="0"/>
  </r>
  <r>
    <s v="BAKERY PRODUCTS"/>
    <x v="8"/>
    <x v="381"/>
    <x v="374"/>
    <x v="20"/>
    <x v="255"/>
    <x v="0"/>
    <x v="2"/>
    <x v="2"/>
    <n v="0"/>
    <n v="0"/>
  </r>
  <r>
    <s v="BAKERY PRODUCTS"/>
    <x v="8"/>
    <x v="381"/>
    <x v="374"/>
    <x v="20"/>
    <x v="255"/>
    <x v="0"/>
    <x v="3"/>
    <x v="3"/>
    <n v="0"/>
    <n v="0"/>
  </r>
  <r>
    <s v="BAKERY PRODUCTS"/>
    <x v="8"/>
    <x v="381"/>
    <x v="374"/>
    <x v="20"/>
    <x v="255"/>
    <x v="0"/>
    <x v="4"/>
    <x v="4"/>
    <n v="0"/>
    <n v="0"/>
  </r>
  <r>
    <s v="BAKERY PRODUCTS"/>
    <x v="8"/>
    <x v="381"/>
    <x v="374"/>
    <x v="20"/>
    <x v="255"/>
    <x v="0"/>
    <x v="5"/>
    <x v="5"/>
    <n v="0"/>
    <n v="0"/>
  </r>
  <r>
    <s v="BAKERY PRODUCTS"/>
    <x v="8"/>
    <x v="381"/>
    <x v="374"/>
    <x v="20"/>
    <x v="255"/>
    <x v="0"/>
    <x v="6"/>
    <x v="6"/>
    <n v="0"/>
    <n v="0"/>
  </r>
  <r>
    <s v="BAKERY PRODUCTS"/>
    <x v="8"/>
    <x v="382"/>
    <x v="375"/>
    <x v="0"/>
    <x v="256"/>
    <x v="0"/>
    <x v="0"/>
    <x v="0"/>
    <n v="0"/>
    <n v="0"/>
  </r>
  <r>
    <s v="BAKERY PRODUCTS"/>
    <x v="8"/>
    <x v="382"/>
    <x v="375"/>
    <x v="0"/>
    <x v="256"/>
    <x v="0"/>
    <x v="1"/>
    <x v="1"/>
    <n v="0"/>
    <n v="0"/>
  </r>
  <r>
    <s v="BAKERY PRODUCTS"/>
    <x v="8"/>
    <x v="382"/>
    <x v="375"/>
    <x v="0"/>
    <x v="256"/>
    <x v="0"/>
    <x v="2"/>
    <x v="2"/>
    <n v="0"/>
    <n v="0"/>
  </r>
  <r>
    <s v="BAKERY PRODUCTS"/>
    <x v="8"/>
    <x v="382"/>
    <x v="375"/>
    <x v="0"/>
    <x v="256"/>
    <x v="0"/>
    <x v="3"/>
    <x v="3"/>
    <n v="0"/>
    <n v="0"/>
  </r>
  <r>
    <s v="BAKERY PRODUCTS"/>
    <x v="8"/>
    <x v="382"/>
    <x v="375"/>
    <x v="0"/>
    <x v="256"/>
    <x v="0"/>
    <x v="4"/>
    <x v="4"/>
    <n v="0"/>
    <n v="0"/>
  </r>
  <r>
    <s v="BAKERY PRODUCTS"/>
    <x v="8"/>
    <x v="382"/>
    <x v="375"/>
    <x v="0"/>
    <x v="256"/>
    <x v="0"/>
    <x v="5"/>
    <x v="5"/>
    <n v="0"/>
    <n v="0"/>
  </r>
  <r>
    <s v="BAKERY PRODUCTS"/>
    <x v="8"/>
    <x v="382"/>
    <x v="375"/>
    <x v="0"/>
    <x v="256"/>
    <x v="0"/>
    <x v="6"/>
    <x v="6"/>
    <n v="0"/>
    <n v="0"/>
  </r>
  <r>
    <s v="BAKERY PRODUCTS"/>
    <x v="8"/>
    <x v="383"/>
    <x v="376"/>
    <x v="104"/>
    <x v="257"/>
    <x v="0"/>
    <x v="0"/>
    <x v="0"/>
    <n v="0"/>
    <n v="0"/>
  </r>
  <r>
    <s v="BAKERY PRODUCTS"/>
    <x v="8"/>
    <x v="383"/>
    <x v="376"/>
    <x v="104"/>
    <x v="257"/>
    <x v="0"/>
    <x v="1"/>
    <x v="1"/>
    <n v="0"/>
    <n v="0"/>
  </r>
  <r>
    <s v="BAKERY PRODUCTS"/>
    <x v="8"/>
    <x v="383"/>
    <x v="376"/>
    <x v="104"/>
    <x v="257"/>
    <x v="0"/>
    <x v="2"/>
    <x v="2"/>
    <n v="0"/>
    <n v="0"/>
  </r>
  <r>
    <s v="BAKERY PRODUCTS"/>
    <x v="8"/>
    <x v="383"/>
    <x v="376"/>
    <x v="104"/>
    <x v="257"/>
    <x v="0"/>
    <x v="3"/>
    <x v="3"/>
    <n v="0"/>
    <n v="0"/>
  </r>
  <r>
    <s v="BAKERY PRODUCTS"/>
    <x v="8"/>
    <x v="383"/>
    <x v="376"/>
    <x v="104"/>
    <x v="257"/>
    <x v="0"/>
    <x v="4"/>
    <x v="4"/>
    <n v="0"/>
    <n v="0"/>
  </r>
  <r>
    <s v="BAKERY PRODUCTS"/>
    <x v="8"/>
    <x v="383"/>
    <x v="376"/>
    <x v="104"/>
    <x v="257"/>
    <x v="0"/>
    <x v="5"/>
    <x v="5"/>
    <n v="0"/>
    <n v="0"/>
  </r>
  <r>
    <s v="BAKERY PRODUCTS"/>
    <x v="8"/>
    <x v="383"/>
    <x v="376"/>
    <x v="104"/>
    <x v="257"/>
    <x v="0"/>
    <x v="6"/>
    <x v="6"/>
    <n v="0"/>
    <n v="0"/>
  </r>
  <r>
    <s v="BAKERY PRODUCTS"/>
    <x v="5"/>
    <x v="384"/>
    <x v="377"/>
    <x v="9"/>
    <x v="258"/>
    <x v="0"/>
    <x v="0"/>
    <x v="0"/>
    <n v="0"/>
    <n v="0"/>
  </r>
  <r>
    <s v="BAKERY PRODUCTS"/>
    <x v="5"/>
    <x v="384"/>
    <x v="377"/>
    <x v="9"/>
    <x v="258"/>
    <x v="0"/>
    <x v="1"/>
    <x v="1"/>
    <n v="0"/>
    <n v="0"/>
  </r>
  <r>
    <s v="BAKERY PRODUCTS"/>
    <x v="5"/>
    <x v="384"/>
    <x v="377"/>
    <x v="9"/>
    <x v="258"/>
    <x v="0"/>
    <x v="2"/>
    <x v="2"/>
    <n v="0"/>
    <n v="0"/>
  </r>
  <r>
    <s v="BAKERY PRODUCTS"/>
    <x v="5"/>
    <x v="384"/>
    <x v="377"/>
    <x v="9"/>
    <x v="258"/>
    <x v="0"/>
    <x v="3"/>
    <x v="3"/>
    <n v="0"/>
    <n v="0"/>
  </r>
  <r>
    <s v="BAKERY PRODUCTS"/>
    <x v="5"/>
    <x v="384"/>
    <x v="377"/>
    <x v="9"/>
    <x v="258"/>
    <x v="0"/>
    <x v="4"/>
    <x v="4"/>
    <n v="0"/>
    <n v="0"/>
  </r>
  <r>
    <s v="BAKERY PRODUCTS"/>
    <x v="5"/>
    <x v="384"/>
    <x v="377"/>
    <x v="9"/>
    <x v="258"/>
    <x v="0"/>
    <x v="5"/>
    <x v="5"/>
    <n v="0"/>
    <n v="0"/>
  </r>
  <r>
    <s v="BAKERY PRODUCTS"/>
    <x v="5"/>
    <x v="384"/>
    <x v="377"/>
    <x v="9"/>
    <x v="258"/>
    <x v="0"/>
    <x v="6"/>
    <x v="6"/>
    <n v="0"/>
    <n v="0"/>
  </r>
  <r>
    <s v="BAKERY PRODUCTS"/>
    <x v="5"/>
    <x v="385"/>
    <x v="378"/>
    <x v="107"/>
    <x v="259"/>
    <x v="0"/>
    <x v="0"/>
    <x v="0"/>
    <n v="0"/>
    <n v="0"/>
  </r>
  <r>
    <s v="BAKERY PRODUCTS"/>
    <x v="5"/>
    <x v="385"/>
    <x v="378"/>
    <x v="107"/>
    <x v="259"/>
    <x v="0"/>
    <x v="1"/>
    <x v="1"/>
    <n v="0"/>
    <n v="0"/>
  </r>
  <r>
    <s v="BAKERY PRODUCTS"/>
    <x v="5"/>
    <x v="385"/>
    <x v="378"/>
    <x v="107"/>
    <x v="259"/>
    <x v="0"/>
    <x v="2"/>
    <x v="2"/>
    <n v="0"/>
    <n v="0"/>
  </r>
  <r>
    <s v="BAKERY PRODUCTS"/>
    <x v="5"/>
    <x v="385"/>
    <x v="378"/>
    <x v="107"/>
    <x v="259"/>
    <x v="0"/>
    <x v="3"/>
    <x v="3"/>
    <n v="0"/>
    <n v="0"/>
  </r>
  <r>
    <s v="BAKERY PRODUCTS"/>
    <x v="5"/>
    <x v="385"/>
    <x v="378"/>
    <x v="107"/>
    <x v="259"/>
    <x v="0"/>
    <x v="4"/>
    <x v="4"/>
    <n v="0"/>
    <n v="0"/>
  </r>
  <r>
    <s v="BAKERY PRODUCTS"/>
    <x v="5"/>
    <x v="385"/>
    <x v="378"/>
    <x v="107"/>
    <x v="259"/>
    <x v="0"/>
    <x v="5"/>
    <x v="5"/>
    <n v="0"/>
    <n v="0"/>
  </r>
  <r>
    <s v="BAKERY PRODUCTS"/>
    <x v="5"/>
    <x v="385"/>
    <x v="378"/>
    <x v="107"/>
    <x v="259"/>
    <x v="0"/>
    <x v="6"/>
    <x v="6"/>
    <n v="0"/>
    <n v="0"/>
  </r>
  <r>
    <s v="BAKERY PRODUCTS"/>
    <x v="5"/>
    <x v="386"/>
    <x v="379"/>
    <x v="11"/>
    <x v="260"/>
    <x v="0"/>
    <x v="0"/>
    <x v="0"/>
    <n v="0"/>
    <n v="0"/>
  </r>
  <r>
    <s v="BAKERY PRODUCTS"/>
    <x v="5"/>
    <x v="386"/>
    <x v="379"/>
    <x v="11"/>
    <x v="260"/>
    <x v="0"/>
    <x v="1"/>
    <x v="1"/>
    <n v="0"/>
    <n v="0"/>
  </r>
  <r>
    <s v="BAKERY PRODUCTS"/>
    <x v="5"/>
    <x v="386"/>
    <x v="379"/>
    <x v="11"/>
    <x v="260"/>
    <x v="0"/>
    <x v="2"/>
    <x v="2"/>
    <n v="0"/>
    <n v="0"/>
  </r>
  <r>
    <s v="BAKERY PRODUCTS"/>
    <x v="5"/>
    <x v="386"/>
    <x v="379"/>
    <x v="11"/>
    <x v="260"/>
    <x v="0"/>
    <x v="3"/>
    <x v="3"/>
    <n v="0"/>
    <n v="0"/>
  </r>
  <r>
    <s v="BAKERY PRODUCTS"/>
    <x v="5"/>
    <x v="386"/>
    <x v="379"/>
    <x v="11"/>
    <x v="260"/>
    <x v="0"/>
    <x v="4"/>
    <x v="4"/>
    <n v="0"/>
    <n v="0"/>
  </r>
  <r>
    <s v="BAKERY PRODUCTS"/>
    <x v="5"/>
    <x v="386"/>
    <x v="379"/>
    <x v="11"/>
    <x v="260"/>
    <x v="0"/>
    <x v="5"/>
    <x v="5"/>
    <n v="0"/>
    <n v="0"/>
  </r>
  <r>
    <s v="BAKERY PRODUCTS"/>
    <x v="5"/>
    <x v="386"/>
    <x v="379"/>
    <x v="11"/>
    <x v="260"/>
    <x v="0"/>
    <x v="6"/>
    <x v="6"/>
    <n v="0"/>
    <n v="0"/>
  </r>
  <r>
    <s v="BAKERY PRODUCTS"/>
    <x v="5"/>
    <x v="387"/>
    <x v="380"/>
    <x v="1"/>
    <x v="261"/>
    <x v="0"/>
    <x v="0"/>
    <x v="0"/>
    <n v="0"/>
    <n v="0"/>
  </r>
  <r>
    <s v="BAKERY PRODUCTS"/>
    <x v="5"/>
    <x v="387"/>
    <x v="380"/>
    <x v="1"/>
    <x v="261"/>
    <x v="0"/>
    <x v="1"/>
    <x v="1"/>
    <n v="0"/>
    <n v="0"/>
  </r>
  <r>
    <s v="BAKERY PRODUCTS"/>
    <x v="5"/>
    <x v="387"/>
    <x v="380"/>
    <x v="1"/>
    <x v="261"/>
    <x v="0"/>
    <x v="2"/>
    <x v="2"/>
    <n v="0"/>
    <n v="0"/>
  </r>
  <r>
    <s v="BAKERY PRODUCTS"/>
    <x v="5"/>
    <x v="387"/>
    <x v="380"/>
    <x v="1"/>
    <x v="261"/>
    <x v="0"/>
    <x v="3"/>
    <x v="3"/>
    <n v="0"/>
    <n v="0"/>
  </r>
  <r>
    <s v="BAKERY PRODUCTS"/>
    <x v="5"/>
    <x v="387"/>
    <x v="380"/>
    <x v="1"/>
    <x v="261"/>
    <x v="0"/>
    <x v="4"/>
    <x v="4"/>
    <n v="0"/>
    <n v="0"/>
  </r>
  <r>
    <s v="BAKERY PRODUCTS"/>
    <x v="5"/>
    <x v="387"/>
    <x v="380"/>
    <x v="1"/>
    <x v="261"/>
    <x v="0"/>
    <x v="5"/>
    <x v="5"/>
    <n v="0"/>
    <n v="0"/>
  </r>
  <r>
    <s v="BAKERY PRODUCTS"/>
    <x v="5"/>
    <x v="387"/>
    <x v="380"/>
    <x v="1"/>
    <x v="261"/>
    <x v="0"/>
    <x v="6"/>
    <x v="6"/>
    <n v="0"/>
    <n v="0"/>
  </r>
  <r>
    <s v="BAKERY PRODUCTS"/>
    <x v="5"/>
    <x v="388"/>
    <x v="381"/>
    <x v="108"/>
    <x v="262"/>
    <x v="0"/>
    <x v="0"/>
    <x v="0"/>
    <n v="0"/>
    <n v="0"/>
  </r>
  <r>
    <s v="BAKERY PRODUCTS"/>
    <x v="5"/>
    <x v="388"/>
    <x v="381"/>
    <x v="108"/>
    <x v="262"/>
    <x v="0"/>
    <x v="1"/>
    <x v="1"/>
    <n v="0"/>
    <n v="0"/>
  </r>
  <r>
    <s v="BAKERY PRODUCTS"/>
    <x v="5"/>
    <x v="388"/>
    <x v="381"/>
    <x v="108"/>
    <x v="262"/>
    <x v="0"/>
    <x v="2"/>
    <x v="2"/>
    <n v="0"/>
    <n v="0"/>
  </r>
  <r>
    <s v="BAKERY PRODUCTS"/>
    <x v="5"/>
    <x v="388"/>
    <x v="381"/>
    <x v="108"/>
    <x v="262"/>
    <x v="0"/>
    <x v="3"/>
    <x v="3"/>
    <n v="0"/>
    <n v="0"/>
  </r>
  <r>
    <s v="BAKERY PRODUCTS"/>
    <x v="5"/>
    <x v="388"/>
    <x v="381"/>
    <x v="108"/>
    <x v="262"/>
    <x v="0"/>
    <x v="4"/>
    <x v="4"/>
    <n v="0"/>
    <n v="0"/>
  </r>
  <r>
    <s v="BAKERY PRODUCTS"/>
    <x v="5"/>
    <x v="388"/>
    <x v="381"/>
    <x v="108"/>
    <x v="262"/>
    <x v="0"/>
    <x v="5"/>
    <x v="5"/>
    <n v="0"/>
    <n v="0"/>
  </r>
  <r>
    <s v="BAKERY PRODUCTS"/>
    <x v="5"/>
    <x v="388"/>
    <x v="381"/>
    <x v="108"/>
    <x v="262"/>
    <x v="0"/>
    <x v="6"/>
    <x v="6"/>
    <n v="0"/>
    <n v="0"/>
  </r>
  <r>
    <s v="BAKERY PRODUCTS"/>
    <x v="5"/>
    <x v="389"/>
    <x v="382"/>
    <x v="95"/>
    <x v="263"/>
    <x v="0"/>
    <x v="0"/>
    <x v="0"/>
    <n v="0"/>
    <n v="0"/>
  </r>
  <r>
    <s v="BAKERY PRODUCTS"/>
    <x v="5"/>
    <x v="389"/>
    <x v="382"/>
    <x v="95"/>
    <x v="263"/>
    <x v="0"/>
    <x v="1"/>
    <x v="1"/>
    <n v="0"/>
    <n v="0"/>
  </r>
  <r>
    <s v="BAKERY PRODUCTS"/>
    <x v="5"/>
    <x v="389"/>
    <x v="382"/>
    <x v="95"/>
    <x v="263"/>
    <x v="0"/>
    <x v="2"/>
    <x v="2"/>
    <n v="0"/>
    <n v="0"/>
  </r>
  <r>
    <s v="BAKERY PRODUCTS"/>
    <x v="5"/>
    <x v="389"/>
    <x v="382"/>
    <x v="95"/>
    <x v="263"/>
    <x v="0"/>
    <x v="3"/>
    <x v="3"/>
    <n v="0"/>
    <n v="0"/>
  </r>
  <r>
    <s v="BAKERY PRODUCTS"/>
    <x v="5"/>
    <x v="389"/>
    <x v="382"/>
    <x v="95"/>
    <x v="263"/>
    <x v="0"/>
    <x v="4"/>
    <x v="4"/>
    <n v="0"/>
    <n v="0"/>
  </r>
  <r>
    <s v="BAKERY PRODUCTS"/>
    <x v="5"/>
    <x v="389"/>
    <x v="382"/>
    <x v="95"/>
    <x v="263"/>
    <x v="0"/>
    <x v="5"/>
    <x v="5"/>
    <n v="0"/>
    <n v="0"/>
  </r>
  <r>
    <s v="BAKERY PRODUCTS"/>
    <x v="5"/>
    <x v="389"/>
    <x v="382"/>
    <x v="95"/>
    <x v="263"/>
    <x v="0"/>
    <x v="6"/>
    <x v="6"/>
    <n v="0"/>
    <n v="0"/>
  </r>
  <r>
    <s v="BAKERY PRODUCTS"/>
    <x v="5"/>
    <x v="390"/>
    <x v="383"/>
    <x v="93"/>
    <x v="264"/>
    <x v="0"/>
    <x v="0"/>
    <x v="0"/>
    <n v="0"/>
    <n v="0"/>
  </r>
  <r>
    <s v="BAKERY PRODUCTS"/>
    <x v="5"/>
    <x v="390"/>
    <x v="383"/>
    <x v="93"/>
    <x v="264"/>
    <x v="0"/>
    <x v="1"/>
    <x v="1"/>
    <n v="0"/>
    <n v="0"/>
  </r>
  <r>
    <s v="BAKERY PRODUCTS"/>
    <x v="5"/>
    <x v="390"/>
    <x v="383"/>
    <x v="93"/>
    <x v="264"/>
    <x v="0"/>
    <x v="2"/>
    <x v="2"/>
    <n v="0"/>
    <n v="0"/>
  </r>
  <r>
    <s v="BAKERY PRODUCTS"/>
    <x v="5"/>
    <x v="390"/>
    <x v="383"/>
    <x v="93"/>
    <x v="264"/>
    <x v="0"/>
    <x v="3"/>
    <x v="3"/>
    <n v="0"/>
    <n v="0"/>
  </r>
  <r>
    <s v="BAKERY PRODUCTS"/>
    <x v="5"/>
    <x v="390"/>
    <x v="383"/>
    <x v="93"/>
    <x v="264"/>
    <x v="0"/>
    <x v="4"/>
    <x v="4"/>
    <n v="0"/>
    <n v="0"/>
  </r>
  <r>
    <s v="BAKERY PRODUCTS"/>
    <x v="5"/>
    <x v="390"/>
    <x v="383"/>
    <x v="93"/>
    <x v="264"/>
    <x v="0"/>
    <x v="5"/>
    <x v="5"/>
    <n v="0"/>
    <n v="0"/>
  </r>
  <r>
    <s v="BAKERY PRODUCTS"/>
    <x v="5"/>
    <x v="390"/>
    <x v="383"/>
    <x v="93"/>
    <x v="264"/>
    <x v="0"/>
    <x v="6"/>
    <x v="6"/>
    <n v="0"/>
    <n v="0"/>
  </r>
  <r>
    <s v="BAKERY PRODUCTS"/>
    <x v="5"/>
    <x v="391"/>
    <x v="384"/>
    <x v="93"/>
    <x v="265"/>
    <x v="0"/>
    <x v="0"/>
    <x v="0"/>
    <n v="0"/>
    <n v="0"/>
  </r>
  <r>
    <s v="BAKERY PRODUCTS"/>
    <x v="5"/>
    <x v="391"/>
    <x v="384"/>
    <x v="93"/>
    <x v="265"/>
    <x v="0"/>
    <x v="1"/>
    <x v="1"/>
    <n v="0"/>
    <n v="0"/>
  </r>
  <r>
    <s v="BAKERY PRODUCTS"/>
    <x v="5"/>
    <x v="391"/>
    <x v="384"/>
    <x v="93"/>
    <x v="265"/>
    <x v="0"/>
    <x v="2"/>
    <x v="2"/>
    <n v="0"/>
    <n v="0"/>
  </r>
  <r>
    <s v="BAKERY PRODUCTS"/>
    <x v="5"/>
    <x v="391"/>
    <x v="384"/>
    <x v="93"/>
    <x v="265"/>
    <x v="0"/>
    <x v="3"/>
    <x v="3"/>
    <n v="0"/>
    <n v="0"/>
  </r>
  <r>
    <s v="BAKERY PRODUCTS"/>
    <x v="5"/>
    <x v="391"/>
    <x v="384"/>
    <x v="93"/>
    <x v="265"/>
    <x v="0"/>
    <x v="4"/>
    <x v="4"/>
    <n v="0"/>
    <n v="0"/>
  </r>
  <r>
    <s v="BAKERY PRODUCTS"/>
    <x v="5"/>
    <x v="391"/>
    <x v="384"/>
    <x v="93"/>
    <x v="265"/>
    <x v="0"/>
    <x v="5"/>
    <x v="5"/>
    <n v="0"/>
    <n v="0"/>
  </r>
  <r>
    <s v="BAKERY PRODUCTS"/>
    <x v="5"/>
    <x v="391"/>
    <x v="384"/>
    <x v="93"/>
    <x v="265"/>
    <x v="0"/>
    <x v="6"/>
    <x v="6"/>
    <n v="0"/>
    <n v="0"/>
  </r>
  <r>
    <s v="BAKERY PRODUCTS"/>
    <x v="5"/>
    <x v="392"/>
    <x v="385"/>
    <x v="93"/>
    <x v="266"/>
    <x v="0"/>
    <x v="0"/>
    <x v="0"/>
    <n v="0"/>
    <n v="0"/>
  </r>
  <r>
    <s v="BAKERY PRODUCTS"/>
    <x v="5"/>
    <x v="392"/>
    <x v="385"/>
    <x v="93"/>
    <x v="266"/>
    <x v="0"/>
    <x v="1"/>
    <x v="1"/>
    <n v="0"/>
    <n v="0"/>
  </r>
  <r>
    <s v="BAKERY PRODUCTS"/>
    <x v="5"/>
    <x v="392"/>
    <x v="385"/>
    <x v="93"/>
    <x v="266"/>
    <x v="0"/>
    <x v="2"/>
    <x v="2"/>
    <n v="0"/>
    <n v="0"/>
  </r>
  <r>
    <s v="BAKERY PRODUCTS"/>
    <x v="5"/>
    <x v="392"/>
    <x v="385"/>
    <x v="93"/>
    <x v="266"/>
    <x v="0"/>
    <x v="3"/>
    <x v="3"/>
    <n v="0"/>
    <n v="0"/>
  </r>
  <r>
    <s v="BAKERY PRODUCTS"/>
    <x v="5"/>
    <x v="392"/>
    <x v="385"/>
    <x v="93"/>
    <x v="266"/>
    <x v="0"/>
    <x v="4"/>
    <x v="4"/>
    <n v="0"/>
    <n v="0"/>
  </r>
  <r>
    <s v="BAKERY PRODUCTS"/>
    <x v="5"/>
    <x v="392"/>
    <x v="385"/>
    <x v="93"/>
    <x v="266"/>
    <x v="0"/>
    <x v="5"/>
    <x v="5"/>
    <n v="0"/>
    <n v="0"/>
  </r>
  <r>
    <s v="BAKERY PRODUCTS"/>
    <x v="5"/>
    <x v="392"/>
    <x v="385"/>
    <x v="93"/>
    <x v="266"/>
    <x v="0"/>
    <x v="6"/>
    <x v="6"/>
    <n v="0"/>
    <n v="0"/>
  </r>
  <r>
    <s v="BAKERY PRODUCTS"/>
    <x v="5"/>
    <x v="393"/>
    <x v="386"/>
    <x v="95"/>
    <x v="267"/>
    <x v="0"/>
    <x v="0"/>
    <x v="0"/>
    <n v="0"/>
    <n v="0"/>
  </r>
  <r>
    <s v="BAKERY PRODUCTS"/>
    <x v="5"/>
    <x v="393"/>
    <x v="386"/>
    <x v="95"/>
    <x v="267"/>
    <x v="0"/>
    <x v="1"/>
    <x v="1"/>
    <n v="0"/>
    <n v="0"/>
  </r>
  <r>
    <s v="BAKERY PRODUCTS"/>
    <x v="5"/>
    <x v="393"/>
    <x v="386"/>
    <x v="95"/>
    <x v="267"/>
    <x v="0"/>
    <x v="2"/>
    <x v="2"/>
    <n v="0"/>
    <n v="0"/>
  </r>
  <r>
    <s v="BAKERY PRODUCTS"/>
    <x v="5"/>
    <x v="393"/>
    <x v="386"/>
    <x v="95"/>
    <x v="267"/>
    <x v="0"/>
    <x v="3"/>
    <x v="3"/>
    <n v="0"/>
    <n v="0"/>
  </r>
  <r>
    <s v="BAKERY PRODUCTS"/>
    <x v="5"/>
    <x v="393"/>
    <x v="386"/>
    <x v="95"/>
    <x v="267"/>
    <x v="0"/>
    <x v="4"/>
    <x v="4"/>
    <n v="0"/>
    <n v="0"/>
  </r>
  <r>
    <s v="BAKERY PRODUCTS"/>
    <x v="5"/>
    <x v="393"/>
    <x v="386"/>
    <x v="95"/>
    <x v="267"/>
    <x v="0"/>
    <x v="5"/>
    <x v="5"/>
    <n v="0"/>
    <n v="0"/>
  </r>
  <r>
    <s v="BAKERY PRODUCTS"/>
    <x v="5"/>
    <x v="393"/>
    <x v="386"/>
    <x v="95"/>
    <x v="267"/>
    <x v="0"/>
    <x v="6"/>
    <x v="6"/>
    <n v="0"/>
    <n v="0"/>
  </r>
  <r>
    <s v="BAKERY PRODUCTS"/>
    <x v="5"/>
    <x v="394"/>
    <x v="387"/>
    <x v="95"/>
    <x v="268"/>
    <x v="0"/>
    <x v="0"/>
    <x v="0"/>
    <n v="0"/>
    <n v="0"/>
  </r>
  <r>
    <s v="BAKERY PRODUCTS"/>
    <x v="5"/>
    <x v="394"/>
    <x v="387"/>
    <x v="95"/>
    <x v="268"/>
    <x v="0"/>
    <x v="1"/>
    <x v="1"/>
    <n v="0"/>
    <n v="0"/>
  </r>
  <r>
    <s v="BAKERY PRODUCTS"/>
    <x v="5"/>
    <x v="394"/>
    <x v="387"/>
    <x v="95"/>
    <x v="268"/>
    <x v="0"/>
    <x v="2"/>
    <x v="2"/>
    <n v="0"/>
    <n v="0"/>
  </r>
  <r>
    <s v="BAKERY PRODUCTS"/>
    <x v="5"/>
    <x v="394"/>
    <x v="387"/>
    <x v="95"/>
    <x v="268"/>
    <x v="0"/>
    <x v="3"/>
    <x v="3"/>
    <n v="0"/>
    <n v="0"/>
  </r>
  <r>
    <s v="BAKERY PRODUCTS"/>
    <x v="5"/>
    <x v="394"/>
    <x v="387"/>
    <x v="95"/>
    <x v="268"/>
    <x v="0"/>
    <x v="4"/>
    <x v="4"/>
    <n v="0"/>
    <n v="0"/>
  </r>
  <r>
    <s v="BAKERY PRODUCTS"/>
    <x v="5"/>
    <x v="394"/>
    <x v="387"/>
    <x v="95"/>
    <x v="268"/>
    <x v="0"/>
    <x v="5"/>
    <x v="5"/>
    <n v="0"/>
    <n v="0"/>
  </r>
  <r>
    <s v="BAKERY PRODUCTS"/>
    <x v="5"/>
    <x v="394"/>
    <x v="387"/>
    <x v="95"/>
    <x v="268"/>
    <x v="0"/>
    <x v="6"/>
    <x v="6"/>
    <n v="0"/>
    <n v="0"/>
  </r>
  <r>
    <s v="BAKERY PRODUCTS"/>
    <x v="5"/>
    <x v="395"/>
    <x v="388"/>
    <x v="93"/>
    <x v="222"/>
    <x v="0"/>
    <x v="0"/>
    <x v="0"/>
    <n v="0"/>
    <n v="0"/>
  </r>
  <r>
    <s v="BAKERY PRODUCTS"/>
    <x v="5"/>
    <x v="395"/>
    <x v="388"/>
    <x v="93"/>
    <x v="222"/>
    <x v="0"/>
    <x v="1"/>
    <x v="1"/>
    <n v="0"/>
    <n v="0"/>
  </r>
  <r>
    <s v="BAKERY PRODUCTS"/>
    <x v="5"/>
    <x v="395"/>
    <x v="388"/>
    <x v="93"/>
    <x v="222"/>
    <x v="0"/>
    <x v="2"/>
    <x v="2"/>
    <n v="0"/>
    <n v="0"/>
  </r>
  <r>
    <s v="BAKERY PRODUCTS"/>
    <x v="5"/>
    <x v="395"/>
    <x v="388"/>
    <x v="93"/>
    <x v="222"/>
    <x v="0"/>
    <x v="3"/>
    <x v="3"/>
    <n v="0"/>
    <n v="0"/>
  </r>
  <r>
    <s v="BAKERY PRODUCTS"/>
    <x v="5"/>
    <x v="395"/>
    <x v="388"/>
    <x v="93"/>
    <x v="222"/>
    <x v="0"/>
    <x v="4"/>
    <x v="4"/>
    <n v="0"/>
    <n v="0"/>
  </r>
  <r>
    <s v="BAKERY PRODUCTS"/>
    <x v="5"/>
    <x v="395"/>
    <x v="388"/>
    <x v="93"/>
    <x v="222"/>
    <x v="0"/>
    <x v="5"/>
    <x v="5"/>
    <n v="0"/>
    <n v="0"/>
  </r>
  <r>
    <s v="BAKERY PRODUCTS"/>
    <x v="5"/>
    <x v="395"/>
    <x v="388"/>
    <x v="93"/>
    <x v="222"/>
    <x v="0"/>
    <x v="6"/>
    <x v="6"/>
    <n v="0"/>
    <n v="0"/>
  </r>
  <r>
    <s v="BAKERY PRODUCTS"/>
    <x v="5"/>
    <x v="396"/>
    <x v="389"/>
    <x v="93"/>
    <x v="269"/>
    <x v="0"/>
    <x v="0"/>
    <x v="0"/>
    <n v="0"/>
    <n v="0"/>
  </r>
  <r>
    <s v="BAKERY PRODUCTS"/>
    <x v="5"/>
    <x v="396"/>
    <x v="389"/>
    <x v="93"/>
    <x v="269"/>
    <x v="0"/>
    <x v="1"/>
    <x v="1"/>
    <n v="0"/>
    <n v="0"/>
  </r>
  <r>
    <s v="BAKERY PRODUCTS"/>
    <x v="5"/>
    <x v="396"/>
    <x v="389"/>
    <x v="93"/>
    <x v="269"/>
    <x v="0"/>
    <x v="2"/>
    <x v="2"/>
    <n v="0"/>
    <n v="0"/>
  </r>
  <r>
    <s v="BAKERY PRODUCTS"/>
    <x v="5"/>
    <x v="396"/>
    <x v="389"/>
    <x v="93"/>
    <x v="269"/>
    <x v="0"/>
    <x v="3"/>
    <x v="3"/>
    <n v="0"/>
    <n v="0"/>
  </r>
  <r>
    <s v="BAKERY PRODUCTS"/>
    <x v="5"/>
    <x v="396"/>
    <x v="389"/>
    <x v="93"/>
    <x v="269"/>
    <x v="0"/>
    <x v="4"/>
    <x v="4"/>
    <n v="0"/>
    <n v="0"/>
  </r>
  <r>
    <s v="BAKERY PRODUCTS"/>
    <x v="5"/>
    <x v="396"/>
    <x v="389"/>
    <x v="93"/>
    <x v="269"/>
    <x v="0"/>
    <x v="5"/>
    <x v="5"/>
    <n v="0"/>
    <n v="0"/>
  </r>
  <r>
    <s v="BAKERY PRODUCTS"/>
    <x v="5"/>
    <x v="396"/>
    <x v="389"/>
    <x v="93"/>
    <x v="269"/>
    <x v="0"/>
    <x v="6"/>
    <x v="6"/>
    <n v="0"/>
    <n v="0"/>
  </r>
  <r>
    <s v="BAKERY PRODUCTS"/>
    <x v="5"/>
    <x v="397"/>
    <x v="390"/>
    <x v="95"/>
    <x v="270"/>
    <x v="0"/>
    <x v="0"/>
    <x v="0"/>
    <n v="0"/>
    <n v="0"/>
  </r>
  <r>
    <s v="BAKERY PRODUCTS"/>
    <x v="5"/>
    <x v="397"/>
    <x v="390"/>
    <x v="95"/>
    <x v="270"/>
    <x v="0"/>
    <x v="1"/>
    <x v="1"/>
    <n v="0"/>
    <n v="0"/>
  </r>
  <r>
    <s v="BAKERY PRODUCTS"/>
    <x v="5"/>
    <x v="397"/>
    <x v="390"/>
    <x v="95"/>
    <x v="270"/>
    <x v="0"/>
    <x v="2"/>
    <x v="2"/>
    <n v="0"/>
    <n v="0"/>
  </r>
  <r>
    <s v="BAKERY PRODUCTS"/>
    <x v="5"/>
    <x v="397"/>
    <x v="390"/>
    <x v="95"/>
    <x v="270"/>
    <x v="0"/>
    <x v="3"/>
    <x v="3"/>
    <n v="0"/>
    <n v="0"/>
  </r>
  <r>
    <s v="BAKERY PRODUCTS"/>
    <x v="5"/>
    <x v="397"/>
    <x v="390"/>
    <x v="95"/>
    <x v="270"/>
    <x v="0"/>
    <x v="4"/>
    <x v="4"/>
    <n v="0"/>
    <n v="0"/>
  </r>
  <r>
    <s v="BAKERY PRODUCTS"/>
    <x v="5"/>
    <x v="397"/>
    <x v="390"/>
    <x v="95"/>
    <x v="270"/>
    <x v="0"/>
    <x v="5"/>
    <x v="5"/>
    <n v="0"/>
    <n v="0"/>
  </r>
  <r>
    <s v="BAKERY PRODUCTS"/>
    <x v="5"/>
    <x v="397"/>
    <x v="390"/>
    <x v="95"/>
    <x v="270"/>
    <x v="0"/>
    <x v="6"/>
    <x v="6"/>
    <n v="0"/>
    <n v="0"/>
  </r>
  <r>
    <s v="BAKERY PRODUCTS"/>
    <x v="5"/>
    <x v="398"/>
    <x v="391"/>
    <x v="95"/>
    <x v="271"/>
    <x v="0"/>
    <x v="0"/>
    <x v="0"/>
    <n v="0"/>
    <n v="0"/>
  </r>
  <r>
    <s v="BAKERY PRODUCTS"/>
    <x v="5"/>
    <x v="398"/>
    <x v="391"/>
    <x v="95"/>
    <x v="271"/>
    <x v="0"/>
    <x v="1"/>
    <x v="1"/>
    <n v="0"/>
    <n v="0"/>
  </r>
  <r>
    <s v="BAKERY PRODUCTS"/>
    <x v="5"/>
    <x v="398"/>
    <x v="391"/>
    <x v="95"/>
    <x v="271"/>
    <x v="0"/>
    <x v="2"/>
    <x v="2"/>
    <n v="0"/>
    <n v="0"/>
  </r>
  <r>
    <s v="BAKERY PRODUCTS"/>
    <x v="5"/>
    <x v="398"/>
    <x v="391"/>
    <x v="95"/>
    <x v="271"/>
    <x v="0"/>
    <x v="3"/>
    <x v="3"/>
    <n v="0"/>
    <n v="0"/>
  </r>
  <r>
    <s v="BAKERY PRODUCTS"/>
    <x v="5"/>
    <x v="398"/>
    <x v="391"/>
    <x v="95"/>
    <x v="271"/>
    <x v="0"/>
    <x v="4"/>
    <x v="4"/>
    <n v="0"/>
    <n v="0"/>
  </r>
  <r>
    <s v="BAKERY PRODUCTS"/>
    <x v="5"/>
    <x v="398"/>
    <x v="391"/>
    <x v="95"/>
    <x v="271"/>
    <x v="0"/>
    <x v="5"/>
    <x v="5"/>
    <n v="0"/>
    <n v="0"/>
  </r>
  <r>
    <s v="BAKERY PRODUCTS"/>
    <x v="5"/>
    <x v="398"/>
    <x v="391"/>
    <x v="95"/>
    <x v="271"/>
    <x v="0"/>
    <x v="6"/>
    <x v="6"/>
    <n v="0"/>
    <n v="0"/>
  </r>
  <r>
    <s v="BAKERY PRODUCTS"/>
    <x v="5"/>
    <x v="399"/>
    <x v="392"/>
    <x v="109"/>
    <x v="270"/>
    <x v="0"/>
    <x v="0"/>
    <x v="0"/>
    <n v="0"/>
    <n v="0"/>
  </r>
  <r>
    <s v="BAKERY PRODUCTS"/>
    <x v="5"/>
    <x v="399"/>
    <x v="392"/>
    <x v="109"/>
    <x v="270"/>
    <x v="0"/>
    <x v="1"/>
    <x v="1"/>
    <n v="0"/>
    <n v="0"/>
  </r>
  <r>
    <s v="BAKERY PRODUCTS"/>
    <x v="5"/>
    <x v="399"/>
    <x v="392"/>
    <x v="109"/>
    <x v="270"/>
    <x v="0"/>
    <x v="2"/>
    <x v="2"/>
    <n v="0"/>
    <n v="0"/>
  </r>
  <r>
    <s v="BAKERY PRODUCTS"/>
    <x v="5"/>
    <x v="399"/>
    <x v="392"/>
    <x v="109"/>
    <x v="270"/>
    <x v="0"/>
    <x v="3"/>
    <x v="3"/>
    <n v="0"/>
    <n v="0"/>
  </r>
  <r>
    <s v="BAKERY PRODUCTS"/>
    <x v="5"/>
    <x v="399"/>
    <x v="392"/>
    <x v="109"/>
    <x v="270"/>
    <x v="0"/>
    <x v="4"/>
    <x v="4"/>
    <n v="0"/>
    <n v="0"/>
  </r>
  <r>
    <s v="BAKERY PRODUCTS"/>
    <x v="5"/>
    <x v="399"/>
    <x v="392"/>
    <x v="109"/>
    <x v="270"/>
    <x v="0"/>
    <x v="5"/>
    <x v="5"/>
    <n v="0"/>
    <n v="0"/>
  </r>
  <r>
    <s v="BAKERY PRODUCTS"/>
    <x v="5"/>
    <x v="399"/>
    <x v="392"/>
    <x v="109"/>
    <x v="270"/>
    <x v="0"/>
    <x v="6"/>
    <x v="6"/>
    <n v="0"/>
    <n v="0"/>
  </r>
  <r>
    <s v="BAKERY PRODUCTS"/>
    <x v="5"/>
    <x v="400"/>
    <x v="393"/>
    <x v="93"/>
    <x v="272"/>
    <x v="0"/>
    <x v="0"/>
    <x v="0"/>
    <n v="0"/>
    <n v="0"/>
  </r>
  <r>
    <s v="BAKERY PRODUCTS"/>
    <x v="5"/>
    <x v="400"/>
    <x v="393"/>
    <x v="93"/>
    <x v="272"/>
    <x v="0"/>
    <x v="1"/>
    <x v="1"/>
    <n v="0"/>
    <n v="0"/>
  </r>
  <r>
    <s v="BAKERY PRODUCTS"/>
    <x v="5"/>
    <x v="400"/>
    <x v="393"/>
    <x v="93"/>
    <x v="272"/>
    <x v="0"/>
    <x v="2"/>
    <x v="2"/>
    <n v="0"/>
    <n v="0"/>
  </r>
  <r>
    <s v="BAKERY PRODUCTS"/>
    <x v="5"/>
    <x v="400"/>
    <x v="393"/>
    <x v="93"/>
    <x v="272"/>
    <x v="0"/>
    <x v="3"/>
    <x v="3"/>
    <n v="0"/>
    <n v="0"/>
  </r>
  <r>
    <s v="BAKERY PRODUCTS"/>
    <x v="5"/>
    <x v="400"/>
    <x v="393"/>
    <x v="93"/>
    <x v="272"/>
    <x v="0"/>
    <x v="4"/>
    <x v="4"/>
    <n v="0"/>
    <n v="0"/>
  </r>
  <r>
    <s v="BAKERY PRODUCTS"/>
    <x v="5"/>
    <x v="400"/>
    <x v="393"/>
    <x v="93"/>
    <x v="272"/>
    <x v="0"/>
    <x v="5"/>
    <x v="5"/>
    <n v="0"/>
    <n v="0"/>
  </r>
  <r>
    <s v="BAKERY PRODUCTS"/>
    <x v="5"/>
    <x v="400"/>
    <x v="393"/>
    <x v="93"/>
    <x v="272"/>
    <x v="0"/>
    <x v="6"/>
    <x v="6"/>
    <n v="0"/>
    <n v="0"/>
  </r>
  <r>
    <s v="BAKERY PRODUCTS"/>
    <x v="5"/>
    <x v="401"/>
    <x v="394"/>
    <x v="108"/>
    <x v="273"/>
    <x v="0"/>
    <x v="0"/>
    <x v="0"/>
    <n v="0"/>
    <n v="0"/>
  </r>
  <r>
    <s v="BAKERY PRODUCTS"/>
    <x v="5"/>
    <x v="401"/>
    <x v="394"/>
    <x v="108"/>
    <x v="273"/>
    <x v="0"/>
    <x v="1"/>
    <x v="1"/>
    <n v="0"/>
    <n v="0"/>
  </r>
  <r>
    <s v="BAKERY PRODUCTS"/>
    <x v="5"/>
    <x v="401"/>
    <x v="394"/>
    <x v="108"/>
    <x v="273"/>
    <x v="0"/>
    <x v="2"/>
    <x v="2"/>
    <n v="0"/>
    <n v="0"/>
  </r>
  <r>
    <s v="BAKERY PRODUCTS"/>
    <x v="5"/>
    <x v="401"/>
    <x v="394"/>
    <x v="108"/>
    <x v="273"/>
    <x v="0"/>
    <x v="3"/>
    <x v="3"/>
    <n v="0"/>
    <n v="0"/>
  </r>
  <r>
    <s v="BAKERY PRODUCTS"/>
    <x v="5"/>
    <x v="401"/>
    <x v="394"/>
    <x v="108"/>
    <x v="273"/>
    <x v="0"/>
    <x v="4"/>
    <x v="4"/>
    <n v="0"/>
    <n v="0"/>
  </r>
  <r>
    <s v="BAKERY PRODUCTS"/>
    <x v="5"/>
    <x v="401"/>
    <x v="394"/>
    <x v="108"/>
    <x v="273"/>
    <x v="0"/>
    <x v="5"/>
    <x v="5"/>
    <n v="0"/>
    <n v="0"/>
  </r>
  <r>
    <s v="BAKERY PRODUCTS"/>
    <x v="5"/>
    <x v="401"/>
    <x v="394"/>
    <x v="108"/>
    <x v="273"/>
    <x v="0"/>
    <x v="6"/>
    <x v="6"/>
    <n v="0"/>
    <n v="0"/>
  </r>
  <r>
    <s v="BAKERY PRODUCTS"/>
    <x v="0"/>
    <x v="402"/>
    <x v="395"/>
    <x v="97"/>
    <x v="274"/>
    <x v="0"/>
    <x v="0"/>
    <x v="0"/>
    <n v="0"/>
    <n v="0"/>
  </r>
  <r>
    <s v="BAKERY PRODUCTS"/>
    <x v="0"/>
    <x v="402"/>
    <x v="395"/>
    <x v="97"/>
    <x v="274"/>
    <x v="0"/>
    <x v="1"/>
    <x v="1"/>
    <n v="0"/>
    <n v="0"/>
  </r>
  <r>
    <s v="BAKERY PRODUCTS"/>
    <x v="0"/>
    <x v="402"/>
    <x v="395"/>
    <x v="97"/>
    <x v="274"/>
    <x v="0"/>
    <x v="2"/>
    <x v="2"/>
    <n v="0"/>
    <n v="0"/>
  </r>
  <r>
    <s v="BAKERY PRODUCTS"/>
    <x v="0"/>
    <x v="402"/>
    <x v="395"/>
    <x v="97"/>
    <x v="274"/>
    <x v="0"/>
    <x v="3"/>
    <x v="3"/>
    <n v="0"/>
    <n v="0"/>
  </r>
  <r>
    <s v="BAKERY PRODUCTS"/>
    <x v="0"/>
    <x v="402"/>
    <x v="395"/>
    <x v="97"/>
    <x v="274"/>
    <x v="0"/>
    <x v="4"/>
    <x v="4"/>
    <n v="0"/>
    <n v="0"/>
  </r>
  <r>
    <s v="BAKERY PRODUCTS"/>
    <x v="0"/>
    <x v="402"/>
    <x v="395"/>
    <x v="97"/>
    <x v="274"/>
    <x v="0"/>
    <x v="5"/>
    <x v="5"/>
    <n v="0"/>
    <n v="0"/>
  </r>
  <r>
    <s v="BAKERY PRODUCTS"/>
    <x v="0"/>
    <x v="403"/>
    <x v="396"/>
    <x v="27"/>
    <x v="275"/>
    <x v="0"/>
    <x v="3"/>
    <x v="3"/>
    <n v="0"/>
    <n v="0"/>
  </r>
  <r>
    <s v="BAKERY PRODUCTS"/>
    <x v="0"/>
    <x v="404"/>
    <x v="397"/>
    <x v="110"/>
    <x v="276"/>
    <x v="0"/>
    <x v="3"/>
    <x v="3"/>
    <n v="0"/>
    <n v="0"/>
  </r>
  <r>
    <s v="BAKERY PRODUCTS"/>
    <x v="0"/>
    <x v="405"/>
    <x v="398"/>
    <x v="111"/>
    <x v="277"/>
    <x v="0"/>
    <x v="0"/>
    <x v="0"/>
    <n v="0"/>
    <n v="0"/>
  </r>
  <r>
    <s v="BAKERY PRODUCTS"/>
    <x v="0"/>
    <x v="405"/>
    <x v="398"/>
    <x v="111"/>
    <x v="277"/>
    <x v="0"/>
    <x v="1"/>
    <x v="1"/>
    <n v="0"/>
    <n v="0"/>
  </r>
  <r>
    <s v="BAKERY PRODUCTS"/>
    <x v="0"/>
    <x v="405"/>
    <x v="398"/>
    <x v="111"/>
    <x v="277"/>
    <x v="0"/>
    <x v="2"/>
    <x v="2"/>
    <n v="0"/>
    <n v="0"/>
  </r>
  <r>
    <s v="BAKERY PRODUCTS"/>
    <x v="0"/>
    <x v="405"/>
    <x v="398"/>
    <x v="111"/>
    <x v="277"/>
    <x v="0"/>
    <x v="3"/>
    <x v="3"/>
    <n v="0"/>
    <n v="0"/>
  </r>
  <r>
    <s v="BAKERY PRODUCTS"/>
    <x v="0"/>
    <x v="405"/>
    <x v="398"/>
    <x v="111"/>
    <x v="277"/>
    <x v="0"/>
    <x v="5"/>
    <x v="5"/>
    <n v="0"/>
    <n v="0"/>
  </r>
  <r>
    <s v="BAKERY PRODUCTS"/>
    <x v="0"/>
    <x v="405"/>
    <x v="398"/>
    <x v="111"/>
    <x v="277"/>
    <x v="0"/>
    <x v="6"/>
    <x v="6"/>
    <n v="0"/>
    <n v="0"/>
  </r>
  <r>
    <s v="BAKERY PRODUCTS"/>
    <x v="0"/>
    <x v="406"/>
    <x v="399"/>
    <x v="24"/>
    <x v="278"/>
    <x v="0"/>
    <x v="0"/>
    <x v="0"/>
    <n v="0"/>
    <n v="0"/>
  </r>
  <r>
    <s v="BAKERY PRODUCTS"/>
    <x v="0"/>
    <x v="406"/>
    <x v="399"/>
    <x v="24"/>
    <x v="278"/>
    <x v="0"/>
    <x v="1"/>
    <x v="1"/>
    <n v="0"/>
    <n v="0"/>
  </r>
  <r>
    <s v="BAKERY PRODUCTS"/>
    <x v="0"/>
    <x v="406"/>
    <x v="399"/>
    <x v="24"/>
    <x v="278"/>
    <x v="0"/>
    <x v="2"/>
    <x v="2"/>
    <n v="0"/>
    <n v="0"/>
  </r>
  <r>
    <s v="BAKERY PRODUCTS"/>
    <x v="0"/>
    <x v="406"/>
    <x v="399"/>
    <x v="24"/>
    <x v="278"/>
    <x v="0"/>
    <x v="3"/>
    <x v="3"/>
    <n v="0"/>
    <n v="0"/>
  </r>
  <r>
    <s v="BAKERY PRODUCTS"/>
    <x v="0"/>
    <x v="406"/>
    <x v="399"/>
    <x v="24"/>
    <x v="278"/>
    <x v="0"/>
    <x v="4"/>
    <x v="4"/>
    <n v="0"/>
    <n v="0"/>
  </r>
  <r>
    <s v="BAKERY PRODUCTS"/>
    <x v="0"/>
    <x v="406"/>
    <x v="399"/>
    <x v="24"/>
    <x v="278"/>
    <x v="0"/>
    <x v="5"/>
    <x v="5"/>
    <n v="0"/>
    <n v="0"/>
  </r>
  <r>
    <s v="BAKERY PRODUCTS"/>
    <x v="0"/>
    <x v="406"/>
    <x v="399"/>
    <x v="24"/>
    <x v="278"/>
    <x v="0"/>
    <x v="6"/>
    <x v="6"/>
    <n v="0"/>
    <n v="0"/>
  </r>
  <r>
    <s v="BAKERY PRODUCTS"/>
    <x v="0"/>
    <x v="407"/>
    <x v="400"/>
    <x v="57"/>
    <x v="279"/>
    <x v="0"/>
    <x v="0"/>
    <x v="0"/>
    <n v="0"/>
    <n v="0"/>
  </r>
  <r>
    <s v="BAKERY PRODUCTS"/>
    <x v="0"/>
    <x v="407"/>
    <x v="400"/>
    <x v="57"/>
    <x v="279"/>
    <x v="0"/>
    <x v="1"/>
    <x v="1"/>
    <n v="0"/>
    <n v="0"/>
  </r>
  <r>
    <s v="BAKERY PRODUCTS"/>
    <x v="0"/>
    <x v="407"/>
    <x v="400"/>
    <x v="57"/>
    <x v="279"/>
    <x v="0"/>
    <x v="2"/>
    <x v="2"/>
    <n v="0"/>
    <n v="0"/>
  </r>
  <r>
    <s v="BAKERY PRODUCTS"/>
    <x v="0"/>
    <x v="407"/>
    <x v="400"/>
    <x v="57"/>
    <x v="279"/>
    <x v="0"/>
    <x v="3"/>
    <x v="3"/>
    <n v="0"/>
    <n v="0"/>
  </r>
  <r>
    <s v="BAKERY PRODUCTS"/>
    <x v="0"/>
    <x v="407"/>
    <x v="400"/>
    <x v="57"/>
    <x v="279"/>
    <x v="0"/>
    <x v="4"/>
    <x v="4"/>
    <n v="0"/>
    <n v="0"/>
  </r>
  <r>
    <s v="BAKERY PRODUCTS"/>
    <x v="0"/>
    <x v="407"/>
    <x v="400"/>
    <x v="57"/>
    <x v="279"/>
    <x v="0"/>
    <x v="5"/>
    <x v="5"/>
    <n v="0"/>
    <n v="0"/>
  </r>
  <r>
    <s v="BAKERY PRODUCTS"/>
    <x v="0"/>
    <x v="407"/>
    <x v="400"/>
    <x v="57"/>
    <x v="279"/>
    <x v="0"/>
    <x v="6"/>
    <x v="6"/>
    <n v="0"/>
    <n v="0"/>
  </r>
  <r>
    <s v="BAKERY PRODUCTS"/>
    <x v="0"/>
    <x v="408"/>
    <x v="401"/>
    <x v="27"/>
    <x v="275"/>
    <x v="0"/>
    <x v="0"/>
    <x v="0"/>
    <n v="0"/>
    <n v="0"/>
  </r>
  <r>
    <s v="BAKERY PRODUCTS"/>
    <x v="0"/>
    <x v="408"/>
    <x v="401"/>
    <x v="27"/>
    <x v="275"/>
    <x v="0"/>
    <x v="1"/>
    <x v="1"/>
    <n v="0"/>
    <n v="0"/>
  </r>
  <r>
    <s v="BAKERY PRODUCTS"/>
    <x v="0"/>
    <x v="408"/>
    <x v="401"/>
    <x v="27"/>
    <x v="275"/>
    <x v="0"/>
    <x v="2"/>
    <x v="2"/>
    <n v="0"/>
    <n v="0"/>
  </r>
  <r>
    <s v="BAKERY PRODUCTS"/>
    <x v="0"/>
    <x v="408"/>
    <x v="401"/>
    <x v="27"/>
    <x v="275"/>
    <x v="0"/>
    <x v="3"/>
    <x v="3"/>
    <n v="0"/>
    <n v="0"/>
  </r>
  <r>
    <s v="BAKERY PRODUCTS"/>
    <x v="0"/>
    <x v="408"/>
    <x v="401"/>
    <x v="27"/>
    <x v="275"/>
    <x v="0"/>
    <x v="4"/>
    <x v="4"/>
    <n v="0"/>
    <n v="0"/>
  </r>
  <r>
    <s v="BAKERY PRODUCTS"/>
    <x v="0"/>
    <x v="408"/>
    <x v="401"/>
    <x v="27"/>
    <x v="275"/>
    <x v="0"/>
    <x v="5"/>
    <x v="5"/>
    <n v="0"/>
    <n v="0"/>
  </r>
  <r>
    <s v="BAKERY PRODUCTS"/>
    <x v="0"/>
    <x v="408"/>
    <x v="401"/>
    <x v="27"/>
    <x v="275"/>
    <x v="0"/>
    <x v="6"/>
    <x v="6"/>
    <n v="0"/>
    <n v="0"/>
  </r>
  <r>
    <s v="BAKERY PRODUCTS"/>
    <x v="0"/>
    <x v="409"/>
    <x v="402"/>
    <x v="112"/>
    <x v="280"/>
    <x v="0"/>
    <x v="0"/>
    <x v="0"/>
    <n v="0"/>
    <n v="0"/>
  </r>
  <r>
    <s v="BAKERY PRODUCTS"/>
    <x v="0"/>
    <x v="409"/>
    <x v="402"/>
    <x v="112"/>
    <x v="280"/>
    <x v="0"/>
    <x v="1"/>
    <x v="1"/>
    <n v="0"/>
    <n v="0"/>
  </r>
  <r>
    <s v="BAKERY PRODUCTS"/>
    <x v="0"/>
    <x v="409"/>
    <x v="402"/>
    <x v="112"/>
    <x v="280"/>
    <x v="0"/>
    <x v="2"/>
    <x v="2"/>
    <n v="0"/>
    <n v="0"/>
  </r>
  <r>
    <s v="BAKERY PRODUCTS"/>
    <x v="0"/>
    <x v="409"/>
    <x v="402"/>
    <x v="112"/>
    <x v="280"/>
    <x v="0"/>
    <x v="3"/>
    <x v="3"/>
    <n v="0"/>
    <n v="0"/>
  </r>
  <r>
    <s v="BAKERY PRODUCTS"/>
    <x v="0"/>
    <x v="409"/>
    <x v="402"/>
    <x v="112"/>
    <x v="280"/>
    <x v="0"/>
    <x v="4"/>
    <x v="4"/>
    <n v="0"/>
    <n v="0"/>
  </r>
  <r>
    <s v="BAKERY PRODUCTS"/>
    <x v="0"/>
    <x v="409"/>
    <x v="402"/>
    <x v="112"/>
    <x v="280"/>
    <x v="0"/>
    <x v="5"/>
    <x v="5"/>
    <n v="0"/>
    <n v="0"/>
  </r>
  <r>
    <s v="BAKERY PRODUCTS"/>
    <x v="0"/>
    <x v="409"/>
    <x v="402"/>
    <x v="112"/>
    <x v="280"/>
    <x v="0"/>
    <x v="6"/>
    <x v="6"/>
    <n v="0"/>
    <n v="0"/>
  </r>
  <r>
    <s v="BAKERY PRODUCTS"/>
    <x v="0"/>
    <x v="410"/>
    <x v="403"/>
    <x v="27"/>
    <x v="281"/>
    <x v="0"/>
    <x v="1"/>
    <x v="1"/>
    <n v="0"/>
    <n v="0"/>
  </r>
  <r>
    <s v="BAKERY PRODUCTS"/>
    <x v="0"/>
    <x v="410"/>
    <x v="403"/>
    <x v="27"/>
    <x v="281"/>
    <x v="0"/>
    <x v="4"/>
    <x v="4"/>
    <n v="0"/>
    <n v="0"/>
  </r>
  <r>
    <s v="BAKERY PRODUCTS"/>
    <x v="0"/>
    <x v="410"/>
    <x v="403"/>
    <x v="27"/>
    <x v="281"/>
    <x v="0"/>
    <x v="5"/>
    <x v="5"/>
    <n v="0"/>
    <n v="0"/>
  </r>
  <r>
    <s v="BAKERY PRODUCTS"/>
    <x v="0"/>
    <x v="410"/>
    <x v="403"/>
    <x v="27"/>
    <x v="281"/>
    <x v="0"/>
    <x v="6"/>
    <x v="6"/>
    <n v="0"/>
    <n v="0"/>
  </r>
  <r>
    <s v="BAKERY PRODUCTS"/>
    <x v="0"/>
    <x v="411"/>
    <x v="404"/>
    <x v="27"/>
    <x v="281"/>
    <x v="0"/>
    <x v="0"/>
    <x v="0"/>
    <n v="0"/>
    <n v="0"/>
  </r>
  <r>
    <s v="BAKERY PRODUCTS"/>
    <x v="0"/>
    <x v="411"/>
    <x v="404"/>
    <x v="27"/>
    <x v="281"/>
    <x v="0"/>
    <x v="1"/>
    <x v="1"/>
    <n v="0"/>
    <n v="0"/>
  </r>
  <r>
    <s v="BAKERY PRODUCTS"/>
    <x v="0"/>
    <x v="411"/>
    <x v="404"/>
    <x v="27"/>
    <x v="281"/>
    <x v="0"/>
    <x v="2"/>
    <x v="2"/>
    <n v="0"/>
    <n v="0"/>
  </r>
  <r>
    <s v="BAKERY PRODUCTS"/>
    <x v="0"/>
    <x v="411"/>
    <x v="404"/>
    <x v="27"/>
    <x v="281"/>
    <x v="0"/>
    <x v="3"/>
    <x v="3"/>
    <n v="0"/>
    <n v="0"/>
  </r>
  <r>
    <s v="BAKERY PRODUCTS"/>
    <x v="0"/>
    <x v="411"/>
    <x v="404"/>
    <x v="27"/>
    <x v="281"/>
    <x v="0"/>
    <x v="4"/>
    <x v="4"/>
    <n v="0"/>
    <n v="0"/>
  </r>
  <r>
    <s v="BAKERY PRODUCTS"/>
    <x v="0"/>
    <x v="411"/>
    <x v="404"/>
    <x v="27"/>
    <x v="281"/>
    <x v="0"/>
    <x v="5"/>
    <x v="5"/>
    <n v="0"/>
    <n v="0"/>
  </r>
  <r>
    <s v="BAKERY PRODUCTS"/>
    <x v="0"/>
    <x v="411"/>
    <x v="404"/>
    <x v="27"/>
    <x v="281"/>
    <x v="0"/>
    <x v="6"/>
    <x v="6"/>
    <n v="0"/>
    <n v="0"/>
  </r>
  <r>
    <s v="BAKERY PRODUCTS"/>
    <x v="0"/>
    <x v="412"/>
    <x v="405"/>
    <x v="35"/>
    <x v="282"/>
    <x v="0"/>
    <x v="0"/>
    <x v="0"/>
    <n v="0"/>
    <n v="0"/>
  </r>
  <r>
    <s v="BAKERY PRODUCTS"/>
    <x v="0"/>
    <x v="412"/>
    <x v="405"/>
    <x v="35"/>
    <x v="282"/>
    <x v="0"/>
    <x v="1"/>
    <x v="1"/>
    <n v="0"/>
    <n v="0"/>
  </r>
  <r>
    <s v="BAKERY PRODUCTS"/>
    <x v="0"/>
    <x v="412"/>
    <x v="405"/>
    <x v="35"/>
    <x v="282"/>
    <x v="0"/>
    <x v="2"/>
    <x v="2"/>
    <n v="0"/>
    <n v="0"/>
  </r>
  <r>
    <s v="BAKERY PRODUCTS"/>
    <x v="0"/>
    <x v="412"/>
    <x v="405"/>
    <x v="35"/>
    <x v="282"/>
    <x v="0"/>
    <x v="3"/>
    <x v="3"/>
    <n v="0"/>
    <n v="0"/>
  </r>
  <r>
    <s v="BAKERY PRODUCTS"/>
    <x v="0"/>
    <x v="412"/>
    <x v="405"/>
    <x v="35"/>
    <x v="282"/>
    <x v="0"/>
    <x v="4"/>
    <x v="4"/>
    <n v="0"/>
    <n v="0"/>
  </r>
  <r>
    <s v="BAKERY PRODUCTS"/>
    <x v="0"/>
    <x v="412"/>
    <x v="405"/>
    <x v="35"/>
    <x v="282"/>
    <x v="0"/>
    <x v="5"/>
    <x v="5"/>
    <n v="0"/>
    <n v="0"/>
  </r>
  <r>
    <s v="BAKERY PRODUCTS"/>
    <x v="0"/>
    <x v="412"/>
    <x v="405"/>
    <x v="35"/>
    <x v="282"/>
    <x v="0"/>
    <x v="6"/>
    <x v="6"/>
    <n v="0"/>
    <n v="0"/>
  </r>
  <r>
    <s v="BAKERY PRODUCTS"/>
    <x v="0"/>
    <x v="413"/>
    <x v="406"/>
    <x v="93"/>
    <x v="283"/>
    <x v="0"/>
    <x v="0"/>
    <x v="0"/>
    <n v="0"/>
    <n v="0"/>
  </r>
  <r>
    <s v="BAKERY PRODUCTS"/>
    <x v="0"/>
    <x v="413"/>
    <x v="406"/>
    <x v="93"/>
    <x v="283"/>
    <x v="0"/>
    <x v="1"/>
    <x v="1"/>
    <n v="0"/>
    <n v="0"/>
  </r>
  <r>
    <s v="BAKERY PRODUCTS"/>
    <x v="0"/>
    <x v="413"/>
    <x v="406"/>
    <x v="93"/>
    <x v="283"/>
    <x v="0"/>
    <x v="2"/>
    <x v="2"/>
    <n v="0"/>
    <n v="0"/>
  </r>
  <r>
    <s v="BAKERY PRODUCTS"/>
    <x v="0"/>
    <x v="413"/>
    <x v="406"/>
    <x v="93"/>
    <x v="283"/>
    <x v="0"/>
    <x v="3"/>
    <x v="3"/>
    <n v="0"/>
    <n v="0"/>
  </r>
  <r>
    <s v="BAKERY PRODUCTS"/>
    <x v="0"/>
    <x v="413"/>
    <x v="406"/>
    <x v="93"/>
    <x v="283"/>
    <x v="0"/>
    <x v="4"/>
    <x v="4"/>
    <n v="0"/>
    <n v="0"/>
  </r>
  <r>
    <s v="BAKERY PRODUCTS"/>
    <x v="0"/>
    <x v="413"/>
    <x v="406"/>
    <x v="93"/>
    <x v="283"/>
    <x v="0"/>
    <x v="5"/>
    <x v="5"/>
    <n v="0"/>
    <n v="0"/>
  </r>
  <r>
    <s v="BAKERY PRODUCTS"/>
    <x v="0"/>
    <x v="413"/>
    <x v="406"/>
    <x v="93"/>
    <x v="283"/>
    <x v="0"/>
    <x v="6"/>
    <x v="6"/>
    <n v="0"/>
    <n v="0"/>
  </r>
  <r>
    <s v="BAKERY PRODUCTS"/>
    <x v="0"/>
    <x v="414"/>
    <x v="407"/>
    <x v="93"/>
    <x v="284"/>
    <x v="0"/>
    <x v="0"/>
    <x v="0"/>
    <n v="0"/>
    <n v="0"/>
  </r>
  <r>
    <s v="BAKERY PRODUCTS"/>
    <x v="0"/>
    <x v="414"/>
    <x v="407"/>
    <x v="93"/>
    <x v="284"/>
    <x v="0"/>
    <x v="1"/>
    <x v="1"/>
    <n v="0"/>
    <n v="0"/>
  </r>
  <r>
    <s v="BAKERY PRODUCTS"/>
    <x v="0"/>
    <x v="414"/>
    <x v="407"/>
    <x v="93"/>
    <x v="284"/>
    <x v="0"/>
    <x v="2"/>
    <x v="2"/>
    <n v="0"/>
    <n v="0"/>
  </r>
  <r>
    <s v="BAKERY PRODUCTS"/>
    <x v="0"/>
    <x v="414"/>
    <x v="407"/>
    <x v="93"/>
    <x v="284"/>
    <x v="0"/>
    <x v="3"/>
    <x v="3"/>
    <n v="0"/>
    <n v="0"/>
  </r>
  <r>
    <s v="BAKERY PRODUCTS"/>
    <x v="0"/>
    <x v="414"/>
    <x v="407"/>
    <x v="93"/>
    <x v="284"/>
    <x v="0"/>
    <x v="4"/>
    <x v="4"/>
    <n v="0"/>
    <n v="0"/>
  </r>
  <r>
    <s v="BAKERY PRODUCTS"/>
    <x v="0"/>
    <x v="414"/>
    <x v="407"/>
    <x v="93"/>
    <x v="284"/>
    <x v="0"/>
    <x v="5"/>
    <x v="5"/>
    <n v="0"/>
    <n v="0"/>
  </r>
  <r>
    <s v="BAKERY PRODUCTS"/>
    <x v="0"/>
    <x v="414"/>
    <x v="407"/>
    <x v="93"/>
    <x v="284"/>
    <x v="0"/>
    <x v="6"/>
    <x v="6"/>
    <n v="0"/>
    <n v="0"/>
  </r>
  <r>
    <s v="BAKERY PRODUCTS"/>
    <x v="0"/>
    <x v="415"/>
    <x v="408"/>
    <x v="113"/>
    <x v="285"/>
    <x v="0"/>
    <x v="0"/>
    <x v="0"/>
    <n v="0"/>
    <n v="0"/>
  </r>
  <r>
    <s v="BAKERY PRODUCTS"/>
    <x v="0"/>
    <x v="415"/>
    <x v="408"/>
    <x v="113"/>
    <x v="285"/>
    <x v="0"/>
    <x v="1"/>
    <x v="1"/>
    <n v="0"/>
    <n v="0"/>
  </r>
  <r>
    <s v="BAKERY PRODUCTS"/>
    <x v="0"/>
    <x v="415"/>
    <x v="408"/>
    <x v="113"/>
    <x v="285"/>
    <x v="0"/>
    <x v="2"/>
    <x v="2"/>
    <n v="0"/>
    <n v="0"/>
  </r>
  <r>
    <s v="BAKERY PRODUCTS"/>
    <x v="0"/>
    <x v="415"/>
    <x v="408"/>
    <x v="113"/>
    <x v="285"/>
    <x v="0"/>
    <x v="3"/>
    <x v="3"/>
    <n v="0"/>
    <n v="0"/>
  </r>
  <r>
    <s v="BAKERY PRODUCTS"/>
    <x v="0"/>
    <x v="415"/>
    <x v="408"/>
    <x v="113"/>
    <x v="285"/>
    <x v="0"/>
    <x v="4"/>
    <x v="4"/>
    <n v="0"/>
    <n v="0"/>
  </r>
  <r>
    <s v="BAKERY PRODUCTS"/>
    <x v="0"/>
    <x v="415"/>
    <x v="408"/>
    <x v="113"/>
    <x v="285"/>
    <x v="0"/>
    <x v="5"/>
    <x v="5"/>
    <n v="0"/>
    <n v="0"/>
  </r>
  <r>
    <s v="BAKERY PRODUCTS"/>
    <x v="0"/>
    <x v="415"/>
    <x v="408"/>
    <x v="113"/>
    <x v="285"/>
    <x v="0"/>
    <x v="6"/>
    <x v="6"/>
    <n v="0"/>
    <n v="0"/>
  </r>
  <r>
    <s v="BAKERY PRODUCTS"/>
    <x v="0"/>
    <x v="416"/>
    <x v="409"/>
    <x v="93"/>
    <x v="286"/>
    <x v="0"/>
    <x v="0"/>
    <x v="0"/>
    <n v="0"/>
    <n v="0"/>
  </r>
  <r>
    <s v="BAKERY PRODUCTS"/>
    <x v="0"/>
    <x v="416"/>
    <x v="409"/>
    <x v="93"/>
    <x v="286"/>
    <x v="0"/>
    <x v="1"/>
    <x v="1"/>
    <n v="0"/>
    <n v="0"/>
  </r>
  <r>
    <s v="BAKERY PRODUCTS"/>
    <x v="0"/>
    <x v="416"/>
    <x v="409"/>
    <x v="93"/>
    <x v="286"/>
    <x v="0"/>
    <x v="2"/>
    <x v="2"/>
    <n v="0"/>
    <n v="0"/>
  </r>
  <r>
    <s v="BAKERY PRODUCTS"/>
    <x v="0"/>
    <x v="416"/>
    <x v="409"/>
    <x v="93"/>
    <x v="286"/>
    <x v="0"/>
    <x v="3"/>
    <x v="3"/>
    <n v="0"/>
    <n v="0"/>
  </r>
  <r>
    <s v="BAKERY PRODUCTS"/>
    <x v="0"/>
    <x v="416"/>
    <x v="409"/>
    <x v="93"/>
    <x v="286"/>
    <x v="0"/>
    <x v="4"/>
    <x v="4"/>
    <n v="0"/>
    <n v="0"/>
  </r>
  <r>
    <s v="BAKERY PRODUCTS"/>
    <x v="0"/>
    <x v="416"/>
    <x v="409"/>
    <x v="93"/>
    <x v="286"/>
    <x v="0"/>
    <x v="5"/>
    <x v="5"/>
    <n v="0"/>
    <n v="0"/>
  </r>
  <r>
    <s v="BAKERY PRODUCTS"/>
    <x v="0"/>
    <x v="416"/>
    <x v="409"/>
    <x v="93"/>
    <x v="286"/>
    <x v="0"/>
    <x v="6"/>
    <x v="6"/>
    <n v="0"/>
    <n v="0"/>
  </r>
  <r>
    <s v="BAKERY PRODUCTS"/>
    <x v="0"/>
    <x v="417"/>
    <x v="410"/>
    <x v="35"/>
    <x v="287"/>
    <x v="0"/>
    <x v="6"/>
    <x v="6"/>
    <n v="0"/>
    <n v="0"/>
  </r>
  <r>
    <s v="BAKERY PRODUCTS"/>
    <x v="0"/>
    <x v="418"/>
    <x v="411"/>
    <x v="114"/>
    <x v="288"/>
    <x v="0"/>
    <x v="0"/>
    <x v="0"/>
    <n v="0"/>
    <n v="0"/>
  </r>
  <r>
    <s v="BAKERY PRODUCTS"/>
    <x v="0"/>
    <x v="418"/>
    <x v="411"/>
    <x v="114"/>
    <x v="288"/>
    <x v="0"/>
    <x v="1"/>
    <x v="1"/>
    <n v="0"/>
    <n v="0"/>
  </r>
  <r>
    <s v="BAKERY PRODUCTS"/>
    <x v="0"/>
    <x v="418"/>
    <x v="411"/>
    <x v="114"/>
    <x v="288"/>
    <x v="0"/>
    <x v="2"/>
    <x v="2"/>
    <n v="0"/>
    <n v="0"/>
  </r>
  <r>
    <s v="BAKERY PRODUCTS"/>
    <x v="0"/>
    <x v="418"/>
    <x v="411"/>
    <x v="114"/>
    <x v="288"/>
    <x v="0"/>
    <x v="3"/>
    <x v="3"/>
    <n v="0"/>
    <n v="0"/>
  </r>
  <r>
    <s v="BAKERY PRODUCTS"/>
    <x v="0"/>
    <x v="418"/>
    <x v="411"/>
    <x v="114"/>
    <x v="288"/>
    <x v="0"/>
    <x v="4"/>
    <x v="4"/>
    <n v="0"/>
    <n v="0"/>
  </r>
  <r>
    <s v="BAKERY PRODUCTS"/>
    <x v="0"/>
    <x v="418"/>
    <x v="411"/>
    <x v="114"/>
    <x v="288"/>
    <x v="0"/>
    <x v="5"/>
    <x v="5"/>
    <n v="0"/>
    <n v="0"/>
  </r>
  <r>
    <s v="BAKERY PRODUCTS"/>
    <x v="0"/>
    <x v="418"/>
    <x v="411"/>
    <x v="114"/>
    <x v="288"/>
    <x v="0"/>
    <x v="6"/>
    <x v="6"/>
    <n v="0"/>
    <n v="0"/>
  </r>
  <r>
    <s v="BAKERY PRODUCTS"/>
    <x v="0"/>
    <x v="419"/>
    <x v="412"/>
    <x v="115"/>
    <x v="289"/>
    <x v="0"/>
    <x v="0"/>
    <x v="0"/>
    <n v="0"/>
    <n v="0"/>
  </r>
  <r>
    <s v="BAKERY PRODUCTS"/>
    <x v="0"/>
    <x v="419"/>
    <x v="412"/>
    <x v="115"/>
    <x v="289"/>
    <x v="0"/>
    <x v="1"/>
    <x v="1"/>
    <n v="0"/>
    <n v="0"/>
  </r>
  <r>
    <s v="BAKERY PRODUCTS"/>
    <x v="0"/>
    <x v="419"/>
    <x v="412"/>
    <x v="115"/>
    <x v="289"/>
    <x v="0"/>
    <x v="2"/>
    <x v="2"/>
    <n v="0"/>
    <n v="0"/>
  </r>
  <r>
    <s v="BAKERY PRODUCTS"/>
    <x v="0"/>
    <x v="419"/>
    <x v="412"/>
    <x v="115"/>
    <x v="289"/>
    <x v="0"/>
    <x v="3"/>
    <x v="3"/>
    <n v="0"/>
    <n v="0"/>
  </r>
  <r>
    <s v="BAKERY PRODUCTS"/>
    <x v="0"/>
    <x v="419"/>
    <x v="412"/>
    <x v="115"/>
    <x v="289"/>
    <x v="0"/>
    <x v="5"/>
    <x v="5"/>
    <n v="0"/>
    <n v="0"/>
  </r>
  <r>
    <s v="BAKERY PRODUCTS"/>
    <x v="0"/>
    <x v="419"/>
    <x v="412"/>
    <x v="115"/>
    <x v="289"/>
    <x v="0"/>
    <x v="6"/>
    <x v="6"/>
    <n v="0"/>
    <n v="0"/>
  </r>
  <r>
    <s v="BAKERY PRODUCTS"/>
    <x v="0"/>
    <x v="420"/>
    <x v="413"/>
    <x v="24"/>
    <x v="290"/>
    <x v="0"/>
    <x v="0"/>
    <x v="0"/>
    <n v="0"/>
    <n v="0"/>
  </r>
  <r>
    <s v="BAKERY PRODUCTS"/>
    <x v="0"/>
    <x v="420"/>
    <x v="413"/>
    <x v="24"/>
    <x v="290"/>
    <x v="0"/>
    <x v="1"/>
    <x v="1"/>
    <n v="0"/>
    <n v="0"/>
  </r>
  <r>
    <s v="BAKERY PRODUCTS"/>
    <x v="0"/>
    <x v="420"/>
    <x v="413"/>
    <x v="24"/>
    <x v="290"/>
    <x v="0"/>
    <x v="5"/>
    <x v="5"/>
    <n v="0"/>
    <n v="0"/>
  </r>
  <r>
    <s v="BAKERY PRODUCTS"/>
    <x v="0"/>
    <x v="420"/>
    <x v="413"/>
    <x v="24"/>
    <x v="290"/>
    <x v="0"/>
    <x v="6"/>
    <x v="6"/>
    <n v="0"/>
    <n v="0"/>
  </r>
  <r>
    <s v="BAKERY PRODUCTS"/>
    <x v="0"/>
    <x v="421"/>
    <x v="414"/>
    <x v="96"/>
    <x v="291"/>
    <x v="0"/>
    <x v="0"/>
    <x v="0"/>
    <n v="0"/>
    <n v="0"/>
  </r>
  <r>
    <s v="BAKERY PRODUCTS"/>
    <x v="0"/>
    <x v="421"/>
    <x v="414"/>
    <x v="96"/>
    <x v="291"/>
    <x v="0"/>
    <x v="1"/>
    <x v="1"/>
    <n v="0"/>
    <n v="0"/>
  </r>
  <r>
    <s v="BAKERY PRODUCTS"/>
    <x v="0"/>
    <x v="421"/>
    <x v="414"/>
    <x v="96"/>
    <x v="291"/>
    <x v="0"/>
    <x v="2"/>
    <x v="2"/>
    <n v="0"/>
    <n v="0"/>
  </r>
  <r>
    <s v="BAKERY PRODUCTS"/>
    <x v="0"/>
    <x v="421"/>
    <x v="414"/>
    <x v="96"/>
    <x v="291"/>
    <x v="0"/>
    <x v="3"/>
    <x v="3"/>
    <n v="0"/>
    <n v="0"/>
  </r>
  <r>
    <s v="BAKERY PRODUCTS"/>
    <x v="0"/>
    <x v="421"/>
    <x v="414"/>
    <x v="96"/>
    <x v="291"/>
    <x v="0"/>
    <x v="4"/>
    <x v="4"/>
    <n v="0"/>
    <n v="0"/>
  </r>
  <r>
    <s v="BAKERY PRODUCTS"/>
    <x v="0"/>
    <x v="421"/>
    <x v="414"/>
    <x v="96"/>
    <x v="291"/>
    <x v="0"/>
    <x v="5"/>
    <x v="5"/>
    <n v="0"/>
    <n v="0"/>
  </r>
  <r>
    <s v="BAKERY PRODUCTS"/>
    <x v="0"/>
    <x v="421"/>
    <x v="414"/>
    <x v="96"/>
    <x v="291"/>
    <x v="0"/>
    <x v="6"/>
    <x v="6"/>
    <n v="0"/>
    <n v="0"/>
  </r>
  <r>
    <s v="BAKERY PRODUCTS"/>
    <x v="0"/>
    <x v="422"/>
    <x v="415"/>
    <x v="116"/>
    <x v="292"/>
    <x v="0"/>
    <x v="0"/>
    <x v="0"/>
    <n v="0"/>
    <n v="0"/>
  </r>
  <r>
    <s v="BAKERY PRODUCTS"/>
    <x v="0"/>
    <x v="422"/>
    <x v="415"/>
    <x v="116"/>
    <x v="292"/>
    <x v="0"/>
    <x v="1"/>
    <x v="1"/>
    <n v="0"/>
    <n v="0"/>
  </r>
  <r>
    <s v="BAKERY PRODUCTS"/>
    <x v="0"/>
    <x v="422"/>
    <x v="415"/>
    <x v="116"/>
    <x v="292"/>
    <x v="0"/>
    <x v="2"/>
    <x v="2"/>
    <n v="0"/>
    <n v="0"/>
  </r>
  <r>
    <s v="BAKERY PRODUCTS"/>
    <x v="0"/>
    <x v="422"/>
    <x v="415"/>
    <x v="116"/>
    <x v="292"/>
    <x v="0"/>
    <x v="3"/>
    <x v="3"/>
    <n v="0"/>
    <n v="0"/>
  </r>
  <r>
    <s v="BAKERY PRODUCTS"/>
    <x v="0"/>
    <x v="422"/>
    <x v="415"/>
    <x v="116"/>
    <x v="292"/>
    <x v="0"/>
    <x v="4"/>
    <x v="4"/>
    <n v="0"/>
    <n v="0"/>
  </r>
  <r>
    <s v="BAKERY PRODUCTS"/>
    <x v="0"/>
    <x v="422"/>
    <x v="415"/>
    <x v="116"/>
    <x v="292"/>
    <x v="0"/>
    <x v="5"/>
    <x v="5"/>
    <n v="0"/>
    <n v="0"/>
  </r>
  <r>
    <s v="BAKERY PRODUCTS"/>
    <x v="0"/>
    <x v="422"/>
    <x v="415"/>
    <x v="116"/>
    <x v="292"/>
    <x v="0"/>
    <x v="6"/>
    <x v="6"/>
    <n v="0"/>
    <n v="0"/>
  </r>
  <r>
    <s v="BAKERY PRODUCTS"/>
    <x v="0"/>
    <x v="423"/>
    <x v="416"/>
    <x v="117"/>
    <x v="293"/>
    <x v="0"/>
    <x v="0"/>
    <x v="0"/>
    <n v="0"/>
    <n v="0"/>
  </r>
  <r>
    <s v="BAKERY PRODUCTS"/>
    <x v="0"/>
    <x v="423"/>
    <x v="416"/>
    <x v="117"/>
    <x v="293"/>
    <x v="0"/>
    <x v="1"/>
    <x v="1"/>
    <n v="0"/>
    <n v="0"/>
  </r>
  <r>
    <s v="BAKERY PRODUCTS"/>
    <x v="0"/>
    <x v="423"/>
    <x v="416"/>
    <x v="117"/>
    <x v="293"/>
    <x v="0"/>
    <x v="2"/>
    <x v="2"/>
    <n v="0"/>
    <n v="0"/>
  </r>
  <r>
    <s v="BAKERY PRODUCTS"/>
    <x v="0"/>
    <x v="423"/>
    <x v="416"/>
    <x v="117"/>
    <x v="293"/>
    <x v="0"/>
    <x v="3"/>
    <x v="3"/>
    <n v="0"/>
    <n v="0"/>
  </r>
  <r>
    <s v="BAKERY PRODUCTS"/>
    <x v="0"/>
    <x v="423"/>
    <x v="416"/>
    <x v="117"/>
    <x v="293"/>
    <x v="0"/>
    <x v="4"/>
    <x v="4"/>
    <n v="0"/>
    <n v="0"/>
  </r>
  <r>
    <s v="BAKERY PRODUCTS"/>
    <x v="0"/>
    <x v="423"/>
    <x v="416"/>
    <x v="117"/>
    <x v="293"/>
    <x v="0"/>
    <x v="5"/>
    <x v="5"/>
    <n v="0"/>
    <n v="0"/>
  </r>
  <r>
    <s v="BAKERY PRODUCTS"/>
    <x v="0"/>
    <x v="423"/>
    <x v="416"/>
    <x v="117"/>
    <x v="293"/>
    <x v="0"/>
    <x v="6"/>
    <x v="6"/>
    <n v="0"/>
    <n v="0"/>
  </r>
  <r>
    <s v="BAKERY PRODUCTS"/>
    <x v="0"/>
    <x v="424"/>
    <x v="417"/>
    <x v="82"/>
    <x v="294"/>
    <x v="0"/>
    <x v="0"/>
    <x v="0"/>
    <n v="0"/>
    <n v="0"/>
  </r>
  <r>
    <s v="BAKERY PRODUCTS"/>
    <x v="0"/>
    <x v="424"/>
    <x v="417"/>
    <x v="82"/>
    <x v="294"/>
    <x v="0"/>
    <x v="1"/>
    <x v="1"/>
    <n v="0"/>
    <n v="0"/>
  </r>
  <r>
    <s v="BAKERY PRODUCTS"/>
    <x v="0"/>
    <x v="424"/>
    <x v="417"/>
    <x v="82"/>
    <x v="294"/>
    <x v="0"/>
    <x v="2"/>
    <x v="2"/>
    <n v="0"/>
    <n v="0"/>
  </r>
  <r>
    <s v="BAKERY PRODUCTS"/>
    <x v="0"/>
    <x v="424"/>
    <x v="417"/>
    <x v="82"/>
    <x v="294"/>
    <x v="0"/>
    <x v="3"/>
    <x v="3"/>
    <n v="0"/>
    <n v="0"/>
  </r>
  <r>
    <s v="BAKERY PRODUCTS"/>
    <x v="0"/>
    <x v="424"/>
    <x v="417"/>
    <x v="82"/>
    <x v="294"/>
    <x v="0"/>
    <x v="4"/>
    <x v="4"/>
    <n v="0"/>
    <n v="0"/>
  </r>
  <r>
    <s v="BAKERY PRODUCTS"/>
    <x v="0"/>
    <x v="424"/>
    <x v="417"/>
    <x v="82"/>
    <x v="294"/>
    <x v="0"/>
    <x v="5"/>
    <x v="5"/>
    <n v="0"/>
    <n v="0"/>
  </r>
  <r>
    <s v="BAKERY PRODUCTS"/>
    <x v="0"/>
    <x v="424"/>
    <x v="417"/>
    <x v="82"/>
    <x v="294"/>
    <x v="0"/>
    <x v="6"/>
    <x v="6"/>
    <n v="0"/>
    <n v="0"/>
  </r>
  <r>
    <s v="BAKERY PRODUCTS"/>
    <x v="0"/>
    <x v="425"/>
    <x v="418"/>
    <x v="61"/>
    <x v="295"/>
    <x v="0"/>
    <x v="0"/>
    <x v="0"/>
    <n v="0"/>
    <n v="0"/>
  </r>
  <r>
    <s v="BAKERY PRODUCTS"/>
    <x v="0"/>
    <x v="425"/>
    <x v="418"/>
    <x v="61"/>
    <x v="295"/>
    <x v="0"/>
    <x v="1"/>
    <x v="1"/>
    <n v="0"/>
    <n v="0"/>
  </r>
  <r>
    <s v="BAKERY PRODUCTS"/>
    <x v="0"/>
    <x v="425"/>
    <x v="418"/>
    <x v="61"/>
    <x v="295"/>
    <x v="0"/>
    <x v="2"/>
    <x v="2"/>
    <n v="0"/>
    <n v="0"/>
  </r>
  <r>
    <s v="BAKERY PRODUCTS"/>
    <x v="0"/>
    <x v="425"/>
    <x v="418"/>
    <x v="61"/>
    <x v="295"/>
    <x v="0"/>
    <x v="3"/>
    <x v="3"/>
    <n v="0"/>
    <n v="0"/>
  </r>
  <r>
    <s v="BAKERY PRODUCTS"/>
    <x v="0"/>
    <x v="425"/>
    <x v="418"/>
    <x v="61"/>
    <x v="295"/>
    <x v="0"/>
    <x v="4"/>
    <x v="4"/>
    <n v="0"/>
    <n v="0"/>
  </r>
  <r>
    <s v="BAKERY PRODUCTS"/>
    <x v="0"/>
    <x v="425"/>
    <x v="418"/>
    <x v="61"/>
    <x v="295"/>
    <x v="0"/>
    <x v="5"/>
    <x v="5"/>
    <n v="0"/>
    <n v="0"/>
  </r>
  <r>
    <s v="BAKERY PRODUCTS"/>
    <x v="0"/>
    <x v="425"/>
    <x v="418"/>
    <x v="61"/>
    <x v="295"/>
    <x v="0"/>
    <x v="6"/>
    <x v="6"/>
    <n v="0"/>
    <n v="0"/>
  </r>
  <r>
    <s v="BAKERY PRODUCTS"/>
    <x v="0"/>
    <x v="426"/>
    <x v="419"/>
    <x v="23"/>
    <x v="296"/>
    <x v="0"/>
    <x v="0"/>
    <x v="0"/>
    <n v="0"/>
    <n v="0"/>
  </r>
  <r>
    <s v="BAKERY PRODUCTS"/>
    <x v="0"/>
    <x v="426"/>
    <x v="419"/>
    <x v="23"/>
    <x v="296"/>
    <x v="0"/>
    <x v="1"/>
    <x v="1"/>
    <n v="0"/>
    <n v="0"/>
  </r>
  <r>
    <s v="BAKERY PRODUCTS"/>
    <x v="0"/>
    <x v="426"/>
    <x v="419"/>
    <x v="23"/>
    <x v="296"/>
    <x v="0"/>
    <x v="2"/>
    <x v="2"/>
    <n v="0"/>
    <n v="0"/>
  </r>
  <r>
    <s v="BAKERY PRODUCTS"/>
    <x v="0"/>
    <x v="426"/>
    <x v="419"/>
    <x v="23"/>
    <x v="296"/>
    <x v="0"/>
    <x v="3"/>
    <x v="3"/>
    <n v="0"/>
    <n v="0"/>
  </r>
  <r>
    <s v="BAKERY PRODUCTS"/>
    <x v="0"/>
    <x v="426"/>
    <x v="419"/>
    <x v="23"/>
    <x v="296"/>
    <x v="0"/>
    <x v="4"/>
    <x v="4"/>
    <n v="0"/>
    <n v="0"/>
  </r>
  <r>
    <s v="BAKERY PRODUCTS"/>
    <x v="0"/>
    <x v="426"/>
    <x v="419"/>
    <x v="23"/>
    <x v="296"/>
    <x v="0"/>
    <x v="5"/>
    <x v="5"/>
    <n v="0"/>
    <n v="0"/>
  </r>
  <r>
    <s v="BAKERY PRODUCTS"/>
    <x v="0"/>
    <x v="426"/>
    <x v="419"/>
    <x v="23"/>
    <x v="296"/>
    <x v="0"/>
    <x v="6"/>
    <x v="6"/>
    <n v="0"/>
    <n v="0"/>
  </r>
  <r>
    <s v="BAKERY PRODUCTS"/>
    <x v="0"/>
    <x v="427"/>
    <x v="420"/>
    <x v="34"/>
    <x v="297"/>
    <x v="0"/>
    <x v="0"/>
    <x v="0"/>
    <n v="0"/>
    <n v="0"/>
  </r>
  <r>
    <s v="BAKERY PRODUCTS"/>
    <x v="0"/>
    <x v="427"/>
    <x v="420"/>
    <x v="34"/>
    <x v="297"/>
    <x v="0"/>
    <x v="5"/>
    <x v="5"/>
    <n v="0"/>
    <n v="0"/>
  </r>
  <r>
    <s v="BAKERY PRODUCTS"/>
    <x v="0"/>
    <x v="427"/>
    <x v="420"/>
    <x v="34"/>
    <x v="297"/>
    <x v="0"/>
    <x v="6"/>
    <x v="6"/>
    <n v="0"/>
    <n v="0"/>
  </r>
  <r>
    <s v="BAKERY PRODUCTS"/>
    <x v="0"/>
    <x v="428"/>
    <x v="421"/>
    <x v="118"/>
    <x v="298"/>
    <x v="0"/>
    <x v="0"/>
    <x v="0"/>
    <n v="0"/>
    <n v="0"/>
  </r>
  <r>
    <s v="BAKERY PRODUCTS"/>
    <x v="0"/>
    <x v="428"/>
    <x v="421"/>
    <x v="118"/>
    <x v="298"/>
    <x v="0"/>
    <x v="1"/>
    <x v="1"/>
    <n v="0"/>
    <n v="0"/>
  </r>
  <r>
    <s v="BAKERY PRODUCTS"/>
    <x v="0"/>
    <x v="428"/>
    <x v="421"/>
    <x v="118"/>
    <x v="298"/>
    <x v="0"/>
    <x v="2"/>
    <x v="2"/>
    <n v="0"/>
    <n v="0"/>
  </r>
  <r>
    <s v="BAKERY PRODUCTS"/>
    <x v="0"/>
    <x v="428"/>
    <x v="421"/>
    <x v="118"/>
    <x v="298"/>
    <x v="0"/>
    <x v="3"/>
    <x v="3"/>
    <n v="0"/>
    <n v="0"/>
  </r>
  <r>
    <s v="BAKERY PRODUCTS"/>
    <x v="0"/>
    <x v="428"/>
    <x v="421"/>
    <x v="118"/>
    <x v="298"/>
    <x v="0"/>
    <x v="4"/>
    <x v="4"/>
    <n v="0"/>
    <n v="0"/>
  </r>
  <r>
    <s v="BAKERY PRODUCTS"/>
    <x v="0"/>
    <x v="428"/>
    <x v="421"/>
    <x v="118"/>
    <x v="298"/>
    <x v="0"/>
    <x v="5"/>
    <x v="5"/>
    <n v="0"/>
    <n v="0"/>
  </r>
  <r>
    <s v="BAKERY PRODUCTS"/>
    <x v="0"/>
    <x v="428"/>
    <x v="421"/>
    <x v="118"/>
    <x v="298"/>
    <x v="0"/>
    <x v="6"/>
    <x v="6"/>
    <n v="0"/>
    <n v="0"/>
  </r>
  <r>
    <s v="BAKERY PRODUCTS"/>
    <x v="0"/>
    <x v="429"/>
    <x v="422"/>
    <x v="5"/>
    <x v="299"/>
    <x v="0"/>
    <x v="0"/>
    <x v="0"/>
    <n v="0"/>
    <n v="0"/>
  </r>
  <r>
    <s v="BAKERY PRODUCTS"/>
    <x v="0"/>
    <x v="429"/>
    <x v="422"/>
    <x v="5"/>
    <x v="299"/>
    <x v="0"/>
    <x v="1"/>
    <x v="1"/>
    <n v="0"/>
    <n v="0"/>
  </r>
  <r>
    <s v="BAKERY PRODUCTS"/>
    <x v="0"/>
    <x v="429"/>
    <x v="422"/>
    <x v="5"/>
    <x v="299"/>
    <x v="0"/>
    <x v="2"/>
    <x v="2"/>
    <n v="0"/>
    <n v="0"/>
  </r>
  <r>
    <s v="BAKERY PRODUCTS"/>
    <x v="0"/>
    <x v="429"/>
    <x v="422"/>
    <x v="5"/>
    <x v="299"/>
    <x v="0"/>
    <x v="3"/>
    <x v="3"/>
    <n v="0"/>
    <n v="0"/>
  </r>
  <r>
    <s v="BAKERY PRODUCTS"/>
    <x v="0"/>
    <x v="429"/>
    <x v="422"/>
    <x v="5"/>
    <x v="299"/>
    <x v="0"/>
    <x v="4"/>
    <x v="4"/>
    <n v="0"/>
    <n v="0"/>
  </r>
  <r>
    <s v="BAKERY PRODUCTS"/>
    <x v="0"/>
    <x v="429"/>
    <x v="422"/>
    <x v="5"/>
    <x v="299"/>
    <x v="0"/>
    <x v="5"/>
    <x v="5"/>
    <n v="0"/>
    <n v="0"/>
  </r>
  <r>
    <s v="BAKERY PRODUCTS"/>
    <x v="0"/>
    <x v="429"/>
    <x v="422"/>
    <x v="5"/>
    <x v="299"/>
    <x v="0"/>
    <x v="6"/>
    <x v="6"/>
    <n v="0"/>
    <n v="0"/>
  </r>
  <r>
    <s v="BAKERY PRODUCTS"/>
    <x v="0"/>
    <x v="430"/>
    <x v="423"/>
    <x v="119"/>
    <x v="300"/>
    <x v="0"/>
    <x v="0"/>
    <x v="0"/>
    <n v="0"/>
    <n v="0"/>
  </r>
  <r>
    <s v="BAKERY PRODUCTS"/>
    <x v="0"/>
    <x v="430"/>
    <x v="423"/>
    <x v="119"/>
    <x v="300"/>
    <x v="0"/>
    <x v="1"/>
    <x v="1"/>
    <n v="0"/>
    <n v="0"/>
  </r>
  <r>
    <s v="BAKERY PRODUCTS"/>
    <x v="0"/>
    <x v="430"/>
    <x v="423"/>
    <x v="119"/>
    <x v="300"/>
    <x v="0"/>
    <x v="2"/>
    <x v="2"/>
    <n v="0"/>
    <n v="0"/>
  </r>
  <r>
    <s v="BAKERY PRODUCTS"/>
    <x v="0"/>
    <x v="430"/>
    <x v="423"/>
    <x v="119"/>
    <x v="300"/>
    <x v="0"/>
    <x v="4"/>
    <x v="4"/>
    <n v="0"/>
    <n v="0"/>
  </r>
  <r>
    <s v="BAKERY PRODUCTS"/>
    <x v="0"/>
    <x v="430"/>
    <x v="423"/>
    <x v="119"/>
    <x v="300"/>
    <x v="0"/>
    <x v="5"/>
    <x v="5"/>
    <n v="0"/>
    <n v="0"/>
  </r>
  <r>
    <s v="BAKERY PRODUCTS"/>
    <x v="0"/>
    <x v="430"/>
    <x v="423"/>
    <x v="119"/>
    <x v="300"/>
    <x v="0"/>
    <x v="6"/>
    <x v="6"/>
    <n v="0"/>
    <n v="0"/>
  </r>
  <r>
    <s v="BAKERY PRODUCTS"/>
    <x v="0"/>
    <x v="431"/>
    <x v="424"/>
    <x v="119"/>
    <x v="300"/>
    <x v="0"/>
    <x v="1"/>
    <x v="1"/>
    <n v="0"/>
    <n v="0"/>
  </r>
  <r>
    <s v="BAKERY PRODUCTS"/>
    <x v="0"/>
    <x v="431"/>
    <x v="424"/>
    <x v="119"/>
    <x v="300"/>
    <x v="0"/>
    <x v="2"/>
    <x v="2"/>
    <n v="0"/>
    <n v="0"/>
  </r>
  <r>
    <s v="BAKERY PRODUCTS"/>
    <x v="0"/>
    <x v="431"/>
    <x v="424"/>
    <x v="119"/>
    <x v="300"/>
    <x v="0"/>
    <x v="3"/>
    <x v="3"/>
    <n v="0"/>
    <n v="0"/>
  </r>
  <r>
    <s v="BAKERY PRODUCTS"/>
    <x v="0"/>
    <x v="431"/>
    <x v="424"/>
    <x v="119"/>
    <x v="300"/>
    <x v="0"/>
    <x v="4"/>
    <x v="4"/>
    <n v="0"/>
    <n v="0"/>
  </r>
  <r>
    <s v="BAKERY PRODUCTS"/>
    <x v="0"/>
    <x v="431"/>
    <x v="424"/>
    <x v="119"/>
    <x v="300"/>
    <x v="0"/>
    <x v="5"/>
    <x v="5"/>
    <n v="0"/>
    <n v="0"/>
  </r>
  <r>
    <s v="BAKERY PRODUCTS"/>
    <x v="0"/>
    <x v="431"/>
    <x v="424"/>
    <x v="119"/>
    <x v="300"/>
    <x v="0"/>
    <x v="6"/>
    <x v="6"/>
    <n v="0"/>
    <n v="0"/>
  </r>
  <r>
    <s v="BAKERY PRODUCTS"/>
    <x v="0"/>
    <x v="432"/>
    <x v="425"/>
    <x v="96"/>
    <x v="301"/>
    <x v="0"/>
    <x v="2"/>
    <x v="2"/>
    <n v="0"/>
    <n v="0"/>
  </r>
  <r>
    <s v="BAKERY PRODUCTS"/>
    <x v="0"/>
    <x v="432"/>
    <x v="425"/>
    <x v="96"/>
    <x v="301"/>
    <x v="0"/>
    <x v="3"/>
    <x v="3"/>
    <n v="0"/>
    <n v="0"/>
  </r>
  <r>
    <s v="BAKERY PRODUCTS"/>
    <x v="0"/>
    <x v="432"/>
    <x v="425"/>
    <x v="96"/>
    <x v="301"/>
    <x v="0"/>
    <x v="5"/>
    <x v="5"/>
    <n v="0"/>
    <n v="0"/>
  </r>
  <r>
    <s v="BAKERY PRODUCTS"/>
    <x v="0"/>
    <x v="432"/>
    <x v="425"/>
    <x v="96"/>
    <x v="301"/>
    <x v="0"/>
    <x v="6"/>
    <x v="6"/>
    <n v="0"/>
    <n v="0"/>
  </r>
  <r>
    <s v="BAKERY PRODUCTS"/>
    <x v="0"/>
    <x v="433"/>
    <x v="426"/>
    <x v="120"/>
    <x v="277"/>
    <x v="0"/>
    <x v="0"/>
    <x v="0"/>
    <n v="0"/>
    <n v="0"/>
  </r>
  <r>
    <s v="BAKERY PRODUCTS"/>
    <x v="0"/>
    <x v="433"/>
    <x v="426"/>
    <x v="120"/>
    <x v="277"/>
    <x v="0"/>
    <x v="2"/>
    <x v="2"/>
    <n v="0"/>
    <n v="0"/>
  </r>
  <r>
    <s v="BAKERY PRODUCTS"/>
    <x v="0"/>
    <x v="433"/>
    <x v="426"/>
    <x v="120"/>
    <x v="277"/>
    <x v="0"/>
    <x v="3"/>
    <x v="3"/>
    <n v="0"/>
    <n v="0"/>
  </r>
  <r>
    <s v="BAKERY PRODUCTS"/>
    <x v="0"/>
    <x v="433"/>
    <x v="426"/>
    <x v="120"/>
    <x v="277"/>
    <x v="0"/>
    <x v="4"/>
    <x v="4"/>
    <n v="0"/>
    <n v="0"/>
  </r>
  <r>
    <s v="BAKERY PRODUCTS"/>
    <x v="0"/>
    <x v="433"/>
    <x v="426"/>
    <x v="120"/>
    <x v="277"/>
    <x v="0"/>
    <x v="5"/>
    <x v="5"/>
    <n v="0"/>
    <n v="0"/>
  </r>
  <r>
    <s v="BAKERY PRODUCTS"/>
    <x v="0"/>
    <x v="433"/>
    <x v="426"/>
    <x v="120"/>
    <x v="277"/>
    <x v="0"/>
    <x v="6"/>
    <x v="6"/>
    <n v="0"/>
    <n v="0"/>
  </r>
  <r>
    <s v="BAKERY PRODUCTS"/>
    <x v="0"/>
    <x v="434"/>
    <x v="427"/>
    <x v="24"/>
    <x v="302"/>
    <x v="0"/>
    <x v="1"/>
    <x v="1"/>
    <n v="0"/>
    <n v="0"/>
  </r>
  <r>
    <s v="BAKERY PRODUCTS"/>
    <x v="0"/>
    <x v="434"/>
    <x v="427"/>
    <x v="24"/>
    <x v="302"/>
    <x v="0"/>
    <x v="3"/>
    <x v="3"/>
    <n v="0"/>
    <n v="0"/>
  </r>
  <r>
    <s v="BAKERY PRODUCTS"/>
    <x v="0"/>
    <x v="434"/>
    <x v="427"/>
    <x v="24"/>
    <x v="302"/>
    <x v="0"/>
    <x v="6"/>
    <x v="6"/>
    <n v="0"/>
    <n v="0"/>
  </r>
  <r>
    <s v="BAKERY PRODUCTS"/>
    <x v="0"/>
    <x v="435"/>
    <x v="428"/>
    <x v="120"/>
    <x v="303"/>
    <x v="0"/>
    <x v="1"/>
    <x v="1"/>
    <n v="0"/>
    <n v="0"/>
  </r>
  <r>
    <s v="BAKERY PRODUCTS"/>
    <x v="0"/>
    <x v="435"/>
    <x v="428"/>
    <x v="120"/>
    <x v="303"/>
    <x v="0"/>
    <x v="2"/>
    <x v="2"/>
    <n v="0"/>
    <n v="0"/>
  </r>
  <r>
    <s v="BAKERY PRODUCTS"/>
    <x v="0"/>
    <x v="435"/>
    <x v="428"/>
    <x v="120"/>
    <x v="303"/>
    <x v="0"/>
    <x v="3"/>
    <x v="3"/>
    <n v="0"/>
    <n v="0"/>
  </r>
  <r>
    <s v="BAKERY PRODUCTS"/>
    <x v="0"/>
    <x v="435"/>
    <x v="428"/>
    <x v="120"/>
    <x v="303"/>
    <x v="0"/>
    <x v="4"/>
    <x v="4"/>
    <n v="0"/>
    <n v="0"/>
  </r>
  <r>
    <s v="BAKERY PRODUCTS"/>
    <x v="0"/>
    <x v="435"/>
    <x v="428"/>
    <x v="120"/>
    <x v="303"/>
    <x v="0"/>
    <x v="5"/>
    <x v="5"/>
    <n v="0"/>
    <n v="0"/>
  </r>
  <r>
    <s v="BAKERY PRODUCTS"/>
    <x v="0"/>
    <x v="435"/>
    <x v="428"/>
    <x v="120"/>
    <x v="303"/>
    <x v="0"/>
    <x v="6"/>
    <x v="6"/>
    <n v="0"/>
    <n v="0"/>
  </r>
  <r>
    <s v="BAKERY PRODUCTS"/>
    <x v="0"/>
    <x v="436"/>
    <x v="429"/>
    <x v="121"/>
    <x v="245"/>
    <x v="0"/>
    <x v="0"/>
    <x v="0"/>
    <n v="0"/>
    <n v="0"/>
  </r>
  <r>
    <s v="BAKERY PRODUCTS"/>
    <x v="0"/>
    <x v="436"/>
    <x v="429"/>
    <x v="121"/>
    <x v="245"/>
    <x v="0"/>
    <x v="1"/>
    <x v="1"/>
    <n v="0"/>
    <n v="0"/>
  </r>
  <r>
    <s v="BAKERY PRODUCTS"/>
    <x v="0"/>
    <x v="436"/>
    <x v="429"/>
    <x v="121"/>
    <x v="245"/>
    <x v="0"/>
    <x v="2"/>
    <x v="2"/>
    <n v="0"/>
    <n v="0"/>
  </r>
  <r>
    <s v="BAKERY PRODUCTS"/>
    <x v="0"/>
    <x v="436"/>
    <x v="429"/>
    <x v="121"/>
    <x v="245"/>
    <x v="0"/>
    <x v="4"/>
    <x v="4"/>
    <n v="0"/>
    <n v="0"/>
  </r>
  <r>
    <s v="BAKERY PRODUCTS"/>
    <x v="0"/>
    <x v="436"/>
    <x v="429"/>
    <x v="121"/>
    <x v="245"/>
    <x v="0"/>
    <x v="5"/>
    <x v="5"/>
    <n v="0"/>
    <n v="0"/>
  </r>
  <r>
    <s v="BAKERY PRODUCTS"/>
    <x v="0"/>
    <x v="436"/>
    <x v="429"/>
    <x v="121"/>
    <x v="245"/>
    <x v="0"/>
    <x v="6"/>
    <x v="6"/>
    <n v="0"/>
    <n v="0"/>
  </r>
  <r>
    <s v="BAKERY PRODUCTS"/>
    <x v="0"/>
    <x v="437"/>
    <x v="430"/>
    <x v="59"/>
    <x v="304"/>
    <x v="0"/>
    <x v="0"/>
    <x v="0"/>
    <n v="0"/>
    <n v="0"/>
  </r>
  <r>
    <s v="BAKERY PRODUCTS"/>
    <x v="0"/>
    <x v="437"/>
    <x v="430"/>
    <x v="59"/>
    <x v="304"/>
    <x v="0"/>
    <x v="1"/>
    <x v="1"/>
    <n v="0"/>
    <n v="0"/>
  </r>
  <r>
    <s v="BAKERY PRODUCTS"/>
    <x v="0"/>
    <x v="437"/>
    <x v="430"/>
    <x v="59"/>
    <x v="304"/>
    <x v="0"/>
    <x v="2"/>
    <x v="2"/>
    <n v="0"/>
    <n v="0"/>
  </r>
  <r>
    <s v="BAKERY PRODUCTS"/>
    <x v="0"/>
    <x v="437"/>
    <x v="430"/>
    <x v="59"/>
    <x v="304"/>
    <x v="0"/>
    <x v="3"/>
    <x v="3"/>
    <n v="0"/>
    <n v="0"/>
  </r>
  <r>
    <s v="BAKERY PRODUCTS"/>
    <x v="0"/>
    <x v="437"/>
    <x v="430"/>
    <x v="59"/>
    <x v="304"/>
    <x v="0"/>
    <x v="4"/>
    <x v="4"/>
    <n v="0"/>
    <n v="0"/>
  </r>
  <r>
    <s v="BAKERY PRODUCTS"/>
    <x v="0"/>
    <x v="437"/>
    <x v="430"/>
    <x v="59"/>
    <x v="304"/>
    <x v="0"/>
    <x v="5"/>
    <x v="5"/>
    <n v="0"/>
    <n v="0"/>
  </r>
  <r>
    <s v="BAKERY PRODUCTS"/>
    <x v="0"/>
    <x v="437"/>
    <x v="430"/>
    <x v="59"/>
    <x v="304"/>
    <x v="0"/>
    <x v="6"/>
    <x v="6"/>
    <n v="0"/>
    <n v="0"/>
  </r>
  <r>
    <s v="BAKERY PRODUCTS"/>
    <x v="0"/>
    <x v="438"/>
    <x v="431"/>
    <x v="117"/>
    <x v="305"/>
    <x v="0"/>
    <x v="0"/>
    <x v="0"/>
    <n v="0"/>
    <n v="0"/>
  </r>
  <r>
    <s v="BAKERY PRODUCTS"/>
    <x v="0"/>
    <x v="438"/>
    <x v="431"/>
    <x v="117"/>
    <x v="305"/>
    <x v="0"/>
    <x v="1"/>
    <x v="1"/>
    <n v="0"/>
    <n v="0"/>
  </r>
  <r>
    <s v="BAKERY PRODUCTS"/>
    <x v="0"/>
    <x v="438"/>
    <x v="431"/>
    <x v="117"/>
    <x v="305"/>
    <x v="0"/>
    <x v="2"/>
    <x v="2"/>
    <n v="0"/>
    <n v="0"/>
  </r>
  <r>
    <s v="BAKERY PRODUCTS"/>
    <x v="0"/>
    <x v="438"/>
    <x v="431"/>
    <x v="117"/>
    <x v="305"/>
    <x v="0"/>
    <x v="3"/>
    <x v="3"/>
    <n v="0"/>
    <n v="0"/>
  </r>
  <r>
    <s v="BAKERY PRODUCTS"/>
    <x v="0"/>
    <x v="438"/>
    <x v="431"/>
    <x v="117"/>
    <x v="305"/>
    <x v="0"/>
    <x v="4"/>
    <x v="4"/>
    <n v="0"/>
    <n v="0"/>
  </r>
  <r>
    <s v="BAKERY PRODUCTS"/>
    <x v="0"/>
    <x v="438"/>
    <x v="431"/>
    <x v="117"/>
    <x v="305"/>
    <x v="0"/>
    <x v="5"/>
    <x v="5"/>
    <n v="0"/>
    <n v="0"/>
  </r>
  <r>
    <s v="BAKERY PRODUCTS"/>
    <x v="0"/>
    <x v="438"/>
    <x v="431"/>
    <x v="117"/>
    <x v="305"/>
    <x v="0"/>
    <x v="6"/>
    <x v="6"/>
    <n v="0"/>
    <n v="0"/>
  </r>
  <r>
    <s v="BAKERY PRODUCTS"/>
    <x v="0"/>
    <x v="439"/>
    <x v="432"/>
    <x v="122"/>
    <x v="306"/>
    <x v="0"/>
    <x v="0"/>
    <x v="0"/>
    <n v="0"/>
    <n v="0"/>
  </r>
  <r>
    <s v="BAKERY PRODUCTS"/>
    <x v="0"/>
    <x v="439"/>
    <x v="432"/>
    <x v="122"/>
    <x v="306"/>
    <x v="0"/>
    <x v="1"/>
    <x v="1"/>
    <n v="0"/>
    <n v="0"/>
  </r>
  <r>
    <s v="BAKERY PRODUCTS"/>
    <x v="0"/>
    <x v="439"/>
    <x v="432"/>
    <x v="122"/>
    <x v="306"/>
    <x v="0"/>
    <x v="2"/>
    <x v="2"/>
    <n v="0"/>
    <n v="0"/>
  </r>
  <r>
    <s v="BAKERY PRODUCTS"/>
    <x v="0"/>
    <x v="439"/>
    <x v="432"/>
    <x v="122"/>
    <x v="306"/>
    <x v="0"/>
    <x v="3"/>
    <x v="3"/>
    <n v="0"/>
    <n v="0"/>
  </r>
  <r>
    <s v="BAKERY PRODUCTS"/>
    <x v="0"/>
    <x v="439"/>
    <x v="432"/>
    <x v="122"/>
    <x v="306"/>
    <x v="0"/>
    <x v="4"/>
    <x v="4"/>
    <n v="0"/>
    <n v="0"/>
  </r>
  <r>
    <s v="BAKERY PRODUCTS"/>
    <x v="0"/>
    <x v="439"/>
    <x v="432"/>
    <x v="122"/>
    <x v="306"/>
    <x v="0"/>
    <x v="5"/>
    <x v="5"/>
    <n v="0"/>
    <n v="0"/>
  </r>
  <r>
    <s v="BAKERY PRODUCTS"/>
    <x v="0"/>
    <x v="439"/>
    <x v="432"/>
    <x v="122"/>
    <x v="306"/>
    <x v="0"/>
    <x v="6"/>
    <x v="6"/>
    <n v="0"/>
    <n v="0"/>
  </r>
  <r>
    <s v="BAKERY PRODUCTS"/>
    <x v="0"/>
    <x v="440"/>
    <x v="433"/>
    <x v="35"/>
    <x v="307"/>
    <x v="0"/>
    <x v="0"/>
    <x v="0"/>
    <n v="0"/>
    <n v="0"/>
  </r>
  <r>
    <s v="BAKERY PRODUCTS"/>
    <x v="0"/>
    <x v="440"/>
    <x v="433"/>
    <x v="35"/>
    <x v="307"/>
    <x v="0"/>
    <x v="1"/>
    <x v="1"/>
    <n v="0"/>
    <n v="0"/>
  </r>
  <r>
    <s v="BAKERY PRODUCTS"/>
    <x v="0"/>
    <x v="440"/>
    <x v="433"/>
    <x v="35"/>
    <x v="307"/>
    <x v="0"/>
    <x v="2"/>
    <x v="2"/>
    <n v="0"/>
    <n v="0"/>
  </r>
  <r>
    <s v="BAKERY PRODUCTS"/>
    <x v="0"/>
    <x v="440"/>
    <x v="433"/>
    <x v="35"/>
    <x v="307"/>
    <x v="0"/>
    <x v="3"/>
    <x v="3"/>
    <n v="0"/>
    <n v="0"/>
  </r>
  <r>
    <s v="BAKERY PRODUCTS"/>
    <x v="0"/>
    <x v="440"/>
    <x v="433"/>
    <x v="35"/>
    <x v="307"/>
    <x v="0"/>
    <x v="4"/>
    <x v="4"/>
    <n v="0"/>
    <n v="0"/>
  </r>
  <r>
    <s v="BAKERY PRODUCTS"/>
    <x v="0"/>
    <x v="440"/>
    <x v="433"/>
    <x v="35"/>
    <x v="307"/>
    <x v="0"/>
    <x v="5"/>
    <x v="5"/>
    <n v="0"/>
    <n v="0"/>
  </r>
  <r>
    <s v="BAKERY PRODUCTS"/>
    <x v="0"/>
    <x v="440"/>
    <x v="433"/>
    <x v="35"/>
    <x v="307"/>
    <x v="0"/>
    <x v="6"/>
    <x v="6"/>
    <n v="0"/>
    <n v="0"/>
  </r>
  <r>
    <s v="BAKERY PRODUCTS"/>
    <x v="0"/>
    <x v="441"/>
    <x v="434"/>
    <x v="103"/>
    <x v="308"/>
    <x v="0"/>
    <x v="0"/>
    <x v="0"/>
    <n v="0"/>
    <n v="0"/>
  </r>
  <r>
    <s v="BAKERY PRODUCTS"/>
    <x v="0"/>
    <x v="441"/>
    <x v="434"/>
    <x v="103"/>
    <x v="308"/>
    <x v="0"/>
    <x v="1"/>
    <x v="1"/>
    <n v="0"/>
    <n v="0"/>
  </r>
  <r>
    <s v="BAKERY PRODUCTS"/>
    <x v="0"/>
    <x v="441"/>
    <x v="434"/>
    <x v="103"/>
    <x v="308"/>
    <x v="0"/>
    <x v="2"/>
    <x v="2"/>
    <n v="0"/>
    <n v="0"/>
  </r>
  <r>
    <s v="BAKERY PRODUCTS"/>
    <x v="0"/>
    <x v="441"/>
    <x v="434"/>
    <x v="103"/>
    <x v="308"/>
    <x v="0"/>
    <x v="3"/>
    <x v="3"/>
    <n v="0"/>
    <n v="0"/>
  </r>
  <r>
    <s v="BAKERY PRODUCTS"/>
    <x v="0"/>
    <x v="441"/>
    <x v="434"/>
    <x v="103"/>
    <x v="308"/>
    <x v="0"/>
    <x v="4"/>
    <x v="4"/>
    <n v="0"/>
    <n v="0"/>
  </r>
  <r>
    <s v="BAKERY PRODUCTS"/>
    <x v="0"/>
    <x v="441"/>
    <x v="434"/>
    <x v="103"/>
    <x v="308"/>
    <x v="0"/>
    <x v="5"/>
    <x v="5"/>
    <n v="0"/>
    <n v="0"/>
  </r>
  <r>
    <s v="BAKERY PRODUCTS"/>
    <x v="0"/>
    <x v="441"/>
    <x v="434"/>
    <x v="103"/>
    <x v="308"/>
    <x v="0"/>
    <x v="6"/>
    <x v="6"/>
    <n v="0"/>
    <n v="0"/>
  </r>
  <r>
    <s v="BAKERY PRODUCTS"/>
    <x v="0"/>
    <x v="442"/>
    <x v="435"/>
    <x v="97"/>
    <x v="309"/>
    <x v="0"/>
    <x v="0"/>
    <x v="0"/>
    <n v="0"/>
    <n v="0"/>
  </r>
  <r>
    <s v="BAKERY PRODUCTS"/>
    <x v="0"/>
    <x v="442"/>
    <x v="435"/>
    <x v="97"/>
    <x v="309"/>
    <x v="0"/>
    <x v="1"/>
    <x v="1"/>
    <n v="0"/>
    <n v="0"/>
  </r>
  <r>
    <s v="BAKERY PRODUCTS"/>
    <x v="0"/>
    <x v="442"/>
    <x v="435"/>
    <x v="97"/>
    <x v="309"/>
    <x v="0"/>
    <x v="2"/>
    <x v="2"/>
    <n v="0"/>
    <n v="0"/>
  </r>
  <r>
    <s v="BAKERY PRODUCTS"/>
    <x v="0"/>
    <x v="442"/>
    <x v="435"/>
    <x v="97"/>
    <x v="309"/>
    <x v="0"/>
    <x v="3"/>
    <x v="3"/>
    <n v="0"/>
    <n v="0"/>
  </r>
  <r>
    <s v="BAKERY PRODUCTS"/>
    <x v="0"/>
    <x v="442"/>
    <x v="435"/>
    <x v="97"/>
    <x v="309"/>
    <x v="0"/>
    <x v="4"/>
    <x v="4"/>
    <n v="0"/>
    <n v="0"/>
  </r>
  <r>
    <s v="BAKERY PRODUCTS"/>
    <x v="0"/>
    <x v="442"/>
    <x v="435"/>
    <x v="97"/>
    <x v="309"/>
    <x v="0"/>
    <x v="5"/>
    <x v="5"/>
    <n v="0"/>
    <n v="0"/>
  </r>
  <r>
    <s v="BAKERY PRODUCTS"/>
    <x v="0"/>
    <x v="442"/>
    <x v="435"/>
    <x v="97"/>
    <x v="309"/>
    <x v="0"/>
    <x v="6"/>
    <x v="6"/>
    <n v="0"/>
    <n v="0"/>
  </r>
  <r>
    <s v="BAKERY PRODUCTS"/>
    <x v="11"/>
    <x v="443"/>
    <x v="436"/>
    <x v="117"/>
    <x v="310"/>
    <x v="0"/>
    <x v="0"/>
    <x v="0"/>
    <n v="0"/>
    <n v="0"/>
  </r>
  <r>
    <s v="BAKERY PRODUCTS"/>
    <x v="11"/>
    <x v="444"/>
    <x v="437"/>
    <x v="35"/>
    <x v="270"/>
    <x v="0"/>
    <x v="0"/>
    <x v="0"/>
    <n v="0"/>
    <n v="0"/>
  </r>
  <r>
    <s v="BAKERY PRODUCTS"/>
    <x v="11"/>
    <x v="444"/>
    <x v="437"/>
    <x v="35"/>
    <x v="270"/>
    <x v="0"/>
    <x v="1"/>
    <x v="1"/>
    <n v="0"/>
    <n v="0"/>
  </r>
  <r>
    <s v="BAKERY PRODUCTS"/>
    <x v="11"/>
    <x v="444"/>
    <x v="437"/>
    <x v="35"/>
    <x v="270"/>
    <x v="0"/>
    <x v="2"/>
    <x v="2"/>
    <n v="0"/>
    <n v="0"/>
  </r>
  <r>
    <s v="BAKERY PRODUCTS"/>
    <x v="11"/>
    <x v="444"/>
    <x v="437"/>
    <x v="35"/>
    <x v="270"/>
    <x v="0"/>
    <x v="5"/>
    <x v="5"/>
    <n v="0"/>
    <n v="0"/>
  </r>
  <r>
    <s v="BAKERY PRODUCTS"/>
    <x v="11"/>
    <x v="445"/>
    <x v="438"/>
    <x v="117"/>
    <x v="310"/>
    <x v="0"/>
    <x v="0"/>
    <x v="0"/>
    <n v="0"/>
    <n v="0"/>
  </r>
  <r>
    <s v="BAKERY PRODUCTS"/>
    <x v="11"/>
    <x v="445"/>
    <x v="438"/>
    <x v="117"/>
    <x v="310"/>
    <x v="0"/>
    <x v="1"/>
    <x v="1"/>
    <n v="0"/>
    <n v="0"/>
  </r>
  <r>
    <s v="BAKERY PRODUCTS"/>
    <x v="11"/>
    <x v="445"/>
    <x v="438"/>
    <x v="117"/>
    <x v="310"/>
    <x v="0"/>
    <x v="2"/>
    <x v="2"/>
    <n v="0"/>
    <n v="0"/>
  </r>
  <r>
    <s v="BAKERY PRODUCTS"/>
    <x v="11"/>
    <x v="445"/>
    <x v="438"/>
    <x v="117"/>
    <x v="310"/>
    <x v="0"/>
    <x v="3"/>
    <x v="3"/>
    <n v="0"/>
    <n v="0"/>
  </r>
  <r>
    <s v="BAKERY PRODUCTS"/>
    <x v="11"/>
    <x v="446"/>
    <x v="439"/>
    <x v="117"/>
    <x v="310"/>
    <x v="0"/>
    <x v="0"/>
    <x v="0"/>
    <n v="0"/>
    <n v="0"/>
  </r>
  <r>
    <s v="BAKERY PRODUCTS"/>
    <x v="11"/>
    <x v="446"/>
    <x v="439"/>
    <x v="117"/>
    <x v="310"/>
    <x v="0"/>
    <x v="2"/>
    <x v="2"/>
    <n v="0"/>
    <n v="0"/>
  </r>
  <r>
    <s v="BAKERY PRODUCTS"/>
    <x v="11"/>
    <x v="446"/>
    <x v="439"/>
    <x v="117"/>
    <x v="310"/>
    <x v="0"/>
    <x v="3"/>
    <x v="3"/>
    <n v="0"/>
    <n v="0"/>
  </r>
  <r>
    <s v="BAKERY PRODUCTS"/>
    <x v="11"/>
    <x v="446"/>
    <x v="439"/>
    <x v="117"/>
    <x v="310"/>
    <x v="0"/>
    <x v="5"/>
    <x v="5"/>
    <n v="0"/>
    <n v="0"/>
  </r>
  <r>
    <s v="BAKERY PRODUCTS"/>
    <x v="11"/>
    <x v="447"/>
    <x v="440"/>
    <x v="84"/>
    <x v="311"/>
    <x v="0"/>
    <x v="0"/>
    <x v="0"/>
    <n v="0"/>
    <n v="0"/>
  </r>
  <r>
    <s v="BAKERY PRODUCTS"/>
    <x v="11"/>
    <x v="447"/>
    <x v="440"/>
    <x v="84"/>
    <x v="311"/>
    <x v="0"/>
    <x v="1"/>
    <x v="1"/>
    <n v="0"/>
    <n v="0"/>
  </r>
  <r>
    <s v="BAKERY PRODUCTS"/>
    <x v="11"/>
    <x v="447"/>
    <x v="440"/>
    <x v="84"/>
    <x v="311"/>
    <x v="0"/>
    <x v="2"/>
    <x v="2"/>
    <n v="0"/>
    <n v="0"/>
  </r>
  <r>
    <s v="BAKERY PRODUCTS"/>
    <x v="11"/>
    <x v="447"/>
    <x v="440"/>
    <x v="84"/>
    <x v="311"/>
    <x v="0"/>
    <x v="3"/>
    <x v="3"/>
    <n v="0"/>
    <n v="0"/>
  </r>
  <r>
    <s v="BAKERY PRODUCTS"/>
    <x v="11"/>
    <x v="447"/>
    <x v="440"/>
    <x v="84"/>
    <x v="311"/>
    <x v="0"/>
    <x v="4"/>
    <x v="4"/>
    <n v="0"/>
    <n v="0"/>
  </r>
  <r>
    <s v="BAKERY PRODUCTS"/>
    <x v="11"/>
    <x v="447"/>
    <x v="440"/>
    <x v="84"/>
    <x v="311"/>
    <x v="0"/>
    <x v="5"/>
    <x v="5"/>
    <n v="0"/>
    <n v="0"/>
  </r>
  <r>
    <s v="BAKERY PRODUCTS"/>
    <x v="11"/>
    <x v="447"/>
    <x v="440"/>
    <x v="84"/>
    <x v="311"/>
    <x v="0"/>
    <x v="6"/>
    <x v="6"/>
    <n v="0"/>
    <n v="0"/>
  </r>
  <r>
    <s v="BAKERY PRODUCTS"/>
    <x v="11"/>
    <x v="448"/>
    <x v="441"/>
    <x v="84"/>
    <x v="312"/>
    <x v="0"/>
    <x v="0"/>
    <x v="0"/>
    <n v="0"/>
    <n v="0"/>
  </r>
  <r>
    <s v="BAKERY PRODUCTS"/>
    <x v="11"/>
    <x v="448"/>
    <x v="441"/>
    <x v="84"/>
    <x v="312"/>
    <x v="0"/>
    <x v="1"/>
    <x v="1"/>
    <n v="0"/>
    <n v="0"/>
  </r>
  <r>
    <s v="BAKERY PRODUCTS"/>
    <x v="11"/>
    <x v="448"/>
    <x v="441"/>
    <x v="84"/>
    <x v="312"/>
    <x v="0"/>
    <x v="2"/>
    <x v="2"/>
    <n v="0"/>
    <n v="0"/>
  </r>
  <r>
    <s v="BAKERY PRODUCTS"/>
    <x v="11"/>
    <x v="448"/>
    <x v="441"/>
    <x v="84"/>
    <x v="312"/>
    <x v="0"/>
    <x v="3"/>
    <x v="3"/>
    <n v="0"/>
    <n v="0"/>
  </r>
  <r>
    <s v="BAKERY PRODUCTS"/>
    <x v="11"/>
    <x v="448"/>
    <x v="441"/>
    <x v="84"/>
    <x v="312"/>
    <x v="0"/>
    <x v="4"/>
    <x v="4"/>
    <n v="0"/>
    <n v="0"/>
  </r>
  <r>
    <s v="BAKERY PRODUCTS"/>
    <x v="11"/>
    <x v="448"/>
    <x v="441"/>
    <x v="84"/>
    <x v="312"/>
    <x v="0"/>
    <x v="5"/>
    <x v="5"/>
    <n v="0"/>
    <n v="0"/>
  </r>
  <r>
    <s v="BAKERY PRODUCTS"/>
    <x v="11"/>
    <x v="448"/>
    <x v="441"/>
    <x v="84"/>
    <x v="312"/>
    <x v="0"/>
    <x v="6"/>
    <x v="6"/>
    <n v="0"/>
    <n v="0"/>
  </r>
  <r>
    <s v="BAKERY PRODUCTS"/>
    <x v="11"/>
    <x v="449"/>
    <x v="442"/>
    <x v="27"/>
    <x v="313"/>
    <x v="0"/>
    <x v="0"/>
    <x v="0"/>
    <n v="0"/>
    <n v="0"/>
  </r>
  <r>
    <s v="BAKERY PRODUCTS"/>
    <x v="11"/>
    <x v="449"/>
    <x v="442"/>
    <x v="27"/>
    <x v="313"/>
    <x v="0"/>
    <x v="1"/>
    <x v="1"/>
    <n v="0"/>
    <n v="0"/>
  </r>
  <r>
    <s v="BAKERY PRODUCTS"/>
    <x v="11"/>
    <x v="449"/>
    <x v="442"/>
    <x v="27"/>
    <x v="313"/>
    <x v="0"/>
    <x v="2"/>
    <x v="2"/>
    <n v="0"/>
    <n v="0"/>
  </r>
  <r>
    <s v="BAKERY PRODUCTS"/>
    <x v="11"/>
    <x v="449"/>
    <x v="442"/>
    <x v="27"/>
    <x v="313"/>
    <x v="0"/>
    <x v="3"/>
    <x v="3"/>
    <n v="0"/>
    <n v="0"/>
  </r>
  <r>
    <s v="BAKERY PRODUCTS"/>
    <x v="11"/>
    <x v="449"/>
    <x v="442"/>
    <x v="27"/>
    <x v="313"/>
    <x v="0"/>
    <x v="4"/>
    <x v="4"/>
    <n v="0"/>
    <n v="0"/>
  </r>
  <r>
    <s v="BAKERY PRODUCTS"/>
    <x v="11"/>
    <x v="449"/>
    <x v="442"/>
    <x v="27"/>
    <x v="313"/>
    <x v="0"/>
    <x v="5"/>
    <x v="5"/>
    <n v="0"/>
    <n v="0"/>
  </r>
  <r>
    <s v="BAKERY PRODUCTS"/>
    <x v="11"/>
    <x v="449"/>
    <x v="442"/>
    <x v="27"/>
    <x v="313"/>
    <x v="0"/>
    <x v="6"/>
    <x v="6"/>
    <n v="0"/>
    <n v="0"/>
  </r>
  <r>
    <s v="BAKERY PRODUCTS"/>
    <x v="11"/>
    <x v="450"/>
    <x v="443"/>
    <x v="27"/>
    <x v="313"/>
    <x v="0"/>
    <x v="0"/>
    <x v="0"/>
    <n v="0"/>
    <n v="0"/>
  </r>
  <r>
    <s v="BAKERY PRODUCTS"/>
    <x v="11"/>
    <x v="450"/>
    <x v="443"/>
    <x v="27"/>
    <x v="313"/>
    <x v="0"/>
    <x v="1"/>
    <x v="1"/>
    <n v="0"/>
    <n v="0"/>
  </r>
  <r>
    <s v="BAKERY PRODUCTS"/>
    <x v="11"/>
    <x v="450"/>
    <x v="443"/>
    <x v="27"/>
    <x v="313"/>
    <x v="0"/>
    <x v="2"/>
    <x v="2"/>
    <n v="0"/>
    <n v="0"/>
  </r>
  <r>
    <s v="BAKERY PRODUCTS"/>
    <x v="11"/>
    <x v="450"/>
    <x v="443"/>
    <x v="27"/>
    <x v="313"/>
    <x v="0"/>
    <x v="3"/>
    <x v="3"/>
    <n v="0"/>
    <n v="0"/>
  </r>
  <r>
    <s v="BAKERY PRODUCTS"/>
    <x v="11"/>
    <x v="450"/>
    <x v="443"/>
    <x v="27"/>
    <x v="313"/>
    <x v="0"/>
    <x v="4"/>
    <x v="4"/>
    <n v="0"/>
    <n v="0"/>
  </r>
  <r>
    <s v="BAKERY PRODUCTS"/>
    <x v="11"/>
    <x v="450"/>
    <x v="443"/>
    <x v="27"/>
    <x v="313"/>
    <x v="0"/>
    <x v="5"/>
    <x v="5"/>
    <n v="0"/>
    <n v="0"/>
  </r>
  <r>
    <s v="BAKERY PRODUCTS"/>
    <x v="11"/>
    <x v="450"/>
    <x v="443"/>
    <x v="27"/>
    <x v="313"/>
    <x v="0"/>
    <x v="6"/>
    <x v="6"/>
    <n v="0"/>
    <n v="0"/>
  </r>
  <r>
    <s v="BAKERY PRODUCTS"/>
    <x v="11"/>
    <x v="451"/>
    <x v="444"/>
    <x v="30"/>
    <x v="314"/>
    <x v="0"/>
    <x v="0"/>
    <x v="0"/>
    <n v="0"/>
    <n v="0"/>
  </r>
  <r>
    <s v="BAKERY PRODUCTS"/>
    <x v="11"/>
    <x v="451"/>
    <x v="444"/>
    <x v="30"/>
    <x v="314"/>
    <x v="0"/>
    <x v="1"/>
    <x v="1"/>
    <n v="0"/>
    <n v="0"/>
  </r>
  <r>
    <s v="BAKERY PRODUCTS"/>
    <x v="11"/>
    <x v="451"/>
    <x v="444"/>
    <x v="30"/>
    <x v="314"/>
    <x v="0"/>
    <x v="2"/>
    <x v="2"/>
    <n v="0"/>
    <n v="0"/>
  </r>
  <r>
    <s v="BAKERY PRODUCTS"/>
    <x v="11"/>
    <x v="451"/>
    <x v="444"/>
    <x v="30"/>
    <x v="314"/>
    <x v="0"/>
    <x v="3"/>
    <x v="3"/>
    <n v="0"/>
    <n v="0"/>
  </r>
  <r>
    <s v="BAKERY PRODUCTS"/>
    <x v="11"/>
    <x v="451"/>
    <x v="444"/>
    <x v="30"/>
    <x v="314"/>
    <x v="0"/>
    <x v="4"/>
    <x v="4"/>
    <n v="0"/>
    <n v="0"/>
  </r>
  <r>
    <s v="BAKERY PRODUCTS"/>
    <x v="11"/>
    <x v="451"/>
    <x v="444"/>
    <x v="30"/>
    <x v="314"/>
    <x v="0"/>
    <x v="5"/>
    <x v="5"/>
    <n v="0"/>
    <n v="0"/>
  </r>
  <r>
    <s v="BAKERY PRODUCTS"/>
    <x v="11"/>
    <x v="451"/>
    <x v="444"/>
    <x v="30"/>
    <x v="314"/>
    <x v="0"/>
    <x v="6"/>
    <x v="6"/>
    <n v="0"/>
    <n v="0"/>
  </r>
  <r>
    <s v="BAKERY PRODUCTS"/>
    <x v="11"/>
    <x v="452"/>
    <x v="445"/>
    <x v="116"/>
    <x v="315"/>
    <x v="0"/>
    <x v="0"/>
    <x v="0"/>
    <n v="0"/>
    <n v="0"/>
  </r>
  <r>
    <s v="BAKERY PRODUCTS"/>
    <x v="11"/>
    <x v="452"/>
    <x v="445"/>
    <x v="116"/>
    <x v="315"/>
    <x v="0"/>
    <x v="1"/>
    <x v="1"/>
    <n v="0"/>
    <n v="0"/>
  </r>
  <r>
    <s v="BAKERY PRODUCTS"/>
    <x v="11"/>
    <x v="452"/>
    <x v="445"/>
    <x v="116"/>
    <x v="315"/>
    <x v="0"/>
    <x v="2"/>
    <x v="2"/>
    <n v="0"/>
    <n v="0"/>
  </r>
  <r>
    <s v="BAKERY PRODUCTS"/>
    <x v="11"/>
    <x v="452"/>
    <x v="445"/>
    <x v="116"/>
    <x v="315"/>
    <x v="0"/>
    <x v="3"/>
    <x v="3"/>
    <n v="0"/>
    <n v="0"/>
  </r>
  <r>
    <s v="BAKERY PRODUCTS"/>
    <x v="11"/>
    <x v="452"/>
    <x v="445"/>
    <x v="116"/>
    <x v="315"/>
    <x v="0"/>
    <x v="4"/>
    <x v="4"/>
    <n v="0"/>
    <n v="0"/>
  </r>
  <r>
    <s v="BAKERY PRODUCTS"/>
    <x v="11"/>
    <x v="452"/>
    <x v="445"/>
    <x v="116"/>
    <x v="315"/>
    <x v="0"/>
    <x v="5"/>
    <x v="5"/>
    <n v="0"/>
    <n v="0"/>
  </r>
  <r>
    <s v="BAKERY PRODUCTS"/>
    <x v="11"/>
    <x v="452"/>
    <x v="445"/>
    <x v="116"/>
    <x v="315"/>
    <x v="0"/>
    <x v="6"/>
    <x v="6"/>
    <n v="0"/>
    <n v="0"/>
  </r>
  <r>
    <s v="BAKERY PRODUCTS"/>
    <x v="11"/>
    <x v="453"/>
    <x v="446"/>
    <x v="82"/>
    <x v="245"/>
    <x v="0"/>
    <x v="0"/>
    <x v="0"/>
    <n v="0"/>
    <n v="0"/>
  </r>
  <r>
    <s v="BAKERY PRODUCTS"/>
    <x v="11"/>
    <x v="453"/>
    <x v="446"/>
    <x v="82"/>
    <x v="245"/>
    <x v="0"/>
    <x v="1"/>
    <x v="1"/>
    <n v="0"/>
    <n v="0"/>
  </r>
  <r>
    <s v="BAKERY PRODUCTS"/>
    <x v="11"/>
    <x v="453"/>
    <x v="446"/>
    <x v="82"/>
    <x v="245"/>
    <x v="0"/>
    <x v="2"/>
    <x v="2"/>
    <n v="0"/>
    <n v="0"/>
  </r>
  <r>
    <s v="BAKERY PRODUCTS"/>
    <x v="11"/>
    <x v="453"/>
    <x v="446"/>
    <x v="82"/>
    <x v="245"/>
    <x v="0"/>
    <x v="3"/>
    <x v="3"/>
    <n v="0"/>
    <n v="0"/>
  </r>
  <r>
    <s v="BAKERY PRODUCTS"/>
    <x v="11"/>
    <x v="453"/>
    <x v="446"/>
    <x v="82"/>
    <x v="245"/>
    <x v="0"/>
    <x v="4"/>
    <x v="4"/>
    <n v="0"/>
    <n v="0"/>
  </r>
  <r>
    <s v="BAKERY PRODUCTS"/>
    <x v="11"/>
    <x v="453"/>
    <x v="446"/>
    <x v="82"/>
    <x v="245"/>
    <x v="0"/>
    <x v="5"/>
    <x v="5"/>
    <n v="0"/>
    <n v="0"/>
  </r>
  <r>
    <s v="BAKERY PRODUCTS"/>
    <x v="11"/>
    <x v="453"/>
    <x v="446"/>
    <x v="82"/>
    <x v="245"/>
    <x v="0"/>
    <x v="6"/>
    <x v="6"/>
    <n v="0"/>
    <n v="0"/>
  </r>
  <r>
    <s v="BAKERY PRODUCTS"/>
    <x v="11"/>
    <x v="454"/>
    <x v="447"/>
    <x v="84"/>
    <x v="316"/>
    <x v="0"/>
    <x v="0"/>
    <x v="0"/>
    <n v="0"/>
    <n v="0"/>
  </r>
  <r>
    <s v="BAKERY PRODUCTS"/>
    <x v="11"/>
    <x v="454"/>
    <x v="447"/>
    <x v="84"/>
    <x v="316"/>
    <x v="0"/>
    <x v="1"/>
    <x v="1"/>
    <n v="0"/>
    <n v="0"/>
  </r>
  <r>
    <s v="BAKERY PRODUCTS"/>
    <x v="11"/>
    <x v="454"/>
    <x v="447"/>
    <x v="84"/>
    <x v="316"/>
    <x v="0"/>
    <x v="2"/>
    <x v="2"/>
    <n v="0"/>
    <n v="0"/>
  </r>
  <r>
    <s v="BAKERY PRODUCTS"/>
    <x v="11"/>
    <x v="454"/>
    <x v="447"/>
    <x v="84"/>
    <x v="316"/>
    <x v="0"/>
    <x v="3"/>
    <x v="3"/>
    <n v="0"/>
    <n v="0"/>
  </r>
  <r>
    <s v="BAKERY PRODUCTS"/>
    <x v="11"/>
    <x v="454"/>
    <x v="447"/>
    <x v="84"/>
    <x v="316"/>
    <x v="0"/>
    <x v="4"/>
    <x v="4"/>
    <n v="0"/>
    <n v="0"/>
  </r>
  <r>
    <s v="BAKERY PRODUCTS"/>
    <x v="11"/>
    <x v="454"/>
    <x v="447"/>
    <x v="84"/>
    <x v="316"/>
    <x v="0"/>
    <x v="5"/>
    <x v="5"/>
    <n v="0"/>
    <n v="0"/>
  </r>
  <r>
    <s v="BAKERY PRODUCTS"/>
    <x v="11"/>
    <x v="454"/>
    <x v="447"/>
    <x v="84"/>
    <x v="316"/>
    <x v="0"/>
    <x v="6"/>
    <x v="6"/>
    <n v="0"/>
    <n v="0"/>
  </r>
  <r>
    <s v="BAKERY PRODUCTS"/>
    <x v="11"/>
    <x v="455"/>
    <x v="448"/>
    <x v="24"/>
    <x v="317"/>
    <x v="0"/>
    <x v="0"/>
    <x v="0"/>
    <n v="0"/>
    <n v="0"/>
  </r>
  <r>
    <s v="BAKERY PRODUCTS"/>
    <x v="11"/>
    <x v="455"/>
    <x v="448"/>
    <x v="24"/>
    <x v="317"/>
    <x v="0"/>
    <x v="1"/>
    <x v="1"/>
    <n v="0"/>
    <n v="0"/>
  </r>
  <r>
    <s v="BAKERY PRODUCTS"/>
    <x v="11"/>
    <x v="455"/>
    <x v="448"/>
    <x v="24"/>
    <x v="317"/>
    <x v="0"/>
    <x v="2"/>
    <x v="2"/>
    <n v="0"/>
    <n v="0"/>
  </r>
  <r>
    <s v="BAKERY PRODUCTS"/>
    <x v="11"/>
    <x v="455"/>
    <x v="448"/>
    <x v="24"/>
    <x v="317"/>
    <x v="0"/>
    <x v="3"/>
    <x v="3"/>
    <n v="0"/>
    <n v="0"/>
  </r>
  <r>
    <s v="BAKERY PRODUCTS"/>
    <x v="11"/>
    <x v="455"/>
    <x v="448"/>
    <x v="24"/>
    <x v="317"/>
    <x v="0"/>
    <x v="4"/>
    <x v="4"/>
    <n v="0"/>
    <n v="0"/>
  </r>
  <r>
    <s v="BAKERY PRODUCTS"/>
    <x v="11"/>
    <x v="455"/>
    <x v="448"/>
    <x v="24"/>
    <x v="317"/>
    <x v="0"/>
    <x v="5"/>
    <x v="5"/>
    <n v="0"/>
    <n v="0"/>
  </r>
  <r>
    <s v="BAKERY PRODUCTS"/>
    <x v="11"/>
    <x v="455"/>
    <x v="448"/>
    <x v="24"/>
    <x v="317"/>
    <x v="0"/>
    <x v="6"/>
    <x v="6"/>
    <n v="0"/>
    <n v="0"/>
  </r>
  <r>
    <s v="BAKERY PRODUCTS"/>
    <x v="11"/>
    <x v="456"/>
    <x v="449"/>
    <x v="24"/>
    <x v="317"/>
    <x v="0"/>
    <x v="0"/>
    <x v="0"/>
    <n v="0"/>
    <n v="0"/>
  </r>
  <r>
    <s v="BAKERY PRODUCTS"/>
    <x v="11"/>
    <x v="456"/>
    <x v="449"/>
    <x v="24"/>
    <x v="317"/>
    <x v="0"/>
    <x v="1"/>
    <x v="1"/>
    <n v="0"/>
    <n v="0"/>
  </r>
  <r>
    <s v="BAKERY PRODUCTS"/>
    <x v="11"/>
    <x v="456"/>
    <x v="449"/>
    <x v="24"/>
    <x v="317"/>
    <x v="0"/>
    <x v="2"/>
    <x v="2"/>
    <n v="0"/>
    <n v="0"/>
  </r>
  <r>
    <s v="BAKERY PRODUCTS"/>
    <x v="11"/>
    <x v="456"/>
    <x v="449"/>
    <x v="24"/>
    <x v="317"/>
    <x v="0"/>
    <x v="3"/>
    <x v="3"/>
    <n v="0"/>
    <n v="0"/>
  </r>
  <r>
    <s v="BAKERY PRODUCTS"/>
    <x v="11"/>
    <x v="456"/>
    <x v="449"/>
    <x v="24"/>
    <x v="317"/>
    <x v="0"/>
    <x v="4"/>
    <x v="4"/>
    <n v="0"/>
    <n v="0"/>
  </r>
  <r>
    <s v="BAKERY PRODUCTS"/>
    <x v="11"/>
    <x v="456"/>
    <x v="449"/>
    <x v="24"/>
    <x v="317"/>
    <x v="0"/>
    <x v="5"/>
    <x v="5"/>
    <n v="0"/>
    <n v="0"/>
  </r>
  <r>
    <s v="BAKERY PRODUCTS"/>
    <x v="11"/>
    <x v="456"/>
    <x v="449"/>
    <x v="24"/>
    <x v="317"/>
    <x v="0"/>
    <x v="6"/>
    <x v="6"/>
    <n v="0"/>
    <n v="0"/>
  </r>
  <r>
    <s v="BAKERY PRODUCTS"/>
    <x v="11"/>
    <x v="457"/>
    <x v="450"/>
    <x v="24"/>
    <x v="317"/>
    <x v="0"/>
    <x v="0"/>
    <x v="0"/>
    <n v="0"/>
    <n v="0"/>
  </r>
  <r>
    <s v="BAKERY PRODUCTS"/>
    <x v="11"/>
    <x v="457"/>
    <x v="450"/>
    <x v="24"/>
    <x v="317"/>
    <x v="0"/>
    <x v="1"/>
    <x v="1"/>
    <n v="0"/>
    <n v="0"/>
  </r>
  <r>
    <s v="BAKERY PRODUCTS"/>
    <x v="11"/>
    <x v="457"/>
    <x v="450"/>
    <x v="24"/>
    <x v="317"/>
    <x v="0"/>
    <x v="2"/>
    <x v="2"/>
    <n v="0"/>
    <n v="0"/>
  </r>
  <r>
    <s v="BAKERY PRODUCTS"/>
    <x v="11"/>
    <x v="457"/>
    <x v="450"/>
    <x v="24"/>
    <x v="317"/>
    <x v="0"/>
    <x v="3"/>
    <x v="3"/>
    <n v="0"/>
    <n v="0"/>
  </r>
  <r>
    <s v="BAKERY PRODUCTS"/>
    <x v="11"/>
    <x v="457"/>
    <x v="450"/>
    <x v="24"/>
    <x v="317"/>
    <x v="0"/>
    <x v="4"/>
    <x v="4"/>
    <n v="0"/>
    <n v="0"/>
  </r>
  <r>
    <s v="BAKERY PRODUCTS"/>
    <x v="11"/>
    <x v="457"/>
    <x v="450"/>
    <x v="24"/>
    <x v="317"/>
    <x v="0"/>
    <x v="5"/>
    <x v="5"/>
    <n v="0"/>
    <n v="0"/>
  </r>
  <r>
    <s v="BAKERY PRODUCTS"/>
    <x v="11"/>
    <x v="457"/>
    <x v="450"/>
    <x v="24"/>
    <x v="317"/>
    <x v="0"/>
    <x v="6"/>
    <x v="6"/>
    <n v="0"/>
    <n v="0"/>
  </r>
  <r>
    <s v="BAKERY PRODUCTS"/>
    <x v="11"/>
    <x v="458"/>
    <x v="451"/>
    <x v="118"/>
    <x v="318"/>
    <x v="0"/>
    <x v="0"/>
    <x v="0"/>
    <n v="0"/>
    <n v="0"/>
  </r>
  <r>
    <s v="BAKERY PRODUCTS"/>
    <x v="11"/>
    <x v="458"/>
    <x v="451"/>
    <x v="118"/>
    <x v="318"/>
    <x v="0"/>
    <x v="1"/>
    <x v="1"/>
    <n v="0"/>
    <n v="0"/>
  </r>
  <r>
    <s v="BAKERY PRODUCTS"/>
    <x v="11"/>
    <x v="458"/>
    <x v="451"/>
    <x v="118"/>
    <x v="318"/>
    <x v="0"/>
    <x v="2"/>
    <x v="2"/>
    <n v="0"/>
    <n v="0"/>
  </r>
  <r>
    <s v="BAKERY PRODUCTS"/>
    <x v="11"/>
    <x v="458"/>
    <x v="451"/>
    <x v="118"/>
    <x v="318"/>
    <x v="0"/>
    <x v="3"/>
    <x v="3"/>
    <n v="0"/>
    <n v="0"/>
  </r>
  <r>
    <s v="BAKERY PRODUCTS"/>
    <x v="11"/>
    <x v="458"/>
    <x v="451"/>
    <x v="118"/>
    <x v="318"/>
    <x v="0"/>
    <x v="4"/>
    <x v="4"/>
    <n v="0"/>
    <n v="0"/>
  </r>
  <r>
    <s v="BAKERY PRODUCTS"/>
    <x v="11"/>
    <x v="458"/>
    <x v="451"/>
    <x v="118"/>
    <x v="318"/>
    <x v="0"/>
    <x v="5"/>
    <x v="5"/>
    <n v="0"/>
    <n v="0"/>
  </r>
  <r>
    <s v="BAKERY PRODUCTS"/>
    <x v="11"/>
    <x v="458"/>
    <x v="451"/>
    <x v="118"/>
    <x v="318"/>
    <x v="0"/>
    <x v="6"/>
    <x v="6"/>
    <n v="0"/>
    <n v="0"/>
  </r>
  <r>
    <s v="BAKERY PRODUCTS"/>
    <x v="11"/>
    <x v="459"/>
    <x v="452"/>
    <x v="82"/>
    <x v="319"/>
    <x v="0"/>
    <x v="0"/>
    <x v="0"/>
    <n v="0"/>
    <n v="0"/>
  </r>
  <r>
    <s v="BAKERY PRODUCTS"/>
    <x v="11"/>
    <x v="459"/>
    <x v="452"/>
    <x v="82"/>
    <x v="319"/>
    <x v="0"/>
    <x v="1"/>
    <x v="1"/>
    <n v="0"/>
    <n v="0"/>
  </r>
  <r>
    <s v="BAKERY PRODUCTS"/>
    <x v="11"/>
    <x v="459"/>
    <x v="452"/>
    <x v="82"/>
    <x v="319"/>
    <x v="0"/>
    <x v="2"/>
    <x v="2"/>
    <n v="0"/>
    <n v="0"/>
  </r>
  <r>
    <s v="BAKERY PRODUCTS"/>
    <x v="11"/>
    <x v="459"/>
    <x v="452"/>
    <x v="82"/>
    <x v="319"/>
    <x v="0"/>
    <x v="3"/>
    <x v="3"/>
    <n v="0"/>
    <n v="0"/>
  </r>
  <r>
    <s v="BAKERY PRODUCTS"/>
    <x v="11"/>
    <x v="459"/>
    <x v="452"/>
    <x v="82"/>
    <x v="319"/>
    <x v="0"/>
    <x v="4"/>
    <x v="4"/>
    <n v="0"/>
    <n v="0"/>
  </r>
  <r>
    <s v="BAKERY PRODUCTS"/>
    <x v="11"/>
    <x v="459"/>
    <x v="452"/>
    <x v="82"/>
    <x v="319"/>
    <x v="0"/>
    <x v="5"/>
    <x v="5"/>
    <n v="0"/>
    <n v="0"/>
  </r>
  <r>
    <s v="BAKERY PRODUCTS"/>
    <x v="11"/>
    <x v="459"/>
    <x v="452"/>
    <x v="82"/>
    <x v="319"/>
    <x v="0"/>
    <x v="6"/>
    <x v="6"/>
    <n v="0"/>
    <n v="0"/>
  </r>
  <r>
    <s v="BAKERY PRODUCTS"/>
    <x v="11"/>
    <x v="460"/>
    <x v="453"/>
    <x v="34"/>
    <x v="320"/>
    <x v="0"/>
    <x v="0"/>
    <x v="0"/>
    <n v="0"/>
    <n v="0"/>
  </r>
  <r>
    <s v="BAKERY PRODUCTS"/>
    <x v="11"/>
    <x v="460"/>
    <x v="453"/>
    <x v="34"/>
    <x v="320"/>
    <x v="0"/>
    <x v="1"/>
    <x v="1"/>
    <n v="0"/>
    <n v="0"/>
  </r>
  <r>
    <s v="BAKERY PRODUCTS"/>
    <x v="11"/>
    <x v="460"/>
    <x v="453"/>
    <x v="34"/>
    <x v="320"/>
    <x v="0"/>
    <x v="2"/>
    <x v="2"/>
    <n v="0"/>
    <n v="0"/>
  </r>
  <r>
    <s v="BAKERY PRODUCTS"/>
    <x v="11"/>
    <x v="460"/>
    <x v="453"/>
    <x v="34"/>
    <x v="320"/>
    <x v="0"/>
    <x v="3"/>
    <x v="3"/>
    <n v="0"/>
    <n v="0"/>
  </r>
  <r>
    <s v="BAKERY PRODUCTS"/>
    <x v="11"/>
    <x v="460"/>
    <x v="453"/>
    <x v="34"/>
    <x v="320"/>
    <x v="0"/>
    <x v="4"/>
    <x v="4"/>
    <n v="0"/>
    <n v="0"/>
  </r>
  <r>
    <s v="BAKERY PRODUCTS"/>
    <x v="11"/>
    <x v="460"/>
    <x v="453"/>
    <x v="34"/>
    <x v="320"/>
    <x v="0"/>
    <x v="5"/>
    <x v="5"/>
    <n v="0"/>
    <n v="0"/>
  </r>
  <r>
    <s v="BAKERY PRODUCTS"/>
    <x v="11"/>
    <x v="460"/>
    <x v="453"/>
    <x v="34"/>
    <x v="320"/>
    <x v="0"/>
    <x v="6"/>
    <x v="6"/>
    <n v="0"/>
    <n v="0"/>
  </r>
  <r>
    <s v="BAKERY PRODUCTS"/>
    <x v="11"/>
    <x v="461"/>
    <x v="454"/>
    <x v="123"/>
    <x v="321"/>
    <x v="0"/>
    <x v="0"/>
    <x v="0"/>
    <n v="0"/>
    <n v="0"/>
  </r>
  <r>
    <s v="BAKERY PRODUCTS"/>
    <x v="11"/>
    <x v="461"/>
    <x v="454"/>
    <x v="123"/>
    <x v="321"/>
    <x v="0"/>
    <x v="1"/>
    <x v="1"/>
    <n v="0"/>
    <n v="0"/>
  </r>
  <r>
    <s v="BAKERY PRODUCTS"/>
    <x v="11"/>
    <x v="461"/>
    <x v="454"/>
    <x v="123"/>
    <x v="321"/>
    <x v="0"/>
    <x v="2"/>
    <x v="2"/>
    <n v="0"/>
    <n v="0"/>
  </r>
  <r>
    <s v="BAKERY PRODUCTS"/>
    <x v="11"/>
    <x v="461"/>
    <x v="454"/>
    <x v="123"/>
    <x v="321"/>
    <x v="0"/>
    <x v="3"/>
    <x v="3"/>
    <n v="0"/>
    <n v="0"/>
  </r>
  <r>
    <s v="BAKERY PRODUCTS"/>
    <x v="11"/>
    <x v="461"/>
    <x v="454"/>
    <x v="123"/>
    <x v="321"/>
    <x v="0"/>
    <x v="4"/>
    <x v="4"/>
    <n v="0"/>
    <n v="0"/>
  </r>
  <r>
    <s v="BAKERY PRODUCTS"/>
    <x v="11"/>
    <x v="461"/>
    <x v="454"/>
    <x v="123"/>
    <x v="321"/>
    <x v="0"/>
    <x v="5"/>
    <x v="5"/>
    <n v="0"/>
    <n v="0"/>
  </r>
  <r>
    <s v="BAKERY PRODUCTS"/>
    <x v="11"/>
    <x v="461"/>
    <x v="454"/>
    <x v="123"/>
    <x v="321"/>
    <x v="0"/>
    <x v="6"/>
    <x v="6"/>
    <n v="0"/>
    <n v="0"/>
  </r>
  <r>
    <s v="BAKERY PRODUCTS"/>
    <x v="11"/>
    <x v="462"/>
    <x v="455"/>
    <x v="84"/>
    <x v="322"/>
    <x v="0"/>
    <x v="0"/>
    <x v="0"/>
    <n v="0"/>
    <n v="0"/>
  </r>
  <r>
    <s v="BAKERY PRODUCTS"/>
    <x v="11"/>
    <x v="462"/>
    <x v="455"/>
    <x v="84"/>
    <x v="322"/>
    <x v="0"/>
    <x v="1"/>
    <x v="1"/>
    <n v="0"/>
    <n v="0"/>
  </r>
  <r>
    <s v="BAKERY PRODUCTS"/>
    <x v="11"/>
    <x v="462"/>
    <x v="455"/>
    <x v="84"/>
    <x v="322"/>
    <x v="0"/>
    <x v="2"/>
    <x v="2"/>
    <n v="0"/>
    <n v="0"/>
  </r>
  <r>
    <s v="BAKERY PRODUCTS"/>
    <x v="11"/>
    <x v="462"/>
    <x v="455"/>
    <x v="84"/>
    <x v="322"/>
    <x v="0"/>
    <x v="3"/>
    <x v="3"/>
    <n v="0"/>
    <n v="0"/>
  </r>
  <r>
    <s v="BAKERY PRODUCTS"/>
    <x v="11"/>
    <x v="462"/>
    <x v="455"/>
    <x v="84"/>
    <x v="322"/>
    <x v="0"/>
    <x v="4"/>
    <x v="4"/>
    <n v="0"/>
    <n v="0"/>
  </r>
  <r>
    <s v="BAKERY PRODUCTS"/>
    <x v="11"/>
    <x v="462"/>
    <x v="455"/>
    <x v="84"/>
    <x v="322"/>
    <x v="0"/>
    <x v="5"/>
    <x v="5"/>
    <n v="0"/>
    <n v="0"/>
  </r>
  <r>
    <s v="BAKERY PRODUCTS"/>
    <x v="11"/>
    <x v="462"/>
    <x v="455"/>
    <x v="84"/>
    <x v="322"/>
    <x v="0"/>
    <x v="6"/>
    <x v="6"/>
    <n v="0"/>
    <n v="0"/>
  </r>
  <r>
    <s v="BAKERY PRODUCTS"/>
    <x v="11"/>
    <x v="463"/>
    <x v="456"/>
    <x v="124"/>
    <x v="323"/>
    <x v="0"/>
    <x v="0"/>
    <x v="0"/>
    <n v="0"/>
    <n v="0"/>
  </r>
  <r>
    <s v="BAKERY PRODUCTS"/>
    <x v="11"/>
    <x v="463"/>
    <x v="456"/>
    <x v="124"/>
    <x v="323"/>
    <x v="0"/>
    <x v="1"/>
    <x v="1"/>
    <n v="0"/>
    <n v="0"/>
  </r>
  <r>
    <s v="BAKERY PRODUCTS"/>
    <x v="11"/>
    <x v="463"/>
    <x v="456"/>
    <x v="124"/>
    <x v="323"/>
    <x v="0"/>
    <x v="2"/>
    <x v="2"/>
    <n v="0"/>
    <n v="0"/>
  </r>
  <r>
    <s v="BAKERY PRODUCTS"/>
    <x v="11"/>
    <x v="463"/>
    <x v="456"/>
    <x v="124"/>
    <x v="323"/>
    <x v="0"/>
    <x v="3"/>
    <x v="3"/>
    <n v="0"/>
    <n v="0"/>
  </r>
  <r>
    <s v="BAKERY PRODUCTS"/>
    <x v="11"/>
    <x v="463"/>
    <x v="456"/>
    <x v="124"/>
    <x v="323"/>
    <x v="0"/>
    <x v="4"/>
    <x v="4"/>
    <n v="0"/>
    <n v="0"/>
  </r>
  <r>
    <s v="BAKERY PRODUCTS"/>
    <x v="11"/>
    <x v="463"/>
    <x v="456"/>
    <x v="124"/>
    <x v="323"/>
    <x v="0"/>
    <x v="5"/>
    <x v="5"/>
    <n v="0"/>
    <n v="0"/>
  </r>
  <r>
    <s v="BAKERY PRODUCTS"/>
    <x v="11"/>
    <x v="463"/>
    <x v="456"/>
    <x v="124"/>
    <x v="323"/>
    <x v="0"/>
    <x v="6"/>
    <x v="6"/>
    <n v="0"/>
    <n v="0"/>
  </r>
  <r>
    <s v="BAKERY PRODUCTS"/>
    <x v="11"/>
    <x v="464"/>
    <x v="457"/>
    <x v="93"/>
    <x v="324"/>
    <x v="0"/>
    <x v="0"/>
    <x v="0"/>
    <n v="0"/>
    <n v="0"/>
  </r>
  <r>
    <s v="BAKERY PRODUCTS"/>
    <x v="11"/>
    <x v="464"/>
    <x v="457"/>
    <x v="93"/>
    <x v="324"/>
    <x v="0"/>
    <x v="1"/>
    <x v="1"/>
    <n v="0"/>
    <n v="0"/>
  </r>
  <r>
    <s v="BAKERY PRODUCTS"/>
    <x v="11"/>
    <x v="464"/>
    <x v="457"/>
    <x v="93"/>
    <x v="324"/>
    <x v="0"/>
    <x v="2"/>
    <x v="2"/>
    <n v="0"/>
    <n v="0"/>
  </r>
  <r>
    <s v="BAKERY PRODUCTS"/>
    <x v="11"/>
    <x v="464"/>
    <x v="457"/>
    <x v="93"/>
    <x v="324"/>
    <x v="0"/>
    <x v="3"/>
    <x v="3"/>
    <n v="0"/>
    <n v="0"/>
  </r>
  <r>
    <s v="BAKERY PRODUCTS"/>
    <x v="11"/>
    <x v="464"/>
    <x v="457"/>
    <x v="93"/>
    <x v="324"/>
    <x v="0"/>
    <x v="4"/>
    <x v="4"/>
    <n v="0"/>
    <n v="0"/>
  </r>
  <r>
    <s v="BAKERY PRODUCTS"/>
    <x v="11"/>
    <x v="464"/>
    <x v="457"/>
    <x v="93"/>
    <x v="324"/>
    <x v="0"/>
    <x v="5"/>
    <x v="5"/>
    <n v="0"/>
    <n v="0"/>
  </r>
  <r>
    <s v="BAKERY PRODUCTS"/>
    <x v="11"/>
    <x v="464"/>
    <x v="457"/>
    <x v="93"/>
    <x v="324"/>
    <x v="0"/>
    <x v="6"/>
    <x v="6"/>
    <n v="0"/>
    <n v="0"/>
  </r>
  <r>
    <s v="BAKERY PRODUCTS"/>
    <x v="11"/>
    <x v="465"/>
    <x v="458"/>
    <x v="93"/>
    <x v="325"/>
    <x v="0"/>
    <x v="0"/>
    <x v="0"/>
    <n v="0"/>
    <n v="0"/>
  </r>
  <r>
    <s v="BAKERY PRODUCTS"/>
    <x v="11"/>
    <x v="465"/>
    <x v="458"/>
    <x v="93"/>
    <x v="325"/>
    <x v="0"/>
    <x v="1"/>
    <x v="1"/>
    <n v="0"/>
    <n v="0"/>
  </r>
  <r>
    <s v="BAKERY PRODUCTS"/>
    <x v="11"/>
    <x v="465"/>
    <x v="458"/>
    <x v="93"/>
    <x v="325"/>
    <x v="0"/>
    <x v="2"/>
    <x v="2"/>
    <n v="0"/>
    <n v="0"/>
  </r>
  <r>
    <s v="BAKERY PRODUCTS"/>
    <x v="11"/>
    <x v="465"/>
    <x v="458"/>
    <x v="93"/>
    <x v="325"/>
    <x v="0"/>
    <x v="3"/>
    <x v="3"/>
    <n v="0"/>
    <n v="0"/>
  </r>
  <r>
    <s v="BAKERY PRODUCTS"/>
    <x v="11"/>
    <x v="465"/>
    <x v="458"/>
    <x v="93"/>
    <x v="325"/>
    <x v="0"/>
    <x v="4"/>
    <x v="4"/>
    <n v="0"/>
    <n v="0"/>
  </r>
  <r>
    <s v="BAKERY PRODUCTS"/>
    <x v="11"/>
    <x v="465"/>
    <x v="458"/>
    <x v="93"/>
    <x v="325"/>
    <x v="0"/>
    <x v="5"/>
    <x v="5"/>
    <n v="0"/>
    <n v="0"/>
  </r>
  <r>
    <s v="BAKERY PRODUCTS"/>
    <x v="11"/>
    <x v="465"/>
    <x v="458"/>
    <x v="93"/>
    <x v="325"/>
    <x v="0"/>
    <x v="6"/>
    <x v="6"/>
    <n v="0"/>
    <n v="0"/>
  </r>
  <r>
    <s v="BAKERY PRODUCTS"/>
    <x v="11"/>
    <x v="466"/>
    <x v="459"/>
    <x v="93"/>
    <x v="326"/>
    <x v="0"/>
    <x v="0"/>
    <x v="0"/>
    <n v="0"/>
    <n v="0"/>
  </r>
  <r>
    <s v="BAKERY PRODUCTS"/>
    <x v="11"/>
    <x v="466"/>
    <x v="459"/>
    <x v="93"/>
    <x v="326"/>
    <x v="0"/>
    <x v="1"/>
    <x v="1"/>
    <n v="0"/>
    <n v="0"/>
  </r>
  <r>
    <s v="BAKERY PRODUCTS"/>
    <x v="11"/>
    <x v="466"/>
    <x v="459"/>
    <x v="93"/>
    <x v="326"/>
    <x v="0"/>
    <x v="2"/>
    <x v="2"/>
    <n v="0"/>
    <n v="0"/>
  </r>
  <r>
    <s v="BAKERY PRODUCTS"/>
    <x v="11"/>
    <x v="466"/>
    <x v="459"/>
    <x v="93"/>
    <x v="326"/>
    <x v="0"/>
    <x v="6"/>
    <x v="6"/>
    <n v="0"/>
    <n v="0"/>
  </r>
  <r>
    <s v="BAKERY PRODUCTS"/>
    <x v="11"/>
    <x v="467"/>
    <x v="460"/>
    <x v="93"/>
    <x v="327"/>
    <x v="0"/>
    <x v="0"/>
    <x v="0"/>
    <n v="0"/>
    <n v="0"/>
  </r>
  <r>
    <s v="BAKERY PRODUCTS"/>
    <x v="11"/>
    <x v="467"/>
    <x v="460"/>
    <x v="93"/>
    <x v="327"/>
    <x v="0"/>
    <x v="1"/>
    <x v="1"/>
    <n v="0"/>
    <n v="0"/>
  </r>
  <r>
    <s v="BAKERY PRODUCTS"/>
    <x v="11"/>
    <x v="467"/>
    <x v="460"/>
    <x v="93"/>
    <x v="327"/>
    <x v="0"/>
    <x v="2"/>
    <x v="2"/>
    <n v="0"/>
    <n v="0"/>
  </r>
  <r>
    <s v="BAKERY PRODUCTS"/>
    <x v="11"/>
    <x v="467"/>
    <x v="460"/>
    <x v="93"/>
    <x v="327"/>
    <x v="0"/>
    <x v="3"/>
    <x v="3"/>
    <n v="0"/>
    <n v="0"/>
  </r>
  <r>
    <s v="BAKERY PRODUCTS"/>
    <x v="11"/>
    <x v="467"/>
    <x v="460"/>
    <x v="93"/>
    <x v="327"/>
    <x v="0"/>
    <x v="4"/>
    <x v="4"/>
    <n v="0"/>
    <n v="0"/>
  </r>
  <r>
    <s v="BAKERY PRODUCTS"/>
    <x v="11"/>
    <x v="467"/>
    <x v="460"/>
    <x v="93"/>
    <x v="327"/>
    <x v="0"/>
    <x v="5"/>
    <x v="5"/>
    <n v="0"/>
    <n v="0"/>
  </r>
  <r>
    <s v="BAKERY PRODUCTS"/>
    <x v="11"/>
    <x v="467"/>
    <x v="460"/>
    <x v="93"/>
    <x v="327"/>
    <x v="0"/>
    <x v="6"/>
    <x v="6"/>
    <n v="0"/>
    <n v="0"/>
  </r>
  <r>
    <s v="BAKERY PRODUCTS"/>
    <x v="11"/>
    <x v="468"/>
    <x v="461"/>
    <x v="93"/>
    <x v="328"/>
    <x v="0"/>
    <x v="0"/>
    <x v="0"/>
    <n v="0"/>
    <n v="0"/>
  </r>
  <r>
    <s v="BAKERY PRODUCTS"/>
    <x v="11"/>
    <x v="468"/>
    <x v="461"/>
    <x v="93"/>
    <x v="328"/>
    <x v="0"/>
    <x v="1"/>
    <x v="1"/>
    <n v="0"/>
    <n v="0"/>
  </r>
  <r>
    <s v="BAKERY PRODUCTS"/>
    <x v="11"/>
    <x v="468"/>
    <x v="461"/>
    <x v="93"/>
    <x v="328"/>
    <x v="0"/>
    <x v="2"/>
    <x v="2"/>
    <n v="0"/>
    <n v="0"/>
  </r>
  <r>
    <s v="BAKERY PRODUCTS"/>
    <x v="11"/>
    <x v="468"/>
    <x v="461"/>
    <x v="93"/>
    <x v="328"/>
    <x v="0"/>
    <x v="3"/>
    <x v="3"/>
    <n v="0"/>
    <n v="0"/>
  </r>
  <r>
    <s v="BAKERY PRODUCTS"/>
    <x v="11"/>
    <x v="468"/>
    <x v="461"/>
    <x v="93"/>
    <x v="328"/>
    <x v="0"/>
    <x v="4"/>
    <x v="4"/>
    <n v="0"/>
    <n v="0"/>
  </r>
  <r>
    <s v="BAKERY PRODUCTS"/>
    <x v="11"/>
    <x v="468"/>
    <x v="461"/>
    <x v="93"/>
    <x v="328"/>
    <x v="0"/>
    <x v="5"/>
    <x v="5"/>
    <n v="0"/>
    <n v="0"/>
  </r>
  <r>
    <s v="BAKERY PRODUCTS"/>
    <x v="11"/>
    <x v="468"/>
    <x v="461"/>
    <x v="93"/>
    <x v="328"/>
    <x v="0"/>
    <x v="6"/>
    <x v="6"/>
    <n v="0"/>
    <n v="0"/>
  </r>
  <r>
    <s v="BAKERY PRODUCTS"/>
    <x v="11"/>
    <x v="469"/>
    <x v="462"/>
    <x v="117"/>
    <x v="310"/>
    <x v="0"/>
    <x v="0"/>
    <x v="0"/>
    <n v="0"/>
    <n v="0"/>
  </r>
  <r>
    <s v="BAKERY PRODUCTS"/>
    <x v="11"/>
    <x v="469"/>
    <x v="462"/>
    <x v="117"/>
    <x v="310"/>
    <x v="0"/>
    <x v="1"/>
    <x v="1"/>
    <n v="0"/>
    <n v="0"/>
  </r>
  <r>
    <s v="BAKERY PRODUCTS"/>
    <x v="11"/>
    <x v="469"/>
    <x v="462"/>
    <x v="117"/>
    <x v="310"/>
    <x v="0"/>
    <x v="2"/>
    <x v="2"/>
    <n v="0"/>
    <n v="0"/>
  </r>
  <r>
    <s v="BAKERY PRODUCTS"/>
    <x v="11"/>
    <x v="469"/>
    <x v="462"/>
    <x v="117"/>
    <x v="310"/>
    <x v="0"/>
    <x v="3"/>
    <x v="3"/>
    <n v="0"/>
    <n v="0"/>
  </r>
  <r>
    <s v="BAKERY PRODUCTS"/>
    <x v="11"/>
    <x v="469"/>
    <x v="462"/>
    <x v="117"/>
    <x v="310"/>
    <x v="0"/>
    <x v="4"/>
    <x v="4"/>
    <n v="0"/>
    <n v="0"/>
  </r>
  <r>
    <s v="BAKERY PRODUCTS"/>
    <x v="11"/>
    <x v="469"/>
    <x v="462"/>
    <x v="117"/>
    <x v="310"/>
    <x v="0"/>
    <x v="5"/>
    <x v="5"/>
    <n v="0"/>
    <n v="0"/>
  </r>
  <r>
    <s v="BAKERY PRODUCTS"/>
    <x v="11"/>
    <x v="469"/>
    <x v="462"/>
    <x v="117"/>
    <x v="310"/>
    <x v="0"/>
    <x v="6"/>
    <x v="6"/>
    <n v="0"/>
    <n v="0"/>
  </r>
  <r>
    <s v="BAKERY PRODUCTS"/>
    <x v="11"/>
    <x v="470"/>
    <x v="463"/>
    <x v="117"/>
    <x v="310"/>
    <x v="0"/>
    <x v="0"/>
    <x v="0"/>
    <n v="0"/>
    <n v="0"/>
  </r>
  <r>
    <s v="BAKERY PRODUCTS"/>
    <x v="11"/>
    <x v="470"/>
    <x v="463"/>
    <x v="117"/>
    <x v="310"/>
    <x v="0"/>
    <x v="1"/>
    <x v="1"/>
    <n v="0"/>
    <n v="0"/>
  </r>
  <r>
    <s v="BAKERY PRODUCTS"/>
    <x v="11"/>
    <x v="470"/>
    <x v="463"/>
    <x v="117"/>
    <x v="310"/>
    <x v="0"/>
    <x v="2"/>
    <x v="2"/>
    <n v="0"/>
    <n v="0"/>
  </r>
  <r>
    <s v="BAKERY PRODUCTS"/>
    <x v="11"/>
    <x v="470"/>
    <x v="463"/>
    <x v="117"/>
    <x v="310"/>
    <x v="0"/>
    <x v="3"/>
    <x v="3"/>
    <n v="0"/>
    <n v="0"/>
  </r>
  <r>
    <s v="BAKERY PRODUCTS"/>
    <x v="11"/>
    <x v="470"/>
    <x v="463"/>
    <x v="117"/>
    <x v="310"/>
    <x v="0"/>
    <x v="4"/>
    <x v="4"/>
    <n v="0"/>
    <n v="0"/>
  </r>
  <r>
    <s v="BAKERY PRODUCTS"/>
    <x v="11"/>
    <x v="470"/>
    <x v="463"/>
    <x v="117"/>
    <x v="310"/>
    <x v="0"/>
    <x v="5"/>
    <x v="5"/>
    <n v="0"/>
    <n v="0"/>
  </r>
  <r>
    <s v="BAKERY PRODUCTS"/>
    <x v="11"/>
    <x v="470"/>
    <x v="463"/>
    <x v="117"/>
    <x v="310"/>
    <x v="0"/>
    <x v="6"/>
    <x v="6"/>
    <n v="0"/>
    <n v="0"/>
  </r>
  <r>
    <s v="BAKERY PRODUCTS"/>
    <x v="11"/>
    <x v="471"/>
    <x v="464"/>
    <x v="117"/>
    <x v="310"/>
    <x v="0"/>
    <x v="0"/>
    <x v="0"/>
    <n v="0"/>
    <n v="0"/>
  </r>
  <r>
    <s v="BAKERY PRODUCTS"/>
    <x v="11"/>
    <x v="471"/>
    <x v="464"/>
    <x v="117"/>
    <x v="310"/>
    <x v="0"/>
    <x v="1"/>
    <x v="1"/>
    <n v="0"/>
    <n v="0"/>
  </r>
  <r>
    <s v="BAKERY PRODUCTS"/>
    <x v="11"/>
    <x v="471"/>
    <x v="464"/>
    <x v="117"/>
    <x v="310"/>
    <x v="0"/>
    <x v="2"/>
    <x v="2"/>
    <n v="0"/>
    <n v="0"/>
  </r>
  <r>
    <s v="BAKERY PRODUCTS"/>
    <x v="11"/>
    <x v="471"/>
    <x v="464"/>
    <x v="117"/>
    <x v="310"/>
    <x v="0"/>
    <x v="3"/>
    <x v="3"/>
    <n v="0"/>
    <n v="0"/>
  </r>
  <r>
    <s v="BAKERY PRODUCTS"/>
    <x v="11"/>
    <x v="471"/>
    <x v="464"/>
    <x v="117"/>
    <x v="310"/>
    <x v="0"/>
    <x v="4"/>
    <x v="4"/>
    <n v="0"/>
    <n v="0"/>
  </r>
  <r>
    <s v="BAKERY PRODUCTS"/>
    <x v="11"/>
    <x v="471"/>
    <x v="464"/>
    <x v="117"/>
    <x v="310"/>
    <x v="0"/>
    <x v="5"/>
    <x v="5"/>
    <n v="0"/>
    <n v="0"/>
  </r>
  <r>
    <s v="BAKERY PRODUCTS"/>
    <x v="11"/>
    <x v="471"/>
    <x v="464"/>
    <x v="117"/>
    <x v="310"/>
    <x v="0"/>
    <x v="6"/>
    <x v="6"/>
    <n v="0"/>
    <n v="0"/>
  </r>
  <r>
    <s v="BAKERY PRODUCTS"/>
    <x v="11"/>
    <x v="472"/>
    <x v="465"/>
    <x v="117"/>
    <x v="310"/>
    <x v="0"/>
    <x v="0"/>
    <x v="0"/>
    <n v="0"/>
    <n v="0"/>
  </r>
  <r>
    <s v="BAKERY PRODUCTS"/>
    <x v="11"/>
    <x v="472"/>
    <x v="465"/>
    <x v="117"/>
    <x v="310"/>
    <x v="0"/>
    <x v="1"/>
    <x v="1"/>
    <n v="0"/>
    <n v="0"/>
  </r>
  <r>
    <s v="BAKERY PRODUCTS"/>
    <x v="11"/>
    <x v="472"/>
    <x v="465"/>
    <x v="117"/>
    <x v="310"/>
    <x v="0"/>
    <x v="2"/>
    <x v="2"/>
    <n v="0"/>
    <n v="0"/>
  </r>
  <r>
    <s v="BAKERY PRODUCTS"/>
    <x v="11"/>
    <x v="472"/>
    <x v="465"/>
    <x v="117"/>
    <x v="310"/>
    <x v="0"/>
    <x v="3"/>
    <x v="3"/>
    <n v="0"/>
    <n v="0"/>
  </r>
  <r>
    <s v="BAKERY PRODUCTS"/>
    <x v="11"/>
    <x v="472"/>
    <x v="465"/>
    <x v="117"/>
    <x v="310"/>
    <x v="0"/>
    <x v="4"/>
    <x v="4"/>
    <n v="0"/>
    <n v="0"/>
  </r>
  <r>
    <s v="BAKERY PRODUCTS"/>
    <x v="11"/>
    <x v="472"/>
    <x v="465"/>
    <x v="117"/>
    <x v="310"/>
    <x v="0"/>
    <x v="5"/>
    <x v="5"/>
    <n v="0"/>
    <n v="0"/>
  </r>
  <r>
    <s v="BAKERY PRODUCTS"/>
    <x v="11"/>
    <x v="472"/>
    <x v="465"/>
    <x v="117"/>
    <x v="310"/>
    <x v="0"/>
    <x v="6"/>
    <x v="6"/>
    <n v="0"/>
    <n v="0"/>
  </r>
  <r>
    <s v="BAKERY PRODUCTS"/>
    <x v="11"/>
    <x v="473"/>
    <x v="466"/>
    <x v="117"/>
    <x v="310"/>
    <x v="0"/>
    <x v="0"/>
    <x v="0"/>
    <n v="0"/>
    <n v="0"/>
  </r>
  <r>
    <s v="BAKERY PRODUCTS"/>
    <x v="11"/>
    <x v="473"/>
    <x v="466"/>
    <x v="117"/>
    <x v="310"/>
    <x v="0"/>
    <x v="1"/>
    <x v="1"/>
    <n v="0"/>
    <n v="0"/>
  </r>
  <r>
    <s v="BAKERY PRODUCTS"/>
    <x v="11"/>
    <x v="473"/>
    <x v="466"/>
    <x v="117"/>
    <x v="310"/>
    <x v="0"/>
    <x v="2"/>
    <x v="2"/>
    <n v="0"/>
    <n v="0"/>
  </r>
  <r>
    <s v="BAKERY PRODUCTS"/>
    <x v="11"/>
    <x v="473"/>
    <x v="466"/>
    <x v="117"/>
    <x v="310"/>
    <x v="0"/>
    <x v="3"/>
    <x v="3"/>
    <n v="0"/>
    <n v="0"/>
  </r>
  <r>
    <s v="BAKERY PRODUCTS"/>
    <x v="11"/>
    <x v="473"/>
    <x v="466"/>
    <x v="117"/>
    <x v="310"/>
    <x v="0"/>
    <x v="4"/>
    <x v="4"/>
    <n v="0"/>
    <n v="0"/>
  </r>
  <r>
    <s v="BAKERY PRODUCTS"/>
    <x v="11"/>
    <x v="473"/>
    <x v="466"/>
    <x v="117"/>
    <x v="310"/>
    <x v="0"/>
    <x v="6"/>
    <x v="6"/>
    <n v="0"/>
    <n v="0"/>
  </r>
  <r>
    <s v="BAKERY PRODUCTS"/>
    <x v="11"/>
    <x v="474"/>
    <x v="467"/>
    <x v="125"/>
    <x v="329"/>
    <x v="0"/>
    <x v="0"/>
    <x v="0"/>
    <n v="0"/>
    <n v="0"/>
  </r>
  <r>
    <s v="BAKERY PRODUCTS"/>
    <x v="11"/>
    <x v="474"/>
    <x v="467"/>
    <x v="125"/>
    <x v="329"/>
    <x v="0"/>
    <x v="1"/>
    <x v="1"/>
    <n v="0"/>
    <n v="0"/>
  </r>
  <r>
    <s v="BAKERY PRODUCTS"/>
    <x v="11"/>
    <x v="474"/>
    <x v="467"/>
    <x v="125"/>
    <x v="329"/>
    <x v="0"/>
    <x v="2"/>
    <x v="2"/>
    <n v="0"/>
    <n v="0"/>
  </r>
  <r>
    <s v="BAKERY PRODUCTS"/>
    <x v="11"/>
    <x v="474"/>
    <x v="467"/>
    <x v="125"/>
    <x v="329"/>
    <x v="0"/>
    <x v="3"/>
    <x v="3"/>
    <n v="0"/>
    <n v="0"/>
  </r>
  <r>
    <s v="BAKERY PRODUCTS"/>
    <x v="11"/>
    <x v="474"/>
    <x v="467"/>
    <x v="125"/>
    <x v="329"/>
    <x v="0"/>
    <x v="4"/>
    <x v="4"/>
    <n v="0"/>
    <n v="0"/>
  </r>
  <r>
    <s v="BAKERY PRODUCTS"/>
    <x v="11"/>
    <x v="474"/>
    <x v="467"/>
    <x v="125"/>
    <x v="329"/>
    <x v="0"/>
    <x v="5"/>
    <x v="5"/>
    <n v="0"/>
    <n v="0"/>
  </r>
  <r>
    <s v="BAKERY PRODUCTS"/>
    <x v="11"/>
    <x v="474"/>
    <x v="467"/>
    <x v="125"/>
    <x v="329"/>
    <x v="0"/>
    <x v="6"/>
    <x v="6"/>
    <n v="0"/>
    <n v="0"/>
  </r>
  <r>
    <s v="BAKERY PRODUCTS"/>
    <x v="11"/>
    <x v="475"/>
    <x v="468"/>
    <x v="82"/>
    <x v="330"/>
    <x v="0"/>
    <x v="0"/>
    <x v="0"/>
    <n v="0"/>
    <n v="0"/>
  </r>
  <r>
    <s v="BAKERY PRODUCTS"/>
    <x v="11"/>
    <x v="475"/>
    <x v="468"/>
    <x v="82"/>
    <x v="330"/>
    <x v="0"/>
    <x v="1"/>
    <x v="1"/>
    <n v="0"/>
    <n v="0"/>
  </r>
  <r>
    <s v="BAKERY PRODUCTS"/>
    <x v="11"/>
    <x v="475"/>
    <x v="468"/>
    <x v="82"/>
    <x v="330"/>
    <x v="0"/>
    <x v="2"/>
    <x v="2"/>
    <n v="0"/>
    <n v="0"/>
  </r>
  <r>
    <s v="BAKERY PRODUCTS"/>
    <x v="11"/>
    <x v="475"/>
    <x v="468"/>
    <x v="82"/>
    <x v="330"/>
    <x v="0"/>
    <x v="3"/>
    <x v="3"/>
    <n v="0"/>
    <n v="0"/>
  </r>
  <r>
    <s v="BAKERY PRODUCTS"/>
    <x v="11"/>
    <x v="475"/>
    <x v="468"/>
    <x v="82"/>
    <x v="330"/>
    <x v="0"/>
    <x v="4"/>
    <x v="4"/>
    <n v="0"/>
    <n v="0"/>
  </r>
  <r>
    <s v="BAKERY PRODUCTS"/>
    <x v="11"/>
    <x v="475"/>
    <x v="468"/>
    <x v="82"/>
    <x v="330"/>
    <x v="0"/>
    <x v="5"/>
    <x v="5"/>
    <n v="0"/>
    <n v="0"/>
  </r>
  <r>
    <s v="BAKERY PRODUCTS"/>
    <x v="11"/>
    <x v="475"/>
    <x v="468"/>
    <x v="82"/>
    <x v="330"/>
    <x v="0"/>
    <x v="6"/>
    <x v="6"/>
    <n v="0"/>
    <n v="0"/>
  </r>
  <r>
    <s v="BAKERY PRODUCTS"/>
    <x v="11"/>
    <x v="476"/>
    <x v="469"/>
    <x v="1"/>
    <x v="331"/>
    <x v="0"/>
    <x v="0"/>
    <x v="0"/>
    <n v="0"/>
    <n v="0"/>
  </r>
  <r>
    <s v="BAKERY PRODUCTS"/>
    <x v="11"/>
    <x v="476"/>
    <x v="469"/>
    <x v="1"/>
    <x v="331"/>
    <x v="0"/>
    <x v="1"/>
    <x v="1"/>
    <n v="0"/>
    <n v="0"/>
  </r>
  <r>
    <s v="BAKERY PRODUCTS"/>
    <x v="11"/>
    <x v="476"/>
    <x v="469"/>
    <x v="1"/>
    <x v="331"/>
    <x v="0"/>
    <x v="2"/>
    <x v="2"/>
    <n v="0"/>
    <n v="0"/>
  </r>
  <r>
    <s v="BAKERY PRODUCTS"/>
    <x v="11"/>
    <x v="476"/>
    <x v="469"/>
    <x v="1"/>
    <x v="331"/>
    <x v="0"/>
    <x v="3"/>
    <x v="3"/>
    <n v="0"/>
    <n v="0"/>
  </r>
  <r>
    <s v="BAKERY PRODUCTS"/>
    <x v="11"/>
    <x v="476"/>
    <x v="469"/>
    <x v="1"/>
    <x v="331"/>
    <x v="0"/>
    <x v="4"/>
    <x v="4"/>
    <n v="0"/>
    <n v="0"/>
  </r>
  <r>
    <s v="BAKERY PRODUCTS"/>
    <x v="11"/>
    <x v="476"/>
    <x v="469"/>
    <x v="1"/>
    <x v="331"/>
    <x v="0"/>
    <x v="5"/>
    <x v="5"/>
    <n v="0"/>
    <n v="0"/>
  </r>
  <r>
    <s v="BAKERY PRODUCTS"/>
    <x v="11"/>
    <x v="476"/>
    <x v="469"/>
    <x v="1"/>
    <x v="331"/>
    <x v="0"/>
    <x v="6"/>
    <x v="6"/>
    <n v="0"/>
    <n v="0"/>
  </r>
  <r>
    <s v="BAKERY PRODUCTS"/>
    <x v="11"/>
    <x v="477"/>
    <x v="470"/>
    <x v="84"/>
    <x v="332"/>
    <x v="0"/>
    <x v="0"/>
    <x v="0"/>
    <n v="0"/>
    <n v="0"/>
  </r>
  <r>
    <s v="BAKERY PRODUCTS"/>
    <x v="11"/>
    <x v="477"/>
    <x v="470"/>
    <x v="84"/>
    <x v="332"/>
    <x v="0"/>
    <x v="1"/>
    <x v="1"/>
    <n v="0"/>
    <n v="0"/>
  </r>
  <r>
    <s v="BAKERY PRODUCTS"/>
    <x v="11"/>
    <x v="477"/>
    <x v="470"/>
    <x v="84"/>
    <x v="332"/>
    <x v="0"/>
    <x v="2"/>
    <x v="2"/>
    <n v="0"/>
    <n v="0"/>
  </r>
  <r>
    <s v="BAKERY PRODUCTS"/>
    <x v="11"/>
    <x v="477"/>
    <x v="470"/>
    <x v="84"/>
    <x v="332"/>
    <x v="0"/>
    <x v="3"/>
    <x v="3"/>
    <n v="0"/>
    <n v="0"/>
  </r>
  <r>
    <s v="BAKERY PRODUCTS"/>
    <x v="11"/>
    <x v="477"/>
    <x v="470"/>
    <x v="84"/>
    <x v="332"/>
    <x v="0"/>
    <x v="4"/>
    <x v="4"/>
    <n v="0"/>
    <n v="0"/>
  </r>
  <r>
    <s v="BAKERY PRODUCTS"/>
    <x v="11"/>
    <x v="477"/>
    <x v="470"/>
    <x v="84"/>
    <x v="332"/>
    <x v="0"/>
    <x v="5"/>
    <x v="5"/>
    <n v="0"/>
    <n v="0"/>
  </r>
  <r>
    <s v="BAKERY PRODUCTS"/>
    <x v="11"/>
    <x v="477"/>
    <x v="470"/>
    <x v="84"/>
    <x v="332"/>
    <x v="0"/>
    <x v="6"/>
    <x v="6"/>
    <n v="0"/>
    <n v="0"/>
  </r>
  <r>
    <s v="BAKERY PRODUCTS"/>
    <x v="11"/>
    <x v="478"/>
    <x v="471"/>
    <x v="126"/>
    <x v="333"/>
    <x v="0"/>
    <x v="0"/>
    <x v="0"/>
    <n v="0"/>
    <n v="0"/>
  </r>
  <r>
    <s v="BAKERY PRODUCTS"/>
    <x v="11"/>
    <x v="478"/>
    <x v="471"/>
    <x v="126"/>
    <x v="333"/>
    <x v="0"/>
    <x v="1"/>
    <x v="1"/>
    <n v="0"/>
    <n v="0"/>
  </r>
  <r>
    <s v="BAKERY PRODUCTS"/>
    <x v="11"/>
    <x v="478"/>
    <x v="471"/>
    <x v="126"/>
    <x v="333"/>
    <x v="0"/>
    <x v="2"/>
    <x v="2"/>
    <n v="0"/>
    <n v="0"/>
  </r>
  <r>
    <s v="BAKERY PRODUCTS"/>
    <x v="11"/>
    <x v="478"/>
    <x v="471"/>
    <x v="126"/>
    <x v="333"/>
    <x v="0"/>
    <x v="3"/>
    <x v="3"/>
    <n v="0"/>
    <n v="0"/>
  </r>
  <r>
    <s v="BAKERY PRODUCTS"/>
    <x v="11"/>
    <x v="478"/>
    <x v="471"/>
    <x v="126"/>
    <x v="333"/>
    <x v="0"/>
    <x v="4"/>
    <x v="4"/>
    <n v="0"/>
    <n v="0"/>
  </r>
  <r>
    <s v="BAKERY PRODUCTS"/>
    <x v="11"/>
    <x v="478"/>
    <x v="471"/>
    <x v="126"/>
    <x v="333"/>
    <x v="0"/>
    <x v="5"/>
    <x v="5"/>
    <n v="0"/>
    <n v="0"/>
  </r>
  <r>
    <s v="BAKERY PRODUCTS"/>
    <x v="11"/>
    <x v="478"/>
    <x v="471"/>
    <x v="126"/>
    <x v="333"/>
    <x v="0"/>
    <x v="6"/>
    <x v="6"/>
    <n v="0"/>
    <n v="0"/>
  </r>
  <r>
    <s v="BAKERY PRODUCTS"/>
    <x v="11"/>
    <x v="479"/>
    <x v="472"/>
    <x v="24"/>
    <x v="334"/>
    <x v="0"/>
    <x v="0"/>
    <x v="0"/>
    <n v="0"/>
    <n v="0"/>
  </r>
  <r>
    <s v="BAKERY PRODUCTS"/>
    <x v="11"/>
    <x v="479"/>
    <x v="472"/>
    <x v="24"/>
    <x v="334"/>
    <x v="0"/>
    <x v="1"/>
    <x v="1"/>
    <n v="0"/>
    <n v="0"/>
  </r>
  <r>
    <s v="BAKERY PRODUCTS"/>
    <x v="11"/>
    <x v="479"/>
    <x v="472"/>
    <x v="24"/>
    <x v="334"/>
    <x v="0"/>
    <x v="2"/>
    <x v="2"/>
    <n v="0"/>
    <n v="0"/>
  </r>
  <r>
    <s v="BAKERY PRODUCTS"/>
    <x v="11"/>
    <x v="479"/>
    <x v="472"/>
    <x v="24"/>
    <x v="334"/>
    <x v="0"/>
    <x v="3"/>
    <x v="3"/>
    <n v="0"/>
    <n v="0"/>
  </r>
  <r>
    <s v="BAKERY PRODUCTS"/>
    <x v="11"/>
    <x v="479"/>
    <x v="472"/>
    <x v="24"/>
    <x v="334"/>
    <x v="0"/>
    <x v="4"/>
    <x v="4"/>
    <n v="0"/>
    <n v="0"/>
  </r>
  <r>
    <s v="BAKERY PRODUCTS"/>
    <x v="11"/>
    <x v="479"/>
    <x v="472"/>
    <x v="24"/>
    <x v="334"/>
    <x v="0"/>
    <x v="5"/>
    <x v="5"/>
    <n v="0"/>
    <n v="0"/>
  </r>
  <r>
    <s v="BAKERY PRODUCTS"/>
    <x v="11"/>
    <x v="479"/>
    <x v="472"/>
    <x v="24"/>
    <x v="334"/>
    <x v="0"/>
    <x v="6"/>
    <x v="6"/>
    <n v="0"/>
    <n v="0"/>
  </r>
  <r>
    <s v="BAKERY PRODUCTS"/>
    <x v="11"/>
    <x v="480"/>
    <x v="473"/>
    <x v="99"/>
    <x v="335"/>
    <x v="0"/>
    <x v="0"/>
    <x v="0"/>
    <n v="0"/>
    <n v="0"/>
  </r>
  <r>
    <s v="BAKERY PRODUCTS"/>
    <x v="11"/>
    <x v="480"/>
    <x v="473"/>
    <x v="99"/>
    <x v="335"/>
    <x v="0"/>
    <x v="1"/>
    <x v="1"/>
    <n v="0"/>
    <n v="0"/>
  </r>
  <r>
    <s v="BAKERY PRODUCTS"/>
    <x v="11"/>
    <x v="480"/>
    <x v="473"/>
    <x v="99"/>
    <x v="335"/>
    <x v="0"/>
    <x v="2"/>
    <x v="2"/>
    <n v="0"/>
    <n v="0"/>
  </r>
  <r>
    <s v="BAKERY PRODUCTS"/>
    <x v="11"/>
    <x v="480"/>
    <x v="473"/>
    <x v="99"/>
    <x v="335"/>
    <x v="0"/>
    <x v="3"/>
    <x v="3"/>
    <n v="0"/>
    <n v="0"/>
  </r>
  <r>
    <s v="BAKERY PRODUCTS"/>
    <x v="11"/>
    <x v="480"/>
    <x v="473"/>
    <x v="99"/>
    <x v="335"/>
    <x v="0"/>
    <x v="4"/>
    <x v="4"/>
    <n v="0"/>
    <n v="0"/>
  </r>
  <r>
    <s v="BAKERY PRODUCTS"/>
    <x v="11"/>
    <x v="480"/>
    <x v="473"/>
    <x v="99"/>
    <x v="335"/>
    <x v="0"/>
    <x v="5"/>
    <x v="5"/>
    <n v="0"/>
    <n v="0"/>
  </r>
  <r>
    <s v="BAKERY PRODUCTS"/>
    <x v="11"/>
    <x v="480"/>
    <x v="473"/>
    <x v="99"/>
    <x v="335"/>
    <x v="0"/>
    <x v="6"/>
    <x v="6"/>
    <n v="0"/>
    <n v="0"/>
  </r>
  <r>
    <s v="BAKERY PRODUCTS"/>
    <x v="11"/>
    <x v="481"/>
    <x v="474"/>
    <x v="97"/>
    <x v="336"/>
    <x v="0"/>
    <x v="0"/>
    <x v="0"/>
    <n v="0"/>
    <n v="0"/>
  </r>
  <r>
    <s v="BAKERY PRODUCTS"/>
    <x v="11"/>
    <x v="481"/>
    <x v="474"/>
    <x v="97"/>
    <x v="336"/>
    <x v="0"/>
    <x v="1"/>
    <x v="1"/>
    <n v="0"/>
    <n v="0"/>
  </r>
  <r>
    <s v="BAKERY PRODUCTS"/>
    <x v="11"/>
    <x v="481"/>
    <x v="474"/>
    <x v="97"/>
    <x v="336"/>
    <x v="0"/>
    <x v="2"/>
    <x v="2"/>
    <n v="0"/>
    <n v="0"/>
  </r>
  <r>
    <s v="BAKERY PRODUCTS"/>
    <x v="11"/>
    <x v="481"/>
    <x v="474"/>
    <x v="97"/>
    <x v="336"/>
    <x v="0"/>
    <x v="3"/>
    <x v="3"/>
    <n v="0"/>
    <n v="0"/>
  </r>
  <r>
    <s v="BAKERY PRODUCTS"/>
    <x v="11"/>
    <x v="481"/>
    <x v="474"/>
    <x v="97"/>
    <x v="336"/>
    <x v="0"/>
    <x v="4"/>
    <x v="4"/>
    <n v="0"/>
    <n v="0"/>
  </r>
  <r>
    <s v="BAKERY PRODUCTS"/>
    <x v="11"/>
    <x v="481"/>
    <x v="474"/>
    <x v="97"/>
    <x v="336"/>
    <x v="0"/>
    <x v="5"/>
    <x v="5"/>
    <n v="0"/>
    <n v="0"/>
  </r>
  <r>
    <s v="BAKERY PRODUCTS"/>
    <x v="11"/>
    <x v="481"/>
    <x v="474"/>
    <x v="97"/>
    <x v="336"/>
    <x v="0"/>
    <x v="6"/>
    <x v="6"/>
    <n v="0"/>
    <n v="0"/>
  </r>
  <r>
    <s v="BAKERY PRODUCTS"/>
    <x v="11"/>
    <x v="482"/>
    <x v="475"/>
    <x v="96"/>
    <x v="329"/>
    <x v="0"/>
    <x v="0"/>
    <x v="0"/>
    <n v="0"/>
    <n v="0"/>
  </r>
  <r>
    <s v="BAKERY PRODUCTS"/>
    <x v="11"/>
    <x v="482"/>
    <x v="475"/>
    <x v="96"/>
    <x v="329"/>
    <x v="0"/>
    <x v="1"/>
    <x v="1"/>
    <n v="0"/>
    <n v="0"/>
  </r>
  <r>
    <s v="BAKERY PRODUCTS"/>
    <x v="11"/>
    <x v="482"/>
    <x v="475"/>
    <x v="96"/>
    <x v="329"/>
    <x v="0"/>
    <x v="2"/>
    <x v="2"/>
    <n v="0"/>
    <n v="0"/>
  </r>
  <r>
    <s v="BAKERY PRODUCTS"/>
    <x v="11"/>
    <x v="482"/>
    <x v="475"/>
    <x v="96"/>
    <x v="329"/>
    <x v="0"/>
    <x v="3"/>
    <x v="3"/>
    <n v="0"/>
    <n v="0"/>
  </r>
  <r>
    <s v="BAKERY PRODUCTS"/>
    <x v="11"/>
    <x v="482"/>
    <x v="475"/>
    <x v="96"/>
    <x v="329"/>
    <x v="0"/>
    <x v="4"/>
    <x v="4"/>
    <n v="0"/>
    <n v="0"/>
  </r>
  <r>
    <s v="BAKERY PRODUCTS"/>
    <x v="11"/>
    <x v="482"/>
    <x v="475"/>
    <x v="96"/>
    <x v="329"/>
    <x v="0"/>
    <x v="5"/>
    <x v="5"/>
    <n v="0"/>
    <n v="0"/>
  </r>
  <r>
    <s v="BAKERY PRODUCTS"/>
    <x v="11"/>
    <x v="482"/>
    <x v="475"/>
    <x v="96"/>
    <x v="329"/>
    <x v="0"/>
    <x v="6"/>
    <x v="6"/>
    <n v="0"/>
    <n v="0"/>
  </r>
  <r>
    <s v="BAKERY PRODUCTS"/>
    <x v="11"/>
    <x v="483"/>
    <x v="476"/>
    <x v="84"/>
    <x v="337"/>
    <x v="0"/>
    <x v="0"/>
    <x v="0"/>
    <n v="0"/>
    <n v="0"/>
  </r>
  <r>
    <s v="BAKERY PRODUCTS"/>
    <x v="11"/>
    <x v="483"/>
    <x v="476"/>
    <x v="84"/>
    <x v="337"/>
    <x v="0"/>
    <x v="1"/>
    <x v="1"/>
    <n v="0"/>
    <n v="0"/>
  </r>
  <r>
    <s v="BAKERY PRODUCTS"/>
    <x v="11"/>
    <x v="483"/>
    <x v="476"/>
    <x v="84"/>
    <x v="337"/>
    <x v="0"/>
    <x v="2"/>
    <x v="2"/>
    <n v="0"/>
    <n v="0"/>
  </r>
  <r>
    <s v="BAKERY PRODUCTS"/>
    <x v="11"/>
    <x v="483"/>
    <x v="476"/>
    <x v="84"/>
    <x v="337"/>
    <x v="0"/>
    <x v="3"/>
    <x v="3"/>
    <n v="0"/>
    <n v="0"/>
  </r>
  <r>
    <s v="BAKERY PRODUCTS"/>
    <x v="11"/>
    <x v="483"/>
    <x v="476"/>
    <x v="84"/>
    <x v="337"/>
    <x v="0"/>
    <x v="4"/>
    <x v="4"/>
    <n v="0"/>
    <n v="0"/>
  </r>
  <r>
    <s v="BAKERY PRODUCTS"/>
    <x v="11"/>
    <x v="483"/>
    <x v="476"/>
    <x v="84"/>
    <x v="337"/>
    <x v="0"/>
    <x v="5"/>
    <x v="5"/>
    <n v="0"/>
    <n v="0"/>
  </r>
  <r>
    <s v="BAKERY PRODUCTS"/>
    <x v="11"/>
    <x v="483"/>
    <x v="476"/>
    <x v="84"/>
    <x v="337"/>
    <x v="0"/>
    <x v="6"/>
    <x v="6"/>
    <n v="0"/>
    <n v="0"/>
  </r>
  <r>
    <s v="BAKERY PRODUCTS"/>
    <x v="11"/>
    <x v="484"/>
    <x v="477"/>
    <x v="5"/>
    <x v="338"/>
    <x v="0"/>
    <x v="0"/>
    <x v="0"/>
    <n v="0"/>
    <n v="0"/>
  </r>
  <r>
    <s v="BAKERY PRODUCTS"/>
    <x v="11"/>
    <x v="484"/>
    <x v="477"/>
    <x v="5"/>
    <x v="338"/>
    <x v="0"/>
    <x v="1"/>
    <x v="1"/>
    <n v="0"/>
    <n v="0"/>
  </r>
  <r>
    <s v="BAKERY PRODUCTS"/>
    <x v="11"/>
    <x v="484"/>
    <x v="477"/>
    <x v="5"/>
    <x v="338"/>
    <x v="0"/>
    <x v="2"/>
    <x v="2"/>
    <n v="0"/>
    <n v="0"/>
  </r>
  <r>
    <s v="BAKERY PRODUCTS"/>
    <x v="11"/>
    <x v="484"/>
    <x v="477"/>
    <x v="5"/>
    <x v="338"/>
    <x v="0"/>
    <x v="3"/>
    <x v="3"/>
    <n v="0"/>
    <n v="0"/>
  </r>
  <r>
    <s v="BAKERY PRODUCTS"/>
    <x v="11"/>
    <x v="484"/>
    <x v="477"/>
    <x v="5"/>
    <x v="338"/>
    <x v="0"/>
    <x v="4"/>
    <x v="4"/>
    <n v="0"/>
    <n v="0"/>
  </r>
  <r>
    <s v="BAKERY PRODUCTS"/>
    <x v="11"/>
    <x v="484"/>
    <x v="477"/>
    <x v="5"/>
    <x v="338"/>
    <x v="0"/>
    <x v="5"/>
    <x v="5"/>
    <n v="0"/>
    <n v="0"/>
  </r>
  <r>
    <s v="BAKERY PRODUCTS"/>
    <x v="11"/>
    <x v="484"/>
    <x v="477"/>
    <x v="5"/>
    <x v="338"/>
    <x v="0"/>
    <x v="6"/>
    <x v="6"/>
    <n v="0"/>
    <n v="0"/>
  </r>
  <r>
    <s v="BAKERY PRODUCTS"/>
    <x v="11"/>
    <x v="485"/>
    <x v="478"/>
    <x v="62"/>
    <x v="339"/>
    <x v="0"/>
    <x v="0"/>
    <x v="0"/>
    <n v="0"/>
    <n v="0"/>
  </r>
  <r>
    <s v="BAKERY PRODUCTS"/>
    <x v="11"/>
    <x v="485"/>
    <x v="478"/>
    <x v="62"/>
    <x v="339"/>
    <x v="0"/>
    <x v="1"/>
    <x v="1"/>
    <n v="0"/>
    <n v="0"/>
  </r>
  <r>
    <s v="BAKERY PRODUCTS"/>
    <x v="11"/>
    <x v="485"/>
    <x v="478"/>
    <x v="62"/>
    <x v="339"/>
    <x v="0"/>
    <x v="2"/>
    <x v="2"/>
    <n v="0"/>
    <n v="0"/>
  </r>
  <r>
    <s v="BAKERY PRODUCTS"/>
    <x v="11"/>
    <x v="485"/>
    <x v="478"/>
    <x v="62"/>
    <x v="339"/>
    <x v="0"/>
    <x v="3"/>
    <x v="3"/>
    <n v="0"/>
    <n v="0"/>
  </r>
  <r>
    <s v="BAKERY PRODUCTS"/>
    <x v="11"/>
    <x v="485"/>
    <x v="478"/>
    <x v="62"/>
    <x v="339"/>
    <x v="0"/>
    <x v="4"/>
    <x v="4"/>
    <n v="0"/>
    <n v="0"/>
  </r>
  <r>
    <s v="BAKERY PRODUCTS"/>
    <x v="11"/>
    <x v="485"/>
    <x v="478"/>
    <x v="62"/>
    <x v="339"/>
    <x v="0"/>
    <x v="5"/>
    <x v="5"/>
    <n v="0"/>
    <n v="0"/>
  </r>
  <r>
    <s v="BAKERY PRODUCTS"/>
    <x v="11"/>
    <x v="485"/>
    <x v="478"/>
    <x v="62"/>
    <x v="339"/>
    <x v="0"/>
    <x v="6"/>
    <x v="6"/>
    <n v="0"/>
    <n v="0"/>
  </r>
  <r>
    <s v="BAKERY PRODUCTS"/>
    <x v="11"/>
    <x v="486"/>
    <x v="479"/>
    <x v="127"/>
    <x v="340"/>
    <x v="0"/>
    <x v="6"/>
    <x v="6"/>
    <n v="0"/>
    <n v="0"/>
  </r>
  <r>
    <s v="BAKERY PRODUCTS"/>
    <x v="11"/>
    <x v="487"/>
    <x v="480"/>
    <x v="21"/>
    <x v="341"/>
    <x v="0"/>
    <x v="0"/>
    <x v="0"/>
    <n v="0"/>
    <n v="0"/>
  </r>
  <r>
    <s v="BAKERY PRODUCTS"/>
    <x v="11"/>
    <x v="487"/>
    <x v="480"/>
    <x v="21"/>
    <x v="341"/>
    <x v="0"/>
    <x v="1"/>
    <x v="1"/>
    <n v="0"/>
    <n v="0"/>
  </r>
  <r>
    <s v="BAKERY PRODUCTS"/>
    <x v="11"/>
    <x v="487"/>
    <x v="480"/>
    <x v="21"/>
    <x v="341"/>
    <x v="0"/>
    <x v="2"/>
    <x v="2"/>
    <n v="0"/>
    <n v="0"/>
  </r>
  <r>
    <s v="BAKERY PRODUCTS"/>
    <x v="11"/>
    <x v="487"/>
    <x v="480"/>
    <x v="21"/>
    <x v="341"/>
    <x v="0"/>
    <x v="3"/>
    <x v="3"/>
    <n v="0"/>
    <n v="0"/>
  </r>
  <r>
    <s v="BAKERY PRODUCTS"/>
    <x v="11"/>
    <x v="487"/>
    <x v="480"/>
    <x v="21"/>
    <x v="341"/>
    <x v="0"/>
    <x v="4"/>
    <x v="4"/>
    <n v="0"/>
    <n v="0"/>
  </r>
  <r>
    <s v="BAKERY PRODUCTS"/>
    <x v="11"/>
    <x v="487"/>
    <x v="480"/>
    <x v="21"/>
    <x v="341"/>
    <x v="0"/>
    <x v="5"/>
    <x v="5"/>
    <n v="0"/>
    <n v="0"/>
  </r>
  <r>
    <s v="BAKERY PRODUCTS"/>
    <x v="11"/>
    <x v="487"/>
    <x v="480"/>
    <x v="21"/>
    <x v="341"/>
    <x v="0"/>
    <x v="6"/>
    <x v="6"/>
    <n v="0"/>
    <n v="0"/>
  </r>
  <r>
    <s v="BAKERY PRODUCTS"/>
    <x v="11"/>
    <x v="488"/>
    <x v="481"/>
    <x v="128"/>
    <x v="342"/>
    <x v="0"/>
    <x v="0"/>
    <x v="0"/>
    <n v="0"/>
    <n v="0"/>
  </r>
  <r>
    <s v="BAKERY PRODUCTS"/>
    <x v="11"/>
    <x v="488"/>
    <x v="481"/>
    <x v="128"/>
    <x v="342"/>
    <x v="0"/>
    <x v="1"/>
    <x v="1"/>
    <n v="0"/>
    <n v="0"/>
  </r>
  <r>
    <s v="BAKERY PRODUCTS"/>
    <x v="11"/>
    <x v="488"/>
    <x v="481"/>
    <x v="128"/>
    <x v="342"/>
    <x v="0"/>
    <x v="2"/>
    <x v="2"/>
    <n v="0"/>
    <n v="0"/>
  </r>
  <r>
    <s v="BAKERY PRODUCTS"/>
    <x v="11"/>
    <x v="488"/>
    <x v="481"/>
    <x v="128"/>
    <x v="342"/>
    <x v="0"/>
    <x v="3"/>
    <x v="3"/>
    <n v="0"/>
    <n v="0"/>
  </r>
  <r>
    <s v="BAKERY PRODUCTS"/>
    <x v="11"/>
    <x v="488"/>
    <x v="481"/>
    <x v="128"/>
    <x v="342"/>
    <x v="0"/>
    <x v="4"/>
    <x v="4"/>
    <n v="0"/>
    <n v="0"/>
  </r>
  <r>
    <s v="BAKERY PRODUCTS"/>
    <x v="11"/>
    <x v="488"/>
    <x v="481"/>
    <x v="128"/>
    <x v="342"/>
    <x v="0"/>
    <x v="5"/>
    <x v="5"/>
    <n v="0"/>
    <n v="0"/>
  </r>
  <r>
    <s v="BAKERY PRODUCTS"/>
    <x v="11"/>
    <x v="488"/>
    <x v="481"/>
    <x v="128"/>
    <x v="342"/>
    <x v="0"/>
    <x v="6"/>
    <x v="6"/>
    <n v="0"/>
    <n v="0"/>
  </r>
  <r>
    <s v="BAKERY PRODUCTS"/>
    <x v="11"/>
    <x v="489"/>
    <x v="482"/>
    <x v="25"/>
    <x v="343"/>
    <x v="0"/>
    <x v="0"/>
    <x v="0"/>
    <n v="0"/>
    <n v="0"/>
  </r>
  <r>
    <s v="BAKERY PRODUCTS"/>
    <x v="11"/>
    <x v="489"/>
    <x v="482"/>
    <x v="25"/>
    <x v="343"/>
    <x v="0"/>
    <x v="1"/>
    <x v="1"/>
    <n v="0"/>
    <n v="0"/>
  </r>
  <r>
    <s v="BAKERY PRODUCTS"/>
    <x v="11"/>
    <x v="489"/>
    <x v="482"/>
    <x v="25"/>
    <x v="343"/>
    <x v="0"/>
    <x v="3"/>
    <x v="3"/>
    <n v="0"/>
    <n v="0"/>
  </r>
  <r>
    <s v="BAKERY PRODUCTS"/>
    <x v="11"/>
    <x v="489"/>
    <x v="482"/>
    <x v="25"/>
    <x v="343"/>
    <x v="0"/>
    <x v="4"/>
    <x v="4"/>
    <n v="0"/>
    <n v="0"/>
  </r>
  <r>
    <s v="BAKERY PRODUCTS"/>
    <x v="11"/>
    <x v="489"/>
    <x v="482"/>
    <x v="25"/>
    <x v="343"/>
    <x v="0"/>
    <x v="5"/>
    <x v="5"/>
    <n v="0"/>
    <n v="0"/>
  </r>
  <r>
    <s v="BAKERY PRODUCTS"/>
    <x v="11"/>
    <x v="489"/>
    <x v="482"/>
    <x v="25"/>
    <x v="343"/>
    <x v="0"/>
    <x v="6"/>
    <x v="6"/>
    <n v="0"/>
    <n v="0"/>
  </r>
  <r>
    <s v="BAKERY PRODUCTS"/>
    <x v="11"/>
    <x v="490"/>
    <x v="483"/>
    <x v="103"/>
    <x v="344"/>
    <x v="0"/>
    <x v="0"/>
    <x v="0"/>
    <n v="0"/>
    <n v="0"/>
  </r>
  <r>
    <s v="BAKERY PRODUCTS"/>
    <x v="11"/>
    <x v="490"/>
    <x v="483"/>
    <x v="103"/>
    <x v="344"/>
    <x v="0"/>
    <x v="1"/>
    <x v="1"/>
    <n v="0"/>
    <n v="0"/>
  </r>
  <r>
    <s v="BAKERY PRODUCTS"/>
    <x v="11"/>
    <x v="490"/>
    <x v="483"/>
    <x v="103"/>
    <x v="344"/>
    <x v="0"/>
    <x v="2"/>
    <x v="2"/>
    <n v="0"/>
    <n v="0"/>
  </r>
  <r>
    <s v="BAKERY PRODUCTS"/>
    <x v="11"/>
    <x v="490"/>
    <x v="483"/>
    <x v="103"/>
    <x v="344"/>
    <x v="0"/>
    <x v="3"/>
    <x v="3"/>
    <n v="0"/>
    <n v="0"/>
  </r>
  <r>
    <s v="BAKERY PRODUCTS"/>
    <x v="11"/>
    <x v="490"/>
    <x v="483"/>
    <x v="103"/>
    <x v="344"/>
    <x v="0"/>
    <x v="4"/>
    <x v="4"/>
    <n v="0"/>
    <n v="0"/>
  </r>
  <r>
    <s v="BAKERY PRODUCTS"/>
    <x v="11"/>
    <x v="490"/>
    <x v="483"/>
    <x v="103"/>
    <x v="344"/>
    <x v="0"/>
    <x v="5"/>
    <x v="5"/>
    <n v="0"/>
    <n v="0"/>
  </r>
  <r>
    <s v="BAKERY PRODUCTS"/>
    <x v="11"/>
    <x v="490"/>
    <x v="483"/>
    <x v="103"/>
    <x v="344"/>
    <x v="0"/>
    <x v="6"/>
    <x v="6"/>
    <n v="0"/>
    <n v="0"/>
  </r>
  <r>
    <s v="BAKERY PRODUCTS"/>
    <x v="11"/>
    <x v="491"/>
    <x v="484"/>
    <x v="118"/>
    <x v="345"/>
    <x v="0"/>
    <x v="0"/>
    <x v="0"/>
    <n v="0"/>
    <n v="0"/>
  </r>
  <r>
    <s v="BAKERY PRODUCTS"/>
    <x v="11"/>
    <x v="491"/>
    <x v="484"/>
    <x v="118"/>
    <x v="345"/>
    <x v="0"/>
    <x v="1"/>
    <x v="1"/>
    <n v="0"/>
    <n v="0"/>
  </r>
  <r>
    <s v="BAKERY PRODUCTS"/>
    <x v="11"/>
    <x v="491"/>
    <x v="484"/>
    <x v="118"/>
    <x v="345"/>
    <x v="0"/>
    <x v="2"/>
    <x v="2"/>
    <n v="0"/>
    <n v="0"/>
  </r>
  <r>
    <s v="BAKERY PRODUCTS"/>
    <x v="11"/>
    <x v="491"/>
    <x v="484"/>
    <x v="118"/>
    <x v="345"/>
    <x v="0"/>
    <x v="3"/>
    <x v="3"/>
    <n v="0"/>
    <n v="0"/>
  </r>
  <r>
    <s v="BAKERY PRODUCTS"/>
    <x v="11"/>
    <x v="491"/>
    <x v="484"/>
    <x v="118"/>
    <x v="345"/>
    <x v="0"/>
    <x v="4"/>
    <x v="4"/>
    <n v="0"/>
    <n v="0"/>
  </r>
  <r>
    <s v="BAKERY PRODUCTS"/>
    <x v="11"/>
    <x v="491"/>
    <x v="484"/>
    <x v="118"/>
    <x v="345"/>
    <x v="0"/>
    <x v="5"/>
    <x v="5"/>
    <n v="0"/>
    <n v="0"/>
  </r>
  <r>
    <s v="BAKERY PRODUCTS"/>
    <x v="11"/>
    <x v="491"/>
    <x v="484"/>
    <x v="118"/>
    <x v="345"/>
    <x v="0"/>
    <x v="6"/>
    <x v="6"/>
    <n v="0"/>
    <n v="0"/>
  </r>
  <r>
    <s v="BAKERY PRODUCTS"/>
    <x v="11"/>
    <x v="492"/>
    <x v="485"/>
    <x v="97"/>
    <x v="344"/>
    <x v="0"/>
    <x v="0"/>
    <x v="0"/>
    <n v="0"/>
    <n v="0"/>
  </r>
  <r>
    <s v="BAKERY PRODUCTS"/>
    <x v="11"/>
    <x v="492"/>
    <x v="485"/>
    <x v="97"/>
    <x v="344"/>
    <x v="0"/>
    <x v="3"/>
    <x v="3"/>
    <n v="0"/>
    <n v="0"/>
  </r>
  <r>
    <s v="BAKERY PRODUCTS"/>
    <x v="11"/>
    <x v="492"/>
    <x v="485"/>
    <x v="97"/>
    <x v="344"/>
    <x v="0"/>
    <x v="4"/>
    <x v="4"/>
    <n v="0"/>
    <n v="0"/>
  </r>
  <r>
    <s v="BAKERY PRODUCTS"/>
    <x v="11"/>
    <x v="492"/>
    <x v="485"/>
    <x v="97"/>
    <x v="344"/>
    <x v="0"/>
    <x v="5"/>
    <x v="5"/>
    <n v="0"/>
    <n v="0"/>
  </r>
  <r>
    <s v="BAKERY PRODUCTS"/>
    <x v="11"/>
    <x v="492"/>
    <x v="485"/>
    <x v="97"/>
    <x v="344"/>
    <x v="0"/>
    <x v="6"/>
    <x v="6"/>
    <n v="0"/>
    <n v="0"/>
  </r>
  <r>
    <s v="BAKERY PRODUCTS"/>
    <x v="11"/>
    <x v="493"/>
    <x v="486"/>
    <x v="129"/>
    <x v="346"/>
    <x v="0"/>
    <x v="0"/>
    <x v="0"/>
    <n v="0"/>
    <n v="0"/>
  </r>
  <r>
    <s v="BAKERY PRODUCTS"/>
    <x v="11"/>
    <x v="493"/>
    <x v="486"/>
    <x v="129"/>
    <x v="346"/>
    <x v="0"/>
    <x v="1"/>
    <x v="1"/>
    <n v="0"/>
    <n v="0"/>
  </r>
  <r>
    <s v="BAKERY PRODUCTS"/>
    <x v="11"/>
    <x v="493"/>
    <x v="486"/>
    <x v="129"/>
    <x v="346"/>
    <x v="0"/>
    <x v="2"/>
    <x v="2"/>
    <n v="0"/>
    <n v="0"/>
  </r>
  <r>
    <s v="BAKERY PRODUCTS"/>
    <x v="11"/>
    <x v="493"/>
    <x v="486"/>
    <x v="129"/>
    <x v="346"/>
    <x v="0"/>
    <x v="3"/>
    <x v="3"/>
    <n v="0"/>
    <n v="0"/>
  </r>
  <r>
    <s v="BAKERY PRODUCTS"/>
    <x v="11"/>
    <x v="493"/>
    <x v="486"/>
    <x v="129"/>
    <x v="346"/>
    <x v="0"/>
    <x v="4"/>
    <x v="4"/>
    <n v="0"/>
    <n v="0"/>
  </r>
  <r>
    <s v="BAKERY PRODUCTS"/>
    <x v="11"/>
    <x v="493"/>
    <x v="486"/>
    <x v="129"/>
    <x v="346"/>
    <x v="0"/>
    <x v="5"/>
    <x v="5"/>
    <n v="0"/>
    <n v="0"/>
  </r>
  <r>
    <s v="BAKERY PRODUCTS"/>
    <x v="11"/>
    <x v="493"/>
    <x v="486"/>
    <x v="129"/>
    <x v="346"/>
    <x v="0"/>
    <x v="6"/>
    <x v="6"/>
    <n v="0"/>
    <n v="0"/>
  </r>
  <r>
    <s v="BAKERY PRODUCTS"/>
    <x v="11"/>
    <x v="494"/>
    <x v="487"/>
    <x v="5"/>
    <x v="347"/>
    <x v="0"/>
    <x v="0"/>
    <x v="0"/>
    <n v="0"/>
    <n v="0"/>
  </r>
  <r>
    <s v="BAKERY PRODUCTS"/>
    <x v="11"/>
    <x v="494"/>
    <x v="487"/>
    <x v="5"/>
    <x v="347"/>
    <x v="0"/>
    <x v="1"/>
    <x v="1"/>
    <n v="0"/>
    <n v="0"/>
  </r>
  <r>
    <s v="BAKERY PRODUCTS"/>
    <x v="11"/>
    <x v="494"/>
    <x v="487"/>
    <x v="5"/>
    <x v="347"/>
    <x v="0"/>
    <x v="2"/>
    <x v="2"/>
    <n v="0"/>
    <n v="0"/>
  </r>
  <r>
    <s v="BAKERY PRODUCTS"/>
    <x v="11"/>
    <x v="494"/>
    <x v="487"/>
    <x v="5"/>
    <x v="347"/>
    <x v="0"/>
    <x v="3"/>
    <x v="3"/>
    <n v="0"/>
    <n v="0"/>
  </r>
  <r>
    <s v="BAKERY PRODUCTS"/>
    <x v="11"/>
    <x v="494"/>
    <x v="487"/>
    <x v="5"/>
    <x v="347"/>
    <x v="0"/>
    <x v="4"/>
    <x v="4"/>
    <n v="0"/>
    <n v="0"/>
  </r>
  <r>
    <s v="BAKERY PRODUCTS"/>
    <x v="11"/>
    <x v="494"/>
    <x v="487"/>
    <x v="5"/>
    <x v="347"/>
    <x v="0"/>
    <x v="5"/>
    <x v="5"/>
    <n v="0"/>
    <n v="0"/>
  </r>
  <r>
    <s v="BAKERY PRODUCTS"/>
    <x v="11"/>
    <x v="494"/>
    <x v="487"/>
    <x v="5"/>
    <x v="347"/>
    <x v="0"/>
    <x v="6"/>
    <x v="6"/>
    <n v="0"/>
    <n v="0"/>
  </r>
  <r>
    <s v="BAKERY PRODUCTS"/>
    <x v="11"/>
    <x v="495"/>
    <x v="488"/>
    <x v="1"/>
    <x v="231"/>
    <x v="0"/>
    <x v="0"/>
    <x v="0"/>
    <n v="0"/>
    <n v="0"/>
  </r>
  <r>
    <s v="BAKERY PRODUCTS"/>
    <x v="11"/>
    <x v="495"/>
    <x v="488"/>
    <x v="1"/>
    <x v="231"/>
    <x v="0"/>
    <x v="1"/>
    <x v="1"/>
    <n v="0"/>
    <n v="0"/>
  </r>
  <r>
    <s v="BAKERY PRODUCTS"/>
    <x v="11"/>
    <x v="495"/>
    <x v="488"/>
    <x v="1"/>
    <x v="231"/>
    <x v="0"/>
    <x v="2"/>
    <x v="2"/>
    <n v="0"/>
    <n v="0"/>
  </r>
  <r>
    <s v="BAKERY PRODUCTS"/>
    <x v="11"/>
    <x v="495"/>
    <x v="488"/>
    <x v="1"/>
    <x v="231"/>
    <x v="0"/>
    <x v="3"/>
    <x v="3"/>
    <n v="0"/>
    <n v="0"/>
  </r>
  <r>
    <s v="BAKERY PRODUCTS"/>
    <x v="11"/>
    <x v="495"/>
    <x v="488"/>
    <x v="1"/>
    <x v="231"/>
    <x v="0"/>
    <x v="4"/>
    <x v="4"/>
    <n v="0"/>
    <n v="0"/>
  </r>
  <r>
    <s v="BAKERY PRODUCTS"/>
    <x v="11"/>
    <x v="495"/>
    <x v="488"/>
    <x v="1"/>
    <x v="231"/>
    <x v="0"/>
    <x v="5"/>
    <x v="5"/>
    <n v="0"/>
    <n v="0"/>
  </r>
  <r>
    <s v="BAKERY PRODUCTS"/>
    <x v="11"/>
    <x v="495"/>
    <x v="488"/>
    <x v="1"/>
    <x v="231"/>
    <x v="0"/>
    <x v="6"/>
    <x v="6"/>
    <n v="0"/>
    <n v="0"/>
  </r>
  <r>
    <s v="BAKERY PRODUCTS"/>
    <x v="11"/>
    <x v="496"/>
    <x v="489"/>
    <x v="118"/>
    <x v="348"/>
    <x v="0"/>
    <x v="0"/>
    <x v="0"/>
    <n v="0"/>
    <n v="0"/>
  </r>
  <r>
    <s v="BAKERY PRODUCTS"/>
    <x v="11"/>
    <x v="496"/>
    <x v="489"/>
    <x v="118"/>
    <x v="348"/>
    <x v="0"/>
    <x v="1"/>
    <x v="1"/>
    <n v="0"/>
    <n v="0"/>
  </r>
  <r>
    <s v="BAKERY PRODUCTS"/>
    <x v="11"/>
    <x v="496"/>
    <x v="489"/>
    <x v="118"/>
    <x v="348"/>
    <x v="0"/>
    <x v="2"/>
    <x v="2"/>
    <n v="0"/>
    <n v="0"/>
  </r>
  <r>
    <s v="BAKERY PRODUCTS"/>
    <x v="11"/>
    <x v="496"/>
    <x v="489"/>
    <x v="118"/>
    <x v="348"/>
    <x v="0"/>
    <x v="3"/>
    <x v="3"/>
    <n v="0"/>
    <n v="0"/>
  </r>
  <r>
    <s v="BAKERY PRODUCTS"/>
    <x v="11"/>
    <x v="496"/>
    <x v="489"/>
    <x v="118"/>
    <x v="348"/>
    <x v="0"/>
    <x v="4"/>
    <x v="4"/>
    <n v="0"/>
    <n v="0"/>
  </r>
  <r>
    <s v="BAKERY PRODUCTS"/>
    <x v="11"/>
    <x v="496"/>
    <x v="489"/>
    <x v="118"/>
    <x v="348"/>
    <x v="0"/>
    <x v="5"/>
    <x v="5"/>
    <n v="0"/>
    <n v="0"/>
  </r>
  <r>
    <s v="BAKERY PRODUCTS"/>
    <x v="11"/>
    <x v="496"/>
    <x v="489"/>
    <x v="118"/>
    <x v="348"/>
    <x v="0"/>
    <x v="6"/>
    <x v="6"/>
    <n v="0"/>
    <n v="0"/>
  </r>
  <r>
    <s v="BAKERY PRODUCTS"/>
    <x v="11"/>
    <x v="497"/>
    <x v="490"/>
    <x v="24"/>
    <x v="349"/>
    <x v="0"/>
    <x v="0"/>
    <x v="0"/>
    <n v="0"/>
    <n v="0"/>
  </r>
  <r>
    <s v="BAKERY PRODUCTS"/>
    <x v="11"/>
    <x v="497"/>
    <x v="490"/>
    <x v="24"/>
    <x v="349"/>
    <x v="0"/>
    <x v="1"/>
    <x v="1"/>
    <n v="0"/>
    <n v="0"/>
  </r>
  <r>
    <s v="BAKERY PRODUCTS"/>
    <x v="11"/>
    <x v="497"/>
    <x v="490"/>
    <x v="24"/>
    <x v="349"/>
    <x v="0"/>
    <x v="2"/>
    <x v="2"/>
    <n v="0"/>
    <n v="0"/>
  </r>
  <r>
    <s v="BAKERY PRODUCTS"/>
    <x v="11"/>
    <x v="497"/>
    <x v="490"/>
    <x v="24"/>
    <x v="349"/>
    <x v="0"/>
    <x v="3"/>
    <x v="3"/>
    <n v="0"/>
    <n v="0"/>
  </r>
  <r>
    <s v="BAKERY PRODUCTS"/>
    <x v="11"/>
    <x v="497"/>
    <x v="490"/>
    <x v="24"/>
    <x v="349"/>
    <x v="0"/>
    <x v="4"/>
    <x v="4"/>
    <n v="0"/>
    <n v="0"/>
  </r>
  <r>
    <s v="BAKERY PRODUCTS"/>
    <x v="11"/>
    <x v="497"/>
    <x v="490"/>
    <x v="24"/>
    <x v="349"/>
    <x v="0"/>
    <x v="5"/>
    <x v="5"/>
    <n v="0"/>
    <n v="0"/>
  </r>
  <r>
    <s v="BAKERY PRODUCTS"/>
    <x v="11"/>
    <x v="497"/>
    <x v="490"/>
    <x v="24"/>
    <x v="349"/>
    <x v="0"/>
    <x v="6"/>
    <x v="6"/>
    <n v="0"/>
    <n v="0"/>
  </r>
  <r>
    <s v="BAKERY PRODUCTS"/>
    <x v="11"/>
    <x v="498"/>
    <x v="491"/>
    <x v="64"/>
    <x v="350"/>
    <x v="0"/>
    <x v="0"/>
    <x v="0"/>
    <n v="0"/>
    <n v="0"/>
  </r>
  <r>
    <s v="BAKERY PRODUCTS"/>
    <x v="11"/>
    <x v="498"/>
    <x v="491"/>
    <x v="64"/>
    <x v="350"/>
    <x v="0"/>
    <x v="1"/>
    <x v="1"/>
    <n v="0"/>
    <n v="0"/>
  </r>
  <r>
    <s v="BAKERY PRODUCTS"/>
    <x v="11"/>
    <x v="498"/>
    <x v="491"/>
    <x v="64"/>
    <x v="350"/>
    <x v="0"/>
    <x v="2"/>
    <x v="2"/>
    <n v="0"/>
    <n v="0"/>
  </r>
  <r>
    <s v="BAKERY PRODUCTS"/>
    <x v="11"/>
    <x v="498"/>
    <x v="491"/>
    <x v="64"/>
    <x v="350"/>
    <x v="0"/>
    <x v="3"/>
    <x v="3"/>
    <n v="0"/>
    <n v="0"/>
  </r>
  <r>
    <s v="BAKERY PRODUCTS"/>
    <x v="11"/>
    <x v="498"/>
    <x v="491"/>
    <x v="64"/>
    <x v="350"/>
    <x v="0"/>
    <x v="4"/>
    <x v="4"/>
    <n v="0"/>
    <n v="0"/>
  </r>
  <r>
    <s v="BAKERY PRODUCTS"/>
    <x v="11"/>
    <x v="498"/>
    <x v="491"/>
    <x v="64"/>
    <x v="350"/>
    <x v="0"/>
    <x v="5"/>
    <x v="5"/>
    <n v="0"/>
    <n v="0"/>
  </r>
  <r>
    <s v="BAKERY PRODUCTS"/>
    <x v="11"/>
    <x v="498"/>
    <x v="491"/>
    <x v="64"/>
    <x v="350"/>
    <x v="0"/>
    <x v="6"/>
    <x v="6"/>
    <n v="0"/>
    <n v="0"/>
  </r>
  <r>
    <s v="BAKERY PRODUCTS"/>
    <x v="11"/>
    <x v="499"/>
    <x v="492"/>
    <x v="130"/>
    <x v="351"/>
    <x v="0"/>
    <x v="0"/>
    <x v="0"/>
    <n v="0"/>
    <n v="0"/>
  </r>
  <r>
    <s v="BAKERY PRODUCTS"/>
    <x v="11"/>
    <x v="499"/>
    <x v="492"/>
    <x v="130"/>
    <x v="351"/>
    <x v="0"/>
    <x v="1"/>
    <x v="1"/>
    <n v="0"/>
    <n v="0"/>
  </r>
  <r>
    <s v="BAKERY PRODUCTS"/>
    <x v="11"/>
    <x v="499"/>
    <x v="492"/>
    <x v="130"/>
    <x v="351"/>
    <x v="0"/>
    <x v="2"/>
    <x v="2"/>
    <n v="0"/>
    <n v="0"/>
  </r>
  <r>
    <s v="BAKERY PRODUCTS"/>
    <x v="11"/>
    <x v="499"/>
    <x v="492"/>
    <x v="130"/>
    <x v="351"/>
    <x v="0"/>
    <x v="3"/>
    <x v="3"/>
    <n v="0"/>
    <n v="0"/>
  </r>
  <r>
    <s v="BAKERY PRODUCTS"/>
    <x v="11"/>
    <x v="499"/>
    <x v="492"/>
    <x v="130"/>
    <x v="351"/>
    <x v="0"/>
    <x v="4"/>
    <x v="4"/>
    <n v="0"/>
    <n v="0"/>
  </r>
  <r>
    <s v="BAKERY PRODUCTS"/>
    <x v="11"/>
    <x v="499"/>
    <x v="492"/>
    <x v="130"/>
    <x v="351"/>
    <x v="0"/>
    <x v="5"/>
    <x v="5"/>
    <n v="0"/>
    <n v="0"/>
  </r>
  <r>
    <s v="BAKERY PRODUCTS"/>
    <x v="11"/>
    <x v="499"/>
    <x v="492"/>
    <x v="130"/>
    <x v="351"/>
    <x v="0"/>
    <x v="6"/>
    <x v="6"/>
    <n v="0"/>
    <n v="0"/>
  </r>
  <r>
    <s v="BAKERY PRODUCTS"/>
    <x v="11"/>
    <x v="500"/>
    <x v="493"/>
    <x v="117"/>
    <x v="352"/>
    <x v="0"/>
    <x v="0"/>
    <x v="0"/>
    <n v="0"/>
    <n v="0"/>
  </r>
  <r>
    <s v="BAKERY PRODUCTS"/>
    <x v="11"/>
    <x v="500"/>
    <x v="493"/>
    <x v="117"/>
    <x v="352"/>
    <x v="0"/>
    <x v="1"/>
    <x v="1"/>
    <n v="0"/>
    <n v="0"/>
  </r>
  <r>
    <s v="BAKERY PRODUCTS"/>
    <x v="11"/>
    <x v="500"/>
    <x v="493"/>
    <x v="117"/>
    <x v="352"/>
    <x v="0"/>
    <x v="2"/>
    <x v="2"/>
    <n v="0"/>
    <n v="0"/>
  </r>
  <r>
    <s v="BAKERY PRODUCTS"/>
    <x v="11"/>
    <x v="500"/>
    <x v="493"/>
    <x v="117"/>
    <x v="352"/>
    <x v="0"/>
    <x v="3"/>
    <x v="3"/>
    <n v="0"/>
    <n v="0"/>
  </r>
  <r>
    <s v="BAKERY PRODUCTS"/>
    <x v="11"/>
    <x v="500"/>
    <x v="493"/>
    <x v="117"/>
    <x v="352"/>
    <x v="0"/>
    <x v="4"/>
    <x v="4"/>
    <n v="0"/>
    <n v="0"/>
  </r>
  <r>
    <s v="BAKERY PRODUCTS"/>
    <x v="11"/>
    <x v="500"/>
    <x v="493"/>
    <x v="117"/>
    <x v="352"/>
    <x v="0"/>
    <x v="5"/>
    <x v="5"/>
    <n v="0"/>
    <n v="0"/>
  </r>
  <r>
    <s v="BAKERY PRODUCTS"/>
    <x v="11"/>
    <x v="500"/>
    <x v="493"/>
    <x v="117"/>
    <x v="352"/>
    <x v="0"/>
    <x v="6"/>
    <x v="6"/>
    <n v="0"/>
    <n v="0"/>
  </r>
  <r>
    <s v="BAKERY PRODUCTS"/>
    <x v="11"/>
    <x v="501"/>
    <x v="494"/>
    <x v="34"/>
    <x v="353"/>
    <x v="0"/>
    <x v="0"/>
    <x v="0"/>
    <n v="0"/>
    <n v="0"/>
  </r>
  <r>
    <s v="BAKERY PRODUCTS"/>
    <x v="11"/>
    <x v="501"/>
    <x v="494"/>
    <x v="34"/>
    <x v="353"/>
    <x v="0"/>
    <x v="5"/>
    <x v="5"/>
    <n v="0"/>
    <n v="0"/>
  </r>
  <r>
    <s v="BAKERY PRODUCTS"/>
    <x v="11"/>
    <x v="501"/>
    <x v="494"/>
    <x v="34"/>
    <x v="353"/>
    <x v="0"/>
    <x v="6"/>
    <x v="6"/>
    <n v="0"/>
    <n v="0"/>
  </r>
  <r>
    <s v="BAKERY PRODUCTS"/>
    <x v="11"/>
    <x v="502"/>
    <x v="495"/>
    <x v="71"/>
    <x v="354"/>
    <x v="0"/>
    <x v="0"/>
    <x v="0"/>
    <n v="0"/>
    <n v="0"/>
  </r>
  <r>
    <s v="BAKERY PRODUCTS"/>
    <x v="11"/>
    <x v="502"/>
    <x v="495"/>
    <x v="71"/>
    <x v="354"/>
    <x v="0"/>
    <x v="1"/>
    <x v="1"/>
    <n v="0"/>
    <n v="0"/>
  </r>
  <r>
    <s v="BAKERY PRODUCTS"/>
    <x v="11"/>
    <x v="502"/>
    <x v="495"/>
    <x v="71"/>
    <x v="354"/>
    <x v="0"/>
    <x v="2"/>
    <x v="2"/>
    <n v="0"/>
    <n v="0"/>
  </r>
  <r>
    <s v="BAKERY PRODUCTS"/>
    <x v="11"/>
    <x v="502"/>
    <x v="495"/>
    <x v="71"/>
    <x v="354"/>
    <x v="0"/>
    <x v="3"/>
    <x v="3"/>
    <n v="0"/>
    <n v="0"/>
  </r>
  <r>
    <s v="BAKERY PRODUCTS"/>
    <x v="11"/>
    <x v="502"/>
    <x v="495"/>
    <x v="71"/>
    <x v="354"/>
    <x v="0"/>
    <x v="4"/>
    <x v="4"/>
    <n v="0"/>
    <n v="0"/>
  </r>
  <r>
    <s v="BAKERY PRODUCTS"/>
    <x v="11"/>
    <x v="502"/>
    <x v="495"/>
    <x v="71"/>
    <x v="354"/>
    <x v="0"/>
    <x v="5"/>
    <x v="5"/>
    <n v="0"/>
    <n v="0"/>
  </r>
  <r>
    <s v="BAKERY PRODUCTS"/>
    <x v="11"/>
    <x v="502"/>
    <x v="495"/>
    <x v="71"/>
    <x v="354"/>
    <x v="0"/>
    <x v="6"/>
    <x v="6"/>
    <n v="0"/>
    <n v="0"/>
  </r>
  <r>
    <s v="BAKERY PRODUCTS"/>
    <x v="11"/>
    <x v="503"/>
    <x v="496"/>
    <x v="131"/>
    <x v="355"/>
    <x v="0"/>
    <x v="0"/>
    <x v="0"/>
    <n v="0"/>
    <n v="0"/>
  </r>
  <r>
    <s v="BAKERY PRODUCTS"/>
    <x v="11"/>
    <x v="503"/>
    <x v="496"/>
    <x v="131"/>
    <x v="355"/>
    <x v="0"/>
    <x v="1"/>
    <x v="1"/>
    <n v="0"/>
    <n v="0"/>
  </r>
  <r>
    <s v="BAKERY PRODUCTS"/>
    <x v="11"/>
    <x v="503"/>
    <x v="496"/>
    <x v="131"/>
    <x v="355"/>
    <x v="0"/>
    <x v="2"/>
    <x v="2"/>
    <n v="0"/>
    <n v="0"/>
  </r>
  <r>
    <s v="BAKERY PRODUCTS"/>
    <x v="11"/>
    <x v="503"/>
    <x v="496"/>
    <x v="131"/>
    <x v="355"/>
    <x v="0"/>
    <x v="3"/>
    <x v="3"/>
    <n v="0"/>
    <n v="0"/>
  </r>
  <r>
    <s v="BAKERY PRODUCTS"/>
    <x v="11"/>
    <x v="503"/>
    <x v="496"/>
    <x v="131"/>
    <x v="355"/>
    <x v="0"/>
    <x v="4"/>
    <x v="4"/>
    <n v="0"/>
    <n v="0"/>
  </r>
  <r>
    <s v="BAKERY PRODUCTS"/>
    <x v="11"/>
    <x v="503"/>
    <x v="496"/>
    <x v="131"/>
    <x v="355"/>
    <x v="0"/>
    <x v="5"/>
    <x v="5"/>
    <n v="0"/>
    <n v="0"/>
  </r>
  <r>
    <s v="BAKERY PRODUCTS"/>
    <x v="11"/>
    <x v="503"/>
    <x v="496"/>
    <x v="131"/>
    <x v="355"/>
    <x v="0"/>
    <x v="6"/>
    <x v="6"/>
    <n v="0"/>
    <n v="0"/>
  </r>
  <r>
    <s v="BAKERY PRODUCTS"/>
    <x v="11"/>
    <x v="504"/>
    <x v="497"/>
    <x v="117"/>
    <x v="356"/>
    <x v="0"/>
    <x v="0"/>
    <x v="0"/>
    <n v="0"/>
    <n v="0"/>
  </r>
  <r>
    <s v="BAKERY PRODUCTS"/>
    <x v="11"/>
    <x v="504"/>
    <x v="497"/>
    <x v="117"/>
    <x v="356"/>
    <x v="0"/>
    <x v="1"/>
    <x v="1"/>
    <n v="0"/>
    <n v="0"/>
  </r>
  <r>
    <s v="BAKERY PRODUCTS"/>
    <x v="11"/>
    <x v="504"/>
    <x v="497"/>
    <x v="117"/>
    <x v="356"/>
    <x v="0"/>
    <x v="2"/>
    <x v="2"/>
    <n v="0"/>
    <n v="0"/>
  </r>
  <r>
    <s v="BAKERY PRODUCTS"/>
    <x v="11"/>
    <x v="504"/>
    <x v="497"/>
    <x v="117"/>
    <x v="356"/>
    <x v="0"/>
    <x v="3"/>
    <x v="3"/>
    <n v="0"/>
    <n v="0"/>
  </r>
  <r>
    <s v="BAKERY PRODUCTS"/>
    <x v="11"/>
    <x v="504"/>
    <x v="497"/>
    <x v="117"/>
    <x v="356"/>
    <x v="0"/>
    <x v="4"/>
    <x v="4"/>
    <n v="0"/>
    <n v="0"/>
  </r>
  <r>
    <s v="BAKERY PRODUCTS"/>
    <x v="11"/>
    <x v="504"/>
    <x v="497"/>
    <x v="117"/>
    <x v="356"/>
    <x v="0"/>
    <x v="5"/>
    <x v="5"/>
    <n v="0"/>
    <n v="0"/>
  </r>
  <r>
    <s v="BAKERY PRODUCTS"/>
    <x v="11"/>
    <x v="504"/>
    <x v="497"/>
    <x v="117"/>
    <x v="356"/>
    <x v="0"/>
    <x v="6"/>
    <x v="6"/>
    <n v="0"/>
    <n v="0"/>
  </r>
  <r>
    <s v="BAKERY PRODUCTS"/>
    <x v="11"/>
    <x v="505"/>
    <x v="498"/>
    <x v="101"/>
    <x v="357"/>
    <x v="0"/>
    <x v="1"/>
    <x v="1"/>
    <n v="0"/>
    <n v="0"/>
  </r>
  <r>
    <s v="BAKERY PRODUCTS"/>
    <x v="11"/>
    <x v="505"/>
    <x v="498"/>
    <x v="101"/>
    <x v="357"/>
    <x v="0"/>
    <x v="3"/>
    <x v="3"/>
    <n v="0"/>
    <n v="0"/>
  </r>
  <r>
    <s v="BAKERY PRODUCTS"/>
    <x v="11"/>
    <x v="505"/>
    <x v="498"/>
    <x v="101"/>
    <x v="357"/>
    <x v="0"/>
    <x v="4"/>
    <x v="4"/>
    <n v="0"/>
    <n v="0"/>
  </r>
  <r>
    <s v="BAKERY PRODUCTS"/>
    <x v="11"/>
    <x v="505"/>
    <x v="498"/>
    <x v="101"/>
    <x v="357"/>
    <x v="0"/>
    <x v="6"/>
    <x v="6"/>
    <n v="0"/>
    <n v="0"/>
  </r>
  <r>
    <s v="BAKERY PRODUCTS"/>
    <x v="11"/>
    <x v="506"/>
    <x v="499"/>
    <x v="118"/>
    <x v="358"/>
    <x v="0"/>
    <x v="0"/>
    <x v="0"/>
    <n v="0"/>
    <n v="0"/>
  </r>
  <r>
    <s v="BAKERY PRODUCTS"/>
    <x v="11"/>
    <x v="506"/>
    <x v="499"/>
    <x v="118"/>
    <x v="358"/>
    <x v="0"/>
    <x v="1"/>
    <x v="1"/>
    <n v="0"/>
    <n v="0"/>
  </r>
  <r>
    <s v="BAKERY PRODUCTS"/>
    <x v="11"/>
    <x v="506"/>
    <x v="499"/>
    <x v="118"/>
    <x v="358"/>
    <x v="0"/>
    <x v="2"/>
    <x v="2"/>
    <n v="0"/>
    <n v="0"/>
  </r>
  <r>
    <s v="BAKERY PRODUCTS"/>
    <x v="11"/>
    <x v="506"/>
    <x v="499"/>
    <x v="118"/>
    <x v="358"/>
    <x v="0"/>
    <x v="3"/>
    <x v="3"/>
    <n v="0"/>
    <n v="0"/>
  </r>
  <r>
    <s v="BAKERY PRODUCTS"/>
    <x v="11"/>
    <x v="506"/>
    <x v="499"/>
    <x v="118"/>
    <x v="358"/>
    <x v="0"/>
    <x v="4"/>
    <x v="4"/>
    <n v="0"/>
    <n v="0"/>
  </r>
  <r>
    <s v="BAKERY PRODUCTS"/>
    <x v="11"/>
    <x v="506"/>
    <x v="499"/>
    <x v="118"/>
    <x v="358"/>
    <x v="0"/>
    <x v="5"/>
    <x v="5"/>
    <n v="0"/>
    <n v="0"/>
  </r>
  <r>
    <s v="BAKERY PRODUCTS"/>
    <x v="11"/>
    <x v="506"/>
    <x v="499"/>
    <x v="118"/>
    <x v="358"/>
    <x v="0"/>
    <x v="6"/>
    <x v="6"/>
    <n v="0"/>
    <n v="0"/>
  </r>
  <r>
    <s v="BAKERY PRODUCTS"/>
    <x v="11"/>
    <x v="507"/>
    <x v="500"/>
    <x v="124"/>
    <x v="359"/>
    <x v="0"/>
    <x v="0"/>
    <x v="0"/>
    <n v="0"/>
    <n v="0"/>
  </r>
  <r>
    <s v="BAKERY PRODUCTS"/>
    <x v="11"/>
    <x v="507"/>
    <x v="500"/>
    <x v="124"/>
    <x v="359"/>
    <x v="0"/>
    <x v="1"/>
    <x v="1"/>
    <n v="0"/>
    <n v="0"/>
  </r>
  <r>
    <s v="BAKERY PRODUCTS"/>
    <x v="11"/>
    <x v="507"/>
    <x v="500"/>
    <x v="124"/>
    <x v="359"/>
    <x v="0"/>
    <x v="2"/>
    <x v="2"/>
    <n v="0"/>
    <n v="0"/>
  </r>
  <r>
    <s v="BAKERY PRODUCTS"/>
    <x v="11"/>
    <x v="507"/>
    <x v="500"/>
    <x v="124"/>
    <x v="359"/>
    <x v="0"/>
    <x v="3"/>
    <x v="3"/>
    <n v="0"/>
    <n v="0"/>
  </r>
  <r>
    <s v="BAKERY PRODUCTS"/>
    <x v="11"/>
    <x v="507"/>
    <x v="500"/>
    <x v="124"/>
    <x v="359"/>
    <x v="0"/>
    <x v="4"/>
    <x v="4"/>
    <n v="0"/>
    <n v="0"/>
  </r>
  <r>
    <s v="BAKERY PRODUCTS"/>
    <x v="11"/>
    <x v="507"/>
    <x v="500"/>
    <x v="124"/>
    <x v="359"/>
    <x v="0"/>
    <x v="5"/>
    <x v="5"/>
    <n v="0"/>
    <n v="0"/>
  </r>
  <r>
    <s v="BAKERY PRODUCTS"/>
    <x v="11"/>
    <x v="507"/>
    <x v="500"/>
    <x v="124"/>
    <x v="359"/>
    <x v="0"/>
    <x v="6"/>
    <x v="6"/>
    <n v="0"/>
    <n v="0"/>
  </r>
  <r>
    <s v="BAKERY PRODUCTS"/>
    <x v="11"/>
    <x v="508"/>
    <x v="501"/>
    <x v="103"/>
    <x v="230"/>
    <x v="0"/>
    <x v="0"/>
    <x v="0"/>
    <n v="0"/>
    <n v="0"/>
  </r>
  <r>
    <s v="BAKERY PRODUCTS"/>
    <x v="11"/>
    <x v="508"/>
    <x v="501"/>
    <x v="103"/>
    <x v="230"/>
    <x v="0"/>
    <x v="1"/>
    <x v="1"/>
    <n v="0"/>
    <n v="0"/>
  </r>
  <r>
    <s v="BAKERY PRODUCTS"/>
    <x v="11"/>
    <x v="508"/>
    <x v="501"/>
    <x v="103"/>
    <x v="230"/>
    <x v="0"/>
    <x v="2"/>
    <x v="2"/>
    <n v="0"/>
    <n v="0"/>
  </r>
  <r>
    <s v="BAKERY PRODUCTS"/>
    <x v="11"/>
    <x v="508"/>
    <x v="501"/>
    <x v="103"/>
    <x v="230"/>
    <x v="0"/>
    <x v="3"/>
    <x v="3"/>
    <n v="0"/>
    <n v="0"/>
  </r>
  <r>
    <s v="BAKERY PRODUCTS"/>
    <x v="11"/>
    <x v="508"/>
    <x v="501"/>
    <x v="103"/>
    <x v="230"/>
    <x v="0"/>
    <x v="4"/>
    <x v="4"/>
    <n v="0"/>
    <n v="0"/>
  </r>
  <r>
    <s v="BAKERY PRODUCTS"/>
    <x v="11"/>
    <x v="508"/>
    <x v="501"/>
    <x v="103"/>
    <x v="230"/>
    <x v="0"/>
    <x v="5"/>
    <x v="5"/>
    <n v="0"/>
    <n v="0"/>
  </r>
  <r>
    <s v="BAKERY PRODUCTS"/>
    <x v="11"/>
    <x v="508"/>
    <x v="501"/>
    <x v="103"/>
    <x v="230"/>
    <x v="0"/>
    <x v="6"/>
    <x v="6"/>
    <n v="0"/>
    <n v="0"/>
  </r>
  <r>
    <s v="BAKERY PRODUCTS"/>
    <x v="11"/>
    <x v="509"/>
    <x v="502"/>
    <x v="59"/>
    <x v="360"/>
    <x v="0"/>
    <x v="0"/>
    <x v="0"/>
    <n v="0"/>
    <n v="0"/>
  </r>
  <r>
    <s v="BAKERY PRODUCTS"/>
    <x v="11"/>
    <x v="509"/>
    <x v="502"/>
    <x v="59"/>
    <x v="360"/>
    <x v="0"/>
    <x v="1"/>
    <x v="1"/>
    <n v="0"/>
    <n v="0"/>
  </r>
  <r>
    <s v="BAKERY PRODUCTS"/>
    <x v="11"/>
    <x v="509"/>
    <x v="502"/>
    <x v="59"/>
    <x v="360"/>
    <x v="0"/>
    <x v="2"/>
    <x v="2"/>
    <n v="0"/>
    <n v="0"/>
  </r>
  <r>
    <s v="BAKERY PRODUCTS"/>
    <x v="11"/>
    <x v="509"/>
    <x v="502"/>
    <x v="59"/>
    <x v="360"/>
    <x v="0"/>
    <x v="5"/>
    <x v="5"/>
    <n v="0"/>
    <n v="0"/>
  </r>
  <r>
    <s v="BAKERY PRODUCTS"/>
    <x v="11"/>
    <x v="509"/>
    <x v="502"/>
    <x v="59"/>
    <x v="360"/>
    <x v="0"/>
    <x v="6"/>
    <x v="6"/>
    <n v="0"/>
    <n v="0"/>
  </r>
  <r>
    <s v="BAKERY PRODUCTS"/>
    <x v="11"/>
    <x v="510"/>
    <x v="503"/>
    <x v="127"/>
    <x v="361"/>
    <x v="0"/>
    <x v="0"/>
    <x v="0"/>
    <n v="0"/>
    <n v="0"/>
  </r>
  <r>
    <s v="BAKERY PRODUCTS"/>
    <x v="11"/>
    <x v="510"/>
    <x v="503"/>
    <x v="127"/>
    <x v="361"/>
    <x v="0"/>
    <x v="1"/>
    <x v="1"/>
    <n v="0"/>
    <n v="0"/>
  </r>
  <r>
    <s v="BAKERY PRODUCTS"/>
    <x v="11"/>
    <x v="510"/>
    <x v="503"/>
    <x v="127"/>
    <x v="361"/>
    <x v="0"/>
    <x v="2"/>
    <x v="2"/>
    <n v="0"/>
    <n v="0"/>
  </r>
  <r>
    <s v="BAKERY PRODUCTS"/>
    <x v="11"/>
    <x v="510"/>
    <x v="503"/>
    <x v="127"/>
    <x v="361"/>
    <x v="0"/>
    <x v="6"/>
    <x v="6"/>
    <n v="0"/>
    <n v="0"/>
  </r>
  <r>
    <s v="BAKERY PRODUCTS"/>
    <x v="11"/>
    <x v="511"/>
    <x v="504"/>
    <x v="110"/>
    <x v="329"/>
    <x v="0"/>
    <x v="0"/>
    <x v="0"/>
    <n v="0"/>
    <n v="0"/>
  </r>
  <r>
    <s v="BAKERY PRODUCTS"/>
    <x v="11"/>
    <x v="511"/>
    <x v="504"/>
    <x v="110"/>
    <x v="329"/>
    <x v="0"/>
    <x v="1"/>
    <x v="1"/>
    <n v="0"/>
    <n v="0"/>
  </r>
  <r>
    <s v="BAKERY PRODUCTS"/>
    <x v="11"/>
    <x v="511"/>
    <x v="504"/>
    <x v="110"/>
    <x v="329"/>
    <x v="0"/>
    <x v="2"/>
    <x v="2"/>
    <n v="0"/>
    <n v="0"/>
  </r>
  <r>
    <s v="BAKERY PRODUCTS"/>
    <x v="11"/>
    <x v="511"/>
    <x v="504"/>
    <x v="110"/>
    <x v="329"/>
    <x v="0"/>
    <x v="3"/>
    <x v="3"/>
    <n v="0"/>
    <n v="0"/>
  </r>
  <r>
    <s v="BAKERY PRODUCTS"/>
    <x v="11"/>
    <x v="511"/>
    <x v="504"/>
    <x v="110"/>
    <x v="329"/>
    <x v="0"/>
    <x v="4"/>
    <x v="4"/>
    <n v="0"/>
    <n v="0"/>
  </r>
  <r>
    <s v="BAKERY PRODUCTS"/>
    <x v="11"/>
    <x v="511"/>
    <x v="504"/>
    <x v="110"/>
    <x v="329"/>
    <x v="0"/>
    <x v="5"/>
    <x v="5"/>
    <n v="0"/>
    <n v="0"/>
  </r>
  <r>
    <s v="BAKERY PRODUCTS"/>
    <x v="11"/>
    <x v="511"/>
    <x v="504"/>
    <x v="110"/>
    <x v="329"/>
    <x v="0"/>
    <x v="6"/>
    <x v="6"/>
    <n v="0"/>
    <n v="0"/>
  </r>
  <r>
    <s v="BAKERY PRODUCTS"/>
    <x v="11"/>
    <x v="512"/>
    <x v="505"/>
    <x v="71"/>
    <x v="362"/>
    <x v="0"/>
    <x v="0"/>
    <x v="0"/>
    <n v="0"/>
    <n v="0"/>
  </r>
  <r>
    <s v="BAKERY PRODUCTS"/>
    <x v="11"/>
    <x v="512"/>
    <x v="505"/>
    <x v="71"/>
    <x v="362"/>
    <x v="0"/>
    <x v="1"/>
    <x v="1"/>
    <n v="0"/>
    <n v="0"/>
  </r>
  <r>
    <s v="BAKERY PRODUCTS"/>
    <x v="11"/>
    <x v="512"/>
    <x v="505"/>
    <x v="71"/>
    <x v="362"/>
    <x v="0"/>
    <x v="2"/>
    <x v="2"/>
    <n v="0"/>
    <n v="0"/>
  </r>
  <r>
    <s v="BAKERY PRODUCTS"/>
    <x v="11"/>
    <x v="512"/>
    <x v="505"/>
    <x v="71"/>
    <x v="362"/>
    <x v="0"/>
    <x v="3"/>
    <x v="3"/>
    <n v="0"/>
    <n v="0"/>
  </r>
  <r>
    <s v="BAKERY PRODUCTS"/>
    <x v="11"/>
    <x v="512"/>
    <x v="505"/>
    <x v="71"/>
    <x v="362"/>
    <x v="0"/>
    <x v="4"/>
    <x v="4"/>
    <n v="0"/>
    <n v="0"/>
  </r>
  <r>
    <s v="BAKERY PRODUCTS"/>
    <x v="11"/>
    <x v="512"/>
    <x v="505"/>
    <x v="71"/>
    <x v="362"/>
    <x v="0"/>
    <x v="5"/>
    <x v="5"/>
    <n v="0"/>
    <n v="0"/>
  </r>
  <r>
    <s v="BAKERY PRODUCTS"/>
    <x v="11"/>
    <x v="512"/>
    <x v="505"/>
    <x v="71"/>
    <x v="362"/>
    <x v="0"/>
    <x v="6"/>
    <x v="6"/>
    <n v="0"/>
    <n v="0"/>
  </r>
  <r>
    <s v="BAKERY PRODUCTS"/>
    <x v="11"/>
    <x v="513"/>
    <x v="506"/>
    <x v="93"/>
    <x v="363"/>
    <x v="0"/>
    <x v="0"/>
    <x v="0"/>
    <n v="0"/>
    <n v="0"/>
  </r>
  <r>
    <s v="BAKERY PRODUCTS"/>
    <x v="11"/>
    <x v="513"/>
    <x v="506"/>
    <x v="93"/>
    <x v="363"/>
    <x v="0"/>
    <x v="1"/>
    <x v="1"/>
    <n v="0"/>
    <n v="0"/>
  </r>
  <r>
    <s v="BAKERY PRODUCTS"/>
    <x v="11"/>
    <x v="513"/>
    <x v="506"/>
    <x v="93"/>
    <x v="363"/>
    <x v="0"/>
    <x v="3"/>
    <x v="3"/>
    <n v="0"/>
    <n v="0"/>
  </r>
  <r>
    <s v="BAKERY PRODUCTS"/>
    <x v="11"/>
    <x v="513"/>
    <x v="506"/>
    <x v="93"/>
    <x v="363"/>
    <x v="0"/>
    <x v="4"/>
    <x v="4"/>
    <n v="0"/>
    <n v="0"/>
  </r>
  <r>
    <s v="BAKERY PRODUCTS"/>
    <x v="11"/>
    <x v="513"/>
    <x v="506"/>
    <x v="93"/>
    <x v="363"/>
    <x v="0"/>
    <x v="5"/>
    <x v="5"/>
    <n v="0"/>
    <n v="0"/>
  </r>
  <r>
    <s v="BAKERY PRODUCTS"/>
    <x v="11"/>
    <x v="513"/>
    <x v="506"/>
    <x v="93"/>
    <x v="363"/>
    <x v="0"/>
    <x v="6"/>
    <x v="6"/>
    <n v="0"/>
    <n v="0"/>
  </r>
  <r>
    <s v="ALTAS TUISGEBAK BK"/>
    <x v="18"/>
    <x v="514"/>
    <x v="507"/>
    <x v="132"/>
    <x v="364"/>
    <x v="0"/>
    <x v="0"/>
    <x v="0"/>
    <n v="0"/>
    <n v="0"/>
  </r>
  <r>
    <s v="ALTAS TUISGEBAK BK"/>
    <x v="18"/>
    <x v="514"/>
    <x v="507"/>
    <x v="132"/>
    <x v="364"/>
    <x v="0"/>
    <x v="1"/>
    <x v="1"/>
    <n v="0"/>
    <n v="0"/>
  </r>
  <r>
    <s v="ALTAS TUISGEBAK BK"/>
    <x v="18"/>
    <x v="514"/>
    <x v="507"/>
    <x v="132"/>
    <x v="364"/>
    <x v="0"/>
    <x v="3"/>
    <x v="3"/>
    <n v="0"/>
    <n v="0"/>
  </r>
  <r>
    <s v="ALTAS TUISGEBAK BK"/>
    <x v="18"/>
    <x v="515"/>
    <x v="508"/>
    <x v="40"/>
    <x v="365"/>
    <x v="0"/>
    <x v="0"/>
    <x v="0"/>
    <n v="0"/>
    <n v="0"/>
  </r>
  <r>
    <s v="ALTAS TUISGEBAK BK"/>
    <x v="18"/>
    <x v="515"/>
    <x v="508"/>
    <x v="40"/>
    <x v="365"/>
    <x v="0"/>
    <x v="1"/>
    <x v="1"/>
    <n v="0"/>
    <n v="0"/>
  </r>
  <r>
    <s v="ALTAS TUISGEBAK BK"/>
    <x v="18"/>
    <x v="515"/>
    <x v="508"/>
    <x v="40"/>
    <x v="365"/>
    <x v="0"/>
    <x v="2"/>
    <x v="2"/>
    <n v="0"/>
    <n v="0"/>
  </r>
  <r>
    <s v="ALTAS TUISGEBAK BK"/>
    <x v="18"/>
    <x v="515"/>
    <x v="508"/>
    <x v="40"/>
    <x v="365"/>
    <x v="0"/>
    <x v="5"/>
    <x v="5"/>
    <n v="0"/>
    <n v="0"/>
  </r>
  <r>
    <s v="ALTAS TUISGEBAK BK"/>
    <x v="18"/>
    <x v="516"/>
    <x v="509"/>
    <x v="23"/>
    <x v="366"/>
    <x v="0"/>
    <x v="0"/>
    <x v="0"/>
    <n v="0"/>
    <n v="0"/>
  </r>
  <r>
    <s v="ALTAS TUISGEBAK BK"/>
    <x v="18"/>
    <x v="516"/>
    <x v="509"/>
    <x v="23"/>
    <x v="366"/>
    <x v="0"/>
    <x v="1"/>
    <x v="1"/>
    <n v="0"/>
    <n v="0"/>
  </r>
  <r>
    <s v="ALTAS TUISGEBAK BK"/>
    <x v="18"/>
    <x v="516"/>
    <x v="509"/>
    <x v="23"/>
    <x v="366"/>
    <x v="0"/>
    <x v="3"/>
    <x v="3"/>
    <n v="0"/>
    <n v="0"/>
  </r>
  <r>
    <s v="ALTAS TUISGEBAK BK"/>
    <x v="18"/>
    <x v="516"/>
    <x v="509"/>
    <x v="23"/>
    <x v="366"/>
    <x v="0"/>
    <x v="4"/>
    <x v="4"/>
    <n v="0"/>
    <n v="0"/>
  </r>
  <r>
    <s v="ALTAS TUISGEBAK BK"/>
    <x v="18"/>
    <x v="516"/>
    <x v="509"/>
    <x v="23"/>
    <x v="366"/>
    <x v="0"/>
    <x v="5"/>
    <x v="5"/>
    <n v="0"/>
    <n v="0"/>
  </r>
  <r>
    <s v="ALTAS TUISGEBAK BK"/>
    <x v="18"/>
    <x v="517"/>
    <x v="510"/>
    <x v="23"/>
    <x v="366"/>
    <x v="0"/>
    <x v="0"/>
    <x v="0"/>
    <n v="0"/>
    <n v="0"/>
  </r>
  <r>
    <s v="ALTAS TUISGEBAK BK"/>
    <x v="18"/>
    <x v="517"/>
    <x v="510"/>
    <x v="23"/>
    <x v="366"/>
    <x v="0"/>
    <x v="1"/>
    <x v="1"/>
    <n v="0"/>
    <n v="0"/>
  </r>
  <r>
    <s v="ALTAS TUISGEBAK BK"/>
    <x v="18"/>
    <x v="518"/>
    <x v="511"/>
    <x v="133"/>
    <x v="367"/>
    <x v="0"/>
    <x v="0"/>
    <x v="0"/>
    <n v="0"/>
    <n v="0"/>
  </r>
  <r>
    <s v="ALTAS TUISGEBAK BK"/>
    <x v="18"/>
    <x v="518"/>
    <x v="511"/>
    <x v="133"/>
    <x v="367"/>
    <x v="0"/>
    <x v="1"/>
    <x v="1"/>
    <n v="0"/>
    <n v="0"/>
  </r>
  <r>
    <s v="ALTAS TUISGEBAK BK"/>
    <x v="18"/>
    <x v="518"/>
    <x v="511"/>
    <x v="133"/>
    <x v="367"/>
    <x v="0"/>
    <x v="2"/>
    <x v="2"/>
    <n v="0"/>
    <n v="0"/>
  </r>
  <r>
    <s v="ALTAS TUISGEBAK BK"/>
    <x v="18"/>
    <x v="518"/>
    <x v="511"/>
    <x v="133"/>
    <x v="367"/>
    <x v="0"/>
    <x v="3"/>
    <x v="3"/>
    <n v="0"/>
    <n v="0"/>
  </r>
  <r>
    <s v="ALTAS TUISGEBAK BK"/>
    <x v="18"/>
    <x v="518"/>
    <x v="511"/>
    <x v="133"/>
    <x v="367"/>
    <x v="0"/>
    <x v="4"/>
    <x v="4"/>
    <n v="0"/>
    <n v="0"/>
  </r>
  <r>
    <s v="ALTAS TUISGEBAK BK"/>
    <x v="18"/>
    <x v="518"/>
    <x v="511"/>
    <x v="133"/>
    <x v="367"/>
    <x v="0"/>
    <x v="5"/>
    <x v="5"/>
    <n v="0"/>
    <n v="0"/>
  </r>
  <r>
    <s v="ALTAS TUISGEBAK BK"/>
    <x v="18"/>
    <x v="519"/>
    <x v="512"/>
    <x v="40"/>
    <x v="365"/>
    <x v="0"/>
    <x v="0"/>
    <x v="0"/>
    <n v="0"/>
    <n v="0"/>
  </r>
  <r>
    <s v="ALTAS TUISGEBAK BK"/>
    <x v="18"/>
    <x v="519"/>
    <x v="512"/>
    <x v="40"/>
    <x v="365"/>
    <x v="0"/>
    <x v="1"/>
    <x v="1"/>
    <n v="0"/>
    <n v="0"/>
  </r>
  <r>
    <s v="ALTAS TUISGEBAK BK"/>
    <x v="18"/>
    <x v="519"/>
    <x v="512"/>
    <x v="40"/>
    <x v="365"/>
    <x v="0"/>
    <x v="3"/>
    <x v="3"/>
    <n v="0"/>
    <n v="0"/>
  </r>
  <r>
    <s v="ALTAS TUISGEBAK BK"/>
    <x v="18"/>
    <x v="519"/>
    <x v="512"/>
    <x v="40"/>
    <x v="365"/>
    <x v="0"/>
    <x v="4"/>
    <x v="4"/>
    <n v="0"/>
    <n v="0"/>
  </r>
  <r>
    <s v="ALTAS TUISGEBAK BK"/>
    <x v="18"/>
    <x v="519"/>
    <x v="512"/>
    <x v="40"/>
    <x v="365"/>
    <x v="0"/>
    <x v="5"/>
    <x v="5"/>
    <n v="0"/>
    <n v="0"/>
  </r>
  <r>
    <s v="ALTAS TUISGEBAK BK"/>
    <x v="18"/>
    <x v="520"/>
    <x v="513"/>
    <x v="0"/>
    <x v="368"/>
    <x v="0"/>
    <x v="0"/>
    <x v="0"/>
    <n v="0"/>
    <n v="0"/>
  </r>
  <r>
    <s v="ALTAS TUISGEBAK BK"/>
    <x v="18"/>
    <x v="520"/>
    <x v="513"/>
    <x v="0"/>
    <x v="368"/>
    <x v="0"/>
    <x v="1"/>
    <x v="1"/>
    <n v="0"/>
    <n v="0"/>
  </r>
  <r>
    <s v="ALTAS TUISGEBAK BK"/>
    <x v="18"/>
    <x v="520"/>
    <x v="513"/>
    <x v="0"/>
    <x v="368"/>
    <x v="0"/>
    <x v="2"/>
    <x v="2"/>
    <n v="0"/>
    <n v="0"/>
  </r>
  <r>
    <s v="ALTAS TUISGEBAK BK"/>
    <x v="18"/>
    <x v="520"/>
    <x v="513"/>
    <x v="0"/>
    <x v="368"/>
    <x v="0"/>
    <x v="3"/>
    <x v="3"/>
    <n v="0"/>
    <n v="0"/>
  </r>
  <r>
    <s v="ALTAS TUISGEBAK BK"/>
    <x v="18"/>
    <x v="520"/>
    <x v="513"/>
    <x v="0"/>
    <x v="368"/>
    <x v="0"/>
    <x v="4"/>
    <x v="4"/>
    <n v="0"/>
    <n v="0"/>
  </r>
  <r>
    <s v="ALTAS TUISGEBAK BK"/>
    <x v="18"/>
    <x v="520"/>
    <x v="513"/>
    <x v="0"/>
    <x v="368"/>
    <x v="0"/>
    <x v="5"/>
    <x v="5"/>
    <n v="0"/>
    <n v="0"/>
  </r>
  <r>
    <s v="ALTAS TUISGEBAK BK"/>
    <x v="18"/>
    <x v="521"/>
    <x v="514"/>
    <x v="47"/>
    <x v="369"/>
    <x v="0"/>
    <x v="0"/>
    <x v="0"/>
    <n v="0"/>
    <n v="0"/>
  </r>
  <r>
    <s v="ALTAS TUISGEBAK BK"/>
    <x v="18"/>
    <x v="521"/>
    <x v="514"/>
    <x v="47"/>
    <x v="369"/>
    <x v="0"/>
    <x v="1"/>
    <x v="1"/>
    <n v="0"/>
    <n v="0"/>
  </r>
  <r>
    <s v="ALTAS TUISGEBAK BK"/>
    <x v="18"/>
    <x v="521"/>
    <x v="514"/>
    <x v="47"/>
    <x v="369"/>
    <x v="0"/>
    <x v="2"/>
    <x v="2"/>
    <n v="0"/>
    <n v="0"/>
  </r>
  <r>
    <s v="ALTAS TUISGEBAK BK"/>
    <x v="18"/>
    <x v="521"/>
    <x v="514"/>
    <x v="47"/>
    <x v="369"/>
    <x v="0"/>
    <x v="3"/>
    <x v="3"/>
    <n v="0"/>
    <n v="0"/>
  </r>
  <r>
    <s v="ALTAS TUISGEBAK BK"/>
    <x v="18"/>
    <x v="521"/>
    <x v="514"/>
    <x v="47"/>
    <x v="369"/>
    <x v="0"/>
    <x v="4"/>
    <x v="4"/>
    <n v="0"/>
    <n v="0"/>
  </r>
  <r>
    <s v="ALTAS TUISGEBAK BK"/>
    <x v="18"/>
    <x v="521"/>
    <x v="514"/>
    <x v="47"/>
    <x v="369"/>
    <x v="0"/>
    <x v="5"/>
    <x v="5"/>
    <n v="0"/>
    <n v="0"/>
  </r>
  <r>
    <s v="ALTAS TUISGEBAK BK"/>
    <x v="18"/>
    <x v="522"/>
    <x v="515"/>
    <x v="134"/>
    <x v="370"/>
    <x v="0"/>
    <x v="0"/>
    <x v="0"/>
    <n v="0"/>
    <n v="0"/>
  </r>
  <r>
    <s v="ALTAS TUISGEBAK BK"/>
    <x v="18"/>
    <x v="522"/>
    <x v="515"/>
    <x v="134"/>
    <x v="370"/>
    <x v="0"/>
    <x v="1"/>
    <x v="1"/>
    <n v="0"/>
    <n v="0"/>
  </r>
  <r>
    <s v="ALTAS TUISGEBAK BK"/>
    <x v="18"/>
    <x v="522"/>
    <x v="515"/>
    <x v="134"/>
    <x v="370"/>
    <x v="0"/>
    <x v="2"/>
    <x v="2"/>
    <n v="0"/>
    <n v="0"/>
  </r>
  <r>
    <s v="ALTAS TUISGEBAK BK"/>
    <x v="18"/>
    <x v="522"/>
    <x v="515"/>
    <x v="134"/>
    <x v="370"/>
    <x v="0"/>
    <x v="3"/>
    <x v="3"/>
    <n v="0"/>
    <n v="0"/>
  </r>
  <r>
    <s v="ALTAS TUISGEBAK BK"/>
    <x v="18"/>
    <x v="522"/>
    <x v="515"/>
    <x v="134"/>
    <x v="370"/>
    <x v="0"/>
    <x v="5"/>
    <x v="5"/>
    <n v="0"/>
    <n v="0"/>
  </r>
  <r>
    <s v="ALTAS TUISGEBAK BK"/>
    <x v="18"/>
    <x v="523"/>
    <x v="516"/>
    <x v="46"/>
    <x v="371"/>
    <x v="0"/>
    <x v="0"/>
    <x v="0"/>
    <n v="0"/>
    <n v="0"/>
  </r>
  <r>
    <s v="ALTAS TUISGEBAK BK"/>
    <x v="18"/>
    <x v="523"/>
    <x v="516"/>
    <x v="46"/>
    <x v="371"/>
    <x v="0"/>
    <x v="2"/>
    <x v="2"/>
    <n v="0"/>
    <n v="0"/>
  </r>
  <r>
    <s v="ALTAS TUISGEBAK BK"/>
    <x v="18"/>
    <x v="523"/>
    <x v="516"/>
    <x v="46"/>
    <x v="371"/>
    <x v="0"/>
    <x v="3"/>
    <x v="3"/>
    <n v="0"/>
    <n v="0"/>
  </r>
  <r>
    <s v="ALTAS TUISGEBAK BK"/>
    <x v="18"/>
    <x v="523"/>
    <x v="516"/>
    <x v="46"/>
    <x v="371"/>
    <x v="0"/>
    <x v="4"/>
    <x v="4"/>
    <n v="0"/>
    <n v="0"/>
  </r>
  <r>
    <s v="ALTAS TUISGEBAK BK"/>
    <x v="18"/>
    <x v="523"/>
    <x v="516"/>
    <x v="46"/>
    <x v="371"/>
    <x v="0"/>
    <x v="5"/>
    <x v="5"/>
    <n v="0"/>
    <n v="0"/>
  </r>
  <r>
    <s v="ALTAS TUISGEBAK BK"/>
    <x v="18"/>
    <x v="524"/>
    <x v="517"/>
    <x v="135"/>
    <x v="372"/>
    <x v="0"/>
    <x v="0"/>
    <x v="0"/>
    <n v="0"/>
    <n v="0"/>
  </r>
  <r>
    <s v="ALTAS TUISGEBAK BK"/>
    <x v="18"/>
    <x v="524"/>
    <x v="517"/>
    <x v="135"/>
    <x v="372"/>
    <x v="0"/>
    <x v="1"/>
    <x v="1"/>
    <n v="0"/>
    <n v="0"/>
  </r>
  <r>
    <s v="ALTAS TUISGEBAK BK"/>
    <x v="18"/>
    <x v="524"/>
    <x v="517"/>
    <x v="135"/>
    <x v="372"/>
    <x v="0"/>
    <x v="2"/>
    <x v="2"/>
    <n v="0"/>
    <n v="0"/>
  </r>
  <r>
    <s v="ALTAS TUISGEBAK BK"/>
    <x v="18"/>
    <x v="524"/>
    <x v="517"/>
    <x v="135"/>
    <x v="372"/>
    <x v="0"/>
    <x v="3"/>
    <x v="3"/>
    <n v="0"/>
    <n v="0"/>
  </r>
  <r>
    <s v="ALTAS TUISGEBAK BK"/>
    <x v="18"/>
    <x v="524"/>
    <x v="517"/>
    <x v="135"/>
    <x v="372"/>
    <x v="0"/>
    <x v="5"/>
    <x v="5"/>
    <n v="0"/>
    <n v="0"/>
  </r>
  <r>
    <s v="ALTAS TUISGEBAK BK"/>
    <x v="18"/>
    <x v="525"/>
    <x v="518"/>
    <x v="135"/>
    <x v="372"/>
    <x v="0"/>
    <x v="0"/>
    <x v="0"/>
    <n v="0"/>
    <n v="0"/>
  </r>
  <r>
    <s v="ALTAS TUISGEBAK BK"/>
    <x v="18"/>
    <x v="525"/>
    <x v="518"/>
    <x v="135"/>
    <x v="372"/>
    <x v="0"/>
    <x v="1"/>
    <x v="1"/>
    <n v="0"/>
    <n v="0"/>
  </r>
  <r>
    <s v="ALTAS TUISGEBAK BK"/>
    <x v="18"/>
    <x v="525"/>
    <x v="518"/>
    <x v="135"/>
    <x v="372"/>
    <x v="0"/>
    <x v="4"/>
    <x v="4"/>
    <n v="0"/>
    <n v="0"/>
  </r>
  <r>
    <s v="ALTAS TUISGEBAK BK"/>
    <x v="18"/>
    <x v="526"/>
    <x v="519"/>
    <x v="23"/>
    <x v="366"/>
    <x v="0"/>
    <x v="0"/>
    <x v="0"/>
    <n v="0"/>
    <n v="0"/>
  </r>
  <r>
    <s v="ALTAS TUISGEBAK BK"/>
    <x v="18"/>
    <x v="526"/>
    <x v="519"/>
    <x v="23"/>
    <x v="366"/>
    <x v="0"/>
    <x v="1"/>
    <x v="1"/>
    <n v="0"/>
    <n v="0"/>
  </r>
  <r>
    <s v="ALTAS TUISGEBAK BK"/>
    <x v="18"/>
    <x v="526"/>
    <x v="519"/>
    <x v="23"/>
    <x v="366"/>
    <x v="0"/>
    <x v="2"/>
    <x v="2"/>
    <n v="0"/>
    <n v="0"/>
  </r>
  <r>
    <s v="ALTAS TUISGEBAK BK"/>
    <x v="18"/>
    <x v="526"/>
    <x v="519"/>
    <x v="23"/>
    <x v="366"/>
    <x v="0"/>
    <x v="3"/>
    <x v="3"/>
    <n v="0"/>
    <n v="0"/>
  </r>
  <r>
    <s v="ALTAS TUISGEBAK BK"/>
    <x v="18"/>
    <x v="526"/>
    <x v="519"/>
    <x v="23"/>
    <x v="366"/>
    <x v="0"/>
    <x v="5"/>
    <x v="5"/>
    <n v="0"/>
    <n v="0"/>
  </r>
  <r>
    <s v="ALTAS TUISGEBAK BK"/>
    <x v="18"/>
    <x v="527"/>
    <x v="520"/>
    <x v="87"/>
    <x v="373"/>
    <x v="0"/>
    <x v="1"/>
    <x v="1"/>
    <n v="0"/>
    <n v="0"/>
  </r>
  <r>
    <s v="ALTAS TUISGEBAK BK"/>
    <x v="18"/>
    <x v="527"/>
    <x v="520"/>
    <x v="87"/>
    <x v="373"/>
    <x v="0"/>
    <x v="2"/>
    <x v="2"/>
    <n v="0"/>
    <n v="0"/>
  </r>
  <r>
    <s v="ALTAS TUISGEBAK BK"/>
    <x v="18"/>
    <x v="527"/>
    <x v="520"/>
    <x v="87"/>
    <x v="373"/>
    <x v="0"/>
    <x v="3"/>
    <x v="3"/>
    <n v="0"/>
    <n v="0"/>
  </r>
  <r>
    <s v="ALTAS TUISGEBAK BK"/>
    <x v="18"/>
    <x v="527"/>
    <x v="520"/>
    <x v="87"/>
    <x v="373"/>
    <x v="0"/>
    <x v="5"/>
    <x v="5"/>
    <n v="0"/>
    <n v="0"/>
  </r>
  <r>
    <s v="ALTAS TUISGEBAK BK"/>
    <x v="18"/>
    <x v="528"/>
    <x v="521"/>
    <x v="32"/>
    <x v="374"/>
    <x v="0"/>
    <x v="0"/>
    <x v="0"/>
    <n v="0"/>
    <n v="0"/>
  </r>
  <r>
    <s v="ALTAS TUISGEBAK BK"/>
    <x v="18"/>
    <x v="528"/>
    <x v="521"/>
    <x v="32"/>
    <x v="374"/>
    <x v="0"/>
    <x v="1"/>
    <x v="1"/>
    <n v="0"/>
    <n v="0"/>
  </r>
  <r>
    <s v="ALTAS TUISGEBAK BK"/>
    <x v="18"/>
    <x v="528"/>
    <x v="521"/>
    <x v="32"/>
    <x v="374"/>
    <x v="0"/>
    <x v="2"/>
    <x v="2"/>
    <n v="0"/>
    <n v="0"/>
  </r>
  <r>
    <s v="ALTAS TUISGEBAK BK"/>
    <x v="18"/>
    <x v="528"/>
    <x v="521"/>
    <x v="32"/>
    <x v="374"/>
    <x v="0"/>
    <x v="5"/>
    <x v="5"/>
    <n v="0"/>
    <n v="0"/>
  </r>
  <r>
    <s v="ALTAS TUISGEBAK BK"/>
    <x v="18"/>
    <x v="529"/>
    <x v="522"/>
    <x v="40"/>
    <x v="365"/>
    <x v="0"/>
    <x v="0"/>
    <x v="0"/>
    <n v="0"/>
    <n v="0"/>
  </r>
  <r>
    <s v="ALTAS TUISGEBAK BK"/>
    <x v="18"/>
    <x v="529"/>
    <x v="522"/>
    <x v="40"/>
    <x v="365"/>
    <x v="0"/>
    <x v="1"/>
    <x v="1"/>
    <n v="0"/>
    <n v="0"/>
  </r>
  <r>
    <s v="ALTAS TUISGEBAK BK"/>
    <x v="18"/>
    <x v="529"/>
    <x v="522"/>
    <x v="40"/>
    <x v="365"/>
    <x v="0"/>
    <x v="2"/>
    <x v="2"/>
    <n v="0"/>
    <n v="0"/>
  </r>
  <r>
    <s v="ALTAS TUISGEBAK BK"/>
    <x v="18"/>
    <x v="529"/>
    <x v="522"/>
    <x v="40"/>
    <x v="365"/>
    <x v="0"/>
    <x v="3"/>
    <x v="3"/>
    <n v="0"/>
    <n v="0"/>
  </r>
  <r>
    <s v="ALTAS TUISGEBAK BK"/>
    <x v="18"/>
    <x v="529"/>
    <x v="522"/>
    <x v="40"/>
    <x v="365"/>
    <x v="0"/>
    <x v="4"/>
    <x v="4"/>
    <n v="0"/>
    <n v="0"/>
  </r>
  <r>
    <s v="ALTAS TUISGEBAK BK"/>
    <x v="18"/>
    <x v="529"/>
    <x v="522"/>
    <x v="40"/>
    <x v="365"/>
    <x v="0"/>
    <x v="5"/>
    <x v="5"/>
    <n v="0"/>
    <n v="0"/>
  </r>
  <r>
    <s v="ALTAS TUISGEBAK BK"/>
    <x v="18"/>
    <x v="529"/>
    <x v="522"/>
    <x v="40"/>
    <x v="365"/>
    <x v="0"/>
    <x v="6"/>
    <x v="6"/>
    <n v="0"/>
    <n v="0"/>
  </r>
  <r>
    <s v="ALTAS TUISGEBAK BK"/>
    <x v="18"/>
    <x v="530"/>
    <x v="523"/>
    <x v="11"/>
    <x v="375"/>
    <x v="0"/>
    <x v="0"/>
    <x v="0"/>
    <n v="0"/>
    <n v="0"/>
  </r>
  <r>
    <s v="ALTAS TUISGEBAK BK"/>
    <x v="18"/>
    <x v="530"/>
    <x v="523"/>
    <x v="11"/>
    <x v="375"/>
    <x v="0"/>
    <x v="1"/>
    <x v="1"/>
    <n v="0"/>
    <n v="0"/>
  </r>
  <r>
    <s v="ALTAS TUISGEBAK BK"/>
    <x v="18"/>
    <x v="530"/>
    <x v="523"/>
    <x v="11"/>
    <x v="375"/>
    <x v="0"/>
    <x v="2"/>
    <x v="2"/>
    <n v="0"/>
    <n v="0"/>
  </r>
  <r>
    <s v="ALTAS TUISGEBAK BK"/>
    <x v="18"/>
    <x v="530"/>
    <x v="523"/>
    <x v="11"/>
    <x v="375"/>
    <x v="0"/>
    <x v="3"/>
    <x v="3"/>
    <n v="0"/>
    <n v="0"/>
  </r>
  <r>
    <s v="ALTAS TUISGEBAK BK"/>
    <x v="18"/>
    <x v="530"/>
    <x v="523"/>
    <x v="11"/>
    <x v="375"/>
    <x v="0"/>
    <x v="4"/>
    <x v="4"/>
    <n v="0"/>
    <n v="0"/>
  </r>
  <r>
    <s v="ALTAS TUISGEBAK BK"/>
    <x v="18"/>
    <x v="530"/>
    <x v="523"/>
    <x v="11"/>
    <x v="375"/>
    <x v="0"/>
    <x v="5"/>
    <x v="5"/>
    <n v="0"/>
    <n v="0"/>
  </r>
  <r>
    <s v="ALTAS TUISGEBAK BK"/>
    <x v="18"/>
    <x v="530"/>
    <x v="523"/>
    <x v="11"/>
    <x v="375"/>
    <x v="0"/>
    <x v="6"/>
    <x v="6"/>
    <n v="0"/>
    <n v="0"/>
  </r>
  <r>
    <s v="ALTAS TUISGEBAK BK"/>
    <x v="18"/>
    <x v="531"/>
    <x v="524"/>
    <x v="136"/>
    <x v="376"/>
    <x v="0"/>
    <x v="0"/>
    <x v="0"/>
    <n v="0"/>
    <n v="0"/>
  </r>
  <r>
    <s v="ALTAS TUISGEBAK BK"/>
    <x v="18"/>
    <x v="531"/>
    <x v="524"/>
    <x v="136"/>
    <x v="376"/>
    <x v="0"/>
    <x v="1"/>
    <x v="1"/>
    <n v="0"/>
    <n v="0"/>
  </r>
  <r>
    <s v="ALTAS TUISGEBAK BK"/>
    <x v="18"/>
    <x v="531"/>
    <x v="524"/>
    <x v="136"/>
    <x v="376"/>
    <x v="0"/>
    <x v="2"/>
    <x v="2"/>
    <n v="0"/>
    <n v="0"/>
  </r>
  <r>
    <s v="ALTAS TUISGEBAK BK"/>
    <x v="18"/>
    <x v="531"/>
    <x v="524"/>
    <x v="136"/>
    <x v="376"/>
    <x v="0"/>
    <x v="3"/>
    <x v="3"/>
    <n v="0"/>
    <n v="0"/>
  </r>
  <r>
    <s v="ALTAS TUISGEBAK BK"/>
    <x v="18"/>
    <x v="531"/>
    <x v="524"/>
    <x v="136"/>
    <x v="376"/>
    <x v="0"/>
    <x v="4"/>
    <x v="4"/>
    <n v="0"/>
    <n v="0"/>
  </r>
  <r>
    <s v="ALTAS TUISGEBAK BK"/>
    <x v="18"/>
    <x v="531"/>
    <x v="524"/>
    <x v="136"/>
    <x v="376"/>
    <x v="0"/>
    <x v="5"/>
    <x v="5"/>
    <n v="0"/>
    <n v="0"/>
  </r>
  <r>
    <s v="ALTAS TUISGEBAK BK"/>
    <x v="18"/>
    <x v="531"/>
    <x v="524"/>
    <x v="136"/>
    <x v="376"/>
    <x v="0"/>
    <x v="6"/>
    <x v="6"/>
    <n v="0"/>
    <n v="0"/>
  </r>
  <r>
    <s v="ALTAS TUISGEBAK BK"/>
    <x v="18"/>
    <x v="532"/>
    <x v="525"/>
    <x v="137"/>
    <x v="377"/>
    <x v="0"/>
    <x v="0"/>
    <x v="0"/>
    <n v="0"/>
    <n v="0"/>
  </r>
  <r>
    <s v="ALTAS TUISGEBAK BK"/>
    <x v="18"/>
    <x v="532"/>
    <x v="525"/>
    <x v="137"/>
    <x v="377"/>
    <x v="0"/>
    <x v="1"/>
    <x v="1"/>
    <n v="0"/>
    <n v="0"/>
  </r>
  <r>
    <s v="ALTAS TUISGEBAK BK"/>
    <x v="18"/>
    <x v="532"/>
    <x v="525"/>
    <x v="137"/>
    <x v="377"/>
    <x v="0"/>
    <x v="2"/>
    <x v="2"/>
    <n v="0"/>
    <n v="0"/>
  </r>
  <r>
    <s v="ALTAS TUISGEBAK BK"/>
    <x v="18"/>
    <x v="532"/>
    <x v="525"/>
    <x v="137"/>
    <x v="377"/>
    <x v="0"/>
    <x v="3"/>
    <x v="3"/>
    <n v="0"/>
    <n v="0"/>
  </r>
  <r>
    <s v="ALTAS TUISGEBAK BK"/>
    <x v="18"/>
    <x v="532"/>
    <x v="525"/>
    <x v="137"/>
    <x v="377"/>
    <x v="0"/>
    <x v="4"/>
    <x v="4"/>
    <n v="0"/>
    <n v="0"/>
  </r>
  <r>
    <s v="ALTAS TUISGEBAK BK"/>
    <x v="18"/>
    <x v="532"/>
    <x v="525"/>
    <x v="137"/>
    <x v="377"/>
    <x v="0"/>
    <x v="5"/>
    <x v="5"/>
    <n v="0"/>
    <n v="0"/>
  </r>
  <r>
    <s v="ALTAS TUISGEBAK BK"/>
    <x v="18"/>
    <x v="532"/>
    <x v="525"/>
    <x v="137"/>
    <x v="377"/>
    <x v="0"/>
    <x v="6"/>
    <x v="6"/>
    <n v="0"/>
    <n v="0"/>
  </r>
  <r>
    <s v="ALTAS TUISGEBAK BK"/>
    <x v="18"/>
    <x v="533"/>
    <x v="526"/>
    <x v="33"/>
    <x v="378"/>
    <x v="0"/>
    <x v="0"/>
    <x v="0"/>
    <n v="0"/>
    <n v="0"/>
  </r>
  <r>
    <s v="ALTAS TUISGEBAK BK"/>
    <x v="18"/>
    <x v="533"/>
    <x v="526"/>
    <x v="33"/>
    <x v="378"/>
    <x v="0"/>
    <x v="1"/>
    <x v="1"/>
    <n v="0"/>
    <n v="0"/>
  </r>
  <r>
    <s v="ALTAS TUISGEBAK BK"/>
    <x v="18"/>
    <x v="533"/>
    <x v="526"/>
    <x v="33"/>
    <x v="378"/>
    <x v="0"/>
    <x v="2"/>
    <x v="2"/>
    <n v="0"/>
    <n v="0"/>
  </r>
  <r>
    <s v="ALTAS TUISGEBAK BK"/>
    <x v="18"/>
    <x v="533"/>
    <x v="526"/>
    <x v="33"/>
    <x v="378"/>
    <x v="0"/>
    <x v="3"/>
    <x v="3"/>
    <n v="0"/>
    <n v="0"/>
  </r>
  <r>
    <s v="ALTAS TUISGEBAK BK"/>
    <x v="18"/>
    <x v="533"/>
    <x v="526"/>
    <x v="33"/>
    <x v="378"/>
    <x v="0"/>
    <x v="4"/>
    <x v="4"/>
    <n v="0"/>
    <n v="0"/>
  </r>
  <r>
    <s v="ALTAS TUISGEBAK BK"/>
    <x v="18"/>
    <x v="533"/>
    <x v="526"/>
    <x v="33"/>
    <x v="378"/>
    <x v="0"/>
    <x v="5"/>
    <x v="5"/>
    <n v="0"/>
    <n v="0"/>
  </r>
  <r>
    <s v="ALTAS TUISGEBAK BK"/>
    <x v="18"/>
    <x v="533"/>
    <x v="526"/>
    <x v="33"/>
    <x v="378"/>
    <x v="0"/>
    <x v="6"/>
    <x v="6"/>
    <n v="0"/>
    <n v="0"/>
  </r>
  <r>
    <s v="ALTAS TUISGEBAK BK"/>
    <x v="18"/>
    <x v="534"/>
    <x v="527"/>
    <x v="49"/>
    <x v="379"/>
    <x v="0"/>
    <x v="0"/>
    <x v="0"/>
    <n v="0"/>
    <n v="0"/>
  </r>
  <r>
    <s v="ALTAS TUISGEBAK BK"/>
    <x v="18"/>
    <x v="534"/>
    <x v="527"/>
    <x v="49"/>
    <x v="379"/>
    <x v="0"/>
    <x v="1"/>
    <x v="1"/>
    <n v="0"/>
    <n v="0"/>
  </r>
  <r>
    <s v="ALTAS TUISGEBAK BK"/>
    <x v="18"/>
    <x v="534"/>
    <x v="527"/>
    <x v="49"/>
    <x v="379"/>
    <x v="0"/>
    <x v="2"/>
    <x v="2"/>
    <n v="0"/>
    <n v="0"/>
  </r>
  <r>
    <s v="ALTAS TUISGEBAK BK"/>
    <x v="18"/>
    <x v="534"/>
    <x v="527"/>
    <x v="49"/>
    <x v="379"/>
    <x v="0"/>
    <x v="3"/>
    <x v="3"/>
    <n v="0"/>
    <n v="0"/>
  </r>
  <r>
    <s v="ALTAS TUISGEBAK BK"/>
    <x v="18"/>
    <x v="534"/>
    <x v="527"/>
    <x v="49"/>
    <x v="379"/>
    <x v="0"/>
    <x v="4"/>
    <x v="4"/>
    <n v="0"/>
    <n v="0"/>
  </r>
  <r>
    <s v="ALTAS TUISGEBAK BK"/>
    <x v="18"/>
    <x v="534"/>
    <x v="527"/>
    <x v="49"/>
    <x v="379"/>
    <x v="0"/>
    <x v="5"/>
    <x v="5"/>
    <n v="0"/>
    <n v="0"/>
  </r>
  <r>
    <s v="ALTAS TUISGEBAK BK"/>
    <x v="18"/>
    <x v="534"/>
    <x v="527"/>
    <x v="49"/>
    <x v="379"/>
    <x v="0"/>
    <x v="6"/>
    <x v="6"/>
    <n v="0"/>
    <n v="0"/>
  </r>
  <r>
    <s v="ALTAS TUISGEBAK BK"/>
    <x v="18"/>
    <x v="535"/>
    <x v="528"/>
    <x v="11"/>
    <x v="375"/>
    <x v="0"/>
    <x v="0"/>
    <x v="0"/>
    <n v="0"/>
    <n v="0"/>
  </r>
  <r>
    <s v="ALTAS TUISGEBAK BK"/>
    <x v="18"/>
    <x v="535"/>
    <x v="528"/>
    <x v="11"/>
    <x v="375"/>
    <x v="0"/>
    <x v="1"/>
    <x v="1"/>
    <n v="0"/>
    <n v="0"/>
  </r>
  <r>
    <s v="ALTAS TUISGEBAK BK"/>
    <x v="18"/>
    <x v="535"/>
    <x v="528"/>
    <x v="11"/>
    <x v="375"/>
    <x v="0"/>
    <x v="2"/>
    <x v="2"/>
    <n v="0"/>
    <n v="0"/>
  </r>
  <r>
    <s v="ALTAS TUISGEBAK BK"/>
    <x v="18"/>
    <x v="535"/>
    <x v="528"/>
    <x v="11"/>
    <x v="375"/>
    <x v="0"/>
    <x v="3"/>
    <x v="3"/>
    <n v="0"/>
    <n v="0"/>
  </r>
  <r>
    <s v="ALTAS TUISGEBAK BK"/>
    <x v="18"/>
    <x v="535"/>
    <x v="528"/>
    <x v="11"/>
    <x v="375"/>
    <x v="0"/>
    <x v="4"/>
    <x v="4"/>
    <n v="0"/>
    <n v="0"/>
  </r>
  <r>
    <s v="ALTAS TUISGEBAK BK"/>
    <x v="18"/>
    <x v="535"/>
    <x v="528"/>
    <x v="11"/>
    <x v="375"/>
    <x v="0"/>
    <x v="5"/>
    <x v="5"/>
    <n v="0"/>
    <n v="0"/>
  </r>
  <r>
    <s v="ALTAS TUISGEBAK BK"/>
    <x v="18"/>
    <x v="535"/>
    <x v="528"/>
    <x v="11"/>
    <x v="375"/>
    <x v="0"/>
    <x v="6"/>
    <x v="6"/>
    <n v="0"/>
    <n v="0"/>
  </r>
  <r>
    <s v="ALTAS TUISGEBAK BK"/>
    <x v="18"/>
    <x v="536"/>
    <x v="529"/>
    <x v="11"/>
    <x v="375"/>
    <x v="0"/>
    <x v="0"/>
    <x v="0"/>
    <n v="0"/>
    <n v="0"/>
  </r>
  <r>
    <s v="ALTAS TUISGEBAK BK"/>
    <x v="18"/>
    <x v="536"/>
    <x v="529"/>
    <x v="11"/>
    <x v="375"/>
    <x v="0"/>
    <x v="1"/>
    <x v="1"/>
    <n v="0"/>
    <n v="0"/>
  </r>
  <r>
    <s v="ALTAS TUISGEBAK BK"/>
    <x v="18"/>
    <x v="536"/>
    <x v="529"/>
    <x v="11"/>
    <x v="375"/>
    <x v="0"/>
    <x v="2"/>
    <x v="2"/>
    <n v="0"/>
    <n v="0"/>
  </r>
  <r>
    <s v="ALTAS TUISGEBAK BK"/>
    <x v="18"/>
    <x v="536"/>
    <x v="529"/>
    <x v="11"/>
    <x v="375"/>
    <x v="0"/>
    <x v="3"/>
    <x v="3"/>
    <n v="0"/>
    <n v="0"/>
  </r>
  <r>
    <s v="ALTAS TUISGEBAK BK"/>
    <x v="18"/>
    <x v="536"/>
    <x v="529"/>
    <x v="11"/>
    <x v="375"/>
    <x v="0"/>
    <x v="4"/>
    <x v="4"/>
    <n v="0"/>
    <n v="0"/>
  </r>
  <r>
    <s v="ALTAS TUISGEBAK BK"/>
    <x v="18"/>
    <x v="536"/>
    <x v="529"/>
    <x v="11"/>
    <x v="375"/>
    <x v="0"/>
    <x v="5"/>
    <x v="5"/>
    <n v="0"/>
    <n v="0"/>
  </r>
  <r>
    <s v="ALTAS TUISGEBAK BK"/>
    <x v="18"/>
    <x v="536"/>
    <x v="529"/>
    <x v="11"/>
    <x v="375"/>
    <x v="0"/>
    <x v="6"/>
    <x v="6"/>
    <n v="0"/>
    <n v="0"/>
  </r>
  <r>
    <s v="ALTAS TUISGEBAK BK"/>
    <x v="18"/>
    <x v="537"/>
    <x v="530"/>
    <x v="48"/>
    <x v="379"/>
    <x v="0"/>
    <x v="0"/>
    <x v="0"/>
    <n v="0"/>
    <n v="0"/>
  </r>
  <r>
    <s v="ALTAS TUISGEBAK BK"/>
    <x v="18"/>
    <x v="537"/>
    <x v="530"/>
    <x v="48"/>
    <x v="379"/>
    <x v="0"/>
    <x v="1"/>
    <x v="1"/>
    <n v="0"/>
    <n v="0"/>
  </r>
  <r>
    <s v="ALTAS TUISGEBAK BK"/>
    <x v="18"/>
    <x v="537"/>
    <x v="530"/>
    <x v="48"/>
    <x v="379"/>
    <x v="0"/>
    <x v="2"/>
    <x v="2"/>
    <n v="0"/>
    <n v="0"/>
  </r>
  <r>
    <s v="ALTAS TUISGEBAK BK"/>
    <x v="18"/>
    <x v="537"/>
    <x v="530"/>
    <x v="48"/>
    <x v="379"/>
    <x v="0"/>
    <x v="6"/>
    <x v="6"/>
    <n v="0"/>
    <n v="0"/>
  </r>
  <r>
    <s v="ALTAS TUISGEBAK BK"/>
    <x v="18"/>
    <x v="538"/>
    <x v="531"/>
    <x v="32"/>
    <x v="374"/>
    <x v="0"/>
    <x v="0"/>
    <x v="0"/>
    <n v="0"/>
    <n v="0"/>
  </r>
  <r>
    <s v="ALTAS TUISGEBAK BK"/>
    <x v="18"/>
    <x v="538"/>
    <x v="531"/>
    <x v="32"/>
    <x v="374"/>
    <x v="0"/>
    <x v="1"/>
    <x v="1"/>
    <n v="0"/>
    <n v="0"/>
  </r>
  <r>
    <s v="ALTAS TUISGEBAK BK"/>
    <x v="18"/>
    <x v="538"/>
    <x v="531"/>
    <x v="32"/>
    <x v="374"/>
    <x v="0"/>
    <x v="2"/>
    <x v="2"/>
    <n v="0"/>
    <n v="0"/>
  </r>
  <r>
    <s v="ALTAS TUISGEBAK BK"/>
    <x v="18"/>
    <x v="538"/>
    <x v="531"/>
    <x v="32"/>
    <x v="374"/>
    <x v="0"/>
    <x v="3"/>
    <x v="3"/>
    <n v="0"/>
    <n v="0"/>
  </r>
  <r>
    <s v="ALTAS TUISGEBAK BK"/>
    <x v="18"/>
    <x v="538"/>
    <x v="531"/>
    <x v="32"/>
    <x v="374"/>
    <x v="0"/>
    <x v="4"/>
    <x v="4"/>
    <n v="0"/>
    <n v="0"/>
  </r>
  <r>
    <s v="ALTAS TUISGEBAK BK"/>
    <x v="18"/>
    <x v="538"/>
    <x v="531"/>
    <x v="32"/>
    <x v="374"/>
    <x v="0"/>
    <x v="5"/>
    <x v="5"/>
    <n v="0"/>
    <n v="0"/>
  </r>
  <r>
    <s v="ALTAS TUISGEBAK BK"/>
    <x v="18"/>
    <x v="538"/>
    <x v="531"/>
    <x v="32"/>
    <x v="374"/>
    <x v="0"/>
    <x v="6"/>
    <x v="6"/>
    <n v="0"/>
    <n v="0"/>
  </r>
  <r>
    <s v="ALTAS TUISGEBAK BK"/>
    <x v="18"/>
    <x v="539"/>
    <x v="532"/>
    <x v="87"/>
    <x v="373"/>
    <x v="0"/>
    <x v="0"/>
    <x v="0"/>
    <n v="0"/>
    <n v="0"/>
  </r>
  <r>
    <s v="ALTAS TUISGEBAK BK"/>
    <x v="18"/>
    <x v="539"/>
    <x v="532"/>
    <x v="87"/>
    <x v="373"/>
    <x v="0"/>
    <x v="1"/>
    <x v="1"/>
    <n v="0"/>
    <n v="0"/>
  </r>
  <r>
    <s v="ALTAS TUISGEBAK BK"/>
    <x v="18"/>
    <x v="539"/>
    <x v="532"/>
    <x v="87"/>
    <x v="373"/>
    <x v="0"/>
    <x v="3"/>
    <x v="3"/>
    <n v="0"/>
    <n v="0"/>
  </r>
  <r>
    <s v="ALTAS TUISGEBAK BK"/>
    <x v="18"/>
    <x v="539"/>
    <x v="532"/>
    <x v="87"/>
    <x v="373"/>
    <x v="0"/>
    <x v="5"/>
    <x v="5"/>
    <n v="0"/>
    <n v="0"/>
  </r>
  <r>
    <s v="ALTAS TUISGEBAK BK"/>
    <x v="18"/>
    <x v="539"/>
    <x v="532"/>
    <x v="87"/>
    <x v="373"/>
    <x v="0"/>
    <x v="6"/>
    <x v="6"/>
    <n v="0"/>
    <n v="0"/>
  </r>
  <r>
    <s v="ALTAS TUISGEBAK BK"/>
    <x v="18"/>
    <x v="540"/>
    <x v="533"/>
    <x v="17"/>
    <x v="380"/>
    <x v="0"/>
    <x v="0"/>
    <x v="0"/>
    <n v="0"/>
    <n v="0"/>
  </r>
  <r>
    <s v="ALTAS TUISGEBAK BK"/>
    <x v="18"/>
    <x v="540"/>
    <x v="533"/>
    <x v="17"/>
    <x v="380"/>
    <x v="0"/>
    <x v="1"/>
    <x v="1"/>
    <n v="0"/>
    <n v="0"/>
  </r>
  <r>
    <s v="ALTAS TUISGEBAK BK"/>
    <x v="18"/>
    <x v="540"/>
    <x v="533"/>
    <x v="17"/>
    <x v="380"/>
    <x v="0"/>
    <x v="2"/>
    <x v="2"/>
    <n v="0"/>
    <n v="0"/>
  </r>
  <r>
    <s v="ALTAS TUISGEBAK BK"/>
    <x v="18"/>
    <x v="540"/>
    <x v="533"/>
    <x v="17"/>
    <x v="380"/>
    <x v="0"/>
    <x v="5"/>
    <x v="5"/>
    <n v="0"/>
    <n v="0"/>
  </r>
  <r>
    <s v="ALTAS TUISGEBAK BK"/>
    <x v="18"/>
    <x v="540"/>
    <x v="533"/>
    <x v="17"/>
    <x v="380"/>
    <x v="0"/>
    <x v="6"/>
    <x v="6"/>
    <n v="0"/>
    <n v="0"/>
  </r>
  <r>
    <s v="ALTAS TUISGEBAK BK"/>
    <x v="18"/>
    <x v="541"/>
    <x v="521"/>
    <x v="11"/>
    <x v="375"/>
    <x v="0"/>
    <x v="0"/>
    <x v="0"/>
    <n v="0"/>
    <n v="0"/>
  </r>
  <r>
    <s v="ALTAS TUISGEBAK BK"/>
    <x v="18"/>
    <x v="541"/>
    <x v="521"/>
    <x v="11"/>
    <x v="375"/>
    <x v="0"/>
    <x v="1"/>
    <x v="1"/>
    <n v="0"/>
    <n v="0"/>
  </r>
  <r>
    <s v="ALTAS TUISGEBAK BK"/>
    <x v="18"/>
    <x v="541"/>
    <x v="521"/>
    <x v="11"/>
    <x v="375"/>
    <x v="0"/>
    <x v="2"/>
    <x v="2"/>
    <n v="0"/>
    <n v="0"/>
  </r>
  <r>
    <s v="ALTAS TUISGEBAK BK"/>
    <x v="18"/>
    <x v="541"/>
    <x v="521"/>
    <x v="11"/>
    <x v="375"/>
    <x v="0"/>
    <x v="3"/>
    <x v="3"/>
    <n v="0"/>
    <n v="0"/>
  </r>
  <r>
    <s v="ALTAS TUISGEBAK BK"/>
    <x v="18"/>
    <x v="541"/>
    <x v="521"/>
    <x v="11"/>
    <x v="375"/>
    <x v="0"/>
    <x v="4"/>
    <x v="4"/>
    <n v="0"/>
    <n v="0"/>
  </r>
  <r>
    <s v="ALTAS TUISGEBAK BK"/>
    <x v="18"/>
    <x v="541"/>
    <x v="521"/>
    <x v="11"/>
    <x v="375"/>
    <x v="0"/>
    <x v="5"/>
    <x v="5"/>
    <n v="0"/>
    <n v="0"/>
  </r>
  <r>
    <s v="ALTAS TUISGEBAK BK"/>
    <x v="18"/>
    <x v="541"/>
    <x v="521"/>
    <x v="11"/>
    <x v="375"/>
    <x v="0"/>
    <x v="6"/>
    <x v="6"/>
    <n v="0"/>
    <n v="0"/>
  </r>
  <r>
    <s v="ALTAS TUISGEBAK BK"/>
    <x v="18"/>
    <x v="542"/>
    <x v="534"/>
    <x v="32"/>
    <x v="374"/>
    <x v="0"/>
    <x v="0"/>
    <x v="0"/>
    <n v="0"/>
    <n v="0"/>
  </r>
  <r>
    <s v="ALTAS TUISGEBAK BK"/>
    <x v="18"/>
    <x v="542"/>
    <x v="534"/>
    <x v="32"/>
    <x v="374"/>
    <x v="0"/>
    <x v="1"/>
    <x v="1"/>
    <n v="0"/>
    <n v="0"/>
  </r>
  <r>
    <s v="ALTAS TUISGEBAK BK"/>
    <x v="18"/>
    <x v="542"/>
    <x v="534"/>
    <x v="32"/>
    <x v="374"/>
    <x v="0"/>
    <x v="4"/>
    <x v="4"/>
    <n v="0"/>
    <n v="0"/>
  </r>
  <r>
    <s v="ALTAS TUISGEBAK BK"/>
    <x v="18"/>
    <x v="542"/>
    <x v="534"/>
    <x v="32"/>
    <x v="374"/>
    <x v="0"/>
    <x v="5"/>
    <x v="5"/>
    <n v="0"/>
    <n v="0"/>
  </r>
  <r>
    <s v="ALTAS TUISGEBAK BK"/>
    <x v="18"/>
    <x v="542"/>
    <x v="534"/>
    <x v="32"/>
    <x v="374"/>
    <x v="0"/>
    <x v="6"/>
    <x v="6"/>
    <n v="0"/>
    <n v="0"/>
  </r>
  <r>
    <s v="ALTAS TUISGEBAK BK"/>
    <x v="18"/>
    <x v="543"/>
    <x v="535"/>
    <x v="0"/>
    <x v="368"/>
    <x v="0"/>
    <x v="0"/>
    <x v="0"/>
    <n v="0"/>
    <n v="0"/>
  </r>
  <r>
    <s v="ALTAS TUISGEBAK BK"/>
    <x v="18"/>
    <x v="543"/>
    <x v="535"/>
    <x v="0"/>
    <x v="368"/>
    <x v="0"/>
    <x v="1"/>
    <x v="1"/>
    <n v="0"/>
    <n v="0"/>
  </r>
  <r>
    <s v="ALTAS TUISGEBAK BK"/>
    <x v="18"/>
    <x v="543"/>
    <x v="535"/>
    <x v="0"/>
    <x v="368"/>
    <x v="0"/>
    <x v="2"/>
    <x v="2"/>
    <n v="0"/>
    <n v="0"/>
  </r>
  <r>
    <s v="ALTAS TUISGEBAK BK"/>
    <x v="18"/>
    <x v="543"/>
    <x v="535"/>
    <x v="0"/>
    <x v="368"/>
    <x v="0"/>
    <x v="3"/>
    <x v="3"/>
    <n v="0"/>
    <n v="0"/>
  </r>
  <r>
    <s v="ALTAS TUISGEBAK BK"/>
    <x v="18"/>
    <x v="543"/>
    <x v="535"/>
    <x v="0"/>
    <x v="368"/>
    <x v="0"/>
    <x v="5"/>
    <x v="5"/>
    <n v="0"/>
    <n v="0"/>
  </r>
  <r>
    <s v="ALTAS TUISGEBAK BK"/>
    <x v="18"/>
    <x v="543"/>
    <x v="535"/>
    <x v="0"/>
    <x v="368"/>
    <x v="0"/>
    <x v="6"/>
    <x v="6"/>
    <n v="0"/>
    <n v="0"/>
  </r>
  <r>
    <s v="ALTAS TUISGEBAK BK"/>
    <x v="18"/>
    <x v="544"/>
    <x v="536"/>
    <x v="20"/>
    <x v="381"/>
    <x v="0"/>
    <x v="0"/>
    <x v="0"/>
    <n v="0"/>
    <n v="0"/>
  </r>
  <r>
    <s v="ALTAS TUISGEBAK BK"/>
    <x v="18"/>
    <x v="544"/>
    <x v="536"/>
    <x v="20"/>
    <x v="381"/>
    <x v="0"/>
    <x v="1"/>
    <x v="1"/>
    <n v="0"/>
    <n v="0"/>
  </r>
  <r>
    <s v="ALTAS TUISGEBAK BK"/>
    <x v="18"/>
    <x v="544"/>
    <x v="536"/>
    <x v="20"/>
    <x v="381"/>
    <x v="0"/>
    <x v="3"/>
    <x v="3"/>
    <n v="0"/>
    <n v="0"/>
  </r>
  <r>
    <s v="ALTAS TUISGEBAK BK"/>
    <x v="18"/>
    <x v="544"/>
    <x v="536"/>
    <x v="20"/>
    <x v="381"/>
    <x v="0"/>
    <x v="4"/>
    <x v="4"/>
    <n v="0"/>
    <n v="0"/>
  </r>
  <r>
    <s v="ALTAS TUISGEBAK BK"/>
    <x v="18"/>
    <x v="544"/>
    <x v="536"/>
    <x v="20"/>
    <x v="381"/>
    <x v="0"/>
    <x v="6"/>
    <x v="6"/>
    <n v="0"/>
    <n v="0"/>
  </r>
  <r>
    <s v="ALTAS TUISGEBAK BK"/>
    <x v="18"/>
    <x v="545"/>
    <x v="537"/>
    <x v="138"/>
    <x v="382"/>
    <x v="0"/>
    <x v="0"/>
    <x v="0"/>
    <n v="0"/>
    <n v="0"/>
  </r>
  <r>
    <s v="ALTAS TUISGEBAK BK"/>
    <x v="18"/>
    <x v="545"/>
    <x v="537"/>
    <x v="138"/>
    <x v="382"/>
    <x v="0"/>
    <x v="1"/>
    <x v="1"/>
    <n v="0"/>
    <n v="0"/>
  </r>
  <r>
    <s v="ALTAS TUISGEBAK BK"/>
    <x v="18"/>
    <x v="545"/>
    <x v="537"/>
    <x v="138"/>
    <x v="382"/>
    <x v="0"/>
    <x v="2"/>
    <x v="2"/>
    <n v="0"/>
    <n v="0"/>
  </r>
  <r>
    <s v="ALTAS TUISGEBAK BK"/>
    <x v="18"/>
    <x v="545"/>
    <x v="537"/>
    <x v="138"/>
    <x v="382"/>
    <x v="0"/>
    <x v="3"/>
    <x v="3"/>
    <n v="0"/>
    <n v="0"/>
  </r>
  <r>
    <s v="ALTAS TUISGEBAK BK"/>
    <x v="18"/>
    <x v="545"/>
    <x v="537"/>
    <x v="138"/>
    <x v="382"/>
    <x v="0"/>
    <x v="4"/>
    <x v="4"/>
    <n v="0"/>
    <n v="0"/>
  </r>
  <r>
    <s v="ALTAS TUISGEBAK BK"/>
    <x v="18"/>
    <x v="545"/>
    <x v="537"/>
    <x v="138"/>
    <x v="382"/>
    <x v="0"/>
    <x v="5"/>
    <x v="5"/>
    <n v="0"/>
    <n v="0"/>
  </r>
  <r>
    <s v="ALTAS TUISGEBAK BK"/>
    <x v="18"/>
    <x v="545"/>
    <x v="537"/>
    <x v="138"/>
    <x v="382"/>
    <x v="0"/>
    <x v="6"/>
    <x v="6"/>
    <n v="0"/>
    <n v="0"/>
  </r>
  <r>
    <s v="ALTAS TUISGEBAK BK"/>
    <x v="18"/>
    <x v="546"/>
    <x v="363"/>
    <x v="139"/>
    <x v="383"/>
    <x v="0"/>
    <x v="0"/>
    <x v="0"/>
    <n v="0"/>
    <n v="0"/>
  </r>
  <r>
    <s v="ALTAS TUISGEBAK BK"/>
    <x v="18"/>
    <x v="546"/>
    <x v="363"/>
    <x v="139"/>
    <x v="383"/>
    <x v="0"/>
    <x v="2"/>
    <x v="2"/>
    <n v="0"/>
    <n v="0"/>
  </r>
  <r>
    <s v="ALTAS TUISGEBAK BK"/>
    <x v="18"/>
    <x v="546"/>
    <x v="363"/>
    <x v="139"/>
    <x v="383"/>
    <x v="0"/>
    <x v="3"/>
    <x v="3"/>
    <n v="0"/>
    <n v="0"/>
  </r>
  <r>
    <s v="ALTAS TUISGEBAK BK"/>
    <x v="18"/>
    <x v="546"/>
    <x v="363"/>
    <x v="139"/>
    <x v="383"/>
    <x v="0"/>
    <x v="4"/>
    <x v="4"/>
    <n v="0"/>
    <n v="0"/>
  </r>
  <r>
    <s v="ALTAS TUISGEBAK BK"/>
    <x v="18"/>
    <x v="546"/>
    <x v="363"/>
    <x v="139"/>
    <x v="383"/>
    <x v="0"/>
    <x v="6"/>
    <x v="6"/>
    <n v="0"/>
    <n v="0"/>
  </r>
  <r>
    <s v="ALTAS TUISGEBAK BK"/>
    <x v="18"/>
    <x v="547"/>
    <x v="538"/>
    <x v="11"/>
    <x v="375"/>
    <x v="0"/>
    <x v="0"/>
    <x v="0"/>
    <n v="0"/>
    <n v="0"/>
  </r>
  <r>
    <s v="ALTAS TUISGEBAK BK"/>
    <x v="18"/>
    <x v="547"/>
    <x v="538"/>
    <x v="11"/>
    <x v="375"/>
    <x v="0"/>
    <x v="1"/>
    <x v="1"/>
    <n v="0"/>
    <n v="0"/>
  </r>
  <r>
    <s v="ALTAS TUISGEBAK BK"/>
    <x v="18"/>
    <x v="547"/>
    <x v="538"/>
    <x v="11"/>
    <x v="375"/>
    <x v="0"/>
    <x v="2"/>
    <x v="2"/>
    <n v="0"/>
    <n v="0"/>
  </r>
  <r>
    <s v="ALTAS TUISGEBAK BK"/>
    <x v="18"/>
    <x v="547"/>
    <x v="538"/>
    <x v="11"/>
    <x v="375"/>
    <x v="0"/>
    <x v="3"/>
    <x v="3"/>
    <n v="0"/>
    <n v="0"/>
  </r>
  <r>
    <s v="ALTAS TUISGEBAK BK"/>
    <x v="18"/>
    <x v="547"/>
    <x v="538"/>
    <x v="11"/>
    <x v="375"/>
    <x v="0"/>
    <x v="4"/>
    <x v="4"/>
    <n v="0"/>
    <n v="0"/>
  </r>
  <r>
    <s v="ALTAS TUISGEBAK BK"/>
    <x v="18"/>
    <x v="547"/>
    <x v="538"/>
    <x v="11"/>
    <x v="375"/>
    <x v="0"/>
    <x v="5"/>
    <x v="5"/>
    <n v="0"/>
    <n v="0"/>
  </r>
  <r>
    <s v="ALTAS TUISGEBAK BK"/>
    <x v="18"/>
    <x v="547"/>
    <x v="538"/>
    <x v="11"/>
    <x v="375"/>
    <x v="0"/>
    <x v="6"/>
    <x v="6"/>
    <n v="0"/>
    <n v="0"/>
  </r>
  <r>
    <s v="ALTAS TUISGEBAK BK"/>
    <x v="18"/>
    <x v="548"/>
    <x v="539"/>
    <x v="87"/>
    <x v="373"/>
    <x v="0"/>
    <x v="0"/>
    <x v="0"/>
    <n v="0"/>
    <n v="0"/>
  </r>
  <r>
    <s v="ALTAS TUISGEBAK BK"/>
    <x v="18"/>
    <x v="548"/>
    <x v="539"/>
    <x v="87"/>
    <x v="373"/>
    <x v="0"/>
    <x v="1"/>
    <x v="1"/>
    <n v="0"/>
    <n v="0"/>
  </r>
  <r>
    <s v="ALTAS TUISGEBAK BK"/>
    <x v="18"/>
    <x v="548"/>
    <x v="539"/>
    <x v="87"/>
    <x v="373"/>
    <x v="0"/>
    <x v="2"/>
    <x v="2"/>
    <n v="0"/>
    <n v="0"/>
  </r>
  <r>
    <s v="ALTAS TUISGEBAK BK"/>
    <x v="18"/>
    <x v="548"/>
    <x v="539"/>
    <x v="87"/>
    <x v="373"/>
    <x v="0"/>
    <x v="3"/>
    <x v="3"/>
    <n v="0"/>
    <n v="0"/>
  </r>
  <r>
    <s v="ALTAS TUISGEBAK BK"/>
    <x v="18"/>
    <x v="548"/>
    <x v="539"/>
    <x v="87"/>
    <x v="373"/>
    <x v="0"/>
    <x v="4"/>
    <x v="4"/>
    <n v="0"/>
    <n v="0"/>
  </r>
  <r>
    <s v="ALTAS TUISGEBAK BK"/>
    <x v="18"/>
    <x v="548"/>
    <x v="539"/>
    <x v="87"/>
    <x v="373"/>
    <x v="0"/>
    <x v="6"/>
    <x v="6"/>
    <n v="0"/>
    <n v="0"/>
  </r>
  <r>
    <s v="ALTAS TUISGEBAK BK"/>
    <x v="18"/>
    <x v="549"/>
    <x v="540"/>
    <x v="87"/>
    <x v="373"/>
    <x v="0"/>
    <x v="0"/>
    <x v="0"/>
    <n v="0"/>
    <n v="0"/>
  </r>
  <r>
    <s v="ALTAS TUISGEBAK BK"/>
    <x v="18"/>
    <x v="549"/>
    <x v="540"/>
    <x v="87"/>
    <x v="373"/>
    <x v="0"/>
    <x v="1"/>
    <x v="1"/>
    <n v="0"/>
    <n v="0"/>
  </r>
  <r>
    <s v="ALTAS TUISGEBAK BK"/>
    <x v="18"/>
    <x v="549"/>
    <x v="540"/>
    <x v="87"/>
    <x v="373"/>
    <x v="0"/>
    <x v="2"/>
    <x v="2"/>
    <n v="0"/>
    <n v="0"/>
  </r>
  <r>
    <s v="ALTAS TUISGEBAK BK"/>
    <x v="18"/>
    <x v="549"/>
    <x v="540"/>
    <x v="87"/>
    <x v="373"/>
    <x v="0"/>
    <x v="3"/>
    <x v="3"/>
    <n v="0"/>
    <n v="0"/>
  </r>
  <r>
    <s v="ALTAS TUISGEBAK BK"/>
    <x v="18"/>
    <x v="549"/>
    <x v="540"/>
    <x v="87"/>
    <x v="373"/>
    <x v="0"/>
    <x v="4"/>
    <x v="4"/>
    <n v="0"/>
    <n v="0"/>
  </r>
  <r>
    <s v="ALTAS TUISGEBAK BK"/>
    <x v="18"/>
    <x v="549"/>
    <x v="540"/>
    <x v="87"/>
    <x v="373"/>
    <x v="0"/>
    <x v="6"/>
    <x v="6"/>
    <n v="0"/>
    <n v="0"/>
  </r>
  <r>
    <s v="ALTAS TUISGEBAK BK"/>
    <x v="18"/>
    <x v="550"/>
    <x v="541"/>
    <x v="33"/>
    <x v="378"/>
    <x v="0"/>
    <x v="0"/>
    <x v="0"/>
    <n v="0"/>
    <n v="0"/>
  </r>
  <r>
    <s v="ALTAS TUISGEBAK BK"/>
    <x v="18"/>
    <x v="550"/>
    <x v="541"/>
    <x v="33"/>
    <x v="378"/>
    <x v="0"/>
    <x v="1"/>
    <x v="1"/>
    <n v="0"/>
    <n v="0"/>
  </r>
  <r>
    <s v="ALTAS TUISGEBAK BK"/>
    <x v="18"/>
    <x v="550"/>
    <x v="541"/>
    <x v="33"/>
    <x v="378"/>
    <x v="0"/>
    <x v="3"/>
    <x v="3"/>
    <n v="0"/>
    <n v="0"/>
  </r>
  <r>
    <s v="ALTAS TUISGEBAK BK"/>
    <x v="18"/>
    <x v="550"/>
    <x v="541"/>
    <x v="33"/>
    <x v="378"/>
    <x v="0"/>
    <x v="4"/>
    <x v="4"/>
    <n v="0"/>
    <n v="0"/>
  </r>
  <r>
    <s v="ALTAS TUISGEBAK BK"/>
    <x v="18"/>
    <x v="550"/>
    <x v="541"/>
    <x v="33"/>
    <x v="378"/>
    <x v="0"/>
    <x v="6"/>
    <x v="6"/>
    <n v="0"/>
    <n v="0"/>
  </r>
  <r>
    <s v="ALTAS TUISGEBAK BK"/>
    <x v="18"/>
    <x v="551"/>
    <x v="542"/>
    <x v="11"/>
    <x v="375"/>
    <x v="0"/>
    <x v="0"/>
    <x v="0"/>
    <n v="0"/>
    <n v="0"/>
  </r>
  <r>
    <s v="ALTAS TUISGEBAK BK"/>
    <x v="18"/>
    <x v="551"/>
    <x v="542"/>
    <x v="11"/>
    <x v="375"/>
    <x v="0"/>
    <x v="1"/>
    <x v="1"/>
    <n v="0"/>
    <n v="0"/>
  </r>
  <r>
    <s v="ALTAS TUISGEBAK BK"/>
    <x v="18"/>
    <x v="551"/>
    <x v="542"/>
    <x v="11"/>
    <x v="375"/>
    <x v="0"/>
    <x v="2"/>
    <x v="2"/>
    <n v="0"/>
    <n v="0"/>
  </r>
  <r>
    <s v="ALTAS TUISGEBAK BK"/>
    <x v="18"/>
    <x v="551"/>
    <x v="542"/>
    <x v="11"/>
    <x v="375"/>
    <x v="0"/>
    <x v="3"/>
    <x v="3"/>
    <n v="0"/>
    <n v="0"/>
  </r>
  <r>
    <s v="ALTAS TUISGEBAK BK"/>
    <x v="18"/>
    <x v="551"/>
    <x v="542"/>
    <x v="11"/>
    <x v="375"/>
    <x v="0"/>
    <x v="4"/>
    <x v="4"/>
    <n v="0"/>
    <n v="0"/>
  </r>
  <r>
    <s v="ALTAS TUISGEBAK BK"/>
    <x v="18"/>
    <x v="551"/>
    <x v="542"/>
    <x v="11"/>
    <x v="375"/>
    <x v="0"/>
    <x v="5"/>
    <x v="5"/>
    <n v="0"/>
    <n v="0"/>
  </r>
  <r>
    <s v="ALTAS TUISGEBAK BK"/>
    <x v="18"/>
    <x v="551"/>
    <x v="542"/>
    <x v="11"/>
    <x v="375"/>
    <x v="0"/>
    <x v="6"/>
    <x v="6"/>
    <n v="0"/>
    <n v="0"/>
  </r>
  <r>
    <s v="ALTAS TUISGEBAK BK"/>
    <x v="18"/>
    <x v="552"/>
    <x v="543"/>
    <x v="140"/>
    <x v="384"/>
    <x v="0"/>
    <x v="0"/>
    <x v="0"/>
    <n v="0"/>
    <n v="0"/>
  </r>
  <r>
    <s v="ALTAS TUISGEBAK BK"/>
    <x v="18"/>
    <x v="552"/>
    <x v="543"/>
    <x v="140"/>
    <x v="384"/>
    <x v="0"/>
    <x v="1"/>
    <x v="1"/>
    <n v="0"/>
    <n v="0"/>
  </r>
  <r>
    <s v="ALTAS TUISGEBAK BK"/>
    <x v="18"/>
    <x v="552"/>
    <x v="543"/>
    <x v="140"/>
    <x v="384"/>
    <x v="0"/>
    <x v="2"/>
    <x v="2"/>
    <n v="0"/>
    <n v="0"/>
  </r>
  <r>
    <s v="ALTAS TUISGEBAK BK"/>
    <x v="18"/>
    <x v="552"/>
    <x v="543"/>
    <x v="140"/>
    <x v="384"/>
    <x v="0"/>
    <x v="3"/>
    <x v="3"/>
    <n v="0"/>
    <n v="0"/>
  </r>
  <r>
    <s v="ALTAS TUISGEBAK BK"/>
    <x v="18"/>
    <x v="552"/>
    <x v="543"/>
    <x v="140"/>
    <x v="384"/>
    <x v="0"/>
    <x v="4"/>
    <x v="4"/>
    <n v="0"/>
    <n v="0"/>
  </r>
  <r>
    <s v="ALTAS TUISGEBAK BK"/>
    <x v="18"/>
    <x v="552"/>
    <x v="543"/>
    <x v="140"/>
    <x v="384"/>
    <x v="0"/>
    <x v="5"/>
    <x v="5"/>
    <n v="0"/>
    <n v="0"/>
  </r>
  <r>
    <s v="ALTAS TUISGEBAK BK"/>
    <x v="18"/>
    <x v="552"/>
    <x v="543"/>
    <x v="140"/>
    <x v="384"/>
    <x v="0"/>
    <x v="6"/>
    <x v="6"/>
    <n v="0"/>
    <n v="0"/>
  </r>
  <r>
    <s v="ALTAS TUISGEBAK BK"/>
    <x v="18"/>
    <x v="553"/>
    <x v="544"/>
    <x v="33"/>
    <x v="378"/>
    <x v="0"/>
    <x v="0"/>
    <x v="0"/>
    <n v="0"/>
    <n v="0"/>
  </r>
  <r>
    <s v="ALTAS TUISGEBAK BK"/>
    <x v="18"/>
    <x v="553"/>
    <x v="544"/>
    <x v="33"/>
    <x v="378"/>
    <x v="0"/>
    <x v="1"/>
    <x v="1"/>
    <n v="0"/>
    <n v="0"/>
  </r>
  <r>
    <s v="ALTAS TUISGEBAK BK"/>
    <x v="18"/>
    <x v="553"/>
    <x v="544"/>
    <x v="33"/>
    <x v="378"/>
    <x v="0"/>
    <x v="2"/>
    <x v="2"/>
    <n v="0"/>
    <n v="0"/>
  </r>
  <r>
    <s v="ALTAS TUISGEBAK BK"/>
    <x v="18"/>
    <x v="553"/>
    <x v="544"/>
    <x v="33"/>
    <x v="378"/>
    <x v="0"/>
    <x v="4"/>
    <x v="4"/>
    <n v="0"/>
    <n v="0"/>
  </r>
  <r>
    <s v="ALTAS TUISGEBAK BK"/>
    <x v="18"/>
    <x v="553"/>
    <x v="544"/>
    <x v="33"/>
    <x v="378"/>
    <x v="0"/>
    <x v="6"/>
    <x v="6"/>
    <n v="0"/>
    <n v="0"/>
  </r>
  <r>
    <s v="ALTAS TUISGEBAK BK"/>
    <x v="18"/>
    <x v="554"/>
    <x v="545"/>
    <x v="135"/>
    <x v="372"/>
    <x v="0"/>
    <x v="0"/>
    <x v="0"/>
    <n v="0"/>
    <n v="0"/>
  </r>
  <r>
    <s v="ALTAS TUISGEBAK BK"/>
    <x v="18"/>
    <x v="554"/>
    <x v="545"/>
    <x v="135"/>
    <x v="372"/>
    <x v="0"/>
    <x v="1"/>
    <x v="1"/>
    <n v="0"/>
    <n v="0"/>
  </r>
  <r>
    <s v="ALTAS TUISGEBAK BK"/>
    <x v="18"/>
    <x v="554"/>
    <x v="545"/>
    <x v="135"/>
    <x v="372"/>
    <x v="0"/>
    <x v="2"/>
    <x v="2"/>
    <n v="0"/>
    <n v="0"/>
  </r>
  <r>
    <s v="ALTAS TUISGEBAK BK"/>
    <x v="18"/>
    <x v="554"/>
    <x v="545"/>
    <x v="135"/>
    <x v="372"/>
    <x v="0"/>
    <x v="3"/>
    <x v="3"/>
    <n v="0"/>
    <n v="0"/>
  </r>
  <r>
    <s v="ALTAS TUISGEBAK BK"/>
    <x v="18"/>
    <x v="554"/>
    <x v="545"/>
    <x v="135"/>
    <x v="372"/>
    <x v="0"/>
    <x v="4"/>
    <x v="4"/>
    <n v="0"/>
    <n v="0"/>
  </r>
  <r>
    <s v="ALTAS TUISGEBAK BK"/>
    <x v="18"/>
    <x v="554"/>
    <x v="545"/>
    <x v="135"/>
    <x v="372"/>
    <x v="0"/>
    <x v="5"/>
    <x v="5"/>
    <n v="0"/>
    <n v="0"/>
  </r>
  <r>
    <s v="ALTAS TUISGEBAK BK"/>
    <x v="18"/>
    <x v="554"/>
    <x v="545"/>
    <x v="135"/>
    <x v="372"/>
    <x v="0"/>
    <x v="6"/>
    <x v="6"/>
    <n v="0"/>
    <n v="0"/>
  </r>
  <r>
    <s v="ALTAS TUISGEBAK BK"/>
    <x v="18"/>
    <x v="555"/>
    <x v="546"/>
    <x v="0"/>
    <x v="368"/>
    <x v="0"/>
    <x v="0"/>
    <x v="0"/>
    <n v="0"/>
    <n v="0"/>
  </r>
  <r>
    <s v="ALTAS TUISGEBAK BK"/>
    <x v="18"/>
    <x v="555"/>
    <x v="546"/>
    <x v="0"/>
    <x v="368"/>
    <x v="0"/>
    <x v="1"/>
    <x v="1"/>
    <n v="0"/>
    <n v="0"/>
  </r>
  <r>
    <s v="ALTAS TUISGEBAK BK"/>
    <x v="18"/>
    <x v="555"/>
    <x v="546"/>
    <x v="0"/>
    <x v="368"/>
    <x v="0"/>
    <x v="2"/>
    <x v="2"/>
    <n v="0"/>
    <n v="0"/>
  </r>
  <r>
    <s v="ALTAS TUISGEBAK BK"/>
    <x v="18"/>
    <x v="555"/>
    <x v="546"/>
    <x v="0"/>
    <x v="368"/>
    <x v="0"/>
    <x v="3"/>
    <x v="3"/>
    <n v="0"/>
    <n v="0"/>
  </r>
  <r>
    <s v="ALTAS TUISGEBAK BK"/>
    <x v="18"/>
    <x v="555"/>
    <x v="546"/>
    <x v="0"/>
    <x v="368"/>
    <x v="0"/>
    <x v="4"/>
    <x v="4"/>
    <n v="0"/>
    <n v="0"/>
  </r>
  <r>
    <s v="ALTAS TUISGEBAK BK"/>
    <x v="18"/>
    <x v="555"/>
    <x v="546"/>
    <x v="0"/>
    <x v="368"/>
    <x v="0"/>
    <x v="5"/>
    <x v="5"/>
    <n v="0"/>
    <n v="0"/>
  </r>
  <r>
    <s v="ALTAS TUISGEBAK BK"/>
    <x v="18"/>
    <x v="555"/>
    <x v="546"/>
    <x v="0"/>
    <x v="368"/>
    <x v="0"/>
    <x v="6"/>
    <x v="6"/>
    <n v="0"/>
    <n v="0"/>
  </r>
  <r>
    <s v="ALTAS TUISGEBAK BK"/>
    <x v="18"/>
    <x v="556"/>
    <x v="547"/>
    <x v="29"/>
    <x v="385"/>
    <x v="0"/>
    <x v="0"/>
    <x v="0"/>
    <n v="0"/>
    <n v="0"/>
  </r>
  <r>
    <s v="ALTAS TUISGEBAK BK"/>
    <x v="18"/>
    <x v="556"/>
    <x v="547"/>
    <x v="29"/>
    <x v="385"/>
    <x v="0"/>
    <x v="1"/>
    <x v="1"/>
    <n v="0"/>
    <n v="0"/>
  </r>
  <r>
    <s v="ALTAS TUISGEBAK BK"/>
    <x v="18"/>
    <x v="556"/>
    <x v="547"/>
    <x v="29"/>
    <x v="385"/>
    <x v="0"/>
    <x v="3"/>
    <x v="3"/>
    <n v="0"/>
    <n v="0"/>
  </r>
  <r>
    <s v="ALTAS TUISGEBAK BK"/>
    <x v="18"/>
    <x v="556"/>
    <x v="547"/>
    <x v="29"/>
    <x v="385"/>
    <x v="0"/>
    <x v="5"/>
    <x v="5"/>
    <n v="0"/>
    <n v="0"/>
  </r>
  <r>
    <s v="ALTAS TUISGEBAK BK"/>
    <x v="18"/>
    <x v="556"/>
    <x v="547"/>
    <x v="29"/>
    <x v="385"/>
    <x v="0"/>
    <x v="6"/>
    <x v="6"/>
    <n v="0"/>
    <n v="0"/>
  </r>
  <r>
    <s v="ALTAS TUISGEBAK BK"/>
    <x v="18"/>
    <x v="557"/>
    <x v="548"/>
    <x v="141"/>
    <x v="386"/>
    <x v="0"/>
    <x v="0"/>
    <x v="0"/>
    <n v="0"/>
    <n v="0"/>
  </r>
  <r>
    <s v="ALTAS TUISGEBAK BK"/>
    <x v="18"/>
    <x v="557"/>
    <x v="548"/>
    <x v="141"/>
    <x v="386"/>
    <x v="0"/>
    <x v="1"/>
    <x v="1"/>
    <n v="0"/>
    <n v="0"/>
  </r>
  <r>
    <s v="ALTAS TUISGEBAK BK"/>
    <x v="18"/>
    <x v="557"/>
    <x v="548"/>
    <x v="141"/>
    <x v="386"/>
    <x v="0"/>
    <x v="2"/>
    <x v="2"/>
    <n v="0"/>
    <n v="0"/>
  </r>
  <r>
    <s v="ALTAS TUISGEBAK BK"/>
    <x v="18"/>
    <x v="557"/>
    <x v="548"/>
    <x v="141"/>
    <x v="386"/>
    <x v="0"/>
    <x v="3"/>
    <x v="3"/>
    <n v="0"/>
    <n v="0"/>
  </r>
  <r>
    <s v="ALTAS TUISGEBAK BK"/>
    <x v="18"/>
    <x v="557"/>
    <x v="548"/>
    <x v="141"/>
    <x v="386"/>
    <x v="0"/>
    <x v="4"/>
    <x v="4"/>
    <n v="0"/>
    <n v="0"/>
  </r>
  <r>
    <s v="ALTAS TUISGEBAK BK"/>
    <x v="18"/>
    <x v="557"/>
    <x v="548"/>
    <x v="141"/>
    <x v="386"/>
    <x v="0"/>
    <x v="5"/>
    <x v="5"/>
    <n v="0"/>
    <n v="0"/>
  </r>
  <r>
    <s v="ALTAS TUISGEBAK BK"/>
    <x v="18"/>
    <x v="557"/>
    <x v="548"/>
    <x v="141"/>
    <x v="386"/>
    <x v="0"/>
    <x v="6"/>
    <x v="6"/>
    <n v="0"/>
    <n v="0"/>
  </r>
  <r>
    <s v="ALTAS TUISGEBAK BK"/>
    <x v="18"/>
    <x v="558"/>
    <x v="549"/>
    <x v="87"/>
    <x v="373"/>
    <x v="0"/>
    <x v="0"/>
    <x v="0"/>
    <n v="0"/>
    <n v="0"/>
  </r>
  <r>
    <s v="ALTAS TUISGEBAK BK"/>
    <x v="18"/>
    <x v="558"/>
    <x v="549"/>
    <x v="87"/>
    <x v="373"/>
    <x v="0"/>
    <x v="1"/>
    <x v="1"/>
    <n v="0"/>
    <n v="0"/>
  </r>
  <r>
    <s v="ALTAS TUISGEBAK BK"/>
    <x v="18"/>
    <x v="558"/>
    <x v="549"/>
    <x v="87"/>
    <x v="373"/>
    <x v="0"/>
    <x v="3"/>
    <x v="3"/>
    <n v="0"/>
    <n v="0"/>
  </r>
  <r>
    <s v="ALTAS TUISGEBAK BK"/>
    <x v="18"/>
    <x v="558"/>
    <x v="549"/>
    <x v="87"/>
    <x v="373"/>
    <x v="0"/>
    <x v="5"/>
    <x v="5"/>
    <n v="0"/>
    <n v="0"/>
  </r>
  <r>
    <s v="ALTAS TUISGEBAK BK"/>
    <x v="18"/>
    <x v="558"/>
    <x v="549"/>
    <x v="87"/>
    <x v="373"/>
    <x v="0"/>
    <x v="6"/>
    <x v="6"/>
    <n v="0"/>
    <n v="0"/>
  </r>
  <r>
    <s v="ALTAS TUISGEBAK BK"/>
    <x v="18"/>
    <x v="559"/>
    <x v="550"/>
    <x v="142"/>
    <x v="387"/>
    <x v="0"/>
    <x v="0"/>
    <x v="0"/>
    <n v="0"/>
    <n v="0"/>
  </r>
  <r>
    <s v="ALTAS TUISGEBAK BK"/>
    <x v="18"/>
    <x v="559"/>
    <x v="550"/>
    <x v="142"/>
    <x v="387"/>
    <x v="0"/>
    <x v="1"/>
    <x v="1"/>
    <n v="0"/>
    <n v="0"/>
  </r>
  <r>
    <s v="ALTAS TUISGEBAK BK"/>
    <x v="18"/>
    <x v="559"/>
    <x v="550"/>
    <x v="142"/>
    <x v="387"/>
    <x v="0"/>
    <x v="4"/>
    <x v="4"/>
    <n v="0"/>
    <n v="0"/>
  </r>
  <r>
    <s v="ALTAS TUISGEBAK BK"/>
    <x v="18"/>
    <x v="559"/>
    <x v="550"/>
    <x v="142"/>
    <x v="387"/>
    <x v="0"/>
    <x v="5"/>
    <x v="5"/>
    <n v="0"/>
    <n v="0"/>
  </r>
  <r>
    <s v="ALTAS TUISGEBAK BK"/>
    <x v="18"/>
    <x v="559"/>
    <x v="550"/>
    <x v="142"/>
    <x v="387"/>
    <x v="0"/>
    <x v="6"/>
    <x v="6"/>
    <n v="0"/>
    <n v="0"/>
  </r>
  <r>
    <s v="ALTAS TUISGEBAK BK"/>
    <x v="18"/>
    <x v="560"/>
    <x v="551"/>
    <x v="140"/>
    <x v="384"/>
    <x v="0"/>
    <x v="0"/>
    <x v="0"/>
    <n v="0"/>
    <n v="0"/>
  </r>
  <r>
    <s v="ALTAS TUISGEBAK BK"/>
    <x v="18"/>
    <x v="560"/>
    <x v="551"/>
    <x v="140"/>
    <x v="384"/>
    <x v="0"/>
    <x v="1"/>
    <x v="1"/>
    <n v="0"/>
    <n v="0"/>
  </r>
  <r>
    <s v="ALTAS TUISGEBAK BK"/>
    <x v="18"/>
    <x v="560"/>
    <x v="551"/>
    <x v="140"/>
    <x v="384"/>
    <x v="0"/>
    <x v="2"/>
    <x v="2"/>
    <n v="0"/>
    <n v="0"/>
  </r>
  <r>
    <s v="ALTAS TUISGEBAK BK"/>
    <x v="18"/>
    <x v="560"/>
    <x v="551"/>
    <x v="140"/>
    <x v="384"/>
    <x v="0"/>
    <x v="3"/>
    <x v="3"/>
    <n v="0"/>
    <n v="0"/>
  </r>
  <r>
    <s v="ALTAS TUISGEBAK BK"/>
    <x v="18"/>
    <x v="560"/>
    <x v="551"/>
    <x v="140"/>
    <x v="384"/>
    <x v="0"/>
    <x v="4"/>
    <x v="4"/>
    <n v="0"/>
    <n v="0"/>
  </r>
  <r>
    <s v="ALTAS TUISGEBAK BK"/>
    <x v="18"/>
    <x v="560"/>
    <x v="551"/>
    <x v="140"/>
    <x v="384"/>
    <x v="0"/>
    <x v="5"/>
    <x v="5"/>
    <n v="0"/>
    <n v="0"/>
  </r>
  <r>
    <s v="ALTAS TUISGEBAK BK"/>
    <x v="18"/>
    <x v="560"/>
    <x v="551"/>
    <x v="140"/>
    <x v="384"/>
    <x v="0"/>
    <x v="6"/>
    <x v="6"/>
    <n v="0"/>
    <n v="0"/>
  </r>
  <r>
    <s v="ALTAS TUISGEBAK BK"/>
    <x v="18"/>
    <x v="561"/>
    <x v="552"/>
    <x v="143"/>
    <x v="388"/>
    <x v="0"/>
    <x v="0"/>
    <x v="0"/>
    <n v="0"/>
    <n v="0"/>
  </r>
  <r>
    <s v="ALTAS TUISGEBAK BK"/>
    <x v="18"/>
    <x v="561"/>
    <x v="552"/>
    <x v="143"/>
    <x v="388"/>
    <x v="0"/>
    <x v="1"/>
    <x v="1"/>
    <n v="0"/>
    <n v="0"/>
  </r>
  <r>
    <s v="ALTAS TUISGEBAK BK"/>
    <x v="18"/>
    <x v="561"/>
    <x v="552"/>
    <x v="143"/>
    <x v="388"/>
    <x v="0"/>
    <x v="2"/>
    <x v="2"/>
    <n v="0"/>
    <n v="0"/>
  </r>
  <r>
    <s v="ALTAS TUISGEBAK BK"/>
    <x v="18"/>
    <x v="561"/>
    <x v="552"/>
    <x v="143"/>
    <x v="388"/>
    <x v="0"/>
    <x v="3"/>
    <x v="3"/>
    <n v="0"/>
    <n v="0"/>
  </r>
  <r>
    <s v="ALTAS TUISGEBAK BK"/>
    <x v="18"/>
    <x v="561"/>
    <x v="552"/>
    <x v="143"/>
    <x v="388"/>
    <x v="0"/>
    <x v="4"/>
    <x v="4"/>
    <n v="0"/>
    <n v="0"/>
  </r>
  <r>
    <s v="ALTAS TUISGEBAK BK"/>
    <x v="18"/>
    <x v="561"/>
    <x v="552"/>
    <x v="143"/>
    <x v="388"/>
    <x v="0"/>
    <x v="6"/>
    <x v="6"/>
    <n v="0"/>
    <n v="0"/>
  </r>
  <r>
    <s v="ALTAS TUISGEBAK BK"/>
    <x v="18"/>
    <x v="562"/>
    <x v="553"/>
    <x v="53"/>
    <x v="389"/>
    <x v="0"/>
    <x v="0"/>
    <x v="0"/>
    <n v="0"/>
    <n v="0"/>
  </r>
  <r>
    <s v="ALTAS TUISGEBAK BK"/>
    <x v="18"/>
    <x v="562"/>
    <x v="553"/>
    <x v="53"/>
    <x v="389"/>
    <x v="0"/>
    <x v="1"/>
    <x v="1"/>
    <n v="0"/>
    <n v="0"/>
  </r>
  <r>
    <s v="ALTAS TUISGEBAK BK"/>
    <x v="18"/>
    <x v="562"/>
    <x v="553"/>
    <x v="53"/>
    <x v="389"/>
    <x v="0"/>
    <x v="3"/>
    <x v="3"/>
    <n v="0"/>
    <n v="0"/>
  </r>
  <r>
    <s v="ALTAS TUISGEBAK BK"/>
    <x v="18"/>
    <x v="562"/>
    <x v="553"/>
    <x v="53"/>
    <x v="389"/>
    <x v="0"/>
    <x v="4"/>
    <x v="4"/>
    <n v="0"/>
    <n v="0"/>
  </r>
  <r>
    <s v="ALTAS TUISGEBAK BK"/>
    <x v="18"/>
    <x v="562"/>
    <x v="553"/>
    <x v="53"/>
    <x v="389"/>
    <x v="0"/>
    <x v="5"/>
    <x v="5"/>
    <n v="0"/>
    <n v="0"/>
  </r>
  <r>
    <s v="ALTAS TUISGEBAK BK"/>
    <x v="18"/>
    <x v="562"/>
    <x v="553"/>
    <x v="53"/>
    <x v="389"/>
    <x v="0"/>
    <x v="6"/>
    <x v="6"/>
    <n v="0"/>
    <n v="0"/>
  </r>
  <r>
    <s v="ALTAS TUISGEBAK BK"/>
    <x v="18"/>
    <x v="563"/>
    <x v="554"/>
    <x v="136"/>
    <x v="390"/>
    <x v="0"/>
    <x v="0"/>
    <x v="0"/>
    <n v="0"/>
    <n v="0"/>
  </r>
  <r>
    <s v="ALTAS TUISGEBAK BK"/>
    <x v="18"/>
    <x v="563"/>
    <x v="554"/>
    <x v="136"/>
    <x v="390"/>
    <x v="0"/>
    <x v="1"/>
    <x v="1"/>
    <n v="0"/>
    <n v="0"/>
  </r>
  <r>
    <s v="ALTAS TUISGEBAK BK"/>
    <x v="18"/>
    <x v="563"/>
    <x v="554"/>
    <x v="136"/>
    <x v="390"/>
    <x v="0"/>
    <x v="6"/>
    <x v="6"/>
    <n v="0"/>
    <n v="0"/>
  </r>
  <r>
    <s v="ALTAS TUISGEBAK BK"/>
    <x v="18"/>
    <x v="564"/>
    <x v="555"/>
    <x v="63"/>
    <x v="391"/>
    <x v="0"/>
    <x v="0"/>
    <x v="0"/>
    <n v="0"/>
    <n v="0"/>
  </r>
  <r>
    <s v="ALTAS TUISGEBAK BK"/>
    <x v="18"/>
    <x v="564"/>
    <x v="555"/>
    <x v="63"/>
    <x v="391"/>
    <x v="0"/>
    <x v="1"/>
    <x v="1"/>
    <n v="0"/>
    <n v="0"/>
  </r>
  <r>
    <s v="ALTAS TUISGEBAK BK"/>
    <x v="18"/>
    <x v="564"/>
    <x v="555"/>
    <x v="63"/>
    <x v="391"/>
    <x v="0"/>
    <x v="2"/>
    <x v="2"/>
    <n v="0"/>
    <n v="0"/>
  </r>
  <r>
    <s v="ALTAS TUISGEBAK BK"/>
    <x v="18"/>
    <x v="564"/>
    <x v="555"/>
    <x v="63"/>
    <x v="391"/>
    <x v="0"/>
    <x v="3"/>
    <x v="3"/>
    <n v="0"/>
    <n v="0"/>
  </r>
  <r>
    <s v="ALTAS TUISGEBAK BK"/>
    <x v="18"/>
    <x v="564"/>
    <x v="555"/>
    <x v="63"/>
    <x v="391"/>
    <x v="0"/>
    <x v="4"/>
    <x v="4"/>
    <n v="0"/>
    <n v="0"/>
  </r>
  <r>
    <s v="ALTAS TUISGEBAK BK"/>
    <x v="18"/>
    <x v="564"/>
    <x v="555"/>
    <x v="63"/>
    <x v="391"/>
    <x v="0"/>
    <x v="5"/>
    <x v="5"/>
    <n v="0"/>
    <n v="0"/>
  </r>
  <r>
    <s v="ALTAS TUISGEBAK BK"/>
    <x v="18"/>
    <x v="564"/>
    <x v="555"/>
    <x v="63"/>
    <x v="391"/>
    <x v="0"/>
    <x v="6"/>
    <x v="6"/>
    <n v="0"/>
    <n v="0"/>
  </r>
  <r>
    <s v="ALTAS TUISGEBAK BK"/>
    <x v="18"/>
    <x v="565"/>
    <x v="556"/>
    <x v="144"/>
    <x v="392"/>
    <x v="0"/>
    <x v="0"/>
    <x v="0"/>
    <n v="0"/>
    <n v="0"/>
  </r>
  <r>
    <s v="ALTAS TUISGEBAK BK"/>
    <x v="18"/>
    <x v="565"/>
    <x v="556"/>
    <x v="144"/>
    <x v="392"/>
    <x v="0"/>
    <x v="1"/>
    <x v="1"/>
    <n v="0"/>
    <n v="0"/>
  </r>
  <r>
    <s v="ALTAS TUISGEBAK BK"/>
    <x v="18"/>
    <x v="565"/>
    <x v="556"/>
    <x v="144"/>
    <x v="392"/>
    <x v="0"/>
    <x v="2"/>
    <x v="2"/>
    <n v="0"/>
    <n v="0"/>
  </r>
  <r>
    <s v="ALTAS TUISGEBAK BK"/>
    <x v="18"/>
    <x v="565"/>
    <x v="556"/>
    <x v="144"/>
    <x v="392"/>
    <x v="0"/>
    <x v="3"/>
    <x v="3"/>
    <n v="0"/>
    <n v="0"/>
  </r>
  <r>
    <s v="ALTAS TUISGEBAK BK"/>
    <x v="18"/>
    <x v="565"/>
    <x v="556"/>
    <x v="144"/>
    <x v="392"/>
    <x v="0"/>
    <x v="4"/>
    <x v="4"/>
    <n v="0"/>
    <n v="0"/>
  </r>
  <r>
    <s v="ALTAS TUISGEBAK BK"/>
    <x v="18"/>
    <x v="565"/>
    <x v="556"/>
    <x v="144"/>
    <x v="392"/>
    <x v="0"/>
    <x v="5"/>
    <x v="5"/>
    <n v="0"/>
    <n v="0"/>
  </r>
  <r>
    <s v="ALTAS TUISGEBAK BK"/>
    <x v="18"/>
    <x v="565"/>
    <x v="556"/>
    <x v="144"/>
    <x v="392"/>
    <x v="0"/>
    <x v="6"/>
    <x v="6"/>
    <n v="0"/>
    <n v="0"/>
  </r>
  <r>
    <s v="ALTAS TUISGEBAK BK"/>
    <x v="18"/>
    <x v="566"/>
    <x v="557"/>
    <x v="145"/>
    <x v="393"/>
    <x v="0"/>
    <x v="0"/>
    <x v="0"/>
    <n v="0"/>
    <n v="0"/>
  </r>
  <r>
    <s v="ALTAS TUISGEBAK BK"/>
    <x v="18"/>
    <x v="566"/>
    <x v="557"/>
    <x v="145"/>
    <x v="393"/>
    <x v="0"/>
    <x v="1"/>
    <x v="1"/>
    <n v="0"/>
    <n v="0"/>
  </r>
  <r>
    <s v="ALTAS TUISGEBAK BK"/>
    <x v="18"/>
    <x v="566"/>
    <x v="557"/>
    <x v="145"/>
    <x v="393"/>
    <x v="0"/>
    <x v="2"/>
    <x v="2"/>
    <n v="0"/>
    <n v="0"/>
  </r>
  <r>
    <s v="ALTAS TUISGEBAK BK"/>
    <x v="18"/>
    <x v="566"/>
    <x v="557"/>
    <x v="145"/>
    <x v="393"/>
    <x v="0"/>
    <x v="3"/>
    <x v="3"/>
    <n v="0"/>
    <n v="0"/>
  </r>
  <r>
    <s v="ALTAS TUISGEBAK BK"/>
    <x v="18"/>
    <x v="566"/>
    <x v="557"/>
    <x v="145"/>
    <x v="393"/>
    <x v="0"/>
    <x v="4"/>
    <x v="4"/>
    <n v="0"/>
    <n v="0"/>
  </r>
  <r>
    <s v="ALTAS TUISGEBAK BK"/>
    <x v="18"/>
    <x v="566"/>
    <x v="557"/>
    <x v="145"/>
    <x v="393"/>
    <x v="0"/>
    <x v="5"/>
    <x v="5"/>
    <n v="0"/>
    <n v="0"/>
  </r>
  <r>
    <s v="ALTAS TUISGEBAK BK"/>
    <x v="18"/>
    <x v="566"/>
    <x v="557"/>
    <x v="145"/>
    <x v="393"/>
    <x v="0"/>
    <x v="6"/>
    <x v="6"/>
    <n v="0"/>
    <n v="0"/>
  </r>
  <r>
    <s v="GOOSEBUMPS DISTR.(BREAD STOP)"/>
    <x v="0"/>
    <x v="567"/>
    <x v="558"/>
    <x v="129"/>
    <x v="394"/>
    <x v="0"/>
    <x v="0"/>
    <x v="0"/>
    <n v="0"/>
    <n v="0"/>
  </r>
  <r>
    <s v="GOOSEBUMPS DISTR.(BREAD STOP)"/>
    <x v="0"/>
    <x v="567"/>
    <x v="558"/>
    <x v="129"/>
    <x v="394"/>
    <x v="0"/>
    <x v="1"/>
    <x v="1"/>
    <n v="0"/>
    <n v="0"/>
  </r>
  <r>
    <s v="GOOSEBUMPS DISTR.(BREAD STOP)"/>
    <x v="0"/>
    <x v="567"/>
    <x v="558"/>
    <x v="129"/>
    <x v="394"/>
    <x v="0"/>
    <x v="2"/>
    <x v="2"/>
    <n v="0"/>
    <n v="0"/>
  </r>
  <r>
    <s v="GOOSEBUMPS DISTR.(BREAD STOP)"/>
    <x v="0"/>
    <x v="567"/>
    <x v="558"/>
    <x v="129"/>
    <x v="394"/>
    <x v="0"/>
    <x v="3"/>
    <x v="3"/>
    <n v="0"/>
    <n v="0"/>
  </r>
  <r>
    <s v="GOOSEBUMPS DISTR.(BREAD STOP)"/>
    <x v="0"/>
    <x v="567"/>
    <x v="558"/>
    <x v="129"/>
    <x v="394"/>
    <x v="0"/>
    <x v="4"/>
    <x v="4"/>
    <n v="0"/>
    <n v="0"/>
  </r>
  <r>
    <s v="ALBANY BAKERIES (BELLVILLE)"/>
    <x v="2"/>
    <x v="568"/>
    <x v="559"/>
    <x v="97"/>
    <x v="395"/>
    <x v="0"/>
    <x v="2"/>
    <x v="2"/>
    <n v="0"/>
    <n v="0"/>
  </r>
  <r>
    <s v="GEIIANSA"/>
    <x v="4"/>
    <x v="569"/>
    <x v="560"/>
    <x v="83"/>
    <x v="396"/>
    <x v="0"/>
    <x v="0"/>
    <x v="0"/>
    <n v="0"/>
    <n v="0"/>
  </r>
  <r>
    <s v="GEIIANSA"/>
    <x v="4"/>
    <x v="569"/>
    <x v="560"/>
    <x v="83"/>
    <x v="396"/>
    <x v="0"/>
    <x v="1"/>
    <x v="1"/>
    <n v="0"/>
    <n v="0"/>
  </r>
  <r>
    <s v="GEIIANSA"/>
    <x v="4"/>
    <x v="569"/>
    <x v="560"/>
    <x v="83"/>
    <x v="396"/>
    <x v="0"/>
    <x v="2"/>
    <x v="2"/>
    <n v="0"/>
    <n v="0"/>
  </r>
  <r>
    <s v="GEIIANSA"/>
    <x v="4"/>
    <x v="569"/>
    <x v="560"/>
    <x v="83"/>
    <x v="396"/>
    <x v="0"/>
    <x v="3"/>
    <x v="3"/>
    <n v="0"/>
    <n v="0"/>
  </r>
  <r>
    <s v="GEIIANSA"/>
    <x v="4"/>
    <x v="569"/>
    <x v="560"/>
    <x v="83"/>
    <x v="396"/>
    <x v="0"/>
    <x v="4"/>
    <x v="4"/>
    <n v="0"/>
    <n v="0"/>
  </r>
  <r>
    <s v="GEIIANSA"/>
    <x v="4"/>
    <x v="569"/>
    <x v="560"/>
    <x v="83"/>
    <x v="396"/>
    <x v="0"/>
    <x v="5"/>
    <x v="5"/>
    <n v="0"/>
    <n v="0"/>
  </r>
  <r>
    <s v="GOOSEBUMPS DISTR.(BREAD STOP)"/>
    <x v="0"/>
    <x v="570"/>
    <x v="431"/>
    <x v="129"/>
    <x v="397"/>
    <x v="0"/>
    <x v="0"/>
    <x v="0"/>
    <n v="0"/>
    <n v="0"/>
  </r>
  <r>
    <s v="GOOSEBUMPS DISTR.(BREAD STOP)"/>
    <x v="0"/>
    <x v="570"/>
    <x v="431"/>
    <x v="129"/>
    <x v="397"/>
    <x v="0"/>
    <x v="1"/>
    <x v="1"/>
    <n v="0"/>
    <n v="0"/>
  </r>
  <r>
    <s v="GOOSEBUMPS DISTR.(BREAD STOP)"/>
    <x v="0"/>
    <x v="570"/>
    <x v="431"/>
    <x v="129"/>
    <x v="397"/>
    <x v="0"/>
    <x v="2"/>
    <x v="2"/>
    <n v="0"/>
    <n v="0"/>
  </r>
  <r>
    <s v="GOOSEBUMPS DISTR.(BREAD STOP)"/>
    <x v="0"/>
    <x v="570"/>
    <x v="431"/>
    <x v="129"/>
    <x v="397"/>
    <x v="0"/>
    <x v="3"/>
    <x v="3"/>
    <n v="0"/>
    <n v="0"/>
  </r>
  <r>
    <s v="ALBANY BAKERIES (BELLVILLE)"/>
    <x v="2"/>
    <x v="571"/>
    <x v="561"/>
    <x v="97"/>
    <x v="395"/>
    <x v="0"/>
    <x v="1"/>
    <x v="1"/>
    <n v="0"/>
    <n v="0"/>
  </r>
  <r>
    <s v="ALBANY BAKERIES (BELLVILLE)"/>
    <x v="2"/>
    <x v="571"/>
    <x v="561"/>
    <x v="97"/>
    <x v="395"/>
    <x v="0"/>
    <x v="3"/>
    <x v="3"/>
    <n v="0"/>
    <n v="0"/>
  </r>
  <r>
    <s v="ALBANY BAKERIES (BELLVILLE)"/>
    <x v="2"/>
    <x v="571"/>
    <x v="561"/>
    <x v="97"/>
    <x v="395"/>
    <x v="0"/>
    <x v="4"/>
    <x v="4"/>
    <n v="0"/>
    <n v="0"/>
  </r>
  <r>
    <s v="VECTOR LOG.(PTY)LTD GOOSEBUMPS"/>
    <x v="0"/>
    <x v="572"/>
    <x v="562"/>
    <x v="85"/>
    <x v="398"/>
    <x v="0"/>
    <x v="0"/>
    <x v="0"/>
    <n v="0"/>
    <n v="0"/>
  </r>
  <r>
    <s v="VECTOR LOG.(PTY)LTD GOOSEBUMPS"/>
    <x v="0"/>
    <x v="572"/>
    <x v="562"/>
    <x v="85"/>
    <x v="398"/>
    <x v="0"/>
    <x v="1"/>
    <x v="1"/>
    <n v="0"/>
    <n v="0"/>
  </r>
  <r>
    <s v="VECTOR LOG.(PTY)LTD GOOSEBUMPS"/>
    <x v="0"/>
    <x v="572"/>
    <x v="562"/>
    <x v="85"/>
    <x v="398"/>
    <x v="0"/>
    <x v="2"/>
    <x v="2"/>
    <n v="0"/>
    <n v="0"/>
  </r>
  <r>
    <s v="VECTOR LOG.(PTY)LTD GOOSEBUMPS"/>
    <x v="0"/>
    <x v="572"/>
    <x v="562"/>
    <x v="85"/>
    <x v="398"/>
    <x v="0"/>
    <x v="3"/>
    <x v="3"/>
    <n v="0"/>
    <n v="0"/>
  </r>
  <r>
    <s v="VECTOR LOG.(PTY)LTD GOOSEBUMPS"/>
    <x v="0"/>
    <x v="572"/>
    <x v="562"/>
    <x v="85"/>
    <x v="398"/>
    <x v="0"/>
    <x v="5"/>
    <x v="5"/>
    <n v="0"/>
    <n v="0"/>
  </r>
  <r>
    <s v="VECTOR LOG.(PTY)LTD GOOSEBUMPS"/>
    <x v="0"/>
    <x v="572"/>
    <x v="562"/>
    <x v="85"/>
    <x v="398"/>
    <x v="0"/>
    <x v="6"/>
    <x v="6"/>
    <n v="0"/>
    <n v="0"/>
  </r>
  <r>
    <s v="GEIIANSA"/>
    <x v="13"/>
    <x v="573"/>
    <x v="563"/>
    <x v="35"/>
    <x v="399"/>
    <x v="0"/>
    <x v="6"/>
    <x v="6"/>
    <n v="0"/>
    <n v="0"/>
  </r>
  <r>
    <s v="GEIIANSA"/>
    <x v="13"/>
    <x v="574"/>
    <x v="564"/>
    <x v="35"/>
    <x v="400"/>
    <x v="0"/>
    <x v="1"/>
    <x v="1"/>
    <n v="0"/>
    <n v="0"/>
  </r>
  <r>
    <s v="GEIIANSA"/>
    <x v="13"/>
    <x v="574"/>
    <x v="564"/>
    <x v="35"/>
    <x v="400"/>
    <x v="0"/>
    <x v="4"/>
    <x v="4"/>
    <n v="0"/>
    <n v="0"/>
  </r>
  <r>
    <s v="GEIIANSA"/>
    <x v="13"/>
    <x v="574"/>
    <x v="564"/>
    <x v="35"/>
    <x v="400"/>
    <x v="0"/>
    <x v="6"/>
    <x v="6"/>
    <n v="0"/>
    <n v="0"/>
  </r>
  <r>
    <s v="HMR"/>
    <x v="0"/>
    <x v="575"/>
    <x v="565"/>
    <x v="111"/>
    <x v="401"/>
    <x v="0"/>
    <x v="0"/>
    <x v="0"/>
    <n v="0"/>
    <n v="0"/>
  </r>
  <r>
    <s v="HMR"/>
    <x v="0"/>
    <x v="575"/>
    <x v="565"/>
    <x v="111"/>
    <x v="401"/>
    <x v="0"/>
    <x v="1"/>
    <x v="1"/>
    <n v="0"/>
    <n v="0"/>
  </r>
  <r>
    <s v="HMR"/>
    <x v="0"/>
    <x v="575"/>
    <x v="565"/>
    <x v="111"/>
    <x v="401"/>
    <x v="0"/>
    <x v="2"/>
    <x v="2"/>
    <n v="0"/>
    <n v="0"/>
  </r>
  <r>
    <s v="HMR"/>
    <x v="0"/>
    <x v="575"/>
    <x v="565"/>
    <x v="111"/>
    <x v="401"/>
    <x v="0"/>
    <x v="3"/>
    <x v="3"/>
    <n v="0"/>
    <n v="0"/>
  </r>
  <r>
    <s v="HMR"/>
    <x v="0"/>
    <x v="575"/>
    <x v="565"/>
    <x v="111"/>
    <x v="401"/>
    <x v="0"/>
    <x v="4"/>
    <x v="4"/>
    <n v="0"/>
    <n v="0"/>
  </r>
  <r>
    <s v="HMR"/>
    <x v="0"/>
    <x v="575"/>
    <x v="565"/>
    <x v="111"/>
    <x v="401"/>
    <x v="0"/>
    <x v="5"/>
    <x v="5"/>
    <n v="0"/>
    <n v="0"/>
  </r>
  <r>
    <s v="HMR"/>
    <x v="0"/>
    <x v="575"/>
    <x v="565"/>
    <x v="111"/>
    <x v="401"/>
    <x v="0"/>
    <x v="6"/>
    <x v="6"/>
    <n v="0"/>
    <n v="0"/>
  </r>
  <r>
    <s v="BAKE IT EASY"/>
    <x v="0"/>
    <x v="576"/>
    <x v="566"/>
    <x v="27"/>
    <x v="339"/>
    <x v="0"/>
    <x v="0"/>
    <x v="0"/>
    <n v="0"/>
    <n v="0"/>
  </r>
  <r>
    <s v="BAKE IT EASY"/>
    <x v="0"/>
    <x v="576"/>
    <x v="566"/>
    <x v="27"/>
    <x v="339"/>
    <x v="0"/>
    <x v="1"/>
    <x v="1"/>
    <n v="0"/>
    <n v="0"/>
  </r>
  <r>
    <s v="BAKE IT EASY"/>
    <x v="0"/>
    <x v="576"/>
    <x v="566"/>
    <x v="27"/>
    <x v="339"/>
    <x v="0"/>
    <x v="2"/>
    <x v="2"/>
    <n v="0"/>
    <n v="0"/>
  </r>
  <r>
    <s v="BAKE IT EASY"/>
    <x v="0"/>
    <x v="576"/>
    <x v="566"/>
    <x v="27"/>
    <x v="339"/>
    <x v="0"/>
    <x v="3"/>
    <x v="3"/>
    <n v="0"/>
    <n v="0"/>
  </r>
  <r>
    <s v="BAKE IT EASY"/>
    <x v="0"/>
    <x v="576"/>
    <x v="566"/>
    <x v="27"/>
    <x v="339"/>
    <x v="0"/>
    <x v="4"/>
    <x v="4"/>
    <n v="0"/>
    <n v="0"/>
  </r>
  <r>
    <s v="BAKE IT EASY"/>
    <x v="0"/>
    <x v="576"/>
    <x v="566"/>
    <x v="27"/>
    <x v="339"/>
    <x v="0"/>
    <x v="5"/>
    <x v="5"/>
    <n v="0"/>
    <n v="0"/>
  </r>
  <r>
    <s v="BAKE IT EASY"/>
    <x v="0"/>
    <x v="576"/>
    <x v="566"/>
    <x v="27"/>
    <x v="339"/>
    <x v="0"/>
    <x v="6"/>
    <x v="6"/>
    <n v="0"/>
    <n v="0"/>
  </r>
  <r>
    <s v="M &amp; R FRESH FRUIT &amp; VEG.MARKET"/>
    <x v="12"/>
    <x v="577"/>
    <x v="567"/>
    <x v="146"/>
    <x v="402"/>
    <x v="0"/>
    <x v="0"/>
    <x v="0"/>
    <n v="0"/>
    <n v="0"/>
  </r>
  <r>
    <s v="M &amp; R FRESH FRUIT &amp; VEG.MARKET"/>
    <x v="12"/>
    <x v="577"/>
    <x v="567"/>
    <x v="146"/>
    <x v="402"/>
    <x v="0"/>
    <x v="1"/>
    <x v="1"/>
    <n v="0"/>
    <n v="0"/>
  </r>
  <r>
    <s v="M &amp; R FRESH FRUIT &amp; VEG.MARKET"/>
    <x v="12"/>
    <x v="577"/>
    <x v="567"/>
    <x v="146"/>
    <x v="402"/>
    <x v="0"/>
    <x v="2"/>
    <x v="2"/>
    <n v="0"/>
    <n v="0"/>
  </r>
  <r>
    <s v="M &amp; R FRESH FRUIT &amp; VEG.MARKET"/>
    <x v="12"/>
    <x v="577"/>
    <x v="567"/>
    <x v="146"/>
    <x v="402"/>
    <x v="0"/>
    <x v="3"/>
    <x v="3"/>
    <n v="0"/>
    <n v="0"/>
  </r>
  <r>
    <s v="M &amp; R FRESH FRUIT &amp; VEG.MARKET"/>
    <x v="12"/>
    <x v="577"/>
    <x v="567"/>
    <x v="146"/>
    <x v="402"/>
    <x v="0"/>
    <x v="4"/>
    <x v="4"/>
    <n v="0"/>
    <n v="0"/>
  </r>
  <r>
    <s v="M &amp; R FRESH FRUIT &amp; VEG.MARKET"/>
    <x v="12"/>
    <x v="577"/>
    <x v="567"/>
    <x v="146"/>
    <x v="402"/>
    <x v="0"/>
    <x v="5"/>
    <x v="5"/>
    <n v="0"/>
    <n v="0"/>
  </r>
  <r>
    <s v="M &amp; R FRESH FRUIT &amp; VEG.MARKET"/>
    <x v="12"/>
    <x v="577"/>
    <x v="567"/>
    <x v="146"/>
    <x v="402"/>
    <x v="0"/>
    <x v="6"/>
    <x v="6"/>
    <n v="0"/>
    <n v="0"/>
  </r>
  <r>
    <s v="GEIIANSA"/>
    <x v="4"/>
    <x v="578"/>
    <x v="568"/>
    <x v="70"/>
    <x v="254"/>
    <x v="0"/>
    <x v="0"/>
    <x v="0"/>
    <n v="0"/>
    <n v="0"/>
  </r>
  <r>
    <s v="GEIIANSA"/>
    <x v="4"/>
    <x v="578"/>
    <x v="568"/>
    <x v="70"/>
    <x v="254"/>
    <x v="0"/>
    <x v="1"/>
    <x v="1"/>
    <n v="0"/>
    <n v="0"/>
  </r>
  <r>
    <s v="GEIIANSA"/>
    <x v="4"/>
    <x v="578"/>
    <x v="568"/>
    <x v="70"/>
    <x v="254"/>
    <x v="0"/>
    <x v="2"/>
    <x v="2"/>
    <n v="0"/>
    <n v="0"/>
  </r>
  <r>
    <s v="GEIIANSA"/>
    <x v="4"/>
    <x v="578"/>
    <x v="568"/>
    <x v="70"/>
    <x v="254"/>
    <x v="0"/>
    <x v="3"/>
    <x v="3"/>
    <n v="0"/>
    <n v="0"/>
  </r>
  <r>
    <s v="GEIIANSA"/>
    <x v="4"/>
    <x v="578"/>
    <x v="568"/>
    <x v="70"/>
    <x v="254"/>
    <x v="0"/>
    <x v="4"/>
    <x v="4"/>
    <n v="0"/>
    <n v="0"/>
  </r>
  <r>
    <s v="GEIIANSA"/>
    <x v="4"/>
    <x v="578"/>
    <x v="568"/>
    <x v="70"/>
    <x v="254"/>
    <x v="0"/>
    <x v="5"/>
    <x v="5"/>
    <n v="0"/>
    <n v="0"/>
  </r>
  <r>
    <s v="GEIIANSA"/>
    <x v="4"/>
    <x v="578"/>
    <x v="568"/>
    <x v="70"/>
    <x v="254"/>
    <x v="0"/>
    <x v="6"/>
    <x v="6"/>
    <n v="0"/>
    <n v="0"/>
  </r>
  <r>
    <s v="ALETTA LINDE"/>
    <x v="2"/>
    <x v="579"/>
    <x v="569"/>
    <x v="147"/>
    <x v="403"/>
    <x v="0"/>
    <x v="0"/>
    <x v="0"/>
    <n v="0"/>
    <n v="0"/>
  </r>
  <r>
    <s v="ALETTA LINDE"/>
    <x v="2"/>
    <x v="579"/>
    <x v="569"/>
    <x v="147"/>
    <x v="403"/>
    <x v="0"/>
    <x v="1"/>
    <x v="1"/>
    <n v="0"/>
    <n v="0"/>
  </r>
  <r>
    <s v="ALETTA LINDE"/>
    <x v="2"/>
    <x v="579"/>
    <x v="569"/>
    <x v="147"/>
    <x v="403"/>
    <x v="0"/>
    <x v="2"/>
    <x v="2"/>
    <n v="0"/>
    <n v="0"/>
  </r>
  <r>
    <s v="ALETTA LINDE"/>
    <x v="2"/>
    <x v="579"/>
    <x v="569"/>
    <x v="147"/>
    <x v="403"/>
    <x v="0"/>
    <x v="3"/>
    <x v="3"/>
    <n v="0"/>
    <n v="0"/>
  </r>
  <r>
    <s v="ALETTA LINDE"/>
    <x v="2"/>
    <x v="579"/>
    <x v="569"/>
    <x v="147"/>
    <x v="403"/>
    <x v="0"/>
    <x v="4"/>
    <x v="4"/>
    <n v="0"/>
    <n v="0"/>
  </r>
  <r>
    <s v="ALETTA LINDE"/>
    <x v="2"/>
    <x v="579"/>
    <x v="569"/>
    <x v="147"/>
    <x v="403"/>
    <x v="0"/>
    <x v="5"/>
    <x v="5"/>
    <n v="0"/>
    <n v="0"/>
  </r>
  <r>
    <s v="ALETTA LINDE"/>
    <x v="2"/>
    <x v="579"/>
    <x v="569"/>
    <x v="147"/>
    <x v="403"/>
    <x v="0"/>
    <x v="6"/>
    <x v="6"/>
    <n v="0"/>
    <n v="0"/>
  </r>
  <r>
    <s v="ALETTA LINDE"/>
    <x v="2"/>
    <x v="580"/>
    <x v="570"/>
    <x v="148"/>
    <x v="404"/>
    <x v="0"/>
    <x v="0"/>
    <x v="0"/>
    <n v="0"/>
    <n v="0"/>
  </r>
  <r>
    <s v="ALETTA LINDE"/>
    <x v="2"/>
    <x v="580"/>
    <x v="570"/>
    <x v="148"/>
    <x v="404"/>
    <x v="0"/>
    <x v="1"/>
    <x v="1"/>
    <n v="0"/>
    <n v="0"/>
  </r>
  <r>
    <s v="ALETTA LINDE"/>
    <x v="2"/>
    <x v="580"/>
    <x v="570"/>
    <x v="148"/>
    <x v="404"/>
    <x v="0"/>
    <x v="2"/>
    <x v="2"/>
    <n v="0"/>
    <n v="0"/>
  </r>
  <r>
    <s v="ALETTA LINDE"/>
    <x v="2"/>
    <x v="580"/>
    <x v="570"/>
    <x v="148"/>
    <x v="404"/>
    <x v="0"/>
    <x v="3"/>
    <x v="3"/>
    <n v="0"/>
    <n v="0"/>
  </r>
  <r>
    <s v="ALETTA LINDE"/>
    <x v="2"/>
    <x v="580"/>
    <x v="570"/>
    <x v="148"/>
    <x v="404"/>
    <x v="0"/>
    <x v="4"/>
    <x v="4"/>
    <n v="0"/>
    <n v="0"/>
  </r>
  <r>
    <s v="ALETTA LINDE"/>
    <x v="2"/>
    <x v="580"/>
    <x v="570"/>
    <x v="148"/>
    <x v="404"/>
    <x v="0"/>
    <x v="5"/>
    <x v="5"/>
    <n v="0"/>
    <n v="0"/>
  </r>
  <r>
    <s v="ALETTA LINDE"/>
    <x v="2"/>
    <x v="580"/>
    <x v="570"/>
    <x v="148"/>
    <x v="404"/>
    <x v="0"/>
    <x v="6"/>
    <x v="6"/>
    <n v="0"/>
    <n v="0"/>
  </r>
  <r>
    <s v="ALETTA LINDE"/>
    <x v="2"/>
    <x v="581"/>
    <x v="571"/>
    <x v="148"/>
    <x v="404"/>
    <x v="0"/>
    <x v="0"/>
    <x v="0"/>
    <n v="0"/>
    <n v="0"/>
  </r>
  <r>
    <s v="ALETTA LINDE"/>
    <x v="2"/>
    <x v="581"/>
    <x v="571"/>
    <x v="148"/>
    <x v="404"/>
    <x v="0"/>
    <x v="1"/>
    <x v="1"/>
    <n v="0"/>
    <n v="0"/>
  </r>
  <r>
    <s v="ALETTA LINDE"/>
    <x v="2"/>
    <x v="581"/>
    <x v="571"/>
    <x v="148"/>
    <x v="404"/>
    <x v="0"/>
    <x v="2"/>
    <x v="2"/>
    <n v="0"/>
    <n v="0"/>
  </r>
  <r>
    <s v="ALETTA LINDE"/>
    <x v="2"/>
    <x v="581"/>
    <x v="571"/>
    <x v="148"/>
    <x v="404"/>
    <x v="0"/>
    <x v="3"/>
    <x v="3"/>
    <n v="0"/>
    <n v="0"/>
  </r>
  <r>
    <s v="ALETTA LINDE"/>
    <x v="2"/>
    <x v="581"/>
    <x v="571"/>
    <x v="148"/>
    <x v="404"/>
    <x v="0"/>
    <x v="4"/>
    <x v="4"/>
    <n v="0"/>
    <n v="0"/>
  </r>
  <r>
    <s v="ALETTA LINDE"/>
    <x v="2"/>
    <x v="581"/>
    <x v="571"/>
    <x v="148"/>
    <x v="404"/>
    <x v="0"/>
    <x v="5"/>
    <x v="5"/>
    <n v="0"/>
    <n v="0"/>
  </r>
  <r>
    <s v="ALETTA LINDE"/>
    <x v="2"/>
    <x v="581"/>
    <x v="571"/>
    <x v="148"/>
    <x v="404"/>
    <x v="0"/>
    <x v="6"/>
    <x v="6"/>
    <n v="0"/>
    <n v="0"/>
  </r>
  <r>
    <s v="ALETTA LINDE"/>
    <x v="2"/>
    <x v="582"/>
    <x v="572"/>
    <x v="148"/>
    <x v="404"/>
    <x v="0"/>
    <x v="0"/>
    <x v="0"/>
    <n v="0"/>
    <n v="0"/>
  </r>
  <r>
    <s v="ALETTA LINDE"/>
    <x v="2"/>
    <x v="582"/>
    <x v="572"/>
    <x v="148"/>
    <x v="404"/>
    <x v="0"/>
    <x v="1"/>
    <x v="1"/>
    <n v="0"/>
    <n v="0"/>
  </r>
  <r>
    <s v="ALETTA LINDE"/>
    <x v="2"/>
    <x v="582"/>
    <x v="572"/>
    <x v="148"/>
    <x v="404"/>
    <x v="0"/>
    <x v="2"/>
    <x v="2"/>
    <n v="0"/>
    <n v="0"/>
  </r>
  <r>
    <s v="ALETTA LINDE"/>
    <x v="2"/>
    <x v="582"/>
    <x v="572"/>
    <x v="148"/>
    <x v="404"/>
    <x v="0"/>
    <x v="3"/>
    <x v="3"/>
    <n v="0"/>
    <n v="0"/>
  </r>
  <r>
    <s v="ALETTA LINDE"/>
    <x v="2"/>
    <x v="582"/>
    <x v="572"/>
    <x v="148"/>
    <x v="404"/>
    <x v="0"/>
    <x v="4"/>
    <x v="4"/>
    <n v="0"/>
    <n v="0"/>
  </r>
  <r>
    <s v="ALETTA LINDE"/>
    <x v="2"/>
    <x v="582"/>
    <x v="572"/>
    <x v="148"/>
    <x v="404"/>
    <x v="0"/>
    <x v="5"/>
    <x v="5"/>
    <n v="0"/>
    <n v="0"/>
  </r>
  <r>
    <s v="ALETTA LINDE"/>
    <x v="2"/>
    <x v="582"/>
    <x v="572"/>
    <x v="148"/>
    <x v="404"/>
    <x v="0"/>
    <x v="6"/>
    <x v="6"/>
    <n v="0"/>
    <n v="0"/>
  </r>
  <r>
    <s v="WILDFIRE TRAD-COOKIE FACTORY"/>
    <x v="13"/>
    <x v="583"/>
    <x v="573"/>
    <x v="27"/>
    <x v="405"/>
    <x v="0"/>
    <x v="0"/>
    <x v="0"/>
    <n v="0"/>
    <n v="0"/>
  </r>
  <r>
    <s v="WILDFIRE TRAD-COOKIE FACTORY"/>
    <x v="13"/>
    <x v="583"/>
    <x v="573"/>
    <x v="27"/>
    <x v="405"/>
    <x v="0"/>
    <x v="1"/>
    <x v="1"/>
    <n v="0"/>
    <n v="0"/>
  </r>
  <r>
    <s v="WILDFIRE TRAD-COOKIE FACTORY"/>
    <x v="13"/>
    <x v="583"/>
    <x v="573"/>
    <x v="27"/>
    <x v="405"/>
    <x v="0"/>
    <x v="2"/>
    <x v="2"/>
    <n v="0"/>
    <n v="0"/>
  </r>
  <r>
    <s v="WILDFIRE TRAD-COOKIE FACTORY"/>
    <x v="13"/>
    <x v="583"/>
    <x v="573"/>
    <x v="27"/>
    <x v="405"/>
    <x v="0"/>
    <x v="3"/>
    <x v="3"/>
    <n v="0"/>
    <n v="0"/>
  </r>
  <r>
    <s v="WILDFIRE TRAD-COOKIE FACTORY"/>
    <x v="13"/>
    <x v="583"/>
    <x v="573"/>
    <x v="27"/>
    <x v="405"/>
    <x v="0"/>
    <x v="4"/>
    <x v="4"/>
    <n v="0"/>
    <n v="0"/>
  </r>
  <r>
    <s v="WILDFIRE TRAD-COOKIE FACTORY"/>
    <x v="13"/>
    <x v="583"/>
    <x v="573"/>
    <x v="27"/>
    <x v="405"/>
    <x v="0"/>
    <x v="5"/>
    <x v="5"/>
    <n v="0"/>
    <n v="0"/>
  </r>
  <r>
    <s v="WILDFIRE TRAD-COOKIE FACTORY"/>
    <x v="13"/>
    <x v="583"/>
    <x v="573"/>
    <x v="27"/>
    <x v="405"/>
    <x v="0"/>
    <x v="6"/>
    <x v="6"/>
    <n v="0"/>
    <n v="0"/>
  </r>
  <r>
    <s v="WILDFIRE TRAD-COOKIE FACTORY"/>
    <x v="13"/>
    <x v="584"/>
    <x v="574"/>
    <x v="83"/>
    <x v="400"/>
    <x v="0"/>
    <x v="0"/>
    <x v="0"/>
    <n v="0"/>
    <n v="0"/>
  </r>
  <r>
    <s v="WILDFIRE TRAD-COOKIE FACTORY"/>
    <x v="13"/>
    <x v="584"/>
    <x v="574"/>
    <x v="83"/>
    <x v="400"/>
    <x v="0"/>
    <x v="1"/>
    <x v="1"/>
    <n v="0"/>
    <n v="0"/>
  </r>
  <r>
    <s v="WILDFIRE TRAD-COOKIE FACTORY"/>
    <x v="13"/>
    <x v="584"/>
    <x v="574"/>
    <x v="83"/>
    <x v="400"/>
    <x v="0"/>
    <x v="2"/>
    <x v="2"/>
    <n v="0"/>
    <n v="0"/>
  </r>
  <r>
    <s v="WILDFIRE TRAD-COOKIE FACTORY"/>
    <x v="13"/>
    <x v="584"/>
    <x v="574"/>
    <x v="83"/>
    <x v="400"/>
    <x v="0"/>
    <x v="3"/>
    <x v="3"/>
    <n v="0"/>
    <n v="0"/>
  </r>
  <r>
    <s v="WILDFIRE TRAD-COOKIE FACTORY"/>
    <x v="13"/>
    <x v="584"/>
    <x v="574"/>
    <x v="83"/>
    <x v="400"/>
    <x v="0"/>
    <x v="4"/>
    <x v="4"/>
    <n v="0"/>
    <n v="0"/>
  </r>
  <r>
    <s v="WILDFIRE TRAD-COOKIE FACTORY"/>
    <x v="13"/>
    <x v="584"/>
    <x v="574"/>
    <x v="83"/>
    <x v="400"/>
    <x v="0"/>
    <x v="5"/>
    <x v="5"/>
    <n v="0"/>
    <n v="0"/>
  </r>
  <r>
    <s v="WILDFIRE TRAD-COOKIE FACTORY"/>
    <x v="13"/>
    <x v="584"/>
    <x v="574"/>
    <x v="83"/>
    <x v="400"/>
    <x v="0"/>
    <x v="6"/>
    <x v="6"/>
    <n v="0"/>
    <n v="0"/>
  </r>
  <r>
    <s v="WILDFIRE TRAD-COOKIE FACTORY"/>
    <x v="13"/>
    <x v="585"/>
    <x v="575"/>
    <x v="27"/>
    <x v="405"/>
    <x v="0"/>
    <x v="0"/>
    <x v="0"/>
    <n v="0"/>
    <n v="0"/>
  </r>
  <r>
    <s v="WILDFIRE TRAD-COOKIE FACTORY"/>
    <x v="13"/>
    <x v="585"/>
    <x v="575"/>
    <x v="27"/>
    <x v="405"/>
    <x v="0"/>
    <x v="1"/>
    <x v="1"/>
    <n v="0"/>
    <n v="0"/>
  </r>
  <r>
    <s v="WILDFIRE TRAD-COOKIE FACTORY"/>
    <x v="13"/>
    <x v="585"/>
    <x v="575"/>
    <x v="27"/>
    <x v="405"/>
    <x v="0"/>
    <x v="2"/>
    <x v="2"/>
    <n v="0"/>
    <n v="0"/>
  </r>
  <r>
    <s v="WILDFIRE TRAD-COOKIE FACTORY"/>
    <x v="13"/>
    <x v="585"/>
    <x v="575"/>
    <x v="27"/>
    <x v="405"/>
    <x v="0"/>
    <x v="3"/>
    <x v="3"/>
    <n v="0"/>
    <n v="0"/>
  </r>
  <r>
    <s v="WILDFIRE TRAD-COOKIE FACTORY"/>
    <x v="13"/>
    <x v="585"/>
    <x v="575"/>
    <x v="27"/>
    <x v="405"/>
    <x v="0"/>
    <x v="4"/>
    <x v="4"/>
    <n v="0"/>
    <n v="0"/>
  </r>
  <r>
    <s v="WILDFIRE TRAD-COOKIE FACTORY"/>
    <x v="13"/>
    <x v="585"/>
    <x v="575"/>
    <x v="27"/>
    <x v="405"/>
    <x v="0"/>
    <x v="5"/>
    <x v="5"/>
    <n v="0"/>
    <n v="0"/>
  </r>
  <r>
    <s v="WILDFIRE TRAD-COOKIE FACTORY"/>
    <x v="13"/>
    <x v="585"/>
    <x v="575"/>
    <x v="27"/>
    <x v="405"/>
    <x v="0"/>
    <x v="6"/>
    <x v="6"/>
    <n v="0"/>
    <n v="0"/>
  </r>
  <r>
    <s v="HMR"/>
    <x v="19"/>
    <x v="586"/>
    <x v="576"/>
    <x v="149"/>
    <x v="406"/>
    <x v="0"/>
    <x v="0"/>
    <x v="0"/>
    <n v="0"/>
    <n v="0"/>
  </r>
  <r>
    <s v="HMR"/>
    <x v="19"/>
    <x v="586"/>
    <x v="576"/>
    <x v="149"/>
    <x v="406"/>
    <x v="0"/>
    <x v="1"/>
    <x v="1"/>
    <n v="0"/>
    <n v="0"/>
  </r>
  <r>
    <s v="HMR"/>
    <x v="19"/>
    <x v="586"/>
    <x v="576"/>
    <x v="149"/>
    <x v="406"/>
    <x v="0"/>
    <x v="2"/>
    <x v="2"/>
    <n v="0"/>
    <n v="0"/>
  </r>
  <r>
    <s v="HMR"/>
    <x v="19"/>
    <x v="586"/>
    <x v="576"/>
    <x v="149"/>
    <x v="406"/>
    <x v="0"/>
    <x v="3"/>
    <x v="3"/>
    <n v="0"/>
    <n v="0"/>
  </r>
  <r>
    <s v="HMR"/>
    <x v="19"/>
    <x v="586"/>
    <x v="576"/>
    <x v="149"/>
    <x v="406"/>
    <x v="0"/>
    <x v="4"/>
    <x v="4"/>
    <n v="0"/>
    <n v="0"/>
  </r>
  <r>
    <s v="HMR"/>
    <x v="19"/>
    <x v="586"/>
    <x v="576"/>
    <x v="149"/>
    <x v="406"/>
    <x v="0"/>
    <x v="5"/>
    <x v="5"/>
    <n v="0"/>
    <n v="0"/>
  </r>
  <r>
    <s v="HMR"/>
    <x v="19"/>
    <x v="586"/>
    <x v="576"/>
    <x v="149"/>
    <x v="406"/>
    <x v="0"/>
    <x v="6"/>
    <x v="6"/>
    <n v="0"/>
    <n v="0"/>
  </r>
  <r>
    <s v="WILDFIRE TRAD-COOKIE FACTORY"/>
    <x v="13"/>
    <x v="587"/>
    <x v="577"/>
    <x v="116"/>
    <x v="407"/>
    <x v="0"/>
    <x v="0"/>
    <x v="0"/>
    <n v="0"/>
    <n v="0"/>
  </r>
  <r>
    <s v="WILDFIRE TRAD-COOKIE FACTORY"/>
    <x v="13"/>
    <x v="587"/>
    <x v="577"/>
    <x v="116"/>
    <x v="407"/>
    <x v="0"/>
    <x v="1"/>
    <x v="1"/>
    <n v="0"/>
    <n v="0"/>
  </r>
  <r>
    <s v="WILDFIRE TRAD-COOKIE FACTORY"/>
    <x v="13"/>
    <x v="587"/>
    <x v="577"/>
    <x v="116"/>
    <x v="407"/>
    <x v="0"/>
    <x v="2"/>
    <x v="2"/>
    <n v="0"/>
    <n v="0"/>
  </r>
  <r>
    <s v="WILDFIRE TRAD-COOKIE FACTORY"/>
    <x v="13"/>
    <x v="587"/>
    <x v="577"/>
    <x v="116"/>
    <x v="407"/>
    <x v="0"/>
    <x v="3"/>
    <x v="3"/>
    <n v="0"/>
    <n v="0"/>
  </r>
  <r>
    <s v="WILDFIRE TRAD-COOKIE FACTORY"/>
    <x v="13"/>
    <x v="587"/>
    <x v="577"/>
    <x v="116"/>
    <x v="407"/>
    <x v="0"/>
    <x v="4"/>
    <x v="4"/>
    <n v="0"/>
    <n v="0"/>
  </r>
  <r>
    <s v="WILDFIRE TRAD-COOKIE FACTORY"/>
    <x v="13"/>
    <x v="587"/>
    <x v="577"/>
    <x v="116"/>
    <x v="407"/>
    <x v="0"/>
    <x v="5"/>
    <x v="5"/>
    <n v="0"/>
    <n v="0"/>
  </r>
  <r>
    <s v="WILDFIRE TRAD-COOKIE FACTORY"/>
    <x v="13"/>
    <x v="587"/>
    <x v="577"/>
    <x v="116"/>
    <x v="407"/>
    <x v="0"/>
    <x v="6"/>
    <x v="6"/>
    <n v="0"/>
    <n v="0"/>
  </r>
  <r>
    <s v="WILDFIRE TRAD-COOKIE FACTORY"/>
    <x v="13"/>
    <x v="588"/>
    <x v="578"/>
    <x v="116"/>
    <x v="407"/>
    <x v="0"/>
    <x v="0"/>
    <x v="0"/>
    <n v="0"/>
    <n v="0"/>
  </r>
  <r>
    <s v="WILDFIRE TRAD-COOKIE FACTORY"/>
    <x v="13"/>
    <x v="588"/>
    <x v="578"/>
    <x v="116"/>
    <x v="407"/>
    <x v="0"/>
    <x v="1"/>
    <x v="1"/>
    <n v="0"/>
    <n v="0"/>
  </r>
  <r>
    <s v="WILDFIRE TRAD-COOKIE FACTORY"/>
    <x v="13"/>
    <x v="588"/>
    <x v="578"/>
    <x v="116"/>
    <x v="407"/>
    <x v="0"/>
    <x v="2"/>
    <x v="2"/>
    <n v="0"/>
    <n v="0"/>
  </r>
  <r>
    <s v="WILDFIRE TRAD-COOKIE FACTORY"/>
    <x v="13"/>
    <x v="588"/>
    <x v="578"/>
    <x v="116"/>
    <x v="407"/>
    <x v="0"/>
    <x v="3"/>
    <x v="3"/>
    <n v="0"/>
    <n v="0"/>
  </r>
  <r>
    <s v="WILDFIRE TRAD-COOKIE FACTORY"/>
    <x v="13"/>
    <x v="588"/>
    <x v="578"/>
    <x v="116"/>
    <x v="407"/>
    <x v="0"/>
    <x v="4"/>
    <x v="4"/>
    <n v="0"/>
    <n v="0"/>
  </r>
  <r>
    <s v="WILDFIRE TRAD-COOKIE FACTORY"/>
    <x v="13"/>
    <x v="588"/>
    <x v="578"/>
    <x v="116"/>
    <x v="407"/>
    <x v="0"/>
    <x v="5"/>
    <x v="5"/>
    <n v="0"/>
    <n v="0"/>
  </r>
  <r>
    <s v="WILDFIRE TRAD-COOKIE FACTORY"/>
    <x v="13"/>
    <x v="588"/>
    <x v="578"/>
    <x v="116"/>
    <x v="407"/>
    <x v="0"/>
    <x v="6"/>
    <x v="6"/>
    <n v="0"/>
    <n v="0"/>
  </r>
  <r>
    <s v="WILDFIRE TRAD-COOKIE FACTORY"/>
    <x v="13"/>
    <x v="589"/>
    <x v="579"/>
    <x v="116"/>
    <x v="407"/>
    <x v="0"/>
    <x v="0"/>
    <x v="0"/>
    <n v="0"/>
    <n v="0"/>
  </r>
  <r>
    <s v="WILDFIRE TRAD-COOKIE FACTORY"/>
    <x v="13"/>
    <x v="589"/>
    <x v="579"/>
    <x v="116"/>
    <x v="407"/>
    <x v="0"/>
    <x v="1"/>
    <x v="1"/>
    <n v="0"/>
    <n v="0"/>
  </r>
  <r>
    <s v="WILDFIRE TRAD-COOKIE FACTORY"/>
    <x v="13"/>
    <x v="589"/>
    <x v="579"/>
    <x v="116"/>
    <x v="407"/>
    <x v="0"/>
    <x v="2"/>
    <x v="2"/>
    <n v="0"/>
    <n v="0"/>
  </r>
  <r>
    <s v="WILDFIRE TRAD-COOKIE FACTORY"/>
    <x v="13"/>
    <x v="589"/>
    <x v="579"/>
    <x v="116"/>
    <x v="407"/>
    <x v="0"/>
    <x v="3"/>
    <x v="3"/>
    <n v="0"/>
    <n v="0"/>
  </r>
  <r>
    <s v="WILDFIRE TRAD-COOKIE FACTORY"/>
    <x v="13"/>
    <x v="589"/>
    <x v="579"/>
    <x v="116"/>
    <x v="407"/>
    <x v="0"/>
    <x v="4"/>
    <x v="4"/>
    <n v="0"/>
    <n v="0"/>
  </r>
  <r>
    <s v="WILDFIRE TRAD-COOKIE FACTORY"/>
    <x v="13"/>
    <x v="589"/>
    <x v="579"/>
    <x v="116"/>
    <x v="407"/>
    <x v="0"/>
    <x v="5"/>
    <x v="5"/>
    <n v="0"/>
    <n v="0"/>
  </r>
  <r>
    <s v="WILDFIRE TRAD-COOKIE FACTORY"/>
    <x v="13"/>
    <x v="589"/>
    <x v="579"/>
    <x v="116"/>
    <x v="407"/>
    <x v="0"/>
    <x v="6"/>
    <x v="6"/>
    <n v="0"/>
    <n v="0"/>
  </r>
  <r>
    <s v="WILDFIRE TRAD-COOKIE FACTORY"/>
    <x v="13"/>
    <x v="590"/>
    <x v="580"/>
    <x v="116"/>
    <x v="407"/>
    <x v="0"/>
    <x v="0"/>
    <x v="0"/>
    <n v="0"/>
    <n v="0"/>
  </r>
  <r>
    <s v="WILDFIRE TRAD-COOKIE FACTORY"/>
    <x v="13"/>
    <x v="590"/>
    <x v="580"/>
    <x v="116"/>
    <x v="407"/>
    <x v="0"/>
    <x v="1"/>
    <x v="1"/>
    <n v="0"/>
    <n v="0"/>
  </r>
  <r>
    <s v="WILDFIRE TRAD-COOKIE FACTORY"/>
    <x v="13"/>
    <x v="590"/>
    <x v="580"/>
    <x v="116"/>
    <x v="407"/>
    <x v="0"/>
    <x v="2"/>
    <x v="2"/>
    <n v="0"/>
    <n v="0"/>
  </r>
  <r>
    <s v="WILDFIRE TRAD-COOKIE FACTORY"/>
    <x v="13"/>
    <x v="590"/>
    <x v="580"/>
    <x v="116"/>
    <x v="407"/>
    <x v="0"/>
    <x v="3"/>
    <x v="3"/>
    <n v="0"/>
    <n v="0"/>
  </r>
  <r>
    <s v="WILDFIRE TRAD-COOKIE FACTORY"/>
    <x v="13"/>
    <x v="590"/>
    <x v="580"/>
    <x v="116"/>
    <x v="407"/>
    <x v="0"/>
    <x v="4"/>
    <x v="4"/>
    <n v="0"/>
    <n v="0"/>
  </r>
  <r>
    <s v="WILDFIRE TRAD-COOKIE FACTORY"/>
    <x v="13"/>
    <x v="590"/>
    <x v="580"/>
    <x v="116"/>
    <x v="407"/>
    <x v="0"/>
    <x v="5"/>
    <x v="5"/>
    <n v="0"/>
    <n v="0"/>
  </r>
  <r>
    <s v="WILDFIRE TRAD-COOKIE FACTORY"/>
    <x v="13"/>
    <x v="590"/>
    <x v="580"/>
    <x v="116"/>
    <x v="407"/>
    <x v="0"/>
    <x v="6"/>
    <x v="6"/>
    <n v="0"/>
    <n v="0"/>
  </r>
  <r>
    <s v="WILDFIRE TRAD-COOKIE FACTORY"/>
    <x v="13"/>
    <x v="591"/>
    <x v="581"/>
    <x v="82"/>
    <x v="408"/>
    <x v="0"/>
    <x v="0"/>
    <x v="0"/>
    <n v="0"/>
    <n v="0"/>
  </r>
  <r>
    <s v="WILDFIRE TRAD-COOKIE FACTORY"/>
    <x v="13"/>
    <x v="591"/>
    <x v="581"/>
    <x v="82"/>
    <x v="408"/>
    <x v="0"/>
    <x v="1"/>
    <x v="1"/>
    <n v="0"/>
    <n v="0"/>
  </r>
  <r>
    <s v="WILDFIRE TRAD-COOKIE FACTORY"/>
    <x v="13"/>
    <x v="591"/>
    <x v="581"/>
    <x v="82"/>
    <x v="408"/>
    <x v="0"/>
    <x v="2"/>
    <x v="2"/>
    <n v="0"/>
    <n v="0"/>
  </r>
  <r>
    <s v="WILDFIRE TRAD-COOKIE FACTORY"/>
    <x v="13"/>
    <x v="591"/>
    <x v="581"/>
    <x v="82"/>
    <x v="408"/>
    <x v="0"/>
    <x v="3"/>
    <x v="3"/>
    <n v="0"/>
    <n v="0"/>
  </r>
  <r>
    <s v="WILDFIRE TRAD-COOKIE FACTORY"/>
    <x v="13"/>
    <x v="591"/>
    <x v="581"/>
    <x v="82"/>
    <x v="408"/>
    <x v="0"/>
    <x v="4"/>
    <x v="4"/>
    <n v="0"/>
    <n v="0"/>
  </r>
  <r>
    <s v="WILDFIRE TRAD-COOKIE FACTORY"/>
    <x v="13"/>
    <x v="591"/>
    <x v="581"/>
    <x v="82"/>
    <x v="408"/>
    <x v="0"/>
    <x v="5"/>
    <x v="5"/>
    <n v="0"/>
    <n v="0"/>
  </r>
  <r>
    <s v="WILDFIRE TRAD-COOKIE FACTORY"/>
    <x v="13"/>
    <x v="591"/>
    <x v="581"/>
    <x v="82"/>
    <x v="408"/>
    <x v="0"/>
    <x v="6"/>
    <x v="6"/>
    <n v="0"/>
    <n v="0"/>
  </r>
  <r>
    <s v="WILDFIRE TRAD-COOKIE FACTORY"/>
    <x v="13"/>
    <x v="592"/>
    <x v="582"/>
    <x v="82"/>
    <x v="408"/>
    <x v="0"/>
    <x v="0"/>
    <x v="0"/>
    <n v="0"/>
    <n v="0"/>
  </r>
  <r>
    <s v="WILDFIRE TRAD-COOKIE FACTORY"/>
    <x v="13"/>
    <x v="592"/>
    <x v="582"/>
    <x v="82"/>
    <x v="408"/>
    <x v="0"/>
    <x v="1"/>
    <x v="1"/>
    <n v="0"/>
    <n v="0"/>
  </r>
  <r>
    <s v="WILDFIRE TRAD-COOKIE FACTORY"/>
    <x v="13"/>
    <x v="592"/>
    <x v="582"/>
    <x v="82"/>
    <x v="408"/>
    <x v="0"/>
    <x v="2"/>
    <x v="2"/>
    <n v="0"/>
    <n v="0"/>
  </r>
  <r>
    <s v="WILDFIRE TRAD-COOKIE FACTORY"/>
    <x v="13"/>
    <x v="592"/>
    <x v="582"/>
    <x v="82"/>
    <x v="408"/>
    <x v="0"/>
    <x v="3"/>
    <x v="3"/>
    <n v="0"/>
    <n v="0"/>
  </r>
  <r>
    <s v="WILDFIRE TRAD-COOKIE FACTORY"/>
    <x v="13"/>
    <x v="592"/>
    <x v="582"/>
    <x v="82"/>
    <x v="408"/>
    <x v="0"/>
    <x v="4"/>
    <x v="4"/>
    <n v="0"/>
    <n v="0"/>
  </r>
  <r>
    <s v="WILDFIRE TRAD-COOKIE FACTORY"/>
    <x v="13"/>
    <x v="592"/>
    <x v="582"/>
    <x v="82"/>
    <x v="408"/>
    <x v="0"/>
    <x v="5"/>
    <x v="5"/>
    <n v="0"/>
    <n v="0"/>
  </r>
  <r>
    <s v="WILDFIRE TRAD-COOKIE FACTORY"/>
    <x v="13"/>
    <x v="592"/>
    <x v="582"/>
    <x v="82"/>
    <x v="408"/>
    <x v="0"/>
    <x v="6"/>
    <x v="6"/>
    <n v="0"/>
    <n v="0"/>
  </r>
  <r>
    <s v="WILDFIRE TRAD-COOKIE FACTORY"/>
    <x v="13"/>
    <x v="593"/>
    <x v="583"/>
    <x v="82"/>
    <x v="408"/>
    <x v="0"/>
    <x v="0"/>
    <x v="0"/>
    <n v="0"/>
    <n v="0"/>
  </r>
  <r>
    <s v="WILDFIRE TRAD-COOKIE FACTORY"/>
    <x v="13"/>
    <x v="593"/>
    <x v="583"/>
    <x v="82"/>
    <x v="408"/>
    <x v="0"/>
    <x v="1"/>
    <x v="1"/>
    <n v="0"/>
    <n v="0"/>
  </r>
  <r>
    <s v="WILDFIRE TRAD-COOKIE FACTORY"/>
    <x v="13"/>
    <x v="593"/>
    <x v="583"/>
    <x v="82"/>
    <x v="408"/>
    <x v="0"/>
    <x v="2"/>
    <x v="2"/>
    <n v="0"/>
    <n v="0"/>
  </r>
  <r>
    <s v="WILDFIRE TRAD-COOKIE FACTORY"/>
    <x v="13"/>
    <x v="593"/>
    <x v="583"/>
    <x v="82"/>
    <x v="408"/>
    <x v="0"/>
    <x v="3"/>
    <x v="3"/>
    <n v="0"/>
    <n v="0"/>
  </r>
  <r>
    <s v="WILDFIRE TRAD-COOKIE FACTORY"/>
    <x v="13"/>
    <x v="593"/>
    <x v="583"/>
    <x v="82"/>
    <x v="408"/>
    <x v="0"/>
    <x v="4"/>
    <x v="4"/>
    <n v="0"/>
    <n v="0"/>
  </r>
  <r>
    <s v="WILDFIRE TRAD-COOKIE FACTORY"/>
    <x v="13"/>
    <x v="593"/>
    <x v="583"/>
    <x v="82"/>
    <x v="408"/>
    <x v="0"/>
    <x v="5"/>
    <x v="5"/>
    <n v="0"/>
    <n v="0"/>
  </r>
  <r>
    <s v="WILDFIRE TRAD-COOKIE FACTORY"/>
    <x v="13"/>
    <x v="593"/>
    <x v="583"/>
    <x v="82"/>
    <x v="408"/>
    <x v="0"/>
    <x v="6"/>
    <x v="6"/>
    <n v="0"/>
    <n v="0"/>
  </r>
  <r>
    <s v="WILDFIRE TRAD-COOKIE FACTORY"/>
    <x v="13"/>
    <x v="594"/>
    <x v="584"/>
    <x v="27"/>
    <x v="405"/>
    <x v="0"/>
    <x v="0"/>
    <x v="0"/>
    <n v="0"/>
    <n v="0"/>
  </r>
  <r>
    <s v="WILDFIRE TRAD-COOKIE FACTORY"/>
    <x v="13"/>
    <x v="594"/>
    <x v="584"/>
    <x v="27"/>
    <x v="405"/>
    <x v="0"/>
    <x v="1"/>
    <x v="1"/>
    <n v="0"/>
    <n v="0"/>
  </r>
  <r>
    <s v="WILDFIRE TRAD-COOKIE FACTORY"/>
    <x v="13"/>
    <x v="594"/>
    <x v="584"/>
    <x v="27"/>
    <x v="405"/>
    <x v="0"/>
    <x v="2"/>
    <x v="2"/>
    <n v="0"/>
    <n v="0"/>
  </r>
  <r>
    <s v="WILDFIRE TRAD-COOKIE FACTORY"/>
    <x v="13"/>
    <x v="594"/>
    <x v="584"/>
    <x v="27"/>
    <x v="405"/>
    <x v="0"/>
    <x v="3"/>
    <x v="3"/>
    <n v="0"/>
    <n v="0"/>
  </r>
  <r>
    <s v="WILDFIRE TRAD-COOKIE FACTORY"/>
    <x v="13"/>
    <x v="594"/>
    <x v="584"/>
    <x v="27"/>
    <x v="405"/>
    <x v="0"/>
    <x v="4"/>
    <x v="4"/>
    <n v="0"/>
    <n v="0"/>
  </r>
  <r>
    <s v="WILDFIRE TRAD-COOKIE FACTORY"/>
    <x v="13"/>
    <x v="594"/>
    <x v="584"/>
    <x v="27"/>
    <x v="405"/>
    <x v="0"/>
    <x v="5"/>
    <x v="5"/>
    <n v="0"/>
    <n v="0"/>
  </r>
  <r>
    <s v="WILDFIRE TRAD-COOKIE FACTORY"/>
    <x v="13"/>
    <x v="594"/>
    <x v="584"/>
    <x v="27"/>
    <x v="405"/>
    <x v="0"/>
    <x v="6"/>
    <x v="6"/>
    <n v="0"/>
    <n v="0"/>
  </r>
  <r>
    <s v="WILDFIRE TRAD-COOKIE FACTORY"/>
    <x v="13"/>
    <x v="595"/>
    <x v="585"/>
    <x v="126"/>
    <x v="409"/>
    <x v="0"/>
    <x v="0"/>
    <x v="0"/>
    <n v="0"/>
    <n v="0"/>
  </r>
  <r>
    <s v="WILDFIRE TRAD-COOKIE FACTORY"/>
    <x v="13"/>
    <x v="595"/>
    <x v="585"/>
    <x v="126"/>
    <x v="409"/>
    <x v="0"/>
    <x v="1"/>
    <x v="1"/>
    <n v="0"/>
    <n v="0"/>
  </r>
  <r>
    <s v="WILDFIRE TRAD-COOKIE FACTORY"/>
    <x v="13"/>
    <x v="595"/>
    <x v="585"/>
    <x v="126"/>
    <x v="409"/>
    <x v="0"/>
    <x v="2"/>
    <x v="2"/>
    <n v="0"/>
    <n v="0"/>
  </r>
  <r>
    <s v="WILDFIRE TRAD-COOKIE FACTORY"/>
    <x v="13"/>
    <x v="595"/>
    <x v="585"/>
    <x v="126"/>
    <x v="409"/>
    <x v="0"/>
    <x v="3"/>
    <x v="3"/>
    <n v="0"/>
    <n v="0"/>
  </r>
  <r>
    <s v="WILDFIRE TRAD-COOKIE FACTORY"/>
    <x v="13"/>
    <x v="595"/>
    <x v="585"/>
    <x v="126"/>
    <x v="409"/>
    <x v="0"/>
    <x v="4"/>
    <x v="4"/>
    <n v="0"/>
    <n v="0"/>
  </r>
  <r>
    <s v="WILDFIRE TRAD-COOKIE FACTORY"/>
    <x v="13"/>
    <x v="595"/>
    <x v="585"/>
    <x v="126"/>
    <x v="409"/>
    <x v="0"/>
    <x v="5"/>
    <x v="5"/>
    <n v="0"/>
    <n v="0"/>
  </r>
  <r>
    <s v="WILDFIRE TRAD-COOKIE FACTORY"/>
    <x v="13"/>
    <x v="595"/>
    <x v="585"/>
    <x v="126"/>
    <x v="409"/>
    <x v="0"/>
    <x v="6"/>
    <x v="6"/>
    <n v="0"/>
    <n v="0"/>
  </r>
  <r>
    <s v="WILDFIRE TRAD-COOKIE FACTORY"/>
    <x v="13"/>
    <x v="596"/>
    <x v="586"/>
    <x v="27"/>
    <x v="405"/>
    <x v="0"/>
    <x v="0"/>
    <x v="0"/>
    <n v="0"/>
    <n v="0"/>
  </r>
  <r>
    <s v="WILDFIRE TRAD-COOKIE FACTORY"/>
    <x v="13"/>
    <x v="596"/>
    <x v="586"/>
    <x v="27"/>
    <x v="405"/>
    <x v="0"/>
    <x v="1"/>
    <x v="1"/>
    <n v="0"/>
    <n v="0"/>
  </r>
  <r>
    <s v="WILDFIRE TRAD-COOKIE FACTORY"/>
    <x v="13"/>
    <x v="596"/>
    <x v="586"/>
    <x v="27"/>
    <x v="405"/>
    <x v="0"/>
    <x v="2"/>
    <x v="2"/>
    <n v="0"/>
    <n v="0"/>
  </r>
  <r>
    <s v="WILDFIRE TRAD-COOKIE FACTORY"/>
    <x v="13"/>
    <x v="596"/>
    <x v="586"/>
    <x v="27"/>
    <x v="405"/>
    <x v="0"/>
    <x v="3"/>
    <x v="3"/>
    <n v="0"/>
    <n v="0"/>
  </r>
  <r>
    <s v="WILDFIRE TRAD-COOKIE FACTORY"/>
    <x v="13"/>
    <x v="596"/>
    <x v="586"/>
    <x v="27"/>
    <x v="405"/>
    <x v="0"/>
    <x v="4"/>
    <x v="4"/>
    <n v="0"/>
    <n v="0"/>
  </r>
  <r>
    <s v="WILDFIRE TRAD-COOKIE FACTORY"/>
    <x v="13"/>
    <x v="596"/>
    <x v="586"/>
    <x v="27"/>
    <x v="405"/>
    <x v="0"/>
    <x v="5"/>
    <x v="5"/>
    <n v="0"/>
    <n v="0"/>
  </r>
  <r>
    <s v="WILDFIRE TRAD-COOKIE FACTORY"/>
    <x v="13"/>
    <x v="596"/>
    <x v="586"/>
    <x v="27"/>
    <x v="405"/>
    <x v="0"/>
    <x v="6"/>
    <x v="6"/>
    <n v="0"/>
    <n v="0"/>
  </r>
  <r>
    <s v="ANCHOR YEAST(BULK BAKERY)"/>
    <x v="12"/>
    <x v="597"/>
    <x v="587"/>
    <x v="142"/>
    <x v="410"/>
    <x v="0"/>
    <x v="0"/>
    <x v="0"/>
    <n v="0"/>
    <n v="0"/>
  </r>
  <r>
    <s v="ANCHOR YEAST(BULK BAKERY)"/>
    <x v="12"/>
    <x v="597"/>
    <x v="587"/>
    <x v="142"/>
    <x v="410"/>
    <x v="0"/>
    <x v="1"/>
    <x v="1"/>
    <n v="0"/>
    <n v="0"/>
  </r>
  <r>
    <s v="ANCHOR YEAST(BULK BAKERY)"/>
    <x v="12"/>
    <x v="597"/>
    <x v="587"/>
    <x v="142"/>
    <x v="410"/>
    <x v="0"/>
    <x v="2"/>
    <x v="2"/>
    <n v="0"/>
    <n v="0"/>
  </r>
  <r>
    <s v="ANCHOR YEAST(BULK BAKERY)"/>
    <x v="12"/>
    <x v="597"/>
    <x v="587"/>
    <x v="142"/>
    <x v="410"/>
    <x v="0"/>
    <x v="3"/>
    <x v="3"/>
    <n v="0"/>
    <n v="0"/>
  </r>
  <r>
    <s v="ANCHOR YEAST(BULK BAKERY)"/>
    <x v="12"/>
    <x v="597"/>
    <x v="587"/>
    <x v="142"/>
    <x v="410"/>
    <x v="0"/>
    <x v="4"/>
    <x v="4"/>
    <n v="0"/>
    <n v="0"/>
  </r>
  <r>
    <s v="ANCHOR YEAST(BULK BAKERY)"/>
    <x v="12"/>
    <x v="597"/>
    <x v="587"/>
    <x v="142"/>
    <x v="410"/>
    <x v="0"/>
    <x v="5"/>
    <x v="5"/>
    <n v="0"/>
    <n v="0"/>
  </r>
  <r>
    <s v="ANCHOR YEAST(BULK BAKERY)"/>
    <x v="12"/>
    <x v="597"/>
    <x v="587"/>
    <x v="142"/>
    <x v="410"/>
    <x v="0"/>
    <x v="6"/>
    <x v="6"/>
    <n v="0"/>
    <n v="0"/>
  </r>
  <r>
    <s v="KATHY'S KITCHEN"/>
    <x v="2"/>
    <x v="598"/>
    <x v="588"/>
    <x v="24"/>
    <x v="411"/>
    <x v="0"/>
    <x v="0"/>
    <x v="0"/>
    <n v="0"/>
    <n v="0"/>
  </r>
  <r>
    <s v="KATHY'S KITCHEN"/>
    <x v="2"/>
    <x v="598"/>
    <x v="588"/>
    <x v="24"/>
    <x v="411"/>
    <x v="0"/>
    <x v="1"/>
    <x v="1"/>
    <n v="0"/>
    <n v="0"/>
  </r>
  <r>
    <s v="KATHY'S KITCHEN"/>
    <x v="2"/>
    <x v="598"/>
    <x v="588"/>
    <x v="24"/>
    <x v="411"/>
    <x v="0"/>
    <x v="2"/>
    <x v="2"/>
    <n v="0"/>
    <n v="0"/>
  </r>
  <r>
    <s v="KATHY'S KITCHEN"/>
    <x v="2"/>
    <x v="598"/>
    <x v="588"/>
    <x v="24"/>
    <x v="411"/>
    <x v="0"/>
    <x v="3"/>
    <x v="3"/>
    <n v="0"/>
    <n v="0"/>
  </r>
  <r>
    <s v="KATHY'S KITCHEN"/>
    <x v="2"/>
    <x v="598"/>
    <x v="588"/>
    <x v="24"/>
    <x v="411"/>
    <x v="0"/>
    <x v="4"/>
    <x v="4"/>
    <n v="0"/>
    <n v="0"/>
  </r>
  <r>
    <s v="KATHY'S KITCHEN"/>
    <x v="2"/>
    <x v="598"/>
    <x v="588"/>
    <x v="24"/>
    <x v="411"/>
    <x v="0"/>
    <x v="5"/>
    <x v="5"/>
    <n v="0"/>
    <n v="0"/>
  </r>
  <r>
    <s v="KATHY'S KITCHEN"/>
    <x v="2"/>
    <x v="598"/>
    <x v="588"/>
    <x v="24"/>
    <x v="411"/>
    <x v="0"/>
    <x v="6"/>
    <x v="6"/>
    <n v="0"/>
    <n v="0"/>
  </r>
  <r>
    <s v="KATHY'S KITCHEN"/>
    <x v="2"/>
    <x v="599"/>
    <x v="589"/>
    <x v="21"/>
    <x v="412"/>
    <x v="0"/>
    <x v="0"/>
    <x v="0"/>
    <n v="0"/>
    <n v="0"/>
  </r>
  <r>
    <s v="KATHY'S KITCHEN"/>
    <x v="2"/>
    <x v="599"/>
    <x v="589"/>
    <x v="21"/>
    <x v="412"/>
    <x v="0"/>
    <x v="1"/>
    <x v="1"/>
    <n v="0"/>
    <n v="0"/>
  </r>
  <r>
    <s v="KATHY'S KITCHEN"/>
    <x v="2"/>
    <x v="599"/>
    <x v="589"/>
    <x v="21"/>
    <x v="412"/>
    <x v="0"/>
    <x v="2"/>
    <x v="2"/>
    <n v="0"/>
    <n v="0"/>
  </r>
  <r>
    <s v="KATHY'S KITCHEN"/>
    <x v="2"/>
    <x v="599"/>
    <x v="589"/>
    <x v="21"/>
    <x v="412"/>
    <x v="0"/>
    <x v="3"/>
    <x v="3"/>
    <n v="0"/>
    <n v="0"/>
  </r>
  <r>
    <s v="KATHY'S KITCHEN"/>
    <x v="2"/>
    <x v="599"/>
    <x v="589"/>
    <x v="21"/>
    <x v="412"/>
    <x v="0"/>
    <x v="4"/>
    <x v="4"/>
    <n v="0"/>
    <n v="0"/>
  </r>
  <r>
    <s v="KATHY'S KITCHEN"/>
    <x v="2"/>
    <x v="599"/>
    <x v="589"/>
    <x v="21"/>
    <x v="412"/>
    <x v="0"/>
    <x v="5"/>
    <x v="5"/>
    <n v="0"/>
    <n v="0"/>
  </r>
  <r>
    <s v="KATHY'S KITCHEN"/>
    <x v="2"/>
    <x v="599"/>
    <x v="589"/>
    <x v="21"/>
    <x v="412"/>
    <x v="0"/>
    <x v="6"/>
    <x v="6"/>
    <n v="0"/>
    <n v="0"/>
  </r>
  <r>
    <s v="KATHY'S KITCHEN"/>
    <x v="2"/>
    <x v="600"/>
    <x v="590"/>
    <x v="20"/>
    <x v="413"/>
    <x v="0"/>
    <x v="0"/>
    <x v="0"/>
    <n v="0"/>
    <n v="0"/>
  </r>
  <r>
    <s v="KATHY'S KITCHEN"/>
    <x v="2"/>
    <x v="600"/>
    <x v="590"/>
    <x v="20"/>
    <x v="413"/>
    <x v="0"/>
    <x v="1"/>
    <x v="1"/>
    <n v="0"/>
    <n v="0"/>
  </r>
  <r>
    <s v="KATHY'S KITCHEN"/>
    <x v="2"/>
    <x v="600"/>
    <x v="590"/>
    <x v="20"/>
    <x v="413"/>
    <x v="0"/>
    <x v="2"/>
    <x v="2"/>
    <n v="0"/>
    <n v="0"/>
  </r>
  <r>
    <s v="KATHY'S KITCHEN"/>
    <x v="2"/>
    <x v="600"/>
    <x v="590"/>
    <x v="20"/>
    <x v="413"/>
    <x v="0"/>
    <x v="3"/>
    <x v="3"/>
    <n v="0"/>
    <n v="0"/>
  </r>
  <r>
    <s v="KATHY'S KITCHEN"/>
    <x v="2"/>
    <x v="600"/>
    <x v="590"/>
    <x v="20"/>
    <x v="413"/>
    <x v="0"/>
    <x v="4"/>
    <x v="4"/>
    <n v="0"/>
    <n v="0"/>
  </r>
  <r>
    <s v="KATHY'S KITCHEN"/>
    <x v="2"/>
    <x v="600"/>
    <x v="590"/>
    <x v="20"/>
    <x v="413"/>
    <x v="0"/>
    <x v="5"/>
    <x v="5"/>
    <n v="0"/>
    <n v="0"/>
  </r>
  <r>
    <s v="KATHY'S KITCHEN"/>
    <x v="2"/>
    <x v="600"/>
    <x v="590"/>
    <x v="20"/>
    <x v="413"/>
    <x v="0"/>
    <x v="6"/>
    <x v="6"/>
    <n v="0"/>
    <n v="0"/>
  </r>
  <r>
    <s v="GEIIANSA"/>
    <x v="4"/>
    <x v="601"/>
    <x v="591"/>
    <x v="83"/>
    <x v="396"/>
    <x v="0"/>
    <x v="0"/>
    <x v="0"/>
    <n v="0"/>
    <n v="0"/>
  </r>
  <r>
    <s v="GEIIANSA"/>
    <x v="4"/>
    <x v="601"/>
    <x v="591"/>
    <x v="83"/>
    <x v="396"/>
    <x v="0"/>
    <x v="1"/>
    <x v="1"/>
    <n v="0"/>
    <n v="0"/>
  </r>
  <r>
    <s v="GEIIANSA"/>
    <x v="4"/>
    <x v="601"/>
    <x v="591"/>
    <x v="83"/>
    <x v="396"/>
    <x v="0"/>
    <x v="2"/>
    <x v="2"/>
    <n v="0"/>
    <n v="0"/>
  </r>
  <r>
    <s v="GEIIANSA"/>
    <x v="4"/>
    <x v="601"/>
    <x v="591"/>
    <x v="83"/>
    <x v="396"/>
    <x v="0"/>
    <x v="3"/>
    <x v="3"/>
    <n v="0"/>
    <n v="0"/>
  </r>
  <r>
    <s v="GEIIANSA"/>
    <x v="4"/>
    <x v="601"/>
    <x v="591"/>
    <x v="83"/>
    <x v="396"/>
    <x v="0"/>
    <x v="4"/>
    <x v="4"/>
    <n v="0"/>
    <n v="0"/>
  </r>
  <r>
    <s v="GEIIANSA"/>
    <x v="4"/>
    <x v="601"/>
    <x v="591"/>
    <x v="83"/>
    <x v="396"/>
    <x v="0"/>
    <x v="5"/>
    <x v="5"/>
    <n v="0"/>
    <n v="0"/>
  </r>
  <r>
    <s v="GEIIANSA"/>
    <x v="4"/>
    <x v="601"/>
    <x v="591"/>
    <x v="83"/>
    <x v="396"/>
    <x v="0"/>
    <x v="6"/>
    <x v="6"/>
    <n v="0"/>
    <n v="0"/>
  </r>
  <r>
    <s v="GEIIANSA"/>
    <x v="4"/>
    <x v="602"/>
    <x v="592"/>
    <x v="83"/>
    <x v="396"/>
    <x v="0"/>
    <x v="0"/>
    <x v="0"/>
    <n v="0"/>
    <n v="0"/>
  </r>
  <r>
    <s v="GEIIANSA"/>
    <x v="4"/>
    <x v="602"/>
    <x v="592"/>
    <x v="83"/>
    <x v="396"/>
    <x v="0"/>
    <x v="1"/>
    <x v="1"/>
    <n v="0"/>
    <n v="0"/>
  </r>
  <r>
    <s v="GEIIANSA"/>
    <x v="4"/>
    <x v="602"/>
    <x v="592"/>
    <x v="83"/>
    <x v="396"/>
    <x v="0"/>
    <x v="2"/>
    <x v="2"/>
    <n v="0"/>
    <n v="0"/>
  </r>
  <r>
    <s v="GEIIANSA"/>
    <x v="4"/>
    <x v="602"/>
    <x v="592"/>
    <x v="83"/>
    <x v="396"/>
    <x v="0"/>
    <x v="3"/>
    <x v="3"/>
    <n v="0"/>
    <n v="0"/>
  </r>
  <r>
    <s v="GEIIANSA"/>
    <x v="4"/>
    <x v="602"/>
    <x v="592"/>
    <x v="83"/>
    <x v="396"/>
    <x v="0"/>
    <x v="4"/>
    <x v="4"/>
    <n v="0"/>
    <n v="0"/>
  </r>
  <r>
    <s v="GEIIANSA"/>
    <x v="4"/>
    <x v="602"/>
    <x v="592"/>
    <x v="83"/>
    <x v="396"/>
    <x v="0"/>
    <x v="5"/>
    <x v="5"/>
    <n v="0"/>
    <n v="0"/>
  </r>
  <r>
    <s v="GEIIANSA"/>
    <x v="4"/>
    <x v="602"/>
    <x v="592"/>
    <x v="83"/>
    <x v="396"/>
    <x v="0"/>
    <x v="6"/>
    <x v="6"/>
    <n v="0"/>
    <n v="0"/>
  </r>
  <r>
    <s v="DELI CO MEAT WHOLESALERS"/>
    <x v="12"/>
    <x v="603"/>
    <x v="593"/>
    <x v="150"/>
    <x v="414"/>
    <x v="0"/>
    <x v="0"/>
    <x v="0"/>
    <n v="0"/>
    <n v="0"/>
  </r>
  <r>
    <s v="DELI CO MEAT WHOLESALERS"/>
    <x v="12"/>
    <x v="603"/>
    <x v="593"/>
    <x v="150"/>
    <x v="414"/>
    <x v="0"/>
    <x v="1"/>
    <x v="1"/>
    <n v="0"/>
    <n v="0"/>
  </r>
  <r>
    <s v="DELI CO MEAT WHOLESALERS"/>
    <x v="12"/>
    <x v="603"/>
    <x v="593"/>
    <x v="150"/>
    <x v="414"/>
    <x v="0"/>
    <x v="2"/>
    <x v="2"/>
    <n v="0"/>
    <n v="0"/>
  </r>
  <r>
    <s v="DELI CO MEAT WHOLESALERS"/>
    <x v="12"/>
    <x v="603"/>
    <x v="593"/>
    <x v="150"/>
    <x v="414"/>
    <x v="0"/>
    <x v="3"/>
    <x v="3"/>
    <n v="0"/>
    <n v="0"/>
  </r>
  <r>
    <s v="DELI CO MEAT WHOLESALERS"/>
    <x v="12"/>
    <x v="603"/>
    <x v="593"/>
    <x v="150"/>
    <x v="414"/>
    <x v="0"/>
    <x v="4"/>
    <x v="4"/>
    <n v="0"/>
    <n v="0"/>
  </r>
  <r>
    <s v="DELI CO MEAT WHOLESALERS"/>
    <x v="12"/>
    <x v="603"/>
    <x v="593"/>
    <x v="150"/>
    <x v="414"/>
    <x v="0"/>
    <x v="5"/>
    <x v="5"/>
    <n v="0"/>
    <n v="0"/>
  </r>
  <r>
    <s v="DELI CO MEAT WHOLESALERS"/>
    <x v="12"/>
    <x v="603"/>
    <x v="593"/>
    <x v="150"/>
    <x v="414"/>
    <x v="0"/>
    <x v="6"/>
    <x v="6"/>
    <n v="0"/>
    <n v="0"/>
  </r>
  <r>
    <s v="HMR"/>
    <x v="0"/>
    <x v="604"/>
    <x v="565"/>
    <x v="151"/>
    <x v="401"/>
    <x v="0"/>
    <x v="0"/>
    <x v="0"/>
    <n v="0"/>
    <n v="0"/>
  </r>
  <r>
    <s v="HMR"/>
    <x v="0"/>
    <x v="604"/>
    <x v="565"/>
    <x v="151"/>
    <x v="401"/>
    <x v="0"/>
    <x v="1"/>
    <x v="1"/>
    <n v="0"/>
    <n v="0"/>
  </r>
  <r>
    <s v="HMR"/>
    <x v="0"/>
    <x v="604"/>
    <x v="565"/>
    <x v="151"/>
    <x v="401"/>
    <x v="0"/>
    <x v="2"/>
    <x v="2"/>
    <n v="0"/>
    <n v="0"/>
  </r>
  <r>
    <s v="HMR"/>
    <x v="0"/>
    <x v="604"/>
    <x v="565"/>
    <x v="151"/>
    <x v="401"/>
    <x v="0"/>
    <x v="3"/>
    <x v="3"/>
    <n v="0"/>
    <n v="0"/>
  </r>
  <r>
    <s v="HMR"/>
    <x v="0"/>
    <x v="604"/>
    <x v="565"/>
    <x v="151"/>
    <x v="401"/>
    <x v="0"/>
    <x v="4"/>
    <x v="4"/>
    <n v="0"/>
    <n v="0"/>
  </r>
  <r>
    <s v="HMR"/>
    <x v="0"/>
    <x v="604"/>
    <x v="565"/>
    <x v="151"/>
    <x v="401"/>
    <x v="0"/>
    <x v="5"/>
    <x v="5"/>
    <n v="0"/>
    <n v="0"/>
  </r>
  <r>
    <s v="HMR"/>
    <x v="0"/>
    <x v="604"/>
    <x v="565"/>
    <x v="151"/>
    <x v="401"/>
    <x v="0"/>
    <x v="6"/>
    <x v="6"/>
    <n v="0"/>
    <n v="0"/>
  </r>
  <r>
    <s v="CAKE FLORA"/>
    <x v="2"/>
    <x v="605"/>
    <x v="594"/>
    <x v="152"/>
    <x v="415"/>
    <x v="0"/>
    <x v="0"/>
    <x v="0"/>
    <n v="0"/>
    <n v="0"/>
  </r>
  <r>
    <s v="CAKE FLORA"/>
    <x v="2"/>
    <x v="605"/>
    <x v="594"/>
    <x v="152"/>
    <x v="415"/>
    <x v="0"/>
    <x v="1"/>
    <x v="1"/>
    <n v="0"/>
    <n v="0"/>
  </r>
  <r>
    <s v="CAKE FLORA"/>
    <x v="2"/>
    <x v="605"/>
    <x v="594"/>
    <x v="152"/>
    <x v="415"/>
    <x v="0"/>
    <x v="2"/>
    <x v="2"/>
    <n v="0"/>
    <n v="0"/>
  </r>
  <r>
    <s v="CAKE FLORA"/>
    <x v="2"/>
    <x v="605"/>
    <x v="594"/>
    <x v="152"/>
    <x v="415"/>
    <x v="0"/>
    <x v="3"/>
    <x v="3"/>
    <n v="0"/>
    <n v="0"/>
  </r>
  <r>
    <s v="CAKE FLORA"/>
    <x v="2"/>
    <x v="605"/>
    <x v="594"/>
    <x v="152"/>
    <x v="415"/>
    <x v="0"/>
    <x v="4"/>
    <x v="4"/>
    <n v="0"/>
    <n v="0"/>
  </r>
  <r>
    <s v="CAKE FLORA"/>
    <x v="2"/>
    <x v="605"/>
    <x v="594"/>
    <x v="152"/>
    <x v="415"/>
    <x v="0"/>
    <x v="5"/>
    <x v="5"/>
    <n v="0"/>
    <n v="0"/>
  </r>
  <r>
    <s v="CAKE FLORA"/>
    <x v="2"/>
    <x v="605"/>
    <x v="594"/>
    <x v="152"/>
    <x v="415"/>
    <x v="0"/>
    <x v="6"/>
    <x v="6"/>
    <n v="0"/>
    <n v="0"/>
  </r>
  <r>
    <s v="M &amp; R FRESH FRUIT &amp; VEG.MARKET"/>
    <x v="0"/>
    <x v="606"/>
    <x v="595"/>
    <x v="49"/>
    <x v="416"/>
    <x v="0"/>
    <x v="0"/>
    <x v="0"/>
    <n v="0"/>
    <n v="0"/>
  </r>
  <r>
    <s v="M &amp; R FRESH FRUIT &amp; VEG.MARKET"/>
    <x v="0"/>
    <x v="606"/>
    <x v="595"/>
    <x v="49"/>
    <x v="416"/>
    <x v="0"/>
    <x v="1"/>
    <x v="1"/>
    <n v="0"/>
    <n v="0"/>
  </r>
  <r>
    <s v="M &amp; R FRESH FRUIT &amp; VEG.MARKET"/>
    <x v="0"/>
    <x v="606"/>
    <x v="595"/>
    <x v="49"/>
    <x v="416"/>
    <x v="0"/>
    <x v="2"/>
    <x v="2"/>
    <n v="0"/>
    <n v="0"/>
  </r>
  <r>
    <s v="M &amp; R FRESH FRUIT &amp; VEG.MARKET"/>
    <x v="0"/>
    <x v="606"/>
    <x v="595"/>
    <x v="49"/>
    <x v="416"/>
    <x v="0"/>
    <x v="3"/>
    <x v="3"/>
    <n v="0"/>
    <n v="0"/>
  </r>
  <r>
    <s v="M &amp; R FRESH FRUIT &amp; VEG.MARKET"/>
    <x v="0"/>
    <x v="606"/>
    <x v="595"/>
    <x v="49"/>
    <x v="416"/>
    <x v="0"/>
    <x v="4"/>
    <x v="4"/>
    <n v="0"/>
    <n v="0"/>
  </r>
  <r>
    <s v="M &amp; R FRESH FRUIT &amp; VEG.MARKET"/>
    <x v="0"/>
    <x v="606"/>
    <x v="595"/>
    <x v="49"/>
    <x v="416"/>
    <x v="0"/>
    <x v="5"/>
    <x v="5"/>
    <n v="0"/>
    <n v="0"/>
  </r>
  <r>
    <s v="M &amp; R FRESH FRUIT &amp; VEG.MARKET"/>
    <x v="0"/>
    <x v="606"/>
    <x v="595"/>
    <x v="49"/>
    <x v="416"/>
    <x v="0"/>
    <x v="6"/>
    <x v="6"/>
    <n v="0"/>
    <n v="0"/>
  </r>
  <r>
    <s v="WESTERN CAPE MILLING"/>
    <x v="12"/>
    <x v="607"/>
    <x v="596"/>
    <x v="153"/>
    <x v="417"/>
    <x v="0"/>
    <x v="0"/>
    <x v="0"/>
    <n v="0"/>
    <n v="0"/>
  </r>
  <r>
    <s v="WESTERN CAPE MILLING"/>
    <x v="12"/>
    <x v="607"/>
    <x v="596"/>
    <x v="153"/>
    <x v="417"/>
    <x v="0"/>
    <x v="1"/>
    <x v="1"/>
    <n v="0"/>
    <n v="0"/>
  </r>
  <r>
    <s v="WESTERN CAPE MILLING"/>
    <x v="12"/>
    <x v="607"/>
    <x v="596"/>
    <x v="153"/>
    <x v="417"/>
    <x v="0"/>
    <x v="2"/>
    <x v="2"/>
    <n v="0"/>
    <n v="0"/>
  </r>
  <r>
    <s v="WESTERN CAPE MILLING"/>
    <x v="12"/>
    <x v="607"/>
    <x v="596"/>
    <x v="153"/>
    <x v="417"/>
    <x v="0"/>
    <x v="3"/>
    <x v="3"/>
    <n v="0"/>
    <n v="0"/>
  </r>
  <r>
    <s v="WESTERN CAPE MILLING"/>
    <x v="12"/>
    <x v="607"/>
    <x v="596"/>
    <x v="153"/>
    <x v="417"/>
    <x v="0"/>
    <x v="4"/>
    <x v="4"/>
    <n v="0"/>
    <n v="0"/>
  </r>
  <r>
    <s v="WESTERN CAPE MILLING"/>
    <x v="12"/>
    <x v="607"/>
    <x v="596"/>
    <x v="153"/>
    <x v="417"/>
    <x v="0"/>
    <x v="5"/>
    <x v="5"/>
    <n v="0"/>
    <n v="0"/>
  </r>
  <r>
    <s v="WESTERN CAPE MILLING"/>
    <x v="12"/>
    <x v="607"/>
    <x v="596"/>
    <x v="153"/>
    <x v="417"/>
    <x v="0"/>
    <x v="6"/>
    <x v="6"/>
    <n v="0"/>
    <n v="0"/>
  </r>
  <r>
    <s v="WESTERN CAPE MILLING"/>
    <x v="12"/>
    <x v="608"/>
    <x v="597"/>
    <x v="154"/>
    <x v="418"/>
    <x v="0"/>
    <x v="0"/>
    <x v="0"/>
    <n v="0"/>
    <n v="0"/>
  </r>
  <r>
    <s v="WESTERN CAPE MILLING"/>
    <x v="12"/>
    <x v="608"/>
    <x v="597"/>
    <x v="154"/>
    <x v="418"/>
    <x v="0"/>
    <x v="1"/>
    <x v="1"/>
    <n v="0"/>
    <n v="0"/>
  </r>
  <r>
    <s v="WESTERN CAPE MILLING"/>
    <x v="12"/>
    <x v="608"/>
    <x v="597"/>
    <x v="154"/>
    <x v="418"/>
    <x v="0"/>
    <x v="2"/>
    <x v="2"/>
    <n v="0"/>
    <n v="0"/>
  </r>
  <r>
    <s v="WESTERN CAPE MILLING"/>
    <x v="12"/>
    <x v="608"/>
    <x v="597"/>
    <x v="154"/>
    <x v="418"/>
    <x v="0"/>
    <x v="3"/>
    <x v="3"/>
    <n v="0"/>
    <n v="0"/>
  </r>
  <r>
    <s v="WESTERN CAPE MILLING"/>
    <x v="12"/>
    <x v="608"/>
    <x v="597"/>
    <x v="154"/>
    <x v="418"/>
    <x v="0"/>
    <x v="4"/>
    <x v="4"/>
    <n v="0"/>
    <n v="0"/>
  </r>
  <r>
    <s v="WESTERN CAPE MILLING"/>
    <x v="12"/>
    <x v="608"/>
    <x v="597"/>
    <x v="154"/>
    <x v="418"/>
    <x v="0"/>
    <x v="5"/>
    <x v="5"/>
    <n v="0"/>
    <n v="0"/>
  </r>
  <r>
    <s v="WESTERN CAPE MILLING"/>
    <x v="12"/>
    <x v="608"/>
    <x v="597"/>
    <x v="154"/>
    <x v="418"/>
    <x v="0"/>
    <x v="6"/>
    <x v="6"/>
    <n v="0"/>
    <n v="0"/>
  </r>
  <r>
    <s v="SOUTHBAKELS (PTY) LTD"/>
    <x v="0"/>
    <x v="609"/>
    <x v="598"/>
    <x v="155"/>
    <x v="419"/>
    <x v="0"/>
    <x v="0"/>
    <x v="0"/>
    <n v="0"/>
    <n v="0"/>
  </r>
  <r>
    <s v="SOUTHBAKELS (PTY) LTD"/>
    <x v="0"/>
    <x v="609"/>
    <x v="598"/>
    <x v="155"/>
    <x v="419"/>
    <x v="0"/>
    <x v="1"/>
    <x v="1"/>
    <n v="0"/>
    <n v="0"/>
  </r>
  <r>
    <s v="SOUTHBAKELS (PTY) LTD"/>
    <x v="0"/>
    <x v="609"/>
    <x v="598"/>
    <x v="155"/>
    <x v="419"/>
    <x v="0"/>
    <x v="2"/>
    <x v="2"/>
    <n v="0"/>
    <n v="0"/>
  </r>
  <r>
    <s v="SOUTHBAKELS (PTY) LTD"/>
    <x v="0"/>
    <x v="609"/>
    <x v="598"/>
    <x v="155"/>
    <x v="419"/>
    <x v="0"/>
    <x v="3"/>
    <x v="3"/>
    <n v="0"/>
    <n v="0"/>
  </r>
  <r>
    <s v="SOUTHBAKELS (PTY) LTD"/>
    <x v="0"/>
    <x v="609"/>
    <x v="598"/>
    <x v="155"/>
    <x v="419"/>
    <x v="0"/>
    <x v="4"/>
    <x v="4"/>
    <n v="0"/>
    <n v="0"/>
  </r>
  <r>
    <s v="SOUTHBAKELS (PTY) LTD"/>
    <x v="0"/>
    <x v="609"/>
    <x v="598"/>
    <x v="155"/>
    <x v="419"/>
    <x v="0"/>
    <x v="5"/>
    <x v="5"/>
    <n v="0"/>
    <n v="0"/>
  </r>
  <r>
    <s v="SOUTHBAKELS (PTY) LTD"/>
    <x v="0"/>
    <x v="609"/>
    <x v="598"/>
    <x v="155"/>
    <x v="419"/>
    <x v="0"/>
    <x v="6"/>
    <x v="6"/>
    <n v="0"/>
    <n v="0"/>
  </r>
  <r>
    <s v="M &amp; R FRESH FRUIT &amp; VEG.MARKET"/>
    <x v="0"/>
    <x v="610"/>
    <x v="599"/>
    <x v="141"/>
    <x v="416"/>
    <x v="0"/>
    <x v="0"/>
    <x v="0"/>
    <n v="0"/>
    <n v="0"/>
  </r>
  <r>
    <s v="M &amp; R FRESH FRUIT &amp; VEG.MARKET"/>
    <x v="0"/>
    <x v="610"/>
    <x v="599"/>
    <x v="141"/>
    <x v="416"/>
    <x v="0"/>
    <x v="1"/>
    <x v="1"/>
    <n v="0"/>
    <n v="0"/>
  </r>
  <r>
    <s v="M &amp; R FRESH FRUIT &amp; VEG.MARKET"/>
    <x v="0"/>
    <x v="610"/>
    <x v="599"/>
    <x v="141"/>
    <x v="416"/>
    <x v="0"/>
    <x v="2"/>
    <x v="2"/>
    <n v="0"/>
    <n v="0"/>
  </r>
  <r>
    <s v="M &amp; R FRESH FRUIT &amp; VEG.MARKET"/>
    <x v="0"/>
    <x v="610"/>
    <x v="599"/>
    <x v="141"/>
    <x v="416"/>
    <x v="0"/>
    <x v="3"/>
    <x v="3"/>
    <n v="0"/>
    <n v="0"/>
  </r>
  <r>
    <s v="M &amp; R FRESH FRUIT &amp; VEG.MARKET"/>
    <x v="0"/>
    <x v="610"/>
    <x v="599"/>
    <x v="141"/>
    <x v="416"/>
    <x v="0"/>
    <x v="4"/>
    <x v="4"/>
    <n v="0"/>
    <n v="0"/>
  </r>
  <r>
    <s v="M &amp; R FRESH FRUIT &amp; VEG.MARKET"/>
    <x v="0"/>
    <x v="610"/>
    <x v="599"/>
    <x v="141"/>
    <x v="416"/>
    <x v="0"/>
    <x v="5"/>
    <x v="5"/>
    <n v="0"/>
    <n v="0"/>
  </r>
  <r>
    <s v="M &amp; R FRESH FRUIT &amp; VEG.MARKET"/>
    <x v="0"/>
    <x v="610"/>
    <x v="599"/>
    <x v="141"/>
    <x v="416"/>
    <x v="0"/>
    <x v="6"/>
    <x v="6"/>
    <n v="0"/>
    <n v="0"/>
  </r>
  <r>
    <s v="RICH PRODUCTS"/>
    <x v="10"/>
    <x v="611"/>
    <x v="600"/>
    <x v="112"/>
    <x v="420"/>
    <x v="0"/>
    <x v="0"/>
    <x v="0"/>
    <n v="0"/>
    <n v="0"/>
  </r>
  <r>
    <s v="RICH PRODUCTS"/>
    <x v="10"/>
    <x v="611"/>
    <x v="600"/>
    <x v="112"/>
    <x v="420"/>
    <x v="0"/>
    <x v="1"/>
    <x v="1"/>
    <n v="0"/>
    <n v="0"/>
  </r>
  <r>
    <s v="RICH PRODUCTS"/>
    <x v="10"/>
    <x v="611"/>
    <x v="600"/>
    <x v="112"/>
    <x v="420"/>
    <x v="0"/>
    <x v="2"/>
    <x v="2"/>
    <n v="0"/>
    <n v="0"/>
  </r>
  <r>
    <s v="RICH PRODUCTS"/>
    <x v="10"/>
    <x v="611"/>
    <x v="600"/>
    <x v="112"/>
    <x v="420"/>
    <x v="0"/>
    <x v="3"/>
    <x v="3"/>
    <n v="0"/>
    <n v="0"/>
  </r>
  <r>
    <s v="RICH PRODUCTS"/>
    <x v="10"/>
    <x v="611"/>
    <x v="600"/>
    <x v="112"/>
    <x v="420"/>
    <x v="0"/>
    <x v="4"/>
    <x v="4"/>
    <n v="0"/>
    <n v="0"/>
  </r>
  <r>
    <s v="RICH PRODUCTS"/>
    <x v="10"/>
    <x v="611"/>
    <x v="600"/>
    <x v="112"/>
    <x v="420"/>
    <x v="0"/>
    <x v="5"/>
    <x v="5"/>
    <n v="0"/>
    <n v="0"/>
  </r>
  <r>
    <s v="RICH PRODUCTS"/>
    <x v="10"/>
    <x v="611"/>
    <x v="600"/>
    <x v="112"/>
    <x v="420"/>
    <x v="0"/>
    <x v="6"/>
    <x v="6"/>
    <n v="0"/>
    <n v="0"/>
  </r>
  <r>
    <s v="GEIIANSA"/>
    <x v="4"/>
    <x v="612"/>
    <x v="601"/>
    <x v="83"/>
    <x v="396"/>
    <x v="0"/>
    <x v="0"/>
    <x v="0"/>
    <n v="0"/>
    <n v="0"/>
  </r>
  <r>
    <s v="GEIIANSA"/>
    <x v="4"/>
    <x v="612"/>
    <x v="601"/>
    <x v="83"/>
    <x v="396"/>
    <x v="0"/>
    <x v="2"/>
    <x v="2"/>
    <n v="0"/>
    <n v="0"/>
  </r>
  <r>
    <s v="GEIIANSA"/>
    <x v="4"/>
    <x v="612"/>
    <x v="601"/>
    <x v="83"/>
    <x v="396"/>
    <x v="0"/>
    <x v="4"/>
    <x v="4"/>
    <n v="0"/>
    <n v="0"/>
  </r>
  <r>
    <s v="GEIIANSA"/>
    <x v="4"/>
    <x v="612"/>
    <x v="601"/>
    <x v="83"/>
    <x v="396"/>
    <x v="0"/>
    <x v="5"/>
    <x v="5"/>
    <n v="0"/>
    <n v="0"/>
  </r>
  <r>
    <s v="GEIIANSA"/>
    <x v="4"/>
    <x v="612"/>
    <x v="601"/>
    <x v="83"/>
    <x v="396"/>
    <x v="0"/>
    <x v="6"/>
    <x v="6"/>
    <n v="0"/>
    <n v="0"/>
  </r>
  <r>
    <s v="GOOSEBUMPS DISTR.(BREAD STOP)"/>
    <x v="2"/>
    <x v="613"/>
    <x v="602"/>
    <x v="9"/>
    <x v="421"/>
    <x v="0"/>
    <x v="0"/>
    <x v="0"/>
    <n v="0"/>
    <n v="0"/>
  </r>
  <r>
    <s v="GOOSEBUMPS DISTR.(BREAD STOP)"/>
    <x v="2"/>
    <x v="613"/>
    <x v="602"/>
    <x v="9"/>
    <x v="421"/>
    <x v="0"/>
    <x v="1"/>
    <x v="1"/>
    <n v="0"/>
    <n v="0"/>
  </r>
  <r>
    <s v="GOOSEBUMPS DISTR.(BREAD STOP)"/>
    <x v="2"/>
    <x v="613"/>
    <x v="602"/>
    <x v="9"/>
    <x v="421"/>
    <x v="0"/>
    <x v="2"/>
    <x v="2"/>
    <n v="0"/>
    <n v="0"/>
  </r>
  <r>
    <s v="GOOSEBUMPS DISTR.(BREAD STOP)"/>
    <x v="2"/>
    <x v="613"/>
    <x v="602"/>
    <x v="9"/>
    <x v="421"/>
    <x v="0"/>
    <x v="3"/>
    <x v="3"/>
    <n v="0"/>
    <n v="0"/>
  </r>
  <r>
    <s v="GOOSEBUMPS DISTR.(BREAD STOP)"/>
    <x v="2"/>
    <x v="613"/>
    <x v="602"/>
    <x v="9"/>
    <x v="421"/>
    <x v="0"/>
    <x v="4"/>
    <x v="4"/>
    <n v="0"/>
    <n v="0"/>
  </r>
  <r>
    <s v="GOOSEBUMPS DISTR.(BREAD STOP)"/>
    <x v="2"/>
    <x v="613"/>
    <x v="602"/>
    <x v="9"/>
    <x v="421"/>
    <x v="0"/>
    <x v="5"/>
    <x v="5"/>
    <n v="0"/>
    <n v="0"/>
  </r>
  <r>
    <s v="GOOSEBUMPS DISTR.(BREAD STOP)"/>
    <x v="2"/>
    <x v="613"/>
    <x v="602"/>
    <x v="9"/>
    <x v="421"/>
    <x v="0"/>
    <x v="6"/>
    <x v="6"/>
    <n v="0"/>
    <n v="0"/>
  </r>
  <r>
    <s v="GEIIANSA"/>
    <x v="4"/>
    <x v="614"/>
    <x v="603"/>
    <x v="83"/>
    <x v="396"/>
    <x v="0"/>
    <x v="0"/>
    <x v="0"/>
    <n v="0"/>
    <n v="0"/>
  </r>
  <r>
    <s v="GEIIANSA"/>
    <x v="4"/>
    <x v="614"/>
    <x v="603"/>
    <x v="83"/>
    <x v="396"/>
    <x v="0"/>
    <x v="1"/>
    <x v="1"/>
    <n v="0"/>
    <n v="0"/>
  </r>
  <r>
    <s v="GEIIANSA"/>
    <x v="4"/>
    <x v="614"/>
    <x v="603"/>
    <x v="83"/>
    <x v="396"/>
    <x v="0"/>
    <x v="2"/>
    <x v="2"/>
    <n v="0"/>
    <n v="0"/>
  </r>
  <r>
    <s v="GEIIANSA"/>
    <x v="4"/>
    <x v="614"/>
    <x v="603"/>
    <x v="83"/>
    <x v="396"/>
    <x v="0"/>
    <x v="3"/>
    <x v="3"/>
    <n v="0"/>
    <n v="0"/>
  </r>
  <r>
    <s v="GEIIANSA"/>
    <x v="4"/>
    <x v="614"/>
    <x v="603"/>
    <x v="83"/>
    <x v="396"/>
    <x v="0"/>
    <x v="5"/>
    <x v="5"/>
    <n v="0"/>
    <n v="0"/>
  </r>
  <r>
    <s v="GEIIANSA"/>
    <x v="4"/>
    <x v="614"/>
    <x v="603"/>
    <x v="83"/>
    <x v="396"/>
    <x v="0"/>
    <x v="6"/>
    <x v="6"/>
    <n v="0"/>
    <n v="0"/>
  </r>
  <r>
    <s v="GEIIANSA"/>
    <x v="4"/>
    <x v="615"/>
    <x v="604"/>
    <x v="83"/>
    <x v="396"/>
    <x v="0"/>
    <x v="0"/>
    <x v="0"/>
    <n v="0"/>
    <n v="0"/>
  </r>
  <r>
    <s v="GEIIANSA"/>
    <x v="4"/>
    <x v="615"/>
    <x v="604"/>
    <x v="83"/>
    <x v="396"/>
    <x v="0"/>
    <x v="1"/>
    <x v="1"/>
    <n v="0"/>
    <n v="0"/>
  </r>
  <r>
    <s v="GEIIANSA"/>
    <x v="4"/>
    <x v="615"/>
    <x v="604"/>
    <x v="83"/>
    <x v="396"/>
    <x v="0"/>
    <x v="2"/>
    <x v="2"/>
    <n v="0"/>
    <n v="0"/>
  </r>
  <r>
    <s v="GEIIANSA"/>
    <x v="4"/>
    <x v="615"/>
    <x v="604"/>
    <x v="83"/>
    <x v="396"/>
    <x v="0"/>
    <x v="3"/>
    <x v="3"/>
    <n v="0"/>
    <n v="0"/>
  </r>
  <r>
    <s v="GEIIANSA"/>
    <x v="4"/>
    <x v="615"/>
    <x v="604"/>
    <x v="83"/>
    <x v="396"/>
    <x v="0"/>
    <x v="4"/>
    <x v="4"/>
    <n v="0"/>
    <n v="0"/>
  </r>
  <r>
    <s v="GEIIANSA"/>
    <x v="4"/>
    <x v="615"/>
    <x v="604"/>
    <x v="83"/>
    <x v="396"/>
    <x v="0"/>
    <x v="5"/>
    <x v="5"/>
    <n v="0"/>
    <n v="0"/>
  </r>
  <r>
    <s v="GEIIANSA"/>
    <x v="4"/>
    <x v="615"/>
    <x v="604"/>
    <x v="83"/>
    <x v="396"/>
    <x v="0"/>
    <x v="6"/>
    <x v="6"/>
    <n v="0"/>
    <n v="0"/>
  </r>
  <r>
    <s v="GEIIANSA"/>
    <x v="4"/>
    <x v="616"/>
    <x v="605"/>
    <x v="83"/>
    <x v="422"/>
    <x v="0"/>
    <x v="0"/>
    <x v="0"/>
    <n v="0"/>
    <n v="0"/>
  </r>
  <r>
    <s v="GEIIANSA"/>
    <x v="4"/>
    <x v="616"/>
    <x v="605"/>
    <x v="83"/>
    <x v="422"/>
    <x v="0"/>
    <x v="1"/>
    <x v="1"/>
    <n v="0"/>
    <n v="0"/>
  </r>
  <r>
    <s v="GEIIANSA"/>
    <x v="4"/>
    <x v="616"/>
    <x v="605"/>
    <x v="83"/>
    <x v="422"/>
    <x v="0"/>
    <x v="2"/>
    <x v="2"/>
    <n v="0"/>
    <n v="0"/>
  </r>
  <r>
    <s v="GEIIANSA"/>
    <x v="4"/>
    <x v="616"/>
    <x v="605"/>
    <x v="83"/>
    <x v="422"/>
    <x v="0"/>
    <x v="3"/>
    <x v="3"/>
    <n v="0"/>
    <n v="0"/>
  </r>
  <r>
    <s v="GEIIANSA"/>
    <x v="4"/>
    <x v="616"/>
    <x v="605"/>
    <x v="83"/>
    <x v="422"/>
    <x v="0"/>
    <x v="4"/>
    <x v="4"/>
    <n v="0"/>
    <n v="0"/>
  </r>
  <r>
    <s v="GEIIANSA"/>
    <x v="4"/>
    <x v="616"/>
    <x v="605"/>
    <x v="83"/>
    <x v="422"/>
    <x v="0"/>
    <x v="5"/>
    <x v="5"/>
    <n v="0"/>
    <n v="0"/>
  </r>
  <r>
    <s v="GEIIANSA"/>
    <x v="4"/>
    <x v="616"/>
    <x v="605"/>
    <x v="83"/>
    <x v="422"/>
    <x v="0"/>
    <x v="6"/>
    <x v="6"/>
    <n v="0"/>
    <n v="0"/>
  </r>
  <r>
    <s v="CAKE FLORA"/>
    <x v="4"/>
    <x v="617"/>
    <x v="606"/>
    <x v="156"/>
    <x v="423"/>
    <x v="0"/>
    <x v="0"/>
    <x v="0"/>
    <n v="0"/>
    <n v="0"/>
  </r>
  <r>
    <s v="CAKE FLORA"/>
    <x v="4"/>
    <x v="617"/>
    <x v="606"/>
    <x v="156"/>
    <x v="423"/>
    <x v="0"/>
    <x v="1"/>
    <x v="1"/>
    <n v="0"/>
    <n v="0"/>
  </r>
  <r>
    <s v="CAKE FLORA"/>
    <x v="4"/>
    <x v="617"/>
    <x v="606"/>
    <x v="156"/>
    <x v="423"/>
    <x v="0"/>
    <x v="2"/>
    <x v="2"/>
    <n v="0"/>
    <n v="0"/>
  </r>
  <r>
    <s v="CAKE FLORA"/>
    <x v="4"/>
    <x v="617"/>
    <x v="606"/>
    <x v="156"/>
    <x v="423"/>
    <x v="0"/>
    <x v="3"/>
    <x v="3"/>
    <n v="0"/>
    <n v="0"/>
  </r>
  <r>
    <s v="CAKE FLORA"/>
    <x v="4"/>
    <x v="617"/>
    <x v="606"/>
    <x v="156"/>
    <x v="423"/>
    <x v="0"/>
    <x v="4"/>
    <x v="4"/>
    <n v="0"/>
    <n v="0"/>
  </r>
  <r>
    <s v="CAKE FLORA"/>
    <x v="4"/>
    <x v="617"/>
    <x v="606"/>
    <x v="156"/>
    <x v="423"/>
    <x v="0"/>
    <x v="5"/>
    <x v="5"/>
    <n v="0"/>
    <n v="0"/>
  </r>
  <r>
    <s v="CAKE FLORA"/>
    <x v="4"/>
    <x v="617"/>
    <x v="606"/>
    <x v="156"/>
    <x v="423"/>
    <x v="0"/>
    <x v="6"/>
    <x v="6"/>
    <n v="0"/>
    <n v="0"/>
  </r>
  <r>
    <s v="SOUTHBAKELS (PTY) LTD"/>
    <x v="2"/>
    <x v="618"/>
    <x v="607"/>
    <x v="107"/>
    <x v="259"/>
    <x v="0"/>
    <x v="0"/>
    <x v="0"/>
    <n v="0"/>
    <n v="0"/>
  </r>
  <r>
    <s v="SOUTHBAKELS (PTY) LTD"/>
    <x v="2"/>
    <x v="618"/>
    <x v="607"/>
    <x v="107"/>
    <x v="259"/>
    <x v="0"/>
    <x v="1"/>
    <x v="1"/>
    <n v="0"/>
    <n v="0"/>
  </r>
  <r>
    <s v="SOUTHBAKELS (PTY) LTD"/>
    <x v="2"/>
    <x v="618"/>
    <x v="607"/>
    <x v="107"/>
    <x v="259"/>
    <x v="0"/>
    <x v="2"/>
    <x v="2"/>
    <n v="0"/>
    <n v="0"/>
  </r>
  <r>
    <s v="SOUTHBAKELS (PTY) LTD"/>
    <x v="2"/>
    <x v="618"/>
    <x v="607"/>
    <x v="107"/>
    <x v="259"/>
    <x v="0"/>
    <x v="3"/>
    <x v="3"/>
    <n v="0"/>
    <n v="0"/>
  </r>
  <r>
    <s v="SOUTHBAKELS (PTY) LTD"/>
    <x v="2"/>
    <x v="618"/>
    <x v="607"/>
    <x v="107"/>
    <x v="259"/>
    <x v="0"/>
    <x v="4"/>
    <x v="4"/>
    <n v="0"/>
    <n v="0"/>
  </r>
  <r>
    <s v="SOUTHBAKELS (PTY) LTD"/>
    <x v="2"/>
    <x v="618"/>
    <x v="607"/>
    <x v="107"/>
    <x v="259"/>
    <x v="0"/>
    <x v="5"/>
    <x v="5"/>
    <n v="0"/>
    <n v="0"/>
  </r>
  <r>
    <s v="SOUTHBAKELS (PTY) LTD"/>
    <x v="2"/>
    <x v="618"/>
    <x v="607"/>
    <x v="107"/>
    <x v="259"/>
    <x v="0"/>
    <x v="6"/>
    <x v="6"/>
    <n v="0"/>
    <n v="0"/>
  </r>
  <r>
    <s v="RED ROLLERS T/A APRICOT"/>
    <x v="14"/>
    <x v="619"/>
    <x v="608"/>
    <x v="109"/>
    <x v="396"/>
    <x v="0"/>
    <x v="0"/>
    <x v="0"/>
    <n v="0"/>
    <n v="0"/>
  </r>
  <r>
    <s v="RED ROLLERS T/A APRICOT"/>
    <x v="14"/>
    <x v="619"/>
    <x v="608"/>
    <x v="109"/>
    <x v="396"/>
    <x v="0"/>
    <x v="1"/>
    <x v="1"/>
    <n v="0"/>
    <n v="0"/>
  </r>
  <r>
    <s v="RED ROLLERS T/A APRICOT"/>
    <x v="14"/>
    <x v="619"/>
    <x v="608"/>
    <x v="109"/>
    <x v="396"/>
    <x v="0"/>
    <x v="2"/>
    <x v="2"/>
    <n v="0"/>
    <n v="0"/>
  </r>
  <r>
    <s v="RED ROLLERS T/A APRICOT"/>
    <x v="14"/>
    <x v="619"/>
    <x v="608"/>
    <x v="109"/>
    <x v="396"/>
    <x v="0"/>
    <x v="3"/>
    <x v="3"/>
    <n v="0"/>
    <n v="0"/>
  </r>
  <r>
    <s v="RED ROLLERS T/A APRICOT"/>
    <x v="14"/>
    <x v="619"/>
    <x v="608"/>
    <x v="109"/>
    <x v="396"/>
    <x v="0"/>
    <x v="4"/>
    <x v="4"/>
    <n v="0"/>
    <n v="0"/>
  </r>
  <r>
    <s v="RED ROLLERS T/A APRICOT"/>
    <x v="14"/>
    <x v="619"/>
    <x v="608"/>
    <x v="109"/>
    <x v="396"/>
    <x v="0"/>
    <x v="5"/>
    <x v="5"/>
    <n v="0"/>
    <n v="0"/>
  </r>
  <r>
    <s v="RED ROLLERS T/A APRICOT"/>
    <x v="14"/>
    <x v="619"/>
    <x v="608"/>
    <x v="109"/>
    <x v="396"/>
    <x v="0"/>
    <x v="6"/>
    <x v="6"/>
    <n v="0"/>
    <n v="0"/>
  </r>
  <r>
    <s v="BAKE IT EASY"/>
    <x v="0"/>
    <x v="620"/>
    <x v="609"/>
    <x v="82"/>
    <x v="229"/>
    <x v="0"/>
    <x v="0"/>
    <x v="0"/>
    <n v="0"/>
    <n v="0"/>
  </r>
  <r>
    <s v="BAKE IT EASY"/>
    <x v="0"/>
    <x v="620"/>
    <x v="609"/>
    <x v="82"/>
    <x v="229"/>
    <x v="0"/>
    <x v="1"/>
    <x v="1"/>
    <n v="0"/>
    <n v="0"/>
  </r>
  <r>
    <s v="BAKE IT EASY"/>
    <x v="0"/>
    <x v="620"/>
    <x v="609"/>
    <x v="82"/>
    <x v="229"/>
    <x v="0"/>
    <x v="2"/>
    <x v="2"/>
    <n v="0"/>
    <n v="0"/>
  </r>
  <r>
    <s v="BAKE IT EASY"/>
    <x v="0"/>
    <x v="620"/>
    <x v="609"/>
    <x v="82"/>
    <x v="229"/>
    <x v="0"/>
    <x v="3"/>
    <x v="3"/>
    <n v="0"/>
    <n v="0"/>
  </r>
  <r>
    <s v="BAKE IT EASY"/>
    <x v="0"/>
    <x v="620"/>
    <x v="609"/>
    <x v="82"/>
    <x v="229"/>
    <x v="0"/>
    <x v="4"/>
    <x v="4"/>
    <n v="0"/>
    <n v="0"/>
  </r>
  <r>
    <s v="BAKE IT EASY"/>
    <x v="0"/>
    <x v="620"/>
    <x v="609"/>
    <x v="82"/>
    <x v="229"/>
    <x v="0"/>
    <x v="5"/>
    <x v="5"/>
    <n v="0"/>
    <n v="0"/>
  </r>
  <r>
    <s v="BAKE IT EASY"/>
    <x v="0"/>
    <x v="620"/>
    <x v="609"/>
    <x v="82"/>
    <x v="229"/>
    <x v="0"/>
    <x v="6"/>
    <x v="6"/>
    <n v="0"/>
    <n v="0"/>
  </r>
  <r>
    <s v="HMR"/>
    <x v="19"/>
    <x v="621"/>
    <x v="610"/>
    <x v="157"/>
    <x v="424"/>
    <x v="0"/>
    <x v="0"/>
    <x v="0"/>
    <n v="0"/>
    <n v="0"/>
  </r>
  <r>
    <s v="HMR"/>
    <x v="19"/>
    <x v="621"/>
    <x v="610"/>
    <x v="157"/>
    <x v="424"/>
    <x v="0"/>
    <x v="1"/>
    <x v="1"/>
    <n v="0"/>
    <n v="0"/>
  </r>
  <r>
    <s v="HMR"/>
    <x v="19"/>
    <x v="621"/>
    <x v="610"/>
    <x v="157"/>
    <x v="424"/>
    <x v="0"/>
    <x v="2"/>
    <x v="2"/>
    <n v="0"/>
    <n v="0"/>
  </r>
  <r>
    <s v="HMR"/>
    <x v="19"/>
    <x v="621"/>
    <x v="610"/>
    <x v="157"/>
    <x v="424"/>
    <x v="0"/>
    <x v="3"/>
    <x v="3"/>
    <n v="0"/>
    <n v="0"/>
  </r>
  <r>
    <s v="HMR"/>
    <x v="19"/>
    <x v="621"/>
    <x v="610"/>
    <x v="157"/>
    <x v="424"/>
    <x v="0"/>
    <x v="4"/>
    <x v="4"/>
    <n v="0"/>
    <n v="0"/>
  </r>
  <r>
    <s v="HMR"/>
    <x v="19"/>
    <x v="621"/>
    <x v="610"/>
    <x v="157"/>
    <x v="424"/>
    <x v="0"/>
    <x v="5"/>
    <x v="5"/>
    <n v="0"/>
    <n v="0"/>
  </r>
  <r>
    <s v="HMR"/>
    <x v="19"/>
    <x v="621"/>
    <x v="610"/>
    <x v="157"/>
    <x v="424"/>
    <x v="0"/>
    <x v="6"/>
    <x v="6"/>
    <n v="0"/>
    <n v="0"/>
  </r>
  <r>
    <s v="WESTERN CAPE MILLING"/>
    <x v="12"/>
    <x v="622"/>
    <x v="611"/>
    <x v="158"/>
    <x v="425"/>
    <x v="0"/>
    <x v="0"/>
    <x v="0"/>
    <n v="0"/>
    <n v="0"/>
  </r>
  <r>
    <s v="WESTERN CAPE MILLING"/>
    <x v="12"/>
    <x v="622"/>
    <x v="611"/>
    <x v="158"/>
    <x v="425"/>
    <x v="0"/>
    <x v="1"/>
    <x v="1"/>
    <n v="0"/>
    <n v="0"/>
  </r>
  <r>
    <s v="WESTERN CAPE MILLING"/>
    <x v="12"/>
    <x v="622"/>
    <x v="611"/>
    <x v="158"/>
    <x v="425"/>
    <x v="0"/>
    <x v="2"/>
    <x v="2"/>
    <n v="0"/>
    <n v="0"/>
  </r>
  <r>
    <s v="WESTERN CAPE MILLING"/>
    <x v="12"/>
    <x v="622"/>
    <x v="611"/>
    <x v="158"/>
    <x v="425"/>
    <x v="0"/>
    <x v="3"/>
    <x v="3"/>
    <n v="0"/>
    <n v="0"/>
  </r>
  <r>
    <s v="WESTERN CAPE MILLING"/>
    <x v="12"/>
    <x v="622"/>
    <x v="611"/>
    <x v="158"/>
    <x v="425"/>
    <x v="0"/>
    <x v="4"/>
    <x v="4"/>
    <n v="0"/>
    <n v="0"/>
  </r>
  <r>
    <s v="WESTERN CAPE MILLING"/>
    <x v="12"/>
    <x v="622"/>
    <x v="611"/>
    <x v="158"/>
    <x v="425"/>
    <x v="0"/>
    <x v="5"/>
    <x v="5"/>
    <n v="0"/>
    <n v="0"/>
  </r>
  <r>
    <s v="WESTERN CAPE MILLING"/>
    <x v="12"/>
    <x v="622"/>
    <x v="611"/>
    <x v="158"/>
    <x v="425"/>
    <x v="0"/>
    <x v="6"/>
    <x v="6"/>
    <n v="0"/>
    <n v="0"/>
  </r>
  <r>
    <s v="WESTERN CAPE MILLING"/>
    <x v="12"/>
    <x v="623"/>
    <x v="612"/>
    <x v="159"/>
    <x v="426"/>
    <x v="0"/>
    <x v="0"/>
    <x v="0"/>
    <n v="0"/>
    <n v="0"/>
  </r>
  <r>
    <s v="WESTERN CAPE MILLING"/>
    <x v="12"/>
    <x v="623"/>
    <x v="612"/>
    <x v="159"/>
    <x v="426"/>
    <x v="0"/>
    <x v="1"/>
    <x v="1"/>
    <n v="0"/>
    <n v="0"/>
  </r>
  <r>
    <s v="WESTERN CAPE MILLING"/>
    <x v="12"/>
    <x v="623"/>
    <x v="612"/>
    <x v="159"/>
    <x v="426"/>
    <x v="0"/>
    <x v="2"/>
    <x v="2"/>
    <n v="0"/>
    <n v="0"/>
  </r>
  <r>
    <s v="WESTERN CAPE MILLING"/>
    <x v="12"/>
    <x v="623"/>
    <x v="612"/>
    <x v="159"/>
    <x v="426"/>
    <x v="0"/>
    <x v="3"/>
    <x v="3"/>
    <n v="0"/>
    <n v="0"/>
  </r>
  <r>
    <s v="WESTERN CAPE MILLING"/>
    <x v="12"/>
    <x v="623"/>
    <x v="612"/>
    <x v="159"/>
    <x v="426"/>
    <x v="0"/>
    <x v="4"/>
    <x v="4"/>
    <n v="0"/>
    <n v="0"/>
  </r>
  <r>
    <s v="WESTERN CAPE MILLING"/>
    <x v="12"/>
    <x v="623"/>
    <x v="612"/>
    <x v="159"/>
    <x v="426"/>
    <x v="0"/>
    <x v="5"/>
    <x v="5"/>
    <n v="0"/>
    <n v="0"/>
  </r>
  <r>
    <s v="WESTERN CAPE MILLING"/>
    <x v="12"/>
    <x v="623"/>
    <x v="612"/>
    <x v="159"/>
    <x v="426"/>
    <x v="0"/>
    <x v="6"/>
    <x v="6"/>
    <n v="0"/>
    <n v="0"/>
  </r>
  <r>
    <s v="BONHEUR BESKUIT"/>
    <x v="14"/>
    <x v="624"/>
    <x v="613"/>
    <x v="160"/>
    <x v="427"/>
    <x v="0"/>
    <x v="1"/>
    <x v="1"/>
    <n v="0"/>
    <n v="0"/>
  </r>
  <r>
    <s v="BONHEUR BESKUIT"/>
    <x v="14"/>
    <x v="624"/>
    <x v="613"/>
    <x v="160"/>
    <x v="427"/>
    <x v="0"/>
    <x v="2"/>
    <x v="2"/>
    <n v="0"/>
    <n v="0"/>
  </r>
  <r>
    <s v="BONHEUR BESKUIT"/>
    <x v="14"/>
    <x v="624"/>
    <x v="613"/>
    <x v="160"/>
    <x v="427"/>
    <x v="0"/>
    <x v="3"/>
    <x v="3"/>
    <n v="0"/>
    <n v="0"/>
  </r>
  <r>
    <s v="BONHEUR BESKUIT"/>
    <x v="14"/>
    <x v="624"/>
    <x v="613"/>
    <x v="160"/>
    <x v="427"/>
    <x v="0"/>
    <x v="4"/>
    <x v="4"/>
    <n v="0"/>
    <n v="0"/>
  </r>
  <r>
    <s v="BONHEUR BESKUIT"/>
    <x v="14"/>
    <x v="624"/>
    <x v="613"/>
    <x v="160"/>
    <x v="427"/>
    <x v="0"/>
    <x v="5"/>
    <x v="5"/>
    <n v="0"/>
    <n v="0"/>
  </r>
  <r>
    <s v="BONHEUR BESKUIT"/>
    <x v="14"/>
    <x v="624"/>
    <x v="613"/>
    <x v="160"/>
    <x v="427"/>
    <x v="0"/>
    <x v="6"/>
    <x v="6"/>
    <n v="0"/>
    <n v="0"/>
  </r>
  <r>
    <s v="BONHEUR BESKUIT"/>
    <x v="14"/>
    <x v="625"/>
    <x v="614"/>
    <x v="160"/>
    <x v="427"/>
    <x v="0"/>
    <x v="0"/>
    <x v="0"/>
    <n v="0"/>
    <n v="0"/>
  </r>
  <r>
    <s v="BONHEUR BESKUIT"/>
    <x v="14"/>
    <x v="625"/>
    <x v="614"/>
    <x v="160"/>
    <x v="427"/>
    <x v="0"/>
    <x v="1"/>
    <x v="1"/>
    <n v="0"/>
    <n v="0"/>
  </r>
  <r>
    <s v="BONHEUR BESKUIT"/>
    <x v="14"/>
    <x v="625"/>
    <x v="614"/>
    <x v="160"/>
    <x v="427"/>
    <x v="0"/>
    <x v="2"/>
    <x v="2"/>
    <n v="0"/>
    <n v="0"/>
  </r>
  <r>
    <s v="BONHEUR BESKUIT"/>
    <x v="14"/>
    <x v="625"/>
    <x v="614"/>
    <x v="160"/>
    <x v="427"/>
    <x v="0"/>
    <x v="3"/>
    <x v="3"/>
    <n v="0"/>
    <n v="0"/>
  </r>
  <r>
    <s v="BONHEUR BESKUIT"/>
    <x v="14"/>
    <x v="625"/>
    <x v="614"/>
    <x v="160"/>
    <x v="427"/>
    <x v="0"/>
    <x v="4"/>
    <x v="4"/>
    <n v="0"/>
    <n v="0"/>
  </r>
  <r>
    <s v="BONHEUR BESKUIT"/>
    <x v="14"/>
    <x v="625"/>
    <x v="614"/>
    <x v="160"/>
    <x v="427"/>
    <x v="0"/>
    <x v="5"/>
    <x v="5"/>
    <n v="0"/>
    <n v="0"/>
  </r>
  <r>
    <s v="BONHEUR BESKUIT"/>
    <x v="14"/>
    <x v="625"/>
    <x v="614"/>
    <x v="160"/>
    <x v="427"/>
    <x v="0"/>
    <x v="6"/>
    <x v="6"/>
    <n v="0"/>
    <n v="0"/>
  </r>
  <r>
    <s v="BONHEUR BESKUIT"/>
    <x v="14"/>
    <x v="626"/>
    <x v="615"/>
    <x v="160"/>
    <x v="427"/>
    <x v="0"/>
    <x v="0"/>
    <x v="0"/>
    <n v="0"/>
    <n v="0"/>
  </r>
  <r>
    <s v="BONHEUR BESKUIT"/>
    <x v="14"/>
    <x v="626"/>
    <x v="615"/>
    <x v="160"/>
    <x v="427"/>
    <x v="0"/>
    <x v="1"/>
    <x v="1"/>
    <n v="0"/>
    <n v="0"/>
  </r>
  <r>
    <s v="BONHEUR BESKUIT"/>
    <x v="14"/>
    <x v="626"/>
    <x v="615"/>
    <x v="160"/>
    <x v="427"/>
    <x v="0"/>
    <x v="2"/>
    <x v="2"/>
    <n v="0"/>
    <n v="0"/>
  </r>
  <r>
    <s v="BONHEUR BESKUIT"/>
    <x v="14"/>
    <x v="626"/>
    <x v="615"/>
    <x v="160"/>
    <x v="427"/>
    <x v="0"/>
    <x v="3"/>
    <x v="3"/>
    <n v="0"/>
    <n v="0"/>
  </r>
  <r>
    <s v="BONHEUR BESKUIT"/>
    <x v="14"/>
    <x v="626"/>
    <x v="615"/>
    <x v="160"/>
    <x v="427"/>
    <x v="0"/>
    <x v="4"/>
    <x v="4"/>
    <n v="0"/>
    <n v="0"/>
  </r>
  <r>
    <s v="BONHEUR BESKUIT"/>
    <x v="14"/>
    <x v="626"/>
    <x v="615"/>
    <x v="160"/>
    <x v="427"/>
    <x v="0"/>
    <x v="5"/>
    <x v="5"/>
    <n v="0"/>
    <n v="0"/>
  </r>
  <r>
    <s v="BONHEUR BESKUIT"/>
    <x v="14"/>
    <x v="626"/>
    <x v="615"/>
    <x v="160"/>
    <x v="427"/>
    <x v="0"/>
    <x v="6"/>
    <x v="6"/>
    <n v="0"/>
    <n v="0"/>
  </r>
  <r>
    <s v="BONHEUR BESKUIT"/>
    <x v="14"/>
    <x v="627"/>
    <x v="616"/>
    <x v="161"/>
    <x v="428"/>
    <x v="0"/>
    <x v="0"/>
    <x v="0"/>
    <n v="0"/>
    <n v="0"/>
  </r>
  <r>
    <s v="BONHEUR BESKUIT"/>
    <x v="14"/>
    <x v="627"/>
    <x v="616"/>
    <x v="161"/>
    <x v="428"/>
    <x v="0"/>
    <x v="1"/>
    <x v="1"/>
    <n v="0"/>
    <n v="0"/>
  </r>
  <r>
    <s v="BONHEUR BESKUIT"/>
    <x v="14"/>
    <x v="627"/>
    <x v="616"/>
    <x v="161"/>
    <x v="428"/>
    <x v="0"/>
    <x v="2"/>
    <x v="2"/>
    <n v="0"/>
    <n v="0"/>
  </r>
  <r>
    <s v="BONHEUR BESKUIT"/>
    <x v="14"/>
    <x v="627"/>
    <x v="616"/>
    <x v="161"/>
    <x v="428"/>
    <x v="0"/>
    <x v="3"/>
    <x v="3"/>
    <n v="0"/>
    <n v="0"/>
  </r>
  <r>
    <s v="BONHEUR BESKUIT"/>
    <x v="14"/>
    <x v="627"/>
    <x v="616"/>
    <x v="161"/>
    <x v="428"/>
    <x v="0"/>
    <x v="6"/>
    <x v="6"/>
    <n v="0"/>
    <n v="0"/>
  </r>
  <r>
    <s v="BONHEUR BESKUIT"/>
    <x v="14"/>
    <x v="628"/>
    <x v="617"/>
    <x v="160"/>
    <x v="427"/>
    <x v="0"/>
    <x v="0"/>
    <x v="0"/>
    <n v="0"/>
    <n v="0"/>
  </r>
  <r>
    <s v="BONHEUR BESKUIT"/>
    <x v="14"/>
    <x v="628"/>
    <x v="617"/>
    <x v="160"/>
    <x v="427"/>
    <x v="0"/>
    <x v="1"/>
    <x v="1"/>
    <n v="0"/>
    <n v="0"/>
  </r>
  <r>
    <s v="BONHEUR BESKUIT"/>
    <x v="14"/>
    <x v="628"/>
    <x v="617"/>
    <x v="160"/>
    <x v="427"/>
    <x v="0"/>
    <x v="2"/>
    <x v="2"/>
    <n v="0"/>
    <n v="0"/>
  </r>
  <r>
    <s v="BONHEUR BESKUIT"/>
    <x v="14"/>
    <x v="628"/>
    <x v="617"/>
    <x v="160"/>
    <x v="427"/>
    <x v="0"/>
    <x v="3"/>
    <x v="3"/>
    <n v="0"/>
    <n v="0"/>
  </r>
  <r>
    <s v="BONHEUR BESKUIT"/>
    <x v="14"/>
    <x v="628"/>
    <x v="617"/>
    <x v="160"/>
    <x v="427"/>
    <x v="0"/>
    <x v="4"/>
    <x v="4"/>
    <n v="0"/>
    <n v="0"/>
  </r>
  <r>
    <s v="BONHEUR BESKUIT"/>
    <x v="14"/>
    <x v="628"/>
    <x v="617"/>
    <x v="160"/>
    <x v="427"/>
    <x v="0"/>
    <x v="5"/>
    <x v="5"/>
    <n v="0"/>
    <n v="0"/>
  </r>
  <r>
    <s v="BONHEUR BESKUIT"/>
    <x v="14"/>
    <x v="628"/>
    <x v="617"/>
    <x v="160"/>
    <x v="427"/>
    <x v="0"/>
    <x v="6"/>
    <x v="6"/>
    <n v="0"/>
    <n v="0"/>
  </r>
  <r>
    <s v="BONHEUR BESKUIT"/>
    <x v="14"/>
    <x v="629"/>
    <x v="618"/>
    <x v="161"/>
    <x v="428"/>
    <x v="0"/>
    <x v="0"/>
    <x v="0"/>
    <n v="0"/>
    <n v="0"/>
  </r>
  <r>
    <s v="BONHEUR BESKUIT"/>
    <x v="14"/>
    <x v="629"/>
    <x v="618"/>
    <x v="161"/>
    <x v="428"/>
    <x v="0"/>
    <x v="1"/>
    <x v="1"/>
    <n v="0"/>
    <n v="0"/>
  </r>
  <r>
    <s v="BONHEUR BESKUIT"/>
    <x v="14"/>
    <x v="629"/>
    <x v="618"/>
    <x v="161"/>
    <x v="428"/>
    <x v="0"/>
    <x v="2"/>
    <x v="2"/>
    <n v="0"/>
    <n v="0"/>
  </r>
  <r>
    <s v="BONHEUR BESKUIT"/>
    <x v="14"/>
    <x v="629"/>
    <x v="618"/>
    <x v="161"/>
    <x v="428"/>
    <x v="0"/>
    <x v="3"/>
    <x v="3"/>
    <n v="0"/>
    <n v="0"/>
  </r>
  <r>
    <s v="BONHEUR BESKUIT"/>
    <x v="14"/>
    <x v="629"/>
    <x v="618"/>
    <x v="161"/>
    <x v="428"/>
    <x v="0"/>
    <x v="4"/>
    <x v="4"/>
    <n v="0"/>
    <n v="0"/>
  </r>
  <r>
    <s v="BONHEUR BESKUIT"/>
    <x v="14"/>
    <x v="629"/>
    <x v="618"/>
    <x v="161"/>
    <x v="428"/>
    <x v="0"/>
    <x v="5"/>
    <x v="5"/>
    <n v="0"/>
    <n v="0"/>
  </r>
  <r>
    <s v="BONHEUR BESKUIT"/>
    <x v="14"/>
    <x v="629"/>
    <x v="618"/>
    <x v="161"/>
    <x v="428"/>
    <x v="0"/>
    <x v="6"/>
    <x v="6"/>
    <n v="0"/>
    <n v="0"/>
  </r>
  <r>
    <s v="BONHEUR BESKUIT"/>
    <x v="14"/>
    <x v="630"/>
    <x v="619"/>
    <x v="160"/>
    <x v="427"/>
    <x v="0"/>
    <x v="1"/>
    <x v="1"/>
    <n v="0"/>
    <n v="0"/>
  </r>
  <r>
    <s v="BONHEUR BESKUIT"/>
    <x v="14"/>
    <x v="630"/>
    <x v="619"/>
    <x v="160"/>
    <x v="427"/>
    <x v="0"/>
    <x v="2"/>
    <x v="2"/>
    <n v="0"/>
    <n v="0"/>
  </r>
  <r>
    <s v="BONHEUR BESKUIT"/>
    <x v="14"/>
    <x v="630"/>
    <x v="619"/>
    <x v="160"/>
    <x v="427"/>
    <x v="0"/>
    <x v="3"/>
    <x v="3"/>
    <n v="0"/>
    <n v="0"/>
  </r>
  <r>
    <s v="BONHEUR BESKUIT"/>
    <x v="14"/>
    <x v="630"/>
    <x v="619"/>
    <x v="160"/>
    <x v="427"/>
    <x v="0"/>
    <x v="4"/>
    <x v="4"/>
    <n v="0"/>
    <n v="0"/>
  </r>
  <r>
    <s v="BONHEUR BESKUIT"/>
    <x v="14"/>
    <x v="630"/>
    <x v="619"/>
    <x v="160"/>
    <x v="427"/>
    <x v="0"/>
    <x v="5"/>
    <x v="5"/>
    <n v="0"/>
    <n v="0"/>
  </r>
  <r>
    <s v="BONHEUR BESKUIT"/>
    <x v="14"/>
    <x v="630"/>
    <x v="619"/>
    <x v="160"/>
    <x v="427"/>
    <x v="0"/>
    <x v="6"/>
    <x v="6"/>
    <n v="0"/>
    <n v="0"/>
  </r>
  <r>
    <s v="BONHEUR BESKUIT"/>
    <x v="14"/>
    <x v="631"/>
    <x v="620"/>
    <x v="160"/>
    <x v="427"/>
    <x v="0"/>
    <x v="0"/>
    <x v="0"/>
    <n v="0"/>
    <n v="0"/>
  </r>
  <r>
    <s v="BONHEUR BESKUIT"/>
    <x v="14"/>
    <x v="631"/>
    <x v="620"/>
    <x v="160"/>
    <x v="427"/>
    <x v="0"/>
    <x v="1"/>
    <x v="1"/>
    <n v="0"/>
    <n v="0"/>
  </r>
  <r>
    <s v="BONHEUR BESKUIT"/>
    <x v="14"/>
    <x v="631"/>
    <x v="620"/>
    <x v="160"/>
    <x v="427"/>
    <x v="0"/>
    <x v="2"/>
    <x v="2"/>
    <n v="0"/>
    <n v="0"/>
  </r>
  <r>
    <s v="BONHEUR BESKUIT"/>
    <x v="14"/>
    <x v="631"/>
    <x v="620"/>
    <x v="160"/>
    <x v="427"/>
    <x v="0"/>
    <x v="3"/>
    <x v="3"/>
    <n v="0"/>
    <n v="0"/>
  </r>
  <r>
    <s v="BONHEUR BESKUIT"/>
    <x v="14"/>
    <x v="631"/>
    <x v="620"/>
    <x v="160"/>
    <x v="427"/>
    <x v="0"/>
    <x v="4"/>
    <x v="4"/>
    <n v="0"/>
    <n v="0"/>
  </r>
  <r>
    <s v="BONHEUR BESKUIT"/>
    <x v="14"/>
    <x v="631"/>
    <x v="620"/>
    <x v="160"/>
    <x v="427"/>
    <x v="0"/>
    <x v="5"/>
    <x v="5"/>
    <n v="0"/>
    <n v="0"/>
  </r>
  <r>
    <s v="BONHEUR BESKUIT"/>
    <x v="14"/>
    <x v="631"/>
    <x v="620"/>
    <x v="160"/>
    <x v="427"/>
    <x v="0"/>
    <x v="6"/>
    <x v="6"/>
    <n v="0"/>
    <n v="0"/>
  </r>
  <r>
    <s v="BONHEUR BESKUIT"/>
    <x v="14"/>
    <x v="632"/>
    <x v="621"/>
    <x v="160"/>
    <x v="427"/>
    <x v="0"/>
    <x v="0"/>
    <x v="0"/>
    <n v="0"/>
    <n v="0"/>
  </r>
  <r>
    <s v="BONHEUR BESKUIT"/>
    <x v="14"/>
    <x v="632"/>
    <x v="621"/>
    <x v="160"/>
    <x v="427"/>
    <x v="0"/>
    <x v="1"/>
    <x v="1"/>
    <n v="0"/>
    <n v="0"/>
  </r>
  <r>
    <s v="BONHEUR BESKUIT"/>
    <x v="14"/>
    <x v="632"/>
    <x v="621"/>
    <x v="160"/>
    <x v="427"/>
    <x v="0"/>
    <x v="2"/>
    <x v="2"/>
    <n v="0"/>
    <n v="0"/>
  </r>
  <r>
    <s v="BONHEUR BESKUIT"/>
    <x v="14"/>
    <x v="632"/>
    <x v="621"/>
    <x v="160"/>
    <x v="427"/>
    <x v="0"/>
    <x v="3"/>
    <x v="3"/>
    <n v="0"/>
    <n v="0"/>
  </r>
  <r>
    <s v="BONHEUR BESKUIT"/>
    <x v="14"/>
    <x v="632"/>
    <x v="621"/>
    <x v="160"/>
    <x v="427"/>
    <x v="0"/>
    <x v="4"/>
    <x v="4"/>
    <n v="0"/>
    <n v="0"/>
  </r>
  <r>
    <s v="BONHEUR BESKUIT"/>
    <x v="14"/>
    <x v="632"/>
    <x v="621"/>
    <x v="160"/>
    <x v="427"/>
    <x v="0"/>
    <x v="5"/>
    <x v="5"/>
    <n v="0"/>
    <n v="0"/>
  </r>
  <r>
    <s v="BONHEUR BESKUIT"/>
    <x v="14"/>
    <x v="632"/>
    <x v="621"/>
    <x v="160"/>
    <x v="427"/>
    <x v="0"/>
    <x v="6"/>
    <x v="6"/>
    <n v="0"/>
    <n v="0"/>
  </r>
  <r>
    <s v="BONHEUR BESKUIT"/>
    <x v="14"/>
    <x v="633"/>
    <x v="622"/>
    <x v="160"/>
    <x v="427"/>
    <x v="0"/>
    <x v="0"/>
    <x v="0"/>
    <n v="0"/>
    <n v="0"/>
  </r>
  <r>
    <s v="BONHEUR BESKUIT"/>
    <x v="14"/>
    <x v="633"/>
    <x v="622"/>
    <x v="160"/>
    <x v="427"/>
    <x v="0"/>
    <x v="1"/>
    <x v="1"/>
    <n v="0"/>
    <n v="0"/>
  </r>
  <r>
    <s v="BONHEUR BESKUIT"/>
    <x v="14"/>
    <x v="633"/>
    <x v="622"/>
    <x v="160"/>
    <x v="427"/>
    <x v="0"/>
    <x v="2"/>
    <x v="2"/>
    <n v="0"/>
    <n v="0"/>
  </r>
  <r>
    <s v="BONHEUR BESKUIT"/>
    <x v="14"/>
    <x v="633"/>
    <x v="622"/>
    <x v="160"/>
    <x v="427"/>
    <x v="0"/>
    <x v="3"/>
    <x v="3"/>
    <n v="0"/>
    <n v="0"/>
  </r>
  <r>
    <s v="BONHEUR BESKUIT"/>
    <x v="14"/>
    <x v="633"/>
    <x v="622"/>
    <x v="160"/>
    <x v="427"/>
    <x v="0"/>
    <x v="4"/>
    <x v="4"/>
    <n v="0"/>
    <n v="0"/>
  </r>
  <r>
    <s v="BONHEUR BESKUIT"/>
    <x v="14"/>
    <x v="633"/>
    <x v="622"/>
    <x v="160"/>
    <x v="427"/>
    <x v="0"/>
    <x v="5"/>
    <x v="5"/>
    <n v="0"/>
    <n v="0"/>
  </r>
  <r>
    <s v="BONHEUR BESKUIT"/>
    <x v="14"/>
    <x v="633"/>
    <x v="622"/>
    <x v="160"/>
    <x v="427"/>
    <x v="0"/>
    <x v="6"/>
    <x v="6"/>
    <n v="0"/>
    <n v="0"/>
  </r>
  <r>
    <s v="BONHEUR BESKUIT"/>
    <x v="14"/>
    <x v="634"/>
    <x v="623"/>
    <x v="160"/>
    <x v="427"/>
    <x v="0"/>
    <x v="0"/>
    <x v="0"/>
    <n v="0"/>
    <n v="0"/>
  </r>
  <r>
    <s v="BONHEUR BESKUIT"/>
    <x v="14"/>
    <x v="634"/>
    <x v="623"/>
    <x v="160"/>
    <x v="427"/>
    <x v="0"/>
    <x v="1"/>
    <x v="1"/>
    <n v="0"/>
    <n v="0"/>
  </r>
  <r>
    <s v="BONHEUR BESKUIT"/>
    <x v="14"/>
    <x v="634"/>
    <x v="623"/>
    <x v="160"/>
    <x v="427"/>
    <x v="0"/>
    <x v="2"/>
    <x v="2"/>
    <n v="0"/>
    <n v="0"/>
  </r>
  <r>
    <s v="BONHEUR BESKUIT"/>
    <x v="14"/>
    <x v="634"/>
    <x v="623"/>
    <x v="160"/>
    <x v="427"/>
    <x v="0"/>
    <x v="3"/>
    <x v="3"/>
    <n v="0"/>
    <n v="0"/>
  </r>
  <r>
    <s v="BONHEUR BESKUIT"/>
    <x v="14"/>
    <x v="634"/>
    <x v="623"/>
    <x v="160"/>
    <x v="427"/>
    <x v="0"/>
    <x v="4"/>
    <x v="4"/>
    <n v="0"/>
    <n v="0"/>
  </r>
  <r>
    <s v="BONHEUR BESKUIT"/>
    <x v="14"/>
    <x v="634"/>
    <x v="623"/>
    <x v="160"/>
    <x v="427"/>
    <x v="0"/>
    <x v="5"/>
    <x v="5"/>
    <n v="0"/>
    <n v="0"/>
  </r>
  <r>
    <s v="BONHEUR BESKUIT"/>
    <x v="14"/>
    <x v="634"/>
    <x v="623"/>
    <x v="160"/>
    <x v="427"/>
    <x v="0"/>
    <x v="6"/>
    <x v="6"/>
    <n v="0"/>
    <n v="0"/>
  </r>
  <r>
    <s v="ALBANY BAKERIES (BELLVILLE)"/>
    <x v="2"/>
    <x v="635"/>
    <x v="624"/>
    <x v="97"/>
    <x v="395"/>
    <x v="0"/>
    <x v="5"/>
    <x v="5"/>
    <n v="0"/>
    <n v="0"/>
  </r>
  <r>
    <s v="ALBANY BAKERIES (BELLVILLE)"/>
    <x v="2"/>
    <x v="635"/>
    <x v="624"/>
    <x v="97"/>
    <x v="395"/>
    <x v="0"/>
    <x v="6"/>
    <x v="6"/>
    <n v="0"/>
    <n v="0"/>
  </r>
  <r>
    <s v="GOOSEBUMPS DISTR.(BREAD STOP)"/>
    <x v="0"/>
    <x v="636"/>
    <x v="625"/>
    <x v="129"/>
    <x v="429"/>
    <x v="0"/>
    <x v="0"/>
    <x v="0"/>
    <n v="0"/>
    <n v="0"/>
  </r>
  <r>
    <s v="GOOSEBUMPS DISTR.(BREAD STOP)"/>
    <x v="0"/>
    <x v="636"/>
    <x v="625"/>
    <x v="129"/>
    <x v="429"/>
    <x v="0"/>
    <x v="1"/>
    <x v="1"/>
    <n v="0"/>
    <n v="0"/>
  </r>
  <r>
    <s v="GOOSEBUMPS DISTR.(BREAD STOP)"/>
    <x v="0"/>
    <x v="636"/>
    <x v="625"/>
    <x v="129"/>
    <x v="429"/>
    <x v="0"/>
    <x v="2"/>
    <x v="2"/>
    <n v="0"/>
    <n v="0"/>
  </r>
  <r>
    <s v="GOOSEBUMPS DISTR.(BREAD STOP)"/>
    <x v="0"/>
    <x v="636"/>
    <x v="625"/>
    <x v="129"/>
    <x v="429"/>
    <x v="0"/>
    <x v="3"/>
    <x v="3"/>
    <n v="0"/>
    <n v="0"/>
  </r>
  <r>
    <s v="GOOSEBUMPS DISTR.(BREAD STOP)"/>
    <x v="0"/>
    <x v="636"/>
    <x v="625"/>
    <x v="129"/>
    <x v="429"/>
    <x v="0"/>
    <x v="4"/>
    <x v="4"/>
    <n v="0"/>
    <n v="0"/>
  </r>
  <r>
    <s v="GOOSEBUMPS DISTR.(BREAD STOP)"/>
    <x v="0"/>
    <x v="636"/>
    <x v="625"/>
    <x v="129"/>
    <x v="429"/>
    <x v="0"/>
    <x v="5"/>
    <x v="5"/>
    <n v="0"/>
    <n v="0"/>
  </r>
  <r>
    <s v="GOOSEBUMPS DISTR.(BREAD STOP)"/>
    <x v="0"/>
    <x v="636"/>
    <x v="625"/>
    <x v="129"/>
    <x v="429"/>
    <x v="0"/>
    <x v="6"/>
    <x v="6"/>
    <n v="0"/>
    <n v="0"/>
  </r>
  <r>
    <s v="CHIPKINS PURATOS (BIDVEST SOL)"/>
    <x v="0"/>
    <x v="637"/>
    <x v="626"/>
    <x v="83"/>
    <x v="430"/>
    <x v="0"/>
    <x v="0"/>
    <x v="0"/>
    <n v="0"/>
    <n v="0"/>
  </r>
  <r>
    <s v="CHIPKINS PURATOS (BIDVEST SOL)"/>
    <x v="0"/>
    <x v="637"/>
    <x v="626"/>
    <x v="83"/>
    <x v="430"/>
    <x v="0"/>
    <x v="1"/>
    <x v="1"/>
    <n v="0"/>
    <n v="0"/>
  </r>
  <r>
    <s v="CHIPKINS PURATOS (BIDVEST SOL)"/>
    <x v="0"/>
    <x v="637"/>
    <x v="626"/>
    <x v="83"/>
    <x v="430"/>
    <x v="0"/>
    <x v="2"/>
    <x v="2"/>
    <n v="0"/>
    <n v="0"/>
  </r>
  <r>
    <s v="CHIPKINS PURATOS (BIDVEST SOL)"/>
    <x v="0"/>
    <x v="637"/>
    <x v="626"/>
    <x v="83"/>
    <x v="430"/>
    <x v="0"/>
    <x v="3"/>
    <x v="3"/>
    <n v="0"/>
    <n v="0"/>
  </r>
  <r>
    <s v="CHIPKINS PURATOS (BIDVEST SOL)"/>
    <x v="0"/>
    <x v="637"/>
    <x v="626"/>
    <x v="83"/>
    <x v="430"/>
    <x v="0"/>
    <x v="4"/>
    <x v="4"/>
    <n v="0"/>
    <n v="0"/>
  </r>
  <r>
    <s v="CHIPKINS PURATOS (BIDVEST SOL)"/>
    <x v="0"/>
    <x v="637"/>
    <x v="626"/>
    <x v="83"/>
    <x v="430"/>
    <x v="0"/>
    <x v="6"/>
    <x v="6"/>
    <n v="0"/>
    <n v="0"/>
  </r>
  <r>
    <s v="WESTERN CAPE MILLING"/>
    <x v="12"/>
    <x v="638"/>
    <x v="627"/>
    <x v="159"/>
    <x v="431"/>
    <x v="0"/>
    <x v="0"/>
    <x v="0"/>
    <n v="0"/>
    <n v="0"/>
  </r>
  <r>
    <s v="WESTERN CAPE MILLING"/>
    <x v="12"/>
    <x v="638"/>
    <x v="627"/>
    <x v="159"/>
    <x v="431"/>
    <x v="0"/>
    <x v="1"/>
    <x v="1"/>
    <n v="0"/>
    <n v="0"/>
  </r>
  <r>
    <s v="WESTERN CAPE MILLING"/>
    <x v="12"/>
    <x v="638"/>
    <x v="627"/>
    <x v="159"/>
    <x v="431"/>
    <x v="0"/>
    <x v="2"/>
    <x v="2"/>
    <n v="0"/>
    <n v="0"/>
  </r>
  <r>
    <s v="WESTERN CAPE MILLING"/>
    <x v="12"/>
    <x v="638"/>
    <x v="627"/>
    <x v="159"/>
    <x v="431"/>
    <x v="0"/>
    <x v="3"/>
    <x v="3"/>
    <n v="0"/>
    <n v="0"/>
  </r>
  <r>
    <s v="WESTERN CAPE MILLING"/>
    <x v="12"/>
    <x v="638"/>
    <x v="627"/>
    <x v="159"/>
    <x v="431"/>
    <x v="0"/>
    <x v="4"/>
    <x v="4"/>
    <n v="0"/>
    <n v="0"/>
  </r>
  <r>
    <s v="WESTERN CAPE MILLING"/>
    <x v="12"/>
    <x v="638"/>
    <x v="627"/>
    <x v="159"/>
    <x v="431"/>
    <x v="0"/>
    <x v="5"/>
    <x v="5"/>
    <n v="0"/>
    <n v="0"/>
  </r>
  <r>
    <s v="WESTERN CAPE MILLING"/>
    <x v="12"/>
    <x v="638"/>
    <x v="627"/>
    <x v="159"/>
    <x v="431"/>
    <x v="0"/>
    <x v="6"/>
    <x v="6"/>
    <n v="0"/>
    <n v="0"/>
  </r>
  <r>
    <s v="WESTERN CAPE MILLING"/>
    <x v="12"/>
    <x v="639"/>
    <x v="628"/>
    <x v="118"/>
    <x v="361"/>
    <x v="0"/>
    <x v="0"/>
    <x v="0"/>
    <n v="0"/>
    <n v="0"/>
  </r>
  <r>
    <s v="WESTERN CAPE MILLING"/>
    <x v="12"/>
    <x v="639"/>
    <x v="628"/>
    <x v="118"/>
    <x v="361"/>
    <x v="0"/>
    <x v="1"/>
    <x v="1"/>
    <n v="0"/>
    <n v="0"/>
  </r>
  <r>
    <s v="WESTERN CAPE MILLING"/>
    <x v="12"/>
    <x v="639"/>
    <x v="628"/>
    <x v="118"/>
    <x v="361"/>
    <x v="0"/>
    <x v="2"/>
    <x v="2"/>
    <n v="0"/>
    <n v="0"/>
  </r>
  <r>
    <s v="WESTERN CAPE MILLING"/>
    <x v="12"/>
    <x v="639"/>
    <x v="628"/>
    <x v="118"/>
    <x v="361"/>
    <x v="0"/>
    <x v="3"/>
    <x v="3"/>
    <n v="0"/>
    <n v="0"/>
  </r>
  <r>
    <s v="WESTERN CAPE MILLING"/>
    <x v="12"/>
    <x v="639"/>
    <x v="628"/>
    <x v="118"/>
    <x v="361"/>
    <x v="0"/>
    <x v="4"/>
    <x v="4"/>
    <n v="0"/>
    <n v="0"/>
  </r>
  <r>
    <s v="WESTERN CAPE MILLING"/>
    <x v="12"/>
    <x v="639"/>
    <x v="628"/>
    <x v="118"/>
    <x v="361"/>
    <x v="0"/>
    <x v="5"/>
    <x v="5"/>
    <n v="0"/>
    <n v="0"/>
  </r>
  <r>
    <s v="WESTERN CAPE MILLING"/>
    <x v="12"/>
    <x v="639"/>
    <x v="628"/>
    <x v="118"/>
    <x v="361"/>
    <x v="0"/>
    <x v="6"/>
    <x v="6"/>
    <n v="0"/>
    <n v="0"/>
  </r>
  <r>
    <s v="WESTERN CAPE MILLING"/>
    <x v="12"/>
    <x v="640"/>
    <x v="629"/>
    <x v="162"/>
    <x v="432"/>
    <x v="0"/>
    <x v="0"/>
    <x v="0"/>
    <n v="0"/>
    <n v="0"/>
  </r>
  <r>
    <s v="WESTERN CAPE MILLING"/>
    <x v="12"/>
    <x v="640"/>
    <x v="629"/>
    <x v="162"/>
    <x v="432"/>
    <x v="0"/>
    <x v="1"/>
    <x v="1"/>
    <n v="0"/>
    <n v="0"/>
  </r>
  <r>
    <s v="WESTERN CAPE MILLING"/>
    <x v="12"/>
    <x v="640"/>
    <x v="629"/>
    <x v="162"/>
    <x v="432"/>
    <x v="0"/>
    <x v="2"/>
    <x v="2"/>
    <n v="0"/>
    <n v="0"/>
  </r>
  <r>
    <s v="WESTERN CAPE MILLING"/>
    <x v="12"/>
    <x v="640"/>
    <x v="629"/>
    <x v="162"/>
    <x v="432"/>
    <x v="0"/>
    <x v="3"/>
    <x v="3"/>
    <n v="0"/>
    <n v="0"/>
  </r>
  <r>
    <s v="WESTERN CAPE MILLING"/>
    <x v="12"/>
    <x v="640"/>
    <x v="629"/>
    <x v="162"/>
    <x v="432"/>
    <x v="0"/>
    <x v="4"/>
    <x v="4"/>
    <n v="0"/>
    <n v="0"/>
  </r>
  <r>
    <s v="WESTERN CAPE MILLING"/>
    <x v="12"/>
    <x v="640"/>
    <x v="629"/>
    <x v="162"/>
    <x v="432"/>
    <x v="0"/>
    <x v="5"/>
    <x v="5"/>
    <n v="0"/>
    <n v="0"/>
  </r>
  <r>
    <s v="WESTERN CAPE MILLING"/>
    <x v="12"/>
    <x v="640"/>
    <x v="629"/>
    <x v="162"/>
    <x v="432"/>
    <x v="0"/>
    <x v="6"/>
    <x v="6"/>
    <n v="0"/>
    <n v="0"/>
  </r>
  <r>
    <s v="WESTERN CAPE MILLING"/>
    <x v="12"/>
    <x v="641"/>
    <x v="630"/>
    <x v="163"/>
    <x v="433"/>
    <x v="0"/>
    <x v="0"/>
    <x v="0"/>
    <n v="0"/>
    <n v="0"/>
  </r>
  <r>
    <s v="WESTERN CAPE MILLING"/>
    <x v="12"/>
    <x v="641"/>
    <x v="630"/>
    <x v="163"/>
    <x v="433"/>
    <x v="0"/>
    <x v="1"/>
    <x v="1"/>
    <n v="0"/>
    <n v="0"/>
  </r>
  <r>
    <s v="WESTERN CAPE MILLING"/>
    <x v="12"/>
    <x v="641"/>
    <x v="630"/>
    <x v="163"/>
    <x v="433"/>
    <x v="0"/>
    <x v="2"/>
    <x v="2"/>
    <n v="0"/>
    <n v="0"/>
  </r>
  <r>
    <s v="WESTERN CAPE MILLING"/>
    <x v="12"/>
    <x v="641"/>
    <x v="630"/>
    <x v="163"/>
    <x v="433"/>
    <x v="0"/>
    <x v="3"/>
    <x v="3"/>
    <n v="0"/>
    <n v="0"/>
  </r>
  <r>
    <s v="WESTERN CAPE MILLING"/>
    <x v="12"/>
    <x v="641"/>
    <x v="630"/>
    <x v="163"/>
    <x v="433"/>
    <x v="0"/>
    <x v="4"/>
    <x v="4"/>
    <n v="0"/>
    <n v="0"/>
  </r>
  <r>
    <s v="WESTERN CAPE MILLING"/>
    <x v="12"/>
    <x v="641"/>
    <x v="630"/>
    <x v="163"/>
    <x v="433"/>
    <x v="0"/>
    <x v="5"/>
    <x v="5"/>
    <n v="0"/>
    <n v="0"/>
  </r>
  <r>
    <s v="WESTERN CAPE MILLING"/>
    <x v="12"/>
    <x v="641"/>
    <x v="630"/>
    <x v="163"/>
    <x v="433"/>
    <x v="0"/>
    <x v="6"/>
    <x v="6"/>
    <n v="0"/>
    <n v="0"/>
  </r>
  <r>
    <s v="PREMIER FMCG PTY LTD-BLUE RIBB"/>
    <x v="6"/>
    <x v="642"/>
    <x v="631"/>
    <x v="59"/>
    <x v="434"/>
    <x v="0"/>
    <x v="4"/>
    <x v="4"/>
    <n v="0"/>
    <n v="0"/>
  </r>
  <r>
    <s v="PREMIER FMCG PTY LTD-BLUE RIBB"/>
    <x v="6"/>
    <x v="642"/>
    <x v="631"/>
    <x v="59"/>
    <x v="434"/>
    <x v="0"/>
    <x v="5"/>
    <x v="5"/>
    <n v="0"/>
    <n v="0"/>
  </r>
  <r>
    <s v="PREMIER FMCG PTY LTD-BLUE RIBB"/>
    <x v="6"/>
    <x v="643"/>
    <x v="632"/>
    <x v="1"/>
    <x v="435"/>
    <x v="0"/>
    <x v="2"/>
    <x v="2"/>
    <n v="0"/>
    <n v="0"/>
  </r>
  <r>
    <s v="ALBANY BAKERIES (BELLVILLE)"/>
    <x v="6"/>
    <x v="644"/>
    <x v="633"/>
    <x v="127"/>
    <x v="436"/>
    <x v="0"/>
    <x v="4"/>
    <x v="4"/>
    <n v="0"/>
    <n v="0"/>
  </r>
  <r>
    <s v="ALBANY BAKERIES (BELLVILLE)"/>
    <x v="6"/>
    <x v="645"/>
    <x v="634"/>
    <x v="25"/>
    <x v="437"/>
    <x v="0"/>
    <x v="1"/>
    <x v="1"/>
    <n v="0"/>
    <n v="0"/>
  </r>
  <r>
    <s v="ALBANY BAKERIES (BELLVILLE)"/>
    <x v="6"/>
    <x v="645"/>
    <x v="634"/>
    <x v="25"/>
    <x v="437"/>
    <x v="0"/>
    <x v="2"/>
    <x v="2"/>
    <n v="0"/>
    <n v="0"/>
  </r>
  <r>
    <s v="PREMIER FMCG PTY LTD-BLUE RIBB"/>
    <x v="6"/>
    <x v="646"/>
    <x v="635"/>
    <x v="35"/>
    <x v="238"/>
    <x v="0"/>
    <x v="1"/>
    <x v="1"/>
    <n v="0"/>
    <n v="0"/>
  </r>
  <r>
    <s v="ESSENTIAL FD:BAKERY DIV PIONEE"/>
    <x v="6"/>
    <x v="647"/>
    <x v="636"/>
    <x v="164"/>
    <x v="438"/>
    <x v="0"/>
    <x v="1"/>
    <x v="1"/>
    <n v="0"/>
    <n v="0"/>
  </r>
  <r>
    <s v="ESSENTIAL FD:BAKERY DIV PIONEE"/>
    <x v="6"/>
    <x v="647"/>
    <x v="636"/>
    <x v="164"/>
    <x v="438"/>
    <x v="0"/>
    <x v="3"/>
    <x v="3"/>
    <n v="0"/>
    <n v="0"/>
  </r>
  <r>
    <s v="PREMIER FMCG PTY LTD-BLUE RIBB"/>
    <x v="6"/>
    <x v="648"/>
    <x v="637"/>
    <x v="82"/>
    <x v="439"/>
    <x v="0"/>
    <x v="3"/>
    <x v="3"/>
    <n v="0"/>
    <n v="0"/>
  </r>
  <r>
    <s v="PREMIER FMCG PTY LTD-BLUE RIBB"/>
    <x v="6"/>
    <x v="649"/>
    <x v="638"/>
    <x v="82"/>
    <x v="439"/>
    <x v="0"/>
    <x v="0"/>
    <x v="0"/>
    <n v="0"/>
    <n v="0"/>
  </r>
  <r>
    <s v="ALBANY BAKERIES (BELLVILLE)"/>
    <x v="6"/>
    <x v="650"/>
    <x v="639"/>
    <x v="25"/>
    <x v="440"/>
    <x v="0"/>
    <x v="3"/>
    <x v="3"/>
    <n v="0"/>
    <n v="0"/>
  </r>
  <r>
    <s v="ALBANY BAKERIES (BELLVILLE)"/>
    <x v="6"/>
    <x v="650"/>
    <x v="639"/>
    <x v="25"/>
    <x v="440"/>
    <x v="0"/>
    <x v="4"/>
    <x v="4"/>
    <n v="0"/>
    <n v="0"/>
  </r>
  <r>
    <s v="ALBANY BAKERIES (BELLVILLE)"/>
    <x v="6"/>
    <x v="650"/>
    <x v="639"/>
    <x v="25"/>
    <x v="440"/>
    <x v="0"/>
    <x v="5"/>
    <x v="5"/>
    <n v="0"/>
    <n v="0"/>
  </r>
  <r>
    <s v="ESSENTIAL FD:BAKERY DIV PIONEE"/>
    <x v="6"/>
    <x v="651"/>
    <x v="640"/>
    <x v="2"/>
    <x v="198"/>
    <x v="0"/>
    <x v="0"/>
    <x v="0"/>
    <n v="0"/>
    <n v="0"/>
  </r>
  <r>
    <s v="ESSENTIAL FD:BAKERY DIV PIONEE"/>
    <x v="6"/>
    <x v="651"/>
    <x v="640"/>
    <x v="2"/>
    <x v="198"/>
    <x v="0"/>
    <x v="1"/>
    <x v="1"/>
    <n v="0"/>
    <n v="0"/>
  </r>
  <r>
    <s v="ESSENTIAL FD:BAKERY DIV PIONEE"/>
    <x v="6"/>
    <x v="651"/>
    <x v="640"/>
    <x v="2"/>
    <x v="198"/>
    <x v="0"/>
    <x v="2"/>
    <x v="2"/>
    <n v="0"/>
    <n v="0"/>
  </r>
  <r>
    <s v="ESSENTIAL FD:BAKERY DIV PIONEE"/>
    <x v="6"/>
    <x v="651"/>
    <x v="640"/>
    <x v="2"/>
    <x v="198"/>
    <x v="0"/>
    <x v="3"/>
    <x v="3"/>
    <n v="0"/>
    <n v="0"/>
  </r>
  <r>
    <s v="ESSENTIAL FD:BAKERY DIV PIONEE"/>
    <x v="6"/>
    <x v="651"/>
    <x v="640"/>
    <x v="2"/>
    <x v="198"/>
    <x v="0"/>
    <x v="4"/>
    <x v="4"/>
    <n v="0"/>
    <n v="0"/>
  </r>
  <r>
    <s v="ESSENTIAL FD:BAKERY DIV PIONEE"/>
    <x v="6"/>
    <x v="651"/>
    <x v="640"/>
    <x v="2"/>
    <x v="198"/>
    <x v="0"/>
    <x v="5"/>
    <x v="5"/>
    <n v="0"/>
    <n v="0"/>
  </r>
  <r>
    <s v="ESSENTIAL FD:BAKERY DIV PIONEE"/>
    <x v="6"/>
    <x v="651"/>
    <x v="640"/>
    <x v="2"/>
    <x v="198"/>
    <x v="0"/>
    <x v="6"/>
    <x v="6"/>
    <n v="0"/>
    <n v="0"/>
  </r>
  <r>
    <s v="PREMIER FMCG PTY LTD-BLUE RIBB"/>
    <x v="6"/>
    <x v="652"/>
    <x v="641"/>
    <x v="82"/>
    <x v="441"/>
    <x v="0"/>
    <x v="0"/>
    <x v="0"/>
    <n v="0"/>
    <n v="0"/>
  </r>
  <r>
    <s v="PREMIER FMCG PTY LTD-BLUE RIBB"/>
    <x v="6"/>
    <x v="652"/>
    <x v="641"/>
    <x v="82"/>
    <x v="441"/>
    <x v="0"/>
    <x v="1"/>
    <x v="1"/>
    <n v="0"/>
    <n v="0"/>
  </r>
  <r>
    <s v="PREMIER FMCG PTY LTD-BLUE RIBB"/>
    <x v="6"/>
    <x v="652"/>
    <x v="641"/>
    <x v="82"/>
    <x v="441"/>
    <x v="0"/>
    <x v="2"/>
    <x v="2"/>
    <n v="0"/>
    <n v="0"/>
  </r>
  <r>
    <s v="PREMIER FMCG PTY LTD-BLUE RIBB"/>
    <x v="6"/>
    <x v="652"/>
    <x v="641"/>
    <x v="82"/>
    <x v="441"/>
    <x v="0"/>
    <x v="3"/>
    <x v="3"/>
    <n v="0"/>
    <n v="0"/>
  </r>
  <r>
    <s v="PREMIER FMCG PTY LTD-BLUE RIBB"/>
    <x v="6"/>
    <x v="652"/>
    <x v="641"/>
    <x v="82"/>
    <x v="441"/>
    <x v="0"/>
    <x v="4"/>
    <x v="4"/>
    <n v="0"/>
    <n v="0"/>
  </r>
  <r>
    <s v="PREMIER FMCG PTY LTD-BLUE RIBB"/>
    <x v="6"/>
    <x v="652"/>
    <x v="641"/>
    <x v="82"/>
    <x v="441"/>
    <x v="0"/>
    <x v="5"/>
    <x v="5"/>
    <n v="0"/>
    <n v="0"/>
  </r>
  <r>
    <s v="PREMIER FMCG PTY LTD-BLUE RIBB"/>
    <x v="6"/>
    <x v="652"/>
    <x v="641"/>
    <x v="82"/>
    <x v="441"/>
    <x v="0"/>
    <x v="6"/>
    <x v="6"/>
    <n v="0"/>
    <n v="0"/>
  </r>
  <r>
    <s v="ESSENTIAL FD:BAKERY DIV PIONEE"/>
    <x v="6"/>
    <x v="653"/>
    <x v="642"/>
    <x v="35"/>
    <x v="442"/>
    <x v="0"/>
    <x v="0"/>
    <x v="0"/>
    <n v="0"/>
    <n v="0"/>
  </r>
  <r>
    <s v="ESSENTIAL FD:BAKERY DIV PIONEE"/>
    <x v="6"/>
    <x v="653"/>
    <x v="642"/>
    <x v="35"/>
    <x v="442"/>
    <x v="0"/>
    <x v="1"/>
    <x v="1"/>
    <n v="0"/>
    <n v="0"/>
  </r>
  <r>
    <s v="ESSENTIAL FD:BAKERY DIV PIONEE"/>
    <x v="6"/>
    <x v="653"/>
    <x v="642"/>
    <x v="35"/>
    <x v="442"/>
    <x v="0"/>
    <x v="2"/>
    <x v="2"/>
    <n v="0"/>
    <n v="0"/>
  </r>
  <r>
    <s v="ESSENTIAL FD:BAKERY DIV PIONEE"/>
    <x v="6"/>
    <x v="653"/>
    <x v="642"/>
    <x v="35"/>
    <x v="442"/>
    <x v="0"/>
    <x v="3"/>
    <x v="3"/>
    <n v="0"/>
    <n v="0"/>
  </r>
  <r>
    <s v="ESSENTIAL FD:BAKERY DIV PIONEE"/>
    <x v="6"/>
    <x v="653"/>
    <x v="642"/>
    <x v="35"/>
    <x v="442"/>
    <x v="0"/>
    <x v="4"/>
    <x v="4"/>
    <n v="0"/>
    <n v="0"/>
  </r>
  <r>
    <s v="ESSENTIAL FD:BAKERY DIV PIONEE"/>
    <x v="6"/>
    <x v="653"/>
    <x v="642"/>
    <x v="35"/>
    <x v="442"/>
    <x v="0"/>
    <x v="5"/>
    <x v="5"/>
    <n v="0"/>
    <n v="0"/>
  </r>
  <r>
    <s v="ESSENTIAL FD:BAKERY DIV PIONEE"/>
    <x v="6"/>
    <x v="653"/>
    <x v="642"/>
    <x v="35"/>
    <x v="442"/>
    <x v="0"/>
    <x v="6"/>
    <x v="6"/>
    <n v="0"/>
    <n v="0"/>
  </r>
  <r>
    <s v="ESSENTIAL FD:BAKERY DIV PIONEE"/>
    <x v="6"/>
    <x v="654"/>
    <x v="643"/>
    <x v="83"/>
    <x v="339"/>
    <x v="0"/>
    <x v="0"/>
    <x v="0"/>
    <n v="0"/>
    <n v="0"/>
  </r>
  <r>
    <s v="ESSENTIAL FD:BAKERY DIV PIONEE"/>
    <x v="6"/>
    <x v="654"/>
    <x v="643"/>
    <x v="83"/>
    <x v="339"/>
    <x v="0"/>
    <x v="1"/>
    <x v="1"/>
    <n v="0"/>
    <n v="0"/>
  </r>
  <r>
    <s v="ESSENTIAL FD:BAKERY DIV PIONEE"/>
    <x v="6"/>
    <x v="654"/>
    <x v="643"/>
    <x v="83"/>
    <x v="339"/>
    <x v="0"/>
    <x v="2"/>
    <x v="2"/>
    <n v="0"/>
    <n v="0"/>
  </r>
  <r>
    <s v="ESSENTIAL FD:BAKERY DIV PIONEE"/>
    <x v="6"/>
    <x v="654"/>
    <x v="643"/>
    <x v="83"/>
    <x v="339"/>
    <x v="0"/>
    <x v="3"/>
    <x v="3"/>
    <n v="0"/>
    <n v="0"/>
  </r>
  <r>
    <s v="ESSENTIAL FD:BAKERY DIV PIONEE"/>
    <x v="6"/>
    <x v="654"/>
    <x v="643"/>
    <x v="83"/>
    <x v="339"/>
    <x v="0"/>
    <x v="4"/>
    <x v="4"/>
    <n v="0"/>
    <n v="0"/>
  </r>
  <r>
    <s v="ESSENTIAL FD:BAKERY DIV PIONEE"/>
    <x v="6"/>
    <x v="654"/>
    <x v="643"/>
    <x v="83"/>
    <x v="339"/>
    <x v="0"/>
    <x v="5"/>
    <x v="5"/>
    <n v="0"/>
    <n v="0"/>
  </r>
  <r>
    <s v="ESSENTIAL FD:BAKERY DIV PIONEE"/>
    <x v="6"/>
    <x v="654"/>
    <x v="643"/>
    <x v="83"/>
    <x v="339"/>
    <x v="0"/>
    <x v="6"/>
    <x v="6"/>
    <n v="0"/>
    <n v="0"/>
  </r>
  <r>
    <s v="PREMIER FMCG PTY LTD-BLUE RIBB"/>
    <x v="6"/>
    <x v="655"/>
    <x v="644"/>
    <x v="82"/>
    <x v="441"/>
    <x v="0"/>
    <x v="0"/>
    <x v="0"/>
    <n v="0"/>
    <n v="0"/>
  </r>
  <r>
    <s v="PREMIER FMCG PTY LTD-BLUE RIBB"/>
    <x v="6"/>
    <x v="655"/>
    <x v="644"/>
    <x v="82"/>
    <x v="441"/>
    <x v="0"/>
    <x v="1"/>
    <x v="1"/>
    <n v="0"/>
    <n v="0"/>
  </r>
  <r>
    <s v="PREMIER FMCG PTY LTD-BLUE RIBB"/>
    <x v="6"/>
    <x v="655"/>
    <x v="644"/>
    <x v="82"/>
    <x v="441"/>
    <x v="0"/>
    <x v="2"/>
    <x v="2"/>
    <n v="0"/>
    <n v="0"/>
  </r>
  <r>
    <s v="PREMIER FMCG PTY LTD-BLUE RIBB"/>
    <x v="6"/>
    <x v="655"/>
    <x v="644"/>
    <x v="82"/>
    <x v="441"/>
    <x v="0"/>
    <x v="3"/>
    <x v="3"/>
    <n v="0"/>
    <n v="0"/>
  </r>
  <r>
    <s v="PREMIER FMCG PTY LTD-BLUE RIBB"/>
    <x v="6"/>
    <x v="655"/>
    <x v="644"/>
    <x v="82"/>
    <x v="441"/>
    <x v="0"/>
    <x v="4"/>
    <x v="4"/>
    <n v="0"/>
    <n v="0"/>
  </r>
  <r>
    <s v="PREMIER FMCG PTY LTD-BLUE RIBB"/>
    <x v="6"/>
    <x v="655"/>
    <x v="644"/>
    <x v="82"/>
    <x v="441"/>
    <x v="0"/>
    <x v="5"/>
    <x v="5"/>
    <n v="0"/>
    <n v="0"/>
  </r>
  <r>
    <s v="PREMIER FMCG PTY LTD-BLUE RIBB"/>
    <x v="6"/>
    <x v="655"/>
    <x v="644"/>
    <x v="82"/>
    <x v="441"/>
    <x v="0"/>
    <x v="6"/>
    <x v="6"/>
    <n v="0"/>
    <n v="0"/>
  </r>
  <r>
    <s v="PREMIER FMCG PTY LTD-BLUE RIBB"/>
    <x v="6"/>
    <x v="656"/>
    <x v="645"/>
    <x v="82"/>
    <x v="441"/>
    <x v="0"/>
    <x v="0"/>
    <x v="0"/>
    <n v="0"/>
    <n v="0"/>
  </r>
  <r>
    <s v="PREMIER FMCG PTY LTD-BLUE RIBB"/>
    <x v="6"/>
    <x v="656"/>
    <x v="645"/>
    <x v="82"/>
    <x v="441"/>
    <x v="0"/>
    <x v="1"/>
    <x v="1"/>
    <n v="0"/>
    <n v="0"/>
  </r>
  <r>
    <s v="PREMIER FMCG PTY LTD-BLUE RIBB"/>
    <x v="6"/>
    <x v="656"/>
    <x v="645"/>
    <x v="82"/>
    <x v="441"/>
    <x v="0"/>
    <x v="2"/>
    <x v="2"/>
    <n v="0"/>
    <n v="0"/>
  </r>
  <r>
    <s v="PREMIER FMCG PTY LTD-BLUE RIBB"/>
    <x v="6"/>
    <x v="656"/>
    <x v="645"/>
    <x v="82"/>
    <x v="441"/>
    <x v="0"/>
    <x v="3"/>
    <x v="3"/>
    <n v="0"/>
    <n v="0"/>
  </r>
  <r>
    <s v="PREMIER FMCG PTY LTD-BLUE RIBB"/>
    <x v="6"/>
    <x v="656"/>
    <x v="645"/>
    <x v="82"/>
    <x v="441"/>
    <x v="0"/>
    <x v="4"/>
    <x v="4"/>
    <n v="0"/>
    <n v="0"/>
  </r>
  <r>
    <s v="PREMIER FMCG PTY LTD-BLUE RIBB"/>
    <x v="6"/>
    <x v="656"/>
    <x v="645"/>
    <x v="82"/>
    <x v="441"/>
    <x v="0"/>
    <x v="5"/>
    <x v="5"/>
    <n v="0"/>
    <n v="0"/>
  </r>
  <r>
    <s v="PREMIER FMCG PTY LTD-BLUE RIBB"/>
    <x v="6"/>
    <x v="656"/>
    <x v="645"/>
    <x v="82"/>
    <x v="441"/>
    <x v="0"/>
    <x v="6"/>
    <x v="6"/>
    <n v="0"/>
    <n v="0"/>
  </r>
  <r>
    <s v="CHIPKINS PURATOS (BIDVEST SOL)"/>
    <x v="6"/>
    <x v="657"/>
    <x v="646"/>
    <x v="118"/>
    <x v="443"/>
    <x v="0"/>
    <x v="0"/>
    <x v="0"/>
    <n v="0"/>
    <n v="0"/>
  </r>
  <r>
    <s v="CHIPKINS PURATOS (BIDVEST SOL)"/>
    <x v="6"/>
    <x v="657"/>
    <x v="646"/>
    <x v="118"/>
    <x v="443"/>
    <x v="0"/>
    <x v="1"/>
    <x v="1"/>
    <n v="0"/>
    <n v="0"/>
  </r>
  <r>
    <s v="CHIPKINS PURATOS (BIDVEST SOL)"/>
    <x v="6"/>
    <x v="657"/>
    <x v="646"/>
    <x v="118"/>
    <x v="443"/>
    <x v="0"/>
    <x v="2"/>
    <x v="2"/>
    <n v="0"/>
    <n v="0"/>
  </r>
  <r>
    <s v="CHIPKINS PURATOS (BIDVEST SOL)"/>
    <x v="6"/>
    <x v="657"/>
    <x v="646"/>
    <x v="118"/>
    <x v="443"/>
    <x v="0"/>
    <x v="3"/>
    <x v="3"/>
    <n v="0"/>
    <n v="0"/>
  </r>
  <r>
    <s v="CHIPKINS PURATOS (BIDVEST SOL)"/>
    <x v="6"/>
    <x v="657"/>
    <x v="646"/>
    <x v="118"/>
    <x v="443"/>
    <x v="0"/>
    <x v="4"/>
    <x v="4"/>
    <n v="0"/>
    <n v="0"/>
  </r>
  <r>
    <s v="CHIPKINS PURATOS (BIDVEST SOL)"/>
    <x v="6"/>
    <x v="657"/>
    <x v="646"/>
    <x v="118"/>
    <x v="443"/>
    <x v="0"/>
    <x v="5"/>
    <x v="5"/>
    <n v="0"/>
    <n v="0"/>
  </r>
  <r>
    <s v="CHIPKINS PURATOS (BIDVEST SOL)"/>
    <x v="6"/>
    <x v="657"/>
    <x v="646"/>
    <x v="118"/>
    <x v="443"/>
    <x v="0"/>
    <x v="6"/>
    <x v="6"/>
    <n v="0"/>
    <n v="0"/>
  </r>
  <r>
    <s v="ALBANY BAKERIES (BELLVILLE)"/>
    <x v="6"/>
    <x v="658"/>
    <x v="647"/>
    <x v="25"/>
    <x v="444"/>
    <x v="0"/>
    <x v="1"/>
    <x v="1"/>
    <n v="0"/>
    <n v="0"/>
  </r>
  <r>
    <s v="ALBANY BAKERIES (BELLVILLE)"/>
    <x v="6"/>
    <x v="658"/>
    <x v="647"/>
    <x v="25"/>
    <x v="444"/>
    <x v="0"/>
    <x v="2"/>
    <x v="2"/>
    <n v="0"/>
    <n v="0"/>
  </r>
  <r>
    <s v="ALBANY BAKERIES (BELLVILLE)"/>
    <x v="6"/>
    <x v="658"/>
    <x v="647"/>
    <x v="25"/>
    <x v="444"/>
    <x v="0"/>
    <x v="3"/>
    <x v="3"/>
    <n v="0"/>
    <n v="0"/>
  </r>
  <r>
    <s v="ALBANY BAKERIES (BELLVILLE)"/>
    <x v="6"/>
    <x v="658"/>
    <x v="647"/>
    <x v="25"/>
    <x v="444"/>
    <x v="0"/>
    <x v="6"/>
    <x v="6"/>
    <n v="0"/>
    <n v="0"/>
  </r>
  <r>
    <s v="ALBANY BAKERIES (BELLVILLE)"/>
    <x v="6"/>
    <x v="659"/>
    <x v="648"/>
    <x v="27"/>
    <x v="445"/>
    <x v="0"/>
    <x v="0"/>
    <x v="0"/>
    <n v="0"/>
    <n v="0"/>
  </r>
  <r>
    <s v="ALBANY BAKERIES (BELLVILLE)"/>
    <x v="6"/>
    <x v="659"/>
    <x v="648"/>
    <x v="27"/>
    <x v="445"/>
    <x v="0"/>
    <x v="1"/>
    <x v="1"/>
    <n v="0"/>
    <n v="0"/>
  </r>
  <r>
    <s v="ALBANY BAKERIES (BELLVILLE)"/>
    <x v="6"/>
    <x v="659"/>
    <x v="648"/>
    <x v="27"/>
    <x v="445"/>
    <x v="0"/>
    <x v="2"/>
    <x v="2"/>
    <n v="0"/>
    <n v="0"/>
  </r>
  <r>
    <s v="ALBANY BAKERIES (BELLVILLE)"/>
    <x v="6"/>
    <x v="659"/>
    <x v="648"/>
    <x v="27"/>
    <x v="445"/>
    <x v="0"/>
    <x v="3"/>
    <x v="3"/>
    <n v="0"/>
    <n v="0"/>
  </r>
  <r>
    <s v="ALBANY BAKERIES (BELLVILLE)"/>
    <x v="6"/>
    <x v="659"/>
    <x v="648"/>
    <x v="27"/>
    <x v="445"/>
    <x v="0"/>
    <x v="4"/>
    <x v="4"/>
    <n v="0"/>
    <n v="0"/>
  </r>
  <r>
    <s v="ALBANY BAKERIES (BELLVILLE)"/>
    <x v="6"/>
    <x v="659"/>
    <x v="648"/>
    <x v="27"/>
    <x v="445"/>
    <x v="0"/>
    <x v="5"/>
    <x v="5"/>
    <n v="0"/>
    <n v="0"/>
  </r>
  <r>
    <s v="ALBANY BAKERIES (BELLVILLE)"/>
    <x v="6"/>
    <x v="659"/>
    <x v="648"/>
    <x v="27"/>
    <x v="445"/>
    <x v="0"/>
    <x v="6"/>
    <x v="6"/>
    <n v="0"/>
    <n v="0"/>
  </r>
  <r>
    <s v="ALBANY BAKERIES (BELLVILLE)"/>
    <x v="6"/>
    <x v="660"/>
    <x v="649"/>
    <x v="25"/>
    <x v="444"/>
    <x v="0"/>
    <x v="0"/>
    <x v="0"/>
    <n v="0"/>
    <n v="0"/>
  </r>
  <r>
    <s v="ALBANY BAKERIES (BELLVILLE)"/>
    <x v="6"/>
    <x v="660"/>
    <x v="649"/>
    <x v="25"/>
    <x v="444"/>
    <x v="0"/>
    <x v="1"/>
    <x v="1"/>
    <n v="0"/>
    <n v="0"/>
  </r>
  <r>
    <s v="ALBANY BAKERIES (BELLVILLE)"/>
    <x v="6"/>
    <x v="660"/>
    <x v="649"/>
    <x v="25"/>
    <x v="444"/>
    <x v="0"/>
    <x v="3"/>
    <x v="3"/>
    <n v="0"/>
    <n v="0"/>
  </r>
  <r>
    <s v="ALBANY BAKERIES (BELLVILLE)"/>
    <x v="6"/>
    <x v="660"/>
    <x v="649"/>
    <x v="25"/>
    <x v="444"/>
    <x v="0"/>
    <x v="5"/>
    <x v="5"/>
    <n v="0"/>
    <n v="0"/>
  </r>
  <r>
    <s v="ALBANY BAKERIES (BELLVILLE)"/>
    <x v="6"/>
    <x v="660"/>
    <x v="649"/>
    <x v="25"/>
    <x v="444"/>
    <x v="0"/>
    <x v="6"/>
    <x v="6"/>
    <n v="0"/>
    <n v="0"/>
  </r>
  <r>
    <s v="ALBANY BAKERIES (BELLVILLE)"/>
    <x v="6"/>
    <x v="661"/>
    <x v="650"/>
    <x v="35"/>
    <x v="446"/>
    <x v="0"/>
    <x v="6"/>
    <x v="6"/>
    <n v="0"/>
    <n v="0"/>
  </r>
  <r>
    <s v="PREMIER FMCG PTY LTD-BLUE RIBB"/>
    <x v="6"/>
    <x v="662"/>
    <x v="651"/>
    <x v="82"/>
    <x v="439"/>
    <x v="0"/>
    <x v="0"/>
    <x v="0"/>
    <n v="0"/>
    <n v="0"/>
  </r>
  <r>
    <s v="PREMIER FMCG PTY LTD-BLUE RIBB"/>
    <x v="6"/>
    <x v="662"/>
    <x v="651"/>
    <x v="82"/>
    <x v="439"/>
    <x v="0"/>
    <x v="2"/>
    <x v="2"/>
    <n v="0"/>
    <n v="0"/>
  </r>
  <r>
    <s v="PREMIER FMCG PTY LTD-BLUE RIBB"/>
    <x v="6"/>
    <x v="662"/>
    <x v="651"/>
    <x v="82"/>
    <x v="439"/>
    <x v="0"/>
    <x v="3"/>
    <x v="3"/>
    <n v="0"/>
    <n v="0"/>
  </r>
  <r>
    <s v="PREMIER FMCG PTY LTD-BLUE RIBB"/>
    <x v="6"/>
    <x v="662"/>
    <x v="651"/>
    <x v="82"/>
    <x v="439"/>
    <x v="0"/>
    <x v="5"/>
    <x v="5"/>
    <n v="0"/>
    <n v="0"/>
  </r>
  <r>
    <s v="PREMIER FMCG PTY LTD-BLUE RIBB"/>
    <x v="6"/>
    <x v="662"/>
    <x v="651"/>
    <x v="82"/>
    <x v="439"/>
    <x v="0"/>
    <x v="6"/>
    <x v="6"/>
    <n v="0"/>
    <n v="0"/>
  </r>
  <r>
    <s v="PREMIER FMCG PTY LTD-BLUE RIBB"/>
    <x v="6"/>
    <x v="663"/>
    <x v="652"/>
    <x v="82"/>
    <x v="439"/>
    <x v="0"/>
    <x v="0"/>
    <x v="0"/>
    <n v="0"/>
    <n v="0"/>
  </r>
  <r>
    <s v="PREMIER FMCG PTY LTD-BLUE RIBB"/>
    <x v="6"/>
    <x v="663"/>
    <x v="652"/>
    <x v="82"/>
    <x v="439"/>
    <x v="0"/>
    <x v="3"/>
    <x v="3"/>
    <n v="0"/>
    <n v="0"/>
  </r>
  <r>
    <s v="PREMIER FMCG PTY LTD-BLUE RIBB"/>
    <x v="6"/>
    <x v="663"/>
    <x v="652"/>
    <x v="82"/>
    <x v="439"/>
    <x v="0"/>
    <x v="6"/>
    <x v="6"/>
    <n v="0"/>
    <n v="0"/>
  </r>
  <r>
    <s v="PREMIER FMCG PTY LTD-BLUE RIBB"/>
    <x v="6"/>
    <x v="664"/>
    <x v="653"/>
    <x v="126"/>
    <x v="238"/>
    <x v="0"/>
    <x v="0"/>
    <x v="0"/>
    <n v="0"/>
    <n v="0"/>
  </r>
  <r>
    <s v="PREMIER FMCG PTY LTD-BLUE RIBB"/>
    <x v="6"/>
    <x v="664"/>
    <x v="653"/>
    <x v="126"/>
    <x v="238"/>
    <x v="0"/>
    <x v="1"/>
    <x v="1"/>
    <n v="0"/>
    <n v="0"/>
  </r>
  <r>
    <s v="PREMIER FMCG PTY LTD-BLUE RIBB"/>
    <x v="6"/>
    <x v="664"/>
    <x v="653"/>
    <x v="126"/>
    <x v="238"/>
    <x v="0"/>
    <x v="2"/>
    <x v="2"/>
    <n v="0"/>
    <n v="0"/>
  </r>
  <r>
    <s v="PREMIER FMCG PTY LTD-BLUE RIBB"/>
    <x v="6"/>
    <x v="664"/>
    <x v="653"/>
    <x v="126"/>
    <x v="238"/>
    <x v="0"/>
    <x v="3"/>
    <x v="3"/>
    <n v="0"/>
    <n v="0"/>
  </r>
  <r>
    <s v="PREMIER FMCG PTY LTD-BLUE RIBB"/>
    <x v="6"/>
    <x v="664"/>
    <x v="653"/>
    <x v="126"/>
    <x v="238"/>
    <x v="0"/>
    <x v="4"/>
    <x v="4"/>
    <n v="0"/>
    <n v="0"/>
  </r>
  <r>
    <s v="PREMIER FMCG PTY LTD-BLUE RIBB"/>
    <x v="6"/>
    <x v="664"/>
    <x v="653"/>
    <x v="126"/>
    <x v="238"/>
    <x v="0"/>
    <x v="5"/>
    <x v="5"/>
    <n v="0"/>
    <n v="0"/>
  </r>
  <r>
    <s v="PREMIER FMCG PTY LTD-BLUE RIBB"/>
    <x v="6"/>
    <x v="664"/>
    <x v="653"/>
    <x v="126"/>
    <x v="238"/>
    <x v="0"/>
    <x v="6"/>
    <x v="6"/>
    <n v="0"/>
    <n v="0"/>
  </r>
  <r>
    <s v="PREMIER FMCG PTY LTD-BLUE RIBB"/>
    <x v="6"/>
    <x v="665"/>
    <x v="654"/>
    <x v="126"/>
    <x v="238"/>
    <x v="0"/>
    <x v="0"/>
    <x v="0"/>
    <n v="0"/>
    <n v="0"/>
  </r>
  <r>
    <s v="PREMIER FMCG PTY LTD-BLUE RIBB"/>
    <x v="6"/>
    <x v="665"/>
    <x v="654"/>
    <x v="126"/>
    <x v="238"/>
    <x v="0"/>
    <x v="1"/>
    <x v="1"/>
    <n v="0"/>
    <n v="0"/>
  </r>
  <r>
    <s v="PREMIER FMCG PTY LTD-BLUE RIBB"/>
    <x v="6"/>
    <x v="665"/>
    <x v="654"/>
    <x v="126"/>
    <x v="238"/>
    <x v="0"/>
    <x v="2"/>
    <x v="2"/>
    <n v="0"/>
    <n v="0"/>
  </r>
  <r>
    <s v="PREMIER FMCG PTY LTD-BLUE RIBB"/>
    <x v="6"/>
    <x v="665"/>
    <x v="654"/>
    <x v="126"/>
    <x v="238"/>
    <x v="0"/>
    <x v="3"/>
    <x v="3"/>
    <n v="0"/>
    <n v="0"/>
  </r>
  <r>
    <s v="PREMIER FMCG PTY LTD-BLUE RIBB"/>
    <x v="6"/>
    <x v="665"/>
    <x v="654"/>
    <x v="126"/>
    <x v="238"/>
    <x v="0"/>
    <x v="4"/>
    <x v="4"/>
    <n v="0"/>
    <n v="0"/>
  </r>
  <r>
    <s v="PREMIER FMCG PTY LTD-BLUE RIBB"/>
    <x v="6"/>
    <x v="665"/>
    <x v="654"/>
    <x v="126"/>
    <x v="238"/>
    <x v="0"/>
    <x v="5"/>
    <x v="5"/>
    <n v="0"/>
    <n v="0"/>
  </r>
  <r>
    <s v="PREMIER FMCG PTY LTD-BLUE RIBB"/>
    <x v="6"/>
    <x v="665"/>
    <x v="654"/>
    <x v="126"/>
    <x v="238"/>
    <x v="0"/>
    <x v="6"/>
    <x v="6"/>
    <n v="0"/>
    <n v="0"/>
  </r>
  <r>
    <s v="ESSENTIAL FD:BAKERY DIV PIONEE"/>
    <x v="6"/>
    <x v="666"/>
    <x v="655"/>
    <x v="59"/>
    <x v="447"/>
    <x v="0"/>
    <x v="0"/>
    <x v="0"/>
    <n v="0"/>
    <n v="0"/>
  </r>
  <r>
    <s v="ESSENTIAL FD:BAKERY DIV PIONEE"/>
    <x v="6"/>
    <x v="666"/>
    <x v="655"/>
    <x v="59"/>
    <x v="447"/>
    <x v="0"/>
    <x v="1"/>
    <x v="1"/>
    <n v="0"/>
    <n v="0"/>
  </r>
  <r>
    <s v="ESSENTIAL FD:BAKERY DIV PIONEE"/>
    <x v="6"/>
    <x v="666"/>
    <x v="655"/>
    <x v="59"/>
    <x v="447"/>
    <x v="0"/>
    <x v="2"/>
    <x v="2"/>
    <n v="0"/>
    <n v="0"/>
  </r>
  <r>
    <s v="ESSENTIAL FD:BAKERY DIV PIONEE"/>
    <x v="6"/>
    <x v="666"/>
    <x v="655"/>
    <x v="59"/>
    <x v="447"/>
    <x v="0"/>
    <x v="3"/>
    <x v="3"/>
    <n v="0"/>
    <n v="0"/>
  </r>
  <r>
    <s v="ESSENTIAL FD:BAKERY DIV PIONEE"/>
    <x v="6"/>
    <x v="666"/>
    <x v="655"/>
    <x v="59"/>
    <x v="447"/>
    <x v="0"/>
    <x v="4"/>
    <x v="4"/>
    <n v="0"/>
    <n v="0"/>
  </r>
  <r>
    <s v="ESSENTIAL FD:BAKERY DIV PIONEE"/>
    <x v="6"/>
    <x v="666"/>
    <x v="655"/>
    <x v="59"/>
    <x v="447"/>
    <x v="0"/>
    <x v="5"/>
    <x v="5"/>
    <n v="0"/>
    <n v="0"/>
  </r>
  <r>
    <s v="ESSENTIAL FD:BAKERY DIV PIONEE"/>
    <x v="6"/>
    <x v="666"/>
    <x v="655"/>
    <x v="59"/>
    <x v="447"/>
    <x v="0"/>
    <x v="6"/>
    <x v="6"/>
    <n v="0"/>
    <n v="0"/>
  </r>
  <r>
    <s v="ESSENTIAL FD:BAKERY DIV PIONEE"/>
    <x v="6"/>
    <x v="667"/>
    <x v="656"/>
    <x v="59"/>
    <x v="447"/>
    <x v="0"/>
    <x v="0"/>
    <x v="0"/>
    <n v="0"/>
    <n v="0"/>
  </r>
  <r>
    <s v="ESSENTIAL FD:BAKERY DIV PIONEE"/>
    <x v="6"/>
    <x v="667"/>
    <x v="656"/>
    <x v="59"/>
    <x v="447"/>
    <x v="0"/>
    <x v="1"/>
    <x v="1"/>
    <n v="0"/>
    <n v="0"/>
  </r>
  <r>
    <s v="ESSENTIAL FD:BAKERY DIV PIONEE"/>
    <x v="6"/>
    <x v="667"/>
    <x v="656"/>
    <x v="59"/>
    <x v="447"/>
    <x v="0"/>
    <x v="2"/>
    <x v="2"/>
    <n v="0"/>
    <n v="0"/>
  </r>
  <r>
    <s v="ESSENTIAL FD:BAKERY DIV PIONEE"/>
    <x v="6"/>
    <x v="667"/>
    <x v="656"/>
    <x v="59"/>
    <x v="447"/>
    <x v="0"/>
    <x v="3"/>
    <x v="3"/>
    <n v="0"/>
    <n v="0"/>
  </r>
  <r>
    <s v="ESSENTIAL FD:BAKERY DIV PIONEE"/>
    <x v="6"/>
    <x v="667"/>
    <x v="656"/>
    <x v="59"/>
    <x v="447"/>
    <x v="0"/>
    <x v="4"/>
    <x v="4"/>
    <n v="0"/>
    <n v="0"/>
  </r>
  <r>
    <s v="ESSENTIAL FD:BAKERY DIV PIONEE"/>
    <x v="6"/>
    <x v="667"/>
    <x v="656"/>
    <x v="59"/>
    <x v="447"/>
    <x v="0"/>
    <x v="5"/>
    <x v="5"/>
    <n v="0"/>
    <n v="0"/>
  </r>
  <r>
    <s v="ESSENTIAL FD:BAKERY DIV PIONEE"/>
    <x v="6"/>
    <x v="667"/>
    <x v="656"/>
    <x v="59"/>
    <x v="447"/>
    <x v="0"/>
    <x v="6"/>
    <x v="6"/>
    <n v="0"/>
    <n v="0"/>
  </r>
  <r>
    <s v="ESSENTIAL FD:BAKERY DIV PIONEE"/>
    <x v="6"/>
    <x v="668"/>
    <x v="657"/>
    <x v="59"/>
    <x v="448"/>
    <x v="0"/>
    <x v="0"/>
    <x v="0"/>
    <n v="0"/>
    <n v="0"/>
  </r>
  <r>
    <s v="ESSENTIAL FD:BAKERY DIV PIONEE"/>
    <x v="6"/>
    <x v="668"/>
    <x v="657"/>
    <x v="59"/>
    <x v="448"/>
    <x v="0"/>
    <x v="1"/>
    <x v="1"/>
    <n v="0"/>
    <n v="0"/>
  </r>
  <r>
    <s v="ESSENTIAL FD:BAKERY DIV PIONEE"/>
    <x v="6"/>
    <x v="668"/>
    <x v="657"/>
    <x v="59"/>
    <x v="448"/>
    <x v="0"/>
    <x v="2"/>
    <x v="2"/>
    <n v="0"/>
    <n v="0"/>
  </r>
  <r>
    <s v="ESSENTIAL FD:BAKERY DIV PIONEE"/>
    <x v="6"/>
    <x v="668"/>
    <x v="657"/>
    <x v="59"/>
    <x v="448"/>
    <x v="0"/>
    <x v="3"/>
    <x v="3"/>
    <n v="0"/>
    <n v="0"/>
  </r>
  <r>
    <s v="ESSENTIAL FD:BAKERY DIV PIONEE"/>
    <x v="6"/>
    <x v="668"/>
    <x v="657"/>
    <x v="59"/>
    <x v="448"/>
    <x v="0"/>
    <x v="4"/>
    <x v="4"/>
    <n v="0"/>
    <n v="0"/>
  </r>
  <r>
    <s v="ESSENTIAL FD:BAKERY DIV PIONEE"/>
    <x v="6"/>
    <x v="668"/>
    <x v="657"/>
    <x v="59"/>
    <x v="448"/>
    <x v="0"/>
    <x v="5"/>
    <x v="5"/>
    <n v="0"/>
    <n v="0"/>
  </r>
  <r>
    <s v="ESSENTIAL FD:BAKERY DIV PIONEE"/>
    <x v="6"/>
    <x v="668"/>
    <x v="657"/>
    <x v="59"/>
    <x v="448"/>
    <x v="0"/>
    <x v="6"/>
    <x v="6"/>
    <n v="0"/>
    <n v="0"/>
  </r>
  <r>
    <s v="SOUTHBAKELS (PTY) LTD"/>
    <x v="8"/>
    <x v="669"/>
    <x v="658"/>
    <x v="39"/>
    <x v="427"/>
    <x v="0"/>
    <x v="0"/>
    <x v="0"/>
    <n v="0"/>
    <n v="0"/>
  </r>
  <r>
    <s v="SOUTHBAKELS (PTY) LTD"/>
    <x v="8"/>
    <x v="669"/>
    <x v="658"/>
    <x v="39"/>
    <x v="427"/>
    <x v="0"/>
    <x v="1"/>
    <x v="1"/>
    <n v="0"/>
    <n v="0"/>
  </r>
  <r>
    <s v="SOUTHBAKELS (PTY) LTD"/>
    <x v="8"/>
    <x v="669"/>
    <x v="658"/>
    <x v="39"/>
    <x v="427"/>
    <x v="0"/>
    <x v="2"/>
    <x v="2"/>
    <n v="0"/>
    <n v="0"/>
  </r>
  <r>
    <s v="SOUTHBAKELS (PTY) LTD"/>
    <x v="8"/>
    <x v="669"/>
    <x v="658"/>
    <x v="39"/>
    <x v="427"/>
    <x v="0"/>
    <x v="3"/>
    <x v="3"/>
    <n v="0"/>
    <n v="0"/>
  </r>
  <r>
    <s v="SOUTHBAKELS (PTY) LTD"/>
    <x v="8"/>
    <x v="669"/>
    <x v="658"/>
    <x v="39"/>
    <x v="427"/>
    <x v="0"/>
    <x v="4"/>
    <x v="4"/>
    <n v="0"/>
    <n v="0"/>
  </r>
  <r>
    <s v="SOUTHBAKELS (PTY) LTD"/>
    <x v="8"/>
    <x v="669"/>
    <x v="658"/>
    <x v="39"/>
    <x v="427"/>
    <x v="0"/>
    <x v="5"/>
    <x v="5"/>
    <n v="0"/>
    <n v="0"/>
  </r>
  <r>
    <s v="SOUTHBAKELS (PTY) LTD"/>
    <x v="8"/>
    <x v="669"/>
    <x v="658"/>
    <x v="39"/>
    <x v="427"/>
    <x v="0"/>
    <x v="6"/>
    <x v="6"/>
    <n v="0"/>
    <n v="0"/>
  </r>
  <r>
    <s v="SOUTHBAKELS (PTY) LTD"/>
    <x v="8"/>
    <x v="670"/>
    <x v="659"/>
    <x v="56"/>
    <x v="449"/>
    <x v="0"/>
    <x v="0"/>
    <x v="0"/>
    <n v="0"/>
    <n v="0"/>
  </r>
  <r>
    <s v="SOUTHBAKELS (PTY) LTD"/>
    <x v="8"/>
    <x v="670"/>
    <x v="659"/>
    <x v="56"/>
    <x v="449"/>
    <x v="0"/>
    <x v="1"/>
    <x v="1"/>
    <n v="0"/>
    <n v="0"/>
  </r>
  <r>
    <s v="SOUTHBAKELS (PTY) LTD"/>
    <x v="8"/>
    <x v="670"/>
    <x v="659"/>
    <x v="56"/>
    <x v="449"/>
    <x v="0"/>
    <x v="2"/>
    <x v="2"/>
    <n v="0"/>
    <n v="0"/>
  </r>
  <r>
    <s v="SOUTHBAKELS (PTY) LTD"/>
    <x v="8"/>
    <x v="670"/>
    <x v="659"/>
    <x v="56"/>
    <x v="449"/>
    <x v="0"/>
    <x v="3"/>
    <x v="3"/>
    <n v="0"/>
    <n v="0"/>
  </r>
  <r>
    <s v="SOUTHBAKELS (PTY) LTD"/>
    <x v="8"/>
    <x v="670"/>
    <x v="659"/>
    <x v="56"/>
    <x v="449"/>
    <x v="0"/>
    <x v="4"/>
    <x v="4"/>
    <n v="0"/>
    <n v="0"/>
  </r>
  <r>
    <s v="SOUTHBAKELS (PTY) LTD"/>
    <x v="8"/>
    <x v="670"/>
    <x v="659"/>
    <x v="56"/>
    <x v="449"/>
    <x v="0"/>
    <x v="5"/>
    <x v="5"/>
    <n v="0"/>
    <n v="0"/>
  </r>
  <r>
    <s v="SOUTHBAKELS (PTY) LTD"/>
    <x v="8"/>
    <x v="670"/>
    <x v="659"/>
    <x v="56"/>
    <x v="449"/>
    <x v="0"/>
    <x v="6"/>
    <x v="6"/>
    <n v="0"/>
    <n v="0"/>
  </r>
  <r>
    <s v="AUSTRIAN PREMIX BAKING CO"/>
    <x v="8"/>
    <x v="671"/>
    <x v="660"/>
    <x v="138"/>
    <x v="450"/>
    <x v="0"/>
    <x v="0"/>
    <x v="0"/>
    <n v="0"/>
    <n v="0"/>
  </r>
  <r>
    <s v="AUSTRIAN PREMIX BAKING CO"/>
    <x v="8"/>
    <x v="671"/>
    <x v="660"/>
    <x v="138"/>
    <x v="450"/>
    <x v="0"/>
    <x v="1"/>
    <x v="1"/>
    <n v="0"/>
    <n v="0"/>
  </r>
  <r>
    <s v="AUSTRIAN PREMIX BAKING CO"/>
    <x v="8"/>
    <x v="671"/>
    <x v="660"/>
    <x v="138"/>
    <x v="450"/>
    <x v="0"/>
    <x v="2"/>
    <x v="2"/>
    <n v="0"/>
    <n v="0"/>
  </r>
  <r>
    <s v="AUSTRIAN PREMIX BAKING CO"/>
    <x v="8"/>
    <x v="671"/>
    <x v="660"/>
    <x v="138"/>
    <x v="450"/>
    <x v="0"/>
    <x v="3"/>
    <x v="3"/>
    <n v="0"/>
    <n v="0"/>
  </r>
  <r>
    <s v="AUSTRIAN PREMIX BAKING CO"/>
    <x v="8"/>
    <x v="671"/>
    <x v="660"/>
    <x v="138"/>
    <x v="450"/>
    <x v="0"/>
    <x v="4"/>
    <x v="4"/>
    <n v="0"/>
    <n v="0"/>
  </r>
  <r>
    <s v="AUSTRIAN PREMIX BAKING CO"/>
    <x v="8"/>
    <x v="671"/>
    <x v="660"/>
    <x v="138"/>
    <x v="450"/>
    <x v="0"/>
    <x v="5"/>
    <x v="5"/>
    <n v="0"/>
    <n v="0"/>
  </r>
  <r>
    <s v="AUSTRIAN PREMIX BAKING CO"/>
    <x v="8"/>
    <x v="671"/>
    <x v="660"/>
    <x v="138"/>
    <x v="450"/>
    <x v="0"/>
    <x v="6"/>
    <x v="6"/>
    <n v="0"/>
    <n v="0"/>
  </r>
  <r>
    <s v="AUSTRIAN PREMIX BAKING CO"/>
    <x v="8"/>
    <x v="672"/>
    <x v="661"/>
    <x v="165"/>
    <x v="451"/>
    <x v="0"/>
    <x v="0"/>
    <x v="0"/>
    <n v="0"/>
    <n v="0"/>
  </r>
  <r>
    <s v="AUSTRIAN PREMIX BAKING CO"/>
    <x v="8"/>
    <x v="672"/>
    <x v="661"/>
    <x v="165"/>
    <x v="451"/>
    <x v="0"/>
    <x v="1"/>
    <x v="1"/>
    <n v="0"/>
    <n v="0"/>
  </r>
  <r>
    <s v="AUSTRIAN PREMIX BAKING CO"/>
    <x v="8"/>
    <x v="672"/>
    <x v="661"/>
    <x v="165"/>
    <x v="451"/>
    <x v="0"/>
    <x v="2"/>
    <x v="2"/>
    <n v="0"/>
    <n v="0"/>
  </r>
  <r>
    <s v="AUSTRIAN PREMIX BAKING CO"/>
    <x v="8"/>
    <x v="672"/>
    <x v="661"/>
    <x v="165"/>
    <x v="451"/>
    <x v="0"/>
    <x v="3"/>
    <x v="3"/>
    <n v="0"/>
    <n v="0"/>
  </r>
  <r>
    <s v="AUSTRIAN PREMIX BAKING CO"/>
    <x v="8"/>
    <x v="672"/>
    <x v="661"/>
    <x v="165"/>
    <x v="451"/>
    <x v="0"/>
    <x v="4"/>
    <x v="4"/>
    <n v="0"/>
    <n v="0"/>
  </r>
  <r>
    <s v="AUSTRIAN PREMIX BAKING CO"/>
    <x v="8"/>
    <x v="672"/>
    <x v="661"/>
    <x v="165"/>
    <x v="451"/>
    <x v="0"/>
    <x v="5"/>
    <x v="5"/>
    <n v="0"/>
    <n v="0"/>
  </r>
  <r>
    <s v="AUSTRIAN PREMIX BAKING CO"/>
    <x v="8"/>
    <x v="672"/>
    <x v="661"/>
    <x v="165"/>
    <x v="451"/>
    <x v="0"/>
    <x v="6"/>
    <x v="6"/>
    <n v="0"/>
    <n v="0"/>
  </r>
  <r>
    <s v="AUSTRIAN PREMIX BAKING CO"/>
    <x v="8"/>
    <x v="673"/>
    <x v="662"/>
    <x v="166"/>
    <x v="452"/>
    <x v="0"/>
    <x v="0"/>
    <x v="0"/>
    <n v="0"/>
    <n v="0"/>
  </r>
  <r>
    <s v="AUSTRIAN PREMIX BAKING CO"/>
    <x v="8"/>
    <x v="673"/>
    <x v="662"/>
    <x v="166"/>
    <x v="452"/>
    <x v="0"/>
    <x v="1"/>
    <x v="1"/>
    <n v="0"/>
    <n v="0"/>
  </r>
  <r>
    <s v="AUSTRIAN PREMIX BAKING CO"/>
    <x v="8"/>
    <x v="673"/>
    <x v="662"/>
    <x v="166"/>
    <x v="452"/>
    <x v="0"/>
    <x v="2"/>
    <x v="2"/>
    <n v="0"/>
    <n v="0"/>
  </r>
  <r>
    <s v="AUSTRIAN PREMIX BAKING CO"/>
    <x v="8"/>
    <x v="673"/>
    <x v="662"/>
    <x v="166"/>
    <x v="452"/>
    <x v="0"/>
    <x v="3"/>
    <x v="3"/>
    <n v="0"/>
    <n v="0"/>
  </r>
  <r>
    <s v="AUSTRIAN PREMIX BAKING CO"/>
    <x v="8"/>
    <x v="673"/>
    <x v="662"/>
    <x v="166"/>
    <x v="452"/>
    <x v="0"/>
    <x v="4"/>
    <x v="4"/>
    <n v="0"/>
    <n v="0"/>
  </r>
  <r>
    <s v="AUSTRIAN PREMIX BAKING CO"/>
    <x v="8"/>
    <x v="673"/>
    <x v="662"/>
    <x v="166"/>
    <x v="452"/>
    <x v="0"/>
    <x v="5"/>
    <x v="5"/>
    <n v="0"/>
    <n v="0"/>
  </r>
  <r>
    <s v="AUSTRIAN PREMIX BAKING CO"/>
    <x v="8"/>
    <x v="673"/>
    <x v="662"/>
    <x v="166"/>
    <x v="452"/>
    <x v="0"/>
    <x v="6"/>
    <x v="6"/>
    <n v="0"/>
    <n v="0"/>
  </r>
  <r>
    <s v="AUSTRIAN PREMIX BAKING CO"/>
    <x v="8"/>
    <x v="674"/>
    <x v="663"/>
    <x v="166"/>
    <x v="452"/>
    <x v="0"/>
    <x v="0"/>
    <x v="0"/>
    <n v="0"/>
    <n v="0"/>
  </r>
  <r>
    <s v="AUSTRIAN PREMIX BAKING CO"/>
    <x v="8"/>
    <x v="674"/>
    <x v="663"/>
    <x v="166"/>
    <x v="452"/>
    <x v="0"/>
    <x v="1"/>
    <x v="1"/>
    <n v="0"/>
    <n v="0"/>
  </r>
  <r>
    <s v="AUSTRIAN PREMIX BAKING CO"/>
    <x v="8"/>
    <x v="674"/>
    <x v="663"/>
    <x v="166"/>
    <x v="452"/>
    <x v="0"/>
    <x v="2"/>
    <x v="2"/>
    <n v="0"/>
    <n v="0"/>
  </r>
  <r>
    <s v="AUSTRIAN PREMIX BAKING CO"/>
    <x v="8"/>
    <x v="674"/>
    <x v="663"/>
    <x v="166"/>
    <x v="452"/>
    <x v="0"/>
    <x v="3"/>
    <x v="3"/>
    <n v="0"/>
    <n v="0"/>
  </r>
  <r>
    <s v="AUSTRIAN PREMIX BAKING CO"/>
    <x v="8"/>
    <x v="674"/>
    <x v="663"/>
    <x v="166"/>
    <x v="452"/>
    <x v="0"/>
    <x v="4"/>
    <x v="4"/>
    <n v="0"/>
    <n v="0"/>
  </r>
  <r>
    <s v="AUSTRIAN PREMIX BAKING CO"/>
    <x v="8"/>
    <x v="674"/>
    <x v="663"/>
    <x v="166"/>
    <x v="452"/>
    <x v="0"/>
    <x v="5"/>
    <x v="5"/>
    <n v="0"/>
    <n v="0"/>
  </r>
  <r>
    <s v="AUSTRIAN PREMIX BAKING CO"/>
    <x v="8"/>
    <x v="674"/>
    <x v="663"/>
    <x v="166"/>
    <x v="452"/>
    <x v="0"/>
    <x v="6"/>
    <x v="6"/>
    <n v="0"/>
    <n v="0"/>
  </r>
  <r>
    <s v="AUSTRIAN PREMIX BAKING CO"/>
    <x v="8"/>
    <x v="675"/>
    <x v="664"/>
    <x v="166"/>
    <x v="452"/>
    <x v="0"/>
    <x v="0"/>
    <x v="0"/>
    <n v="0"/>
    <n v="0"/>
  </r>
  <r>
    <s v="AUSTRIAN PREMIX BAKING CO"/>
    <x v="8"/>
    <x v="675"/>
    <x v="664"/>
    <x v="166"/>
    <x v="452"/>
    <x v="0"/>
    <x v="1"/>
    <x v="1"/>
    <n v="0"/>
    <n v="0"/>
  </r>
  <r>
    <s v="AUSTRIAN PREMIX BAKING CO"/>
    <x v="8"/>
    <x v="675"/>
    <x v="664"/>
    <x v="166"/>
    <x v="452"/>
    <x v="0"/>
    <x v="2"/>
    <x v="2"/>
    <n v="0"/>
    <n v="0"/>
  </r>
  <r>
    <s v="AUSTRIAN PREMIX BAKING CO"/>
    <x v="8"/>
    <x v="675"/>
    <x v="664"/>
    <x v="166"/>
    <x v="452"/>
    <x v="0"/>
    <x v="3"/>
    <x v="3"/>
    <n v="0"/>
    <n v="0"/>
  </r>
  <r>
    <s v="AUSTRIAN PREMIX BAKING CO"/>
    <x v="8"/>
    <x v="675"/>
    <x v="664"/>
    <x v="166"/>
    <x v="452"/>
    <x v="0"/>
    <x v="4"/>
    <x v="4"/>
    <n v="0"/>
    <n v="0"/>
  </r>
  <r>
    <s v="AUSTRIAN PREMIX BAKING CO"/>
    <x v="8"/>
    <x v="675"/>
    <x v="664"/>
    <x v="166"/>
    <x v="452"/>
    <x v="0"/>
    <x v="5"/>
    <x v="5"/>
    <n v="0"/>
    <n v="0"/>
  </r>
  <r>
    <s v="AUSTRIAN PREMIX BAKING CO"/>
    <x v="8"/>
    <x v="675"/>
    <x v="664"/>
    <x v="166"/>
    <x v="452"/>
    <x v="0"/>
    <x v="6"/>
    <x v="6"/>
    <n v="0"/>
    <n v="0"/>
  </r>
  <r>
    <s v="AUSTRIAN PREMIX BAKING CO"/>
    <x v="8"/>
    <x v="676"/>
    <x v="665"/>
    <x v="166"/>
    <x v="452"/>
    <x v="0"/>
    <x v="0"/>
    <x v="0"/>
    <n v="0"/>
    <n v="0"/>
  </r>
  <r>
    <s v="AUSTRIAN PREMIX BAKING CO"/>
    <x v="8"/>
    <x v="676"/>
    <x v="665"/>
    <x v="166"/>
    <x v="452"/>
    <x v="0"/>
    <x v="1"/>
    <x v="1"/>
    <n v="0"/>
    <n v="0"/>
  </r>
  <r>
    <s v="AUSTRIAN PREMIX BAKING CO"/>
    <x v="8"/>
    <x v="676"/>
    <x v="665"/>
    <x v="166"/>
    <x v="452"/>
    <x v="0"/>
    <x v="2"/>
    <x v="2"/>
    <n v="0"/>
    <n v="0"/>
  </r>
  <r>
    <s v="AUSTRIAN PREMIX BAKING CO"/>
    <x v="8"/>
    <x v="676"/>
    <x v="665"/>
    <x v="166"/>
    <x v="452"/>
    <x v="0"/>
    <x v="3"/>
    <x v="3"/>
    <n v="0"/>
    <n v="0"/>
  </r>
  <r>
    <s v="AUSTRIAN PREMIX BAKING CO"/>
    <x v="8"/>
    <x v="676"/>
    <x v="665"/>
    <x v="166"/>
    <x v="452"/>
    <x v="0"/>
    <x v="4"/>
    <x v="4"/>
    <n v="0"/>
    <n v="0"/>
  </r>
  <r>
    <s v="AUSTRIAN PREMIX BAKING CO"/>
    <x v="8"/>
    <x v="676"/>
    <x v="665"/>
    <x v="166"/>
    <x v="452"/>
    <x v="0"/>
    <x v="5"/>
    <x v="5"/>
    <n v="0"/>
    <n v="0"/>
  </r>
  <r>
    <s v="AUSTRIAN PREMIX BAKING CO"/>
    <x v="8"/>
    <x v="676"/>
    <x v="665"/>
    <x v="166"/>
    <x v="452"/>
    <x v="0"/>
    <x v="6"/>
    <x v="6"/>
    <n v="0"/>
    <n v="0"/>
  </r>
  <r>
    <s v="AUSTRIAN PREMIX BAKING CO"/>
    <x v="8"/>
    <x v="677"/>
    <x v="666"/>
    <x v="3"/>
    <x v="453"/>
    <x v="0"/>
    <x v="0"/>
    <x v="0"/>
    <n v="0"/>
    <n v="0"/>
  </r>
  <r>
    <s v="AUSTRIAN PREMIX BAKING CO"/>
    <x v="8"/>
    <x v="677"/>
    <x v="666"/>
    <x v="3"/>
    <x v="453"/>
    <x v="0"/>
    <x v="1"/>
    <x v="1"/>
    <n v="0"/>
    <n v="0"/>
  </r>
  <r>
    <s v="AUSTRIAN PREMIX BAKING CO"/>
    <x v="8"/>
    <x v="677"/>
    <x v="666"/>
    <x v="3"/>
    <x v="453"/>
    <x v="0"/>
    <x v="2"/>
    <x v="2"/>
    <n v="0"/>
    <n v="0"/>
  </r>
  <r>
    <s v="AUSTRIAN PREMIX BAKING CO"/>
    <x v="8"/>
    <x v="677"/>
    <x v="666"/>
    <x v="3"/>
    <x v="453"/>
    <x v="0"/>
    <x v="3"/>
    <x v="3"/>
    <n v="0"/>
    <n v="0"/>
  </r>
  <r>
    <s v="AUSTRIAN PREMIX BAKING CO"/>
    <x v="8"/>
    <x v="677"/>
    <x v="666"/>
    <x v="3"/>
    <x v="453"/>
    <x v="0"/>
    <x v="4"/>
    <x v="4"/>
    <n v="0"/>
    <n v="0"/>
  </r>
  <r>
    <s v="AUSTRIAN PREMIX BAKING CO"/>
    <x v="8"/>
    <x v="677"/>
    <x v="666"/>
    <x v="3"/>
    <x v="453"/>
    <x v="0"/>
    <x v="5"/>
    <x v="5"/>
    <n v="0"/>
    <n v="0"/>
  </r>
  <r>
    <s v="AUSTRIAN PREMIX BAKING CO"/>
    <x v="8"/>
    <x v="677"/>
    <x v="666"/>
    <x v="3"/>
    <x v="453"/>
    <x v="0"/>
    <x v="6"/>
    <x v="6"/>
    <n v="0"/>
    <n v="0"/>
  </r>
  <r>
    <s v="AUSTRIAN PREMIX BAKING CO"/>
    <x v="8"/>
    <x v="678"/>
    <x v="667"/>
    <x v="160"/>
    <x v="454"/>
    <x v="0"/>
    <x v="0"/>
    <x v="0"/>
    <n v="0"/>
    <n v="0"/>
  </r>
  <r>
    <s v="AUSTRIAN PREMIX BAKING CO"/>
    <x v="8"/>
    <x v="678"/>
    <x v="667"/>
    <x v="160"/>
    <x v="454"/>
    <x v="0"/>
    <x v="1"/>
    <x v="1"/>
    <n v="0"/>
    <n v="0"/>
  </r>
  <r>
    <s v="AUSTRIAN PREMIX BAKING CO"/>
    <x v="8"/>
    <x v="678"/>
    <x v="667"/>
    <x v="160"/>
    <x v="454"/>
    <x v="0"/>
    <x v="2"/>
    <x v="2"/>
    <n v="0"/>
    <n v="0"/>
  </r>
  <r>
    <s v="AUSTRIAN PREMIX BAKING CO"/>
    <x v="8"/>
    <x v="678"/>
    <x v="667"/>
    <x v="160"/>
    <x v="454"/>
    <x v="0"/>
    <x v="3"/>
    <x v="3"/>
    <n v="0"/>
    <n v="0"/>
  </r>
  <r>
    <s v="AUSTRIAN PREMIX BAKING CO"/>
    <x v="8"/>
    <x v="678"/>
    <x v="667"/>
    <x v="160"/>
    <x v="454"/>
    <x v="0"/>
    <x v="4"/>
    <x v="4"/>
    <n v="0"/>
    <n v="0"/>
  </r>
  <r>
    <s v="AUSTRIAN PREMIX BAKING CO"/>
    <x v="8"/>
    <x v="678"/>
    <x v="667"/>
    <x v="160"/>
    <x v="454"/>
    <x v="0"/>
    <x v="5"/>
    <x v="5"/>
    <n v="0"/>
    <n v="0"/>
  </r>
  <r>
    <s v="AUSTRIAN PREMIX BAKING CO"/>
    <x v="8"/>
    <x v="678"/>
    <x v="667"/>
    <x v="160"/>
    <x v="454"/>
    <x v="0"/>
    <x v="6"/>
    <x v="6"/>
    <n v="0"/>
    <n v="0"/>
  </r>
  <r>
    <s v="AUSTRIAN PREMIX BAKING CO"/>
    <x v="8"/>
    <x v="679"/>
    <x v="668"/>
    <x v="39"/>
    <x v="455"/>
    <x v="0"/>
    <x v="0"/>
    <x v="0"/>
    <n v="0"/>
    <n v="0"/>
  </r>
  <r>
    <s v="AUSTRIAN PREMIX BAKING CO"/>
    <x v="8"/>
    <x v="679"/>
    <x v="668"/>
    <x v="39"/>
    <x v="455"/>
    <x v="0"/>
    <x v="1"/>
    <x v="1"/>
    <n v="0"/>
    <n v="0"/>
  </r>
  <r>
    <s v="AUSTRIAN PREMIX BAKING CO"/>
    <x v="8"/>
    <x v="679"/>
    <x v="668"/>
    <x v="39"/>
    <x v="455"/>
    <x v="0"/>
    <x v="2"/>
    <x v="2"/>
    <n v="0"/>
    <n v="0"/>
  </r>
  <r>
    <s v="AUSTRIAN PREMIX BAKING CO"/>
    <x v="8"/>
    <x v="679"/>
    <x v="668"/>
    <x v="39"/>
    <x v="455"/>
    <x v="0"/>
    <x v="3"/>
    <x v="3"/>
    <n v="0"/>
    <n v="0"/>
  </r>
  <r>
    <s v="AUSTRIAN PREMIX BAKING CO"/>
    <x v="8"/>
    <x v="679"/>
    <x v="668"/>
    <x v="39"/>
    <x v="455"/>
    <x v="0"/>
    <x v="4"/>
    <x v="4"/>
    <n v="0"/>
    <n v="0"/>
  </r>
  <r>
    <s v="AUSTRIAN PREMIX BAKING CO"/>
    <x v="8"/>
    <x v="679"/>
    <x v="668"/>
    <x v="39"/>
    <x v="455"/>
    <x v="0"/>
    <x v="5"/>
    <x v="5"/>
    <n v="0"/>
    <n v="0"/>
  </r>
  <r>
    <s v="AUSTRIAN PREMIX BAKING CO"/>
    <x v="8"/>
    <x v="679"/>
    <x v="668"/>
    <x v="39"/>
    <x v="455"/>
    <x v="0"/>
    <x v="6"/>
    <x v="6"/>
    <n v="0"/>
    <n v="0"/>
  </r>
  <r>
    <s v="BAKE IT EASY"/>
    <x v="8"/>
    <x v="680"/>
    <x v="669"/>
    <x v="4"/>
    <x v="447"/>
    <x v="0"/>
    <x v="0"/>
    <x v="0"/>
    <n v="0"/>
    <n v="0"/>
  </r>
  <r>
    <s v="BAKE IT EASY"/>
    <x v="8"/>
    <x v="680"/>
    <x v="669"/>
    <x v="4"/>
    <x v="447"/>
    <x v="0"/>
    <x v="1"/>
    <x v="1"/>
    <n v="0"/>
    <n v="0"/>
  </r>
  <r>
    <s v="BAKE IT EASY"/>
    <x v="8"/>
    <x v="680"/>
    <x v="669"/>
    <x v="4"/>
    <x v="447"/>
    <x v="0"/>
    <x v="2"/>
    <x v="2"/>
    <n v="0"/>
    <n v="0"/>
  </r>
  <r>
    <s v="BAKE IT EASY"/>
    <x v="8"/>
    <x v="680"/>
    <x v="669"/>
    <x v="4"/>
    <x v="447"/>
    <x v="0"/>
    <x v="3"/>
    <x v="3"/>
    <n v="0"/>
    <n v="0"/>
  </r>
  <r>
    <s v="BAKE IT EASY"/>
    <x v="8"/>
    <x v="680"/>
    <x v="669"/>
    <x v="4"/>
    <x v="447"/>
    <x v="0"/>
    <x v="4"/>
    <x v="4"/>
    <n v="0"/>
    <n v="0"/>
  </r>
  <r>
    <s v="BAKE IT EASY"/>
    <x v="8"/>
    <x v="680"/>
    <x v="669"/>
    <x v="4"/>
    <x v="447"/>
    <x v="0"/>
    <x v="5"/>
    <x v="5"/>
    <n v="0"/>
    <n v="0"/>
  </r>
  <r>
    <s v="BAKE IT EASY"/>
    <x v="8"/>
    <x v="680"/>
    <x v="669"/>
    <x v="4"/>
    <x v="447"/>
    <x v="0"/>
    <x v="6"/>
    <x v="6"/>
    <n v="0"/>
    <n v="0"/>
  </r>
  <r>
    <s v="BAKE IT EASY"/>
    <x v="8"/>
    <x v="681"/>
    <x v="670"/>
    <x v="85"/>
    <x v="456"/>
    <x v="0"/>
    <x v="0"/>
    <x v="0"/>
    <n v="0"/>
    <n v="0"/>
  </r>
  <r>
    <s v="BAKE IT EASY"/>
    <x v="8"/>
    <x v="681"/>
    <x v="670"/>
    <x v="85"/>
    <x v="456"/>
    <x v="0"/>
    <x v="1"/>
    <x v="1"/>
    <n v="0"/>
    <n v="0"/>
  </r>
  <r>
    <s v="BAKE IT EASY"/>
    <x v="8"/>
    <x v="681"/>
    <x v="670"/>
    <x v="85"/>
    <x v="456"/>
    <x v="0"/>
    <x v="2"/>
    <x v="2"/>
    <n v="0"/>
    <n v="0"/>
  </r>
  <r>
    <s v="BAKE IT EASY"/>
    <x v="8"/>
    <x v="681"/>
    <x v="670"/>
    <x v="85"/>
    <x v="456"/>
    <x v="0"/>
    <x v="3"/>
    <x v="3"/>
    <n v="0"/>
    <n v="0"/>
  </r>
  <r>
    <s v="BAKE IT EASY"/>
    <x v="8"/>
    <x v="681"/>
    <x v="670"/>
    <x v="85"/>
    <x v="456"/>
    <x v="0"/>
    <x v="4"/>
    <x v="4"/>
    <n v="0"/>
    <n v="0"/>
  </r>
  <r>
    <s v="BAKE IT EASY"/>
    <x v="8"/>
    <x v="681"/>
    <x v="670"/>
    <x v="85"/>
    <x v="456"/>
    <x v="0"/>
    <x v="5"/>
    <x v="5"/>
    <n v="0"/>
    <n v="0"/>
  </r>
  <r>
    <s v="BAKE IT EASY"/>
    <x v="8"/>
    <x v="681"/>
    <x v="670"/>
    <x v="85"/>
    <x v="456"/>
    <x v="0"/>
    <x v="6"/>
    <x v="6"/>
    <n v="0"/>
    <n v="0"/>
  </r>
  <r>
    <s v="BAKE IT EASY"/>
    <x v="8"/>
    <x v="682"/>
    <x v="671"/>
    <x v="56"/>
    <x v="457"/>
    <x v="0"/>
    <x v="0"/>
    <x v="0"/>
    <n v="0"/>
    <n v="0"/>
  </r>
  <r>
    <s v="BAKE IT EASY"/>
    <x v="8"/>
    <x v="682"/>
    <x v="671"/>
    <x v="56"/>
    <x v="457"/>
    <x v="0"/>
    <x v="1"/>
    <x v="1"/>
    <n v="0"/>
    <n v="0"/>
  </r>
  <r>
    <s v="BAKE IT EASY"/>
    <x v="8"/>
    <x v="682"/>
    <x v="671"/>
    <x v="56"/>
    <x v="457"/>
    <x v="0"/>
    <x v="2"/>
    <x v="2"/>
    <n v="0"/>
    <n v="0"/>
  </r>
  <r>
    <s v="BAKE IT EASY"/>
    <x v="8"/>
    <x v="682"/>
    <x v="671"/>
    <x v="56"/>
    <x v="457"/>
    <x v="0"/>
    <x v="3"/>
    <x v="3"/>
    <n v="0"/>
    <n v="0"/>
  </r>
  <r>
    <s v="BAKE IT EASY"/>
    <x v="8"/>
    <x v="682"/>
    <x v="671"/>
    <x v="56"/>
    <x v="457"/>
    <x v="0"/>
    <x v="4"/>
    <x v="4"/>
    <n v="0"/>
    <n v="0"/>
  </r>
  <r>
    <s v="BAKE IT EASY"/>
    <x v="8"/>
    <x v="682"/>
    <x v="671"/>
    <x v="56"/>
    <x v="457"/>
    <x v="0"/>
    <x v="5"/>
    <x v="5"/>
    <n v="0"/>
    <n v="0"/>
  </r>
  <r>
    <s v="BAKE IT EASY"/>
    <x v="8"/>
    <x v="682"/>
    <x v="671"/>
    <x v="56"/>
    <x v="457"/>
    <x v="0"/>
    <x v="6"/>
    <x v="6"/>
    <n v="0"/>
    <n v="0"/>
  </r>
  <r>
    <s v="BAKE IT EASY"/>
    <x v="8"/>
    <x v="683"/>
    <x v="672"/>
    <x v="167"/>
    <x v="458"/>
    <x v="0"/>
    <x v="0"/>
    <x v="0"/>
    <n v="0"/>
    <n v="0"/>
  </r>
  <r>
    <s v="BAKE IT EASY"/>
    <x v="8"/>
    <x v="683"/>
    <x v="672"/>
    <x v="167"/>
    <x v="458"/>
    <x v="0"/>
    <x v="1"/>
    <x v="1"/>
    <n v="0"/>
    <n v="0"/>
  </r>
  <r>
    <s v="BAKE IT EASY"/>
    <x v="8"/>
    <x v="683"/>
    <x v="672"/>
    <x v="167"/>
    <x v="458"/>
    <x v="0"/>
    <x v="2"/>
    <x v="2"/>
    <n v="0"/>
    <n v="0"/>
  </r>
  <r>
    <s v="BAKE IT EASY"/>
    <x v="8"/>
    <x v="683"/>
    <x v="672"/>
    <x v="167"/>
    <x v="458"/>
    <x v="0"/>
    <x v="3"/>
    <x v="3"/>
    <n v="0"/>
    <n v="0"/>
  </r>
  <r>
    <s v="BAKE IT EASY"/>
    <x v="8"/>
    <x v="683"/>
    <x v="672"/>
    <x v="167"/>
    <x v="458"/>
    <x v="0"/>
    <x v="4"/>
    <x v="4"/>
    <n v="0"/>
    <n v="0"/>
  </r>
  <r>
    <s v="BAKE IT EASY"/>
    <x v="8"/>
    <x v="683"/>
    <x v="672"/>
    <x v="167"/>
    <x v="458"/>
    <x v="0"/>
    <x v="5"/>
    <x v="5"/>
    <n v="0"/>
    <n v="0"/>
  </r>
  <r>
    <s v="BAKE IT EASY"/>
    <x v="8"/>
    <x v="683"/>
    <x v="672"/>
    <x v="167"/>
    <x v="458"/>
    <x v="0"/>
    <x v="6"/>
    <x v="6"/>
    <n v="0"/>
    <n v="0"/>
  </r>
  <r>
    <s v="BAKE IT EASY"/>
    <x v="8"/>
    <x v="684"/>
    <x v="673"/>
    <x v="60"/>
    <x v="459"/>
    <x v="0"/>
    <x v="0"/>
    <x v="0"/>
    <n v="0"/>
    <n v="0"/>
  </r>
  <r>
    <s v="BAKE IT EASY"/>
    <x v="8"/>
    <x v="684"/>
    <x v="673"/>
    <x v="60"/>
    <x v="459"/>
    <x v="0"/>
    <x v="1"/>
    <x v="1"/>
    <n v="0"/>
    <n v="0"/>
  </r>
  <r>
    <s v="BAKE IT EASY"/>
    <x v="8"/>
    <x v="684"/>
    <x v="673"/>
    <x v="60"/>
    <x v="459"/>
    <x v="0"/>
    <x v="2"/>
    <x v="2"/>
    <n v="0"/>
    <n v="0"/>
  </r>
  <r>
    <s v="BAKE IT EASY"/>
    <x v="8"/>
    <x v="684"/>
    <x v="673"/>
    <x v="60"/>
    <x v="459"/>
    <x v="0"/>
    <x v="3"/>
    <x v="3"/>
    <n v="0"/>
    <n v="0"/>
  </r>
  <r>
    <s v="BAKE IT EASY"/>
    <x v="8"/>
    <x v="684"/>
    <x v="673"/>
    <x v="60"/>
    <x v="459"/>
    <x v="0"/>
    <x v="4"/>
    <x v="4"/>
    <n v="0"/>
    <n v="0"/>
  </r>
  <r>
    <s v="BAKE IT EASY"/>
    <x v="8"/>
    <x v="684"/>
    <x v="673"/>
    <x v="60"/>
    <x v="459"/>
    <x v="0"/>
    <x v="5"/>
    <x v="5"/>
    <n v="0"/>
    <n v="0"/>
  </r>
  <r>
    <s v="BAKE IT EASY"/>
    <x v="8"/>
    <x v="684"/>
    <x v="673"/>
    <x v="60"/>
    <x v="459"/>
    <x v="0"/>
    <x v="6"/>
    <x v="6"/>
    <n v="0"/>
    <n v="0"/>
  </r>
  <r>
    <s v="BAKE IT EASY"/>
    <x v="8"/>
    <x v="685"/>
    <x v="674"/>
    <x v="56"/>
    <x v="460"/>
    <x v="0"/>
    <x v="0"/>
    <x v="0"/>
    <n v="0"/>
    <n v="0"/>
  </r>
  <r>
    <s v="BAKE IT EASY"/>
    <x v="8"/>
    <x v="685"/>
    <x v="674"/>
    <x v="56"/>
    <x v="460"/>
    <x v="0"/>
    <x v="1"/>
    <x v="1"/>
    <n v="0"/>
    <n v="0"/>
  </r>
  <r>
    <s v="BAKE IT EASY"/>
    <x v="8"/>
    <x v="685"/>
    <x v="674"/>
    <x v="56"/>
    <x v="460"/>
    <x v="0"/>
    <x v="2"/>
    <x v="2"/>
    <n v="0"/>
    <n v="0"/>
  </r>
  <r>
    <s v="BAKE IT EASY"/>
    <x v="8"/>
    <x v="685"/>
    <x v="674"/>
    <x v="56"/>
    <x v="460"/>
    <x v="0"/>
    <x v="3"/>
    <x v="3"/>
    <n v="0"/>
    <n v="0"/>
  </r>
  <r>
    <s v="BAKE IT EASY"/>
    <x v="8"/>
    <x v="685"/>
    <x v="674"/>
    <x v="56"/>
    <x v="460"/>
    <x v="0"/>
    <x v="4"/>
    <x v="4"/>
    <n v="0"/>
    <n v="0"/>
  </r>
  <r>
    <s v="BAKE IT EASY"/>
    <x v="8"/>
    <x v="685"/>
    <x v="674"/>
    <x v="56"/>
    <x v="460"/>
    <x v="0"/>
    <x v="5"/>
    <x v="5"/>
    <n v="0"/>
    <n v="0"/>
  </r>
  <r>
    <s v="BAKE IT EASY"/>
    <x v="8"/>
    <x v="685"/>
    <x v="674"/>
    <x v="56"/>
    <x v="460"/>
    <x v="0"/>
    <x v="6"/>
    <x v="6"/>
    <n v="0"/>
    <n v="0"/>
  </r>
  <r>
    <s v="BAKE IT EASY"/>
    <x v="8"/>
    <x v="686"/>
    <x v="675"/>
    <x v="168"/>
    <x v="461"/>
    <x v="0"/>
    <x v="0"/>
    <x v="0"/>
    <n v="0"/>
    <n v="0"/>
  </r>
  <r>
    <s v="BAKE IT EASY"/>
    <x v="8"/>
    <x v="686"/>
    <x v="675"/>
    <x v="168"/>
    <x v="461"/>
    <x v="0"/>
    <x v="1"/>
    <x v="1"/>
    <n v="0"/>
    <n v="0"/>
  </r>
  <r>
    <s v="BAKE IT EASY"/>
    <x v="8"/>
    <x v="686"/>
    <x v="675"/>
    <x v="168"/>
    <x v="461"/>
    <x v="0"/>
    <x v="2"/>
    <x v="2"/>
    <n v="0"/>
    <n v="0"/>
  </r>
  <r>
    <s v="BAKE IT EASY"/>
    <x v="8"/>
    <x v="686"/>
    <x v="675"/>
    <x v="168"/>
    <x v="461"/>
    <x v="0"/>
    <x v="3"/>
    <x v="3"/>
    <n v="0"/>
    <n v="0"/>
  </r>
  <r>
    <s v="BAKE IT EASY"/>
    <x v="8"/>
    <x v="686"/>
    <x v="675"/>
    <x v="168"/>
    <x v="461"/>
    <x v="0"/>
    <x v="4"/>
    <x v="4"/>
    <n v="0"/>
    <n v="0"/>
  </r>
  <r>
    <s v="BAKE IT EASY"/>
    <x v="8"/>
    <x v="686"/>
    <x v="675"/>
    <x v="168"/>
    <x v="461"/>
    <x v="0"/>
    <x v="5"/>
    <x v="5"/>
    <n v="0"/>
    <n v="0"/>
  </r>
  <r>
    <s v="BAKE IT EASY"/>
    <x v="8"/>
    <x v="686"/>
    <x v="675"/>
    <x v="168"/>
    <x v="461"/>
    <x v="0"/>
    <x v="6"/>
    <x v="6"/>
    <n v="0"/>
    <n v="0"/>
  </r>
  <r>
    <s v="BAKE IT EASY"/>
    <x v="8"/>
    <x v="687"/>
    <x v="676"/>
    <x v="169"/>
    <x v="462"/>
    <x v="0"/>
    <x v="0"/>
    <x v="0"/>
    <n v="0"/>
    <n v="0"/>
  </r>
  <r>
    <s v="BAKE IT EASY"/>
    <x v="8"/>
    <x v="687"/>
    <x v="676"/>
    <x v="169"/>
    <x v="462"/>
    <x v="0"/>
    <x v="1"/>
    <x v="1"/>
    <n v="0"/>
    <n v="0"/>
  </r>
  <r>
    <s v="BAKE IT EASY"/>
    <x v="8"/>
    <x v="687"/>
    <x v="676"/>
    <x v="169"/>
    <x v="462"/>
    <x v="0"/>
    <x v="2"/>
    <x v="2"/>
    <n v="0"/>
    <n v="0"/>
  </r>
  <r>
    <s v="BAKE IT EASY"/>
    <x v="8"/>
    <x v="687"/>
    <x v="676"/>
    <x v="169"/>
    <x v="462"/>
    <x v="0"/>
    <x v="3"/>
    <x v="3"/>
    <n v="0"/>
    <n v="0"/>
  </r>
  <r>
    <s v="BAKE IT EASY"/>
    <x v="8"/>
    <x v="687"/>
    <x v="676"/>
    <x v="169"/>
    <x v="462"/>
    <x v="0"/>
    <x v="4"/>
    <x v="4"/>
    <n v="0"/>
    <n v="0"/>
  </r>
  <r>
    <s v="BAKE IT EASY"/>
    <x v="8"/>
    <x v="687"/>
    <x v="676"/>
    <x v="169"/>
    <x v="462"/>
    <x v="0"/>
    <x v="5"/>
    <x v="5"/>
    <n v="0"/>
    <n v="0"/>
  </r>
  <r>
    <s v="BAKE IT EASY"/>
    <x v="8"/>
    <x v="687"/>
    <x v="676"/>
    <x v="169"/>
    <x v="462"/>
    <x v="0"/>
    <x v="6"/>
    <x v="6"/>
    <n v="0"/>
    <n v="0"/>
  </r>
  <r>
    <s v="BAKE IT EASY"/>
    <x v="8"/>
    <x v="688"/>
    <x v="677"/>
    <x v="115"/>
    <x v="463"/>
    <x v="0"/>
    <x v="0"/>
    <x v="0"/>
    <n v="0"/>
    <n v="0"/>
  </r>
  <r>
    <s v="BAKE IT EASY"/>
    <x v="8"/>
    <x v="688"/>
    <x v="677"/>
    <x v="115"/>
    <x v="463"/>
    <x v="0"/>
    <x v="1"/>
    <x v="1"/>
    <n v="0"/>
    <n v="0"/>
  </r>
  <r>
    <s v="BAKE IT EASY"/>
    <x v="8"/>
    <x v="688"/>
    <x v="677"/>
    <x v="115"/>
    <x v="463"/>
    <x v="0"/>
    <x v="2"/>
    <x v="2"/>
    <n v="0"/>
    <n v="0"/>
  </r>
  <r>
    <s v="BAKE IT EASY"/>
    <x v="8"/>
    <x v="688"/>
    <x v="677"/>
    <x v="115"/>
    <x v="463"/>
    <x v="0"/>
    <x v="3"/>
    <x v="3"/>
    <n v="0"/>
    <n v="0"/>
  </r>
  <r>
    <s v="BAKE IT EASY"/>
    <x v="8"/>
    <x v="688"/>
    <x v="677"/>
    <x v="115"/>
    <x v="463"/>
    <x v="0"/>
    <x v="4"/>
    <x v="4"/>
    <n v="0"/>
    <n v="0"/>
  </r>
  <r>
    <s v="BAKE IT EASY"/>
    <x v="8"/>
    <x v="688"/>
    <x v="677"/>
    <x v="115"/>
    <x v="463"/>
    <x v="0"/>
    <x v="5"/>
    <x v="5"/>
    <n v="0"/>
    <n v="0"/>
  </r>
  <r>
    <s v="BAKE IT EASY"/>
    <x v="8"/>
    <x v="688"/>
    <x v="677"/>
    <x v="115"/>
    <x v="463"/>
    <x v="0"/>
    <x v="6"/>
    <x v="6"/>
    <n v="0"/>
    <n v="0"/>
  </r>
  <r>
    <s v="BAKE IT EASY"/>
    <x v="8"/>
    <x v="689"/>
    <x v="678"/>
    <x v="170"/>
    <x v="464"/>
    <x v="0"/>
    <x v="0"/>
    <x v="0"/>
    <n v="0"/>
    <n v="0"/>
  </r>
  <r>
    <s v="BAKE IT EASY"/>
    <x v="8"/>
    <x v="689"/>
    <x v="678"/>
    <x v="170"/>
    <x v="464"/>
    <x v="0"/>
    <x v="1"/>
    <x v="1"/>
    <n v="0"/>
    <n v="0"/>
  </r>
  <r>
    <s v="BAKE IT EASY"/>
    <x v="8"/>
    <x v="689"/>
    <x v="678"/>
    <x v="170"/>
    <x v="464"/>
    <x v="0"/>
    <x v="2"/>
    <x v="2"/>
    <n v="0"/>
    <n v="0"/>
  </r>
  <r>
    <s v="BAKE IT EASY"/>
    <x v="8"/>
    <x v="689"/>
    <x v="678"/>
    <x v="170"/>
    <x v="464"/>
    <x v="0"/>
    <x v="3"/>
    <x v="3"/>
    <n v="0"/>
    <n v="0"/>
  </r>
  <r>
    <s v="BAKE IT EASY"/>
    <x v="8"/>
    <x v="689"/>
    <x v="678"/>
    <x v="170"/>
    <x v="464"/>
    <x v="0"/>
    <x v="4"/>
    <x v="4"/>
    <n v="0"/>
    <n v="0"/>
  </r>
  <r>
    <s v="BAKE IT EASY"/>
    <x v="8"/>
    <x v="689"/>
    <x v="678"/>
    <x v="170"/>
    <x v="464"/>
    <x v="0"/>
    <x v="5"/>
    <x v="5"/>
    <n v="0"/>
    <n v="0"/>
  </r>
  <r>
    <s v="BAKE IT EASY"/>
    <x v="8"/>
    <x v="689"/>
    <x v="678"/>
    <x v="170"/>
    <x v="464"/>
    <x v="0"/>
    <x v="6"/>
    <x v="6"/>
    <n v="0"/>
    <n v="0"/>
  </r>
  <r>
    <s v="BAKE IT EASY"/>
    <x v="8"/>
    <x v="690"/>
    <x v="679"/>
    <x v="171"/>
    <x v="465"/>
    <x v="0"/>
    <x v="0"/>
    <x v="0"/>
    <n v="0"/>
    <n v="0"/>
  </r>
  <r>
    <s v="BAKE IT EASY"/>
    <x v="8"/>
    <x v="690"/>
    <x v="679"/>
    <x v="171"/>
    <x v="465"/>
    <x v="0"/>
    <x v="1"/>
    <x v="1"/>
    <n v="0"/>
    <n v="0"/>
  </r>
  <r>
    <s v="BAKE IT EASY"/>
    <x v="8"/>
    <x v="690"/>
    <x v="679"/>
    <x v="171"/>
    <x v="465"/>
    <x v="0"/>
    <x v="2"/>
    <x v="2"/>
    <n v="0"/>
    <n v="0"/>
  </r>
  <r>
    <s v="BAKE IT EASY"/>
    <x v="8"/>
    <x v="690"/>
    <x v="679"/>
    <x v="171"/>
    <x v="465"/>
    <x v="0"/>
    <x v="3"/>
    <x v="3"/>
    <n v="0"/>
    <n v="0"/>
  </r>
  <r>
    <s v="BAKE IT EASY"/>
    <x v="8"/>
    <x v="690"/>
    <x v="679"/>
    <x v="171"/>
    <x v="465"/>
    <x v="0"/>
    <x v="4"/>
    <x v="4"/>
    <n v="0"/>
    <n v="0"/>
  </r>
  <r>
    <s v="BAKE IT EASY"/>
    <x v="8"/>
    <x v="690"/>
    <x v="679"/>
    <x v="171"/>
    <x v="465"/>
    <x v="0"/>
    <x v="5"/>
    <x v="5"/>
    <n v="0"/>
    <n v="0"/>
  </r>
  <r>
    <s v="BAKE IT EASY"/>
    <x v="8"/>
    <x v="690"/>
    <x v="679"/>
    <x v="171"/>
    <x v="465"/>
    <x v="0"/>
    <x v="6"/>
    <x v="6"/>
    <n v="0"/>
    <n v="0"/>
  </r>
  <r>
    <s v="BAKE IT EASY"/>
    <x v="8"/>
    <x v="691"/>
    <x v="680"/>
    <x v="172"/>
    <x v="466"/>
    <x v="0"/>
    <x v="0"/>
    <x v="0"/>
    <n v="0"/>
    <n v="0"/>
  </r>
  <r>
    <s v="BAKE IT EASY"/>
    <x v="8"/>
    <x v="691"/>
    <x v="680"/>
    <x v="172"/>
    <x v="466"/>
    <x v="0"/>
    <x v="1"/>
    <x v="1"/>
    <n v="0"/>
    <n v="0"/>
  </r>
  <r>
    <s v="BAKE IT EASY"/>
    <x v="8"/>
    <x v="691"/>
    <x v="680"/>
    <x v="172"/>
    <x v="466"/>
    <x v="0"/>
    <x v="2"/>
    <x v="2"/>
    <n v="0"/>
    <n v="0"/>
  </r>
  <r>
    <s v="BAKE IT EASY"/>
    <x v="8"/>
    <x v="691"/>
    <x v="680"/>
    <x v="172"/>
    <x v="466"/>
    <x v="0"/>
    <x v="3"/>
    <x v="3"/>
    <n v="0"/>
    <n v="0"/>
  </r>
  <r>
    <s v="BAKE IT EASY"/>
    <x v="8"/>
    <x v="691"/>
    <x v="680"/>
    <x v="172"/>
    <x v="466"/>
    <x v="0"/>
    <x v="4"/>
    <x v="4"/>
    <n v="0"/>
    <n v="0"/>
  </r>
  <r>
    <s v="BAKE IT EASY"/>
    <x v="8"/>
    <x v="691"/>
    <x v="680"/>
    <x v="172"/>
    <x v="466"/>
    <x v="0"/>
    <x v="5"/>
    <x v="5"/>
    <n v="0"/>
    <n v="0"/>
  </r>
  <r>
    <s v="BAKE IT EASY"/>
    <x v="8"/>
    <x v="691"/>
    <x v="680"/>
    <x v="172"/>
    <x v="466"/>
    <x v="0"/>
    <x v="6"/>
    <x v="6"/>
    <n v="0"/>
    <n v="0"/>
  </r>
  <r>
    <s v="CHIPKINS PURATOS (BIDVEST SOL)"/>
    <x v="11"/>
    <x v="692"/>
    <x v="681"/>
    <x v="5"/>
    <x v="467"/>
    <x v="0"/>
    <x v="0"/>
    <x v="0"/>
    <n v="0"/>
    <n v="0"/>
  </r>
  <r>
    <s v="CHIPKINS PURATOS (BIDVEST SOL)"/>
    <x v="11"/>
    <x v="692"/>
    <x v="681"/>
    <x v="5"/>
    <x v="467"/>
    <x v="0"/>
    <x v="1"/>
    <x v="1"/>
    <n v="0"/>
    <n v="0"/>
  </r>
  <r>
    <s v="CHIPKINS PURATOS (BIDVEST SOL)"/>
    <x v="11"/>
    <x v="692"/>
    <x v="681"/>
    <x v="5"/>
    <x v="467"/>
    <x v="0"/>
    <x v="2"/>
    <x v="2"/>
    <n v="0"/>
    <n v="0"/>
  </r>
  <r>
    <s v="CHIPKINS PURATOS (BIDVEST SOL)"/>
    <x v="11"/>
    <x v="692"/>
    <x v="681"/>
    <x v="5"/>
    <x v="467"/>
    <x v="0"/>
    <x v="3"/>
    <x v="3"/>
    <n v="0"/>
    <n v="0"/>
  </r>
  <r>
    <s v="CHIPKINS PURATOS (BIDVEST SOL)"/>
    <x v="11"/>
    <x v="692"/>
    <x v="681"/>
    <x v="5"/>
    <x v="467"/>
    <x v="0"/>
    <x v="4"/>
    <x v="4"/>
    <n v="0"/>
    <n v="0"/>
  </r>
  <r>
    <s v="ROSSOUW D"/>
    <x v="11"/>
    <x v="693"/>
    <x v="682"/>
    <x v="173"/>
    <x v="468"/>
    <x v="0"/>
    <x v="0"/>
    <x v="0"/>
    <n v="0"/>
    <n v="0"/>
  </r>
  <r>
    <s v="ROSSOUW D"/>
    <x v="11"/>
    <x v="693"/>
    <x v="682"/>
    <x v="173"/>
    <x v="468"/>
    <x v="0"/>
    <x v="1"/>
    <x v="1"/>
    <n v="0"/>
    <n v="0"/>
  </r>
  <r>
    <s v="ROSSOUW D"/>
    <x v="11"/>
    <x v="693"/>
    <x v="682"/>
    <x v="173"/>
    <x v="468"/>
    <x v="0"/>
    <x v="2"/>
    <x v="2"/>
    <n v="0"/>
    <n v="0"/>
  </r>
  <r>
    <s v="ROSSOUW D"/>
    <x v="11"/>
    <x v="693"/>
    <x v="682"/>
    <x v="173"/>
    <x v="468"/>
    <x v="0"/>
    <x v="3"/>
    <x v="3"/>
    <n v="0"/>
    <n v="0"/>
  </r>
  <r>
    <s v="ROSSOUW D"/>
    <x v="11"/>
    <x v="693"/>
    <x v="682"/>
    <x v="173"/>
    <x v="468"/>
    <x v="0"/>
    <x v="5"/>
    <x v="5"/>
    <n v="0"/>
    <n v="0"/>
  </r>
  <r>
    <s v="ROSSOUW D"/>
    <x v="11"/>
    <x v="694"/>
    <x v="683"/>
    <x v="97"/>
    <x v="308"/>
    <x v="0"/>
    <x v="0"/>
    <x v="0"/>
    <n v="0"/>
    <n v="0"/>
  </r>
  <r>
    <s v="ROSSOUW D"/>
    <x v="11"/>
    <x v="695"/>
    <x v="684"/>
    <x v="174"/>
    <x v="469"/>
    <x v="0"/>
    <x v="0"/>
    <x v="0"/>
    <n v="0"/>
    <n v="0"/>
  </r>
  <r>
    <s v="RICH PRODUCTS"/>
    <x v="11"/>
    <x v="696"/>
    <x v="685"/>
    <x v="175"/>
    <x v="470"/>
    <x v="0"/>
    <x v="0"/>
    <x v="0"/>
    <n v="0"/>
    <n v="0"/>
  </r>
  <r>
    <s v="RICH PRODUCTS"/>
    <x v="11"/>
    <x v="696"/>
    <x v="685"/>
    <x v="175"/>
    <x v="470"/>
    <x v="0"/>
    <x v="1"/>
    <x v="1"/>
    <n v="0"/>
    <n v="0"/>
  </r>
  <r>
    <s v="RICH PRODUCTS"/>
    <x v="11"/>
    <x v="696"/>
    <x v="685"/>
    <x v="175"/>
    <x v="470"/>
    <x v="0"/>
    <x v="2"/>
    <x v="2"/>
    <n v="0"/>
    <n v="0"/>
  </r>
  <r>
    <s v="RICH PRODUCTS"/>
    <x v="11"/>
    <x v="696"/>
    <x v="685"/>
    <x v="175"/>
    <x v="470"/>
    <x v="0"/>
    <x v="3"/>
    <x v="3"/>
    <n v="0"/>
    <n v="0"/>
  </r>
  <r>
    <s v="RICH PRODUCTS"/>
    <x v="11"/>
    <x v="696"/>
    <x v="685"/>
    <x v="175"/>
    <x v="470"/>
    <x v="0"/>
    <x v="4"/>
    <x v="4"/>
    <n v="0"/>
    <n v="0"/>
  </r>
  <r>
    <s v="RICH PRODUCTS"/>
    <x v="11"/>
    <x v="696"/>
    <x v="685"/>
    <x v="175"/>
    <x v="470"/>
    <x v="0"/>
    <x v="5"/>
    <x v="5"/>
    <n v="0"/>
    <n v="0"/>
  </r>
  <r>
    <s v="RICH PRODUCTS"/>
    <x v="11"/>
    <x v="696"/>
    <x v="685"/>
    <x v="175"/>
    <x v="470"/>
    <x v="0"/>
    <x v="6"/>
    <x v="6"/>
    <n v="0"/>
    <n v="0"/>
  </r>
  <r>
    <s v="HMR"/>
    <x v="11"/>
    <x v="697"/>
    <x v="686"/>
    <x v="25"/>
    <x v="471"/>
    <x v="0"/>
    <x v="0"/>
    <x v="0"/>
    <n v="0"/>
    <n v="0"/>
  </r>
  <r>
    <s v="HMR"/>
    <x v="11"/>
    <x v="697"/>
    <x v="686"/>
    <x v="25"/>
    <x v="471"/>
    <x v="0"/>
    <x v="1"/>
    <x v="1"/>
    <n v="0"/>
    <n v="0"/>
  </r>
  <r>
    <s v="HMR"/>
    <x v="11"/>
    <x v="697"/>
    <x v="686"/>
    <x v="25"/>
    <x v="471"/>
    <x v="0"/>
    <x v="2"/>
    <x v="2"/>
    <n v="0"/>
    <n v="0"/>
  </r>
  <r>
    <s v="HMR"/>
    <x v="11"/>
    <x v="697"/>
    <x v="686"/>
    <x v="25"/>
    <x v="471"/>
    <x v="0"/>
    <x v="3"/>
    <x v="3"/>
    <n v="0"/>
    <n v="0"/>
  </r>
  <r>
    <s v="HMR"/>
    <x v="11"/>
    <x v="697"/>
    <x v="686"/>
    <x v="25"/>
    <x v="471"/>
    <x v="0"/>
    <x v="4"/>
    <x v="4"/>
    <n v="0"/>
    <n v="0"/>
  </r>
  <r>
    <s v="HMR"/>
    <x v="11"/>
    <x v="697"/>
    <x v="686"/>
    <x v="25"/>
    <x v="471"/>
    <x v="0"/>
    <x v="5"/>
    <x v="5"/>
    <n v="0"/>
    <n v="0"/>
  </r>
  <r>
    <s v="HMR"/>
    <x v="11"/>
    <x v="697"/>
    <x v="686"/>
    <x v="25"/>
    <x v="471"/>
    <x v="0"/>
    <x v="6"/>
    <x v="6"/>
    <n v="0"/>
    <n v="0"/>
  </r>
  <r>
    <s v="GOOSEBUMPS DISTR.(BREAD STOP)"/>
    <x v="11"/>
    <x v="698"/>
    <x v="687"/>
    <x v="23"/>
    <x v="472"/>
    <x v="0"/>
    <x v="0"/>
    <x v="0"/>
    <n v="0"/>
    <n v="0"/>
  </r>
  <r>
    <s v="GOOSEBUMPS DISTR.(BREAD STOP)"/>
    <x v="11"/>
    <x v="698"/>
    <x v="687"/>
    <x v="23"/>
    <x v="472"/>
    <x v="0"/>
    <x v="1"/>
    <x v="1"/>
    <n v="0"/>
    <n v="0"/>
  </r>
  <r>
    <s v="GOOSEBUMPS DISTR.(BREAD STOP)"/>
    <x v="11"/>
    <x v="698"/>
    <x v="687"/>
    <x v="23"/>
    <x v="472"/>
    <x v="0"/>
    <x v="2"/>
    <x v="2"/>
    <n v="0"/>
    <n v="0"/>
  </r>
  <r>
    <s v="GOOSEBUMPS DISTR.(BREAD STOP)"/>
    <x v="11"/>
    <x v="698"/>
    <x v="687"/>
    <x v="23"/>
    <x v="472"/>
    <x v="0"/>
    <x v="3"/>
    <x v="3"/>
    <n v="0"/>
    <n v="0"/>
  </r>
  <r>
    <s v="GOOSEBUMPS DISTR.(BREAD STOP)"/>
    <x v="11"/>
    <x v="698"/>
    <x v="687"/>
    <x v="23"/>
    <x v="472"/>
    <x v="0"/>
    <x v="4"/>
    <x v="4"/>
    <n v="0"/>
    <n v="0"/>
  </r>
  <r>
    <s v="GOOSEBUMPS DISTR.(BREAD STOP)"/>
    <x v="11"/>
    <x v="698"/>
    <x v="687"/>
    <x v="23"/>
    <x v="472"/>
    <x v="0"/>
    <x v="5"/>
    <x v="5"/>
    <n v="0"/>
    <n v="0"/>
  </r>
  <r>
    <s v="GOOSEBUMPS DISTR.(BREAD STOP)"/>
    <x v="11"/>
    <x v="698"/>
    <x v="687"/>
    <x v="23"/>
    <x v="472"/>
    <x v="0"/>
    <x v="6"/>
    <x v="6"/>
    <n v="0"/>
    <n v="0"/>
  </r>
  <r>
    <s v="GOOSEBUMPS DISTR.(BREAD STOP)"/>
    <x v="11"/>
    <x v="699"/>
    <x v="688"/>
    <x v="23"/>
    <x v="472"/>
    <x v="0"/>
    <x v="0"/>
    <x v="0"/>
    <n v="0"/>
    <n v="0"/>
  </r>
  <r>
    <s v="GOOSEBUMPS DISTR.(BREAD STOP)"/>
    <x v="11"/>
    <x v="699"/>
    <x v="688"/>
    <x v="23"/>
    <x v="472"/>
    <x v="0"/>
    <x v="1"/>
    <x v="1"/>
    <n v="0"/>
    <n v="0"/>
  </r>
  <r>
    <s v="GOOSEBUMPS DISTR.(BREAD STOP)"/>
    <x v="11"/>
    <x v="699"/>
    <x v="688"/>
    <x v="23"/>
    <x v="472"/>
    <x v="0"/>
    <x v="2"/>
    <x v="2"/>
    <n v="0"/>
    <n v="0"/>
  </r>
  <r>
    <s v="GOOSEBUMPS DISTR.(BREAD STOP)"/>
    <x v="11"/>
    <x v="699"/>
    <x v="688"/>
    <x v="23"/>
    <x v="472"/>
    <x v="0"/>
    <x v="3"/>
    <x v="3"/>
    <n v="0"/>
    <n v="0"/>
  </r>
  <r>
    <s v="GOOSEBUMPS DISTR.(BREAD STOP)"/>
    <x v="11"/>
    <x v="699"/>
    <x v="688"/>
    <x v="23"/>
    <x v="472"/>
    <x v="0"/>
    <x v="4"/>
    <x v="4"/>
    <n v="0"/>
    <n v="0"/>
  </r>
  <r>
    <s v="GOOSEBUMPS DISTR.(BREAD STOP)"/>
    <x v="11"/>
    <x v="699"/>
    <x v="688"/>
    <x v="23"/>
    <x v="472"/>
    <x v="0"/>
    <x v="5"/>
    <x v="5"/>
    <n v="0"/>
    <n v="0"/>
  </r>
  <r>
    <s v="GOOSEBUMPS DISTR.(BREAD STOP)"/>
    <x v="11"/>
    <x v="699"/>
    <x v="688"/>
    <x v="23"/>
    <x v="472"/>
    <x v="0"/>
    <x v="6"/>
    <x v="6"/>
    <n v="0"/>
    <n v="0"/>
  </r>
  <r>
    <s v="GOOSEBUMPS DISTR.(BREAD STOP)"/>
    <x v="11"/>
    <x v="700"/>
    <x v="689"/>
    <x v="23"/>
    <x v="473"/>
    <x v="0"/>
    <x v="0"/>
    <x v="0"/>
    <n v="0"/>
    <n v="0"/>
  </r>
  <r>
    <s v="GOOSEBUMPS DISTR.(BREAD STOP)"/>
    <x v="11"/>
    <x v="700"/>
    <x v="689"/>
    <x v="23"/>
    <x v="473"/>
    <x v="0"/>
    <x v="1"/>
    <x v="1"/>
    <n v="0"/>
    <n v="0"/>
  </r>
  <r>
    <s v="GOOSEBUMPS DISTR.(BREAD STOP)"/>
    <x v="11"/>
    <x v="700"/>
    <x v="689"/>
    <x v="23"/>
    <x v="473"/>
    <x v="0"/>
    <x v="2"/>
    <x v="2"/>
    <n v="0"/>
    <n v="0"/>
  </r>
  <r>
    <s v="GOOSEBUMPS DISTR.(BREAD STOP)"/>
    <x v="11"/>
    <x v="700"/>
    <x v="689"/>
    <x v="23"/>
    <x v="473"/>
    <x v="0"/>
    <x v="3"/>
    <x v="3"/>
    <n v="0"/>
    <n v="0"/>
  </r>
  <r>
    <s v="GOOSEBUMPS DISTR.(BREAD STOP)"/>
    <x v="11"/>
    <x v="700"/>
    <x v="689"/>
    <x v="23"/>
    <x v="473"/>
    <x v="0"/>
    <x v="4"/>
    <x v="4"/>
    <n v="0"/>
    <n v="0"/>
  </r>
  <r>
    <s v="GOOSEBUMPS DISTR.(BREAD STOP)"/>
    <x v="11"/>
    <x v="700"/>
    <x v="689"/>
    <x v="23"/>
    <x v="473"/>
    <x v="0"/>
    <x v="5"/>
    <x v="5"/>
    <n v="0"/>
    <n v="0"/>
  </r>
  <r>
    <s v="GOOSEBUMPS DISTR.(BREAD STOP)"/>
    <x v="11"/>
    <x v="700"/>
    <x v="689"/>
    <x v="23"/>
    <x v="473"/>
    <x v="0"/>
    <x v="6"/>
    <x v="6"/>
    <n v="0"/>
    <n v="0"/>
  </r>
  <r>
    <s v="GOOSEBUMPS DISTR.(BREAD STOP)"/>
    <x v="11"/>
    <x v="701"/>
    <x v="690"/>
    <x v="23"/>
    <x v="473"/>
    <x v="0"/>
    <x v="0"/>
    <x v="0"/>
    <n v="0"/>
    <n v="0"/>
  </r>
  <r>
    <s v="GOOSEBUMPS DISTR.(BREAD STOP)"/>
    <x v="11"/>
    <x v="701"/>
    <x v="690"/>
    <x v="23"/>
    <x v="473"/>
    <x v="0"/>
    <x v="1"/>
    <x v="1"/>
    <n v="0"/>
    <n v="0"/>
  </r>
  <r>
    <s v="GOOSEBUMPS DISTR.(BREAD STOP)"/>
    <x v="11"/>
    <x v="701"/>
    <x v="690"/>
    <x v="23"/>
    <x v="473"/>
    <x v="0"/>
    <x v="2"/>
    <x v="2"/>
    <n v="0"/>
    <n v="0"/>
  </r>
  <r>
    <s v="GOOSEBUMPS DISTR.(BREAD STOP)"/>
    <x v="11"/>
    <x v="701"/>
    <x v="690"/>
    <x v="23"/>
    <x v="473"/>
    <x v="0"/>
    <x v="3"/>
    <x v="3"/>
    <n v="0"/>
    <n v="0"/>
  </r>
  <r>
    <s v="GOOSEBUMPS DISTR.(BREAD STOP)"/>
    <x v="11"/>
    <x v="701"/>
    <x v="690"/>
    <x v="23"/>
    <x v="473"/>
    <x v="0"/>
    <x v="4"/>
    <x v="4"/>
    <n v="0"/>
    <n v="0"/>
  </r>
  <r>
    <s v="GOOSEBUMPS DISTR.(BREAD STOP)"/>
    <x v="11"/>
    <x v="701"/>
    <x v="690"/>
    <x v="23"/>
    <x v="473"/>
    <x v="0"/>
    <x v="5"/>
    <x v="5"/>
    <n v="0"/>
    <n v="0"/>
  </r>
  <r>
    <s v="GOOSEBUMPS DISTR.(BREAD STOP)"/>
    <x v="11"/>
    <x v="701"/>
    <x v="690"/>
    <x v="23"/>
    <x v="473"/>
    <x v="0"/>
    <x v="6"/>
    <x v="6"/>
    <n v="0"/>
    <n v="0"/>
  </r>
  <r>
    <s v="GOOSEBUMPS DISTR.(BREAD STOP)"/>
    <x v="11"/>
    <x v="702"/>
    <x v="691"/>
    <x v="23"/>
    <x v="473"/>
    <x v="0"/>
    <x v="0"/>
    <x v="0"/>
    <n v="0"/>
    <n v="0"/>
  </r>
  <r>
    <s v="GOOSEBUMPS DISTR.(BREAD STOP)"/>
    <x v="11"/>
    <x v="702"/>
    <x v="691"/>
    <x v="23"/>
    <x v="473"/>
    <x v="0"/>
    <x v="1"/>
    <x v="1"/>
    <n v="0"/>
    <n v="0"/>
  </r>
  <r>
    <s v="GOOSEBUMPS DISTR.(BREAD STOP)"/>
    <x v="11"/>
    <x v="702"/>
    <x v="691"/>
    <x v="23"/>
    <x v="473"/>
    <x v="0"/>
    <x v="2"/>
    <x v="2"/>
    <n v="0"/>
    <n v="0"/>
  </r>
  <r>
    <s v="GOOSEBUMPS DISTR.(BREAD STOP)"/>
    <x v="11"/>
    <x v="702"/>
    <x v="691"/>
    <x v="23"/>
    <x v="473"/>
    <x v="0"/>
    <x v="3"/>
    <x v="3"/>
    <n v="0"/>
    <n v="0"/>
  </r>
  <r>
    <s v="GOOSEBUMPS DISTR.(BREAD STOP)"/>
    <x v="11"/>
    <x v="702"/>
    <x v="691"/>
    <x v="23"/>
    <x v="473"/>
    <x v="0"/>
    <x v="4"/>
    <x v="4"/>
    <n v="0"/>
    <n v="0"/>
  </r>
  <r>
    <s v="GOOSEBUMPS DISTR.(BREAD STOP)"/>
    <x v="11"/>
    <x v="702"/>
    <x v="691"/>
    <x v="23"/>
    <x v="473"/>
    <x v="0"/>
    <x v="5"/>
    <x v="5"/>
    <n v="0"/>
    <n v="0"/>
  </r>
  <r>
    <s v="GOOSEBUMPS DISTR.(BREAD STOP)"/>
    <x v="11"/>
    <x v="702"/>
    <x v="691"/>
    <x v="23"/>
    <x v="473"/>
    <x v="0"/>
    <x v="6"/>
    <x v="6"/>
    <n v="0"/>
    <n v="0"/>
  </r>
  <r>
    <s v="ROSSOUW D"/>
    <x v="11"/>
    <x v="703"/>
    <x v="692"/>
    <x v="115"/>
    <x v="474"/>
    <x v="0"/>
    <x v="1"/>
    <x v="1"/>
    <n v="0"/>
    <n v="0"/>
  </r>
  <r>
    <s v="ROSSOUW D"/>
    <x v="11"/>
    <x v="703"/>
    <x v="692"/>
    <x v="115"/>
    <x v="474"/>
    <x v="0"/>
    <x v="2"/>
    <x v="2"/>
    <n v="0"/>
    <n v="0"/>
  </r>
  <r>
    <s v="ROSSOUW D"/>
    <x v="11"/>
    <x v="703"/>
    <x v="692"/>
    <x v="115"/>
    <x v="474"/>
    <x v="0"/>
    <x v="3"/>
    <x v="3"/>
    <n v="0"/>
    <n v="0"/>
  </r>
  <r>
    <s v="ROSSOUW D"/>
    <x v="11"/>
    <x v="703"/>
    <x v="692"/>
    <x v="115"/>
    <x v="474"/>
    <x v="0"/>
    <x v="4"/>
    <x v="4"/>
    <n v="0"/>
    <n v="0"/>
  </r>
  <r>
    <s v="ROSSOUW D"/>
    <x v="11"/>
    <x v="703"/>
    <x v="692"/>
    <x v="115"/>
    <x v="474"/>
    <x v="0"/>
    <x v="5"/>
    <x v="5"/>
    <n v="0"/>
    <n v="0"/>
  </r>
  <r>
    <s v="ROSSOUW D"/>
    <x v="11"/>
    <x v="703"/>
    <x v="692"/>
    <x v="115"/>
    <x v="474"/>
    <x v="0"/>
    <x v="6"/>
    <x v="6"/>
    <n v="0"/>
    <n v="0"/>
  </r>
  <r>
    <s v="HMR"/>
    <x v="11"/>
    <x v="704"/>
    <x v="693"/>
    <x v="84"/>
    <x v="475"/>
    <x v="0"/>
    <x v="0"/>
    <x v="0"/>
    <n v="0"/>
    <n v="0"/>
  </r>
  <r>
    <s v="HMR"/>
    <x v="11"/>
    <x v="704"/>
    <x v="693"/>
    <x v="84"/>
    <x v="475"/>
    <x v="0"/>
    <x v="2"/>
    <x v="2"/>
    <n v="0"/>
    <n v="0"/>
  </r>
  <r>
    <s v="HMR"/>
    <x v="11"/>
    <x v="704"/>
    <x v="693"/>
    <x v="84"/>
    <x v="475"/>
    <x v="0"/>
    <x v="3"/>
    <x v="3"/>
    <n v="0"/>
    <n v="0"/>
  </r>
  <r>
    <s v="HMR"/>
    <x v="11"/>
    <x v="704"/>
    <x v="693"/>
    <x v="84"/>
    <x v="475"/>
    <x v="0"/>
    <x v="5"/>
    <x v="5"/>
    <n v="0"/>
    <n v="0"/>
  </r>
  <r>
    <s v="HMR"/>
    <x v="11"/>
    <x v="704"/>
    <x v="693"/>
    <x v="84"/>
    <x v="475"/>
    <x v="0"/>
    <x v="6"/>
    <x v="6"/>
    <n v="0"/>
    <n v="0"/>
  </r>
  <r>
    <s v="HMR"/>
    <x v="11"/>
    <x v="705"/>
    <x v="694"/>
    <x v="84"/>
    <x v="475"/>
    <x v="0"/>
    <x v="1"/>
    <x v="1"/>
    <n v="0"/>
    <n v="0"/>
  </r>
  <r>
    <s v="HMR"/>
    <x v="11"/>
    <x v="705"/>
    <x v="694"/>
    <x v="84"/>
    <x v="475"/>
    <x v="0"/>
    <x v="2"/>
    <x v="2"/>
    <n v="0"/>
    <n v="0"/>
  </r>
  <r>
    <s v="HMR"/>
    <x v="11"/>
    <x v="705"/>
    <x v="694"/>
    <x v="84"/>
    <x v="475"/>
    <x v="0"/>
    <x v="3"/>
    <x v="3"/>
    <n v="0"/>
    <n v="0"/>
  </r>
  <r>
    <s v="HMR"/>
    <x v="11"/>
    <x v="705"/>
    <x v="694"/>
    <x v="84"/>
    <x v="475"/>
    <x v="0"/>
    <x v="6"/>
    <x v="6"/>
    <n v="0"/>
    <n v="0"/>
  </r>
  <r>
    <s v="GOOSEBUMPS DISTR.(BREAD STOP)"/>
    <x v="11"/>
    <x v="706"/>
    <x v="695"/>
    <x v="176"/>
    <x v="476"/>
    <x v="0"/>
    <x v="0"/>
    <x v="0"/>
    <n v="0"/>
    <n v="0"/>
  </r>
  <r>
    <s v="GOOSEBUMPS DISTR.(BREAD STOP)"/>
    <x v="11"/>
    <x v="706"/>
    <x v="695"/>
    <x v="176"/>
    <x v="476"/>
    <x v="0"/>
    <x v="1"/>
    <x v="1"/>
    <n v="0"/>
    <n v="0"/>
  </r>
  <r>
    <s v="GOOSEBUMPS DISTR.(BREAD STOP)"/>
    <x v="11"/>
    <x v="706"/>
    <x v="695"/>
    <x v="176"/>
    <x v="476"/>
    <x v="0"/>
    <x v="2"/>
    <x v="2"/>
    <n v="0"/>
    <n v="0"/>
  </r>
  <r>
    <s v="GOOSEBUMPS DISTR.(BREAD STOP)"/>
    <x v="11"/>
    <x v="706"/>
    <x v="695"/>
    <x v="176"/>
    <x v="476"/>
    <x v="0"/>
    <x v="3"/>
    <x v="3"/>
    <n v="0"/>
    <n v="0"/>
  </r>
  <r>
    <s v="GOOSEBUMPS DISTR.(BREAD STOP)"/>
    <x v="11"/>
    <x v="706"/>
    <x v="695"/>
    <x v="176"/>
    <x v="476"/>
    <x v="0"/>
    <x v="4"/>
    <x v="4"/>
    <n v="0"/>
    <n v="0"/>
  </r>
  <r>
    <s v="GOOSEBUMPS DISTR.(BREAD STOP)"/>
    <x v="11"/>
    <x v="706"/>
    <x v="695"/>
    <x v="176"/>
    <x v="476"/>
    <x v="0"/>
    <x v="5"/>
    <x v="5"/>
    <n v="0"/>
    <n v="0"/>
  </r>
  <r>
    <s v="GOOSEBUMPS DISTR.(BREAD STOP)"/>
    <x v="11"/>
    <x v="706"/>
    <x v="695"/>
    <x v="176"/>
    <x v="476"/>
    <x v="0"/>
    <x v="6"/>
    <x v="6"/>
    <n v="0"/>
    <n v="0"/>
  </r>
  <r>
    <s v="HMR"/>
    <x v="11"/>
    <x v="707"/>
    <x v="696"/>
    <x v="84"/>
    <x v="475"/>
    <x v="0"/>
    <x v="0"/>
    <x v="0"/>
    <n v="0"/>
    <n v="0"/>
  </r>
  <r>
    <s v="HMR"/>
    <x v="11"/>
    <x v="707"/>
    <x v="696"/>
    <x v="84"/>
    <x v="475"/>
    <x v="0"/>
    <x v="2"/>
    <x v="2"/>
    <n v="0"/>
    <n v="0"/>
  </r>
  <r>
    <s v="HMR"/>
    <x v="11"/>
    <x v="707"/>
    <x v="696"/>
    <x v="84"/>
    <x v="475"/>
    <x v="0"/>
    <x v="3"/>
    <x v="3"/>
    <n v="0"/>
    <n v="0"/>
  </r>
  <r>
    <s v="HMR"/>
    <x v="11"/>
    <x v="707"/>
    <x v="696"/>
    <x v="84"/>
    <x v="475"/>
    <x v="0"/>
    <x v="4"/>
    <x v="4"/>
    <n v="0"/>
    <n v="0"/>
  </r>
  <r>
    <s v="HMR"/>
    <x v="11"/>
    <x v="707"/>
    <x v="696"/>
    <x v="84"/>
    <x v="475"/>
    <x v="0"/>
    <x v="5"/>
    <x v="5"/>
    <n v="0"/>
    <n v="0"/>
  </r>
  <r>
    <s v="HMR"/>
    <x v="11"/>
    <x v="707"/>
    <x v="696"/>
    <x v="84"/>
    <x v="475"/>
    <x v="0"/>
    <x v="6"/>
    <x v="6"/>
    <n v="0"/>
    <n v="0"/>
  </r>
  <r>
    <s v="HMR"/>
    <x v="11"/>
    <x v="708"/>
    <x v="697"/>
    <x v="84"/>
    <x v="475"/>
    <x v="0"/>
    <x v="0"/>
    <x v="0"/>
    <n v="0"/>
    <n v="0"/>
  </r>
  <r>
    <s v="HMR"/>
    <x v="11"/>
    <x v="708"/>
    <x v="697"/>
    <x v="84"/>
    <x v="475"/>
    <x v="0"/>
    <x v="1"/>
    <x v="1"/>
    <n v="0"/>
    <n v="0"/>
  </r>
  <r>
    <s v="HMR"/>
    <x v="11"/>
    <x v="708"/>
    <x v="697"/>
    <x v="84"/>
    <x v="475"/>
    <x v="0"/>
    <x v="2"/>
    <x v="2"/>
    <n v="0"/>
    <n v="0"/>
  </r>
  <r>
    <s v="HMR"/>
    <x v="11"/>
    <x v="708"/>
    <x v="697"/>
    <x v="84"/>
    <x v="475"/>
    <x v="0"/>
    <x v="3"/>
    <x v="3"/>
    <n v="0"/>
    <n v="0"/>
  </r>
  <r>
    <s v="HMR"/>
    <x v="11"/>
    <x v="708"/>
    <x v="697"/>
    <x v="84"/>
    <x v="475"/>
    <x v="0"/>
    <x v="4"/>
    <x v="4"/>
    <n v="0"/>
    <n v="0"/>
  </r>
  <r>
    <s v="HMR"/>
    <x v="11"/>
    <x v="708"/>
    <x v="697"/>
    <x v="84"/>
    <x v="475"/>
    <x v="0"/>
    <x v="5"/>
    <x v="5"/>
    <n v="0"/>
    <n v="0"/>
  </r>
  <r>
    <s v="HMR"/>
    <x v="11"/>
    <x v="708"/>
    <x v="697"/>
    <x v="84"/>
    <x v="475"/>
    <x v="0"/>
    <x v="6"/>
    <x v="6"/>
    <n v="0"/>
    <n v="0"/>
  </r>
  <r>
    <s v="HMR"/>
    <x v="11"/>
    <x v="709"/>
    <x v="698"/>
    <x v="84"/>
    <x v="475"/>
    <x v="0"/>
    <x v="1"/>
    <x v="1"/>
    <n v="0"/>
    <n v="0"/>
  </r>
  <r>
    <s v="HMR"/>
    <x v="11"/>
    <x v="709"/>
    <x v="698"/>
    <x v="84"/>
    <x v="475"/>
    <x v="0"/>
    <x v="2"/>
    <x v="2"/>
    <n v="0"/>
    <n v="0"/>
  </r>
  <r>
    <s v="HMR"/>
    <x v="11"/>
    <x v="709"/>
    <x v="698"/>
    <x v="84"/>
    <x v="475"/>
    <x v="0"/>
    <x v="3"/>
    <x v="3"/>
    <n v="0"/>
    <n v="0"/>
  </r>
  <r>
    <s v="HMR"/>
    <x v="11"/>
    <x v="709"/>
    <x v="698"/>
    <x v="84"/>
    <x v="475"/>
    <x v="0"/>
    <x v="5"/>
    <x v="5"/>
    <n v="0"/>
    <n v="0"/>
  </r>
  <r>
    <s v="HMR"/>
    <x v="11"/>
    <x v="709"/>
    <x v="698"/>
    <x v="84"/>
    <x v="475"/>
    <x v="0"/>
    <x v="6"/>
    <x v="6"/>
    <n v="0"/>
    <n v="0"/>
  </r>
  <r>
    <s v="HMR"/>
    <x v="11"/>
    <x v="710"/>
    <x v="699"/>
    <x v="84"/>
    <x v="475"/>
    <x v="0"/>
    <x v="0"/>
    <x v="0"/>
    <n v="0"/>
    <n v="0"/>
  </r>
  <r>
    <s v="HMR"/>
    <x v="11"/>
    <x v="710"/>
    <x v="699"/>
    <x v="84"/>
    <x v="475"/>
    <x v="0"/>
    <x v="1"/>
    <x v="1"/>
    <n v="0"/>
    <n v="0"/>
  </r>
  <r>
    <s v="HMR"/>
    <x v="11"/>
    <x v="710"/>
    <x v="699"/>
    <x v="84"/>
    <x v="475"/>
    <x v="0"/>
    <x v="2"/>
    <x v="2"/>
    <n v="0"/>
    <n v="0"/>
  </r>
  <r>
    <s v="HMR"/>
    <x v="11"/>
    <x v="710"/>
    <x v="699"/>
    <x v="84"/>
    <x v="475"/>
    <x v="0"/>
    <x v="3"/>
    <x v="3"/>
    <n v="0"/>
    <n v="0"/>
  </r>
  <r>
    <s v="HMR"/>
    <x v="11"/>
    <x v="710"/>
    <x v="699"/>
    <x v="84"/>
    <x v="475"/>
    <x v="0"/>
    <x v="4"/>
    <x v="4"/>
    <n v="0"/>
    <n v="0"/>
  </r>
  <r>
    <s v="HMR"/>
    <x v="11"/>
    <x v="710"/>
    <x v="699"/>
    <x v="84"/>
    <x v="475"/>
    <x v="0"/>
    <x v="5"/>
    <x v="5"/>
    <n v="0"/>
    <n v="0"/>
  </r>
  <r>
    <s v="HMR"/>
    <x v="11"/>
    <x v="710"/>
    <x v="699"/>
    <x v="84"/>
    <x v="475"/>
    <x v="0"/>
    <x v="6"/>
    <x v="6"/>
    <n v="0"/>
    <n v="0"/>
  </r>
  <r>
    <s v="CHIPKINS PURATOS (BIDVEST SOL)"/>
    <x v="11"/>
    <x v="711"/>
    <x v="700"/>
    <x v="177"/>
    <x v="477"/>
    <x v="0"/>
    <x v="0"/>
    <x v="0"/>
    <n v="0"/>
    <n v="0"/>
  </r>
  <r>
    <s v="CHIPKINS PURATOS (BIDVEST SOL)"/>
    <x v="11"/>
    <x v="711"/>
    <x v="700"/>
    <x v="177"/>
    <x v="477"/>
    <x v="0"/>
    <x v="1"/>
    <x v="1"/>
    <n v="0"/>
    <n v="0"/>
  </r>
  <r>
    <s v="CHIPKINS PURATOS (BIDVEST SOL)"/>
    <x v="11"/>
    <x v="711"/>
    <x v="700"/>
    <x v="177"/>
    <x v="477"/>
    <x v="0"/>
    <x v="2"/>
    <x v="2"/>
    <n v="0"/>
    <n v="0"/>
  </r>
  <r>
    <s v="CHIPKINS PURATOS (BIDVEST SOL)"/>
    <x v="11"/>
    <x v="711"/>
    <x v="700"/>
    <x v="177"/>
    <x v="477"/>
    <x v="0"/>
    <x v="3"/>
    <x v="3"/>
    <n v="0"/>
    <n v="0"/>
  </r>
  <r>
    <s v="CHIPKINS PURATOS (BIDVEST SOL)"/>
    <x v="11"/>
    <x v="711"/>
    <x v="700"/>
    <x v="177"/>
    <x v="477"/>
    <x v="0"/>
    <x v="4"/>
    <x v="4"/>
    <n v="0"/>
    <n v="0"/>
  </r>
  <r>
    <s v="CHIPKINS PURATOS (BIDVEST SOL)"/>
    <x v="11"/>
    <x v="711"/>
    <x v="700"/>
    <x v="177"/>
    <x v="477"/>
    <x v="0"/>
    <x v="5"/>
    <x v="5"/>
    <n v="0"/>
    <n v="0"/>
  </r>
  <r>
    <s v="CHIPKINS PURATOS (BIDVEST SOL)"/>
    <x v="11"/>
    <x v="711"/>
    <x v="700"/>
    <x v="177"/>
    <x v="477"/>
    <x v="0"/>
    <x v="6"/>
    <x v="6"/>
    <n v="0"/>
    <n v="0"/>
  </r>
  <r>
    <s v="ROSSOUW D"/>
    <x v="11"/>
    <x v="712"/>
    <x v="701"/>
    <x v="178"/>
    <x v="478"/>
    <x v="0"/>
    <x v="0"/>
    <x v="0"/>
    <n v="0"/>
    <n v="0"/>
  </r>
  <r>
    <s v="ROSSOUW D"/>
    <x v="11"/>
    <x v="712"/>
    <x v="701"/>
    <x v="178"/>
    <x v="478"/>
    <x v="0"/>
    <x v="1"/>
    <x v="1"/>
    <n v="0"/>
    <n v="0"/>
  </r>
  <r>
    <s v="ROSSOUW D"/>
    <x v="11"/>
    <x v="712"/>
    <x v="701"/>
    <x v="178"/>
    <x v="478"/>
    <x v="0"/>
    <x v="2"/>
    <x v="2"/>
    <n v="0"/>
    <n v="0"/>
  </r>
  <r>
    <s v="ROSSOUW D"/>
    <x v="11"/>
    <x v="712"/>
    <x v="701"/>
    <x v="178"/>
    <x v="478"/>
    <x v="0"/>
    <x v="3"/>
    <x v="3"/>
    <n v="0"/>
    <n v="0"/>
  </r>
  <r>
    <s v="ROSSOUW D"/>
    <x v="11"/>
    <x v="712"/>
    <x v="701"/>
    <x v="178"/>
    <x v="478"/>
    <x v="0"/>
    <x v="5"/>
    <x v="5"/>
    <n v="0"/>
    <n v="0"/>
  </r>
  <r>
    <s v="ROSSOUW D"/>
    <x v="11"/>
    <x v="712"/>
    <x v="701"/>
    <x v="178"/>
    <x v="478"/>
    <x v="0"/>
    <x v="6"/>
    <x v="6"/>
    <n v="0"/>
    <n v="0"/>
  </r>
  <r>
    <s v="CHIPKINS PURATOS (BIDVEST SOL)"/>
    <x v="11"/>
    <x v="713"/>
    <x v="702"/>
    <x v="179"/>
    <x v="479"/>
    <x v="0"/>
    <x v="0"/>
    <x v="0"/>
    <n v="0"/>
    <n v="0"/>
  </r>
  <r>
    <s v="CHIPKINS PURATOS (BIDVEST SOL)"/>
    <x v="11"/>
    <x v="713"/>
    <x v="702"/>
    <x v="179"/>
    <x v="479"/>
    <x v="0"/>
    <x v="1"/>
    <x v="1"/>
    <n v="0"/>
    <n v="0"/>
  </r>
  <r>
    <s v="CHIPKINS PURATOS (BIDVEST SOL)"/>
    <x v="11"/>
    <x v="713"/>
    <x v="702"/>
    <x v="179"/>
    <x v="479"/>
    <x v="0"/>
    <x v="2"/>
    <x v="2"/>
    <n v="0"/>
    <n v="0"/>
  </r>
  <r>
    <s v="CHIPKINS PURATOS (BIDVEST SOL)"/>
    <x v="11"/>
    <x v="713"/>
    <x v="702"/>
    <x v="179"/>
    <x v="479"/>
    <x v="0"/>
    <x v="3"/>
    <x v="3"/>
    <n v="0"/>
    <n v="0"/>
  </r>
  <r>
    <s v="CHIPKINS PURATOS (BIDVEST SOL)"/>
    <x v="11"/>
    <x v="713"/>
    <x v="702"/>
    <x v="179"/>
    <x v="479"/>
    <x v="0"/>
    <x v="4"/>
    <x v="4"/>
    <n v="0"/>
    <n v="0"/>
  </r>
  <r>
    <s v="CHIPKINS PURATOS (BIDVEST SOL)"/>
    <x v="11"/>
    <x v="713"/>
    <x v="702"/>
    <x v="179"/>
    <x v="479"/>
    <x v="0"/>
    <x v="5"/>
    <x v="5"/>
    <n v="0"/>
    <n v="0"/>
  </r>
  <r>
    <s v="CHIPKINS PURATOS (BIDVEST SOL)"/>
    <x v="11"/>
    <x v="713"/>
    <x v="702"/>
    <x v="179"/>
    <x v="479"/>
    <x v="0"/>
    <x v="6"/>
    <x v="6"/>
    <n v="0"/>
    <n v="0"/>
  </r>
  <r>
    <s v="GOOSEBUMPS DISTR.(BREAD STOP)"/>
    <x v="11"/>
    <x v="714"/>
    <x v="703"/>
    <x v="122"/>
    <x v="480"/>
    <x v="0"/>
    <x v="0"/>
    <x v="0"/>
    <n v="0"/>
    <n v="0"/>
  </r>
  <r>
    <s v="GOOSEBUMPS DISTR.(BREAD STOP)"/>
    <x v="11"/>
    <x v="714"/>
    <x v="703"/>
    <x v="122"/>
    <x v="480"/>
    <x v="0"/>
    <x v="1"/>
    <x v="1"/>
    <n v="0"/>
    <n v="0"/>
  </r>
  <r>
    <s v="GOOSEBUMPS DISTR.(BREAD STOP)"/>
    <x v="11"/>
    <x v="714"/>
    <x v="703"/>
    <x v="122"/>
    <x v="480"/>
    <x v="0"/>
    <x v="2"/>
    <x v="2"/>
    <n v="0"/>
    <n v="0"/>
  </r>
  <r>
    <s v="GOOSEBUMPS DISTR.(BREAD STOP)"/>
    <x v="11"/>
    <x v="714"/>
    <x v="703"/>
    <x v="122"/>
    <x v="480"/>
    <x v="0"/>
    <x v="3"/>
    <x v="3"/>
    <n v="0"/>
    <n v="0"/>
  </r>
  <r>
    <s v="GOOSEBUMPS DISTR.(BREAD STOP)"/>
    <x v="11"/>
    <x v="714"/>
    <x v="703"/>
    <x v="122"/>
    <x v="480"/>
    <x v="0"/>
    <x v="5"/>
    <x v="5"/>
    <n v="0"/>
    <n v="0"/>
  </r>
  <r>
    <s v="GOOSEBUMPS DISTR.(BREAD STOP)"/>
    <x v="11"/>
    <x v="714"/>
    <x v="703"/>
    <x v="122"/>
    <x v="480"/>
    <x v="0"/>
    <x v="6"/>
    <x v="6"/>
    <n v="0"/>
    <n v="0"/>
  </r>
  <r>
    <s v="GOOSEBUMPS DISTR.(BREAD STOP)"/>
    <x v="11"/>
    <x v="715"/>
    <x v="704"/>
    <x v="180"/>
    <x v="481"/>
    <x v="0"/>
    <x v="0"/>
    <x v="0"/>
    <n v="0"/>
    <n v="0"/>
  </r>
  <r>
    <s v="GOOSEBUMPS DISTR.(BREAD STOP)"/>
    <x v="11"/>
    <x v="715"/>
    <x v="704"/>
    <x v="180"/>
    <x v="481"/>
    <x v="0"/>
    <x v="1"/>
    <x v="1"/>
    <n v="0"/>
    <n v="0"/>
  </r>
  <r>
    <s v="GOOSEBUMPS DISTR.(BREAD STOP)"/>
    <x v="11"/>
    <x v="715"/>
    <x v="704"/>
    <x v="180"/>
    <x v="481"/>
    <x v="0"/>
    <x v="2"/>
    <x v="2"/>
    <n v="0"/>
    <n v="0"/>
  </r>
  <r>
    <s v="GOOSEBUMPS DISTR.(BREAD STOP)"/>
    <x v="11"/>
    <x v="715"/>
    <x v="704"/>
    <x v="180"/>
    <x v="481"/>
    <x v="0"/>
    <x v="3"/>
    <x v="3"/>
    <n v="0"/>
    <n v="0"/>
  </r>
  <r>
    <s v="GOOSEBUMPS DISTR.(BREAD STOP)"/>
    <x v="11"/>
    <x v="715"/>
    <x v="704"/>
    <x v="180"/>
    <x v="481"/>
    <x v="0"/>
    <x v="4"/>
    <x v="4"/>
    <n v="0"/>
    <n v="0"/>
  </r>
  <r>
    <s v="GOOSEBUMPS DISTR.(BREAD STOP)"/>
    <x v="11"/>
    <x v="715"/>
    <x v="704"/>
    <x v="180"/>
    <x v="481"/>
    <x v="0"/>
    <x v="5"/>
    <x v="5"/>
    <n v="0"/>
    <n v="0"/>
  </r>
  <r>
    <s v="GOOSEBUMPS DISTR.(BREAD STOP)"/>
    <x v="11"/>
    <x v="715"/>
    <x v="704"/>
    <x v="180"/>
    <x v="481"/>
    <x v="0"/>
    <x v="6"/>
    <x v="6"/>
    <n v="0"/>
    <n v="0"/>
  </r>
  <r>
    <s v="SOUTHBAKELS (PTY) LTD"/>
    <x v="11"/>
    <x v="716"/>
    <x v="705"/>
    <x v="142"/>
    <x v="482"/>
    <x v="0"/>
    <x v="0"/>
    <x v="0"/>
    <n v="0"/>
    <n v="0"/>
  </r>
  <r>
    <s v="SOUTHBAKELS (PTY) LTD"/>
    <x v="11"/>
    <x v="716"/>
    <x v="705"/>
    <x v="142"/>
    <x v="482"/>
    <x v="0"/>
    <x v="1"/>
    <x v="1"/>
    <n v="0"/>
    <n v="0"/>
  </r>
  <r>
    <s v="SOUTHBAKELS (PTY) LTD"/>
    <x v="11"/>
    <x v="716"/>
    <x v="705"/>
    <x v="142"/>
    <x v="482"/>
    <x v="0"/>
    <x v="2"/>
    <x v="2"/>
    <n v="0"/>
    <n v="0"/>
  </r>
  <r>
    <s v="SOUTHBAKELS (PTY) LTD"/>
    <x v="11"/>
    <x v="716"/>
    <x v="705"/>
    <x v="142"/>
    <x v="482"/>
    <x v="0"/>
    <x v="3"/>
    <x v="3"/>
    <n v="0"/>
    <n v="0"/>
  </r>
  <r>
    <s v="SOUTHBAKELS (PTY) LTD"/>
    <x v="11"/>
    <x v="716"/>
    <x v="705"/>
    <x v="142"/>
    <x v="482"/>
    <x v="0"/>
    <x v="4"/>
    <x v="4"/>
    <n v="0"/>
    <n v="0"/>
  </r>
  <r>
    <s v="SOUTHBAKELS (PTY) LTD"/>
    <x v="11"/>
    <x v="716"/>
    <x v="705"/>
    <x v="142"/>
    <x v="482"/>
    <x v="0"/>
    <x v="5"/>
    <x v="5"/>
    <n v="0"/>
    <n v="0"/>
  </r>
  <r>
    <s v="SOUTHBAKELS (PTY) LTD"/>
    <x v="11"/>
    <x v="716"/>
    <x v="705"/>
    <x v="142"/>
    <x v="482"/>
    <x v="0"/>
    <x v="6"/>
    <x v="6"/>
    <n v="0"/>
    <n v="0"/>
  </r>
  <r>
    <s v="SOUTHBAKELS (PTY) LTD"/>
    <x v="11"/>
    <x v="717"/>
    <x v="706"/>
    <x v="41"/>
    <x v="483"/>
    <x v="0"/>
    <x v="0"/>
    <x v="0"/>
    <n v="0"/>
    <n v="0"/>
  </r>
  <r>
    <s v="SOUTHBAKELS (PTY) LTD"/>
    <x v="11"/>
    <x v="717"/>
    <x v="706"/>
    <x v="41"/>
    <x v="483"/>
    <x v="0"/>
    <x v="1"/>
    <x v="1"/>
    <n v="0"/>
    <n v="0"/>
  </r>
  <r>
    <s v="SOUTHBAKELS (PTY) LTD"/>
    <x v="11"/>
    <x v="717"/>
    <x v="706"/>
    <x v="41"/>
    <x v="483"/>
    <x v="0"/>
    <x v="2"/>
    <x v="2"/>
    <n v="0"/>
    <n v="0"/>
  </r>
  <r>
    <s v="SOUTHBAKELS (PTY) LTD"/>
    <x v="11"/>
    <x v="717"/>
    <x v="706"/>
    <x v="41"/>
    <x v="483"/>
    <x v="0"/>
    <x v="3"/>
    <x v="3"/>
    <n v="0"/>
    <n v="0"/>
  </r>
  <r>
    <s v="SOUTHBAKELS (PTY) LTD"/>
    <x v="11"/>
    <x v="717"/>
    <x v="706"/>
    <x v="41"/>
    <x v="483"/>
    <x v="0"/>
    <x v="4"/>
    <x v="4"/>
    <n v="0"/>
    <n v="0"/>
  </r>
  <r>
    <s v="SOUTHBAKELS (PTY) LTD"/>
    <x v="11"/>
    <x v="717"/>
    <x v="706"/>
    <x v="41"/>
    <x v="483"/>
    <x v="0"/>
    <x v="5"/>
    <x v="5"/>
    <n v="0"/>
    <n v="0"/>
  </r>
  <r>
    <s v="SOUTHBAKELS (PTY) LTD"/>
    <x v="11"/>
    <x v="717"/>
    <x v="706"/>
    <x v="41"/>
    <x v="483"/>
    <x v="0"/>
    <x v="6"/>
    <x v="6"/>
    <n v="0"/>
    <n v="0"/>
  </r>
  <r>
    <s v="CHIPKINS PURATOS (BIDVEST SOL)"/>
    <x v="11"/>
    <x v="718"/>
    <x v="707"/>
    <x v="129"/>
    <x v="484"/>
    <x v="0"/>
    <x v="1"/>
    <x v="1"/>
    <n v="0"/>
    <n v="0"/>
  </r>
  <r>
    <s v="CHIPKINS PURATOS (BIDVEST SOL)"/>
    <x v="11"/>
    <x v="718"/>
    <x v="707"/>
    <x v="129"/>
    <x v="484"/>
    <x v="0"/>
    <x v="2"/>
    <x v="2"/>
    <n v="0"/>
    <n v="0"/>
  </r>
  <r>
    <s v="CHIPKINS PURATOS (BIDVEST SOL)"/>
    <x v="11"/>
    <x v="718"/>
    <x v="707"/>
    <x v="129"/>
    <x v="484"/>
    <x v="0"/>
    <x v="3"/>
    <x v="3"/>
    <n v="0"/>
    <n v="0"/>
  </r>
  <r>
    <s v="CHIPKINS PURATOS (BIDVEST SOL)"/>
    <x v="11"/>
    <x v="718"/>
    <x v="707"/>
    <x v="129"/>
    <x v="484"/>
    <x v="0"/>
    <x v="4"/>
    <x v="4"/>
    <n v="0"/>
    <n v="0"/>
  </r>
  <r>
    <s v="CHIPKINS PURATOS (BIDVEST SOL)"/>
    <x v="11"/>
    <x v="718"/>
    <x v="707"/>
    <x v="129"/>
    <x v="484"/>
    <x v="0"/>
    <x v="5"/>
    <x v="5"/>
    <n v="0"/>
    <n v="0"/>
  </r>
  <r>
    <s v="CHIPKINS PURATOS (BIDVEST SOL)"/>
    <x v="11"/>
    <x v="718"/>
    <x v="707"/>
    <x v="129"/>
    <x v="484"/>
    <x v="0"/>
    <x v="6"/>
    <x v="6"/>
    <n v="0"/>
    <n v="0"/>
  </r>
  <r>
    <s v="SOUTHBAKELS (PTY) LTD"/>
    <x v="11"/>
    <x v="719"/>
    <x v="708"/>
    <x v="25"/>
    <x v="485"/>
    <x v="0"/>
    <x v="0"/>
    <x v="0"/>
    <n v="0"/>
    <n v="0"/>
  </r>
  <r>
    <s v="SOUTHBAKELS (PTY) LTD"/>
    <x v="11"/>
    <x v="719"/>
    <x v="708"/>
    <x v="25"/>
    <x v="485"/>
    <x v="0"/>
    <x v="1"/>
    <x v="1"/>
    <n v="0"/>
    <n v="0"/>
  </r>
  <r>
    <s v="SOUTHBAKELS (PTY) LTD"/>
    <x v="11"/>
    <x v="719"/>
    <x v="708"/>
    <x v="25"/>
    <x v="485"/>
    <x v="0"/>
    <x v="2"/>
    <x v="2"/>
    <n v="0"/>
    <n v="0"/>
  </r>
  <r>
    <s v="SOUTHBAKELS (PTY) LTD"/>
    <x v="11"/>
    <x v="719"/>
    <x v="708"/>
    <x v="25"/>
    <x v="485"/>
    <x v="0"/>
    <x v="3"/>
    <x v="3"/>
    <n v="0"/>
    <n v="0"/>
  </r>
  <r>
    <s v="SOUTHBAKELS (PTY) LTD"/>
    <x v="11"/>
    <x v="719"/>
    <x v="708"/>
    <x v="25"/>
    <x v="485"/>
    <x v="0"/>
    <x v="4"/>
    <x v="4"/>
    <n v="0"/>
    <n v="0"/>
  </r>
  <r>
    <s v="SOUTHBAKELS (PTY) LTD"/>
    <x v="11"/>
    <x v="719"/>
    <x v="708"/>
    <x v="25"/>
    <x v="485"/>
    <x v="0"/>
    <x v="5"/>
    <x v="5"/>
    <n v="0"/>
    <n v="0"/>
  </r>
  <r>
    <s v="SOUTHBAKELS (PTY) LTD"/>
    <x v="11"/>
    <x v="719"/>
    <x v="708"/>
    <x v="25"/>
    <x v="485"/>
    <x v="0"/>
    <x v="6"/>
    <x v="6"/>
    <n v="0"/>
    <n v="0"/>
  </r>
  <r>
    <s v="CHIPKINS PURATOS (BIDVEST SOL)"/>
    <x v="11"/>
    <x v="720"/>
    <x v="709"/>
    <x v="181"/>
    <x v="486"/>
    <x v="0"/>
    <x v="0"/>
    <x v="0"/>
    <n v="0"/>
    <n v="0"/>
  </r>
  <r>
    <s v="CHIPKINS PURATOS (BIDVEST SOL)"/>
    <x v="11"/>
    <x v="720"/>
    <x v="709"/>
    <x v="181"/>
    <x v="486"/>
    <x v="0"/>
    <x v="1"/>
    <x v="1"/>
    <n v="0"/>
    <n v="0"/>
  </r>
  <r>
    <s v="CHIPKINS PURATOS (BIDVEST SOL)"/>
    <x v="11"/>
    <x v="720"/>
    <x v="709"/>
    <x v="181"/>
    <x v="486"/>
    <x v="0"/>
    <x v="2"/>
    <x v="2"/>
    <n v="0"/>
    <n v="0"/>
  </r>
  <r>
    <s v="CHIPKINS PURATOS (BIDVEST SOL)"/>
    <x v="11"/>
    <x v="720"/>
    <x v="709"/>
    <x v="181"/>
    <x v="486"/>
    <x v="0"/>
    <x v="3"/>
    <x v="3"/>
    <n v="0"/>
    <n v="0"/>
  </r>
  <r>
    <s v="CHIPKINS PURATOS (BIDVEST SOL)"/>
    <x v="11"/>
    <x v="720"/>
    <x v="709"/>
    <x v="181"/>
    <x v="486"/>
    <x v="0"/>
    <x v="4"/>
    <x v="4"/>
    <n v="0"/>
    <n v="0"/>
  </r>
  <r>
    <s v="CHIPKINS PURATOS (BIDVEST SOL)"/>
    <x v="11"/>
    <x v="720"/>
    <x v="709"/>
    <x v="181"/>
    <x v="486"/>
    <x v="0"/>
    <x v="5"/>
    <x v="5"/>
    <n v="0"/>
    <n v="0"/>
  </r>
  <r>
    <s v="CHIPKINS PURATOS (BIDVEST SOL)"/>
    <x v="11"/>
    <x v="720"/>
    <x v="709"/>
    <x v="181"/>
    <x v="486"/>
    <x v="0"/>
    <x v="6"/>
    <x v="6"/>
    <n v="0"/>
    <n v="0"/>
  </r>
  <r>
    <s v="VECTOR LOG.(PTY)LTD GOOSEBUMPS"/>
    <x v="11"/>
    <x v="721"/>
    <x v="710"/>
    <x v="61"/>
    <x v="487"/>
    <x v="0"/>
    <x v="0"/>
    <x v="0"/>
    <n v="0"/>
    <n v="0"/>
  </r>
  <r>
    <s v="VECTOR LOG.(PTY)LTD GOOSEBUMPS"/>
    <x v="11"/>
    <x v="721"/>
    <x v="710"/>
    <x v="61"/>
    <x v="487"/>
    <x v="0"/>
    <x v="1"/>
    <x v="1"/>
    <n v="0"/>
    <n v="0"/>
  </r>
  <r>
    <s v="VECTOR LOG.(PTY)LTD GOOSEBUMPS"/>
    <x v="11"/>
    <x v="722"/>
    <x v="711"/>
    <x v="44"/>
    <x v="488"/>
    <x v="0"/>
    <x v="0"/>
    <x v="0"/>
    <n v="0"/>
    <n v="0"/>
  </r>
  <r>
    <s v="VECTOR LOG.(PTY)LTD GOOSEBUMPS"/>
    <x v="11"/>
    <x v="722"/>
    <x v="711"/>
    <x v="44"/>
    <x v="488"/>
    <x v="0"/>
    <x v="3"/>
    <x v="3"/>
    <n v="0"/>
    <n v="0"/>
  </r>
  <r>
    <s v="VECTOR LOG.(PTY)LTD GOOSEBUMPS"/>
    <x v="11"/>
    <x v="722"/>
    <x v="711"/>
    <x v="44"/>
    <x v="488"/>
    <x v="0"/>
    <x v="4"/>
    <x v="4"/>
    <n v="0"/>
    <n v="0"/>
  </r>
  <r>
    <s v="VECTOR LOG.(PTY)LTD GOOSEBUMPS"/>
    <x v="11"/>
    <x v="722"/>
    <x v="711"/>
    <x v="44"/>
    <x v="488"/>
    <x v="0"/>
    <x v="5"/>
    <x v="5"/>
    <n v="0"/>
    <n v="0"/>
  </r>
  <r>
    <s v="VECTOR LOG.(PTY)LTD GOOSEBUMPS"/>
    <x v="11"/>
    <x v="723"/>
    <x v="712"/>
    <x v="182"/>
    <x v="489"/>
    <x v="0"/>
    <x v="0"/>
    <x v="0"/>
    <n v="0"/>
    <n v="0"/>
  </r>
  <r>
    <s v="VECTOR LOG.(PTY)LTD GOOSEBUMPS"/>
    <x v="11"/>
    <x v="723"/>
    <x v="712"/>
    <x v="182"/>
    <x v="489"/>
    <x v="0"/>
    <x v="1"/>
    <x v="1"/>
    <n v="0"/>
    <n v="0"/>
  </r>
  <r>
    <s v="VECTOR LOG.(PTY)LTD GOOSEBUMPS"/>
    <x v="11"/>
    <x v="723"/>
    <x v="712"/>
    <x v="182"/>
    <x v="489"/>
    <x v="0"/>
    <x v="2"/>
    <x v="2"/>
    <n v="0"/>
    <n v="0"/>
  </r>
  <r>
    <s v="VECTOR LOG.(PTY)LTD GOOSEBUMPS"/>
    <x v="11"/>
    <x v="723"/>
    <x v="712"/>
    <x v="182"/>
    <x v="489"/>
    <x v="0"/>
    <x v="3"/>
    <x v="3"/>
    <n v="0"/>
    <n v="0"/>
  </r>
  <r>
    <s v="VECTOR LOG.(PTY)LTD GOOSEBUMPS"/>
    <x v="11"/>
    <x v="723"/>
    <x v="712"/>
    <x v="182"/>
    <x v="489"/>
    <x v="0"/>
    <x v="4"/>
    <x v="4"/>
    <n v="0"/>
    <n v="0"/>
  </r>
  <r>
    <s v="VECTOR LOG.(PTY)LTD GOOSEBUMPS"/>
    <x v="11"/>
    <x v="723"/>
    <x v="712"/>
    <x v="182"/>
    <x v="489"/>
    <x v="0"/>
    <x v="5"/>
    <x v="5"/>
    <n v="0"/>
    <n v="0"/>
  </r>
  <r>
    <s v="VECTOR LOG.(PTY)LTD GOOSEBUMPS"/>
    <x v="11"/>
    <x v="723"/>
    <x v="712"/>
    <x v="182"/>
    <x v="489"/>
    <x v="0"/>
    <x v="6"/>
    <x v="6"/>
    <n v="0"/>
    <n v="0"/>
  </r>
  <r>
    <s v="VECTOR LOG.(PTY)LTD GOOSEBUMPS"/>
    <x v="11"/>
    <x v="724"/>
    <x v="713"/>
    <x v="172"/>
    <x v="490"/>
    <x v="0"/>
    <x v="0"/>
    <x v="0"/>
    <n v="0"/>
    <n v="0"/>
  </r>
  <r>
    <s v="VECTOR LOG.(PTY)LTD GOOSEBUMPS"/>
    <x v="11"/>
    <x v="724"/>
    <x v="713"/>
    <x v="172"/>
    <x v="490"/>
    <x v="0"/>
    <x v="1"/>
    <x v="1"/>
    <n v="0"/>
    <n v="0"/>
  </r>
  <r>
    <s v="VECTOR LOG.(PTY)LTD GOOSEBUMPS"/>
    <x v="11"/>
    <x v="724"/>
    <x v="713"/>
    <x v="172"/>
    <x v="490"/>
    <x v="0"/>
    <x v="2"/>
    <x v="2"/>
    <n v="0"/>
    <n v="0"/>
  </r>
  <r>
    <s v="VECTOR LOG.(PTY)LTD GOOSEBUMPS"/>
    <x v="11"/>
    <x v="724"/>
    <x v="713"/>
    <x v="172"/>
    <x v="490"/>
    <x v="0"/>
    <x v="3"/>
    <x v="3"/>
    <n v="0"/>
    <n v="0"/>
  </r>
  <r>
    <s v="VECTOR LOG.(PTY)LTD GOOSEBUMPS"/>
    <x v="11"/>
    <x v="724"/>
    <x v="713"/>
    <x v="172"/>
    <x v="490"/>
    <x v="0"/>
    <x v="4"/>
    <x v="4"/>
    <n v="0"/>
    <n v="0"/>
  </r>
  <r>
    <s v="VECTOR LOG.(PTY)LTD GOOSEBUMPS"/>
    <x v="11"/>
    <x v="724"/>
    <x v="713"/>
    <x v="172"/>
    <x v="490"/>
    <x v="0"/>
    <x v="5"/>
    <x v="5"/>
    <n v="0"/>
    <n v="0"/>
  </r>
  <r>
    <s v="VECTOR LOG.(PTY)LTD GOOSEBUMPS"/>
    <x v="11"/>
    <x v="724"/>
    <x v="713"/>
    <x v="172"/>
    <x v="490"/>
    <x v="0"/>
    <x v="6"/>
    <x v="6"/>
    <n v="0"/>
    <n v="0"/>
  </r>
  <r>
    <s v="VECTOR LOG.(PTY)LTD GOOSEBUMPS"/>
    <x v="11"/>
    <x v="725"/>
    <x v="714"/>
    <x v="1"/>
    <x v="491"/>
    <x v="0"/>
    <x v="0"/>
    <x v="0"/>
    <n v="0"/>
    <n v="0"/>
  </r>
  <r>
    <s v="VECTOR LOG.(PTY)LTD GOOSEBUMPS"/>
    <x v="11"/>
    <x v="725"/>
    <x v="714"/>
    <x v="1"/>
    <x v="491"/>
    <x v="0"/>
    <x v="1"/>
    <x v="1"/>
    <n v="0"/>
    <n v="0"/>
  </r>
  <r>
    <s v="VECTOR LOG.(PTY)LTD GOOSEBUMPS"/>
    <x v="11"/>
    <x v="725"/>
    <x v="714"/>
    <x v="1"/>
    <x v="491"/>
    <x v="0"/>
    <x v="2"/>
    <x v="2"/>
    <n v="0"/>
    <n v="0"/>
  </r>
  <r>
    <s v="VECTOR LOG.(PTY)LTD GOOSEBUMPS"/>
    <x v="11"/>
    <x v="725"/>
    <x v="714"/>
    <x v="1"/>
    <x v="491"/>
    <x v="0"/>
    <x v="3"/>
    <x v="3"/>
    <n v="0"/>
    <n v="0"/>
  </r>
  <r>
    <s v="VECTOR LOG.(PTY)LTD GOOSEBUMPS"/>
    <x v="11"/>
    <x v="725"/>
    <x v="714"/>
    <x v="1"/>
    <x v="491"/>
    <x v="0"/>
    <x v="4"/>
    <x v="4"/>
    <n v="0"/>
    <n v="0"/>
  </r>
  <r>
    <s v="VECTOR LOG.(PTY)LTD GOOSEBUMPS"/>
    <x v="11"/>
    <x v="725"/>
    <x v="714"/>
    <x v="1"/>
    <x v="491"/>
    <x v="0"/>
    <x v="5"/>
    <x v="5"/>
    <n v="0"/>
    <n v="0"/>
  </r>
  <r>
    <s v="VECTOR LOG.(PTY)LTD GOOSEBUMPS"/>
    <x v="11"/>
    <x v="725"/>
    <x v="714"/>
    <x v="1"/>
    <x v="491"/>
    <x v="0"/>
    <x v="6"/>
    <x v="6"/>
    <n v="0"/>
    <n v="0"/>
  </r>
  <r>
    <s v="VECTOR LOG.(PTY)LTD GOOSEBUMPS"/>
    <x v="11"/>
    <x v="726"/>
    <x v="715"/>
    <x v="118"/>
    <x v="492"/>
    <x v="0"/>
    <x v="0"/>
    <x v="0"/>
    <n v="0"/>
    <n v="0"/>
  </r>
  <r>
    <s v="VECTOR LOG.(PTY)LTD GOOSEBUMPS"/>
    <x v="11"/>
    <x v="726"/>
    <x v="715"/>
    <x v="118"/>
    <x v="492"/>
    <x v="0"/>
    <x v="1"/>
    <x v="1"/>
    <n v="0"/>
    <n v="0"/>
  </r>
  <r>
    <s v="VECTOR LOG.(PTY)LTD GOOSEBUMPS"/>
    <x v="11"/>
    <x v="726"/>
    <x v="715"/>
    <x v="118"/>
    <x v="492"/>
    <x v="0"/>
    <x v="2"/>
    <x v="2"/>
    <n v="0"/>
    <n v="0"/>
  </r>
  <r>
    <s v="VECTOR LOG.(PTY)LTD GOOSEBUMPS"/>
    <x v="11"/>
    <x v="726"/>
    <x v="715"/>
    <x v="118"/>
    <x v="492"/>
    <x v="0"/>
    <x v="3"/>
    <x v="3"/>
    <n v="0"/>
    <n v="0"/>
  </r>
  <r>
    <s v="VECTOR LOG.(PTY)LTD GOOSEBUMPS"/>
    <x v="11"/>
    <x v="726"/>
    <x v="715"/>
    <x v="118"/>
    <x v="492"/>
    <x v="0"/>
    <x v="4"/>
    <x v="4"/>
    <n v="0"/>
    <n v="0"/>
  </r>
  <r>
    <s v="VECTOR LOG.(PTY)LTD GOOSEBUMPS"/>
    <x v="11"/>
    <x v="726"/>
    <x v="715"/>
    <x v="118"/>
    <x v="492"/>
    <x v="0"/>
    <x v="5"/>
    <x v="5"/>
    <n v="0"/>
    <n v="0"/>
  </r>
  <r>
    <s v="VECTOR LOG.(PTY)LTD GOOSEBUMPS"/>
    <x v="11"/>
    <x v="726"/>
    <x v="715"/>
    <x v="118"/>
    <x v="492"/>
    <x v="0"/>
    <x v="6"/>
    <x v="6"/>
    <n v="0"/>
    <n v="0"/>
  </r>
  <r>
    <s v="VECTOR LOG.(PTY)LTD GOOSEBUMPS"/>
    <x v="11"/>
    <x v="727"/>
    <x v="716"/>
    <x v="96"/>
    <x v="493"/>
    <x v="0"/>
    <x v="0"/>
    <x v="0"/>
    <n v="0"/>
    <n v="0"/>
  </r>
  <r>
    <s v="VECTOR LOG.(PTY)LTD GOOSEBUMPS"/>
    <x v="11"/>
    <x v="727"/>
    <x v="716"/>
    <x v="96"/>
    <x v="493"/>
    <x v="0"/>
    <x v="1"/>
    <x v="1"/>
    <n v="0"/>
    <n v="0"/>
  </r>
  <r>
    <s v="VECTOR LOG.(PTY)LTD GOOSEBUMPS"/>
    <x v="11"/>
    <x v="727"/>
    <x v="716"/>
    <x v="96"/>
    <x v="493"/>
    <x v="0"/>
    <x v="2"/>
    <x v="2"/>
    <n v="0"/>
    <n v="0"/>
  </r>
  <r>
    <s v="VECTOR LOG.(PTY)LTD GOOSEBUMPS"/>
    <x v="11"/>
    <x v="727"/>
    <x v="716"/>
    <x v="96"/>
    <x v="493"/>
    <x v="0"/>
    <x v="3"/>
    <x v="3"/>
    <n v="0"/>
    <n v="0"/>
  </r>
  <r>
    <s v="VECTOR LOG.(PTY)LTD GOOSEBUMPS"/>
    <x v="11"/>
    <x v="727"/>
    <x v="716"/>
    <x v="96"/>
    <x v="493"/>
    <x v="0"/>
    <x v="4"/>
    <x v="4"/>
    <n v="0"/>
    <n v="0"/>
  </r>
  <r>
    <s v="VECTOR LOG.(PTY)LTD GOOSEBUMPS"/>
    <x v="11"/>
    <x v="727"/>
    <x v="716"/>
    <x v="96"/>
    <x v="493"/>
    <x v="0"/>
    <x v="5"/>
    <x v="5"/>
    <n v="0"/>
    <n v="0"/>
  </r>
  <r>
    <s v="VECTOR LOG.(PTY)LTD GOOSEBUMPS"/>
    <x v="11"/>
    <x v="727"/>
    <x v="716"/>
    <x v="96"/>
    <x v="493"/>
    <x v="0"/>
    <x v="6"/>
    <x v="6"/>
    <n v="0"/>
    <n v="0"/>
  </r>
  <r>
    <s v="VECTOR LOG.(PTY)LTD GOOSEBUMPS"/>
    <x v="11"/>
    <x v="728"/>
    <x v="717"/>
    <x v="183"/>
    <x v="494"/>
    <x v="0"/>
    <x v="0"/>
    <x v="0"/>
    <n v="0"/>
    <n v="0"/>
  </r>
  <r>
    <s v="VECTOR LOG.(PTY)LTD GOOSEBUMPS"/>
    <x v="11"/>
    <x v="728"/>
    <x v="717"/>
    <x v="183"/>
    <x v="494"/>
    <x v="0"/>
    <x v="1"/>
    <x v="1"/>
    <n v="0"/>
    <n v="0"/>
  </r>
  <r>
    <s v="VECTOR LOG.(PTY)LTD GOOSEBUMPS"/>
    <x v="11"/>
    <x v="728"/>
    <x v="717"/>
    <x v="183"/>
    <x v="494"/>
    <x v="0"/>
    <x v="2"/>
    <x v="2"/>
    <n v="0"/>
    <n v="0"/>
  </r>
  <r>
    <s v="VECTOR LOG.(PTY)LTD GOOSEBUMPS"/>
    <x v="11"/>
    <x v="728"/>
    <x v="717"/>
    <x v="183"/>
    <x v="494"/>
    <x v="0"/>
    <x v="3"/>
    <x v="3"/>
    <n v="0"/>
    <n v="0"/>
  </r>
  <r>
    <s v="VECTOR LOG.(PTY)LTD GOOSEBUMPS"/>
    <x v="11"/>
    <x v="728"/>
    <x v="717"/>
    <x v="183"/>
    <x v="494"/>
    <x v="0"/>
    <x v="4"/>
    <x v="4"/>
    <n v="0"/>
    <n v="0"/>
  </r>
  <r>
    <s v="VECTOR LOG.(PTY)LTD GOOSEBUMPS"/>
    <x v="11"/>
    <x v="728"/>
    <x v="717"/>
    <x v="183"/>
    <x v="494"/>
    <x v="0"/>
    <x v="5"/>
    <x v="5"/>
    <n v="0"/>
    <n v="0"/>
  </r>
  <r>
    <s v="VECTOR LOG.(PTY)LTD GOOSEBUMPS"/>
    <x v="11"/>
    <x v="728"/>
    <x v="717"/>
    <x v="183"/>
    <x v="494"/>
    <x v="0"/>
    <x v="6"/>
    <x v="6"/>
    <n v="0"/>
    <n v="0"/>
  </r>
  <r>
    <s v="VECTOR LOG.(PTY)LTD GOOSEBUMPS"/>
    <x v="11"/>
    <x v="729"/>
    <x v="718"/>
    <x v="61"/>
    <x v="495"/>
    <x v="0"/>
    <x v="0"/>
    <x v="0"/>
    <n v="0"/>
    <n v="0"/>
  </r>
  <r>
    <s v="VECTOR LOG.(PTY)LTD GOOSEBUMPS"/>
    <x v="11"/>
    <x v="729"/>
    <x v="718"/>
    <x v="61"/>
    <x v="495"/>
    <x v="0"/>
    <x v="1"/>
    <x v="1"/>
    <n v="0"/>
    <n v="0"/>
  </r>
  <r>
    <s v="VECTOR LOG.(PTY)LTD GOOSEBUMPS"/>
    <x v="11"/>
    <x v="729"/>
    <x v="718"/>
    <x v="61"/>
    <x v="495"/>
    <x v="0"/>
    <x v="2"/>
    <x v="2"/>
    <n v="0"/>
    <n v="0"/>
  </r>
  <r>
    <s v="VECTOR LOG.(PTY)LTD GOOSEBUMPS"/>
    <x v="11"/>
    <x v="729"/>
    <x v="718"/>
    <x v="61"/>
    <x v="495"/>
    <x v="0"/>
    <x v="3"/>
    <x v="3"/>
    <n v="0"/>
    <n v="0"/>
  </r>
  <r>
    <s v="VECTOR LOG.(PTY)LTD GOOSEBUMPS"/>
    <x v="11"/>
    <x v="729"/>
    <x v="718"/>
    <x v="61"/>
    <x v="495"/>
    <x v="0"/>
    <x v="4"/>
    <x v="4"/>
    <n v="0"/>
    <n v="0"/>
  </r>
  <r>
    <s v="VECTOR LOG.(PTY)LTD GOOSEBUMPS"/>
    <x v="11"/>
    <x v="729"/>
    <x v="718"/>
    <x v="61"/>
    <x v="495"/>
    <x v="0"/>
    <x v="5"/>
    <x v="5"/>
    <n v="0"/>
    <n v="0"/>
  </r>
  <r>
    <s v="VECTOR LOG.(PTY)LTD GOOSEBUMPS"/>
    <x v="11"/>
    <x v="729"/>
    <x v="718"/>
    <x v="61"/>
    <x v="495"/>
    <x v="0"/>
    <x v="6"/>
    <x v="6"/>
    <n v="0"/>
    <n v="0"/>
  </r>
  <r>
    <s v="VECTOR LOG.(PTY)LTD GOOSEBUMPS"/>
    <x v="11"/>
    <x v="730"/>
    <x v="719"/>
    <x v="172"/>
    <x v="496"/>
    <x v="0"/>
    <x v="0"/>
    <x v="0"/>
    <n v="0"/>
    <n v="0"/>
  </r>
  <r>
    <s v="VECTOR LOG.(PTY)LTD GOOSEBUMPS"/>
    <x v="11"/>
    <x v="730"/>
    <x v="719"/>
    <x v="172"/>
    <x v="496"/>
    <x v="0"/>
    <x v="1"/>
    <x v="1"/>
    <n v="0"/>
    <n v="0"/>
  </r>
  <r>
    <s v="VECTOR LOG.(PTY)LTD GOOSEBUMPS"/>
    <x v="11"/>
    <x v="730"/>
    <x v="719"/>
    <x v="172"/>
    <x v="496"/>
    <x v="0"/>
    <x v="2"/>
    <x v="2"/>
    <n v="0"/>
    <n v="0"/>
  </r>
  <r>
    <s v="VECTOR LOG.(PTY)LTD GOOSEBUMPS"/>
    <x v="11"/>
    <x v="730"/>
    <x v="719"/>
    <x v="172"/>
    <x v="496"/>
    <x v="0"/>
    <x v="3"/>
    <x v="3"/>
    <n v="0"/>
    <n v="0"/>
  </r>
  <r>
    <s v="VECTOR LOG.(PTY)LTD GOOSEBUMPS"/>
    <x v="11"/>
    <x v="730"/>
    <x v="719"/>
    <x v="172"/>
    <x v="496"/>
    <x v="0"/>
    <x v="4"/>
    <x v="4"/>
    <n v="0"/>
    <n v="0"/>
  </r>
  <r>
    <s v="VECTOR LOG.(PTY)LTD GOOSEBUMPS"/>
    <x v="11"/>
    <x v="730"/>
    <x v="719"/>
    <x v="172"/>
    <x v="496"/>
    <x v="0"/>
    <x v="5"/>
    <x v="5"/>
    <n v="0"/>
    <n v="0"/>
  </r>
  <r>
    <s v="VECTOR LOG.(PTY)LTD GOOSEBUMPS"/>
    <x v="11"/>
    <x v="730"/>
    <x v="719"/>
    <x v="172"/>
    <x v="496"/>
    <x v="0"/>
    <x v="6"/>
    <x v="6"/>
    <n v="0"/>
    <n v="0"/>
  </r>
  <r>
    <s v="VECTOR LOG.(PTY)LTD GOOSEBUMPS"/>
    <x v="11"/>
    <x v="731"/>
    <x v="720"/>
    <x v="182"/>
    <x v="497"/>
    <x v="0"/>
    <x v="0"/>
    <x v="0"/>
    <n v="0"/>
    <n v="0"/>
  </r>
  <r>
    <s v="VECTOR LOG.(PTY)LTD GOOSEBUMPS"/>
    <x v="11"/>
    <x v="731"/>
    <x v="720"/>
    <x v="182"/>
    <x v="497"/>
    <x v="0"/>
    <x v="1"/>
    <x v="1"/>
    <n v="0"/>
    <n v="0"/>
  </r>
  <r>
    <s v="VECTOR LOG.(PTY)LTD GOOSEBUMPS"/>
    <x v="11"/>
    <x v="731"/>
    <x v="720"/>
    <x v="182"/>
    <x v="497"/>
    <x v="0"/>
    <x v="2"/>
    <x v="2"/>
    <n v="0"/>
    <n v="0"/>
  </r>
  <r>
    <s v="VECTOR LOG.(PTY)LTD GOOSEBUMPS"/>
    <x v="11"/>
    <x v="731"/>
    <x v="720"/>
    <x v="182"/>
    <x v="497"/>
    <x v="0"/>
    <x v="3"/>
    <x v="3"/>
    <n v="0"/>
    <n v="0"/>
  </r>
  <r>
    <s v="VECTOR LOG.(PTY)LTD GOOSEBUMPS"/>
    <x v="11"/>
    <x v="731"/>
    <x v="720"/>
    <x v="182"/>
    <x v="497"/>
    <x v="0"/>
    <x v="4"/>
    <x v="4"/>
    <n v="0"/>
    <n v="0"/>
  </r>
  <r>
    <s v="VECTOR LOG.(PTY)LTD GOOSEBUMPS"/>
    <x v="11"/>
    <x v="731"/>
    <x v="720"/>
    <x v="182"/>
    <x v="497"/>
    <x v="0"/>
    <x v="5"/>
    <x v="5"/>
    <n v="0"/>
    <n v="0"/>
  </r>
  <r>
    <s v="VECTOR LOG.(PTY)LTD GOOSEBUMPS"/>
    <x v="11"/>
    <x v="731"/>
    <x v="720"/>
    <x v="182"/>
    <x v="497"/>
    <x v="0"/>
    <x v="6"/>
    <x v="6"/>
    <n v="0"/>
    <n v="0"/>
  </r>
  <r>
    <s v="VECTOR LOG.(PTY)LTD GOOSEBUMPS"/>
    <x v="11"/>
    <x v="732"/>
    <x v="721"/>
    <x v="92"/>
    <x v="498"/>
    <x v="0"/>
    <x v="0"/>
    <x v="0"/>
    <n v="0"/>
    <n v="0"/>
  </r>
  <r>
    <s v="VECTOR LOG.(PTY)LTD GOOSEBUMPS"/>
    <x v="11"/>
    <x v="732"/>
    <x v="721"/>
    <x v="92"/>
    <x v="498"/>
    <x v="0"/>
    <x v="1"/>
    <x v="1"/>
    <n v="0"/>
    <n v="0"/>
  </r>
  <r>
    <s v="VECTOR LOG.(PTY)LTD GOOSEBUMPS"/>
    <x v="11"/>
    <x v="732"/>
    <x v="721"/>
    <x v="92"/>
    <x v="498"/>
    <x v="0"/>
    <x v="2"/>
    <x v="2"/>
    <n v="0"/>
    <n v="0"/>
  </r>
  <r>
    <s v="VECTOR LOG.(PTY)LTD GOOSEBUMPS"/>
    <x v="11"/>
    <x v="732"/>
    <x v="721"/>
    <x v="92"/>
    <x v="498"/>
    <x v="0"/>
    <x v="3"/>
    <x v="3"/>
    <n v="0"/>
    <n v="0"/>
  </r>
  <r>
    <s v="VECTOR LOG.(PTY)LTD GOOSEBUMPS"/>
    <x v="11"/>
    <x v="732"/>
    <x v="721"/>
    <x v="92"/>
    <x v="498"/>
    <x v="0"/>
    <x v="4"/>
    <x v="4"/>
    <n v="0"/>
    <n v="0"/>
  </r>
  <r>
    <s v="VECTOR LOG.(PTY)LTD GOOSEBUMPS"/>
    <x v="11"/>
    <x v="732"/>
    <x v="721"/>
    <x v="92"/>
    <x v="498"/>
    <x v="0"/>
    <x v="5"/>
    <x v="5"/>
    <n v="0"/>
    <n v="0"/>
  </r>
  <r>
    <s v="VECTOR LOG.(PTY)LTD GOOSEBUMPS"/>
    <x v="11"/>
    <x v="732"/>
    <x v="721"/>
    <x v="92"/>
    <x v="498"/>
    <x v="0"/>
    <x v="6"/>
    <x v="6"/>
    <n v="0"/>
    <n v="0"/>
  </r>
  <r>
    <s v="VECTOR LOG.(PTY)LTD GOOSEBUMPS"/>
    <x v="11"/>
    <x v="733"/>
    <x v="722"/>
    <x v="92"/>
    <x v="499"/>
    <x v="0"/>
    <x v="0"/>
    <x v="0"/>
    <n v="0"/>
    <n v="0"/>
  </r>
  <r>
    <s v="VECTOR LOG.(PTY)LTD GOOSEBUMPS"/>
    <x v="11"/>
    <x v="733"/>
    <x v="722"/>
    <x v="92"/>
    <x v="499"/>
    <x v="0"/>
    <x v="1"/>
    <x v="1"/>
    <n v="0"/>
    <n v="0"/>
  </r>
  <r>
    <s v="VECTOR LOG.(PTY)LTD GOOSEBUMPS"/>
    <x v="11"/>
    <x v="733"/>
    <x v="722"/>
    <x v="92"/>
    <x v="499"/>
    <x v="0"/>
    <x v="2"/>
    <x v="2"/>
    <n v="0"/>
    <n v="0"/>
  </r>
  <r>
    <s v="VECTOR LOG.(PTY)LTD GOOSEBUMPS"/>
    <x v="11"/>
    <x v="733"/>
    <x v="722"/>
    <x v="92"/>
    <x v="499"/>
    <x v="0"/>
    <x v="3"/>
    <x v="3"/>
    <n v="0"/>
    <n v="0"/>
  </r>
  <r>
    <s v="VECTOR LOG.(PTY)LTD GOOSEBUMPS"/>
    <x v="11"/>
    <x v="733"/>
    <x v="722"/>
    <x v="92"/>
    <x v="499"/>
    <x v="0"/>
    <x v="4"/>
    <x v="4"/>
    <n v="0"/>
    <n v="0"/>
  </r>
  <r>
    <s v="VECTOR LOG.(PTY)LTD GOOSEBUMPS"/>
    <x v="11"/>
    <x v="733"/>
    <x v="722"/>
    <x v="92"/>
    <x v="499"/>
    <x v="0"/>
    <x v="5"/>
    <x v="5"/>
    <n v="0"/>
    <n v="0"/>
  </r>
  <r>
    <s v="VECTOR LOG.(PTY)LTD GOOSEBUMPS"/>
    <x v="11"/>
    <x v="733"/>
    <x v="722"/>
    <x v="92"/>
    <x v="499"/>
    <x v="0"/>
    <x v="6"/>
    <x v="6"/>
    <n v="0"/>
    <n v="0"/>
  </r>
  <r>
    <s v="VECTOR LOG.(PTY)LTD GOOSEBUMPS"/>
    <x v="11"/>
    <x v="734"/>
    <x v="723"/>
    <x v="182"/>
    <x v="497"/>
    <x v="0"/>
    <x v="0"/>
    <x v="0"/>
    <n v="0"/>
    <n v="0"/>
  </r>
  <r>
    <s v="VECTOR LOG.(PTY)LTD GOOSEBUMPS"/>
    <x v="11"/>
    <x v="734"/>
    <x v="723"/>
    <x v="182"/>
    <x v="497"/>
    <x v="0"/>
    <x v="1"/>
    <x v="1"/>
    <n v="0"/>
    <n v="0"/>
  </r>
  <r>
    <s v="VECTOR LOG.(PTY)LTD GOOSEBUMPS"/>
    <x v="11"/>
    <x v="734"/>
    <x v="723"/>
    <x v="182"/>
    <x v="497"/>
    <x v="0"/>
    <x v="2"/>
    <x v="2"/>
    <n v="0"/>
    <n v="0"/>
  </r>
  <r>
    <s v="VECTOR LOG.(PTY)LTD GOOSEBUMPS"/>
    <x v="11"/>
    <x v="734"/>
    <x v="723"/>
    <x v="182"/>
    <x v="497"/>
    <x v="0"/>
    <x v="3"/>
    <x v="3"/>
    <n v="0"/>
    <n v="0"/>
  </r>
  <r>
    <s v="VECTOR LOG.(PTY)LTD GOOSEBUMPS"/>
    <x v="11"/>
    <x v="734"/>
    <x v="723"/>
    <x v="182"/>
    <x v="497"/>
    <x v="0"/>
    <x v="4"/>
    <x v="4"/>
    <n v="0"/>
    <n v="0"/>
  </r>
  <r>
    <s v="VECTOR LOG.(PTY)LTD GOOSEBUMPS"/>
    <x v="11"/>
    <x v="734"/>
    <x v="723"/>
    <x v="182"/>
    <x v="497"/>
    <x v="0"/>
    <x v="5"/>
    <x v="5"/>
    <n v="0"/>
    <n v="0"/>
  </r>
  <r>
    <s v="VECTOR LOG.(PTY)LTD GOOSEBUMPS"/>
    <x v="11"/>
    <x v="734"/>
    <x v="723"/>
    <x v="182"/>
    <x v="497"/>
    <x v="0"/>
    <x v="6"/>
    <x v="6"/>
    <n v="0"/>
    <n v="0"/>
  </r>
  <r>
    <s v="BOLAND PACKAGING"/>
    <x v="5"/>
    <x v="735"/>
    <x v="724"/>
    <x v="23"/>
    <x v="500"/>
    <x v="0"/>
    <x v="0"/>
    <x v="0"/>
    <n v="0"/>
    <n v="0"/>
  </r>
  <r>
    <s v="BOLAND PACKAGING"/>
    <x v="5"/>
    <x v="735"/>
    <x v="724"/>
    <x v="23"/>
    <x v="500"/>
    <x v="0"/>
    <x v="1"/>
    <x v="1"/>
    <n v="0"/>
    <n v="0"/>
  </r>
  <r>
    <s v="BOLAND PACKAGING"/>
    <x v="5"/>
    <x v="735"/>
    <x v="724"/>
    <x v="23"/>
    <x v="500"/>
    <x v="0"/>
    <x v="2"/>
    <x v="2"/>
    <n v="0"/>
    <n v="0"/>
  </r>
  <r>
    <s v="BOLAND PACKAGING"/>
    <x v="5"/>
    <x v="735"/>
    <x v="724"/>
    <x v="23"/>
    <x v="500"/>
    <x v="0"/>
    <x v="3"/>
    <x v="3"/>
    <n v="0"/>
    <n v="0"/>
  </r>
  <r>
    <s v="BOLAND PACKAGING"/>
    <x v="5"/>
    <x v="735"/>
    <x v="724"/>
    <x v="23"/>
    <x v="500"/>
    <x v="0"/>
    <x v="4"/>
    <x v="4"/>
    <n v="0"/>
    <n v="0"/>
  </r>
  <r>
    <s v="BOLAND PACKAGING"/>
    <x v="5"/>
    <x v="735"/>
    <x v="724"/>
    <x v="23"/>
    <x v="500"/>
    <x v="0"/>
    <x v="5"/>
    <x v="5"/>
    <n v="0"/>
    <n v="0"/>
  </r>
  <r>
    <s v="BOLAND PACKAGING"/>
    <x v="5"/>
    <x v="735"/>
    <x v="724"/>
    <x v="23"/>
    <x v="500"/>
    <x v="0"/>
    <x v="6"/>
    <x v="6"/>
    <n v="0"/>
    <n v="0"/>
  </r>
  <r>
    <s v="BOLAND PACKAGING"/>
    <x v="5"/>
    <x v="736"/>
    <x v="725"/>
    <x v="85"/>
    <x v="501"/>
    <x v="0"/>
    <x v="0"/>
    <x v="0"/>
    <n v="0"/>
    <n v="0"/>
  </r>
  <r>
    <s v="BOLAND PACKAGING"/>
    <x v="5"/>
    <x v="736"/>
    <x v="725"/>
    <x v="85"/>
    <x v="501"/>
    <x v="0"/>
    <x v="1"/>
    <x v="1"/>
    <n v="0"/>
    <n v="0"/>
  </r>
  <r>
    <s v="BOLAND PACKAGING"/>
    <x v="5"/>
    <x v="736"/>
    <x v="725"/>
    <x v="85"/>
    <x v="501"/>
    <x v="0"/>
    <x v="2"/>
    <x v="2"/>
    <n v="0"/>
    <n v="0"/>
  </r>
  <r>
    <s v="BOLAND PACKAGING"/>
    <x v="5"/>
    <x v="736"/>
    <x v="725"/>
    <x v="85"/>
    <x v="501"/>
    <x v="0"/>
    <x v="3"/>
    <x v="3"/>
    <n v="0"/>
    <n v="0"/>
  </r>
  <r>
    <s v="BOLAND PACKAGING"/>
    <x v="5"/>
    <x v="736"/>
    <x v="725"/>
    <x v="85"/>
    <x v="501"/>
    <x v="0"/>
    <x v="4"/>
    <x v="4"/>
    <n v="0"/>
    <n v="0"/>
  </r>
  <r>
    <s v="BOLAND PACKAGING"/>
    <x v="5"/>
    <x v="736"/>
    <x v="725"/>
    <x v="85"/>
    <x v="501"/>
    <x v="0"/>
    <x v="5"/>
    <x v="5"/>
    <n v="0"/>
    <n v="0"/>
  </r>
  <r>
    <s v="BOLAND PACKAGING"/>
    <x v="5"/>
    <x v="736"/>
    <x v="725"/>
    <x v="85"/>
    <x v="501"/>
    <x v="0"/>
    <x v="6"/>
    <x v="6"/>
    <n v="0"/>
    <n v="0"/>
  </r>
  <r>
    <s v="BOLAND PACKAGING"/>
    <x v="5"/>
    <x v="737"/>
    <x v="726"/>
    <x v="85"/>
    <x v="415"/>
    <x v="0"/>
    <x v="0"/>
    <x v="0"/>
    <n v="0"/>
    <n v="0"/>
  </r>
  <r>
    <s v="BOLAND PACKAGING"/>
    <x v="5"/>
    <x v="737"/>
    <x v="726"/>
    <x v="85"/>
    <x v="415"/>
    <x v="0"/>
    <x v="1"/>
    <x v="1"/>
    <n v="0"/>
    <n v="0"/>
  </r>
  <r>
    <s v="BOLAND PACKAGING"/>
    <x v="5"/>
    <x v="737"/>
    <x v="726"/>
    <x v="85"/>
    <x v="415"/>
    <x v="0"/>
    <x v="2"/>
    <x v="2"/>
    <n v="0"/>
    <n v="0"/>
  </r>
  <r>
    <s v="BOLAND PACKAGING"/>
    <x v="5"/>
    <x v="737"/>
    <x v="726"/>
    <x v="85"/>
    <x v="415"/>
    <x v="0"/>
    <x v="3"/>
    <x v="3"/>
    <n v="0"/>
    <n v="0"/>
  </r>
  <r>
    <s v="BOLAND PACKAGING"/>
    <x v="5"/>
    <x v="737"/>
    <x v="726"/>
    <x v="85"/>
    <x v="415"/>
    <x v="0"/>
    <x v="4"/>
    <x v="4"/>
    <n v="0"/>
    <n v="0"/>
  </r>
  <r>
    <s v="BOLAND PACKAGING"/>
    <x v="5"/>
    <x v="737"/>
    <x v="726"/>
    <x v="85"/>
    <x v="415"/>
    <x v="0"/>
    <x v="5"/>
    <x v="5"/>
    <n v="0"/>
    <n v="0"/>
  </r>
  <r>
    <s v="BOLAND PACKAGING"/>
    <x v="5"/>
    <x v="737"/>
    <x v="726"/>
    <x v="85"/>
    <x v="415"/>
    <x v="0"/>
    <x v="6"/>
    <x v="6"/>
    <n v="0"/>
    <n v="0"/>
  </r>
  <r>
    <s v="BOLAND PACKAGING"/>
    <x v="5"/>
    <x v="738"/>
    <x v="727"/>
    <x v="85"/>
    <x v="501"/>
    <x v="0"/>
    <x v="0"/>
    <x v="0"/>
    <n v="0"/>
    <n v="0"/>
  </r>
  <r>
    <s v="BOLAND PACKAGING"/>
    <x v="5"/>
    <x v="738"/>
    <x v="727"/>
    <x v="85"/>
    <x v="501"/>
    <x v="0"/>
    <x v="1"/>
    <x v="1"/>
    <n v="0"/>
    <n v="0"/>
  </r>
  <r>
    <s v="BOLAND PACKAGING"/>
    <x v="5"/>
    <x v="738"/>
    <x v="727"/>
    <x v="85"/>
    <x v="501"/>
    <x v="0"/>
    <x v="2"/>
    <x v="2"/>
    <n v="0"/>
    <n v="0"/>
  </r>
  <r>
    <s v="BOLAND PACKAGING"/>
    <x v="5"/>
    <x v="738"/>
    <x v="727"/>
    <x v="85"/>
    <x v="501"/>
    <x v="0"/>
    <x v="3"/>
    <x v="3"/>
    <n v="0"/>
    <n v="0"/>
  </r>
  <r>
    <s v="BOLAND PACKAGING"/>
    <x v="5"/>
    <x v="738"/>
    <x v="727"/>
    <x v="85"/>
    <x v="501"/>
    <x v="0"/>
    <x v="4"/>
    <x v="4"/>
    <n v="0"/>
    <n v="0"/>
  </r>
  <r>
    <s v="BOLAND PACKAGING"/>
    <x v="5"/>
    <x v="738"/>
    <x v="727"/>
    <x v="85"/>
    <x v="501"/>
    <x v="0"/>
    <x v="5"/>
    <x v="5"/>
    <n v="0"/>
    <n v="0"/>
  </r>
  <r>
    <s v="BOLAND PACKAGING"/>
    <x v="5"/>
    <x v="738"/>
    <x v="727"/>
    <x v="85"/>
    <x v="501"/>
    <x v="0"/>
    <x v="6"/>
    <x v="6"/>
    <n v="0"/>
    <n v="0"/>
  </r>
  <r>
    <s v="BOLAND PACKAGING"/>
    <x v="5"/>
    <x v="739"/>
    <x v="724"/>
    <x v="184"/>
    <x v="502"/>
    <x v="0"/>
    <x v="0"/>
    <x v="0"/>
    <n v="0"/>
    <n v="0"/>
  </r>
  <r>
    <s v="BOLAND PACKAGING"/>
    <x v="5"/>
    <x v="739"/>
    <x v="724"/>
    <x v="184"/>
    <x v="502"/>
    <x v="0"/>
    <x v="1"/>
    <x v="1"/>
    <n v="0"/>
    <n v="0"/>
  </r>
  <r>
    <s v="BOLAND PACKAGING"/>
    <x v="5"/>
    <x v="739"/>
    <x v="724"/>
    <x v="184"/>
    <x v="502"/>
    <x v="0"/>
    <x v="2"/>
    <x v="2"/>
    <n v="0"/>
    <n v="0"/>
  </r>
  <r>
    <s v="BOLAND PACKAGING"/>
    <x v="5"/>
    <x v="739"/>
    <x v="724"/>
    <x v="184"/>
    <x v="502"/>
    <x v="0"/>
    <x v="3"/>
    <x v="3"/>
    <n v="0"/>
    <n v="0"/>
  </r>
  <r>
    <s v="BOLAND PACKAGING"/>
    <x v="5"/>
    <x v="739"/>
    <x v="724"/>
    <x v="184"/>
    <x v="502"/>
    <x v="0"/>
    <x v="4"/>
    <x v="4"/>
    <n v="0"/>
    <n v="0"/>
  </r>
  <r>
    <s v="BOLAND PACKAGING"/>
    <x v="5"/>
    <x v="739"/>
    <x v="724"/>
    <x v="184"/>
    <x v="502"/>
    <x v="0"/>
    <x v="5"/>
    <x v="5"/>
    <n v="0"/>
    <n v="0"/>
  </r>
  <r>
    <s v="BOLAND PACKAGING"/>
    <x v="5"/>
    <x v="739"/>
    <x v="724"/>
    <x v="184"/>
    <x v="502"/>
    <x v="0"/>
    <x v="6"/>
    <x v="6"/>
    <n v="0"/>
    <n v="0"/>
  </r>
  <r>
    <s v="BOLAND PACKAGING"/>
    <x v="5"/>
    <x v="740"/>
    <x v="728"/>
    <x v="184"/>
    <x v="503"/>
    <x v="0"/>
    <x v="0"/>
    <x v="0"/>
    <n v="0"/>
    <n v="0"/>
  </r>
  <r>
    <s v="BOLAND PACKAGING"/>
    <x v="5"/>
    <x v="740"/>
    <x v="728"/>
    <x v="184"/>
    <x v="503"/>
    <x v="0"/>
    <x v="1"/>
    <x v="1"/>
    <n v="0"/>
    <n v="0"/>
  </r>
  <r>
    <s v="BOLAND PACKAGING"/>
    <x v="5"/>
    <x v="740"/>
    <x v="728"/>
    <x v="184"/>
    <x v="503"/>
    <x v="0"/>
    <x v="2"/>
    <x v="2"/>
    <n v="0"/>
    <n v="0"/>
  </r>
  <r>
    <s v="BOLAND PACKAGING"/>
    <x v="5"/>
    <x v="740"/>
    <x v="728"/>
    <x v="184"/>
    <x v="503"/>
    <x v="0"/>
    <x v="3"/>
    <x v="3"/>
    <n v="0"/>
    <n v="0"/>
  </r>
  <r>
    <s v="BOLAND PACKAGING"/>
    <x v="5"/>
    <x v="740"/>
    <x v="728"/>
    <x v="184"/>
    <x v="503"/>
    <x v="0"/>
    <x v="4"/>
    <x v="4"/>
    <n v="0"/>
    <n v="0"/>
  </r>
  <r>
    <s v="BOLAND PACKAGING"/>
    <x v="5"/>
    <x v="740"/>
    <x v="728"/>
    <x v="184"/>
    <x v="503"/>
    <x v="0"/>
    <x v="5"/>
    <x v="5"/>
    <n v="0"/>
    <n v="0"/>
  </r>
  <r>
    <s v="BOLAND PACKAGING"/>
    <x v="5"/>
    <x v="740"/>
    <x v="728"/>
    <x v="184"/>
    <x v="503"/>
    <x v="0"/>
    <x v="6"/>
    <x v="6"/>
    <n v="0"/>
    <n v="0"/>
  </r>
  <r>
    <s v="BOLAND PACKAGING"/>
    <x v="5"/>
    <x v="741"/>
    <x v="729"/>
    <x v="53"/>
    <x v="504"/>
    <x v="0"/>
    <x v="0"/>
    <x v="0"/>
    <n v="0"/>
    <n v="0"/>
  </r>
  <r>
    <s v="BOLAND PACKAGING"/>
    <x v="5"/>
    <x v="741"/>
    <x v="729"/>
    <x v="53"/>
    <x v="504"/>
    <x v="0"/>
    <x v="1"/>
    <x v="1"/>
    <n v="0"/>
    <n v="0"/>
  </r>
  <r>
    <s v="BOLAND PACKAGING"/>
    <x v="5"/>
    <x v="741"/>
    <x v="729"/>
    <x v="53"/>
    <x v="504"/>
    <x v="0"/>
    <x v="2"/>
    <x v="2"/>
    <n v="0"/>
    <n v="0"/>
  </r>
  <r>
    <s v="BOLAND PACKAGING"/>
    <x v="5"/>
    <x v="741"/>
    <x v="729"/>
    <x v="53"/>
    <x v="504"/>
    <x v="0"/>
    <x v="3"/>
    <x v="3"/>
    <n v="0"/>
    <n v="0"/>
  </r>
  <r>
    <s v="BOLAND PACKAGING"/>
    <x v="5"/>
    <x v="741"/>
    <x v="729"/>
    <x v="53"/>
    <x v="504"/>
    <x v="0"/>
    <x v="4"/>
    <x v="4"/>
    <n v="0"/>
    <n v="0"/>
  </r>
  <r>
    <s v="BOLAND PACKAGING"/>
    <x v="5"/>
    <x v="741"/>
    <x v="729"/>
    <x v="53"/>
    <x v="504"/>
    <x v="0"/>
    <x v="5"/>
    <x v="5"/>
    <n v="0"/>
    <n v="0"/>
  </r>
  <r>
    <s v="BOLAND PACKAGING"/>
    <x v="5"/>
    <x v="741"/>
    <x v="729"/>
    <x v="53"/>
    <x v="504"/>
    <x v="0"/>
    <x v="6"/>
    <x v="6"/>
    <n v="0"/>
    <n v="0"/>
  </r>
  <r>
    <s v="BOLAND PACKAGING"/>
    <x v="5"/>
    <x v="742"/>
    <x v="730"/>
    <x v="26"/>
    <x v="501"/>
    <x v="0"/>
    <x v="0"/>
    <x v="0"/>
    <n v="0"/>
    <n v="0"/>
  </r>
  <r>
    <s v="BOLAND PACKAGING"/>
    <x v="5"/>
    <x v="742"/>
    <x v="730"/>
    <x v="26"/>
    <x v="501"/>
    <x v="0"/>
    <x v="1"/>
    <x v="1"/>
    <n v="0"/>
    <n v="0"/>
  </r>
  <r>
    <s v="BOLAND PACKAGING"/>
    <x v="5"/>
    <x v="742"/>
    <x v="730"/>
    <x v="26"/>
    <x v="501"/>
    <x v="0"/>
    <x v="2"/>
    <x v="2"/>
    <n v="0"/>
    <n v="0"/>
  </r>
  <r>
    <s v="BOLAND PACKAGING"/>
    <x v="5"/>
    <x v="742"/>
    <x v="730"/>
    <x v="26"/>
    <x v="501"/>
    <x v="0"/>
    <x v="3"/>
    <x v="3"/>
    <n v="0"/>
    <n v="0"/>
  </r>
  <r>
    <s v="BOLAND PACKAGING"/>
    <x v="5"/>
    <x v="742"/>
    <x v="730"/>
    <x v="26"/>
    <x v="501"/>
    <x v="0"/>
    <x v="4"/>
    <x v="4"/>
    <n v="0"/>
    <n v="0"/>
  </r>
  <r>
    <s v="BOLAND PACKAGING"/>
    <x v="5"/>
    <x v="742"/>
    <x v="730"/>
    <x v="26"/>
    <x v="501"/>
    <x v="0"/>
    <x v="5"/>
    <x v="5"/>
    <n v="0"/>
    <n v="0"/>
  </r>
  <r>
    <s v="BOLAND PACKAGING"/>
    <x v="5"/>
    <x v="742"/>
    <x v="730"/>
    <x v="26"/>
    <x v="501"/>
    <x v="0"/>
    <x v="6"/>
    <x v="6"/>
    <n v="0"/>
    <n v="0"/>
  </r>
  <r>
    <s v="BOLAND PACKAGING"/>
    <x v="5"/>
    <x v="743"/>
    <x v="731"/>
    <x v="85"/>
    <x v="501"/>
    <x v="0"/>
    <x v="0"/>
    <x v="0"/>
    <n v="0"/>
    <n v="0"/>
  </r>
  <r>
    <s v="BOLAND PACKAGING"/>
    <x v="5"/>
    <x v="743"/>
    <x v="731"/>
    <x v="85"/>
    <x v="501"/>
    <x v="0"/>
    <x v="1"/>
    <x v="1"/>
    <n v="0"/>
    <n v="0"/>
  </r>
  <r>
    <s v="BOLAND PACKAGING"/>
    <x v="5"/>
    <x v="743"/>
    <x v="731"/>
    <x v="85"/>
    <x v="501"/>
    <x v="0"/>
    <x v="2"/>
    <x v="2"/>
    <n v="0"/>
    <n v="0"/>
  </r>
  <r>
    <s v="BOLAND PACKAGING"/>
    <x v="5"/>
    <x v="743"/>
    <x v="731"/>
    <x v="85"/>
    <x v="501"/>
    <x v="0"/>
    <x v="3"/>
    <x v="3"/>
    <n v="0"/>
    <n v="0"/>
  </r>
  <r>
    <s v="BOLAND PACKAGING"/>
    <x v="5"/>
    <x v="743"/>
    <x v="731"/>
    <x v="85"/>
    <x v="501"/>
    <x v="0"/>
    <x v="4"/>
    <x v="4"/>
    <n v="0"/>
    <n v="0"/>
  </r>
  <r>
    <s v="BOLAND PACKAGING"/>
    <x v="5"/>
    <x v="743"/>
    <x v="731"/>
    <x v="85"/>
    <x v="501"/>
    <x v="0"/>
    <x v="5"/>
    <x v="5"/>
    <n v="0"/>
    <n v="0"/>
  </r>
  <r>
    <s v="BOLAND PACKAGING"/>
    <x v="5"/>
    <x v="743"/>
    <x v="731"/>
    <x v="85"/>
    <x v="501"/>
    <x v="0"/>
    <x v="6"/>
    <x v="6"/>
    <n v="0"/>
    <n v="0"/>
  </r>
  <r>
    <s v="BOLAND PACKAGING"/>
    <x v="5"/>
    <x v="744"/>
    <x v="732"/>
    <x v="26"/>
    <x v="501"/>
    <x v="0"/>
    <x v="0"/>
    <x v="0"/>
    <n v="0"/>
    <n v="0"/>
  </r>
  <r>
    <s v="BOLAND PACKAGING"/>
    <x v="5"/>
    <x v="744"/>
    <x v="732"/>
    <x v="26"/>
    <x v="501"/>
    <x v="0"/>
    <x v="1"/>
    <x v="1"/>
    <n v="0"/>
    <n v="0"/>
  </r>
  <r>
    <s v="BOLAND PACKAGING"/>
    <x v="5"/>
    <x v="744"/>
    <x v="732"/>
    <x v="26"/>
    <x v="501"/>
    <x v="0"/>
    <x v="2"/>
    <x v="2"/>
    <n v="0"/>
    <n v="0"/>
  </r>
  <r>
    <s v="BOLAND PACKAGING"/>
    <x v="5"/>
    <x v="744"/>
    <x v="732"/>
    <x v="26"/>
    <x v="501"/>
    <x v="0"/>
    <x v="3"/>
    <x v="3"/>
    <n v="0"/>
    <n v="0"/>
  </r>
  <r>
    <s v="BOLAND PACKAGING"/>
    <x v="5"/>
    <x v="744"/>
    <x v="732"/>
    <x v="26"/>
    <x v="501"/>
    <x v="0"/>
    <x v="4"/>
    <x v="4"/>
    <n v="0"/>
    <n v="0"/>
  </r>
  <r>
    <s v="BOLAND PACKAGING"/>
    <x v="5"/>
    <x v="744"/>
    <x v="732"/>
    <x v="26"/>
    <x v="501"/>
    <x v="0"/>
    <x v="5"/>
    <x v="5"/>
    <n v="0"/>
    <n v="0"/>
  </r>
  <r>
    <s v="BOLAND PACKAGING"/>
    <x v="5"/>
    <x v="744"/>
    <x v="732"/>
    <x v="26"/>
    <x v="501"/>
    <x v="0"/>
    <x v="6"/>
    <x v="6"/>
    <n v="0"/>
    <n v="0"/>
  </r>
  <r>
    <s v="BAKE IT EASY"/>
    <x v="5"/>
    <x v="745"/>
    <x v="733"/>
    <x v="34"/>
    <x v="505"/>
    <x v="0"/>
    <x v="2"/>
    <x v="2"/>
    <n v="0"/>
    <n v="0"/>
  </r>
  <r>
    <s v="BAKE IT EASY"/>
    <x v="5"/>
    <x v="745"/>
    <x v="733"/>
    <x v="34"/>
    <x v="505"/>
    <x v="0"/>
    <x v="4"/>
    <x v="4"/>
    <n v="0"/>
    <n v="0"/>
  </r>
  <r>
    <s v="BAKE IT EASY"/>
    <x v="5"/>
    <x v="745"/>
    <x v="733"/>
    <x v="34"/>
    <x v="505"/>
    <x v="0"/>
    <x v="5"/>
    <x v="5"/>
    <n v="0"/>
    <n v="0"/>
  </r>
  <r>
    <s v="BAKE IT EASY"/>
    <x v="5"/>
    <x v="746"/>
    <x v="734"/>
    <x v="92"/>
    <x v="506"/>
    <x v="0"/>
    <x v="0"/>
    <x v="0"/>
    <n v="0"/>
    <n v="0"/>
  </r>
  <r>
    <s v="BAKE IT EASY"/>
    <x v="5"/>
    <x v="746"/>
    <x v="734"/>
    <x v="92"/>
    <x v="506"/>
    <x v="0"/>
    <x v="1"/>
    <x v="1"/>
    <n v="0"/>
    <n v="0"/>
  </r>
  <r>
    <s v="BAKE IT EASY"/>
    <x v="5"/>
    <x v="746"/>
    <x v="734"/>
    <x v="92"/>
    <x v="506"/>
    <x v="0"/>
    <x v="2"/>
    <x v="2"/>
    <n v="0"/>
    <n v="0"/>
  </r>
  <r>
    <s v="BAKE IT EASY"/>
    <x v="5"/>
    <x v="746"/>
    <x v="734"/>
    <x v="92"/>
    <x v="506"/>
    <x v="0"/>
    <x v="3"/>
    <x v="3"/>
    <n v="0"/>
    <n v="0"/>
  </r>
  <r>
    <s v="BAKE IT EASY"/>
    <x v="5"/>
    <x v="746"/>
    <x v="734"/>
    <x v="92"/>
    <x v="506"/>
    <x v="0"/>
    <x v="4"/>
    <x v="4"/>
    <n v="0"/>
    <n v="0"/>
  </r>
  <r>
    <s v="BAKE IT EASY"/>
    <x v="5"/>
    <x v="746"/>
    <x v="734"/>
    <x v="92"/>
    <x v="506"/>
    <x v="0"/>
    <x v="5"/>
    <x v="5"/>
    <n v="0"/>
    <n v="0"/>
  </r>
  <r>
    <s v="BAKE IT EASY"/>
    <x v="5"/>
    <x v="746"/>
    <x v="734"/>
    <x v="92"/>
    <x v="506"/>
    <x v="0"/>
    <x v="6"/>
    <x v="6"/>
    <n v="0"/>
    <n v="0"/>
  </r>
  <r>
    <s v="BAKE IT EASY"/>
    <x v="5"/>
    <x v="747"/>
    <x v="735"/>
    <x v="109"/>
    <x v="507"/>
    <x v="0"/>
    <x v="0"/>
    <x v="0"/>
    <n v="0"/>
    <n v="0"/>
  </r>
  <r>
    <s v="BAKE IT EASY"/>
    <x v="5"/>
    <x v="747"/>
    <x v="735"/>
    <x v="109"/>
    <x v="507"/>
    <x v="0"/>
    <x v="1"/>
    <x v="1"/>
    <n v="0"/>
    <n v="0"/>
  </r>
  <r>
    <s v="BAKE IT EASY"/>
    <x v="5"/>
    <x v="747"/>
    <x v="735"/>
    <x v="109"/>
    <x v="507"/>
    <x v="0"/>
    <x v="2"/>
    <x v="2"/>
    <n v="0"/>
    <n v="0"/>
  </r>
  <r>
    <s v="BAKE IT EASY"/>
    <x v="5"/>
    <x v="747"/>
    <x v="735"/>
    <x v="109"/>
    <x v="507"/>
    <x v="0"/>
    <x v="3"/>
    <x v="3"/>
    <n v="0"/>
    <n v="0"/>
  </r>
  <r>
    <s v="BAKE IT EASY"/>
    <x v="5"/>
    <x v="747"/>
    <x v="735"/>
    <x v="109"/>
    <x v="507"/>
    <x v="0"/>
    <x v="4"/>
    <x v="4"/>
    <n v="0"/>
    <n v="0"/>
  </r>
  <r>
    <s v="BAKE IT EASY"/>
    <x v="5"/>
    <x v="747"/>
    <x v="735"/>
    <x v="109"/>
    <x v="507"/>
    <x v="0"/>
    <x v="5"/>
    <x v="5"/>
    <n v="0"/>
    <n v="0"/>
  </r>
  <r>
    <s v="BAKE IT EASY"/>
    <x v="5"/>
    <x v="747"/>
    <x v="735"/>
    <x v="109"/>
    <x v="507"/>
    <x v="0"/>
    <x v="6"/>
    <x v="6"/>
    <n v="0"/>
    <n v="0"/>
  </r>
  <r>
    <s v="BAKE IT EASY"/>
    <x v="5"/>
    <x v="748"/>
    <x v="736"/>
    <x v="185"/>
    <x v="508"/>
    <x v="0"/>
    <x v="0"/>
    <x v="0"/>
    <n v="0"/>
    <n v="0"/>
  </r>
  <r>
    <s v="BAKE IT EASY"/>
    <x v="5"/>
    <x v="748"/>
    <x v="736"/>
    <x v="185"/>
    <x v="508"/>
    <x v="0"/>
    <x v="1"/>
    <x v="1"/>
    <n v="0"/>
    <n v="0"/>
  </r>
  <r>
    <s v="BAKE IT EASY"/>
    <x v="5"/>
    <x v="748"/>
    <x v="736"/>
    <x v="185"/>
    <x v="508"/>
    <x v="0"/>
    <x v="2"/>
    <x v="2"/>
    <n v="0"/>
    <n v="0"/>
  </r>
  <r>
    <s v="BAKE IT EASY"/>
    <x v="5"/>
    <x v="748"/>
    <x v="736"/>
    <x v="185"/>
    <x v="508"/>
    <x v="0"/>
    <x v="3"/>
    <x v="3"/>
    <n v="0"/>
    <n v="0"/>
  </r>
  <r>
    <s v="BAKE IT EASY"/>
    <x v="5"/>
    <x v="748"/>
    <x v="736"/>
    <x v="185"/>
    <x v="508"/>
    <x v="0"/>
    <x v="4"/>
    <x v="4"/>
    <n v="0"/>
    <n v="0"/>
  </r>
  <r>
    <s v="BAKE IT EASY"/>
    <x v="5"/>
    <x v="748"/>
    <x v="736"/>
    <x v="185"/>
    <x v="508"/>
    <x v="0"/>
    <x v="5"/>
    <x v="5"/>
    <n v="0"/>
    <n v="0"/>
  </r>
  <r>
    <s v="BAKE IT EASY"/>
    <x v="5"/>
    <x v="748"/>
    <x v="736"/>
    <x v="185"/>
    <x v="508"/>
    <x v="0"/>
    <x v="6"/>
    <x v="6"/>
    <n v="0"/>
    <n v="0"/>
  </r>
  <r>
    <s v="CHIPKINS PURATOS (BIDVEST SOL)"/>
    <x v="5"/>
    <x v="749"/>
    <x v="737"/>
    <x v="186"/>
    <x v="509"/>
    <x v="0"/>
    <x v="0"/>
    <x v="0"/>
    <n v="0"/>
    <n v="0"/>
  </r>
  <r>
    <s v="CHIPKINS PURATOS (BIDVEST SOL)"/>
    <x v="5"/>
    <x v="749"/>
    <x v="737"/>
    <x v="186"/>
    <x v="509"/>
    <x v="0"/>
    <x v="1"/>
    <x v="1"/>
    <n v="0"/>
    <n v="0"/>
  </r>
  <r>
    <s v="CHIPKINS PURATOS (BIDVEST SOL)"/>
    <x v="5"/>
    <x v="749"/>
    <x v="737"/>
    <x v="186"/>
    <x v="509"/>
    <x v="0"/>
    <x v="2"/>
    <x v="2"/>
    <n v="0"/>
    <n v="0"/>
  </r>
  <r>
    <s v="CHIPKINS PURATOS (BIDVEST SOL)"/>
    <x v="5"/>
    <x v="749"/>
    <x v="737"/>
    <x v="186"/>
    <x v="509"/>
    <x v="0"/>
    <x v="3"/>
    <x v="3"/>
    <n v="0"/>
    <n v="0"/>
  </r>
  <r>
    <s v="CHIPKINS PURATOS (BIDVEST SOL)"/>
    <x v="5"/>
    <x v="749"/>
    <x v="737"/>
    <x v="186"/>
    <x v="509"/>
    <x v="0"/>
    <x v="4"/>
    <x v="4"/>
    <n v="0"/>
    <n v="0"/>
  </r>
  <r>
    <s v="CHIPKINS PURATOS (BIDVEST SOL)"/>
    <x v="5"/>
    <x v="749"/>
    <x v="737"/>
    <x v="186"/>
    <x v="509"/>
    <x v="0"/>
    <x v="5"/>
    <x v="5"/>
    <n v="0"/>
    <n v="0"/>
  </r>
  <r>
    <s v="CHIPKINS PURATOS (BIDVEST SOL)"/>
    <x v="5"/>
    <x v="749"/>
    <x v="737"/>
    <x v="186"/>
    <x v="509"/>
    <x v="0"/>
    <x v="6"/>
    <x v="6"/>
    <n v="0"/>
    <n v="0"/>
  </r>
  <r>
    <s v="BAKE IT EASY"/>
    <x v="5"/>
    <x v="750"/>
    <x v="738"/>
    <x v="187"/>
    <x v="510"/>
    <x v="0"/>
    <x v="0"/>
    <x v="0"/>
    <n v="0"/>
    <n v="0"/>
  </r>
  <r>
    <s v="BAKE IT EASY"/>
    <x v="5"/>
    <x v="750"/>
    <x v="738"/>
    <x v="187"/>
    <x v="510"/>
    <x v="0"/>
    <x v="1"/>
    <x v="1"/>
    <n v="0"/>
    <n v="0"/>
  </r>
  <r>
    <s v="BAKE IT EASY"/>
    <x v="5"/>
    <x v="750"/>
    <x v="738"/>
    <x v="187"/>
    <x v="510"/>
    <x v="0"/>
    <x v="2"/>
    <x v="2"/>
    <n v="0"/>
    <n v="0"/>
  </r>
  <r>
    <s v="BAKE IT EASY"/>
    <x v="5"/>
    <x v="750"/>
    <x v="738"/>
    <x v="187"/>
    <x v="510"/>
    <x v="0"/>
    <x v="3"/>
    <x v="3"/>
    <n v="0"/>
    <n v="0"/>
  </r>
  <r>
    <s v="BAKE IT EASY"/>
    <x v="5"/>
    <x v="750"/>
    <x v="738"/>
    <x v="187"/>
    <x v="510"/>
    <x v="0"/>
    <x v="4"/>
    <x v="4"/>
    <n v="0"/>
    <n v="0"/>
  </r>
  <r>
    <s v="BAKE IT EASY"/>
    <x v="5"/>
    <x v="750"/>
    <x v="738"/>
    <x v="187"/>
    <x v="510"/>
    <x v="0"/>
    <x v="5"/>
    <x v="5"/>
    <n v="0"/>
    <n v="0"/>
  </r>
  <r>
    <s v="BAKE IT EASY"/>
    <x v="5"/>
    <x v="750"/>
    <x v="738"/>
    <x v="187"/>
    <x v="510"/>
    <x v="0"/>
    <x v="6"/>
    <x v="6"/>
    <n v="0"/>
    <n v="0"/>
  </r>
  <r>
    <s v="BAKE IT EASY"/>
    <x v="5"/>
    <x v="751"/>
    <x v="739"/>
    <x v="124"/>
    <x v="511"/>
    <x v="0"/>
    <x v="5"/>
    <x v="5"/>
    <n v="0"/>
    <n v="0"/>
  </r>
  <r>
    <s v="BAKE IT EASY"/>
    <x v="5"/>
    <x v="751"/>
    <x v="739"/>
    <x v="124"/>
    <x v="511"/>
    <x v="0"/>
    <x v="6"/>
    <x v="6"/>
    <n v="0"/>
    <n v="0"/>
  </r>
  <r>
    <s v="BAKE IT EASY"/>
    <x v="5"/>
    <x v="752"/>
    <x v="740"/>
    <x v="110"/>
    <x v="512"/>
    <x v="0"/>
    <x v="0"/>
    <x v="0"/>
    <n v="0"/>
    <n v="0"/>
  </r>
  <r>
    <s v="BAKE IT EASY"/>
    <x v="5"/>
    <x v="752"/>
    <x v="740"/>
    <x v="110"/>
    <x v="512"/>
    <x v="0"/>
    <x v="1"/>
    <x v="1"/>
    <n v="0"/>
    <n v="0"/>
  </r>
  <r>
    <s v="BAKE IT EASY"/>
    <x v="5"/>
    <x v="752"/>
    <x v="740"/>
    <x v="110"/>
    <x v="512"/>
    <x v="0"/>
    <x v="3"/>
    <x v="3"/>
    <n v="0"/>
    <n v="0"/>
  </r>
  <r>
    <s v="BAKE IT EASY"/>
    <x v="5"/>
    <x v="752"/>
    <x v="740"/>
    <x v="110"/>
    <x v="512"/>
    <x v="0"/>
    <x v="4"/>
    <x v="4"/>
    <n v="0"/>
    <n v="0"/>
  </r>
  <r>
    <s v="BAKE IT EASY"/>
    <x v="5"/>
    <x v="752"/>
    <x v="740"/>
    <x v="110"/>
    <x v="512"/>
    <x v="0"/>
    <x v="5"/>
    <x v="5"/>
    <n v="0"/>
    <n v="0"/>
  </r>
  <r>
    <s v="BAKE IT EASY"/>
    <x v="5"/>
    <x v="752"/>
    <x v="740"/>
    <x v="110"/>
    <x v="512"/>
    <x v="0"/>
    <x v="6"/>
    <x v="6"/>
    <n v="0"/>
    <n v="0"/>
  </r>
  <r>
    <s v="BAKE IT EASY"/>
    <x v="5"/>
    <x v="753"/>
    <x v="741"/>
    <x v="168"/>
    <x v="461"/>
    <x v="0"/>
    <x v="0"/>
    <x v="0"/>
    <n v="0"/>
    <n v="0"/>
  </r>
  <r>
    <s v="BAKE IT EASY"/>
    <x v="5"/>
    <x v="753"/>
    <x v="741"/>
    <x v="168"/>
    <x v="461"/>
    <x v="0"/>
    <x v="1"/>
    <x v="1"/>
    <n v="0"/>
    <n v="0"/>
  </r>
  <r>
    <s v="BAKE IT EASY"/>
    <x v="5"/>
    <x v="753"/>
    <x v="741"/>
    <x v="168"/>
    <x v="461"/>
    <x v="0"/>
    <x v="2"/>
    <x v="2"/>
    <n v="0"/>
    <n v="0"/>
  </r>
  <r>
    <s v="BAKE IT EASY"/>
    <x v="5"/>
    <x v="753"/>
    <x v="741"/>
    <x v="168"/>
    <x v="461"/>
    <x v="0"/>
    <x v="3"/>
    <x v="3"/>
    <n v="0"/>
    <n v="0"/>
  </r>
  <r>
    <s v="BAKE IT EASY"/>
    <x v="5"/>
    <x v="753"/>
    <x v="741"/>
    <x v="168"/>
    <x v="461"/>
    <x v="0"/>
    <x v="4"/>
    <x v="4"/>
    <n v="0"/>
    <n v="0"/>
  </r>
  <r>
    <s v="BAKE IT EASY"/>
    <x v="5"/>
    <x v="753"/>
    <x v="741"/>
    <x v="168"/>
    <x v="461"/>
    <x v="0"/>
    <x v="5"/>
    <x v="5"/>
    <n v="0"/>
    <n v="0"/>
  </r>
  <r>
    <s v="BAKE IT EASY"/>
    <x v="5"/>
    <x v="753"/>
    <x v="741"/>
    <x v="168"/>
    <x v="461"/>
    <x v="0"/>
    <x v="6"/>
    <x v="6"/>
    <n v="0"/>
    <n v="0"/>
  </r>
  <r>
    <s v="CHIPKINS PURATOS (BIDVEST SOL)"/>
    <x v="5"/>
    <x v="754"/>
    <x v="742"/>
    <x v="188"/>
    <x v="513"/>
    <x v="0"/>
    <x v="0"/>
    <x v="0"/>
    <n v="0"/>
    <n v="0"/>
  </r>
  <r>
    <s v="CHIPKINS PURATOS (BIDVEST SOL)"/>
    <x v="5"/>
    <x v="754"/>
    <x v="742"/>
    <x v="188"/>
    <x v="513"/>
    <x v="0"/>
    <x v="1"/>
    <x v="1"/>
    <n v="0"/>
    <n v="0"/>
  </r>
  <r>
    <s v="CHIPKINS PURATOS (BIDVEST SOL)"/>
    <x v="5"/>
    <x v="754"/>
    <x v="742"/>
    <x v="188"/>
    <x v="513"/>
    <x v="0"/>
    <x v="2"/>
    <x v="2"/>
    <n v="0"/>
    <n v="0"/>
  </r>
  <r>
    <s v="CHIPKINS PURATOS (BIDVEST SOL)"/>
    <x v="5"/>
    <x v="754"/>
    <x v="742"/>
    <x v="188"/>
    <x v="513"/>
    <x v="0"/>
    <x v="3"/>
    <x v="3"/>
    <n v="0"/>
    <n v="0"/>
  </r>
  <r>
    <s v="CHIPKINS PURATOS (BIDVEST SOL)"/>
    <x v="5"/>
    <x v="754"/>
    <x v="742"/>
    <x v="188"/>
    <x v="513"/>
    <x v="0"/>
    <x v="4"/>
    <x v="4"/>
    <n v="0"/>
    <n v="0"/>
  </r>
  <r>
    <s v="CHIPKINS PURATOS (BIDVEST SOL)"/>
    <x v="5"/>
    <x v="754"/>
    <x v="742"/>
    <x v="188"/>
    <x v="513"/>
    <x v="0"/>
    <x v="5"/>
    <x v="5"/>
    <n v="0"/>
    <n v="0"/>
  </r>
  <r>
    <s v="CHIPKINS PURATOS (BIDVEST SOL)"/>
    <x v="5"/>
    <x v="754"/>
    <x v="742"/>
    <x v="188"/>
    <x v="513"/>
    <x v="0"/>
    <x v="6"/>
    <x v="6"/>
    <n v="0"/>
    <n v="0"/>
  </r>
  <r>
    <s v="NATURE'S BASKET"/>
    <x v="5"/>
    <x v="755"/>
    <x v="743"/>
    <x v="13"/>
    <x v="514"/>
    <x v="0"/>
    <x v="0"/>
    <x v="0"/>
    <n v="0"/>
    <n v="0"/>
  </r>
  <r>
    <s v="NATURE'S BASKET"/>
    <x v="5"/>
    <x v="755"/>
    <x v="743"/>
    <x v="13"/>
    <x v="514"/>
    <x v="0"/>
    <x v="1"/>
    <x v="1"/>
    <n v="0"/>
    <n v="0"/>
  </r>
  <r>
    <s v="NATURE'S BASKET"/>
    <x v="5"/>
    <x v="755"/>
    <x v="743"/>
    <x v="13"/>
    <x v="514"/>
    <x v="0"/>
    <x v="2"/>
    <x v="2"/>
    <n v="0"/>
    <n v="0"/>
  </r>
  <r>
    <s v="NATURE'S BASKET"/>
    <x v="5"/>
    <x v="755"/>
    <x v="743"/>
    <x v="13"/>
    <x v="514"/>
    <x v="0"/>
    <x v="3"/>
    <x v="3"/>
    <n v="0"/>
    <n v="0"/>
  </r>
  <r>
    <s v="NATURE'S BASKET"/>
    <x v="5"/>
    <x v="755"/>
    <x v="743"/>
    <x v="13"/>
    <x v="514"/>
    <x v="0"/>
    <x v="4"/>
    <x v="4"/>
    <n v="0"/>
    <n v="0"/>
  </r>
  <r>
    <s v="NATURE'S BASKET"/>
    <x v="5"/>
    <x v="755"/>
    <x v="743"/>
    <x v="13"/>
    <x v="514"/>
    <x v="0"/>
    <x v="5"/>
    <x v="5"/>
    <n v="0"/>
    <n v="0"/>
  </r>
  <r>
    <s v="NATURE'S BASKET"/>
    <x v="5"/>
    <x v="755"/>
    <x v="743"/>
    <x v="13"/>
    <x v="514"/>
    <x v="0"/>
    <x v="6"/>
    <x v="6"/>
    <n v="0"/>
    <n v="0"/>
  </r>
  <r>
    <s v="NATURE'S BASKET"/>
    <x v="5"/>
    <x v="756"/>
    <x v="744"/>
    <x v="161"/>
    <x v="515"/>
    <x v="0"/>
    <x v="0"/>
    <x v="0"/>
    <n v="0"/>
    <n v="0"/>
  </r>
  <r>
    <s v="NATURE'S BASKET"/>
    <x v="5"/>
    <x v="756"/>
    <x v="744"/>
    <x v="161"/>
    <x v="515"/>
    <x v="0"/>
    <x v="1"/>
    <x v="1"/>
    <n v="0"/>
    <n v="0"/>
  </r>
  <r>
    <s v="NATURE'S BASKET"/>
    <x v="5"/>
    <x v="756"/>
    <x v="744"/>
    <x v="161"/>
    <x v="515"/>
    <x v="0"/>
    <x v="2"/>
    <x v="2"/>
    <n v="0"/>
    <n v="0"/>
  </r>
  <r>
    <s v="NATURE'S BASKET"/>
    <x v="5"/>
    <x v="756"/>
    <x v="744"/>
    <x v="161"/>
    <x v="515"/>
    <x v="0"/>
    <x v="3"/>
    <x v="3"/>
    <n v="0"/>
    <n v="0"/>
  </r>
  <r>
    <s v="NATURE'S BASKET"/>
    <x v="5"/>
    <x v="756"/>
    <x v="744"/>
    <x v="161"/>
    <x v="515"/>
    <x v="0"/>
    <x v="4"/>
    <x v="4"/>
    <n v="0"/>
    <n v="0"/>
  </r>
  <r>
    <s v="NATURE'S BASKET"/>
    <x v="5"/>
    <x v="756"/>
    <x v="744"/>
    <x v="161"/>
    <x v="515"/>
    <x v="0"/>
    <x v="5"/>
    <x v="5"/>
    <n v="0"/>
    <n v="0"/>
  </r>
  <r>
    <s v="NATURE'S BASKET"/>
    <x v="5"/>
    <x v="756"/>
    <x v="744"/>
    <x v="161"/>
    <x v="515"/>
    <x v="0"/>
    <x v="6"/>
    <x v="6"/>
    <n v="0"/>
    <n v="0"/>
  </r>
  <r>
    <s v="NATURE'S BASKET"/>
    <x v="5"/>
    <x v="757"/>
    <x v="745"/>
    <x v="189"/>
    <x v="516"/>
    <x v="0"/>
    <x v="0"/>
    <x v="0"/>
    <n v="0"/>
    <n v="0"/>
  </r>
  <r>
    <s v="NATURE'S BASKET"/>
    <x v="5"/>
    <x v="757"/>
    <x v="745"/>
    <x v="189"/>
    <x v="516"/>
    <x v="0"/>
    <x v="1"/>
    <x v="1"/>
    <n v="0"/>
    <n v="0"/>
  </r>
  <r>
    <s v="NATURE'S BASKET"/>
    <x v="5"/>
    <x v="757"/>
    <x v="745"/>
    <x v="189"/>
    <x v="516"/>
    <x v="0"/>
    <x v="2"/>
    <x v="2"/>
    <n v="0"/>
    <n v="0"/>
  </r>
  <r>
    <s v="NATURE'S BASKET"/>
    <x v="5"/>
    <x v="757"/>
    <x v="745"/>
    <x v="189"/>
    <x v="516"/>
    <x v="0"/>
    <x v="3"/>
    <x v="3"/>
    <n v="0"/>
    <n v="0"/>
  </r>
  <r>
    <s v="NATURE'S BASKET"/>
    <x v="5"/>
    <x v="757"/>
    <x v="745"/>
    <x v="189"/>
    <x v="516"/>
    <x v="0"/>
    <x v="4"/>
    <x v="4"/>
    <n v="0"/>
    <n v="0"/>
  </r>
  <r>
    <s v="NATURE'S BASKET"/>
    <x v="5"/>
    <x v="757"/>
    <x v="745"/>
    <x v="189"/>
    <x v="516"/>
    <x v="0"/>
    <x v="5"/>
    <x v="5"/>
    <n v="0"/>
    <n v="0"/>
  </r>
  <r>
    <s v="NATURE'S BASKET"/>
    <x v="5"/>
    <x v="757"/>
    <x v="745"/>
    <x v="189"/>
    <x v="516"/>
    <x v="0"/>
    <x v="6"/>
    <x v="6"/>
    <n v="0"/>
    <n v="0"/>
  </r>
  <r>
    <s v="DELI CO MEAT WHOLESALERS"/>
    <x v="5"/>
    <x v="758"/>
    <x v="746"/>
    <x v="190"/>
    <x v="517"/>
    <x v="0"/>
    <x v="0"/>
    <x v="0"/>
    <n v="0"/>
    <n v="0"/>
  </r>
  <r>
    <s v="DELI CO MEAT WHOLESALERS"/>
    <x v="5"/>
    <x v="758"/>
    <x v="746"/>
    <x v="190"/>
    <x v="517"/>
    <x v="0"/>
    <x v="1"/>
    <x v="1"/>
    <n v="0"/>
    <n v="0"/>
  </r>
  <r>
    <s v="DELI CO MEAT WHOLESALERS"/>
    <x v="5"/>
    <x v="758"/>
    <x v="746"/>
    <x v="190"/>
    <x v="517"/>
    <x v="0"/>
    <x v="2"/>
    <x v="2"/>
    <n v="0"/>
    <n v="0"/>
  </r>
  <r>
    <s v="DELI CO MEAT WHOLESALERS"/>
    <x v="5"/>
    <x v="758"/>
    <x v="746"/>
    <x v="190"/>
    <x v="517"/>
    <x v="0"/>
    <x v="3"/>
    <x v="3"/>
    <n v="0"/>
    <n v="0"/>
  </r>
  <r>
    <s v="DELI CO MEAT WHOLESALERS"/>
    <x v="5"/>
    <x v="758"/>
    <x v="746"/>
    <x v="190"/>
    <x v="517"/>
    <x v="0"/>
    <x v="4"/>
    <x v="4"/>
    <n v="0"/>
    <n v="0"/>
  </r>
  <r>
    <s v="DELI CO MEAT WHOLESALERS"/>
    <x v="5"/>
    <x v="758"/>
    <x v="746"/>
    <x v="190"/>
    <x v="517"/>
    <x v="0"/>
    <x v="5"/>
    <x v="5"/>
    <n v="0"/>
    <n v="0"/>
  </r>
  <r>
    <s v="DELI CO MEAT WHOLESALERS"/>
    <x v="5"/>
    <x v="758"/>
    <x v="746"/>
    <x v="190"/>
    <x v="517"/>
    <x v="0"/>
    <x v="6"/>
    <x v="6"/>
    <n v="0"/>
    <n v="0"/>
  </r>
  <r>
    <s v="NATURE'S BASKET"/>
    <x v="5"/>
    <x v="759"/>
    <x v="747"/>
    <x v="85"/>
    <x v="518"/>
    <x v="0"/>
    <x v="0"/>
    <x v="0"/>
    <n v="0"/>
    <n v="0"/>
  </r>
  <r>
    <s v="NATURE'S BASKET"/>
    <x v="5"/>
    <x v="759"/>
    <x v="747"/>
    <x v="85"/>
    <x v="518"/>
    <x v="0"/>
    <x v="1"/>
    <x v="1"/>
    <n v="0"/>
    <n v="0"/>
  </r>
  <r>
    <s v="NATURE'S BASKET"/>
    <x v="5"/>
    <x v="759"/>
    <x v="747"/>
    <x v="85"/>
    <x v="518"/>
    <x v="0"/>
    <x v="2"/>
    <x v="2"/>
    <n v="0"/>
    <n v="0"/>
  </r>
  <r>
    <s v="NATURE'S BASKET"/>
    <x v="5"/>
    <x v="759"/>
    <x v="747"/>
    <x v="85"/>
    <x v="518"/>
    <x v="0"/>
    <x v="3"/>
    <x v="3"/>
    <n v="0"/>
    <n v="0"/>
  </r>
  <r>
    <s v="NATURE'S BASKET"/>
    <x v="5"/>
    <x v="759"/>
    <x v="747"/>
    <x v="85"/>
    <x v="518"/>
    <x v="0"/>
    <x v="4"/>
    <x v="4"/>
    <n v="0"/>
    <n v="0"/>
  </r>
  <r>
    <s v="NATURE'S BASKET"/>
    <x v="5"/>
    <x v="759"/>
    <x v="747"/>
    <x v="85"/>
    <x v="518"/>
    <x v="0"/>
    <x v="5"/>
    <x v="5"/>
    <n v="0"/>
    <n v="0"/>
  </r>
  <r>
    <s v="NATURE'S BASKET"/>
    <x v="5"/>
    <x v="759"/>
    <x v="747"/>
    <x v="85"/>
    <x v="518"/>
    <x v="0"/>
    <x v="6"/>
    <x v="6"/>
    <n v="0"/>
    <n v="0"/>
  </r>
  <r>
    <s v="MOOIVALLEI SUIWEL"/>
    <x v="5"/>
    <x v="760"/>
    <x v="748"/>
    <x v="191"/>
    <x v="519"/>
    <x v="0"/>
    <x v="0"/>
    <x v="0"/>
    <n v="0"/>
    <n v="0"/>
  </r>
  <r>
    <s v="MOOIVALLEI SUIWEL"/>
    <x v="5"/>
    <x v="760"/>
    <x v="748"/>
    <x v="191"/>
    <x v="519"/>
    <x v="0"/>
    <x v="1"/>
    <x v="1"/>
    <n v="0"/>
    <n v="0"/>
  </r>
  <r>
    <s v="MOOIVALLEI SUIWEL"/>
    <x v="5"/>
    <x v="760"/>
    <x v="748"/>
    <x v="191"/>
    <x v="519"/>
    <x v="0"/>
    <x v="2"/>
    <x v="2"/>
    <n v="0"/>
    <n v="0"/>
  </r>
  <r>
    <s v="MOOIVALLEI SUIWEL"/>
    <x v="5"/>
    <x v="760"/>
    <x v="748"/>
    <x v="191"/>
    <x v="519"/>
    <x v="0"/>
    <x v="3"/>
    <x v="3"/>
    <n v="0"/>
    <n v="0"/>
  </r>
  <r>
    <s v="MOOIVALLEI SUIWEL"/>
    <x v="5"/>
    <x v="760"/>
    <x v="748"/>
    <x v="191"/>
    <x v="519"/>
    <x v="0"/>
    <x v="4"/>
    <x v="4"/>
    <n v="0"/>
    <n v="0"/>
  </r>
  <r>
    <s v="MOOIVALLEI SUIWEL"/>
    <x v="5"/>
    <x v="760"/>
    <x v="748"/>
    <x v="191"/>
    <x v="519"/>
    <x v="0"/>
    <x v="5"/>
    <x v="5"/>
    <n v="0"/>
    <n v="0"/>
  </r>
  <r>
    <s v="MOOIVALLEI SUIWEL"/>
    <x v="5"/>
    <x v="760"/>
    <x v="748"/>
    <x v="191"/>
    <x v="519"/>
    <x v="0"/>
    <x v="6"/>
    <x v="6"/>
    <n v="0"/>
    <n v="0"/>
  </r>
  <r>
    <s v="AUSTRIAN PREMIX BAKING CO"/>
    <x v="5"/>
    <x v="761"/>
    <x v="749"/>
    <x v="18"/>
    <x v="520"/>
    <x v="0"/>
    <x v="0"/>
    <x v="0"/>
    <n v="0"/>
    <n v="0"/>
  </r>
  <r>
    <s v="AUSTRIAN PREMIX BAKING CO"/>
    <x v="5"/>
    <x v="761"/>
    <x v="749"/>
    <x v="18"/>
    <x v="520"/>
    <x v="0"/>
    <x v="1"/>
    <x v="1"/>
    <n v="0"/>
    <n v="0"/>
  </r>
  <r>
    <s v="AUSTRIAN PREMIX BAKING CO"/>
    <x v="5"/>
    <x v="761"/>
    <x v="749"/>
    <x v="18"/>
    <x v="520"/>
    <x v="0"/>
    <x v="2"/>
    <x v="2"/>
    <n v="0"/>
    <n v="0"/>
  </r>
  <r>
    <s v="AUSTRIAN PREMIX BAKING CO"/>
    <x v="5"/>
    <x v="761"/>
    <x v="749"/>
    <x v="18"/>
    <x v="520"/>
    <x v="0"/>
    <x v="3"/>
    <x v="3"/>
    <n v="0"/>
    <n v="0"/>
  </r>
  <r>
    <s v="AUSTRIAN PREMIX BAKING CO"/>
    <x v="5"/>
    <x v="761"/>
    <x v="749"/>
    <x v="18"/>
    <x v="520"/>
    <x v="0"/>
    <x v="4"/>
    <x v="4"/>
    <n v="0"/>
    <n v="0"/>
  </r>
  <r>
    <s v="AUSTRIAN PREMIX BAKING CO"/>
    <x v="5"/>
    <x v="761"/>
    <x v="749"/>
    <x v="18"/>
    <x v="520"/>
    <x v="0"/>
    <x v="5"/>
    <x v="5"/>
    <n v="0"/>
    <n v="0"/>
  </r>
  <r>
    <s v="AUSTRIAN PREMIX BAKING CO"/>
    <x v="5"/>
    <x v="761"/>
    <x v="749"/>
    <x v="18"/>
    <x v="520"/>
    <x v="0"/>
    <x v="6"/>
    <x v="6"/>
    <n v="0"/>
    <n v="0"/>
  </r>
  <r>
    <s v="AUSTRIAN PREMIX BAKING CO"/>
    <x v="5"/>
    <x v="762"/>
    <x v="750"/>
    <x v="32"/>
    <x v="521"/>
    <x v="0"/>
    <x v="0"/>
    <x v="0"/>
    <n v="0"/>
    <n v="0"/>
  </r>
  <r>
    <s v="AUSTRIAN PREMIX BAKING CO"/>
    <x v="5"/>
    <x v="762"/>
    <x v="750"/>
    <x v="32"/>
    <x v="521"/>
    <x v="0"/>
    <x v="1"/>
    <x v="1"/>
    <n v="0"/>
    <n v="0"/>
  </r>
  <r>
    <s v="AUSTRIAN PREMIX BAKING CO"/>
    <x v="5"/>
    <x v="762"/>
    <x v="750"/>
    <x v="32"/>
    <x v="521"/>
    <x v="0"/>
    <x v="2"/>
    <x v="2"/>
    <n v="0"/>
    <n v="0"/>
  </r>
  <r>
    <s v="AUSTRIAN PREMIX BAKING CO"/>
    <x v="5"/>
    <x v="762"/>
    <x v="750"/>
    <x v="32"/>
    <x v="521"/>
    <x v="0"/>
    <x v="3"/>
    <x v="3"/>
    <n v="0"/>
    <n v="0"/>
  </r>
  <r>
    <s v="AUSTRIAN PREMIX BAKING CO"/>
    <x v="5"/>
    <x v="762"/>
    <x v="750"/>
    <x v="32"/>
    <x v="521"/>
    <x v="0"/>
    <x v="4"/>
    <x v="4"/>
    <n v="0"/>
    <n v="0"/>
  </r>
  <r>
    <s v="AUSTRIAN PREMIX BAKING CO"/>
    <x v="5"/>
    <x v="762"/>
    <x v="750"/>
    <x v="32"/>
    <x v="521"/>
    <x v="0"/>
    <x v="5"/>
    <x v="5"/>
    <n v="0"/>
    <n v="0"/>
  </r>
  <r>
    <s v="AUSTRIAN PREMIX BAKING CO"/>
    <x v="5"/>
    <x v="762"/>
    <x v="750"/>
    <x v="32"/>
    <x v="521"/>
    <x v="0"/>
    <x v="6"/>
    <x v="6"/>
    <n v="0"/>
    <n v="0"/>
  </r>
  <r>
    <s v="RICH PRODUCTS"/>
    <x v="5"/>
    <x v="763"/>
    <x v="751"/>
    <x v="84"/>
    <x v="522"/>
    <x v="0"/>
    <x v="0"/>
    <x v="0"/>
    <n v="0"/>
    <n v="0"/>
  </r>
  <r>
    <s v="RICH PRODUCTS"/>
    <x v="5"/>
    <x v="763"/>
    <x v="751"/>
    <x v="84"/>
    <x v="522"/>
    <x v="0"/>
    <x v="1"/>
    <x v="1"/>
    <n v="0"/>
    <n v="0"/>
  </r>
  <r>
    <s v="RICH PRODUCTS"/>
    <x v="5"/>
    <x v="763"/>
    <x v="751"/>
    <x v="84"/>
    <x v="522"/>
    <x v="0"/>
    <x v="2"/>
    <x v="2"/>
    <n v="0"/>
    <n v="0"/>
  </r>
  <r>
    <s v="RICH PRODUCTS"/>
    <x v="5"/>
    <x v="763"/>
    <x v="751"/>
    <x v="84"/>
    <x v="522"/>
    <x v="0"/>
    <x v="3"/>
    <x v="3"/>
    <n v="0"/>
    <n v="0"/>
  </r>
  <r>
    <s v="RICH PRODUCTS"/>
    <x v="5"/>
    <x v="763"/>
    <x v="751"/>
    <x v="84"/>
    <x v="522"/>
    <x v="0"/>
    <x v="4"/>
    <x v="4"/>
    <n v="0"/>
    <n v="0"/>
  </r>
  <r>
    <s v="RICH PRODUCTS"/>
    <x v="5"/>
    <x v="763"/>
    <x v="751"/>
    <x v="84"/>
    <x v="522"/>
    <x v="0"/>
    <x v="5"/>
    <x v="5"/>
    <n v="0"/>
    <n v="0"/>
  </r>
  <r>
    <s v="RICH PRODUCTS"/>
    <x v="5"/>
    <x v="763"/>
    <x v="751"/>
    <x v="84"/>
    <x v="522"/>
    <x v="0"/>
    <x v="6"/>
    <x v="6"/>
    <n v="0"/>
    <n v="0"/>
  </r>
  <r>
    <s v="CAKE FLORA"/>
    <x v="5"/>
    <x v="764"/>
    <x v="752"/>
    <x v="152"/>
    <x v="523"/>
    <x v="0"/>
    <x v="0"/>
    <x v="0"/>
    <n v="0"/>
    <n v="0"/>
  </r>
  <r>
    <s v="CAKE FLORA"/>
    <x v="5"/>
    <x v="764"/>
    <x v="752"/>
    <x v="152"/>
    <x v="523"/>
    <x v="0"/>
    <x v="1"/>
    <x v="1"/>
    <n v="0"/>
    <n v="0"/>
  </r>
  <r>
    <s v="CAKE FLORA"/>
    <x v="5"/>
    <x v="764"/>
    <x v="752"/>
    <x v="152"/>
    <x v="523"/>
    <x v="0"/>
    <x v="2"/>
    <x v="2"/>
    <n v="0"/>
    <n v="0"/>
  </r>
  <r>
    <s v="CAKE FLORA"/>
    <x v="5"/>
    <x v="764"/>
    <x v="752"/>
    <x v="152"/>
    <x v="523"/>
    <x v="0"/>
    <x v="3"/>
    <x v="3"/>
    <n v="0"/>
    <n v="0"/>
  </r>
  <r>
    <s v="CAKE FLORA"/>
    <x v="5"/>
    <x v="764"/>
    <x v="752"/>
    <x v="152"/>
    <x v="523"/>
    <x v="0"/>
    <x v="4"/>
    <x v="4"/>
    <n v="0"/>
    <n v="0"/>
  </r>
  <r>
    <s v="CAKE FLORA"/>
    <x v="5"/>
    <x v="764"/>
    <x v="752"/>
    <x v="152"/>
    <x v="523"/>
    <x v="0"/>
    <x v="5"/>
    <x v="5"/>
    <n v="0"/>
    <n v="0"/>
  </r>
  <r>
    <s v="CAKE FLORA"/>
    <x v="5"/>
    <x v="764"/>
    <x v="752"/>
    <x v="152"/>
    <x v="523"/>
    <x v="0"/>
    <x v="6"/>
    <x v="6"/>
    <n v="0"/>
    <n v="0"/>
  </r>
  <r>
    <s v="CAKE FLORA"/>
    <x v="5"/>
    <x v="765"/>
    <x v="753"/>
    <x v="152"/>
    <x v="524"/>
    <x v="0"/>
    <x v="0"/>
    <x v="0"/>
    <n v="0"/>
    <n v="0"/>
  </r>
  <r>
    <s v="CAKE FLORA"/>
    <x v="5"/>
    <x v="765"/>
    <x v="753"/>
    <x v="152"/>
    <x v="524"/>
    <x v="0"/>
    <x v="1"/>
    <x v="1"/>
    <n v="0"/>
    <n v="0"/>
  </r>
  <r>
    <s v="CAKE FLORA"/>
    <x v="5"/>
    <x v="765"/>
    <x v="753"/>
    <x v="152"/>
    <x v="524"/>
    <x v="0"/>
    <x v="2"/>
    <x v="2"/>
    <n v="0"/>
    <n v="0"/>
  </r>
  <r>
    <s v="CAKE FLORA"/>
    <x v="5"/>
    <x v="765"/>
    <x v="753"/>
    <x v="152"/>
    <x v="524"/>
    <x v="0"/>
    <x v="3"/>
    <x v="3"/>
    <n v="0"/>
    <n v="0"/>
  </r>
  <r>
    <s v="CAKE FLORA"/>
    <x v="5"/>
    <x v="765"/>
    <x v="753"/>
    <x v="152"/>
    <x v="524"/>
    <x v="0"/>
    <x v="4"/>
    <x v="4"/>
    <n v="0"/>
    <n v="0"/>
  </r>
  <r>
    <s v="CAKE FLORA"/>
    <x v="5"/>
    <x v="765"/>
    <x v="753"/>
    <x v="152"/>
    <x v="524"/>
    <x v="0"/>
    <x v="5"/>
    <x v="5"/>
    <n v="0"/>
    <n v="0"/>
  </r>
  <r>
    <s v="CAKE FLORA"/>
    <x v="5"/>
    <x v="765"/>
    <x v="753"/>
    <x v="152"/>
    <x v="524"/>
    <x v="0"/>
    <x v="6"/>
    <x v="6"/>
    <n v="0"/>
    <n v="0"/>
  </r>
  <r>
    <s v="CAKE FLORA"/>
    <x v="5"/>
    <x v="766"/>
    <x v="754"/>
    <x v="152"/>
    <x v="523"/>
    <x v="0"/>
    <x v="0"/>
    <x v="0"/>
    <n v="0"/>
    <n v="0"/>
  </r>
  <r>
    <s v="CAKE FLORA"/>
    <x v="5"/>
    <x v="766"/>
    <x v="754"/>
    <x v="152"/>
    <x v="523"/>
    <x v="0"/>
    <x v="1"/>
    <x v="1"/>
    <n v="0"/>
    <n v="0"/>
  </r>
  <r>
    <s v="CAKE FLORA"/>
    <x v="5"/>
    <x v="766"/>
    <x v="754"/>
    <x v="152"/>
    <x v="523"/>
    <x v="0"/>
    <x v="2"/>
    <x v="2"/>
    <n v="0"/>
    <n v="0"/>
  </r>
  <r>
    <s v="CAKE FLORA"/>
    <x v="5"/>
    <x v="766"/>
    <x v="754"/>
    <x v="152"/>
    <x v="523"/>
    <x v="0"/>
    <x v="3"/>
    <x v="3"/>
    <n v="0"/>
    <n v="0"/>
  </r>
  <r>
    <s v="CAKE FLORA"/>
    <x v="5"/>
    <x v="766"/>
    <x v="754"/>
    <x v="152"/>
    <x v="523"/>
    <x v="0"/>
    <x v="4"/>
    <x v="4"/>
    <n v="0"/>
    <n v="0"/>
  </r>
  <r>
    <s v="CAKE FLORA"/>
    <x v="5"/>
    <x v="766"/>
    <x v="754"/>
    <x v="152"/>
    <x v="523"/>
    <x v="0"/>
    <x v="5"/>
    <x v="5"/>
    <n v="0"/>
    <n v="0"/>
  </r>
  <r>
    <s v="CAKE FLORA"/>
    <x v="5"/>
    <x v="766"/>
    <x v="754"/>
    <x v="152"/>
    <x v="523"/>
    <x v="0"/>
    <x v="6"/>
    <x v="6"/>
    <n v="0"/>
    <n v="0"/>
  </r>
  <r>
    <s v="MOOIVALLEI SUIWEL"/>
    <x v="5"/>
    <x v="767"/>
    <x v="755"/>
    <x v="18"/>
    <x v="525"/>
    <x v="0"/>
    <x v="0"/>
    <x v="0"/>
    <n v="0"/>
    <n v="0"/>
  </r>
  <r>
    <s v="MOOIVALLEI SUIWEL"/>
    <x v="5"/>
    <x v="767"/>
    <x v="755"/>
    <x v="18"/>
    <x v="525"/>
    <x v="0"/>
    <x v="1"/>
    <x v="1"/>
    <n v="0"/>
    <n v="0"/>
  </r>
  <r>
    <s v="MOOIVALLEI SUIWEL"/>
    <x v="5"/>
    <x v="767"/>
    <x v="755"/>
    <x v="18"/>
    <x v="525"/>
    <x v="0"/>
    <x v="2"/>
    <x v="2"/>
    <n v="0"/>
    <n v="0"/>
  </r>
  <r>
    <s v="MOOIVALLEI SUIWEL"/>
    <x v="5"/>
    <x v="767"/>
    <x v="755"/>
    <x v="18"/>
    <x v="525"/>
    <x v="0"/>
    <x v="3"/>
    <x v="3"/>
    <n v="0"/>
    <n v="0"/>
  </r>
  <r>
    <s v="MOOIVALLEI SUIWEL"/>
    <x v="5"/>
    <x v="767"/>
    <x v="755"/>
    <x v="18"/>
    <x v="525"/>
    <x v="0"/>
    <x v="4"/>
    <x v="4"/>
    <n v="0"/>
    <n v="0"/>
  </r>
  <r>
    <s v="MOOIVALLEI SUIWEL"/>
    <x v="5"/>
    <x v="767"/>
    <x v="755"/>
    <x v="18"/>
    <x v="525"/>
    <x v="0"/>
    <x v="5"/>
    <x v="5"/>
    <n v="0"/>
    <n v="0"/>
  </r>
  <r>
    <s v="MOOIVALLEI SUIWEL"/>
    <x v="5"/>
    <x v="767"/>
    <x v="755"/>
    <x v="18"/>
    <x v="525"/>
    <x v="0"/>
    <x v="6"/>
    <x v="6"/>
    <n v="0"/>
    <n v="0"/>
  </r>
  <r>
    <s v="CHIPKINS PURATOS (BIDVEST SOL)"/>
    <x v="5"/>
    <x v="768"/>
    <x v="756"/>
    <x v="192"/>
    <x v="526"/>
    <x v="0"/>
    <x v="0"/>
    <x v="0"/>
    <n v="0"/>
    <n v="0"/>
  </r>
  <r>
    <s v="CHIPKINS PURATOS (BIDVEST SOL)"/>
    <x v="5"/>
    <x v="768"/>
    <x v="756"/>
    <x v="192"/>
    <x v="526"/>
    <x v="0"/>
    <x v="1"/>
    <x v="1"/>
    <n v="0"/>
    <n v="0"/>
  </r>
  <r>
    <s v="CHIPKINS PURATOS (BIDVEST SOL)"/>
    <x v="5"/>
    <x v="768"/>
    <x v="756"/>
    <x v="192"/>
    <x v="526"/>
    <x v="0"/>
    <x v="2"/>
    <x v="2"/>
    <n v="0"/>
    <n v="0"/>
  </r>
  <r>
    <s v="CHIPKINS PURATOS (BIDVEST SOL)"/>
    <x v="5"/>
    <x v="768"/>
    <x v="756"/>
    <x v="192"/>
    <x v="526"/>
    <x v="0"/>
    <x v="3"/>
    <x v="3"/>
    <n v="0"/>
    <n v="0"/>
  </r>
  <r>
    <s v="CHIPKINS PURATOS (BIDVEST SOL)"/>
    <x v="5"/>
    <x v="768"/>
    <x v="756"/>
    <x v="192"/>
    <x v="526"/>
    <x v="0"/>
    <x v="4"/>
    <x v="4"/>
    <n v="0"/>
    <n v="0"/>
  </r>
  <r>
    <s v="CHIPKINS PURATOS (BIDVEST SOL)"/>
    <x v="5"/>
    <x v="768"/>
    <x v="756"/>
    <x v="192"/>
    <x v="526"/>
    <x v="0"/>
    <x v="5"/>
    <x v="5"/>
    <n v="0"/>
    <n v="0"/>
  </r>
  <r>
    <s v="CHIPKINS PURATOS (BIDVEST SOL)"/>
    <x v="5"/>
    <x v="768"/>
    <x v="756"/>
    <x v="192"/>
    <x v="526"/>
    <x v="0"/>
    <x v="6"/>
    <x v="6"/>
    <n v="0"/>
    <n v="0"/>
  </r>
  <r>
    <s v="CHIPKINS PURATOS (BIDVEST SOL)"/>
    <x v="5"/>
    <x v="769"/>
    <x v="757"/>
    <x v="63"/>
    <x v="527"/>
    <x v="0"/>
    <x v="0"/>
    <x v="0"/>
    <n v="0"/>
    <n v="0"/>
  </r>
  <r>
    <s v="CHIPKINS PURATOS (BIDVEST SOL)"/>
    <x v="5"/>
    <x v="769"/>
    <x v="757"/>
    <x v="63"/>
    <x v="527"/>
    <x v="0"/>
    <x v="1"/>
    <x v="1"/>
    <n v="0"/>
    <n v="0"/>
  </r>
  <r>
    <s v="CHIPKINS PURATOS (BIDVEST SOL)"/>
    <x v="5"/>
    <x v="769"/>
    <x v="757"/>
    <x v="63"/>
    <x v="527"/>
    <x v="0"/>
    <x v="2"/>
    <x v="2"/>
    <n v="0"/>
    <n v="0"/>
  </r>
  <r>
    <s v="CHIPKINS PURATOS (BIDVEST SOL)"/>
    <x v="5"/>
    <x v="769"/>
    <x v="757"/>
    <x v="63"/>
    <x v="527"/>
    <x v="0"/>
    <x v="3"/>
    <x v="3"/>
    <n v="0"/>
    <n v="0"/>
  </r>
  <r>
    <s v="CHIPKINS PURATOS (BIDVEST SOL)"/>
    <x v="5"/>
    <x v="769"/>
    <x v="757"/>
    <x v="63"/>
    <x v="527"/>
    <x v="0"/>
    <x v="4"/>
    <x v="4"/>
    <n v="0"/>
    <n v="0"/>
  </r>
  <r>
    <s v="CHIPKINS PURATOS (BIDVEST SOL)"/>
    <x v="5"/>
    <x v="769"/>
    <x v="757"/>
    <x v="63"/>
    <x v="527"/>
    <x v="0"/>
    <x v="5"/>
    <x v="5"/>
    <n v="0"/>
    <n v="0"/>
  </r>
  <r>
    <s v="CHIPKINS PURATOS (BIDVEST SOL)"/>
    <x v="5"/>
    <x v="769"/>
    <x v="757"/>
    <x v="63"/>
    <x v="527"/>
    <x v="0"/>
    <x v="6"/>
    <x v="6"/>
    <n v="0"/>
    <n v="0"/>
  </r>
  <r>
    <s v="CAKE FLORA"/>
    <x v="5"/>
    <x v="770"/>
    <x v="758"/>
    <x v="152"/>
    <x v="523"/>
    <x v="0"/>
    <x v="0"/>
    <x v="0"/>
    <n v="0"/>
    <n v="0"/>
  </r>
  <r>
    <s v="CAKE FLORA"/>
    <x v="5"/>
    <x v="770"/>
    <x v="758"/>
    <x v="152"/>
    <x v="523"/>
    <x v="0"/>
    <x v="1"/>
    <x v="1"/>
    <n v="0"/>
    <n v="0"/>
  </r>
  <r>
    <s v="CAKE FLORA"/>
    <x v="5"/>
    <x v="770"/>
    <x v="758"/>
    <x v="152"/>
    <x v="523"/>
    <x v="0"/>
    <x v="2"/>
    <x v="2"/>
    <n v="0"/>
    <n v="0"/>
  </r>
  <r>
    <s v="CAKE FLORA"/>
    <x v="5"/>
    <x v="770"/>
    <x v="758"/>
    <x v="152"/>
    <x v="523"/>
    <x v="0"/>
    <x v="3"/>
    <x v="3"/>
    <n v="0"/>
    <n v="0"/>
  </r>
  <r>
    <s v="CAKE FLORA"/>
    <x v="5"/>
    <x v="770"/>
    <x v="758"/>
    <x v="152"/>
    <x v="523"/>
    <x v="0"/>
    <x v="4"/>
    <x v="4"/>
    <n v="0"/>
    <n v="0"/>
  </r>
  <r>
    <s v="CAKE FLORA"/>
    <x v="5"/>
    <x v="770"/>
    <x v="758"/>
    <x v="152"/>
    <x v="523"/>
    <x v="0"/>
    <x v="5"/>
    <x v="5"/>
    <n v="0"/>
    <n v="0"/>
  </r>
  <r>
    <s v="CAKE FLORA"/>
    <x v="5"/>
    <x v="770"/>
    <x v="758"/>
    <x v="152"/>
    <x v="523"/>
    <x v="0"/>
    <x v="6"/>
    <x v="6"/>
    <n v="0"/>
    <n v="0"/>
  </r>
  <r>
    <s v="BAKE IT EASY"/>
    <x v="5"/>
    <x v="771"/>
    <x v="733"/>
    <x v="34"/>
    <x v="505"/>
    <x v="0"/>
    <x v="0"/>
    <x v="0"/>
    <n v="0"/>
    <n v="0"/>
  </r>
  <r>
    <s v="BAKE IT EASY"/>
    <x v="5"/>
    <x v="771"/>
    <x v="733"/>
    <x v="34"/>
    <x v="505"/>
    <x v="0"/>
    <x v="1"/>
    <x v="1"/>
    <n v="0"/>
    <n v="0"/>
  </r>
  <r>
    <s v="BAKE IT EASY"/>
    <x v="5"/>
    <x v="771"/>
    <x v="733"/>
    <x v="34"/>
    <x v="505"/>
    <x v="0"/>
    <x v="2"/>
    <x v="2"/>
    <n v="0"/>
    <n v="0"/>
  </r>
  <r>
    <s v="BAKE IT EASY"/>
    <x v="5"/>
    <x v="771"/>
    <x v="733"/>
    <x v="34"/>
    <x v="505"/>
    <x v="0"/>
    <x v="3"/>
    <x v="3"/>
    <n v="0"/>
    <n v="0"/>
  </r>
  <r>
    <s v="BAKE IT EASY"/>
    <x v="5"/>
    <x v="771"/>
    <x v="733"/>
    <x v="34"/>
    <x v="505"/>
    <x v="0"/>
    <x v="4"/>
    <x v="4"/>
    <n v="0"/>
    <n v="0"/>
  </r>
  <r>
    <s v="BAKE IT EASY"/>
    <x v="5"/>
    <x v="771"/>
    <x v="733"/>
    <x v="34"/>
    <x v="505"/>
    <x v="0"/>
    <x v="5"/>
    <x v="5"/>
    <n v="0"/>
    <n v="0"/>
  </r>
  <r>
    <s v="BAKE IT EASY"/>
    <x v="5"/>
    <x v="771"/>
    <x v="733"/>
    <x v="34"/>
    <x v="505"/>
    <x v="0"/>
    <x v="6"/>
    <x v="6"/>
    <n v="0"/>
    <n v="0"/>
  </r>
  <r>
    <s v="Mad About Parties"/>
    <x v="5"/>
    <x v="772"/>
    <x v="759"/>
    <x v="58"/>
    <x v="528"/>
    <x v="0"/>
    <x v="0"/>
    <x v="0"/>
    <n v="0"/>
    <n v="0"/>
  </r>
  <r>
    <s v="Mad About Parties"/>
    <x v="5"/>
    <x v="772"/>
    <x v="759"/>
    <x v="58"/>
    <x v="528"/>
    <x v="0"/>
    <x v="1"/>
    <x v="1"/>
    <n v="0"/>
    <n v="0"/>
  </r>
  <r>
    <s v="Mad About Parties"/>
    <x v="5"/>
    <x v="772"/>
    <x v="759"/>
    <x v="58"/>
    <x v="528"/>
    <x v="0"/>
    <x v="2"/>
    <x v="2"/>
    <n v="0"/>
    <n v="0"/>
  </r>
  <r>
    <s v="Mad About Parties"/>
    <x v="5"/>
    <x v="772"/>
    <x v="759"/>
    <x v="58"/>
    <x v="528"/>
    <x v="0"/>
    <x v="3"/>
    <x v="3"/>
    <n v="0"/>
    <n v="0"/>
  </r>
  <r>
    <s v="Mad About Parties"/>
    <x v="5"/>
    <x v="772"/>
    <x v="759"/>
    <x v="58"/>
    <x v="528"/>
    <x v="0"/>
    <x v="4"/>
    <x v="4"/>
    <n v="0"/>
    <n v="0"/>
  </r>
  <r>
    <s v="Mad About Parties"/>
    <x v="5"/>
    <x v="772"/>
    <x v="759"/>
    <x v="58"/>
    <x v="528"/>
    <x v="0"/>
    <x v="5"/>
    <x v="5"/>
    <n v="0"/>
    <n v="0"/>
  </r>
  <r>
    <s v="Mad About Parties"/>
    <x v="5"/>
    <x v="772"/>
    <x v="759"/>
    <x v="58"/>
    <x v="528"/>
    <x v="0"/>
    <x v="6"/>
    <x v="6"/>
    <n v="0"/>
    <n v="0"/>
  </r>
  <r>
    <s v="ANCHOR YEAST(BULK BAKERY)"/>
    <x v="5"/>
    <x v="773"/>
    <x v="760"/>
    <x v="193"/>
    <x v="529"/>
    <x v="0"/>
    <x v="0"/>
    <x v="0"/>
    <n v="0"/>
    <n v="0"/>
  </r>
  <r>
    <s v="ANCHOR YEAST(BULK BAKERY)"/>
    <x v="5"/>
    <x v="773"/>
    <x v="760"/>
    <x v="193"/>
    <x v="529"/>
    <x v="0"/>
    <x v="1"/>
    <x v="1"/>
    <n v="0"/>
    <n v="0"/>
  </r>
  <r>
    <s v="ANCHOR YEAST(BULK BAKERY)"/>
    <x v="5"/>
    <x v="773"/>
    <x v="760"/>
    <x v="193"/>
    <x v="529"/>
    <x v="0"/>
    <x v="6"/>
    <x v="6"/>
    <n v="0"/>
    <n v="0"/>
  </r>
  <r>
    <s v="Supplier for Recipes"/>
    <x v="5"/>
    <x v="774"/>
    <x v="761"/>
    <x v="194"/>
    <x v="198"/>
    <x v="0"/>
    <x v="0"/>
    <x v="0"/>
    <n v="0"/>
    <n v="0"/>
  </r>
  <r>
    <s v="Supplier for Recipes"/>
    <x v="5"/>
    <x v="774"/>
    <x v="761"/>
    <x v="194"/>
    <x v="198"/>
    <x v="0"/>
    <x v="1"/>
    <x v="1"/>
    <n v="0"/>
    <n v="0"/>
  </r>
  <r>
    <s v="Supplier for Recipes"/>
    <x v="5"/>
    <x v="774"/>
    <x v="761"/>
    <x v="194"/>
    <x v="198"/>
    <x v="0"/>
    <x v="2"/>
    <x v="2"/>
    <n v="0"/>
    <n v="0"/>
  </r>
  <r>
    <s v="Supplier for Recipes"/>
    <x v="5"/>
    <x v="774"/>
    <x v="761"/>
    <x v="194"/>
    <x v="198"/>
    <x v="0"/>
    <x v="3"/>
    <x v="3"/>
    <n v="0"/>
    <n v="0"/>
  </r>
  <r>
    <s v="Supplier for Recipes"/>
    <x v="5"/>
    <x v="774"/>
    <x v="761"/>
    <x v="194"/>
    <x v="198"/>
    <x v="0"/>
    <x v="4"/>
    <x v="4"/>
    <n v="0"/>
    <n v="0"/>
  </r>
  <r>
    <s v="Supplier for Recipes"/>
    <x v="5"/>
    <x v="774"/>
    <x v="761"/>
    <x v="194"/>
    <x v="198"/>
    <x v="0"/>
    <x v="5"/>
    <x v="5"/>
    <n v="0"/>
    <n v="0"/>
  </r>
  <r>
    <s v="Supplier for Recipes"/>
    <x v="5"/>
    <x v="774"/>
    <x v="761"/>
    <x v="194"/>
    <x v="198"/>
    <x v="0"/>
    <x v="6"/>
    <x v="6"/>
    <n v="0"/>
    <n v="0"/>
  </r>
  <r>
    <s v="Supplier for Recipes"/>
    <x v="5"/>
    <x v="775"/>
    <x v="762"/>
    <x v="35"/>
    <x v="198"/>
    <x v="0"/>
    <x v="0"/>
    <x v="0"/>
    <n v="0"/>
    <n v="0"/>
  </r>
  <r>
    <s v="Supplier for Recipes"/>
    <x v="5"/>
    <x v="775"/>
    <x v="762"/>
    <x v="35"/>
    <x v="198"/>
    <x v="0"/>
    <x v="1"/>
    <x v="1"/>
    <n v="0"/>
    <n v="0"/>
  </r>
  <r>
    <s v="Supplier for Recipes"/>
    <x v="5"/>
    <x v="775"/>
    <x v="762"/>
    <x v="35"/>
    <x v="198"/>
    <x v="0"/>
    <x v="2"/>
    <x v="2"/>
    <n v="0"/>
    <n v="0"/>
  </r>
  <r>
    <s v="Supplier for Recipes"/>
    <x v="5"/>
    <x v="775"/>
    <x v="762"/>
    <x v="35"/>
    <x v="198"/>
    <x v="0"/>
    <x v="3"/>
    <x v="3"/>
    <n v="0"/>
    <n v="0"/>
  </r>
  <r>
    <s v="Supplier for Recipes"/>
    <x v="5"/>
    <x v="775"/>
    <x v="762"/>
    <x v="35"/>
    <x v="198"/>
    <x v="0"/>
    <x v="4"/>
    <x v="4"/>
    <n v="0"/>
    <n v="0"/>
  </r>
  <r>
    <s v="Supplier for Recipes"/>
    <x v="5"/>
    <x v="775"/>
    <x v="762"/>
    <x v="35"/>
    <x v="198"/>
    <x v="0"/>
    <x v="5"/>
    <x v="5"/>
    <n v="0"/>
    <n v="0"/>
  </r>
  <r>
    <s v="Supplier for Recipes"/>
    <x v="5"/>
    <x v="775"/>
    <x v="762"/>
    <x v="35"/>
    <x v="198"/>
    <x v="0"/>
    <x v="6"/>
    <x v="6"/>
    <n v="0"/>
    <n v="0"/>
  </r>
  <r>
    <s v="Supplier for Recipes"/>
    <x v="5"/>
    <x v="776"/>
    <x v="763"/>
    <x v="195"/>
    <x v="198"/>
    <x v="0"/>
    <x v="0"/>
    <x v="0"/>
    <n v="0"/>
    <n v="0"/>
  </r>
  <r>
    <s v="Supplier for Recipes"/>
    <x v="5"/>
    <x v="776"/>
    <x v="763"/>
    <x v="195"/>
    <x v="198"/>
    <x v="0"/>
    <x v="1"/>
    <x v="1"/>
    <n v="0"/>
    <n v="0"/>
  </r>
  <r>
    <s v="Supplier for Recipes"/>
    <x v="5"/>
    <x v="776"/>
    <x v="763"/>
    <x v="195"/>
    <x v="198"/>
    <x v="0"/>
    <x v="2"/>
    <x v="2"/>
    <n v="0"/>
    <n v="0"/>
  </r>
  <r>
    <s v="Supplier for Recipes"/>
    <x v="5"/>
    <x v="776"/>
    <x v="763"/>
    <x v="195"/>
    <x v="198"/>
    <x v="0"/>
    <x v="3"/>
    <x v="3"/>
    <n v="0"/>
    <n v="0"/>
  </r>
  <r>
    <s v="Supplier for Recipes"/>
    <x v="5"/>
    <x v="776"/>
    <x v="763"/>
    <x v="195"/>
    <x v="198"/>
    <x v="0"/>
    <x v="4"/>
    <x v="4"/>
    <n v="0"/>
    <n v="0"/>
  </r>
  <r>
    <s v="Supplier for Recipes"/>
    <x v="5"/>
    <x v="776"/>
    <x v="763"/>
    <x v="195"/>
    <x v="198"/>
    <x v="0"/>
    <x v="5"/>
    <x v="5"/>
    <n v="0"/>
    <n v="0"/>
  </r>
  <r>
    <s v="Supplier for Recipes"/>
    <x v="5"/>
    <x v="776"/>
    <x v="763"/>
    <x v="195"/>
    <x v="198"/>
    <x v="0"/>
    <x v="6"/>
    <x v="6"/>
    <n v="0"/>
    <n v="0"/>
  </r>
  <r>
    <s v="Supplier for Recipes"/>
    <x v="5"/>
    <x v="777"/>
    <x v="764"/>
    <x v="196"/>
    <x v="198"/>
    <x v="0"/>
    <x v="0"/>
    <x v="0"/>
    <n v="0"/>
    <n v="0"/>
  </r>
  <r>
    <s v="Supplier for Recipes"/>
    <x v="5"/>
    <x v="777"/>
    <x v="764"/>
    <x v="196"/>
    <x v="198"/>
    <x v="0"/>
    <x v="1"/>
    <x v="1"/>
    <n v="0"/>
    <n v="0"/>
  </r>
  <r>
    <s v="Supplier for Recipes"/>
    <x v="5"/>
    <x v="777"/>
    <x v="764"/>
    <x v="196"/>
    <x v="198"/>
    <x v="0"/>
    <x v="2"/>
    <x v="2"/>
    <n v="0"/>
    <n v="0"/>
  </r>
  <r>
    <s v="Supplier for Recipes"/>
    <x v="5"/>
    <x v="777"/>
    <x v="764"/>
    <x v="196"/>
    <x v="198"/>
    <x v="0"/>
    <x v="3"/>
    <x v="3"/>
    <n v="0"/>
    <n v="0"/>
  </r>
  <r>
    <s v="Supplier for Recipes"/>
    <x v="5"/>
    <x v="777"/>
    <x v="764"/>
    <x v="196"/>
    <x v="198"/>
    <x v="0"/>
    <x v="4"/>
    <x v="4"/>
    <n v="0"/>
    <n v="0"/>
  </r>
  <r>
    <s v="Supplier for Recipes"/>
    <x v="5"/>
    <x v="777"/>
    <x v="764"/>
    <x v="196"/>
    <x v="198"/>
    <x v="0"/>
    <x v="5"/>
    <x v="5"/>
    <n v="0"/>
    <n v="0"/>
  </r>
  <r>
    <s v="Supplier for Recipes"/>
    <x v="5"/>
    <x v="777"/>
    <x v="764"/>
    <x v="196"/>
    <x v="198"/>
    <x v="0"/>
    <x v="6"/>
    <x v="6"/>
    <n v="0"/>
    <n v="0"/>
  </r>
  <r>
    <s v="Supplier for Recipes"/>
    <x v="5"/>
    <x v="778"/>
    <x v="765"/>
    <x v="91"/>
    <x v="198"/>
    <x v="0"/>
    <x v="0"/>
    <x v="0"/>
    <n v="0"/>
    <n v="0"/>
  </r>
  <r>
    <s v="Supplier for Recipes"/>
    <x v="5"/>
    <x v="778"/>
    <x v="765"/>
    <x v="91"/>
    <x v="198"/>
    <x v="0"/>
    <x v="1"/>
    <x v="1"/>
    <n v="0"/>
    <n v="0"/>
  </r>
  <r>
    <s v="Supplier for Recipes"/>
    <x v="5"/>
    <x v="778"/>
    <x v="765"/>
    <x v="91"/>
    <x v="198"/>
    <x v="0"/>
    <x v="2"/>
    <x v="2"/>
    <n v="0"/>
    <n v="0"/>
  </r>
  <r>
    <s v="Supplier for Recipes"/>
    <x v="5"/>
    <x v="778"/>
    <x v="765"/>
    <x v="91"/>
    <x v="198"/>
    <x v="0"/>
    <x v="3"/>
    <x v="3"/>
    <n v="0"/>
    <n v="0"/>
  </r>
  <r>
    <s v="Supplier for Recipes"/>
    <x v="5"/>
    <x v="778"/>
    <x v="765"/>
    <x v="91"/>
    <x v="198"/>
    <x v="0"/>
    <x v="4"/>
    <x v="4"/>
    <n v="0"/>
    <n v="0"/>
  </r>
  <r>
    <s v="Supplier for Recipes"/>
    <x v="5"/>
    <x v="778"/>
    <x v="765"/>
    <x v="91"/>
    <x v="198"/>
    <x v="0"/>
    <x v="5"/>
    <x v="5"/>
    <n v="0"/>
    <n v="0"/>
  </r>
  <r>
    <s v="Supplier for Recipes"/>
    <x v="5"/>
    <x v="778"/>
    <x v="765"/>
    <x v="91"/>
    <x v="198"/>
    <x v="0"/>
    <x v="6"/>
    <x v="6"/>
    <n v="0"/>
    <n v="0"/>
  </r>
  <r>
    <s v="Supplier for Recipes"/>
    <x v="5"/>
    <x v="779"/>
    <x v="766"/>
    <x v="52"/>
    <x v="198"/>
    <x v="0"/>
    <x v="0"/>
    <x v="0"/>
    <n v="0"/>
    <n v="0"/>
  </r>
  <r>
    <s v="Supplier for Recipes"/>
    <x v="5"/>
    <x v="779"/>
    <x v="766"/>
    <x v="52"/>
    <x v="198"/>
    <x v="0"/>
    <x v="1"/>
    <x v="1"/>
    <n v="0"/>
    <n v="0"/>
  </r>
  <r>
    <s v="Supplier for Recipes"/>
    <x v="5"/>
    <x v="779"/>
    <x v="766"/>
    <x v="52"/>
    <x v="198"/>
    <x v="0"/>
    <x v="2"/>
    <x v="2"/>
    <n v="0"/>
    <n v="0"/>
  </r>
  <r>
    <s v="Supplier for Recipes"/>
    <x v="5"/>
    <x v="779"/>
    <x v="766"/>
    <x v="52"/>
    <x v="198"/>
    <x v="0"/>
    <x v="3"/>
    <x v="3"/>
    <n v="0"/>
    <n v="0"/>
  </r>
  <r>
    <s v="Supplier for Recipes"/>
    <x v="5"/>
    <x v="779"/>
    <x v="766"/>
    <x v="52"/>
    <x v="198"/>
    <x v="0"/>
    <x v="4"/>
    <x v="4"/>
    <n v="0"/>
    <n v="0"/>
  </r>
  <r>
    <s v="Supplier for Recipes"/>
    <x v="5"/>
    <x v="779"/>
    <x v="766"/>
    <x v="52"/>
    <x v="198"/>
    <x v="0"/>
    <x v="5"/>
    <x v="5"/>
    <n v="0"/>
    <n v="0"/>
  </r>
  <r>
    <s v="Supplier for Recipes"/>
    <x v="5"/>
    <x v="779"/>
    <x v="766"/>
    <x v="52"/>
    <x v="198"/>
    <x v="0"/>
    <x v="6"/>
    <x v="6"/>
    <n v="0"/>
    <n v="0"/>
  </r>
  <r>
    <s v="Supplier for Recipes"/>
    <x v="5"/>
    <x v="780"/>
    <x v="765"/>
    <x v="91"/>
    <x v="198"/>
    <x v="0"/>
    <x v="0"/>
    <x v="0"/>
    <n v="0"/>
    <n v="0"/>
  </r>
  <r>
    <s v="Supplier for Recipes"/>
    <x v="5"/>
    <x v="780"/>
    <x v="765"/>
    <x v="91"/>
    <x v="198"/>
    <x v="0"/>
    <x v="1"/>
    <x v="1"/>
    <n v="0"/>
    <n v="0"/>
  </r>
  <r>
    <s v="Supplier for Recipes"/>
    <x v="5"/>
    <x v="780"/>
    <x v="765"/>
    <x v="91"/>
    <x v="198"/>
    <x v="0"/>
    <x v="2"/>
    <x v="2"/>
    <n v="0"/>
    <n v="0"/>
  </r>
  <r>
    <s v="Supplier for Recipes"/>
    <x v="5"/>
    <x v="780"/>
    <x v="765"/>
    <x v="91"/>
    <x v="198"/>
    <x v="0"/>
    <x v="3"/>
    <x v="3"/>
    <n v="0"/>
    <n v="0"/>
  </r>
  <r>
    <s v="Supplier for Recipes"/>
    <x v="5"/>
    <x v="780"/>
    <x v="765"/>
    <x v="91"/>
    <x v="198"/>
    <x v="0"/>
    <x v="4"/>
    <x v="4"/>
    <n v="0"/>
    <n v="0"/>
  </r>
  <r>
    <s v="Supplier for Recipes"/>
    <x v="5"/>
    <x v="780"/>
    <x v="765"/>
    <x v="91"/>
    <x v="198"/>
    <x v="0"/>
    <x v="5"/>
    <x v="5"/>
    <n v="0"/>
    <n v="0"/>
  </r>
  <r>
    <s v="Supplier for Recipes"/>
    <x v="5"/>
    <x v="780"/>
    <x v="765"/>
    <x v="91"/>
    <x v="198"/>
    <x v="0"/>
    <x v="6"/>
    <x v="6"/>
    <n v="0"/>
    <n v="0"/>
  </r>
  <r>
    <s v="Supplier for Recipes"/>
    <x v="5"/>
    <x v="781"/>
    <x v="767"/>
    <x v="193"/>
    <x v="198"/>
    <x v="0"/>
    <x v="0"/>
    <x v="0"/>
    <n v="0"/>
    <n v="0"/>
  </r>
  <r>
    <s v="Supplier for Recipes"/>
    <x v="5"/>
    <x v="781"/>
    <x v="767"/>
    <x v="193"/>
    <x v="198"/>
    <x v="0"/>
    <x v="1"/>
    <x v="1"/>
    <n v="0"/>
    <n v="0"/>
  </r>
  <r>
    <s v="Supplier for Recipes"/>
    <x v="5"/>
    <x v="781"/>
    <x v="767"/>
    <x v="193"/>
    <x v="198"/>
    <x v="0"/>
    <x v="2"/>
    <x v="2"/>
    <n v="0"/>
    <n v="0"/>
  </r>
  <r>
    <s v="Supplier for Recipes"/>
    <x v="5"/>
    <x v="781"/>
    <x v="767"/>
    <x v="193"/>
    <x v="198"/>
    <x v="0"/>
    <x v="3"/>
    <x v="3"/>
    <n v="0"/>
    <n v="0"/>
  </r>
  <r>
    <s v="Supplier for Recipes"/>
    <x v="5"/>
    <x v="781"/>
    <x v="767"/>
    <x v="193"/>
    <x v="198"/>
    <x v="0"/>
    <x v="4"/>
    <x v="4"/>
    <n v="0"/>
    <n v="0"/>
  </r>
  <r>
    <s v="Supplier for Recipes"/>
    <x v="5"/>
    <x v="781"/>
    <x v="767"/>
    <x v="193"/>
    <x v="198"/>
    <x v="0"/>
    <x v="5"/>
    <x v="5"/>
    <n v="0"/>
    <n v="0"/>
  </r>
  <r>
    <s v="Supplier for Recipes"/>
    <x v="5"/>
    <x v="781"/>
    <x v="767"/>
    <x v="193"/>
    <x v="198"/>
    <x v="0"/>
    <x v="6"/>
    <x v="6"/>
    <n v="0"/>
    <n v="0"/>
  </r>
  <r>
    <s v="Supplier for Recipes"/>
    <x v="5"/>
    <x v="782"/>
    <x v="768"/>
    <x v="196"/>
    <x v="198"/>
    <x v="0"/>
    <x v="0"/>
    <x v="0"/>
    <n v="0"/>
    <n v="0"/>
  </r>
  <r>
    <s v="Supplier for Recipes"/>
    <x v="5"/>
    <x v="782"/>
    <x v="768"/>
    <x v="196"/>
    <x v="198"/>
    <x v="0"/>
    <x v="1"/>
    <x v="1"/>
    <n v="0"/>
    <n v="0"/>
  </r>
  <r>
    <s v="Supplier for Recipes"/>
    <x v="5"/>
    <x v="782"/>
    <x v="768"/>
    <x v="196"/>
    <x v="198"/>
    <x v="0"/>
    <x v="2"/>
    <x v="2"/>
    <n v="0"/>
    <n v="0"/>
  </r>
  <r>
    <s v="Supplier for Recipes"/>
    <x v="5"/>
    <x v="782"/>
    <x v="768"/>
    <x v="196"/>
    <x v="198"/>
    <x v="0"/>
    <x v="3"/>
    <x v="3"/>
    <n v="0"/>
    <n v="0"/>
  </r>
  <r>
    <s v="Supplier for Recipes"/>
    <x v="5"/>
    <x v="782"/>
    <x v="768"/>
    <x v="196"/>
    <x v="198"/>
    <x v="0"/>
    <x v="4"/>
    <x v="4"/>
    <n v="0"/>
    <n v="0"/>
  </r>
  <r>
    <s v="Supplier for Recipes"/>
    <x v="5"/>
    <x v="782"/>
    <x v="768"/>
    <x v="196"/>
    <x v="198"/>
    <x v="0"/>
    <x v="5"/>
    <x v="5"/>
    <n v="0"/>
    <n v="0"/>
  </r>
  <r>
    <s v="Supplier for Recipes"/>
    <x v="5"/>
    <x v="782"/>
    <x v="768"/>
    <x v="196"/>
    <x v="198"/>
    <x v="0"/>
    <x v="6"/>
    <x v="6"/>
    <n v="0"/>
    <n v="0"/>
  </r>
  <r>
    <s v="Supplier for Recipes"/>
    <x v="5"/>
    <x v="783"/>
    <x v="762"/>
    <x v="97"/>
    <x v="198"/>
    <x v="0"/>
    <x v="0"/>
    <x v="0"/>
    <n v="0"/>
    <n v="0"/>
  </r>
  <r>
    <s v="Supplier for Recipes"/>
    <x v="5"/>
    <x v="783"/>
    <x v="762"/>
    <x v="97"/>
    <x v="198"/>
    <x v="0"/>
    <x v="1"/>
    <x v="1"/>
    <n v="0"/>
    <n v="0"/>
  </r>
  <r>
    <s v="Supplier for Recipes"/>
    <x v="5"/>
    <x v="783"/>
    <x v="762"/>
    <x v="97"/>
    <x v="198"/>
    <x v="0"/>
    <x v="2"/>
    <x v="2"/>
    <n v="0"/>
    <n v="0"/>
  </r>
  <r>
    <s v="Supplier for Recipes"/>
    <x v="5"/>
    <x v="783"/>
    <x v="762"/>
    <x v="97"/>
    <x v="198"/>
    <x v="0"/>
    <x v="3"/>
    <x v="3"/>
    <n v="0"/>
    <n v="0"/>
  </r>
  <r>
    <s v="Supplier for Recipes"/>
    <x v="5"/>
    <x v="783"/>
    <x v="762"/>
    <x v="97"/>
    <x v="198"/>
    <x v="0"/>
    <x v="4"/>
    <x v="4"/>
    <n v="0"/>
    <n v="0"/>
  </r>
  <r>
    <s v="Supplier for Recipes"/>
    <x v="5"/>
    <x v="783"/>
    <x v="762"/>
    <x v="97"/>
    <x v="198"/>
    <x v="0"/>
    <x v="5"/>
    <x v="5"/>
    <n v="0"/>
    <n v="0"/>
  </r>
  <r>
    <s v="Supplier for Recipes"/>
    <x v="5"/>
    <x v="783"/>
    <x v="762"/>
    <x v="97"/>
    <x v="198"/>
    <x v="0"/>
    <x v="6"/>
    <x v="6"/>
    <n v="0"/>
    <n v="0"/>
  </r>
  <r>
    <s v="Supplier for Recipes"/>
    <x v="5"/>
    <x v="784"/>
    <x v="769"/>
    <x v="163"/>
    <x v="198"/>
    <x v="0"/>
    <x v="0"/>
    <x v="0"/>
    <n v="0"/>
    <n v="0"/>
  </r>
  <r>
    <s v="Supplier for Recipes"/>
    <x v="5"/>
    <x v="784"/>
    <x v="769"/>
    <x v="163"/>
    <x v="198"/>
    <x v="0"/>
    <x v="1"/>
    <x v="1"/>
    <n v="0"/>
    <n v="0"/>
  </r>
  <r>
    <s v="Supplier for Recipes"/>
    <x v="5"/>
    <x v="784"/>
    <x v="769"/>
    <x v="163"/>
    <x v="198"/>
    <x v="0"/>
    <x v="2"/>
    <x v="2"/>
    <n v="0"/>
    <n v="0"/>
  </r>
  <r>
    <s v="Supplier for Recipes"/>
    <x v="5"/>
    <x v="784"/>
    <x v="769"/>
    <x v="163"/>
    <x v="198"/>
    <x v="0"/>
    <x v="3"/>
    <x v="3"/>
    <n v="0"/>
    <n v="0"/>
  </r>
  <r>
    <s v="Supplier for Recipes"/>
    <x v="5"/>
    <x v="784"/>
    <x v="769"/>
    <x v="163"/>
    <x v="198"/>
    <x v="0"/>
    <x v="4"/>
    <x v="4"/>
    <n v="0"/>
    <n v="0"/>
  </r>
  <r>
    <s v="Supplier for Recipes"/>
    <x v="5"/>
    <x v="784"/>
    <x v="769"/>
    <x v="163"/>
    <x v="198"/>
    <x v="0"/>
    <x v="5"/>
    <x v="5"/>
    <n v="0"/>
    <n v="0"/>
  </r>
  <r>
    <s v="Supplier for Recipes"/>
    <x v="5"/>
    <x v="784"/>
    <x v="769"/>
    <x v="163"/>
    <x v="198"/>
    <x v="0"/>
    <x v="6"/>
    <x v="6"/>
    <n v="0"/>
    <n v="0"/>
  </r>
  <r>
    <s v="Supplier for Recipes"/>
    <x v="5"/>
    <x v="785"/>
    <x v="770"/>
    <x v="159"/>
    <x v="198"/>
    <x v="0"/>
    <x v="0"/>
    <x v="0"/>
    <n v="0"/>
    <n v="0"/>
  </r>
  <r>
    <s v="Supplier for Recipes"/>
    <x v="5"/>
    <x v="785"/>
    <x v="770"/>
    <x v="159"/>
    <x v="198"/>
    <x v="0"/>
    <x v="1"/>
    <x v="1"/>
    <n v="0"/>
    <n v="0"/>
  </r>
  <r>
    <s v="Supplier for Recipes"/>
    <x v="5"/>
    <x v="785"/>
    <x v="770"/>
    <x v="159"/>
    <x v="198"/>
    <x v="0"/>
    <x v="2"/>
    <x v="2"/>
    <n v="0"/>
    <n v="0"/>
  </r>
  <r>
    <s v="Supplier for Recipes"/>
    <x v="5"/>
    <x v="785"/>
    <x v="770"/>
    <x v="159"/>
    <x v="198"/>
    <x v="0"/>
    <x v="3"/>
    <x v="3"/>
    <n v="0"/>
    <n v="0"/>
  </r>
  <r>
    <s v="Supplier for Recipes"/>
    <x v="5"/>
    <x v="785"/>
    <x v="770"/>
    <x v="159"/>
    <x v="198"/>
    <x v="0"/>
    <x v="4"/>
    <x v="4"/>
    <n v="0"/>
    <n v="0"/>
  </r>
  <r>
    <s v="Supplier for Recipes"/>
    <x v="5"/>
    <x v="785"/>
    <x v="770"/>
    <x v="159"/>
    <x v="198"/>
    <x v="0"/>
    <x v="5"/>
    <x v="5"/>
    <n v="0"/>
    <n v="0"/>
  </r>
  <r>
    <s v="Supplier for Recipes"/>
    <x v="5"/>
    <x v="785"/>
    <x v="770"/>
    <x v="159"/>
    <x v="198"/>
    <x v="0"/>
    <x v="6"/>
    <x v="6"/>
    <n v="0"/>
    <n v="0"/>
  </r>
  <r>
    <s v="Supplier for Recipes"/>
    <x v="5"/>
    <x v="786"/>
    <x v="771"/>
    <x v="118"/>
    <x v="198"/>
    <x v="0"/>
    <x v="0"/>
    <x v="0"/>
    <n v="0"/>
    <n v="0"/>
  </r>
  <r>
    <s v="Supplier for Recipes"/>
    <x v="5"/>
    <x v="786"/>
    <x v="771"/>
    <x v="118"/>
    <x v="198"/>
    <x v="0"/>
    <x v="1"/>
    <x v="1"/>
    <n v="0"/>
    <n v="0"/>
  </r>
  <r>
    <s v="Supplier for Recipes"/>
    <x v="5"/>
    <x v="786"/>
    <x v="771"/>
    <x v="118"/>
    <x v="198"/>
    <x v="0"/>
    <x v="2"/>
    <x v="2"/>
    <n v="0"/>
    <n v="0"/>
  </r>
  <r>
    <s v="Supplier for Recipes"/>
    <x v="5"/>
    <x v="786"/>
    <x v="771"/>
    <x v="118"/>
    <x v="198"/>
    <x v="0"/>
    <x v="3"/>
    <x v="3"/>
    <n v="0"/>
    <n v="0"/>
  </r>
  <r>
    <s v="Supplier for Recipes"/>
    <x v="5"/>
    <x v="786"/>
    <x v="771"/>
    <x v="118"/>
    <x v="198"/>
    <x v="0"/>
    <x v="4"/>
    <x v="4"/>
    <n v="0"/>
    <n v="0"/>
  </r>
  <r>
    <s v="Supplier for Recipes"/>
    <x v="5"/>
    <x v="786"/>
    <x v="771"/>
    <x v="118"/>
    <x v="198"/>
    <x v="0"/>
    <x v="5"/>
    <x v="5"/>
    <n v="0"/>
    <n v="0"/>
  </r>
  <r>
    <s v="Supplier for Recipes"/>
    <x v="5"/>
    <x v="786"/>
    <x v="771"/>
    <x v="118"/>
    <x v="198"/>
    <x v="0"/>
    <x v="6"/>
    <x v="6"/>
    <n v="0"/>
    <n v="0"/>
  </r>
  <r>
    <s v="Supplier for Recipes"/>
    <x v="5"/>
    <x v="787"/>
    <x v="772"/>
    <x v="158"/>
    <x v="198"/>
    <x v="0"/>
    <x v="0"/>
    <x v="0"/>
    <n v="0"/>
    <n v="0"/>
  </r>
  <r>
    <s v="Supplier for Recipes"/>
    <x v="5"/>
    <x v="787"/>
    <x v="772"/>
    <x v="158"/>
    <x v="198"/>
    <x v="0"/>
    <x v="1"/>
    <x v="1"/>
    <n v="0"/>
    <n v="0"/>
  </r>
  <r>
    <s v="Supplier for Recipes"/>
    <x v="5"/>
    <x v="787"/>
    <x v="772"/>
    <x v="158"/>
    <x v="198"/>
    <x v="0"/>
    <x v="2"/>
    <x v="2"/>
    <n v="0"/>
    <n v="0"/>
  </r>
  <r>
    <s v="Supplier for Recipes"/>
    <x v="5"/>
    <x v="787"/>
    <x v="772"/>
    <x v="158"/>
    <x v="198"/>
    <x v="0"/>
    <x v="3"/>
    <x v="3"/>
    <n v="0"/>
    <n v="0"/>
  </r>
  <r>
    <s v="Supplier for Recipes"/>
    <x v="5"/>
    <x v="787"/>
    <x v="772"/>
    <x v="158"/>
    <x v="198"/>
    <x v="0"/>
    <x v="4"/>
    <x v="4"/>
    <n v="0"/>
    <n v="0"/>
  </r>
  <r>
    <s v="Supplier for Recipes"/>
    <x v="5"/>
    <x v="787"/>
    <x v="772"/>
    <x v="158"/>
    <x v="198"/>
    <x v="0"/>
    <x v="5"/>
    <x v="5"/>
    <n v="0"/>
    <n v="0"/>
  </r>
  <r>
    <s v="Supplier for Recipes"/>
    <x v="5"/>
    <x v="787"/>
    <x v="772"/>
    <x v="158"/>
    <x v="198"/>
    <x v="0"/>
    <x v="6"/>
    <x v="6"/>
    <n v="0"/>
    <n v="0"/>
  </r>
  <r>
    <s v="Supplier for Recipes"/>
    <x v="5"/>
    <x v="788"/>
    <x v="773"/>
    <x v="159"/>
    <x v="198"/>
    <x v="0"/>
    <x v="0"/>
    <x v="0"/>
    <n v="0"/>
    <n v="0"/>
  </r>
  <r>
    <s v="Supplier for Recipes"/>
    <x v="5"/>
    <x v="788"/>
    <x v="773"/>
    <x v="159"/>
    <x v="198"/>
    <x v="0"/>
    <x v="1"/>
    <x v="1"/>
    <n v="0"/>
    <n v="0"/>
  </r>
  <r>
    <s v="Supplier for Recipes"/>
    <x v="5"/>
    <x v="788"/>
    <x v="773"/>
    <x v="159"/>
    <x v="198"/>
    <x v="0"/>
    <x v="2"/>
    <x v="2"/>
    <n v="0"/>
    <n v="0"/>
  </r>
  <r>
    <s v="Supplier for Recipes"/>
    <x v="5"/>
    <x v="788"/>
    <x v="773"/>
    <x v="159"/>
    <x v="198"/>
    <x v="0"/>
    <x v="3"/>
    <x v="3"/>
    <n v="0"/>
    <n v="0"/>
  </r>
  <r>
    <s v="Supplier for Recipes"/>
    <x v="5"/>
    <x v="788"/>
    <x v="773"/>
    <x v="159"/>
    <x v="198"/>
    <x v="0"/>
    <x v="4"/>
    <x v="4"/>
    <n v="0"/>
    <n v="0"/>
  </r>
  <r>
    <s v="Supplier for Recipes"/>
    <x v="5"/>
    <x v="788"/>
    <x v="773"/>
    <x v="159"/>
    <x v="198"/>
    <x v="0"/>
    <x v="5"/>
    <x v="5"/>
    <n v="0"/>
    <n v="0"/>
  </r>
  <r>
    <s v="Supplier for Recipes"/>
    <x v="5"/>
    <x v="788"/>
    <x v="773"/>
    <x v="159"/>
    <x v="198"/>
    <x v="0"/>
    <x v="6"/>
    <x v="6"/>
    <n v="0"/>
    <n v="0"/>
  </r>
  <r>
    <s v="Supplier for Recipes"/>
    <x v="5"/>
    <x v="789"/>
    <x v="774"/>
    <x v="162"/>
    <x v="198"/>
    <x v="0"/>
    <x v="0"/>
    <x v="0"/>
    <n v="0"/>
    <n v="0"/>
  </r>
  <r>
    <s v="Supplier for Recipes"/>
    <x v="5"/>
    <x v="789"/>
    <x v="774"/>
    <x v="162"/>
    <x v="198"/>
    <x v="0"/>
    <x v="1"/>
    <x v="1"/>
    <n v="0"/>
    <n v="0"/>
  </r>
  <r>
    <s v="Supplier for Recipes"/>
    <x v="5"/>
    <x v="789"/>
    <x v="774"/>
    <x v="162"/>
    <x v="198"/>
    <x v="0"/>
    <x v="2"/>
    <x v="2"/>
    <n v="0"/>
    <n v="0"/>
  </r>
  <r>
    <s v="Supplier for Recipes"/>
    <x v="5"/>
    <x v="789"/>
    <x v="774"/>
    <x v="162"/>
    <x v="198"/>
    <x v="0"/>
    <x v="3"/>
    <x v="3"/>
    <n v="0"/>
    <n v="0"/>
  </r>
  <r>
    <s v="Supplier for Recipes"/>
    <x v="5"/>
    <x v="789"/>
    <x v="774"/>
    <x v="162"/>
    <x v="198"/>
    <x v="0"/>
    <x v="4"/>
    <x v="4"/>
    <n v="0"/>
    <n v="0"/>
  </r>
  <r>
    <s v="Supplier for Recipes"/>
    <x v="5"/>
    <x v="789"/>
    <x v="774"/>
    <x v="162"/>
    <x v="198"/>
    <x v="0"/>
    <x v="5"/>
    <x v="5"/>
    <n v="0"/>
    <n v="0"/>
  </r>
  <r>
    <s v="Supplier for Recipes"/>
    <x v="5"/>
    <x v="789"/>
    <x v="774"/>
    <x v="162"/>
    <x v="198"/>
    <x v="0"/>
    <x v="6"/>
    <x v="6"/>
    <n v="0"/>
    <n v="0"/>
  </r>
  <r>
    <s v="SOUTHBAKELS (PTY) LTD"/>
    <x v="5"/>
    <x v="790"/>
    <x v="775"/>
    <x v="197"/>
    <x v="530"/>
    <x v="0"/>
    <x v="0"/>
    <x v="0"/>
    <n v="0"/>
    <n v="0"/>
  </r>
  <r>
    <s v="SOUTHBAKELS (PTY) LTD"/>
    <x v="5"/>
    <x v="790"/>
    <x v="775"/>
    <x v="197"/>
    <x v="530"/>
    <x v="0"/>
    <x v="1"/>
    <x v="1"/>
    <n v="0"/>
    <n v="0"/>
  </r>
  <r>
    <s v="SOUTHBAKELS (PTY) LTD"/>
    <x v="5"/>
    <x v="790"/>
    <x v="775"/>
    <x v="197"/>
    <x v="530"/>
    <x v="0"/>
    <x v="2"/>
    <x v="2"/>
    <n v="0"/>
    <n v="0"/>
  </r>
  <r>
    <s v="SOUTHBAKELS (PTY) LTD"/>
    <x v="5"/>
    <x v="790"/>
    <x v="775"/>
    <x v="197"/>
    <x v="530"/>
    <x v="0"/>
    <x v="3"/>
    <x v="3"/>
    <n v="0"/>
    <n v="0"/>
  </r>
  <r>
    <s v="SOUTHBAKELS (PTY) LTD"/>
    <x v="5"/>
    <x v="790"/>
    <x v="775"/>
    <x v="197"/>
    <x v="530"/>
    <x v="0"/>
    <x v="4"/>
    <x v="4"/>
    <n v="0"/>
    <n v="0"/>
  </r>
  <r>
    <s v="SOUTHBAKELS (PTY) LTD"/>
    <x v="5"/>
    <x v="790"/>
    <x v="775"/>
    <x v="197"/>
    <x v="530"/>
    <x v="0"/>
    <x v="5"/>
    <x v="5"/>
    <n v="0"/>
    <n v="0"/>
  </r>
  <r>
    <s v="SOUTHBAKELS (PTY) LTD"/>
    <x v="5"/>
    <x v="790"/>
    <x v="775"/>
    <x v="197"/>
    <x v="530"/>
    <x v="0"/>
    <x v="6"/>
    <x v="6"/>
    <n v="0"/>
    <n v="0"/>
  </r>
  <r>
    <s v="SOUTHBAKELS (PTY) LTD"/>
    <x v="5"/>
    <x v="791"/>
    <x v="776"/>
    <x v="198"/>
    <x v="531"/>
    <x v="0"/>
    <x v="0"/>
    <x v="0"/>
    <n v="0"/>
    <n v="0"/>
  </r>
  <r>
    <s v="SOUTHBAKELS (PTY) LTD"/>
    <x v="5"/>
    <x v="791"/>
    <x v="776"/>
    <x v="198"/>
    <x v="531"/>
    <x v="0"/>
    <x v="1"/>
    <x v="1"/>
    <n v="0"/>
    <n v="0"/>
  </r>
  <r>
    <s v="SOUTHBAKELS (PTY) LTD"/>
    <x v="5"/>
    <x v="791"/>
    <x v="776"/>
    <x v="198"/>
    <x v="531"/>
    <x v="0"/>
    <x v="2"/>
    <x v="2"/>
    <n v="0"/>
    <n v="0"/>
  </r>
  <r>
    <s v="SOUTHBAKELS (PTY) LTD"/>
    <x v="5"/>
    <x v="791"/>
    <x v="776"/>
    <x v="198"/>
    <x v="531"/>
    <x v="0"/>
    <x v="3"/>
    <x v="3"/>
    <n v="0"/>
    <n v="0"/>
  </r>
  <r>
    <s v="SOUTHBAKELS (PTY) LTD"/>
    <x v="5"/>
    <x v="791"/>
    <x v="776"/>
    <x v="198"/>
    <x v="531"/>
    <x v="0"/>
    <x v="4"/>
    <x v="4"/>
    <n v="0"/>
    <n v="0"/>
  </r>
  <r>
    <s v="SOUTHBAKELS (PTY) LTD"/>
    <x v="5"/>
    <x v="791"/>
    <x v="776"/>
    <x v="198"/>
    <x v="531"/>
    <x v="0"/>
    <x v="5"/>
    <x v="5"/>
    <n v="0"/>
    <n v="0"/>
  </r>
  <r>
    <s v="SOUTHBAKELS (PTY) LTD"/>
    <x v="5"/>
    <x v="791"/>
    <x v="776"/>
    <x v="198"/>
    <x v="531"/>
    <x v="0"/>
    <x v="6"/>
    <x v="6"/>
    <n v="0"/>
    <n v="0"/>
  </r>
  <r>
    <s v="SOUTHBAKELS (PTY) LTD"/>
    <x v="5"/>
    <x v="792"/>
    <x v="777"/>
    <x v="199"/>
    <x v="532"/>
    <x v="0"/>
    <x v="0"/>
    <x v="0"/>
    <n v="0"/>
    <n v="0"/>
  </r>
  <r>
    <s v="SOUTHBAKELS (PTY) LTD"/>
    <x v="5"/>
    <x v="792"/>
    <x v="777"/>
    <x v="199"/>
    <x v="532"/>
    <x v="0"/>
    <x v="1"/>
    <x v="1"/>
    <n v="0"/>
    <n v="0"/>
  </r>
  <r>
    <s v="SOUTHBAKELS (PTY) LTD"/>
    <x v="5"/>
    <x v="792"/>
    <x v="777"/>
    <x v="199"/>
    <x v="532"/>
    <x v="0"/>
    <x v="2"/>
    <x v="2"/>
    <n v="0"/>
    <n v="0"/>
  </r>
  <r>
    <s v="SOUTHBAKELS (PTY) LTD"/>
    <x v="5"/>
    <x v="792"/>
    <x v="777"/>
    <x v="199"/>
    <x v="532"/>
    <x v="0"/>
    <x v="3"/>
    <x v="3"/>
    <n v="0"/>
    <n v="0"/>
  </r>
  <r>
    <s v="SOUTHBAKELS (PTY) LTD"/>
    <x v="5"/>
    <x v="792"/>
    <x v="777"/>
    <x v="199"/>
    <x v="532"/>
    <x v="0"/>
    <x v="4"/>
    <x v="4"/>
    <n v="0"/>
    <n v="0"/>
  </r>
  <r>
    <s v="SOUTHBAKELS (PTY) LTD"/>
    <x v="5"/>
    <x v="792"/>
    <x v="777"/>
    <x v="199"/>
    <x v="532"/>
    <x v="0"/>
    <x v="5"/>
    <x v="5"/>
    <n v="0"/>
    <n v="0"/>
  </r>
  <r>
    <s v="SOUTHBAKELS (PTY) LTD"/>
    <x v="5"/>
    <x v="792"/>
    <x v="777"/>
    <x v="199"/>
    <x v="532"/>
    <x v="0"/>
    <x v="6"/>
    <x v="6"/>
    <n v="0"/>
    <n v="0"/>
  </r>
  <r>
    <s v="SOUTHBAKELS (PTY) LTD"/>
    <x v="5"/>
    <x v="793"/>
    <x v="778"/>
    <x v="200"/>
    <x v="533"/>
    <x v="0"/>
    <x v="0"/>
    <x v="0"/>
    <n v="0"/>
    <n v="0"/>
  </r>
  <r>
    <s v="SOUTHBAKELS (PTY) LTD"/>
    <x v="5"/>
    <x v="793"/>
    <x v="778"/>
    <x v="200"/>
    <x v="533"/>
    <x v="0"/>
    <x v="1"/>
    <x v="1"/>
    <n v="0"/>
    <n v="0"/>
  </r>
  <r>
    <s v="SOUTHBAKELS (PTY) LTD"/>
    <x v="5"/>
    <x v="793"/>
    <x v="778"/>
    <x v="200"/>
    <x v="533"/>
    <x v="0"/>
    <x v="2"/>
    <x v="2"/>
    <n v="0"/>
    <n v="0"/>
  </r>
  <r>
    <s v="SOUTHBAKELS (PTY) LTD"/>
    <x v="5"/>
    <x v="793"/>
    <x v="778"/>
    <x v="200"/>
    <x v="533"/>
    <x v="0"/>
    <x v="3"/>
    <x v="3"/>
    <n v="0"/>
    <n v="0"/>
  </r>
  <r>
    <s v="SOUTHBAKELS (PTY) LTD"/>
    <x v="5"/>
    <x v="793"/>
    <x v="778"/>
    <x v="200"/>
    <x v="533"/>
    <x v="0"/>
    <x v="4"/>
    <x v="4"/>
    <n v="0"/>
    <n v="0"/>
  </r>
  <r>
    <s v="SOUTHBAKELS (PTY) LTD"/>
    <x v="5"/>
    <x v="793"/>
    <x v="778"/>
    <x v="200"/>
    <x v="533"/>
    <x v="0"/>
    <x v="5"/>
    <x v="5"/>
    <n v="0"/>
    <n v="0"/>
  </r>
  <r>
    <s v="SOUTHBAKELS (PTY) LTD"/>
    <x v="5"/>
    <x v="793"/>
    <x v="778"/>
    <x v="200"/>
    <x v="533"/>
    <x v="0"/>
    <x v="6"/>
    <x v="6"/>
    <n v="0"/>
    <n v="0"/>
  </r>
  <r>
    <s v="SOUTHBAKELS (PTY) LTD"/>
    <x v="5"/>
    <x v="794"/>
    <x v="779"/>
    <x v="198"/>
    <x v="244"/>
    <x v="0"/>
    <x v="0"/>
    <x v="0"/>
    <n v="0"/>
    <n v="0"/>
  </r>
  <r>
    <s v="SOUTHBAKELS (PTY) LTD"/>
    <x v="5"/>
    <x v="794"/>
    <x v="779"/>
    <x v="198"/>
    <x v="244"/>
    <x v="0"/>
    <x v="1"/>
    <x v="1"/>
    <n v="0"/>
    <n v="0"/>
  </r>
  <r>
    <s v="SOUTHBAKELS (PTY) LTD"/>
    <x v="5"/>
    <x v="794"/>
    <x v="779"/>
    <x v="198"/>
    <x v="244"/>
    <x v="0"/>
    <x v="2"/>
    <x v="2"/>
    <n v="0"/>
    <n v="0"/>
  </r>
  <r>
    <s v="SOUTHBAKELS (PTY) LTD"/>
    <x v="5"/>
    <x v="794"/>
    <x v="779"/>
    <x v="198"/>
    <x v="244"/>
    <x v="0"/>
    <x v="3"/>
    <x v="3"/>
    <n v="0"/>
    <n v="0"/>
  </r>
  <r>
    <s v="SOUTHBAKELS (PTY) LTD"/>
    <x v="5"/>
    <x v="794"/>
    <x v="779"/>
    <x v="198"/>
    <x v="244"/>
    <x v="0"/>
    <x v="4"/>
    <x v="4"/>
    <n v="0"/>
    <n v="0"/>
  </r>
  <r>
    <s v="SOUTHBAKELS (PTY) LTD"/>
    <x v="5"/>
    <x v="794"/>
    <x v="779"/>
    <x v="198"/>
    <x v="244"/>
    <x v="0"/>
    <x v="5"/>
    <x v="5"/>
    <n v="0"/>
    <n v="0"/>
  </r>
  <r>
    <s v="SOUTHBAKELS (PTY) LTD"/>
    <x v="5"/>
    <x v="794"/>
    <x v="779"/>
    <x v="198"/>
    <x v="244"/>
    <x v="0"/>
    <x v="6"/>
    <x v="6"/>
    <n v="0"/>
    <n v="0"/>
  </r>
  <r>
    <s v="SOUTHBAKELS (PTY) LTD"/>
    <x v="5"/>
    <x v="795"/>
    <x v="780"/>
    <x v="11"/>
    <x v="534"/>
    <x v="0"/>
    <x v="0"/>
    <x v="0"/>
    <n v="0"/>
    <n v="0"/>
  </r>
  <r>
    <s v="SOUTHBAKELS (PTY) LTD"/>
    <x v="5"/>
    <x v="795"/>
    <x v="780"/>
    <x v="11"/>
    <x v="534"/>
    <x v="0"/>
    <x v="1"/>
    <x v="1"/>
    <n v="0"/>
    <n v="0"/>
  </r>
  <r>
    <s v="SOUTHBAKELS (PTY) LTD"/>
    <x v="5"/>
    <x v="795"/>
    <x v="780"/>
    <x v="11"/>
    <x v="534"/>
    <x v="0"/>
    <x v="2"/>
    <x v="2"/>
    <n v="0"/>
    <n v="0"/>
  </r>
  <r>
    <s v="SOUTHBAKELS (PTY) LTD"/>
    <x v="5"/>
    <x v="795"/>
    <x v="780"/>
    <x v="11"/>
    <x v="534"/>
    <x v="0"/>
    <x v="3"/>
    <x v="3"/>
    <n v="0"/>
    <n v="0"/>
  </r>
  <r>
    <s v="SOUTHBAKELS (PTY) LTD"/>
    <x v="5"/>
    <x v="795"/>
    <x v="780"/>
    <x v="11"/>
    <x v="534"/>
    <x v="0"/>
    <x v="4"/>
    <x v="4"/>
    <n v="0"/>
    <n v="0"/>
  </r>
  <r>
    <s v="SOUTHBAKELS (PTY) LTD"/>
    <x v="5"/>
    <x v="795"/>
    <x v="780"/>
    <x v="11"/>
    <x v="534"/>
    <x v="0"/>
    <x v="5"/>
    <x v="5"/>
    <n v="0"/>
    <n v="0"/>
  </r>
  <r>
    <s v="SOUTHBAKELS (PTY) LTD"/>
    <x v="5"/>
    <x v="795"/>
    <x v="780"/>
    <x v="11"/>
    <x v="534"/>
    <x v="0"/>
    <x v="6"/>
    <x v="6"/>
    <n v="0"/>
    <n v="0"/>
  </r>
  <r>
    <s v="SOUTHBAKELS (PTY) LTD"/>
    <x v="5"/>
    <x v="796"/>
    <x v="781"/>
    <x v="141"/>
    <x v="535"/>
    <x v="0"/>
    <x v="0"/>
    <x v="0"/>
    <n v="0"/>
    <n v="0"/>
  </r>
  <r>
    <s v="SOUTHBAKELS (PTY) LTD"/>
    <x v="5"/>
    <x v="796"/>
    <x v="781"/>
    <x v="141"/>
    <x v="535"/>
    <x v="0"/>
    <x v="1"/>
    <x v="1"/>
    <n v="0"/>
    <n v="0"/>
  </r>
  <r>
    <s v="SOUTHBAKELS (PTY) LTD"/>
    <x v="5"/>
    <x v="796"/>
    <x v="781"/>
    <x v="141"/>
    <x v="535"/>
    <x v="0"/>
    <x v="2"/>
    <x v="2"/>
    <n v="0"/>
    <n v="0"/>
  </r>
  <r>
    <s v="SOUTHBAKELS (PTY) LTD"/>
    <x v="5"/>
    <x v="796"/>
    <x v="781"/>
    <x v="141"/>
    <x v="535"/>
    <x v="0"/>
    <x v="3"/>
    <x v="3"/>
    <n v="0"/>
    <n v="0"/>
  </r>
  <r>
    <s v="SOUTHBAKELS (PTY) LTD"/>
    <x v="5"/>
    <x v="796"/>
    <x v="781"/>
    <x v="141"/>
    <x v="535"/>
    <x v="0"/>
    <x v="4"/>
    <x v="4"/>
    <n v="0"/>
    <n v="0"/>
  </r>
  <r>
    <s v="SOUTHBAKELS (PTY) LTD"/>
    <x v="5"/>
    <x v="796"/>
    <x v="781"/>
    <x v="141"/>
    <x v="535"/>
    <x v="0"/>
    <x v="5"/>
    <x v="5"/>
    <n v="0"/>
    <n v="0"/>
  </r>
  <r>
    <s v="SOUTHBAKELS (PTY) LTD"/>
    <x v="5"/>
    <x v="796"/>
    <x v="781"/>
    <x v="141"/>
    <x v="535"/>
    <x v="0"/>
    <x v="6"/>
    <x v="6"/>
    <n v="0"/>
    <n v="0"/>
  </r>
  <r>
    <s v="SOUTHBAKELS (PTY) LTD"/>
    <x v="5"/>
    <x v="797"/>
    <x v="782"/>
    <x v="23"/>
    <x v="536"/>
    <x v="0"/>
    <x v="0"/>
    <x v="0"/>
    <n v="0"/>
    <n v="0"/>
  </r>
  <r>
    <s v="SOUTHBAKELS (PTY) LTD"/>
    <x v="5"/>
    <x v="797"/>
    <x v="782"/>
    <x v="23"/>
    <x v="536"/>
    <x v="0"/>
    <x v="1"/>
    <x v="1"/>
    <n v="0"/>
    <n v="0"/>
  </r>
  <r>
    <s v="SOUTHBAKELS (PTY) LTD"/>
    <x v="5"/>
    <x v="797"/>
    <x v="782"/>
    <x v="23"/>
    <x v="536"/>
    <x v="0"/>
    <x v="2"/>
    <x v="2"/>
    <n v="0"/>
    <n v="0"/>
  </r>
  <r>
    <s v="SOUTHBAKELS (PTY) LTD"/>
    <x v="5"/>
    <x v="797"/>
    <x v="782"/>
    <x v="23"/>
    <x v="536"/>
    <x v="0"/>
    <x v="3"/>
    <x v="3"/>
    <n v="0"/>
    <n v="0"/>
  </r>
  <r>
    <s v="SOUTHBAKELS (PTY) LTD"/>
    <x v="5"/>
    <x v="797"/>
    <x v="782"/>
    <x v="23"/>
    <x v="536"/>
    <x v="0"/>
    <x v="4"/>
    <x v="4"/>
    <n v="0"/>
    <n v="0"/>
  </r>
  <r>
    <s v="SOUTHBAKELS (PTY) LTD"/>
    <x v="5"/>
    <x v="797"/>
    <x v="782"/>
    <x v="23"/>
    <x v="536"/>
    <x v="0"/>
    <x v="5"/>
    <x v="5"/>
    <n v="0"/>
    <n v="0"/>
  </r>
  <r>
    <s v="SOUTHBAKELS (PTY) LTD"/>
    <x v="5"/>
    <x v="797"/>
    <x v="782"/>
    <x v="23"/>
    <x v="536"/>
    <x v="0"/>
    <x v="6"/>
    <x v="6"/>
    <n v="0"/>
    <n v="0"/>
  </r>
  <r>
    <s v="SOUTHBAKELS (PTY) LTD"/>
    <x v="5"/>
    <x v="798"/>
    <x v="783"/>
    <x v="201"/>
    <x v="537"/>
    <x v="0"/>
    <x v="0"/>
    <x v="0"/>
    <n v="0"/>
    <n v="0"/>
  </r>
  <r>
    <s v="SOUTHBAKELS (PTY) LTD"/>
    <x v="5"/>
    <x v="798"/>
    <x v="783"/>
    <x v="201"/>
    <x v="537"/>
    <x v="0"/>
    <x v="1"/>
    <x v="1"/>
    <n v="0"/>
    <n v="0"/>
  </r>
  <r>
    <s v="SOUTHBAKELS (PTY) LTD"/>
    <x v="5"/>
    <x v="798"/>
    <x v="783"/>
    <x v="201"/>
    <x v="537"/>
    <x v="0"/>
    <x v="2"/>
    <x v="2"/>
    <n v="0"/>
    <n v="0"/>
  </r>
  <r>
    <s v="SOUTHBAKELS (PTY) LTD"/>
    <x v="5"/>
    <x v="798"/>
    <x v="783"/>
    <x v="201"/>
    <x v="537"/>
    <x v="0"/>
    <x v="3"/>
    <x v="3"/>
    <n v="0"/>
    <n v="0"/>
  </r>
  <r>
    <s v="SOUTHBAKELS (PTY) LTD"/>
    <x v="5"/>
    <x v="798"/>
    <x v="783"/>
    <x v="201"/>
    <x v="537"/>
    <x v="0"/>
    <x v="4"/>
    <x v="4"/>
    <n v="0"/>
    <n v="0"/>
  </r>
  <r>
    <s v="SOUTHBAKELS (PTY) LTD"/>
    <x v="5"/>
    <x v="798"/>
    <x v="783"/>
    <x v="201"/>
    <x v="537"/>
    <x v="0"/>
    <x v="5"/>
    <x v="5"/>
    <n v="0"/>
    <n v="0"/>
  </r>
  <r>
    <s v="SOUTHBAKELS (PTY) LTD"/>
    <x v="5"/>
    <x v="798"/>
    <x v="783"/>
    <x v="201"/>
    <x v="537"/>
    <x v="0"/>
    <x v="6"/>
    <x v="6"/>
    <n v="0"/>
    <n v="0"/>
  </r>
  <r>
    <s v="SOUTHBAKELS (PTY) LTD"/>
    <x v="5"/>
    <x v="799"/>
    <x v="784"/>
    <x v="179"/>
    <x v="538"/>
    <x v="0"/>
    <x v="0"/>
    <x v="0"/>
    <n v="0"/>
    <n v="0"/>
  </r>
  <r>
    <s v="SOUTHBAKELS (PTY) LTD"/>
    <x v="5"/>
    <x v="799"/>
    <x v="784"/>
    <x v="179"/>
    <x v="538"/>
    <x v="0"/>
    <x v="1"/>
    <x v="1"/>
    <n v="0"/>
    <n v="0"/>
  </r>
  <r>
    <s v="SOUTHBAKELS (PTY) LTD"/>
    <x v="5"/>
    <x v="799"/>
    <x v="784"/>
    <x v="179"/>
    <x v="538"/>
    <x v="0"/>
    <x v="2"/>
    <x v="2"/>
    <n v="0"/>
    <n v="0"/>
  </r>
  <r>
    <s v="SOUTHBAKELS (PTY) LTD"/>
    <x v="5"/>
    <x v="799"/>
    <x v="784"/>
    <x v="179"/>
    <x v="538"/>
    <x v="0"/>
    <x v="3"/>
    <x v="3"/>
    <n v="0"/>
    <n v="0"/>
  </r>
  <r>
    <s v="SOUTHBAKELS (PTY) LTD"/>
    <x v="5"/>
    <x v="799"/>
    <x v="784"/>
    <x v="179"/>
    <x v="538"/>
    <x v="0"/>
    <x v="4"/>
    <x v="4"/>
    <n v="0"/>
    <n v="0"/>
  </r>
  <r>
    <s v="SOUTHBAKELS (PTY) LTD"/>
    <x v="5"/>
    <x v="799"/>
    <x v="784"/>
    <x v="179"/>
    <x v="538"/>
    <x v="0"/>
    <x v="5"/>
    <x v="5"/>
    <n v="0"/>
    <n v="0"/>
  </r>
  <r>
    <s v="SOUTHBAKELS (PTY) LTD"/>
    <x v="5"/>
    <x v="799"/>
    <x v="784"/>
    <x v="179"/>
    <x v="538"/>
    <x v="0"/>
    <x v="6"/>
    <x v="6"/>
    <n v="0"/>
    <n v="0"/>
  </r>
  <r>
    <s v="SOUTHBAKELS (PTY) LTD"/>
    <x v="5"/>
    <x v="800"/>
    <x v="785"/>
    <x v="11"/>
    <x v="539"/>
    <x v="0"/>
    <x v="0"/>
    <x v="0"/>
    <n v="0"/>
    <n v="0"/>
  </r>
  <r>
    <s v="SOUTHBAKELS (PTY) LTD"/>
    <x v="5"/>
    <x v="800"/>
    <x v="785"/>
    <x v="11"/>
    <x v="539"/>
    <x v="0"/>
    <x v="1"/>
    <x v="1"/>
    <n v="0"/>
    <n v="0"/>
  </r>
  <r>
    <s v="SOUTHBAKELS (PTY) LTD"/>
    <x v="5"/>
    <x v="800"/>
    <x v="785"/>
    <x v="11"/>
    <x v="539"/>
    <x v="0"/>
    <x v="2"/>
    <x v="2"/>
    <n v="0"/>
    <n v="0"/>
  </r>
  <r>
    <s v="SOUTHBAKELS (PTY) LTD"/>
    <x v="5"/>
    <x v="800"/>
    <x v="785"/>
    <x v="11"/>
    <x v="539"/>
    <x v="0"/>
    <x v="3"/>
    <x v="3"/>
    <n v="0"/>
    <n v="0"/>
  </r>
  <r>
    <s v="SOUTHBAKELS (PTY) LTD"/>
    <x v="5"/>
    <x v="800"/>
    <x v="785"/>
    <x v="11"/>
    <x v="539"/>
    <x v="0"/>
    <x v="4"/>
    <x v="4"/>
    <n v="0"/>
    <n v="0"/>
  </r>
  <r>
    <s v="SOUTHBAKELS (PTY) LTD"/>
    <x v="5"/>
    <x v="800"/>
    <x v="785"/>
    <x v="11"/>
    <x v="539"/>
    <x v="0"/>
    <x v="5"/>
    <x v="5"/>
    <n v="0"/>
    <n v="0"/>
  </r>
  <r>
    <s v="SOUTHBAKELS (PTY) LTD"/>
    <x v="5"/>
    <x v="800"/>
    <x v="785"/>
    <x v="11"/>
    <x v="539"/>
    <x v="0"/>
    <x v="6"/>
    <x v="6"/>
    <n v="0"/>
    <n v="0"/>
  </r>
  <r>
    <s v="SOUTHBAKELS (PTY) LTD"/>
    <x v="5"/>
    <x v="801"/>
    <x v="786"/>
    <x v="202"/>
    <x v="540"/>
    <x v="0"/>
    <x v="0"/>
    <x v="0"/>
    <n v="0"/>
    <n v="0"/>
  </r>
  <r>
    <s v="SOUTHBAKELS (PTY) LTD"/>
    <x v="5"/>
    <x v="801"/>
    <x v="786"/>
    <x v="202"/>
    <x v="540"/>
    <x v="0"/>
    <x v="1"/>
    <x v="1"/>
    <n v="0"/>
    <n v="0"/>
  </r>
  <r>
    <s v="SOUTHBAKELS (PTY) LTD"/>
    <x v="5"/>
    <x v="801"/>
    <x v="786"/>
    <x v="202"/>
    <x v="540"/>
    <x v="0"/>
    <x v="2"/>
    <x v="2"/>
    <n v="0"/>
    <n v="0"/>
  </r>
  <r>
    <s v="SOUTHBAKELS (PTY) LTD"/>
    <x v="5"/>
    <x v="801"/>
    <x v="786"/>
    <x v="202"/>
    <x v="540"/>
    <x v="0"/>
    <x v="3"/>
    <x v="3"/>
    <n v="0"/>
    <n v="0"/>
  </r>
  <r>
    <s v="SOUTHBAKELS (PTY) LTD"/>
    <x v="5"/>
    <x v="801"/>
    <x v="786"/>
    <x v="202"/>
    <x v="540"/>
    <x v="0"/>
    <x v="4"/>
    <x v="4"/>
    <n v="0"/>
    <n v="0"/>
  </r>
  <r>
    <s v="SOUTHBAKELS (PTY) LTD"/>
    <x v="5"/>
    <x v="801"/>
    <x v="786"/>
    <x v="202"/>
    <x v="540"/>
    <x v="0"/>
    <x v="5"/>
    <x v="5"/>
    <n v="0"/>
    <n v="0"/>
  </r>
  <r>
    <s v="SOUTHBAKELS (PTY) LTD"/>
    <x v="5"/>
    <x v="801"/>
    <x v="786"/>
    <x v="202"/>
    <x v="540"/>
    <x v="0"/>
    <x v="6"/>
    <x v="6"/>
    <n v="0"/>
    <n v="0"/>
  </r>
  <r>
    <s v="SOUTHBAKELS (PTY) LTD"/>
    <x v="5"/>
    <x v="802"/>
    <x v="787"/>
    <x v="21"/>
    <x v="541"/>
    <x v="0"/>
    <x v="0"/>
    <x v="0"/>
    <n v="0"/>
    <n v="0"/>
  </r>
  <r>
    <s v="SOUTHBAKELS (PTY) LTD"/>
    <x v="5"/>
    <x v="802"/>
    <x v="787"/>
    <x v="21"/>
    <x v="541"/>
    <x v="0"/>
    <x v="1"/>
    <x v="1"/>
    <n v="0"/>
    <n v="0"/>
  </r>
  <r>
    <s v="SOUTHBAKELS (PTY) LTD"/>
    <x v="5"/>
    <x v="802"/>
    <x v="787"/>
    <x v="21"/>
    <x v="541"/>
    <x v="0"/>
    <x v="2"/>
    <x v="2"/>
    <n v="0"/>
    <n v="0"/>
  </r>
  <r>
    <s v="SOUTHBAKELS (PTY) LTD"/>
    <x v="5"/>
    <x v="802"/>
    <x v="787"/>
    <x v="21"/>
    <x v="541"/>
    <x v="0"/>
    <x v="3"/>
    <x v="3"/>
    <n v="0"/>
    <n v="0"/>
  </r>
  <r>
    <s v="SOUTHBAKELS (PTY) LTD"/>
    <x v="5"/>
    <x v="802"/>
    <x v="787"/>
    <x v="21"/>
    <x v="541"/>
    <x v="0"/>
    <x v="4"/>
    <x v="4"/>
    <n v="0"/>
    <n v="0"/>
  </r>
  <r>
    <s v="SOUTHBAKELS (PTY) LTD"/>
    <x v="5"/>
    <x v="802"/>
    <x v="787"/>
    <x v="21"/>
    <x v="541"/>
    <x v="0"/>
    <x v="5"/>
    <x v="5"/>
    <n v="0"/>
    <n v="0"/>
  </r>
  <r>
    <s v="SOUTHBAKELS (PTY) LTD"/>
    <x v="5"/>
    <x v="802"/>
    <x v="787"/>
    <x v="21"/>
    <x v="541"/>
    <x v="0"/>
    <x v="6"/>
    <x v="6"/>
    <n v="0"/>
    <n v="0"/>
  </r>
  <r>
    <s v="SOUTHBAKELS (PTY) LTD"/>
    <x v="5"/>
    <x v="803"/>
    <x v="788"/>
    <x v="46"/>
    <x v="542"/>
    <x v="0"/>
    <x v="0"/>
    <x v="0"/>
    <n v="0"/>
    <n v="0"/>
  </r>
  <r>
    <s v="SOUTHBAKELS (PTY) LTD"/>
    <x v="5"/>
    <x v="803"/>
    <x v="788"/>
    <x v="46"/>
    <x v="542"/>
    <x v="0"/>
    <x v="1"/>
    <x v="1"/>
    <n v="0"/>
    <n v="0"/>
  </r>
  <r>
    <s v="SOUTHBAKELS (PTY) LTD"/>
    <x v="5"/>
    <x v="803"/>
    <x v="788"/>
    <x v="46"/>
    <x v="542"/>
    <x v="0"/>
    <x v="2"/>
    <x v="2"/>
    <n v="0"/>
    <n v="0"/>
  </r>
  <r>
    <s v="SOUTHBAKELS (PTY) LTD"/>
    <x v="5"/>
    <x v="803"/>
    <x v="788"/>
    <x v="46"/>
    <x v="542"/>
    <x v="0"/>
    <x v="3"/>
    <x v="3"/>
    <n v="0"/>
    <n v="0"/>
  </r>
  <r>
    <s v="SOUTHBAKELS (PTY) LTD"/>
    <x v="5"/>
    <x v="803"/>
    <x v="788"/>
    <x v="46"/>
    <x v="542"/>
    <x v="0"/>
    <x v="4"/>
    <x v="4"/>
    <n v="0"/>
    <n v="0"/>
  </r>
  <r>
    <s v="SOUTHBAKELS (PTY) LTD"/>
    <x v="5"/>
    <x v="803"/>
    <x v="788"/>
    <x v="46"/>
    <x v="542"/>
    <x v="0"/>
    <x v="5"/>
    <x v="5"/>
    <n v="0"/>
    <n v="0"/>
  </r>
  <r>
    <s v="SOUTHBAKELS (PTY) LTD"/>
    <x v="5"/>
    <x v="803"/>
    <x v="788"/>
    <x v="46"/>
    <x v="542"/>
    <x v="0"/>
    <x v="6"/>
    <x v="6"/>
    <n v="0"/>
    <n v="0"/>
  </r>
  <r>
    <s v="SOUTHBAKELS (PTY) LTD"/>
    <x v="5"/>
    <x v="804"/>
    <x v="789"/>
    <x v="203"/>
    <x v="543"/>
    <x v="0"/>
    <x v="0"/>
    <x v="0"/>
    <n v="0"/>
    <n v="0"/>
  </r>
  <r>
    <s v="SOUTHBAKELS (PTY) LTD"/>
    <x v="5"/>
    <x v="804"/>
    <x v="789"/>
    <x v="203"/>
    <x v="543"/>
    <x v="0"/>
    <x v="1"/>
    <x v="1"/>
    <n v="0"/>
    <n v="0"/>
  </r>
  <r>
    <s v="SOUTHBAKELS (PTY) LTD"/>
    <x v="5"/>
    <x v="804"/>
    <x v="789"/>
    <x v="203"/>
    <x v="543"/>
    <x v="0"/>
    <x v="2"/>
    <x v="2"/>
    <n v="0"/>
    <n v="0"/>
  </r>
  <r>
    <s v="SOUTHBAKELS (PTY) LTD"/>
    <x v="5"/>
    <x v="804"/>
    <x v="789"/>
    <x v="203"/>
    <x v="543"/>
    <x v="0"/>
    <x v="3"/>
    <x v="3"/>
    <n v="0"/>
    <n v="0"/>
  </r>
  <r>
    <s v="SOUTHBAKELS (PTY) LTD"/>
    <x v="5"/>
    <x v="804"/>
    <x v="789"/>
    <x v="203"/>
    <x v="543"/>
    <x v="0"/>
    <x v="4"/>
    <x v="4"/>
    <n v="0"/>
    <n v="0"/>
  </r>
  <r>
    <s v="SOUTHBAKELS (PTY) LTD"/>
    <x v="5"/>
    <x v="804"/>
    <x v="789"/>
    <x v="203"/>
    <x v="543"/>
    <x v="0"/>
    <x v="5"/>
    <x v="5"/>
    <n v="0"/>
    <n v="0"/>
  </r>
  <r>
    <s v="SOUTHBAKELS (PTY) LTD"/>
    <x v="5"/>
    <x v="804"/>
    <x v="789"/>
    <x v="203"/>
    <x v="543"/>
    <x v="0"/>
    <x v="6"/>
    <x v="6"/>
    <n v="0"/>
    <n v="0"/>
  </r>
  <r>
    <s v="SOUTHBAKELS (PTY) LTD"/>
    <x v="5"/>
    <x v="805"/>
    <x v="790"/>
    <x v="3"/>
    <x v="544"/>
    <x v="0"/>
    <x v="0"/>
    <x v="0"/>
    <n v="0"/>
    <n v="0"/>
  </r>
  <r>
    <s v="SOUTHBAKELS (PTY) LTD"/>
    <x v="5"/>
    <x v="805"/>
    <x v="790"/>
    <x v="3"/>
    <x v="544"/>
    <x v="0"/>
    <x v="1"/>
    <x v="1"/>
    <n v="0"/>
    <n v="0"/>
  </r>
  <r>
    <s v="SOUTHBAKELS (PTY) LTD"/>
    <x v="5"/>
    <x v="805"/>
    <x v="790"/>
    <x v="3"/>
    <x v="544"/>
    <x v="0"/>
    <x v="2"/>
    <x v="2"/>
    <n v="0"/>
    <n v="0"/>
  </r>
  <r>
    <s v="SOUTHBAKELS (PTY) LTD"/>
    <x v="5"/>
    <x v="805"/>
    <x v="790"/>
    <x v="3"/>
    <x v="544"/>
    <x v="0"/>
    <x v="3"/>
    <x v="3"/>
    <n v="0"/>
    <n v="0"/>
  </r>
  <r>
    <s v="SOUTHBAKELS (PTY) LTD"/>
    <x v="5"/>
    <x v="805"/>
    <x v="790"/>
    <x v="3"/>
    <x v="544"/>
    <x v="0"/>
    <x v="4"/>
    <x v="4"/>
    <n v="0"/>
    <n v="0"/>
  </r>
  <r>
    <s v="SOUTHBAKELS (PTY) LTD"/>
    <x v="5"/>
    <x v="805"/>
    <x v="790"/>
    <x v="3"/>
    <x v="544"/>
    <x v="0"/>
    <x v="5"/>
    <x v="5"/>
    <n v="0"/>
    <n v="0"/>
  </r>
  <r>
    <s v="SOUTHBAKELS (PTY) LTD"/>
    <x v="5"/>
    <x v="805"/>
    <x v="790"/>
    <x v="3"/>
    <x v="544"/>
    <x v="0"/>
    <x v="6"/>
    <x v="6"/>
    <n v="0"/>
    <n v="0"/>
  </r>
  <r>
    <s v="SOUTHBAKELS (PTY) LTD"/>
    <x v="5"/>
    <x v="806"/>
    <x v="791"/>
    <x v="204"/>
    <x v="545"/>
    <x v="0"/>
    <x v="0"/>
    <x v="0"/>
    <n v="0"/>
    <n v="0"/>
  </r>
  <r>
    <s v="SOUTHBAKELS (PTY) LTD"/>
    <x v="5"/>
    <x v="806"/>
    <x v="791"/>
    <x v="204"/>
    <x v="545"/>
    <x v="0"/>
    <x v="1"/>
    <x v="1"/>
    <n v="0"/>
    <n v="0"/>
  </r>
  <r>
    <s v="SOUTHBAKELS (PTY) LTD"/>
    <x v="5"/>
    <x v="806"/>
    <x v="791"/>
    <x v="204"/>
    <x v="545"/>
    <x v="0"/>
    <x v="2"/>
    <x v="2"/>
    <n v="0"/>
    <n v="0"/>
  </r>
  <r>
    <s v="SOUTHBAKELS (PTY) LTD"/>
    <x v="5"/>
    <x v="806"/>
    <x v="791"/>
    <x v="204"/>
    <x v="545"/>
    <x v="0"/>
    <x v="3"/>
    <x v="3"/>
    <n v="0"/>
    <n v="0"/>
  </r>
  <r>
    <s v="SOUTHBAKELS (PTY) LTD"/>
    <x v="5"/>
    <x v="806"/>
    <x v="791"/>
    <x v="204"/>
    <x v="545"/>
    <x v="0"/>
    <x v="4"/>
    <x v="4"/>
    <n v="0"/>
    <n v="0"/>
  </r>
  <r>
    <s v="SOUTHBAKELS (PTY) LTD"/>
    <x v="5"/>
    <x v="806"/>
    <x v="791"/>
    <x v="204"/>
    <x v="545"/>
    <x v="0"/>
    <x v="5"/>
    <x v="5"/>
    <n v="0"/>
    <n v="0"/>
  </r>
  <r>
    <s v="SOUTHBAKELS (PTY) LTD"/>
    <x v="5"/>
    <x v="806"/>
    <x v="791"/>
    <x v="204"/>
    <x v="545"/>
    <x v="0"/>
    <x v="6"/>
    <x v="6"/>
    <n v="0"/>
    <n v="0"/>
  </r>
  <r>
    <s v="SOUTHBAKELS (PTY) LTD"/>
    <x v="5"/>
    <x v="807"/>
    <x v="792"/>
    <x v="205"/>
    <x v="546"/>
    <x v="0"/>
    <x v="0"/>
    <x v="0"/>
    <n v="0"/>
    <n v="0"/>
  </r>
  <r>
    <s v="SOUTHBAKELS (PTY) LTD"/>
    <x v="5"/>
    <x v="807"/>
    <x v="792"/>
    <x v="205"/>
    <x v="546"/>
    <x v="0"/>
    <x v="1"/>
    <x v="1"/>
    <n v="0"/>
    <n v="0"/>
  </r>
  <r>
    <s v="SOUTHBAKELS (PTY) LTD"/>
    <x v="5"/>
    <x v="807"/>
    <x v="792"/>
    <x v="205"/>
    <x v="546"/>
    <x v="0"/>
    <x v="2"/>
    <x v="2"/>
    <n v="0"/>
    <n v="0"/>
  </r>
  <r>
    <s v="SOUTHBAKELS (PTY) LTD"/>
    <x v="5"/>
    <x v="807"/>
    <x v="792"/>
    <x v="205"/>
    <x v="546"/>
    <x v="0"/>
    <x v="3"/>
    <x v="3"/>
    <n v="0"/>
    <n v="0"/>
  </r>
  <r>
    <s v="SOUTHBAKELS (PTY) LTD"/>
    <x v="5"/>
    <x v="807"/>
    <x v="792"/>
    <x v="205"/>
    <x v="546"/>
    <x v="0"/>
    <x v="4"/>
    <x v="4"/>
    <n v="0"/>
    <n v="0"/>
  </r>
  <r>
    <s v="SOUTHBAKELS (PTY) LTD"/>
    <x v="5"/>
    <x v="807"/>
    <x v="792"/>
    <x v="205"/>
    <x v="546"/>
    <x v="0"/>
    <x v="5"/>
    <x v="5"/>
    <n v="0"/>
    <n v="0"/>
  </r>
  <r>
    <s v="SOUTHBAKELS (PTY) LTD"/>
    <x v="5"/>
    <x v="807"/>
    <x v="792"/>
    <x v="205"/>
    <x v="546"/>
    <x v="0"/>
    <x v="6"/>
    <x v="6"/>
    <n v="0"/>
    <n v="0"/>
  </r>
  <r>
    <s v="SOUTHBAKELS (PTY) LTD"/>
    <x v="5"/>
    <x v="808"/>
    <x v="793"/>
    <x v="206"/>
    <x v="547"/>
    <x v="0"/>
    <x v="0"/>
    <x v="0"/>
    <n v="0"/>
    <n v="0"/>
  </r>
  <r>
    <s v="SOUTHBAKELS (PTY) LTD"/>
    <x v="5"/>
    <x v="808"/>
    <x v="793"/>
    <x v="206"/>
    <x v="547"/>
    <x v="0"/>
    <x v="1"/>
    <x v="1"/>
    <n v="0"/>
    <n v="0"/>
  </r>
  <r>
    <s v="SOUTHBAKELS (PTY) LTD"/>
    <x v="5"/>
    <x v="808"/>
    <x v="793"/>
    <x v="206"/>
    <x v="547"/>
    <x v="0"/>
    <x v="2"/>
    <x v="2"/>
    <n v="0"/>
    <n v="0"/>
  </r>
  <r>
    <s v="SOUTHBAKELS (PTY) LTD"/>
    <x v="5"/>
    <x v="808"/>
    <x v="793"/>
    <x v="206"/>
    <x v="547"/>
    <x v="0"/>
    <x v="3"/>
    <x v="3"/>
    <n v="0"/>
    <n v="0"/>
  </r>
  <r>
    <s v="SOUTHBAKELS (PTY) LTD"/>
    <x v="5"/>
    <x v="808"/>
    <x v="793"/>
    <x v="206"/>
    <x v="547"/>
    <x v="0"/>
    <x v="4"/>
    <x v="4"/>
    <n v="0"/>
    <n v="0"/>
  </r>
  <r>
    <s v="SOUTHBAKELS (PTY) LTD"/>
    <x v="5"/>
    <x v="808"/>
    <x v="793"/>
    <x v="206"/>
    <x v="547"/>
    <x v="0"/>
    <x v="5"/>
    <x v="5"/>
    <n v="0"/>
    <n v="0"/>
  </r>
  <r>
    <s v="SOUTHBAKELS (PTY) LTD"/>
    <x v="5"/>
    <x v="808"/>
    <x v="793"/>
    <x v="206"/>
    <x v="547"/>
    <x v="0"/>
    <x v="6"/>
    <x v="6"/>
    <n v="0"/>
    <n v="0"/>
  </r>
  <r>
    <s v="SOUTHBAKELS (PTY) LTD"/>
    <x v="5"/>
    <x v="809"/>
    <x v="794"/>
    <x v="207"/>
    <x v="548"/>
    <x v="0"/>
    <x v="0"/>
    <x v="0"/>
    <n v="0"/>
    <n v="0"/>
  </r>
  <r>
    <s v="SOUTHBAKELS (PTY) LTD"/>
    <x v="5"/>
    <x v="809"/>
    <x v="794"/>
    <x v="207"/>
    <x v="548"/>
    <x v="0"/>
    <x v="1"/>
    <x v="1"/>
    <n v="0"/>
    <n v="0"/>
  </r>
  <r>
    <s v="SOUTHBAKELS (PTY) LTD"/>
    <x v="5"/>
    <x v="809"/>
    <x v="794"/>
    <x v="207"/>
    <x v="548"/>
    <x v="0"/>
    <x v="2"/>
    <x v="2"/>
    <n v="0"/>
    <n v="0"/>
  </r>
  <r>
    <s v="SOUTHBAKELS (PTY) LTD"/>
    <x v="5"/>
    <x v="809"/>
    <x v="794"/>
    <x v="207"/>
    <x v="548"/>
    <x v="0"/>
    <x v="3"/>
    <x v="3"/>
    <n v="0"/>
    <n v="0"/>
  </r>
  <r>
    <s v="SOUTHBAKELS (PTY) LTD"/>
    <x v="5"/>
    <x v="809"/>
    <x v="794"/>
    <x v="207"/>
    <x v="548"/>
    <x v="0"/>
    <x v="4"/>
    <x v="4"/>
    <n v="0"/>
    <n v="0"/>
  </r>
  <r>
    <s v="SOUTHBAKELS (PTY) LTD"/>
    <x v="5"/>
    <x v="809"/>
    <x v="794"/>
    <x v="207"/>
    <x v="548"/>
    <x v="0"/>
    <x v="5"/>
    <x v="5"/>
    <n v="0"/>
    <n v="0"/>
  </r>
  <r>
    <s v="SOUTHBAKELS (PTY) LTD"/>
    <x v="5"/>
    <x v="809"/>
    <x v="794"/>
    <x v="207"/>
    <x v="548"/>
    <x v="0"/>
    <x v="6"/>
    <x v="6"/>
    <n v="0"/>
    <n v="0"/>
  </r>
  <r>
    <s v="SOUTHBAKELS (PTY) LTD"/>
    <x v="5"/>
    <x v="810"/>
    <x v="795"/>
    <x v="15"/>
    <x v="549"/>
    <x v="0"/>
    <x v="0"/>
    <x v="0"/>
    <n v="0"/>
    <n v="0"/>
  </r>
  <r>
    <s v="SOUTHBAKELS (PTY) LTD"/>
    <x v="5"/>
    <x v="810"/>
    <x v="795"/>
    <x v="15"/>
    <x v="549"/>
    <x v="0"/>
    <x v="1"/>
    <x v="1"/>
    <n v="0"/>
    <n v="0"/>
  </r>
  <r>
    <s v="SOUTHBAKELS (PTY) LTD"/>
    <x v="5"/>
    <x v="810"/>
    <x v="795"/>
    <x v="15"/>
    <x v="549"/>
    <x v="0"/>
    <x v="2"/>
    <x v="2"/>
    <n v="0"/>
    <n v="0"/>
  </r>
  <r>
    <s v="SOUTHBAKELS (PTY) LTD"/>
    <x v="5"/>
    <x v="810"/>
    <x v="795"/>
    <x v="15"/>
    <x v="549"/>
    <x v="0"/>
    <x v="3"/>
    <x v="3"/>
    <n v="0"/>
    <n v="0"/>
  </r>
  <r>
    <s v="SOUTHBAKELS (PTY) LTD"/>
    <x v="5"/>
    <x v="810"/>
    <x v="795"/>
    <x v="15"/>
    <x v="549"/>
    <x v="0"/>
    <x v="4"/>
    <x v="4"/>
    <n v="0"/>
    <n v="0"/>
  </r>
  <r>
    <s v="SOUTHBAKELS (PTY) LTD"/>
    <x v="5"/>
    <x v="810"/>
    <x v="795"/>
    <x v="15"/>
    <x v="549"/>
    <x v="0"/>
    <x v="5"/>
    <x v="5"/>
    <n v="0"/>
    <n v="0"/>
  </r>
  <r>
    <s v="SOUTHBAKELS (PTY) LTD"/>
    <x v="5"/>
    <x v="810"/>
    <x v="795"/>
    <x v="15"/>
    <x v="549"/>
    <x v="0"/>
    <x v="6"/>
    <x v="6"/>
    <n v="0"/>
    <n v="0"/>
  </r>
  <r>
    <s v="SOUTHBAKELS (PTY) LTD"/>
    <x v="5"/>
    <x v="811"/>
    <x v="796"/>
    <x v="208"/>
    <x v="550"/>
    <x v="0"/>
    <x v="0"/>
    <x v="0"/>
    <n v="0"/>
    <n v="0"/>
  </r>
  <r>
    <s v="SOUTHBAKELS (PTY) LTD"/>
    <x v="5"/>
    <x v="811"/>
    <x v="796"/>
    <x v="208"/>
    <x v="550"/>
    <x v="0"/>
    <x v="1"/>
    <x v="1"/>
    <n v="0"/>
    <n v="0"/>
  </r>
  <r>
    <s v="SOUTHBAKELS (PTY) LTD"/>
    <x v="5"/>
    <x v="811"/>
    <x v="796"/>
    <x v="208"/>
    <x v="550"/>
    <x v="0"/>
    <x v="2"/>
    <x v="2"/>
    <n v="0"/>
    <n v="0"/>
  </r>
  <r>
    <s v="SOUTHBAKELS (PTY) LTD"/>
    <x v="5"/>
    <x v="811"/>
    <x v="796"/>
    <x v="208"/>
    <x v="550"/>
    <x v="0"/>
    <x v="3"/>
    <x v="3"/>
    <n v="0"/>
    <n v="0"/>
  </r>
  <r>
    <s v="SOUTHBAKELS (PTY) LTD"/>
    <x v="5"/>
    <x v="811"/>
    <x v="796"/>
    <x v="208"/>
    <x v="550"/>
    <x v="0"/>
    <x v="4"/>
    <x v="4"/>
    <n v="0"/>
    <n v="0"/>
  </r>
  <r>
    <s v="SOUTHBAKELS (PTY) LTD"/>
    <x v="5"/>
    <x v="811"/>
    <x v="796"/>
    <x v="208"/>
    <x v="550"/>
    <x v="0"/>
    <x v="5"/>
    <x v="5"/>
    <n v="0"/>
    <n v="0"/>
  </r>
  <r>
    <s v="SOUTHBAKELS (PTY) LTD"/>
    <x v="5"/>
    <x v="811"/>
    <x v="796"/>
    <x v="208"/>
    <x v="550"/>
    <x v="0"/>
    <x v="6"/>
    <x v="6"/>
    <n v="0"/>
    <n v="0"/>
  </r>
  <r>
    <s v="SOUTHBAKELS (PTY) LTD"/>
    <x v="5"/>
    <x v="812"/>
    <x v="797"/>
    <x v="140"/>
    <x v="551"/>
    <x v="0"/>
    <x v="0"/>
    <x v="0"/>
    <n v="0"/>
    <n v="0"/>
  </r>
  <r>
    <s v="SOUTHBAKELS (PTY) LTD"/>
    <x v="5"/>
    <x v="812"/>
    <x v="797"/>
    <x v="140"/>
    <x v="551"/>
    <x v="0"/>
    <x v="1"/>
    <x v="1"/>
    <n v="0"/>
    <n v="0"/>
  </r>
  <r>
    <s v="SOUTHBAKELS (PTY) LTD"/>
    <x v="5"/>
    <x v="812"/>
    <x v="797"/>
    <x v="140"/>
    <x v="551"/>
    <x v="0"/>
    <x v="2"/>
    <x v="2"/>
    <n v="0"/>
    <n v="0"/>
  </r>
  <r>
    <s v="SOUTHBAKELS (PTY) LTD"/>
    <x v="5"/>
    <x v="812"/>
    <x v="797"/>
    <x v="140"/>
    <x v="551"/>
    <x v="0"/>
    <x v="3"/>
    <x v="3"/>
    <n v="0"/>
    <n v="0"/>
  </r>
  <r>
    <s v="SOUTHBAKELS (PTY) LTD"/>
    <x v="5"/>
    <x v="812"/>
    <x v="797"/>
    <x v="140"/>
    <x v="551"/>
    <x v="0"/>
    <x v="4"/>
    <x v="4"/>
    <n v="0"/>
    <n v="0"/>
  </r>
  <r>
    <s v="SOUTHBAKELS (PTY) LTD"/>
    <x v="5"/>
    <x v="812"/>
    <x v="797"/>
    <x v="140"/>
    <x v="551"/>
    <x v="0"/>
    <x v="5"/>
    <x v="5"/>
    <n v="0"/>
    <n v="0"/>
  </r>
  <r>
    <s v="SOUTHBAKELS (PTY) LTD"/>
    <x v="5"/>
    <x v="812"/>
    <x v="797"/>
    <x v="140"/>
    <x v="551"/>
    <x v="0"/>
    <x v="6"/>
    <x v="6"/>
    <n v="0"/>
    <n v="0"/>
  </r>
  <r>
    <s v="SOUTHBAKELS (PTY) LTD"/>
    <x v="5"/>
    <x v="813"/>
    <x v="798"/>
    <x v="209"/>
    <x v="552"/>
    <x v="0"/>
    <x v="0"/>
    <x v="0"/>
    <n v="0"/>
    <n v="0"/>
  </r>
  <r>
    <s v="SOUTHBAKELS (PTY) LTD"/>
    <x v="5"/>
    <x v="813"/>
    <x v="798"/>
    <x v="209"/>
    <x v="552"/>
    <x v="0"/>
    <x v="1"/>
    <x v="1"/>
    <n v="0"/>
    <n v="0"/>
  </r>
  <r>
    <s v="SOUTHBAKELS (PTY) LTD"/>
    <x v="5"/>
    <x v="813"/>
    <x v="798"/>
    <x v="209"/>
    <x v="552"/>
    <x v="0"/>
    <x v="2"/>
    <x v="2"/>
    <n v="0"/>
    <n v="0"/>
  </r>
  <r>
    <s v="SOUTHBAKELS (PTY) LTD"/>
    <x v="5"/>
    <x v="813"/>
    <x v="798"/>
    <x v="209"/>
    <x v="552"/>
    <x v="0"/>
    <x v="3"/>
    <x v="3"/>
    <n v="0"/>
    <n v="0"/>
  </r>
  <r>
    <s v="SOUTHBAKELS (PTY) LTD"/>
    <x v="5"/>
    <x v="813"/>
    <x v="798"/>
    <x v="209"/>
    <x v="552"/>
    <x v="0"/>
    <x v="4"/>
    <x v="4"/>
    <n v="0"/>
    <n v="0"/>
  </r>
  <r>
    <s v="SOUTHBAKELS (PTY) LTD"/>
    <x v="5"/>
    <x v="813"/>
    <x v="798"/>
    <x v="209"/>
    <x v="552"/>
    <x v="0"/>
    <x v="5"/>
    <x v="5"/>
    <n v="0"/>
    <n v="0"/>
  </r>
  <r>
    <s v="SOUTHBAKELS (PTY) LTD"/>
    <x v="5"/>
    <x v="813"/>
    <x v="798"/>
    <x v="209"/>
    <x v="552"/>
    <x v="0"/>
    <x v="6"/>
    <x v="6"/>
    <n v="0"/>
    <n v="0"/>
  </r>
  <r>
    <s v="SOUTHBAKELS (PTY) LTD"/>
    <x v="5"/>
    <x v="814"/>
    <x v="799"/>
    <x v="22"/>
    <x v="551"/>
    <x v="0"/>
    <x v="0"/>
    <x v="0"/>
    <n v="0"/>
    <n v="0"/>
  </r>
  <r>
    <s v="SOUTHBAKELS (PTY) LTD"/>
    <x v="5"/>
    <x v="814"/>
    <x v="799"/>
    <x v="22"/>
    <x v="551"/>
    <x v="0"/>
    <x v="1"/>
    <x v="1"/>
    <n v="0"/>
    <n v="0"/>
  </r>
  <r>
    <s v="SOUTHBAKELS (PTY) LTD"/>
    <x v="5"/>
    <x v="814"/>
    <x v="799"/>
    <x v="22"/>
    <x v="551"/>
    <x v="0"/>
    <x v="2"/>
    <x v="2"/>
    <n v="0"/>
    <n v="0"/>
  </r>
  <r>
    <s v="SOUTHBAKELS (PTY) LTD"/>
    <x v="5"/>
    <x v="814"/>
    <x v="799"/>
    <x v="22"/>
    <x v="551"/>
    <x v="0"/>
    <x v="3"/>
    <x v="3"/>
    <n v="0"/>
    <n v="0"/>
  </r>
  <r>
    <s v="SOUTHBAKELS (PTY) LTD"/>
    <x v="5"/>
    <x v="814"/>
    <x v="799"/>
    <x v="22"/>
    <x v="551"/>
    <x v="0"/>
    <x v="4"/>
    <x v="4"/>
    <n v="0"/>
    <n v="0"/>
  </r>
  <r>
    <s v="SOUTHBAKELS (PTY) LTD"/>
    <x v="5"/>
    <x v="814"/>
    <x v="799"/>
    <x v="22"/>
    <x v="551"/>
    <x v="0"/>
    <x v="5"/>
    <x v="5"/>
    <n v="0"/>
    <n v="0"/>
  </r>
  <r>
    <s v="SOUTHBAKELS (PTY) LTD"/>
    <x v="5"/>
    <x v="814"/>
    <x v="799"/>
    <x v="22"/>
    <x v="551"/>
    <x v="0"/>
    <x v="6"/>
    <x v="6"/>
    <n v="0"/>
    <n v="0"/>
  </r>
  <r>
    <s v="SOUTHBAKELS (PTY) LTD"/>
    <x v="5"/>
    <x v="815"/>
    <x v="800"/>
    <x v="210"/>
    <x v="553"/>
    <x v="0"/>
    <x v="0"/>
    <x v="0"/>
    <n v="0"/>
    <n v="0"/>
  </r>
  <r>
    <s v="SOUTHBAKELS (PTY) LTD"/>
    <x v="5"/>
    <x v="815"/>
    <x v="800"/>
    <x v="210"/>
    <x v="553"/>
    <x v="0"/>
    <x v="1"/>
    <x v="1"/>
    <n v="0"/>
    <n v="0"/>
  </r>
  <r>
    <s v="SOUTHBAKELS (PTY) LTD"/>
    <x v="5"/>
    <x v="815"/>
    <x v="800"/>
    <x v="210"/>
    <x v="553"/>
    <x v="0"/>
    <x v="2"/>
    <x v="2"/>
    <n v="0"/>
    <n v="0"/>
  </r>
  <r>
    <s v="SOUTHBAKELS (PTY) LTD"/>
    <x v="5"/>
    <x v="815"/>
    <x v="800"/>
    <x v="210"/>
    <x v="553"/>
    <x v="0"/>
    <x v="3"/>
    <x v="3"/>
    <n v="0"/>
    <n v="0"/>
  </r>
  <r>
    <s v="SOUTHBAKELS (PTY) LTD"/>
    <x v="5"/>
    <x v="815"/>
    <x v="800"/>
    <x v="210"/>
    <x v="553"/>
    <x v="0"/>
    <x v="4"/>
    <x v="4"/>
    <n v="0"/>
    <n v="0"/>
  </r>
  <r>
    <s v="SOUTHBAKELS (PTY) LTD"/>
    <x v="5"/>
    <x v="815"/>
    <x v="800"/>
    <x v="210"/>
    <x v="553"/>
    <x v="0"/>
    <x v="5"/>
    <x v="5"/>
    <n v="0"/>
    <n v="0"/>
  </r>
  <r>
    <s v="SOUTHBAKELS (PTY) LTD"/>
    <x v="5"/>
    <x v="815"/>
    <x v="800"/>
    <x v="210"/>
    <x v="553"/>
    <x v="0"/>
    <x v="6"/>
    <x v="6"/>
    <n v="0"/>
    <n v="0"/>
  </r>
  <r>
    <s v="SOUTHBAKELS (PTY) LTD"/>
    <x v="5"/>
    <x v="816"/>
    <x v="781"/>
    <x v="144"/>
    <x v="554"/>
    <x v="0"/>
    <x v="0"/>
    <x v="0"/>
    <n v="0"/>
    <n v="0"/>
  </r>
  <r>
    <s v="SOUTHBAKELS (PTY) LTD"/>
    <x v="5"/>
    <x v="816"/>
    <x v="781"/>
    <x v="144"/>
    <x v="554"/>
    <x v="0"/>
    <x v="1"/>
    <x v="1"/>
    <n v="0"/>
    <n v="0"/>
  </r>
  <r>
    <s v="SOUTHBAKELS (PTY) LTD"/>
    <x v="5"/>
    <x v="816"/>
    <x v="781"/>
    <x v="144"/>
    <x v="554"/>
    <x v="0"/>
    <x v="2"/>
    <x v="2"/>
    <n v="0"/>
    <n v="0"/>
  </r>
  <r>
    <s v="SOUTHBAKELS (PTY) LTD"/>
    <x v="5"/>
    <x v="816"/>
    <x v="781"/>
    <x v="144"/>
    <x v="554"/>
    <x v="0"/>
    <x v="3"/>
    <x v="3"/>
    <n v="0"/>
    <n v="0"/>
  </r>
  <r>
    <s v="SOUTHBAKELS (PTY) LTD"/>
    <x v="5"/>
    <x v="816"/>
    <x v="781"/>
    <x v="144"/>
    <x v="554"/>
    <x v="0"/>
    <x v="4"/>
    <x v="4"/>
    <n v="0"/>
    <n v="0"/>
  </r>
  <r>
    <s v="SOUTHBAKELS (PTY) LTD"/>
    <x v="5"/>
    <x v="816"/>
    <x v="781"/>
    <x v="144"/>
    <x v="554"/>
    <x v="0"/>
    <x v="5"/>
    <x v="5"/>
    <n v="0"/>
    <n v="0"/>
  </r>
  <r>
    <s v="SOUTHBAKELS (PTY) LTD"/>
    <x v="5"/>
    <x v="816"/>
    <x v="781"/>
    <x v="144"/>
    <x v="554"/>
    <x v="0"/>
    <x v="6"/>
    <x v="6"/>
    <n v="0"/>
    <n v="0"/>
  </r>
  <r>
    <s v="SOUTHBAKELS (PTY) LTD"/>
    <x v="5"/>
    <x v="817"/>
    <x v="801"/>
    <x v="139"/>
    <x v="555"/>
    <x v="0"/>
    <x v="0"/>
    <x v="0"/>
    <n v="0"/>
    <n v="0"/>
  </r>
  <r>
    <s v="SOUTHBAKELS (PTY) LTD"/>
    <x v="5"/>
    <x v="817"/>
    <x v="801"/>
    <x v="139"/>
    <x v="555"/>
    <x v="0"/>
    <x v="1"/>
    <x v="1"/>
    <n v="0"/>
    <n v="0"/>
  </r>
  <r>
    <s v="SOUTHBAKELS (PTY) LTD"/>
    <x v="5"/>
    <x v="817"/>
    <x v="801"/>
    <x v="139"/>
    <x v="555"/>
    <x v="0"/>
    <x v="2"/>
    <x v="2"/>
    <n v="0"/>
    <n v="0"/>
  </r>
  <r>
    <s v="SOUTHBAKELS (PTY) LTD"/>
    <x v="5"/>
    <x v="817"/>
    <x v="801"/>
    <x v="139"/>
    <x v="555"/>
    <x v="0"/>
    <x v="3"/>
    <x v="3"/>
    <n v="0"/>
    <n v="0"/>
  </r>
  <r>
    <s v="SOUTHBAKELS (PTY) LTD"/>
    <x v="5"/>
    <x v="817"/>
    <x v="801"/>
    <x v="139"/>
    <x v="555"/>
    <x v="0"/>
    <x v="4"/>
    <x v="4"/>
    <n v="0"/>
    <n v="0"/>
  </r>
  <r>
    <s v="SOUTHBAKELS (PTY) LTD"/>
    <x v="5"/>
    <x v="817"/>
    <x v="801"/>
    <x v="139"/>
    <x v="555"/>
    <x v="0"/>
    <x v="5"/>
    <x v="5"/>
    <n v="0"/>
    <n v="0"/>
  </r>
  <r>
    <s v="SOUTHBAKELS (PTY) LTD"/>
    <x v="5"/>
    <x v="817"/>
    <x v="801"/>
    <x v="139"/>
    <x v="555"/>
    <x v="0"/>
    <x v="6"/>
    <x v="6"/>
    <n v="0"/>
    <n v="0"/>
  </r>
  <r>
    <s v="SOUTHBAKELS (PTY) LTD"/>
    <x v="5"/>
    <x v="818"/>
    <x v="802"/>
    <x v="211"/>
    <x v="556"/>
    <x v="0"/>
    <x v="0"/>
    <x v="0"/>
    <n v="0"/>
    <n v="0"/>
  </r>
  <r>
    <s v="SOUTHBAKELS (PTY) LTD"/>
    <x v="5"/>
    <x v="818"/>
    <x v="802"/>
    <x v="211"/>
    <x v="556"/>
    <x v="0"/>
    <x v="1"/>
    <x v="1"/>
    <n v="0"/>
    <n v="0"/>
  </r>
  <r>
    <s v="SOUTHBAKELS (PTY) LTD"/>
    <x v="5"/>
    <x v="818"/>
    <x v="802"/>
    <x v="211"/>
    <x v="556"/>
    <x v="0"/>
    <x v="2"/>
    <x v="2"/>
    <n v="0"/>
    <n v="0"/>
  </r>
  <r>
    <s v="SOUTHBAKELS (PTY) LTD"/>
    <x v="5"/>
    <x v="818"/>
    <x v="802"/>
    <x v="211"/>
    <x v="556"/>
    <x v="0"/>
    <x v="3"/>
    <x v="3"/>
    <n v="0"/>
    <n v="0"/>
  </r>
  <r>
    <s v="SOUTHBAKELS (PTY) LTD"/>
    <x v="5"/>
    <x v="818"/>
    <x v="802"/>
    <x v="211"/>
    <x v="556"/>
    <x v="0"/>
    <x v="4"/>
    <x v="4"/>
    <n v="0"/>
    <n v="0"/>
  </r>
  <r>
    <s v="SOUTHBAKELS (PTY) LTD"/>
    <x v="5"/>
    <x v="818"/>
    <x v="802"/>
    <x v="211"/>
    <x v="556"/>
    <x v="0"/>
    <x v="5"/>
    <x v="5"/>
    <n v="0"/>
    <n v="0"/>
  </r>
  <r>
    <s v="SOUTHBAKELS (PTY) LTD"/>
    <x v="5"/>
    <x v="818"/>
    <x v="802"/>
    <x v="211"/>
    <x v="556"/>
    <x v="0"/>
    <x v="6"/>
    <x v="6"/>
    <n v="0"/>
    <n v="0"/>
  </r>
  <r>
    <s v="SOUTHBAKELS (PTY) LTD"/>
    <x v="5"/>
    <x v="819"/>
    <x v="803"/>
    <x v="212"/>
    <x v="557"/>
    <x v="0"/>
    <x v="0"/>
    <x v="0"/>
    <n v="0"/>
    <n v="0"/>
  </r>
  <r>
    <s v="SOUTHBAKELS (PTY) LTD"/>
    <x v="5"/>
    <x v="819"/>
    <x v="803"/>
    <x v="212"/>
    <x v="557"/>
    <x v="0"/>
    <x v="1"/>
    <x v="1"/>
    <n v="0"/>
    <n v="0"/>
  </r>
  <r>
    <s v="SOUTHBAKELS (PTY) LTD"/>
    <x v="5"/>
    <x v="819"/>
    <x v="803"/>
    <x v="212"/>
    <x v="557"/>
    <x v="0"/>
    <x v="2"/>
    <x v="2"/>
    <n v="0"/>
    <n v="0"/>
  </r>
  <r>
    <s v="SOUTHBAKELS (PTY) LTD"/>
    <x v="5"/>
    <x v="819"/>
    <x v="803"/>
    <x v="212"/>
    <x v="557"/>
    <x v="0"/>
    <x v="3"/>
    <x v="3"/>
    <n v="0"/>
    <n v="0"/>
  </r>
  <r>
    <s v="SOUTHBAKELS (PTY) LTD"/>
    <x v="5"/>
    <x v="819"/>
    <x v="803"/>
    <x v="212"/>
    <x v="557"/>
    <x v="0"/>
    <x v="4"/>
    <x v="4"/>
    <n v="0"/>
    <n v="0"/>
  </r>
  <r>
    <s v="SOUTHBAKELS (PTY) LTD"/>
    <x v="5"/>
    <x v="819"/>
    <x v="803"/>
    <x v="212"/>
    <x v="557"/>
    <x v="0"/>
    <x v="5"/>
    <x v="5"/>
    <n v="0"/>
    <n v="0"/>
  </r>
  <r>
    <s v="SOUTHBAKELS (PTY) LTD"/>
    <x v="5"/>
    <x v="819"/>
    <x v="803"/>
    <x v="212"/>
    <x v="557"/>
    <x v="0"/>
    <x v="6"/>
    <x v="6"/>
    <n v="0"/>
    <n v="0"/>
  </r>
  <r>
    <s v="SOUTHBAKELS (PTY) LTD"/>
    <x v="5"/>
    <x v="820"/>
    <x v="804"/>
    <x v="201"/>
    <x v="558"/>
    <x v="0"/>
    <x v="0"/>
    <x v="0"/>
    <n v="0"/>
    <n v="0"/>
  </r>
  <r>
    <s v="SOUTHBAKELS (PTY) LTD"/>
    <x v="5"/>
    <x v="820"/>
    <x v="804"/>
    <x v="201"/>
    <x v="558"/>
    <x v="0"/>
    <x v="1"/>
    <x v="1"/>
    <n v="0"/>
    <n v="0"/>
  </r>
  <r>
    <s v="SOUTHBAKELS (PTY) LTD"/>
    <x v="5"/>
    <x v="820"/>
    <x v="804"/>
    <x v="201"/>
    <x v="558"/>
    <x v="0"/>
    <x v="2"/>
    <x v="2"/>
    <n v="0"/>
    <n v="0"/>
  </r>
  <r>
    <s v="SOUTHBAKELS (PTY) LTD"/>
    <x v="5"/>
    <x v="820"/>
    <x v="804"/>
    <x v="201"/>
    <x v="558"/>
    <x v="0"/>
    <x v="3"/>
    <x v="3"/>
    <n v="0"/>
    <n v="0"/>
  </r>
  <r>
    <s v="SOUTHBAKELS (PTY) LTD"/>
    <x v="5"/>
    <x v="820"/>
    <x v="804"/>
    <x v="201"/>
    <x v="558"/>
    <x v="0"/>
    <x v="4"/>
    <x v="4"/>
    <n v="0"/>
    <n v="0"/>
  </r>
  <r>
    <s v="SOUTHBAKELS (PTY) LTD"/>
    <x v="5"/>
    <x v="820"/>
    <x v="804"/>
    <x v="201"/>
    <x v="558"/>
    <x v="0"/>
    <x v="5"/>
    <x v="5"/>
    <n v="0"/>
    <n v="0"/>
  </r>
  <r>
    <s v="SOUTHBAKELS (PTY) LTD"/>
    <x v="5"/>
    <x v="820"/>
    <x v="804"/>
    <x v="201"/>
    <x v="558"/>
    <x v="0"/>
    <x v="6"/>
    <x v="6"/>
    <n v="0"/>
    <n v="0"/>
  </r>
  <r>
    <s v="SOUTHBAKELS (PTY) LTD"/>
    <x v="5"/>
    <x v="821"/>
    <x v="805"/>
    <x v="213"/>
    <x v="559"/>
    <x v="0"/>
    <x v="0"/>
    <x v="0"/>
    <n v="0"/>
    <n v="0"/>
  </r>
  <r>
    <s v="SOUTHBAKELS (PTY) LTD"/>
    <x v="5"/>
    <x v="821"/>
    <x v="805"/>
    <x v="213"/>
    <x v="559"/>
    <x v="0"/>
    <x v="1"/>
    <x v="1"/>
    <n v="0"/>
    <n v="0"/>
  </r>
  <r>
    <s v="SOUTHBAKELS (PTY) LTD"/>
    <x v="5"/>
    <x v="821"/>
    <x v="805"/>
    <x v="213"/>
    <x v="559"/>
    <x v="0"/>
    <x v="2"/>
    <x v="2"/>
    <n v="0"/>
    <n v="0"/>
  </r>
  <r>
    <s v="SOUTHBAKELS (PTY) LTD"/>
    <x v="5"/>
    <x v="821"/>
    <x v="805"/>
    <x v="213"/>
    <x v="559"/>
    <x v="0"/>
    <x v="3"/>
    <x v="3"/>
    <n v="0"/>
    <n v="0"/>
  </r>
  <r>
    <s v="SOUTHBAKELS (PTY) LTD"/>
    <x v="5"/>
    <x v="821"/>
    <x v="805"/>
    <x v="213"/>
    <x v="559"/>
    <x v="0"/>
    <x v="4"/>
    <x v="4"/>
    <n v="0"/>
    <n v="0"/>
  </r>
  <r>
    <s v="SOUTHBAKELS (PTY) LTD"/>
    <x v="5"/>
    <x v="821"/>
    <x v="805"/>
    <x v="213"/>
    <x v="559"/>
    <x v="0"/>
    <x v="5"/>
    <x v="5"/>
    <n v="0"/>
    <n v="0"/>
  </r>
  <r>
    <s v="SOUTHBAKELS (PTY) LTD"/>
    <x v="5"/>
    <x v="821"/>
    <x v="805"/>
    <x v="213"/>
    <x v="559"/>
    <x v="0"/>
    <x v="6"/>
    <x v="6"/>
    <n v="0"/>
    <n v="0"/>
  </r>
  <r>
    <s v="SOUTHBAKELS (PTY) LTD"/>
    <x v="5"/>
    <x v="822"/>
    <x v="806"/>
    <x v="179"/>
    <x v="560"/>
    <x v="0"/>
    <x v="0"/>
    <x v="0"/>
    <n v="0"/>
    <n v="0"/>
  </r>
  <r>
    <s v="SOUTHBAKELS (PTY) LTD"/>
    <x v="5"/>
    <x v="822"/>
    <x v="806"/>
    <x v="179"/>
    <x v="560"/>
    <x v="0"/>
    <x v="1"/>
    <x v="1"/>
    <n v="0"/>
    <n v="0"/>
  </r>
  <r>
    <s v="SOUTHBAKELS (PTY) LTD"/>
    <x v="5"/>
    <x v="822"/>
    <x v="806"/>
    <x v="179"/>
    <x v="560"/>
    <x v="0"/>
    <x v="2"/>
    <x v="2"/>
    <n v="0"/>
    <n v="0"/>
  </r>
  <r>
    <s v="SOUTHBAKELS (PTY) LTD"/>
    <x v="5"/>
    <x v="822"/>
    <x v="806"/>
    <x v="179"/>
    <x v="560"/>
    <x v="0"/>
    <x v="3"/>
    <x v="3"/>
    <n v="0"/>
    <n v="0"/>
  </r>
  <r>
    <s v="SOUTHBAKELS (PTY) LTD"/>
    <x v="5"/>
    <x v="822"/>
    <x v="806"/>
    <x v="179"/>
    <x v="560"/>
    <x v="0"/>
    <x v="4"/>
    <x v="4"/>
    <n v="0"/>
    <n v="0"/>
  </r>
  <r>
    <s v="SOUTHBAKELS (PTY) LTD"/>
    <x v="5"/>
    <x v="822"/>
    <x v="806"/>
    <x v="179"/>
    <x v="560"/>
    <x v="0"/>
    <x v="5"/>
    <x v="5"/>
    <n v="0"/>
    <n v="0"/>
  </r>
  <r>
    <s v="SOUTHBAKELS (PTY) LTD"/>
    <x v="5"/>
    <x v="822"/>
    <x v="806"/>
    <x v="179"/>
    <x v="560"/>
    <x v="0"/>
    <x v="6"/>
    <x v="6"/>
    <n v="0"/>
    <n v="0"/>
  </r>
  <r>
    <s v="SOUTHBAKELS (PTY) LTD"/>
    <x v="5"/>
    <x v="823"/>
    <x v="807"/>
    <x v="214"/>
    <x v="561"/>
    <x v="0"/>
    <x v="0"/>
    <x v="0"/>
    <n v="0"/>
    <n v="0"/>
  </r>
  <r>
    <s v="SOUTHBAKELS (PTY) LTD"/>
    <x v="5"/>
    <x v="823"/>
    <x v="807"/>
    <x v="214"/>
    <x v="561"/>
    <x v="0"/>
    <x v="1"/>
    <x v="1"/>
    <n v="0"/>
    <n v="0"/>
  </r>
  <r>
    <s v="SOUTHBAKELS (PTY) LTD"/>
    <x v="5"/>
    <x v="823"/>
    <x v="807"/>
    <x v="214"/>
    <x v="561"/>
    <x v="0"/>
    <x v="2"/>
    <x v="2"/>
    <n v="0"/>
    <n v="0"/>
  </r>
  <r>
    <s v="SOUTHBAKELS (PTY) LTD"/>
    <x v="5"/>
    <x v="823"/>
    <x v="807"/>
    <x v="214"/>
    <x v="561"/>
    <x v="0"/>
    <x v="3"/>
    <x v="3"/>
    <n v="0"/>
    <n v="0"/>
  </r>
  <r>
    <s v="SOUTHBAKELS (PTY) LTD"/>
    <x v="5"/>
    <x v="823"/>
    <x v="807"/>
    <x v="214"/>
    <x v="561"/>
    <x v="0"/>
    <x v="4"/>
    <x v="4"/>
    <n v="0"/>
    <n v="0"/>
  </r>
  <r>
    <s v="SOUTHBAKELS (PTY) LTD"/>
    <x v="5"/>
    <x v="823"/>
    <x v="807"/>
    <x v="214"/>
    <x v="561"/>
    <x v="0"/>
    <x v="5"/>
    <x v="5"/>
    <n v="0"/>
    <n v="0"/>
  </r>
  <r>
    <s v="SOUTHBAKELS (PTY) LTD"/>
    <x v="5"/>
    <x v="823"/>
    <x v="807"/>
    <x v="214"/>
    <x v="561"/>
    <x v="0"/>
    <x v="6"/>
    <x v="6"/>
    <n v="0"/>
    <n v="0"/>
  </r>
  <r>
    <s v="SOUTHBAKELS (PTY) LTD"/>
    <x v="5"/>
    <x v="824"/>
    <x v="808"/>
    <x v="202"/>
    <x v="540"/>
    <x v="0"/>
    <x v="0"/>
    <x v="0"/>
    <n v="0"/>
    <n v="0"/>
  </r>
  <r>
    <s v="SOUTHBAKELS (PTY) LTD"/>
    <x v="5"/>
    <x v="824"/>
    <x v="808"/>
    <x v="202"/>
    <x v="540"/>
    <x v="0"/>
    <x v="1"/>
    <x v="1"/>
    <n v="0"/>
    <n v="0"/>
  </r>
  <r>
    <s v="SOUTHBAKELS (PTY) LTD"/>
    <x v="5"/>
    <x v="824"/>
    <x v="808"/>
    <x v="202"/>
    <x v="540"/>
    <x v="0"/>
    <x v="2"/>
    <x v="2"/>
    <n v="0"/>
    <n v="0"/>
  </r>
  <r>
    <s v="SOUTHBAKELS (PTY) LTD"/>
    <x v="5"/>
    <x v="824"/>
    <x v="808"/>
    <x v="202"/>
    <x v="540"/>
    <x v="0"/>
    <x v="3"/>
    <x v="3"/>
    <n v="0"/>
    <n v="0"/>
  </r>
  <r>
    <s v="SOUTHBAKELS (PTY) LTD"/>
    <x v="5"/>
    <x v="824"/>
    <x v="808"/>
    <x v="202"/>
    <x v="540"/>
    <x v="0"/>
    <x v="4"/>
    <x v="4"/>
    <n v="0"/>
    <n v="0"/>
  </r>
  <r>
    <s v="SOUTHBAKELS (PTY) LTD"/>
    <x v="5"/>
    <x v="824"/>
    <x v="808"/>
    <x v="202"/>
    <x v="540"/>
    <x v="0"/>
    <x v="5"/>
    <x v="5"/>
    <n v="0"/>
    <n v="0"/>
  </r>
  <r>
    <s v="SOUTHBAKELS (PTY) LTD"/>
    <x v="5"/>
    <x v="824"/>
    <x v="808"/>
    <x v="202"/>
    <x v="540"/>
    <x v="0"/>
    <x v="6"/>
    <x v="6"/>
    <n v="0"/>
    <n v="0"/>
  </r>
  <r>
    <s v="SOUTHBAKELS (PTY) LTD"/>
    <x v="5"/>
    <x v="825"/>
    <x v="809"/>
    <x v="215"/>
    <x v="562"/>
    <x v="0"/>
    <x v="0"/>
    <x v="0"/>
    <n v="0"/>
    <n v="0"/>
  </r>
  <r>
    <s v="SOUTHBAKELS (PTY) LTD"/>
    <x v="5"/>
    <x v="825"/>
    <x v="809"/>
    <x v="215"/>
    <x v="562"/>
    <x v="0"/>
    <x v="1"/>
    <x v="1"/>
    <n v="0"/>
    <n v="0"/>
  </r>
  <r>
    <s v="SOUTHBAKELS (PTY) LTD"/>
    <x v="5"/>
    <x v="825"/>
    <x v="809"/>
    <x v="215"/>
    <x v="562"/>
    <x v="0"/>
    <x v="4"/>
    <x v="4"/>
    <n v="0"/>
    <n v="0"/>
  </r>
  <r>
    <s v="SOUTHBAKELS (PTY) LTD"/>
    <x v="5"/>
    <x v="825"/>
    <x v="809"/>
    <x v="215"/>
    <x v="562"/>
    <x v="0"/>
    <x v="5"/>
    <x v="5"/>
    <n v="0"/>
    <n v="0"/>
  </r>
  <r>
    <s v="SOUTHBAKELS (PTY) LTD"/>
    <x v="5"/>
    <x v="825"/>
    <x v="809"/>
    <x v="215"/>
    <x v="562"/>
    <x v="0"/>
    <x v="6"/>
    <x v="6"/>
    <n v="0"/>
    <n v="0"/>
  </r>
  <r>
    <s v="BAKERY PRODUCTS"/>
    <x v="11"/>
    <x v="826"/>
    <x v="810"/>
    <x v="5"/>
    <x v="563"/>
    <x v="1"/>
    <x v="1"/>
    <x v="1"/>
    <n v="0"/>
    <n v="0"/>
  </r>
  <r>
    <s v="BAKERY PRODUCTS"/>
    <x v="11"/>
    <x v="827"/>
    <x v="442"/>
    <x v="127"/>
    <x v="263"/>
    <x v="1"/>
    <x v="0"/>
    <x v="0"/>
    <n v="0"/>
    <n v="0"/>
  </r>
  <r>
    <s v="BAKERY PRODUCTS"/>
    <x v="11"/>
    <x v="827"/>
    <x v="442"/>
    <x v="127"/>
    <x v="263"/>
    <x v="1"/>
    <x v="1"/>
    <x v="1"/>
    <n v="0"/>
    <n v="0"/>
  </r>
  <r>
    <s v="BAKERY PRODUCTS"/>
    <x v="13"/>
    <x v="828"/>
    <x v="811"/>
    <x v="24"/>
    <x v="564"/>
    <x v="2"/>
    <x v="0"/>
    <x v="0"/>
    <n v="0"/>
    <n v="0"/>
  </r>
  <r>
    <s v="BAKERY PRODUCTS"/>
    <x v="13"/>
    <x v="828"/>
    <x v="811"/>
    <x v="24"/>
    <x v="564"/>
    <x v="2"/>
    <x v="1"/>
    <x v="1"/>
    <n v="0"/>
    <n v="0"/>
  </r>
  <r>
    <s v="BAKERY PRODUCTS"/>
    <x v="13"/>
    <x v="828"/>
    <x v="811"/>
    <x v="24"/>
    <x v="564"/>
    <x v="2"/>
    <x v="2"/>
    <x v="2"/>
    <n v="0"/>
    <n v="0"/>
  </r>
  <r>
    <s v="BAKERY PRODUCTS"/>
    <x v="11"/>
    <x v="829"/>
    <x v="812"/>
    <x v="126"/>
    <x v="565"/>
    <x v="1"/>
    <x v="1"/>
    <x v="1"/>
    <n v="0"/>
    <n v="0"/>
  </r>
  <r>
    <s v="BAKERY PRODUCTS"/>
    <x v="11"/>
    <x v="829"/>
    <x v="812"/>
    <x v="126"/>
    <x v="565"/>
    <x v="1"/>
    <x v="2"/>
    <x v="2"/>
    <n v="0"/>
    <n v="0"/>
  </r>
  <r>
    <s v="BAKERY PRODUCTS"/>
    <x v="0"/>
    <x v="830"/>
    <x v="813"/>
    <x v="122"/>
    <x v="306"/>
    <x v="3"/>
    <x v="1"/>
    <x v="1"/>
    <n v="0"/>
    <n v="0"/>
  </r>
  <r>
    <s v="BAKERY PRODUCTS"/>
    <x v="11"/>
    <x v="831"/>
    <x v="814"/>
    <x v="118"/>
    <x v="566"/>
    <x v="4"/>
    <x v="3"/>
    <x v="3"/>
    <n v="0"/>
    <n v="0"/>
  </r>
  <r>
    <s v="BAKERY PRODUCTS"/>
    <x v="11"/>
    <x v="831"/>
    <x v="814"/>
    <x v="118"/>
    <x v="566"/>
    <x v="4"/>
    <x v="4"/>
    <x v="4"/>
    <n v="0"/>
    <n v="0"/>
  </r>
  <r>
    <s v="BAKERY PRODUCTS"/>
    <x v="11"/>
    <x v="832"/>
    <x v="815"/>
    <x v="93"/>
    <x v="567"/>
    <x v="5"/>
    <x v="0"/>
    <x v="0"/>
    <n v="0"/>
    <n v="0"/>
  </r>
  <r>
    <s v="BAKERY PRODUCTS"/>
    <x v="0"/>
    <x v="833"/>
    <x v="816"/>
    <x v="61"/>
    <x v="568"/>
    <x v="1"/>
    <x v="6"/>
    <x v="6"/>
    <n v="0"/>
    <n v="0"/>
  </r>
  <r>
    <s v="BAKERY PRODUCTS"/>
    <x v="11"/>
    <x v="834"/>
    <x v="817"/>
    <x v="93"/>
    <x v="569"/>
    <x v="6"/>
    <x v="1"/>
    <x v="1"/>
    <n v="0"/>
    <n v="0"/>
  </r>
  <r>
    <s v="BAKERY PRODUCTS"/>
    <x v="11"/>
    <x v="834"/>
    <x v="817"/>
    <x v="93"/>
    <x v="569"/>
    <x v="6"/>
    <x v="3"/>
    <x v="3"/>
    <n v="0"/>
    <n v="0"/>
  </r>
  <r>
    <s v="BAKERY PRODUCTS"/>
    <x v="11"/>
    <x v="834"/>
    <x v="817"/>
    <x v="93"/>
    <x v="569"/>
    <x v="6"/>
    <x v="6"/>
    <x v="6"/>
    <n v="0"/>
    <n v="0"/>
  </r>
  <r>
    <s v="BAKERY PRODUCTS"/>
    <x v="11"/>
    <x v="835"/>
    <x v="818"/>
    <x v="93"/>
    <x v="570"/>
    <x v="7"/>
    <x v="1"/>
    <x v="1"/>
    <n v="0"/>
    <n v="0"/>
  </r>
  <r>
    <s v="BAKERY PRODUCTS"/>
    <x v="11"/>
    <x v="835"/>
    <x v="818"/>
    <x v="93"/>
    <x v="570"/>
    <x v="7"/>
    <x v="2"/>
    <x v="2"/>
    <n v="0"/>
    <n v="0"/>
  </r>
  <r>
    <s v="BAKERY PRODUCTS"/>
    <x v="11"/>
    <x v="835"/>
    <x v="818"/>
    <x v="93"/>
    <x v="570"/>
    <x v="7"/>
    <x v="3"/>
    <x v="3"/>
    <n v="0"/>
    <n v="0"/>
  </r>
  <r>
    <s v="BAKERY PRODUCTS"/>
    <x v="11"/>
    <x v="835"/>
    <x v="818"/>
    <x v="93"/>
    <x v="570"/>
    <x v="7"/>
    <x v="4"/>
    <x v="4"/>
    <n v="0"/>
    <n v="0"/>
  </r>
  <r>
    <s v="BAKERY PRODUCTS"/>
    <x v="11"/>
    <x v="835"/>
    <x v="818"/>
    <x v="93"/>
    <x v="570"/>
    <x v="7"/>
    <x v="5"/>
    <x v="5"/>
    <n v="0"/>
    <n v="0"/>
  </r>
  <r>
    <s v="BAKERY PRODUCTS"/>
    <x v="11"/>
    <x v="835"/>
    <x v="818"/>
    <x v="93"/>
    <x v="570"/>
    <x v="7"/>
    <x v="6"/>
    <x v="6"/>
    <n v="0"/>
    <n v="0"/>
  </r>
  <r>
    <s v="BAKERY PRODUCTS"/>
    <x v="0"/>
    <x v="836"/>
    <x v="819"/>
    <x v="26"/>
    <x v="571"/>
    <x v="8"/>
    <x v="2"/>
    <x v="2"/>
    <n v="0"/>
    <n v="0"/>
  </r>
  <r>
    <s v="BAKERY PRODUCTS"/>
    <x v="0"/>
    <x v="836"/>
    <x v="819"/>
    <x v="26"/>
    <x v="571"/>
    <x v="8"/>
    <x v="6"/>
    <x v="6"/>
    <n v="0"/>
    <n v="0"/>
  </r>
  <r>
    <s v="BAKERY PRODUCTS"/>
    <x v="12"/>
    <x v="837"/>
    <x v="820"/>
    <x v="84"/>
    <x v="475"/>
    <x v="4"/>
    <x v="0"/>
    <x v="0"/>
    <n v="0"/>
    <n v="0"/>
  </r>
  <r>
    <s v="BAKERY PRODUCTS"/>
    <x v="12"/>
    <x v="837"/>
    <x v="820"/>
    <x v="84"/>
    <x v="475"/>
    <x v="4"/>
    <x v="1"/>
    <x v="1"/>
    <n v="0"/>
    <n v="0"/>
  </r>
  <r>
    <s v="BAKERY PRODUCTS"/>
    <x v="12"/>
    <x v="837"/>
    <x v="820"/>
    <x v="84"/>
    <x v="475"/>
    <x v="4"/>
    <x v="3"/>
    <x v="3"/>
    <n v="0"/>
    <n v="0"/>
  </r>
  <r>
    <s v="BAKERY PRODUCTS"/>
    <x v="12"/>
    <x v="837"/>
    <x v="820"/>
    <x v="84"/>
    <x v="475"/>
    <x v="4"/>
    <x v="4"/>
    <x v="4"/>
    <n v="0"/>
    <n v="0"/>
  </r>
  <r>
    <s v="BAKERY PRODUCTS"/>
    <x v="12"/>
    <x v="837"/>
    <x v="820"/>
    <x v="84"/>
    <x v="475"/>
    <x v="4"/>
    <x v="5"/>
    <x v="5"/>
    <n v="0"/>
    <n v="0"/>
  </r>
  <r>
    <s v="BAKERY PRODUCTS"/>
    <x v="12"/>
    <x v="837"/>
    <x v="820"/>
    <x v="84"/>
    <x v="475"/>
    <x v="4"/>
    <x v="6"/>
    <x v="6"/>
    <n v="0"/>
    <n v="0"/>
  </r>
  <r>
    <s v="BAKERY PRODUCTS"/>
    <x v="0"/>
    <x v="838"/>
    <x v="821"/>
    <x v="115"/>
    <x v="572"/>
    <x v="8"/>
    <x v="0"/>
    <x v="0"/>
    <n v="0"/>
    <n v="0"/>
  </r>
  <r>
    <s v="BAKERY PRODUCTS"/>
    <x v="0"/>
    <x v="838"/>
    <x v="821"/>
    <x v="115"/>
    <x v="572"/>
    <x v="8"/>
    <x v="1"/>
    <x v="1"/>
    <n v="0"/>
    <n v="0"/>
  </r>
  <r>
    <s v="BAKERY PRODUCTS"/>
    <x v="0"/>
    <x v="838"/>
    <x v="821"/>
    <x v="115"/>
    <x v="572"/>
    <x v="8"/>
    <x v="2"/>
    <x v="2"/>
    <n v="0"/>
    <n v="0"/>
  </r>
  <r>
    <s v="BAKERY PRODUCTS"/>
    <x v="0"/>
    <x v="838"/>
    <x v="821"/>
    <x v="115"/>
    <x v="572"/>
    <x v="8"/>
    <x v="3"/>
    <x v="3"/>
    <n v="0"/>
    <n v="0"/>
  </r>
  <r>
    <s v="BAKERY PRODUCTS"/>
    <x v="0"/>
    <x v="838"/>
    <x v="821"/>
    <x v="115"/>
    <x v="572"/>
    <x v="8"/>
    <x v="4"/>
    <x v="4"/>
    <n v="0"/>
    <n v="0"/>
  </r>
  <r>
    <s v="BAKERY PRODUCTS"/>
    <x v="0"/>
    <x v="838"/>
    <x v="821"/>
    <x v="115"/>
    <x v="572"/>
    <x v="8"/>
    <x v="5"/>
    <x v="5"/>
    <n v="0"/>
    <n v="0"/>
  </r>
  <r>
    <s v="BAKERY PRODUCTS"/>
    <x v="0"/>
    <x v="838"/>
    <x v="821"/>
    <x v="115"/>
    <x v="572"/>
    <x v="8"/>
    <x v="6"/>
    <x v="6"/>
    <n v="0"/>
    <n v="0"/>
  </r>
  <r>
    <s v="BAKERY PRODUCTS"/>
    <x v="11"/>
    <x v="839"/>
    <x v="822"/>
    <x v="84"/>
    <x v="573"/>
    <x v="4"/>
    <x v="2"/>
    <x v="2"/>
    <n v="0"/>
    <n v="0"/>
  </r>
  <r>
    <s v="BAKERY PRODUCTS"/>
    <x v="11"/>
    <x v="839"/>
    <x v="822"/>
    <x v="84"/>
    <x v="573"/>
    <x v="4"/>
    <x v="3"/>
    <x v="3"/>
    <n v="0"/>
    <n v="0"/>
  </r>
  <r>
    <s v="BAKERY PRODUCTS"/>
    <x v="11"/>
    <x v="839"/>
    <x v="822"/>
    <x v="84"/>
    <x v="573"/>
    <x v="4"/>
    <x v="6"/>
    <x v="6"/>
    <n v="0"/>
    <n v="0"/>
  </r>
  <r>
    <s v="BAKERY PRODUCTS"/>
    <x v="0"/>
    <x v="840"/>
    <x v="823"/>
    <x v="115"/>
    <x v="574"/>
    <x v="9"/>
    <x v="6"/>
    <x v="6"/>
    <n v="0"/>
    <n v="0"/>
  </r>
  <r>
    <s v="BAKERY PRODUCTS"/>
    <x v="0"/>
    <x v="841"/>
    <x v="824"/>
    <x v="35"/>
    <x v="575"/>
    <x v="10"/>
    <x v="6"/>
    <x v="6"/>
    <n v="0"/>
    <n v="0"/>
  </r>
  <r>
    <s v="BAKERY PRODUCTS"/>
    <x v="13"/>
    <x v="842"/>
    <x v="825"/>
    <x v="98"/>
    <x v="576"/>
    <x v="11"/>
    <x v="0"/>
    <x v="0"/>
    <n v="0"/>
    <n v="0"/>
  </r>
  <r>
    <s v="BAKERY PRODUCTS"/>
    <x v="13"/>
    <x v="842"/>
    <x v="825"/>
    <x v="98"/>
    <x v="576"/>
    <x v="11"/>
    <x v="1"/>
    <x v="1"/>
    <n v="0"/>
    <n v="0"/>
  </r>
  <r>
    <s v="BAKERY PRODUCTS"/>
    <x v="13"/>
    <x v="842"/>
    <x v="825"/>
    <x v="98"/>
    <x v="576"/>
    <x v="11"/>
    <x v="2"/>
    <x v="2"/>
    <n v="0"/>
    <n v="0"/>
  </r>
  <r>
    <s v="BAKERY PRODUCTS"/>
    <x v="13"/>
    <x v="842"/>
    <x v="825"/>
    <x v="98"/>
    <x v="576"/>
    <x v="11"/>
    <x v="3"/>
    <x v="3"/>
    <n v="0"/>
    <n v="0"/>
  </r>
  <r>
    <s v="BAKERY PRODUCTS"/>
    <x v="13"/>
    <x v="842"/>
    <x v="825"/>
    <x v="98"/>
    <x v="576"/>
    <x v="11"/>
    <x v="4"/>
    <x v="4"/>
    <n v="0"/>
    <n v="0"/>
  </r>
  <r>
    <s v="BAKERY PRODUCTS"/>
    <x v="13"/>
    <x v="842"/>
    <x v="825"/>
    <x v="98"/>
    <x v="576"/>
    <x v="11"/>
    <x v="5"/>
    <x v="5"/>
    <n v="0"/>
    <n v="0"/>
  </r>
  <r>
    <s v="BAKERY PRODUCTS"/>
    <x v="13"/>
    <x v="842"/>
    <x v="825"/>
    <x v="98"/>
    <x v="576"/>
    <x v="11"/>
    <x v="6"/>
    <x v="6"/>
    <n v="0"/>
    <n v="0"/>
  </r>
  <r>
    <s v="BAKERY PRODUCTS"/>
    <x v="13"/>
    <x v="843"/>
    <x v="826"/>
    <x v="91"/>
    <x v="577"/>
    <x v="12"/>
    <x v="0"/>
    <x v="0"/>
    <n v="0"/>
    <n v="0"/>
  </r>
  <r>
    <s v="BAKERY PRODUCTS"/>
    <x v="13"/>
    <x v="843"/>
    <x v="826"/>
    <x v="91"/>
    <x v="577"/>
    <x v="12"/>
    <x v="1"/>
    <x v="1"/>
    <n v="0"/>
    <n v="0"/>
  </r>
  <r>
    <s v="BAKERY PRODUCTS"/>
    <x v="13"/>
    <x v="843"/>
    <x v="826"/>
    <x v="91"/>
    <x v="577"/>
    <x v="12"/>
    <x v="2"/>
    <x v="2"/>
    <n v="0"/>
    <n v="0"/>
  </r>
  <r>
    <s v="BAKERY PRODUCTS"/>
    <x v="13"/>
    <x v="843"/>
    <x v="826"/>
    <x v="91"/>
    <x v="577"/>
    <x v="12"/>
    <x v="4"/>
    <x v="4"/>
    <n v="0"/>
    <n v="0"/>
  </r>
  <r>
    <s v="BAKERY PRODUCTS"/>
    <x v="13"/>
    <x v="843"/>
    <x v="826"/>
    <x v="91"/>
    <x v="577"/>
    <x v="12"/>
    <x v="5"/>
    <x v="5"/>
    <n v="0"/>
    <n v="0"/>
  </r>
  <r>
    <s v="BAKERY PRODUCTS"/>
    <x v="13"/>
    <x v="843"/>
    <x v="826"/>
    <x v="91"/>
    <x v="577"/>
    <x v="12"/>
    <x v="6"/>
    <x v="6"/>
    <n v="0"/>
    <n v="0"/>
  </r>
  <r>
    <s v="BAKERY PRODUCTS"/>
    <x v="0"/>
    <x v="844"/>
    <x v="827"/>
    <x v="84"/>
    <x v="578"/>
    <x v="4"/>
    <x v="2"/>
    <x v="2"/>
    <n v="0"/>
    <n v="0"/>
  </r>
  <r>
    <s v="BAKERY PRODUCTS"/>
    <x v="0"/>
    <x v="844"/>
    <x v="827"/>
    <x v="84"/>
    <x v="578"/>
    <x v="4"/>
    <x v="3"/>
    <x v="3"/>
    <n v="0"/>
    <n v="0"/>
  </r>
  <r>
    <s v="BAKERY PRODUCTS"/>
    <x v="0"/>
    <x v="844"/>
    <x v="827"/>
    <x v="84"/>
    <x v="578"/>
    <x v="4"/>
    <x v="4"/>
    <x v="4"/>
    <n v="0"/>
    <n v="0"/>
  </r>
  <r>
    <s v="BAKERY PRODUCTS"/>
    <x v="0"/>
    <x v="844"/>
    <x v="827"/>
    <x v="84"/>
    <x v="578"/>
    <x v="4"/>
    <x v="6"/>
    <x v="6"/>
    <n v="0"/>
    <n v="0"/>
  </r>
  <r>
    <s v="BAKERY PRODUCTS"/>
    <x v="0"/>
    <x v="845"/>
    <x v="828"/>
    <x v="35"/>
    <x v="579"/>
    <x v="13"/>
    <x v="2"/>
    <x v="2"/>
    <n v="0"/>
    <n v="0"/>
  </r>
  <r>
    <s v="BAKERY PRODUCTS"/>
    <x v="0"/>
    <x v="845"/>
    <x v="828"/>
    <x v="35"/>
    <x v="579"/>
    <x v="13"/>
    <x v="3"/>
    <x v="3"/>
    <n v="0"/>
    <n v="0"/>
  </r>
  <r>
    <s v="BAKERY PRODUCTS"/>
    <x v="0"/>
    <x v="845"/>
    <x v="828"/>
    <x v="35"/>
    <x v="579"/>
    <x v="13"/>
    <x v="6"/>
    <x v="6"/>
    <n v="0"/>
    <n v="0"/>
  </r>
  <r>
    <s v="BAKERY PRODUCTS"/>
    <x v="0"/>
    <x v="846"/>
    <x v="829"/>
    <x v="216"/>
    <x v="580"/>
    <x v="14"/>
    <x v="6"/>
    <x v="6"/>
    <n v="0"/>
    <n v="0"/>
  </r>
  <r>
    <s v="BAKERY PRODUCTS"/>
    <x v="0"/>
    <x v="847"/>
    <x v="830"/>
    <x v="121"/>
    <x v="581"/>
    <x v="15"/>
    <x v="5"/>
    <x v="5"/>
    <n v="0"/>
    <n v="0"/>
  </r>
  <r>
    <s v="BAKERY PRODUCTS"/>
    <x v="0"/>
    <x v="847"/>
    <x v="830"/>
    <x v="121"/>
    <x v="581"/>
    <x v="15"/>
    <x v="6"/>
    <x v="6"/>
    <n v="0"/>
    <n v="0"/>
  </r>
  <r>
    <s v="BAKERY PRODUCTS"/>
    <x v="12"/>
    <x v="848"/>
    <x v="831"/>
    <x v="35"/>
    <x v="582"/>
    <x v="5"/>
    <x v="0"/>
    <x v="0"/>
    <n v="0"/>
    <n v="0"/>
  </r>
  <r>
    <s v="BAKERY PRODUCTS"/>
    <x v="12"/>
    <x v="848"/>
    <x v="831"/>
    <x v="35"/>
    <x v="582"/>
    <x v="5"/>
    <x v="1"/>
    <x v="1"/>
    <n v="0"/>
    <n v="0"/>
  </r>
  <r>
    <s v="BAKERY PRODUCTS"/>
    <x v="12"/>
    <x v="848"/>
    <x v="831"/>
    <x v="35"/>
    <x v="582"/>
    <x v="5"/>
    <x v="2"/>
    <x v="2"/>
    <n v="0"/>
    <n v="0"/>
  </r>
  <r>
    <s v="BAKERY PRODUCTS"/>
    <x v="12"/>
    <x v="848"/>
    <x v="831"/>
    <x v="35"/>
    <x v="582"/>
    <x v="5"/>
    <x v="3"/>
    <x v="3"/>
    <n v="0"/>
    <n v="0"/>
  </r>
  <r>
    <s v="BAKERY PRODUCTS"/>
    <x v="12"/>
    <x v="848"/>
    <x v="831"/>
    <x v="35"/>
    <x v="582"/>
    <x v="5"/>
    <x v="4"/>
    <x v="4"/>
    <n v="0"/>
    <n v="0"/>
  </r>
  <r>
    <s v="BAKERY PRODUCTS"/>
    <x v="12"/>
    <x v="848"/>
    <x v="831"/>
    <x v="35"/>
    <x v="582"/>
    <x v="5"/>
    <x v="5"/>
    <x v="5"/>
    <n v="0"/>
    <n v="0"/>
  </r>
  <r>
    <s v="BAKERY PRODUCTS"/>
    <x v="12"/>
    <x v="848"/>
    <x v="831"/>
    <x v="35"/>
    <x v="582"/>
    <x v="5"/>
    <x v="6"/>
    <x v="6"/>
    <n v="0"/>
    <n v="0"/>
  </r>
  <r>
    <s v="BAKERY PRODUCTS"/>
    <x v="0"/>
    <x v="849"/>
    <x v="832"/>
    <x v="117"/>
    <x v="583"/>
    <x v="5"/>
    <x v="1"/>
    <x v="1"/>
    <n v="0"/>
    <n v="0"/>
  </r>
  <r>
    <s v="BAKERY PRODUCTS"/>
    <x v="0"/>
    <x v="849"/>
    <x v="832"/>
    <x v="117"/>
    <x v="583"/>
    <x v="5"/>
    <x v="3"/>
    <x v="3"/>
    <n v="0"/>
    <n v="0"/>
  </r>
  <r>
    <s v="BAKERY PRODUCTS"/>
    <x v="0"/>
    <x v="849"/>
    <x v="832"/>
    <x v="117"/>
    <x v="583"/>
    <x v="5"/>
    <x v="6"/>
    <x v="6"/>
    <n v="0"/>
    <n v="0"/>
  </r>
  <r>
    <s v="BAKERY PRODUCTS"/>
    <x v="0"/>
    <x v="850"/>
    <x v="833"/>
    <x v="35"/>
    <x v="584"/>
    <x v="4"/>
    <x v="0"/>
    <x v="0"/>
    <n v="0"/>
    <n v="0"/>
  </r>
  <r>
    <s v="BAKERY PRODUCTS"/>
    <x v="0"/>
    <x v="850"/>
    <x v="833"/>
    <x v="35"/>
    <x v="584"/>
    <x v="4"/>
    <x v="1"/>
    <x v="1"/>
    <n v="0"/>
    <n v="0"/>
  </r>
  <r>
    <s v="BAKERY PRODUCTS"/>
    <x v="0"/>
    <x v="850"/>
    <x v="833"/>
    <x v="35"/>
    <x v="584"/>
    <x v="4"/>
    <x v="5"/>
    <x v="5"/>
    <n v="0"/>
    <n v="0"/>
  </r>
  <r>
    <s v="BAKERY PRODUCTS"/>
    <x v="0"/>
    <x v="850"/>
    <x v="833"/>
    <x v="35"/>
    <x v="584"/>
    <x v="4"/>
    <x v="6"/>
    <x v="6"/>
    <n v="0"/>
    <n v="0"/>
  </r>
  <r>
    <s v="BAKERY PRODUCTS"/>
    <x v="0"/>
    <x v="851"/>
    <x v="834"/>
    <x v="34"/>
    <x v="585"/>
    <x v="16"/>
    <x v="6"/>
    <x v="6"/>
    <n v="0"/>
    <n v="0"/>
  </r>
  <r>
    <s v="BAKERY PRODUCTS"/>
    <x v="0"/>
    <x v="852"/>
    <x v="835"/>
    <x v="70"/>
    <x v="586"/>
    <x v="1"/>
    <x v="0"/>
    <x v="0"/>
    <n v="0"/>
    <n v="0"/>
  </r>
  <r>
    <s v="BAKERY PRODUCTS"/>
    <x v="0"/>
    <x v="852"/>
    <x v="835"/>
    <x v="70"/>
    <x v="586"/>
    <x v="1"/>
    <x v="5"/>
    <x v="5"/>
    <n v="0"/>
    <n v="0"/>
  </r>
  <r>
    <s v="BAKERY PRODUCTS"/>
    <x v="0"/>
    <x v="852"/>
    <x v="835"/>
    <x v="70"/>
    <x v="586"/>
    <x v="1"/>
    <x v="6"/>
    <x v="6"/>
    <n v="0"/>
    <n v="0"/>
  </r>
  <r>
    <s v="BAKERY PRODUCTS"/>
    <x v="0"/>
    <x v="853"/>
    <x v="836"/>
    <x v="35"/>
    <x v="485"/>
    <x v="4"/>
    <x v="0"/>
    <x v="0"/>
    <n v="0"/>
    <n v="0"/>
  </r>
  <r>
    <s v="BAKERY PRODUCTS"/>
    <x v="0"/>
    <x v="853"/>
    <x v="836"/>
    <x v="35"/>
    <x v="485"/>
    <x v="4"/>
    <x v="1"/>
    <x v="1"/>
    <n v="0"/>
    <n v="0"/>
  </r>
  <r>
    <s v="BAKERY PRODUCTS"/>
    <x v="0"/>
    <x v="853"/>
    <x v="836"/>
    <x v="35"/>
    <x v="485"/>
    <x v="4"/>
    <x v="6"/>
    <x v="6"/>
    <n v="0"/>
    <n v="0"/>
  </r>
  <r>
    <s v="BAKERY PRODUCTS"/>
    <x v="0"/>
    <x v="854"/>
    <x v="837"/>
    <x v="59"/>
    <x v="587"/>
    <x v="4"/>
    <x v="0"/>
    <x v="0"/>
    <n v="0"/>
    <n v="0"/>
  </r>
  <r>
    <s v="BAKERY PRODUCTS"/>
    <x v="0"/>
    <x v="854"/>
    <x v="837"/>
    <x v="59"/>
    <x v="587"/>
    <x v="4"/>
    <x v="1"/>
    <x v="1"/>
    <n v="0"/>
    <n v="0"/>
  </r>
  <r>
    <s v="BAKERY PRODUCTS"/>
    <x v="0"/>
    <x v="854"/>
    <x v="837"/>
    <x v="59"/>
    <x v="587"/>
    <x v="4"/>
    <x v="3"/>
    <x v="3"/>
    <n v="0"/>
    <n v="0"/>
  </r>
  <r>
    <s v="BAKERY PRODUCTS"/>
    <x v="0"/>
    <x v="854"/>
    <x v="837"/>
    <x v="59"/>
    <x v="587"/>
    <x v="4"/>
    <x v="6"/>
    <x v="6"/>
    <n v="0"/>
    <n v="0"/>
  </r>
  <r>
    <s v="GOOSEBUMPS DISTR.(BREAD STOP)"/>
    <x v="0"/>
    <x v="855"/>
    <x v="838"/>
    <x v="1"/>
    <x v="588"/>
    <x v="17"/>
    <x v="3"/>
    <x v="3"/>
    <n v="0"/>
    <n v="0"/>
  </r>
  <r>
    <s v="GOOSEBUMPS DISTR.(BREAD STOP)"/>
    <x v="0"/>
    <x v="856"/>
    <x v="839"/>
    <x v="174"/>
    <x v="589"/>
    <x v="18"/>
    <x v="0"/>
    <x v="0"/>
    <n v="0"/>
    <n v="0"/>
  </r>
  <r>
    <s v="GOOSEBUMPS DISTR.(BREAD STOP)"/>
    <x v="0"/>
    <x v="856"/>
    <x v="839"/>
    <x v="174"/>
    <x v="589"/>
    <x v="18"/>
    <x v="1"/>
    <x v="1"/>
    <n v="0"/>
    <n v="0"/>
  </r>
  <r>
    <s v="GOOSEBUMPS DISTR.(BREAD STOP)"/>
    <x v="0"/>
    <x v="856"/>
    <x v="839"/>
    <x v="174"/>
    <x v="589"/>
    <x v="18"/>
    <x v="3"/>
    <x v="3"/>
    <n v="0"/>
    <n v="0"/>
  </r>
  <r>
    <s v="GOOSEBUMPS DISTR.(BREAD STOP)"/>
    <x v="0"/>
    <x v="856"/>
    <x v="839"/>
    <x v="174"/>
    <x v="589"/>
    <x v="18"/>
    <x v="4"/>
    <x v="4"/>
    <n v="0"/>
    <n v="0"/>
  </r>
  <r>
    <s v="GOOSEBUMPS DISTR.(BREAD STOP)"/>
    <x v="0"/>
    <x v="856"/>
    <x v="839"/>
    <x v="174"/>
    <x v="589"/>
    <x v="18"/>
    <x v="5"/>
    <x v="5"/>
    <n v="0"/>
    <n v="0"/>
  </r>
  <r>
    <s v="GOOSEBUMPS DISTR.(BREAD STOP)"/>
    <x v="0"/>
    <x v="856"/>
    <x v="839"/>
    <x v="174"/>
    <x v="589"/>
    <x v="18"/>
    <x v="6"/>
    <x v="6"/>
    <n v="0"/>
    <n v="0"/>
  </r>
  <r>
    <s v="BAKE IT EASY"/>
    <x v="11"/>
    <x v="857"/>
    <x v="840"/>
    <x v="118"/>
    <x v="590"/>
    <x v="7"/>
    <x v="0"/>
    <x v="0"/>
    <n v="125.11304347826086"/>
    <n v="12"/>
  </r>
  <r>
    <s v="BAKE IT EASY"/>
    <x v="11"/>
    <x v="857"/>
    <x v="840"/>
    <x v="118"/>
    <x v="590"/>
    <x v="7"/>
    <x v="1"/>
    <x v="1"/>
    <n v="72.982608695652175"/>
    <n v="7"/>
  </r>
  <r>
    <s v="BAKE IT EASY"/>
    <x v="11"/>
    <x v="857"/>
    <x v="840"/>
    <x v="118"/>
    <x v="590"/>
    <x v="7"/>
    <x v="2"/>
    <x v="2"/>
    <n v="83.408695652173918"/>
    <n v="8"/>
  </r>
  <r>
    <s v="BAKE IT EASY"/>
    <x v="11"/>
    <x v="857"/>
    <x v="840"/>
    <x v="118"/>
    <x v="590"/>
    <x v="7"/>
    <x v="3"/>
    <x v="3"/>
    <n v="104.26086956521739"/>
    <n v="10"/>
  </r>
  <r>
    <s v="BAKE IT EASY"/>
    <x v="11"/>
    <x v="857"/>
    <x v="840"/>
    <x v="118"/>
    <x v="590"/>
    <x v="7"/>
    <x v="4"/>
    <x v="4"/>
    <n v="125.11304347826086"/>
    <n v="12"/>
  </r>
  <r>
    <s v="BAKE IT EASY"/>
    <x v="11"/>
    <x v="857"/>
    <x v="840"/>
    <x v="118"/>
    <x v="590"/>
    <x v="7"/>
    <x v="5"/>
    <x v="5"/>
    <n v="10.42608695652174"/>
    <n v="1"/>
  </r>
  <r>
    <s v="BAKE IT EASY"/>
    <x v="11"/>
    <x v="857"/>
    <x v="840"/>
    <x v="118"/>
    <x v="590"/>
    <x v="7"/>
    <x v="6"/>
    <x v="6"/>
    <n v="104.26086956521739"/>
    <n v="10"/>
  </r>
  <r>
    <s v="GOOSEBUMPS DISTR.(BREAD STOP)"/>
    <x v="0"/>
    <x v="858"/>
    <x v="841"/>
    <x v="25"/>
    <x v="591"/>
    <x v="19"/>
    <x v="0"/>
    <x v="0"/>
    <n v="158.20000000000002"/>
    <n v="7"/>
  </r>
  <r>
    <s v="GOOSEBUMPS DISTR.(BREAD STOP)"/>
    <x v="0"/>
    <x v="858"/>
    <x v="841"/>
    <x v="25"/>
    <x v="591"/>
    <x v="19"/>
    <x v="1"/>
    <x v="1"/>
    <n v="158.20000000000002"/>
    <n v="7"/>
  </r>
  <r>
    <s v="GOOSEBUMPS DISTR.(BREAD STOP)"/>
    <x v="0"/>
    <x v="858"/>
    <x v="841"/>
    <x v="25"/>
    <x v="591"/>
    <x v="19"/>
    <x v="2"/>
    <x v="2"/>
    <n v="178.53913043478261"/>
    <n v="8"/>
  </r>
  <r>
    <s v="GOOSEBUMPS DISTR.(BREAD STOP)"/>
    <x v="0"/>
    <x v="858"/>
    <x v="841"/>
    <x v="25"/>
    <x v="591"/>
    <x v="19"/>
    <x v="3"/>
    <x v="3"/>
    <n v="112.99999999999999"/>
    <n v="5"/>
  </r>
  <r>
    <s v="GOOSEBUMPS DISTR.(BREAD STOP)"/>
    <x v="0"/>
    <x v="858"/>
    <x v="841"/>
    <x v="25"/>
    <x v="591"/>
    <x v="19"/>
    <x v="4"/>
    <x v="4"/>
    <n v="248.6"/>
    <n v="11"/>
  </r>
  <r>
    <s v="GOOSEBUMPS DISTR.(BREAD STOP)"/>
    <x v="0"/>
    <x v="858"/>
    <x v="841"/>
    <x v="25"/>
    <x v="591"/>
    <x v="19"/>
    <x v="5"/>
    <x v="5"/>
    <n v="90.399999999999991"/>
    <n v="4"/>
  </r>
  <r>
    <s v="GOOSEBUMPS DISTR.(BREAD STOP)"/>
    <x v="0"/>
    <x v="858"/>
    <x v="841"/>
    <x v="25"/>
    <x v="591"/>
    <x v="19"/>
    <x v="6"/>
    <x v="6"/>
    <n v="90.399999999999991"/>
    <n v="4"/>
  </r>
  <r>
    <s v="GOOSEBUMPS DISTR.(BREAD STOP)"/>
    <x v="11"/>
    <x v="859"/>
    <x v="842"/>
    <x v="24"/>
    <x v="592"/>
    <x v="4"/>
    <x v="0"/>
    <x v="0"/>
    <n v="78.234782608695653"/>
    <n v="3"/>
  </r>
  <r>
    <s v="GOOSEBUMPS DISTR.(BREAD STOP)"/>
    <x v="11"/>
    <x v="859"/>
    <x v="842"/>
    <x v="24"/>
    <x v="592"/>
    <x v="4"/>
    <x v="1"/>
    <x v="1"/>
    <n v="26.078260869565216"/>
    <n v="1"/>
  </r>
  <r>
    <s v="GOOSEBUMPS DISTR.(BREAD STOP)"/>
    <x v="11"/>
    <x v="859"/>
    <x v="842"/>
    <x v="24"/>
    <x v="592"/>
    <x v="4"/>
    <x v="2"/>
    <x v="2"/>
    <n v="208.62608695652173"/>
    <n v="8"/>
  </r>
  <r>
    <s v="GOOSEBUMPS DISTR.(BREAD STOP)"/>
    <x v="11"/>
    <x v="859"/>
    <x v="842"/>
    <x v="24"/>
    <x v="592"/>
    <x v="4"/>
    <x v="3"/>
    <x v="3"/>
    <n v="156.46956521739131"/>
    <n v="6"/>
  </r>
  <r>
    <s v="GOOSEBUMPS DISTR.(BREAD STOP)"/>
    <x v="11"/>
    <x v="859"/>
    <x v="842"/>
    <x v="24"/>
    <x v="592"/>
    <x v="4"/>
    <x v="4"/>
    <x v="4"/>
    <n v="26.078260869565216"/>
    <n v="1"/>
  </r>
  <r>
    <s v="GOOSEBUMPS DISTR.(BREAD STOP)"/>
    <x v="11"/>
    <x v="859"/>
    <x v="842"/>
    <x v="24"/>
    <x v="592"/>
    <x v="4"/>
    <x v="5"/>
    <x v="5"/>
    <n v="78.234782608695653"/>
    <n v="3"/>
  </r>
  <r>
    <s v="GOOSEBUMPS DISTR.(BREAD STOP)"/>
    <x v="11"/>
    <x v="859"/>
    <x v="842"/>
    <x v="24"/>
    <x v="592"/>
    <x v="4"/>
    <x v="6"/>
    <x v="6"/>
    <n v="52.156521739130433"/>
    <n v="2"/>
  </r>
  <r>
    <s v="GOOSEBUMPS DISTR.(BREAD STOP)"/>
    <x v="0"/>
    <x v="855"/>
    <x v="838"/>
    <x v="1"/>
    <x v="588"/>
    <x v="17"/>
    <x v="0"/>
    <x v="0"/>
    <n v="57.365217391304348"/>
    <n v="3"/>
  </r>
  <r>
    <s v="GOOSEBUMPS DISTR.(BREAD STOP)"/>
    <x v="0"/>
    <x v="855"/>
    <x v="838"/>
    <x v="1"/>
    <x v="588"/>
    <x v="17"/>
    <x v="1"/>
    <x v="1"/>
    <n v="19.121739130434783"/>
    <n v="1"/>
  </r>
  <r>
    <s v="GOOSEBUMPS DISTR.(BREAD STOP)"/>
    <x v="0"/>
    <x v="855"/>
    <x v="838"/>
    <x v="1"/>
    <x v="588"/>
    <x v="17"/>
    <x v="2"/>
    <x v="2"/>
    <n v="19.121739130434783"/>
    <n v="1"/>
  </r>
  <r>
    <s v="GOOSEBUMPS DISTR.(BREAD STOP)"/>
    <x v="0"/>
    <x v="855"/>
    <x v="838"/>
    <x v="1"/>
    <x v="588"/>
    <x v="17"/>
    <x v="4"/>
    <x v="4"/>
    <n v="76.486956521739131"/>
    <n v="4"/>
  </r>
  <r>
    <s v="GOOSEBUMPS DISTR.(BREAD STOP)"/>
    <x v="0"/>
    <x v="855"/>
    <x v="838"/>
    <x v="1"/>
    <x v="588"/>
    <x v="17"/>
    <x v="5"/>
    <x v="5"/>
    <n v="19.121739130434783"/>
    <n v="1"/>
  </r>
  <r>
    <s v="GOOSEBUMPS DISTR.(BREAD STOP)"/>
    <x v="0"/>
    <x v="855"/>
    <x v="838"/>
    <x v="1"/>
    <x v="588"/>
    <x v="17"/>
    <x v="6"/>
    <x v="6"/>
    <n v="38.243478260869566"/>
    <n v="2"/>
  </r>
  <r>
    <s v="GOOSEBUMPS DISTR.(BREAD STOP)"/>
    <x v="0"/>
    <x v="856"/>
    <x v="839"/>
    <x v="174"/>
    <x v="589"/>
    <x v="18"/>
    <x v="2"/>
    <x v="2"/>
    <n v="165.21739130434781"/>
    <n v="40"/>
  </r>
  <r>
    <s v="BAKERY PRODUCTS"/>
    <x v="13"/>
    <x v="828"/>
    <x v="811"/>
    <x v="24"/>
    <x v="564"/>
    <x v="2"/>
    <x v="3"/>
    <x v="3"/>
    <n v="104.31304347826087"/>
    <n v="4"/>
  </r>
  <r>
    <s v="BAKERY PRODUCTS"/>
    <x v="13"/>
    <x v="828"/>
    <x v="811"/>
    <x v="24"/>
    <x v="564"/>
    <x v="2"/>
    <x v="4"/>
    <x v="4"/>
    <n v="260.78260869565213"/>
    <n v="10"/>
  </r>
  <r>
    <s v="BAKERY PRODUCTS"/>
    <x v="13"/>
    <x v="828"/>
    <x v="811"/>
    <x v="24"/>
    <x v="564"/>
    <x v="2"/>
    <x v="5"/>
    <x v="5"/>
    <n v="104.31304347826087"/>
    <n v="4"/>
  </r>
  <r>
    <s v="BAKERY PRODUCTS"/>
    <x v="13"/>
    <x v="828"/>
    <x v="811"/>
    <x v="24"/>
    <x v="564"/>
    <x v="2"/>
    <x v="6"/>
    <x v="6"/>
    <n v="78.234782608695653"/>
    <n v="3"/>
  </r>
  <r>
    <s v="BAKERY PRODUCTS"/>
    <x v="13"/>
    <x v="860"/>
    <x v="843"/>
    <x v="98"/>
    <x v="593"/>
    <x v="7"/>
    <x v="0"/>
    <x v="0"/>
    <n v="43.469565217391306"/>
    <n v="1"/>
  </r>
  <r>
    <s v="BAKERY PRODUCTS"/>
    <x v="13"/>
    <x v="860"/>
    <x v="843"/>
    <x v="98"/>
    <x v="593"/>
    <x v="7"/>
    <x v="1"/>
    <x v="1"/>
    <n v="130.40869565217392"/>
    <n v="3"/>
  </r>
  <r>
    <s v="BAKERY PRODUCTS"/>
    <x v="13"/>
    <x v="860"/>
    <x v="843"/>
    <x v="98"/>
    <x v="593"/>
    <x v="7"/>
    <x v="2"/>
    <x v="2"/>
    <n v="130.40869565217392"/>
    <n v="3"/>
  </r>
  <r>
    <s v="BAKERY PRODUCTS"/>
    <x v="13"/>
    <x v="860"/>
    <x v="843"/>
    <x v="98"/>
    <x v="593"/>
    <x v="7"/>
    <x v="3"/>
    <x v="3"/>
    <n v="43.469565217391306"/>
    <n v="1"/>
  </r>
  <r>
    <s v="BAKERY PRODUCTS"/>
    <x v="13"/>
    <x v="860"/>
    <x v="843"/>
    <x v="98"/>
    <x v="593"/>
    <x v="7"/>
    <x v="4"/>
    <x v="4"/>
    <n v="95.652173913043484"/>
    <n v="2"/>
  </r>
  <r>
    <s v="BAKERY PRODUCTS"/>
    <x v="13"/>
    <x v="860"/>
    <x v="843"/>
    <x v="98"/>
    <x v="593"/>
    <x v="7"/>
    <x v="5"/>
    <x v="5"/>
    <n v="239.13043478260869"/>
    <n v="5"/>
  </r>
  <r>
    <s v="BAKERY PRODUCTS"/>
    <x v="13"/>
    <x v="860"/>
    <x v="843"/>
    <x v="98"/>
    <x v="593"/>
    <x v="7"/>
    <x v="6"/>
    <x v="6"/>
    <n v="47.826086956521742"/>
    <n v="1"/>
  </r>
  <r>
    <s v="BAKERY PRODUCTS"/>
    <x v="3"/>
    <x v="861"/>
    <x v="844"/>
    <x v="127"/>
    <x v="594"/>
    <x v="20"/>
    <x v="0"/>
    <x v="0"/>
    <n v="132.10434782608695"/>
    <n v="8"/>
  </r>
  <r>
    <s v="BAKERY PRODUCTS"/>
    <x v="3"/>
    <x v="861"/>
    <x v="844"/>
    <x v="127"/>
    <x v="594"/>
    <x v="20"/>
    <x v="1"/>
    <x v="1"/>
    <n v="49.539130434782606"/>
    <n v="3"/>
  </r>
  <r>
    <s v="BAKERY PRODUCTS"/>
    <x v="3"/>
    <x v="861"/>
    <x v="844"/>
    <x v="127"/>
    <x v="594"/>
    <x v="20"/>
    <x v="2"/>
    <x v="2"/>
    <n v="99.078260869565213"/>
    <n v="6"/>
  </r>
  <r>
    <s v="BAKERY PRODUCTS"/>
    <x v="3"/>
    <x v="861"/>
    <x v="844"/>
    <x v="127"/>
    <x v="594"/>
    <x v="20"/>
    <x v="3"/>
    <x v="3"/>
    <n v="198.15652173913043"/>
    <n v="12"/>
  </r>
  <r>
    <s v="BAKERY PRODUCTS"/>
    <x v="3"/>
    <x v="861"/>
    <x v="844"/>
    <x v="127"/>
    <x v="594"/>
    <x v="20"/>
    <x v="4"/>
    <x v="4"/>
    <n v="231.18260869565219"/>
    <n v="14"/>
  </r>
  <r>
    <s v="BAKERY PRODUCTS"/>
    <x v="3"/>
    <x v="861"/>
    <x v="844"/>
    <x v="127"/>
    <x v="594"/>
    <x v="20"/>
    <x v="5"/>
    <x v="5"/>
    <n v="214.66956521739132"/>
    <n v="13"/>
  </r>
  <r>
    <s v="BAKERY PRODUCTS"/>
    <x v="3"/>
    <x v="861"/>
    <x v="844"/>
    <x v="127"/>
    <x v="594"/>
    <x v="20"/>
    <x v="6"/>
    <x v="6"/>
    <n v="33.026086956521738"/>
    <n v="2"/>
  </r>
  <r>
    <s v="BAKERY PRODUCTS"/>
    <x v="12"/>
    <x v="837"/>
    <x v="820"/>
    <x v="84"/>
    <x v="475"/>
    <x v="4"/>
    <x v="2"/>
    <x v="2"/>
    <n v="13.904347826086957"/>
    <n v="1"/>
  </r>
  <r>
    <s v="BAKERY PRODUCTS"/>
    <x v="13"/>
    <x v="843"/>
    <x v="826"/>
    <x v="91"/>
    <x v="577"/>
    <x v="12"/>
    <x v="3"/>
    <x v="3"/>
    <n v="43.469565217391306"/>
    <n v="1"/>
  </r>
  <r>
    <s v="BAKERY PRODUCTS"/>
    <x v="11"/>
    <x v="826"/>
    <x v="810"/>
    <x v="5"/>
    <x v="563"/>
    <x v="1"/>
    <x v="0"/>
    <x v="0"/>
    <n v="69.547826086956519"/>
    <n v="2"/>
  </r>
  <r>
    <s v="BAKERY PRODUCTS"/>
    <x v="11"/>
    <x v="826"/>
    <x v="810"/>
    <x v="5"/>
    <x v="563"/>
    <x v="1"/>
    <x v="2"/>
    <x v="2"/>
    <n v="206.01739130434783"/>
    <n v="8"/>
  </r>
  <r>
    <s v="BAKERY PRODUCTS"/>
    <x v="11"/>
    <x v="826"/>
    <x v="810"/>
    <x v="5"/>
    <x v="563"/>
    <x v="1"/>
    <x v="3"/>
    <x v="3"/>
    <n v="286.8608695652174"/>
    <n v="11"/>
  </r>
  <r>
    <s v="BAKERY PRODUCTS"/>
    <x v="11"/>
    <x v="826"/>
    <x v="810"/>
    <x v="5"/>
    <x v="563"/>
    <x v="1"/>
    <x v="4"/>
    <x v="4"/>
    <n v="130.39130434782606"/>
    <n v="5"/>
  </r>
  <r>
    <s v="BAKERY PRODUCTS"/>
    <x v="11"/>
    <x v="826"/>
    <x v="810"/>
    <x v="5"/>
    <x v="563"/>
    <x v="1"/>
    <x v="5"/>
    <x v="5"/>
    <n v="312.93913043478261"/>
    <n v="12"/>
  </r>
  <r>
    <s v="BAKERY PRODUCTS"/>
    <x v="11"/>
    <x v="826"/>
    <x v="810"/>
    <x v="5"/>
    <x v="563"/>
    <x v="1"/>
    <x v="6"/>
    <x v="6"/>
    <n v="495.4869565217391"/>
    <n v="19"/>
  </r>
  <r>
    <s v="BAKERY PRODUCTS"/>
    <x v="11"/>
    <x v="862"/>
    <x v="845"/>
    <x v="4"/>
    <x v="595"/>
    <x v="21"/>
    <x v="0"/>
    <x v="0"/>
    <n v="194.04347826086956"/>
    <n v="7"/>
  </r>
  <r>
    <s v="BAKERY PRODUCTS"/>
    <x v="11"/>
    <x v="862"/>
    <x v="845"/>
    <x v="4"/>
    <x v="595"/>
    <x v="21"/>
    <x v="1"/>
    <x v="1"/>
    <n v="133.09565217391304"/>
    <n v="5"/>
  </r>
  <r>
    <s v="BAKERY PRODUCTS"/>
    <x v="11"/>
    <x v="862"/>
    <x v="845"/>
    <x v="4"/>
    <x v="595"/>
    <x v="21"/>
    <x v="2"/>
    <x v="2"/>
    <n v="359.66956521739132"/>
    <n v="13"/>
  </r>
  <r>
    <s v="BAKERY PRODUCTS"/>
    <x v="11"/>
    <x v="862"/>
    <x v="845"/>
    <x v="4"/>
    <x v="595"/>
    <x v="21"/>
    <x v="3"/>
    <x v="3"/>
    <n v="127.41739130434783"/>
    <n v="5"/>
  </r>
  <r>
    <s v="BAKERY PRODUCTS"/>
    <x v="11"/>
    <x v="862"/>
    <x v="845"/>
    <x v="4"/>
    <x v="595"/>
    <x v="21"/>
    <x v="4"/>
    <x v="4"/>
    <n v="78.104347826086951"/>
    <n v="3"/>
  </r>
  <r>
    <s v="BAKERY PRODUCTS"/>
    <x v="11"/>
    <x v="862"/>
    <x v="845"/>
    <x v="4"/>
    <x v="595"/>
    <x v="21"/>
    <x v="5"/>
    <x v="5"/>
    <n v="453.71304347826083"/>
    <n v="16"/>
  </r>
  <r>
    <s v="BAKERY PRODUCTS"/>
    <x v="11"/>
    <x v="862"/>
    <x v="845"/>
    <x v="4"/>
    <x v="595"/>
    <x v="21"/>
    <x v="6"/>
    <x v="6"/>
    <n v="503.86956521739137"/>
    <n v="18"/>
  </r>
  <r>
    <s v="BAKERY PRODUCTS"/>
    <x v="11"/>
    <x v="863"/>
    <x v="846"/>
    <x v="35"/>
    <x v="596"/>
    <x v="22"/>
    <x v="0"/>
    <x v="0"/>
    <n v="121.67826086956522"/>
    <n v="7"/>
  </r>
  <r>
    <s v="BAKERY PRODUCTS"/>
    <x v="11"/>
    <x v="863"/>
    <x v="846"/>
    <x v="35"/>
    <x v="596"/>
    <x v="22"/>
    <x v="1"/>
    <x v="1"/>
    <n v="173.82608695652175"/>
    <n v="10"/>
  </r>
  <r>
    <s v="BAKERY PRODUCTS"/>
    <x v="11"/>
    <x v="863"/>
    <x v="846"/>
    <x v="35"/>
    <x v="596"/>
    <x v="22"/>
    <x v="2"/>
    <x v="2"/>
    <n v="86.043478260869563"/>
    <n v="5"/>
  </r>
  <r>
    <s v="BAKERY PRODUCTS"/>
    <x v="11"/>
    <x v="863"/>
    <x v="846"/>
    <x v="35"/>
    <x v="596"/>
    <x v="22"/>
    <x v="3"/>
    <x v="3"/>
    <n v="191.2086956521739"/>
    <n v="11"/>
  </r>
  <r>
    <s v="BAKERY PRODUCTS"/>
    <x v="11"/>
    <x v="863"/>
    <x v="846"/>
    <x v="35"/>
    <x v="596"/>
    <x v="22"/>
    <x v="4"/>
    <x v="4"/>
    <n v="260.73913043478262"/>
    <n v="15"/>
  </r>
  <r>
    <s v="BAKERY PRODUCTS"/>
    <x v="11"/>
    <x v="863"/>
    <x v="846"/>
    <x v="35"/>
    <x v="596"/>
    <x v="22"/>
    <x v="5"/>
    <x v="5"/>
    <n v="156.44347826086957"/>
    <n v="9"/>
  </r>
  <r>
    <s v="BAKERY PRODUCTS"/>
    <x v="11"/>
    <x v="863"/>
    <x v="846"/>
    <x v="35"/>
    <x v="596"/>
    <x v="22"/>
    <x v="6"/>
    <x v="6"/>
    <n v="330.26956521739129"/>
    <n v="19"/>
  </r>
  <r>
    <s v="BAKERY PRODUCTS"/>
    <x v="11"/>
    <x v="864"/>
    <x v="847"/>
    <x v="118"/>
    <x v="597"/>
    <x v="23"/>
    <x v="0"/>
    <x v="0"/>
    <n v="125.11304347826086"/>
    <n v="12"/>
  </r>
  <r>
    <s v="BAKERY PRODUCTS"/>
    <x v="11"/>
    <x v="864"/>
    <x v="847"/>
    <x v="118"/>
    <x v="597"/>
    <x v="23"/>
    <x v="1"/>
    <x v="1"/>
    <n v="93.834782608695647"/>
    <n v="9"/>
  </r>
  <r>
    <s v="BAKERY PRODUCTS"/>
    <x v="11"/>
    <x v="864"/>
    <x v="847"/>
    <x v="118"/>
    <x v="597"/>
    <x v="23"/>
    <x v="2"/>
    <x v="2"/>
    <n v="83.408695652173918"/>
    <n v="8"/>
  </r>
  <r>
    <s v="BAKERY PRODUCTS"/>
    <x v="11"/>
    <x v="864"/>
    <x v="847"/>
    <x v="118"/>
    <x v="597"/>
    <x v="23"/>
    <x v="3"/>
    <x v="3"/>
    <n v="145.96521739130435"/>
    <n v="14"/>
  </r>
  <r>
    <s v="BAKERY PRODUCTS"/>
    <x v="11"/>
    <x v="864"/>
    <x v="847"/>
    <x v="118"/>
    <x v="597"/>
    <x v="23"/>
    <x v="4"/>
    <x v="4"/>
    <n v="208.52173913043478"/>
    <n v="20"/>
  </r>
  <r>
    <s v="BAKERY PRODUCTS"/>
    <x v="11"/>
    <x v="864"/>
    <x v="847"/>
    <x v="118"/>
    <x v="597"/>
    <x v="23"/>
    <x v="5"/>
    <x v="5"/>
    <n v="125.11304347826086"/>
    <n v="12"/>
  </r>
  <r>
    <s v="BAKERY PRODUCTS"/>
    <x v="11"/>
    <x v="864"/>
    <x v="847"/>
    <x v="118"/>
    <x v="597"/>
    <x v="23"/>
    <x v="6"/>
    <x v="6"/>
    <n v="239.79999999999998"/>
    <n v="23"/>
  </r>
  <r>
    <s v="BAKERY PRODUCTS"/>
    <x v="11"/>
    <x v="827"/>
    <x v="442"/>
    <x v="127"/>
    <x v="263"/>
    <x v="1"/>
    <x v="2"/>
    <x v="2"/>
    <n v="115.5913043478261"/>
    <n v="7"/>
  </r>
  <r>
    <s v="BAKERY PRODUCTS"/>
    <x v="11"/>
    <x v="827"/>
    <x v="442"/>
    <x v="127"/>
    <x v="263"/>
    <x v="1"/>
    <x v="3"/>
    <x v="3"/>
    <n v="280.7217391304348"/>
    <n v="17"/>
  </r>
  <r>
    <s v="BAKERY PRODUCTS"/>
    <x v="11"/>
    <x v="827"/>
    <x v="442"/>
    <x v="127"/>
    <x v="263"/>
    <x v="1"/>
    <x v="4"/>
    <x v="4"/>
    <n v="264.2086956521739"/>
    <n v="16"/>
  </r>
  <r>
    <s v="BAKERY PRODUCTS"/>
    <x v="11"/>
    <x v="827"/>
    <x v="442"/>
    <x v="127"/>
    <x v="263"/>
    <x v="1"/>
    <x v="5"/>
    <x v="5"/>
    <n v="132.10434782608695"/>
    <n v="8"/>
  </r>
  <r>
    <s v="BAKERY PRODUCTS"/>
    <x v="11"/>
    <x v="827"/>
    <x v="442"/>
    <x v="127"/>
    <x v="263"/>
    <x v="1"/>
    <x v="6"/>
    <x v="6"/>
    <n v="165.13043478260869"/>
    <n v="10"/>
  </r>
  <r>
    <s v="BAKERY PRODUCTS"/>
    <x v="11"/>
    <x v="865"/>
    <x v="848"/>
    <x v="84"/>
    <x v="598"/>
    <x v="22"/>
    <x v="0"/>
    <x v="0"/>
    <n v="278.08695652173913"/>
    <n v="20"/>
  </r>
  <r>
    <s v="BAKERY PRODUCTS"/>
    <x v="11"/>
    <x v="865"/>
    <x v="848"/>
    <x v="84"/>
    <x v="598"/>
    <x v="22"/>
    <x v="1"/>
    <x v="1"/>
    <n v="97.330434782608705"/>
    <n v="7"/>
  </r>
  <r>
    <s v="BAKERY PRODUCTS"/>
    <x v="11"/>
    <x v="865"/>
    <x v="848"/>
    <x v="84"/>
    <x v="598"/>
    <x v="22"/>
    <x v="2"/>
    <x v="2"/>
    <n v="97.330434782608705"/>
    <n v="7"/>
  </r>
  <r>
    <s v="BAKERY PRODUCTS"/>
    <x v="11"/>
    <x v="865"/>
    <x v="848"/>
    <x v="84"/>
    <x v="598"/>
    <x v="22"/>
    <x v="3"/>
    <x v="3"/>
    <n v="139.04347826086956"/>
    <n v="10"/>
  </r>
  <r>
    <s v="BAKERY PRODUCTS"/>
    <x v="11"/>
    <x v="865"/>
    <x v="848"/>
    <x v="84"/>
    <x v="598"/>
    <x v="22"/>
    <x v="4"/>
    <x v="4"/>
    <n v="208.56521739130434"/>
    <n v="15"/>
  </r>
  <r>
    <s v="BAKERY PRODUCTS"/>
    <x v="11"/>
    <x v="865"/>
    <x v="848"/>
    <x v="84"/>
    <x v="598"/>
    <x v="22"/>
    <x v="5"/>
    <x v="5"/>
    <n v="194.66086956521741"/>
    <n v="14"/>
  </r>
  <r>
    <s v="BAKERY PRODUCTS"/>
    <x v="11"/>
    <x v="865"/>
    <x v="848"/>
    <x v="84"/>
    <x v="598"/>
    <x v="22"/>
    <x v="6"/>
    <x v="6"/>
    <n v="97.330434782608705"/>
    <n v="7"/>
  </r>
  <r>
    <s v="BAKERY PRODUCTS"/>
    <x v="11"/>
    <x v="829"/>
    <x v="812"/>
    <x v="126"/>
    <x v="565"/>
    <x v="1"/>
    <x v="0"/>
    <x v="0"/>
    <n v="140.7913043478261"/>
    <n v="9"/>
  </r>
  <r>
    <s v="BAKERY PRODUCTS"/>
    <x v="11"/>
    <x v="829"/>
    <x v="812"/>
    <x v="126"/>
    <x v="565"/>
    <x v="1"/>
    <x v="3"/>
    <x v="3"/>
    <n v="46.930434782608693"/>
    <n v="3"/>
  </r>
  <r>
    <s v="BAKERY PRODUCTS"/>
    <x v="11"/>
    <x v="829"/>
    <x v="812"/>
    <x v="126"/>
    <x v="565"/>
    <x v="1"/>
    <x v="4"/>
    <x v="4"/>
    <n v="15.643478260869564"/>
    <n v="1"/>
  </r>
  <r>
    <s v="BAKERY PRODUCTS"/>
    <x v="11"/>
    <x v="829"/>
    <x v="812"/>
    <x v="126"/>
    <x v="565"/>
    <x v="1"/>
    <x v="5"/>
    <x v="5"/>
    <n v="31.286956521739128"/>
    <n v="2"/>
  </r>
  <r>
    <s v="BAKERY PRODUCTS"/>
    <x v="11"/>
    <x v="829"/>
    <x v="812"/>
    <x v="126"/>
    <x v="565"/>
    <x v="1"/>
    <x v="6"/>
    <x v="6"/>
    <n v="78.217391304347828"/>
    <n v="5"/>
  </r>
  <r>
    <s v="BAKERY PRODUCTS"/>
    <x v="11"/>
    <x v="866"/>
    <x v="849"/>
    <x v="126"/>
    <x v="319"/>
    <x v="4"/>
    <x v="0"/>
    <x v="0"/>
    <n v="46.930434782608693"/>
    <n v="3"/>
  </r>
  <r>
    <s v="BAKERY PRODUCTS"/>
    <x v="11"/>
    <x v="866"/>
    <x v="849"/>
    <x v="126"/>
    <x v="319"/>
    <x v="4"/>
    <x v="1"/>
    <x v="1"/>
    <n v="31.286956521739128"/>
    <n v="2"/>
  </r>
  <r>
    <s v="BAKERY PRODUCTS"/>
    <x v="11"/>
    <x v="866"/>
    <x v="849"/>
    <x v="126"/>
    <x v="319"/>
    <x v="4"/>
    <x v="2"/>
    <x v="2"/>
    <n v="46.930434782608693"/>
    <n v="3"/>
  </r>
  <r>
    <s v="BAKERY PRODUCTS"/>
    <x v="11"/>
    <x v="866"/>
    <x v="849"/>
    <x v="126"/>
    <x v="319"/>
    <x v="4"/>
    <x v="3"/>
    <x v="3"/>
    <n v="15.643478260869564"/>
    <n v="1"/>
  </r>
  <r>
    <s v="BAKERY PRODUCTS"/>
    <x v="11"/>
    <x v="866"/>
    <x v="849"/>
    <x v="126"/>
    <x v="319"/>
    <x v="4"/>
    <x v="4"/>
    <x v="4"/>
    <n v="46.930434782608693"/>
    <n v="3"/>
  </r>
  <r>
    <s v="BAKERY PRODUCTS"/>
    <x v="11"/>
    <x v="866"/>
    <x v="849"/>
    <x v="126"/>
    <x v="319"/>
    <x v="4"/>
    <x v="5"/>
    <x v="5"/>
    <n v="15.643478260869564"/>
    <n v="1"/>
  </r>
  <r>
    <s v="BAKERY PRODUCTS"/>
    <x v="11"/>
    <x v="866"/>
    <x v="849"/>
    <x v="126"/>
    <x v="319"/>
    <x v="4"/>
    <x v="6"/>
    <x v="6"/>
    <n v="46.930434782608693"/>
    <n v="3"/>
  </r>
  <r>
    <s v="BAKERY PRODUCTS"/>
    <x v="11"/>
    <x v="831"/>
    <x v="814"/>
    <x v="118"/>
    <x v="566"/>
    <x v="4"/>
    <x v="0"/>
    <x v="0"/>
    <n v="83.408695652173918"/>
    <n v="8"/>
  </r>
  <r>
    <s v="BAKERY PRODUCTS"/>
    <x v="11"/>
    <x v="831"/>
    <x v="814"/>
    <x v="118"/>
    <x v="566"/>
    <x v="4"/>
    <x v="1"/>
    <x v="1"/>
    <n v="52.130434782608695"/>
    <n v="5"/>
  </r>
  <r>
    <s v="BAKERY PRODUCTS"/>
    <x v="11"/>
    <x v="831"/>
    <x v="814"/>
    <x v="118"/>
    <x v="566"/>
    <x v="4"/>
    <x v="2"/>
    <x v="2"/>
    <n v="10.42608695652174"/>
    <n v="1"/>
  </r>
  <r>
    <s v="BAKERY PRODUCTS"/>
    <x v="11"/>
    <x v="831"/>
    <x v="814"/>
    <x v="118"/>
    <x v="566"/>
    <x v="4"/>
    <x v="5"/>
    <x v="5"/>
    <n v="62.556521739130432"/>
    <n v="6"/>
  </r>
  <r>
    <s v="BAKERY PRODUCTS"/>
    <x v="11"/>
    <x v="831"/>
    <x v="814"/>
    <x v="118"/>
    <x v="566"/>
    <x v="4"/>
    <x v="6"/>
    <x v="6"/>
    <n v="41.704347826086959"/>
    <n v="4"/>
  </r>
  <r>
    <s v="BAKERY PRODUCTS"/>
    <x v="11"/>
    <x v="867"/>
    <x v="850"/>
    <x v="117"/>
    <x v="599"/>
    <x v="6"/>
    <x v="0"/>
    <x v="0"/>
    <n v="72.921739130434787"/>
    <n v="14"/>
  </r>
  <r>
    <s v="BAKERY PRODUCTS"/>
    <x v="11"/>
    <x v="867"/>
    <x v="850"/>
    <x v="117"/>
    <x v="599"/>
    <x v="6"/>
    <x v="1"/>
    <x v="1"/>
    <n v="67.713043478260872"/>
    <n v="13"/>
  </r>
  <r>
    <s v="BAKERY PRODUCTS"/>
    <x v="11"/>
    <x v="867"/>
    <x v="850"/>
    <x v="117"/>
    <x v="599"/>
    <x v="6"/>
    <x v="2"/>
    <x v="2"/>
    <n v="83.339130434782618"/>
    <n v="16"/>
  </r>
  <r>
    <s v="BAKERY PRODUCTS"/>
    <x v="11"/>
    <x v="867"/>
    <x v="850"/>
    <x v="117"/>
    <x v="599"/>
    <x v="6"/>
    <x v="3"/>
    <x v="3"/>
    <n v="83.339130434782618"/>
    <n v="16"/>
  </r>
  <r>
    <s v="BAKERY PRODUCTS"/>
    <x v="11"/>
    <x v="867"/>
    <x v="850"/>
    <x v="117"/>
    <x v="599"/>
    <x v="6"/>
    <x v="4"/>
    <x v="4"/>
    <n v="125.00869565217391"/>
    <n v="24"/>
  </r>
  <r>
    <s v="BAKERY PRODUCTS"/>
    <x v="11"/>
    <x v="867"/>
    <x v="850"/>
    <x v="117"/>
    <x v="599"/>
    <x v="6"/>
    <x v="5"/>
    <x v="5"/>
    <n v="72.921739130434787"/>
    <n v="14"/>
  </r>
  <r>
    <s v="BAKERY PRODUCTS"/>
    <x v="11"/>
    <x v="867"/>
    <x v="850"/>
    <x v="117"/>
    <x v="599"/>
    <x v="6"/>
    <x v="6"/>
    <x v="6"/>
    <n v="41.669565217391309"/>
    <n v="8"/>
  </r>
  <r>
    <s v="BAKERY PRODUCTS"/>
    <x v="11"/>
    <x v="868"/>
    <x v="851"/>
    <x v="124"/>
    <x v="600"/>
    <x v="4"/>
    <x v="0"/>
    <x v="0"/>
    <n v="67.77391304347826"/>
    <n v="6"/>
  </r>
  <r>
    <s v="BAKERY PRODUCTS"/>
    <x v="11"/>
    <x v="868"/>
    <x v="851"/>
    <x v="124"/>
    <x v="600"/>
    <x v="4"/>
    <x v="1"/>
    <x v="1"/>
    <n v="22.591304347826089"/>
    <n v="2"/>
  </r>
  <r>
    <s v="BAKERY PRODUCTS"/>
    <x v="11"/>
    <x v="868"/>
    <x v="851"/>
    <x v="124"/>
    <x v="600"/>
    <x v="4"/>
    <x v="2"/>
    <x v="2"/>
    <n v="56.478260869565219"/>
    <n v="5"/>
  </r>
  <r>
    <s v="BAKERY PRODUCTS"/>
    <x v="11"/>
    <x v="868"/>
    <x v="851"/>
    <x v="124"/>
    <x v="600"/>
    <x v="4"/>
    <x v="3"/>
    <x v="3"/>
    <n v="33.88695652173913"/>
    <n v="3"/>
  </r>
  <r>
    <s v="BAKERY PRODUCTS"/>
    <x v="11"/>
    <x v="868"/>
    <x v="851"/>
    <x v="124"/>
    <x v="600"/>
    <x v="4"/>
    <x v="4"/>
    <x v="4"/>
    <n v="11.295652173913044"/>
    <n v="1"/>
  </r>
  <r>
    <s v="BAKERY PRODUCTS"/>
    <x v="11"/>
    <x v="868"/>
    <x v="851"/>
    <x v="124"/>
    <x v="600"/>
    <x v="4"/>
    <x v="5"/>
    <x v="5"/>
    <n v="56.478260869565219"/>
    <n v="5"/>
  </r>
  <r>
    <s v="BAKERY PRODUCTS"/>
    <x v="11"/>
    <x v="868"/>
    <x v="851"/>
    <x v="124"/>
    <x v="600"/>
    <x v="4"/>
    <x v="6"/>
    <x v="6"/>
    <n v="33.88695652173913"/>
    <n v="3"/>
  </r>
  <r>
    <s v="BAKERY PRODUCTS"/>
    <x v="11"/>
    <x v="832"/>
    <x v="815"/>
    <x v="93"/>
    <x v="567"/>
    <x v="5"/>
    <x v="1"/>
    <x v="1"/>
    <n v="147.82608695652175"/>
    <n v="17"/>
  </r>
  <r>
    <s v="BAKERY PRODUCTS"/>
    <x v="11"/>
    <x v="832"/>
    <x v="815"/>
    <x v="93"/>
    <x v="567"/>
    <x v="5"/>
    <x v="2"/>
    <x v="2"/>
    <n v="164.78260869565219"/>
    <n v="19"/>
  </r>
  <r>
    <s v="BAKERY PRODUCTS"/>
    <x v="11"/>
    <x v="832"/>
    <x v="815"/>
    <x v="93"/>
    <x v="567"/>
    <x v="5"/>
    <x v="3"/>
    <x v="3"/>
    <n v="69.565217391304344"/>
    <n v="8"/>
  </r>
  <r>
    <s v="BAKERY PRODUCTS"/>
    <x v="11"/>
    <x v="832"/>
    <x v="815"/>
    <x v="93"/>
    <x v="567"/>
    <x v="5"/>
    <x v="4"/>
    <x v="4"/>
    <n v="43.478260869565219"/>
    <n v="5"/>
  </r>
  <r>
    <s v="BAKERY PRODUCTS"/>
    <x v="11"/>
    <x v="832"/>
    <x v="815"/>
    <x v="93"/>
    <x v="567"/>
    <x v="5"/>
    <x v="5"/>
    <x v="5"/>
    <n v="182.60869565217391"/>
    <n v="21"/>
  </r>
  <r>
    <s v="BAKERY PRODUCTS"/>
    <x v="11"/>
    <x v="832"/>
    <x v="815"/>
    <x v="93"/>
    <x v="567"/>
    <x v="5"/>
    <x v="6"/>
    <x v="6"/>
    <n v="26.086956521739129"/>
    <n v="3"/>
  </r>
  <r>
    <s v="BAKERY PRODUCTS"/>
    <x v="11"/>
    <x v="834"/>
    <x v="817"/>
    <x v="93"/>
    <x v="569"/>
    <x v="6"/>
    <x v="0"/>
    <x v="0"/>
    <n v="26.086956521739129"/>
    <n v="3"/>
  </r>
  <r>
    <s v="BAKERY PRODUCTS"/>
    <x v="11"/>
    <x v="834"/>
    <x v="817"/>
    <x v="93"/>
    <x v="569"/>
    <x v="6"/>
    <x v="2"/>
    <x v="2"/>
    <n v="8.695652173913043"/>
    <n v="1"/>
  </r>
  <r>
    <s v="BAKERY PRODUCTS"/>
    <x v="11"/>
    <x v="834"/>
    <x v="817"/>
    <x v="93"/>
    <x v="569"/>
    <x v="6"/>
    <x v="4"/>
    <x v="4"/>
    <n v="26.086956521739129"/>
    <n v="3"/>
  </r>
  <r>
    <s v="BAKERY PRODUCTS"/>
    <x v="11"/>
    <x v="834"/>
    <x v="817"/>
    <x v="93"/>
    <x v="569"/>
    <x v="6"/>
    <x v="5"/>
    <x v="5"/>
    <n v="8.695652173913043"/>
    <n v="1"/>
  </r>
  <r>
    <s v="BAKERY PRODUCTS"/>
    <x v="11"/>
    <x v="835"/>
    <x v="818"/>
    <x v="93"/>
    <x v="570"/>
    <x v="7"/>
    <x v="0"/>
    <x v="0"/>
    <n v="104.34782608695652"/>
    <n v="12"/>
  </r>
  <r>
    <s v="BAKERY PRODUCTS"/>
    <x v="11"/>
    <x v="839"/>
    <x v="822"/>
    <x v="84"/>
    <x v="573"/>
    <x v="4"/>
    <x v="0"/>
    <x v="0"/>
    <n v="13.904347826086957"/>
    <n v="1"/>
  </r>
  <r>
    <s v="BAKERY PRODUCTS"/>
    <x v="11"/>
    <x v="839"/>
    <x v="822"/>
    <x v="84"/>
    <x v="573"/>
    <x v="4"/>
    <x v="1"/>
    <x v="1"/>
    <n v="13.904347826086957"/>
    <n v="1"/>
  </r>
  <r>
    <s v="BAKERY PRODUCTS"/>
    <x v="11"/>
    <x v="839"/>
    <x v="822"/>
    <x v="84"/>
    <x v="573"/>
    <x v="4"/>
    <x v="4"/>
    <x v="4"/>
    <n v="27.808695652173913"/>
    <n v="2"/>
  </r>
  <r>
    <s v="BAKERY PRODUCTS"/>
    <x v="11"/>
    <x v="839"/>
    <x v="822"/>
    <x v="84"/>
    <x v="573"/>
    <x v="4"/>
    <x v="5"/>
    <x v="5"/>
    <n v="13.904347826086957"/>
    <n v="1"/>
  </r>
  <r>
    <s v="BAKERY PRODUCTS"/>
    <x v="0"/>
    <x v="869"/>
    <x v="852"/>
    <x v="82"/>
    <x v="286"/>
    <x v="24"/>
    <x v="0"/>
    <x v="0"/>
    <n v="1216.5217391304348"/>
    <n v="100"/>
  </r>
  <r>
    <s v="BAKERY PRODUCTS"/>
    <x v="0"/>
    <x v="869"/>
    <x v="852"/>
    <x v="82"/>
    <x v="286"/>
    <x v="24"/>
    <x v="1"/>
    <x v="1"/>
    <n v="1094.8695652173913"/>
    <n v="90"/>
  </r>
  <r>
    <s v="BAKERY PRODUCTS"/>
    <x v="0"/>
    <x v="869"/>
    <x v="852"/>
    <x v="82"/>
    <x v="286"/>
    <x v="24"/>
    <x v="2"/>
    <x v="2"/>
    <n v="1094.8608695652174"/>
    <n v="91"/>
  </r>
  <r>
    <s v="BAKERY PRODUCTS"/>
    <x v="0"/>
    <x v="869"/>
    <x v="852"/>
    <x v="82"/>
    <x v="286"/>
    <x v="24"/>
    <x v="3"/>
    <x v="3"/>
    <n v="1204.3565217391304"/>
    <n v="99"/>
  </r>
  <r>
    <s v="BAKERY PRODUCTS"/>
    <x v="0"/>
    <x v="869"/>
    <x v="852"/>
    <x v="82"/>
    <x v="286"/>
    <x v="24"/>
    <x v="4"/>
    <x v="4"/>
    <n v="961.05217391304348"/>
    <n v="79"/>
  </r>
  <r>
    <s v="BAKERY PRODUCTS"/>
    <x v="0"/>
    <x v="869"/>
    <x v="852"/>
    <x v="82"/>
    <x v="286"/>
    <x v="24"/>
    <x v="5"/>
    <x v="5"/>
    <n v="1204.3565217391304"/>
    <n v="99"/>
  </r>
  <r>
    <s v="BAKERY PRODUCTS"/>
    <x v="0"/>
    <x v="869"/>
    <x v="852"/>
    <x v="82"/>
    <x v="286"/>
    <x v="24"/>
    <x v="6"/>
    <x v="6"/>
    <n v="559.59999999999991"/>
    <n v="46"/>
  </r>
  <r>
    <s v="BAKERY PRODUCTS"/>
    <x v="0"/>
    <x v="830"/>
    <x v="813"/>
    <x v="122"/>
    <x v="306"/>
    <x v="3"/>
    <x v="0"/>
    <x v="0"/>
    <n v="659.4"/>
    <n v="60"/>
  </r>
  <r>
    <s v="BAKERY PRODUCTS"/>
    <x v="0"/>
    <x v="830"/>
    <x v="813"/>
    <x v="122"/>
    <x v="306"/>
    <x v="3"/>
    <x v="2"/>
    <x v="2"/>
    <n v="259.36"/>
    <n v="24"/>
  </r>
  <r>
    <s v="BAKERY PRODUCTS"/>
    <x v="0"/>
    <x v="830"/>
    <x v="813"/>
    <x v="122"/>
    <x v="306"/>
    <x v="3"/>
    <x v="3"/>
    <x v="3"/>
    <n v="164.85"/>
    <n v="15"/>
  </r>
  <r>
    <s v="BAKERY PRODUCTS"/>
    <x v="0"/>
    <x v="830"/>
    <x v="813"/>
    <x v="122"/>
    <x v="306"/>
    <x v="3"/>
    <x v="4"/>
    <x v="4"/>
    <n v="571.48"/>
    <n v="52"/>
  </r>
  <r>
    <s v="BAKERY PRODUCTS"/>
    <x v="0"/>
    <x v="830"/>
    <x v="813"/>
    <x v="122"/>
    <x v="306"/>
    <x v="3"/>
    <x v="5"/>
    <x v="5"/>
    <n v="439.6"/>
    <n v="40"/>
  </r>
  <r>
    <s v="BAKERY PRODUCTS"/>
    <x v="0"/>
    <x v="830"/>
    <x v="813"/>
    <x v="122"/>
    <x v="306"/>
    <x v="3"/>
    <x v="6"/>
    <x v="6"/>
    <n v="54.95"/>
    <n v="5"/>
  </r>
  <r>
    <s v="BAKERY PRODUCTS"/>
    <x v="0"/>
    <x v="870"/>
    <x v="853"/>
    <x v="112"/>
    <x v="601"/>
    <x v="25"/>
    <x v="0"/>
    <x v="0"/>
    <n v="146.01739130434785"/>
    <n v="8"/>
  </r>
  <r>
    <s v="BAKERY PRODUCTS"/>
    <x v="0"/>
    <x v="870"/>
    <x v="853"/>
    <x v="112"/>
    <x v="601"/>
    <x v="25"/>
    <x v="1"/>
    <x v="1"/>
    <n v="200.77391304347827"/>
    <n v="11"/>
  </r>
  <r>
    <s v="BAKERY PRODUCTS"/>
    <x v="0"/>
    <x v="870"/>
    <x v="853"/>
    <x v="112"/>
    <x v="601"/>
    <x v="25"/>
    <x v="2"/>
    <x v="2"/>
    <n v="177.97391304347826"/>
    <n v="10"/>
  </r>
  <r>
    <s v="BAKERY PRODUCTS"/>
    <x v="0"/>
    <x v="870"/>
    <x v="853"/>
    <x v="112"/>
    <x v="601"/>
    <x v="25"/>
    <x v="3"/>
    <x v="3"/>
    <n v="219.02608695652174"/>
    <n v="12"/>
  </r>
  <r>
    <s v="BAKERY PRODUCTS"/>
    <x v="0"/>
    <x v="870"/>
    <x v="853"/>
    <x v="112"/>
    <x v="601"/>
    <x v="25"/>
    <x v="4"/>
    <x v="4"/>
    <n v="215.40869565217392"/>
    <n v="12"/>
  </r>
  <r>
    <s v="BAKERY PRODUCTS"/>
    <x v="0"/>
    <x v="870"/>
    <x v="853"/>
    <x v="112"/>
    <x v="601"/>
    <x v="25"/>
    <x v="5"/>
    <x v="5"/>
    <n v="217.21739130434781"/>
    <n v="12"/>
  </r>
  <r>
    <s v="BAKERY PRODUCTS"/>
    <x v="0"/>
    <x v="870"/>
    <x v="853"/>
    <x v="112"/>
    <x v="601"/>
    <x v="25"/>
    <x v="6"/>
    <x v="6"/>
    <n v="36.504347826086956"/>
    <n v="2"/>
  </r>
  <r>
    <s v="BAKERY PRODUCTS"/>
    <x v="0"/>
    <x v="871"/>
    <x v="854"/>
    <x v="44"/>
    <x v="405"/>
    <x v="8"/>
    <x v="0"/>
    <x v="0"/>
    <n v="165.17391304347825"/>
    <n v="5"/>
  </r>
  <r>
    <s v="BAKERY PRODUCTS"/>
    <x v="0"/>
    <x v="871"/>
    <x v="854"/>
    <x v="44"/>
    <x v="405"/>
    <x v="8"/>
    <x v="1"/>
    <x v="1"/>
    <n v="33.03478260869565"/>
    <n v="1"/>
  </r>
  <r>
    <s v="BAKERY PRODUCTS"/>
    <x v="0"/>
    <x v="871"/>
    <x v="854"/>
    <x v="44"/>
    <x v="405"/>
    <x v="8"/>
    <x v="2"/>
    <x v="2"/>
    <n v="165.17391304347825"/>
    <n v="5"/>
  </r>
  <r>
    <s v="BAKERY PRODUCTS"/>
    <x v="0"/>
    <x v="871"/>
    <x v="854"/>
    <x v="44"/>
    <x v="405"/>
    <x v="8"/>
    <x v="3"/>
    <x v="3"/>
    <n v="132.1391304347826"/>
    <n v="4"/>
  </r>
  <r>
    <s v="BAKERY PRODUCTS"/>
    <x v="0"/>
    <x v="871"/>
    <x v="854"/>
    <x v="44"/>
    <x v="405"/>
    <x v="8"/>
    <x v="4"/>
    <x v="4"/>
    <n v="198.2086956521739"/>
    <n v="6"/>
  </r>
  <r>
    <s v="BAKERY PRODUCTS"/>
    <x v="0"/>
    <x v="871"/>
    <x v="854"/>
    <x v="44"/>
    <x v="405"/>
    <x v="8"/>
    <x v="5"/>
    <x v="5"/>
    <n v="132.1391304347826"/>
    <n v="4"/>
  </r>
  <r>
    <s v="BAKERY PRODUCTS"/>
    <x v="0"/>
    <x v="871"/>
    <x v="854"/>
    <x v="44"/>
    <x v="405"/>
    <x v="8"/>
    <x v="6"/>
    <x v="6"/>
    <n v="33.03478260869565"/>
    <n v="1"/>
  </r>
  <r>
    <s v="BAKERY PRODUCTS"/>
    <x v="0"/>
    <x v="872"/>
    <x v="855"/>
    <x v="121"/>
    <x v="602"/>
    <x v="26"/>
    <x v="0"/>
    <x v="0"/>
    <n v="30.39130434782609"/>
    <n v="5"/>
  </r>
  <r>
    <s v="BAKERY PRODUCTS"/>
    <x v="0"/>
    <x v="872"/>
    <x v="855"/>
    <x v="121"/>
    <x v="602"/>
    <x v="26"/>
    <x v="1"/>
    <x v="1"/>
    <n v="24.31304347826087"/>
    <n v="4"/>
  </r>
  <r>
    <s v="BAKERY PRODUCTS"/>
    <x v="0"/>
    <x v="872"/>
    <x v="855"/>
    <x v="121"/>
    <x v="602"/>
    <x v="26"/>
    <x v="2"/>
    <x v="2"/>
    <n v="24.008695652173913"/>
    <n v="4"/>
  </r>
  <r>
    <s v="BAKERY PRODUCTS"/>
    <x v="0"/>
    <x v="872"/>
    <x v="855"/>
    <x v="121"/>
    <x v="602"/>
    <x v="26"/>
    <x v="3"/>
    <x v="3"/>
    <n v="24.31304347826087"/>
    <n v="4"/>
  </r>
  <r>
    <s v="BAKERY PRODUCTS"/>
    <x v="0"/>
    <x v="872"/>
    <x v="855"/>
    <x v="121"/>
    <x v="602"/>
    <x v="26"/>
    <x v="4"/>
    <x v="4"/>
    <n v="24.31304347826087"/>
    <n v="4"/>
  </r>
  <r>
    <s v="BAKERY PRODUCTS"/>
    <x v="0"/>
    <x v="872"/>
    <x v="855"/>
    <x v="121"/>
    <x v="602"/>
    <x v="26"/>
    <x v="5"/>
    <x v="5"/>
    <n v="24.31304347826087"/>
    <n v="4"/>
  </r>
  <r>
    <s v="BAKERY PRODUCTS"/>
    <x v="0"/>
    <x v="872"/>
    <x v="855"/>
    <x v="121"/>
    <x v="602"/>
    <x v="26"/>
    <x v="6"/>
    <x v="6"/>
    <n v="12.156521739130435"/>
    <n v="2"/>
  </r>
  <r>
    <s v="BAKERY PRODUCTS"/>
    <x v="0"/>
    <x v="833"/>
    <x v="816"/>
    <x v="61"/>
    <x v="568"/>
    <x v="1"/>
    <x v="0"/>
    <x v="0"/>
    <n v="25.208695652173912"/>
    <n v="1"/>
  </r>
  <r>
    <s v="BAKERY PRODUCTS"/>
    <x v="0"/>
    <x v="833"/>
    <x v="816"/>
    <x v="61"/>
    <x v="568"/>
    <x v="1"/>
    <x v="1"/>
    <x v="1"/>
    <n v="25.208695652173912"/>
    <n v="1"/>
  </r>
  <r>
    <s v="BAKERY PRODUCTS"/>
    <x v="0"/>
    <x v="833"/>
    <x v="816"/>
    <x v="61"/>
    <x v="568"/>
    <x v="1"/>
    <x v="2"/>
    <x v="2"/>
    <n v="75.626086956521732"/>
    <n v="3"/>
  </r>
  <r>
    <s v="BAKERY PRODUCTS"/>
    <x v="0"/>
    <x v="833"/>
    <x v="816"/>
    <x v="61"/>
    <x v="568"/>
    <x v="1"/>
    <x v="3"/>
    <x v="3"/>
    <n v="50.417391304347824"/>
    <n v="2"/>
  </r>
  <r>
    <s v="BAKERY PRODUCTS"/>
    <x v="0"/>
    <x v="833"/>
    <x v="816"/>
    <x v="61"/>
    <x v="568"/>
    <x v="1"/>
    <x v="4"/>
    <x v="4"/>
    <n v="75.626086956521732"/>
    <n v="3"/>
  </r>
  <r>
    <s v="BAKERY PRODUCTS"/>
    <x v="0"/>
    <x v="833"/>
    <x v="816"/>
    <x v="61"/>
    <x v="568"/>
    <x v="1"/>
    <x v="5"/>
    <x v="5"/>
    <n v="176.46086956521739"/>
    <n v="7"/>
  </r>
  <r>
    <s v="BAKERY PRODUCTS"/>
    <x v="0"/>
    <x v="836"/>
    <x v="819"/>
    <x v="26"/>
    <x v="571"/>
    <x v="8"/>
    <x v="0"/>
    <x v="0"/>
    <n v="225.15652173913043"/>
    <n v="7"/>
  </r>
  <r>
    <s v="BAKERY PRODUCTS"/>
    <x v="0"/>
    <x v="836"/>
    <x v="819"/>
    <x v="26"/>
    <x v="571"/>
    <x v="8"/>
    <x v="1"/>
    <x v="1"/>
    <n v="32.165217391304353"/>
    <n v="1"/>
  </r>
  <r>
    <s v="BAKERY PRODUCTS"/>
    <x v="0"/>
    <x v="836"/>
    <x v="819"/>
    <x v="26"/>
    <x v="571"/>
    <x v="8"/>
    <x v="3"/>
    <x v="3"/>
    <n v="192.99130434782609"/>
    <n v="6"/>
  </r>
  <r>
    <s v="BAKERY PRODUCTS"/>
    <x v="0"/>
    <x v="836"/>
    <x v="819"/>
    <x v="26"/>
    <x v="571"/>
    <x v="8"/>
    <x v="4"/>
    <x v="4"/>
    <n v="225.15652173913043"/>
    <n v="7"/>
  </r>
  <r>
    <s v="BAKERY PRODUCTS"/>
    <x v="0"/>
    <x v="836"/>
    <x v="819"/>
    <x v="26"/>
    <x v="571"/>
    <x v="8"/>
    <x v="5"/>
    <x v="5"/>
    <n v="257.32173913043482"/>
    <n v="8"/>
  </r>
  <r>
    <s v="BAKERY PRODUCTS"/>
    <x v="0"/>
    <x v="840"/>
    <x v="823"/>
    <x v="115"/>
    <x v="574"/>
    <x v="9"/>
    <x v="0"/>
    <x v="0"/>
    <n v="457.99130434782614"/>
    <n v="31"/>
  </r>
  <r>
    <s v="BAKERY PRODUCTS"/>
    <x v="0"/>
    <x v="840"/>
    <x v="823"/>
    <x v="115"/>
    <x v="574"/>
    <x v="9"/>
    <x v="1"/>
    <x v="1"/>
    <n v="398.89565217391305"/>
    <n v="27"/>
  </r>
  <r>
    <s v="BAKERY PRODUCTS"/>
    <x v="0"/>
    <x v="840"/>
    <x v="823"/>
    <x v="115"/>
    <x v="574"/>
    <x v="9"/>
    <x v="2"/>
    <x v="2"/>
    <n v="484.58260869565214"/>
    <n v="33"/>
  </r>
  <r>
    <s v="BAKERY PRODUCTS"/>
    <x v="0"/>
    <x v="840"/>
    <x v="823"/>
    <x v="115"/>
    <x v="574"/>
    <x v="9"/>
    <x v="3"/>
    <x v="3"/>
    <n v="457.99130434782614"/>
    <n v="31"/>
  </r>
  <r>
    <s v="BAKERY PRODUCTS"/>
    <x v="0"/>
    <x v="840"/>
    <x v="823"/>
    <x v="115"/>
    <x v="574"/>
    <x v="9"/>
    <x v="4"/>
    <x v="4"/>
    <n v="443.21739130434781"/>
    <n v="30"/>
  </r>
  <r>
    <s v="BAKERY PRODUCTS"/>
    <x v="0"/>
    <x v="840"/>
    <x v="823"/>
    <x v="115"/>
    <x v="574"/>
    <x v="9"/>
    <x v="5"/>
    <x v="5"/>
    <n v="221.60869565217391"/>
    <n v="15"/>
  </r>
  <r>
    <s v="BAKERY PRODUCTS"/>
    <x v="0"/>
    <x v="841"/>
    <x v="824"/>
    <x v="35"/>
    <x v="575"/>
    <x v="10"/>
    <x v="0"/>
    <x v="0"/>
    <n v="86.913043478260875"/>
    <n v="5"/>
  </r>
  <r>
    <s v="BAKERY PRODUCTS"/>
    <x v="0"/>
    <x v="841"/>
    <x v="824"/>
    <x v="35"/>
    <x v="575"/>
    <x v="10"/>
    <x v="1"/>
    <x v="1"/>
    <n v="86.913043478260875"/>
    <n v="5"/>
  </r>
  <r>
    <s v="BAKERY PRODUCTS"/>
    <x v="0"/>
    <x v="841"/>
    <x v="824"/>
    <x v="35"/>
    <x v="575"/>
    <x v="10"/>
    <x v="2"/>
    <x v="2"/>
    <n v="198.66956521739129"/>
    <n v="13"/>
  </r>
  <r>
    <s v="BAKERY PRODUCTS"/>
    <x v="0"/>
    <x v="841"/>
    <x v="824"/>
    <x v="35"/>
    <x v="575"/>
    <x v="10"/>
    <x v="3"/>
    <x v="3"/>
    <n v="125.14782608695651"/>
    <n v="8"/>
  </r>
  <r>
    <s v="BAKERY PRODUCTS"/>
    <x v="0"/>
    <x v="841"/>
    <x v="824"/>
    <x v="35"/>
    <x v="575"/>
    <x v="10"/>
    <x v="4"/>
    <x v="4"/>
    <n v="265.93913043478261"/>
    <n v="17"/>
  </r>
  <r>
    <s v="BAKERY PRODUCTS"/>
    <x v="0"/>
    <x v="841"/>
    <x v="824"/>
    <x v="35"/>
    <x v="575"/>
    <x v="10"/>
    <x v="5"/>
    <x v="5"/>
    <n v="234.6521739130435"/>
    <n v="15"/>
  </r>
  <r>
    <s v="BAKERY PRODUCTS"/>
    <x v="0"/>
    <x v="844"/>
    <x v="827"/>
    <x v="84"/>
    <x v="578"/>
    <x v="4"/>
    <x v="0"/>
    <x v="0"/>
    <n v="41.713043478260872"/>
    <n v="3"/>
  </r>
  <r>
    <s v="BAKERY PRODUCTS"/>
    <x v="0"/>
    <x v="844"/>
    <x v="827"/>
    <x v="84"/>
    <x v="578"/>
    <x v="4"/>
    <x v="1"/>
    <x v="1"/>
    <n v="55.617391304347827"/>
    <n v="4"/>
  </r>
  <r>
    <s v="BAKERY PRODUCTS"/>
    <x v="0"/>
    <x v="844"/>
    <x v="827"/>
    <x v="84"/>
    <x v="578"/>
    <x v="4"/>
    <x v="5"/>
    <x v="5"/>
    <n v="55.617391304347827"/>
    <n v="4"/>
  </r>
  <r>
    <s v="BAKERY PRODUCTS"/>
    <x v="0"/>
    <x v="845"/>
    <x v="828"/>
    <x v="35"/>
    <x v="579"/>
    <x v="13"/>
    <x v="0"/>
    <x v="0"/>
    <n v="86.913043478260875"/>
    <n v="5"/>
  </r>
  <r>
    <s v="BAKERY PRODUCTS"/>
    <x v="0"/>
    <x v="845"/>
    <x v="828"/>
    <x v="35"/>
    <x v="579"/>
    <x v="13"/>
    <x v="1"/>
    <x v="1"/>
    <n v="69.530434782608694"/>
    <n v="4"/>
  </r>
  <r>
    <s v="BAKERY PRODUCTS"/>
    <x v="0"/>
    <x v="845"/>
    <x v="828"/>
    <x v="35"/>
    <x v="579"/>
    <x v="13"/>
    <x v="4"/>
    <x v="4"/>
    <n v="52.14782608695652"/>
    <n v="3"/>
  </r>
  <r>
    <s v="BAKERY PRODUCTS"/>
    <x v="0"/>
    <x v="845"/>
    <x v="828"/>
    <x v="35"/>
    <x v="579"/>
    <x v="13"/>
    <x v="5"/>
    <x v="5"/>
    <n v="52.14782608695652"/>
    <n v="3"/>
  </r>
  <r>
    <s v="BAKERY PRODUCTS"/>
    <x v="0"/>
    <x v="846"/>
    <x v="829"/>
    <x v="216"/>
    <x v="580"/>
    <x v="14"/>
    <x v="0"/>
    <x v="0"/>
    <n v="49.565217391304344"/>
    <n v="6"/>
  </r>
  <r>
    <s v="BAKERY PRODUCTS"/>
    <x v="0"/>
    <x v="846"/>
    <x v="829"/>
    <x v="216"/>
    <x v="580"/>
    <x v="14"/>
    <x v="1"/>
    <x v="1"/>
    <n v="90.869565217391312"/>
    <n v="11"/>
  </r>
  <r>
    <s v="BAKERY PRODUCTS"/>
    <x v="0"/>
    <x v="846"/>
    <x v="829"/>
    <x v="216"/>
    <x v="580"/>
    <x v="14"/>
    <x v="2"/>
    <x v="2"/>
    <n v="97.052173913043475"/>
    <n v="12"/>
  </r>
  <r>
    <s v="BAKERY PRODUCTS"/>
    <x v="0"/>
    <x v="846"/>
    <x v="829"/>
    <x v="216"/>
    <x v="580"/>
    <x v="14"/>
    <x v="3"/>
    <x v="3"/>
    <n v="49.565217391304344"/>
    <n v="6"/>
  </r>
  <r>
    <s v="BAKERY PRODUCTS"/>
    <x v="0"/>
    <x v="846"/>
    <x v="829"/>
    <x v="216"/>
    <x v="580"/>
    <x v="14"/>
    <x v="4"/>
    <x v="4"/>
    <n v="41.304347826086953"/>
    <n v="5"/>
  </r>
  <r>
    <s v="BAKERY PRODUCTS"/>
    <x v="0"/>
    <x v="846"/>
    <x v="829"/>
    <x v="216"/>
    <x v="580"/>
    <x v="14"/>
    <x v="5"/>
    <x v="5"/>
    <n v="66.086956521739125"/>
    <n v="8"/>
  </r>
  <r>
    <s v="BAKERY PRODUCTS"/>
    <x v="0"/>
    <x v="847"/>
    <x v="830"/>
    <x v="121"/>
    <x v="581"/>
    <x v="15"/>
    <x v="0"/>
    <x v="0"/>
    <n v="66.860869565217399"/>
    <n v="11"/>
  </r>
  <r>
    <s v="BAKERY PRODUCTS"/>
    <x v="0"/>
    <x v="847"/>
    <x v="830"/>
    <x v="121"/>
    <x v="581"/>
    <x v="15"/>
    <x v="1"/>
    <x v="1"/>
    <n v="42.547826086956519"/>
    <n v="7"/>
  </r>
  <r>
    <s v="BAKERY PRODUCTS"/>
    <x v="0"/>
    <x v="847"/>
    <x v="830"/>
    <x v="121"/>
    <x v="581"/>
    <x v="15"/>
    <x v="2"/>
    <x v="2"/>
    <n v="48.017391304347825"/>
    <n v="8"/>
  </r>
  <r>
    <s v="BAKERY PRODUCTS"/>
    <x v="0"/>
    <x v="847"/>
    <x v="830"/>
    <x v="121"/>
    <x v="581"/>
    <x v="15"/>
    <x v="3"/>
    <x v="3"/>
    <n v="54.704347826086952"/>
    <n v="9"/>
  </r>
  <r>
    <s v="BAKERY PRODUCTS"/>
    <x v="0"/>
    <x v="847"/>
    <x v="830"/>
    <x v="121"/>
    <x v="581"/>
    <x v="15"/>
    <x v="4"/>
    <x v="4"/>
    <n v="24.31304347826087"/>
    <n v="4"/>
  </r>
  <r>
    <s v="BAKERY PRODUCTS"/>
    <x v="0"/>
    <x v="849"/>
    <x v="832"/>
    <x v="117"/>
    <x v="583"/>
    <x v="5"/>
    <x v="0"/>
    <x v="0"/>
    <n v="26.043478260869563"/>
    <n v="5"/>
  </r>
  <r>
    <s v="BAKERY PRODUCTS"/>
    <x v="0"/>
    <x v="849"/>
    <x v="832"/>
    <x v="117"/>
    <x v="583"/>
    <x v="5"/>
    <x v="2"/>
    <x v="2"/>
    <n v="10.417391304347827"/>
    <n v="2"/>
  </r>
  <r>
    <s v="BAKERY PRODUCTS"/>
    <x v="0"/>
    <x v="849"/>
    <x v="832"/>
    <x v="117"/>
    <x v="583"/>
    <x v="5"/>
    <x v="4"/>
    <x v="4"/>
    <n v="31.252173913043478"/>
    <n v="6"/>
  </r>
  <r>
    <s v="BAKERY PRODUCTS"/>
    <x v="0"/>
    <x v="849"/>
    <x v="832"/>
    <x v="117"/>
    <x v="583"/>
    <x v="5"/>
    <x v="5"/>
    <x v="5"/>
    <n v="20.834782608695654"/>
    <n v="4"/>
  </r>
  <r>
    <s v="BAKERY PRODUCTS"/>
    <x v="0"/>
    <x v="850"/>
    <x v="833"/>
    <x v="35"/>
    <x v="584"/>
    <x v="4"/>
    <x v="2"/>
    <x v="2"/>
    <n v="17.382608695652173"/>
    <n v="1"/>
  </r>
  <r>
    <s v="BAKERY PRODUCTS"/>
    <x v="0"/>
    <x v="850"/>
    <x v="833"/>
    <x v="35"/>
    <x v="584"/>
    <x v="4"/>
    <x v="3"/>
    <x v="3"/>
    <n v="17.382608695652173"/>
    <n v="1"/>
  </r>
  <r>
    <s v="BAKERY PRODUCTS"/>
    <x v="0"/>
    <x v="850"/>
    <x v="833"/>
    <x v="35"/>
    <x v="584"/>
    <x v="4"/>
    <x v="4"/>
    <x v="4"/>
    <n v="52.14782608695652"/>
    <n v="3"/>
  </r>
  <r>
    <s v="BAKERY PRODUCTS"/>
    <x v="0"/>
    <x v="851"/>
    <x v="834"/>
    <x v="34"/>
    <x v="585"/>
    <x v="16"/>
    <x v="0"/>
    <x v="0"/>
    <n v="39.104347826086958"/>
    <n v="3"/>
  </r>
  <r>
    <s v="BAKERY PRODUCTS"/>
    <x v="0"/>
    <x v="851"/>
    <x v="834"/>
    <x v="34"/>
    <x v="585"/>
    <x v="16"/>
    <x v="1"/>
    <x v="1"/>
    <n v="52.139130434782608"/>
    <n v="4"/>
  </r>
  <r>
    <s v="BAKERY PRODUCTS"/>
    <x v="0"/>
    <x v="851"/>
    <x v="834"/>
    <x v="34"/>
    <x v="585"/>
    <x v="16"/>
    <x v="2"/>
    <x v="2"/>
    <n v="39.104347826086958"/>
    <n v="3"/>
  </r>
  <r>
    <s v="BAKERY PRODUCTS"/>
    <x v="0"/>
    <x v="851"/>
    <x v="834"/>
    <x v="34"/>
    <x v="585"/>
    <x v="16"/>
    <x v="3"/>
    <x v="3"/>
    <n v="143.38260869565215"/>
    <n v="11"/>
  </r>
  <r>
    <s v="BAKERY PRODUCTS"/>
    <x v="0"/>
    <x v="851"/>
    <x v="834"/>
    <x v="34"/>
    <x v="585"/>
    <x v="16"/>
    <x v="4"/>
    <x v="4"/>
    <n v="39.104347826086958"/>
    <n v="3"/>
  </r>
  <r>
    <s v="BAKERY PRODUCTS"/>
    <x v="0"/>
    <x v="851"/>
    <x v="834"/>
    <x v="34"/>
    <x v="585"/>
    <x v="16"/>
    <x v="5"/>
    <x v="5"/>
    <n v="65.173913043478265"/>
    <n v="5"/>
  </r>
  <r>
    <s v="BAKERY PRODUCTS"/>
    <x v="0"/>
    <x v="852"/>
    <x v="835"/>
    <x v="70"/>
    <x v="586"/>
    <x v="1"/>
    <x v="1"/>
    <x v="1"/>
    <n v="121.70434782608696"/>
    <n v="4"/>
  </r>
  <r>
    <s v="BAKERY PRODUCTS"/>
    <x v="0"/>
    <x v="852"/>
    <x v="835"/>
    <x v="70"/>
    <x v="586"/>
    <x v="1"/>
    <x v="2"/>
    <x v="2"/>
    <n v="117.13913043478261"/>
    <n v="4"/>
  </r>
  <r>
    <s v="BAKERY PRODUCTS"/>
    <x v="0"/>
    <x v="852"/>
    <x v="835"/>
    <x v="70"/>
    <x v="586"/>
    <x v="1"/>
    <x v="3"/>
    <x v="3"/>
    <n v="30.42608695652174"/>
    <n v="1"/>
  </r>
  <r>
    <s v="BAKERY PRODUCTS"/>
    <x v="0"/>
    <x v="852"/>
    <x v="835"/>
    <x v="70"/>
    <x v="586"/>
    <x v="1"/>
    <x v="4"/>
    <x v="4"/>
    <n v="212.98260869565217"/>
    <n v="7"/>
  </r>
  <r>
    <s v="BAKERY PRODUCTS"/>
    <x v="0"/>
    <x v="853"/>
    <x v="836"/>
    <x v="35"/>
    <x v="485"/>
    <x v="4"/>
    <x v="2"/>
    <x v="2"/>
    <n v="34.765217391304347"/>
    <n v="2"/>
  </r>
  <r>
    <s v="BAKERY PRODUCTS"/>
    <x v="0"/>
    <x v="853"/>
    <x v="836"/>
    <x v="35"/>
    <x v="485"/>
    <x v="4"/>
    <x v="3"/>
    <x v="3"/>
    <n v="17.382608695652173"/>
    <n v="1"/>
  </r>
  <r>
    <s v="BAKERY PRODUCTS"/>
    <x v="0"/>
    <x v="853"/>
    <x v="836"/>
    <x v="35"/>
    <x v="485"/>
    <x v="4"/>
    <x v="4"/>
    <x v="4"/>
    <n v="17.382608695652173"/>
    <n v="1"/>
  </r>
  <r>
    <s v="BAKERY PRODUCTS"/>
    <x v="0"/>
    <x v="853"/>
    <x v="836"/>
    <x v="35"/>
    <x v="485"/>
    <x v="4"/>
    <x v="5"/>
    <x v="5"/>
    <n v="17.382608695652173"/>
    <n v="1"/>
  </r>
  <r>
    <s v="BAKERY PRODUCTS"/>
    <x v="0"/>
    <x v="854"/>
    <x v="837"/>
    <x v="59"/>
    <x v="587"/>
    <x v="4"/>
    <x v="2"/>
    <x v="2"/>
    <n v="43.460869565217386"/>
    <n v="2"/>
  </r>
  <r>
    <s v="BAKERY PRODUCTS"/>
    <x v="0"/>
    <x v="854"/>
    <x v="837"/>
    <x v="59"/>
    <x v="587"/>
    <x v="4"/>
    <x v="4"/>
    <x v="4"/>
    <n v="43.460869565217386"/>
    <n v="2"/>
  </r>
  <r>
    <s v="BAKERY PRODUCTS"/>
    <x v="0"/>
    <x v="854"/>
    <x v="837"/>
    <x v="59"/>
    <x v="587"/>
    <x v="4"/>
    <x v="5"/>
    <x v="5"/>
    <n v="21.730434782608693"/>
    <n v="1"/>
  </r>
  <r>
    <s v="BAKERY PRODUCTS"/>
    <x v="0"/>
    <x v="873"/>
    <x v="856"/>
    <x v="124"/>
    <x v="603"/>
    <x v="0"/>
    <x v="0"/>
    <x v="0"/>
    <n v="169.43478260869566"/>
    <n v="15"/>
  </r>
  <r>
    <s v="BAKERY PRODUCTS"/>
    <x v="0"/>
    <x v="873"/>
    <x v="856"/>
    <x v="124"/>
    <x v="603"/>
    <x v="0"/>
    <x v="1"/>
    <x v="1"/>
    <n v="101.66086956521738"/>
    <n v="9"/>
  </r>
  <r>
    <s v="BAKERY PRODUCTS"/>
    <x v="0"/>
    <x v="873"/>
    <x v="856"/>
    <x v="124"/>
    <x v="603"/>
    <x v="0"/>
    <x v="2"/>
    <x v="2"/>
    <n v="111.26086956521739"/>
    <n v="10"/>
  </r>
  <r>
    <s v="BAKERY PRODUCTS"/>
    <x v="0"/>
    <x v="873"/>
    <x v="856"/>
    <x v="124"/>
    <x v="603"/>
    <x v="0"/>
    <x v="3"/>
    <x v="3"/>
    <n v="395.3478260869565"/>
    <n v="35"/>
  </r>
  <r>
    <s v="BAKERY PRODUCTS"/>
    <x v="0"/>
    <x v="873"/>
    <x v="856"/>
    <x v="124"/>
    <x v="603"/>
    <x v="0"/>
    <x v="4"/>
    <x v="4"/>
    <n v="112.95652173913044"/>
    <n v="10"/>
  </r>
  <r>
    <s v="BAKERY PRODUCTS"/>
    <x v="0"/>
    <x v="873"/>
    <x v="856"/>
    <x v="124"/>
    <x v="603"/>
    <x v="0"/>
    <x v="5"/>
    <x v="5"/>
    <n v="112.95652173913044"/>
    <n v="10"/>
  </r>
  <r>
    <s v="BAKERY PRODUCTS"/>
    <x v="0"/>
    <x v="873"/>
    <x v="856"/>
    <x v="124"/>
    <x v="603"/>
    <x v="0"/>
    <x v="6"/>
    <x v="6"/>
    <n v="225.91304347826087"/>
    <n v="20"/>
  </r>
  <r>
    <s v="BAKERY PRODUCTS"/>
    <x v="0"/>
    <x v="874"/>
    <x v="857"/>
    <x v="217"/>
    <x v="604"/>
    <x v="0"/>
    <x v="0"/>
    <x v="0"/>
    <n v="365.04347826086956"/>
    <n v="20"/>
  </r>
  <r>
    <s v="BAKERY PRODUCTS"/>
    <x v="0"/>
    <x v="874"/>
    <x v="857"/>
    <x v="217"/>
    <x v="604"/>
    <x v="0"/>
    <x v="1"/>
    <x v="1"/>
    <n v="200.77391304347825"/>
    <n v="11"/>
  </r>
  <r>
    <s v="BAKERY PRODUCTS"/>
    <x v="0"/>
    <x v="874"/>
    <x v="857"/>
    <x v="217"/>
    <x v="604"/>
    <x v="0"/>
    <x v="2"/>
    <x v="2"/>
    <n v="199.8608695652174"/>
    <n v="11"/>
  </r>
  <r>
    <s v="BAKERY PRODUCTS"/>
    <x v="0"/>
    <x v="874"/>
    <x v="857"/>
    <x v="217"/>
    <x v="604"/>
    <x v="0"/>
    <x v="3"/>
    <x v="3"/>
    <n v="419.79999999999995"/>
    <n v="23"/>
  </r>
  <r>
    <s v="BAKERY PRODUCTS"/>
    <x v="0"/>
    <x v="874"/>
    <x v="857"/>
    <x v="217"/>
    <x v="604"/>
    <x v="0"/>
    <x v="4"/>
    <x v="4"/>
    <n v="565.81739130434789"/>
    <n v="31"/>
  </r>
  <r>
    <s v="BAKERY PRODUCTS"/>
    <x v="0"/>
    <x v="874"/>
    <x v="857"/>
    <x v="217"/>
    <x v="604"/>
    <x v="0"/>
    <x v="5"/>
    <x v="5"/>
    <n v="456.304347826087"/>
    <n v="25"/>
  </r>
  <r>
    <s v="BAKERY PRODUCTS"/>
    <x v="0"/>
    <x v="874"/>
    <x v="857"/>
    <x v="217"/>
    <x v="604"/>
    <x v="0"/>
    <x v="6"/>
    <x v="6"/>
    <n v="159.1217391304348"/>
    <n v="10"/>
  </r>
  <r>
    <s v="BAKERY PRODUCTS"/>
    <x v="13"/>
    <x v="337"/>
    <x v="330"/>
    <x v="24"/>
    <x v="212"/>
    <x v="0"/>
    <x v="1"/>
    <x v="1"/>
    <n v="130.39130434782606"/>
    <n v="5"/>
  </r>
  <r>
    <s v="BAKERY PRODUCTS"/>
    <x v="13"/>
    <x v="337"/>
    <x v="330"/>
    <x v="24"/>
    <x v="212"/>
    <x v="0"/>
    <x v="2"/>
    <x v="2"/>
    <n v="204.71304347826086"/>
    <n v="8"/>
  </r>
  <r>
    <s v="BAKERY PRODUCTS"/>
    <x v="13"/>
    <x v="337"/>
    <x v="330"/>
    <x v="24"/>
    <x v="212"/>
    <x v="0"/>
    <x v="5"/>
    <x v="5"/>
    <n v="234.70434782608697"/>
    <n v="9"/>
  </r>
  <r>
    <s v="BAKERY PRODUCTS"/>
    <x v="13"/>
    <x v="337"/>
    <x v="330"/>
    <x v="24"/>
    <x v="212"/>
    <x v="0"/>
    <x v="6"/>
    <x v="6"/>
    <n v="104.31304347826087"/>
    <n v="4"/>
  </r>
  <r>
    <s v="BAKERY PRODUCTS"/>
    <x v="0"/>
    <x v="402"/>
    <x v="395"/>
    <x v="97"/>
    <x v="274"/>
    <x v="0"/>
    <x v="6"/>
    <x v="6"/>
    <n v="86.869565217391312"/>
    <n v="10"/>
  </r>
  <r>
    <s v="BAKERY PRODUCTS"/>
    <x v="0"/>
    <x v="403"/>
    <x v="396"/>
    <x v="27"/>
    <x v="275"/>
    <x v="0"/>
    <x v="0"/>
    <x v="0"/>
    <n v="70.408695652173918"/>
    <n v="3"/>
  </r>
  <r>
    <s v="BAKERY PRODUCTS"/>
    <x v="0"/>
    <x v="403"/>
    <x v="396"/>
    <x v="27"/>
    <x v="275"/>
    <x v="0"/>
    <x v="1"/>
    <x v="1"/>
    <n v="70.408695652173918"/>
    <n v="3"/>
  </r>
  <r>
    <s v="BAKERY PRODUCTS"/>
    <x v="0"/>
    <x v="403"/>
    <x v="396"/>
    <x v="27"/>
    <x v="275"/>
    <x v="0"/>
    <x v="2"/>
    <x v="2"/>
    <n v="70.408695652173918"/>
    <n v="3"/>
  </r>
  <r>
    <s v="BAKERY PRODUCTS"/>
    <x v="0"/>
    <x v="403"/>
    <x v="396"/>
    <x v="27"/>
    <x v="275"/>
    <x v="0"/>
    <x v="4"/>
    <x v="4"/>
    <n v="187.75652173913042"/>
    <n v="8"/>
  </r>
  <r>
    <s v="BAKERY PRODUCTS"/>
    <x v="0"/>
    <x v="403"/>
    <x v="396"/>
    <x v="27"/>
    <x v="275"/>
    <x v="0"/>
    <x v="6"/>
    <x v="6"/>
    <n v="70.408695652173918"/>
    <n v="3"/>
  </r>
  <r>
    <s v="BAKERY PRODUCTS"/>
    <x v="3"/>
    <x v="338"/>
    <x v="331"/>
    <x v="62"/>
    <x v="213"/>
    <x v="0"/>
    <x v="5"/>
    <x v="5"/>
    <n v="267.73043478260865"/>
    <n v="11"/>
  </r>
  <r>
    <s v="BAKERY PRODUCTS"/>
    <x v="0"/>
    <x v="875"/>
    <x v="858"/>
    <x v="218"/>
    <x v="346"/>
    <x v="0"/>
    <x v="0"/>
    <x v="0"/>
    <n v="19.826086956521738"/>
    <n v="6"/>
  </r>
  <r>
    <s v="BAKERY PRODUCTS"/>
    <x v="0"/>
    <x v="875"/>
    <x v="858"/>
    <x v="218"/>
    <x v="346"/>
    <x v="0"/>
    <x v="1"/>
    <x v="1"/>
    <n v="102.43478260869566"/>
    <n v="31"/>
  </r>
  <r>
    <s v="BAKERY PRODUCTS"/>
    <x v="0"/>
    <x v="875"/>
    <x v="858"/>
    <x v="218"/>
    <x v="346"/>
    <x v="0"/>
    <x v="2"/>
    <x v="2"/>
    <n v="194.46086956521739"/>
    <n v="59"/>
  </r>
  <r>
    <s v="BAKERY PRODUCTS"/>
    <x v="0"/>
    <x v="875"/>
    <x v="858"/>
    <x v="218"/>
    <x v="346"/>
    <x v="0"/>
    <x v="3"/>
    <x v="3"/>
    <n v="29.739130434782609"/>
    <n v="9"/>
  </r>
  <r>
    <s v="BAKERY PRODUCTS"/>
    <x v="0"/>
    <x v="875"/>
    <x v="858"/>
    <x v="218"/>
    <x v="346"/>
    <x v="0"/>
    <x v="4"/>
    <x v="4"/>
    <n v="26.434782608695652"/>
    <n v="8"/>
  </r>
  <r>
    <s v="BAKERY PRODUCTS"/>
    <x v="0"/>
    <x v="875"/>
    <x v="858"/>
    <x v="218"/>
    <x v="346"/>
    <x v="0"/>
    <x v="5"/>
    <x v="5"/>
    <n v="72.695652173913032"/>
    <n v="22"/>
  </r>
  <r>
    <s v="BAKERY PRODUCTS"/>
    <x v="0"/>
    <x v="875"/>
    <x v="858"/>
    <x v="218"/>
    <x v="346"/>
    <x v="0"/>
    <x v="6"/>
    <x v="6"/>
    <n v="23.130434782608695"/>
    <n v="7"/>
  </r>
  <r>
    <s v="BAKERY PRODUCTS"/>
    <x v="11"/>
    <x v="443"/>
    <x v="436"/>
    <x v="117"/>
    <x v="310"/>
    <x v="0"/>
    <x v="2"/>
    <x v="2"/>
    <n v="20.834782608695654"/>
    <n v="4"/>
  </r>
  <r>
    <s v="BAKERY PRODUCTS"/>
    <x v="11"/>
    <x v="443"/>
    <x v="436"/>
    <x v="117"/>
    <x v="310"/>
    <x v="0"/>
    <x v="3"/>
    <x v="3"/>
    <n v="15.626086956521739"/>
    <n v="3"/>
  </r>
  <r>
    <s v="BAKERY PRODUCTS"/>
    <x v="11"/>
    <x v="443"/>
    <x v="436"/>
    <x v="117"/>
    <x v="310"/>
    <x v="0"/>
    <x v="5"/>
    <x v="5"/>
    <n v="31.252173913043478"/>
    <n v="6"/>
  </r>
  <r>
    <s v="BAKERY PRODUCTS"/>
    <x v="11"/>
    <x v="443"/>
    <x v="436"/>
    <x v="117"/>
    <x v="310"/>
    <x v="0"/>
    <x v="6"/>
    <x v="6"/>
    <n v="20.834782608695654"/>
    <n v="4"/>
  </r>
  <r>
    <s v="BAKERY PRODUCTS"/>
    <x v="11"/>
    <x v="444"/>
    <x v="437"/>
    <x v="35"/>
    <x v="270"/>
    <x v="0"/>
    <x v="4"/>
    <x v="4"/>
    <n v="104.29565217391304"/>
    <n v="6"/>
  </r>
  <r>
    <s v="BAKERY PRODUCTS"/>
    <x v="11"/>
    <x v="445"/>
    <x v="438"/>
    <x v="117"/>
    <x v="310"/>
    <x v="0"/>
    <x v="4"/>
    <x v="4"/>
    <n v="31.252173913043478"/>
    <n v="6"/>
  </r>
  <r>
    <s v="BAKERY PRODUCTS"/>
    <x v="11"/>
    <x v="445"/>
    <x v="438"/>
    <x v="117"/>
    <x v="310"/>
    <x v="0"/>
    <x v="5"/>
    <x v="5"/>
    <n v="46.878260869565217"/>
    <n v="9"/>
  </r>
  <r>
    <s v="BAKERY PRODUCTS"/>
    <x v="11"/>
    <x v="445"/>
    <x v="438"/>
    <x v="117"/>
    <x v="310"/>
    <x v="0"/>
    <x v="6"/>
    <x v="6"/>
    <n v="15.626086956521739"/>
    <n v="3"/>
  </r>
  <r>
    <s v="BAKERY PRODUCTS"/>
    <x v="11"/>
    <x v="446"/>
    <x v="439"/>
    <x v="117"/>
    <x v="310"/>
    <x v="0"/>
    <x v="1"/>
    <x v="1"/>
    <n v="15.626086956521739"/>
    <n v="3"/>
  </r>
  <r>
    <s v="BAKERY PRODUCTS"/>
    <x v="11"/>
    <x v="446"/>
    <x v="439"/>
    <x v="117"/>
    <x v="310"/>
    <x v="0"/>
    <x v="6"/>
    <x v="6"/>
    <n v="15.626086956521739"/>
    <n v="3"/>
  </r>
  <r>
    <s v="BAKERY PRODUCTS"/>
    <x v="0"/>
    <x v="876"/>
    <x v="859"/>
    <x v="2"/>
    <x v="605"/>
    <x v="0"/>
    <x v="0"/>
    <x v="0"/>
    <n v="30.434782608695652"/>
    <n v="35"/>
  </r>
  <r>
    <s v="BAKERY PRODUCTS"/>
    <x v="0"/>
    <x v="876"/>
    <x v="859"/>
    <x v="2"/>
    <x v="605"/>
    <x v="0"/>
    <x v="1"/>
    <x v="1"/>
    <n v="6.9565217391304346"/>
    <n v="8"/>
  </r>
  <r>
    <s v="BAKERY PRODUCTS"/>
    <x v="0"/>
    <x v="876"/>
    <x v="859"/>
    <x v="2"/>
    <x v="605"/>
    <x v="0"/>
    <x v="2"/>
    <x v="2"/>
    <n v="13.043478260869565"/>
    <n v="15"/>
  </r>
  <r>
    <s v="BAKERY PRODUCTS"/>
    <x v="0"/>
    <x v="876"/>
    <x v="859"/>
    <x v="2"/>
    <x v="605"/>
    <x v="0"/>
    <x v="3"/>
    <x v="3"/>
    <n v="16.521739130434781"/>
    <n v="19"/>
  </r>
  <r>
    <s v="BAKERY PRODUCTS"/>
    <x v="0"/>
    <x v="876"/>
    <x v="859"/>
    <x v="2"/>
    <x v="605"/>
    <x v="0"/>
    <x v="4"/>
    <x v="4"/>
    <n v="37.391304347826086"/>
    <n v="43"/>
  </r>
  <r>
    <s v="BAKERY PRODUCTS"/>
    <x v="0"/>
    <x v="876"/>
    <x v="859"/>
    <x v="2"/>
    <x v="605"/>
    <x v="0"/>
    <x v="5"/>
    <x v="5"/>
    <n v="31.304347826086957"/>
    <n v="36"/>
  </r>
  <r>
    <s v="BAKERY PRODUCTS"/>
    <x v="0"/>
    <x v="876"/>
    <x v="859"/>
    <x v="2"/>
    <x v="605"/>
    <x v="0"/>
    <x v="6"/>
    <x v="6"/>
    <n v="7.8260869565217392"/>
    <n v="9"/>
  </r>
  <r>
    <s v="BAKERY PRODUCTS"/>
    <x v="11"/>
    <x v="877"/>
    <x v="860"/>
    <x v="103"/>
    <x v="265"/>
    <x v="0"/>
    <x v="0"/>
    <x v="0"/>
    <n v="46.904347826086955"/>
    <n v="6"/>
  </r>
  <r>
    <s v="BAKERY PRODUCTS"/>
    <x v="11"/>
    <x v="877"/>
    <x v="860"/>
    <x v="103"/>
    <x v="265"/>
    <x v="0"/>
    <x v="1"/>
    <x v="1"/>
    <n v="62.539130434782606"/>
    <n v="8"/>
  </r>
  <r>
    <s v="BAKERY PRODUCTS"/>
    <x v="11"/>
    <x v="877"/>
    <x v="860"/>
    <x v="103"/>
    <x v="265"/>
    <x v="0"/>
    <x v="2"/>
    <x v="2"/>
    <n v="39.086956521739133"/>
    <n v="5"/>
  </r>
  <r>
    <s v="BAKERY PRODUCTS"/>
    <x v="11"/>
    <x v="877"/>
    <x v="860"/>
    <x v="103"/>
    <x v="265"/>
    <x v="0"/>
    <x v="3"/>
    <x v="3"/>
    <n v="109.44347826086957"/>
    <n v="14"/>
  </r>
  <r>
    <s v="BAKERY PRODUCTS"/>
    <x v="11"/>
    <x v="877"/>
    <x v="860"/>
    <x v="103"/>
    <x v="265"/>
    <x v="0"/>
    <x v="4"/>
    <x v="4"/>
    <n v="39.086956521739133"/>
    <n v="5"/>
  </r>
  <r>
    <s v="BAKERY PRODUCTS"/>
    <x v="11"/>
    <x v="877"/>
    <x v="860"/>
    <x v="103"/>
    <x v="265"/>
    <x v="0"/>
    <x v="5"/>
    <x v="5"/>
    <n v="54.721739130434784"/>
    <n v="7"/>
  </r>
  <r>
    <s v="BAKERY PRODUCTS"/>
    <x v="0"/>
    <x v="404"/>
    <x v="397"/>
    <x v="110"/>
    <x v="276"/>
    <x v="0"/>
    <x v="0"/>
    <x v="0"/>
    <n v="19.826086956521738"/>
    <n v="6"/>
  </r>
  <r>
    <s v="BAKERY PRODUCTS"/>
    <x v="0"/>
    <x v="404"/>
    <x v="397"/>
    <x v="110"/>
    <x v="276"/>
    <x v="0"/>
    <x v="2"/>
    <x v="2"/>
    <n v="23.130434782608695"/>
    <n v="7"/>
  </r>
  <r>
    <s v="BAKERY PRODUCTS"/>
    <x v="0"/>
    <x v="404"/>
    <x v="397"/>
    <x v="110"/>
    <x v="276"/>
    <x v="0"/>
    <x v="4"/>
    <x v="4"/>
    <n v="104.34782608695652"/>
    <n v="40"/>
  </r>
  <r>
    <s v="BAKERY PRODUCTS"/>
    <x v="0"/>
    <x v="404"/>
    <x v="397"/>
    <x v="110"/>
    <x v="276"/>
    <x v="0"/>
    <x v="5"/>
    <x v="5"/>
    <n v="15.652173913043478"/>
    <n v="6"/>
  </r>
  <r>
    <s v="BAKERY PRODUCTS"/>
    <x v="0"/>
    <x v="405"/>
    <x v="398"/>
    <x v="111"/>
    <x v="277"/>
    <x v="0"/>
    <x v="4"/>
    <x v="4"/>
    <n v="69.565217391304344"/>
    <n v="40"/>
  </r>
  <r>
    <s v="BAKERY PRODUCTS"/>
    <x v="17"/>
    <x v="343"/>
    <x v="336"/>
    <x v="91"/>
    <x v="218"/>
    <x v="0"/>
    <x v="1"/>
    <x v="1"/>
    <n v="1043.4782608695652"/>
    <n v="20"/>
  </r>
  <r>
    <s v="BAKERY PRODUCTS"/>
    <x v="0"/>
    <x v="410"/>
    <x v="403"/>
    <x v="27"/>
    <x v="281"/>
    <x v="0"/>
    <x v="0"/>
    <x v="0"/>
    <n v="70.408695652173918"/>
    <n v="3"/>
  </r>
  <r>
    <s v="BAKERY PRODUCTS"/>
    <x v="0"/>
    <x v="410"/>
    <x v="403"/>
    <x v="27"/>
    <x v="281"/>
    <x v="0"/>
    <x v="2"/>
    <x v="2"/>
    <n v="91.530434782608694"/>
    <n v="4"/>
  </r>
  <r>
    <s v="BAKERY PRODUCTS"/>
    <x v="17"/>
    <x v="345"/>
    <x v="338"/>
    <x v="91"/>
    <x v="220"/>
    <x v="0"/>
    <x v="1"/>
    <x v="1"/>
    <n v="6217.391304347826"/>
    <n v="130"/>
  </r>
  <r>
    <s v="BAKERY PRODUCTS"/>
    <x v="11"/>
    <x v="473"/>
    <x v="466"/>
    <x v="117"/>
    <x v="310"/>
    <x v="0"/>
    <x v="5"/>
    <x v="5"/>
    <n v="15.626086956521739"/>
    <n v="3"/>
  </r>
  <r>
    <s v="BAKERY PRODUCTS"/>
    <x v="0"/>
    <x v="417"/>
    <x v="410"/>
    <x v="35"/>
    <x v="287"/>
    <x v="0"/>
    <x v="0"/>
    <x v="0"/>
    <n v="121.67826086956522"/>
    <n v="7"/>
  </r>
  <r>
    <s v="BAKERY PRODUCTS"/>
    <x v="0"/>
    <x v="417"/>
    <x v="410"/>
    <x v="35"/>
    <x v="287"/>
    <x v="0"/>
    <x v="1"/>
    <x v="1"/>
    <n v="52.14782608695652"/>
    <n v="3"/>
  </r>
  <r>
    <s v="BAKERY PRODUCTS"/>
    <x v="0"/>
    <x v="417"/>
    <x v="410"/>
    <x v="35"/>
    <x v="287"/>
    <x v="0"/>
    <x v="3"/>
    <x v="3"/>
    <n v="52.14782608695652"/>
    <n v="3"/>
  </r>
  <r>
    <s v="BAKERY PRODUCTS"/>
    <x v="0"/>
    <x v="417"/>
    <x v="410"/>
    <x v="35"/>
    <x v="287"/>
    <x v="0"/>
    <x v="4"/>
    <x v="4"/>
    <n v="121.67826086956522"/>
    <n v="7"/>
  </r>
  <r>
    <s v="BAKERY PRODUCTS"/>
    <x v="0"/>
    <x v="417"/>
    <x v="410"/>
    <x v="35"/>
    <x v="287"/>
    <x v="0"/>
    <x v="5"/>
    <x v="5"/>
    <n v="121.67826086956522"/>
    <n v="7"/>
  </r>
  <r>
    <s v="BAKERY PRODUCTS"/>
    <x v="0"/>
    <x v="419"/>
    <x v="412"/>
    <x v="115"/>
    <x v="289"/>
    <x v="0"/>
    <x v="4"/>
    <x v="4"/>
    <n v="236.38260869565215"/>
    <n v="16"/>
  </r>
  <r>
    <s v="BAKERY PRODUCTS"/>
    <x v="0"/>
    <x v="420"/>
    <x v="413"/>
    <x v="24"/>
    <x v="290"/>
    <x v="0"/>
    <x v="3"/>
    <x v="3"/>
    <n v="104.31304347826087"/>
    <n v="4"/>
  </r>
  <r>
    <s v="BAKERY PRODUCTS"/>
    <x v="13"/>
    <x v="352"/>
    <x v="345"/>
    <x v="82"/>
    <x v="227"/>
    <x v="0"/>
    <x v="0"/>
    <x v="0"/>
    <n v="48.660869565217389"/>
    <n v="4"/>
  </r>
  <r>
    <s v="BAKERY PRODUCTS"/>
    <x v="0"/>
    <x v="427"/>
    <x v="420"/>
    <x v="34"/>
    <x v="297"/>
    <x v="0"/>
    <x v="1"/>
    <x v="1"/>
    <n v="130.34782608695653"/>
    <n v="10"/>
  </r>
  <r>
    <s v="BAKERY PRODUCTS"/>
    <x v="0"/>
    <x v="427"/>
    <x v="420"/>
    <x v="34"/>
    <x v="297"/>
    <x v="0"/>
    <x v="2"/>
    <x v="2"/>
    <n v="37.799999999999997"/>
    <n v="3"/>
  </r>
  <r>
    <s v="BAKERY PRODUCTS"/>
    <x v="0"/>
    <x v="427"/>
    <x v="420"/>
    <x v="34"/>
    <x v="297"/>
    <x v="0"/>
    <x v="3"/>
    <x v="3"/>
    <n v="65.173913043478265"/>
    <n v="5"/>
  </r>
  <r>
    <s v="BAKERY PRODUCTS"/>
    <x v="0"/>
    <x v="427"/>
    <x v="420"/>
    <x v="34"/>
    <x v="297"/>
    <x v="0"/>
    <x v="4"/>
    <x v="4"/>
    <n v="91.243478260869566"/>
    <n v="7"/>
  </r>
  <r>
    <s v="BAKERY PRODUCTS"/>
    <x v="9"/>
    <x v="356"/>
    <x v="349"/>
    <x v="97"/>
    <x v="230"/>
    <x v="0"/>
    <x v="1"/>
    <x v="1"/>
    <n v="86.869565217391312"/>
    <n v="10"/>
  </r>
  <r>
    <s v="BAKERY PRODUCTS"/>
    <x v="11"/>
    <x v="486"/>
    <x v="479"/>
    <x v="127"/>
    <x v="340"/>
    <x v="0"/>
    <x v="0"/>
    <x v="0"/>
    <n v="132.10434782608695"/>
    <n v="8"/>
  </r>
  <r>
    <s v="BAKERY PRODUCTS"/>
    <x v="11"/>
    <x v="486"/>
    <x v="479"/>
    <x v="127"/>
    <x v="340"/>
    <x v="0"/>
    <x v="1"/>
    <x v="1"/>
    <n v="132.10434782608695"/>
    <n v="8"/>
  </r>
  <r>
    <s v="BAKERY PRODUCTS"/>
    <x v="11"/>
    <x v="486"/>
    <x v="479"/>
    <x v="127"/>
    <x v="340"/>
    <x v="0"/>
    <x v="2"/>
    <x v="2"/>
    <n v="132.10434782608695"/>
    <n v="8"/>
  </r>
  <r>
    <s v="BAKERY PRODUCTS"/>
    <x v="11"/>
    <x v="486"/>
    <x v="479"/>
    <x v="127"/>
    <x v="340"/>
    <x v="0"/>
    <x v="3"/>
    <x v="3"/>
    <n v="115.5913043478261"/>
    <n v="7"/>
  </r>
  <r>
    <s v="BAKERY PRODUCTS"/>
    <x v="11"/>
    <x v="486"/>
    <x v="479"/>
    <x v="127"/>
    <x v="340"/>
    <x v="0"/>
    <x v="4"/>
    <x v="4"/>
    <n v="148.61739130434782"/>
    <n v="9"/>
  </r>
  <r>
    <s v="BAKERY PRODUCTS"/>
    <x v="11"/>
    <x v="486"/>
    <x v="479"/>
    <x v="127"/>
    <x v="340"/>
    <x v="0"/>
    <x v="5"/>
    <x v="5"/>
    <n v="148.61739130434782"/>
    <n v="9"/>
  </r>
  <r>
    <s v="BAKERY PRODUCTS"/>
    <x v="0"/>
    <x v="430"/>
    <x v="423"/>
    <x v="119"/>
    <x v="300"/>
    <x v="0"/>
    <x v="3"/>
    <x v="3"/>
    <n v="143.47826086956522"/>
    <n v="50"/>
  </r>
  <r>
    <s v="BAKERY PRODUCTS"/>
    <x v="0"/>
    <x v="431"/>
    <x v="424"/>
    <x v="119"/>
    <x v="300"/>
    <x v="0"/>
    <x v="0"/>
    <x v="0"/>
    <n v="229.56521739130434"/>
    <n v="80"/>
  </r>
  <r>
    <s v="BAKERY PRODUCTS"/>
    <x v="8"/>
    <x v="378"/>
    <x v="371"/>
    <x v="23"/>
    <x v="252"/>
    <x v="0"/>
    <x v="2"/>
    <x v="2"/>
    <n v="208.66956521739129"/>
    <n v="3"/>
  </r>
  <r>
    <s v="BAKERY PRODUCTS"/>
    <x v="8"/>
    <x v="378"/>
    <x v="371"/>
    <x v="23"/>
    <x v="252"/>
    <x v="0"/>
    <x v="5"/>
    <x v="5"/>
    <n v="278.22608695652173"/>
    <n v="4"/>
  </r>
  <r>
    <s v="BAKERY PRODUCTS"/>
    <x v="11"/>
    <x v="492"/>
    <x v="485"/>
    <x v="97"/>
    <x v="344"/>
    <x v="0"/>
    <x v="1"/>
    <x v="1"/>
    <n v="43.434782608695656"/>
    <n v="5"/>
  </r>
  <r>
    <s v="BAKERY PRODUCTS"/>
    <x v="11"/>
    <x v="492"/>
    <x v="485"/>
    <x v="97"/>
    <x v="344"/>
    <x v="0"/>
    <x v="2"/>
    <x v="2"/>
    <n v="26.060869565217391"/>
    <n v="3"/>
  </r>
  <r>
    <s v="BAKERY PRODUCTS"/>
    <x v="0"/>
    <x v="432"/>
    <x v="425"/>
    <x v="96"/>
    <x v="301"/>
    <x v="0"/>
    <x v="0"/>
    <x v="0"/>
    <n v="30.373913043478261"/>
    <n v="7"/>
  </r>
  <r>
    <s v="BAKERY PRODUCTS"/>
    <x v="0"/>
    <x v="432"/>
    <x v="425"/>
    <x v="96"/>
    <x v="301"/>
    <x v="0"/>
    <x v="4"/>
    <x v="4"/>
    <n v="30.373913043478261"/>
    <n v="7"/>
  </r>
  <r>
    <s v="BAKERY PRODUCTS"/>
    <x v="0"/>
    <x v="433"/>
    <x v="426"/>
    <x v="120"/>
    <x v="277"/>
    <x v="0"/>
    <x v="1"/>
    <x v="1"/>
    <n v="117.39130434782609"/>
    <n v="90"/>
  </r>
  <r>
    <s v="BAKERY PRODUCTS"/>
    <x v="0"/>
    <x v="434"/>
    <x v="427"/>
    <x v="24"/>
    <x v="302"/>
    <x v="0"/>
    <x v="0"/>
    <x v="0"/>
    <n v="5.2695652173913041"/>
    <n v="0"/>
  </r>
  <r>
    <s v="BAKERY PRODUCTS"/>
    <x v="0"/>
    <x v="434"/>
    <x v="427"/>
    <x v="24"/>
    <x v="302"/>
    <x v="0"/>
    <x v="2"/>
    <x v="2"/>
    <n v="9.5739130434782602"/>
    <n v="0"/>
  </r>
  <r>
    <s v="BAKERY PRODUCTS"/>
    <x v="0"/>
    <x v="434"/>
    <x v="427"/>
    <x v="24"/>
    <x v="302"/>
    <x v="0"/>
    <x v="4"/>
    <x v="4"/>
    <n v="10.904347826086955"/>
    <n v="0"/>
  </r>
  <r>
    <s v="BAKERY PRODUCTS"/>
    <x v="0"/>
    <x v="434"/>
    <x v="427"/>
    <x v="24"/>
    <x v="302"/>
    <x v="0"/>
    <x v="5"/>
    <x v="5"/>
    <n v="9.7043478260869573"/>
    <n v="0"/>
  </r>
  <r>
    <s v="BAKERY PRODUCTS"/>
    <x v="0"/>
    <x v="435"/>
    <x v="428"/>
    <x v="120"/>
    <x v="303"/>
    <x v="0"/>
    <x v="0"/>
    <x v="0"/>
    <n v="20.869565217391305"/>
    <n v="16"/>
  </r>
  <r>
    <s v="BAKERY PRODUCTS"/>
    <x v="0"/>
    <x v="436"/>
    <x v="429"/>
    <x v="121"/>
    <x v="245"/>
    <x v="0"/>
    <x v="3"/>
    <x v="3"/>
    <n v="42.547826086956519"/>
    <n v="7"/>
  </r>
  <r>
    <s v="BAKERY PRODUCTS"/>
    <x v="11"/>
    <x v="501"/>
    <x v="494"/>
    <x v="34"/>
    <x v="353"/>
    <x v="0"/>
    <x v="3"/>
    <x v="3"/>
    <n v="104.27826086956522"/>
    <n v="8"/>
  </r>
  <r>
    <s v="BAKERY PRODUCTS"/>
    <x v="11"/>
    <x v="509"/>
    <x v="502"/>
    <x v="59"/>
    <x v="360"/>
    <x v="0"/>
    <x v="3"/>
    <x v="3"/>
    <n v="86.921739130434773"/>
    <n v="4"/>
  </r>
  <r>
    <s v="BAKERY PRODUCTS"/>
    <x v="11"/>
    <x v="510"/>
    <x v="503"/>
    <x v="127"/>
    <x v="361"/>
    <x v="0"/>
    <x v="3"/>
    <x v="3"/>
    <n v="181.64347826086956"/>
    <n v="11"/>
  </r>
  <r>
    <s v="BAKERY PRODUCTS"/>
    <x v="11"/>
    <x v="510"/>
    <x v="503"/>
    <x v="127"/>
    <x v="361"/>
    <x v="0"/>
    <x v="4"/>
    <x v="4"/>
    <n v="82.565217391304344"/>
    <n v="5"/>
  </r>
  <r>
    <s v="BAKERY PRODUCTS"/>
    <x v="11"/>
    <x v="510"/>
    <x v="503"/>
    <x v="127"/>
    <x v="361"/>
    <x v="0"/>
    <x v="5"/>
    <x v="5"/>
    <n v="49.539130434782606"/>
    <n v="3"/>
  </r>
  <r>
    <s v="BAKERY PRODUCTS"/>
    <x v="11"/>
    <x v="513"/>
    <x v="506"/>
    <x v="93"/>
    <x v="363"/>
    <x v="0"/>
    <x v="2"/>
    <x v="2"/>
    <n v="52.173913043478258"/>
    <n v="6"/>
  </r>
  <r>
    <s v="ALTAS TUISGEBAK BK"/>
    <x v="18"/>
    <x v="514"/>
    <x v="507"/>
    <x v="132"/>
    <x v="364"/>
    <x v="0"/>
    <x v="2"/>
    <x v="2"/>
    <n v="943.41739130434792"/>
    <n v="7"/>
  </r>
  <r>
    <s v="ALTAS TUISGEBAK BK"/>
    <x v="18"/>
    <x v="514"/>
    <x v="507"/>
    <x v="132"/>
    <x v="364"/>
    <x v="0"/>
    <x v="4"/>
    <x v="4"/>
    <n v="539.09565217391309"/>
    <n v="4"/>
  </r>
  <r>
    <s v="ALTAS TUISGEBAK BK"/>
    <x v="18"/>
    <x v="514"/>
    <x v="507"/>
    <x v="132"/>
    <x v="364"/>
    <x v="0"/>
    <x v="5"/>
    <x v="5"/>
    <n v="673.86956521739137"/>
    <n v="5"/>
  </r>
  <r>
    <s v="ALTAS TUISGEBAK BK"/>
    <x v="18"/>
    <x v="514"/>
    <x v="507"/>
    <x v="132"/>
    <x v="364"/>
    <x v="0"/>
    <x v="6"/>
    <x v="6"/>
    <n v="1078.1913043478262"/>
    <n v="8"/>
  </r>
  <r>
    <s v="SPAR WESTERN CAPE"/>
    <x v="3"/>
    <x v="878"/>
    <x v="861"/>
    <x v="5"/>
    <x v="606"/>
    <x v="0"/>
    <x v="1"/>
    <x v="1"/>
    <n v="173.86956521739128"/>
    <n v="5"/>
  </r>
  <r>
    <s v="SPAR WESTERN CAPE"/>
    <x v="3"/>
    <x v="878"/>
    <x v="861"/>
    <x v="5"/>
    <x v="606"/>
    <x v="0"/>
    <x v="4"/>
    <x v="4"/>
    <n v="139.09565217391304"/>
    <n v="4"/>
  </r>
  <r>
    <s v="SPAR WESTERN CAPE"/>
    <x v="3"/>
    <x v="878"/>
    <x v="861"/>
    <x v="5"/>
    <x v="606"/>
    <x v="0"/>
    <x v="5"/>
    <x v="5"/>
    <n v="347.73913043478257"/>
    <n v="10"/>
  </r>
  <r>
    <s v="SPAR WESTERN CAPE"/>
    <x v="3"/>
    <x v="878"/>
    <x v="861"/>
    <x v="5"/>
    <x v="606"/>
    <x v="0"/>
    <x v="6"/>
    <x v="6"/>
    <n v="312.96521739130435"/>
    <n v="9"/>
  </r>
  <r>
    <s v="ALTAS TUISGEBAK BK"/>
    <x v="18"/>
    <x v="516"/>
    <x v="509"/>
    <x v="23"/>
    <x v="366"/>
    <x v="0"/>
    <x v="6"/>
    <x v="6"/>
    <n v="278.22608695652173"/>
    <n v="4"/>
  </r>
  <r>
    <s v="ALTAS TUISGEBAK BK"/>
    <x v="18"/>
    <x v="517"/>
    <x v="510"/>
    <x v="23"/>
    <x v="366"/>
    <x v="0"/>
    <x v="3"/>
    <x v="3"/>
    <n v="208.66956521739129"/>
    <n v="3"/>
  </r>
  <r>
    <s v="ALTAS TUISGEBAK BK"/>
    <x v="18"/>
    <x v="517"/>
    <x v="510"/>
    <x v="23"/>
    <x v="366"/>
    <x v="0"/>
    <x v="5"/>
    <x v="5"/>
    <n v="208.66956521739129"/>
    <n v="3"/>
  </r>
  <r>
    <s v="ALTAS TUISGEBAK BK"/>
    <x v="18"/>
    <x v="517"/>
    <x v="510"/>
    <x v="23"/>
    <x v="366"/>
    <x v="0"/>
    <x v="6"/>
    <x v="6"/>
    <n v="278.22608695652173"/>
    <n v="4"/>
  </r>
  <r>
    <s v="SPAR WESTERN CAPE"/>
    <x v="3"/>
    <x v="205"/>
    <x v="201"/>
    <x v="51"/>
    <x v="122"/>
    <x v="0"/>
    <x v="6"/>
    <x v="6"/>
    <n v="180.83478260869566"/>
    <n v="4"/>
  </r>
  <r>
    <s v="SPAR WESTERN CAPE"/>
    <x v="3"/>
    <x v="206"/>
    <x v="202"/>
    <x v="16"/>
    <x v="123"/>
    <x v="0"/>
    <x v="6"/>
    <x v="6"/>
    <n v="149.53043478260869"/>
    <n v="4"/>
  </r>
  <r>
    <s v="SPAR WESTERN CAPE"/>
    <x v="1"/>
    <x v="85"/>
    <x v="85"/>
    <x v="37"/>
    <x v="60"/>
    <x v="0"/>
    <x v="1"/>
    <x v="1"/>
    <n v="109.53913043478261"/>
    <n v="3"/>
  </r>
  <r>
    <s v="SPAR WESTERN CAPE"/>
    <x v="1"/>
    <x v="85"/>
    <x v="85"/>
    <x v="37"/>
    <x v="60"/>
    <x v="0"/>
    <x v="6"/>
    <x v="6"/>
    <n v="146.05217391304348"/>
    <n v="4"/>
  </r>
  <r>
    <s v="CHIPKINS PURATOS (BIDVEST SOL)"/>
    <x v="11"/>
    <x v="692"/>
    <x v="681"/>
    <x v="5"/>
    <x v="467"/>
    <x v="0"/>
    <x v="5"/>
    <x v="5"/>
    <n v="173.86956521739128"/>
    <n v="5"/>
  </r>
  <r>
    <s v="BAKE IT EASY"/>
    <x v="5"/>
    <x v="745"/>
    <x v="733"/>
    <x v="34"/>
    <x v="505"/>
    <x v="0"/>
    <x v="6"/>
    <x v="6"/>
    <n v="52.139130434782608"/>
    <n v="4"/>
  </r>
  <r>
    <s v="VECTOR LOG.(PTY)LTD GOOSEBUMPS"/>
    <x v="11"/>
    <x v="721"/>
    <x v="710"/>
    <x v="61"/>
    <x v="487"/>
    <x v="0"/>
    <x v="3"/>
    <x v="3"/>
    <n v="75.626086956521732"/>
    <n v="3"/>
  </r>
  <r>
    <s v="VECTOR LOG.(PTY)LTD GOOSEBUMPS"/>
    <x v="11"/>
    <x v="721"/>
    <x v="710"/>
    <x v="61"/>
    <x v="487"/>
    <x v="0"/>
    <x v="4"/>
    <x v="4"/>
    <n v="75.626086956521732"/>
    <n v="3"/>
  </r>
  <r>
    <s v="SPAR WESTERN CAPE"/>
    <x v="3"/>
    <x v="207"/>
    <x v="203"/>
    <x v="51"/>
    <x v="124"/>
    <x v="0"/>
    <x v="0"/>
    <x v="0"/>
    <n v="180.83478260869566"/>
    <n v="4"/>
  </r>
  <r>
    <s v="GOOSEBUMPS DISTR.(BREAD STOP)"/>
    <x v="0"/>
    <x v="567"/>
    <x v="558"/>
    <x v="129"/>
    <x v="394"/>
    <x v="0"/>
    <x v="5"/>
    <x v="5"/>
    <n v="145.7217391304348"/>
    <n v="42"/>
  </r>
  <r>
    <s v="GOOSEBUMPS DISTR.(BREAD STOP)"/>
    <x v="0"/>
    <x v="567"/>
    <x v="558"/>
    <x v="129"/>
    <x v="394"/>
    <x v="0"/>
    <x v="6"/>
    <x v="6"/>
    <n v="41.634782608695652"/>
    <n v="12"/>
  </r>
  <r>
    <s v="ROSSOUW D"/>
    <x v="11"/>
    <x v="694"/>
    <x v="683"/>
    <x v="97"/>
    <x v="308"/>
    <x v="0"/>
    <x v="1"/>
    <x v="1"/>
    <n v="34.747826086956522"/>
    <n v="4"/>
  </r>
  <r>
    <s v="ROSSOUW D"/>
    <x v="11"/>
    <x v="694"/>
    <x v="683"/>
    <x v="97"/>
    <x v="308"/>
    <x v="0"/>
    <x v="2"/>
    <x v="2"/>
    <n v="43.434782608695656"/>
    <n v="5"/>
  </r>
  <r>
    <s v="ROSSOUW D"/>
    <x v="11"/>
    <x v="694"/>
    <x v="683"/>
    <x v="97"/>
    <x v="308"/>
    <x v="0"/>
    <x v="4"/>
    <x v="4"/>
    <n v="43.434782608695656"/>
    <n v="5"/>
  </r>
  <r>
    <s v="ROSSOUW D"/>
    <x v="11"/>
    <x v="694"/>
    <x v="683"/>
    <x v="97"/>
    <x v="308"/>
    <x v="0"/>
    <x v="5"/>
    <x v="5"/>
    <n v="34.747826086956522"/>
    <n v="4"/>
  </r>
  <r>
    <s v="ROSSOUW D"/>
    <x v="11"/>
    <x v="694"/>
    <x v="683"/>
    <x v="97"/>
    <x v="308"/>
    <x v="0"/>
    <x v="6"/>
    <x v="6"/>
    <n v="34.747826086956522"/>
    <n v="4"/>
  </r>
  <r>
    <s v="ALBANY BAKERIES (BELLVILLE)"/>
    <x v="2"/>
    <x v="568"/>
    <x v="559"/>
    <x v="97"/>
    <x v="395"/>
    <x v="0"/>
    <x v="0"/>
    <x v="0"/>
    <n v="26.060869565217391"/>
    <n v="3"/>
  </r>
  <r>
    <s v="ALBANY BAKERIES (BELLVILLE)"/>
    <x v="2"/>
    <x v="568"/>
    <x v="559"/>
    <x v="97"/>
    <x v="395"/>
    <x v="0"/>
    <x v="1"/>
    <x v="1"/>
    <n v="26.060869565217391"/>
    <n v="3"/>
  </r>
  <r>
    <s v="ALBANY BAKERIES (BELLVILLE)"/>
    <x v="2"/>
    <x v="568"/>
    <x v="559"/>
    <x v="97"/>
    <x v="395"/>
    <x v="0"/>
    <x v="4"/>
    <x v="4"/>
    <n v="34.747826086956522"/>
    <n v="4"/>
  </r>
  <r>
    <s v="ALBANY BAKERIES (BELLVILLE)"/>
    <x v="2"/>
    <x v="568"/>
    <x v="559"/>
    <x v="97"/>
    <x v="395"/>
    <x v="0"/>
    <x v="5"/>
    <x v="5"/>
    <n v="26.060869565217391"/>
    <n v="3"/>
  </r>
  <r>
    <s v="ALBANY BAKERIES (BELLVILLE)"/>
    <x v="2"/>
    <x v="568"/>
    <x v="559"/>
    <x v="97"/>
    <x v="395"/>
    <x v="0"/>
    <x v="6"/>
    <x v="6"/>
    <n v="34.747826086956522"/>
    <n v="4"/>
  </r>
  <r>
    <s v="SPAR WESTERN CAPE"/>
    <x v="4"/>
    <x v="245"/>
    <x v="240"/>
    <x v="44"/>
    <x v="146"/>
    <x v="0"/>
    <x v="0"/>
    <x v="0"/>
    <n v="165.17391304347825"/>
    <n v="5"/>
  </r>
  <r>
    <s v="ROSSOUW D"/>
    <x v="11"/>
    <x v="695"/>
    <x v="684"/>
    <x v="174"/>
    <x v="469"/>
    <x v="0"/>
    <x v="1"/>
    <x v="1"/>
    <n v="30.434782608695652"/>
    <n v="7"/>
  </r>
  <r>
    <s v="ROSSOUW D"/>
    <x v="11"/>
    <x v="695"/>
    <x v="684"/>
    <x v="174"/>
    <x v="469"/>
    <x v="0"/>
    <x v="2"/>
    <x v="2"/>
    <n v="99.565217391304344"/>
    <n v="23"/>
  </r>
  <r>
    <s v="ROSSOUW D"/>
    <x v="11"/>
    <x v="695"/>
    <x v="684"/>
    <x v="174"/>
    <x v="469"/>
    <x v="0"/>
    <x v="3"/>
    <x v="3"/>
    <n v="17.391304347826086"/>
    <n v="4"/>
  </r>
  <r>
    <s v="ROSSOUW D"/>
    <x v="11"/>
    <x v="695"/>
    <x v="684"/>
    <x v="174"/>
    <x v="469"/>
    <x v="0"/>
    <x v="4"/>
    <x v="4"/>
    <n v="82.608695652173907"/>
    <n v="19"/>
  </r>
  <r>
    <s v="ROSSOUW D"/>
    <x v="11"/>
    <x v="695"/>
    <x v="684"/>
    <x v="174"/>
    <x v="469"/>
    <x v="0"/>
    <x v="5"/>
    <x v="5"/>
    <n v="43.478260869565219"/>
    <n v="10"/>
  </r>
  <r>
    <s v="ROSSOUW D"/>
    <x v="11"/>
    <x v="695"/>
    <x v="684"/>
    <x v="174"/>
    <x v="469"/>
    <x v="0"/>
    <x v="6"/>
    <x v="6"/>
    <n v="17.391304347826086"/>
    <n v="4"/>
  </r>
  <r>
    <s v="ALBANY BAKERIES (BELLVILLE)"/>
    <x v="2"/>
    <x v="879"/>
    <x v="862"/>
    <x v="97"/>
    <x v="395"/>
    <x v="0"/>
    <x v="0"/>
    <x v="0"/>
    <n v="34.747826086956522"/>
    <n v="4"/>
  </r>
  <r>
    <s v="ALBANY BAKERIES (BELLVILLE)"/>
    <x v="2"/>
    <x v="879"/>
    <x v="862"/>
    <x v="97"/>
    <x v="395"/>
    <x v="0"/>
    <x v="1"/>
    <x v="1"/>
    <n v="52.121739130434783"/>
    <n v="6"/>
  </r>
  <r>
    <s v="ALBANY BAKERIES (BELLVILLE)"/>
    <x v="2"/>
    <x v="879"/>
    <x v="862"/>
    <x v="97"/>
    <x v="395"/>
    <x v="0"/>
    <x v="3"/>
    <x v="3"/>
    <n v="26.060869565217391"/>
    <n v="3"/>
  </r>
  <r>
    <s v="ALBANY BAKERIES (BELLVILLE)"/>
    <x v="2"/>
    <x v="879"/>
    <x v="862"/>
    <x v="97"/>
    <x v="395"/>
    <x v="0"/>
    <x v="4"/>
    <x v="4"/>
    <n v="34.747826086956522"/>
    <n v="4"/>
  </r>
  <r>
    <s v="ALBANY BAKERIES (BELLVILLE)"/>
    <x v="2"/>
    <x v="880"/>
    <x v="863"/>
    <x v="97"/>
    <x v="395"/>
    <x v="0"/>
    <x v="1"/>
    <x v="1"/>
    <n v="26.060869565217391"/>
    <n v="3"/>
  </r>
  <r>
    <s v="ALBANY BAKERIES (BELLVILLE)"/>
    <x v="2"/>
    <x v="880"/>
    <x v="863"/>
    <x v="97"/>
    <x v="395"/>
    <x v="0"/>
    <x v="4"/>
    <x v="4"/>
    <n v="60.808695652173917"/>
    <n v="7"/>
  </r>
  <r>
    <s v="ALBANY BAKERIES (BELLVILLE)"/>
    <x v="2"/>
    <x v="880"/>
    <x v="863"/>
    <x v="97"/>
    <x v="395"/>
    <x v="0"/>
    <x v="5"/>
    <x v="5"/>
    <n v="60.808695652173917"/>
    <n v="7"/>
  </r>
  <r>
    <s v="ALBANY BAKERIES (BELLVILLE)"/>
    <x v="2"/>
    <x v="881"/>
    <x v="864"/>
    <x v="97"/>
    <x v="395"/>
    <x v="0"/>
    <x v="0"/>
    <x v="0"/>
    <n v="34.747826086956522"/>
    <n v="4"/>
  </r>
  <r>
    <s v="ALBANY BAKERIES (BELLVILLE)"/>
    <x v="2"/>
    <x v="881"/>
    <x v="864"/>
    <x v="97"/>
    <x v="395"/>
    <x v="0"/>
    <x v="3"/>
    <x v="3"/>
    <n v="34.747826086956522"/>
    <n v="4"/>
  </r>
  <r>
    <s v="ROSSOUW D"/>
    <x v="11"/>
    <x v="882"/>
    <x v="865"/>
    <x v="126"/>
    <x v="607"/>
    <x v="0"/>
    <x v="0"/>
    <x v="0"/>
    <n v="78.217391304347828"/>
    <n v="5"/>
  </r>
  <r>
    <s v="ROSSOUW D"/>
    <x v="11"/>
    <x v="882"/>
    <x v="865"/>
    <x v="126"/>
    <x v="607"/>
    <x v="0"/>
    <x v="1"/>
    <x v="1"/>
    <n v="62.573913043478257"/>
    <n v="4"/>
  </r>
  <r>
    <s v="ROSSOUW D"/>
    <x v="11"/>
    <x v="882"/>
    <x v="865"/>
    <x v="126"/>
    <x v="607"/>
    <x v="0"/>
    <x v="3"/>
    <x v="3"/>
    <n v="93.860869565217385"/>
    <n v="6"/>
  </r>
  <r>
    <s v="GOOSEBUMPS DISTR.(BREAD STOP)"/>
    <x v="0"/>
    <x v="570"/>
    <x v="431"/>
    <x v="129"/>
    <x v="397"/>
    <x v="0"/>
    <x v="5"/>
    <x v="5"/>
    <n v="31.226086956521737"/>
    <n v="9"/>
  </r>
  <r>
    <s v="GOOSEBUMPS DISTR.(BREAD STOP)"/>
    <x v="0"/>
    <x v="570"/>
    <x v="431"/>
    <x v="129"/>
    <x v="397"/>
    <x v="0"/>
    <x v="6"/>
    <x v="6"/>
    <n v="10.408695652173913"/>
    <n v="3"/>
  </r>
  <r>
    <s v="SPAR WESTERN CAPE"/>
    <x v="0"/>
    <x v="21"/>
    <x v="21"/>
    <x v="5"/>
    <x v="9"/>
    <x v="0"/>
    <x v="3"/>
    <x v="3"/>
    <n v="173.87826086956522"/>
    <n v="4"/>
  </r>
  <r>
    <s v="GEIIANSA"/>
    <x v="13"/>
    <x v="573"/>
    <x v="563"/>
    <x v="35"/>
    <x v="399"/>
    <x v="0"/>
    <x v="3"/>
    <x v="3"/>
    <n v="86.913043478260875"/>
    <n v="5"/>
  </r>
  <r>
    <s v="GEIIANSA"/>
    <x v="13"/>
    <x v="574"/>
    <x v="564"/>
    <x v="35"/>
    <x v="400"/>
    <x v="0"/>
    <x v="3"/>
    <x v="3"/>
    <n v="52.14782608695652"/>
    <n v="3"/>
  </r>
  <r>
    <s v="SPAR WESTERN CAPE"/>
    <x v="2"/>
    <x v="167"/>
    <x v="164"/>
    <x v="4"/>
    <x v="107"/>
    <x v="0"/>
    <x v="3"/>
    <x v="3"/>
    <n v="111.2695652173913"/>
    <n v="4"/>
  </r>
  <r>
    <s v="SPAR WESTERN CAPE"/>
    <x v="2"/>
    <x v="173"/>
    <x v="169"/>
    <x v="57"/>
    <x v="111"/>
    <x v="0"/>
    <x v="0"/>
    <x v="0"/>
    <n v="104.30434782608695"/>
    <n v="5"/>
  </r>
  <r>
    <s v="SPAR WESTERN CAPE"/>
    <x v="1"/>
    <x v="97"/>
    <x v="97"/>
    <x v="1"/>
    <x v="70"/>
    <x v="0"/>
    <x v="1"/>
    <x v="1"/>
    <n v="57.365217391304348"/>
    <n v="3"/>
  </r>
  <r>
    <s v="SPAR WESTERN CAPE"/>
    <x v="1"/>
    <x v="97"/>
    <x v="97"/>
    <x v="1"/>
    <x v="70"/>
    <x v="0"/>
    <x v="3"/>
    <x v="3"/>
    <n v="76.486956521739131"/>
    <n v="4"/>
  </r>
  <r>
    <s v="BAKE IT EASY"/>
    <x v="5"/>
    <x v="751"/>
    <x v="739"/>
    <x v="124"/>
    <x v="511"/>
    <x v="0"/>
    <x v="0"/>
    <x v="0"/>
    <n v="79.069565217391315"/>
    <n v="7"/>
  </r>
  <r>
    <s v="BAKE IT EASY"/>
    <x v="5"/>
    <x v="751"/>
    <x v="739"/>
    <x v="124"/>
    <x v="511"/>
    <x v="0"/>
    <x v="1"/>
    <x v="1"/>
    <n v="45.182608695652178"/>
    <n v="4"/>
  </r>
  <r>
    <s v="BAKE IT EASY"/>
    <x v="5"/>
    <x v="751"/>
    <x v="739"/>
    <x v="124"/>
    <x v="511"/>
    <x v="0"/>
    <x v="2"/>
    <x v="2"/>
    <n v="33.88695652173913"/>
    <n v="3"/>
  </r>
  <r>
    <s v="BAKE IT EASY"/>
    <x v="5"/>
    <x v="751"/>
    <x v="739"/>
    <x v="124"/>
    <x v="511"/>
    <x v="0"/>
    <x v="4"/>
    <x v="4"/>
    <n v="90.365217391304355"/>
    <n v="8"/>
  </r>
  <r>
    <s v="BAKE IT EASY"/>
    <x v="5"/>
    <x v="752"/>
    <x v="740"/>
    <x v="110"/>
    <x v="512"/>
    <x v="0"/>
    <x v="2"/>
    <x v="2"/>
    <n v="10.434782608695652"/>
    <n v="4"/>
  </r>
  <r>
    <s v="GOOSEBUMPS DISTR.(BREAD STOP)"/>
    <x v="11"/>
    <x v="714"/>
    <x v="703"/>
    <x v="122"/>
    <x v="480"/>
    <x v="0"/>
    <x v="4"/>
    <x v="4"/>
    <n v="28.669565217391302"/>
    <n v="3"/>
  </r>
  <r>
    <s v="ALTAS TUISGEBAK BK"/>
    <x v="18"/>
    <x v="558"/>
    <x v="549"/>
    <x v="87"/>
    <x v="373"/>
    <x v="0"/>
    <x v="2"/>
    <x v="2"/>
    <n v="354.73043478260871"/>
    <n v="6"/>
  </r>
  <r>
    <s v="ALTAS TUISGEBAK BK"/>
    <x v="18"/>
    <x v="562"/>
    <x v="553"/>
    <x v="53"/>
    <x v="389"/>
    <x v="0"/>
    <x v="2"/>
    <x v="2"/>
    <n v="117.36521739130436"/>
    <n v="3"/>
  </r>
  <r>
    <s v="ALBANY BAKERIES (BELLVILLE)"/>
    <x v="2"/>
    <x v="635"/>
    <x v="624"/>
    <x v="97"/>
    <x v="395"/>
    <x v="0"/>
    <x v="3"/>
    <x v="3"/>
    <n v="26.060869565217391"/>
    <n v="3"/>
  </r>
  <r>
    <s v="ANCHOR YEAST(BULK BAKERY)"/>
    <x v="5"/>
    <x v="773"/>
    <x v="760"/>
    <x v="193"/>
    <x v="529"/>
    <x v="0"/>
    <x v="2"/>
    <x v="2"/>
    <n v="10"/>
    <n v="0"/>
  </r>
  <r>
    <s v="ANCHOR YEAST(BULK BAKERY)"/>
    <x v="5"/>
    <x v="773"/>
    <x v="760"/>
    <x v="193"/>
    <x v="529"/>
    <x v="0"/>
    <x v="3"/>
    <x v="3"/>
    <n v="9.3826086956521735"/>
    <n v="0"/>
  </r>
  <r>
    <s v="ANCHOR YEAST(BULK BAKERY)"/>
    <x v="5"/>
    <x v="773"/>
    <x v="760"/>
    <x v="193"/>
    <x v="529"/>
    <x v="0"/>
    <x v="4"/>
    <x v="4"/>
    <n v="9.0086956521739125"/>
    <n v="0"/>
  </r>
  <r>
    <s v="ANCHOR YEAST(BULK BAKERY)"/>
    <x v="5"/>
    <x v="773"/>
    <x v="760"/>
    <x v="193"/>
    <x v="529"/>
    <x v="0"/>
    <x v="5"/>
    <x v="5"/>
    <n v="13.704347826086956"/>
    <n v="0"/>
  </r>
  <r>
    <s v="CHIPKINS PURATOS (BIDVEST SOL)"/>
    <x v="11"/>
    <x v="718"/>
    <x v="707"/>
    <x v="129"/>
    <x v="484"/>
    <x v="0"/>
    <x v="0"/>
    <x v="0"/>
    <n v="41.634782608695652"/>
    <n v="12"/>
  </r>
  <r>
    <s v="SOUTHBAKELS (PTY) LTD"/>
    <x v="5"/>
    <x v="825"/>
    <x v="809"/>
    <x v="215"/>
    <x v="562"/>
    <x v="0"/>
    <x v="2"/>
    <x v="2"/>
    <n v="9.3652173913043484"/>
    <n v="0"/>
  </r>
  <r>
    <s v="SOUTHBAKELS (PTY) LTD"/>
    <x v="5"/>
    <x v="825"/>
    <x v="809"/>
    <x v="215"/>
    <x v="562"/>
    <x v="0"/>
    <x v="3"/>
    <x v="3"/>
    <n v="6.2434782608695647"/>
    <n v="0"/>
  </r>
  <r>
    <s v="SPAR WESTERN CAPE"/>
    <x v="3"/>
    <x v="227"/>
    <x v="222"/>
    <x v="20"/>
    <x v="134"/>
    <x v="0"/>
    <x v="3"/>
    <x v="3"/>
    <n v="156.49565217391304"/>
    <n v="3"/>
  </r>
  <r>
    <s v="SPAR WESTERN CAPE"/>
    <x v="1"/>
    <x v="152"/>
    <x v="149"/>
    <x v="52"/>
    <x v="99"/>
    <x v="0"/>
    <x v="4"/>
    <x v="4"/>
    <n v="119.97391304347826"/>
    <n v="3"/>
  </r>
  <r>
    <s v="SPAR WESTERN CAPE"/>
    <x v="1"/>
    <x v="154"/>
    <x v="151"/>
    <x v="35"/>
    <x v="100"/>
    <x v="0"/>
    <x v="4"/>
    <x v="4"/>
    <n v="69.530434782608694"/>
    <n v="4"/>
  </r>
  <r>
    <s v="SPAR WESTERN CAPE"/>
    <x v="2"/>
    <x v="201"/>
    <x v="197"/>
    <x v="59"/>
    <x v="119"/>
    <x v="0"/>
    <x v="2"/>
    <x v="2"/>
    <n v="63.017391304347825"/>
    <n v="3"/>
  </r>
  <r>
    <s v="SPAR WESTERN CAPE"/>
    <x v="2"/>
    <x v="201"/>
    <x v="197"/>
    <x v="59"/>
    <x v="119"/>
    <x v="0"/>
    <x v="4"/>
    <x v="4"/>
    <n v="65.19130434782609"/>
    <n v="3"/>
  </r>
  <r>
    <s v="SPAR WESTERN CAPE"/>
    <x v="3"/>
    <x v="241"/>
    <x v="236"/>
    <x v="6"/>
    <x v="145"/>
    <x v="0"/>
    <x v="0"/>
    <x v="0"/>
    <n v="114.75652173913043"/>
    <n v="3"/>
  </r>
  <r>
    <s v="ALTAS TUISGEBAK BK"/>
    <x v="18"/>
    <x v="515"/>
    <x v="508"/>
    <x v="40"/>
    <x v="365"/>
    <x v="0"/>
    <x v="6"/>
    <x v="6"/>
    <n v="295.63478260869567"/>
    <n v="2"/>
  </r>
  <r>
    <s v="ALTAS TUISGEBAK BK"/>
    <x v="18"/>
    <x v="517"/>
    <x v="510"/>
    <x v="23"/>
    <x v="366"/>
    <x v="0"/>
    <x v="2"/>
    <x v="2"/>
    <n v="139.11304347826086"/>
    <n v="2"/>
  </r>
  <r>
    <s v="ALTAS TUISGEBAK BK"/>
    <x v="18"/>
    <x v="517"/>
    <x v="510"/>
    <x v="23"/>
    <x v="366"/>
    <x v="0"/>
    <x v="4"/>
    <x v="4"/>
    <n v="139.11304347826086"/>
    <n v="2"/>
  </r>
  <r>
    <s v="SPAR WESTERN CAPE"/>
    <x v="3"/>
    <x v="205"/>
    <x v="201"/>
    <x v="51"/>
    <x v="122"/>
    <x v="0"/>
    <x v="0"/>
    <x v="0"/>
    <n v="90.417391304347831"/>
    <n v="2"/>
  </r>
  <r>
    <s v="ALTAS TUISGEBAK BK"/>
    <x v="18"/>
    <x v="518"/>
    <x v="511"/>
    <x v="133"/>
    <x v="367"/>
    <x v="0"/>
    <x v="6"/>
    <x v="6"/>
    <n v="170.4173913043478"/>
    <n v="2"/>
  </r>
  <r>
    <s v="SPAR WESTERN CAPE"/>
    <x v="1"/>
    <x v="84"/>
    <x v="84"/>
    <x v="22"/>
    <x v="59"/>
    <x v="0"/>
    <x v="6"/>
    <x v="6"/>
    <n v="156.50434782608696"/>
    <n v="2"/>
  </r>
  <r>
    <s v="SPAR WESTERN CAPE"/>
    <x v="1"/>
    <x v="85"/>
    <x v="85"/>
    <x v="37"/>
    <x v="60"/>
    <x v="0"/>
    <x v="0"/>
    <x v="0"/>
    <n v="73.026086956521738"/>
    <n v="2"/>
  </r>
  <r>
    <s v="SPAR WESTERN CAPE"/>
    <x v="1"/>
    <x v="85"/>
    <x v="85"/>
    <x v="37"/>
    <x v="60"/>
    <x v="0"/>
    <x v="5"/>
    <x v="5"/>
    <n v="73.026086956521738"/>
    <n v="2"/>
  </r>
  <r>
    <s v="SPAR WESTERN CAPE"/>
    <x v="1"/>
    <x v="86"/>
    <x v="86"/>
    <x v="23"/>
    <x v="61"/>
    <x v="0"/>
    <x v="1"/>
    <x v="1"/>
    <n v="139.11304347826086"/>
    <n v="2"/>
  </r>
  <r>
    <s v="SPAR WESTERN CAPE"/>
    <x v="1"/>
    <x v="86"/>
    <x v="86"/>
    <x v="23"/>
    <x v="61"/>
    <x v="0"/>
    <x v="6"/>
    <x v="6"/>
    <n v="139.11304347826086"/>
    <n v="2"/>
  </r>
  <r>
    <s v="ALTAS TUISGEBAK BK"/>
    <x v="18"/>
    <x v="520"/>
    <x v="513"/>
    <x v="0"/>
    <x v="368"/>
    <x v="0"/>
    <x v="6"/>
    <x v="6"/>
    <n v="121.72173913043477"/>
    <n v="2"/>
  </r>
  <r>
    <s v="BAKERY PRODUCTS"/>
    <x v="13"/>
    <x v="337"/>
    <x v="330"/>
    <x v="24"/>
    <x v="212"/>
    <x v="0"/>
    <x v="4"/>
    <x v="4"/>
    <n v="52.156521739130433"/>
    <n v="2"/>
  </r>
  <r>
    <s v="ALTAS TUISGEBAK BK"/>
    <x v="18"/>
    <x v="525"/>
    <x v="518"/>
    <x v="135"/>
    <x v="372"/>
    <x v="0"/>
    <x v="2"/>
    <x v="2"/>
    <n v="180.85217391304346"/>
    <n v="2"/>
  </r>
  <r>
    <s v="SPAR WESTERN CAPE"/>
    <x v="2"/>
    <x v="159"/>
    <x v="156"/>
    <x v="39"/>
    <x v="103"/>
    <x v="0"/>
    <x v="0"/>
    <x v="0"/>
    <n v="147.8086956521739"/>
    <n v="2"/>
  </r>
  <r>
    <s v="ALTAS TUISGEBAK BK"/>
    <x v="18"/>
    <x v="526"/>
    <x v="519"/>
    <x v="23"/>
    <x v="366"/>
    <x v="0"/>
    <x v="4"/>
    <x v="4"/>
    <n v="139.11304347826086"/>
    <n v="2"/>
  </r>
  <r>
    <s v="CHIPKINS PURATOS (BIDVEST SOL)"/>
    <x v="11"/>
    <x v="692"/>
    <x v="681"/>
    <x v="5"/>
    <x v="467"/>
    <x v="0"/>
    <x v="6"/>
    <x v="6"/>
    <n v="69.547826086956519"/>
    <n v="2"/>
  </r>
  <r>
    <s v="ALTAS TUISGEBAK BK"/>
    <x v="18"/>
    <x v="528"/>
    <x v="521"/>
    <x v="32"/>
    <x v="374"/>
    <x v="0"/>
    <x v="3"/>
    <x v="3"/>
    <n v="109.54782608695652"/>
    <n v="2"/>
  </r>
  <r>
    <s v="BAKE IT EASY"/>
    <x v="5"/>
    <x v="745"/>
    <x v="733"/>
    <x v="34"/>
    <x v="505"/>
    <x v="0"/>
    <x v="1"/>
    <x v="1"/>
    <n v="26.069565217391304"/>
    <n v="2"/>
  </r>
  <r>
    <s v="BAKE IT EASY"/>
    <x v="5"/>
    <x v="745"/>
    <x v="733"/>
    <x v="34"/>
    <x v="505"/>
    <x v="0"/>
    <x v="3"/>
    <x v="3"/>
    <n v="26.069565217391304"/>
    <n v="2"/>
  </r>
  <r>
    <s v="VECTOR LOG.(PTY)LTD GOOSEBUMPS"/>
    <x v="11"/>
    <x v="721"/>
    <x v="710"/>
    <x v="61"/>
    <x v="487"/>
    <x v="0"/>
    <x v="6"/>
    <x v="6"/>
    <n v="50.417391304347824"/>
    <n v="2"/>
  </r>
  <r>
    <s v="SPAR WESTERN CAPE"/>
    <x v="2"/>
    <x v="162"/>
    <x v="159"/>
    <x v="55"/>
    <x v="104"/>
    <x v="0"/>
    <x v="4"/>
    <x v="4"/>
    <n v="95.634782608695659"/>
    <n v="2"/>
  </r>
  <r>
    <s v="ROSSOUW D"/>
    <x v="11"/>
    <x v="693"/>
    <x v="682"/>
    <x v="173"/>
    <x v="468"/>
    <x v="0"/>
    <x v="4"/>
    <x v="4"/>
    <n v="86.956521739130437"/>
    <n v="2"/>
  </r>
  <r>
    <s v="SPAR WESTERN CAPE"/>
    <x v="2"/>
    <x v="163"/>
    <x v="160"/>
    <x v="21"/>
    <x v="27"/>
    <x v="0"/>
    <x v="5"/>
    <x v="5"/>
    <n v="86.939130434782612"/>
    <n v="2"/>
  </r>
  <r>
    <s v="SPAR WESTERN CAPE"/>
    <x v="0"/>
    <x v="15"/>
    <x v="15"/>
    <x v="1"/>
    <x v="5"/>
    <x v="0"/>
    <x v="6"/>
    <x v="6"/>
    <n v="38.243478260869566"/>
    <n v="2"/>
  </r>
  <r>
    <s v="ROSSOUW D"/>
    <x v="11"/>
    <x v="694"/>
    <x v="683"/>
    <x v="97"/>
    <x v="308"/>
    <x v="0"/>
    <x v="3"/>
    <x v="3"/>
    <n v="17.373913043478261"/>
    <n v="2"/>
  </r>
  <r>
    <s v="VECTOR LOG.(PTY)LTD GOOSEBUMPS"/>
    <x v="11"/>
    <x v="722"/>
    <x v="711"/>
    <x v="44"/>
    <x v="488"/>
    <x v="0"/>
    <x v="2"/>
    <x v="2"/>
    <n v="66.0695652173913"/>
    <n v="2"/>
  </r>
  <r>
    <s v="BAKERY PRODUCTS"/>
    <x v="3"/>
    <x v="338"/>
    <x v="331"/>
    <x v="62"/>
    <x v="213"/>
    <x v="0"/>
    <x v="3"/>
    <x v="3"/>
    <n v="48.678260869565214"/>
    <n v="2"/>
  </r>
  <r>
    <s v="BAKERY PRODUCTS"/>
    <x v="3"/>
    <x v="338"/>
    <x v="331"/>
    <x v="62"/>
    <x v="213"/>
    <x v="0"/>
    <x v="4"/>
    <x v="4"/>
    <n v="48.678260869565214"/>
    <n v="2"/>
  </r>
  <r>
    <s v="BAKERY PRODUCTS"/>
    <x v="11"/>
    <x v="443"/>
    <x v="436"/>
    <x v="117"/>
    <x v="310"/>
    <x v="0"/>
    <x v="1"/>
    <x v="1"/>
    <n v="10.417391304347827"/>
    <n v="2"/>
  </r>
  <r>
    <s v="BAKERY PRODUCTS"/>
    <x v="11"/>
    <x v="443"/>
    <x v="436"/>
    <x v="117"/>
    <x v="310"/>
    <x v="0"/>
    <x v="4"/>
    <x v="4"/>
    <n v="10.417391304347827"/>
    <n v="2"/>
  </r>
  <r>
    <s v="ALBANY BAKERIES (BELLVILLE)"/>
    <x v="2"/>
    <x v="879"/>
    <x v="862"/>
    <x v="97"/>
    <x v="395"/>
    <x v="0"/>
    <x v="2"/>
    <x v="2"/>
    <n v="17.373913043478261"/>
    <n v="2"/>
  </r>
  <r>
    <s v="ALBANY BAKERIES (BELLVILLE)"/>
    <x v="2"/>
    <x v="879"/>
    <x v="862"/>
    <x v="97"/>
    <x v="395"/>
    <x v="0"/>
    <x v="5"/>
    <x v="5"/>
    <n v="17.373913043478261"/>
    <n v="2"/>
  </r>
  <r>
    <s v="ALBANY BAKERIES (BELLVILLE)"/>
    <x v="2"/>
    <x v="879"/>
    <x v="862"/>
    <x v="97"/>
    <x v="395"/>
    <x v="0"/>
    <x v="6"/>
    <x v="6"/>
    <n v="17.373913043478261"/>
    <n v="2"/>
  </r>
  <r>
    <s v="ALBANY BAKERIES (BELLVILLE)"/>
    <x v="2"/>
    <x v="880"/>
    <x v="863"/>
    <x v="97"/>
    <x v="395"/>
    <x v="0"/>
    <x v="3"/>
    <x v="3"/>
    <n v="17.373913043478261"/>
    <n v="2"/>
  </r>
  <r>
    <s v="ALBANY BAKERIES (BELLVILLE)"/>
    <x v="2"/>
    <x v="880"/>
    <x v="863"/>
    <x v="97"/>
    <x v="395"/>
    <x v="0"/>
    <x v="6"/>
    <x v="6"/>
    <n v="17.373913043478261"/>
    <n v="2"/>
  </r>
  <r>
    <s v="ALBANY BAKERIES (BELLVILLE)"/>
    <x v="2"/>
    <x v="881"/>
    <x v="864"/>
    <x v="97"/>
    <x v="395"/>
    <x v="0"/>
    <x v="2"/>
    <x v="2"/>
    <n v="17.373913043478261"/>
    <n v="2"/>
  </r>
  <r>
    <s v="ALBANY BAKERIES (BELLVILLE)"/>
    <x v="2"/>
    <x v="881"/>
    <x v="864"/>
    <x v="97"/>
    <x v="395"/>
    <x v="0"/>
    <x v="4"/>
    <x v="4"/>
    <n v="17.373913043478261"/>
    <n v="2"/>
  </r>
  <r>
    <s v="ALBANY BAKERIES (BELLVILLE)"/>
    <x v="2"/>
    <x v="881"/>
    <x v="864"/>
    <x v="97"/>
    <x v="395"/>
    <x v="0"/>
    <x v="5"/>
    <x v="5"/>
    <n v="17.373913043478261"/>
    <n v="2"/>
  </r>
  <r>
    <s v="ALBANY BAKERIES (BELLVILLE)"/>
    <x v="2"/>
    <x v="881"/>
    <x v="864"/>
    <x v="97"/>
    <x v="395"/>
    <x v="0"/>
    <x v="6"/>
    <x v="6"/>
    <n v="17.373913043478261"/>
    <n v="2"/>
  </r>
  <r>
    <s v="ROSSOUW D"/>
    <x v="11"/>
    <x v="882"/>
    <x v="865"/>
    <x v="126"/>
    <x v="607"/>
    <x v="0"/>
    <x v="4"/>
    <x v="4"/>
    <n v="31.286956521739128"/>
    <n v="2"/>
  </r>
  <r>
    <s v="ROSSOUW D"/>
    <x v="11"/>
    <x v="882"/>
    <x v="865"/>
    <x v="126"/>
    <x v="607"/>
    <x v="0"/>
    <x v="5"/>
    <x v="5"/>
    <n v="31.286956521739128"/>
    <n v="2"/>
  </r>
  <r>
    <s v="BAKERY PRODUCTS"/>
    <x v="11"/>
    <x v="446"/>
    <x v="439"/>
    <x v="117"/>
    <x v="310"/>
    <x v="0"/>
    <x v="4"/>
    <x v="4"/>
    <n v="10.417391304347827"/>
    <n v="2"/>
  </r>
  <r>
    <s v="GOOSEBUMPS DISTR.(BREAD STOP)"/>
    <x v="0"/>
    <x v="570"/>
    <x v="431"/>
    <x v="129"/>
    <x v="397"/>
    <x v="0"/>
    <x v="4"/>
    <x v="4"/>
    <n v="6.9391304347826086"/>
    <n v="2"/>
  </r>
  <r>
    <s v="ALBANY BAKERIES (BELLVILLE)"/>
    <x v="2"/>
    <x v="571"/>
    <x v="561"/>
    <x v="97"/>
    <x v="395"/>
    <x v="0"/>
    <x v="2"/>
    <x v="2"/>
    <n v="17.373913043478261"/>
    <n v="2"/>
  </r>
  <r>
    <s v="BAKERY PRODUCTS"/>
    <x v="0"/>
    <x v="404"/>
    <x v="397"/>
    <x v="110"/>
    <x v="276"/>
    <x v="0"/>
    <x v="6"/>
    <x v="6"/>
    <n v="5.2173913043478262"/>
    <n v="2"/>
  </r>
  <r>
    <s v="SPAR WESTERN CAPE"/>
    <x v="0"/>
    <x v="21"/>
    <x v="21"/>
    <x v="5"/>
    <x v="9"/>
    <x v="0"/>
    <x v="2"/>
    <x v="2"/>
    <n v="82.591304347826096"/>
    <n v="2"/>
  </r>
  <r>
    <s v="GEIIANSA"/>
    <x v="13"/>
    <x v="573"/>
    <x v="563"/>
    <x v="35"/>
    <x v="399"/>
    <x v="0"/>
    <x v="1"/>
    <x v="1"/>
    <n v="34.765217391304347"/>
    <n v="2"/>
  </r>
  <r>
    <s v="GEIIANSA"/>
    <x v="13"/>
    <x v="573"/>
    <x v="563"/>
    <x v="35"/>
    <x v="399"/>
    <x v="0"/>
    <x v="2"/>
    <x v="2"/>
    <n v="33.026086956521738"/>
    <n v="2"/>
  </r>
  <r>
    <s v="GEIIANSA"/>
    <x v="13"/>
    <x v="573"/>
    <x v="563"/>
    <x v="35"/>
    <x v="399"/>
    <x v="0"/>
    <x v="5"/>
    <x v="5"/>
    <n v="34.765217391304347"/>
    <n v="2"/>
  </r>
  <r>
    <s v="SPAR WESTERN CAPE"/>
    <x v="0"/>
    <x v="33"/>
    <x v="33"/>
    <x v="16"/>
    <x v="20"/>
    <x v="0"/>
    <x v="0"/>
    <x v="0"/>
    <n v="74.765217391304347"/>
    <n v="2"/>
  </r>
  <r>
    <s v="SPAR WESTERN CAPE"/>
    <x v="2"/>
    <x v="167"/>
    <x v="164"/>
    <x v="4"/>
    <x v="107"/>
    <x v="0"/>
    <x v="2"/>
    <x v="2"/>
    <n v="54.243478260869566"/>
    <n v="2"/>
  </r>
  <r>
    <s v="SPAR WESTERN CAPE"/>
    <x v="0"/>
    <x v="9"/>
    <x v="9"/>
    <x v="0"/>
    <x v="0"/>
    <x v="0"/>
    <x v="5"/>
    <x v="5"/>
    <n v="121.72173913043477"/>
    <n v="2"/>
  </r>
  <r>
    <s v="SPAR WESTERN CAPE"/>
    <x v="0"/>
    <x v="38"/>
    <x v="38"/>
    <x v="9"/>
    <x v="25"/>
    <x v="0"/>
    <x v="5"/>
    <x v="5"/>
    <n v="330.41739130434786"/>
    <n v="2"/>
  </r>
  <r>
    <s v="SPAR WESTERN CAPE"/>
    <x v="0"/>
    <x v="40"/>
    <x v="40"/>
    <x v="21"/>
    <x v="27"/>
    <x v="0"/>
    <x v="1"/>
    <x v="1"/>
    <n v="86.939130434782612"/>
    <n v="2"/>
  </r>
  <r>
    <s v="BAKERY PRODUCTS"/>
    <x v="11"/>
    <x v="466"/>
    <x v="459"/>
    <x v="93"/>
    <x v="326"/>
    <x v="0"/>
    <x v="4"/>
    <x v="4"/>
    <n v="17.391304347826086"/>
    <n v="2"/>
  </r>
  <r>
    <s v="BAKERY PRODUCTS"/>
    <x v="11"/>
    <x v="466"/>
    <x v="459"/>
    <x v="93"/>
    <x v="326"/>
    <x v="0"/>
    <x v="5"/>
    <x v="5"/>
    <n v="17.391304347826086"/>
    <n v="2"/>
  </r>
  <r>
    <s v="SPAR WESTERN CAPE"/>
    <x v="1"/>
    <x v="97"/>
    <x v="97"/>
    <x v="1"/>
    <x v="70"/>
    <x v="0"/>
    <x v="2"/>
    <x v="2"/>
    <n v="37.286956521739128"/>
    <n v="2"/>
  </r>
  <r>
    <s v="SPAR WESTERN CAPE"/>
    <x v="1"/>
    <x v="97"/>
    <x v="97"/>
    <x v="1"/>
    <x v="70"/>
    <x v="0"/>
    <x v="4"/>
    <x v="4"/>
    <n v="38.243478260869566"/>
    <n v="2"/>
  </r>
  <r>
    <s v="BAKE IT EASY"/>
    <x v="5"/>
    <x v="751"/>
    <x v="739"/>
    <x v="124"/>
    <x v="511"/>
    <x v="0"/>
    <x v="3"/>
    <x v="3"/>
    <n v="22.591304347826089"/>
    <n v="2"/>
  </r>
  <r>
    <s v="BAKERY PRODUCTS"/>
    <x v="0"/>
    <x v="417"/>
    <x v="410"/>
    <x v="35"/>
    <x v="287"/>
    <x v="0"/>
    <x v="2"/>
    <x v="2"/>
    <n v="34.765217391304347"/>
    <n v="2"/>
  </r>
  <r>
    <s v="HMR"/>
    <x v="11"/>
    <x v="709"/>
    <x v="698"/>
    <x v="84"/>
    <x v="475"/>
    <x v="0"/>
    <x v="0"/>
    <x v="0"/>
    <n v="27.808695652173913"/>
    <n v="2"/>
  </r>
  <r>
    <s v="SPAR WESTERN CAPE"/>
    <x v="10"/>
    <x v="313"/>
    <x v="307"/>
    <x v="11"/>
    <x v="200"/>
    <x v="0"/>
    <x v="5"/>
    <x v="5"/>
    <n v="173.89565217391305"/>
    <n v="2"/>
  </r>
  <r>
    <s v="SPAR WESTERN CAPE"/>
    <x v="10"/>
    <x v="314"/>
    <x v="308"/>
    <x v="11"/>
    <x v="200"/>
    <x v="0"/>
    <x v="1"/>
    <x v="1"/>
    <n v="173.89565217391305"/>
    <n v="2"/>
  </r>
  <r>
    <s v="GEIIANSA"/>
    <x v="4"/>
    <x v="612"/>
    <x v="601"/>
    <x v="83"/>
    <x v="396"/>
    <x v="0"/>
    <x v="3"/>
    <x v="3"/>
    <n v="39.982608695652175"/>
    <n v="2"/>
  </r>
  <r>
    <s v="SPAR WESTERN CAPE"/>
    <x v="3"/>
    <x v="221"/>
    <x v="217"/>
    <x v="20"/>
    <x v="134"/>
    <x v="0"/>
    <x v="1"/>
    <x v="1"/>
    <n v="104.33043478260871"/>
    <n v="2"/>
  </r>
  <r>
    <s v="SPAR WESTERN CAPE"/>
    <x v="3"/>
    <x v="221"/>
    <x v="217"/>
    <x v="20"/>
    <x v="134"/>
    <x v="0"/>
    <x v="2"/>
    <x v="2"/>
    <n v="101.72173913043478"/>
    <n v="2"/>
  </r>
  <r>
    <s v="BAKERY PRODUCTS"/>
    <x v="13"/>
    <x v="352"/>
    <x v="345"/>
    <x v="82"/>
    <x v="227"/>
    <x v="0"/>
    <x v="2"/>
    <x v="2"/>
    <n v="24.330434782608695"/>
    <n v="2"/>
  </r>
  <r>
    <s v="BAKERY PRODUCTS"/>
    <x v="13"/>
    <x v="352"/>
    <x v="345"/>
    <x v="82"/>
    <x v="227"/>
    <x v="0"/>
    <x v="3"/>
    <x v="3"/>
    <n v="24.330434782608695"/>
    <n v="2"/>
  </r>
  <r>
    <s v="ALTAS TUISGEBAK BK"/>
    <x v="18"/>
    <x v="543"/>
    <x v="535"/>
    <x v="0"/>
    <x v="368"/>
    <x v="0"/>
    <x v="4"/>
    <x v="4"/>
    <n v="121.72173913043477"/>
    <n v="2"/>
  </r>
  <r>
    <s v="ALTAS TUISGEBAK BK"/>
    <x v="18"/>
    <x v="544"/>
    <x v="536"/>
    <x v="20"/>
    <x v="381"/>
    <x v="0"/>
    <x v="2"/>
    <x v="2"/>
    <n v="104.33043478260871"/>
    <n v="2"/>
  </r>
  <r>
    <s v="ALTAS TUISGEBAK BK"/>
    <x v="18"/>
    <x v="553"/>
    <x v="544"/>
    <x v="33"/>
    <x v="378"/>
    <x v="0"/>
    <x v="5"/>
    <x v="5"/>
    <n v="113.02608695652174"/>
    <n v="2"/>
  </r>
  <r>
    <s v="ALTAS TUISGEBAK BK"/>
    <x v="18"/>
    <x v="556"/>
    <x v="547"/>
    <x v="29"/>
    <x v="385"/>
    <x v="0"/>
    <x v="2"/>
    <x v="2"/>
    <n v="114.76521739130433"/>
    <n v="2"/>
  </r>
  <r>
    <s v="ALTAS TUISGEBAK BK"/>
    <x v="18"/>
    <x v="559"/>
    <x v="550"/>
    <x v="142"/>
    <x v="387"/>
    <x v="0"/>
    <x v="2"/>
    <x v="2"/>
    <n v="107.80869565217392"/>
    <n v="2"/>
  </r>
  <r>
    <s v="ALTAS TUISGEBAK BK"/>
    <x v="18"/>
    <x v="563"/>
    <x v="554"/>
    <x v="136"/>
    <x v="390"/>
    <x v="0"/>
    <x v="2"/>
    <x v="2"/>
    <n v="168.67826086956521"/>
    <n v="2"/>
  </r>
  <r>
    <s v="ALTAS TUISGEBAK BK"/>
    <x v="18"/>
    <x v="563"/>
    <x v="554"/>
    <x v="136"/>
    <x v="390"/>
    <x v="0"/>
    <x v="5"/>
    <x v="5"/>
    <n v="168.67826086956521"/>
    <n v="2"/>
  </r>
  <r>
    <s v="BAKERY PRODUCTS"/>
    <x v="3"/>
    <x v="353"/>
    <x v="346"/>
    <x v="96"/>
    <x v="228"/>
    <x v="0"/>
    <x v="4"/>
    <x v="4"/>
    <n v="8.6782608695652179"/>
    <n v="2"/>
  </r>
  <r>
    <s v="SPAR WESTERN CAPE"/>
    <x v="1"/>
    <x v="104"/>
    <x v="104"/>
    <x v="5"/>
    <x v="74"/>
    <x v="0"/>
    <x v="5"/>
    <x v="5"/>
    <n v="69.547826086956519"/>
    <n v="2"/>
  </r>
  <r>
    <s v="BAKERY PRODUCTS"/>
    <x v="9"/>
    <x v="356"/>
    <x v="349"/>
    <x v="97"/>
    <x v="230"/>
    <x v="0"/>
    <x v="0"/>
    <x v="0"/>
    <n v="17.373913043478261"/>
    <n v="2"/>
  </r>
  <r>
    <s v="ALBANY BAKERIES (BELLVILLE)"/>
    <x v="2"/>
    <x v="635"/>
    <x v="624"/>
    <x v="97"/>
    <x v="395"/>
    <x v="0"/>
    <x v="0"/>
    <x v="0"/>
    <n v="17.373913043478261"/>
    <n v="2"/>
  </r>
  <r>
    <s v="ALBANY BAKERIES (BELLVILLE)"/>
    <x v="2"/>
    <x v="635"/>
    <x v="624"/>
    <x v="97"/>
    <x v="395"/>
    <x v="0"/>
    <x v="2"/>
    <x v="2"/>
    <n v="17.373913043478261"/>
    <n v="2"/>
  </r>
  <r>
    <s v="BAKERY PRODUCTS"/>
    <x v="0"/>
    <x v="432"/>
    <x v="425"/>
    <x v="96"/>
    <x v="301"/>
    <x v="0"/>
    <x v="1"/>
    <x v="1"/>
    <n v="8.6782608695652179"/>
    <n v="2"/>
  </r>
  <r>
    <s v="BAKERY PRODUCTS"/>
    <x v="13"/>
    <x v="359"/>
    <x v="352"/>
    <x v="98"/>
    <x v="233"/>
    <x v="0"/>
    <x v="3"/>
    <x v="3"/>
    <n v="86.939130434782612"/>
    <n v="2"/>
  </r>
  <r>
    <s v="BAKERY PRODUCTS"/>
    <x v="8"/>
    <x v="379"/>
    <x v="372"/>
    <x v="94"/>
    <x v="253"/>
    <x v="0"/>
    <x v="5"/>
    <x v="5"/>
    <n v="208.69565217391303"/>
    <n v="2"/>
  </r>
  <r>
    <s v="BAKERY PRODUCTS"/>
    <x v="11"/>
    <x v="501"/>
    <x v="494"/>
    <x v="34"/>
    <x v="353"/>
    <x v="0"/>
    <x v="1"/>
    <x v="1"/>
    <n v="26.069565217391304"/>
    <n v="2"/>
  </r>
  <r>
    <s v="BAKERY PRODUCTS"/>
    <x v="11"/>
    <x v="509"/>
    <x v="502"/>
    <x v="59"/>
    <x v="360"/>
    <x v="0"/>
    <x v="4"/>
    <x v="4"/>
    <n v="43.460869565217386"/>
    <n v="2"/>
  </r>
  <r>
    <s v="SPAR WESTERN CAPE"/>
    <x v="0"/>
    <x v="56"/>
    <x v="56"/>
    <x v="11"/>
    <x v="40"/>
    <x v="0"/>
    <x v="4"/>
    <x v="4"/>
    <n v="173.89565217391305"/>
    <n v="2"/>
  </r>
  <r>
    <s v="SPAR WESTERN CAPE"/>
    <x v="0"/>
    <x v="57"/>
    <x v="57"/>
    <x v="11"/>
    <x v="40"/>
    <x v="0"/>
    <x v="4"/>
    <x v="4"/>
    <n v="173.89565217391305"/>
    <n v="2"/>
  </r>
  <r>
    <s v="SPAR WESTERN CAPE"/>
    <x v="2"/>
    <x v="197"/>
    <x v="193"/>
    <x v="10"/>
    <x v="82"/>
    <x v="0"/>
    <x v="4"/>
    <x v="4"/>
    <n v="313.02608695652174"/>
    <n v="2"/>
  </r>
  <r>
    <s v="SPAR WESTERN CAPE"/>
    <x v="10"/>
    <x v="320"/>
    <x v="314"/>
    <x v="60"/>
    <x v="204"/>
    <x v="0"/>
    <x v="3"/>
    <x v="3"/>
    <n v="99.113043478260877"/>
    <n v="2"/>
  </r>
  <r>
    <s v="SPAR WESTERN CAPE"/>
    <x v="3"/>
    <x v="227"/>
    <x v="222"/>
    <x v="20"/>
    <x v="134"/>
    <x v="0"/>
    <x v="1"/>
    <x v="1"/>
    <n v="104.33043478260871"/>
    <n v="2"/>
  </r>
  <r>
    <s v="SPAR WESTERN CAPE"/>
    <x v="3"/>
    <x v="227"/>
    <x v="222"/>
    <x v="20"/>
    <x v="134"/>
    <x v="0"/>
    <x v="5"/>
    <x v="5"/>
    <n v="104.33043478260871"/>
    <n v="2"/>
  </r>
  <r>
    <s v="SPAR WESTERN CAPE"/>
    <x v="2"/>
    <x v="198"/>
    <x v="194"/>
    <x v="6"/>
    <x v="118"/>
    <x v="0"/>
    <x v="0"/>
    <x v="0"/>
    <n v="76.504347826086956"/>
    <n v="2"/>
  </r>
  <r>
    <s v="SPAR WESTERN CAPE"/>
    <x v="1"/>
    <x v="152"/>
    <x v="149"/>
    <x v="52"/>
    <x v="99"/>
    <x v="0"/>
    <x v="3"/>
    <x v="3"/>
    <n v="79.982608695652175"/>
    <n v="2"/>
  </r>
  <r>
    <s v="SPAR WESTERN CAPE"/>
    <x v="3"/>
    <x v="232"/>
    <x v="227"/>
    <x v="19"/>
    <x v="141"/>
    <x v="0"/>
    <x v="5"/>
    <x v="5"/>
    <n v="67.808695652173924"/>
    <n v="2"/>
  </r>
  <r>
    <s v="SPAR WESTERN CAPE"/>
    <x v="0"/>
    <x v="80"/>
    <x v="80"/>
    <x v="32"/>
    <x v="55"/>
    <x v="0"/>
    <x v="2"/>
    <x v="2"/>
    <n v="109.54782608695652"/>
    <n v="2"/>
  </r>
  <r>
    <s v="SPAR WESTERN CAPE"/>
    <x v="0"/>
    <x v="80"/>
    <x v="80"/>
    <x v="32"/>
    <x v="55"/>
    <x v="0"/>
    <x v="3"/>
    <x v="3"/>
    <n v="109.54782608695652"/>
    <n v="2"/>
  </r>
  <r>
    <s v="SPAR WESTERN CAPE"/>
    <x v="1"/>
    <x v="154"/>
    <x v="151"/>
    <x v="35"/>
    <x v="100"/>
    <x v="0"/>
    <x v="2"/>
    <x v="2"/>
    <n v="34.765217391304347"/>
    <n v="2"/>
  </r>
  <r>
    <s v="SPAR WESTERN CAPE"/>
    <x v="1"/>
    <x v="154"/>
    <x v="151"/>
    <x v="35"/>
    <x v="100"/>
    <x v="0"/>
    <x v="3"/>
    <x v="3"/>
    <n v="34.765217391304347"/>
    <n v="2"/>
  </r>
  <r>
    <s v="SPAR WESTERN CAPE"/>
    <x v="2"/>
    <x v="201"/>
    <x v="197"/>
    <x v="59"/>
    <x v="119"/>
    <x v="0"/>
    <x v="0"/>
    <x v="0"/>
    <n v="43.460869565217386"/>
    <n v="2"/>
  </r>
  <r>
    <s v="SPAR WESTERN CAPE"/>
    <x v="2"/>
    <x v="202"/>
    <x v="198"/>
    <x v="59"/>
    <x v="119"/>
    <x v="0"/>
    <x v="3"/>
    <x v="3"/>
    <n v="43.460869565217386"/>
    <n v="2"/>
  </r>
  <r>
    <s v="SPAR WESTERN CAPE"/>
    <x v="2"/>
    <x v="202"/>
    <x v="198"/>
    <x v="59"/>
    <x v="119"/>
    <x v="0"/>
    <x v="4"/>
    <x v="4"/>
    <n v="43.460869565217386"/>
    <n v="2"/>
  </r>
  <r>
    <s v="SPAR WESTERN CAPE"/>
    <x v="14"/>
    <x v="326"/>
    <x v="319"/>
    <x v="0"/>
    <x v="1"/>
    <x v="0"/>
    <x v="5"/>
    <x v="5"/>
    <n v="121.72173913043477"/>
    <n v="2"/>
  </r>
  <r>
    <s v="SPAR WESTERN CAPE"/>
    <x v="14"/>
    <x v="329"/>
    <x v="322"/>
    <x v="88"/>
    <x v="208"/>
    <x v="0"/>
    <x v="0"/>
    <x v="0"/>
    <n v="191.28695652173911"/>
    <n v="2"/>
  </r>
  <r>
    <s v="SPAR WESTERN CAPE"/>
    <x v="14"/>
    <x v="330"/>
    <x v="323"/>
    <x v="88"/>
    <x v="208"/>
    <x v="0"/>
    <x v="4"/>
    <x v="4"/>
    <n v="191.28695652173911"/>
    <n v="2"/>
  </r>
  <r>
    <s v="SPAR WESTERN CAPE"/>
    <x v="3"/>
    <x v="241"/>
    <x v="236"/>
    <x v="6"/>
    <x v="145"/>
    <x v="0"/>
    <x v="3"/>
    <x v="3"/>
    <n v="76.504347826086956"/>
    <n v="2"/>
  </r>
  <r>
    <s v="PREMIER FMCG PTY LTD-BLUE RIBB"/>
    <x v="6"/>
    <x v="883"/>
    <x v="866"/>
    <x v="112"/>
    <x v="608"/>
    <x v="0"/>
    <x v="0"/>
    <x v="0"/>
    <n v="292.03478260869565"/>
    <n v="16"/>
  </r>
  <r>
    <s v="PREMIER FMCG PTY LTD-BLUE RIBB"/>
    <x v="6"/>
    <x v="883"/>
    <x v="866"/>
    <x v="112"/>
    <x v="608"/>
    <x v="0"/>
    <x v="1"/>
    <x v="1"/>
    <n v="273.78260869565219"/>
    <n v="15"/>
  </r>
  <r>
    <s v="PREMIER FMCG PTY LTD-BLUE RIBB"/>
    <x v="6"/>
    <x v="883"/>
    <x v="866"/>
    <x v="112"/>
    <x v="608"/>
    <x v="0"/>
    <x v="2"/>
    <x v="2"/>
    <n v="180.69565217391306"/>
    <n v="10"/>
  </r>
  <r>
    <s v="PREMIER FMCG PTY LTD-BLUE RIBB"/>
    <x v="6"/>
    <x v="883"/>
    <x v="866"/>
    <x v="112"/>
    <x v="608"/>
    <x v="0"/>
    <x v="3"/>
    <x v="3"/>
    <n v="127.76521739130436"/>
    <n v="7"/>
  </r>
  <r>
    <s v="PREMIER FMCG PTY LTD-BLUE RIBB"/>
    <x v="6"/>
    <x v="883"/>
    <x v="866"/>
    <x v="112"/>
    <x v="608"/>
    <x v="0"/>
    <x v="4"/>
    <x v="4"/>
    <n v="127.76521739130436"/>
    <n v="7"/>
  </r>
  <r>
    <s v="PREMIER FMCG PTY LTD-BLUE RIBB"/>
    <x v="6"/>
    <x v="883"/>
    <x v="866"/>
    <x v="112"/>
    <x v="608"/>
    <x v="0"/>
    <x v="6"/>
    <x v="6"/>
    <n v="529.31304347826085"/>
    <n v="29"/>
  </r>
  <r>
    <s v="SPAR WESTERN CAPE"/>
    <x v="6"/>
    <x v="884"/>
    <x v="867"/>
    <x v="1"/>
    <x v="609"/>
    <x v="0"/>
    <x v="0"/>
    <x v="0"/>
    <n v="43.460869565217386"/>
    <n v="2"/>
  </r>
  <r>
    <s v="SPAR WESTERN CAPE"/>
    <x v="6"/>
    <x v="884"/>
    <x v="867"/>
    <x v="1"/>
    <x v="609"/>
    <x v="0"/>
    <x v="1"/>
    <x v="1"/>
    <n v="173.84347826086955"/>
    <n v="8"/>
  </r>
  <r>
    <s v="SPAR WESTERN CAPE"/>
    <x v="6"/>
    <x v="884"/>
    <x v="867"/>
    <x v="1"/>
    <x v="609"/>
    <x v="0"/>
    <x v="2"/>
    <x v="2"/>
    <n v="107.56521739130434"/>
    <n v="5"/>
  </r>
  <r>
    <s v="SPAR WESTERN CAPE"/>
    <x v="6"/>
    <x v="884"/>
    <x v="867"/>
    <x v="1"/>
    <x v="609"/>
    <x v="0"/>
    <x v="3"/>
    <x v="3"/>
    <n v="293.35652173913047"/>
    <n v="14"/>
  </r>
  <r>
    <s v="SPAR WESTERN CAPE"/>
    <x v="6"/>
    <x v="884"/>
    <x v="867"/>
    <x v="1"/>
    <x v="609"/>
    <x v="0"/>
    <x v="4"/>
    <x v="4"/>
    <n v="130.38260869565218"/>
    <n v="6"/>
  </r>
  <r>
    <s v="SPAR WESTERN CAPE"/>
    <x v="6"/>
    <x v="884"/>
    <x v="867"/>
    <x v="1"/>
    <x v="609"/>
    <x v="0"/>
    <x v="5"/>
    <x v="5"/>
    <n v="217.30434782608697"/>
    <n v="10"/>
  </r>
  <r>
    <s v="SPAR WESTERN CAPE"/>
    <x v="6"/>
    <x v="884"/>
    <x v="867"/>
    <x v="1"/>
    <x v="609"/>
    <x v="0"/>
    <x v="6"/>
    <x v="6"/>
    <n v="304.22608695652173"/>
    <n v="14"/>
  </r>
  <r>
    <s v="SPAR WESTERN CAPE"/>
    <x v="6"/>
    <x v="885"/>
    <x v="299"/>
    <x v="1"/>
    <x v="609"/>
    <x v="0"/>
    <x v="0"/>
    <x v="0"/>
    <n v="65.19130434782609"/>
    <n v="3"/>
  </r>
  <r>
    <s v="SPAR WESTERN CAPE"/>
    <x v="6"/>
    <x v="885"/>
    <x v="299"/>
    <x v="1"/>
    <x v="609"/>
    <x v="0"/>
    <x v="1"/>
    <x v="1"/>
    <n v="369.41739130434786"/>
    <n v="17"/>
  </r>
  <r>
    <s v="SPAR WESTERN CAPE"/>
    <x v="6"/>
    <x v="885"/>
    <x v="299"/>
    <x v="1"/>
    <x v="609"/>
    <x v="0"/>
    <x v="2"/>
    <x v="2"/>
    <n v="173.84347826086957"/>
    <n v="8"/>
  </r>
  <r>
    <s v="SPAR WESTERN CAPE"/>
    <x v="6"/>
    <x v="885"/>
    <x v="299"/>
    <x v="1"/>
    <x v="609"/>
    <x v="0"/>
    <x v="3"/>
    <x v="3"/>
    <n v="733.4"/>
    <n v="35"/>
  </r>
  <r>
    <s v="SPAR WESTERN CAPE"/>
    <x v="6"/>
    <x v="885"/>
    <x v="299"/>
    <x v="1"/>
    <x v="609"/>
    <x v="0"/>
    <x v="4"/>
    <x v="4"/>
    <n v="130.38260869565218"/>
    <n v="6"/>
  </r>
  <r>
    <s v="SPAR WESTERN CAPE"/>
    <x v="6"/>
    <x v="885"/>
    <x v="299"/>
    <x v="1"/>
    <x v="609"/>
    <x v="0"/>
    <x v="5"/>
    <x v="5"/>
    <n v="630.18260869565222"/>
    <n v="29"/>
  </r>
  <r>
    <s v="SPAR WESTERN CAPE"/>
    <x v="6"/>
    <x v="885"/>
    <x v="299"/>
    <x v="1"/>
    <x v="609"/>
    <x v="0"/>
    <x v="6"/>
    <x v="6"/>
    <n v="282.49565217391307"/>
    <n v="13"/>
  </r>
  <r>
    <s v="PREMIER FMCG PTY LTD-BLUE RIBB"/>
    <x v="6"/>
    <x v="886"/>
    <x v="868"/>
    <x v="35"/>
    <x v="610"/>
    <x v="0"/>
    <x v="0"/>
    <x v="0"/>
    <n v="434.56521739130437"/>
    <n v="25"/>
  </r>
  <r>
    <s v="PREMIER FMCG PTY LTD-BLUE RIBB"/>
    <x v="6"/>
    <x v="886"/>
    <x v="868"/>
    <x v="35"/>
    <x v="610"/>
    <x v="0"/>
    <x v="1"/>
    <x v="1"/>
    <n v="417.18260869565222"/>
    <n v="24"/>
  </r>
  <r>
    <s v="PREMIER FMCG PTY LTD-BLUE RIBB"/>
    <x v="6"/>
    <x v="886"/>
    <x v="868"/>
    <x v="35"/>
    <x v="610"/>
    <x v="0"/>
    <x v="2"/>
    <x v="2"/>
    <n v="206.85217391304349"/>
    <n v="12"/>
  </r>
  <r>
    <s v="PREMIER FMCG PTY LTD-BLUE RIBB"/>
    <x v="6"/>
    <x v="886"/>
    <x v="868"/>
    <x v="35"/>
    <x v="610"/>
    <x v="0"/>
    <x v="3"/>
    <x v="3"/>
    <n v="278.12173913043478"/>
    <n v="16"/>
  </r>
  <r>
    <s v="PREMIER FMCG PTY LTD-BLUE RIBB"/>
    <x v="6"/>
    <x v="886"/>
    <x v="868"/>
    <x v="35"/>
    <x v="610"/>
    <x v="0"/>
    <x v="4"/>
    <x v="4"/>
    <n v="295.50434782608693"/>
    <n v="17"/>
  </r>
  <r>
    <s v="PREMIER FMCG PTY LTD-BLUE RIBB"/>
    <x v="6"/>
    <x v="886"/>
    <x v="868"/>
    <x v="35"/>
    <x v="610"/>
    <x v="0"/>
    <x v="5"/>
    <x v="5"/>
    <n v="260.73913043478262"/>
    <n v="15"/>
  </r>
  <r>
    <s v="PREMIER FMCG PTY LTD-BLUE RIBB"/>
    <x v="6"/>
    <x v="886"/>
    <x v="868"/>
    <x v="35"/>
    <x v="610"/>
    <x v="0"/>
    <x v="6"/>
    <x v="6"/>
    <n v="208.59130434782608"/>
    <n v="12"/>
  </r>
  <r>
    <s v="ALBANY BAKERIES (BELLVILLE)"/>
    <x v="6"/>
    <x v="887"/>
    <x v="869"/>
    <x v="127"/>
    <x v="339"/>
    <x v="0"/>
    <x v="0"/>
    <x v="0"/>
    <n v="75.959999999999994"/>
    <n v="4"/>
  </r>
  <r>
    <s v="ALBANY BAKERIES (BELLVILLE)"/>
    <x v="6"/>
    <x v="887"/>
    <x v="869"/>
    <x v="127"/>
    <x v="339"/>
    <x v="0"/>
    <x v="1"/>
    <x v="1"/>
    <n v="94.95"/>
    <n v="5"/>
  </r>
  <r>
    <s v="ALBANY BAKERIES (BELLVILLE)"/>
    <x v="6"/>
    <x v="887"/>
    <x v="869"/>
    <x v="127"/>
    <x v="339"/>
    <x v="0"/>
    <x v="2"/>
    <x v="2"/>
    <n v="149.07"/>
    <n v="8"/>
  </r>
  <r>
    <s v="ALBANY BAKERIES (BELLVILLE)"/>
    <x v="6"/>
    <x v="887"/>
    <x v="869"/>
    <x v="127"/>
    <x v="339"/>
    <x v="0"/>
    <x v="3"/>
    <x v="3"/>
    <n v="56.97"/>
    <n v="3"/>
  </r>
  <r>
    <s v="ALBANY BAKERIES (BELLVILLE)"/>
    <x v="6"/>
    <x v="887"/>
    <x v="869"/>
    <x v="127"/>
    <x v="339"/>
    <x v="0"/>
    <x v="4"/>
    <x v="4"/>
    <n v="151.91999999999999"/>
    <n v="8"/>
  </r>
  <r>
    <s v="ALBANY BAKERIES (BELLVILLE)"/>
    <x v="6"/>
    <x v="887"/>
    <x v="869"/>
    <x v="127"/>
    <x v="339"/>
    <x v="0"/>
    <x v="5"/>
    <x v="5"/>
    <n v="56.97"/>
    <n v="3"/>
  </r>
  <r>
    <s v="ALBANY BAKERIES (BELLVILLE)"/>
    <x v="6"/>
    <x v="887"/>
    <x v="869"/>
    <x v="127"/>
    <x v="339"/>
    <x v="0"/>
    <x v="6"/>
    <x v="6"/>
    <n v="151.91999999999999"/>
    <n v="8"/>
  </r>
  <r>
    <s v="PREMIER FMCG PTY LTD-BLUE RIBB"/>
    <x v="6"/>
    <x v="888"/>
    <x v="870"/>
    <x v="126"/>
    <x v="611"/>
    <x v="0"/>
    <x v="0"/>
    <x v="0"/>
    <n v="233.87"/>
    <n v="13"/>
  </r>
  <r>
    <s v="PREMIER FMCG PTY LTD-BLUE RIBB"/>
    <x v="6"/>
    <x v="888"/>
    <x v="870"/>
    <x v="126"/>
    <x v="611"/>
    <x v="0"/>
    <x v="1"/>
    <x v="1"/>
    <n v="107.94"/>
    <n v="6"/>
  </r>
  <r>
    <s v="PREMIER FMCG PTY LTD-BLUE RIBB"/>
    <x v="6"/>
    <x v="888"/>
    <x v="870"/>
    <x v="126"/>
    <x v="611"/>
    <x v="0"/>
    <x v="2"/>
    <x v="2"/>
    <n v="232.07"/>
    <n v="13"/>
  </r>
  <r>
    <s v="PREMIER FMCG PTY LTD-BLUE RIBB"/>
    <x v="6"/>
    <x v="888"/>
    <x v="870"/>
    <x v="126"/>
    <x v="611"/>
    <x v="0"/>
    <x v="3"/>
    <x v="3"/>
    <n v="53.97"/>
    <n v="3"/>
  </r>
  <r>
    <s v="PREMIER FMCG PTY LTD-BLUE RIBB"/>
    <x v="6"/>
    <x v="888"/>
    <x v="870"/>
    <x v="126"/>
    <x v="611"/>
    <x v="0"/>
    <x v="4"/>
    <x v="4"/>
    <n v="71.959999999999994"/>
    <n v="4"/>
  </r>
  <r>
    <s v="PREMIER FMCG PTY LTD-BLUE RIBB"/>
    <x v="6"/>
    <x v="888"/>
    <x v="870"/>
    <x v="126"/>
    <x v="611"/>
    <x v="0"/>
    <x v="5"/>
    <x v="5"/>
    <n v="161.91"/>
    <n v="9"/>
  </r>
  <r>
    <s v="PREMIER FMCG PTY LTD-BLUE RIBB"/>
    <x v="6"/>
    <x v="888"/>
    <x v="870"/>
    <x v="126"/>
    <x v="611"/>
    <x v="0"/>
    <x v="6"/>
    <x v="6"/>
    <n v="143.91999999999999"/>
    <n v="8"/>
  </r>
  <r>
    <s v="ALBANY BAKERIES (BELLVILLE)"/>
    <x v="6"/>
    <x v="889"/>
    <x v="871"/>
    <x v="83"/>
    <x v="446"/>
    <x v="0"/>
    <x v="0"/>
    <x v="0"/>
    <n v="279.87826086956522"/>
    <n v="14"/>
  </r>
  <r>
    <s v="ALBANY BAKERIES (BELLVILLE)"/>
    <x v="6"/>
    <x v="889"/>
    <x v="871"/>
    <x v="83"/>
    <x v="446"/>
    <x v="0"/>
    <x v="1"/>
    <x v="1"/>
    <n v="259.88695652173914"/>
    <n v="13"/>
  </r>
  <r>
    <s v="ALBANY BAKERIES (BELLVILLE)"/>
    <x v="6"/>
    <x v="889"/>
    <x v="871"/>
    <x v="83"/>
    <x v="446"/>
    <x v="0"/>
    <x v="2"/>
    <x v="2"/>
    <n v="197.91304347826087"/>
    <n v="10"/>
  </r>
  <r>
    <s v="ALBANY BAKERIES (BELLVILLE)"/>
    <x v="6"/>
    <x v="889"/>
    <x v="871"/>
    <x v="83"/>
    <x v="446"/>
    <x v="0"/>
    <x v="3"/>
    <x v="3"/>
    <n v="59.973913043478262"/>
    <n v="3"/>
  </r>
  <r>
    <s v="ALBANY BAKERIES (BELLVILLE)"/>
    <x v="6"/>
    <x v="889"/>
    <x v="871"/>
    <x v="83"/>
    <x v="446"/>
    <x v="0"/>
    <x v="4"/>
    <x v="4"/>
    <n v="219.90434782608696"/>
    <n v="11"/>
  </r>
  <r>
    <s v="ALBANY BAKERIES (BELLVILLE)"/>
    <x v="6"/>
    <x v="889"/>
    <x v="871"/>
    <x v="83"/>
    <x v="446"/>
    <x v="0"/>
    <x v="5"/>
    <x v="5"/>
    <n v="219.90434782608696"/>
    <n v="11"/>
  </r>
  <r>
    <s v="ALBANY BAKERIES (BELLVILLE)"/>
    <x v="6"/>
    <x v="889"/>
    <x v="871"/>
    <x v="83"/>
    <x v="446"/>
    <x v="0"/>
    <x v="6"/>
    <x v="6"/>
    <n v="139.93913043478261"/>
    <n v="7"/>
  </r>
  <r>
    <s v="ALBANY BAKERIES (BELLVILLE)"/>
    <x v="6"/>
    <x v="890"/>
    <x v="872"/>
    <x v="1"/>
    <x v="350"/>
    <x v="0"/>
    <x v="0"/>
    <x v="0"/>
    <n v="57.365217391304348"/>
    <n v="3"/>
  </r>
  <r>
    <s v="ALBANY BAKERIES (BELLVILLE)"/>
    <x v="6"/>
    <x v="890"/>
    <x v="872"/>
    <x v="1"/>
    <x v="350"/>
    <x v="0"/>
    <x v="1"/>
    <x v="1"/>
    <n v="133.85217391304349"/>
    <n v="7"/>
  </r>
  <r>
    <s v="ALBANY BAKERIES (BELLVILLE)"/>
    <x v="6"/>
    <x v="890"/>
    <x v="872"/>
    <x v="1"/>
    <x v="350"/>
    <x v="0"/>
    <x v="2"/>
    <x v="2"/>
    <n v="76.486956521739131"/>
    <n v="4"/>
  </r>
  <r>
    <s v="ALBANY BAKERIES (BELLVILLE)"/>
    <x v="6"/>
    <x v="890"/>
    <x v="872"/>
    <x v="1"/>
    <x v="350"/>
    <x v="0"/>
    <x v="3"/>
    <x v="3"/>
    <n v="133.85217391304349"/>
    <n v="7"/>
  </r>
  <r>
    <s v="ALBANY BAKERIES (BELLVILLE)"/>
    <x v="6"/>
    <x v="890"/>
    <x v="872"/>
    <x v="1"/>
    <x v="350"/>
    <x v="0"/>
    <x v="4"/>
    <x v="4"/>
    <n v="57.365217391304348"/>
    <n v="3"/>
  </r>
  <r>
    <s v="ALBANY BAKERIES (BELLVILLE)"/>
    <x v="6"/>
    <x v="890"/>
    <x v="872"/>
    <x v="1"/>
    <x v="350"/>
    <x v="0"/>
    <x v="5"/>
    <x v="5"/>
    <n v="76.486956521739131"/>
    <n v="4"/>
  </r>
  <r>
    <s v="ALBANY BAKERIES (BELLVILLE)"/>
    <x v="6"/>
    <x v="890"/>
    <x v="872"/>
    <x v="1"/>
    <x v="350"/>
    <x v="0"/>
    <x v="6"/>
    <x v="6"/>
    <n v="133.85217391304349"/>
    <n v="7"/>
  </r>
  <r>
    <s v="SPAR WESTERN CAPE"/>
    <x v="6"/>
    <x v="292"/>
    <x v="286"/>
    <x v="24"/>
    <x v="186"/>
    <x v="0"/>
    <x v="2"/>
    <x v="2"/>
    <n v="52.156521739130433"/>
    <n v="2"/>
  </r>
  <r>
    <s v="SPAR WESTERN CAPE"/>
    <x v="6"/>
    <x v="292"/>
    <x v="286"/>
    <x v="24"/>
    <x v="186"/>
    <x v="0"/>
    <x v="5"/>
    <x v="5"/>
    <n v="78.234782608695653"/>
    <n v="3"/>
  </r>
  <r>
    <s v="SPAR WESTERN CAPE"/>
    <x v="6"/>
    <x v="292"/>
    <x v="286"/>
    <x v="24"/>
    <x v="186"/>
    <x v="0"/>
    <x v="6"/>
    <x v="6"/>
    <n v="130.39130434782606"/>
    <n v="5"/>
  </r>
  <r>
    <s v="PREMIER FMCG PTY LTD-BLUE RIBB"/>
    <x v="6"/>
    <x v="642"/>
    <x v="631"/>
    <x v="59"/>
    <x v="434"/>
    <x v="0"/>
    <x v="0"/>
    <x v="0"/>
    <n v="43.460869565217386"/>
    <n v="2"/>
  </r>
  <r>
    <s v="PREMIER FMCG PTY LTD-BLUE RIBB"/>
    <x v="6"/>
    <x v="642"/>
    <x v="631"/>
    <x v="59"/>
    <x v="434"/>
    <x v="0"/>
    <x v="1"/>
    <x v="1"/>
    <n v="43.460869565217386"/>
    <n v="2"/>
  </r>
  <r>
    <s v="PREMIER FMCG PTY LTD-BLUE RIBB"/>
    <x v="6"/>
    <x v="642"/>
    <x v="631"/>
    <x v="59"/>
    <x v="434"/>
    <x v="0"/>
    <x v="3"/>
    <x v="3"/>
    <n v="65.19130434782609"/>
    <n v="3"/>
  </r>
  <r>
    <s v="PREMIER FMCG PTY LTD-BLUE RIBB"/>
    <x v="6"/>
    <x v="642"/>
    <x v="631"/>
    <x v="59"/>
    <x v="434"/>
    <x v="0"/>
    <x v="6"/>
    <x v="6"/>
    <n v="86.921739130434773"/>
    <n v="4"/>
  </r>
  <r>
    <s v="PREMIER FMCG PTY LTD-BLUE RIBB"/>
    <x v="6"/>
    <x v="643"/>
    <x v="632"/>
    <x v="1"/>
    <x v="435"/>
    <x v="0"/>
    <x v="0"/>
    <x v="0"/>
    <n v="57.365217391304348"/>
    <n v="3"/>
  </r>
  <r>
    <s v="PREMIER FMCG PTY LTD-BLUE RIBB"/>
    <x v="6"/>
    <x v="643"/>
    <x v="632"/>
    <x v="1"/>
    <x v="435"/>
    <x v="0"/>
    <x v="1"/>
    <x v="1"/>
    <n v="57.365217391304348"/>
    <n v="3"/>
  </r>
  <r>
    <s v="PREMIER FMCG PTY LTD-BLUE RIBB"/>
    <x v="6"/>
    <x v="643"/>
    <x v="632"/>
    <x v="1"/>
    <x v="435"/>
    <x v="0"/>
    <x v="3"/>
    <x v="3"/>
    <n v="95.608695652173921"/>
    <n v="5"/>
  </r>
  <r>
    <s v="PREMIER FMCG PTY LTD-BLUE RIBB"/>
    <x v="6"/>
    <x v="643"/>
    <x v="632"/>
    <x v="1"/>
    <x v="435"/>
    <x v="0"/>
    <x v="4"/>
    <x v="4"/>
    <n v="76.486956521739131"/>
    <n v="4"/>
  </r>
  <r>
    <s v="PREMIER FMCG PTY LTD-BLUE RIBB"/>
    <x v="6"/>
    <x v="643"/>
    <x v="632"/>
    <x v="1"/>
    <x v="435"/>
    <x v="0"/>
    <x v="5"/>
    <x v="5"/>
    <n v="76.486956521739131"/>
    <n v="4"/>
  </r>
  <r>
    <s v="PREMIER FMCG PTY LTD-BLUE RIBB"/>
    <x v="6"/>
    <x v="643"/>
    <x v="632"/>
    <x v="1"/>
    <x v="435"/>
    <x v="0"/>
    <x v="6"/>
    <x v="6"/>
    <n v="76.486956521739131"/>
    <n v="4"/>
  </r>
  <r>
    <s v="ALBANY BAKERIES (BELLVILLE)"/>
    <x v="6"/>
    <x v="891"/>
    <x v="873"/>
    <x v="57"/>
    <x v="612"/>
    <x v="0"/>
    <x v="0"/>
    <x v="0"/>
    <n v="167.93"/>
    <n v="7"/>
  </r>
  <r>
    <s v="ALBANY BAKERIES (BELLVILLE)"/>
    <x v="6"/>
    <x v="891"/>
    <x v="873"/>
    <x v="57"/>
    <x v="612"/>
    <x v="0"/>
    <x v="1"/>
    <x v="1"/>
    <n v="47.98"/>
    <n v="2"/>
  </r>
  <r>
    <s v="ALBANY BAKERIES (BELLVILLE)"/>
    <x v="6"/>
    <x v="891"/>
    <x v="873"/>
    <x v="57"/>
    <x v="612"/>
    <x v="0"/>
    <x v="2"/>
    <x v="2"/>
    <n v="70.77"/>
    <n v="3"/>
  </r>
  <r>
    <s v="ALBANY BAKERIES (BELLVILLE)"/>
    <x v="6"/>
    <x v="891"/>
    <x v="873"/>
    <x v="57"/>
    <x v="612"/>
    <x v="0"/>
    <x v="3"/>
    <x v="3"/>
    <n v="119.95"/>
    <n v="5"/>
  </r>
  <r>
    <s v="ALBANY BAKERIES (BELLVILLE)"/>
    <x v="6"/>
    <x v="891"/>
    <x v="873"/>
    <x v="57"/>
    <x v="612"/>
    <x v="0"/>
    <x v="4"/>
    <x v="4"/>
    <n v="47.98"/>
    <n v="2"/>
  </r>
  <r>
    <s v="ALBANY BAKERIES (BELLVILLE)"/>
    <x v="6"/>
    <x v="891"/>
    <x v="873"/>
    <x v="57"/>
    <x v="612"/>
    <x v="0"/>
    <x v="5"/>
    <x v="5"/>
    <n v="71.97"/>
    <n v="3"/>
  </r>
  <r>
    <s v="ALBANY BAKERIES (BELLVILLE)"/>
    <x v="6"/>
    <x v="891"/>
    <x v="873"/>
    <x v="57"/>
    <x v="612"/>
    <x v="0"/>
    <x v="6"/>
    <x v="6"/>
    <n v="71.97"/>
    <n v="3"/>
  </r>
  <r>
    <s v="ALBANY BAKERIES (BELLVILLE)"/>
    <x v="6"/>
    <x v="892"/>
    <x v="874"/>
    <x v="25"/>
    <x v="613"/>
    <x v="0"/>
    <x v="0"/>
    <x v="0"/>
    <n v="67.8"/>
    <n v="3"/>
  </r>
  <r>
    <s v="ALBANY BAKERIES (BELLVILLE)"/>
    <x v="6"/>
    <x v="892"/>
    <x v="874"/>
    <x v="25"/>
    <x v="613"/>
    <x v="0"/>
    <x v="1"/>
    <x v="1"/>
    <n v="45.199999999999996"/>
    <n v="2"/>
  </r>
  <r>
    <s v="ALBANY BAKERIES (BELLVILLE)"/>
    <x v="6"/>
    <x v="892"/>
    <x v="874"/>
    <x v="25"/>
    <x v="613"/>
    <x v="0"/>
    <x v="2"/>
    <x v="2"/>
    <n v="154.80869565217392"/>
    <n v="7"/>
  </r>
  <r>
    <s v="ALBANY BAKERIES (BELLVILLE)"/>
    <x v="6"/>
    <x v="892"/>
    <x v="874"/>
    <x v="25"/>
    <x v="613"/>
    <x v="0"/>
    <x v="3"/>
    <x v="3"/>
    <n v="158.20000000000002"/>
    <n v="7"/>
  </r>
  <r>
    <s v="ALBANY BAKERIES (BELLVILLE)"/>
    <x v="6"/>
    <x v="892"/>
    <x v="874"/>
    <x v="25"/>
    <x v="613"/>
    <x v="0"/>
    <x v="4"/>
    <x v="4"/>
    <n v="135.6"/>
    <n v="6"/>
  </r>
  <r>
    <s v="ALBANY BAKERIES (BELLVILLE)"/>
    <x v="6"/>
    <x v="892"/>
    <x v="874"/>
    <x v="25"/>
    <x v="613"/>
    <x v="0"/>
    <x v="5"/>
    <x v="5"/>
    <n v="180.79999999999998"/>
    <n v="8"/>
  </r>
  <r>
    <s v="ALBANY BAKERIES (BELLVILLE)"/>
    <x v="6"/>
    <x v="892"/>
    <x v="874"/>
    <x v="25"/>
    <x v="613"/>
    <x v="0"/>
    <x v="6"/>
    <x v="6"/>
    <n v="67.8"/>
    <n v="3"/>
  </r>
  <r>
    <s v="SPAR WESTERN CAPE"/>
    <x v="6"/>
    <x v="293"/>
    <x v="287"/>
    <x v="1"/>
    <x v="187"/>
    <x v="0"/>
    <x v="6"/>
    <x v="6"/>
    <n v="65.97"/>
    <n v="3"/>
  </r>
  <r>
    <s v="ALBANY BAKERIES (BELLVILLE)"/>
    <x v="6"/>
    <x v="644"/>
    <x v="633"/>
    <x v="127"/>
    <x v="436"/>
    <x v="0"/>
    <x v="0"/>
    <x v="0"/>
    <n v="37.979999999999997"/>
    <n v="2"/>
  </r>
  <r>
    <s v="ALBANY BAKERIES (BELLVILLE)"/>
    <x v="6"/>
    <x v="644"/>
    <x v="633"/>
    <x v="127"/>
    <x v="436"/>
    <x v="0"/>
    <x v="1"/>
    <x v="1"/>
    <n v="37.979999999999997"/>
    <n v="2"/>
  </r>
  <r>
    <s v="ALBANY BAKERIES (BELLVILLE)"/>
    <x v="6"/>
    <x v="644"/>
    <x v="633"/>
    <x v="127"/>
    <x v="436"/>
    <x v="0"/>
    <x v="5"/>
    <x v="5"/>
    <n v="94.95"/>
    <n v="5"/>
  </r>
  <r>
    <s v="ALBANY BAKERIES (BELLVILLE)"/>
    <x v="6"/>
    <x v="644"/>
    <x v="633"/>
    <x v="127"/>
    <x v="436"/>
    <x v="0"/>
    <x v="6"/>
    <x v="6"/>
    <n v="56.97"/>
    <n v="3"/>
  </r>
  <r>
    <s v="ALBANY BAKERIES (BELLVILLE)"/>
    <x v="6"/>
    <x v="645"/>
    <x v="634"/>
    <x v="25"/>
    <x v="437"/>
    <x v="0"/>
    <x v="0"/>
    <x v="0"/>
    <n v="155.94"/>
    <n v="6"/>
  </r>
  <r>
    <s v="ALBANY BAKERIES (BELLVILLE)"/>
    <x v="6"/>
    <x v="645"/>
    <x v="634"/>
    <x v="25"/>
    <x v="437"/>
    <x v="0"/>
    <x v="3"/>
    <x v="3"/>
    <n v="51.98"/>
    <n v="2"/>
  </r>
  <r>
    <s v="ALBANY BAKERIES (BELLVILLE)"/>
    <x v="6"/>
    <x v="645"/>
    <x v="634"/>
    <x v="25"/>
    <x v="437"/>
    <x v="0"/>
    <x v="4"/>
    <x v="4"/>
    <n v="51.98"/>
    <n v="2"/>
  </r>
  <r>
    <s v="ALBANY BAKERIES (BELLVILLE)"/>
    <x v="6"/>
    <x v="645"/>
    <x v="634"/>
    <x v="25"/>
    <x v="437"/>
    <x v="0"/>
    <x v="6"/>
    <x v="6"/>
    <n v="51.98"/>
    <n v="2"/>
  </r>
  <r>
    <s v="PREMIER FMCG PTY LTD-BLUE RIBB"/>
    <x v="6"/>
    <x v="893"/>
    <x v="875"/>
    <x v="112"/>
    <x v="614"/>
    <x v="0"/>
    <x v="0"/>
    <x v="0"/>
    <n v="41.98"/>
    <n v="2"/>
  </r>
  <r>
    <s v="PREMIER FMCG PTY LTD-BLUE RIBB"/>
    <x v="6"/>
    <x v="893"/>
    <x v="875"/>
    <x v="112"/>
    <x v="614"/>
    <x v="0"/>
    <x v="1"/>
    <x v="1"/>
    <n v="41.98"/>
    <n v="2"/>
  </r>
  <r>
    <s v="PREMIER FMCG PTY LTD-BLUE RIBB"/>
    <x v="6"/>
    <x v="893"/>
    <x v="875"/>
    <x v="112"/>
    <x v="614"/>
    <x v="0"/>
    <x v="2"/>
    <x v="2"/>
    <n v="40.93"/>
    <n v="2"/>
  </r>
  <r>
    <s v="PREMIER FMCG PTY LTD-BLUE RIBB"/>
    <x v="6"/>
    <x v="893"/>
    <x v="875"/>
    <x v="112"/>
    <x v="614"/>
    <x v="0"/>
    <x v="3"/>
    <x v="3"/>
    <n v="41.98"/>
    <n v="2"/>
  </r>
  <r>
    <s v="PREMIER FMCG PTY LTD-BLUE RIBB"/>
    <x v="6"/>
    <x v="893"/>
    <x v="875"/>
    <x v="112"/>
    <x v="614"/>
    <x v="0"/>
    <x v="6"/>
    <x v="6"/>
    <n v="41.98"/>
    <n v="2"/>
  </r>
  <r>
    <s v="PREMIER FMCG PTY LTD-BLUE RIBB"/>
    <x v="6"/>
    <x v="646"/>
    <x v="635"/>
    <x v="35"/>
    <x v="238"/>
    <x v="0"/>
    <x v="0"/>
    <x v="0"/>
    <n v="59.97"/>
    <n v="3"/>
  </r>
  <r>
    <s v="PREMIER FMCG PTY LTD-BLUE RIBB"/>
    <x v="6"/>
    <x v="646"/>
    <x v="635"/>
    <x v="35"/>
    <x v="238"/>
    <x v="0"/>
    <x v="2"/>
    <x v="2"/>
    <n v="39.979999999999997"/>
    <n v="2"/>
  </r>
  <r>
    <s v="PREMIER FMCG PTY LTD-BLUE RIBB"/>
    <x v="6"/>
    <x v="646"/>
    <x v="635"/>
    <x v="35"/>
    <x v="238"/>
    <x v="0"/>
    <x v="3"/>
    <x v="3"/>
    <n v="79.959999999999994"/>
    <n v="4"/>
  </r>
  <r>
    <s v="PREMIER FMCG PTY LTD-BLUE RIBB"/>
    <x v="6"/>
    <x v="646"/>
    <x v="635"/>
    <x v="35"/>
    <x v="238"/>
    <x v="0"/>
    <x v="4"/>
    <x v="4"/>
    <n v="59.97"/>
    <n v="3"/>
  </r>
  <r>
    <s v="PREMIER FMCG PTY LTD-BLUE RIBB"/>
    <x v="6"/>
    <x v="646"/>
    <x v="635"/>
    <x v="35"/>
    <x v="238"/>
    <x v="0"/>
    <x v="5"/>
    <x v="5"/>
    <n v="159.92000000000002"/>
    <n v="8"/>
  </r>
  <r>
    <s v="PREMIER FMCG PTY LTD-BLUE RIBB"/>
    <x v="6"/>
    <x v="646"/>
    <x v="635"/>
    <x v="35"/>
    <x v="238"/>
    <x v="0"/>
    <x v="6"/>
    <x v="6"/>
    <n v="39.979999999999997"/>
    <n v="2"/>
  </r>
  <r>
    <s v="ALBANY BAKERIES (BELLVILLE)"/>
    <x v="6"/>
    <x v="894"/>
    <x v="876"/>
    <x v="127"/>
    <x v="436"/>
    <x v="0"/>
    <x v="0"/>
    <x v="0"/>
    <n v="75.959999999999994"/>
    <n v="4"/>
  </r>
  <r>
    <s v="ALBANY BAKERIES (BELLVILLE)"/>
    <x v="6"/>
    <x v="894"/>
    <x v="876"/>
    <x v="127"/>
    <x v="436"/>
    <x v="0"/>
    <x v="1"/>
    <x v="1"/>
    <n v="132.93"/>
    <n v="7"/>
  </r>
  <r>
    <s v="ALBANY BAKERIES (BELLVILLE)"/>
    <x v="6"/>
    <x v="894"/>
    <x v="876"/>
    <x v="127"/>
    <x v="436"/>
    <x v="0"/>
    <x v="2"/>
    <x v="2"/>
    <n v="56.02"/>
    <n v="3"/>
  </r>
  <r>
    <s v="ALBANY BAKERIES (BELLVILLE)"/>
    <x v="6"/>
    <x v="894"/>
    <x v="876"/>
    <x v="127"/>
    <x v="436"/>
    <x v="0"/>
    <x v="3"/>
    <x v="3"/>
    <n v="37.979999999999997"/>
    <n v="2"/>
  </r>
  <r>
    <s v="ALBANY BAKERIES (BELLVILLE)"/>
    <x v="6"/>
    <x v="894"/>
    <x v="876"/>
    <x v="127"/>
    <x v="436"/>
    <x v="0"/>
    <x v="4"/>
    <x v="4"/>
    <n v="132.93"/>
    <n v="7"/>
  </r>
  <r>
    <s v="ALBANY BAKERIES (BELLVILLE)"/>
    <x v="6"/>
    <x v="894"/>
    <x v="876"/>
    <x v="127"/>
    <x v="436"/>
    <x v="0"/>
    <x v="5"/>
    <x v="5"/>
    <n v="56.97"/>
    <n v="3"/>
  </r>
  <r>
    <s v="ALBANY BAKERIES (BELLVILLE)"/>
    <x v="6"/>
    <x v="894"/>
    <x v="876"/>
    <x v="127"/>
    <x v="436"/>
    <x v="0"/>
    <x v="6"/>
    <x v="6"/>
    <n v="37.979999999999997"/>
    <n v="2"/>
  </r>
  <r>
    <s v="SPAR WESTERN CAPE"/>
    <x v="6"/>
    <x v="895"/>
    <x v="877"/>
    <x v="64"/>
    <x v="615"/>
    <x v="0"/>
    <x v="0"/>
    <x v="0"/>
    <n v="143.43478260869563"/>
    <n v="5"/>
  </r>
  <r>
    <s v="SPAR WESTERN CAPE"/>
    <x v="6"/>
    <x v="895"/>
    <x v="877"/>
    <x v="64"/>
    <x v="615"/>
    <x v="0"/>
    <x v="1"/>
    <x v="1"/>
    <n v="86.060869565217388"/>
    <n v="3"/>
  </r>
  <r>
    <s v="SPAR WESTERN CAPE"/>
    <x v="6"/>
    <x v="895"/>
    <x v="877"/>
    <x v="64"/>
    <x v="615"/>
    <x v="0"/>
    <x v="2"/>
    <x v="2"/>
    <n v="57.373913043478268"/>
    <n v="2"/>
  </r>
  <r>
    <s v="SPAR WESTERN CAPE"/>
    <x v="6"/>
    <x v="895"/>
    <x v="877"/>
    <x v="64"/>
    <x v="615"/>
    <x v="0"/>
    <x v="3"/>
    <x v="3"/>
    <n v="86.060869565217388"/>
    <n v="3"/>
  </r>
  <r>
    <s v="SPAR WESTERN CAPE"/>
    <x v="6"/>
    <x v="895"/>
    <x v="877"/>
    <x v="64"/>
    <x v="615"/>
    <x v="0"/>
    <x v="5"/>
    <x v="5"/>
    <n v="172.12173913043478"/>
    <n v="6"/>
  </r>
  <r>
    <s v="PREMIER FMCG PTY LTD-BLUE RIBB"/>
    <x v="6"/>
    <x v="648"/>
    <x v="637"/>
    <x v="82"/>
    <x v="439"/>
    <x v="0"/>
    <x v="1"/>
    <x v="1"/>
    <n v="24.330434782608695"/>
    <n v="2"/>
  </r>
  <r>
    <s v="PREMIER FMCG PTY LTD-BLUE RIBB"/>
    <x v="6"/>
    <x v="648"/>
    <x v="637"/>
    <x v="82"/>
    <x v="439"/>
    <x v="0"/>
    <x v="5"/>
    <x v="5"/>
    <n v="24.330434782608695"/>
    <n v="2"/>
  </r>
  <r>
    <s v="PREMIER FMCG PTY LTD-BLUE RIBB"/>
    <x v="6"/>
    <x v="648"/>
    <x v="637"/>
    <x v="82"/>
    <x v="439"/>
    <x v="0"/>
    <x v="6"/>
    <x v="6"/>
    <n v="24.330434782608695"/>
    <n v="2"/>
  </r>
  <r>
    <s v="PREMIER FMCG PTY LTD-BLUE RIBB"/>
    <x v="6"/>
    <x v="649"/>
    <x v="638"/>
    <x v="82"/>
    <x v="439"/>
    <x v="0"/>
    <x v="2"/>
    <x v="2"/>
    <n v="23.721739130434784"/>
    <n v="2"/>
  </r>
  <r>
    <s v="PREMIER FMCG PTY LTD-BLUE RIBB"/>
    <x v="6"/>
    <x v="649"/>
    <x v="638"/>
    <x v="82"/>
    <x v="439"/>
    <x v="0"/>
    <x v="4"/>
    <x v="4"/>
    <n v="24.330434782608695"/>
    <n v="2"/>
  </r>
  <r>
    <s v="PREMIER FMCG PTY LTD-BLUE RIBB"/>
    <x v="6"/>
    <x v="649"/>
    <x v="638"/>
    <x v="82"/>
    <x v="439"/>
    <x v="0"/>
    <x v="6"/>
    <x v="6"/>
    <n v="24.330434782608695"/>
    <n v="2"/>
  </r>
  <r>
    <s v="ALBANY BAKERIES (BELLVILLE)"/>
    <x v="6"/>
    <x v="650"/>
    <x v="639"/>
    <x v="25"/>
    <x v="440"/>
    <x v="0"/>
    <x v="0"/>
    <x v="0"/>
    <n v="45.199999999999996"/>
    <n v="2"/>
  </r>
  <r>
    <s v="ALBANY BAKERIES (BELLVILLE)"/>
    <x v="6"/>
    <x v="650"/>
    <x v="639"/>
    <x v="25"/>
    <x v="440"/>
    <x v="0"/>
    <x v="1"/>
    <x v="1"/>
    <n v="67.8"/>
    <n v="3"/>
  </r>
  <r>
    <s v="ALBANY BAKERIES (BELLVILLE)"/>
    <x v="6"/>
    <x v="658"/>
    <x v="647"/>
    <x v="25"/>
    <x v="444"/>
    <x v="0"/>
    <x v="4"/>
    <x v="4"/>
    <n v="112.99999999999999"/>
    <n v="5"/>
  </r>
  <r>
    <s v="ALBANY BAKERIES (BELLVILLE)"/>
    <x v="6"/>
    <x v="660"/>
    <x v="649"/>
    <x v="25"/>
    <x v="444"/>
    <x v="0"/>
    <x v="2"/>
    <x v="2"/>
    <n v="45.199999999999996"/>
    <n v="2"/>
  </r>
  <r>
    <s v="ALBANY BAKERIES (BELLVILLE)"/>
    <x v="6"/>
    <x v="660"/>
    <x v="649"/>
    <x v="25"/>
    <x v="444"/>
    <x v="0"/>
    <x v="4"/>
    <x v="4"/>
    <n v="45.199999999999996"/>
    <n v="2"/>
  </r>
  <r>
    <s v="ALBANY BAKERIES (BELLVILLE)"/>
    <x v="6"/>
    <x v="661"/>
    <x v="650"/>
    <x v="35"/>
    <x v="446"/>
    <x v="0"/>
    <x v="0"/>
    <x v="0"/>
    <n v="139.06086956521739"/>
    <n v="8"/>
  </r>
  <r>
    <s v="ALBANY BAKERIES (BELLVILLE)"/>
    <x v="6"/>
    <x v="661"/>
    <x v="650"/>
    <x v="35"/>
    <x v="446"/>
    <x v="0"/>
    <x v="1"/>
    <x v="1"/>
    <n v="260.73913043478262"/>
    <n v="15"/>
  </r>
  <r>
    <s v="ALBANY BAKERIES (BELLVILLE)"/>
    <x v="6"/>
    <x v="661"/>
    <x v="650"/>
    <x v="35"/>
    <x v="446"/>
    <x v="0"/>
    <x v="2"/>
    <x v="2"/>
    <n v="172.95652173913044"/>
    <n v="10"/>
  </r>
  <r>
    <s v="ALBANY BAKERIES (BELLVILLE)"/>
    <x v="6"/>
    <x v="661"/>
    <x v="650"/>
    <x v="35"/>
    <x v="446"/>
    <x v="0"/>
    <x v="3"/>
    <x v="3"/>
    <n v="104.29565217391304"/>
    <n v="6"/>
  </r>
  <r>
    <s v="ALBANY BAKERIES (BELLVILLE)"/>
    <x v="6"/>
    <x v="661"/>
    <x v="650"/>
    <x v="35"/>
    <x v="446"/>
    <x v="0"/>
    <x v="4"/>
    <x v="4"/>
    <n v="486.71304347826089"/>
    <n v="28"/>
  </r>
  <r>
    <s v="ALBANY BAKERIES (BELLVILLE)"/>
    <x v="6"/>
    <x v="661"/>
    <x v="650"/>
    <x v="35"/>
    <x v="446"/>
    <x v="0"/>
    <x v="5"/>
    <x v="5"/>
    <n v="52.14782608695652"/>
    <n v="3"/>
  </r>
  <r>
    <s v="PREMIER FMCG PTY LTD-BLUE RIBB"/>
    <x v="6"/>
    <x v="662"/>
    <x v="651"/>
    <x v="82"/>
    <x v="439"/>
    <x v="0"/>
    <x v="4"/>
    <x v="4"/>
    <n v="36.495652173913044"/>
    <n v="3"/>
  </r>
  <r>
    <s v="PREMIER FMCG PTY LTD-BLUE RIBB"/>
    <x v="6"/>
    <x v="663"/>
    <x v="652"/>
    <x v="82"/>
    <x v="439"/>
    <x v="0"/>
    <x v="2"/>
    <x v="2"/>
    <n v="36.495652173913044"/>
    <n v="3"/>
  </r>
  <r>
    <s v="PREMIER FMCG PTY LTD-BLUE RIBB"/>
    <x v="6"/>
    <x v="663"/>
    <x v="652"/>
    <x v="82"/>
    <x v="439"/>
    <x v="0"/>
    <x v="4"/>
    <x v="4"/>
    <n v="24.330434782608695"/>
    <n v="2"/>
  </r>
  <r>
    <s v="SPAR WESTERN CAPE"/>
    <x v="6"/>
    <x v="300"/>
    <x v="294"/>
    <x v="83"/>
    <x v="192"/>
    <x v="0"/>
    <x v="1"/>
    <x v="1"/>
    <n v="99.956521739130437"/>
    <n v="5"/>
  </r>
  <r>
    <s v="SPAR WESTERN CAPE"/>
    <x v="6"/>
    <x v="300"/>
    <x v="294"/>
    <x v="83"/>
    <x v="192"/>
    <x v="0"/>
    <x v="2"/>
    <x v="2"/>
    <n v="39.982608695652175"/>
    <n v="2"/>
  </r>
  <r>
    <s v="SPAR WESTERN CAPE"/>
    <x v="6"/>
    <x v="300"/>
    <x v="294"/>
    <x v="83"/>
    <x v="192"/>
    <x v="0"/>
    <x v="4"/>
    <x v="4"/>
    <n v="59.973913043478262"/>
    <n v="3"/>
  </r>
  <r>
    <s v="SPAR WESTERN CAPE"/>
    <x v="6"/>
    <x v="300"/>
    <x v="294"/>
    <x v="83"/>
    <x v="192"/>
    <x v="0"/>
    <x v="5"/>
    <x v="5"/>
    <n v="79.96521739130435"/>
    <n v="4"/>
  </r>
  <r>
    <s v="SPAR WESTERN CAPE"/>
    <x v="6"/>
    <x v="302"/>
    <x v="296"/>
    <x v="84"/>
    <x v="194"/>
    <x v="0"/>
    <x v="4"/>
    <x v="4"/>
    <n v="83.426086956521743"/>
    <n v="6"/>
  </r>
  <r>
    <s v="SPAR WESTERN CAPE"/>
    <x v="6"/>
    <x v="302"/>
    <x v="296"/>
    <x v="84"/>
    <x v="194"/>
    <x v="0"/>
    <x v="5"/>
    <x v="5"/>
    <n v="41.713043478260872"/>
    <n v="3"/>
  </r>
  <r>
    <s v="SPAR WESTERN CAPE"/>
    <x v="6"/>
    <x v="303"/>
    <x v="297"/>
    <x v="59"/>
    <x v="195"/>
    <x v="0"/>
    <x v="2"/>
    <x v="2"/>
    <n v="41.286956521739128"/>
    <n v="2"/>
  </r>
  <r>
    <s v="SPAR WESTERN CAPE"/>
    <x v="6"/>
    <x v="303"/>
    <x v="297"/>
    <x v="59"/>
    <x v="195"/>
    <x v="0"/>
    <x v="3"/>
    <x v="3"/>
    <n v="65.19130434782609"/>
    <n v="3"/>
  </r>
  <r>
    <s v="SPAR WESTERN CAPE"/>
    <x v="6"/>
    <x v="304"/>
    <x v="298"/>
    <x v="27"/>
    <x v="196"/>
    <x v="0"/>
    <x v="2"/>
    <x v="2"/>
    <n v="69.234782608695653"/>
    <n v="3"/>
  </r>
  <r>
    <s v="SPAR WESTERN CAPE"/>
    <x v="6"/>
    <x v="304"/>
    <x v="298"/>
    <x v="27"/>
    <x v="196"/>
    <x v="0"/>
    <x v="3"/>
    <x v="3"/>
    <n v="46.939130434782605"/>
    <n v="2"/>
  </r>
  <r>
    <s v="SPAR WESTERN CAPE"/>
    <x v="6"/>
    <x v="304"/>
    <x v="298"/>
    <x v="27"/>
    <x v="196"/>
    <x v="0"/>
    <x v="4"/>
    <x v="4"/>
    <n v="93.87826086956521"/>
    <n v="4"/>
  </r>
  <r>
    <s v="SPAR WESTERN CAPE"/>
    <x v="6"/>
    <x v="304"/>
    <x v="298"/>
    <x v="27"/>
    <x v="196"/>
    <x v="0"/>
    <x v="5"/>
    <x v="5"/>
    <n v="140.81739130434784"/>
    <n v="6"/>
  </r>
  <r>
    <s v="SPAR WESTERN CAPE"/>
    <x v="6"/>
    <x v="306"/>
    <x v="300"/>
    <x v="85"/>
    <x v="197"/>
    <x v="0"/>
    <x v="4"/>
    <x v="4"/>
    <n v="59.113043478260877"/>
    <n v="2"/>
  </r>
  <r>
    <s v="SPAR WESTERN CAPE"/>
    <x v="6"/>
    <x v="306"/>
    <x v="300"/>
    <x v="85"/>
    <x v="197"/>
    <x v="0"/>
    <x v="5"/>
    <x v="5"/>
    <n v="59.113043478260877"/>
    <n v="2"/>
  </r>
  <r>
    <s v="ESSENTIAL FD:BAKERY DIV PIONEE"/>
    <x v="6"/>
    <x v="896"/>
    <x v="878"/>
    <x v="126"/>
    <x v="616"/>
    <x v="0"/>
    <x v="0"/>
    <x v="0"/>
    <n v="1868.5304347826082"/>
    <n v="119"/>
  </r>
  <r>
    <s v="ESSENTIAL FD:BAKERY DIV PIONEE"/>
    <x v="6"/>
    <x v="896"/>
    <x v="878"/>
    <x v="126"/>
    <x v="616"/>
    <x v="0"/>
    <x v="1"/>
    <x v="1"/>
    <n v="1626.9217391304348"/>
    <n v="104"/>
  </r>
  <r>
    <s v="ESSENTIAL FD:BAKERY DIV PIONEE"/>
    <x v="6"/>
    <x v="896"/>
    <x v="878"/>
    <x v="126"/>
    <x v="616"/>
    <x v="0"/>
    <x v="2"/>
    <x v="2"/>
    <n v="2036.7652173913045"/>
    <n v="132"/>
  </r>
  <r>
    <s v="ESSENTIAL FD:BAKERY DIV PIONEE"/>
    <x v="6"/>
    <x v="896"/>
    <x v="878"/>
    <x v="126"/>
    <x v="616"/>
    <x v="0"/>
    <x v="3"/>
    <x v="3"/>
    <n v="1628.6608695652174"/>
    <n v="104"/>
  </r>
  <r>
    <s v="ESSENTIAL FD:BAKERY DIV PIONEE"/>
    <x v="6"/>
    <x v="896"/>
    <x v="878"/>
    <x v="126"/>
    <x v="616"/>
    <x v="0"/>
    <x v="4"/>
    <x v="4"/>
    <n v="2659.391304347826"/>
    <n v="170"/>
  </r>
  <r>
    <s v="ESSENTIAL FD:BAKERY DIV PIONEE"/>
    <x v="6"/>
    <x v="896"/>
    <x v="878"/>
    <x v="126"/>
    <x v="616"/>
    <x v="0"/>
    <x v="5"/>
    <x v="5"/>
    <n v="3238.2"/>
    <n v="207"/>
  </r>
  <r>
    <s v="ESSENTIAL FD:BAKERY DIV PIONEE"/>
    <x v="6"/>
    <x v="896"/>
    <x v="878"/>
    <x v="126"/>
    <x v="616"/>
    <x v="0"/>
    <x v="6"/>
    <x v="6"/>
    <n v="1611.2782608695652"/>
    <n v="103"/>
  </r>
  <r>
    <s v="ESSENTIAL FD:BAKERY DIV PIONEE"/>
    <x v="6"/>
    <x v="897"/>
    <x v="879"/>
    <x v="219"/>
    <x v="617"/>
    <x v="0"/>
    <x v="0"/>
    <x v="0"/>
    <n v="428.74"/>
    <n v="26"/>
  </r>
  <r>
    <s v="ESSENTIAL FD:BAKERY DIV PIONEE"/>
    <x v="6"/>
    <x v="897"/>
    <x v="879"/>
    <x v="219"/>
    <x v="617"/>
    <x v="0"/>
    <x v="1"/>
    <x v="1"/>
    <n v="478.21"/>
    <n v="29"/>
  </r>
  <r>
    <s v="ESSENTIAL FD:BAKERY DIV PIONEE"/>
    <x v="6"/>
    <x v="897"/>
    <x v="879"/>
    <x v="219"/>
    <x v="617"/>
    <x v="0"/>
    <x v="2"/>
    <x v="2"/>
    <n v="771.75"/>
    <n v="48"/>
  </r>
  <r>
    <s v="ESSENTIAL FD:BAKERY DIV PIONEE"/>
    <x v="6"/>
    <x v="897"/>
    <x v="879"/>
    <x v="219"/>
    <x v="617"/>
    <x v="0"/>
    <x v="3"/>
    <x v="3"/>
    <n v="395.76"/>
    <n v="24"/>
  </r>
  <r>
    <s v="ESSENTIAL FD:BAKERY DIV PIONEE"/>
    <x v="6"/>
    <x v="897"/>
    <x v="879"/>
    <x v="219"/>
    <x v="617"/>
    <x v="0"/>
    <x v="4"/>
    <x v="4"/>
    <n v="775.03"/>
    <n v="47"/>
  </r>
  <r>
    <s v="ESSENTIAL FD:BAKERY DIV PIONEE"/>
    <x v="6"/>
    <x v="897"/>
    <x v="879"/>
    <x v="219"/>
    <x v="617"/>
    <x v="0"/>
    <x v="5"/>
    <x v="5"/>
    <n v="544.16999999999996"/>
    <n v="33"/>
  </r>
  <r>
    <s v="ESSENTIAL FD:BAKERY DIV PIONEE"/>
    <x v="6"/>
    <x v="897"/>
    <x v="879"/>
    <x v="219"/>
    <x v="617"/>
    <x v="0"/>
    <x v="6"/>
    <x v="6"/>
    <n v="461.72"/>
    <n v="28"/>
  </r>
  <r>
    <s v="ESSENTIAL FD:BAKERY DIV PIONEE"/>
    <x v="6"/>
    <x v="898"/>
    <x v="880"/>
    <x v="1"/>
    <x v="406"/>
    <x v="0"/>
    <x v="0"/>
    <x v="0"/>
    <n v="133.85217391304349"/>
    <n v="7"/>
  </r>
  <r>
    <s v="ESSENTIAL FD:BAKERY DIV PIONEE"/>
    <x v="6"/>
    <x v="898"/>
    <x v="880"/>
    <x v="1"/>
    <x v="406"/>
    <x v="0"/>
    <x v="1"/>
    <x v="1"/>
    <n v="133.85217391304349"/>
    <n v="7"/>
  </r>
  <r>
    <s v="ESSENTIAL FD:BAKERY DIV PIONEE"/>
    <x v="6"/>
    <x v="898"/>
    <x v="880"/>
    <x v="1"/>
    <x v="406"/>
    <x v="0"/>
    <x v="2"/>
    <x v="2"/>
    <n v="207.46956521739131"/>
    <n v="11"/>
  </r>
  <r>
    <s v="ESSENTIAL FD:BAKERY DIV PIONEE"/>
    <x v="6"/>
    <x v="898"/>
    <x v="880"/>
    <x v="1"/>
    <x v="406"/>
    <x v="0"/>
    <x v="3"/>
    <x v="3"/>
    <n v="191.21739130434784"/>
    <n v="10"/>
  </r>
  <r>
    <s v="ESSENTIAL FD:BAKERY DIV PIONEE"/>
    <x v="6"/>
    <x v="898"/>
    <x v="880"/>
    <x v="1"/>
    <x v="406"/>
    <x v="0"/>
    <x v="4"/>
    <x v="4"/>
    <n v="172.09565217391304"/>
    <n v="9"/>
  </r>
  <r>
    <s v="ESSENTIAL FD:BAKERY DIV PIONEE"/>
    <x v="6"/>
    <x v="898"/>
    <x v="880"/>
    <x v="1"/>
    <x v="406"/>
    <x v="0"/>
    <x v="5"/>
    <x v="5"/>
    <n v="133.85217391304349"/>
    <n v="7"/>
  </r>
  <r>
    <s v="ESSENTIAL FD:BAKERY DIV PIONEE"/>
    <x v="6"/>
    <x v="898"/>
    <x v="880"/>
    <x v="1"/>
    <x v="406"/>
    <x v="0"/>
    <x v="6"/>
    <x v="6"/>
    <n v="133.85217391304349"/>
    <n v="7"/>
  </r>
  <r>
    <s v="ESSENTIAL FD:BAKERY DIV PIONEE"/>
    <x v="6"/>
    <x v="899"/>
    <x v="881"/>
    <x v="35"/>
    <x v="406"/>
    <x v="0"/>
    <x v="0"/>
    <x v="0"/>
    <n v="199.9"/>
    <n v="10"/>
  </r>
  <r>
    <s v="ESSENTIAL FD:BAKERY DIV PIONEE"/>
    <x v="6"/>
    <x v="899"/>
    <x v="881"/>
    <x v="35"/>
    <x v="406"/>
    <x v="0"/>
    <x v="1"/>
    <x v="1"/>
    <n v="139.93"/>
    <n v="7"/>
  </r>
  <r>
    <s v="ESSENTIAL FD:BAKERY DIV PIONEE"/>
    <x v="6"/>
    <x v="899"/>
    <x v="881"/>
    <x v="35"/>
    <x v="406"/>
    <x v="0"/>
    <x v="2"/>
    <x v="2"/>
    <n v="38.979999999999997"/>
    <n v="2"/>
  </r>
  <r>
    <s v="ESSENTIAL FD:BAKERY DIV PIONEE"/>
    <x v="6"/>
    <x v="899"/>
    <x v="881"/>
    <x v="35"/>
    <x v="406"/>
    <x v="0"/>
    <x v="3"/>
    <x v="3"/>
    <n v="59.97"/>
    <n v="3"/>
  </r>
  <r>
    <s v="ESSENTIAL FD:BAKERY DIV PIONEE"/>
    <x v="6"/>
    <x v="899"/>
    <x v="881"/>
    <x v="35"/>
    <x v="406"/>
    <x v="0"/>
    <x v="4"/>
    <x v="4"/>
    <n v="79.959999999999994"/>
    <n v="4"/>
  </r>
  <r>
    <s v="ESSENTIAL FD:BAKERY DIV PIONEE"/>
    <x v="6"/>
    <x v="899"/>
    <x v="881"/>
    <x v="35"/>
    <x v="406"/>
    <x v="0"/>
    <x v="5"/>
    <x v="5"/>
    <n v="119.94"/>
    <n v="6"/>
  </r>
  <r>
    <s v="ESSENTIAL FD:BAKERY DIV PIONEE"/>
    <x v="6"/>
    <x v="899"/>
    <x v="881"/>
    <x v="35"/>
    <x v="406"/>
    <x v="0"/>
    <x v="6"/>
    <x v="6"/>
    <n v="119.94"/>
    <n v="6"/>
  </r>
  <r>
    <s v="ESSENTIAL FD:BAKERY DIV PIONEE"/>
    <x v="6"/>
    <x v="900"/>
    <x v="882"/>
    <x v="164"/>
    <x v="618"/>
    <x v="0"/>
    <x v="0"/>
    <x v="0"/>
    <n v="91.47"/>
    <n v="3"/>
  </r>
  <r>
    <s v="ESSENTIAL FD:BAKERY DIV PIONEE"/>
    <x v="6"/>
    <x v="900"/>
    <x v="882"/>
    <x v="164"/>
    <x v="618"/>
    <x v="0"/>
    <x v="1"/>
    <x v="1"/>
    <n v="182.94"/>
    <n v="6"/>
  </r>
  <r>
    <s v="ESSENTIAL FD:BAKERY DIV PIONEE"/>
    <x v="6"/>
    <x v="900"/>
    <x v="882"/>
    <x v="164"/>
    <x v="618"/>
    <x v="0"/>
    <x v="2"/>
    <x v="2"/>
    <n v="60.98"/>
    <n v="2"/>
  </r>
  <r>
    <s v="ESSENTIAL FD:BAKERY DIV PIONEE"/>
    <x v="6"/>
    <x v="900"/>
    <x v="882"/>
    <x v="164"/>
    <x v="618"/>
    <x v="0"/>
    <x v="3"/>
    <x v="3"/>
    <n v="121.96"/>
    <n v="4"/>
  </r>
  <r>
    <s v="ESSENTIAL FD:BAKERY DIV PIONEE"/>
    <x v="6"/>
    <x v="900"/>
    <x v="882"/>
    <x v="164"/>
    <x v="618"/>
    <x v="0"/>
    <x v="4"/>
    <x v="4"/>
    <n v="60.98"/>
    <n v="2"/>
  </r>
  <r>
    <s v="ESSENTIAL FD:BAKERY DIV PIONEE"/>
    <x v="6"/>
    <x v="900"/>
    <x v="882"/>
    <x v="164"/>
    <x v="618"/>
    <x v="0"/>
    <x v="5"/>
    <x v="5"/>
    <n v="121.96"/>
    <n v="4"/>
  </r>
  <r>
    <s v="ESSENTIAL FD:BAKERY DIV PIONEE"/>
    <x v="6"/>
    <x v="900"/>
    <x v="882"/>
    <x v="164"/>
    <x v="618"/>
    <x v="0"/>
    <x v="6"/>
    <x v="6"/>
    <n v="60.98"/>
    <n v="2"/>
  </r>
  <r>
    <s v="ESSENTIAL FD:BAKERY DIV PIONEE"/>
    <x v="6"/>
    <x v="901"/>
    <x v="883"/>
    <x v="220"/>
    <x v="619"/>
    <x v="0"/>
    <x v="0"/>
    <x v="0"/>
    <n v="117.96"/>
    <n v="4"/>
  </r>
  <r>
    <s v="ESSENTIAL FD:BAKERY DIV PIONEE"/>
    <x v="6"/>
    <x v="901"/>
    <x v="883"/>
    <x v="220"/>
    <x v="619"/>
    <x v="0"/>
    <x v="1"/>
    <x v="1"/>
    <n v="235.92"/>
    <n v="8"/>
  </r>
  <r>
    <s v="ESSENTIAL FD:BAKERY DIV PIONEE"/>
    <x v="6"/>
    <x v="901"/>
    <x v="883"/>
    <x v="220"/>
    <x v="619"/>
    <x v="0"/>
    <x v="2"/>
    <x v="2"/>
    <n v="87"/>
    <n v="3"/>
  </r>
  <r>
    <s v="ESSENTIAL FD:BAKERY DIV PIONEE"/>
    <x v="6"/>
    <x v="901"/>
    <x v="883"/>
    <x v="220"/>
    <x v="619"/>
    <x v="0"/>
    <x v="3"/>
    <x v="3"/>
    <n v="58.98"/>
    <n v="2"/>
  </r>
  <r>
    <s v="ESSENTIAL FD:BAKERY DIV PIONEE"/>
    <x v="6"/>
    <x v="901"/>
    <x v="883"/>
    <x v="220"/>
    <x v="619"/>
    <x v="0"/>
    <x v="4"/>
    <x v="4"/>
    <n v="88.47"/>
    <n v="3"/>
  </r>
  <r>
    <s v="ESSENTIAL FD:BAKERY DIV PIONEE"/>
    <x v="6"/>
    <x v="901"/>
    <x v="883"/>
    <x v="220"/>
    <x v="619"/>
    <x v="0"/>
    <x v="5"/>
    <x v="5"/>
    <n v="88.47"/>
    <n v="3"/>
  </r>
  <r>
    <s v="ESSENTIAL FD:BAKERY DIV PIONEE"/>
    <x v="6"/>
    <x v="901"/>
    <x v="883"/>
    <x v="220"/>
    <x v="619"/>
    <x v="0"/>
    <x v="6"/>
    <x v="6"/>
    <n v="58.98"/>
    <n v="2"/>
  </r>
  <r>
    <s v="ESSENTIAL FD:BAKERY DIV PIONEE"/>
    <x v="6"/>
    <x v="902"/>
    <x v="884"/>
    <x v="24"/>
    <x v="618"/>
    <x v="0"/>
    <x v="0"/>
    <x v="0"/>
    <n v="104.31304347826087"/>
    <n v="4"/>
  </r>
  <r>
    <s v="ESSENTIAL FD:BAKERY DIV PIONEE"/>
    <x v="6"/>
    <x v="902"/>
    <x v="884"/>
    <x v="24"/>
    <x v="618"/>
    <x v="0"/>
    <x v="1"/>
    <x v="1"/>
    <n v="52.156521739130433"/>
    <n v="2"/>
  </r>
  <r>
    <s v="ESSENTIAL FD:BAKERY DIV PIONEE"/>
    <x v="6"/>
    <x v="902"/>
    <x v="884"/>
    <x v="24"/>
    <x v="618"/>
    <x v="0"/>
    <x v="2"/>
    <x v="2"/>
    <n v="155.16521739130434"/>
    <n v="6"/>
  </r>
  <r>
    <s v="ESSENTIAL FD:BAKERY DIV PIONEE"/>
    <x v="6"/>
    <x v="902"/>
    <x v="884"/>
    <x v="24"/>
    <x v="618"/>
    <x v="0"/>
    <x v="3"/>
    <x v="3"/>
    <n v="78.234782608695653"/>
    <n v="3"/>
  </r>
  <r>
    <s v="ESSENTIAL FD:BAKERY DIV PIONEE"/>
    <x v="6"/>
    <x v="902"/>
    <x v="884"/>
    <x v="24"/>
    <x v="618"/>
    <x v="0"/>
    <x v="4"/>
    <x v="4"/>
    <n v="156.46956521739131"/>
    <n v="6"/>
  </r>
  <r>
    <s v="ESSENTIAL FD:BAKERY DIV PIONEE"/>
    <x v="6"/>
    <x v="902"/>
    <x v="884"/>
    <x v="24"/>
    <x v="618"/>
    <x v="0"/>
    <x v="5"/>
    <x v="5"/>
    <n v="104.31304347826087"/>
    <n v="4"/>
  </r>
  <r>
    <s v="ESSENTIAL FD:BAKERY DIV PIONEE"/>
    <x v="6"/>
    <x v="902"/>
    <x v="884"/>
    <x v="24"/>
    <x v="618"/>
    <x v="0"/>
    <x v="6"/>
    <x v="6"/>
    <n v="52.156521739130433"/>
    <n v="2"/>
  </r>
  <r>
    <s v="ESSENTIAL FD:BAKERY DIV PIONEE"/>
    <x v="6"/>
    <x v="647"/>
    <x v="636"/>
    <x v="164"/>
    <x v="438"/>
    <x v="0"/>
    <x v="0"/>
    <x v="0"/>
    <n v="60.98"/>
    <n v="2"/>
  </r>
  <r>
    <s v="ESSENTIAL FD:BAKERY DIV PIONEE"/>
    <x v="6"/>
    <x v="647"/>
    <x v="636"/>
    <x v="164"/>
    <x v="438"/>
    <x v="0"/>
    <x v="2"/>
    <x v="2"/>
    <n v="89.95"/>
    <n v="3"/>
  </r>
  <r>
    <s v="ESSENTIAL FD:BAKERY DIV PIONEE"/>
    <x v="6"/>
    <x v="647"/>
    <x v="636"/>
    <x v="164"/>
    <x v="438"/>
    <x v="0"/>
    <x v="5"/>
    <x v="5"/>
    <n v="91.47"/>
    <n v="3"/>
  </r>
  <r>
    <s v="ESSENTIAL FD:BAKERY DIV PIONEE"/>
    <x v="6"/>
    <x v="903"/>
    <x v="885"/>
    <x v="57"/>
    <x v="620"/>
    <x v="0"/>
    <x v="0"/>
    <x v="0"/>
    <n v="71.97"/>
    <n v="3"/>
  </r>
  <r>
    <s v="ESSENTIAL FD:BAKERY DIV PIONEE"/>
    <x v="6"/>
    <x v="903"/>
    <x v="885"/>
    <x v="57"/>
    <x v="620"/>
    <x v="0"/>
    <x v="1"/>
    <x v="1"/>
    <n v="95.96"/>
    <n v="4"/>
  </r>
  <r>
    <s v="ESSENTIAL FD:BAKERY DIV PIONEE"/>
    <x v="6"/>
    <x v="903"/>
    <x v="885"/>
    <x v="57"/>
    <x v="620"/>
    <x v="0"/>
    <x v="2"/>
    <x v="2"/>
    <n v="211.11"/>
    <n v="9"/>
  </r>
  <r>
    <s v="ESSENTIAL FD:BAKERY DIV PIONEE"/>
    <x v="6"/>
    <x v="903"/>
    <x v="885"/>
    <x v="57"/>
    <x v="620"/>
    <x v="0"/>
    <x v="4"/>
    <x v="4"/>
    <n v="71.97"/>
    <n v="3"/>
  </r>
  <r>
    <s v="ESSENTIAL FD:BAKERY DIV PIONEE"/>
    <x v="6"/>
    <x v="903"/>
    <x v="885"/>
    <x v="57"/>
    <x v="620"/>
    <x v="0"/>
    <x v="5"/>
    <x v="5"/>
    <n v="95.96"/>
    <n v="4"/>
  </r>
  <r>
    <s v="ESSENTIAL FD:BAKERY DIV PIONEE"/>
    <x v="6"/>
    <x v="904"/>
    <x v="886"/>
    <x v="59"/>
    <x v="621"/>
    <x v="0"/>
    <x v="0"/>
    <x v="0"/>
    <n v="152.11304347826086"/>
    <n v="7"/>
  </r>
  <r>
    <s v="ESSENTIAL FD:BAKERY DIV PIONEE"/>
    <x v="6"/>
    <x v="904"/>
    <x v="886"/>
    <x v="59"/>
    <x v="621"/>
    <x v="0"/>
    <x v="1"/>
    <x v="1"/>
    <n v="108.65217391304348"/>
    <n v="5"/>
  </r>
  <r>
    <s v="ESSENTIAL FD:BAKERY DIV PIONEE"/>
    <x v="6"/>
    <x v="904"/>
    <x v="886"/>
    <x v="59"/>
    <x v="621"/>
    <x v="0"/>
    <x v="3"/>
    <x v="3"/>
    <n v="130.38260869565218"/>
    <n v="6"/>
  </r>
  <r>
    <s v="ESSENTIAL FD:BAKERY DIV PIONEE"/>
    <x v="6"/>
    <x v="904"/>
    <x v="886"/>
    <x v="59"/>
    <x v="621"/>
    <x v="0"/>
    <x v="4"/>
    <x v="4"/>
    <n v="173.84347826086955"/>
    <n v="8"/>
  </r>
  <r>
    <s v="ESSENTIAL FD:BAKERY DIV PIONEE"/>
    <x v="6"/>
    <x v="904"/>
    <x v="886"/>
    <x v="59"/>
    <x v="621"/>
    <x v="0"/>
    <x v="5"/>
    <x v="5"/>
    <n v="130.38260869565218"/>
    <n v="6"/>
  </r>
  <r>
    <s v="ESSENTIAL FD:BAKERY DIV PIONEE"/>
    <x v="6"/>
    <x v="905"/>
    <x v="887"/>
    <x v="59"/>
    <x v="622"/>
    <x v="0"/>
    <x v="0"/>
    <x v="0"/>
    <n v="43.460869565217386"/>
    <n v="2"/>
  </r>
  <r>
    <s v="ESSENTIAL FD:BAKERY DIV PIONEE"/>
    <x v="6"/>
    <x v="905"/>
    <x v="887"/>
    <x v="59"/>
    <x v="622"/>
    <x v="0"/>
    <x v="1"/>
    <x v="1"/>
    <n v="86.921739130434773"/>
    <n v="4"/>
  </r>
  <r>
    <s v="ESSENTIAL FD:BAKERY DIV PIONEE"/>
    <x v="6"/>
    <x v="905"/>
    <x v="887"/>
    <x v="59"/>
    <x v="622"/>
    <x v="0"/>
    <x v="2"/>
    <x v="2"/>
    <n v="583.46086956521742"/>
    <n v="28"/>
  </r>
  <r>
    <s v="ESSENTIAL FD:BAKERY DIV PIONEE"/>
    <x v="6"/>
    <x v="905"/>
    <x v="887"/>
    <x v="59"/>
    <x v="622"/>
    <x v="0"/>
    <x v="3"/>
    <x v="3"/>
    <n v="173.84347826086955"/>
    <n v="8"/>
  </r>
  <r>
    <s v="ESSENTIAL FD:BAKERY DIV PIONEE"/>
    <x v="6"/>
    <x v="905"/>
    <x v="887"/>
    <x v="59"/>
    <x v="622"/>
    <x v="0"/>
    <x v="4"/>
    <x v="4"/>
    <n v="108.65217391304348"/>
    <n v="5"/>
  </r>
  <r>
    <s v="ESSENTIAL FD:BAKERY DIV PIONEE"/>
    <x v="6"/>
    <x v="905"/>
    <x v="887"/>
    <x v="59"/>
    <x v="622"/>
    <x v="0"/>
    <x v="5"/>
    <x v="5"/>
    <n v="86.921739130434773"/>
    <n v="4"/>
  </r>
  <r>
    <s v="PREMIER FMCG PTY LTD-BLUE RIBB"/>
    <x v="6"/>
    <x v="883"/>
    <x v="866"/>
    <x v="112"/>
    <x v="608"/>
    <x v="0"/>
    <x v="5"/>
    <x v="5"/>
    <n v="18.252173913043478"/>
    <n v="1"/>
  </r>
  <r>
    <s v="ALTAS TUISGEBAK BK"/>
    <x v="18"/>
    <x v="515"/>
    <x v="508"/>
    <x v="40"/>
    <x v="365"/>
    <x v="0"/>
    <x v="3"/>
    <x v="3"/>
    <n v="147.81739130434784"/>
    <n v="1"/>
  </r>
  <r>
    <s v="ALTAS TUISGEBAK BK"/>
    <x v="18"/>
    <x v="515"/>
    <x v="508"/>
    <x v="40"/>
    <x v="365"/>
    <x v="0"/>
    <x v="4"/>
    <x v="4"/>
    <n v="147.81739130434784"/>
    <n v="1"/>
  </r>
  <r>
    <s v="ALTAS TUISGEBAK BK"/>
    <x v="18"/>
    <x v="516"/>
    <x v="509"/>
    <x v="23"/>
    <x v="366"/>
    <x v="0"/>
    <x v="2"/>
    <x v="2"/>
    <n v="69.556521739130432"/>
    <n v="1"/>
  </r>
  <r>
    <s v="ALTAS TUISGEBAK BK"/>
    <x v="18"/>
    <x v="519"/>
    <x v="512"/>
    <x v="40"/>
    <x v="365"/>
    <x v="0"/>
    <x v="2"/>
    <x v="2"/>
    <n v="147.81739130434784"/>
    <n v="1"/>
  </r>
  <r>
    <s v="ALTAS TUISGEBAK BK"/>
    <x v="18"/>
    <x v="519"/>
    <x v="512"/>
    <x v="40"/>
    <x v="365"/>
    <x v="0"/>
    <x v="6"/>
    <x v="6"/>
    <n v="147.81739130434784"/>
    <n v="1"/>
  </r>
  <r>
    <s v="ALTAS TUISGEBAK BK"/>
    <x v="18"/>
    <x v="521"/>
    <x v="514"/>
    <x v="47"/>
    <x v="369"/>
    <x v="0"/>
    <x v="6"/>
    <x v="6"/>
    <n v="95.643478260869557"/>
    <n v="1"/>
  </r>
  <r>
    <s v="ALTAS TUISGEBAK BK"/>
    <x v="18"/>
    <x v="522"/>
    <x v="515"/>
    <x v="134"/>
    <x v="370"/>
    <x v="0"/>
    <x v="4"/>
    <x v="4"/>
    <n v="93.904347826086948"/>
    <n v="1"/>
  </r>
  <r>
    <s v="ALTAS TUISGEBAK BK"/>
    <x v="18"/>
    <x v="522"/>
    <x v="515"/>
    <x v="134"/>
    <x v="370"/>
    <x v="0"/>
    <x v="6"/>
    <x v="6"/>
    <n v="93.904347826086948"/>
    <n v="1"/>
  </r>
  <r>
    <s v="ALTAS TUISGEBAK BK"/>
    <x v="18"/>
    <x v="523"/>
    <x v="516"/>
    <x v="46"/>
    <x v="371"/>
    <x v="0"/>
    <x v="1"/>
    <x v="1"/>
    <n v="93.03478260869565"/>
    <n v="1"/>
  </r>
  <r>
    <s v="ALTAS TUISGEBAK BK"/>
    <x v="18"/>
    <x v="523"/>
    <x v="516"/>
    <x v="46"/>
    <x v="371"/>
    <x v="0"/>
    <x v="6"/>
    <x v="6"/>
    <n v="93.03478260869565"/>
    <n v="1"/>
  </r>
  <r>
    <s v="ALTAS TUISGEBAK BK"/>
    <x v="18"/>
    <x v="524"/>
    <x v="517"/>
    <x v="135"/>
    <x v="372"/>
    <x v="0"/>
    <x v="4"/>
    <x v="4"/>
    <n v="90.426086956521729"/>
    <n v="1"/>
  </r>
  <r>
    <s v="ALTAS TUISGEBAK BK"/>
    <x v="18"/>
    <x v="524"/>
    <x v="517"/>
    <x v="135"/>
    <x v="372"/>
    <x v="0"/>
    <x v="6"/>
    <x v="6"/>
    <n v="90.426086956521729"/>
    <n v="1"/>
  </r>
  <r>
    <s v="ALTAS TUISGEBAK BK"/>
    <x v="18"/>
    <x v="525"/>
    <x v="518"/>
    <x v="135"/>
    <x v="372"/>
    <x v="0"/>
    <x v="3"/>
    <x v="3"/>
    <n v="90.426086956521729"/>
    <n v="1"/>
  </r>
  <r>
    <s v="ALTAS TUISGEBAK BK"/>
    <x v="18"/>
    <x v="525"/>
    <x v="518"/>
    <x v="135"/>
    <x v="372"/>
    <x v="0"/>
    <x v="5"/>
    <x v="5"/>
    <n v="90.426086956521729"/>
    <n v="1"/>
  </r>
  <r>
    <s v="ALTAS TUISGEBAK BK"/>
    <x v="18"/>
    <x v="525"/>
    <x v="518"/>
    <x v="135"/>
    <x v="372"/>
    <x v="0"/>
    <x v="6"/>
    <x v="6"/>
    <n v="90.426086956521729"/>
    <n v="1"/>
  </r>
  <r>
    <s v="PREMIER FMCG PTY LTD-BLUE RIBB"/>
    <x v="6"/>
    <x v="642"/>
    <x v="631"/>
    <x v="59"/>
    <x v="434"/>
    <x v="0"/>
    <x v="2"/>
    <x v="2"/>
    <n v="20.643478260869564"/>
    <n v="1"/>
  </r>
  <r>
    <s v="BAKERY PRODUCTS"/>
    <x v="0"/>
    <x v="403"/>
    <x v="396"/>
    <x v="27"/>
    <x v="275"/>
    <x v="0"/>
    <x v="5"/>
    <x v="5"/>
    <n v="23.469565217391303"/>
    <n v="1"/>
  </r>
  <r>
    <s v="ALTAS TUISGEBAK BK"/>
    <x v="18"/>
    <x v="526"/>
    <x v="519"/>
    <x v="23"/>
    <x v="366"/>
    <x v="0"/>
    <x v="6"/>
    <x v="6"/>
    <n v="69.556521739130432"/>
    <n v="1"/>
  </r>
  <r>
    <s v="ALTAS TUISGEBAK BK"/>
    <x v="18"/>
    <x v="527"/>
    <x v="520"/>
    <x v="87"/>
    <x v="373"/>
    <x v="0"/>
    <x v="0"/>
    <x v="0"/>
    <n v="59.121739130434776"/>
    <n v="1"/>
  </r>
  <r>
    <s v="ALTAS TUISGEBAK BK"/>
    <x v="18"/>
    <x v="527"/>
    <x v="520"/>
    <x v="87"/>
    <x v="373"/>
    <x v="0"/>
    <x v="4"/>
    <x v="4"/>
    <n v="59.121739130434776"/>
    <n v="1"/>
  </r>
  <r>
    <s v="ALTAS TUISGEBAK BK"/>
    <x v="18"/>
    <x v="527"/>
    <x v="520"/>
    <x v="87"/>
    <x v="373"/>
    <x v="0"/>
    <x v="6"/>
    <x v="6"/>
    <n v="59.121739130434776"/>
    <n v="1"/>
  </r>
  <r>
    <s v="ALBANY BAKERIES (BELLVILLE)"/>
    <x v="6"/>
    <x v="644"/>
    <x v="633"/>
    <x v="127"/>
    <x v="436"/>
    <x v="0"/>
    <x v="2"/>
    <x v="2"/>
    <n v="18.04"/>
    <n v="1"/>
  </r>
  <r>
    <s v="ALBANY BAKERIES (BELLVILLE)"/>
    <x v="6"/>
    <x v="644"/>
    <x v="633"/>
    <x v="127"/>
    <x v="436"/>
    <x v="0"/>
    <x v="3"/>
    <x v="3"/>
    <n v="18.989999999999998"/>
    <n v="1"/>
  </r>
  <r>
    <s v="ALTAS TUISGEBAK BK"/>
    <x v="18"/>
    <x v="528"/>
    <x v="521"/>
    <x v="32"/>
    <x v="374"/>
    <x v="0"/>
    <x v="4"/>
    <x v="4"/>
    <n v="54.77391304347826"/>
    <n v="1"/>
  </r>
  <r>
    <s v="ALTAS TUISGEBAK BK"/>
    <x v="18"/>
    <x v="528"/>
    <x v="521"/>
    <x v="32"/>
    <x v="374"/>
    <x v="0"/>
    <x v="6"/>
    <x v="6"/>
    <n v="54.77391304347826"/>
    <n v="1"/>
  </r>
  <r>
    <s v="BAKE IT EASY"/>
    <x v="5"/>
    <x v="745"/>
    <x v="733"/>
    <x v="34"/>
    <x v="505"/>
    <x v="0"/>
    <x v="0"/>
    <x v="0"/>
    <n v="13.034782608695652"/>
    <n v="1"/>
  </r>
  <r>
    <s v="ALBANY BAKERIES (BELLVILLE)"/>
    <x v="6"/>
    <x v="645"/>
    <x v="634"/>
    <x v="25"/>
    <x v="437"/>
    <x v="0"/>
    <x v="5"/>
    <x v="5"/>
    <n v="25.99"/>
    <n v="1"/>
  </r>
  <r>
    <s v="VECTOR LOG.(PTY)LTD GOOSEBUMPS"/>
    <x v="11"/>
    <x v="721"/>
    <x v="710"/>
    <x v="61"/>
    <x v="487"/>
    <x v="0"/>
    <x v="2"/>
    <x v="2"/>
    <n v="25.208695652173912"/>
    <n v="1"/>
  </r>
  <r>
    <s v="VECTOR LOG.(PTY)LTD GOOSEBUMPS"/>
    <x v="11"/>
    <x v="721"/>
    <x v="710"/>
    <x v="61"/>
    <x v="487"/>
    <x v="0"/>
    <x v="5"/>
    <x v="5"/>
    <n v="25.208695652173912"/>
    <n v="1"/>
  </r>
  <r>
    <s v="ROSSOUW D"/>
    <x v="11"/>
    <x v="693"/>
    <x v="682"/>
    <x v="173"/>
    <x v="468"/>
    <x v="0"/>
    <x v="6"/>
    <x v="6"/>
    <n v="43.478260869565219"/>
    <n v="1"/>
  </r>
  <r>
    <s v="PREMIER FMCG PTY LTD-BLUE RIBB"/>
    <x v="6"/>
    <x v="893"/>
    <x v="875"/>
    <x v="112"/>
    <x v="614"/>
    <x v="0"/>
    <x v="4"/>
    <x v="4"/>
    <n v="20.99"/>
    <n v="1"/>
  </r>
  <r>
    <s v="PREMIER FMCG PTY LTD-BLUE RIBB"/>
    <x v="6"/>
    <x v="893"/>
    <x v="875"/>
    <x v="112"/>
    <x v="614"/>
    <x v="0"/>
    <x v="5"/>
    <x v="5"/>
    <n v="20.99"/>
    <n v="1"/>
  </r>
  <r>
    <s v="ALBANY BAKERIES (BELLVILLE)"/>
    <x v="2"/>
    <x v="568"/>
    <x v="559"/>
    <x v="97"/>
    <x v="395"/>
    <x v="0"/>
    <x v="3"/>
    <x v="3"/>
    <n v="8.6869565217391305"/>
    <n v="1"/>
  </r>
  <r>
    <s v="VECTOR LOG.(PTY)LTD GOOSEBUMPS"/>
    <x v="11"/>
    <x v="722"/>
    <x v="711"/>
    <x v="44"/>
    <x v="488"/>
    <x v="0"/>
    <x v="1"/>
    <x v="1"/>
    <n v="33.03478260869565"/>
    <n v="1"/>
  </r>
  <r>
    <s v="VECTOR LOG.(PTY)LTD GOOSEBUMPS"/>
    <x v="11"/>
    <x v="722"/>
    <x v="711"/>
    <x v="44"/>
    <x v="488"/>
    <x v="0"/>
    <x v="6"/>
    <x v="6"/>
    <n v="33.03478260869565"/>
    <n v="1"/>
  </r>
  <r>
    <s v="ESSENTIAL FD:BAKERY DIV PIONEE"/>
    <x v="6"/>
    <x v="647"/>
    <x v="636"/>
    <x v="164"/>
    <x v="438"/>
    <x v="0"/>
    <x v="4"/>
    <x v="4"/>
    <n v="30.49"/>
    <n v="1"/>
  </r>
  <r>
    <s v="ESSENTIAL FD:BAKERY DIV PIONEE"/>
    <x v="6"/>
    <x v="647"/>
    <x v="636"/>
    <x v="164"/>
    <x v="438"/>
    <x v="0"/>
    <x v="6"/>
    <x v="6"/>
    <n v="30.49"/>
    <n v="1"/>
  </r>
  <r>
    <s v="BAKERY PRODUCTS"/>
    <x v="3"/>
    <x v="338"/>
    <x v="331"/>
    <x v="62"/>
    <x v="213"/>
    <x v="0"/>
    <x v="2"/>
    <x v="2"/>
    <n v="24.339130434782607"/>
    <n v="1"/>
  </r>
  <r>
    <s v="BAKERY PRODUCTS"/>
    <x v="3"/>
    <x v="338"/>
    <x v="331"/>
    <x v="62"/>
    <x v="213"/>
    <x v="0"/>
    <x v="6"/>
    <x v="6"/>
    <n v="24.339130434782607"/>
    <n v="1"/>
  </r>
  <r>
    <s v="PREMIER FMCG PTY LTD-BLUE RIBB"/>
    <x v="6"/>
    <x v="648"/>
    <x v="637"/>
    <x v="82"/>
    <x v="439"/>
    <x v="0"/>
    <x v="0"/>
    <x v="0"/>
    <n v="12.165217391304347"/>
    <n v="1"/>
  </r>
  <r>
    <s v="PREMIER FMCG PTY LTD-BLUE RIBB"/>
    <x v="6"/>
    <x v="648"/>
    <x v="637"/>
    <x v="82"/>
    <x v="439"/>
    <x v="0"/>
    <x v="2"/>
    <x v="2"/>
    <n v="11.556521739130433"/>
    <n v="1"/>
  </r>
  <r>
    <s v="PREMIER FMCG PTY LTD-BLUE RIBB"/>
    <x v="6"/>
    <x v="648"/>
    <x v="637"/>
    <x v="82"/>
    <x v="439"/>
    <x v="0"/>
    <x v="4"/>
    <x v="4"/>
    <n v="12.165217391304347"/>
    <n v="1"/>
  </r>
  <r>
    <s v="PREMIER FMCG PTY LTD-BLUE RIBB"/>
    <x v="6"/>
    <x v="649"/>
    <x v="638"/>
    <x v="82"/>
    <x v="439"/>
    <x v="0"/>
    <x v="1"/>
    <x v="1"/>
    <n v="12.165217391304347"/>
    <n v="1"/>
  </r>
  <r>
    <s v="PREMIER FMCG PTY LTD-BLUE RIBB"/>
    <x v="6"/>
    <x v="649"/>
    <x v="638"/>
    <x v="82"/>
    <x v="439"/>
    <x v="0"/>
    <x v="3"/>
    <x v="3"/>
    <n v="12.165217391304347"/>
    <n v="1"/>
  </r>
  <r>
    <s v="PREMIER FMCG PTY LTD-BLUE RIBB"/>
    <x v="6"/>
    <x v="649"/>
    <x v="638"/>
    <x v="82"/>
    <x v="439"/>
    <x v="0"/>
    <x v="5"/>
    <x v="5"/>
    <n v="12.165217391304347"/>
    <n v="1"/>
  </r>
  <r>
    <s v="ESSENTIAL FD:BAKERY DIV PIONEE"/>
    <x v="6"/>
    <x v="903"/>
    <x v="885"/>
    <x v="57"/>
    <x v="620"/>
    <x v="0"/>
    <x v="3"/>
    <x v="3"/>
    <n v="23.99"/>
    <n v="1"/>
  </r>
  <r>
    <s v="ESSENTIAL FD:BAKERY DIV PIONEE"/>
    <x v="6"/>
    <x v="903"/>
    <x v="885"/>
    <x v="57"/>
    <x v="620"/>
    <x v="0"/>
    <x v="6"/>
    <x v="6"/>
    <n v="23.99"/>
    <n v="1"/>
  </r>
  <r>
    <s v="ALBANY BAKERIES (BELLVILLE)"/>
    <x v="6"/>
    <x v="650"/>
    <x v="639"/>
    <x v="25"/>
    <x v="440"/>
    <x v="0"/>
    <x v="2"/>
    <x v="2"/>
    <n v="21.469565217391306"/>
    <n v="1"/>
  </r>
  <r>
    <s v="ALBANY BAKERIES (BELLVILLE)"/>
    <x v="6"/>
    <x v="650"/>
    <x v="639"/>
    <x v="25"/>
    <x v="440"/>
    <x v="0"/>
    <x v="6"/>
    <x v="6"/>
    <n v="22.599999999999998"/>
    <n v="1"/>
  </r>
  <r>
    <s v="ESSENTIAL FD:BAKERY DIV PIONEE"/>
    <x v="6"/>
    <x v="904"/>
    <x v="886"/>
    <x v="59"/>
    <x v="621"/>
    <x v="0"/>
    <x v="2"/>
    <x v="2"/>
    <n v="21.730434782608693"/>
    <n v="1"/>
  </r>
  <r>
    <s v="ESSENTIAL FD:BAKERY DIV PIONEE"/>
    <x v="6"/>
    <x v="904"/>
    <x v="886"/>
    <x v="59"/>
    <x v="621"/>
    <x v="0"/>
    <x v="6"/>
    <x v="6"/>
    <n v="21.730434782608693"/>
    <n v="1"/>
  </r>
  <r>
    <s v="ESSENTIAL FD:BAKERY DIV PIONEE"/>
    <x v="6"/>
    <x v="905"/>
    <x v="887"/>
    <x v="59"/>
    <x v="622"/>
    <x v="0"/>
    <x v="6"/>
    <x v="6"/>
    <n v="21.730434782608693"/>
    <n v="1"/>
  </r>
  <r>
    <s v="GEIIANSA"/>
    <x v="4"/>
    <x v="569"/>
    <x v="560"/>
    <x v="83"/>
    <x v="396"/>
    <x v="0"/>
    <x v="6"/>
    <x v="6"/>
    <n v="19.991304347826087"/>
    <n v="1"/>
  </r>
  <r>
    <s v="BAKERY PRODUCTS"/>
    <x v="11"/>
    <x v="444"/>
    <x v="437"/>
    <x v="35"/>
    <x v="270"/>
    <x v="0"/>
    <x v="3"/>
    <x v="3"/>
    <n v="17.382608695652173"/>
    <n v="1"/>
  </r>
  <r>
    <s v="BAKERY PRODUCTS"/>
    <x v="11"/>
    <x v="444"/>
    <x v="437"/>
    <x v="35"/>
    <x v="270"/>
    <x v="0"/>
    <x v="6"/>
    <x v="6"/>
    <n v="17.382608695652173"/>
    <n v="1"/>
  </r>
  <r>
    <s v="ALBANY BAKERIES (BELLVILLE)"/>
    <x v="2"/>
    <x v="880"/>
    <x v="863"/>
    <x v="97"/>
    <x v="395"/>
    <x v="0"/>
    <x v="0"/>
    <x v="0"/>
    <n v="8.6869565217391305"/>
    <n v="1"/>
  </r>
  <r>
    <s v="ALBANY BAKERIES (BELLVILLE)"/>
    <x v="2"/>
    <x v="880"/>
    <x v="863"/>
    <x v="97"/>
    <x v="395"/>
    <x v="0"/>
    <x v="2"/>
    <x v="2"/>
    <n v="8.6869565217391305"/>
    <n v="1"/>
  </r>
  <r>
    <s v="ALBANY BAKERIES (BELLVILLE)"/>
    <x v="2"/>
    <x v="881"/>
    <x v="864"/>
    <x v="97"/>
    <x v="395"/>
    <x v="0"/>
    <x v="1"/>
    <x v="1"/>
    <n v="8.6869565217391305"/>
    <n v="1"/>
  </r>
  <r>
    <s v="ROSSOUW D"/>
    <x v="11"/>
    <x v="882"/>
    <x v="865"/>
    <x v="126"/>
    <x v="607"/>
    <x v="0"/>
    <x v="2"/>
    <x v="2"/>
    <n v="15.643478260869564"/>
    <n v="1"/>
  </r>
  <r>
    <s v="ROSSOUW D"/>
    <x v="11"/>
    <x v="882"/>
    <x v="865"/>
    <x v="126"/>
    <x v="607"/>
    <x v="0"/>
    <x v="6"/>
    <x v="6"/>
    <n v="15.643478260869564"/>
    <n v="1"/>
  </r>
  <r>
    <s v="ALBANY BAKERIES (BELLVILLE)"/>
    <x v="2"/>
    <x v="571"/>
    <x v="561"/>
    <x v="97"/>
    <x v="395"/>
    <x v="0"/>
    <x v="0"/>
    <x v="0"/>
    <n v="8.6869565217391305"/>
    <n v="1"/>
  </r>
  <r>
    <s v="ALBANY BAKERIES (BELLVILLE)"/>
    <x v="2"/>
    <x v="571"/>
    <x v="561"/>
    <x v="97"/>
    <x v="395"/>
    <x v="0"/>
    <x v="5"/>
    <x v="5"/>
    <n v="8.6869565217391305"/>
    <n v="1"/>
  </r>
  <r>
    <s v="ALBANY BAKERIES (BELLVILLE)"/>
    <x v="2"/>
    <x v="571"/>
    <x v="561"/>
    <x v="97"/>
    <x v="395"/>
    <x v="0"/>
    <x v="6"/>
    <x v="6"/>
    <n v="8.6869565217391305"/>
    <n v="1"/>
  </r>
  <r>
    <s v="BAKERY PRODUCTS"/>
    <x v="11"/>
    <x v="877"/>
    <x v="860"/>
    <x v="103"/>
    <x v="265"/>
    <x v="0"/>
    <x v="6"/>
    <x v="6"/>
    <n v="7.8173913043478258"/>
    <n v="1"/>
  </r>
  <r>
    <s v="BAKERY PRODUCTS"/>
    <x v="0"/>
    <x v="404"/>
    <x v="397"/>
    <x v="110"/>
    <x v="276"/>
    <x v="0"/>
    <x v="1"/>
    <x v="1"/>
    <n v="3.3043478260869565"/>
    <n v="1"/>
  </r>
  <r>
    <s v="VECTOR LOG.(PTY)LTD GOOSEBUMPS"/>
    <x v="0"/>
    <x v="572"/>
    <x v="562"/>
    <x v="85"/>
    <x v="398"/>
    <x v="0"/>
    <x v="4"/>
    <x v="4"/>
    <n v="29.556521739130439"/>
    <n v="1"/>
  </r>
  <r>
    <s v="GEIIANSA"/>
    <x v="13"/>
    <x v="573"/>
    <x v="563"/>
    <x v="35"/>
    <x v="399"/>
    <x v="0"/>
    <x v="0"/>
    <x v="0"/>
    <n v="17.382608695652173"/>
    <n v="1"/>
  </r>
  <r>
    <s v="GEIIANSA"/>
    <x v="13"/>
    <x v="573"/>
    <x v="563"/>
    <x v="35"/>
    <x v="399"/>
    <x v="0"/>
    <x v="4"/>
    <x v="4"/>
    <n v="17.382608695652173"/>
    <n v="1"/>
  </r>
  <r>
    <s v="GEIIANSA"/>
    <x v="13"/>
    <x v="574"/>
    <x v="564"/>
    <x v="35"/>
    <x v="400"/>
    <x v="0"/>
    <x v="0"/>
    <x v="0"/>
    <n v="17.382608695652173"/>
    <n v="1"/>
  </r>
  <r>
    <s v="GEIIANSA"/>
    <x v="13"/>
    <x v="574"/>
    <x v="564"/>
    <x v="35"/>
    <x v="400"/>
    <x v="0"/>
    <x v="2"/>
    <x v="2"/>
    <n v="16.513043478260869"/>
    <n v="1"/>
  </r>
  <r>
    <s v="GEIIANSA"/>
    <x v="13"/>
    <x v="574"/>
    <x v="564"/>
    <x v="35"/>
    <x v="400"/>
    <x v="0"/>
    <x v="5"/>
    <x v="5"/>
    <n v="17.382608695652173"/>
    <n v="1"/>
  </r>
  <r>
    <s v="BAKERY PRODUCTS"/>
    <x v="0"/>
    <x v="410"/>
    <x v="403"/>
    <x v="27"/>
    <x v="281"/>
    <x v="0"/>
    <x v="3"/>
    <x v="3"/>
    <n v="23.469565217391303"/>
    <n v="1"/>
  </r>
  <r>
    <s v="BAKERY PRODUCTS"/>
    <x v="11"/>
    <x v="466"/>
    <x v="459"/>
    <x v="93"/>
    <x v="326"/>
    <x v="0"/>
    <x v="3"/>
    <x v="3"/>
    <n v="8.695652173913043"/>
    <n v="1"/>
  </r>
  <r>
    <s v="ROSSOUW D"/>
    <x v="11"/>
    <x v="703"/>
    <x v="692"/>
    <x v="115"/>
    <x v="474"/>
    <x v="0"/>
    <x v="0"/>
    <x v="0"/>
    <n v="14.77391304347826"/>
    <n v="1"/>
  </r>
  <r>
    <s v="BAKERY PRODUCTS"/>
    <x v="0"/>
    <x v="420"/>
    <x v="413"/>
    <x v="24"/>
    <x v="290"/>
    <x v="0"/>
    <x v="2"/>
    <x v="2"/>
    <n v="26.078260869565216"/>
    <n v="1"/>
  </r>
  <r>
    <s v="BAKERY PRODUCTS"/>
    <x v="0"/>
    <x v="420"/>
    <x v="413"/>
    <x v="24"/>
    <x v="290"/>
    <x v="0"/>
    <x v="4"/>
    <x v="4"/>
    <n v="26.078260869565216"/>
    <n v="1"/>
  </r>
  <r>
    <s v="HMR"/>
    <x v="11"/>
    <x v="704"/>
    <x v="693"/>
    <x v="84"/>
    <x v="475"/>
    <x v="0"/>
    <x v="1"/>
    <x v="1"/>
    <n v="13.904347826086957"/>
    <n v="1"/>
  </r>
  <r>
    <s v="HMR"/>
    <x v="11"/>
    <x v="704"/>
    <x v="693"/>
    <x v="84"/>
    <x v="475"/>
    <x v="0"/>
    <x v="4"/>
    <x v="4"/>
    <n v="13.904347826086957"/>
    <n v="1"/>
  </r>
  <r>
    <s v="HMR"/>
    <x v="11"/>
    <x v="705"/>
    <x v="694"/>
    <x v="84"/>
    <x v="475"/>
    <x v="0"/>
    <x v="0"/>
    <x v="0"/>
    <n v="13.904347826086957"/>
    <n v="1"/>
  </r>
  <r>
    <s v="HMR"/>
    <x v="11"/>
    <x v="705"/>
    <x v="694"/>
    <x v="84"/>
    <x v="475"/>
    <x v="0"/>
    <x v="4"/>
    <x v="4"/>
    <n v="13.904347826086957"/>
    <n v="1"/>
  </r>
  <r>
    <s v="HMR"/>
    <x v="11"/>
    <x v="705"/>
    <x v="694"/>
    <x v="84"/>
    <x v="475"/>
    <x v="0"/>
    <x v="5"/>
    <x v="5"/>
    <n v="13.904347826086957"/>
    <n v="1"/>
  </r>
  <r>
    <s v="HMR"/>
    <x v="11"/>
    <x v="707"/>
    <x v="696"/>
    <x v="84"/>
    <x v="475"/>
    <x v="0"/>
    <x v="1"/>
    <x v="1"/>
    <n v="13.904347826086957"/>
    <n v="1"/>
  </r>
  <r>
    <s v="HMR"/>
    <x v="11"/>
    <x v="709"/>
    <x v="698"/>
    <x v="84"/>
    <x v="475"/>
    <x v="0"/>
    <x v="4"/>
    <x v="4"/>
    <n v="13.904347826086957"/>
    <n v="1"/>
  </r>
  <r>
    <s v="ROSSOUW D"/>
    <x v="11"/>
    <x v="712"/>
    <x v="701"/>
    <x v="178"/>
    <x v="478"/>
    <x v="0"/>
    <x v="4"/>
    <x v="4"/>
    <n v="45.217391304347828"/>
    <n v="1"/>
  </r>
  <r>
    <s v="GEIIANSA"/>
    <x v="4"/>
    <x v="612"/>
    <x v="601"/>
    <x v="83"/>
    <x v="396"/>
    <x v="0"/>
    <x v="1"/>
    <x v="1"/>
    <n v="19.991304347826087"/>
    <n v="1"/>
  </r>
  <r>
    <s v="GEIIANSA"/>
    <x v="4"/>
    <x v="614"/>
    <x v="603"/>
    <x v="83"/>
    <x v="396"/>
    <x v="0"/>
    <x v="4"/>
    <x v="4"/>
    <n v="19.991304347826087"/>
    <n v="1"/>
  </r>
  <r>
    <s v="ALTAS TUISGEBAK BK"/>
    <x v="18"/>
    <x v="537"/>
    <x v="530"/>
    <x v="48"/>
    <x v="379"/>
    <x v="0"/>
    <x v="3"/>
    <x v="3"/>
    <n v="66.078260869565213"/>
    <n v="1"/>
  </r>
  <r>
    <s v="ALTAS TUISGEBAK BK"/>
    <x v="18"/>
    <x v="537"/>
    <x v="530"/>
    <x v="48"/>
    <x v="379"/>
    <x v="0"/>
    <x v="4"/>
    <x v="4"/>
    <n v="66.078260869565213"/>
    <n v="1"/>
  </r>
  <r>
    <s v="ALTAS TUISGEBAK BK"/>
    <x v="18"/>
    <x v="537"/>
    <x v="530"/>
    <x v="48"/>
    <x v="379"/>
    <x v="0"/>
    <x v="5"/>
    <x v="5"/>
    <n v="66.078260869565213"/>
    <n v="1"/>
  </r>
  <r>
    <s v="ALTAS TUISGEBAK BK"/>
    <x v="18"/>
    <x v="539"/>
    <x v="532"/>
    <x v="87"/>
    <x v="373"/>
    <x v="0"/>
    <x v="2"/>
    <x v="2"/>
    <n v="59.121739130434776"/>
    <n v="1"/>
  </r>
  <r>
    <s v="ALTAS TUISGEBAK BK"/>
    <x v="18"/>
    <x v="539"/>
    <x v="532"/>
    <x v="87"/>
    <x v="373"/>
    <x v="0"/>
    <x v="4"/>
    <x v="4"/>
    <n v="59.121739130434776"/>
    <n v="1"/>
  </r>
  <r>
    <s v="ALTAS TUISGEBAK BK"/>
    <x v="18"/>
    <x v="540"/>
    <x v="533"/>
    <x v="17"/>
    <x v="380"/>
    <x v="0"/>
    <x v="3"/>
    <x v="3"/>
    <n v="104.3391304347826"/>
    <n v="1"/>
  </r>
  <r>
    <s v="ALTAS TUISGEBAK BK"/>
    <x v="18"/>
    <x v="540"/>
    <x v="533"/>
    <x v="17"/>
    <x v="380"/>
    <x v="0"/>
    <x v="4"/>
    <x v="4"/>
    <n v="104.3391304347826"/>
    <n v="1"/>
  </r>
  <r>
    <s v="BAKERY PRODUCTS"/>
    <x v="13"/>
    <x v="352"/>
    <x v="345"/>
    <x v="82"/>
    <x v="227"/>
    <x v="0"/>
    <x v="1"/>
    <x v="1"/>
    <n v="12.165217391304347"/>
    <n v="1"/>
  </r>
  <r>
    <s v="BAKERY PRODUCTS"/>
    <x v="13"/>
    <x v="352"/>
    <x v="345"/>
    <x v="82"/>
    <x v="227"/>
    <x v="0"/>
    <x v="4"/>
    <x v="4"/>
    <n v="12.165217391304347"/>
    <n v="1"/>
  </r>
  <r>
    <s v="BAKERY PRODUCTS"/>
    <x v="13"/>
    <x v="352"/>
    <x v="345"/>
    <x v="82"/>
    <x v="227"/>
    <x v="0"/>
    <x v="5"/>
    <x v="5"/>
    <n v="12.165217391304347"/>
    <n v="1"/>
  </r>
  <r>
    <s v="ALTAS TUISGEBAK BK"/>
    <x v="18"/>
    <x v="542"/>
    <x v="534"/>
    <x v="32"/>
    <x v="374"/>
    <x v="0"/>
    <x v="2"/>
    <x v="2"/>
    <n v="54.77391304347826"/>
    <n v="1"/>
  </r>
  <r>
    <s v="ALTAS TUISGEBAK BK"/>
    <x v="18"/>
    <x v="542"/>
    <x v="534"/>
    <x v="32"/>
    <x v="374"/>
    <x v="0"/>
    <x v="3"/>
    <x v="3"/>
    <n v="54.77391304347826"/>
    <n v="1"/>
  </r>
  <r>
    <s v="ALTAS TUISGEBAK BK"/>
    <x v="18"/>
    <x v="544"/>
    <x v="536"/>
    <x v="20"/>
    <x v="381"/>
    <x v="0"/>
    <x v="5"/>
    <x v="5"/>
    <n v="52.165217391304353"/>
    <n v="1"/>
  </r>
  <r>
    <s v="ALTAS TUISGEBAK BK"/>
    <x v="18"/>
    <x v="546"/>
    <x v="363"/>
    <x v="139"/>
    <x v="383"/>
    <x v="0"/>
    <x v="1"/>
    <x v="1"/>
    <n v="117.38260869565218"/>
    <n v="1"/>
  </r>
  <r>
    <s v="ALTAS TUISGEBAK BK"/>
    <x v="18"/>
    <x v="546"/>
    <x v="363"/>
    <x v="139"/>
    <x v="383"/>
    <x v="0"/>
    <x v="5"/>
    <x v="5"/>
    <n v="117.38260869565218"/>
    <n v="1"/>
  </r>
  <r>
    <s v="ALTAS TUISGEBAK BK"/>
    <x v="18"/>
    <x v="548"/>
    <x v="539"/>
    <x v="87"/>
    <x v="373"/>
    <x v="0"/>
    <x v="5"/>
    <x v="5"/>
    <n v="59.121739130434776"/>
    <n v="1"/>
  </r>
  <r>
    <s v="ALTAS TUISGEBAK BK"/>
    <x v="18"/>
    <x v="549"/>
    <x v="540"/>
    <x v="87"/>
    <x v="373"/>
    <x v="0"/>
    <x v="5"/>
    <x v="5"/>
    <n v="59.121739130434776"/>
    <n v="1"/>
  </r>
  <r>
    <s v="ALTAS TUISGEBAK BK"/>
    <x v="18"/>
    <x v="550"/>
    <x v="541"/>
    <x v="33"/>
    <x v="378"/>
    <x v="0"/>
    <x v="2"/>
    <x v="2"/>
    <n v="56.513043478260869"/>
    <n v="1"/>
  </r>
  <r>
    <s v="ALTAS TUISGEBAK BK"/>
    <x v="18"/>
    <x v="550"/>
    <x v="541"/>
    <x v="33"/>
    <x v="378"/>
    <x v="0"/>
    <x v="5"/>
    <x v="5"/>
    <n v="56.513043478260869"/>
    <n v="1"/>
  </r>
  <r>
    <s v="ALTAS TUISGEBAK BK"/>
    <x v="18"/>
    <x v="553"/>
    <x v="544"/>
    <x v="33"/>
    <x v="378"/>
    <x v="0"/>
    <x v="3"/>
    <x v="3"/>
    <n v="56.513043478260869"/>
    <n v="1"/>
  </r>
  <r>
    <s v="ALTAS TUISGEBAK BK"/>
    <x v="18"/>
    <x v="556"/>
    <x v="547"/>
    <x v="29"/>
    <x v="385"/>
    <x v="0"/>
    <x v="4"/>
    <x v="4"/>
    <n v="57.382608695652166"/>
    <n v="1"/>
  </r>
  <r>
    <s v="ALTAS TUISGEBAK BK"/>
    <x v="18"/>
    <x v="558"/>
    <x v="549"/>
    <x v="87"/>
    <x v="373"/>
    <x v="0"/>
    <x v="4"/>
    <x v="4"/>
    <n v="59.121739130434776"/>
    <n v="1"/>
  </r>
  <r>
    <s v="ALTAS TUISGEBAK BK"/>
    <x v="18"/>
    <x v="559"/>
    <x v="550"/>
    <x v="142"/>
    <x v="387"/>
    <x v="0"/>
    <x v="3"/>
    <x v="3"/>
    <n v="53.904347826086962"/>
    <n v="1"/>
  </r>
  <r>
    <s v="ALTAS TUISGEBAK BK"/>
    <x v="18"/>
    <x v="561"/>
    <x v="552"/>
    <x v="143"/>
    <x v="388"/>
    <x v="0"/>
    <x v="5"/>
    <x v="5"/>
    <n v="136.51304347826087"/>
    <n v="1"/>
  </r>
  <r>
    <s v="ALTAS TUISGEBAK BK"/>
    <x v="18"/>
    <x v="563"/>
    <x v="554"/>
    <x v="136"/>
    <x v="390"/>
    <x v="0"/>
    <x v="3"/>
    <x v="3"/>
    <n v="84.339130434782604"/>
    <n v="1"/>
  </r>
  <r>
    <s v="ALTAS TUISGEBAK BK"/>
    <x v="18"/>
    <x v="563"/>
    <x v="554"/>
    <x v="136"/>
    <x v="390"/>
    <x v="0"/>
    <x v="4"/>
    <x v="4"/>
    <n v="84.339130434782604"/>
    <n v="1"/>
  </r>
  <r>
    <s v="BAKERY PRODUCTS"/>
    <x v="9"/>
    <x v="356"/>
    <x v="349"/>
    <x v="97"/>
    <x v="230"/>
    <x v="0"/>
    <x v="2"/>
    <x v="2"/>
    <n v="8.6869565217391305"/>
    <n v="1"/>
  </r>
  <r>
    <s v="BONHEUR BESKUIT"/>
    <x v="14"/>
    <x v="624"/>
    <x v="613"/>
    <x v="160"/>
    <x v="427"/>
    <x v="0"/>
    <x v="0"/>
    <x v="0"/>
    <n v="74.77391304347826"/>
    <n v="1"/>
  </r>
  <r>
    <s v="BONHEUR BESKUIT"/>
    <x v="14"/>
    <x v="627"/>
    <x v="616"/>
    <x v="161"/>
    <x v="428"/>
    <x v="0"/>
    <x v="4"/>
    <x v="4"/>
    <n v="79.991304347826087"/>
    <n v="1"/>
  </r>
  <r>
    <s v="BONHEUR BESKUIT"/>
    <x v="14"/>
    <x v="627"/>
    <x v="616"/>
    <x v="161"/>
    <x v="428"/>
    <x v="0"/>
    <x v="5"/>
    <x v="5"/>
    <n v="79.991304347826087"/>
    <n v="1"/>
  </r>
  <r>
    <s v="BONHEUR BESKUIT"/>
    <x v="14"/>
    <x v="630"/>
    <x v="619"/>
    <x v="160"/>
    <x v="427"/>
    <x v="0"/>
    <x v="0"/>
    <x v="0"/>
    <n v="74.77391304347826"/>
    <n v="1"/>
  </r>
  <r>
    <s v="ALBANY BAKERIES (BELLVILLE)"/>
    <x v="2"/>
    <x v="635"/>
    <x v="624"/>
    <x v="97"/>
    <x v="395"/>
    <x v="0"/>
    <x v="1"/>
    <x v="1"/>
    <n v="8.6869565217391305"/>
    <n v="1"/>
  </r>
  <r>
    <s v="ALBANY BAKERIES (BELLVILLE)"/>
    <x v="2"/>
    <x v="635"/>
    <x v="624"/>
    <x v="97"/>
    <x v="395"/>
    <x v="0"/>
    <x v="4"/>
    <x v="4"/>
    <n v="8.6869565217391305"/>
    <n v="1"/>
  </r>
  <r>
    <s v="BAKERY PRODUCTS"/>
    <x v="11"/>
    <x v="489"/>
    <x v="482"/>
    <x v="25"/>
    <x v="343"/>
    <x v="0"/>
    <x v="2"/>
    <x v="2"/>
    <n v="21.469565217391306"/>
    <n v="1"/>
  </r>
  <r>
    <s v="BAKERY PRODUCTS"/>
    <x v="8"/>
    <x v="378"/>
    <x v="371"/>
    <x v="23"/>
    <x v="252"/>
    <x v="0"/>
    <x v="0"/>
    <x v="0"/>
    <n v="69.556521739130432"/>
    <n v="1"/>
  </r>
  <r>
    <s v="BAKERY PRODUCTS"/>
    <x v="8"/>
    <x v="378"/>
    <x v="371"/>
    <x v="23"/>
    <x v="252"/>
    <x v="0"/>
    <x v="4"/>
    <x v="4"/>
    <n v="69.556521739130432"/>
    <n v="1"/>
  </r>
  <r>
    <s v="BAKERY PRODUCTS"/>
    <x v="13"/>
    <x v="359"/>
    <x v="352"/>
    <x v="98"/>
    <x v="233"/>
    <x v="0"/>
    <x v="1"/>
    <x v="1"/>
    <n v="43.469565217391306"/>
    <n v="1"/>
  </r>
  <r>
    <s v="BAKERY PRODUCTS"/>
    <x v="9"/>
    <x v="363"/>
    <x v="356"/>
    <x v="94"/>
    <x v="237"/>
    <x v="0"/>
    <x v="0"/>
    <x v="0"/>
    <n v="104.34782608695652"/>
    <n v="1"/>
  </r>
  <r>
    <s v="BAKERY PRODUCTS"/>
    <x v="9"/>
    <x v="363"/>
    <x v="356"/>
    <x v="94"/>
    <x v="237"/>
    <x v="0"/>
    <x v="1"/>
    <x v="1"/>
    <n v="104.34782608695652"/>
    <n v="1"/>
  </r>
  <r>
    <s v="BAKERY PRODUCTS"/>
    <x v="9"/>
    <x v="365"/>
    <x v="358"/>
    <x v="94"/>
    <x v="239"/>
    <x v="0"/>
    <x v="5"/>
    <x v="5"/>
    <n v="104.34782608695652"/>
    <n v="1"/>
  </r>
  <r>
    <s v="BAKERY PRODUCTS"/>
    <x v="9"/>
    <x v="366"/>
    <x v="359"/>
    <x v="99"/>
    <x v="240"/>
    <x v="0"/>
    <x v="0"/>
    <x v="0"/>
    <n v="86.956521739130437"/>
    <n v="1"/>
  </r>
  <r>
    <s v="BAKERY PRODUCTS"/>
    <x v="11"/>
    <x v="501"/>
    <x v="494"/>
    <x v="34"/>
    <x v="353"/>
    <x v="0"/>
    <x v="2"/>
    <x v="2"/>
    <n v="13.034782608695652"/>
    <n v="1"/>
  </r>
  <r>
    <s v="BAKERY PRODUCTS"/>
    <x v="11"/>
    <x v="501"/>
    <x v="494"/>
    <x v="34"/>
    <x v="353"/>
    <x v="0"/>
    <x v="4"/>
    <x v="4"/>
    <n v="13.034782608695652"/>
    <n v="1"/>
  </r>
  <r>
    <s v="BAKERY PRODUCTS"/>
    <x v="11"/>
    <x v="505"/>
    <x v="498"/>
    <x v="101"/>
    <x v="357"/>
    <x v="0"/>
    <x v="0"/>
    <x v="0"/>
    <n v="113.04347826086956"/>
    <n v="1"/>
  </r>
  <r>
    <s v="BAKERY PRODUCTS"/>
    <x v="11"/>
    <x v="505"/>
    <x v="498"/>
    <x v="101"/>
    <x v="357"/>
    <x v="0"/>
    <x v="2"/>
    <x v="2"/>
    <n v="113.04347826086956"/>
    <n v="1"/>
  </r>
  <r>
    <s v="BAKERY PRODUCTS"/>
    <x v="11"/>
    <x v="505"/>
    <x v="498"/>
    <x v="101"/>
    <x v="357"/>
    <x v="0"/>
    <x v="5"/>
    <x v="5"/>
    <n v="113.04347826086956"/>
    <n v="1"/>
  </r>
  <r>
    <s v="CHIPKINS PURATOS (BIDVEST SOL)"/>
    <x v="0"/>
    <x v="637"/>
    <x v="626"/>
    <x v="83"/>
    <x v="430"/>
    <x v="0"/>
    <x v="5"/>
    <x v="5"/>
    <n v="19.991304347826087"/>
    <n v="1"/>
  </r>
  <r>
    <s v="ALBANY BAKERIES (BELLVILLE)"/>
    <x v="6"/>
    <x v="658"/>
    <x v="647"/>
    <x v="25"/>
    <x v="444"/>
    <x v="0"/>
    <x v="0"/>
    <x v="0"/>
    <n v="22.599999999999998"/>
    <n v="1"/>
  </r>
  <r>
    <s v="ALBANY BAKERIES (BELLVILLE)"/>
    <x v="6"/>
    <x v="658"/>
    <x v="647"/>
    <x v="25"/>
    <x v="444"/>
    <x v="0"/>
    <x v="5"/>
    <x v="5"/>
    <n v="22.599999999999998"/>
    <n v="1"/>
  </r>
  <r>
    <s v="PREMIER FMCG PTY LTD-BLUE RIBB"/>
    <x v="6"/>
    <x v="662"/>
    <x v="651"/>
    <x v="82"/>
    <x v="439"/>
    <x v="0"/>
    <x v="1"/>
    <x v="1"/>
    <n v="12.165217391304347"/>
    <n v="1"/>
  </r>
  <r>
    <s v="PREMIER FMCG PTY LTD-BLUE RIBB"/>
    <x v="6"/>
    <x v="663"/>
    <x v="652"/>
    <x v="82"/>
    <x v="439"/>
    <x v="0"/>
    <x v="1"/>
    <x v="1"/>
    <n v="12.165217391304347"/>
    <n v="1"/>
  </r>
  <r>
    <s v="PREMIER FMCG PTY LTD-BLUE RIBB"/>
    <x v="6"/>
    <x v="663"/>
    <x v="652"/>
    <x v="82"/>
    <x v="439"/>
    <x v="0"/>
    <x v="5"/>
    <x v="5"/>
    <n v="12.165217391304347"/>
    <n v="1"/>
  </r>
  <r>
    <s v="SPAR WESTERN CAPE"/>
    <x v="3"/>
    <x v="878"/>
    <x v="861"/>
    <x v="5"/>
    <x v="606"/>
    <x v="0"/>
    <x v="0"/>
    <x v="0"/>
    <n v="34.77391304347826"/>
    <n v="1"/>
  </r>
  <r>
    <s v="SPAR WESTERN CAPE"/>
    <x v="3"/>
    <x v="878"/>
    <x v="861"/>
    <x v="5"/>
    <x v="606"/>
    <x v="0"/>
    <x v="2"/>
    <x v="2"/>
    <n v="34.77391304347826"/>
    <n v="1"/>
  </r>
  <r>
    <s v="SPAR WESTERN CAPE"/>
    <x v="3"/>
    <x v="878"/>
    <x v="861"/>
    <x v="5"/>
    <x v="606"/>
    <x v="0"/>
    <x v="3"/>
    <x v="3"/>
    <n v="34.77391304347826"/>
    <n v="1"/>
  </r>
  <r>
    <s v="SPAR WESTERN CAPE"/>
    <x v="3"/>
    <x v="205"/>
    <x v="201"/>
    <x v="51"/>
    <x v="122"/>
    <x v="0"/>
    <x v="5"/>
    <x v="5"/>
    <n v="45.208695652173915"/>
    <n v="1"/>
  </r>
  <r>
    <s v="SPAR WESTERN CAPE"/>
    <x v="2"/>
    <x v="156"/>
    <x v="153"/>
    <x v="10"/>
    <x v="82"/>
    <x v="0"/>
    <x v="5"/>
    <x v="5"/>
    <n v="156.51304347826087"/>
    <n v="1"/>
  </r>
  <r>
    <s v="SPAR WESTERN CAPE"/>
    <x v="2"/>
    <x v="156"/>
    <x v="153"/>
    <x v="10"/>
    <x v="82"/>
    <x v="0"/>
    <x v="6"/>
    <x v="6"/>
    <n v="156.51304347826087"/>
    <n v="1"/>
  </r>
  <r>
    <s v="SPAR WESTERN CAPE"/>
    <x v="1"/>
    <x v="84"/>
    <x v="84"/>
    <x v="22"/>
    <x v="59"/>
    <x v="0"/>
    <x v="0"/>
    <x v="0"/>
    <n v="84.339130434782604"/>
    <n v="1"/>
  </r>
  <r>
    <s v="SPAR WESTERN CAPE"/>
    <x v="3"/>
    <x v="206"/>
    <x v="202"/>
    <x v="16"/>
    <x v="123"/>
    <x v="0"/>
    <x v="0"/>
    <x v="0"/>
    <n v="37.382608695652173"/>
    <n v="1"/>
  </r>
  <r>
    <s v="SPAR WESTERN CAPE"/>
    <x v="3"/>
    <x v="206"/>
    <x v="202"/>
    <x v="16"/>
    <x v="123"/>
    <x v="0"/>
    <x v="4"/>
    <x v="4"/>
    <n v="37.382608695652173"/>
    <n v="1"/>
  </r>
  <r>
    <s v="SPAR WESTERN CAPE"/>
    <x v="1"/>
    <x v="85"/>
    <x v="85"/>
    <x v="37"/>
    <x v="60"/>
    <x v="0"/>
    <x v="2"/>
    <x v="2"/>
    <n v="36.513043478260869"/>
    <n v="1"/>
  </r>
  <r>
    <s v="SPAR WESTERN CAPE"/>
    <x v="1"/>
    <x v="86"/>
    <x v="86"/>
    <x v="23"/>
    <x v="61"/>
    <x v="0"/>
    <x v="2"/>
    <x v="2"/>
    <n v="69.556521739130432"/>
    <n v="1"/>
  </r>
  <r>
    <s v="SPAR WESTERN CAPE"/>
    <x v="6"/>
    <x v="292"/>
    <x v="286"/>
    <x v="24"/>
    <x v="186"/>
    <x v="0"/>
    <x v="1"/>
    <x v="1"/>
    <n v="26.078260869565216"/>
    <n v="1"/>
  </r>
  <r>
    <s v="SPAR WESTERN CAPE"/>
    <x v="6"/>
    <x v="292"/>
    <x v="286"/>
    <x v="24"/>
    <x v="186"/>
    <x v="0"/>
    <x v="3"/>
    <x v="3"/>
    <n v="26.078260869565216"/>
    <n v="1"/>
  </r>
  <r>
    <s v="SPAR WESTERN CAPE"/>
    <x v="1"/>
    <x v="87"/>
    <x v="87"/>
    <x v="38"/>
    <x v="62"/>
    <x v="0"/>
    <x v="1"/>
    <x v="1"/>
    <n v="102.6"/>
    <n v="1"/>
  </r>
  <r>
    <s v="SPAR WESTERN CAPE"/>
    <x v="1"/>
    <x v="87"/>
    <x v="87"/>
    <x v="38"/>
    <x v="62"/>
    <x v="0"/>
    <x v="6"/>
    <x v="6"/>
    <n v="102.6"/>
    <n v="1"/>
  </r>
  <r>
    <s v="SPAR WESTERN CAPE"/>
    <x v="2"/>
    <x v="157"/>
    <x v="154"/>
    <x v="54"/>
    <x v="102"/>
    <x v="0"/>
    <x v="0"/>
    <x v="0"/>
    <n v="91.295652173913041"/>
    <n v="1"/>
  </r>
  <r>
    <s v="SPAR WESTERN CAPE"/>
    <x v="2"/>
    <x v="157"/>
    <x v="154"/>
    <x v="54"/>
    <x v="102"/>
    <x v="0"/>
    <x v="5"/>
    <x v="5"/>
    <n v="91.295652173913041"/>
    <n v="1"/>
  </r>
  <r>
    <s v="SPAR WESTERN CAPE"/>
    <x v="2"/>
    <x v="157"/>
    <x v="154"/>
    <x v="54"/>
    <x v="102"/>
    <x v="0"/>
    <x v="6"/>
    <x v="6"/>
    <n v="91.295652173913041"/>
    <n v="1"/>
  </r>
  <r>
    <s v="SPAR WESTERN CAPE"/>
    <x v="2"/>
    <x v="158"/>
    <x v="155"/>
    <x v="39"/>
    <x v="103"/>
    <x v="0"/>
    <x v="0"/>
    <x v="0"/>
    <n v="73.904347826086948"/>
    <n v="1"/>
  </r>
  <r>
    <s v="SPAR WESTERN CAPE"/>
    <x v="2"/>
    <x v="158"/>
    <x v="155"/>
    <x v="39"/>
    <x v="103"/>
    <x v="0"/>
    <x v="6"/>
    <x v="6"/>
    <n v="73.904347826086948"/>
    <n v="1"/>
  </r>
  <r>
    <s v="SPAR WESTERN CAPE"/>
    <x v="2"/>
    <x v="159"/>
    <x v="156"/>
    <x v="39"/>
    <x v="103"/>
    <x v="0"/>
    <x v="6"/>
    <x v="6"/>
    <n v="73.904347826086948"/>
    <n v="1"/>
  </r>
  <r>
    <s v="SPAR WESTERN CAPE"/>
    <x v="6"/>
    <x v="293"/>
    <x v="287"/>
    <x v="1"/>
    <x v="187"/>
    <x v="0"/>
    <x v="1"/>
    <x v="1"/>
    <n v="21.99"/>
    <n v="1"/>
  </r>
  <r>
    <s v="SPAR WESTERN CAPE"/>
    <x v="6"/>
    <x v="293"/>
    <x v="287"/>
    <x v="1"/>
    <x v="187"/>
    <x v="0"/>
    <x v="2"/>
    <x v="2"/>
    <n v="21.99"/>
    <n v="1"/>
  </r>
  <r>
    <s v="SPAR WESTERN CAPE"/>
    <x v="6"/>
    <x v="293"/>
    <x v="287"/>
    <x v="1"/>
    <x v="187"/>
    <x v="0"/>
    <x v="5"/>
    <x v="5"/>
    <n v="21.99"/>
    <n v="1"/>
  </r>
  <r>
    <s v="SPAR WESTERN CAPE"/>
    <x v="0"/>
    <x v="0"/>
    <x v="0"/>
    <x v="0"/>
    <x v="0"/>
    <x v="0"/>
    <x v="6"/>
    <x v="6"/>
    <n v="60.860869565217385"/>
    <n v="1"/>
  </r>
  <r>
    <s v="SPAR WESTERN CAPE"/>
    <x v="2"/>
    <x v="160"/>
    <x v="157"/>
    <x v="0"/>
    <x v="0"/>
    <x v="0"/>
    <x v="5"/>
    <x v="5"/>
    <n v="60.860869565217385"/>
    <n v="1"/>
  </r>
  <r>
    <s v="SPAR WESTERN CAPE"/>
    <x v="2"/>
    <x v="160"/>
    <x v="157"/>
    <x v="0"/>
    <x v="0"/>
    <x v="0"/>
    <x v="6"/>
    <x v="6"/>
    <n v="60.860869565217385"/>
    <n v="1"/>
  </r>
  <r>
    <s v="SPAR WESTERN CAPE"/>
    <x v="2"/>
    <x v="161"/>
    <x v="158"/>
    <x v="0"/>
    <x v="0"/>
    <x v="0"/>
    <x v="0"/>
    <x v="0"/>
    <n v="60.860869565217385"/>
    <n v="1"/>
  </r>
  <r>
    <s v="SPAR WESTERN CAPE"/>
    <x v="2"/>
    <x v="161"/>
    <x v="158"/>
    <x v="0"/>
    <x v="0"/>
    <x v="0"/>
    <x v="2"/>
    <x v="2"/>
    <n v="60.860869565217385"/>
    <n v="1"/>
  </r>
  <r>
    <s v="SPAR WESTERN CAPE"/>
    <x v="2"/>
    <x v="161"/>
    <x v="158"/>
    <x v="0"/>
    <x v="0"/>
    <x v="0"/>
    <x v="6"/>
    <x v="6"/>
    <n v="60.860869565217385"/>
    <n v="1"/>
  </r>
  <r>
    <s v="SPAR WESTERN CAPE"/>
    <x v="0"/>
    <x v="1"/>
    <x v="1"/>
    <x v="0"/>
    <x v="1"/>
    <x v="0"/>
    <x v="6"/>
    <x v="6"/>
    <n v="60.860869565217385"/>
    <n v="1"/>
  </r>
  <r>
    <s v="SPAR WESTERN CAPE"/>
    <x v="2"/>
    <x v="162"/>
    <x v="159"/>
    <x v="55"/>
    <x v="104"/>
    <x v="0"/>
    <x v="3"/>
    <x v="3"/>
    <n v="47.817391304347829"/>
    <n v="1"/>
  </r>
  <r>
    <s v="SPAR WESTERN CAPE"/>
    <x v="2"/>
    <x v="162"/>
    <x v="159"/>
    <x v="55"/>
    <x v="104"/>
    <x v="0"/>
    <x v="6"/>
    <x v="6"/>
    <n v="47.817391304347829"/>
    <n v="1"/>
  </r>
  <r>
    <s v="SPAR WESTERN CAPE"/>
    <x v="3"/>
    <x v="207"/>
    <x v="203"/>
    <x v="51"/>
    <x v="124"/>
    <x v="0"/>
    <x v="4"/>
    <x v="4"/>
    <n v="45.208695652173915"/>
    <n v="1"/>
  </r>
  <r>
    <s v="SPAR WESTERN CAPE"/>
    <x v="3"/>
    <x v="207"/>
    <x v="203"/>
    <x v="51"/>
    <x v="124"/>
    <x v="0"/>
    <x v="6"/>
    <x v="6"/>
    <n v="45.208695652173915"/>
    <n v="1"/>
  </r>
  <r>
    <s v="SPAR WESTERN CAPE"/>
    <x v="2"/>
    <x v="163"/>
    <x v="160"/>
    <x v="21"/>
    <x v="27"/>
    <x v="0"/>
    <x v="6"/>
    <x v="6"/>
    <n v="43.469565217391306"/>
    <n v="1"/>
  </r>
  <r>
    <s v="SPAR WESTERN CAPE"/>
    <x v="0"/>
    <x v="15"/>
    <x v="15"/>
    <x v="1"/>
    <x v="5"/>
    <x v="0"/>
    <x v="3"/>
    <x v="3"/>
    <n v="19.121739130434783"/>
    <n v="1"/>
  </r>
  <r>
    <s v="SPAR WESTERN CAPE"/>
    <x v="6"/>
    <x v="294"/>
    <x v="288"/>
    <x v="44"/>
    <x v="81"/>
    <x v="0"/>
    <x v="1"/>
    <x v="1"/>
    <n v="33.03478260869565"/>
    <n v="1"/>
  </r>
  <r>
    <s v="SPAR WESTERN CAPE"/>
    <x v="6"/>
    <x v="294"/>
    <x v="288"/>
    <x v="44"/>
    <x v="81"/>
    <x v="0"/>
    <x v="2"/>
    <x v="2"/>
    <n v="33.03478260869565"/>
    <n v="1"/>
  </r>
  <r>
    <s v="SPAR WESTERN CAPE"/>
    <x v="6"/>
    <x v="294"/>
    <x v="288"/>
    <x v="44"/>
    <x v="81"/>
    <x v="0"/>
    <x v="6"/>
    <x v="6"/>
    <n v="33.03478260869565"/>
    <n v="1"/>
  </r>
  <r>
    <s v="SPAR WESTERN CAPE"/>
    <x v="4"/>
    <x v="245"/>
    <x v="240"/>
    <x v="44"/>
    <x v="146"/>
    <x v="0"/>
    <x v="1"/>
    <x v="1"/>
    <n v="33.03478260869565"/>
    <n v="1"/>
  </r>
  <r>
    <s v="SPAR WESTERN CAPE"/>
    <x v="4"/>
    <x v="245"/>
    <x v="240"/>
    <x v="44"/>
    <x v="146"/>
    <x v="0"/>
    <x v="3"/>
    <x v="3"/>
    <n v="33.03478260869565"/>
    <n v="1"/>
  </r>
  <r>
    <s v="SPAR WESTERN CAPE"/>
    <x v="4"/>
    <x v="245"/>
    <x v="240"/>
    <x v="44"/>
    <x v="146"/>
    <x v="0"/>
    <x v="5"/>
    <x v="5"/>
    <n v="33.03478260869565"/>
    <n v="1"/>
  </r>
  <r>
    <s v="SPAR WESTERN CAPE"/>
    <x v="4"/>
    <x v="245"/>
    <x v="240"/>
    <x v="44"/>
    <x v="146"/>
    <x v="0"/>
    <x v="6"/>
    <x v="6"/>
    <n v="33.03478260869565"/>
    <n v="1"/>
  </r>
  <r>
    <s v="SPAR WESTERN CAPE"/>
    <x v="6"/>
    <x v="895"/>
    <x v="877"/>
    <x v="64"/>
    <x v="615"/>
    <x v="0"/>
    <x v="4"/>
    <x v="4"/>
    <n v="28.686956521739134"/>
    <n v="1"/>
  </r>
  <r>
    <s v="SPAR WESTERN CAPE"/>
    <x v="6"/>
    <x v="895"/>
    <x v="877"/>
    <x v="64"/>
    <x v="615"/>
    <x v="0"/>
    <x v="6"/>
    <x v="6"/>
    <n v="28.686956521739134"/>
    <n v="1"/>
  </r>
  <r>
    <s v="SPAR WESTERN CAPE"/>
    <x v="0"/>
    <x v="33"/>
    <x v="33"/>
    <x v="16"/>
    <x v="20"/>
    <x v="0"/>
    <x v="2"/>
    <x v="2"/>
    <n v="37.382608695652173"/>
    <n v="1"/>
  </r>
  <r>
    <s v="SPAR WESTERN CAPE"/>
    <x v="2"/>
    <x v="167"/>
    <x v="164"/>
    <x v="4"/>
    <x v="107"/>
    <x v="0"/>
    <x v="1"/>
    <x v="1"/>
    <n v="27.817391304347826"/>
    <n v="1"/>
  </r>
  <r>
    <s v="SPAR WESTERN CAPE"/>
    <x v="2"/>
    <x v="167"/>
    <x v="164"/>
    <x v="4"/>
    <x v="107"/>
    <x v="0"/>
    <x v="4"/>
    <x v="4"/>
    <n v="27.817391304347826"/>
    <n v="1"/>
  </r>
  <r>
    <s v="SPAR WESTERN CAPE"/>
    <x v="2"/>
    <x v="167"/>
    <x v="164"/>
    <x v="4"/>
    <x v="107"/>
    <x v="0"/>
    <x v="5"/>
    <x v="5"/>
    <n v="27.817391304347826"/>
    <n v="1"/>
  </r>
  <r>
    <s v="SPAR WESTERN CAPE"/>
    <x v="0"/>
    <x v="6"/>
    <x v="6"/>
    <x v="0"/>
    <x v="1"/>
    <x v="0"/>
    <x v="2"/>
    <x v="2"/>
    <n v="57.817391304347822"/>
    <n v="1"/>
  </r>
  <r>
    <s v="SPAR WESTERN CAPE"/>
    <x v="0"/>
    <x v="8"/>
    <x v="8"/>
    <x v="0"/>
    <x v="0"/>
    <x v="0"/>
    <x v="1"/>
    <x v="1"/>
    <n v="60.860869565217385"/>
    <n v="1"/>
  </r>
  <r>
    <s v="SPAR WESTERN CAPE"/>
    <x v="0"/>
    <x v="8"/>
    <x v="8"/>
    <x v="0"/>
    <x v="0"/>
    <x v="0"/>
    <x v="5"/>
    <x v="5"/>
    <n v="60.860869565217385"/>
    <n v="1"/>
  </r>
  <r>
    <s v="SPAR WESTERN CAPE"/>
    <x v="2"/>
    <x v="169"/>
    <x v="165"/>
    <x v="0"/>
    <x v="0"/>
    <x v="0"/>
    <x v="1"/>
    <x v="1"/>
    <n v="60.860869565217385"/>
    <n v="1"/>
  </r>
  <r>
    <s v="SPAR WESTERN CAPE"/>
    <x v="0"/>
    <x v="38"/>
    <x v="38"/>
    <x v="9"/>
    <x v="25"/>
    <x v="0"/>
    <x v="2"/>
    <x v="2"/>
    <n v="165.20869565217393"/>
    <n v="1"/>
  </r>
  <r>
    <s v="SPAR WESTERN CAPE"/>
    <x v="0"/>
    <x v="40"/>
    <x v="40"/>
    <x v="21"/>
    <x v="27"/>
    <x v="0"/>
    <x v="0"/>
    <x v="0"/>
    <n v="43.469565217391306"/>
    <n v="1"/>
  </r>
  <r>
    <s v="SPAR WESTERN CAPE"/>
    <x v="0"/>
    <x v="40"/>
    <x v="40"/>
    <x v="21"/>
    <x v="27"/>
    <x v="0"/>
    <x v="5"/>
    <x v="5"/>
    <n v="43.469565217391306"/>
    <n v="1"/>
  </r>
  <r>
    <s v="SPAR WESTERN CAPE"/>
    <x v="2"/>
    <x v="174"/>
    <x v="170"/>
    <x v="23"/>
    <x v="61"/>
    <x v="0"/>
    <x v="0"/>
    <x v="0"/>
    <n v="69.556521739130432"/>
    <n v="1"/>
  </r>
  <r>
    <s v="SPAR WESTERN CAPE"/>
    <x v="2"/>
    <x v="174"/>
    <x v="170"/>
    <x v="23"/>
    <x v="61"/>
    <x v="0"/>
    <x v="3"/>
    <x v="3"/>
    <n v="69.556521739130432"/>
    <n v="1"/>
  </r>
  <r>
    <s v="SPAR WESTERN CAPE"/>
    <x v="2"/>
    <x v="174"/>
    <x v="170"/>
    <x v="23"/>
    <x v="61"/>
    <x v="0"/>
    <x v="4"/>
    <x v="4"/>
    <n v="69.556521739130432"/>
    <n v="1"/>
  </r>
  <r>
    <s v="SPAR WESTERN CAPE"/>
    <x v="10"/>
    <x v="313"/>
    <x v="307"/>
    <x v="11"/>
    <x v="200"/>
    <x v="0"/>
    <x v="1"/>
    <x v="1"/>
    <n v="86.947826086956525"/>
    <n v="1"/>
  </r>
  <r>
    <s v="SPAR WESTERN CAPE"/>
    <x v="10"/>
    <x v="313"/>
    <x v="307"/>
    <x v="11"/>
    <x v="200"/>
    <x v="0"/>
    <x v="2"/>
    <x v="2"/>
    <n v="86.947826086956525"/>
    <n v="1"/>
  </r>
  <r>
    <s v="SPAR WESTERN CAPE"/>
    <x v="10"/>
    <x v="314"/>
    <x v="308"/>
    <x v="11"/>
    <x v="200"/>
    <x v="0"/>
    <x v="5"/>
    <x v="5"/>
    <n v="86.947826086956525"/>
    <n v="1"/>
  </r>
  <r>
    <s v="SPAR WESTERN CAPE"/>
    <x v="10"/>
    <x v="315"/>
    <x v="309"/>
    <x v="86"/>
    <x v="201"/>
    <x v="0"/>
    <x v="3"/>
    <x v="3"/>
    <n v="75.643478260869557"/>
    <n v="1"/>
  </r>
  <r>
    <s v="SPAR WESTERN CAPE"/>
    <x v="10"/>
    <x v="315"/>
    <x v="309"/>
    <x v="86"/>
    <x v="201"/>
    <x v="0"/>
    <x v="4"/>
    <x v="4"/>
    <n v="75.643478260869557"/>
    <n v="1"/>
  </r>
  <r>
    <s v="SPAR WESTERN CAPE"/>
    <x v="10"/>
    <x v="316"/>
    <x v="310"/>
    <x v="11"/>
    <x v="202"/>
    <x v="0"/>
    <x v="2"/>
    <x v="2"/>
    <n v="86.947826086956525"/>
    <n v="1"/>
  </r>
  <r>
    <s v="SPAR WESTERN CAPE"/>
    <x v="10"/>
    <x v="316"/>
    <x v="310"/>
    <x v="11"/>
    <x v="202"/>
    <x v="0"/>
    <x v="4"/>
    <x v="4"/>
    <n v="86.947826086956525"/>
    <n v="1"/>
  </r>
  <r>
    <s v="SPAR WESTERN CAPE"/>
    <x v="10"/>
    <x v="316"/>
    <x v="310"/>
    <x v="11"/>
    <x v="202"/>
    <x v="0"/>
    <x v="5"/>
    <x v="5"/>
    <n v="86.947826086956525"/>
    <n v="1"/>
  </r>
  <r>
    <s v="SPAR WESTERN CAPE"/>
    <x v="10"/>
    <x v="317"/>
    <x v="311"/>
    <x v="11"/>
    <x v="200"/>
    <x v="0"/>
    <x v="2"/>
    <x v="2"/>
    <n v="86.947826086956525"/>
    <n v="1"/>
  </r>
  <r>
    <s v="SPAR WESTERN CAPE"/>
    <x v="10"/>
    <x v="317"/>
    <x v="311"/>
    <x v="11"/>
    <x v="200"/>
    <x v="0"/>
    <x v="3"/>
    <x v="3"/>
    <n v="86.947826086956525"/>
    <n v="1"/>
  </r>
  <r>
    <s v="SPAR WESTERN CAPE"/>
    <x v="3"/>
    <x v="221"/>
    <x v="217"/>
    <x v="20"/>
    <x v="134"/>
    <x v="0"/>
    <x v="0"/>
    <x v="0"/>
    <n v="52.165217391304353"/>
    <n v="1"/>
  </r>
  <r>
    <s v="SPAR WESTERN CAPE"/>
    <x v="1"/>
    <x v="107"/>
    <x v="107"/>
    <x v="22"/>
    <x v="59"/>
    <x v="0"/>
    <x v="5"/>
    <x v="5"/>
    <n v="78.252173913043478"/>
    <n v="1"/>
  </r>
  <r>
    <s v="SPAR WESTERN CAPE"/>
    <x v="1"/>
    <x v="108"/>
    <x v="108"/>
    <x v="22"/>
    <x v="59"/>
    <x v="0"/>
    <x v="4"/>
    <x v="4"/>
    <n v="78.252173913043478"/>
    <n v="1"/>
  </r>
  <r>
    <s v="SPAR WESTERN CAPE"/>
    <x v="1"/>
    <x v="108"/>
    <x v="108"/>
    <x v="22"/>
    <x v="59"/>
    <x v="0"/>
    <x v="5"/>
    <x v="5"/>
    <n v="78.252173913043478"/>
    <n v="1"/>
  </r>
  <r>
    <s v="SPAR WESTERN CAPE"/>
    <x v="1"/>
    <x v="110"/>
    <x v="110"/>
    <x v="22"/>
    <x v="59"/>
    <x v="0"/>
    <x v="5"/>
    <x v="5"/>
    <n v="78.252173913043478"/>
    <n v="1"/>
  </r>
  <r>
    <s v="SPAR WESTERN CAPE"/>
    <x v="1"/>
    <x v="112"/>
    <x v="112"/>
    <x v="20"/>
    <x v="78"/>
    <x v="0"/>
    <x v="1"/>
    <x v="1"/>
    <n v="52.165217391304353"/>
    <n v="1"/>
  </r>
  <r>
    <s v="SPAR WESTERN CAPE"/>
    <x v="1"/>
    <x v="117"/>
    <x v="117"/>
    <x v="44"/>
    <x v="81"/>
    <x v="0"/>
    <x v="4"/>
    <x v="4"/>
    <n v="33.03478260869565"/>
    <n v="1"/>
  </r>
  <r>
    <s v="SPAR WESTERN CAPE"/>
    <x v="0"/>
    <x v="55"/>
    <x v="55"/>
    <x v="27"/>
    <x v="39"/>
    <x v="0"/>
    <x v="0"/>
    <x v="0"/>
    <n v="23.469565217391303"/>
    <n v="1"/>
  </r>
  <r>
    <s v="SPAR WESTERN CAPE"/>
    <x v="0"/>
    <x v="55"/>
    <x v="55"/>
    <x v="27"/>
    <x v="39"/>
    <x v="0"/>
    <x v="1"/>
    <x v="1"/>
    <n v="23.469565217391303"/>
    <n v="1"/>
  </r>
  <r>
    <s v="SPAR WESTERN CAPE"/>
    <x v="2"/>
    <x v="185"/>
    <x v="181"/>
    <x v="11"/>
    <x v="40"/>
    <x v="0"/>
    <x v="4"/>
    <x v="4"/>
    <n v="86.947826086956525"/>
    <n v="1"/>
  </r>
  <r>
    <s v="SPAR WESTERN CAPE"/>
    <x v="2"/>
    <x v="188"/>
    <x v="184"/>
    <x v="39"/>
    <x v="103"/>
    <x v="0"/>
    <x v="0"/>
    <x v="0"/>
    <n v="73.904347826086948"/>
    <n v="1"/>
  </r>
  <r>
    <s v="SPAR WESTERN CAPE"/>
    <x v="2"/>
    <x v="188"/>
    <x v="184"/>
    <x v="39"/>
    <x v="103"/>
    <x v="0"/>
    <x v="1"/>
    <x v="1"/>
    <n v="73.904347826086948"/>
    <n v="1"/>
  </r>
  <r>
    <s v="SPAR WESTERN CAPE"/>
    <x v="1"/>
    <x v="118"/>
    <x v="118"/>
    <x v="10"/>
    <x v="82"/>
    <x v="0"/>
    <x v="1"/>
    <x v="1"/>
    <n v="156.51304347826087"/>
    <n v="1"/>
  </r>
  <r>
    <s v="SPAR WESTERN CAPE"/>
    <x v="1"/>
    <x v="118"/>
    <x v="118"/>
    <x v="10"/>
    <x v="82"/>
    <x v="0"/>
    <x v="4"/>
    <x v="4"/>
    <n v="156.51304347826087"/>
    <n v="1"/>
  </r>
  <r>
    <s v="SPAR WESTERN CAPE"/>
    <x v="2"/>
    <x v="196"/>
    <x v="192"/>
    <x v="10"/>
    <x v="82"/>
    <x v="0"/>
    <x v="5"/>
    <x v="5"/>
    <n v="156.51304347826087"/>
    <n v="1"/>
  </r>
  <r>
    <s v="SPAR WESTERN CAPE"/>
    <x v="3"/>
    <x v="224"/>
    <x v="219"/>
    <x v="20"/>
    <x v="134"/>
    <x v="0"/>
    <x v="0"/>
    <x v="0"/>
    <n v="52.165217391304353"/>
    <n v="1"/>
  </r>
  <r>
    <s v="SPAR WESTERN CAPE"/>
    <x v="10"/>
    <x v="320"/>
    <x v="314"/>
    <x v="60"/>
    <x v="204"/>
    <x v="0"/>
    <x v="4"/>
    <x v="4"/>
    <n v="49.556521739130439"/>
    <n v="1"/>
  </r>
  <r>
    <s v="SPAR WESTERN CAPE"/>
    <x v="10"/>
    <x v="320"/>
    <x v="314"/>
    <x v="60"/>
    <x v="204"/>
    <x v="0"/>
    <x v="5"/>
    <x v="5"/>
    <n v="49.556521739130439"/>
    <n v="1"/>
  </r>
  <r>
    <s v="SPAR WESTERN CAPE"/>
    <x v="3"/>
    <x v="227"/>
    <x v="222"/>
    <x v="20"/>
    <x v="134"/>
    <x v="0"/>
    <x v="0"/>
    <x v="0"/>
    <n v="52.165217391304353"/>
    <n v="1"/>
  </r>
  <r>
    <s v="SPAR WESTERN CAPE"/>
    <x v="3"/>
    <x v="227"/>
    <x v="222"/>
    <x v="20"/>
    <x v="134"/>
    <x v="0"/>
    <x v="4"/>
    <x v="4"/>
    <n v="52.165217391304353"/>
    <n v="1"/>
  </r>
  <r>
    <s v="SPAR WESTERN CAPE"/>
    <x v="1"/>
    <x v="133"/>
    <x v="132"/>
    <x v="13"/>
    <x v="53"/>
    <x v="0"/>
    <x v="1"/>
    <x v="1"/>
    <n v="62.599999999999994"/>
    <n v="1"/>
  </r>
  <r>
    <s v="SPAR WESTERN CAPE"/>
    <x v="0"/>
    <x v="76"/>
    <x v="76"/>
    <x v="13"/>
    <x v="53"/>
    <x v="0"/>
    <x v="1"/>
    <x v="1"/>
    <n v="62.599999999999994"/>
    <n v="1"/>
  </r>
  <r>
    <s v="SPAR WESTERN CAPE"/>
    <x v="1"/>
    <x v="134"/>
    <x v="133"/>
    <x v="5"/>
    <x v="9"/>
    <x v="0"/>
    <x v="1"/>
    <x v="1"/>
    <n v="43.469565217391306"/>
    <n v="1"/>
  </r>
  <r>
    <s v="SPAR WESTERN CAPE"/>
    <x v="1"/>
    <x v="134"/>
    <x v="133"/>
    <x v="5"/>
    <x v="9"/>
    <x v="0"/>
    <x v="3"/>
    <x v="3"/>
    <n v="43.469565217391306"/>
    <n v="1"/>
  </r>
  <r>
    <s v="SPAR WESTERN CAPE"/>
    <x v="1"/>
    <x v="138"/>
    <x v="137"/>
    <x v="13"/>
    <x v="53"/>
    <x v="0"/>
    <x v="2"/>
    <x v="2"/>
    <n v="62.599999999999994"/>
    <n v="1"/>
  </r>
  <r>
    <s v="SPAR WESTERN CAPE"/>
    <x v="1"/>
    <x v="140"/>
    <x v="135"/>
    <x v="13"/>
    <x v="53"/>
    <x v="0"/>
    <x v="2"/>
    <x v="2"/>
    <n v="62.599999999999994"/>
    <n v="1"/>
  </r>
  <r>
    <s v="SPAR WESTERN CAPE"/>
    <x v="3"/>
    <x v="231"/>
    <x v="226"/>
    <x v="6"/>
    <x v="140"/>
    <x v="0"/>
    <x v="4"/>
    <x v="4"/>
    <n v="38.252173913043478"/>
    <n v="1"/>
  </r>
  <r>
    <s v="SPAR WESTERN CAPE"/>
    <x v="3"/>
    <x v="233"/>
    <x v="228"/>
    <x v="19"/>
    <x v="142"/>
    <x v="0"/>
    <x v="0"/>
    <x v="0"/>
    <n v="33.904347826086962"/>
    <n v="1"/>
  </r>
  <r>
    <s v="SPAR WESTERN CAPE"/>
    <x v="3"/>
    <x v="233"/>
    <x v="228"/>
    <x v="19"/>
    <x v="142"/>
    <x v="0"/>
    <x v="5"/>
    <x v="5"/>
    <n v="33.904347826086962"/>
    <n v="1"/>
  </r>
  <r>
    <s v="SPAR WESTERN CAPE"/>
    <x v="0"/>
    <x v="80"/>
    <x v="80"/>
    <x v="32"/>
    <x v="55"/>
    <x v="0"/>
    <x v="1"/>
    <x v="1"/>
    <n v="54.77391304347826"/>
    <n v="1"/>
  </r>
  <r>
    <s v="SPAR WESTERN CAPE"/>
    <x v="0"/>
    <x v="80"/>
    <x v="80"/>
    <x v="32"/>
    <x v="55"/>
    <x v="0"/>
    <x v="4"/>
    <x v="4"/>
    <n v="54.77391304347826"/>
    <n v="1"/>
  </r>
  <r>
    <s v="SPAR WESTERN CAPE"/>
    <x v="6"/>
    <x v="298"/>
    <x v="292"/>
    <x v="82"/>
    <x v="190"/>
    <x v="0"/>
    <x v="1"/>
    <x v="1"/>
    <n v="12.165217391304347"/>
    <n v="1"/>
  </r>
  <r>
    <s v="SPAR WESTERN CAPE"/>
    <x v="1"/>
    <x v="154"/>
    <x v="151"/>
    <x v="35"/>
    <x v="100"/>
    <x v="0"/>
    <x v="5"/>
    <x v="5"/>
    <n v="17.382608695652173"/>
    <n v="1"/>
  </r>
  <r>
    <s v="SPAR WESTERN CAPE"/>
    <x v="2"/>
    <x v="201"/>
    <x v="197"/>
    <x v="59"/>
    <x v="119"/>
    <x v="0"/>
    <x v="1"/>
    <x v="1"/>
    <n v="21.730434782608693"/>
    <n v="1"/>
  </r>
  <r>
    <s v="SPAR WESTERN CAPE"/>
    <x v="2"/>
    <x v="202"/>
    <x v="198"/>
    <x v="59"/>
    <x v="119"/>
    <x v="0"/>
    <x v="1"/>
    <x v="1"/>
    <n v="21.730434782608693"/>
    <n v="1"/>
  </r>
  <r>
    <s v="SPAR WESTERN CAPE"/>
    <x v="6"/>
    <x v="302"/>
    <x v="296"/>
    <x v="84"/>
    <x v="194"/>
    <x v="0"/>
    <x v="1"/>
    <x v="1"/>
    <n v="13.904347826086957"/>
    <n v="1"/>
  </r>
  <r>
    <s v="SPAR WESTERN CAPE"/>
    <x v="6"/>
    <x v="302"/>
    <x v="296"/>
    <x v="84"/>
    <x v="194"/>
    <x v="0"/>
    <x v="2"/>
    <x v="2"/>
    <n v="13.904347826086957"/>
    <n v="1"/>
  </r>
  <r>
    <s v="SPAR WESTERN CAPE"/>
    <x v="6"/>
    <x v="302"/>
    <x v="296"/>
    <x v="84"/>
    <x v="194"/>
    <x v="0"/>
    <x v="3"/>
    <x v="3"/>
    <n v="13.904347826086957"/>
    <n v="1"/>
  </r>
  <r>
    <s v="SPAR WESTERN CAPE"/>
    <x v="6"/>
    <x v="303"/>
    <x v="297"/>
    <x v="59"/>
    <x v="195"/>
    <x v="0"/>
    <x v="4"/>
    <x v="4"/>
    <n v="21.730434782608693"/>
    <n v="1"/>
  </r>
  <r>
    <s v="SPAR WESTERN CAPE"/>
    <x v="6"/>
    <x v="304"/>
    <x v="298"/>
    <x v="27"/>
    <x v="196"/>
    <x v="0"/>
    <x v="1"/>
    <x v="1"/>
    <n v="23.469565217391303"/>
    <n v="1"/>
  </r>
  <r>
    <s v="SPAR WESTERN CAPE"/>
    <x v="1"/>
    <x v="155"/>
    <x v="152"/>
    <x v="53"/>
    <x v="101"/>
    <x v="0"/>
    <x v="2"/>
    <x v="2"/>
    <n v="37.165217391304353"/>
    <n v="1"/>
  </r>
  <r>
    <s v="SPAR WESTERN CAPE"/>
    <x v="1"/>
    <x v="155"/>
    <x v="152"/>
    <x v="53"/>
    <x v="101"/>
    <x v="0"/>
    <x v="3"/>
    <x v="3"/>
    <n v="39.121739130434783"/>
    <n v="1"/>
  </r>
  <r>
    <s v="SPAR WESTERN CAPE"/>
    <x v="1"/>
    <x v="155"/>
    <x v="152"/>
    <x v="53"/>
    <x v="101"/>
    <x v="0"/>
    <x v="5"/>
    <x v="5"/>
    <n v="39.121739130434783"/>
    <n v="1"/>
  </r>
  <r>
    <s v="SPAR WESTERN CAPE"/>
    <x v="0"/>
    <x v="12"/>
    <x v="12"/>
    <x v="0"/>
    <x v="1"/>
    <x v="0"/>
    <x v="3"/>
    <x v="3"/>
    <n v="60.860869565217385"/>
    <n v="1"/>
  </r>
  <r>
    <s v="SPAR WESTERN CAPE"/>
    <x v="0"/>
    <x v="12"/>
    <x v="12"/>
    <x v="0"/>
    <x v="1"/>
    <x v="0"/>
    <x v="4"/>
    <x v="4"/>
    <n v="60.860869565217385"/>
    <n v="1"/>
  </r>
  <r>
    <s v="SPAR WESTERN CAPE"/>
    <x v="14"/>
    <x v="325"/>
    <x v="318"/>
    <x v="0"/>
    <x v="1"/>
    <x v="0"/>
    <x v="1"/>
    <x v="1"/>
    <n v="60.860869565217385"/>
    <n v="1"/>
  </r>
  <r>
    <s v="SPAR WESTERN CAPE"/>
    <x v="0"/>
    <x v="13"/>
    <x v="13"/>
    <x v="0"/>
    <x v="1"/>
    <x v="0"/>
    <x v="0"/>
    <x v="0"/>
    <n v="60.860869565217385"/>
    <n v="1"/>
  </r>
  <r>
    <s v="SPAR WESTERN CAPE"/>
    <x v="0"/>
    <x v="13"/>
    <x v="13"/>
    <x v="0"/>
    <x v="1"/>
    <x v="0"/>
    <x v="2"/>
    <x v="2"/>
    <n v="60.860869565217385"/>
    <n v="1"/>
  </r>
  <r>
    <s v="SPAR WESTERN CAPE"/>
    <x v="0"/>
    <x v="13"/>
    <x v="13"/>
    <x v="0"/>
    <x v="1"/>
    <x v="0"/>
    <x v="5"/>
    <x v="5"/>
    <n v="60.860869565217385"/>
    <n v="1"/>
  </r>
  <r>
    <s v="SPAR WESTERN CAPE"/>
    <x v="0"/>
    <x v="14"/>
    <x v="14"/>
    <x v="0"/>
    <x v="1"/>
    <x v="0"/>
    <x v="2"/>
    <x v="2"/>
    <n v="57.817391304347822"/>
    <n v="1"/>
  </r>
  <r>
    <s v="SPAR WESTERN CAPE"/>
    <x v="14"/>
    <x v="326"/>
    <x v="319"/>
    <x v="0"/>
    <x v="1"/>
    <x v="0"/>
    <x v="0"/>
    <x v="0"/>
    <n v="60.860869565217385"/>
    <n v="1"/>
  </r>
  <r>
    <s v="SPAR WESTERN CAPE"/>
    <x v="14"/>
    <x v="326"/>
    <x v="319"/>
    <x v="0"/>
    <x v="1"/>
    <x v="0"/>
    <x v="2"/>
    <x v="2"/>
    <n v="57.817391304347822"/>
    <n v="1"/>
  </r>
  <r>
    <s v="SPAR WESTERN CAPE"/>
    <x v="14"/>
    <x v="327"/>
    <x v="320"/>
    <x v="87"/>
    <x v="206"/>
    <x v="0"/>
    <x v="4"/>
    <x v="4"/>
    <n v="59.121739130434776"/>
    <n v="1"/>
  </r>
  <r>
    <s v="SPAR WESTERN CAPE"/>
    <x v="14"/>
    <x v="328"/>
    <x v="321"/>
    <x v="87"/>
    <x v="207"/>
    <x v="0"/>
    <x v="3"/>
    <x v="3"/>
    <n v="59.121739130434776"/>
    <n v="1"/>
  </r>
  <r>
    <s v="SPAR WESTERN CAPE"/>
    <x v="14"/>
    <x v="329"/>
    <x v="322"/>
    <x v="88"/>
    <x v="208"/>
    <x v="0"/>
    <x v="1"/>
    <x v="1"/>
    <n v="95.643478260869557"/>
    <n v="1"/>
  </r>
  <r>
    <s v="SPAR WESTERN CAPE"/>
    <x v="14"/>
    <x v="329"/>
    <x v="322"/>
    <x v="88"/>
    <x v="208"/>
    <x v="0"/>
    <x v="3"/>
    <x v="3"/>
    <n v="95.643478260869557"/>
    <n v="1"/>
  </r>
  <r>
    <s v="SPAR WESTERN CAPE"/>
    <x v="14"/>
    <x v="330"/>
    <x v="323"/>
    <x v="88"/>
    <x v="208"/>
    <x v="0"/>
    <x v="1"/>
    <x v="1"/>
    <n v="95.643478260869557"/>
    <n v="1"/>
  </r>
  <r>
    <s v="SPAR WESTERN CAPE"/>
    <x v="14"/>
    <x v="331"/>
    <x v="324"/>
    <x v="87"/>
    <x v="207"/>
    <x v="0"/>
    <x v="3"/>
    <x v="3"/>
    <n v="59.121739130434776"/>
    <n v="1"/>
  </r>
  <r>
    <s v="SPAR WESTERN CAPE"/>
    <x v="14"/>
    <x v="332"/>
    <x v="325"/>
    <x v="87"/>
    <x v="207"/>
    <x v="0"/>
    <x v="1"/>
    <x v="1"/>
    <n v="59.121739130434776"/>
    <n v="1"/>
  </r>
  <r>
    <s v="SPAR WESTERN CAPE"/>
    <x v="3"/>
    <x v="235"/>
    <x v="230"/>
    <x v="51"/>
    <x v="124"/>
    <x v="0"/>
    <x v="4"/>
    <x v="4"/>
    <n v="45.208695652173915"/>
    <n v="1"/>
  </r>
  <r>
    <s v="SPAR WESTERN CAPE"/>
    <x v="3"/>
    <x v="236"/>
    <x v="231"/>
    <x v="3"/>
    <x v="143"/>
    <x v="0"/>
    <x v="1"/>
    <x v="1"/>
    <n v="50.426086956521743"/>
    <n v="1"/>
  </r>
  <r>
    <s v="SPAR WESTERN CAPE"/>
    <x v="3"/>
    <x v="236"/>
    <x v="231"/>
    <x v="3"/>
    <x v="143"/>
    <x v="0"/>
    <x v="4"/>
    <x v="4"/>
    <n v="50.426086956521743"/>
    <n v="1"/>
  </r>
  <r>
    <s v="SPAR WESTERN CAPE"/>
    <x v="3"/>
    <x v="241"/>
    <x v="236"/>
    <x v="6"/>
    <x v="145"/>
    <x v="0"/>
    <x v="5"/>
    <x v="5"/>
    <n v="38.252173913043478"/>
    <n v="1"/>
  </r>
  <r>
    <s v="SPAR WESTERN CAPE"/>
    <x v="3"/>
    <x v="243"/>
    <x v="238"/>
    <x v="6"/>
    <x v="145"/>
    <x v="0"/>
    <x v="0"/>
    <x v="0"/>
    <n v="38.252173913043478"/>
    <n v="1"/>
  </r>
  <r>
    <s v="SPAR WESTERN CAPE"/>
    <x v="3"/>
    <x v="244"/>
    <x v="239"/>
    <x v="35"/>
    <x v="56"/>
    <x v="0"/>
    <x v="3"/>
    <x v="3"/>
    <n v="19.99130434782608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1CDA8-AB91-4474-9B86-C8F39A5BDC35}" name="PivotTable1" cacheId="3" applyNumberFormats="0" applyBorderFormats="0" applyFontFormats="0" applyPatternFormats="0" applyAlignmentFormats="0" applyWidthHeightFormats="1" dataCaption="Values" errorCaption="&quot;&quot;" showError="1" updatedVersion="8" minRefreshableVersion="3" showDrill="0" useAutoFormatting="1" fieldPrintTitles="1" itemPrintTitles="1" createdVersion="8" indent="0" compact="0" compactData="0" multipleFieldFilters="0">
  <location ref="A3:N53" firstHeaderRow="1" firstDataRow="3" firstDataCol="6"/>
  <pivotFields count="12">
    <pivotField compact="0" outline="0" showAll="0"/>
    <pivotField axis="axisRow" compact="0" outline="0" showAll="0" sortType="ascending" defaultSubtotal="0">
      <items count="20">
        <item x="0"/>
        <item x="11"/>
        <item x="5"/>
        <item x="13"/>
        <item x="6"/>
        <item x="3"/>
        <item x="1"/>
        <item x="14"/>
        <item x="2"/>
        <item x="10"/>
        <item x="4"/>
        <item x="18"/>
        <item x="15"/>
        <item x="16"/>
        <item x="19"/>
        <item x="12"/>
        <item x="9"/>
        <item x="8"/>
        <item x="17"/>
        <item x="7"/>
      </items>
    </pivotField>
    <pivotField axis="axisRow" compact="0" outline="0" showAll="0" defaultSubtotal="0">
      <items count="906">
        <item x="568"/>
        <item x="571"/>
        <item x="244"/>
        <item x="205"/>
        <item x="878"/>
        <item x="243"/>
        <item x="241"/>
        <item x="206"/>
        <item x="236"/>
        <item x="207"/>
        <item x="332"/>
        <item x="331"/>
        <item x="330"/>
        <item x="329"/>
        <item x="328"/>
        <item x="326"/>
        <item x="14"/>
        <item x="13"/>
        <item x="325"/>
        <item x="12"/>
        <item x="895"/>
        <item x="155"/>
        <item x="884"/>
        <item x="304"/>
        <item x="292"/>
        <item x="245"/>
        <item x="303"/>
        <item x="302"/>
        <item x="202"/>
        <item x="201"/>
        <item x="293"/>
        <item x="300"/>
        <item x="154"/>
        <item x="298"/>
        <item x="80"/>
        <item x="233"/>
        <item x="87"/>
        <item x="152"/>
        <item x="140"/>
        <item x="138"/>
        <item x="198"/>
        <item x="162"/>
        <item x="134"/>
        <item x="76"/>
        <item x="133"/>
        <item x="227"/>
        <item x="320"/>
        <item x="224"/>
        <item x="118"/>
        <item x="159"/>
        <item x="188"/>
        <item x="158"/>
        <item x="55"/>
        <item x="294"/>
        <item x="112"/>
        <item x="84"/>
        <item x="85"/>
        <item x="888"/>
        <item x="886"/>
        <item x="901"/>
        <item x="899"/>
        <item x="897"/>
        <item x="903"/>
        <item x="898"/>
        <item x="896"/>
        <item x="902"/>
        <item x="647"/>
        <item x="905"/>
        <item x="904"/>
        <item x="643"/>
        <item x="646"/>
        <item x="883"/>
        <item x="893"/>
        <item x="649"/>
        <item x="663"/>
        <item x="648"/>
        <item x="662"/>
        <item x="642"/>
        <item x="890"/>
        <item x="887"/>
        <item x="645"/>
        <item x="892"/>
        <item x="891"/>
        <item x="650"/>
        <item x="894"/>
        <item x="661"/>
        <item x="660"/>
        <item x="658"/>
        <item x="889"/>
        <item x="644"/>
        <item x="825"/>
        <item x="854"/>
        <item x="853"/>
        <item x="513"/>
        <item x="852"/>
        <item x="864"/>
        <item x="510"/>
        <item x="827"/>
        <item x="509"/>
        <item x="868"/>
        <item x="877"/>
        <item x="866"/>
        <item x="505"/>
        <item x="875"/>
        <item x="870"/>
        <item x="874"/>
        <item x="882"/>
        <item x="694"/>
        <item x="826"/>
        <item x="718"/>
        <item x="446"/>
        <item x="501"/>
        <item x="444"/>
        <item x="829"/>
        <item x="721"/>
        <item x="865"/>
        <item x="851"/>
        <item x="876"/>
        <item x="867"/>
        <item x="850"/>
        <item x="366"/>
        <item x="859"/>
        <item x="849"/>
        <item x="872"/>
        <item x="871"/>
        <item x="338"/>
        <item x="363"/>
        <item x="847"/>
        <item x="846"/>
        <item x="845"/>
        <item x="844"/>
        <item x="436"/>
        <item x="435"/>
        <item x="873"/>
        <item x="843"/>
        <item x="359"/>
        <item x="860"/>
        <item x="434"/>
        <item x="433"/>
        <item x="841"/>
        <item x="432"/>
        <item x="828"/>
        <item x="492"/>
        <item x="378"/>
        <item x="337"/>
        <item x="431"/>
        <item x="430"/>
        <item x="489"/>
        <item x="856"/>
        <item x="773"/>
        <item x="404"/>
        <item x="840"/>
        <item x="900"/>
        <item x="881"/>
        <item x="880"/>
        <item x="879"/>
        <item x="635"/>
        <item x="630"/>
        <item x="624"/>
        <item x="486"/>
        <item x="839"/>
        <item x="356"/>
        <item x="837"/>
        <item x="427"/>
        <item x="517"/>
        <item x="519"/>
        <item x="527"/>
        <item x="857"/>
        <item x="563"/>
        <item x="562"/>
        <item x="515"/>
        <item x="514"/>
        <item x="559"/>
        <item x="558"/>
        <item x="556"/>
        <item x="553"/>
        <item x="550"/>
        <item x="523"/>
        <item x="546"/>
        <item x="525"/>
        <item x="863"/>
        <item x="544"/>
        <item x="542"/>
        <item x="352"/>
        <item x="528"/>
        <item x="540"/>
        <item x="539"/>
        <item x="221"/>
        <item x="537"/>
        <item x="722"/>
        <item x="612"/>
        <item x="317"/>
        <item x="316"/>
        <item x="315"/>
        <item x="314"/>
        <item x="313"/>
        <item x="858"/>
        <item x="86"/>
        <item x="174"/>
        <item x="855"/>
        <item x="862"/>
        <item x="861"/>
        <item x="695"/>
        <item x="831"/>
        <item x="709"/>
        <item x="707"/>
        <item x="705"/>
        <item x="704"/>
        <item x="420"/>
        <item x="836"/>
        <item x="703"/>
        <item x="403"/>
        <item x="417"/>
        <item x="885"/>
        <item x="745"/>
        <item x="15"/>
        <item x="869"/>
        <item x="830"/>
        <item x="443"/>
        <item x="752"/>
        <item x="751"/>
        <item x="97"/>
        <item x="173"/>
        <item x="835"/>
        <item x="834"/>
        <item x="832"/>
        <item x="466"/>
        <item x="833"/>
        <item x="40"/>
        <item x="38"/>
        <item x="157"/>
        <item x="161"/>
        <item x="169"/>
        <item x="8"/>
        <item x="345"/>
        <item x="410"/>
        <item x="343"/>
        <item x="6"/>
        <item x="167"/>
        <item x="33"/>
        <item x="574"/>
        <item x="573"/>
        <item x="21"/>
        <item x="516"/>
        <item x="336"/>
        <item x="291"/>
        <item x="290"/>
        <item x="289"/>
        <item x="83"/>
        <item x="335"/>
        <item x="82"/>
        <item x="288"/>
        <item x="334"/>
        <item x="81"/>
        <item x="242"/>
        <item x="240"/>
        <item x="204"/>
        <item x="239"/>
        <item x="238"/>
        <item x="237"/>
        <item x="235"/>
        <item x="234"/>
        <item x="333"/>
        <item x="327"/>
        <item x="306"/>
        <item x="305"/>
        <item x="278"/>
        <item x="277"/>
        <item x="276"/>
        <item x="275"/>
        <item x="203"/>
        <item x="274"/>
        <item x="301"/>
        <item x="299"/>
        <item x="232"/>
        <item x="231"/>
        <item x="230"/>
        <item x="229"/>
        <item x="273"/>
        <item x="272"/>
        <item x="271"/>
        <item x="153"/>
        <item x="151"/>
        <item x="150"/>
        <item x="149"/>
        <item x="270"/>
        <item x="269"/>
        <item x="268"/>
        <item x="267"/>
        <item x="266"/>
        <item x="148"/>
        <item x="147"/>
        <item x="146"/>
        <item x="79"/>
        <item x="324"/>
        <item x="323"/>
        <item x="322"/>
        <item x="321"/>
        <item x="145"/>
        <item x="144"/>
        <item x="78"/>
        <item x="143"/>
        <item x="200"/>
        <item x="199"/>
        <item x="142"/>
        <item x="141"/>
        <item x="139"/>
        <item x="137"/>
        <item x="265"/>
        <item x="264"/>
        <item x="136"/>
        <item x="135"/>
        <item x="77"/>
        <item x="132"/>
        <item x="131"/>
        <item x="130"/>
        <item x="75"/>
        <item x="129"/>
        <item x="297"/>
        <item x="128"/>
        <item x="127"/>
        <item x="74"/>
        <item x="73"/>
        <item x="72"/>
        <item x="71"/>
        <item x="70"/>
        <item x="69"/>
        <item x="68"/>
        <item x="126"/>
        <item x="228"/>
        <item x="226"/>
        <item x="67"/>
        <item x="66"/>
        <item x="65"/>
        <item x="225"/>
        <item x="223"/>
        <item x="222"/>
        <item x="296"/>
        <item x="64"/>
        <item x="63"/>
        <item x="62"/>
        <item x="61"/>
        <item x="60"/>
        <item x="59"/>
        <item x="125"/>
        <item x="124"/>
        <item x="263"/>
        <item x="197"/>
        <item x="196"/>
        <item x="156"/>
        <item x="195"/>
        <item x="194"/>
        <item x="122"/>
        <item x="121"/>
        <item x="120"/>
        <item x="119"/>
        <item x="193"/>
        <item x="192"/>
        <item x="191"/>
        <item x="190"/>
        <item x="189"/>
        <item x="187"/>
        <item x="58"/>
        <item x="57"/>
        <item x="186"/>
        <item x="56"/>
        <item x="185"/>
        <item x="295"/>
        <item x="117"/>
        <item x="184"/>
        <item x="116"/>
        <item x="115"/>
        <item x="114"/>
        <item x="113"/>
        <item x="262"/>
        <item x="261"/>
        <item x="260"/>
        <item x="259"/>
        <item x="111"/>
        <item x="110"/>
        <item x="109"/>
        <item x="108"/>
        <item x="107"/>
        <item x="106"/>
        <item x="183"/>
        <item x="182"/>
        <item x="54"/>
        <item x="641"/>
        <item x="640"/>
        <item x="639"/>
        <item x="638"/>
        <item x="668"/>
        <item x="667"/>
        <item x="666"/>
        <item x="665"/>
        <item x="664"/>
        <item x="659"/>
        <item x="512"/>
        <item x="511"/>
        <item x="383"/>
        <item x="637"/>
        <item x="720"/>
        <item x="508"/>
        <item x="507"/>
        <item x="506"/>
        <item x="719"/>
        <item x="442"/>
        <item x="504"/>
        <item x="503"/>
        <item x="441"/>
        <item x="502"/>
        <item x="382"/>
        <item x="368"/>
        <item x="500"/>
        <item x="440"/>
        <item x="499"/>
        <item x="381"/>
        <item x="380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67"/>
        <item x="379"/>
        <item x="439"/>
        <item x="438"/>
        <item x="498"/>
        <item x="365"/>
        <item x="364"/>
        <item x="848"/>
        <item x="497"/>
        <item x="496"/>
        <item x="362"/>
        <item x="636"/>
        <item x="437"/>
        <item x="361"/>
        <item x="692"/>
        <item x="495"/>
        <item x="360"/>
        <item x="824"/>
        <item x="358"/>
        <item x="842"/>
        <item x="386"/>
        <item x="494"/>
        <item x="493"/>
        <item x="823"/>
        <item x="385"/>
        <item x="822"/>
        <item x="491"/>
        <item x="570"/>
        <item x="490"/>
        <item x="357"/>
        <item x="567"/>
        <item x="821"/>
        <item x="384"/>
        <item x="820"/>
        <item x="487"/>
        <item x="377"/>
        <item x="819"/>
        <item x="634"/>
        <item x="633"/>
        <item x="632"/>
        <item x="631"/>
        <item x="629"/>
        <item x="628"/>
        <item x="627"/>
        <item x="626"/>
        <item x="625"/>
        <item x="734"/>
        <item x="733"/>
        <item x="732"/>
        <item x="818"/>
        <item x="817"/>
        <item x="816"/>
        <item x="657"/>
        <item x="623"/>
        <item x="622"/>
        <item x="731"/>
        <item x="772"/>
        <item x="730"/>
        <item x="815"/>
        <item x="814"/>
        <item x="771"/>
        <item x="729"/>
        <item x="813"/>
        <item x="53"/>
        <item x="770"/>
        <item x="812"/>
        <item x="811"/>
        <item x="429"/>
        <item x="769"/>
        <item x="768"/>
        <item x="810"/>
        <item x="809"/>
        <item x="656"/>
        <item x="655"/>
        <item x="728"/>
        <item x="485"/>
        <item x="428"/>
        <item x="105"/>
        <item x="727"/>
        <item x="767"/>
        <item x="355"/>
        <item x="354"/>
        <item x="104"/>
        <item x="717"/>
        <item x="716"/>
        <item x="808"/>
        <item x="838"/>
        <item x="807"/>
        <item x="806"/>
        <item x="621"/>
        <item x="805"/>
        <item x="804"/>
        <item x="52"/>
        <item x="181"/>
        <item x="180"/>
        <item x="179"/>
        <item x="319"/>
        <item x="353"/>
        <item x="566"/>
        <item x="565"/>
        <item x="564"/>
        <item x="715"/>
        <item x="803"/>
        <item x="766"/>
        <item x="744"/>
        <item x="743"/>
        <item x="765"/>
        <item x="742"/>
        <item x="789"/>
        <item x="788"/>
        <item x="787"/>
        <item x="786"/>
        <item x="785"/>
        <item x="784"/>
        <item x="783"/>
        <item x="782"/>
        <item x="781"/>
        <item x="561"/>
        <item x="560"/>
        <item x="522"/>
        <item x="557"/>
        <item x="555"/>
        <item x="554"/>
        <item x="552"/>
        <item x="551"/>
        <item x="549"/>
        <item x="521"/>
        <item x="548"/>
        <item x="547"/>
        <item x="518"/>
        <item x="545"/>
        <item x="526"/>
        <item x="780"/>
        <item x="802"/>
        <item x="801"/>
        <item x="520"/>
        <item x="543"/>
        <item x="779"/>
        <item x="778"/>
        <item x="777"/>
        <item x="318"/>
        <item x="620"/>
        <item x="541"/>
        <item x="619"/>
        <item x="618"/>
        <item x="178"/>
        <item x="177"/>
        <item x="538"/>
        <item x="764"/>
        <item x="617"/>
        <item x="351"/>
        <item x="176"/>
        <item x="800"/>
        <item x="484"/>
        <item x="714"/>
        <item x="51"/>
        <item x="103"/>
        <item x="220"/>
        <item x="219"/>
        <item x="218"/>
        <item x="616"/>
        <item x="615"/>
        <item x="569"/>
        <item x="614"/>
        <item x="613"/>
        <item x="726"/>
        <item x="693"/>
        <item x="741"/>
        <item x="799"/>
        <item x="798"/>
        <item x="776"/>
        <item x="775"/>
        <item x="774"/>
        <item x="763"/>
        <item x="611"/>
        <item x="312"/>
        <item x="11"/>
        <item x="10"/>
        <item x="713"/>
        <item x="654"/>
        <item x="653"/>
        <item x="50"/>
        <item x="49"/>
        <item x="48"/>
        <item x="175"/>
        <item x="483"/>
        <item x="287"/>
        <item x="610"/>
        <item x="286"/>
        <item x="285"/>
        <item x="284"/>
        <item x="536"/>
        <item x="609"/>
        <item x="1"/>
        <item x="482"/>
        <item x="679"/>
        <item x="678"/>
        <item x="677"/>
        <item x="762"/>
        <item x="676"/>
        <item x="675"/>
        <item x="674"/>
        <item x="673"/>
        <item x="672"/>
        <item x="761"/>
        <item x="671"/>
        <item x="481"/>
        <item x="480"/>
        <item x="479"/>
        <item x="478"/>
        <item x="477"/>
        <item x="608"/>
        <item x="607"/>
        <item x="740"/>
        <item x="739"/>
        <item x="712"/>
        <item x="426"/>
        <item x="425"/>
        <item x="652"/>
        <item x="797"/>
        <item x="760"/>
        <item x="350"/>
        <item x="535"/>
        <item x="424"/>
        <item x="759"/>
        <item x="476"/>
        <item x="758"/>
        <item x="423"/>
        <item x="402"/>
        <item x="757"/>
        <item x="756"/>
        <item x="755"/>
        <item x="422"/>
        <item x="725"/>
        <item x="606"/>
        <item x="258"/>
        <item x="257"/>
        <item x="475"/>
        <item x="283"/>
        <item x="754"/>
        <item x="711"/>
        <item x="738"/>
        <item x="737"/>
        <item x="736"/>
        <item x="605"/>
        <item x="534"/>
        <item x="710"/>
        <item x="708"/>
        <item x="604"/>
        <item x="421"/>
        <item x="706"/>
        <item x="47"/>
        <item x="46"/>
        <item x="349"/>
        <item x="419"/>
        <item x="282"/>
        <item x="281"/>
        <item x="603"/>
        <item x="474"/>
        <item x="670"/>
        <item x="602"/>
        <item x="348"/>
        <item x="418"/>
        <item x="669"/>
        <item x="445"/>
        <item x="473"/>
        <item x="472"/>
        <item x="471"/>
        <item x="470"/>
        <item x="753"/>
        <item x="691"/>
        <item x="601"/>
        <item x="280"/>
        <item x="256"/>
        <item x="600"/>
        <item x="599"/>
        <item x="598"/>
        <item x="102"/>
        <item x="101"/>
        <item x="100"/>
        <item x="99"/>
        <item x="98"/>
        <item x="376"/>
        <item x="533"/>
        <item x="690"/>
        <item x="416"/>
        <item x="689"/>
        <item x="255"/>
        <item x="469"/>
        <item x="415"/>
        <item x="688"/>
        <item x="597"/>
        <item x="596"/>
        <item x="595"/>
        <item x="594"/>
        <item x="593"/>
        <item x="592"/>
        <item x="591"/>
        <item x="687"/>
        <item x="45"/>
        <item x="44"/>
        <item x="43"/>
        <item x="532"/>
        <item x="96"/>
        <item x="172"/>
        <item x="171"/>
        <item x="347"/>
        <item x="95"/>
        <item x="702"/>
        <item x="701"/>
        <item x="700"/>
        <item x="699"/>
        <item x="698"/>
        <item x="468"/>
        <item x="467"/>
        <item x="465"/>
        <item x="414"/>
        <item x="413"/>
        <item x="346"/>
        <item x="697"/>
        <item x="94"/>
        <item x="464"/>
        <item x="42"/>
        <item x="41"/>
        <item x="163"/>
        <item x="39"/>
        <item x="170"/>
        <item x="160"/>
        <item x="9"/>
        <item x="0"/>
        <item x="7"/>
        <item x="590"/>
        <item x="589"/>
        <item x="588"/>
        <item x="587"/>
        <item x="412"/>
        <item x="375"/>
        <item x="586"/>
        <item x="686"/>
        <item x="685"/>
        <item x="684"/>
        <item x="683"/>
        <item x="463"/>
        <item x="585"/>
        <item x="584"/>
        <item x="583"/>
        <item x="344"/>
        <item x="374"/>
        <item x="411"/>
        <item x="462"/>
        <item x="409"/>
        <item x="408"/>
        <item x="582"/>
        <item x="581"/>
        <item x="580"/>
        <item x="579"/>
        <item x="796"/>
        <item x="682"/>
        <item x="750"/>
        <item x="749"/>
        <item x="461"/>
        <item x="37"/>
        <item x="578"/>
        <item x="681"/>
        <item x="680"/>
        <item x="373"/>
        <item x="407"/>
        <item x="724"/>
        <item x="577"/>
        <item x="576"/>
        <item x="254"/>
        <item x="253"/>
        <item x="252"/>
        <item x="251"/>
        <item x="250"/>
        <item x="249"/>
        <item x="248"/>
        <item x="247"/>
        <item x="168"/>
        <item x="36"/>
        <item x="35"/>
        <item x="34"/>
        <item x="748"/>
        <item x="342"/>
        <item x="575"/>
        <item x="32"/>
        <item x="31"/>
        <item x="372"/>
        <item x="371"/>
        <item x="5"/>
        <item x="4"/>
        <item x="3"/>
        <item x="2"/>
        <item x="341"/>
        <item x="340"/>
        <item x="339"/>
        <item x="747"/>
        <item x="746"/>
        <item x="93"/>
        <item x="30"/>
        <item x="29"/>
        <item x="217"/>
        <item x="216"/>
        <item x="215"/>
        <item x="214"/>
        <item x="531"/>
        <item x="370"/>
        <item x="369"/>
        <item x="530"/>
        <item x="460"/>
        <item x="406"/>
        <item x="28"/>
        <item x="27"/>
        <item x="26"/>
        <item x="735"/>
        <item x="25"/>
        <item x="24"/>
        <item x="23"/>
        <item x="246"/>
        <item x="22"/>
        <item x="795"/>
        <item x="723"/>
        <item x="459"/>
        <item x="458"/>
        <item x="20"/>
        <item x="19"/>
        <item x="18"/>
        <item x="92"/>
        <item x="91"/>
        <item x="90"/>
        <item x="89"/>
        <item x="213"/>
        <item x="212"/>
        <item x="211"/>
        <item x="210"/>
        <item x="209"/>
        <item x="166"/>
        <item x="165"/>
        <item x="529"/>
        <item x="208"/>
        <item x="17"/>
        <item x="572"/>
        <item x="457"/>
        <item x="456"/>
        <item x="455"/>
        <item x="405"/>
        <item x="794"/>
        <item x="793"/>
        <item x="792"/>
        <item x="791"/>
        <item x="790"/>
        <item x="454"/>
        <item x="453"/>
        <item x="452"/>
        <item x="451"/>
        <item x="450"/>
        <item x="449"/>
        <item x="448"/>
        <item x="447"/>
        <item x="524"/>
        <item x="696"/>
        <item x="16"/>
        <item x="311"/>
        <item x="279"/>
        <item x="651"/>
        <item x="88"/>
        <item x="164"/>
        <item x="310"/>
        <item x="309"/>
        <item x="308"/>
        <item x="307"/>
        <item x="123"/>
        <item x="488"/>
      </items>
    </pivotField>
    <pivotField axis="axisRow" compact="0" outline="0" showAll="0" defaultSubtotal="0">
      <items count="888">
        <item x="820"/>
        <item x="698"/>
        <item x="633"/>
        <item x="873"/>
        <item x="874"/>
        <item x="869"/>
        <item x="649"/>
        <item x="871"/>
        <item x="634"/>
        <item x="639"/>
        <item x="647"/>
        <item x="624"/>
        <item x="862"/>
        <item x="864"/>
        <item x="863"/>
        <item x="872"/>
        <item x="876"/>
        <item x="650"/>
        <item x="809"/>
        <item x="550"/>
        <item x="836"/>
        <item x="837"/>
        <item x="506"/>
        <item x="631"/>
        <item x="652"/>
        <item x="635"/>
        <item x="632"/>
        <item x="638"/>
        <item x="637"/>
        <item x="651"/>
        <item x="866"/>
        <item x="875"/>
        <item x="498"/>
        <item x="835"/>
        <item x="420"/>
        <item x="508"/>
        <item x="554"/>
        <item x="814"/>
        <item x="826"/>
        <item x="352"/>
        <item x="843"/>
        <item x="345"/>
        <item x="427"/>
        <item x="859"/>
        <item x="844"/>
        <item x="813"/>
        <item x="509"/>
        <item x="510"/>
        <item x="338"/>
        <item x="426"/>
        <item x="336"/>
        <item x="613"/>
        <item x="850"/>
        <item x="151"/>
        <item x="296"/>
        <item x="292"/>
        <item x="85"/>
        <item x="503"/>
        <item x="318"/>
        <item x="14"/>
        <item x="13"/>
        <item x="12"/>
        <item x="319"/>
        <item x="6"/>
        <item x="165"/>
        <item x="158"/>
        <item x="8"/>
        <item x="154"/>
        <item x="38"/>
        <item x="40"/>
        <item x="684"/>
        <item x="479"/>
        <item x="507"/>
        <item x="442"/>
        <item x="549"/>
        <item x="824"/>
        <item x="425"/>
        <item x="841"/>
        <item x="711"/>
        <item x="833"/>
        <item x="359"/>
        <item x="521"/>
        <item x="811"/>
        <item x="842"/>
        <item x="512"/>
        <item x="547"/>
        <item x="838"/>
        <item x="822"/>
        <item x="363"/>
        <item x="485"/>
        <item x="563"/>
        <item x="530"/>
        <item x="544"/>
        <item x="818"/>
        <item x="816"/>
        <item x="553"/>
        <item x="371"/>
        <item x="740"/>
        <item x="502"/>
        <item x="851"/>
        <item x="848"/>
        <item x="860"/>
        <item x="832"/>
        <item x="855"/>
        <item x="536"/>
        <item x="849"/>
        <item x="194"/>
        <item x="203"/>
        <item x="137"/>
        <item x="238"/>
        <item x="236"/>
        <item x="323"/>
        <item x="861"/>
        <item x="201"/>
        <item x="198"/>
        <item x="197"/>
        <item x="286"/>
        <item x="867"/>
        <item x="118"/>
        <item x="84"/>
        <item x="202"/>
        <item x="76"/>
        <item x="228"/>
        <item x="80"/>
        <item x="152"/>
        <item x="239"/>
        <item x="159"/>
        <item x="294"/>
        <item x="149"/>
        <item x="133"/>
        <item x="135"/>
        <item x="299"/>
        <item x="297"/>
        <item x="877"/>
        <item x="288"/>
        <item x="322"/>
        <item x="325"/>
        <item x="321"/>
        <item x="324"/>
        <item x="132"/>
        <item x="112"/>
        <item x="231"/>
        <item x="87"/>
        <item x="287"/>
        <item x="219"/>
        <item x="217"/>
        <item x="298"/>
        <item x="240"/>
        <item x="854"/>
        <item x="819"/>
        <item x="413"/>
        <item x="834"/>
        <item x="222"/>
        <item x="840"/>
        <item x="331"/>
        <item x="564"/>
        <item x="330"/>
        <item x="155"/>
        <item x="156"/>
        <item x="184"/>
        <item x="858"/>
        <item x="853"/>
        <item x="424"/>
        <item x="356"/>
        <item x="541"/>
        <item x="397"/>
        <item x="857"/>
        <item x="423"/>
        <item x="482"/>
        <item x="696"/>
        <item x="865"/>
        <item x="683"/>
        <item x="739"/>
        <item x="815"/>
        <item x="846"/>
        <item x="396"/>
        <item x="810"/>
        <item x="518"/>
        <item x="532"/>
        <item x="707"/>
        <item x="830"/>
        <item x="439"/>
        <item x="436"/>
        <item x="829"/>
        <item x="828"/>
        <item x="55"/>
        <item x="619"/>
        <item x="823"/>
        <item x="533"/>
        <item x="349"/>
        <item x="494"/>
        <item x="733"/>
        <item x="827"/>
        <item x="97"/>
        <item x="169"/>
        <item x="170"/>
        <item x="86"/>
        <item x="164"/>
        <item x="21"/>
        <item x="879"/>
        <item x="636"/>
        <item x="887"/>
        <item x="886"/>
        <item x="885"/>
        <item x="881"/>
        <item x="883"/>
        <item x="884"/>
        <item x="878"/>
        <item x="880"/>
        <item x="882"/>
        <item x="845"/>
        <item x="534"/>
        <item x="15"/>
        <item x="817"/>
        <item x="459"/>
        <item x="437"/>
        <item x="692"/>
        <item x="403"/>
        <item x="812"/>
        <item x="710"/>
        <item x="847"/>
        <item x="870"/>
        <item x="307"/>
        <item x="311"/>
        <item x="310"/>
        <item x="309"/>
        <item x="308"/>
        <item x="868"/>
        <item x="601"/>
        <item x="429"/>
        <item x="516"/>
        <item x="520"/>
        <item x="33"/>
        <item x="559"/>
        <item x="561"/>
        <item x="410"/>
        <item x="428"/>
        <item x="314"/>
        <item x="839"/>
        <item x="856"/>
        <item x="852"/>
        <item x="694"/>
        <item x="693"/>
        <item x="760"/>
        <item x="329"/>
        <item x="285"/>
        <item x="284"/>
        <item x="283"/>
        <item x="83"/>
        <item x="328"/>
        <item x="82"/>
        <item x="282"/>
        <item x="327"/>
        <item x="81"/>
        <item x="237"/>
        <item x="235"/>
        <item x="200"/>
        <item x="234"/>
        <item x="233"/>
        <item x="232"/>
        <item x="230"/>
        <item x="229"/>
        <item x="326"/>
        <item x="320"/>
        <item x="300"/>
        <item x="272"/>
        <item x="271"/>
        <item x="270"/>
        <item x="269"/>
        <item x="199"/>
        <item x="268"/>
        <item x="295"/>
        <item x="293"/>
        <item x="227"/>
        <item x="226"/>
        <item x="225"/>
        <item x="224"/>
        <item x="267"/>
        <item x="266"/>
        <item x="265"/>
        <item x="150"/>
        <item x="148"/>
        <item x="147"/>
        <item x="146"/>
        <item x="264"/>
        <item x="263"/>
        <item x="262"/>
        <item x="261"/>
        <item x="260"/>
        <item x="145"/>
        <item x="144"/>
        <item x="143"/>
        <item x="79"/>
        <item x="317"/>
        <item x="316"/>
        <item x="315"/>
        <item x="142"/>
        <item x="141"/>
        <item x="78"/>
        <item x="134"/>
        <item x="196"/>
        <item x="195"/>
        <item x="140"/>
        <item x="139"/>
        <item x="138"/>
        <item x="136"/>
        <item x="259"/>
        <item x="258"/>
        <item x="77"/>
        <item x="131"/>
        <item x="130"/>
        <item x="75"/>
        <item x="129"/>
        <item x="291"/>
        <item x="128"/>
        <item x="127"/>
        <item x="74"/>
        <item x="73"/>
        <item x="72"/>
        <item x="71"/>
        <item x="70"/>
        <item x="69"/>
        <item x="68"/>
        <item x="126"/>
        <item x="223"/>
        <item x="221"/>
        <item x="67"/>
        <item x="66"/>
        <item x="65"/>
        <item x="220"/>
        <item x="218"/>
        <item x="290"/>
        <item x="64"/>
        <item x="63"/>
        <item x="62"/>
        <item x="61"/>
        <item x="60"/>
        <item x="59"/>
        <item x="125"/>
        <item x="124"/>
        <item x="257"/>
        <item x="193"/>
        <item x="192"/>
        <item x="153"/>
        <item x="191"/>
        <item x="190"/>
        <item x="122"/>
        <item x="121"/>
        <item x="120"/>
        <item x="119"/>
        <item x="189"/>
        <item x="188"/>
        <item x="187"/>
        <item x="186"/>
        <item x="185"/>
        <item x="183"/>
        <item x="58"/>
        <item x="57"/>
        <item x="182"/>
        <item x="56"/>
        <item x="181"/>
        <item x="289"/>
        <item x="117"/>
        <item x="180"/>
        <item x="116"/>
        <item x="115"/>
        <item x="114"/>
        <item x="113"/>
        <item x="256"/>
        <item x="255"/>
        <item x="254"/>
        <item x="111"/>
        <item x="110"/>
        <item x="109"/>
        <item x="108"/>
        <item x="107"/>
        <item x="106"/>
        <item x="179"/>
        <item x="178"/>
        <item x="54"/>
        <item x="630"/>
        <item x="629"/>
        <item x="628"/>
        <item x="627"/>
        <item x="657"/>
        <item x="656"/>
        <item x="655"/>
        <item x="654"/>
        <item x="653"/>
        <item x="648"/>
        <item x="505"/>
        <item x="504"/>
        <item x="376"/>
        <item x="626"/>
        <item x="709"/>
        <item x="501"/>
        <item x="500"/>
        <item x="499"/>
        <item x="708"/>
        <item x="435"/>
        <item x="497"/>
        <item x="496"/>
        <item x="434"/>
        <item x="495"/>
        <item x="375"/>
        <item x="361"/>
        <item x="493"/>
        <item x="433"/>
        <item x="492"/>
        <item x="374"/>
        <item x="373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60"/>
        <item x="372"/>
        <item x="432"/>
        <item x="431"/>
        <item x="491"/>
        <item x="358"/>
        <item x="357"/>
        <item x="831"/>
        <item x="490"/>
        <item x="489"/>
        <item x="355"/>
        <item x="625"/>
        <item x="430"/>
        <item x="354"/>
        <item x="681"/>
        <item x="488"/>
        <item x="353"/>
        <item x="808"/>
        <item x="351"/>
        <item x="825"/>
        <item x="379"/>
        <item x="487"/>
        <item x="486"/>
        <item x="807"/>
        <item x="378"/>
        <item x="806"/>
        <item x="484"/>
        <item x="483"/>
        <item x="350"/>
        <item x="558"/>
        <item x="805"/>
        <item x="377"/>
        <item x="804"/>
        <item x="480"/>
        <item x="370"/>
        <item x="803"/>
        <item x="623"/>
        <item x="622"/>
        <item x="621"/>
        <item x="620"/>
        <item x="618"/>
        <item x="617"/>
        <item x="616"/>
        <item x="615"/>
        <item x="614"/>
        <item x="723"/>
        <item x="722"/>
        <item x="721"/>
        <item x="802"/>
        <item x="801"/>
        <item x="781"/>
        <item x="646"/>
        <item x="612"/>
        <item x="611"/>
        <item x="720"/>
        <item x="759"/>
        <item x="719"/>
        <item x="800"/>
        <item x="799"/>
        <item x="718"/>
        <item x="798"/>
        <item x="53"/>
        <item x="758"/>
        <item x="797"/>
        <item x="796"/>
        <item x="422"/>
        <item x="757"/>
        <item x="756"/>
        <item x="795"/>
        <item x="794"/>
        <item x="645"/>
        <item x="644"/>
        <item x="717"/>
        <item x="478"/>
        <item x="421"/>
        <item x="105"/>
        <item x="716"/>
        <item x="755"/>
        <item x="348"/>
        <item x="347"/>
        <item x="104"/>
        <item x="706"/>
        <item x="705"/>
        <item x="793"/>
        <item x="821"/>
        <item x="792"/>
        <item x="791"/>
        <item x="610"/>
        <item x="790"/>
        <item x="789"/>
        <item x="52"/>
        <item x="177"/>
        <item x="176"/>
        <item x="175"/>
        <item x="313"/>
        <item x="346"/>
        <item x="557"/>
        <item x="556"/>
        <item x="555"/>
        <item x="704"/>
        <item x="788"/>
        <item x="754"/>
        <item x="732"/>
        <item x="731"/>
        <item x="753"/>
        <item x="730"/>
        <item x="774"/>
        <item x="773"/>
        <item x="772"/>
        <item x="771"/>
        <item x="770"/>
        <item x="769"/>
        <item x="762"/>
        <item x="768"/>
        <item x="767"/>
        <item x="552"/>
        <item x="551"/>
        <item x="515"/>
        <item x="548"/>
        <item x="546"/>
        <item x="545"/>
        <item x="543"/>
        <item x="542"/>
        <item x="540"/>
        <item x="514"/>
        <item x="539"/>
        <item x="538"/>
        <item x="511"/>
        <item x="537"/>
        <item x="519"/>
        <item x="765"/>
        <item x="787"/>
        <item x="786"/>
        <item x="513"/>
        <item x="535"/>
        <item x="766"/>
        <item x="764"/>
        <item x="312"/>
        <item x="609"/>
        <item x="608"/>
        <item x="607"/>
        <item x="174"/>
        <item x="173"/>
        <item x="531"/>
        <item x="752"/>
        <item x="606"/>
        <item x="344"/>
        <item x="172"/>
        <item x="785"/>
        <item x="477"/>
        <item x="703"/>
        <item x="51"/>
        <item x="103"/>
        <item x="216"/>
        <item x="215"/>
        <item x="214"/>
        <item x="605"/>
        <item x="604"/>
        <item x="560"/>
        <item x="603"/>
        <item x="602"/>
        <item x="715"/>
        <item x="682"/>
        <item x="729"/>
        <item x="784"/>
        <item x="783"/>
        <item x="763"/>
        <item x="761"/>
        <item x="751"/>
        <item x="600"/>
        <item x="306"/>
        <item x="11"/>
        <item x="10"/>
        <item x="702"/>
        <item x="643"/>
        <item x="642"/>
        <item x="50"/>
        <item x="49"/>
        <item x="48"/>
        <item x="171"/>
        <item x="476"/>
        <item x="281"/>
        <item x="599"/>
        <item x="280"/>
        <item x="279"/>
        <item x="278"/>
        <item x="529"/>
        <item x="598"/>
        <item x="1"/>
        <item x="475"/>
        <item x="668"/>
        <item x="667"/>
        <item x="666"/>
        <item x="750"/>
        <item x="665"/>
        <item x="664"/>
        <item x="663"/>
        <item x="662"/>
        <item x="661"/>
        <item x="749"/>
        <item x="660"/>
        <item x="474"/>
        <item x="473"/>
        <item x="472"/>
        <item x="471"/>
        <item x="470"/>
        <item x="597"/>
        <item x="596"/>
        <item x="728"/>
        <item x="724"/>
        <item x="701"/>
        <item x="419"/>
        <item x="418"/>
        <item x="641"/>
        <item x="782"/>
        <item x="748"/>
        <item x="343"/>
        <item x="528"/>
        <item x="417"/>
        <item x="747"/>
        <item x="469"/>
        <item x="746"/>
        <item x="416"/>
        <item x="395"/>
        <item x="745"/>
        <item x="744"/>
        <item x="743"/>
        <item x="415"/>
        <item x="714"/>
        <item x="595"/>
        <item x="253"/>
        <item x="252"/>
        <item x="468"/>
        <item x="277"/>
        <item x="742"/>
        <item x="700"/>
        <item x="727"/>
        <item x="726"/>
        <item x="725"/>
        <item x="594"/>
        <item x="527"/>
        <item x="699"/>
        <item x="697"/>
        <item x="565"/>
        <item x="414"/>
        <item x="695"/>
        <item x="47"/>
        <item x="46"/>
        <item x="342"/>
        <item x="412"/>
        <item x="276"/>
        <item x="275"/>
        <item x="593"/>
        <item x="467"/>
        <item x="659"/>
        <item x="592"/>
        <item x="341"/>
        <item x="411"/>
        <item x="658"/>
        <item x="438"/>
        <item x="466"/>
        <item x="465"/>
        <item x="464"/>
        <item x="463"/>
        <item x="741"/>
        <item x="680"/>
        <item x="591"/>
        <item x="274"/>
        <item x="251"/>
        <item x="590"/>
        <item x="589"/>
        <item x="588"/>
        <item x="102"/>
        <item x="101"/>
        <item x="100"/>
        <item x="99"/>
        <item x="98"/>
        <item x="369"/>
        <item x="526"/>
        <item x="679"/>
        <item x="409"/>
        <item x="678"/>
        <item x="250"/>
        <item x="462"/>
        <item x="408"/>
        <item x="677"/>
        <item x="587"/>
        <item x="586"/>
        <item x="585"/>
        <item x="584"/>
        <item x="583"/>
        <item x="582"/>
        <item x="581"/>
        <item x="676"/>
        <item x="45"/>
        <item x="44"/>
        <item x="43"/>
        <item x="525"/>
        <item x="96"/>
        <item x="168"/>
        <item x="167"/>
        <item x="340"/>
        <item x="95"/>
        <item x="691"/>
        <item x="690"/>
        <item x="689"/>
        <item x="688"/>
        <item x="687"/>
        <item x="461"/>
        <item x="460"/>
        <item x="458"/>
        <item x="407"/>
        <item x="406"/>
        <item x="339"/>
        <item x="686"/>
        <item x="94"/>
        <item x="457"/>
        <item x="42"/>
        <item x="41"/>
        <item x="160"/>
        <item x="39"/>
        <item x="166"/>
        <item x="157"/>
        <item x="9"/>
        <item x="0"/>
        <item x="7"/>
        <item x="580"/>
        <item x="579"/>
        <item x="578"/>
        <item x="577"/>
        <item x="405"/>
        <item x="368"/>
        <item x="576"/>
        <item x="675"/>
        <item x="674"/>
        <item x="673"/>
        <item x="672"/>
        <item x="456"/>
        <item x="575"/>
        <item x="574"/>
        <item x="573"/>
        <item x="337"/>
        <item x="367"/>
        <item x="404"/>
        <item x="455"/>
        <item x="402"/>
        <item x="401"/>
        <item x="572"/>
        <item x="571"/>
        <item x="570"/>
        <item x="569"/>
        <item x="671"/>
        <item x="738"/>
        <item x="737"/>
        <item x="454"/>
        <item x="37"/>
        <item x="568"/>
        <item x="670"/>
        <item x="669"/>
        <item x="366"/>
        <item x="400"/>
        <item x="713"/>
        <item x="567"/>
        <item x="566"/>
        <item x="249"/>
        <item x="248"/>
        <item x="247"/>
        <item x="246"/>
        <item x="245"/>
        <item x="244"/>
        <item x="243"/>
        <item x="242"/>
        <item x="36"/>
        <item x="35"/>
        <item x="34"/>
        <item x="736"/>
        <item x="335"/>
        <item x="32"/>
        <item x="31"/>
        <item x="365"/>
        <item x="364"/>
        <item x="5"/>
        <item x="4"/>
        <item x="3"/>
        <item x="2"/>
        <item x="334"/>
        <item x="333"/>
        <item x="332"/>
        <item x="735"/>
        <item x="734"/>
        <item x="93"/>
        <item x="30"/>
        <item x="29"/>
        <item x="213"/>
        <item x="212"/>
        <item x="211"/>
        <item x="210"/>
        <item x="524"/>
        <item x="362"/>
        <item x="523"/>
        <item x="453"/>
        <item x="399"/>
        <item x="28"/>
        <item x="27"/>
        <item x="26"/>
        <item x="25"/>
        <item x="24"/>
        <item x="23"/>
        <item x="241"/>
        <item x="22"/>
        <item x="780"/>
        <item x="712"/>
        <item x="452"/>
        <item x="451"/>
        <item x="20"/>
        <item x="19"/>
        <item x="18"/>
        <item x="92"/>
        <item x="91"/>
        <item x="90"/>
        <item x="89"/>
        <item x="209"/>
        <item x="208"/>
        <item x="207"/>
        <item x="206"/>
        <item x="205"/>
        <item x="163"/>
        <item x="162"/>
        <item x="522"/>
        <item x="204"/>
        <item x="17"/>
        <item x="562"/>
        <item x="450"/>
        <item x="449"/>
        <item x="448"/>
        <item x="398"/>
        <item x="779"/>
        <item x="778"/>
        <item x="777"/>
        <item x="776"/>
        <item x="775"/>
        <item x="447"/>
        <item x="446"/>
        <item x="445"/>
        <item x="444"/>
        <item x="443"/>
        <item x="441"/>
        <item x="440"/>
        <item x="517"/>
        <item x="685"/>
        <item x="16"/>
        <item x="305"/>
        <item x="273"/>
        <item x="640"/>
        <item x="88"/>
        <item x="161"/>
        <item x="304"/>
        <item x="303"/>
        <item x="302"/>
        <item x="301"/>
        <item x="123"/>
        <item x="481"/>
      </items>
    </pivotField>
    <pivotField axis="axisRow" compact="0" numFmtId="4" outline="0" showAll="0" defaultSubtotal="0">
      <items count="221">
        <item x="2"/>
        <item x="120"/>
        <item x="110"/>
        <item x="119"/>
        <item x="218"/>
        <item x="129"/>
        <item x="96"/>
        <item x="174"/>
        <item x="117"/>
        <item x="121"/>
        <item x="103"/>
        <item x="216"/>
        <item x="97"/>
        <item x="93"/>
        <item x="122"/>
        <item x="118"/>
        <item x="124"/>
        <item x="82"/>
        <item x="34"/>
        <item x="84"/>
        <item x="219"/>
        <item x="115"/>
        <item x="126"/>
        <item x="217"/>
        <item x="127"/>
        <item x="35"/>
        <item x="112"/>
        <item x="1"/>
        <item x="83"/>
        <item x="57"/>
        <item x="59"/>
        <item x="25"/>
        <item x="27"/>
        <item x="62"/>
        <item x="61"/>
        <item x="220"/>
        <item x="24"/>
        <item x="164"/>
        <item x="4"/>
        <item x="64"/>
        <item x="70"/>
        <item x="26"/>
        <item x="44"/>
        <item x="19"/>
        <item x="5"/>
        <item x="37"/>
        <item x="16"/>
        <item x="6"/>
        <item x="53"/>
        <item x="52"/>
        <item x="21"/>
        <item x="51"/>
        <item x="55"/>
        <item x="98"/>
        <item x="60"/>
        <item x="3"/>
        <item x="20"/>
        <item x="91"/>
        <item x="142"/>
        <item x="32"/>
        <item x="33"/>
        <item x="29"/>
        <item x="87"/>
        <item x="0"/>
        <item x="193"/>
        <item x="13"/>
        <item x="48"/>
        <item x="23"/>
        <item x="39"/>
        <item x="160"/>
        <item x="86"/>
        <item x="22"/>
        <item x="136"/>
        <item x="11"/>
        <item x="99"/>
        <item x="135"/>
        <item x="54"/>
        <item x="46"/>
        <item x="47"/>
        <item x="38"/>
        <item x="17"/>
        <item x="94"/>
        <item x="101"/>
        <item x="139"/>
        <item x="132"/>
        <item x="40"/>
        <item x="63"/>
        <item x="9"/>
        <item x="215"/>
        <item x="89"/>
        <item x="81"/>
        <item x="80"/>
        <item x="79"/>
        <item x="36"/>
        <item x="78"/>
        <item x="7"/>
        <item x="85"/>
        <item x="71"/>
        <item x="42"/>
        <item x="50"/>
        <item x="30"/>
        <item x="49"/>
        <item x="8"/>
        <item x="31"/>
        <item x="18"/>
        <item x="45"/>
        <item x="28"/>
        <item x="43"/>
        <item x="12"/>
        <item x="69"/>
        <item x="68"/>
        <item x="163"/>
        <item x="162"/>
        <item x="159"/>
        <item x="104"/>
        <item x="181"/>
        <item x="131"/>
        <item x="130"/>
        <item x="108"/>
        <item x="109"/>
        <item x="95"/>
        <item x="100"/>
        <item x="202"/>
        <item x="214"/>
        <item x="107"/>
        <item x="179"/>
        <item x="213"/>
        <item x="201"/>
        <item x="106"/>
        <item x="212"/>
        <item x="161"/>
        <item x="182"/>
        <item x="92"/>
        <item x="211"/>
        <item x="144"/>
        <item x="158"/>
        <item x="58"/>
        <item x="172"/>
        <item x="210"/>
        <item x="209"/>
        <item x="152"/>
        <item x="140"/>
        <item x="208"/>
        <item x="192"/>
        <item x="15"/>
        <item x="207"/>
        <item x="183"/>
        <item x="41"/>
        <item x="206"/>
        <item x="205"/>
        <item x="204"/>
        <item x="157"/>
        <item x="203"/>
        <item x="145"/>
        <item x="180"/>
        <item x="196"/>
        <item x="143"/>
        <item x="134"/>
        <item x="141"/>
        <item x="133"/>
        <item x="138"/>
        <item x="156"/>
        <item x="173"/>
        <item x="195"/>
        <item x="194"/>
        <item x="77"/>
        <item x="76"/>
        <item x="75"/>
        <item x="74"/>
        <item x="155"/>
        <item x="166"/>
        <item x="165"/>
        <item x="154"/>
        <item x="153"/>
        <item x="184"/>
        <item x="178"/>
        <item x="191"/>
        <item x="190"/>
        <item x="189"/>
        <item x="116"/>
        <item x="67"/>
        <item x="66"/>
        <item x="73"/>
        <item x="188"/>
        <item x="177"/>
        <item x="151"/>
        <item x="176"/>
        <item x="150"/>
        <item x="125"/>
        <item x="56"/>
        <item x="114"/>
        <item x="168"/>
        <item x="72"/>
        <item x="65"/>
        <item x="105"/>
        <item x="171"/>
        <item x="170"/>
        <item x="113"/>
        <item x="169"/>
        <item x="10"/>
        <item x="137"/>
        <item x="149"/>
        <item x="167"/>
        <item x="148"/>
        <item x="147"/>
        <item x="187"/>
        <item x="186"/>
        <item x="123"/>
        <item x="146"/>
        <item x="185"/>
        <item x="111"/>
        <item x="14"/>
        <item x="90"/>
        <item x="102"/>
        <item x="198"/>
        <item x="200"/>
        <item x="199"/>
        <item x="197"/>
        <item x="175"/>
        <item x="88"/>
        <item x="128"/>
      </items>
    </pivotField>
    <pivotField axis="axisRow" compact="0" numFmtId="4" outline="0" showAll="0" defaultSubtotal="0">
      <items count="623">
        <item x="303"/>
        <item x="605"/>
        <item x="277"/>
        <item x="346"/>
        <item x="469"/>
        <item x="276"/>
        <item x="512"/>
        <item x="300"/>
        <item x="301"/>
        <item x="584"/>
        <item x="570"/>
        <item x="583"/>
        <item x="484"/>
        <item x="602"/>
        <item x="310"/>
        <item x="581"/>
        <item x="592"/>
        <item x="589"/>
        <item x="569"/>
        <item x="326"/>
        <item x="245"/>
        <item x="580"/>
        <item x="599"/>
        <item x="363"/>
        <item x="230"/>
        <item x="265"/>
        <item x="590"/>
        <item x="344"/>
        <item x="308"/>
        <item x="567"/>
        <item x="566"/>
        <item x="353"/>
        <item x="395"/>
        <item x="597"/>
        <item x="306"/>
        <item x="297"/>
        <item x="227"/>
        <item x="578"/>
        <item x="600"/>
        <item x="603"/>
        <item x="511"/>
        <item x="287"/>
        <item x="286"/>
        <item x="212"/>
        <item x="601"/>
        <item x="585"/>
        <item x="574"/>
        <item x="505"/>
        <item x="474"/>
        <item x="475"/>
        <item x="598"/>
        <item x="573"/>
        <item x="604"/>
        <item x="485"/>
        <item x="568"/>
        <item x="439"/>
        <item x="565"/>
        <item x="263"/>
        <item x="319"/>
        <item x="607"/>
        <item x="190"/>
        <item x="194"/>
        <item x="587"/>
        <item x="340"/>
        <item x="594"/>
        <item x="302"/>
        <item x="270"/>
        <item x="275"/>
        <item x="596"/>
        <item x="361"/>
        <item x="563"/>
        <item x="400"/>
        <item x="588"/>
        <item x="579"/>
        <item x="575"/>
        <item x="100"/>
        <item x="564"/>
        <item x="290"/>
        <item x="119"/>
        <item x="360"/>
        <item x="70"/>
        <item x="343"/>
        <item x="399"/>
        <item x="5"/>
        <item x="591"/>
        <item x="56"/>
        <item x="192"/>
        <item x="281"/>
        <item x="111"/>
        <item x="446"/>
        <item x="611"/>
        <item x="436"/>
        <item x="487"/>
        <item x="610"/>
        <item x="187"/>
        <item x="396"/>
        <item x="595"/>
        <item x="608"/>
        <item x="195"/>
        <item x="238"/>
        <item x="350"/>
        <item x="213"/>
        <item x="435"/>
        <item x="609"/>
        <item x="339"/>
        <item x="586"/>
        <item x="571"/>
        <item x="434"/>
        <item x="613"/>
        <item x="444"/>
        <item x="614"/>
        <item x="405"/>
        <item x="39"/>
        <item x="196"/>
        <item x="616"/>
        <item x="440"/>
        <item x="617"/>
        <item x="621"/>
        <item x="622"/>
        <item x="186"/>
        <item x="406"/>
        <item x="612"/>
        <item x="620"/>
        <item x="437"/>
        <item x="488"/>
        <item x="107"/>
        <item x="615"/>
        <item x="618"/>
        <item x="81"/>
        <item x="146"/>
        <item x="619"/>
        <item x="233"/>
        <item x="142"/>
        <item x="438"/>
        <item x="606"/>
        <item x="593"/>
        <item x="220"/>
        <item x="60"/>
        <item x="123"/>
        <item x="145"/>
        <item x="20"/>
        <item x="118"/>
        <item x="101"/>
        <item x="389"/>
        <item x="99"/>
        <item x="577"/>
        <item x="27"/>
        <item x="9"/>
        <item x="124"/>
        <item x="122"/>
        <item x="218"/>
        <item x="104"/>
        <item x="204"/>
        <item x="143"/>
        <item x="529"/>
        <item x="134"/>
        <item x="381"/>
        <item x="78"/>
        <item x="387"/>
        <item x="374"/>
        <item x="55"/>
        <item x="378"/>
        <item x="385"/>
        <item x="0"/>
        <item x="207"/>
        <item x="373"/>
        <item x="1"/>
        <item x="53"/>
        <item x="427"/>
        <item x="379"/>
        <item x="61"/>
        <item x="366"/>
        <item x="240"/>
        <item x="103"/>
        <item x="201"/>
        <item x="252"/>
        <item x="59"/>
        <item x="390"/>
        <item x="202"/>
        <item x="200"/>
        <item x="372"/>
        <item x="237"/>
        <item x="102"/>
        <item x="371"/>
        <item x="208"/>
        <item x="357"/>
        <item x="62"/>
        <item x="380"/>
        <item x="383"/>
        <item x="364"/>
        <item x="365"/>
        <item x="82"/>
        <item x="25"/>
        <item x="562"/>
        <item x="211"/>
        <item x="185"/>
        <item x="184"/>
        <item x="183"/>
        <item x="58"/>
        <item x="210"/>
        <item x="57"/>
        <item x="182"/>
        <item x="209"/>
        <item x="121"/>
        <item x="131"/>
        <item x="144"/>
        <item x="206"/>
        <item x="197"/>
        <item x="173"/>
        <item x="172"/>
        <item x="171"/>
        <item x="170"/>
        <item x="120"/>
        <item x="169"/>
        <item x="193"/>
        <item x="191"/>
        <item x="141"/>
        <item x="140"/>
        <item x="139"/>
        <item x="138"/>
        <item x="168"/>
        <item x="167"/>
        <item x="166"/>
        <item x="98"/>
        <item x="165"/>
        <item x="164"/>
        <item x="97"/>
        <item x="96"/>
        <item x="95"/>
        <item x="54"/>
        <item x="205"/>
        <item x="94"/>
        <item x="163"/>
        <item x="162"/>
        <item x="93"/>
        <item x="189"/>
        <item x="92"/>
        <item x="91"/>
        <item x="52"/>
        <item x="51"/>
        <item x="50"/>
        <item x="49"/>
        <item x="48"/>
        <item x="90"/>
        <item x="137"/>
        <item x="47"/>
        <item x="46"/>
        <item x="45"/>
        <item x="136"/>
        <item x="135"/>
        <item x="188"/>
        <item x="43"/>
        <item x="44"/>
        <item x="42"/>
        <item x="89"/>
        <item x="88"/>
        <item x="161"/>
        <item x="72"/>
        <item x="86"/>
        <item x="85"/>
        <item x="84"/>
        <item x="83"/>
        <item x="41"/>
        <item x="40"/>
        <item x="117"/>
        <item x="80"/>
        <item x="79"/>
        <item x="160"/>
        <item x="159"/>
        <item x="158"/>
        <item x="157"/>
        <item x="77"/>
        <item x="76"/>
        <item x="116"/>
        <item x="115"/>
        <item x="38"/>
        <item x="433"/>
        <item x="432"/>
        <item x="431"/>
        <item x="448"/>
        <item x="447"/>
        <item x="445"/>
        <item x="362"/>
        <item x="329"/>
        <item x="257"/>
        <item x="430"/>
        <item x="486"/>
        <item x="359"/>
        <item x="358"/>
        <item x="309"/>
        <item x="356"/>
        <item x="355"/>
        <item x="354"/>
        <item x="256"/>
        <item x="242"/>
        <item x="352"/>
        <item x="307"/>
        <item x="351"/>
        <item x="255"/>
        <item x="254"/>
        <item x="273"/>
        <item x="272"/>
        <item x="271"/>
        <item x="269"/>
        <item x="222"/>
        <item x="268"/>
        <item x="267"/>
        <item x="266"/>
        <item x="264"/>
        <item x="262"/>
        <item x="261"/>
        <item x="241"/>
        <item x="253"/>
        <item x="305"/>
        <item x="239"/>
        <item x="582"/>
        <item x="349"/>
        <item x="348"/>
        <item x="236"/>
        <item x="429"/>
        <item x="304"/>
        <item x="235"/>
        <item x="467"/>
        <item x="231"/>
        <item x="234"/>
        <item x="540"/>
        <item x="232"/>
        <item x="576"/>
        <item x="260"/>
        <item x="347"/>
        <item x="561"/>
        <item x="259"/>
        <item x="560"/>
        <item x="345"/>
        <item x="397"/>
        <item x="394"/>
        <item x="559"/>
        <item x="258"/>
        <item x="558"/>
        <item x="341"/>
        <item x="251"/>
        <item x="557"/>
        <item x="428"/>
        <item x="497"/>
        <item x="499"/>
        <item x="498"/>
        <item x="556"/>
        <item x="555"/>
        <item x="554"/>
        <item x="443"/>
        <item x="426"/>
        <item x="425"/>
        <item x="528"/>
        <item x="496"/>
        <item x="553"/>
        <item x="551"/>
        <item x="495"/>
        <item x="552"/>
        <item x="37"/>
        <item x="523"/>
        <item x="550"/>
        <item x="299"/>
        <item x="527"/>
        <item x="526"/>
        <item x="549"/>
        <item x="548"/>
        <item x="441"/>
        <item x="494"/>
        <item x="298"/>
        <item x="75"/>
        <item x="493"/>
        <item x="525"/>
        <item x="229"/>
        <item x="74"/>
        <item x="483"/>
        <item x="482"/>
        <item x="547"/>
        <item x="572"/>
        <item x="546"/>
        <item x="545"/>
        <item x="424"/>
        <item x="544"/>
        <item x="543"/>
        <item x="36"/>
        <item x="114"/>
        <item x="203"/>
        <item x="228"/>
        <item x="393"/>
        <item x="392"/>
        <item x="391"/>
        <item x="481"/>
        <item x="542"/>
        <item x="501"/>
        <item x="524"/>
        <item x="198"/>
        <item x="388"/>
        <item x="384"/>
        <item x="370"/>
        <item x="386"/>
        <item x="368"/>
        <item x="375"/>
        <item x="369"/>
        <item x="367"/>
        <item x="382"/>
        <item x="541"/>
        <item x="113"/>
        <item x="423"/>
        <item x="226"/>
        <item x="112"/>
        <item x="539"/>
        <item x="338"/>
        <item x="480"/>
        <item x="35"/>
        <item x="73"/>
        <item x="133"/>
        <item x="132"/>
        <item x="422"/>
        <item x="421"/>
        <item x="492"/>
        <item x="468"/>
        <item x="504"/>
        <item x="538"/>
        <item x="537"/>
        <item x="522"/>
        <item x="420"/>
        <item x="199"/>
        <item x="4"/>
        <item x="3"/>
        <item x="479"/>
        <item x="442"/>
        <item x="34"/>
        <item x="337"/>
        <item x="181"/>
        <item x="416"/>
        <item x="180"/>
        <item x="179"/>
        <item x="178"/>
        <item x="419"/>
        <item x="455"/>
        <item x="454"/>
        <item x="453"/>
        <item x="521"/>
        <item x="452"/>
        <item x="451"/>
        <item x="520"/>
        <item x="450"/>
        <item x="336"/>
        <item x="335"/>
        <item x="334"/>
        <item x="333"/>
        <item x="332"/>
        <item x="418"/>
        <item x="417"/>
        <item x="503"/>
        <item x="502"/>
        <item x="478"/>
        <item x="296"/>
        <item x="295"/>
        <item x="536"/>
        <item x="519"/>
        <item x="225"/>
        <item x="294"/>
        <item x="518"/>
        <item x="331"/>
        <item x="517"/>
        <item x="293"/>
        <item x="274"/>
        <item x="516"/>
        <item x="515"/>
        <item x="514"/>
        <item x="292"/>
        <item x="491"/>
        <item x="156"/>
        <item x="155"/>
        <item x="330"/>
        <item x="177"/>
        <item x="513"/>
        <item x="477"/>
        <item x="415"/>
        <item x="401"/>
        <item x="291"/>
        <item x="476"/>
        <item x="33"/>
        <item x="224"/>
        <item x="289"/>
        <item x="176"/>
        <item x="175"/>
        <item x="414"/>
        <item x="449"/>
        <item x="223"/>
        <item x="288"/>
        <item x="461"/>
        <item x="466"/>
        <item x="174"/>
        <item x="154"/>
        <item x="413"/>
        <item x="412"/>
        <item x="411"/>
        <item x="71"/>
        <item x="250"/>
        <item x="465"/>
        <item x="464"/>
        <item x="285"/>
        <item x="463"/>
        <item x="410"/>
        <item x="409"/>
        <item x="408"/>
        <item x="462"/>
        <item x="32"/>
        <item x="31"/>
        <item x="30"/>
        <item x="377"/>
        <item x="110"/>
        <item x="69"/>
        <item x="473"/>
        <item x="472"/>
        <item x="328"/>
        <item x="327"/>
        <item x="325"/>
        <item x="284"/>
        <item x="283"/>
        <item x="221"/>
        <item x="471"/>
        <item x="68"/>
        <item x="324"/>
        <item x="29"/>
        <item x="28"/>
        <item x="26"/>
        <item x="109"/>
        <item x="407"/>
        <item x="282"/>
        <item x="249"/>
        <item x="460"/>
        <item x="459"/>
        <item x="458"/>
        <item x="323"/>
        <item x="219"/>
        <item x="248"/>
        <item x="322"/>
        <item x="280"/>
        <item x="404"/>
        <item x="403"/>
        <item x="535"/>
        <item x="457"/>
        <item x="510"/>
        <item x="509"/>
        <item x="321"/>
        <item x="24"/>
        <item x="456"/>
        <item x="247"/>
        <item x="279"/>
        <item x="490"/>
        <item x="402"/>
        <item x="153"/>
        <item x="152"/>
        <item x="151"/>
        <item x="150"/>
        <item x="149"/>
        <item x="148"/>
        <item x="108"/>
        <item x="23"/>
        <item x="22"/>
        <item x="21"/>
        <item x="508"/>
        <item x="217"/>
        <item x="19"/>
        <item x="18"/>
        <item x="246"/>
        <item x="2"/>
        <item x="216"/>
        <item x="215"/>
        <item x="214"/>
        <item x="507"/>
        <item x="506"/>
        <item x="67"/>
        <item x="17"/>
        <item x="16"/>
        <item x="130"/>
        <item x="129"/>
        <item x="128"/>
        <item x="127"/>
        <item x="376"/>
        <item x="244"/>
        <item x="243"/>
        <item x="320"/>
        <item x="278"/>
        <item x="15"/>
        <item x="14"/>
        <item x="13"/>
        <item x="500"/>
        <item x="12"/>
        <item x="11"/>
        <item x="147"/>
        <item x="10"/>
        <item x="534"/>
        <item x="489"/>
        <item x="318"/>
        <item x="8"/>
        <item x="66"/>
        <item x="65"/>
        <item x="64"/>
        <item x="63"/>
        <item x="126"/>
        <item x="125"/>
        <item x="106"/>
        <item x="105"/>
        <item x="7"/>
        <item x="398"/>
        <item x="317"/>
        <item x="533"/>
        <item x="532"/>
        <item x="531"/>
        <item x="530"/>
        <item x="316"/>
        <item x="315"/>
        <item x="314"/>
        <item x="313"/>
        <item x="312"/>
        <item x="311"/>
        <item x="470"/>
        <item x="6"/>
        <item x="87"/>
        <item x="342"/>
      </items>
    </pivotField>
    <pivotField axis="axisRow" compact="0" numFmtId="165" outline="0" showAll="0" sortType="descending" defaultSubtotal="0">
      <items count="54">
        <item m="1" x="47"/>
        <item m="1" x="28"/>
        <item m="1" x="51"/>
        <item m="1" x="42"/>
        <item m="1" x="46"/>
        <item m="1" x="31"/>
        <item m="1" x="40"/>
        <item m="1" x="38"/>
        <item m="1" x="41"/>
        <item m="1" x="37"/>
        <item m="1" x="35"/>
        <item m="1" x="44"/>
        <item m="1" x="50"/>
        <item m="1" x="43"/>
        <item m="1" x="39"/>
        <item m="1" x="53"/>
        <item m="1" x="30"/>
        <item m="1" x="32"/>
        <item m="1" x="48"/>
        <item m="1" x="36"/>
        <item m="1" x="49"/>
        <item m="1" x="29"/>
        <item m="1" x="45"/>
        <item m="1" x="33"/>
        <item m="1" x="52"/>
        <item m="1" x="34"/>
        <item m="1" x="27"/>
        <item x="24"/>
        <item x="3"/>
        <item x="21"/>
        <item x="9"/>
        <item x="18"/>
        <item x="25"/>
        <item x="20"/>
        <item x="15"/>
        <item x="19"/>
        <item x="13"/>
        <item x="14"/>
        <item x="10"/>
        <item x="8"/>
        <item x="17"/>
        <item x="23"/>
        <item x="16"/>
        <item x="26"/>
        <item x="5"/>
        <item x="22"/>
        <item x="2"/>
        <item x="6"/>
        <item x="7"/>
        <item x="1"/>
        <item x="4"/>
        <item x="11"/>
        <item x="12"/>
        <item h="1" x="0"/>
      </items>
    </pivotField>
    <pivotField axis="axisCol" compact="0" numFmtId="14" outline="0" showAll="0" defaultSubtotal="0">
      <items count="7">
        <item x="0"/>
        <item x="1"/>
        <item x="2"/>
        <item x="3"/>
        <item x="4"/>
        <item x="5"/>
        <item x="6"/>
      </items>
    </pivotField>
    <pivotField axis="axisCol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/>
    <pivotField dataField="1" compact="0" outline="0" showAll="0"/>
    <pivotField compact="0" outline="0" dragToRow="0" dragToCol="0" dragToPage="0" showAll="0" defaultSubtotal="0"/>
  </pivotFields>
  <rowFields count="6">
    <field x="1"/>
    <field x="6"/>
    <field x="2"/>
    <field x="3"/>
    <field x="4"/>
    <field x="5"/>
  </rowFields>
  <rowItems count="48">
    <i>
      <x/>
      <x v="27"/>
      <x v="216"/>
      <x v="240"/>
      <x v="17"/>
      <x v="42"/>
    </i>
    <i r="1">
      <x v="28"/>
      <x v="217"/>
      <x v="45"/>
      <x v="14"/>
      <x v="34"/>
    </i>
    <i r="1">
      <x v="30"/>
      <x v="151"/>
      <x v="187"/>
      <x v="21"/>
      <x v="46"/>
    </i>
    <i r="1">
      <x v="31"/>
      <x v="148"/>
      <x v="238"/>
      <x v="7"/>
      <x v="17"/>
    </i>
    <i r="1">
      <x v="32"/>
      <x v="104"/>
      <x v="161"/>
      <x v="26"/>
      <x v="44"/>
    </i>
    <i r="1">
      <x v="34"/>
      <x v="127"/>
      <x v="180"/>
      <x v="9"/>
      <x v="15"/>
    </i>
    <i r="1">
      <x v="35"/>
      <x v="196"/>
      <x v="77"/>
      <x v="31"/>
      <x v="84"/>
    </i>
    <i r="1">
      <x v="36"/>
      <x v="129"/>
      <x v="184"/>
      <x v="25"/>
      <x v="73"/>
    </i>
    <i r="1">
      <x v="37"/>
      <x v="128"/>
      <x v="183"/>
      <x v="11"/>
      <x v="21"/>
    </i>
    <i r="1">
      <x v="38"/>
      <x v="139"/>
      <x v="75"/>
      <x v="25"/>
      <x v="74"/>
    </i>
    <i r="1">
      <x v="39"/>
      <x v="124"/>
      <x v="148"/>
      <x v="42"/>
      <x v="111"/>
    </i>
    <i r="2">
      <x v="209"/>
      <x v="149"/>
      <x v="41"/>
      <x v="106"/>
    </i>
    <i r="2">
      <x v="519"/>
      <x v="510"/>
      <x v="21"/>
      <x v="377"/>
    </i>
    <i r="1">
      <x v="40"/>
      <x v="199"/>
      <x v="86"/>
      <x v="27"/>
      <x v="72"/>
    </i>
    <i r="1">
      <x v="42"/>
      <x v="116"/>
      <x v="151"/>
      <x v="18"/>
      <x v="45"/>
    </i>
    <i r="1">
      <x v="43"/>
      <x v="123"/>
      <x v="103"/>
      <x v="9"/>
      <x v="13"/>
    </i>
    <i r="1">
      <x v="44"/>
      <x v="122"/>
      <x v="102"/>
      <x v="8"/>
      <x v="11"/>
    </i>
    <i r="1">
      <x v="49"/>
      <x v="94"/>
      <x v="33"/>
      <x v="40"/>
      <x v="105"/>
    </i>
    <i r="2">
      <x v="227"/>
      <x v="94"/>
      <x v="34"/>
      <x v="54"/>
    </i>
    <i r="1">
      <x v="50"/>
      <x v="91"/>
      <x v="21"/>
      <x v="30"/>
      <x v="62"/>
    </i>
    <i r="2">
      <x v="92"/>
      <x v="20"/>
      <x v="25"/>
      <x v="53"/>
    </i>
    <i r="2">
      <x v="119"/>
      <x v="79"/>
      <x v="25"/>
      <x v="9"/>
    </i>
    <i r="2">
      <x v="130"/>
      <x v="192"/>
      <x v="19"/>
      <x v="37"/>
    </i>
    <i>
      <x v="1"/>
      <x v="29"/>
      <x v="200"/>
      <x v="210"/>
      <x v="38"/>
      <x v="96"/>
    </i>
    <i r="1">
      <x v="41"/>
      <x v="95"/>
      <x v="220"/>
      <x v="15"/>
      <x v="33"/>
    </i>
    <i r="1">
      <x v="44"/>
      <x v="225"/>
      <x v="173"/>
      <x v="13"/>
      <x v="29"/>
    </i>
    <i r="1">
      <x v="45"/>
      <x v="115"/>
      <x v="100"/>
      <x v="19"/>
      <x v="50"/>
    </i>
    <i r="2">
      <x v="180"/>
      <x v="174"/>
      <x v="25"/>
      <x v="68"/>
    </i>
    <i r="1">
      <x v="47"/>
      <x v="118"/>
      <x v="52"/>
      <x v="8"/>
      <x v="22"/>
    </i>
    <i r="2">
      <x v="224"/>
      <x v="213"/>
      <x v="13"/>
      <x v="18"/>
    </i>
    <i r="1">
      <x v="48"/>
      <x v="167"/>
      <x v="153"/>
      <x v="15"/>
      <x v="26"/>
    </i>
    <i r="2">
      <x v="223"/>
      <x v="93"/>
      <x v="13"/>
      <x v="10"/>
    </i>
    <i r="1">
      <x v="49"/>
      <x v="97"/>
      <x v="73"/>
      <x v="24"/>
      <x v="57"/>
    </i>
    <i r="2">
      <x v="108"/>
      <x v="176"/>
      <x v="44"/>
      <x v="70"/>
    </i>
    <i r="2">
      <x v="113"/>
      <x v="218"/>
      <x v="22"/>
      <x v="56"/>
    </i>
    <i r="1">
      <x v="50"/>
      <x v="99"/>
      <x v="99"/>
      <x v="16"/>
      <x v="38"/>
    </i>
    <i r="2">
      <x v="101"/>
      <x v="105"/>
      <x v="22"/>
      <x v="58"/>
    </i>
    <i r="2">
      <x v="121"/>
      <x v="83"/>
      <x v="36"/>
      <x v="16"/>
    </i>
    <i r="2">
      <x v="160"/>
      <x v="87"/>
      <x v="19"/>
      <x v="51"/>
    </i>
    <i r="2">
      <x v="203"/>
      <x v="37"/>
      <x v="15"/>
      <x v="30"/>
    </i>
    <i>
      <x v="3"/>
      <x v="46"/>
      <x v="141"/>
      <x v="82"/>
      <x v="36"/>
      <x v="76"/>
    </i>
    <i r="1">
      <x v="48"/>
      <x v="136"/>
      <x v="40"/>
      <x v="53"/>
      <x v="135"/>
    </i>
    <i r="1">
      <x v="51"/>
      <x v="452"/>
      <x v="445"/>
      <x v="53"/>
      <x v="327"/>
    </i>
    <i r="1">
      <x v="52"/>
      <x v="134"/>
      <x v="38"/>
      <x v="57"/>
      <x v="145"/>
    </i>
    <i>
      <x v="5"/>
      <x v="33"/>
      <x v="201"/>
      <x v="44"/>
      <x v="24"/>
      <x v="64"/>
    </i>
    <i>
      <x v="15"/>
      <x v="44"/>
      <x v="440"/>
      <x v="433"/>
      <x v="25"/>
      <x v="315"/>
    </i>
    <i r="1">
      <x v="50"/>
      <x v="162"/>
      <x/>
      <x v="19"/>
      <x v="49"/>
    </i>
    <i t="grand">
      <x/>
    </i>
  </rowItems>
  <colFields count="2">
    <field x="7"/>
    <field x="8"/>
  </colFields>
  <colItems count="8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 t="grand">
      <x/>
    </i>
  </colItems>
  <dataFields count="1">
    <dataField name="Actual Quantity" fld="10" baseField="7" baseItem="41" numFmtId="165"/>
  </dataFields>
  <formats count="235">
    <format dxfId="272">
      <pivotArea dataOnly="0" outline="0" fieldPosition="0">
        <references count="1">
          <reference field="7" count="0"/>
        </references>
      </pivotArea>
    </format>
    <format dxfId="271">
      <pivotArea outline="0" fieldPosition="0">
        <references count="1">
          <reference field="4294967294" count="1">
            <x v="0"/>
          </reference>
        </references>
      </pivotArea>
    </format>
    <format dxfId="270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6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1"/>
          </reference>
          <reference field="3" count="1" selected="0">
            <x v="21"/>
          </reference>
          <reference field="4" count="1">
            <x v="30"/>
          </reference>
        </references>
      </pivotArea>
    </format>
    <format dxfId="26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2"/>
          </reference>
          <reference field="3" count="1" selected="0">
            <x v="20"/>
          </reference>
          <reference field="4" count="1">
            <x v="25"/>
          </reference>
        </references>
      </pivotArea>
    </format>
    <format dxfId="26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4"/>
          </reference>
          <reference field="3" count="1" selected="0">
            <x v="33"/>
          </reference>
          <reference field="4" count="1">
            <x v="40"/>
          </reference>
        </references>
      </pivotArea>
    </format>
    <format dxfId="26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3"/>
          </reference>
          <reference field="3" count="1" selected="0">
            <x v="160"/>
          </reference>
          <reference field="4" count="1">
            <x v="4"/>
          </reference>
        </references>
      </pivotArea>
    </format>
    <format dxfId="26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4"/>
          </reference>
          <reference field="3" count="1" selected="0">
            <x v="161"/>
          </reference>
          <reference field="4" count="1">
            <x v="26"/>
          </reference>
        </references>
      </pivotArea>
    </format>
    <format dxfId="26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5"/>
          </reference>
          <reference field="3" count="1" selected="0">
            <x v="166"/>
          </reference>
          <reference field="4" count="1">
            <x v="23"/>
          </reference>
        </references>
      </pivotArea>
    </format>
    <format dxfId="26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6"/>
          </reference>
          <reference field="3" count="1" selected="0">
            <x v="151"/>
          </reference>
          <reference field="4" count="1">
            <x v="18"/>
          </reference>
        </references>
      </pivotArea>
    </format>
    <format dxfId="26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7"/>
          </reference>
          <reference field="3" count="1" selected="0">
            <x v="43"/>
          </reference>
          <reference field="4" count="1">
            <x v="0"/>
          </reference>
        </references>
      </pivotArea>
    </format>
    <format dxfId="26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9"/>
          </reference>
          <reference field="3" count="1" selected="0">
            <x v="79"/>
          </reference>
          <reference field="4" count="1">
            <x v="25"/>
          </reference>
        </references>
      </pivotArea>
    </format>
    <format dxfId="26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2"/>
          </reference>
          <reference field="3" count="1" selected="0">
            <x v="102"/>
          </reference>
          <reference field="4" count="1">
            <x v="8"/>
          </reference>
        </references>
      </pivotArea>
    </format>
    <format dxfId="25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3"/>
          </reference>
          <reference field="3" count="1" selected="0">
            <x v="103"/>
          </reference>
          <reference field="4" count="1">
            <x v="9"/>
          </reference>
        </references>
      </pivotArea>
    </format>
    <format dxfId="25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4"/>
          </reference>
          <reference field="3" count="1" selected="0">
            <x v="148"/>
          </reference>
          <reference field="4" count="1">
            <x v="42"/>
          </reference>
        </references>
      </pivotArea>
    </format>
    <format dxfId="25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7"/>
          </reference>
          <reference field="3" count="1" selected="0">
            <x v="180"/>
          </reference>
          <reference field="4" count="1">
            <x v="9"/>
          </reference>
        </references>
      </pivotArea>
    </format>
    <format dxfId="25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8"/>
          </reference>
          <reference field="3" count="1" selected="0">
            <x v="183"/>
          </reference>
          <reference field="4" count="1">
            <x v="11"/>
          </reference>
        </references>
      </pivotArea>
    </format>
    <format dxfId="25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9"/>
          </reference>
          <reference field="3" count="1" selected="0">
            <x v="184"/>
          </reference>
          <reference field="4" count="1">
            <x v="25"/>
          </reference>
        </references>
      </pivotArea>
    </format>
    <format dxfId="25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0"/>
          </reference>
          <reference field="3" count="1" selected="0">
            <x v="192"/>
          </reference>
          <reference field="4" count="1">
            <x v="19"/>
          </reference>
        </references>
      </pivotArea>
    </format>
    <format dxfId="25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1"/>
          </reference>
          <reference field="3" count="1" selected="0">
            <x v="229"/>
          </reference>
          <reference field="4" count="1">
            <x v="9"/>
          </reference>
        </references>
      </pivotArea>
    </format>
    <format dxfId="25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2"/>
          </reference>
          <reference field="3" count="1" selected="0">
            <x v="236"/>
          </reference>
          <reference field="4" count="1">
            <x v="1"/>
          </reference>
        </references>
      </pivotArea>
    </format>
    <format dxfId="25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3"/>
          </reference>
          <reference field="3" count="1" selected="0">
            <x v="239"/>
          </reference>
          <reference field="4" count="1">
            <x v="16"/>
          </reference>
        </references>
      </pivotArea>
    </format>
    <format dxfId="25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7"/>
          </reference>
          <reference field="3" count="1" selected="0">
            <x v="42"/>
          </reference>
          <reference field="4" count="1">
            <x v="36"/>
          </reference>
        </references>
      </pivotArea>
    </format>
    <format dxfId="24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8"/>
          </reference>
          <reference field="3" count="1" selected="0">
            <x v="49"/>
          </reference>
          <reference field="4" count="1">
            <x v="1"/>
          </reference>
        </references>
      </pivotArea>
    </format>
    <format dxfId="24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9"/>
          </reference>
          <reference field="3" count="1" selected="0">
            <x v="75"/>
          </reference>
          <reference field="4" count="1">
            <x v="22"/>
          </reference>
        </references>
      </pivotArea>
    </format>
    <format dxfId="24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0"/>
          </reference>
          <reference field="3" count="1" selected="0">
            <x v="76"/>
          </reference>
          <reference field="4" count="1">
            <x v="6"/>
          </reference>
        </references>
      </pivotArea>
    </format>
    <format dxfId="24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5"/>
          </reference>
          <reference field="3" count="1" selected="0">
            <x v="162"/>
          </reference>
          <reference field="4" count="1">
            <x v="3"/>
          </reference>
        </references>
      </pivotArea>
    </format>
    <format dxfId="24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8"/>
          </reference>
          <reference field="3" count="1" selected="0">
            <x v="238"/>
          </reference>
          <reference field="4" count="1">
            <x v="7"/>
          </reference>
        </references>
      </pivotArea>
    </format>
    <format dxfId="24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50"/>
          </reference>
          <reference field="3" count="1" selected="0">
            <x v="165"/>
          </reference>
          <reference field="4" count="1">
            <x v="2"/>
          </reference>
        </references>
      </pivotArea>
    </format>
    <format dxfId="24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51"/>
          </reference>
          <reference field="3" count="1" selected="0">
            <x v="187"/>
          </reference>
          <reference field="4" count="1">
            <x v="21"/>
          </reference>
        </references>
      </pivotArea>
    </format>
    <format dxfId="24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63"/>
          </reference>
          <reference field="3" count="1" selected="0">
            <x v="34"/>
          </reference>
          <reference field="4" count="1">
            <x v="18"/>
          </reference>
        </references>
      </pivotArea>
    </format>
    <format dxfId="24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96"/>
          </reference>
          <reference field="3" count="1" selected="0">
            <x v="77"/>
          </reference>
          <reference field="4" count="1">
            <x v="31"/>
          </reference>
        </references>
      </pivotArea>
    </format>
    <format dxfId="24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99"/>
          </reference>
          <reference field="3" count="1" selected="0">
            <x v="86"/>
          </reference>
          <reference field="4" count="1">
            <x v="27"/>
          </reference>
        </references>
      </pivotArea>
    </format>
    <format dxfId="23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08"/>
          </reference>
          <reference field="3" count="1" selected="0">
            <x v="150"/>
          </reference>
          <reference field="4" count="1">
            <x v="36"/>
          </reference>
        </references>
      </pivotArea>
    </format>
    <format dxfId="23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09"/>
          </reference>
          <reference field="3" count="1" selected="0">
            <x v="149"/>
          </reference>
          <reference field="4" count="1">
            <x v="41"/>
          </reference>
        </references>
      </pivotArea>
    </format>
    <format dxfId="23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1"/>
          </reference>
          <reference field="3" count="1" selected="0">
            <x v="175"/>
          </reference>
          <reference field="4" count="1">
            <x v="32"/>
          </reference>
        </references>
      </pivotArea>
    </format>
    <format dxfId="23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2"/>
          </reference>
          <reference field="3" count="1" selected="0">
            <x v="235"/>
          </reference>
          <reference field="4" count="1">
            <x v="25"/>
          </reference>
        </references>
      </pivotArea>
    </format>
    <format dxfId="23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5"/>
          </reference>
          <reference field="3" count="1" selected="0">
            <x v="212"/>
          </reference>
          <reference field="4" count="1">
            <x v="27"/>
          </reference>
        </references>
      </pivotArea>
    </format>
    <format dxfId="23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6"/>
          </reference>
          <reference field="3" count="1" selected="0">
            <x v="240"/>
          </reference>
          <reference field="4" count="1">
            <x v="17"/>
          </reference>
        </references>
      </pivotArea>
    </format>
    <format dxfId="23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7"/>
          </reference>
          <reference field="3" count="1" selected="0">
            <x v="45"/>
          </reference>
          <reference field="4" count="1">
            <x v="14"/>
          </reference>
        </references>
      </pivotArea>
    </format>
    <format dxfId="23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7"/>
          </reference>
          <reference field="3" count="1" selected="0">
            <x v="94"/>
          </reference>
          <reference field="4" count="1">
            <x v="34"/>
          </reference>
        </references>
      </pivotArea>
    </format>
    <format dxfId="23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8"/>
          </reference>
          <reference field="3" count="1" selected="0">
            <x v="69"/>
          </reference>
          <reference field="4" count="1">
            <x v="50"/>
          </reference>
        </references>
      </pivotArea>
    </format>
    <format dxfId="23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9"/>
          </reference>
          <reference field="3" count="1" selected="0">
            <x v="68"/>
          </reference>
          <reference field="4" count="1">
            <x v="87"/>
          </reference>
        </references>
      </pivotArea>
    </format>
    <format dxfId="22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3"/>
          </reference>
          <reference field="3" count="1" selected="0">
            <x v="66"/>
          </reference>
          <reference field="4" count="1">
            <x v="63"/>
          </reference>
        </references>
      </pivotArea>
    </format>
    <format dxfId="22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5"/>
          </reference>
          <reference field="3" count="1" selected="0">
            <x v="217"/>
          </reference>
          <reference field="4" count="1">
            <x v="32"/>
          </reference>
        </references>
      </pivotArea>
    </format>
    <format dxfId="22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7"/>
          </reference>
          <reference field="3" count="1" selected="0">
            <x v="63"/>
          </reference>
          <reference field="4" count="1">
            <x v="63"/>
          </reference>
        </references>
      </pivotArea>
    </format>
    <format dxfId="22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9"/>
          </reference>
          <reference field="3" count="1" selected="0">
            <x v="232"/>
          </reference>
          <reference field="4" count="1">
            <x v="46"/>
          </reference>
        </references>
      </pivotArea>
    </format>
    <format dxfId="22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42"/>
          </reference>
          <reference field="3" count="1" selected="0">
            <x v="198"/>
          </reference>
          <reference field="4" count="1">
            <x v="50"/>
          </reference>
        </references>
      </pivotArea>
    </format>
    <format dxfId="22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3"/>
          </reference>
          <reference field="3" count="1" selected="0">
            <x v="22"/>
          </reference>
          <reference field="4" count="1">
            <x v="13"/>
          </reference>
        </references>
      </pivotArea>
    </format>
    <format dxfId="22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5"/>
          </reference>
          <reference field="3" count="1" selected="0">
            <x v="220"/>
          </reference>
          <reference field="4" count="1">
            <x v="15"/>
          </reference>
        </references>
      </pivotArea>
    </format>
    <format dxfId="22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6"/>
          </reference>
          <reference field="3" count="1" selected="0">
            <x v="57"/>
          </reference>
          <reference field="4" count="1">
            <x v="24"/>
          </reference>
        </references>
      </pivotArea>
    </format>
    <format dxfId="22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8"/>
          </reference>
          <reference field="3" count="1" selected="0">
            <x v="98"/>
          </reference>
          <reference field="4" count="1">
            <x v="30"/>
          </reference>
        </references>
      </pivotArea>
    </format>
    <format dxfId="22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9"/>
          </reference>
          <reference field="3" count="1" selected="0">
            <x v="99"/>
          </reference>
          <reference field="4" count="1">
            <x v="16"/>
          </reference>
        </references>
      </pivotArea>
    </format>
    <format dxfId="21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0"/>
          </reference>
          <reference field="3" count="1" selected="0">
            <x v="101"/>
          </reference>
          <reference field="4" count="1">
            <x v="10"/>
          </reference>
        </references>
      </pivotArea>
    </format>
    <format dxfId="21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1"/>
          </reference>
          <reference field="3" count="1" selected="0">
            <x v="105"/>
          </reference>
          <reference field="4" count="1">
            <x v="22"/>
          </reference>
        </references>
      </pivotArea>
    </format>
    <format dxfId="21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2"/>
          </reference>
          <reference field="3" count="1" selected="0">
            <x v="32"/>
          </reference>
          <reference field="4" count="1">
            <x v="82"/>
          </reference>
        </references>
      </pivotArea>
    </format>
    <format dxfId="21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6"/>
          </reference>
          <reference field="3" count="1" selected="0">
            <x v="170"/>
          </reference>
          <reference field="4" count="1">
            <x v="22"/>
          </reference>
        </references>
      </pivotArea>
    </format>
    <format dxfId="21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7"/>
          </reference>
          <reference field="3" count="1" selected="0">
            <x v="171"/>
          </reference>
          <reference field="4" count="1">
            <x v="12"/>
          </reference>
        </references>
      </pivotArea>
    </format>
    <format dxfId="21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8"/>
          </reference>
          <reference field="3" count="1" selected="0">
            <x v="176"/>
          </reference>
          <reference field="4" count="1">
            <x v="36"/>
          </reference>
        </references>
      </pivotArea>
    </format>
    <format dxfId="21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9"/>
          </reference>
          <reference field="3" count="1" selected="0">
            <x v="179"/>
          </reference>
          <reference field="4" count="1">
            <x v="5"/>
          </reference>
        </references>
      </pivotArea>
    </format>
    <format dxfId="21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0"/>
          </reference>
          <reference field="3" count="1" selected="0">
            <x v="181"/>
          </reference>
          <reference field="4" count="1">
            <x v="8"/>
          </reference>
        </references>
      </pivotArea>
    </format>
    <format dxfId="21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1"/>
          </reference>
          <reference field="3" count="1" selected="0">
            <x v="190"/>
          </reference>
          <reference field="4" count="1">
            <x v="18"/>
          </reference>
        </references>
      </pivotArea>
    </format>
    <format dxfId="21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2"/>
          </reference>
          <reference field="3" count="1" selected="0">
            <x v="215"/>
          </reference>
          <reference field="4" count="1">
            <x v="25"/>
          </reference>
        </references>
      </pivotArea>
    </format>
    <format dxfId="20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3"/>
          </reference>
          <reference field="3" count="1" selected="0">
            <x v="218"/>
          </reference>
          <reference field="4" count="1">
            <x v="22"/>
          </reference>
        </references>
      </pivotArea>
    </format>
    <format dxfId="20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4"/>
          </reference>
          <reference field="3" count="1" selected="0">
            <x v="219"/>
          </reference>
          <reference field="4" count="1">
            <x v="34"/>
          </reference>
        </references>
      </pivotArea>
    </format>
    <format dxfId="20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5"/>
          </reference>
          <reference field="3" count="1" selected="0">
            <x v="100"/>
          </reference>
          <reference field="4" count="1">
            <x v="19"/>
          </reference>
        </references>
      </pivotArea>
    </format>
    <format dxfId="20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8"/>
          </reference>
          <reference field="3" count="1" selected="0">
            <x v="52"/>
          </reference>
          <reference field="4" count="1">
            <x v="8"/>
          </reference>
        </references>
      </pivotArea>
    </format>
    <format dxfId="20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21"/>
          </reference>
          <reference field="3" count="1" selected="0">
            <x v="83"/>
          </reference>
          <reference field="4" count="1">
            <x v="36"/>
          </reference>
        </references>
      </pivotArea>
    </format>
    <format dxfId="20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42"/>
          </reference>
          <reference field="3" count="1" selected="0">
            <x v="89"/>
          </reference>
          <reference field="4" count="1">
            <x v="12"/>
          </reference>
        </references>
      </pivotArea>
    </format>
    <format dxfId="20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47"/>
          </reference>
          <reference field="3" count="1" selected="0">
            <x v="168"/>
          </reference>
          <reference field="4" count="1">
            <x v="31"/>
          </reference>
        </references>
      </pivotArea>
    </format>
    <format dxfId="20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59"/>
          </reference>
          <reference field="3" count="1" selected="0">
            <x v="71"/>
          </reference>
          <reference field="4" count="1">
            <x v="24"/>
          </reference>
        </references>
      </pivotArea>
    </format>
    <format dxfId="20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60"/>
          </reference>
          <reference field="3" count="1" selected="0">
            <x v="87"/>
          </reference>
          <reference field="4" count="1">
            <x v="19"/>
          </reference>
        </references>
      </pivotArea>
    </format>
    <format dxfId="20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67"/>
          </reference>
          <reference field="3" count="1" selected="0">
            <x v="153"/>
          </reference>
          <reference field="4" count="1">
            <x v="15"/>
          </reference>
        </references>
      </pivotArea>
    </format>
    <format dxfId="19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80"/>
          </reference>
          <reference field="3" count="1" selected="0">
            <x v="174"/>
          </reference>
          <reference field="4" count="1">
            <x v="25"/>
          </reference>
        </references>
      </pivotArea>
    </format>
    <format dxfId="19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89"/>
          </reference>
          <reference field="3" count="1" selected="0">
            <x v="78"/>
          </reference>
          <reference field="4" count="1">
            <x v="42"/>
          </reference>
        </references>
      </pivotArea>
    </format>
    <format dxfId="19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0"/>
          </reference>
          <reference field="3" count="1" selected="0">
            <x v="210"/>
          </reference>
          <reference field="4" count="1">
            <x v="38"/>
          </reference>
        </references>
      </pivotArea>
    </format>
    <format dxfId="19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2"/>
          </reference>
          <reference field="3" count="1" selected="0">
            <x v="70"/>
          </reference>
          <reference field="4" count="1">
            <x v="7"/>
          </reference>
        </references>
      </pivotArea>
    </format>
    <format dxfId="19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3"/>
          </reference>
          <reference field="3" count="1" selected="0">
            <x v="37"/>
          </reference>
          <reference field="4" count="1">
            <x v="15"/>
          </reference>
        </references>
      </pivotArea>
    </format>
    <format dxfId="19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4"/>
          </reference>
          <reference field="3" count="1" selected="0">
            <x v="1"/>
          </reference>
          <reference field="4" count="1">
            <x v="19"/>
          </reference>
        </references>
      </pivotArea>
    </format>
    <format dxfId="19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10"/>
          </reference>
          <reference field="3" count="1" selected="0">
            <x v="216"/>
          </reference>
          <reference field="4" count="1">
            <x v="21"/>
          </reference>
        </references>
      </pivotArea>
    </format>
    <format dxfId="19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18"/>
          </reference>
          <reference field="3" count="1" selected="0">
            <x v="182"/>
          </reference>
          <reference field="4" count="1">
            <x v="8"/>
          </reference>
        </references>
      </pivotArea>
    </format>
    <format dxfId="19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23"/>
          </reference>
          <reference field="3" count="1" selected="0">
            <x v="93"/>
          </reference>
          <reference field="4" count="1">
            <x v="13"/>
          </reference>
        </references>
      </pivotArea>
    </format>
    <format dxfId="190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90"/>
          </reference>
          <reference field="3" count="1" selected="0">
            <x v="18"/>
          </reference>
          <reference field="4" count="1">
            <x v="88"/>
          </reference>
        </references>
      </pivotArea>
    </format>
    <format dxfId="189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149"/>
          </reference>
          <reference field="3" count="1" selected="0">
            <x v="243"/>
          </reference>
          <reference field="4" count="1">
            <x v="64"/>
          </reference>
        </references>
      </pivotArea>
    </format>
    <format dxfId="188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14"/>
          </reference>
          <reference field="3" count="1" selected="0">
            <x v="191"/>
          </reference>
          <reference field="4" count="1">
            <x v="18"/>
          </reference>
        </references>
      </pivotArea>
    </format>
    <format dxfId="187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19"/>
          </reference>
          <reference field="3" count="1" selected="0">
            <x v="97"/>
          </reference>
          <reference field="4" count="1">
            <x v="2"/>
          </reference>
        </references>
      </pivotArea>
    </format>
    <format dxfId="186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20"/>
          </reference>
          <reference field="3" count="1" selected="0">
            <x v="172"/>
          </reference>
          <reference field="4" count="1">
            <x v="16"/>
          </reference>
        </references>
      </pivotArea>
    </format>
    <format dxfId="185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34"/>
          </reference>
          <reference field="3" count="1" selected="0">
            <x v="38"/>
          </reference>
          <reference field="4" count="1">
            <x v="57"/>
          </reference>
        </references>
      </pivotArea>
    </format>
    <format dxfId="184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35"/>
          </reference>
          <reference field="3" count="1" selected="0">
            <x v="39"/>
          </reference>
          <reference field="4" count="1">
            <x v="53"/>
          </reference>
        </references>
      </pivotArea>
    </format>
    <format dxfId="183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41"/>
          </reference>
          <reference field="3" count="1" selected="0">
            <x v="82"/>
          </reference>
          <reference field="4" count="1">
            <x v="36"/>
          </reference>
        </references>
      </pivotArea>
    </format>
    <format dxfId="182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83"/>
          </reference>
          <reference field="3" count="1" selected="0">
            <x v="41"/>
          </reference>
          <reference field="4" count="1">
            <x v="17"/>
          </reference>
        </references>
      </pivotArea>
    </format>
    <format dxfId="181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240"/>
          </reference>
          <reference field="3" count="1" selected="0">
            <x v="155"/>
          </reference>
          <reference field="4" count="1">
            <x v="25"/>
          </reference>
        </references>
      </pivotArea>
    </format>
    <format dxfId="18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0"/>
          </reference>
          <reference field="3" count="1" selected="0">
            <x v="133"/>
          </reference>
          <reference field="4" count="1">
            <x v="39"/>
          </reference>
        </references>
      </pivotArea>
    </format>
    <format dxfId="17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2"/>
          </reference>
          <reference field="3" count="1" selected="0">
            <x v="117"/>
          </reference>
          <reference field="4" count="1">
            <x v="30"/>
          </reference>
        </references>
      </pivotArea>
    </format>
    <format dxfId="17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3"/>
          </reference>
          <reference field="3" count="1" selected="0">
            <x v="146"/>
          </reference>
          <reference field="4" count="1">
            <x v="32"/>
          </reference>
        </references>
      </pivotArea>
    </format>
    <format dxfId="17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4"/>
          </reference>
          <reference field="3" count="1" selected="0">
            <x v="116"/>
          </reference>
          <reference field="4" count="1">
            <x v="36"/>
          </reference>
        </references>
      </pivotArea>
    </format>
    <format dxfId="17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6"/>
          </reference>
          <reference field="3" count="1" selected="0">
            <x v="132"/>
          </reference>
          <reference field="4" count="1">
            <x v="30"/>
          </reference>
        </references>
      </pivotArea>
    </format>
    <format dxfId="17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7"/>
          </reference>
          <reference field="3" count="1" selected="0">
            <x v="54"/>
          </reference>
          <reference field="4" count="1">
            <x v="19"/>
          </reference>
        </references>
      </pivotArea>
    </format>
    <format dxfId="17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0"/>
          </reference>
          <reference field="3" count="1" selected="0">
            <x v="143"/>
          </reference>
          <reference field="4" count="1">
            <x v="27"/>
          </reference>
        </references>
      </pivotArea>
    </format>
    <format dxfId="17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1"/>
          </reference>
          <reference field="3" count="1" selected="0">
            <x v="127"/>
          </reference>
          <reference field="4" count="1">
            <x v="28"/>
          </reference>
        </references>
      </pivotArea>
    </format>
    <format dxfId="17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3"/>
          </reference>
          <reference field="3" count="1" selected="0">
            <x v="55"/>
          </reference>
          <reference field="4" count="1">
            <x v="17"/>
          </reference>
        </references>
      </pivotArea>
    </format>
    <format dxfId="17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3"/>
          </reference>
          <reference field="3" count="1" selected="0">
            <x v="134"/>
          </reference>
          <reference field="4" count="1">
            <x v="42"/>
          </reference>
        </references>
      </pivotArea>
    </format>
    <format dxfId="17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7"/>
          </reference>
          <reference field="3" count="1" selected="0">
            <x v="221"/>
          </reference>
          <reference field="4" count="1">
            <x v="22"/>
          </reference>
        </references>
      </pivotArea>
    </format>
    <format dxfId="16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8"/>
          </reference>
          <reference field="3" count="1" selected="0">
            <x v="227"/>
          </reference>
          <reference field="4" count="1">
            <x v="25"/>
          </reference>
        </references>
      </pivotArea>
    </format>
    <format dxfId="16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9"/>
          </reference>
          <reference field="3" count="1" selected="0">
            <x v="205"/>
          </reference>
          <reference field="4" count="1">
            <x v="35"/>
          </reference>
        </references>
      </pivotArea>
    </format>
    <format dxfId="16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0"/>
          </reference>
          <reference field="3" count="1" selected="0">
            <x v="204"/>
          </reference>
          <reference field="4" count="1">
            <x v="25"/>
          </reference>
        </references>
      </pivotArea>
    </format>
    <format dxfId="16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1"/>
          </reference>
          <reference field="3" count="1" selected="0">
            <x v="199"/>
          </reference>
          <reference field="4" count="1">
            <x v="20"/>
          </reference>
        </references>
      </pivotArea>
    </format>
    <format dxfId="16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2"/>
          </reference>
          <reference field="3" count="1" selected="0">
            <x v="203"/>
          </reference>
          <reference field="4" count="1">
            <x v="29"/>
          </reference>
        </references>
      </pivotArea>
    </format>
    <format dxfId="16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3"/>
          </reference>
          <reference field="3" count="1" selected="0">
            <x v="208"/>
          </reference>
          <reference field="4" count="1">
            <x v="27"/>
          </reference>
        </references>
      </pivotArea>
    </format>
    <format dxfId="16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4"/>
          </reference>
          <reference field="3" count="1" selected="0">
            <x v="207"/>
          </reference>
          <reference field="4" count="1">
            <x v="22"/>
          </reference>
        </references>
      </pivotArea>
    </format>
    <format dxfId="16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5"/>
          </reference>
          <reference field="3" count="1" selected="0">
            <x v="206"/>
          </reference>
          <reference field="4" count="1">
            <x v="36"/>
          </reference>
        </references>
      </pivotArea>
    </format>
    <format dxfId="16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6"/>
          </reference>
          <reference field="3" count="1" selected="0">
            <x v="200"/>
          </reference>
          <reference field="4" count="1">
            <x v="37"/>
          </reference>
        </references>
      </pivotArea>
    </format>
    <format dxfId="16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7"/>
          </reference>
          <reference field="3" count="1" selected="0">
            <x v="201"/>
          </reference>
          <reference field="4" count="1">
            <x v="30"/>
          </reference>
        </references>
      </pivotArea>
    </format>
    <format dxfId="15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9"/>
          </reference>
          <reference field="3" count="1" selected="0">
            <x v="26"/>
          </reference>
          <reference field="4" count="1">
            <x v="27"/>
          </reference>
        </references>
      </pivotArea>
    </format>
    <format dxfId="15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0"/>
          </reference>
          <reference field="3" count="1" selected="0">
            <x v="25"/>
          </reference>
          <reference field="4" count="1">
            <x v="25"/>
          </reference>
        </references>
      </pivotArea>
    </format>
    <format dxfId="15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1"/>
          </reference>
          <reference field="3" count="1" selected="0">
            <x v="30"/>
          </reference>
          <reference field="4" count="1">
            <x v="26"/>
          </reference>
        </references>
      </pivotArea>
    </format>
    <format dxfId="15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3"/>
          </reference>
          <reference field="3" count="1" selected="0">
            <x v="27"/>
          </reference>
          <reference field="4" count="1">
            <x v="17"/>
          </reference>
        </references>
      </pivotArea>
    </format>
    <format dxfId="15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7"/>
          </reference>
          <reference field="3" count="1" selected="0">
            <x v="23"/>
          </reference>
          <reference field="4" count="1">
            <x v="30"/>
          </reference>
        </references>
      </pivotArea>
    </format>
    <format dxfId="15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8"/>
          </reference>
          <reference field="3" count="1" selected="0">
            <x v="15"/>
          </reference>
          <reference field="4" count="1">
            <x v="27"/>
          </reference>
        </references>
      </pivotArea>
    </format>
    <format dxfId="15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9"/>
          </reference>
          <reference field="3" count="1" selected="0">
            <x v="5"/>
          </reference>
          <reference field="4" count="1">
            <x v="24"/>
          </reference>
        </references>
      </pivotArea>
    </format>
    <format dxfId="15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0"/>
          </reference>
          <reference field="3" count="1" selected="0">
            <x v="8"/>
          </reference>
          <reference field="4" count="1">
            <x v="31"/>
          </reference>
        </references>
      </pivotArea>
    </format>
    <format dxfId="15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2"/>
          </reference>
          <reference field="3" count="1" selected="0">
            <x v="3"/>
          </reference>
          <reference field="4" count="1">
            <x v="29"/>
          </reference>
        </references>
      </pivotArea>
    </format>
    <format dxfId="15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3"/>
          </reference>
          <reference field="3" count="1" selected="0">
            <x v="9"/>
          </reference>
          <reference field="4" count="1">
            <x v="31"/>
          </reference>
        </references>
      </pivotArea>
    </format>
    <format dxfId="14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4"/>
          </reference>
          <reference field="3" count="1" selected="0">
            <x v="16"/>
          </reference>
          <reference field="4" count="1">
            <x v="24"/>
          </reference>
        </references>
      </pivotArea>
    </format>
    <format dxfId="14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5"/>
          </reference>
          <reference field="3" count="1" selected="0">
            <x v="17"/>
          </reference>
          <reference field="4" count="1">
            <x v="25"/>
          </reference>
        </references>
      </pivotArea>
    </format>
    <format dxfId="14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6"/>
          </reference>
          <reference field="3" count="1" selected="0">
            <x v="6"/>
          </reference>
          <reference field="4" count="1">
            <x v="31"/>
          </reference>
        </references>
      </pivotArea>
    </format>
    <format dxfId="14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8"/>
          </reference>
          <reference field="3" count="1" selected="0">
            <x v="7"/>
          </reference>
          <reference field="4" count="1">
            <x v="28"/>
          </reference>
        </references>
      </pivotArea>
    </format>
    <format dxfId="14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9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14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152"/>
          </reference>
          <reference field="3" count="1" selected="0">
            <x v="209"/>
          </reference>
          <reference field="4" count="1">
            <x v="37"/>
          </reference>
        </references>
      </pivotArea>
    </format>
    <format dxfId="14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13"/>
          </reference>
          <reference field="3" count="1" selected="0">
            <x v="131"/>
          </reference>
          <reference field="4" count="1">
            <x v="30"/>
          </reference>
        </references>
      </pivotArea>
    </format>
    <format dxfId="142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"/>
          </reference>
          <reference field="3" count="1" selected="0">
            <x v="125"/>
          </reference>
          <reference field="4" count="1">
            <x v="28"/>
          </reference>
        </references>
      </pivotArea>
    </format>
    <format dxfId="141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3"/>
          </reference>
          <reference field="3" count="1" selected="0">
            <x v="113"/>
          </reference>
          <reference field="4" count="1">
            <x v="51"/>
          </reference>
        </references>
      </pivotArea>
    </format>
    <format dxfId="140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4"/>
          </reference>
          <reference field="3" count="1" selected="0">
            <x v="112"/>
          </reference>
          <reference field="4" count="1">
            <x v="44"/>
          </reference>
        </references>
      </pivotArea>
    </format>
    <format dxfId="139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5"/>
          </reference>
          <reference field="3" count="1" selected="0">
            <x v="109"/>
          </reference>
          <reference field="4" count="1">
            <x v="47"/>
          </reference>
        </references>
      </pivotArea>
    </format>
    <format dxfId="138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7"/>
          </reference>
          <reference field="3" count="1" selected="0">
            <x v="120"/>
          </reference>
          <reference field="4" count="1">
            <x v="46"/>
          </reference>
        </references>
      </pivotArea>
    </format>
    <format dxfId="137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8"/>
          </reference>
          <reference field="3" count="1" selected="0">
            <x v="141"/>
          </reference>
          <reference field="4" count="1">
            <x v="55"/>
          </reference>
        </references>
      </pivotArea>
    </format>
    <format dxfId="136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9"/>
          </reference>
          <reference field="3" count="1" selected="0">
            <x v="107"/>
          </reference>
          <reference field="4" count="1">
            <x v="51"/>
          </reference>
        </references>
      </pivotArea>
    </format>
    <format dxfId="135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35"/>
          </reference>
          <reference field="3" count="1" selected="0">
            <x v="122"/>
          </reference>
          <reference field="4" count="1">
            <x v="43"/>
          </reference>
        </references>
      </pivotArea>
    </format>
    <format dxfId="134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45"/>
          </reference>
          <reference field="3" count="1" selected="0">
            <x v="152"/>
          </reference>
          <reference field="4" count="1">
            <x v="56"/>
          </reference>
        </references>
      </pivotArea>
    </format>
    <format dxfId="133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125"/>
          </reference>
          <reference field="3" count="1" selected="0">
            <x v="154"/>
          </reference>
          <reference field="4" count="1">
            <x v="33"/>
          </reference>
        </references>
      </pivotArea>
    </format>
    <format dxfId="132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187"/>
          </reference>
          <reference field="3" count="1" selected="0">
            <x v="145"/>
          </reference>
          <reference field="4" count="1">
            <x v="56"/>
          </reference>
        </references>
      </pivotArea>
    </format>
    <format dxfId="131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01"/>
          </reference>
          <reference field="3" count="1" selected="0">
            <x v="44"/>
          </reference>
          <reference field="4" count="1">
            <x v="24"/>
          </reference>
        </references>
      </pivotArea>
    </format>
    <format dxfId="130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1"/>
          </reference>
          <reference field="3" count="1" selected="0">
            <x v="124"/>
          </reference>
          <reference field="4" count="1">
            <x v="48"/>
          </reference>
        </references>
      </pivotArea>
    </format>
    <format dxfId="129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2"/>
          </reference>
          <reference field="3" count="1" selected="0">
            <x v="53"/>
          </reference>
          <reference field="4" count="1">
            <x v="25"/>
          </reference>
        </references>
      </pivotArea>
    </format>
    <format dxfId="128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6"/>
          </reference>
          <reference field="3" count="1" selected="0">
            <x v="142"/>
          </reference>
          <reference field="4" count="1">
            <x v="79"/>
          </reference>
        </references>
      </pivotArea>
    </format>
    <format dxfId="127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7"/>
          </reference>
          <reference field="3" count="1" selected="0">
            <x v="128"/>
          </reference>
          <reference field="4" count="1">
            <x v="49"/>
          </reference>
        </references>
      </pivotArea>
    </format>
    <format dxfId="126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8"/>
          </reference>
          <reference field="3" count="1" selected="0">
            <x v="130"/>
          </reference>
          <reference field="4" count="1">
            <x v="65"/>
          </reference>
        </references>
      </pivotArea>
    </format>
    <format dxfId="125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2"/>
          </reference>
          <reference field="3" count="1" selected="0">
            <x v="129"/>
          </reference>
          <reference field="4" count="1">
            <x v="50"/>
          </reference>
        </references>
      </pivotArea>
    </format>
    <format dxfId="124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4"/>
          </reference>
          <reference field="3" count="1" selected="0">
            <x v="139"/>
          </reference>
          <reference field="4" count="1">
            <x v="65"/>
          </reference>
        </references>
      </pivotArea>
    </format>
    <format dxfId="123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8"/>
          </reference>
          <reference field="3" count="1" selected="0">
            <x v="118"/>
          </reference>
          <reference field="4" count="1">
            <x v="86"/>
          </reference>
        </references>
      </pivotArea>
    </format>
    <format dxfId="122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4"/>
          </reference>
          <reference field="3" count="1" selected="0">
            <x v="140"/>
          </reference>
          <reference field="4" count="1">
            <x v="56"/>
          </reference>
        </references>
      </pivotArea>
    </format>
    <format dxfId="121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5"/>
          </reference>
          <reference field="3" count="1" selected="0">
            <x v="119"/>
          </reference>
          <reference field="4" count="1">
            <x v="71"/>
          </reference>
        </references>
      </pivotArea>
    </format>
    <format dxfId="120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6"/>
          </reference>
          <reference field="3" count="1" selected="0">
            <x v="56"/>
          </reference>
          <reference field="4" count="1">
            <x v="45"/>
          </reference>
        </references>
      </pivotArea>
    </format>
    <format dxfId="119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197"/>
          </reference>
          <reference field="3" count="1" selected="0">
            <x v="196"/>
          </reference>
          <reference field="4" count="1">
            <x v="67"/>
          </reference>
        </references>
      </pivotArea>
    </format>
    <format dxfId="118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21"/>
          </reference>
          <reference field="3" count="1" selected="0">
            <x v="193"/>
          </reference>
          <reference field="4" count="1">
            <x v="27"/>
          </reference>
        </references>
      </pivotArea>
    </format>
    <format dxfId="117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0"/>
          </reference>
          <reference field="3" count="1" selected="0">
            <x v="136"/>
          </reference>
          <reference field="4" count="1">
            <x v="62"/>
          </reference>
        </references>
      </pivotArea>
    </format>
    <format dxfId="116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2"/>
          </reference>
          <reference field="3" count="1" selected="0">
            <x v="111"/>
          </reference>
          <reference field="4" count="1">
            <x v="78"/>
          </reference>
        </references>
      </pivotArea>
    </format>
    <format dxfId="115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4"/>
          </reference>
          <reference field="3" count="1" selected="0">
            <x v="137"/>
          </reference>
          <reference field="4" count="1">
            <x v="62"/>
          </reference>
        </references>
      </pivotArea>
    </format>
    <format dxfId="114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5"/>
          </reference>
          <reference field="3" count="1" selected="0">
            <x v="62"/>
          </reference>
          <reference field="4" count="1">
            <x v="63"/>
          </reference>
        </references>
      </pivotArea>
    </format>
    <format dxfId="113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57"/>
          </reference>
          <reference field="3" count="1" selected="0">
            <x v="186"/>
          </reference>
          <reference field="4" count="1">
            <x v="69"/>
          </reference>
        </references>
      </pivotArea>
    </format>
    <format dxfId="112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0"/>
          </reference>
          <reference field="3" count="1" selected="0">
            <x v="233"/>
          </reference>
          <reference field="4" count="1">
            <x v="12"/>
          </reference>
        </references>
      </pivotArea>
    </format>
    <format dxfId="111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8"/>
          </reference>
          <reference field="3" count="1" selected="0">
            <x v="114"/>
          </reference>
          <reference field="4" count="1">
            <x v="30"/>
          </reference>
        </references>
      </pivotArea>
    </format>
    <format dxfId="110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0"/>
          </reference>
          <reference field="3" count="1" selected="0">
            <x v="106"/>
          </reference>
          <reference field="4" count="1">
            <x v="47"/>
          </reference>
        </references>
      </pivotArea>
    </format>
    <format dxfId="109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1"/>
          </reference>
          <reference field="3" count="1" selected="0">
            <x v="126"/>
          </reference>
          <reference field="4" count="1">
            <x v="52"/>
          </reference>
        </references>
      </pivotArea>
    </format>
    <format dxfId="108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9"/>
          </reference>
          <reference field="3" count="1" selected="0">
            <x v="158"/>
          </reference>
          <reference field="4" count="1">
            <x v="68"/>
          </reference>
        </references>
      </pivotArea>
    </format>
    <format dxfId="107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153"/>
          </reference>
          <reference field="3" count="1" selected="0">
            <x v="13"/>
          </reference>
          <reference field="4" count="1">
            <x v="12"/>
          </reference>
        </references>
      </pivotArea>
    </format>
    <format dxfId="106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198"/>
          </reference>
          <reference field="3" count="1" selected="0">
            <x v="195"/>
          </reference>
          <reference field="4" count="1">
            <x v="67"/>
          </reference>
        </references>
      </pivotArea>
    </format>
    <format dxfId="105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22"/>
          </reference>
          <reference field="3" count="1" selected="0">
            <x v="194"/>
          </reference>
          <reference field="4" count="1">
            <x v="29"/>
          </reference>
        </references>
      </pivotArea>
    </format>
    <format dxfId="104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0"/>
          </reference>
          <reference field="3" count="1" selected="0">
            <x v="67"/>
          </reference>
          <reference field="4" count="1">
            <x v="76"/>
          </reference>
        </references>
      </pivotArea>
    </format>
    <format dxfId="103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1"/>
          </reference>
          <reference field="3" count="1" selected="0">
            <x v="65"/>
          </reference>
          <reference field="4" count="1">
            <x v="63"/>
          </reference>
        </references>
      </pivotArea>
    </format>
    <format dxfId="102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8"/>
          </reference>
          <reference field="3" count="1" selected="0">
            <x v="197"/>
          </reference>
          <reference field="4" count="1">
            <x v="38"/>
          </reference>
        </references>
      </pivotArea>
    </format>
    <format dxfId="101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46"/>
          </reference>
          <reference field="3" count="1" selected="0">
            <x v="237"/>
          </reference>
          <reference field="4" count="1">
            <x v="54"/>
          </reference>
        </references>
      </pivotArea>
    </format>
    <format dxfId="100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1"/>
          </reference>
          <reference field="3" count="1" selected="0">
            <x v="223"/>
          </reference>
          <reference field="4" count="1">
            <x v="73"/>
          </reference>
        </references>
      </pivotArea>
    </format>
    <format dxfId="99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3"/>
          </reference>
          <reference field="3" count="1" selected="0">
            <x v="225"/>
          </reference>
          <reference field="4" count="1">
            <x v="70"/>
          </reference>
        </references>
      </pivotArea>
    </format>
    <format dxfId="98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4"/>
          </reference>
          <reference field="3" count="1" selected="0">
            <x v="226"/>
          </reference>
          <reference field="4" count="1">
            <x v="73"/>
          </reference>
        </references>
      </pivotArea>
    </format>
    <format dxfId="97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25"/>
          </reference>
          <reference field="3" count="1" selected="0">
            <x v="147"/>
          </reference>
          <reference field="4" count="1">
            <x v="42"/>
          </reference>
        </references>
      </pivotArea>
    </format>
    <format dxfId="96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190"/>
          </reference>
          <reference field="3" count="1" selected="0">
            <x v="228"/>
          </reference>
          <reference field="4" count="1">
            <x v="28"/>
          </reference>
        </references>
      </pivotArea>
    </format>
    <format dxfId="95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4"/>
          </reference>
          <reference field="3" count="1" selected="0">
            <x v="47"/>
          </reference>
          <reference field="4" count="1">
            <x v="67"/>
          </reference>
        </references>
      </pivotArea>
    </format>
    <format dxfId="94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5"/>
          </reference>
          <reference field="3" count="1" selected="0">
            <x v="84"/>
          </reference>
          <reference field="4" count="1">
            <x v="85"/>
          </reference>
        </references>
      </pivotArea>
    </format>
    <format dxfId="93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6"/>
          </reference>
          <reference field="3" count="1" selected="0">
            <x v="231"/>
          </reference>
          <reference field="4" count="1">
            <x v="62"/>
          </reference>
        </references>
      </pivotArea>
    </format>
    <format dxfId="92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8"/>
          </reference>
          <reference field="3" count="1" selected="0">
            <x v="36"/>
          </reference>
          <reference field="4" count="1">
            <x v="72"/>
          </reference>
        </references>
      </pivotArea>
    </format>
    <format dxfId="91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9"/>
          </reference>
          <reference field="3" count="1" selected="0">
            <x v="95"/>
          </reference>
          <reference field="4" count="1">
            <x v="48"/>
          </reference>
        </references>
      </pivotArea>
    </format>
    <format dxfId="90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0"/>
          </reference>
          <reference field="3" count="1" selected="0">
            <x v="35"/>
          </reference>
          <reference field="4" count="1">
            <x v="85"/>
          </reference>
        </references>
      </pivotArea>
    </format>
    <format dxfId="89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1"/>
          </reference>
          <reference field="3" count="1" selected="0">
            <x v="72"/>
          </reference>
          <reference field="4" count="1">
            <x v="84"/>
          </reference>
        </references>
      </pivotArea>
    </format>
    <format dxfId="88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2"/>
          </reference>
          <reference field="3" count="1" selected="0">
            <x v="19"/>
          </reference>
          <reference field="4" count="1">
            <x v="58"/>
          </reference>
        </references>
      </pivotArea>
    </format>
    <format dxfId="87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3"/>
          </reference>
          <reference field="3" count="1" selected="0">
            <x v="74"/>
          </reference>
          <reference field="4" count="1">
            <x v="62"/>
          </reference>
        </references>
      </pivotArea>
    </format>
    <format dxfId="86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4"/>
          </reference>
          <reference field="3" count="1" selected="0">
            <x v="85"/>
          </reference>
          <reference field="4" count="1">
            <x v="61"/>
          </reference>
        </references>
      </pivotArea>
    </format>
    <format dxfId="85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5"/>
          </reference>
          <reference field="3" count="1" selected="0">
            <x v="92"/>
          </reference>
          <reference field="4" count="1">
            <x v="60"/>
          </reference>
        </references>
      </pivotArea>
    </format>
    <format dxfId="84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7"/>
          </reference>
          <reference field="3" count="1" selected="0">
            <x v="230"/>
          </reference>
          <reference field="4" count="1">
            <x v="77"/>
          </reference>
        </references>
      </pivotArea>
    </format>
    <format dxfId="83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8"/>
          </reference>
          <reference field="3" count="1" selected="0">
            <x v="88"/>
          </reference>
          <reference field="4" count="1">
            <x v="83"/>
          </reference>
        </references>
      </pivotArea>
    </format>
    <format dxfId="82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9"/>
          </reference>
          <reference field="3" count="1" selected="0">
            <x v="177"/>
          </reference>
          <reference field="4" count="1">
            <x v="75"/>
          </reference>
        </references>
      </pivotArea>
    </format>
    <format dxfId="81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1"/>
          </reference>
          <reference field="3" count="1" selected="0">
            <x v="104"/>
          </reference>
          <reference field="4" count="1">
            <x v="56"/>
          </reference>
        </references>
      </pivotArea>
    </format>
    <format dxfId="80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2"/>
          </reference>
          <reference field="3" count="1" selected="0">
            <x v="211"/>
          </reference>
          <reference field="4" count="1">
            <x v="59"/>
          </reference>
        </references>
      </pivotArea>
    </format>
    <format dxfId="79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5"/>
          </reference>
          <reference field="3" count="1" selected="0">
            <x v="188"/>
          </reference>
          <reference field="4" count="1">
            <x v="80"/>
          </reference>
        </references>
      </pivotArea>
    </format>
    <format dxfId="78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6"/>
          </reference>
          <reference field="3" count="1" selected="0">
            <x v="178"/>
          </reference>
          <reference field="4" count="1">
            <x v="62"/>
          </reference>
        </references>
      </pivotArea>
    </format>
    <format dxfId="77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8"/>
          </reference>
          <reference field="3" count="1" selected="0">
            <x v="91"/>
          </reference>
          <reference field="4" count="1">
            <x v="66"/>
          </reference>
        </references>
      </pivotArea>
    </format>
    <format dxfId="76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243"/>
          </reference>
          <reference field="3" count="1" selected="0">
            <x v="46"/>
          </reference>
          <reference field="4" count="1">
            <x v="67"/>
          </reference>
        </references>
      </pivotArea>
    </format>
    <format dxfId="75">
      <pivotArea dataOnly="0" labelOnly="1" outline="0" fieldPosition="0">
        <references count="4">
          <reference field="1" count="1" selected="0">
            <x v="15"/>
          </reference>
          <reference field="2" count="1" selected="0">
            <x v="162"/>
          </reference>
          <reference field="3" count="1" selected="0">
            <x v="0"/>
          </reference>
          <reference field="4" count="1">
            <x v="19"/>
          </reference>
        </references>
      </pivotArea>
    </format>
    <format dxfId="74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20"/>
          </reference>
          <reference field="3" count="1" selected="0">
            <x v="80"/>
          </reference>
          <reference field="4" count="1">
            <x v="74"/>
          </reference>
        </references>
      </pivotArea>
    </format>
    <format dxfId="73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26"/>
          </reference>
          <reference field="3" count="1" selected="0">
            <x v="163"/>
          </reference>
          <reference field="4" count="1">
            <x v="81"/>
          </reference>
        </references>
      </pivotArea>
    </format>
    <format dxfId="72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61"/>
          </reference>
          <reference field="3" count="1" selected="0">
            <x v="189"/>
          </reference>
          <reference field="4" count="1">
            <x v="12"/>
          </reference>
        </references>
      </pivotArea>
    </format>
    <format dxfId="71">
      <pivotArea dataOnly="0" labelOnly="1" outline="0" fieldPosition="0">
        <references count="4">
          <reference field="1" count="1" selected="0">
            <x v="17"/>
          </reference>
          <reference field="2" count="1" selected="0">
            <x v="143"/>
          </reference>
          <reference field="3" count="1" selected="0">
            <x v="96"/>
          </reference>
          <reference field="4" count="1">
            <x v="67"/>
          </reference>
        </references>
      </pivotArea>
    </format>
    <format dxfId="70">
      <pivotArea dataOnly="0" labelOnly="1" outline="0" fieldPosition="0">
        <references count="4">
          <reference field="1" count="1" selected="0">
            <x v="18"/>
          </reference>
          <reference field="2" count="1" selected="0">
            <x v="234"/>
          </reference>
          <reference field="3" count="1" selected="0">
            <x v="48"/>
          </reference>
          <reference field="4" count="1">
            <x v="57"/>
          </reference>
        </references>
      </pivotArea>
    </format>
    <format dxfId="6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6"/>
          </reference>
          <reference field="3" count="1" selected="0">
            <x v="59"/>
          </reference>
          <reference field="4" count="1">
            <x v="63"/>
          </reference>
        </references>
      </pivotArea>
    </format>
    <format dxfId="6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34"/>
          </reference>
          <reference field="3" count="1" selected="0">
            <x v="123"/>
          </reference>
          <reference field="4" count="1">
            <x v="59"/>
          </reference>
        </references>
      </pivotArea>
    </format>
    <format dxfId="6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43"/>
          </reference>
          <reference field="3" count="1" selected="0">
            <x v="121"/>
          </reference>
          <reference field="4" count="1">
            <x v="65"/>
          </reference>
        </references>
      </pivotArea>
    </format>
    <format dxfId="6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52"/>
          </reference>
          <reference field="3" count="1" selected="0">
            <x v="185"/>
          </reference>
          <reference field="4" count="1">
            <x v="32"/>
          </reference>
        </references>
      </pivotArea>
    </format>
    <format dxfId="65">
      <pivotArea field="1" type="button" dataOnly="0" labelOnly="1" outline="0" axis="axisRow" fieldPosition="0"/>
    </format>
    <format dxfId="64">
      <pivotArea field="2" type="button" dataOnly="0" labelOnly="1" outline="0" axis="axisRow" fieldPosition="2"/>
    </format>
    <format dxfId="63">
      <pivotArea field="3" type="button" dataOnly="0" labelOnly="1" outline="0" axis="axisRow" fieldPosition="3"/>
    </format>
    <format dxfId="62">
      <pivotArea field="4" type="button" dataOnly="0" labelOnly="1" outline="0" axis="axisRow" fieldPosition="4"/>
    </format>
    <format dxfId="61">
      <pivotArea field="5" type="button" dataOnly="0" labelOnly="1" outline="0" axis="axisRow" fieldPosition="5"/>
    </format>
    <format dxfId="60">
      <pivotArea field="6" type="button" dataOnly="0" labelOnly="1" outline="0" axis="axisRow" fieldPosition="1"/>
    </format>
    <format dxfId="59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8">
      <pivotArea dataOnly="0" labelOnly="1" outline="0" fieldPosition="0">
        <references count="3">
          <reference field="4294967294" count="1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format>
    <format dxfId="57">
      <pivotArea dataOnly="0" labelOnly="1" outline="0" fieldPosition="0">
        <references count="3">
          <reference field="4294967294" count="1">
            <x v="0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56">
      <pivotArea dataOnly="0" labelOnly="1" outline="0" fieldPosition="0">
        <references count="3">
          <reference field="4294967294" count="1">
            <x v="0"/>
          </reference>
          <reference field="7" count="1" selected="0">
            <x v="2"/>
          </reference>
          <reference field="8" count="1" selected="0">
            <x v="2"/>
          </reference>
        </references>
      </pivotArea>
    </format>
    <format dxfId="55">
      <pivotArea dataOnly="0" labelOnly="1" outline="0" fieldPosition="0">
        <references count="3">
          <reference field="4294967294" count="1">
            <x v="0"/>
          </reference>
          <reference field="7" count="1" selected="0">
            <x v="3"/>
          </reference>
          <reference field="8" count="1" selected="0">
            <x v="3"/>
          </reference>
        </references>
      </pivotArea>
    </format>
    <format dxfId="54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3">
      <pivotArea field="1" type="button" dataOnly="0" labelOnly="1" outline="0" axis="axisRow" fieldPosition="0"/>
    </format>
    <format dxfId="52">
      <pivotArea field="6" type="button" dataOnly="0" labelOnly="1" outline="0" axis="axisRow" fieldPosition="1"/>
    </format>
    <format dxfId="51">
      <pivotArea field="2" type="button" dataOnly="0" labelOnly="1" outline="0" axis="axisRow" fieldPosition="2"/>
    </format>
    <format dxfId="50">
      <pivotArea field="3" type="button" dataOnly="0" labelOnly="1" outline="0" axis="axisRow" fieldPosition="3"/>
    </format>
    <format dxfId="49">
      <pivotArea field="4" type="button" dataOnly="0" labelOnly="1" outline="0" axis="axisRow" fieldPosition="4"/>
    </format>
    <format dxfId="48">
      <pivotArea field="5" type="button" dataOnly="0" labelOnly="1" outline="0" axis="axisRow" fieldPosition="5"/>
    </format>
    <format dxfId="47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6">
      <pivotArea dataOnly="0" labelOnly="1" outline="0" fieldPosition="0">
        <references count="3">
          <reference field="4294967294" count="1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format>
    <format dxfId="45">
      <pivotArea dataOnly="0" labelOnly="1" outline="0" fieldPosition="0">
        <references count="3">
          <reference field="4294967294" count="1">
            <x v="0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44">
      <pivotArea dataOnly="0" labelOnly="1" outline="0" fieldPosition="0">
        <references count="3">
          <reference field="4294967294" count="1">
            <x v="0"/>
          </reference>
          <reference field="7" count="1" selected="0">
            <x v="2"/>
          </reference>
          <reference field="8" count="1" selected="0">
            <x v="2"/>
          </reference>
        </references>
      </pivotArea>
    </format>
    <format dxfId="43">
      <pivotArea dataOnly="0" labelOnly="1" outline="0" fieldPosition="0">
        <references count="3">
          <reference field="4294967294" count="1">
            <x v="0"/>
          </reference>
          <reference field="7" count="1" selected="0">
            <x v="3"/>
          </reference>
          <reference field="8" count="1" selected="0">
            <x v="3"/>
          </reference>
        </references>
      </pivotArea>
    </format>
    <format dxfId="42">
      <pivotArea dataOnly="0" labelOnly="1" outline="0" fieldPosition="0">
        <references count="3">
          <reference field="4294967294" count="1">
            <x v="0"/>
          </reference>
          <reference field="7" count="1" selected="0">
            <x v="4"/>
          </reference>
          <reference field="8" count="1" selected="0">
            <x v="4"/>
          </reference>
        </references>
      </pivotArea>
    </format>
    <format dxfId="41">
      <pivotArea dataOnly="0" labelOnly="1" outline="0" fieldPosition="0">
        <references count="1">
          <reference field="7" count="0"/>
        </references>
      </pivotArea>
    </format>
    <format dxfId="40">
      <pivotArea dataOnly="0" labelOnly="1" outline="0" fieldPosition="0">
        <references count="3">
          <reference field="4294967294" count="1">
            <x v="0"/>
          </reference>
          <reference field="7" count="1" selected="0">
            <x v="4"/>
          </reference>
          <reference field="8" count="1" selected="0">
            <x v="4"/>
          </reference>
        </references>
      </pivotArea>
    </format>
    <format dxfId="39">
      <pivotArea dataOnly="0" labelOnly="1" outline="0" fieldPosition="0">
        <references count="2">
          <reference field="1" count="1" selected="0">
            <x v="0"/>
          </reference>
          <reference field="6" count="1">
            <x v="1"/>
          </reference>
        </references>
      </pivotArea>
    </format>
    <format dxfId="38">
      <pivotArea field="6" type="button" dataOnly="0" labelOnly="1" outline="0" axis="axisRow" fieldPosition="1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EA9A5-41E8-418C-9938-78C23D344381}" name="PivotTable1" cacheId="2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>
  <location ref="A2:I51" firstHeaderRow="1" firstDataRow="2" firstDataCol="2"/>
  <pivotFields count="12">
    <pivotField compact="0" outline="0" showAll="0" includeNewItemsInFilter="1"/>
    <pivotField compact="0" numFmtId="164" outline="0" showAll="0"/>
    <pivotField axis="axisRow" compact="0" numFmtId="1" outline="0" showAll="0" includeNewItemsInFilter="1" sortType="descending" defaultSubtotal="0">
      <items count="273">
        <item x="0"/>
        <item x="1"/>
        <item x="2"/>
        <item x="3"/>
        <item x="4"/>
        <item x="5"/>
        <item x="6"/>
        <item m="1" x="272"/>
        <item x="7"/>
        <item x="8"/>
        <item x="9"/>
        <item x="10"/>
        <item x="11"/>
        <item x="12"/>
        <item x="13"/>
        <item x="14"/>
        <item x="15"/>
        <item x="16"/>
        <item x="228"/>
        <item x="17"/>
        <item x="18"/>
        <item x="19"/>
        <item x="259"/>
        <item x="260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2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261"/>
        <item x="54"/>
        <item x="55"/>
        <item x="56"/>
        <item x="57"/>
        <item x="58"/>
        <item x="59"/>
        <item x="230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231"/>
        <item x="76"/>
        <item x="77"/>
        <item x="78"/>
        <item x="79"/>
        <item x="80"/>
        <item x="81"/>
        <item m="1" x="270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271"/>
        <item x="104"/>
        <item x="105"/>
        <item x="106"/>
        <item x="107"/>
        <item x="108"/>
        <item x="109"/>
        <item x="232"/>
        <item x="110"/>
        <item x="111"/>
        <item x="112"/>
        <item x="113"/>
        <item x="114"/>
        <item x="233"/>
        <item x="115"/>
        <item x="234"/>
        <item x="116"/>
        <item x="235"/>
        <item x="236"/>
        <item x="237"/>
        <item x="117"/>
        <item x="238"/>
        <item x="239"/>
        <item x="240"/>
        <item x="118"/>
        <item x="119"/>
        <item x="241"/>
        <item x="120"/>
        <item x="121"/>
        <item x="122"/>
        <item x="242"/>
        <item x="123"/>
        <item x="124"/>
        <item x="262"/>
        <item x="125"/>
        <item x="126"/>
        <item x="127"/>
        <item x="128"/>
        <item x="243"/>
        <item x="129"/>
        <item x="130"/>
        <item x="131"/>
        <item x="244"/>
        <item x="132"/>
        <item x="133"/>
        <item x="245"/>
        <item x="246"/>
        <item x="247"/>
        <item x="248"/>
        <item x="263"/>
        <item x="249"/>
        <item x="134"/>
        <item x="250"/>
        <item x="135"/>
        <item x="136"/>
        <item x="137"/>
        <item x="138"/>
        <item x="139"/>
        <item x="140"/>
        <item x="141"/>
        <item x="264"/>
        <item x="142"/>
        <item x="143"/>
        <item x="144"/>
        <item x="145"/>
        <item x="146"/>
        <item x="147"/>
        <item x="148"/>
        <item x="149"/>
        <item x="150"/>
        <item x="251"/>
        <item x="265"/>
        <item x="151"/>
        <item x="152"/>
        <item x="153"/>
        <item x="252"/>
        <item x="154"/>
        <item x="155"/>
        <item x="156"/>
        <item x="157"/>
        <item x="253"/>
        <item x="158"/>
        <item x="266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254"/>
        <item x="255"/>
        <item x="256"/>
        <item x="257"/>
        <item x="258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67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68"/>
        <item x="214"/>
        <item x="215"/>
        <item x="269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measureFilter="1" includeNewItemsInFilter="1" sortType="descending">
      <items count="273">
        <item x="35"/>
        <item x="82"/>
        <item x="115"/>
        <item x="266"/>
        <item x="172"/>
        <item x="168"/>
        <item m="1" x="269"/>
        <item x="232"/>
        <item x="81"/>
        <item x="114"/>
        <item x="51"/>
        <item x="113"/>
        <item x="225"/>
        <item x="252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46"/>
        <item x="162"/>
        <item x="33"/>
        <item x="80"/>
        <item x="145"/>
        <item x="79"/>
        <item x="124"/>
        <item x="6"/>
        <item x="228"/>
        <item x="32"/>
        <item x="194"/>
        <item x="195"/>
        <item x="174"/>
        <item x="31"/>
        <item x="265"/>
        <item x="30"/>
        <item x="29"/>
        <item x="181"/>
        <item x="177"/>
        <item x="152"/>
        <item x="28"/>
        <item x="135"/>
        <item x="112"/>
        <item x="111"/>
        <item x="110"/>
        <item x="171"/>
        <item x="187"/>
        <item x="182"/>
        <item x="78"/>
        <item x="138"/>
        <item x="77"/>
        <item x="76"/>
        <item x="231"/>
        <item x="27"/>
        <item x="122"/>
        <item x="150"/>
        <item x="132"/>
        <item x="26"/>
        <item x="147"/>
        <item x="196"/>
        <item x="142"/>
        <item x="119"/>
        <item x="125"/>
        <item x="116"/>
        <item x="189"/>
        <item x="230"/>
        <item x="75"/>
        <item x="221"/>
        <item x="222"/>
        <item x="220"/>
        <item x="223"/>
        <item x="206"/>
        <item x="203"/>
        <item x="255"/>
        <item x="253"/>
        <item x="254"/>
        <item x="74"/>
        <item x="166"/>
        <item x="170"/>
        <item x="173"/>
        <item x="167"/>
        <item x="25"/>
        <item x="165"/>
        <item x="164"/>
        <item x="163"/>
        <item x="73"/>
        <item x="218"/>
        <item x="216"/>
        <item x="217"/>
        <item x="201"/>
        <item x="159"/>
        <item x="23"/>
        <item x="160"/>
        <item x="199"/>
        <item x="123"/>
        <item x="72"/>
        <item x="130"/>
        <item x="24"/>
        <item x="257"/>
        <item x="188"/>
        <item x="256"/>
        <item x="143"/>
        <item x="178"/>
        <item x="261"/>
        <item x="154"/>
        <item x="34"/>
        <item x="22"/>
        <item x="21"/>
        <item x="20"/>
        <item x="184"/>
        <item x="185"/>
        <item x="71"/>
        <item x="262"/>
        <item x="259"/>
        <item x="258"/>
        <item x="263"/>
        <item x="109"/>
        <item x="250"/>
        <item x="121"/>
        <item x="134"/>
        <item x="108"/>
        <item x="19"/>
        <item x="70"/>
        <item x="91"/>
        <item x="107"/>
        <item x="18"/>
        <item x="233"/>
        <item x="69"/>
        <item x="175"/>
        <item x="106"/>
        <item x="68"/>
        <item x="105"/>
        <item x="17"/>
        <item x="227"/>
        <item x="104"/>
        <item x="238"/>
        <item x="241"/>
        <item x="239"/>
        <item x="268"/>
        <item x="237"/>
        <item x="234"/>
        <item x="247"/>
        <item x="240"/>
        <item x="245"/>
        <item x="236"/>
        <item x="235"/>
        <item x="251"/>
        <item x="186"/>
        <item x="157"/>
        <item x="179"/>
        <item x="67"/>
        <item x="127"/>
        <item x="66"/>
        <item x="129"/>
        <item x="50"/>
        <item x="53"/>
        <item x="65"/>
        <item x="153"/>
        <item x="155"/>
        <item x="156"/>
        <item x="64"/>
        <item x="14"/>
        <item x="15"/>
        <item x="63"/>
        <item x="62"/>
        <item x="13"/>
        <item x="52"/>
        <item x="120"/>
        <item x="12"/>
        <item x="11"/>
        <item x="9"/>
        <item x="10"/>
        <item x="103"/>
        <item x="102"/>
        <item x="183"/>
        <item x="61"/>
        <item x="176"/>
        <item x="101"/>
        <item x="60"/>
        <item x="210"/>
        <item x="118"/>
        <item x="249"/>
        <item m="1" x="270"/>
        <item x="100"/>
        <item x="99"/>
        <item x="212"/>
        <item x="213"/>
        <item x="243"/>
        <item x="133"/>
        <item x="229"/>
        <item x="180"/>
        <item x="224"/>
        <item x="98"/>
        <item x="59"/>
        <item x="97"/>
        <item x="244"/>
        <item x="58"/>
        <item x="246"/>
        <item x="248"/>
        <item x="96"/>
        <item x="95"/>
        <item x="146"/>
        <item x="202"/>
        <item x="8"/>
        <item x="7"/>
        <item x="117"/>
        <item x="226"/>
        <item x="264"/>
        <item m="1" x="271"/>
        <item x="200"/>
        <item x="161"/>
        <item x="94"/>
        <item x="4"/>
        <item x="93"/>
        <item x="57"/>
        <item x="242"/>
        <item x="205"/>
        <item x="5"/>
        <item x="207"/>
        <item x="198"/>
        <item x="92"/>
        <item x="191"/>
        <item x="193"/>
        <item x="56"/>
        <item x="197"/>
        <item x="169"/>
        <item x="144"/>
        <item x="55"/>
        <item x="90"/>
        <item x="190"/>
        <item x="54"/>
        <item x="214"/>
        <item x="204"/>
        <item x="131"/>
        <item x="88"/>
        <item x="89"/>
        <item x="86"/>
        <item x="87"/>
        <item x="85"/>
        <item x="151"/>
        <item x="192"/>
        <item x="128"/>
        <item x="3"/>
        <item x="84"/>
        <item x="83"/>
        <item x="16"/>
        <item x="148"/>
        <item x="137"/>
        <item x="136"/>
        <item x="2"/>
        <item x="139"/>
        <item x="0"/>
        <item x="1"/>
        <item x="215"/>
        <item x="140"/>
        <item x="260"/>
        <item x="211"/>
        <item x="267"/>
        <item x="149"/>
        <item x="126"/>
        <item x="209"/>
        <item x="208"/>
        <item x="141"/>
        <item x="219"/>
        <item x="15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includeNewItemsInFilter="1"/>
    <pivotField dataField="1" compact="0" outline="0" showAll="0" includeNewItemsInFilter="1"/>
    <pivotField dataField="1" compact="0" numFmtId="3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compact="0" numFmtId="167" outline="0" showAll="0" includeNewItemsInFilter="1"/>
    <pivotField dataField="1" compact="0" outline="0" dragToRow="0" dragToCol="0" dragToPage="0" showAll="0" defaultSubtotal="0"/>
  </pivotFields>
  <rowFields count="2">
    <field x="2"/>
    <field x="3"/>
  </rowFields>
  <rowItems count="48">
    <i>
      <x v="205"/>
      <x v="5"/>
    </i>
    <i>
      <x v="206"/>
      <x v="232"/>
    </i>
    <i>
      <x v="166"/>
      <x v="48"/>
    </i>
    <i>
      <x v="129"/>
      <x v="70"/>
    </i>
    <i>
      <x v="126"/>
      <x v="7"/>
    </i>
    <i>
      <x v="19"/>
      <x v="139"/>
    </i>
    <i>
      <x v="176"/>
      <x v="233"/>
    </i>
    <i>
      <x v="80"/>
      <x v="92"/>
    </i>
    <i>
      <x v="163"/>
      <x v="205"/>
    </i>
    <i>
      <x v="82"/>
      <x v="73"/>
    </i>
    <i>
      <x v="81"/>
      <x v="83"/>
    </i>
    <i>
      <x v="104"/>
      <x v="207"/>
    </i>
    <i>
      <x v="147"/>
      <x v="69"/>
    </i>
    <i>
      <x v="191"/>
      <x v="166"/>
    </i>
    <i>
      <x v="71"/>
      <x v="167"/>
    </i>
    <i>
      <x v="165"/>
      <x v="188"/>
    </i>
    <i>
      <x v="6"/>
      <x v="34"/>
    </i>
    <i>
      <x v="58"/>
      <x v="162"/>
    </i>
    <i>
      <x v="70"/>
      <x v="170"/>
    </i>
    <i>
      <x v="69"/>
      <x v="171"/>
    </i>
    <i>
      <x v="76"/>
      <x v="134"/>
    </i>
    <i>
      <x v="220"/>
      <x v="109"/>
    </i>
    <i>
      <x v="57"/>
      <x v="173"/>
    </i>
    <i>
      <x v="153"/>
      <x v="103"/>
    </i>
    <i>
      <x v="107"/>
      <x v="199"/>
    </i>
    <i>
      <x v="63"/>
      <x v="221"/>
    </i>
    <i>
      <x v="219"/>
      <x v="45"/>
    </i>
    <i>
      <x v="152"/>
      <x v="160"/>
    </i>
    <i>
      <x v="98"/>
      <x v="242"/>
    </i>
    <i>
      <x v="218"/>
      <x v="183"/>
    </i>
    <i>
      <x v="9"/>
      <x v="210"/>
    </i>
    <i>
      <x v="27"/>
      <x v="98"/>
    </i>
    <i>
      <x v="36"/>
      <x v="36"/>
    </i>
    <i>
      <x v="3"/>
      <x v="249"/>
    </i>
    <i>
      <x v="225"/>
      <x v="181"/>
    </i>
    <i>
      <x v="66"/>
      <x v="196"/>
    </i>
    <i>
      <x v="64"/>
      <x v="203"/>
    </i>
    <i>
      <x v="148"/>
      <x v="266"/>
    </i>
    <i>
      <x v="16"/>
      <x v="169"/>
    </i>
    <i>
      <x v="137"/>
      <x v="187"/>
    </i>
    <i>
      <x v="1"/>
      <x v="259"/>
    </i>
    <i>
      <x/>
      <x v="258"/>
    </i>
    <i>
      <x v="185"/>
      <x v="246"/>
    </i>
    <i>
      <x v="13"/>
      <x v="175"/>
    </i>
    <i>
      <x v="85"/>
      <x v="57"/>
    </i>
    <i>
      <x v="97"/>
      <x v="241"/>
    </i>
    <i>
      <x v="94"/>
      <x v="24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rod Plan" fld="6" baseField="3" baseItem="13" numFmtId="3"/>
    <dataField name="Price Ex Vat (Sigma)" fld="4" baseField="3" baseItem="5" numFmtId="4"/>
    <dataField name="List Cost (Sigma)" fld="5" baseField="3" baseItem="13" numFmtId="4"/>
    <dataField name="Plan Sales" fld="7" baseField="3" baseItem="13" numFmtId="166"/>
    <dataField name="CP of Plan Sales" fld="8" baseField="3" baseItem="13" numFmtId="166"/>
    <dataField name="Plan GP" fld="9" baseField="3" baseItem="13" numFmtId="166"/>
    <dataField name="Planned GP%" fld="11" baseField="3" baseItem="5" numFmtId="168"/>
  </dataFields>
  <formats count="38">
    <format dxfId="37">
      <pivotArea field="2" type="button" dataOnly="0" labelOnly="1" outline="0" axis="axisRow" fieldPosition="0"/>
    </format>
    <format dxfId="36">
      <pivotArea field="3" type="button" dataOnly="0" labelOnly="1" outline="0" axis="axisRow" fieldPosition="1"/>
    </format>
    <format dxfId="3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4">
      <pivotArea field="2" type="button" dataOnly="0" labelOnly="1" outline="0" axis="axisRow" fieldPosition="0"/>
    </format>
    <format dxfId="33">
      <pivotArea field="3" type="button" dataOnly="0" labelOnly="1" outline="0" axis="axisRow" fieldPosition="1"/>
    </format>
    <format dxfId="3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">
      <pivotArea field="2" type="button" dataOnly="0" labelOnly="1" outline="0" axis="axisRow" fieldPosition="0"/>
    </format>
    <format dxfId="30">
      <pivotArea field="3" type="button" dataOnly="0" labelOnly="1" outline="0" axis="axisRow" fieldPosition="1"/>
    </format>
    <format dxfId="2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8">
      <pivotArea field="2" type="button" dataOnly="0" labelOnly="1" outline="0" axis="axisRow" fieldPosition="0"/>
    </format>
    <format dxfId="27">
      <pivotArea field="3" type="button" dataOnly="0" labelOnly="1" outline="0" axis="axisRow" fieldPosition="1"/>
    </format>
    <format dxfId="2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5">
      <pivotArea grandRow="1" outline="0" collapsedLevelsAreSubtotals="1" fieldPosition="0"/>
    </format>
    <format dxfId="24">
      <pivotArea dataOnly="0" labelOnly="1" grandRow="1" outline="0" fieldPosition="0"/>
    </format>
    <format dxfId="23">
      <pivotArea grandRow="1" outline="0" collapsedLevelsAreSubtotals="1" fieldPosition="0"/>
    </format>
    <format dxfId="22">
      <pivotArea dataOnly="0" labelOnly="1" grandRow="1" outline="0" fieldPosition="0"/>
    </format>
    <format dxfId="21">
      <pivotArea grandRow="1" outline="0" collapsedLevelsAreSubtotals="1" fieldPosition="0"/>
    </format>
    <format dxfId="20">
      <pivotArea dataOnly="0" labelOnly="1" grandRow="1" outline="0" fieldPosition="0"/>
    </format>
    <format dxfId="19">
      <pivotArea grandRow="1" outline="0" collapsedLevelsAreSubtotals="1" fieldPosition="0"/>
    </format>
    <format dxfId="18">
      <pivotArea dataOnly="0" labelOnly="1" grandRow="1" outline="0" fieldPosition="0"/>
    </format>
    <format dxfId="17">
      <pivotArea outline="0" collapsedLevelsAreSubtotals="1" fieldPosition="0"/>
    </format>
    <format dxfId="16">
      <pivotArea dataOnly="0" labelOnly="1" grandRow="1" outline="0" fieldPosition="0"/>
    </format>
    <format dxfId="15">
      <pivotArea field="2" type="button" dataOnly="0" labelOnly="1" outline="0" axis="axisRow" fieldPosition="0"/>
    </format>
    <format dxfId="14">
      <pivotArea field="3" type="button" dataOnly="0" labelOnly="1" outline="0" axis="axisRow" fieldPosition="1"/>
    </format>
    <format dxfId="1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2">
      <pivotArea outline="0" fieldPosition="0">
        <references count="1">
          <reference field="4294967294" count="1">
            <x v="6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type="origin" dataOnly="0" labelOnly="1" outline="0" fieldPosition="0"/>
    </format>
    <format dxfId="7">
      <pivotArea field="-2" type="button" dataOnly="0" labelOnly="1" outline="0" axis="axisCol" fieldPosition="0"/>
    </format>
    <format dxfId="6">
      <pivotArea type="topRight" dataOnly="0" labelOnly="1" outline="0" fieldPosition="0"/>
    </format>
    <format dxfId="5">
      <pivotArea field="2" type="button" dataOnly="0" labelOnly="1" outline="0" axis="axisRow" fieldPosition="0"/>
    </format>
    <format dxfId="4">
      <pivotArea field="3" type="button" dataOnly="0" labelOnly="1" outline="0" axis="axisRow" fieldPosition="1"/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">
      <pivotArea outline="0" collapsedLevelsAreSubtotals="1" fieldPosition="0"/>
    </format>
    <format dxfId="0">
      <pivotArea dataOnly="0" labelOnly="1" grandRow="1" outline="0" fieldPosition="0"/>
    </format>
  </formats>
  <pivotTableStyleInfo showRowHeaders="1" showColHeaders="1" showRowStripes="0" showColStripes="0" showLastColumn="1"/>
  <filters count="1">
    <filter fld="3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1547-A399-404D-B990-43D9D0B75869}">
  <sheetPr codeName="Sheet1"/>
  <dimension ref="A1:Y290"/>
  <sheetViews>
    <sheetView workbookViewId="0">
      <pane ySplit="3" topLeftCell="A4" activePane="bottomLeft" state="frozen"/>
      <selection pane="bottomLeft" activeCell="A3" sqref="A3:K290"/>
    </sheetView>
  </sheetViews>
  <sheetFormatPr defaultColWidth="10.69921875" defaultRowHeight="16.5" customHeight="1" x14ac:dyDescent="0.35"/>
  <cols>
    <col min="1" max="1" width="25.09765625" style="1" customWidth="1"/>
    <col min="2" max="2" width="6.796875" style="1" customWidth="1"/>
    <col min="3" max="3" width="9.796875" style="1" customWidth="1"/>
    <col min="4" max="4" width="28.19921875" style="1" customWidth="1"/>
    <col min="5" max="5" width="8.19921875" style="1" customWidth="1"/>
    <col min="6" max="6" width="8.19921875" style="12" customWidth="1"/>
    <col min="7" max="7" width="8.19921875" style="9" customWidth="1"/>
    <col min="8" max="8" width="9.3984375" style="12" bestFit="1" customWidth="1"/>
    <col min="9" max="9" width="8.8984375" style="12" bestFit="1" customWidth="1"/>
    <col min="10" max="10" width="9.3984375" style="12" bestFit="1" customWidth="1"/>
    <col min="11" max="12" width="8.19921875" style="12" customWidth="1"/>
    <col min="13" max="15" width="12.69921875" style="12" hidden="1" customWidth="1"/>
    <col min="16" max="16" width="12.69921875" style="9" hidden="1" customWidth="1"/>
    <col min="17" max="20" width="12.69921875" style="12" hidden="1" customWidth="1"/>
    <col min="21" max="21" width="12.69921875" style="15" hidden="1" customWidth="1"/>
    <col min="22" max="22" width="0" style="36" hidden="1" customWidth="1"/>
    <col min="23" max="25" width="0" style="1" hidden="1" customWidth="1"/>
    <col min="26" max="16384" width="10.69921875" style="1"/>
  </cols>
  <sheetData>
    <row r="1" spans="1:25" ht="16.5" customHeight="1" x14ac:dyDescent="0.35">
      <c r="V1" s="36" t="s">
        <v>303</v>
      </c>
      <c r="W1" s="1" t="s">
        <v>304</v>
      </c>
      <c r="X1" s="1" t="s">
        <v>305</v>
      </c>
      <c r="Y1" s="1" t="s">
        <v>304</v>
      </c>
    </row>
    <row r="2" spans="1:25" ht="16.5" customHeight="1" x14ac:dyDescent="0.35">
      <c r="V2" s="36" t="s">
        <v>306</v>
      </c>
      <c r="W2" s="1" t="s">
        <v>304</v>
      </c>
      <c r="X2" s="1" t="s">
        <v>307</v>
      </c>
      <c r="Y2" s="1" t="s">
        <v>304</v>
      </c>
    </row>
    <row r="3" spans="1:25" ht="46.5" customHeight="1" x14ac:dyDescent="0.35">
      <c r="A3" s="2" t="s">
        <v>0</v>
      </c>
      <c r="B3" s="2" t="s">
        <v>300</v>
      </c>
      <c r="C3" s="2" t="s">
        <v>1</v>
      </c>
      <c r="D3" s="2" t="s">
        <v>2</v>
      </c>
      <c r="E3" s="2" t="s">
        <v>3</v>
      </c>
      <c r="F3" s="10" t="s">
        <v>4</v>
      </c>
      <c r="G3" s="10" t="s">
        <v>287</v>
      </c>
      <c r="H3" s="10" t="s">
        <v>288</v>
      </c>
      <c r="I3" s="10" t="s">
        <v>289</v>
      </c>
      <c r="J3" s="10" t="s">
        <v>290</v>
      </c>
      <c r="K3" s="10" t="s">
        <v>291</v>
      </c>
      <c r="L3" s="48"/>
      <c r="M3" s="10" t="s">
        <v>5</v>
      </c>
      <c r="N3" s="10" t="s">
        <v>6</v>
      </c>
      <c r="O3" s="10" t="s">
        <v>7</v>
      </c>
      <c r="P3" s="7" t="s">
        <v>8</v>
      </c>
      <c r="Q3" s="10" t="s">
        <v>9</v>
      </c>
      <c r="R3" s="10" t="s">
        <v>10</v>
      </c>
      <c r="S3" s="10" t="s">
        <v>11</v>
      </c>
      <c r="T3" s="10" t="s">
        <v>12</v>
      </c>
      <c r="U3" s="13" t="s">
        <v>13</v>
      </c>
      <c r="V3" s="36" t="s">
        <v>6</v>
      </c>
      <c r="W3" s="1" t="s">
        <v>8</v>
      </c>
      <c r="X3" s="1" t="s">
        <v>6</v>
      </c>
      <c r="Y3" s="1" t="s">
        <v>8</v>
      </c>
    </row>
    <row r="4" spans="1:25" ht="16.5" customHeight="1" x14ac:dyDescent="0.35">
      <c r="A4" s="3" t="s">
        <v>14</v>
      </c>
      <c r="B4" s="4">
        <v>101</v>
      </c>
      <c r="C4" s="5">
        <v>32062</v>
      </c>
      <c r="D4" s="3" t="s">
        <v>50</v>
      </c>
      <c r="E4" s="6">
        <v>24.99</v>
      </c>
      <c r="F4" s="16">
        <v>9.68</v>
      </c>
      <c r="G4" s="49">
        <v>6</v>
      </c>
      <c r="H4" s="50">
        <f t="shared" ref="H4:H67" si="0">E4*G4</f>
        <v>149.94</v>
      </c>
      <c r="I4" s="50">
        <f t="shared" ref="I4:I67" si="1">F4*G4</f>
        <v>58.08</v>
      </c>
      <c r="J4" s="50">
        <f t="shared" ref="J4:J67" si="2">H4-I4</f>
        <v>91.86</v>
      </c>
      <c r="K4" s="51">
        <f>IFERROR(J4/H4*100,0)</f>
        <v>61.264505802320933</v>
      </c>
      <c r="L4" s="36"/>
      <c r="M4" s="11">
        <v>454440.52</v>
      </c>
      <c r="N4" s="11">
        <v>395165.66956521739</v>
      </c>
      <c r="O4" s="11">
        <v>239885.73999999996</v>
      </c>
      <c r="P4" s="8">
        <v>35200</v>
      </c>
      <c r="Q4" s="11">
        <v>155279.92956521743</v>
      </c>
      <c r="R4" s="11">
        <v>12.910242045454545</v>
      </c>
      <c r="S4" s="11">
        <v>11.226297430830039</v>
      </c>
      <c r="T4" s="11">
        <v>6.8149357954545442</v>
      </c>
      <c r="U4" s="14">
        <v>39.294893641966624</v>
      </c>
      <c r="V4" s="36" t="e">
        <f>LOOKUP($C4,#REF!,#REF!)</f>
        <v>#REF!</v>
      </c>
      <c r="W4" s="36" t="e">
        <f>LOOKUP($C4,#REF!,#REF!)</f>
        <v>#REF!</v>
      </c>
      <c r="X4" s="36" t="e">
        <f>LOOKUP($C4,#REF!,#REF!)</f>
        <v>#REF!</v>
      </c>
      <c r="Y4" s="36" t="e">
        <f>LOOKUP($C4,#REF!,#REF!)</f>
        <v>#REF!</v>
      </c>
    </row>
    <row r="5" spans="1:25" ht="16.5" customHeight="1" x14ac:dyDescent="0.35">
      <c r="A5" s="3" t="s">
        <v>14</v>
      </c>
      <c r="B5" s="4">
        <v>101</v>
      </c>
      <c r="C5" s="5">
        <v>32063</v>
      </c>
      <c r="D5" s="3" t="s">
        <v>51</v>
      </c>
      <c r="E5" s="6">
        <v>19.989999999999998</v>
      </c>
      <c r="F5" s="16">
        <v>8.5</v>
      </c>
      <c r="G5" s="49">
        <v>6</v>
      </c>
      <c r="H5" s="50">
        <f t="shared" si="0"/>
        <v>119.94</v>
      </c>
      <c r="I5" s="50">
        <f t="shared" si="1"/>
        <v>51</v>
      </c>
      <c r="J5" s="50">
        <f t="shared" si="2"/>
        <v>68.94</v>
      </c>
      <c r="K5" s="51">
        <f t="shared" ref="K5:K68" si="3">IFERROR(J5/H5*100,0)</f>
        <v>57.478739369684838</v>
      </c>
      <c r="L5" s="36"/>
      <c r="M5" s="11">
        <v>171710</v>
      </c>
      <c r="N5" s="11">
        <v>149313.04347826089</v>
      </c>
      <c r="O5" s="11">
        <v>106275.53999999998</v>
      </c>
      <c r="P5" s="8">
        <v>3203</v>
      </c>
      <c r="Q5" s="11">
        <v>43037.503478260885</v>
      </c>
      <c r="R5" s="11">
        <v>53.609116453325008</v>
      </c>
      <c r="S5" s="11">
        <v>46.616623002891316</v>
      </c>
      <c r="T5" s="11">
        <v>33.179999999999993</v>
      </c>
      <c r="U5" s="14">
        <v>28.823673053404008</v>
      </c>
      <c r="V5" s="36" t="e">
        <f>LOOKUP($C5,#REF!,#REF!)</f>
        <v>#REF!</v>
      </c>
      <c r="W5" s="36" t="e">
        <f>LOOKUP($C5,#REF!,#REF!)</f>
        <v>#REF!</v>
      </c>
      <c r="X5" s="36" t="e">
        <f>LOOKUP($C5,#REF!,#REF!)</f>
        <v>#REF!</v>
      </c>
      <c r="Y5" s="36" t="e">
        <f>LOOKUP($C5,#REF!,#REF!)</f>
        <v>#REF!</v>
      </c>
    </row>
    <row r="6" spans="1:25" ht="16.5" customHeight="1" x14ac:dyDescent="0.35">
      <c r="A6" s="3" t="s">
        <v>14</v>
      </c>
      <c r="B6" s="4">
        <v>102</v>
      </c>
      <c r="C6" s="5">
        <v>32066</v>
      </c>
      <c r="D6" s="3" t="s">
        <v>111</v>
      </c>
      <c r="E6" s="6">
        <v>10</v>
      </c>
      <c r="F6" s="16">
        <v>4.5</v>
      </c>
      <c r="G6" s="49">
        <v>0</v>
      </c>
      <c r="H6" s="50">
        <f t="shared" si="0"/>
        <v>0</v>
      </c>
      <c r="I6" s="50">
        <f t="shared" si="1"/>
        <v>0</v>
      </c>
      <c r="J6" s="50">
        <f t="shared" si="2"/>
        <v>0</v>
      </c>
      <c r="K6" s="51">
        <f t="shared" si="3"/>
        <v>0</v>
      </c>
      <c r="L6" s="36"/>
      <c r="M6" s="11">
        <v>134364.05999999997</v>
      </c>
      <c r="N6" s="11">
        <v>116838.31304347824</v>
      </c>
      <c r="O6" s="11">
        <v>71250.900000000009</v>
      </c>
      <c r="P6" s="8">
        <v>6419</v>
      </c>
      <c r="Q6" s="11">
        <v>45587.413043478227</v>
      </c>
      <c r="R6" s="11">
        <v>20.932241782209061</v>
      </c>
      <c r="S6" s="11">
        <v>18.201949375833966</v>
      </c>
      <c r="T6" s="11">
        <v>11.100000000000001</v>
      </c>
      <c r="U6" s="14">
        <v>39.017520756666606</v>
      </c>
      <c r="V6" s="36" t="e">
        <f>LOOKUP($C6,#REF!,#REF!)</f>
        <v>#REF!</v>
      </c>
      <c r="W6" s="36" t="e">
        <f>LOOKUP($C6,#REF!,#REF!)</f>
        <v>#REF!</v>
      </c>
      <c r="X6" s="36" t="e">
        <f>LOOKUP($C6,#REF!,#REF!)</f>
        <v>#REF!</v>
      </c>
      <c r="Y6" s="36" t="e">
        <f>LOOKUP($C6,#REF!,#REF!)</f>
        <v>#REF!</v>
      </c>
    </row>
    <row r="7" spans="1:25" ht="16.5" customHeight="1" x14ac:dyDescent="0.35">
      <c r="A7" s="3" t="s">
        <v>14</v>
      </c>
      <c r="B7" s="4">
        <v>101</v>
      </c>
      <c r="C7" s="5">
        <v>32067</v>
      </c>
      <c r="D7" s="3" t="s">
        <v>28</v>
      </c>
      <c r="E7" s="6">
        <v>34.99</v>
      </c>
      <c r="F7" s="16">
        <v>15.91</v>
      </c>
      <c r="G7" s="49">
        <v>8</v>
      </c>
      <c r="H7" s="50">
        <f t="shared" si="0"/>
        <v>279.92</v>
      </c>
      <c r="I7" s="50">
        <f t="shared" si="1"/>
        <v>127.28</v>
      </c>
      <c r="J7" s="50">
        <f t="shared" si="2"/>
        <v>152.64000000000001</v>
      </c>
      <c r="K7" s="51">
        <f t="shared" si="3"/>
        <v>54.529865675907409</v>
      </c>
      <c r="L7" s="36"/>
      <c r="M7" s="11">
        <v>106203.17000000001</v>
      </c>
      <c r="N7" s="11">
        <v>106203.17000000001</v>
      </c>
      <c r="O7" s="11">
        <v>62059.759999999987</v>
      </c>
      <c r="P7" s="8">
        <v>9844</v>
      </c>
      <c r="Q7" s="11">
        <v>44143.41000000004</v>
      </c>
      <c r="R7" s="11">
        <v>10.788619463632671</v>
      </c>
      <c r="S7" s="11">
        <v>10.788619463632671</v>
      </c>
      <c r="T7" s="11">
        <v>6.3043234457537576</v>
      </c>
      <c r="U7" s="14">
        <v>41.565058745421659</v>
      </c>
      <c r="V7" s="36" t="e">
        <f>LOOKUP($C7,#REF!,#REF!)</f>
        <v>#REF!</v>
      </c>
      <c r="W7" s="36" t="e">
        <f>LOOKUP($C7,#REF!,#REF!)</f>
        <v>#REF!</v>
      </c>
      <c r="X7" s="36" t="e">
        <f>LOOKUP($C7,#REF!,#REF!)</f>
        <v>#REF!</v>
      </c>
      <c r="Y7" s="36" t="e">
        <f>LOOKUP($C7,#REF!,#REF!)</f>
        <v>#REF!</v>
      </c>
    </row>
    <row r="8" spans="1:25" ht="16.5" customHeight="1" x14ac:dyDescent="0.35">
      <c r="A8" s="3" t="s">
        <v>14</v>
      </c>
      <c r="B8" s="4">
        <v>102</v>
      </c>
      <c r="C8" s="5">
        <v>32124</v>
      </c>
      <c r="D8" s="3" t="s">
        <v>171</v>
      </c>
      <c r="E8" s="6">
        <v>47.99</v>
      </c>
      <c r="F8" s="16">
        <v>10.44</v>
      </c>
      <c r="G8" s="49">
        <v>0</v>
      </c>
      <c r="H8" s="50">
        <f t="shared" si="0"/>
        <v>0</v>
      </c>
      <c r="I8" s="50">
        <f t="shared" si="1"/>
        <v>0</v>
      </c>
      <c r="J8" s="50">
        <f t="shared" si="2"/>
        <v>0</v>
      </c>
      <c r="K8" s="51">
        <f t="shared" si="3"/>
        <v>0</v>
      </c>
      <c r="L8" s="36"/>
      <c r="M8" s="11">
        <v>119705.7</v>
      </c>
      <c r="N8" s="11">
        <v>104091.91304347827</v>
      </c>
      <c r="O8" s="11">
        <v>0</v>
      </c>
      <c r="P8" s="8">
        <v>7213</v>
      </c>
      <c r="Q8" s="11">
        <v>104091.91304347826</v>
      </c>
      <c r="R8" s="11">
        <v>16.595826979065574</v>
      </c>
      <c r="S8" s="11">
        <v>14.431153894839634</v>
      </c>
      <c r="T8" s="11">
        <v>0</v>
      </c>
      <c r="U8" s="14">
        <v>100</v>
      </c>
      <c r="V8" s="36" t="e">
        <f>LOOKUP($C8,#REF!,#REF!)</f>
        <v>#REF!</v>
      </c>
      <c r="W8" s="36" t="e">
        <f>LOOKUP($C8,#REF!,#REF!)</f>
        <v>#REF!</v>
      </c>
      <c r="X8" s="36" t="e">
        <f>LOOKUP($C8,#REF!,#REF!)</f>
        <v>#REF!</v>
      </c>
      <c r="Y8" s="36" t="e">
        <f>LOOKUP($C8,#REF!,#REF!)</f>
        <v>#REF!</v>
      </c>
    </row>
    <row r="9" spans="1:25" ht="16.5" customHeight="1" x14ac:dyDescent="0.35">
      <c r="A9" s="3" t="s">
        <v>14</v>
      </c>
      <c r="B9" s="4">
        <v>102</v>
      </c>
      <c r="C9" s="5">
        <v>32125</v>
      </c>
      <c r="D9" s="3" t="s">
        <v>159</v>
      </c>
      <c r="E9" s="6">
        <v>3</v>
      </c>
      <c r="F9" s="16">
        <v>1.29</v>
      </c>
      <c r="G9" s="49">
        <v>0</v>
      </c>
      <c r="H9" s="50">
        <f t="shared" si="0"/>
        <v>0</v>
      </c>
      <c r="I9" s="50">
        <f t="shared" si="1"/>
        <v>0</v>
      </c>
      <c r="J9" s="50">
        <f t="shared" si="2"/>
        <v>0</v>
      </c>
      <c r="K9" s="51">
        <f t="shared" si="3"/>
        <v>0</v>
      </c>
      <c r="L9" s="36"/>
      <c r="M9" s="11">
        <v>95243.62999999999</v>
      </c>
      <c r="N9" s="11">
        <v>82820.547826086928</v>
      </c>
      <c r="O9" s="11">
        <v>50604.899999999994</v>
      </c>
      <c r="P9" s="8">
        <v>4559</v>
      </c>
      <c r="Q9" s="11">
        <v>32215.647826086948</v>
      </c>
      <c r="R9" s="11">
        <v>20.891342399649044</v>
      </c>
      <c r="S9" s="11">
        <v>18.166384695346991</v>
      </c>
      <c r="T9" s="11">
        <v>11.099999999999998</v>
      </c>
      <c r="U9" s="14">
        <v>38.898134184931834</v>
      </c>
      <c r="V9" s="36" t="e">
        <f>LOOKUP($C9,#REF!,#REF!)</f>
        <v>#REF!</v>
      </c>
      <c r="W9" s="36" t="e">
        <f>LOOKUP($C9,#REF!,#REF!)</f>
        <v>#REF!</v>
      </c>
      <c r="X9" s="36" t="e">
        <f>LOOKUP($C9,#REF!,#REF!)</f>
        <v>#REF!</v>
      </c>
      <c r="Y9" s="36" t="e">
        <f>LOOKUP($C9,#REF!,#REF!)</f>
        <v>#REF!</v>
      </c>
    </row>
    <row r="10" spans="1:25" ht="16.5" customHeight="1" x14ac:dyDescent="0.35">
      <c r="A10" s="3" t="s">
        <v>14</v>
      </c>
      <c r="B10" s="4">
        <v>102</v>
      </c>
      <c r="C10" s="5">
        <v>32127</v>
      </c>
      <c r="D10" s="3" t="s">
        <v>90</v>
      </c>
      <c r="E10" s="6">
        <v>11.99</v>
      </c>
      <c r="F10" s="16">
        <v>6.02</v>
      </c>
      <c r="G10" s="49">
        <v>32</v>
      </c>
      <c r="H10" s="50">
        <f t="shared" si="0"/>
        <v>383.68</v>
      </c>
      <c r="I10" s="50">
        <f t="shared" si="1"/>
        <v>192.64</v>
      </c>
      <c r="J10" s="50">
        <f t="shared" si="2"/>
        <v>191.04000000000002</v>
      </c>
      <c r="K10" s="51">
        <f t="shared" si="3"/>
        <v>49.791492910758976</v>
      </c>
      <c r="L10" s="36"/>
      <c r="M10" s="11">
        <v>95243.62999999999</v>
      </c>
      <c r="N10" s="11">
        <v>82820.547826086928</v>
      </c>
      <c r="O10" s="11">
        <v>50604.899999999994</v>
      </c>
      <c r="P10" s="8">
        <v>4559</v>
      </c>
      <c r="Q10" s="11">
        <v>32215.647826086948</v>
      </c>
      <c r="R10" s="11">
        <v>20.891342399649044</v>
      </c>
      <c r="S10" s="11">
        <v>18.166384695346991</v>
      </c>
      <c r="T10" s="11">
        <v>11.099999999999998</v>
      </c>
      <c r="U10" s="14">
        <v>38.898134184931834</v>
      </c>
      <c r="V10" s="36" t="e">
        <f>LOOKUP($C10,#REF!,#REF!)</f>
        <v>#REF!</v>
      </c>
      <c r="W10" s="36" t="e">
        <f>LOOKUP($C10,#REF!,#REF!)</f>
        <v>#REF!</v>
      </c>
      <c r="X10" s="36" t="e">
        <f>LOOKUP($C10,#REF!,#REF!)</f>
        <v>#REF!</v>
      </c>
      <c r="Y10" s="36" t="e">
        <f>LOOKUP($C10,#REF!,#REF!)</f>
        <v>#REF!</v>
      </c>
    </row>
    <row r="11" spans="1:25" ht="16.5" customHeight="1" x14ac:dyDescent="0.35">
      <c r="A11" s="3" t="s">
        <v>14</v>
      </c>
      <c r="B11" s="4">
        <v>119</v>
      </c>
      <c r="C11" s="5">
        <v>32130</v>
      </c>
      <c r="D11" s="3" t="s">
        <v>270</v>
      </c>
      <c r="E11" s="6">
        <v>140</v>
      </c>
      <c r="F11" s="16">
        <v>92.6</v>
      </c>
      <c r="G11" s="49">
        <v>0</v>
      </c>
      <c r="H11" s="50">
        <f t="shared" si="0"/>
        <v>0</v>
      </c>
      <c r="I11" s="50">
        <f t="shared" si="1"/>
        <v>0</v>
      </c>
      <c r="J11" s="50">
        <f t="shared" si="2"/>
        <v>0</v>
      </c>
      <c r="K11" s="51">
        <f t="shared" si="3"/>
        <v>0</v>
      </c>
      <c r="L11" s="36"/>
      <c r="M11" s="11">
        <v>76247.279999999984</v>
      </c>
      <c r="N11" s="11">
        <v>66301.982608695631</v>
      </c>
      <c r="O11" s="11">
        <v>23023.7</v>
      </c>
      <c r="P11" s="8">
        <v>2122</v>
      </c>
      <c r="Q11" s="11">
        <v>43278.282608695648</v>
      </c>
      <c r="R11" s="11">
        <v>35.931800188501406</v>
      </c>
      <c r="S11" s="11">
        <v>31.245043642175133</v>
      </c>
      <c r="T11" s="11">
        <v>10.85</v>
      </c>
      <c r="U11" s="14">
        <v>65.274492414680239</v>
      </c>
      <c r="V11" s="36" t="e">
        <f>LOOKUP($C11,#REF!,#REF!)</f>
        <v>#REF!</v>
      </c>
      <c r="W11" s="36" t="e">
        <f>LOOKUP($C11,#REF!,#REF!)</f>
        <v>#REF!</v>
      </c>
      <c r="X11" s="36" t="e">
        <f>LOOKUP($C11,#REF!,#REF!)</f>
        <v>#REF!</v>
      </c>
      <c r="Y11" s="36" t="e">
        <f>LOOKUP($C11,#REF!,#REF!)</f>
        <v>#REF!</v>
      </c>
    </row>
    <row r="12" spans="1:25" ht="16.5" customHeight="1" x14ac:dyDescent="0.35">
      <c r="A12" s="3" t="s">
        <v>14</v>
      </c>
      <c r="B12" s="4">
        <v>102</v>
      </c>
      <c r="C12" s="5">
        <v>32131</v>
      </c>
      <c r="D12" s="3" t="s">
        <v>92</v>
      </c>
      <c r="E12" s="6">
        <v>18.989999999999998</v>
      </c>
      <c r="F12" s="16">
        <v>9.1300000000000008</v>
      </c>
      <c r="G12" s="49">
        <v>8</v>
      </c>
      <c r="H12" s="50">
        <f t="shared" si="0"/>
        <v>151.91999999999999</v>
      </c>
      <c r="I12" s="50">
        <f t="shared" si="1"/>
        <v>73.040000000000006</v>
      </c>
      <c r="J12" s="50">
        <f t="shared" si="2"/>
        <v>78.879999999999981</v>
      </c>
      <c r="K12" s="51">
        <f t="shared" si="3"/>
        <v>51.922064244339118</v>
      </c>
      <c r="L12" s="36"/>
      <c r="M12" s="11">
        <v>76174.740000000005</v>
      </c>
      <c r="N12" s="11">
        <v>66238.904347826101</v>
      </c>
      <c r="O12" s="11">
        <v>39192.959999999999</v>
      </c>
      <c r="P12" s="8">
        <v>4768</v>
      </c>
      <c r="Q12" s="11">
        <v>27045.944347826087</v>
      </c>
      <c r="R12" s="11">
        <v>15.976245805369128</v>
      </c>
      <c r="S12" s="11">
        <v>13.892387656842722</v>
      </c>
      <c r="T12" s="11">
        <v>8.2200000000000006</v>
      </c>
      <c r="U12" s="14">
        <v>40.830905363116436</v>
      </c>
      <c r="V12" s="36">
        <f>IFERROR(LOOKUP($C12,#REF!,#REF!),0)</f>
        <v>0</v>
      </c>
      <c r="W12" s="36">
        <f>IFERROR(LOOKUP($C12,#REF!,#REF!),0)</f>
        <v>0</v>
      </c>
      <c r="X12" s="36">
        <f>IFERROR(LOOKUP($C12,#REF!,#REF!),0)</f>
        <v>0</v>
      </c>
      <c r="Y12" s="36">
        <f>IFERROR(LOOKUP($C12,#REF!,#REF!),0)</f>
        <v>0</v>
      </c>
    </row>
    <row r="13" spans="1:25" ht="16.5" customHeight="1" x14ac:dyDescent="0.35">
      <c r="A13" s="3" t="s">
        <v>14</v>
      </c>
      <c r="B13" s="4">
        <v>102</v>
      </c>
      <c r="C13" s="5">
        <v>32149</v>
      </c>
      <c r="D13" s="3" t="s">
        <v>115</v>
      </c>
      <c r="E13" s="6">
        <v>24.99</v>
      </c>
      <c r="F13" s="16">
        <v>13</v>
      </c>
      <c r="G13" s="49">
        <v>0</v>
      </c>
      <c r="H13" s="50">
        <f t="shared" si="0"/>
        <v>0</v>
      </c>
      <c r="I13" s="50">
        <f t="shared" si="1"/>
        <v>0</v>
      </c>
      <c r="J13" s="50">
        <f t="shared" si="2"/>
        <v>0</v>
      </c>
      <c r="K13" s="51">
        <f t="shared" si="3"/>
        <v>0</v>
      </c>
      <c r="L13" s="36"/>
      <c r="M13" s="11">
        <v>74663.489999999991</v>
      </c>
      <c r="N13" s="11">
        <v>64924.773913043493</v>
      </c>
      <c r="O13" s="11">
        <v>37510.619999999995</v>
      </c>
      <c r="P13" s="8">
        <v>6231</v>
      </c>
      <c r="Q13" s="11">
        <v>27414.153913043483</v>
      </c>
      <c r="R13" s="11">
        <v>11.982585459797784</v>
      </c>
      <c r="S13" s="11">
        <v>10.419639530258946</v>
      </c>
      <c r="T13" s="11">
        <v>6.02</v>
      </c>
      <c r="U13" s="14">
        <v>42.224488836511668</v>
      </c>
      <c r="V13" s="36">
        <f>IFERROR(LOOKUP($C13,#REF!,#REF!),0)</f>
        <v>0</v>
      </c>
      <c r="W13" s="36">
        <f>IFERROR(LOOKUP($C13,#REF!,#REF!),0)</f>
        <v>0</v>
      </c>
      <c r="X13" s="36">
        <f>IFERROR(LOOKUP($C13,#REF!,#REF!),0)</f>
        <v>0</v>
      </c>
      <c r="Y13" s="36">
        <f>IFERROR(LOOKUP($C13,#REF!,#REF!),0)</f>
        <v>0</v>
      </c>
    </row>
    <row r="14" spans="1:25" ht="16.5" customHeight="1" x14ac:dyDescent="0.35">
      <c r="A14" s="3" t="s">
        <v>14</v>
      </c>
      <c r="B14" s="4">
        <v>102</v>
      </c>
      <c r="C14" s="5">
        <v>32150</v>
      </c>
      <c r="D14" s="3" t="s">
        <v>125</v>
      </c>
      <c r="E14" s="6">
        <v>8.99</v>
      </c>
      <c r="F14" s="16">
        <v>4.53</v>
      </c>
      <c r="G14" s="49">
        <v>0</v>
      </c>
      <c r="H14" s="50">
        <f t="shared" si="0"/>
        <v>0</v>
      </c>
      <c r="I14" s="50">
        <f t="shared" si="1"/>
        <v>0</v>
      </c>
      <c r="J14" s="50">
        <f t="shared" si="2"/>
        <v>0</v>
      </c>
      <c r="K14" s="51">
        <f t="shared" si="3"/>
        <v>0</v>
      </c>
      <c r="L14" s="36"/>
      <c r="M14" s="11">
        <v>69580.39999999998</v>
      </c>
      <c r="N14" s="11">
        <v>60504.695652173898</v>
      </c>
      <c r="O14" s="11">
        <v>38029.25</v>
      </c>
      <c r="P14" s="8">
        <v>3505</v>
      </c>
      <c r="Q14" s="11">
        <v>22475.44565217389</v>
      </c>
      <c r="R14" s="11">
        <v>19.851754636233945</v>
      </c>
      <c r="S14" s="11">
        <v>17.262395335855604</v>
      </c>
      <c r="T14" s="11">
        <v>10.85</v>
      </c>
      <c r="U14" s="14">
        <v>37.146613845278239</v>
      </c>
      <c r="V14" s="36">
        <f>IFERROR(LOOKUP($C14,#REF!,#REF!),0)</f>
        <v>0</v>
      </c>
      <c r="W14" s="36">
        <f>IFERROR(LOOKUP($C14,#REF!,#REF!),0)</f>
        <v>0</v>
      </c>
      <c r="X14" s="36">
        <f>IFERROR(LOOKUP($C14,#REF!,#REF!),0)</f>
        <v>0</v>
      </c>
      <c r="Y14" s="36">
        <f>IFERROR(LOOKUP($C14,#REF!,#REF!),0)</f>
        <v>0</v>
      </c>
    </row>
    <row r="15" spans="1:25" ht="16.5" customHeight="1" x14ac:dyDescent="0.35">
      <c r="A15" s="3" t="s">
        <v>14</v>
      </c>
      <c r="B15" s="4">
        <v>102</v>
      </c>
      <c r="C15" s="5">
        <v>32151</v>
      </c>
      <c r="D15" s="3" t="s">
        <v>161</v>
      </c>
      <c r="E15" s="6">
        <v>12.99</v>
      </c>
      <c r="F15" s="16">
        <v>6.88</v>
      </c>
      <c r="G15" s="49">
        <v>0</v>
      </c>
      <c r="H15" s="50">
        <f t="shared" si="0"/>
        <v>0</v>
      </c>
      <c r="I15" s="50">
        <f t="shared" si="1"/>
        <v>0</v>
      </c>
      <c r="J15" s="50">
        <f t="shared" si="2"/>
        <v>0</v>
      </c>
      <c r="K15" s="51">
        <f t="shared" si="3"/>
        <v>0</v>
      </c>
      <c r="L15" s="36"/>
      <c r="M15" s="11">
        <v>69066</v>
      </c>
      <c r="N15" s="11">
        <v>60057.391304347824</v>
      </c>
      <c r="O15" s="11">
        <v>35830.349999999991</v>
      </c>
      <c r="P15" s="8">
        <v>3645</v>
      </c>
      <c r="Q15" s="11">
        <v>24227.041304347833</v>
      </c>
      <c r="R15" s="11">
        <v>18.94814814814815</v>
      </c>
      <c r="S15" s="11">
        <v>16.476650563607084</v>
      </c>
      <c r="T15" s="11">
        <v>9.8299999999999983</v>
      </c>
      <c r="U15" s="14">
        <v>40.339816262705256</v>
      </c>
      <c r="V15" s="36">
        <f>IFERROR(LOOKUP($C15,#REF!,#REF!),0)</f>
        <v>0</v>
      </c>
      <c r="W15" s="36">
        <f>IFERROR(LOOKUP($C15,#REF!,#REF!),0)</f>
        <v>0</v>
      </c>
      <c r="X15" s="36">
        <f>IFERROR(LOOKUP($C15,#REF!,#REF!),0)</f>
        <v>0</v>
      </c>
      <c r="Y15" s="36">
        <f>IFERROR(LOOKUP($C15,#REF!,#REF!),0)</f>
        <v>0</v>
      </c>
    </row>
    <row r="16" spans="1:25" ht="16.5" customHeight="1" x14ac:dyDescent="0.35">
      <c r="A16" s="3" t="s">
        <v>14</v>
      </c>
      <c r="B16" s="4">
        <v>102</v>
      </c>
      <c r="C16" s="5">
        <v>32152</v>
      </c>
      <c r="D16" s="3" t="s">
        <v>97</v>
      </c>
      <c r="E16" s="6">
        <v>12.99</v>
      </c>
      <c r="F16" s="16">
        <v>6.77</v>
      </c>
      <c r="G16" s="49">
        <v>6</v>
      </c>
      <c r="H16" s="50">
        <f t="shared" si="0"/>
        <v>77.94</v>
      </c>
      <c r="I16" s="50">
        <f t="shared" si="1"/>
        <v>40.619999999999997</v>
      </c>
      <c r="J16" s="50">
        <f t="shared" si="2"/>
        <v>37.32</v>
      </c>
      <c r="K16" s="51">
        <f t="shared" si="3"/>
        <v>47.882986913010015</v>
      </c>
      <c r="L16" s="36"/>
      <c r="M16" s="11">
        <v>67677.219999999987</v>
      </c>
      <c r="N16" s="11">
        <v>58849.756521739117</v>
      </c>
      <c r="O16" s="11">
        <v>35148.200000000004</v>
      </c>
      <c r="P16" s="8">
        <v>2623</v>
      </c>
      <c r="Q16" s="11">
        <v>23701.556521739112</v>
      </c>
      <c r="R16" s="11">
        <v>25.801456347693474</v>
      </c>
      <c r="S16" s="11">
        <v>22.436048997994327</v>
      </c>
      <c r="T16" s="11">
        <v>13.400000000000002</v>
      </c>
      <c r="U16" s="14">
        <v>40.274689179017678</v>
      </c>
      <c r="V16" s="36">
        <f>IFERROR(LOOKUP($C16,#REF!,#REF!),0)</f>
        <v>0</v>
      </c>
      <c r="W16" s="36">
        <f>IFERROR(LOOKUP($C16,#REF!,#REF!),0)</f>
        <v>0</v>
      </c>
      <c r="X16" s="36">
        <f>IFERROR(LOOKUP($C16,#REF!,#REF!),0)</f>
        <v>0</v>
      </c>
      <c r="Y16" s="36">
        <f>IFERROR(LOOKUP($C16,#REF!,#REF!),0)</f>
        <v>0</v>
      </c>
    </row>
    <row r="17" spans="1:25" ht="16.5" customHeight="1" x14ac:dyDescent="0.35">
      <c r="A17" s="3" t="s">
        <v>14</v>
      </c>
      <c r="B17" s="4">
        <v>102</v>
      </c>
      <c r="C17" s="5">
        <v>32153</v>
      </c>
      <c r="D17" s="3" t="s">
        <v>99</v>
      </c>
      <c r="E17" s="6">
        <v>8.99</v>
      </c>
      <c r="F17" s="16">
        <v>4.5599999999999996</v>
      </c>
      <c r="G17" s="49">
        <v>0</v>
      </c>
      <c r="H17" s="50">
        <f t="shared" si="0"/>
        <v>0</v>
      </c>
      <c r="I17" s="50">
        <f t="shared" si="1"/>
        <v>0</v>
      </c>
      <c r="J17" s="50">
        <f t="shared" si="2"/>
        <v>0</v>
      </c>
      <c r="K17" s="51">
        <f t="shared" si="3"/>
        <v>0</v>
      </c>
      <c r="L17" s="36"/>
      <c r="M17" s="11">
        <v>66517.169999999984</v>
      </c>
      <c r="N17" s="11">
        <v>57841.017391304347</v>
      </c>
      <c r="O17" s="11">
        <v>29799</v>
      </c>
      <c r="P17" s="8">
        <v>1806</v>
      </c>
      <c r="Q17" s="11">
        <v>28042.017391304333</v>
      </c>
      <c r="R17" s="11">
        <v>36.831212624584708</v>
      </c>
      <c r="S17" s="11">
        <v>32.027141412682361</v>
      </c>
      <c r="T17" s="11">
        <v>16.5</v>
      </c>
      <c r="U17" s="14">
        <v>48.481196659448969</v>
      </c>
      <c r="V17" s="36">
        <f>IFERROR(LOOKUP($C17,#REF!,#REF!),0)</f>
        <v>0</v>
      </c>
      <c r="W17" s="36">
        <f>IFERROR(LOOKUP($C17,#REF!,#REF!),0)</f>
        <v>0</v>
      </c>
      <c r="X17" s="36">
        <f>IFERROR(LOOKUP($C17,#REF!,#REF!),0)</f>
        <v>0</v>
      </c>
      <c r="Y17" s="36">
        <f>IFERROR(LOOKUP($C17,#REF!,#REF!),0)</f>
        <v>0</v>
      </c>
    </row>
    <row r="18" spans="1:25" ht="16.5" customHeight="1" x14ac:dyDescent="0.35">
      <c r="A18" s="3" t="s">
        <v>14</v>
      </c>
      <c r="B18" s="4">
        <v>102</v>
      </c>
      <c r="C18" s="5">
        <v>32155</v>
      </c>
      <c r="D18" s="3" t="s">
        <v>168</v>
      </c>
      <c r="E18" s="6">
        <v>11.99</v>
      </c>
      <c r="F18" s="16">
        <v>5.87</v>
      </c>
      <c r="G18" s="49">
        <v>0</v>
      </c>
      <c r="H18" s="50">
        <f t="shared" si="0"/>
        <v>0</v>
      </c>
      <c r="I18" s="50">
        <f t="shared" si="1"/>
        <v>0</v>
      </c>
      <c r="J18" s="50">
        <f t="shared" si="2"/>
        <v>0</v>
      </c>
      <c r="K18" s="51">
        <f t="shared" si="3"/>
        <v>0</v>
      </c>
      <c r="L18" s="36"/>
      <c r="M18" s="11">
        <v>65610.25</v>
      </c>
      <c r="N18" s="11">
        <v>57052.391304347824</v>
      </c>
      <c r="O18" s="11">
        <v>44130.241300000009</v>
      </c>
      <c r="P18" s="8">
        <v>13217</v>
      </c>
      <c r="Q18" s="11">
        <v>12922.150004347815</v>
      </c>
      <c r="R18" s="11">
        <v>4.9640803510630249</v>
      </c>
      <c r="S18" s="11">
        <v>4.3165916096200219</v>
      </c>
      <c r="T18" s="11">
        <v>3.3389000000000006</v>
      </c>
      <c r="U18" s="14">
        <v>22.649620303230041</v>
      </c>
      <c r="V18" s="36">
        <f>IFERROR(LOOKUP($C18,#REF!,#REF!),0)</f>
        <v>0</v>
      </c>
      <c r="W18" s="36">
        <f>IFERROR(LOOKUP($C18,#REF!,#REF!),0)</f>
        <v>0</v>
      </c>
      <c r="X18" s="36">
        <f>IFERROR(LOOKUP($C18,#REF!,#REF!),0)</f>
        <v>0</v>
      </c>
      <c r="Y18" s="36">
        <f>IFERROR(LOOKUP($C18,#REF!,#REF!),0)</f>
        <v>0</v>
      </c>
    </row>
    <row r="19" spans="1:25" ht="16.5" customHeight="1" x14ac:dyDescent="0.35">
      <c r="A19" s="3" t="s">
        <v>14</v>
      </c>
      <c r="B19" s="4">
        <v>102</v>
      </c>
      <c r="C19" s="5">
        <v>32855</v>
      </c>
      <c r="D19" s="3" t="s">
        <v>107</v>
      </c>
      <c r="E19" s="6">
        <v>17.989999999999998</v>
      </c>
      <c r="F19" s="16">
        <v>9.14</v>
      </c>
      <c r="G19" s="49">
        <v>6</v>
      </c>
      <c r="H19" s="50">
        <f t="shared" si="0"/>
        <v>107.94</v>
      </c>
      <c r="I19" s="50">
        <f t="shared" si="1"/>
        <v>54.84</v>
      </c>
      <c r="J19" s="50">
        <f t="shared" si="2"/>
        <v>53.099999999999994</v>
      </c>
      <c r="K19" s="51">
        <f t="shared" si="3"/>
        <v>49.193996664813781</v>
      </c>
      <c r="L19" s="36"/>
      <c r="M19" s="11">
        <v>62399.23000000001</v>
      </c>
      <c r="N19" s="11">
        <v>54260.200000000004</v>
      </c>
      <c r="O19" s="11">
        <v>30028.57</v>
      </c>
      <c r="P19" s="8">
        <v>3289</v>
      </c>
      <c r="Q19" s="11">
        <v>24231.630000000012</v>
      </c>
      <c r="R19" s="11">
        <v>18.972097902097904</v>
      </c>
      <c r="S19" s="11">
        <v>16.497476436606874</v>
      </c>
      <c r="T19" s="11">
        <v>9.1300000000000008</v>
      </c>
      <c r="U19" s="14">
        <v>44.658202513075892</v>
      </c>
      <c r="V19" s="36">
        <f>IFERROR(LOOKUP($C19,#REF!,#REF!),0)</f>
        <v>0</v>
      </c>
      <c r="W19" s="36">
        <f>IFERROR(LOOKUP($C19,#REF!,#REF!),0)</f>
        <v>0</v>
      </c>
      <c r="X19" s="36">
        <f>IFERROR(LOOKUP($C19,#REF!,#REF!),0)</f>
        <v>0</v>
      </c>
      <c r="Y19" s="36">
        <f>IFERROR(LOOKUP($C19,#REF!,#REF!),0)</f>
        <v>0</v>
      </c>
    </row>
    <row r="20" spans="1:25" ht="16.5" customHeight="1" x14ac:dyDescent="0.35">
      <c r="A20" s="3" t="s">
        <v>14</v>
      </c>
      <c r="B20" s="4">
        <v>102</v>
      </c>
      <c r="C20" s="5">
        <v>32857</v>
      </c>
      <c r="D20" s="3" t="s">
        <v>124</v>
      </c>
      <c r="E20" s="6">
        <v>130</v>
      </c>
      <c r="F20" s="16">
        <v>68.680000000000007</v>
      </c>
      <c r="G20" s="49">
        <v>0</v>
      </c>
      <c r="H20" s="50">
        <f t="shared" si="0"/>
        <v>0</v>
      </c>
      <c r="I20" s="50">
        <f t="shared" si="1"/>
        <v>0</v>
      </c>
      <c r="J20" s="50">
        <f t="shared" si="2"/>
        <v>0</v>
      </c>
      <c r="K20" s="51">
        <f t="shared" si="3"/>
        <v>0</v>
      </c>
      <c r="L20" s="36"/>
      <c r="M20" s="11">
        <v>58982.93</v>
      </c>
      <c r="N20" s="11">
        <v>51289.504347826078</v>
      </c>
      <c r="O20" s="11">
        <v>30147.600000000002</v>
      </c>
      <c r="P20" s="8">
        <v>3108</v>
      </c>
      <c r="Q20" s="11">
        <v>21141.904347826083</v>
      </c>
      <c r="R20" s="11">
        <v>18.977776705276707</v>
      </c>
      <c r="S20" s="11">
        <v>16.502414526327566</v>
      </c>
      <c r="T20" s="11">
        <v>9.7000000000000011</v>
      </c>
      <c r="U20" s="14">
        <v>41.220722673492141</v>
      </c>
      <c r="V20" s="36">
        <f>IFERROR(LOOKUP($C20,#REF!,#REF!),0)</f>
        <v>0</v>
      </c>
      <c r="W20" s="36">
        <f>IFERROR(LOOKUP($C20,#REF!,#REF!),0)</f>
        <v>0</v>
      </c>
      <c r="X20" s="36">
        <f>IFERROR(LOOKUP($C20,#REF!,#REF!),0)</f>
        <v>0</v>
      </c>
      <c r="Y20" s="36">
        <f>IFERROR(LOOKUP($C20,#REF!,#REF!),0)</f>
        <v>0</v>
      </c>
    </row>
    <row r="21" spans="1:25" ht="16.5" customHeight="1" x14ac:dyDescent="0.35">
      <c r="A21" s="3" t="s">
        <v>14</v>
      </c>
      <c r="B21" s="4">
        <v>101</v>
      </c>
      <c r="C21" s="5">
        <v>32859</v>
      </c>
      <c r="D21" s="3" t="s">
        <v>20</v>
      </c>
      <c r="E21" s="6">
        <v>20.99</v>
      </c>
      <c r="F21" s="16">
        <v>7.46</v>
      </c>
      <c r="G21" s="49">
        <v>0</v>
      </c>
      <c r="H21" s="50">
        <f t="shared" si="0"/>
        <v>0</v>
      </c>
      <c r="I21" s="50">
        <f t="shared" si="1"/>
        <v>0</v>
      </c>
      <c r="J21" s="50">
        <f t="shared" si="2"/>
        <v>0</v>
      </c>
      <c r="K21" s="51">
        <f t="shared" si="3"/>
        <v>0</v>
      </c>
      <c r="L21" s="36"/>
      <c r="M21" s="11">
        <v>54060.76</v>
      </c>
      <c r="N21" s="11">
        <v>47009.35652173913</v>
      </c>
      <c r="O21" s="11">
        <v>30950.5</v>
      </c>
      <c r="P21" s="8">
        <v>16730</v>
      </c>
      <c r="Q21" s="11">
        <v>16058.85652173913</v>
      </c>
      <c r="R21" s="11">
        <v>3.2313664076509268</v>
      </c>
      <c r="S21" s="11">
        <v>2.8098838327399358</v>
      </c>
      <c r="T21" s="11">
        <v>1.85</v>
      </c>
      <c r="U21" s="14">
        <v>34.160979238915615</v>
      </c>
      <c r="V21" s="36">
        <f>IFERROR(LOOKUP($C21,#REF!,#REF!),0)</f>
        <v>0</v>
      </c>
      <c r="W21" s="36">
        <f>IFERROR(LOOKUP($C21,#REF!,#REF!),0)</f>
        <v>0</v>
      </c>
      <c r="X21" s="36">
        <f>IFERROR(LOOKUP($C21,#REF!,#REF!),0)</f>
        <v>0</v>
      </c>
      <c r="Y21" s="36">
        <f>IFERROR(LOOKUP($C21,#REF!,#REF!),0)</f>
        <v>0</v>
      </c>
    </row>
    <row r="22" spans="1:25" ht="16.5" customHeight="1" x14ac:dyDescent="0.35">
      <c r="A22" s="3" t="s">
        <v>14</v>
      </c>
      <c r="B22" s="4">
        <v>101</v>
      </c>
      <c r="C22" s="5">
        <v>32860</v>
      </c>
      <c r="D22" s="3" t="s">
        <v>16</v>
      </c>
      <c r="E22" s="6">
        <v>18</v>
      </c>
      <c r="F22" s="16">
        <v>8.44</v>
      </c>
      <c r="G22" s="49">
        <v>0</v>
      </c>
      <c r="H22" s="50">
        <f t="shared" si="0"/>
        <v>0</v>
      </c>
      <c r="I22" s="50">
        <f t="shared" si="1"/>
        <v>0</v>
      </c>
      <c r="J22" s="50">
        <f t="shared" si="2"/>
        <v>0</v>
      </c>
      <c r="K22" s="51">
        <f t="shared" si="3"/>
        <v>0</v>
      </c>
      <c r="L22" s="36"/>
      <c r="M22" s="11">
        <v>51833.519999999982</v>
      </c>
      <c r="N22" s="11">
        <v>45072.626086956501</v>
      </c>
      <c r="O22" s="11">
        <v>35461.360000000001</v>
      </c>
      <c r="P22" s="8">
        <v>649</v>
      </c>
      <c r="Q22" s="11">
        <v>9611.2660869565007</v>
      </c>
      <c r="R22" s="11">
        <v>79.866748844375934</v>
      </c>
      <c r="S22" s="11">
        <v>69.449346821196457</v>
      </c>
      <c r="T22" s="11">
        <v>54.64</v>
      </c>
      <c r="U22" s="14">
        <v>21.32395407450619</v>
      </c>
      <c r="V22" s="36">
        <f>IFERROR(LOOKUP($C22,#REF!,#REF!),0)</f>
        <v>0</v>
      </c>
      <c r="W22" s="36">
        <f>IFERROR(LOOKUP($C22,#REF!,#REF!),0)</f>
        <v>0</v>
      </c>
      <c r="X22" s="36">
        <f>IFERROR(LOOKUP($C22,#REF!,#REF!),0)</f>
        <v>0</v>
      </c>
      <c r="Y22" s="36">
        <f>IFERROR(LOOKUP($C22,#REF!,#REF!),0)</f>
        <v>0</v>
      </c>
    </row>
    <row r="23" spans="1:25" ht="16.5" customHeight="1" x14ac:dyDescent="0.35">
      <c r="A23" s="3" t="s">
        <v>14</v>
      </c>
      <c r="B23" s="4">
        <v>101</v>
      </c>
      <c r="C23" s="5">
        <v>32862</v>
      </c>
      <c r="D23" s="3" t="s">
        <v>66</v>
      </c>
      <c r="E23" s="6">
        <v>9.99</v>
      </c>
      <c r="F23" s="16">
        <v>5.14</v>
      </c>
      <c r="G23" s="49">
        <v>0</v>
      </c>
      <c r="H23" s="50">
        <f t="shared" si="0"/>
        <v>0</v>
      </c>
      <c r="I23" s="50">
        <f t="shared" si="1"/>
        <v>0</v>
      </c>
      <c r="J23" s="50">
        <f t="shared" si="2"/>
        <v>0</v>
      </c>
      <c r="K23" s="51">
        <f t="shared" si="3"/>
        <v>0</v>
      </c>
      <c r="L23" s="36"/>
      <c r="M23" s="11">
        <v>43273.899999999994</v>
      </c>
      <c r="N23" s="11">
        <v>37629.47826086956</v>
      </c>
      <c r="O23" s="11">
        <v>22899.3</v>
      </c>
      <c r="P23" s="8">
        <v>3360</v>
      </c>
      <c r="Q23" s="11">
        <v>14730.178260869561</v>
      </c>
      <c r="R23" s="11">
        <v>12.879136904761904</v>
      </c>
      <c r="S23" s="11">
        <v>11.199249482401655</v>
      </c>
      <c r="T23" s="11">
        <v>6.8152678571428567</v>
      </c>
      <c r="U23" s="14">
        <v>39.145316229875277</v>
      </c>
      <c r="V23" s="36">
        <f>IFERROR(LOOKUP($C23,#REF!,#REF!),0)</f>
        <v>0</v>
      </c>
      <c r="W23" s="36">
        <f>IFERROR(LOOKUP($C23,#REF!,#REF!),0)</f>
        <v>0</v>
      </c>
      <c r="X23" s="36">
        <f>IFERROR(LOOKUP($C23,#REF!,#REF!),0)</f>
        <v>0</v>
      </c>
      <c r="Y23" s="36">
        <f>IFERROR(LOOKUP($C23,#REF!,#REF!),0)</f>
        <v>0</v>
      </c>
    </row>
    <row r="24" spans="1:25" ht="16.5" customHeight="1" x14ac:dyDescent="0.35">
      <c r="A24" s="3" t="s">
        <v>14</v>
      </c>
      <c r="B24" s="4">
        <v>102</v>
      </c>
      <c r="C24" s="5">
        <v>32868</v>
      </c>
      <c r="D24" s="3" t="s">
        <v>172</v>
      </c>
      <c r="E24" s="6">
        <v>5.99</v>
      </c>
      <c r="F24" s="16">
        <v>3.31</v>
      </c>
      <c r="G24" s="49">
        <v>0</v>
      </c>
      <c r="H24" s="50">
        <f t="shared" si="0"/>
        <v>0</v>
      </c>
      <c r="I24" s="50">
        <f t="shared" si="1"/>
        <v>0</v>
      </c>
      <c r="J24" s="50">
        <f t="shared" si="2"/>
        <v>0</v>
      </c>
      <c r="K24" s="51">
        <f t="shared" si="3"/>
        <v>0</v>
      </c>
      <c r="L24" s="36"/>
      <c r="M24" s="11">
        <v>43047.56</v>
      </c>
      <c r="N24" s="11">
        <v>37432.66086956521</v>
      </c>
      <c r="O24" s="11">
        <v>10656.719999999998</v>
      </c>
      <c r="P24" s="8">
        <v>1444</v>
      </c>
      <c r="Q24" s="11">
        <v>26775.94086956522</v>
      </c>
      <c r="R24" s="11">
        <v>29.811329639889195</v>
      </c>
      <c r="S24" s="11">
        <v>25.922895339034078</v>
      </c>
      <c r="T24" s="11">
        <v>7.3799999999999981</v>
      </c>
      <c r="U24" s="14">
        <v>71.530957852198824</v>
      </c>
      <c r="V24" s="36">
        <f>IFERROR(LOOKUP($C24,#REF!,#REF!),0)</f>
        <v>0</v>
      </c>
      <c r="W24" s="36">
        <f>IFERROR(LOOKUP($C24,#REF!,#REF!),0)</f>
        <v>0</v>
      </c>
      <c r="X24" s="36">
        <f>IFERROR(LOOKUP($C24,#REF!,#REF!),0)</f>
        <v>0</v>
      </c>
      <c r="Y24" s="36">
        <f>IFERROR(LOOKUP($C24,#REF!,#REF!),0)</f>
        <v>0</v>
      </c>
    </row>
    <row r="25" spans="1:25" ht="16.5" customHeight="1" x14ac:dyDescent="0.35">
      <c r="A25" s="3" t="s">
        <v>14</v>
      </c>
      <c r="B25" s="4">
        <v>102</v>
      </c>
      <c r="C25" s="5">
        <v>32869</v>
      </c>
      <c r="D25" s="3" t="s">
        <v>136</v>
      </c>
      <c r="E25" s="6">
        <v>3.5</v>
      </c>
      <c r="F25" s="16">
        <v>2.12</v>
      </c>
      <c r="G25" s="49">
        <v>0</v>
      </c>
      <c r="H25" s="50">
        <f t="shared" si="0"/>
        <v>0</v>
      </c>
      <c r="I25" s="50">
        <f t="shared" si="1"/>
        <v>0</v>
      </c>
      <c r="J25" s="50">
        <f t="shared" si="2"/>
        <v>0</v>
      </c>
      <c r="K25" s="51">
        <f t="shared" si="3"/>
        <v>0</v>
      </c>
      <c r="L25" s="36"/>
      <c r="M25" s="11">
        <v>37227.340000000011</v>
      </c>
      <c r="N25" s="11">
        <v>32371.599999999995</v>
      </c>
      <c r="O25" s="11">
        <v>13136.640000000001</v>
      </c>
      <c r="P25" s="8">
        <v>1866</v>
      </c>
      <c r="Q25" s="11">
        <v>19234.960000000014</v>
      </c>
      <c r="R25" s="11">
        <v>19.95034297963559</v>
      </c>
      <c r="S25" s="11">
        <v>17.348124330117898</v>
      </c>
      <c r="T25" s="11">
        <v>7.0400000000000009</v>
      </c>
      <c r="U25" s="14">
        <v>59.419244028716548</v>
      </c>
      <c r="V25" s="36">
        <f>IFERROR(LOOKUP($C25,#REF!,#REF!),0)</f>
        <v>0</v>
      </c>
      <c r="W25" s="36">
        <f>IFERROR(LOOKUP($C25,#REF!,#REF!),0)</f>
        <v>0</v>
      </c>
      <c r="X25" s="36">
        <f>IFERROR(LOOKUP($C25,#REF!,#REF!),0)</f>
        <v>0</v>
      </c>
      <c r="Y25" s="36">
        <f>IFERROR(LOOKUP($C25,#REF!,#REF!),0)</f>
        <v>0</v>
      </c>
    </row>
    <row r="26" spans="1:25" ht="16.5" customHeight="1" x14ac:dyDescent="0.35">
      <c r="A26" s="3" t="s">
        <v>14</v>
      </c>
      <c r="B26" s="4">
        <v>101</v>
      </c>
      <c r="C26" s="5">
        <v>32871</v>
      </c>
      <c r="D26" s="3" t="s">
        <v>71</v>
      </c>
      <c r="E26" s="6">
        <v>8.99</v>
      </c>
      <c r="F26" s="16">
        <v>5</v>
      </c>
      <c r="G26" s="49">
        <v>0</v>
      </c>
      <c r="H26" s="50">
        <f t="shared" si="0"/>
        <v>0</v>
      </c>
      <c r="I26" s="50">
        <f t="shared" si="1"/>
        <v>0</v>
      </c>
      <c r="J26" s="50">
        <f t="shared" si="2"/>
        <v>0</v>
      </c>
      <c r="K26" s="51">
        <f t="shared" si="3"/>
        <v>0</v>
      </c>
      <c r="L26" s="36"/>
      <c r="M26" s="11">
        <v>35786.65</v>
      </c>
      <c r="N26" s="11">
        <v>31118.82608695652</v>
      </c>
      <c r="O26" s="11">
        <v>20735</v>
      </c>
      <c r="P26" s="8">
        <v>1885</v>
      </c>
      <c r="Q26" s="11">
        <v>10383.826086956524</v>
      </c>
      <c r="R26" s="11">
        <v>18.984960212201592</v>
      </c>
      <c r="S26" s="11">
        <v>16.508661054088339</v>
      </c>
      <c r="T26" s="11">
        <v>11</v>
      </c>
      <c r="U26" s="14">
        <v>33.368309132036671</v>
      </c>
      <c r="V26" s="36">
        <f>IFERROR(LOOKUP($C26,#REF!,#REF!),0)</f>
        <v>0</v>
      </c>
      <c r="W26" s="36">
        <f>IFERROR(LOOKUP($C26,#REF!,#REF!),0)</f>
        <v>0</v>
      </c>
      <c r="X26" s="36">
        <f>IFERROR(LOOKUP($C26,#REF!,#REF!),0)</f>
        <v>0</v>
      </c>
      <c r="Y26" s="36">
        <f>IFERROR(LOOKUP($C26,#REF!,#REF!),0)</f>
        <v>0</v>
      </c>
    </row>
    <row r="27" spans="1:25" ht="16.5" customHeight="1" x14ac:dyDescent="0.35">
      <c r="A27" s="3" t="s">
        <v>14</v>
      </c>
      <c r="B27" s="4">
        <v>102</v>
      </c>
      <c r="C27" s="5">
        <v>32872</v>
      </c>
      <c r="D27" s="3" t="s">
        <v>95</v>
      </c>
      <c r="E27" s="6">
        <v>29.99</v>
      </c>
      <c r="F27" s="16">
        <v>11.79</v>
      </c>
      <c r="G27" s="49">
        <v>8</v>
      </c>
      <c r="H27" s="50">
        <f t="shared" si="0"/>
        <v>239.92</v>
      </c>
      <c r="I27" s="50">
        <f t="shared" si="1"/>
        <v>94.32</v>
      </c>
      <c r="J27" s="50">
        <f t="shared" si="2"/>
        <v>145.6</v>
      </c>
      <c r="K27" s="51">
        <f t="shared" si="3"/>
        <v>60.686895631877292</v>
      </c>
      <c r="L27" s="36"/>
      <c r="M27" s="11">
        <v>35280</v>
      </c>
      <c r="N27" s="11">
        <v>30678.260869565216</v>
      </c>
      <c r="O27" s="11">
        <v>19576.2</v>
      </c>
      <c r="P27" s="8">
        <v>590</v>
      </c>
      <c r="Q27" s="11">
        <v>11102.060869565219</v>
      </c>
      <c r="R27" s="11">
        <v>59.796610169491522</v>
      </c>
      <c r="S27" s="11">
        <v>51.997052321296977</v>
      </c>
      <c r="T27" s="11">
        <v>33.18</v>
      </c>
      <c r="U27" s="14">
        <v>36.18869047619048</v>
      </c>
      <c r="V27" s="36">
        <f>IFERROR(LOOKUP($C27,#REF!,#REF!),0)</f>
        <v>0</v>
      </c>
      <c r="W27" s="36">
        <f>IFERROR(LOOKUP($C27,#REF!,#REF!),0)</f>
        <v>0</v>
      </c>
      <c r="X27" s="36">
        <f>IFERROR(LOOKUP($C27,#REF!,#REF!),0)</f>
        <v>0</v>
      </c>
      <c r="Y27" s="36">
        <f>IFERROR(LOOKUP($C27,#REF!,#REF!),0)</f>
        <v>0</v>
      </c>
    </row>
    <row r="28" spans="1:25" ht="16.5" customHeight="1" x14ac:dyDescent="0.35">
      <c r="A28" s="3" t="s">
        <v>14</v>
      </c>
      <c r="B28" s="4">
        <v>102</v>
      </c>
      <c r="C28" s="5">
        <v>33012</v>
      </c>
      <c r="D28" s="3" t="s">
        <v>146</v>
      </c>
      <c r="E28" s="6">
        <v>47.99</v>
      </c>
      <c r="F28" s="16">
        <v>27.08</v>
      </c>
      <c r="G28" s="49">
        <v>0</v>
      </c>
      <c r="H28" s="50">
        <f t="shared" si="0"/>
        <v>0</v>
      </c>
      <c r="I28" s="50">
        <f t="shared" si="1"/>
        <v>0</v>
      </c>
      <c r="J28" s="50">
        <f t="shared" si="2"/>
        <v>0</v>
      </c>
      <c r="K28" s="51">
        <f t="shared" si="3"/>
        <v>0</v>
      </c>
      <c r="L28" s="36"/>
      <c r="M28" s="11">
        <v>34637.33</v>
      </c>
      <c r="N28" s="11">
        <v>30119.417391304345</v>
      </c>
      <c r="O28" s="11">
        <v>17468.530000000002</v>
      </c>
      <c r="P28" s="8">
        <v>1937</v>
      </c>
      <c r="Q28" s="11">
        <v>12650.887391304346</v>
      </c>
      <c r="R28" s="11">
        <v>17.881946308724832</v>
      </c>
      <c r="S28" s="11">
        <v>15.54951852932594</v>
      </c>
      <c r="T28" s="11">
        <v>9.0183427981414575</v>
      </c>
      <c r="U28" s="14">
        <v>42.002430614599909</v>
      </c>
      <c r="V28" s="36">
        <f>IFERROR(LOOKUP($C28,#REF!,#REF!),0)</f>
        <v>0</v>
      </c>
      <c r="W28" s="36">
        <f>IFERROR(LOOKUP($C28,#REF!,#REF!),0)</f>
        <v>0</v>
      </c>
      <c r="X28" s="36">
        <f>IFERROR(LOOKUP($C28,#REF!,#REF!),0)</f>
        <v>0</v>
      </c>
      <c r="Y28" s="36">
        <f>IFERROR(LOOKUP($C28,#REF!,#REF!),0)</f>
        <v>0</v>
      </c>
    </row>
    <row r="29" spans="1:25" ht="16.5" customHeight="1" x14ac:dyDescent="0.35">
      <c r="A29" s="3" t="s">
        <v>14</v>
      </c>
      <c r="B29" s="4">
        <v>102</v>
      </c>
      <c r="C29" s="5">
        <v>33013</v>
      </c>
      <c r="D29" s="3" t="s">
        <v>145</v>
      </c>
      <c r="E29" s="6">
        <v>5.99</v>
      </c>
      <c r="F29" s="16">
        <v>3.1</v>
      </c>
      <c r="G29" s="49">
        <v>0</v>
      </c>
      <c r="H29" s="50">
        <f t="shared" si="0"/>
        <v>0</v>
      </c>
      <c r="I29" s="50">
        <f t="shared" si="1"/>
        <v>0</v>
      </c>
      <c r="J29" s="50">
        <f t="shared" si="2"/>
        <v>0</v>
      </c>
      <c r="K29" s="51">
        <f t="shared" si="3"/>
        <v>0</v>
      </c>
      <c r="L29" s="36"/>
      <c r="M29" s="11">
        <v>34544.649999999994</v>
      </c>
      <c r="N29" s="11">
        <v>30038.82608695652</v>
      </c>
      <c r="O29" s="11">
        <v>11082.6</v>
      </c>
      <c r="P29" s="8">
        <v>940</v>
      </c>
      <c r="Q29" s="11">
        <v>18956.226086956514</v>
      </c>
      <c r="R29" s="11">
        <v>36.749627659574465</v>
      </c>
      <c r="S29" s="11">
        <v>31.956197964847362</v>
      </c>
      <c r="T29" s="11">
        <v>11.790000000000001</v>
      </c>
      <c r="U29" s="14">
        <v>63.105748647040848</v>
      </c>
      <c r="V29" s="36">
        <f>IFERROR(LOOKUP($C29,#REF!,#REF!),0)</f>
        <v>0</v>
      </c>
      <c r="W29" s="36">
        <f>IFERROR(LOOKUP($C29,#REF!,#REF!),0)</f>
        <v>0</v>
      </c>
      <c r="X29" s="36">
        <f>IFERROR(LOOKUP($C29,#REF!,#REF!),0)</f>
        <v>0</v>
      </c>
      <c r="Y29" s="36">
        <f>IFERROR(LOOKUP($C29,#REF!,#REF!),0)</f>
        <v>0</v>
      </c>
    </row>
    <row r="30" spans="1:25" ht="16.5" customHeight="1" x14ac:dyDescent="0.35">
      <c r="A30" s="3" t="s">
        <v>14</v>
      </c>
      <c r="B30" s="4">
        <v>119</v>
      </c>
      <c r="C30" s="5">
        <v>33017</v>
      </c>
      <c r="D30" s="3" t="s">
        <v>274</v>
      </c>
      <c r="E30" s="6">
        <v>69.989999999999995</v>
      </c>
      <c r="F30" s="16">
        <v>32.450000000000003</v>
      </c>
      <c r="G30" s="49">
        <v>0</v>
      </c>
      <c r="H30" s="50">
        <f t="shared" si="0"/>
        <v>0</v>
      </c>
      <c r="I30" s="50">
        <f t="shared" si="1"/>
        <v>0</v>
      </c>
      <c r="J30" s="50">
        <f t="shared" si="2"/>
        <v>0</v>
      </c>
      <c r="K30" s="51">
        <f t="shared" si="3"/>
        <v>0</v>
      </c>
      <c r="L30" s="36"/>
      <c r="M30" s="11">
        <v>34032.75</v>
      </c>
      <c r="N30" s="11">
        <v>29593.695652173916</v>
      </c>
      <c r="O30" s="11">
        <v>13707.18</v>
      </c>
      <c r="P30" s="8">
        <v>1626</v>
      </c>
      <c r="Q30" s="11">
        <v>15886.515652173915</v>
      </c>
      <c r="R30" s="11">
        <v>20.930350553505534</v>
      </c>
      <c r="S30" s="11">
        <v>18.200304829135248</v>
      </c>
      <c r="T30" s="11">
        <v>8.43</v>
      </c>
      <c r="U30" s="14">
        <v>53.682094453137054</v>
      </c>
      <c r="V30" s="36">
        <f>IFERROR(LOOKUP($C30,#REF!,#REF!),0)</f>
        <v>0</v>
      </c>
      <c r="W30" s="36">
        <f>IFERROR(LOOKUP($C30,#REF!,#REF!),0)</f>
        <v>0</v>
      </c>
      <c r="X30" s="36">
        <f>IFERROR(LOOKUP($C30,#REF!,#REF!),0)</f>
        <v>0</v>
      </c>
      <c r="Y30" s="36">
        <f>IFERROR(LOOKUP($C30,#REF!,#REF!),0)</f>
        <v>0</v>
      </c>
    </row>
    <row r="31" spans="1:25" ht="16.5" customHeight="1" x14ac:dyDescent="0.35">
      <c r="A31" s="3" t="s">
        <v>14</v>
      </c>
      <c r="B31" s="4">
        <v>102</v>
      </c>
      <c r="C31" s="5">
        <v>33019</v>
      </c>
      <c r="D31" s="3" t="s">
        <v>109</v>
      </c>
      <c r="E31" s="6">
        <v>14.99</v>
      </c>
      <c r="F31" s="16">
        <v>5.5</v>
      </c>
      <c r="G31" s="49">
        <v>0</v>
      </c>
      <c r="H31" s="50">
        <f t="shared" si="0"/>
        <v>0</v>
      </c>
      <c r="I31" s="50">
        <f t="shared" si="1"/>
        <v>0</v>
      </c>
      <c r="J31" s="50">
        <f t="shared" si="2"/>
        <v>0</v>
      </c>
      <c r="K31" s="51">
        <f t="shared" si="3"/>
        <v>0</v>
      </c>
      <c r="L31" s="36"/>
      <c r="M31" s="11">
        <v>32682.93</v>
      </c>
      <c r="N31" s="11">
        <v>28419.939130434785</v>
      </c>
      <c r="O31" s="11">
        <v>13422.095279999996</v>
      </c>
      <c r="P31" s="8">
        <v>2729</v>
      </c>
      <c r="Q31" s="11">
        <v>14997.843850434789</v>
      </c>
      <c r="R31" s="11">
        <v>11.976156101135947</v>
      </c>
      <c r="S31" s="11">
        <v>10.414048783596476</v>
      </c>
      <c r="T31" s="11">
        <v>4.9183199999999987</v>
      </c>
      <c r="U31" s="14">
        <v>52.772258876422661</v>
      </c>
      <c r="V31" s="36">
        <f>IFERROR(LOOKUP($C31,#REF!,#REF!),0)</f>
        <v>0</v>
      </c>
      <c r="W31" s="36">
        <f>IFERROR(LOOKUP($C31,#REF!,#REF!),0)</f>
        <v>0</v>
      </c>
      <c r="X31" s="36">
        <f>IFERROR(LOOKUP($C31,#REF!,#REF!),0)</f>
        <v>0</v>
      </c>
      <c r="Y31" s="36">
        <f>IFERROR(LOOKUP($C31,#REF!,#REF!),0)</f>
        <v>0</v>
      </c>
    </row>
    <row r="32" spans="1:25" ht="16.5" customHeight="1" x14ac:dyDescent="0.35">
      <c r="A32" s="3" t="s">
        <v>14</v>
      </c>
      <c r="B32" s="4">
        <v>118</v>
      </c>
      <c r="C32" s="5">
        <v>33021</v>
      </c>
      <c r="D32" s="3" t="s">
        <v>260</v>
      </c>
      <c r="E32" s="6">
        <v>130</v>
      </c>
      <c r="F32" s="16">
        <v>64.900000000000006</v>
      </c>
      <c r="G32" s="49">
        <v>0</v>
      </c>
      <c r="H32" s="50">
        <f t="shared" si="0"/>
        <v>0</v>
      </c>
      <c r="I32" s="50">
        <f t="shared" si="1"/>
        <v>0</v>
      </c>
      <c r="J32" s="50">
        <f t="shared" si="2"/>
        <v>0</v>
      </c>
      <c r="K32" s="51">
        <f t="shared" si="3"/>
        <v>0</v>
      </c>
      <c r="L32" s="36"/>
      <c r="M32" s="11">
        <v>32682.93</v>
      </c>
      <c r="N32" s="11">
        <v>28419.939130434785</v>
      </c>
      <c r="O32" s="11">
        <v>13422.095279999996</v>
      </c>
      <c r="P32" s="8">
        <v>2729</v>
      </c>
      <c r="Q32" s="11">
        <v>14997.843850434789</v>
      </c>
      <c r="R32" s="11">
        <v>11.976156101135947</v>
      </c>
      <c r="S32" s="11">
        <v>10.414048783596476</v>
      </c>
      <c r="T32" s="11">
        <v>4.9183199999999987</v>
      </c>
      <c r="U32" s="14">
        <v>52.772258876422661</v>
      </c>
      <c r="V32" s="36">
        <f>IFERROR(LOOKUP($C32,#REF!,#REF!),0)</f>
        <v>0</v>
      </c>
      <c r="W32" s="36">
        <f>IFERROR(LOOKUP($C32,#REF!,#REF!),0)</f>
        <v>0</v>
      </c>
      <c r="X32" s="36">
        <f>IFERROR(LOOKUP($C32,#REF!,#REF!),0)</f>
        <v>0</v>
      </c>
      <c r="Y32" s="36">
        <f>IFERROR(LOOKUP($C32,#REF!,#REF!),0)</f>
        <v>0</v>
      </c>
    </row>
    <row r="33" spans="1:25" ht="16.5" customHeight="1" x14ac:dyDescent="0.35">
      <c r="A33" s="3" t="s">
        <v>14</v>
      </c>
      <c r="B33" s="4">
        <v>102</v>
      </c>
      <c r="C33" s="5">
        <v>33023</v>
      </c>
      <c r="D33" s="3" t="s">
        <v>110</v>
      </c>
      <c r="E33" s="6">
        <v>19.989999999999998</v>
      </c>
      <c r="F33" s="16">
        <v>10.23</v>
      </c>
      <c r="G33" s="49">
        <v>0</v>
      </c>
      <c r="H33" s="50">
        <f t="shared" si="0"/>
        <v>0</v>
      </c>
      <c r="I33" s="50">
        <f t="shared" si="1"/>
        <v>0</v>
      </c>
      <c r="J33" s="50">
        <f t="shared" si="2"/>
        <v>0</v>
      </c>
      <c r="K33" s="51">
        <f t="shared" si="3"/>
        <v>0</v>
      </c>
      <c r="L33" s="36"/>
      <c r="M33" s="11">
        <v>31987.21</v>
      </c>
      <c r="N33" s="11">
        <v>27814.965217391309</v>
      </c>
      <c r="O33" s="11">
        <v>16688.05</v>
      </c>
      <c r="P33" s="8">
        <v>2465</v>
      </c>
      <c r="Q33" s="11">
        <v>11126.915217391303</v>
      </c>
      <c r="R33" s="11">
        <v>12.976555780933063</v>
      </c>
      <c r="S33" s="11">
        <v>11.283961548637448</v>
      </c>
      <c r="T33" s="11">
        <v>6.77</v>
      </c>
      <c r="U33" s="14">
        <v>40.003340397615169</v>
      </c>
      <c r="V33" s="36">
        <f>IFERROR(LOOKUP($C33,#REF!,#REF!),0)</f>
        <v>0</v>
      </c>
      <c r="W33" s="36">
        <f>IFERROR(LOOKUP($C33,#REF!,#REF!),0)</f>
        <v>0</v>
      </c>
      <c r="X33" s="36">
        <f>IFERROR(LOOKUP($C33,#REF!,#REF!),0)</f>
        <v>0</v>
      </c>
      <c r="Y33" s="36">
        <f>IFERROR(LOOKUP($C33,#REF!,#REF!),0)</f>
        <v>0</v>
      </c>
    </row>
    <row r="34" spans="1:25" ht="16.5" customHeight="1" x14ac:dyDescent="0.35">
      <c r="A34" s="3" t="s">
        <v>14</v>
      </c>
      <c r="B34" s="4">
        <v>102</v>
      </c>
      <c r="C34" s="5">
        <v>33025</v>
      </c>
      <c r="D34" s="3" t="s">
        <v>118</v>
      </c>
      <c r="E34" s="6">
        <v>5.99</v>
      </c>
      <c r="F34" s="16">
        <v>2.95</v>
      </c>
      <c r="G34" s="49">
        <v>0</v>
      </c>
      <c r="H34" s="50">
        <f t="shared" si="0"/>
        <v>0</v>
      </c>
      <c r="I34" s="50">
        <f t="shared" si="1"/>
        <v>0</v>
      </c>
      <c r="J34" s="50">
        <f t="shared" si="2"/>
        <v>0</v>
      </c>
      <c r="K34" s="51">
        <f t="shared" si="3"/>
        <v>0</v>
      </c>
      <c r="L34" s="36"/>
      <c r="M34" s="11">
        <v>30559.729999999996</v>
      </c>
      <c r="N34" s="11">
        <v>26573.678260869568</v>
      </c>
      <c r="O34" s="11">
        <v>18564</v>
      </c>
      <c r="P34" s="8">
        <v>1547</v>
      </c>
      <c r="Q34" s="11">
        <v>8009.6782608695576</v>
      </c>
      <c r="R34" s="11">
        <v>19.754188752424042</v>
      </c>
      <c r="S34" s="11">
        <v>17.177555436890476</v>
      </c>
      <c r="T34" s="11">
        <v>12</v>
      </c>
      <c r="U34" s="14">
        <v>30.14139850057574</v>
      </c>
      <c r="V34" s="36">
        <f>IFERROR(LOOKUP($C34,#REF!,#REF!),0)</f>
        <v>0</v>
      </c>
      <c r="W34" s="36">
        <f>IFERROR(LOOKUP($C34,#REF!,#REF!),0)</f>
        <v>0</v>
      </c>
      <c r="X34" s="36">
        <f>IFERROR(LOOKUP($C34,#REF!,#REF!),0)</f>
        <v>0</v>
      </c>
      <c r="Y34" s="36">
        <f>IFERROR(LOOKUP($C34,#REF!,#REF!),0)</f>
        <v>0</v>
      </c>
    </row>
    <row r="35" spans="1:25" ht="16.5" customHeight="1" x14ac:dyDescent="0.35">
      <c r="A35" s="3" t="s">
        <v>14</v>
      </c>
      <c r="B35" s="4">
        <v>101</v>
      </c>
      <c r="C35" s="5">
        <v>33027</v>
      </c>
      <c r="D35" s="3" t="s">
        <v>83</v>
      </c>
      <c r="E35" s="6">
        <v>19.989999999999998</v>
      </c>
      <c r="F35" s="16">
        <v>7.94</v>
      </c>
      <c r="G35" s="49">
        <v>0</v>
      </c>
      <c r="H35" s="50">
        <f t="shared" si="0"/>
        <v>0</v>
      </c>
      <c r="I35" s="50">
        <f t="shared" si="1"/>
        <v>0</v>
      </c>
      <c r="J35" s="50">
        <f t="shared" si="2"/>
        <v>0</v>
      </c>
      <c r="K35" s="51">
        <f t="shared" si="3"/>
        <v>0</v>
      </c>
      <c r="L35" s="36"/>
      <c r="M35" s="11">
        <v>29958.480000000003</v>
      </c>
      <c r="N35" s="11">
        <v>26050.852173913048</v>
      </c>
      <c r="O35" s="11">
        <v>14368.679999999997</v>
      </c>
      <c r="P35" s="8">
        <v>1002</v>
      </c>
      <c r="Q35" s="11">
        <v>11682.172173913048</v>
      </c>
      <c r="R35" s="11">
        <v>29.898682634730541</v>
      </c>
      <c r="S35" s="11">
        <v>25.998854464983083</v>
      </c>
      <c r="T35" s="11">
        <v>14.339999999999996</v>
      </c>
      <c r="U35" s="14">
        <v>44.843723713619667</v>
      </c>
      <c r="V35" s="36">
        <f>IFERROR(LOOKUP($C35,#REF!,#REF!),0)</f>
        <v>0</v>
      </c>
      <c r="W35" s="36">
        <f>IFERROR(LOOKUP($C35,#REF!,#REF!),0)</f>
        <v>0</v>
      </c>
      <c r="X35" s="36">
        <f>IFERROR(LOOKUP($C35,#REF!,#REF!),0)</f>
        <v>0</v>
      </c>
      <c r="Y35" s="36">
        <f>IFERROR(LOOKUP($C35,#REF!,#REF!),0)</f>
        <v>0</v>
      </c>
    </row>
    <row r="36" spans="1:25" ht="16.5" customHeight="1" x14ac:dyDescent="0.35">
      <c r="A36" s="3" t="s">
        <v>14</v>
      </c>
      <c r="B36" s="4">
        <v>102</v>
      </c>
      <c r="C36" s="5">
        <v>33031</v>
      </c>
      <c r="D36" s="3" t="s">
        <v>94</v>
      </c>
      <c r="E36" s="6">
        <v>17.989999999999998</v>
      </c>
      <c r="F36" s="16">
        <v>9.1199999999999992</v>
      </c>
      <c r="G36" s="49">
        <v>8</v>
      </c>
      <c r="H36" s="50">
        <f t="shared" si="0"/>
        <v>143.91999999999999</v>
      </c>
      <c r="I36" s="50">
        <f t="shared" si="1"/>
        <v>72.959999999999994</v>
      </c>
      <c r="J36" s="50">
        <f t="shared" si="2"/>
        <v>70.959999999999994</v>
      </c>
      <c r="K36" s="51">
        <f t="shared" si="3"/>
        <v>49.305169538632576</v>
      </c>
      <c r="L36" s="36"/>
      <c r="M36" s="11">
        <v>29918.5</v>
      </c>
      <c r="N36" s="11">
        <v>26016.086956521744</v>
      </c>
      <c r="O36" s="11">
        <v>15259.82</v>
      </c>
      <c r="P36" s="8">
        <v>2998</v>
      </c>
      <c r="Q36" s="11">
        <v>10756.26695652174</v>
      </c>
      <c r="R36" s="11">
        <v>9.9794863242161433</v>
      </c>
      <c r="S36" s="11">
        <v>8.6778141949705621</v>
      </c>
      <c r="T36" s="11">
        <v>5.09</v>
      </c>
      <c r="U36" s="14">
        <v>41.344676370807363</v>
      </c>
      <c r="V36" s="36">
        <f>IFERROR(LOOKUP($C36,#REF!,#REF!),0)</f>
        <v>0</v>
      </c>
      <c r="W36" s="36">
        <f>IFERROR(LOOKUP($C36,#REF!,#REF!),0)</f>
        <v>0</v>
      </c>
      <c r="X36" s="36">
        <f>IFERROR(LOOKUP($C36,#REF!,#REF!),0)</f>
        <v>0</v>
      </c>
      <c r="Y36" s="36">
        <f>IFERROR(LOOKUP($C36,#REF!,#REF!),0)</f>
        <v>0</v>
      </c>
    </row>
    <row r="37" spans="1:25" ht="16.5" customHeight="1" x14ac:dyDescent="0.35">
      <c r="A37" s="3" t="s">
        <v>14</v>
      </c>
      <c r="B37" s="4">
        <v>102</v>
      </c>
      <c r="C37" s="5">
        <v>33036</v>
      </c>
      <c r="D37" s="3" t="s">
        <v>116</v>
      </c>
      <c r="E37" s="6">
        <v>400</v>
      </c>
      <c r="F37" s="16">
        <v>204.01</v>
      </c>
      <c r="G37" s="49">
        <v>0</v>
      </c>
      <c r="H37" s="50">
        <f t="shared" si="0"/>
        <v>0</v>
      </c>
      <c r="I37" s="50">
        <f t="shared" si="1"/>
        <v>0</v>
      </c>
      <c r="J37" s="50">
        <f t="shared" si="2"/>
        <v>0</v>
      </c>
      <c r="K37" s="51">
        <f t="shared" si="3"/>
        <v>0</v>
      </c>
      <c r="L37" s="36"/>
      <c r="M37" s="11">
        <v>29021.47</v>
      </c>
      <c r="N37" s="11">
        <v>25236.060869565223</v>
      </c>
      <c r="O37" s="11">
        <v>14751.599999999997</v>
      </c>
      <c r="P37" s="8">
        <v>3235</v>
      </c>
      <c r="Q37" s="11">
        <v>10484.460869565222</v>
      </c>
      <c r="R37" s="11">
        <v>8.9710880989180843</v>
      </c>
      <c r="S37" s="11">
        <v>7.8009461729722478</v>
      </c>
      <c r="T37" s="11">
        <v>4.5599999999999987</v>
      </c>
      <c r="U37" s="14">
        <v>41.545552310065631</v>
      </c>
      <c r="V37" s="36">
        <f>IFERROR(LOOKUP($C37,#REF!,#REF!),0)</f>
        <v>0</v>
      </c>
      <c r="W37" s="36">
        <f>IFERROR(LOOKUP($C37,#REF!,#REF!),0)</f>
        <v>0</v>
      </c>
      <c r="X37" s="36">
        <f>IFERROR(LOOKUP($C37,#REF!,#REF!),0)</f>
        <v>0</v>
      </c>
      <c r="Y37" s="36">
        <f>IFERROR(LOOKUP($C37,#REF!,#REF!),0)</f>
        <v>0</v>
      </c>
    </row>
    <row r="38" spans="1:25" ht="16.5" customHeight="1" x14ac:dyDescent="0.35">
      <c r="A38" s="3" t="s">
        <v>14</v>
      </c>
      <c r="B38" s="4">
        <v>119</v>
      </c>
      <c r="C38" s="5">
        <v>33037</v>
      </c>
      <c r="D38" s="3" t="s">
        <v>271</v>
      </c>
      <c r="E38" s="6">
        <v>59.99</v>
      </c>
      <c r="F38" s="16">
        <v>23.44</v>
      </c>
      <c r="G38" s="49">
        <v>0</v>
      </c>
      <c r="H38" s="50">
        <f t="shared" si="0"/>
        <v>0</v>
      </c>
      <c r="I38" s="50">
        <f t="shared" si="1"/>
        <v>0</v>
      </c>
      <c r="J38" s="50">
        <f t="shared" si="2"/>
        <v>0</v>
      </c>
      <c r="K38" s="51">
        <f t="shared" si="3"/>
        <v>0</v>
      </c>
      <c r="L38" s="36"/>
      <c r="M38" s="11">
        <v>27072.79</v>
      </c>
      <c r="N38" s="11">
        <v>23541.556521739138</v>
      </c>
      <c r="O38" s="11">
        <v>12664.360000000004</v>
      </c>
      <c r="P38" s="8">
        <v>796</v>
      </c>
      <c r="Q38" s="11">
        <v>10877.196521739126</v>
      </c>
      <c r="R38" s="11">
        <v>34.011042713567839</v>
      </c>
      <c r="S38" s="11">
        <v>29.574819750928565</v>
      </c>
      <c r="T38" s="11">
        <v>15.910000000000005</v>
      </c>
      <c r="U38" s="14">
        <v>46.204236800122914</v>
      </c>
      <c r="V38" s="36">
        <f>IFERROR(LOOKUP($C38,#REF!,#REF!),0)</f>
        <v>0</v>
      </c>
      <c r="W38" s="36">
        <f>IFERROR(LOOKUP($C38,#REF!,#REF!),0)</f>
        <v>0</v>
      </c>
      <c r="X38" s="36">
        <f>IFERROR(LOOKUP($C38,#REF!,#REF!),0)</f>
        <v>0</v>
      </c>
      <c r="Y38" s="36">
        <f>IFERROR(LOOKUP($C38,#REF!,#REF!),0)</f>
        <v>0</v>
      </c>
    </row>
    <row r="39" spans="1:25" ht="16.5" customHeight="1" x14ac:dyDescent="0.35">
      <c r="A39" s="3" t="s">
        <v>14</v>
      </c>
      <c r="B39" s="4">
        <v>119</v>
      </c>
      <c r="C39" s="5">
        <v>33038</v>
      </c>
      <c r="D39" s="3" t="s">
        <v>269</v>
      </c>
      <c r="E39" s="6">
        <v>35.99</v>
      </c>
      <c r="F39" s="16">
        <v>18</v>
      </c>
      <c r="G39" s="49">
        <v>0</v>
      </c>
      <c r="H39" s="50">
        <f t="shared" si="0"/>
        <v>0</v>
      </c>
      <c r="I39" s="50">
        <f t="shared" si="1"/>
        <v>0</v>
      </c>
      <c r="J39" s="50">
        <f t="shared" si="2"/>
        <v>0</v>
      </c>
      <c r="K39" s="51">
        <f t="shared" si="3"/>
        <v>0</v>
      </c>
      <c r="L39" s="36"/>
      <c r="M39" s="11">
        <v>26632.370000000003</v>
      </c>
      <c r="N39" s="11">
        <v>23158.582608695655</v>
      </c>
      <c r="O39" s="11">
        <v>10532.080000000002</v>
      </c>
      <c r="P39" s="8">
        <v>988</v>
      </c>
      <c r="Q39" s="11">
        <v>12626.502608695653</v>
      </c>
      <c r="R39" s="11">
        <v>26.955840080971662</v>
      </c>
      <c r="S39" s="11">
        <v>23.439860939975357</v>
      </c>
      <c r="T39" s="11">
        <v>10.660000000000002</v>
      </c>
      <c r="U39" s="14">
        <v>54.521914497282822</v>
      </c>
      <c r="V39" s="36">
        <f>IFERROR(LOOKUP($C39,#REF!,#REF!),0)</f>
        <v>0</v>
      </c>
      <c r="W39" s="36">
        <f>IFERROR(LOOKUP($C39,#REF!,#REF!),0)</f>
        <v>0</v>
      </c>
      <c r="X39" s="36">
        <f>IFERROR(LOOKUP($C39,#REF!,#REF!),0)</f>
        <v>0</v>
      </c>
      <c r="Y39" s="36">
        <f>IFERROR(LOOKUP($C39,#REF!,#REF!),0)</f>
        <v>0</v>
      </c>
    </row>
    <row r="40" spans="1:25" ht="16.5" customHeight="1" x14ac:dyDescent="0.35">
      <c r="A40" s="3" t="s">
        <v>14</v>
      </c>
      <c r="B40" s="4">
        <v>103</v>
      </c>
      <c r="C40" s="5">
        <v>33040</v>
      </c>
      <c r="D40" s="3" t="s">
        <v>207</v>
      </c>
      <c r="E40" s="6">
        <v>30</v>
      </c>
      <c r="F40" s="16">
        <v>18.260000000000002</v>
      </c>
      <c r="G40" s="49">
        <v>0</v>
      </c>
      <c r="H40" s="50">
        <f t="shared" si="0"/>
        <v>0</v>
      </c>
      <c r="I40" s="50">
        <f t="shared" si="1"/>
        <v>0</v>
      </c>
      <c r="J40" s="50">
        <f t="shared" si="2"/>
        <v>0</v>
      </c>
      <c r="K40" s="51">
        <f t="shared" si="3"/>
        <v>0</v>
      </c>
      <c r="L40" s="36"/>
      <c r="M40" s="11">
        <v>26328.23</v>
      </c>
      <c r="N40" s="11">
        <v>22894.113043478261</v>
      </c>
      <c r="O40" s="11">
        <v>15919.799999999997</v>
      </c>
      <c r="P40" s="8">
        <v>1014</v>
      </c>
      <c r="Q40" s="11">
        <v>6974.3130434782634</v>
      </c>
      <c r="R40" s="11">
        <v>25.964723865877712</v>
      </c>
      <c r="S40" s="11">
        <v>22.578020752937142</v>
      </c>
      <c r="T40" s="11">
        <v>15.699999999999998</v>
      </c>
      <c r="U40" s="14">
        <v>30.463346757453891</v>
      </c>
      <c r="V40" s="36">
        <f>IFERROR(LOOKUP($C40,#REF!,#REF!),0)</f>
        <v>0</v>
      </c>
      <c r="W40" s="36">
        <f>IFERROR(LOOKUP($C40,#REF!,#REF!),0)</f>
        <v>0</v>
      </c>
      <c r="X40" s="36">
        <f>IFERROR(LOOKUP($C40,#REF!,#REF!),0)</f>
        <v>0</v>
      </c>
      <c r="Y40" s="36">
        <f>IFERROR(LOOKUP($C40,#REF!,#REF!),0)</f>
        <v>0</v>
      </c>
    </row>
    <row r="41" spans="1:25" ht="16.5" customHeight="1" x14ac:dyDescent="0.35">
      <c r="A41" s="3" t="s">
        <v>14</v>
      </c>
      <c r="B41" s="4">
        <v>103</v>
      </c>
      <c r="C41" s="5">
        <v>33041</v>
      </c>
      <c r="D41" s="3" t="s">
        <v>219</v>
      </c>
      <c r="E41" s="6">
        <v>10</v>
      </c>
      <c r="F41" s="16">
        <v>1.5</v>
      </c>
      <c r="G41" s="49">
        <v>0</v>
      </c>
      <c r="H41" s="50">
        <f t="shared" si="0"/>
        <v>0</v>
      </c>
      <c r="I41" s="50">
        <f t="shared" si="1"/>
        <v>0</v>
      </c>
      <c r="J41" s="50">
        <f t="shared" si="2"/>
        <v>0</v>
      </c>
      <c r="K41" s="51">
        <f t="shared" si="3"/>
        <v>0</v>
      </c>
      <c r="L41" s="36"/>
      <c r="M41" s="11">
        <v>25419.74</v>
      </c>
      <c r="N41" s="11">
        <v>22104.121739130438</v>
      </c>
      <c r="O41" s="11">
        <v>18360.000000000004</v>
      </c>
      <c r="P41" s="8">
        <v>4250</v>
      </c>
      <c r="Q41" s="11">
        <v>3744.1217391304344</v>
      </c>
      <c r="R41" s="11">
        <v>5.9811152941176475</v>
      </c>
      <c r="S41" s="11">
        <v>5.200969820971868</v>
      </c>
      <c r="T41" s="11">
        <v>4.3200000000000012</v>
      </c>
      <c r="U41" s="14">
        <v>16.938568215095824</v>
      </c>
      <c r="V41" s="36">
        <f>IFERROR(LOOKUP($C41,#REF!,#REF!),0)</f>
        <v>0</v>
      </c>
      <c r="W41" s="36">
        <f>IFERROR(LOOKUP($C41,#REF!,#REF!),0)</f>
        <v>0</v>
      </c>
      <c r="X41" s="36">
        <f>IFERROR(LOOKUP($C41,#REF!,#REF!),0)</f>
        <v>0</v>
      </c>
      <c r="Y41" s="36">
        <f>IFERROR(LOOKUP($C41,#REF!,#REF!),0)</f>
        <v>0</v>
      </c>
    </row>
    <row r="42" spans="1:25" ht="16.5" customHeight="1" x14ac:dyDescent="0.35">
      <c r="A42" s="3" t="s">
        <v>14</v>
      </c>
      <c r="B42" s="4">
        <v>103</v>
      </c>
      <c r="C42" s="5">
        <v>33042</v>
      </c>
      <c r="D42" s="3" t="s">
        <v>211</v>
      </c>
      <c r="E42" s="6">
        <v>20</v>
      </c>
      <c r="F42" s="16">
        <v>10.23</v>
      </c>
      <c r="G42" s="49">
        <v>0</v>
      </c>
      <c r="H42" s="50">
        <f t="shared" si="0"/>
        <v>0</v>
      </c>
      <c r="I42" s="50">
        <f t="shared" si="1"/>
        <v>0</v>
      </c>
      <c r="J42" s="50">
        <f t="shared" si="2"/>
        <v>0</v>
      </c>
      <c r="K42" s="51">
        <f t="shared" si="3"/>
        <v>0</v>
      </c>
      <c r="L42" s="36"/>
      <c r="M42" s="11">
        <v>24134.15</v>
      </c>
      <c r="N42" s="11">
        <v>20986.217391304344</v>
      </c>
      <c r="O42" s="11">
        <v>10644.800000000003</v>
      </c>
      <c r="P42" s="8">
        <v>2558</v>
      </c>
      <c r="Q42" s="11">
        <v>10341.417391304345</v>
      </c>
      <c r="R42" s="11">
        <v>9.4347732603596572</v>
      </c>
      <c r="S42" s="11">
        <v>8.2041506611823074</v>
      </c>
      <c r="T42" s="11">
        <v>4.1613760750586408</v>
      </c>
      <c r="U42" s="14">
        <v>49.277186062073852</v>
      </c>
      <c r="V42" s="36">
        <f>IFERROR(LOOKUP($C42,#REF!,#REF!),0)</f>
        <v>0</v>
      </c>
      <c r="W42" s="36">
        <f>IFERROR(LOOKUP($C42,#REF!,#REF!),0)</f>
        <v>0</v>
      </c>
      <c r="X42" s="36">
        <f>IFERROR(LOOKUP($C42,#REF!,#REF!),0)</f>
        <v>0</v>
      </c>
      <c r="Y42" s="36">
        <f>IFERROR(LOOKUP($C42,#REF!,#REF!),0)</f>
        <v>0</v>
      </c>
    </row>
    <row r="43" spans="1:25" ht="16.5" customHeight="1" x14ac:dyDescent="0.35">
      <c r="A43" s="3" t="s">
        <v>14</v>
      </c>
      <c r="B43" s="4">
        <v>103</v>
      </c>
      <c r="C43" s="5">
        <v>33043</v>
      </c>
      <c r="D43" s="3" t="s">
        <v>220</v>
      </c>
      <c r="E43" s="6">
        <v>15</v>
      </c>
      <c r="F43" s="16">
        <v>4.26</v>
      </c>
      <c r="G43" s="49">
        <v>0</v>
      </c>
      <c r="H43" s="50">
        <f t="shared" si="0"/>
        <v>0</v>
      </c>
      <c r="I43" s="50">
        <f t="shared" si="1"/>
        <v>0</v>
      </c>
      <c r="J43" s="50">
        <f t="shared" si="2"/>
        <v>0</v>
      </c>
      <c r="K43" s="51">
        <f t="shared" si="3"/>
        <v>0</v>
      </c>
      <c r="L43" s="36"/>
      <c r="M43" s="11">
        <v>22560</v>
      </c>
      <c r="N43" s="11">
        <v>19617.391304347824</v>
      </c>
      <c r="O43" s="11">
        <v>11744.36</v>
      </c>
      <c r="P43" s="8">
        <v>188</v>
      </c>
      <c r="Q43" s="11">
        <v>7873.0313043478236</v>
      </c>
      <c r="R43" s="11">
        <v>120</v>
      </c>
      <c r="S43" s="11">
        <v>104.34782608695652</v>
      </c>
      <c r="T43" s="11">
        <v>62.470000000000006</v>
      </c>
      <c r="U43" s="14">
        <v>40.132916666666659</v>
      </c>
      <c r="V43" s="36">
        <f>IFERROR(LOOKUP($C43,#REF!,#REF!),0)</f>
        <v>0</v>
      </c>
      <c r="W43" s="36">
        <f>IFERROR(LOOKUP($C43,#REF!,#REF!),0)</f>
        <v>0</v>
      </c>
      <c r="X43" s="36">
        <f>IFERROR(LOOKUP($C43,#REF!,#REF!),0)</f>
        <v>0</v>
      </c>
      <c r="Y43" s="36">
        <f>IFERROR(LOOKUP($C43,#REF!,#REF!),0)</f>
        <v>0</v>
      </c>
    </row>
    <row r="44" spans="1:25" ht="16.5" customHeight="1" x14ac:dyDescent="0.35">
      <c r="A44" s="3" t="s">
        <v>14</v>
      </c>
      <c r="B44" s="4">
        <v>103</v>
      </c>
      <c r="C44" s="5">
        <v>33044</v>
      </c>
      <c r="D44" s="3" t="s">
        <v>216</v>
      </c>
      <c r="E44" s="6">
        <v>15</v>
      </c>
      <c r="F44" s="16">
        <v>10.23</v>
      </c>
      <c r="G44" s="49">
        <v>0</v>
      </c>
      <c r="H44" s="50">
        <f t="shared" si="0"/>
        <v>0</v>
      </c>
      <c r="I44" s="50">
        <f t="shared" si="1"/>
        <v>0</v>
      </c>
      <c r="J44" s="50">
        <f t="shared" si="2"/>
        <v>0</v>
      </c>
      <c r="K44" s="51">
        <f t="shared" si="3"/>
        <v>0</v>
      </c>
      <c r="L44" s="36"/>
      <c r="M44" s="11">
        <v>22277.850000000002</v>
      </c>
      <c r="N44" s="11">
        <v>19372.043478260872</v>
      </c>
      <c r="O44" s="11">
        <v>9782.8000000000011</v>
      </c>
      <c r="P44" s="8">
        <v>1322</v>
      </c>
      <c r="Q44" s="11">
        <v>9589.2434782608707</v>
      </c>
      <c r="R44" s="11">
        <v>16.851626323751894</v>
      </c>
      <c r="S44" s="11">
        <v>14.653588107610341</v>
      </c>
      <c r="T44" s="11">
        <v>7.4000000000000012</v>
      </c>
      <c r="U44" s="14">
        <v>49.500423065960135</v>
      </c>
      <c r="V44" s="36">
        <f>IFERROR(LOOKUP($C44,#REF!,#REF!),0)</f>
        <v>0</v>
      </c>
      <c r="W44" s="36">
        <f>IFERROR(LOOKUP($C44,#REF!,#REF!),0)</f>
        <v>0</v>
      </c>
      <c r="X44" s="36">
        <f>IFERROR(LOOKUP($C44,#REF!,#REF!),0)</f>
        <v>0</v>
      </c>
      <c r="Y44" s="36">
        <f>IFERROR(LOOKUP($C44,#REF!,#REF!),0)</f>
        <v>0</v>
      </c>
    </row>
    <row r="45" spans="1:25" ht="16.5" customHeight="1" x14ac:dyDescent="0.35">
      <c r="A45" s="3" t="s">
        <v>14</v>
      </c>
      <c r="B45" s="4">
        <v>103</v>
      </c>
      <c r="C45" s="5">
        <v>33045</v>
      </c>
      <c r="D45" s="3" t="s">
        <v>221</v>
      </c>
      <c r="E45" s="6">
        <v>10</v>
      </c>
      <c r="F45" s="16">
        <v>2.5</v>
      </c>
      <c r="G45" s="49">
        <v>0</v>
      </c>
      <c r="H45" s="50">
        <f t="shared" si="0"/>
        <v>0</v>
      </c>
      <c r="I45" s="50">
        <f t="shared" si="1"/>
        <v>0</v>
      </c>
      <c r="J45" s="50">
        <f t="shared" si="2"/>
        <v>0</v>
      </c>
      <c r="K45" s="51">
        <f t="shared" si="3"/>
        <v>0</v>
      </c>
      <c r="L45" s="36"/>
      <c r="M45" s="11">
        <v>20774.900000000001</v>
      </c>
      <c r="N45" s="11">
        <v>18065.130434782615</v>
      </c>
      <c r="O45" s="11">
        <v>11532.999999999996</v>
      </c>
      <c r="P45" s="8">
        <v>950</v>
      </c>
      <c r="Q45" s="11">
        <v>6532.1304347826153</v>
      </c>
      <c r="R45" s="11">
        <v>21.868315789473687</v>
      </c>
      <c r="S45" s="11">
        <v>19.015926773455384</v>
      </c>
      <c r="T45" s="11">
        <v>12.139999999999997</v>
      </c>
      <c r="U45" s="14">
        <v>36.158778140929712</v>
      </c>
      <c r="V45" s="36">
        <f>IFERROR(LOOKUP($C45,#REF!,#REF!),0)</f>
        <v>0</v>
      </c>
      <c r="W45" s="36">
        <f>IFERROR(LOOKUP($C45,#REF!,#REF!),0)</f>
        <v>0</v>
      </c>
      <c r="X45" s="36">
        <f>IFERROR(LOOKUP($C45,#REF!,#REF!),0)</f>
        <v>0</v>
      </c>
      <c r="Y45" s="36">
        <f>IFERROR(LOOKUP($C45,#REF!,#REF!),0)</f>
        <v>0</v>
      </c>
    </row>
    <row r="46" spans="1:25" ht="16.5" customHeight="1" x14ac:dyDescent="0.35">
      <c r="A46" s="3" t="s">
        <v>14</v>
      </c>
      <c r="B46" s="4">
        <v>103</v>
      </c>
      <c r="C46" s="5">
        <v>33046</v>
      </c>
      <c r="D46" s="3" t="s">
        <v>222</v>
      </c>
      <c r="E46" s="6">
        <v>10</v>
      </c>
      <c r="F46" s="16">
        <v>3.39</v>
      </c>
      <c r="G46" s="49">
        <v>0</v>
      </c>
      <c r="H46" s="50">
        <f t="shared" si="0"/>
        <v>0</v>
      </c>
      <c r="I46" s="50">
        <f t="shared" si="1"/>
        <v>0</v>
      </c>
      <c r="J46" s="50">
        <f t="shared" si="2"/>
        <v>0</v>
      </c>
      <c r="K46" s="51">
        <f t="shared" si="3"/>
        <v>0</v>
      </c>
      <c r="L46" s="36"/>
      <c r="M46" s="11">
        <v>20648.34</v>
      </c>
      <c r="N46" s="11">
        <v>17955.078260869566</v>
      </c>
      <c r="O46" s="11">
        <v>5724.1599999999989</v>
      </c>
      <c r="P46" s="8">
        <v>416</v>
      </c>
      <c r="Q46" s="11">
        <v>12230.918260869563</v>
      </c>
      <c r="R46" s="11">
        <v>49.635432692307695</v>
      </c>
      <c r="S46" s="11">
        <v>43.161245819397998</v>
      </c>
      <c r="T46" s="11">
        <v>13.759999999999998</v>
      </c>
      <c r="U46" s="14">
        <v>68.119548593252532</v>
      </c>
      <c r="V46" s="36">
        <f>IFERROR(LOOKUP($C46,#REF!,#REF!),0)</f>
        <v>0</v>
      </c>
      <c r="W46" s="36">
        <f>IFERROR(LOOKUP($C46,#REF!,#REF!),0)</f>
        <v>0</v>
      </c>
      <c r="X46" s="36">
        <f>IFERROR(LOOKUP($C46,#REF!,#REF!),0)</f>
        <v>0</v>
      </c>
      <c r="Y46" s="36">
        <f>IFERROR(LOOKUP($C46,#REF!,#REF!),0)</f>
        <v>0</v>
      </c>
    </row>
    <row r="47" spans="1:25" ht="16.5" customHeight="1" x14ac:dyDescent="0.35">
      <c r="A47" s="3" t="s">
        <v>14</v>
      </c>
      <c r="B47" s="4">
        <v>103</v>
      </c>
      <c r="C47" s="5">
        <v>33047</v>
      </c>
      <c r="D47" s="3" t="s">
        <v>213</v>
      </c>
      <c r="E47" s="6">
        <v>15</v>
      </c>
      <c r="F47" s="16">
        <v>6.99</v>
      </c>
      <c r="G47" s="49">
        <v>0</v>
      </c>
      <c r="H47" s="50">
        <f t="shared" si="0"/>
        <v>0</v>
      </c>
      <c r="I47" s="50">
        <f t="shared" si="1"/>
        <v>0</v>
      </c>
      <c r="J47" s="50">
        <f t="shared" si="2"/>
        <v>0</v>
      </c>
      <c r="K47" s="51">
        <f t="shared" si="3"/>
        <v>0</v>
      </c>
      <c r="L47" s="36"/>
      <c r="M47" s="11">
        <v>20234.47</v>
      </c>
      <c r="N47" s="11">
        <v>17595.191304347823</v>
      </c>
      <c r="O47" s="11">
        <v>10598.200400000002</v>
      </c>
      <c r="P47" s="8">
        <v>5385</v>
      </c>
      <c r="Q47" s="11">
        <v>6996.9909043478256</v>
      </c>
      <c r="R47" s="11">
        <v>3.7575617455896011</v>
      </c>
      <c r="S47" s="11">
        <v>3.2674449961648699</v>
      </c>
      <c r="T47" s="11">
        <v>1.9680966388115138</v>
      </c>
      <c r="U47" s="14">
        <v>39.766495193597848</v>
      </c>
      <c r="V47" s="36">
        <f>IFERROR(LOOKUP($C47,#REF!,#REF!),0)</f>
        <v>0</v>
      </c>
      <c r="W47" s="36">
        <f>IFERROR(LOOKUP($C47,#REF!,#REF!),0)</f>
        <v>0</v>
      </c>
      <c r="X47" s="36">
        <f>IFERROR(LOOKUP($C47,#REF!,#REF!),0)</f>
        <v>0</v>
      </c>
      <c r="Y47" s="36">
        <f>IFERROR(LOOKUP($C47,#REF!,#REF!),0)</f>
        <v>0</v>
      </c>
    </row>
    <row r="48" spans="1:25" ht="16.5" customHeight="1" x14ac:dyDescent="0.35">
      <c r="A48" s="3" t="s">
        <v>14</v>
      </c>
      <c r="B48" s="4">
        <v>103</v>
      </c>
      <c r="C48" s="5">
        <v>33048</v>
      </c>
      <c r="D48" s="3" t="s">
        <v>217</v>
      </c>
      <c r="E48" s="6">
        <v>15</v>
      </c>
      <c r="F48" s="16">
        <v>7.77</v>
      </c>
      <c r="G48" s="49">
        <v>0</v>
      </c>
      <c r="H48" s="50">
        <f t="shared" si="0"/>
        <v>0</v>
      </c>
      <c r="I48" s="50">
        <f t="shared" si="1"/>
        <v>0</v>
      </c>
      <c r="J48" s="50">
        <f t="shared" si="2"/>
        <v>0</v>
      </c>
      <c r="K48" s="51">
        <f t="shared" si="3"/>
        <v>0</v>
      </c>
      <c r="L48" s="36"/>
      <c r="M48" s="11">
        <v>19817.16</v>
      </c>
      <c r="N48" s="11">
        <v>17232.313043478262</v>
      </c>
      <c r="O48" s="11">
        <v>11157.35</v>
      </c>
      <c r="P48" s="8">
        <v>6031</v>
      </c>
      <c r="Q48" s="11">
        <v>6074.9630434782612</v>
      </c>
      <c r="R48" s="11">
        <v>3.2858829381528767</v>
      </c>
      <c r="S48" s="11">
        <v>2.8572895114372843</v>
      </c>
      <c r="T48" s="11">
        <v>1.85</v>
      </c>
      <c r="U48" s="14">
        <v>35.25332338236155</v>
      </c>
      <c r="V48" s="36">
        <f>IFERROR(LOOKUP($C48,#REF!,#REF!),0)</f>
        <v>0</v>
      </c>
      <c r="W48" s="36">
        <f>IFERROR(LOOKUP($C48,#REF!,#REF!),0)</f>
        <v>0</v>
      </c>
      <c r="X48" s="36">
        <f>IFERROR(LOOKUP($C48,#REF!,#REF!),0)</f>
        <v>0</v>
      </c>
      <c r="Y48" s="36">
        <f>IFERROR(LOOKUP($C48,#REF!,#REF!),0)</f>
        <v>0</v>
      </c>
    </row>
    <row r="49" spans="1:25" ht="16.5" customHeight="1" x14ac:dyDescent="0.35">
      <c r="A49" s="3" t="s">
        <v>14</v>
      </c>
      <c r="B49" s="4">
        <v>103</v>
      </c>
      <c r="C49" s="5">
        <v>33049</v>
      </c>
      <c r="D49" s="3" t="s">
        <v>223</v>
      </c>
      <c r="E49" s="6">
        <v>10</v>
      </c>
      <c r="F49" s="16">
        <v>2.3199999999999998</v>
      </c>
      <c r="G49" s="49">
        <v>0</v>
      </c>
      <c r="H49" s="50">
        <f t="shared" si="0"/>
        <v>0</v>
      </c>
      <c r="I49" s="50">
        <f t="shared" si="1"/>
        <v>0</v>
      </c>
      <c r="J49" s="50">
        <f t="shared" si="2"/>
        <v>0</v>
      </c>
      <c r="K49" s="51">
        <f t="shared" si="3"/>
        <v>0</v>
      </c>
      <c r="L49" s="36"/>
      <c r="M49" s="11">
        <v>19201.350000000006</v>
      </c>
      <c r="N49" s="11">
        <v>16696.826086956524</v>
      </c>
      <c r="O49" s="11">
        <v>11772.999999999998</v>
      </c>
      <c r="P49" s="8">
        <v>965</v>
      </c>
      <c r="Q49" s="11">
        <v>4923.8260869565293</v>
      </c>
      <c r="R49" s="11">
        <v>19.897772020725395</v>
      </c>
      <c r="S49" s="11">
        <v>17.302410452804686</v>
      </c>
      <c r="T49" s="11">
        <v>12.199999999999998</v>
      </c>
      <c r="U49" s="14">
        <v>29.489593179646256</v>
      </c>
      <c r="V49" s="36">
        <f>IFERROR(LOOKUP($C49,#REF!,#REF!),0)</f>
        <v>0</v>
      </c>
      <c r="W49" s="36">
        <f>IFERROR(LOOKUP($C49,#REF!,#REF!),0)</f>
        <v>0</v>
      </c>
      <c r="X49" s="36">
        <f>IFERROR(LOOKUP($C49,#REF!,#REF!),0)</f>
        <v>0</v>
      </c>
      <c r="Y49" s="36">
        <f>IFERROR(LOOKUP($C49,#REF!,#REF!),0)</f>
        <v>0</v>
      </c>
    </row>
    <row r="50" spans="1:25" ht="16.5" customHeight="1" x14ac:dyDescent="0.35">
      <c r="A50" s="3" t="s">
        <v>14</v>
      </c>
      <c r="B50" s="4">
        <v>103</v>
      </c>
      <c r="C50" s="5">
        <v>33050</v>
      </c>
      <c r="D50" s="3" t="s">
        <v>224</v>
      </c>
      <c r="E50" s="6">
        <v>10</v>
      </c>
      <c r="F50" s="16">
        <v>4.5599999999999996</v>
      </c>
      <c r="G50" s="49">
        <v>0</v>
      </c>
      <c r="H50" s="50">
        <f t="shared" si="0"/>
        <v>0</v>
      </c>
      <c r="I50" s="50">
        <f t="shared" si="1"/>
        <v>0</v>
      </c>
      <c r="J50" s="50">
        <f t="shared" si="2"/>
        <v>0</v>
      </c>
      <c r="K50" s="51">
        <f t="shared" si="3"/>
        <v>0</v>
      </c>
      <c r="L50" s="36"/>
      <c r="M50" s="11">
        <v>19072.490000000009</v>
      </c>
      <c r="N50" s="11">
        <v>16584.773913043486</v>
      </c>
      <c r="O50" s="11">
        <v>8124.3000000000011</v>
      </c>
      <c r="P50" s="8">
        <v>1593</v>
      </c>
      <c r="Q50" s="11">
        <v>8460.4739130434846</v>
      </c>
      <c r="R50" s="11">
        <v>11.972686754551168</v>
      </c>
      <c r="S50" s="11">
        <v>10.411031960479276</v>
      </c>
      <c r="T50" s="11">
        <v>5.1000000000000005</v>
      </c>
      <c r="U50" s="14">
        <v>51.013501645563863</v>
      </c>
      <c r="V50" s="36">
        <f>IFERROR(LOOKUP($C50,#REF!,#REF!),0)</f>
        <v>0</v>
      </c>
      <c r="W50" s="36">
        <f>IFERROR(LOOKUP($C50,#REF!,#REF!),0)</f>
        <v>0</v>
      </c>
      <c r="X50" s="36">
        <f>IFERROR(LOOKUP($C50,#REF!,#REF!),0)</f>
        <v>0</v>
      </c>
      <c r="Y50" s="36">
        <f>IFERROR(LOOKUP($C50,#REF!,#REF!),0)</f>
        <v>0</v>
      </c>
    </row>
    <row r="51" spans="1:25" ht="16.5" customHeight="1" x14ac:dyDescent="0.35">
      <c r="A51" s="3" t="s">
        <v>14</v>
      </c>
      <c r="B51" s="4">
        <v>103</v>
      </c>
      <c r="C51" s="5">
        <v>33051</v>
      </c>
      <c r="D51" s="3" t="s">
        <v>218</v>
      </c>
      <c r="E51" s="6">
        <v>10</v>
      </c>
      <c r="F51" s="16">
        <v>5.04</v>
      </c>
      <c r="G51" s="49">
        <v>0</v>
      </c>
      <c r="H51" s="50">
        <f t="shared" si="0"/>
        <v>0</v>
      </c>
      <c r="I51" s="50">
        <f t="shared" si="1"/>
        <v>0</v>
      </c>
      <c r="J51" s="50">
        <f t="shared" si="2"/>
        <v>0</v>
      </c>
      <c r="K51" s="51">
        <f t="shared" si="3"/>
        <v>0</v>
      </c>
      <c r="L51" s="36"/>
      <c r="M51" s="11">
        <v>19068.940000000002</v>
      </c>
      <c r="N51" s="11">
        <v>16581.686956521742</v>
      </c>
      <c r="O51" s="11">
        <v>2085.3583999999996</v>
      </c>
      <c r="P51" s="8">
        <v>656</v>
      </c>
      <c r="Q51" s="11">
        <v>14496.328556521743</v>
      </c>
      <c r="R51" s="11">
        <v>29.068506097560981</v>
      </c>
      <c r="S51" s="11">
        <v>25.276961823966069</v>
      </c>
      <c r="T51" s="11">
        <v>3.1788999999999996</v>
      </c>
      <c r="U51" s="14">
        <v>87.423725912399959</v>
      </c>
      <c r="V51" s="36">
        <f>IFERROR(LOOKUP($C51,#REF!,#REF!),0)</f>
        <v>0</v>
      </c>
      <c r="W51" s="36">
        <f>IFERROR(LOOKUP($C51,#REF!,#REF!),0)</f>
        <v>0</v>
      </c>
      <c r="X51" s="36">
        <f>IFERROR(LOOKUP($C51,#REF!,#REF!),0)</f>
        <v>0</v>
      </c>
      <c r="Y51" s="36">
        <f>IFERROR(LOOKUP($C51,#REF!,#REF!),0)</f>
        <v>0</v>
      </c>
    </row>
    <row r="52" spans="1:25" ht="16.5" customHeight="1" x14ac:dyDescent="0.35">
      <c r="A52" s="3" t="s">
        <v>14</v>
      </c>
      <c r="B52" s="4">
        <v>103</v>
      </c>
      <c r="C52" s="5">
        <v>33988</v>
      </c>
      <c r="D52" s="3" t="s">
        <v>214</v>
      </c>
      <c r="E52" s="6">
        <v>15</v>
      </c>
      <c r="F52" s="16">
        <v>9.1300000000000008</v>
      </c>
      <c r="G52" s="49">
        <v>0</v>
      </c>
      <c r="H52" s="50">
        <f t="shared" si="0"/>
        <v>0</v>
      </c>
      <c r="I52" s="50">
        <f t="shared" si="1"/>
        <v>0</v>
      </c>
      <c r="J52" s="50">
        <f t="shared" si="2"/>
        <v>0</v>
      </c>
      <c r="K52" s="51">
        <f t="shared" si="3"/>
        <v>0</v>
      </c>
      <c r="L52" s="36"/>
      <c r="M52" s="11">
        <v>18856.399999999998</v>
      </c>
      <c r="N52" s="11">
        <v>16396.869565217392</v>
      </c>
      <c r="O52" s="11">
        <v>8672.2000000000007</v>
      </c>
      <c r="P52" s="8">
        <v>1310</v>
      </c>
      <c r="Q52" s="11">
        <v>7724.6695652173876</v>
      </c>
      <c r="R52" s="11">
        <v>14.394198473282442</v>
      </c>
      <c r="S52" s="11">
        <v>12.516694324593429</v>
      </c>
      <c r="T52" s="11">
        <v>6.620000000000001</v>
      </c>
      <c r="U52" s="14">
        <v>47.110636176576634</v>
      </c>
      <c r="V52" s="36">
        <f>IFERROR(LOOKUP($C52,#REF!,#REF!),0)</f>
        <v>0</v>
      </c>
      <c r="W52" s="36">
        <f>IFERROR(LOOKUP($C52,#REF!,#REF!),0)</f>
        <v>0</v>
      </c>
      <c r="X52" s="36">
        <f>IFERROR(LOOKUP($C52,#REF!,#REF!),0)</f>
        <v>0</v>
      </c>
      <c r="Y52" s="36">
        <f>IFERROR(LOOKUP($C52,#REF!,#REF!),0)</f>
        <v>0</v>
      </c>
    </row>
    <row r="53" spans="1:25" ht="16.5" customHeight="1" x14ac:dyDescent="0.35">
      <c r="A53" s="3" t="s">
        <v>14</v>
      </c>
      <c r="B53" s="4">
        <v>103</v>
      </c>
      <c r="C53" s="5">
        <v>33989</v>
      </c>
      <c r="D53" s="3" t="s">
        <v>209</v>
      </c>
      <c r="E53" s="6">
        <v>30</v>
      </c>
      <c r="F53" s="16">
        <v>20.81</v>
      </c>
      <c r="G53" s="49">
        <v>0</v>
      </c>
      <c r="H53" s="50">
        <f t="shared" si="0"/>
        <v>0</v>
      </c>
      <c r="I53" s="50">
        <f t="shared" si="1"/>
        <v>0</v>
      </c>
      <c r="J53" s="50">
        <f t="shared" si="2"/>
        <v>0</v>
      </c>
      <c r="K53" s="51">
        <f t="shared" si="3"/>
        <v>0</v>
      </c>
      <c r="L53" s="36"/>
      <c r="M53" s="11">
        <v>18732.740000000005</v>
      </c>
      <c r="N53" s="11">
        <v>16289.339130434788</v>
      </c>
      <c r="O53" s="11">
        <v>0</v>
      </c>
      <c r="P53" s="8">
        <v>1271</v>
      </c>
      <c r="Q53" s="11">
        <v>16289.339130434786</v>
      </c>
      <c r="R53" s="11">
        <v>14.738583792289539</v>
      </c>
      <c r="S53" s="11">
        <v>12.816159819382209</v>
      </c>
      <c r="T53" s="11">
        <v>0</v>
      </c>
      <c r="U53" s="14">
        <v>100</v>
      </c>
      <c r="V53" s="36">
        <f>IFERROR(LOOKUP($C53,#REF!,#REF!),0)</f>
        <v>0</v>
      </c>
      <c r="W53" s="36">
        <f>IFERROR(LOOKUP($C53,#REF!,#REF!),0)</f>
        <v>0</v>
      </c>
      <c r="X53" s="36">
        <f>IFERROR(LOOKUP($C53,#REF!,#REF!),0)</f>
        <v>0</v>
      </c>
      <c r="Y53" s="36">
        <f>IFERROR(LOOKUP($C53,#REF!,#REF!),0)</f>
        <v>0</v>
      </c>
    </row>
    <row r="54" spans="1:25" ht="16.5" customHeight="1" x14ac:dyDescent="0.35">
      <c r="A54" s="3" t="s">
        <v>14</v>
      </c>
      <c r="B54" s="4">
        <v>103</v>
      </c>
      <c r="C54" s="5">
        <v>33990</v>
      </c>
      <c r="D54" s="3" t="s">
        <v>204</v>
      </c>
      <c r="E54" s="6">
        <v>21.99</v>
      </c>
      <c r="F54" s="16">
        <v>11.11</v>
      </c>
      <c r="G54" s="49">
        <v>0</v>
      </c>
      <c r="H54" s="50">
        <f t="shared" si="0"/>
        <v>0</v>
      </c>
      <c r="I54" s="50">
        <f t="shared" si="1"/>
        <v>0</v>
      </c>
      <c r="J54" s="50">
        <f t="shared" si="2"/>
        <v>0</v>
      </c>
      <c r="K54" s="51">
        <f t="shared" si="3"/>
        <v>0</v>
      </c>
      <c r="L54" s="36"/>
      <c r="M54" s="11">
        <v>17713.699999999997</v>
      </c>
      <c r="N54" s="11">
        <v>15403.21739130435</v>
      </c>
      <c r="O54" s="11">
        <v>9414.8016000000007</v>
      </c>
      <c r="P54" s="8">
        <v>4782</v>
      </c>
      <c r="Q54" s="11">
        <v>5988.4157913043455</v>
      </c>
      <c r="R54" s="11">
        <v>3.7042450857381843</v>
      </c>
      <c r="S54" s="11">
        <v>3.2210826832505961</v>
      </c>
      <c r="T54" s="11">
        <v>1.9688000000000001</v>
      </c>
      <c r="U54" s="14">
        <v>38.877694439896793</v>
      </c>
      <c r="V54" s="36">
        <f>IFERROR(LOOKUP($C54,#REF!,#REF!),0)</f>
        <v>0</v>
      </c>
      <c r="W54" s="36">
        <f>IFERROR(LOOKUP($C54,#REF!,#REF!),0)</f>
        <v>0</v>
      </c>
      <c r="X54" s="36">
        <f>IFERROR(LOOKUP($C54,#REF!,#REF!),0)</f>
        <v>0</v>
      </c>
      <c r="Y54" s="36">
        <f>IFERROR(LOOKUP($C54,#REF!,#REF!),0)</f>
        <v>0</v>
      </c>
    </row>
    <row r="55" spans="1:25" ht="16.5" customHeight="1" x14ac:dyDescent="0.35">
      <c r="A55" s="3" t="s">
        <v>14</v>
      </c>
      <c r="B55" s="4">
        <v>118</v>
      </c>
      <c r="C55" s="5">
        <v>33991</v>
      </c>
      <c r="D55" s="3" t="s">
        <v>261</v>
      </c>
      <c r="E55" s="6">
        <v>100</v>
      </c>
      <c r="F55" s="16">
        <v>51.82</v>
      </c>
      <c r="G55" s="49">
        <v>0</v>
      </c>
      <c r="H55" s="50">
        <f t="shared" si="0"/>
        <v>0</v>
      </c>
      <c r="I55" s="50">
        <f t="shared" si="1"/>
        <v>0</v>
      </c>
      <c r="J55" s="50">
        <f t="shared" si="2"/>
        <v>0</v>
      </c>
      <c r="K55" s="51">
        <f t="shared" si="3"/>
        <v>0</v>
      </c>
      <c r="L55" s="36"/>
      <c r="M55" s="11">
        <v>17713.699999999997</v>
      </c>
      <c r="N55" s="11">
        <v>15403.21739130435</v>
      </c>
      <c r="O55" s="11">
        <v>9414.8016000000007</v>
      </c>
      <c r="P55" s="8">
        <v>4782</v>
      </c>
      <c r="Q55" s="11">
        <v>5988.4157913043455</v>
      </c>
      <c r="R55" s="11">
        <v>3.7042450857381843</v>
      </c>
      <c r="S55" s="11">
        <v>3.2210826832505961</v>
      </c>
      <c r="T55" s="11">
        <v>1.9688000000000001</v>
      </c>
      <c r="U55" s="14">
        <v>38.877694439896793</v>
      </c>
      <c r="V55" s="36">
        <f>IFERROR(LOOKUP($C55,#REF!,#REF!),0)</f>
        <v>0</v>
      </c>
      <c r="W55" s="36">
        <f>IFERROR(LOOKUP($C55,#REF!,#REF!),0)</f>
        <v>0</v>
      </c>
      <c r="X55" s="36">
        <f>IFERROR(LOOKUP($C55,#REF!,#REF!),0)</f>
        <v>0</v>
      </c>
      <c r="Y55" s="36">
        <f>IFERROR(LOOKUP($C55,#REF!,#REF!),0)</f>
        <v>0</v>
      </c>
    </row>
    <row r="56" spans="1:25" ht="16.5" customHeight="1" x14ac:dyDescent="0.35">
      <c r="A56" s="3" t="s">
        <v>14</v>
      </c>
      <c r="B56" s="4">
        <v>102</v>
      </c>
      <c r="C56" s="5">
        <v>33995</v>
      </c>
      <c r="D56" s="3" t="s">
        <v>89</v>
      </c>
      <c r="E56" s="6">
        <v>15.99</v>
      </c>
      <c r="F56" s="16">
        <v>8.2200000000000006</v>
      </c>
      <c r="G56" s="49">
        <v>16</v>
      </c>
      <c r="H56" s="50">
        <f t="shared" si="0"/>
        <v>255.84</v>
      </c>
      <c r="I56" s="50">
        <f t="shared" si="1"/>
        <v>131.52000000000001</v>
      </c>
      <c r="J56" s="50">
        <f t="shared" si="2"/>
        <v>124.32</v>
      </c>
      <c r="K56" s="51">
        <f t="shared" si="3"/>
        <v>48.592870544090054</v>
      </c>
      <c r="L56" s="36"/>
      <c r="M56" s="11">
        <v>17495.680000000004</v>
      </c>
      <c r="N56" s="11">
        <v>15213.634782608699</v>
      </c>
      <c r="O56" s="11">
        <v>8329.9131999999991</v>
      </c>
      <c r="P56" s="8">
        <v>1883</v>
      </c>
      <c r="Q56" s="11">
        <v>6883.7215826087031</v>
      </c>
      <c r="R56" s="11">
        <v>9.2913860860329276</v>
      </c>
      <c r="S56" s="11">
        <v>8.0794661617677637</v>
      </c>
      <c r="T56" s="11">
        <v>4.4237457249070626</v>
      </c>
      <c r="U56" s="14">
        <v>45.247054244247749</v>
      </c>
      <c r="V56" s="36">
        <f>IFERROR(LOOKUP($C56,#REF!,#REF!),0)</f>
        <v>0</v>
      </c>
      <c r="W56" s="36">
        <f>IFERROR(LOOKUP($C56,#REF!,#REF!),0)</f>
        <v>0</v>
      </c>
      <c r="X56" s="36">
        <f>IFERROR(LOOKUP($C56,#REF!,#REF!),0)</f>
        <v>0</v>
      </c>
      <c r="Y56" s="36">
        <f>IFERROR(LOOKUP($C56,#REF!,#REF!),0)</f>
        <v>0</v>
      </c>
    </row>
    <row r="57" spans="1:25" ht="16.5" customHeight="1" x14ac:dyDescent="0.35">
      <c r="A57" s="3" t="s">
        <v>14</v>
      </c>
      <c r="B57" s="4">
        <v>101</v>
      </c>
      <c r="C57" s="5">
        <v>33997</v>
      </c>
      <c r="D57" s="3" t="s">
        <v>38</v>
      </c>
      <c r="E57" s="6">
        <v>14.99</v>
      </c>
      <c r="F57" s="16">
        <v>7.62</v>
      </c>
      <c r="G57" s="49">
        <v>30</v>
      </c>
      <c r="H57" s="50">
        <f t="shared" si="0"/>
        <v>449.7</v>
      </c>
      <c r="I57" s="50">
        <f t="shared" si="1"/>
        <v>228.6</v>
      </c>
      <c r="J57" s="50">
        <f t="shared" si="2"/>
        <v>221.1</v>
      </c>
      <c r="K57" s="51">
        <f t="shared" si="3"/>
        <v>49.166110740493664</v>
      </c>
      <c r="L57" s="36"/>
      <c r="M57" s="11">
        <v>16771.030000000002</v>
      </c>
      <c r="N57" s="11">
        <v>14583.504347826092</v>
      </c>
      <c r="O57" s="11">
        <v>8612.2000000000007</v>
      </c>
      <c r="P57" s="8">
        <v>947</v>
      </c>
      <c r="Q57" s="11">
        <v>5971.3043478260897</v>
      </c>
      <c r="R57" s="11">
        <v>17.709640971488916</v>
      </c>
      <c r="S57" s="11">
        <v>15.399687801294712</v>
      </c>
      <c r="T57" s="11">
        <v>9.0941921858500532</v>
      </c>
      <c r="U57" s="14">
        <v>40.945606799343878</v>
      </c>
      <c r="V57" s="36">
        <f>IFERROR(LOOKUP($C57,#REF!,#REF!),0)</f>
        <v>0</v>
      </c>
      <c r="W57" s="36">
        <f>IFERROR(LOOKUP($C57,#REF!,#REF!),0)</f>
        <v>0</v>
      </c>
      <c r="X57" s="36">
        <f>IFERROR(LOOKUP($C57,#REF!,#REF!),0)</f>
        <v>0</v>
      </c>
      <c r="Y57" s="36">
        <f>IFERROR(LOOKUP($C57,#REF!,#REF!),0)</f>
        <v>0</v>
      </c>
    </row>
    <row r="58" spans="1:25" ht="16.5" customHeight="1" x14ac:dyDescent="0.35">
      <c r="A58" s="3" t="s">
        <v>14</v>
      </c>
      <c r="B58" s="4">
        <v>119</v>
      </c>
      <c r="C58" s="5">
        <v>34003</v>
      </c>
      <c r="D58" s="3" t="s">
        <v>263</v>
      </c>
      <c r="E58" s="6">
        <v>120</v>
      </c>
      <c r="F58" s="16">
        <v>62.47</v>
      </c>
      <c r="G58" s="49">
        <v>0</v>
      </c>
      <c r="H58" s="50">
        <f t="shared" si="0"/>
        <v>0</v>
      </c>
      <c r="I58" s="50">
        <f t="shared" si="1"/>
        <v>0</v>
      </c>
      <c r="J58" s="50">
        <f t="shared" si="2"/>
        <v>0</v>
      </c>
      <c r="K58" s="51">
        <f t="shared" si="3"/>
        <v>0</v>
      </c>
      <c r="L58" s="36"/>
      <c r="M58" s="11">
        <v>16500</v>
      </c>
      <c r="N58" s="11">
        <v>14347.826086956522</v>
      </c>
      <c r="O58" s="11">
        <v>14307.84</v>
      </c>
      <c r="P58" s="8">
        <v>1944</v>
      </c>
      <c r="Q58" s="11">
        <v>39.986086956521831</v>
      </c>
      <c r="R58" s="11">
        <v>8.4876543209876552</v>
      </c>
      <c r="S58" s="11">
        <v>7.3805689747718732</v>
      </c>
      <c r="T58" s="11">
        <v>7.36</v>
      </c>
      <c r="U58" s="14">
        <v>0.27869090909090971</v>
      </c>
      <c r="V58" s="36">
        <f>IFERROR(LOOKUP($C58,#REF!,#REF!),0)</f>
        <v>0</v>
      </c>
      <c r="W58" s="36">
        <f>IFERROR(LOOKUP($C58,#REF!,#REF!),0)</f>
        <v>0</v>
      </c>
      <c r="X58" s="36">
        <f>IFERROR(LOOKUP($C58,#REF!,#REF!),0)</f>
        <v>0</v>
      </c>
      <c r="Y58" s="36">
        <f>IFERROR(LOOKUP($C58,#REF!,#REF!),0)</f>
        <v>0</v>
      </c>
    </row>
    <row r="59" spans="1:25" ht="16.5" customHeight="1" x14ac:dyDescent="0.35">
      <c r="A59" s="3" t="s">
        <v>14</v>
      </c>
      <c r="B59" s="4">
        <v>101</v>
      </c>
      <c r="C59" s="5">
        <v>34004</v>
      </c>
      <c r="D59" s="3" t="s">
        <v>49</v>
      </c>
      <c r="E59" s="6">
        <v>1</v>
      </c>
      <c r="F59" s="16">
        <v>0.65</v>
      </c>
      <c r="G59" s="49">
        <v>0</v>
      </c>
      <c r="H59" s="50">
        <f t="shared" si="0"/>
        <v>0</v>
      </c>
      <c r="I59" s="50">
        <f t="shared" si="1"/>
        <v>0</v>
      </c>
      <c r="J59" s="50">
        <f t="shared" si="2"/>
        <v>0</v>
      </c>
      <c r="K59" s="51">
        <f t="shared" si="3"/>
        <v>0</v>
      </c>
      <c r="L59" s="36"/>
      <c r="M59" s="11">
        <v>15558.990000000003</v>
      </c>
      <c r="N59" s="11">
        <v>13529.556521739132</v>
      </c>
      <c r="O59" s="11">
        <v>5099.03</v>
      </c>
      <c r="P59" s="8">
        <v>571</v>
      </c>
      <c r="Q59" s="11">
        <v>8430.5265217391352</v>
      </c>
      <c r="R59" s="11">
        <v>27.24866900175132</v>
      </c>
      <c r="S59" s="11">
        <v>23.694494784131582</v>
      </c>
      <c r="T59" s="11">
        <v>8.93</v>
      </c>
      <c r="U59" s="14">
        <v>62.311920632380392</v>
      </c>
      <c r="V59" s="36">
        <f>IFERROR(LOOKUP($C59,#REF!,#REF!),0)</f>
        <v>0</v>
      </c>
      <c r="W59" s="36">
        <f>IFERROR(LOOKUP($C59,#REF!,#REF!),0)</f>
        <v>0</v>
      </c>
      <c r="X59" s="36">
        <f>IFERROR(LOOKUP($C59,#REF!,#REF!),0)</f>
        <v>0</v>
      </c>
      <c r="Y59" s="36">
        <f>IFERROR(LOOKUP($C59,#REF!,#REF!),0)</f>
        <v>0</v>
      </c>
    </row>
    <row r="60" spans="1:25" ht="16.5" customHeight="1" x14ac:dyDescent="0.35">
      <c r="A60" s="3" t="s">
        <v>14</v>
      </c>
      <c r="B60" s="4">
        <v>101</v>
      </c>
      <c r="C60" s="5">
        <v>34006</v>
      </c>
      <c r="D60" s="3" t="s">
        <v>61</v>
      </c>
      <c r="E60" s="6">
        <v>10.99</v>
      </c>
      <c r="F60" s="16">
        <v>6.3</v>
      </c>
      <c r="G60" s="49">
        <v>0</v>
      </c>
      <c r="H60" s="50">
        <f t="shared" si="0"/>
        <v>0</v>
      </c>
      <c r="I60" s="50">
        <f t="shared" si="1"/>
        <v>0</v>
      </c>
      <c r="J60" s="50">
        <f t="shared" si="2"/>
        <v>0</v>
      </c>
      <c r="K60" s="51">
        <f t="shared" si="3"/>
        <v>0</v>
      </c>
      <c r="L60" s="36"/>
      <c r="M60" s="11">
        <v>15397.9</v>
      </c>
      <c r="N60" s="11">
        <v>13389.478260869564</v>
      </c>
      <c r="O60" s="11">
        <v>6945.7499999999991</v>
      </c>
      <c r="P60" s="8">
        <v>2205</v>
      </c>
      <c r="Q60" s="11">
        <v>6443.728260869565</v>
      </c>
      <c r="R60" s="11">
        <v>6.9831746031746027</v>
      </c>
      <c r="S60" s="11">
        <v>6.0723257418909586</v>
      </c>
      <c r="T60" s="11">
        <v>3.1499999999999995</v>
      </c>
      <c r="U60" s="14">
        <v>48.125312542619454</v>
      </c>
      <c r="V60" s="36">
        <f>IFERROR(LOOKUP($C60,#REF!,#REF!),0)</f>
        <v>0</v>
      </c>
      <c r="W60" s="36">
        <f>IFERROR(LOOKUP($C60,#REF!,#REF!),0)</f>
        <v>0</v>
      </c>
      <c r="X60" s="36">
        <f>IFERROR(LOOKUP($C60,#REF!,#REF!),0)</f>
        <v>0</v>
      </c>
      <c r="Y60" s="36">
        <f>IFERROR(LOOKUP($C60,#REF!,#REF!),0)</f>
        <v>0</v>
      </c>
    </row>
    <row r="61" spans="1:25" ht="16.5" customHeight="1" x14ac:dyDescent="0.35">
      <c r="A61" s="3" t="s">
        <v>14</v>
      </c>
      <c r="B61" s="4">
        <v>102</v>
      </c>
      <c r="C61" s="5">
        <v>34008</v>
      </c>
      <c r="D61" s="3" t="s">
        <v>101</v>
      </c>
      <c r="E61" s="6">
        <v>5.99</v>
      </c>
      <c r="F61" s="16">
        <v>4.32</v>
      </c>
      <c r="G61" s="49">
        <v>12</v>
      </c>
      <c r="H61" s="50">
        <f t="shared" si="0"/>
        <v>71.88</v>
      </c>
      <c r="I61" s="50">
        <f t="shared" si="1"/>
        <v>51.84</v>
      </c>
      <c r="J61" s="50">
        <f t="shared" si="2"/>
        <v>20.039999999999992</v>
      </c>
      <c r="K61" s="51">
        <f t="shared" si="3"/>
        <v>27.879799666110173</v>
      </c>
      <c r="L61" s="36"/>
      <c r="M61" s="11">
        <v>15192.550000000003</v>
      </c>
      <c r="N61" s="11">
        <v>13210.913043478264</v>
      </c>
      <c r="O61" s="11">
        <v>7732.4399999999987</v>
      </c>
      <c r="P61" s="8">
        <v>846</v>
      </c>
      <c r="Q61" s="11">
        <v>5478.473043478265</v>
      </c>
      <c r="R61" s="11">
        <v>17.958096926713953</v>
      </c>
      <c r="S61" s="11">
        <v>15.615736458012131</v>
      </c>
      <c r="T61" s="11">
        <v>9.1399999999999988</v>
      </c>
      <c r="U61" s="14">
        <v>41.469299097254925</v>
      </c>
      <c r="V61" s="36">
        <f>IFERROR(LOOKUP($C61,#REF!,#REF!),0)</f>
        <v>0</v>
      </c>
      <c r="W61" s="36">
        <f>IFERROR(LOOKUP($C61,#REF!,#REF!),0)</f>
        <v>0</v>
      </c>
      <c r="X61" s="36">
        <f>IFERROR(LOOKUP($C61,#REF!,#REF!),0)</f>
        <v>0</v>
      </c>
      <c r="Y61" s="36">
        <f>IFERROR(LOOKUP($C61,#REF!,#REF!),0)</f>
        <v>0</v>
      </c>
    </row>
    <row r="62" spans="1:25" ht="16.5" customHeight="1" x14ac:dyDescent="0.35">
      <c r="A62" s="3" t="s">
        <v>14</v>
      </c>
      <c r="B62" s="4">
        <v>101</v>
      </c>
      <c r="C62" s="5">
        <v>34011</v>
      </c>
      <c r="D62" s="3" t="s">
        <v>64</v>
      </c>
      <c r="E62" s="6">
        <v>19.989999999999998</v>
      </c>
      <c r="F62" s="16">
        <v>2.63</v>
      </c>
      <c r="G62" s="49">
        <v>6</v>
      </c>
      <c r="H62" s="50">
        <f t="shared" si="0"/>
        <v>119.94</v>
      </c>
      <c r="I62" s="50">
        <f t="shared" si="1"/>
        <v>15.78</v>
      </c>
      <c r="J62" s="50">
        <f t="shared" si="2"/>
        <v>104.16</v>
      </c>
      <c r="K62" s="51">
        <f t="shared" si="3"/>
        <v>86.843421710855424</v>
      </c>
      <c r="L62" s="36"/>
      <c r="M62" s="11">
        <v>13376</v>
      </c>
      <c r="N62" s="11">
        <v>11631.304347826088</v>
      </c>
      <c r="O62" s="11">
        <v>4642.8999999999996</v>
      </c>
      <c r="P62" s="8">
        <v>6605</v>
      </c>
      <c r="Q62" s="11">
        <v>6988.4043478260865</v>
      </c>
      <c r="R62" s="11">
        <v>2.025132475397426</v>
      </c>
      <c r="S62" s="11">
        <v>1.7609847612151535</v>
      </c>
      <c r="T62" s="11">
        <v>0.70293716881150636</v>
      </c>
      <c r="U62" s="14">
        <v>60.082722787081345</v>
      </c>
      <c r="V62" s="36">
        <f>IFERROR(LOOKUP($C62,#REF!,#REF!),0)</f>
        <v>0</v>
      </c>
      <c r="W62" s="36">
        <f>IFERROR(LOOKUP($C62,#REF!,#REF!),0)</f>
        <v>0</v>
      </c>
      <c r="X62" s="36">
        <f>IFERROR(LOOKUP($C62,#REF!,#REF!),0)</f>
        <v>0</v>
      </c>
      <c r="Y62" s="36">
        <f>IFERROR(LOOKUP($C62,#REF!,#REF!),0)</f>
        <v>0</v>
      </c>
    </row>
    <row r="63" spans="1:25" ht="16.5" customHeight="1" x14ac:dyDescent="0.35">
      <c r="A63" s="3" t="s">
        <v>14</v>
      </c>
      <c r="B63" s="4">
        <v>118</v>
      </c>
      <c r="C63" s="5">
        <v>34014</v>
      </c>
      <c r="D63" s="3" t="s">
        <v>255</v>
      </c>
      <c r="E63" s="6">
        <v>100</v>
      </c>
      <c r="F63" s="16">
        <v>52.03</v>
      </c>
      <c r="G63" s="49">
        <v>0</v>
      </c>
      <c r="H63" s="50">
        <f t="shared" si="0"/>
        <v>0</v>
      </c>
      <c r="I63" s="50">
        <f t="shared" si="1"/>
        <v>0</v>
      </c>
      <c r="J63" s="50">
        <f t="shared" si="2"/>
        <v>0</v>
      </c>
      <c r="K63" s="51">
        <f t="shared" si="3"/>
        <v>0</v>
      </c>
      <c r="L63" s="36"/>
      <c r="M63" s="11">
        <v>12774.550000000001</v>
      </c>
      <c r="N63" s="11">
        <v>11108.304347826088</v>
      </c>
      <c r="O63" s="11">
        <v>6960</v>
      </c>
      <c r="P63" s="8">
        <v>266</v>
      </c>
      <c r="Q63" s="11">
        <v>4148.3043478260879</v>
      </c>
      <c r="R63" s="11">
        <v>48.02462406015038</v>
      </c>
      <c r="S63" s="11">
        <v>41.760542661000329</v>
      </c>
      <c r="T63" s="11">
        <v>26.165413533834588</v>
      </c>
      <c r="U63" s="14">
        <v>37.344172593163755</v>
      </c>
      <c r="V63" s="36">
        <f>IFERROR(LOOKUP($C63,#REF!,#REF!),0)</f>
        <v>0</v>
      </c>
      <c r="W63" s="36">
        <f>IFERROR(LOOKUP($C63,#REF!,#REF!),0)</f>
        <v>0</v>
      </c>
      <c r="X63" s="36">
        <f>IFERROR(LOOKUP($C63,#REF!,#REF!),0)</f>
        <v>0</v>
      </c>
      <c r="Y63" s="36">
        <f>IFERROR(LOOKUP($C63,#REF!,#REF!),0)</f>
        <v>0</v>
      </c>
    </row>
    <row r="64" spans="1:25" ht="16.5" customHeight="1" x14ac:dyDescent="0.35">
      <c r="A64" s="3" t="s">
        <v>14</v>
      </c>
      <c r="B64" s="4">
        <v>101</v>
      </c>
      <c r="C64" s="5">
        <v>34019</v>
      </c>
      <c r="D64" s="3" t="s">
        <v>84</v>
      </c>
      <c r="E64" s="6">
        <v>5.99</v>
      </c>
      <c r="F64" s="16">
        <v>3.12</v>
      </c>
      <c r="G64" s="49">
        <v>0</v>
      </c>
      <c r="H64" s="50">
        <f t="shared" si="0"/>
        <v>0</v>
      </c>
      <c r="I64" s="50">
        <f t="shared" si="1"/>
        <v>0</v>
      </c>
      <c r="J64" s="50">
        <f t="shared" si="2"/>
        <v>0</v>
      </c>
      <c r="K64" s="51">
        <f t="shared" si="3"/>
        <v>0</v>
      </c>
      <c r="L64" s="36"/>
      <c r="M64" s="11">
        <v>12642.460000000001</v>
      </c>
      <c r="N64" s="11">
        <v>10993.443478260871</v>
      </c>
      <c r="O64" s="11">
        <v>7282.18</v>
      </c>
      <c r="P64" s="8">
        <v>254</v>
      </c>
      <c r="Q64" s="11">
        <v>3711.2634782608693</v>
      </c>
      <c r="R64" s="11">
        <v>49.773464566929135</v>
      </c>
      <c r="S64" s="11">
        <v>43.281273536460127</v>
      </c>
      <c r="T64" s="11">
        <v>28.67</v>
      </c>
      <c r="U64" s="14">
        <v>33.758880787441683</v>
      </c>
      <c r="V64" s="36">
        <f>IFERROR(LOOKUP($C64,#REF!,#REF!),0)</f>
        <v>0</v>
      </c>
      <c r="W64" s="36">
        <f>IFERROR(LOOKUP($C64,#REF!,#REF!),0)</f>
        <v>0</v>
      </c>
      <c r="X64" s="36">
        <f>IFERROR(LOOKUP($C64,#REF!,#REF!),0)</f>
        <v>0</v>
      </c>
      <c r="Y64" s="36">
        <f>IFERROR(LOOKUP($C64,#REF!,#REF!),0)</f>
        <v>0</v>
      </c>
    </row>
    <row r="65" spans="1:25" ht="16.5" customHeight="1" x14ac:dyDescent="0.35">
      <c r="A65" s="3" t="s">
        <v>14</v>
      </c>
      <c r="B65" s="4">
        <v>102</v>
      </c>
      <c r="C65" s="5">
        <v>34021</v>
      </c>
      <c r="D65" s="3" t="s">
        <v>165</v>
      </c>
      <c r="E65" s="6">
        <v>32.99</v>
      </c>
      <c r="F65" s="16">
        <v>15.39</v>
      </c>
      <c r="G65" s="49">
        <v>0</v>
      </c>
      <c r="H65" s="50">
        <f t="shared" si="0"/>
        <v>0</v>
      </c>
      <c r="I65" s="50">
        <f t="shared" si="1"/>
        <v>0</v>
      </c>
      <c r="J65" s="50">
        <f t="shared" si="2"/>
        <v>0</v>
      </c>
      <c r="K65" s="51">
        <f t="shared" si="3"/>
        <v>0</v>
      </c>
      <c r="L65" s="36"/>
      <c r="M65" s="11">
        <v>12421.890000000003</v>
      </c>
      <c r="N65" s="11">
        <v>10801.643478260869</v>
      </c>
      <c r="O65" s="11">
        <v>0</v>
      </c>
      <c r="P65" s="8">
        <v>761</v>
      </c>
      <c r="Q65" s="11">
        <v>10801.643478260872</v>
      </c>
      <c r="R65" s="11">
        <v>16.323114323258874</v>
      </c>
      <c r="S65" s="11">
        <v>14.194012455007712</v>
      </c>
      <c r="T65" s="11">
        <v>0</v>
      </c>
      <c r="U65" s="14">
        <v>100</v>
      </c>
      <c r="V65" s="36">
        <f>IFERROR(LOOKUP($C65,#REF!,#REF!),0)</f>
        <v>0</v>
      </c>
      <c r="W65" s="36">
        <f>IFERROR(LOOKUP($C65,#REF!,#REF!),0)</f>
        <v>0</v>
      </c>
      <c r="X65" s="36">
        <f>IFERROR(LOOKUP($C65,#REF!,#REF!),0)</f>
        <v>0</v>
      </c>
      <c r="Y65" s="36">
        <f>IFERROR(LOOKUP($C65,#REF!,#REF!),0)</f>
        <v>0</v>
      </c>
    </row>
    <row r="66" spans="1:25" ht="16.5" customHeight="1" x14ac:dyDescent="0.35">
      <c r="A66" s="3" t="s">
        <v>14</v>
      </c>
      <c r="B66" s="4">
        <v>101</v>
      </c>
      <c r="C66" s="5">
        <v>34022</v>
      </c>
      <c r="D66" s="3" t="s">
        <v>53</v>
      </c>
      <c r="E66" s="6">
        <v>5.99</v>
      </c>
      <c r="F66" s="16">
        <v>2.72</v>
      </c>
      <c r="G66" s="49">
        <v>24</v>
      </c>
      <c r="H66" s="50">
        <f t="shared" si="0"/>
        <v>143.76</v>
      </c>
      <c r="I66" s="50">
        <f t="shared" si="1"/>
        <v>65.28</v>
      </c>
      <c r="J66" s="50">
        <f t="shared" si="2"/>
        <v>78.47999999999999</v>
      </c>
      <c r="K66" s="51">
        <f t="shared" si="3"/>
        <v>54.590984974958253</v>
      </c>
      <c r="L66" s="36"/>
      <c r="M66" s="11">
        <v>12033.220000000001</v>
      </c>
      <c r="N66" s="11">
        <v>10463.669565217391</v>
      </c>
      <c r="O66" s="11">
        <v>4416.5</v>
      </c>
      <c r="P66" s="8">
        <v>803</v>
      </c>
      <c r="Q66" s="11">
        <v>6047.169565217393</v>
      </c>
      <c r="R66" s="11">
        <v>14.985330012453302</v>
      </c>
      <c r="S66" s="11">
        <v>13.030721749959392</v>
      </c>
      <c r="T66" s="11">
        <v>5.5</v>
      </c>
      <c r="U66" s="14">
        <v>57.792053997184468</v>
      </c>
      <c r="V66" s="36">
        <f>IFERROR(LOOKUP($C66,#REF!,#REF!),0)</f>
        <v>0</v>
      </c>
      <c r="W66" s="36">
        <f>IFERROR(LOOKUP($C66,#REF!,#REF!),0)</f>
        <v>0</v>
      </c>
      <c r="X66" s="36">
        <f>IFERROR(LOOKUP($C66,#REF!,#REF!),0)</f>
        <v>0</v>
      </c>
      <c r="Y66" s="36">
        <f>IFERROR(LOOKUP($C66,#REF!,#REF!),0)</f>
        <v>0</v>
      </c>
    </row>
    <row r="67" spans="1:25" ht="16.5" customHeight="1" x14ac:dyDescent="0.35">
      <c r="A67" s="3" t="s">
        <v>14</v>
      </c>
      <c r="B67" s="4">
        <v>101</v>
      </c>
      <c r="C67" s="5">
        <v>34023</v>
      </c>
      <c r="D67" s="3" t="s">
        <v>47</v>
      </c>
      <c r="E67" s="6">
        <v>6.99</v>
      </c>
      <c r="F67" s="16">
        <v>2.85</v>
      </c>
      <c r="G67" s="49">
        <v>28</v>
      </c>
      <c r="H67" s="50">
        <f t="shared" si="0"/>
        <v>195.72</v>
      </c>
      <c r="I67" s="50">
        <f t="shared" si="1"/>
        <v>79.8</v>
      </c>
      <c r="J67" s="50">
        <f t="shared" si="2"/>
        <v>115.92</v>
      </c>
      <c r="K67" s="51">
        <f t="shared" si="3"/>
        <v>59.227467811158796</v>
      </c>
      <c r="L67" s="36"/>
      <c r="M67" s="11">
        <v>11775.560000000001</v>
      </c>
      <c r="N67" s="11">
        <v>10239.617391304349</v>
      </c>
      <c r="O67" s="11">
        <v>4932.8799999999992</v>
      </c>
      <c r="P67" s="8">
        <v>394</v>
      </c>
      <c r="Q67" s="11">
        <v>5306.7373913043484</v>
      </c>
      <c r="R67" s="11">
        <v>29.887208121827413</v>
      </c>
      <c r="S67" s="11">
        <v>25.988876627676014</v>
      </c>
      <c r="T67" s="11">
        <v>12.519999999999998</v>
      </c>
      <c r="U67" s="14">
        <v>51.825543753333179</v>
      </c>
      <c r="V67" s="36">
        <f>IFERROR(LOOKUP($C67,#REF!,#REF!),0)</f>
        <v>0</v>
      </c>
      <c r="W67" s="36">
        <f>IFERROR(LOOKUP($C67,#REF!,#REF!),0)</f>
        <v>0</v>
      </c>
      <c r="X67" s="36">
        <f>IFERROR(LOOKUP($C67,#REF!,#REF!),0)</f>
        <v>0</v>
      </c>
      <c r="Y67" s="36">
        <f>IFERROR(LOOKUP($C67,#REF!,#REF!),0)</f>
        <v>0</v>
      </c>
    </row>
    <row r="68" spans="1:25" ht="16.5" customHeight="1" x14ac:dyDescent="0.35">
      <c r="A68" s="3" t="s">
        <v>14</v>
      </c>
      <c r="B68" s="4">
        <v>101</v>
      </c>
      <c r="C68" s="5">
        <v>34024</v>
      </c>
      <c r="D68" s="3" t="s">
        <v>23</v>
      </c>
      <c r="E68" s="6">
        <v>37.99</v>
      </c>
      <c r="F68" s="16">
        <v>16.5</v>
      </c>
      <c r="G68" s="49">
        <v>36</v>
      </c>
      <c r="H68" s="50">
        <f t="shared" ref="H68:H131" si="4">E68*G68</f>
        <v>1367.64</v>
      </c>
      <c r="I68" s="50">
        <f t="shared" ref="I68:I131" si="5">F68*G68</f>
        <v>594</v>
      </c>
      <c r="J68" s="50">
        <f t="shared" ref="J68:J131" si="6">H68-I68</f>
        <v>773.6400000000001</v>
      </c>
      <c r="K68" s="51">
        <f t="shared" si="3"/>
        <v>56.567517767833642</v>
      </c>
      <c r="L68" s="36"/>
      <c r="M68" s="11">
        <v>11462.840000000002</v>
      </c>
      <c r="N68" s="11">
        <v>9967.6869565217421</v>
      </c>
      <c r="O68" s="11">
        <v>6045.9300000000012</v>
      </c>
      <c r="P68" s="8">
        <v>591</v>
      </c>
      <c r="Q68" s="11">
        <v>3921.7569565217391</v>
      </c>
      <c r="R68" s="11">
        <v>19.395668358714047</v>
      </c>
      <c r="S68" s="11">
        <v>16.865798572794827</v>
      </c>
      <c r="T68" s="11">
        <v>10.230000000000002</v>
      </c>
      <c r="U68" s="14">
        <v>39.344704279218753</v>
      </c>
      <c r="V68" s="36">
        <f>IFERROR(LOOKUP($C68,#REF!,#REF!),0)</f>
        <v>0</v>
      </c>
      <c r="W68" s="36">
        <f>IFERROR(LOOKUP($C68,#REF!,#REF!),0)</f>
        <v>0</v>
      </c>
      <c r="X68" s="36">
        <f>IFERROR(LOOKUP($C68,#REF!,#REF!),0)</f>
        <v>0</v>
      </c>
      <c r="Y68" s="36">
        <f>IFERROR(LOOKUP($C68,#REF!,#REF!),0)</f>
        <v>0</v>
      </c>
    </row>
    <row r="69" spans="1:25" ht="16.5" customHeight="1" x14ac:dyDescent="0.35">
      <c r="A69" s="3" t="s">
        <v>14</v>
      </c>
      <c r="B69" s="4">
        <v>118</v>
      </c>
      <c r="C69" s="5">
        <v>34025</v>
      </c>
      <c r="D69" s="3" t="s">
        <v>258</v>
      </c>
      <c r="E69" s="6">
        <v>120</v>
      </c>
      <c r="F69" s="16">
        <v>62.39</v>
      </c>
      <c r="G69" s="49">
        <v>0</v>
      </c>
      <c r="H69" s="50">
        <f t="shared" si="4"/>
        <v>0</v>
      </c>
      <c r="I69" s="50">
        <f t="shared" si="5"/>
        <v>0</v>
      </c>
      <c r="J69" s="50">
        <f t="shared" si="6"/>
        <v>0</v>
      </c>
      <c r="K69" s="51">
        <f t="shared" ref="K69:K132" si="7">IFERROR(J69/H69*100,0)</f>
        <v>0</v>
      </c>
      <c r="L69" s="36"/>
      <c r="M69" s="11">
        <v>10470.77</v>
      </c>
      <c r="N69" s="11">
        <v>9105.0173913043491</v>
      </c>
      <c r="O69" s="11">
        <v>4136.079999999999</v>
      </c>
      <c r="P69" s="8">
        <v>388</v>
      </c>
      <c r="Q69" s="11">
        <v>4968.9373913043482</v>
      </c>
      <c r="R69" s="11">
        <v>26.986520618556703</v>
      </c>
      <c r="S69" s="11">
        <v>23.46653966831018</v>
      </c>
      <c r="T69" s="11">
        <v>10.659999999999997</v>
      </c>
      <c r="U69" s="14">
        <v>54.573617795061878</v>
      </c>
      <c r="V69" s="36">
        <f>IFERROR(LOOKUP($C69,#REF!,#REF!),0)</f>
        <v>0</v>
      </c>
      <c r="W69" s="36">
        <f>IFERROR(LOOKUP($C69,#REF!,#REF!),0)</f>
        <v>0</v>
      </c>
      <c r="X69" s="36">
        <f>IFERROR(LOOKUP($C69,#REF!,#REF!),0)</f>
        <v>0</v>
      </c>
      <c r="Y69" s="36">
        <f>IFERROR(LOOKUP($C69,#REF!,#REF!),0)</f>
        <v>0</v>
      </c>
    </row>
    <row r="70" spans="1:25" ht="16.5" customHeight="1" x14ac:dyDescent="0.35">
      <c r="A70" s="3" t="s">
        <v>14</v>
      </c>
      <c r="B70" s="4">
        <v>106</v>
      </c>
      <c r="C70" s="5">
        <v>34027</v>
      </c>
      <c r="D70" s="3" t="s">
        <v>242</v>
      </c>
      <c r="E70" s="6">
        <v>27.99</v>
      </c>
      <c r="F70" s="16">
        <v>15.41</v>
      </c>
      <c r="G70" s="49">
        <v>0</v>
      </c>
      <c r="H70" s="50">
        <f t="shared" si="4"/>
        <v>0</v>
      </c>
      <c r="I70" s="50">
        <f t="shared" si="5"/>
        <v>0</v>
      </c>
      <c r="J70" s="50">
        <f t="shared" si="6"/>
        <v>0</v>
      </c>
      <c r="K70" s="51">
        <f t="shared" si="7"/>
        <v>0</v>
      </c>
      <c r="L70" s="36"/>
      <c r="M70" s="11">
        <v>10203.790000000001</v>
      </c>
      <c r="N70" s="11">
        <v>8872.8608695652165</v>
      </c>
      <c r="O70" s="11">
        <v>4131</v>
      </c>
      <c r="P70" s="8">
        <v>918</v>
      </c>
      <c r="Q70" s="11">
        <v>4741.8608695652183</v>
      </c>
      <c r="R70" s="11">
        <v>11.115239651416124</v>
      </c>
      <c r="S70" s="11">
        <v>9.6654257838401048</v>
      </c>
      <c r="T70" s="11">
        <v>4.5</v>
      </c>
      <c r="U70" s="14">
        <v>53.44229938091631</v>
      </c>
      <c r="V70" s="36">
        <f>IFERROR(LOOKUP($C70,#REF!,#REF!),0)</f>
        <v>0</v>
      </c>
      <c r="W70" s="36">
        <f>IFERROR(LOOKUP($C70,#REF!,#REF!),0)</f>
        <v>0</v>
      </c>
      <c r="X70" s="36">
        <f>IFERROR(LOOKUP($C70,#REF!,#REF!),0)</f>
        <v>0</v>
      </c>
      <c r="Y70" s="36">
        <f>IFERROR(LOOKUP($C70,#REF!,#REF!),0)</f>
        <v>0</v>
      </c>
    </row>
    <row r="71" spans="1:25" ht="16.5" customHeight="1" x14ac:dyDescent="0.35">
      <c r="A71" s="3" t="s">
        <v>14</v>
      </c>
      <c r="B71" s="4">
        <v>106</v>
      </c>
      <c r="C71" s="5">
        <v>34028</v>
      </c>
      <c r="D71" s="3" t="s">
        <v>241</v>
      </c>
      <c r="E71" s="6">
        <v>26.99</v>
      </c>
      <c r="F71" s="16">
        <v>15.3</v>
      </c>
      <c r="G71" s="49">
        <v>0</v>
      </c>
      <c r="H71" s="50">
        <f t="shared" si="4"/>
        <v>0</v>
      </c>
      <c r="I71" s="50">
        <f t="shared" si="5"/>
        <v>0</v>
      </c>
      <c r="J71" s="50">
        <f t="shared" si="6"/>
        <v>0</v>
      </c>
      <c r="K71" s="51">
        <f t="shared" si="7"/>
        <v>0</v>
      </c>
      <c r="L71" s="36"/>
      <c r="M71" s="11">
        <v>10080.59</v>
      </c>
      <c r="N71" s="11">
        <v>8765.7304347826102</v>
      </c>
      <c r="O71" s="11">
        <v>4726.420000000001</v>
      </c>
      <c r="P71" s="8">
        <v>841</v>
      </c>
      <c r="Q71" s="11">
        <v>4039.3104347826074</v>
      </c>
      <c r="R71" s="11">
        <v>11.986432818073721</v>
      </c>
      <c r="S71" s="11">
        <v>10.422985059194543</v>
      </c>
      <c r="T71" s="11">
        <v>5.620000000000001</v>
      </c>
      <c r="U71" s="14">
        <v>46.080705593620998</v>
      </c>
      <c r="V71" s="36">
        <f>IFERROR(LOOKUP($C71,#REF!,#REF!),0)</f>
        <v>0</v>
      </c>
      <c r="W71" s="36">
        <f>IFERROR(LOOKUP($C71,#REF!,#REF!),0)</f>
        <v>0</v>
      </c>
      <c r="X71" s="36">
        <f>IFERROR(LOOKUP($C71,#REF!,#REF!),0)</f>
        <v>0</v>
      </c>
      <c r="Y71" s="36">
        <f>IFERROR(LOOKUP($C71,#REF!,#REF!),0)</f>
        <v>0</v>
      </c>
    </row>
    <row r="72" spans="1:25" ht="16.5" customHeight="1" x14ac:dyDescent="0.35">
      <c r="A72" s="3" t="s">
        <v>14</v>
      </c>
      <c r="B72" s="4">
        <v>118</v>
      </c>
      <c r="C72" s="5">
        <v>34033</v>
      </c>
      <c r="D72" s="3" t="s">
        <v>253</v>
      </c>
      <c r="E72" s="6">
        <v>120</v>
      </c>
      <c r="F72" s="16">
        <v>64.849999999999994</v>
      </c>
      <c r="G72" s="49">
        <v>0</v>
      </c>
      <c r="H72" s="50">
        <f t="shared" si="4"/>
        <v>0</v>
      </c>
      <c r="I72" s="50">
        <f t="shared" si="5"/>
        <v>0</v>
      </c>
      <c r="J72" s="50">
        <f t="shared" si="6"/>
        <v>0</v>
      </c>
      <c r="K72" s="51">
        <f t="shared" si="7"/>
        <v>0</v>
      </c>
      <c r="L72" s="36"/>
      <c r="M72" s="11">
        <v>9639.1500000000033</v>
      </c>
      <c r="N72" s="11">
        <v>8381.8695652173938</v>
      </c>
      <c r="O72" s="11">
        <v>4876.2</v>
      </c>
      <c r="P72" s="8">
        <v>1935</v>
      </c>
      <c r="Q72" s="11">
        <v>3505.6695652173939</v>
      </c>
      <c r="R72" s="11">
        <v>4.9814728682170557</v>
      </c>
      <c r="S72" s="11">
        <v>4.331715537580048</v>
      </c>
      <c r="T72" s="11">
        <v>2.52</v>
      </c>
      <c r="U72" s="14">
        <v>41.824434727128448</v>
      </c>
      <c r="V72" s="36">
        <f>IFERROR(LOOKUP($C72,#REF!,#REF!),0)</f>
        <v>0</v>
      </c>
      <c r="W72" s="36">
        <f>IFERROR(LOOKUP($C72,#REF!,#REF!),0)</f>
        <v>0</v>
      </c>
      <c r="X72" s="36">
        <f>IFERROR(LOOKUP($C72,#REF!,#REF!),0)</f>
        <v>0</v>
      </c>
      <c r="Y72" s="36">
        <f>IFERROR(LOOKUP($C72,#REF!,#REF!),0)</f>
        <v>0</v>
      </c>
    </row>
    <row r="73" spans="1:25" ht="16.5" customHeight="1" x14ac:dyDescent="0.35">
      <c r="A73" s="3" t="s">
        <v>14</v>
      </c>
      <c r="B73" s="4">
        <v>117</v>
      </c>
      <c r="C73" s="5">
        <v>34034</v>
      </c>
      <c r="D73" s="3" t="s">
        <v>250</v>
      </c>
      <c r="E73" s="6">
        <v>19.989999999999998</v>
      </c>
      <c r="F73" s="16">
        <v>8.43</v>
      </c>
      <c r="G73" s="49">
        <v>24</v>
      </c>
      <c r="H73" s="50">
        <f t="shared" si="4"/>
        <v>479.76</v>
      </c>
      <c r="I73" s="50">
        <f t="shared" si="5"/>
        <v>202.32</v>
      </c>
      <c r="J73" s="50">
        <f t="shared" si="6"/>
        <v>277.44</v>
      </c>
      <c r="K73" s="51">
        <f t="shared" si="7"/>
        <v>57.82891445722862</v>
      </c>
      <c r="L73" s="36"/>
      <c r="M73" s="11">
        <v>9240</v>
      </c>
      <c r="N73" s="11">
        <v>8034.7826086956511</v>
      </c>
      <c r="O73" s="11">
        <v>4836.4800000000014</v>
      </c>
      <c r="P73" s="8">
        <v>24</v>
      </c>
      <c r="Q73" s="11">
        <v>3198.3026086956506</v>
      </c>
      <c r="R73" s="11">
        <v>385</v>
      </c>
      <c r="S73" s="11">
        <v>334.78260869565213</v>
      </c>
      <c r="T73" s="11">
        <v>201.52000000000007</v>
      </c>
      <c r="U73" s="14">
        <v>39.805714285714267</v>
      </c>
      <c r="V73" s="36">
        <f>IFERROR(LOOKUP($C73,#REF!,#REF!),0)</f>
        <v>0</v>
      </c>
      <c r="W73" s="36">
        <f>IFERROR(LOOKUP($C73,#REF!,#REF!),0)</f>
        <v>0</v>
      </c>
      <c r="X73" s="36">
        <f>IFERROR(LOOKUP($C73,#REF!,#REF!),0)</f>
        <v>0</v>
      </c>
      <c r="Y73" s="36">
        <f>IFERROR(LOOKUP($C73,#REF!,#REF!),0)</f>
        <v>0</v>
      </c>
    </row>
    <row r="74" spans="1:25" ht="16.5" customHeight="1" x14ac:dyDescent="0.35">
      <c r="A74" s="3" t="s">
        <v>14</v>
      </c>
      <c r="B74" s="4">
        <v>102</v>
      </c>
      <c r="C74" s="5">
        <v>34037</v>
      </c>
      <c r="D74" s="3" t="s">
        <v>154</v>
      </c>
      <c r="E74" s="6">
        <v>29.99</v>
      </c>
      <c r="F74" s="16">
        <v>16.43</v>
      </c>
      <c r="G74" s="49">
        <v>0</v>
      </c>
      <c r="H74" s="50">
        <f t="shared" si="4"/>
        <v>0</v>
      </c>
      <c r="I74" s="50">
        <f t="shared" si="5"/>
        <v>0</v>
      </c>
      <c r="J74" s="50">
        <f t="shared" si="6"/>
        <v>0</v>
      </c>
      <c r="K74" s="51">
        <f t="shared" si="7"/>
        <v>0</v>
      </c>
      <c r="L74" s="36"/>
      <c r="M74" s="11">
        <v>9206.9199999999983</v>
      </c>
      <c r="N74" s="11">
        <v>8006.0173913043491</v>
      </c>
      <c r="O74" s="11">
        <v>3797.64</v>
      </c>
      <c r="P74" s="8">
        <v>308</v>
      </c>
      <c r="Q74" s="11">
        <v>4208.377391304346</v>
      </c>
      <c r="R74" s="11">
        <v>29.892597402597396</v>
      </c>
      <c r="S74" s="11">
        <v>25.993562958780355</v>
      </c>
      <c r="T74" s="11">
        <v>12.33</v>
      </c>
      <c r="U74" s="14">
        <v>52.565179234749507</v>
      </c>
      <c r="V74" s="36">
        <f>IFERROR(LOOKUP($C74,#REF!,#REF!),0)</f>
        <v>0</v>
      </c>
      <c r="W74" s="36">
        <f>IFERROR(LOOKUP($C74,#REF!,#REF!),0)</f>
        <v>0</v>
      </c>
      <c r="X74" s="36">
        <f>IFERROR(LOOKUP($C74,#REF!,#REF!),0)</f>
        <v>0</v>
      </c>
      <c r="Y74" s="36">
        <f>IFERROR(LOOKUP($C74,#REF!,#REF!),0)</f>
        <v>0</v>
      </c>
    </row>
    <row r="75" spans="1:25" ht="16.5" customHeight="1" x14ac:dyDescent="0.35">
      <c r="A75" s="3" t="s">
        <v>14</v>
      </c>
      <c r="B75" s="4">
        <v>102</v>
      </c>
      <c r="C75" s="5">
        <v>34039</v>
      </c>
      <c r="D75" s="3" t="s">
        <v>112</v>
      </c>
      <c r="E75" s="6">
        <v>11.99</v>
      </c>
      <c r="F75" s="16">
        <v>5.62</v>
      </c>
      <c r="G75" s="49">
        <v>0</v>
      </c>
      <c r="H75" s="50">
        <f t="shared" si="4"/>
        <v>0</v>
      </c>
      <c r="I75" s="50">
        <f t="shared" si="5"/>
        <v>0</v>
      </c>
      <c r="J75" s="50">
        <f t="shared" si="6"/>
        <v>0</v>
      </c>
      <c r="K75" s="51">
        <f t="shared" si="7"/>
        <v>0</v>
      </c>
      <c r="L75" s="36"/>
      <c r="M75" s="11">
        <v>9170.1700000000019</v>
      </c>
      <c r="N75" s="11">
        <v>7974.0608695652199</v>
      </c>
      <c r="O75" s="11">
        <v>3742.0499999999993</v>
      </c>
      <c r="P75" s="8">
        <v>1313</v>
      </c>
      <c r="Q75" s="11">
        <v>4232.0108695652207</v>
      </c>
      <c r="R75" s="11">
        <v>6.9841355674028955</v>
      </c>
      <c r="S75" s="11">
        <v>6.0731613629590404</v>
      </c>
      <c r="T75" s="11">
        <v>2.8499999999999996</v>
      </c>
      <c r="U75" s="14">
        <v>53.072216763702329</v>
      </c>
      <c r="V75" s="36">
        <f>IFERROR(LOOKUP($C75,#REF!,#REF!),0)</f>
        <v>0</v>
      </c>
      <c r="W75" s="36">
        <f>IFERROR(LOOKUP($C75,#REF!,#REF!),0)</f>
        <v>0</v>
      </c>
      <c r="X75" s="36">
        <f>IFERROR(LOOKUP($C75,#REF!,#REF!),0)</f>
        <v>0</v>
      </c>
      <c r="Y75" s="36">
        <f>IFERROR(LOOKUP($C75,#REF!,#REF!),0)</f>
        <v>0</v>
      </c>
    </row>
    <row r="76" spans="1:25" ht="16.5" customHeight="1" x14ac:dyDescent="0.35">
      <c r="A76" s="3" t="s">
        <v>14</v>
      </c>
      <c r="B76" s="4">
        <v>118</v>
      </c>
      <c r="C76" s="5">
        <v>34040</v>
      </c>
      <c r="D76" s="3" t="s">
        <v>259</v>
      </c>
      <c r="E76" s="6">
        <v>80</v>
      </c>
      <c r="F76" s="16">
        <v>36.909999999999997</v>
      </c>
      <c r="G76" s="49">
        <v>0</v>
      </c>
      <c r="H76" s="50">
        <f t="shared" si="4"/>
        <v>0</v>
      </c>
      <c r="I76" s="50">
        <f t="shared" si="5"/>
        <v>0</v>
      </c>
      <c r="J76" s="50">
        <f t="shared" si="6"/>
        <v>0</v>
      </c>
      <c r="K76" s="51">
        <f t="shared" si="7"/>
        <v>0</v>
      </c>
      <c r="L76" s="36"/>
      <c r="M76" s="11">
        <v>8585.25</v>
      </c>
      <c r="N76" s="11">
        <v>7465.434782608696</v>
      </c>
      <c r="O76" s="11">
        <v>2372.2199999999998</v>
      </c>
      <c r="P76" s="8">
        <v>1719</v>
      </c>
      <c r="Q76" s="11">
        <v>5093.2147826086966</v>
      </c>
      <c r="R76" s="11">
        <v>4.9943280977312394</v>
      </c>
      <c r="S76" s="11">
        <v>4.342893998027165</v>
      </c>
      <c r="T76" s="11">
        <v>1.38</v>
      </c>
      <c r="U76" s="14">
        <v>68.223953874377571</v>
      </c>
      <c r="V76" s="36">
        <f>IFERROR(LOOKUP($C76,#REF!,#REF!),0)</f>
        <v>0</v>
      </c>
      <c r="W76" s="36">
        <f>IFERROR(LOOKUP($C76,#REF!,#REF!),0)</f>
        <v>0</v>
      </c>
      <c r="X76" s="36">
        <f>IFERROR(LOOKUP($C76,#REF!,#REF!),0)</f>
        <v>0</v>
      </c>
      <c r="Y76" s="36">
        <f>IFERROR(LOOKUP($C76,#REF!,#REF!),0)</f>
        <v>0</v>
      </c>
    </row>
    <row r="77" spans="1:25" ht="16.5" customHeight="1" x14ac:dyDescent="0.35">
      <c r="A77" s="3" t="s">
        <v>14</v>
      </c>
      <c r="B77" s="4">
        <v>101</v>
      </c>
      <c r="C77" s="5">
        <v>34041</v>
      </c>
      <c r="D77" s="3" t="s">
        <v>42</v>
      </c>
      <c r="E77" s="6">
        <v>6.99</v>
      </c>
      <c r="F77" s="16">
        <v>3.15</v>
      </c>
      <c r="G77" s="49">
        <v>70</v>
      </c>
      <c r="H77" s="50">
        <f t="shared" si="4"/>
        <v>489.3</v>
      </c>
      <c r="I77" s="50">
        <f t="shared" si="5"/>
        <v>220.5</v>
      </c>
      <c r="J77" s="50">
        <f t="shared" si="6"/>
        <v>268.8</v>
      </c>
      <c r="K77" s="51">
        <f t="shared" si="7"/>
        <v>54.935622317596568</v>
      </c>
      <c r="L77" s="36"/>
      <c r="M77" s="11">
        <v>8418.1799999999985</v>
      </c>
      <c r="N77" s="11">
        <v>7320.1565217391308</v>
      </c>
      <c r="O77" s="11">
        <v>4773.6000000000004</v>
      </c>
      <c r="P77" s="8">
        <v>312</v>
      </c>
      <c r="Q77" s="11">
        <v>2546.5565217391286</v>
      </c>
      <c r="R77" s="11">
        <v>26.98134615384615</v>
      </c>
      <c r="S77" s="11">
        <v>23.462040133779265</v>
      </c>
      <c r="T77" s="11">
        <v>15.3</v>
      </c>
      <c r="U77" s="14">
        <v>34.788279651896239</v>
      </c>
      <c r="V77" s="36">
        <f>IFERROR(LOOKUP($C77,#REF!,#REF!),0)</f>
        <v>0</v>
      </c>
      <c r="W77" s="36">
        <f>IFERROR(LOOKUP($C77,#REF!,#REF!),0)</f>
        <v>0</v>
      </c>
      <c r="X77" s="36">
        <f>IFERROR(LOOKUP($C77,#REF!,#REF!),0)</f>
        <v>0</v>
      </c>
      <c r="Y77" s="36">
        <f>IFERROR(LOOKUP($C77,#REF!,#REF!),0)</f>
        <v>0</v>
      </c>
    </row>
    <row r="78" spans="1:25" ht="16.5" customHeight="1" x14ac:dyDescent="0.35">
      <c r="A78" s="3" t="s">
        <v>14</v>
      </c>
      <c r="B78" s="4">
        <v>101</v>
      </c>
      <c r="C78" s="5">
        <v>34042</v>
      </c>
      <c r="D78" s="3" t="s">
        <v>30</v>
      </c>
      <c r="E78" s="6">
        <v>9.5</v>
      </c>
      <c r="F78" s="16">
        <v>4.1500000000000004</v>
      </c>
      <c r="G78" s="49">
        <v>48</v>
      </c>
      <c r="H78" s="50">
        <f t="shared" si="4"/>
        <v>456</v>
      </c>
      <c r="I78" s="50">
        <f t="shared" si="5"/>
        <v>199.20000000000002</v>
      </c>
      <c r="J78" s="50">
        <f t="shared" si="6"/>
        <v>256.79999999999995</v>
      </c>
      <c r="K78" s="51">
        <f t="shared" si="7"/>
        <v>56.315789473684198</v>
      </c>
      <c r="L78" s="36"/>
      <c r="M78" s="11">
        <v>7897</v>
      </c>
      <c r="N78" s="11">
        <v>6866.95652173913</v>
      </c>
      <c r="O78" s="11">
        <v>2597.7600000000002</v>
      </c>
      <c r="P78" s="8">
        <v>792</v>
      </c>
      <c r="Q78" s="11">
        <v>4269.1965217391307</v>
      </c>
      <c r="R78" s="11">
        <v>9.9709595959595951</v>
      </c>
      <c r="S78" s="11">
        <v>8.670399648660517</v>
      </c>
      <c r="T78" s="11">
        <v>3.2800000000000002</v>
      </c>
      <c r="U78" s="14">
        <v>62.170140559706219</v>
      </c>
      <c r="V78" s="36">
        <f>IFERROR(LOOKUP($C78,#REF!,#REF!),0)</f>
        <v>0</v>
      </c>
      <c r="W78" s="36">
        <f>IFERROR(LOOKUP($C78,#REF!,#REF!),0)</f>
        <v>0</v>
      </c>
      <c r="X78" s="36">
        <f>IFERROR(LOOKUP($C78,#REF!,#REF!),0)</f>
        <v>0</v>
      </c>
      <c r="Y78" s="36">
        <f>IFERROR(LOOKUP($C78,#REF!,#REF!),0)</f>
        <v>0</v>
      </c>
    </row>
    <row r="79" spans="1:25" ht="16.5" customHeight="1" x14ac:dyDescent="0.35">
      <c r="A79" s="3" t="s">
        <v>14</v>
      </c>
      <c r="B79" s="4">
        <v>101</v>
      </c>
      <c r="C79" s="5">
        <v>34046</v>
      </c>
      <c r="D79" s="3" t="s">
        <v>36</v>
      </c>
      <c r="E79" s="6">
        <v>19.989999999999998</v>
      </c>
      <c r="F79" s="16">
        <v>12.2</v>
      </c>
      <c r="G79" s="49">
        <v>50</v>
      </c>
      <c r="H79" s="50">
        <f t="shared" si="4"/>
        <v>999.49999999999989</v>
      </c>
      <c r="I79" s="50">
        <f t="shared" si="5"/>
        <v>610</v>
      </c>
      <c r="J79" s="50">
        <f t="shared" si="6"/>
        <v>389.49999999999989</v>
      </c>
      <c r="K79" s="51">
        <f t="shared" si="7"/>
        <v>38.969484742371179</v>
      </c>
      <c r="L79" s="36"/>
      <c r="M79" s="11">
        <v>7862.13</v>
      </c>
      <c r="N79" s="11">
        <v>6836.6347826086967</v>
      </c>
      <c r="O79" s="11">
        <v>2542.0100000000002</v>
      </c>
      <c r="P79" s="8">
        <v>787</v>
      </c>
      <c r="Q79" s="11">
        <v>4294.6247826086947</v>
      </c>
      <c r="R79" s="11">
        <v>9.99</v>
      </c>
      <c r="S79" s="11">
        <v>8.6869565217391322</v>
      </c>
      <c r="T79" s="11">
        <v>3.2300000000000004</v>
      </c>
      <c r="U79" s="14">
        <v>62.817817817817811</v>
      </c>
      <c r="V79" s="36">
        <f>IFERROR(LOOKUP($C79,#REF!,#REF!),0)</f>
        <v>0</v>
      </c>
      <c r="W79" s="36">
        <f>IFERROR(LOOKUP($C79,#REF!,#REF!),0)</f>
        <v>0</v>
      </c>
      <c r="X79" s="36">
        <f>IFERROR(LOOKUP($C79,#REF!,#REF!),0)</f>
        <v>0</v>
      </c>
      <c r="Y79" s="36">
        <f>IFERROR(LOOKUP($C79,#REF!,#REF!),0)</f>
        <v>0</v>
      </c>
    </row>
    <row r="80" spans="1:25" ht="16.5" customHeight="1" x14ac:dyDescent="0.35">
      <c r="A80" s="3" t="s">
        <v>14</v>
      </c>
      <c r="B80" s="4">
        <v>101</v>
      </c>
      <c r="C80" s="5">
        <v>34052</v>
      </c>
      <c r="D80" s="3" t="s">
        <v>69</v>
      </c>
      <c r="E80" s="6">
        <v>24.99</v>
      </c>
      <c r="F80" s="16">
        <v>8.1</v>
      </c>
      <c r="G80" s="49">
        <v>0</v>
      </c>
      <c r="H80" s="50">
        <f t="shared" si="4"/>
        <v>0</v>
      </c>
      <c r="I80" s="50">
        <f t="shared" si="5"/>
        <v>0</v>
      </c>
      <c r="J80" s="50">
        <f t="shared" si="6"/>
        <v>0</v>
      </c>
      <c r="K80" s="51">
        <f t="shared" si="7"/>
        <v>0</v>
      </c>
      <c r="L80" s="36"/>
      <c r="M80" s="11">
        <v>7140.91</v>
      </c>
      <c r="N80" s="11">
        <v>6209.4869565217396</v>
      </c>
      <c r="O80" s="11">
        <v>4147</v>
      </c>
      <c r="P80" s="8">
        <v>319</v>
      </c>
      <c r="Q80" s="11">
        <v>2062.4869565217386</v>
      </c>
      <c r="R80" s="11">
        <v>22.385297805642633</v>
      </c>
      <c r="S80" s="11">
        <v>19.465476352732725</v>
      </c>
      <c r="T80" s="11">
        <v>13</v>
      </c>
      <c r="U80" s="14">
        <v>33.215094434742902</v>
      </c>
      <c r="V80" s="36">
        <f>IFERROR(LOOKUP($C80,#REF!,#REF!),0)</f>
        <v>0</v>
      </c>
      <c r="W80" s="36">
        <f>IFERROR(LOOKUP($C80,#REF!,#REF!),0)</f>
        <v>0</v>
      </c>
      <c r="X80" s="36">
        <f>IFERROR(LOOKUP($C80,#REF!,#REF!),0)</f>
        <v>0</v>
      </c>
      <c r="Y80" s="36">
        <f>IFERROR(LOOKUP($C80,#REF!,#REF!),0)</f>
        <v>0</v>
      </c>
    </row>
    <row r="81" spans="1:25" ht="16.5" customHeight="1" x14ac:dyDescent="0.35">
      <c r="A81" s="3" t="s">
        <v>14</v>
      </c>
      <c r="B81" s="4">
        <v>101</v>
      </c>
      <c r="C81" s="5">
        <v>34053</v>
      </c>
      <c r="D81" s="3" t="s">
        <v>55</v>
      </c>
      <c r="E81" s="6">
        <v>15.99</v>
      </c>
      <c r="F81" s="16">
        <v>6.74</v>
      </c>
      <c r="G81" s="49">
        <v>6</v>
      </c>
      <c r="H81" s="50">
        <f t="shared" si="4"/>
        <v>95.94</v>
      </c>
      <c r="I81" s="50">
        <f t="shared" si="5"/>
        <v>40.44</v>
      </c>
      <c r="J81" s="50">
        <f t="shared" si="6"/>
        <v>55.5</v>
      </c>
      <c r="K81" s="51">
        <f t="shared" si="7"/>
        <v>57.848655409631021</v>
      </c>
      <c r="L81" s="36"/>
      <c r="M81" s="11">
        <v>6660</v>
      </c>
      <c r="N81" s="11">
        <v>5791.3043478260879</v>
      </c>
      <c r="O81" s="11">
        <v>3465.86</v>
      </c>
      <c r="P81" s="8">
        <v>17</v>
      </c>
      <c r="Q81" s="11">
        <v>2325.4443478260869</v>
      </c>
      <c r="R81" s="11">
        <v>391.76470588235293</v>
      </c>
      <c r="S81" s="11">
        <v>340.66496163682871</v>
      </c>
      <c r="T81" s="11">
        <v>203.87411764705882</v>
      </c>
      <c r="U81" s="14">
        <v>40.154069069069067</v>
      </c>
      <c r="V81" s="36">
        <f>IFERROR(LOOKUP($C81,#REF!,#REF!),0)</f>
        <v>0</v>
      </c>
      <c r="W81" s="36">
        <f>IFERROR(LOOKUP($C81,#REF!,#REF!),0)</f>
        <v>0</v>
      </c>
      <c r="X81" s="36">
        <f>IFERROR(LOOKUP($C81,#REF!,#REF!),0)</f>
        <v>0</v>
      </c>
      <c r="Y81" s="36">
        <f>IFERROR(LOOKUP($C81,#REF!,#REF!),0)</f>
        <v>0</v>
      </c>
    </row>
    <row r="82" spans="1:25" ht="16.5" customHeight="1" x14ac:dyDescent="0.35">
      <c r="A82" s="3" t="s">
        <v>14</v>
      </c>
      <c r="B82" s="4">
        <v>118</v>
      </c>
      <c r="C82" s="5">
        <v>34054</v>
      </c>
      <c r="D82" s="3" t="s">
        <v>256</v>
      </c>
      <c r="E82" s="6">
        <v>100</v>
      </c>
      <c r="F82" s="16">
        <v>54.36</v>
      </c>
      <c r="G82" s="49">
        <v>0</v>
      </c>
      <c r="H82" s="50">
        <f t="shared" si="4"/>
        <v>0</v>
      </c>
      <c r="I82" s="50">
        <f t="shared" si="5"/>
        <v>0</v>
      </c>
      <c r="J82" s="50">
        <f t="shared" si="6"/>
        <v>0</v>
      </c>
      <c r="K82" s="51">
        <f t="shared" si="7"/>
        <v>0</v>
      </c>
      <c r="L82" s="36"/>
      <c r="M82" s="11">
        <v>6648</v>
      </c>
      <c r="N82" s="11">
        <v>5780.8695652173919</v>
      </c>
      <c r="O82" s="11">
        <v>4323.8</v>
      </c>
      <c r="P82" s="8">
        <v>6652</v>
      </c>
      <c r="Q82" s="11">
        <v>1457.0695652173908</v>
      </c>
      <c r="R82" s="11">
        <v>0.99939867708959707</v>
      </c>
      <c r="S82" s="11">
        <v>0.8690423279039976</v>
      </c>
      <c r="T82" s="11">
        <v>0.65</v>
      </c>
      <c r="U82" s="14">
        <v>25.205024067388681</v>
      </c>
      <c r="V82" s="36">
        <f>IFERROR(LOOKUP($C82,#REF!,#REF!),0)</f>
        <v>0</v>
      </c>
      <c r="W82" s="36">
        <f>IFERROR(LOOKUP($C82,#REF!,#REF!),0)</f>
        <v>0</v>
      </c>
      <c r="X82" s="36">
        <f>IFERROR(LOOKUP($C82,#REF!,#REF!),0)</f>
        <v>0</v>
      </c>
      <c r="Y82" s="36">
        <f>IFERROR(LOOKUP($C82,#REF!,#REF!),0)</f>
        <v>0</v>
      </c>
    </row>
    <row r="83" spans="1:25" ht="16.5" customHeight="1" x14ac:dyDescent="0.35">
      <c r="A83" s="3" t="s">
        <v>14</v>
      </c>
      <c r="B83" s="4">
        <v>101</v>
      </c>
      <c r="C83" s="5">
        <v>34059</v>
      </c>
      <c r="D83" s="3" t="s">
        <v>62</v>
      </c>
      <c r="E83" s="6">
        <v>6.99</v>
      </c>
      <c r="F83" s="16">
        <v>3.8</v>
      </c>
      <c r="G83" s="49">
        <v>0</v>
      </c>
      <c r="H83" s="50">
        <f t="shared" si="4"/>
        <v>0</v>
      </c>
      <c r="I83" s="50">
        <f t="shared" si="5"/>
        <v>0</v>
      </c>
      <c r="J83" s="50">
        <f t="shared" si="6"/>
        <v>0</v>
      </c>
      <c r="K83" s="51">
        <f t="shared" si="7"/>
        <v>0</v>
      </c>
      <c r="L83" s="36"/>
      <c r="M83" s="11">
        <v>6640</v>
      </c>
      <c r="N83" s="11">
        <v>5773.913043478261</v>
      </c>
      <c r="O83" s="11">
        <v>3782.7400000000002</v>
      </c>
      <c r="P83" s="8">
        <v>58</v>
      </c>
      <c r="Q83" s="11">
        <v>1991.1730434782608</v>
      </c>
      <c r="R83" s="11">
        <v>114.48275862068965</v>
      </c>
      <c r="S83" s="11">
        <v>99.550224887556226</v>
      </c>
      <c r="T83" s="11">
        <v>65.219655172413795</v>
      </c>
      <c r="U83" s="14">
        <v>34.485677710843369</v>
      </c>
      <c r="V83" s="36">
        <f>IFERROR(LOOKUP($C83,#REF!,#REF!),0)</f>
        <v>0</v>
      </c>
      <c r="W83" s="36">
        <f>IFERROR(LOOKUP($C83,#REF!,#REF!),0)</f>
        <v>0</v>
      </c>
      <c r="X83" s="36">
        <f>IFERROR(LOOKUP($C83,#REF!,#REF!),0)</f>
        <v>0</v>
      </c>
      <c r="Y83" s="36">
        <f>IFERROR(LOOKUP($C83,#REF!,#REF!),0)</f>
        <v>0</v>
      </c>
    </row>
    <row r="84" spans="1:25" ht="16.5" customHeight="1" x14ac:dyDescent="0.35">
      <c r="A84" s="3" t="s">
        <v>311</v>
      </c>
      <c r="B84" s="4">
        <v>102</v>
      </c>
      <c r="C84" s="5">
        <v>34061</v>
      </c>
      <c r="D84" s="3" t="s">
        <v>147</v>
      </c>
      <c r="E84" s="6">
        <v>39.99</v>
      </c>
      <c r="F84" s="16">
        <v>17.68</v>
      </c>
      <c r="G84" s="49">
        <v>0</v>
      </c>
      <c r="H84" s="50">
        <f t="shared" si="4"/>
        <v>0</v>
      </c>
      <c r="I84" s="50">
        <f t="shared" si="5"/>
        <v>0</v>
      </c>
      <c r="J84" s="50">
        <f t="shared" si="6"/>
        <v>0</v>
      </c>
      <c r="K84" s="51">
        <f t="shared" si="7"/>
        <v>0</v>
      </c>
      <c r="L84" s="36"/>
      <c r="M84" s="11">
        <v>6633.3599999999988</v>
      </c>
      <c r="N84" s="11">
        <v>5768.1391304347835</v>
      </c>
      <c r="O84" s="11">
        <v>3007.9200000000005</v>
      </c>
      <c r="P84" s="8">
        <v>664</v>
      </c>
      <c r="Q84" s="11">
        <v>2760.2191304347812</v>
      </c>
      <c r="R84" s="11">
        <v>9.9899999999999984</v>
      </c>
      <c r="S84" s="11">
        <v>8.6869565217391322</v>
      </c>
      <c r="T84" s="11">
        <v>4.5300000000000011</v>
      </c>
      <c r="U84" s="14">
        <v>47.852852852852834</v>
      </c>
      <c r="V84" s="36">
        <f>IFERROR(LOOKUP($C84,#REF!,#REF!),0)</f>
        <v>0</v>
      </c>
      <c r="W84" s="36">
        <f>IFERROR(LOOKUP($C84,#REF!,#REF!),0)</f>
        <v>0</v>
      </c>
      <c r="X84" s="36">
        <f>IFERROR(LOOKUP($C84,#REF!,#REF!),0)</f>
        <v>0</v>
      </c>
      <c r="Y84" s="36">
        <f>IFERROR(LOOKUP($C84,#REF!,#REF!),0)</f>
        <v>0</v>
      </c>
    </row>
    <row r="85" spans="1:25" ht="16.5" customHeight="1" x14ac:dyDescent="0.35">
      <c r="A85" s="3" t="s">
        <v>14</v>
      </c>
      <c r="B85" s="4">
        <v>101</v>
      </c>
      <c r="C85" s="5">
        <v>34068</v>
      </c>
      <c r="D85" s="3" t="s">
        <v>72</v>
      </c>
      <c r="E85" s="6">
        <v>1.5</v>
      </c>
      <c r="F85" s="16">
        <v>0.59</v>
      </c>
      <c r="G85" s="49">
        <v>0</v>
      </c>
      <c r="H85" s="50">
        <f t="shared" si="4"/>
        <v>0</v>
      </c>
      <c r="I85" s="50">
        <f t="shared" si="5"/>
        <v>0</v>
      </c>
      <c r="J85" s="50">
        <f t="shared" si="6"/>
        <v>0</v>
      </c>
      <c r="K85" s="51">
        <f t="shared" si="7"/>
        <v>0</v>
      </c>
      <c r="L85" s="36"/>
      <c r="M85" s="11">
        <v>6481.1899999999987</v>
      </c>
      <c r="N85" s="11">
        <v>5635.8173913043483</v>
      </c>
      <c r="O85" s="11">
        <v>3278.9300000000003</v>
      </c>
      <c r="P85" s="8">
        <v>131</v>
      </c>
      <c r="Q85" s="11">
        <v>2356.8873913043462</v>
      </c>
      <c r="R85" s="11">
        <v>49.47473282442747</v>
      </c>
      <c r="S85" s="11">
        <v>43.021506803849988</v>
      </c>
      <c r="T85" s="11">
        <v>25.03</v>
      </c>
      <c r="U85" s="14">
        <v>41.819796981727102</v>
      </c>
      <c r="V85" s="36">
        <f>IFERROR(LOOKUP($C85,#REF!,#REF!),0)</f>
        <v>0</v>
      </c>
      <c r="W85" s="36">
        <f>IFERROR(LOOKUP($C85,#REF!,#REF!),0)</f>
        <v>0</v>
      </c>
      <c r="X85" s="36">
        <f>IFERROR(LOOKUP($C85,#REF!,#REF!),0)</f>
        <v>0</v>
      </c>
      <c r="Y85" s="36">
        <f>IFERROR(LOOKUP($C85,#REF!,#REF!),0)</f>
        <v>0</v>
      </c>
    </row>
    <row r="86" spans="1:25" ht="16.5" customHeight="1" x14ac:dyDescent="0.35">
      <c r="A86" s="3" t="s">
        <v>14</v>
      </c>
      <c r="B86" s="4">
        <v>102</v>
      </c>
      <c r="C86" s="5">
        <v>34074</v>
      </c>
      <c r="D86" s="3" t="s">
        <v>137</v>
      </c>
      <c r="E86" s="6">
        <v>21.99</v>
      </c>
      <c r="F86" s="16">
        <v>12.33</v>
      </c>
      <c r="G86" s="49">
        <v>0</v>
      </c>
      <c r="H86" s="50">
        <f t="shared" si="4"/>
        <v>0</v>
      </c>
      <c r="I86" s="50">
        <f t="shared" si="5"/>
        <v>0</v>
      </c>
      <c r="J86" s="50">
        <f t="shared" si="6"/>
        <v>0</v>
      </c>
      <c r="K86" s="51">
        <f t="shared" si="7"/>
        <v>0</v>
      </c>
      <c r="L86" s="36"/>
      <c r="M86" s="11">
        <v>6411.9900000000016</v>
      </c>
      <c r="N86" s="11">
        <v>5575.6434782608703</v>
      </c>
      <c r="O86" s="11">
        <v>3328.3000000000006</v>
      </c>
      <c r="P86" s="8">
        <v>401</v>
      </c>
      <c r="Q86" s="11">
        <v>2247.3434782608697</v>
      </c>
      <c r="R86" s="11">
        <v>15.990000000000004</v>
      </c>
      <c r="S86" s="11">
        <v>13.904347826086958</v>
      </c>
      <c r="T86" s="11">
        <v>8.3000000000000007</v>
      </c>
      <c r="U86" s="14">
        <v>40.306441525953716</v>
      </c>
      <c r="V86" s="36">
        <f>IFERROR(LOOKUP($C86,#REF!,#REF!),0)</f>
        <v>0</v>
      </c>
      <c r="W86" s="36">
        <f>IFERROR(LOOKUP($C86,#REF!,#REF!),0)</f>
        <v>0</v>
      </c>
      <c r="X86" s="36">
        <f>IFERROR(LOOKUP($C86,#REF!,#REF!),0)</f>
        <v>0</v>
      </c>
      <c r="Y86" s="36">
        <f>IFERROR(LOOKUP($C86,#REF!,#REF!),0)</f>
        <v>0</v>
      </c>
    </row>
    <row r="87" spans="1:25" ht="16.5" customHeight="1" x14ac:dyDescent="0.35">
      <c r="A87" s="3" t="s">
        <v>14</v>
      </c>
      <c r="B87" s="4">
        <v>104</v>
      </c>
      <c r="C87" s="5">
        <v>34075</v>
      </c>
      <c r="D87" s="3" t="s">
        <v>237</v>
      </c>
      <c r="E87" s="6">
        <v>69.989999999999995</v>
      </c>
      <c r="F87" s="16">
        <v>36.1</v>
      </c>
      <c r="G87" s="49">
        <v>0</v>
      </c>
      <c r="H87" s="50">
        <f t="shared" si="4"/>
        <v>0</v>
      </c>
      <c r="I87" s="50">
        <f t="shared" si="5"/>
        <v>0</v>
      </c>
      <c r="J87" s="50">
        <f t="shared" si="6"/>
        <v>0</v>
      </c>
      <c r="K87" s="51">
        <f t="shared" si="7"/>
        <v>0</v>
      </c>
      <c r="L87" s="36"/>
      <c r="M87" s="11">
        <v>6057.57</v>
      </c>
      <c r="N87" s="11">
        <v>5267.452173913045</v>
      </c>
      <c r="O87" s="11">
        <v>2352.2400000000007</v>
      </c>
      <c r="P87" s="8">
        <v>243</v>
      </c>
      <c r="Q87" s="11">
        <v>2915.2121739130425</v>
      </c>
      <c r="R87" s="11">
        <v>24.928271604938271</v>
      </c>
      <c r="S87" s="11">
        <v>21.676757917337635</v>
      </c>
      <c r="T87" s="11">
        <v>9.6800000000000033</v>
      </c>
      <c r="U87" s="14">
        <v>55.343875514438942</v>
      </c>
      <c r="V87" s="36">
        <f>IFERROR(LOOKUP($C87,#REF!,#REF!),0)</f>
        <v>0</v>
      </c>
      <c r="W87" s="36">
        <f>IFERROR(LOOKUP($C87,#REF!,#REF!),0)</f>
        <v>0</v>
      </c>
      <c r="X87" s="36">
        <f>IFERROR(LOOKUP($C87,#REF!,#REF!),0)</f>
        <v>0</v>
      </c>
      <c r="Y87" s="36">
        <f>IFERROR(LOOKUP($C87,#REF!,#REF!),0)</f>
        <v>0</v>
      </c>
    </row>
    <row r="88" spans="1:25" ht="16.5" customHeight="1" x14ac:dyDescent="0.35">
      <c r="A88" s="3" t="s">
        <v>312</v>
      </c>
      <c r="B88" s="4">
        <v>103</v>
      </c>
      <c r="C88" s="5">
        <v>34076</v>
      </c>
      <c r="D88" s="3" t="s">
        <v>225</v>
      </c>
      <c r="E88" s="6">
        <v>114.99</v>
      </c>
      <c r="F88" s="16">
        <v>59.83</v>
      </c>
      <c r="G88" s="49">
        <v>0</v>
      </c>
      <c r="H88" s="50">
        <f t="shared" si="4"/>
        <v>0</v>
      </c>
      <c r="I88" s="50">
        <f t="shared" si="5"/>
        <v>0</v>
      </c>
      <c r="J88" s="50">
        <f t="shared" si="6"/>
        <v>0</v>
      </c>
      <c r="K88" s="51">
        <f t="shared" si="7"/>
        <v>0</v>
      </c>
      <c r="L88" s="36"/>
      <c r="M88" s="11">
        <v>5660.5500000000011</v>
      </c>
      <c r="N88" s="11">
        <v>4922.2173913043489</v>
      </c>
      <c r="O88" s="11">
        <v>2787.75</v>
      </c>
      <c r="P88" s="8">
        <v>945</v>
      </c>
      <c r="Q88" s="11">
        <v>2134.4673913043489</v>
      </c>
      <c r="R88" s="11">
        <v>5.9900000000000011</v>
      </c>
      <c r="S88" s="11">
        <v>5.2086956521739145</v>
      </c>
      <c r="T88" s="11">
        <v>2.95</v>
      </c>
      <c r="U88" s="14">
        <v>43.363939899833063</v>
      </c>
      <c r="V88" s="36">
        <f>IFERROR(LOOKUP($C88,#REF!,#REF!),0)</f>
        <v>0</v>
      </c>
      <c r="W88" s="36">
        <f>IFERROR(LOOKUP($C88,#REF!,#REF!),0)</f>
        <v>0</v>
      </c>
      <c r="X88" s="36">
        <f>IFERROR(LOOKUP($C88,#REF!,#REF!),0)</f>
        <v>0</v>
      </c>
      <c r="Y88" s="36">
        <f>IFERROR(LOOKUP($C88,#REF!,#REF!),0)</f>
        <v>0</v>
      </c>
    </row>
    <row r="89" spans="1:25" ht="16.5" customHeight="1" x14ac:dyDescent="0.35">
      <c r="A89" s="3" t="s">
        <v>14</v>
      </c>
      <c r="B89" s="4">
        <v>104</v>
      </c>
      <c r="C89" s="5">
        <v>34079</v>
      </c>
      <c r="D89" s="3" t="s">
        <v>233</v>
      </c>
      <c r="E89" s="6">
        <v>60</v>
      </c>
      <c r="F89" s="16">
        <v>29.14</v>
      </c>
      <c r="G89" s="49">
        <v>3</v>
      </c>
      <c r="H89" s="50">
        <f t="shared" si="4"/>
        <v>180</v>
      </c>
      <c r="I89" s="50">
        <f t="shared" si="5"/>
        <v>87.42</v>
      </c>
      <c r="J89" s="50">
        <f t="shared" si="6"/>
        <v>92.58</v>
      </c>
      <c r="K89" s="51">
        <f t="shared" si="7"/>
        <v>51.43333333333333</v>
      </c>
      <c r="L89" s="36"/>
      <c r="M89" s="11">
        <v>5508.24</v>
      </c>
      <c r="N89" s="11">
        <v>4789.7739130434793</v>
      </c>
      <c r="O89" s="11">
        <v>2346</v>
      </c>
      <c r="P89" s="8">
        <v>276</v>
      </c>
      <c r="Q89" s="11">
        <v>2443.7739130434775</v>
      </c>
      <c r="R89" s="11">
        <v>19.957391304347826</v>
      </c>
      <c r="S89" s="11">
        <v>17.354253308128548</v>
      </c>
      <c r="T89" s="11">
        <v>8.5</v>
      </c>
      <c r="U89" s="14">
        <v>51.020652694871671</v>
      </c>
      <c r="V89" s="36">
        <f>IFERROR(LOOKUP($C89,#REF!,#REF!),0)</f>
        <v>0</v>
      </c>
      <c r="W89" s="36">
        <f>IFERROR(LOOKUP($C89,#REF!,#REF!),0)</f>
        <v>0</v>
      </c>
      <c r="X89" s="36">
        <f>IFERROR(LOOKUP($C89,#REF!,#REF!),0)</f>
        <v>0</v>
      </c>
      <c r="Y89" s="36">
        <f>IFERROR(LOOKUP($C89,#REF!,#REF!),0)</f>
        <v>0</v>
      </c>
    </row>
    <row r="90" spans="1:25" ht="16.5" customHeight="1" x14ac:dyDescent="0.35">
      <c r="A90" s="3" t="s">
        <v>14</v>
      </c>
      <c r="B90" s="4">
        <v>104</v>
      </c>
      <c r="C90" s="5">
        <v>34080</v>
      </c>
      <c r="D90" s="3" t="s">
        <v>231</v>
      </c>
      <c r="E90" s="6">
        <v>55</v>
      </c>
      <c r="F90" s="16">
        <v>24.25</v>
      </c>
      <c r="G90" s="49">
        <v>0</v>
      </c>
      <c r="H90" s="50">
        <f t="shared" si="4"/>
        <v>0</v>
      </c>
      <c r="I90" s="50">
        <f t="shared" si="5"/>
        <v>0</v>
      </c>
      <c r="J90" s="50">
        <f t="shared" si="6"/>
        <v>0</v>
      </c>
      <c r="K90" s="51">
        <f t="shared" si="7"/>
        <v>0</v>
      </c>
      <c r="L90" s="36"/>
      <c r="M90" s="11">
        <v>4711.5599999999986</v>
      </c>
      <c r="N90" s="11">
        <v>4097.0086956521736</v>
      </c>
      <c r="O90" s="11">
        <v>2341.75</v>
      </c>
      <c r="P90" s="8">
        <v>95</v>
      </c>
      <c r="Q90" s="11">
        <v>1755.2586956521727</v>
      </c>
      <c r="R90" s="11">
        <v>49.595368421052619</v>
      </c>
      <c r="S90" s="11">
        <v>43.126407322654458</v>
      </c>
      <c r="T90" s="11">
        <v>24.65</v>
      </c>
      <c r="U90" s="14">
        <v>42.842444965149525</v>
      </c>
      <c r="V90" s="36">
        <f>IFERROR(LOOKUP($C90,#REF!,#REF!),0)</f>
        <v>0</v>
      </c>
      <c r="W90" s="36">
        <f>IFERROR(LOOKUP($C90,#REF!,#REF!),0)</f>
        <v>0</v>
      </c>
      <c r="X90" s="36">
        <f>IFERROR(LOOKUP($C90,#REF!,#REF!),0)</f>
        <v>0</v>
      </c>
      <c r="Y90" s="36">
        <f>IFERROR(LOOKUP($C90,#REF!,#REF!),0)</f>
        <v>0</v>
      </c>
    </row>
    <row r="91" spans="1:25" ht="16.5" customHeight="1" x14ac:dyDescent="0.35">
      <c r="A91" s="3" t="s">
        <v>14</v>
      </c>
      <c r="B91" s="4">
        <v>104</v>
      </c>
      <c r="C91" s="5">
        <v>34081</v>
      </c>
      <c r="D91" s="3" t="s">
        <v>229</v>
      </c>
      <c r="E91" s="6">
        <v>29.99</v>
      </c>
      <c r="F91" s="16">
        <v>14.34</v>
      </c>
      <c r="G91" s="49">
        <v>0</v>
      </c>
      <c r="H91" s="50">
        <f t="shared" si="4"/>
        <v>0</v>
      </c>
      <c r="I91" s="50">
        <f t="shared" si="5"/>
        <v>0</v>
      </c>
      <c r="J91" s="50">
        <f t="shared" si="6"/>
        <v>0</v>
      </c>
      <c r="K91" s="51">
        <f t="shared" si="7"/>
        <v>0</v>
      </c>
      <c r="L91" s="36"/>
      <c r="M91" s="11">
        <v>4519.49</v>
      </c>
      <c r="N91" s="11">
        <v>3929.9913043478264</v>
      </c>
      <c r="O91" s="11">
        <v>1911.6600000000003</v>
      </c>
      <c r="P91" s="8">
        <v>151</v>
      </c>
      <c r="Q91" s="11">
        <v>2018.3313043478252</v>
      </c>
      <c r="R91" s="11">
        <v>29.930397350993378</v>
      </c>
      <c r="S91" s="11">
        <v>26.026432479124679</v>
      </c>
      <c r="T91" s="11">
        <v>12.660000000000002</v>
      </c>
      <c r="U91" s="14">
        <v>51.357144279553644</v>
      </c>
      <c r="V91" s="36">
        <f>IFERROR(LOOKUP($C91,#REF!,#REF!),0)</f>
        <v>0</v>
      </c>
      <c r="W91" s="36">
        <f>IFERROR(LOOKUP($C91,#REF!,#REF!),0)</f>
        <v>0</v>
      </c>
      <c r="X91" s="36">
        <f>IFERROR(LOOKUP($C91,#REF!,#REF!),0)</f>
        <v>0</v>
      </c>
      <c r="Y91" s="36">
        <f>IFERROR(LOOKUP($C91,#REF!,#REF!),0)</f>
        <v>0</v>
      </c>
    </row>
    <row r="92" spans="1:25" ht="16.5" customHeight="1" x14ac:dyDescent="0.35">
      <c r="A92" s="3" t="s">
        <v>14</v>
      </c>
      <c r="B92" s="4">
        <v>104</v>
      </c>
      <c r="C92" s="5">
        <v>34082</v>
      </c>
      <c r="D92" s="3" t="s">
        <v>234</v>
      </c>
      <c r="E92" s="6">
        <v>55</v>
      </c>
      <c r="F92" s="16">
        <v>25.03</v>
      </c>
      <c r="G92" s="49">
        <v>5</v>
      </c>
      <c r="H92" s="50">
        <f t="shared" si="4"/>
        <v>275</v>
      </c>
      <c r="I92" s="50">
        <f t="shared" si="5"/>
        <v>125.15</v>
      </c>
      <c r="J92" s="50">
        <f t="shared" si="6"/>
        <v>149.85</v>
      </c>
      <c r="K92" s="51">
        <f t="shared" si="7"/>
        <v>54.490909090909092</v>
      </c>
      <c r="L92" s="36"/>
      <c r="M92" s="11">
        <v>4281.33</v>
      </c>
      <c r="N92" s="11">
        <v>3722.8956521739133</v>
      </c>
      <c r="O92" s="11">
        <v>1950.2399999999996</v>
      </c>
      <c r="P92" s="8">
        <v>717</v>
      </c>
      <c r="Q92" s="11">
        <v>1772.6556521739133</v>
      </c>
      <c r="R92" s="11">
        <v>5.9711715481171543</v>
      </c>
      <c r="S92" s="11">
        <v>5.1923230853192655</v>
      </c>
      <c r="T92" s="11">
        <v>2.7199999999999993</v>
      </c>
      <c r="U92" s="14">
        <v>47.614970114427067</v>
      </c>
      <c r="V92" s="36">
        <f>IFERROR(LOOKUP($C92,#REF!,#REF!),0)</f>
        <v>0</v>
      </c>
      <c r="W92" s="36">
        <f>IFERROR(LOOKUP($C92,#REF!,#REF!),0)</f>
        <v>0</v>
      </c>
      <c r="X92" s="36">
        <f>IFERROR(LOOKUP($C92,#REF!,#REF!),0)</f>
        <v>0</v>
      </c>
      <c r="Y92" s="36">
        <f>IFERROR(LOOKUP($C92,#REF!,#REF!),0)</f>
        <v>0</v>
      </c>
    </row>
    <row r="93" spans="1:25" ht="16.5" customHeight="1" x14ac:dyDescent="0.35">
      <c r="A93" s="3" t="s">
        <v>14</v>
      </c>
      <c r="B93" s="4">
        <v>104</v>
      </c>
      <c r="C93" s="5">
        <v>34083</v>
      </c>
      <c r="D93" s="17" t="s">
        <v>230</v>
      </c>
      <c r="E93" s="16">
        <v>55</v>
      </c>
      <c r="F93" s="16">
        <v>25.97</v>
      </c>
      <c r="G93" s="49">
        <v>10</v>
      </c>
      <c r="H93" s="50">
        <f t="shared" si="4"/>
        <v>550</v>
      </c>
      <c r="I93" s="50">
        <f t="shared" si="5"/>
        <v>259.7</v>
      </c>
      <c r="J93" s="50">
        <f t="shared" si="6"/>
        <v>290.3</v>
      </c>
      <c r="K93" s="51">
        <f t="shared" si="7"/>
        <v>52.781818181818188</v>
      </c>
      <c r="L93" s="36"/>
      <c r="M93" s="11">
        <v>4235.3900000000003</v>
      </c>
      <c r="N93" s="11">
        <v>3682.9478260869564</v>
      </c>
      <c r="O93" s="11">
        <v>2250.9431999999997</v>
      </c>
      <c r="P93" s="8">
        <v>1067</v>
      </c>
      <c r="Q93" s="11">
        <v>1432.0046260869576</v>
      </c>
      <c r="R93" s="11">
        <v>3.9694376757263359</v>
      </c>
      <c r="S93" s="11">
        <v>3.4516849354142045</v>
      </c>
      <c r="T93" s="11">
        <v>2.1095999999999999</v>
      </c>
      <c r="U93" s="14">
        <v>38.882023143087196</v>
      </c>
      <c r="V93" s="36">
        <f>IFERROR(LOOKUP($C93,#REF!,#REF!),0)</f>
        <v>0</v>
      </c>
      <c r="W93" s="36">
        <f>IFERROR(LOOKUP($C93,#REF!,#REF!),0)</f>
        <v>0</v>
      </c>
      <c r="X93" s="36">
        <f>IFERROR(LOOKUP($C93,#REF!,#REF!),0)</f>
        <v>0</v>
      </c>
      <c r="Y93" s="36">
        <f>IFERROR(LOOKUP($C93,#REF!,#REF!),0)</f>
        <v>0</v>
      </c>
    </row>
    <row r="94" spans="1:25" ht="16.5" customHeight="1" x14ac:dyDescent="0.35">
      <c r="A94" s="3" t="s">
        <v>14</v>
      </c>
      <c r="B94" s="4">
        <v>101</v>
      </c>
      <c r="C94" s="5">
        <v>34086</v>
      </c>
      <c r="D94" s="3" t="s">
        <v>58</v>
      </c>
      <c r="E94" s="6">
        <v>29.99</v>
      </c>
      <c r="F94" s="16">
        <v>10</v>
      </c>
      <c r="G94" s="49">
        <v>0</v>
      </c>
      <c r="H94" s="50">
        <f t="shared" si="4"/>
        <v>0</v>
      </c>
      <c r="I94" s="50">
        <f t="shared" si="5"/>
        <v>0</v>
      </c>
      <c r="J94" s="50">
        <f t="shared" si="6"/>
        <v>0</v>
      </c>
      <c r="K94" s="51">
        <f t="shared" si="7"/>
        <v>0</v>
      </c>
      <c r="L94" s="36"/>
      <c r="M94" s="11">
        <v>4003.5</v>
      </c>
      <c r="N94" s="11">
        <v>3481.304347826087</v>
      </c>
      <c r="O94" s="11">
        <v>1070.6699999999998</v>
      </c>
      <c r="P94" s="8">
        <v>401</v>
      </c>
      <c r="Q94" s="11">
        <v>2410.6343478260878</v>
      </c>
      <c r="R94" s="11">
        <v>9.9837905236907734</v>
      </c>
      <c r="S94" s="11">
        <v>8.6815569771224119</v>
      </c>
      <c r="T94" s="11">
        <v>2.6699999999999995</v>
      </c>
      <c r="U94" s="14">
        <v>69.245147995503956</v>
      </c>
      <c r="V94" s="36">
        <f>IFERROR(LOOKUP($C94,#REF!,#REF!),0)</f>
        <v>0</v>
      </c>
      <c r="W94" s="36">
        <f>IFERROR(LOOKUP($C94,#REF!,#REF!),0)</f>
        <v>0</v>
      </c>
      <c r="X94" s="36">
        <f>IFERROR(LOOKUP($C94,#REF!,#REF!),0)</f>
        <v>0</v>
      </c>
      <c r="Y94" s="36">
        <f>IFERROR(LOOKUP($C94,#REF!,#REF!),0)</f>
        <v>0</v>
      </c>
    </row>
    <row r="95" spans="1:25" ht="16.5" customHeight="1" x14ac:dyDescent="0.35">
      <c r="A95" s="3" t="s">
        <v>14</v>
      </c>
      <c r="B95" s="4">
        <v>103</v>
      </c>
      <c r="C95" s="5">
        <v>34087</v>
      </c>
      <c r="D95" s="3" t="s">
        <v>210</v>
      </c>
      <c r="E95" s="6">
        <v>99.99</v>
      </c>
      <c r="F95" s="16">
        <v>54.67</v>
      </c>
      <c r="G95" s="49">
        <v>0</v>
      </c>
      <c r="H95" s="50">
        <f t="shared" si="4"/>
        <v>0</v>
      </c>
      <c r="I95" s="50">
        <f t="shared" si="5"/>
        <v>0</v>
      </c>
      <c r="J95" s="50">
        <f t="shared" si="6"/>
        <v>0</v>
      </c>
      <c r="K95" s="51">
        <f t="shared" si="7"/>
        <v>0</v>
      </c>
      <c r="L95" s="36"/>
      <c r="M95" s="11">
        <v>3929.5</v>
      </c>
      <c r="N95" s="11">
        <v>3416.9565217391305</v>
      </c>
      <c r="O95" s="11">
        <v>1469.6200000000001</v>
      </c>
      <c r="P95" s="8">
        <v>394</v>
      </c>
      <c r="Q95" s="11">
        <v>1947.3365217391299</v>
      </c>
      <c r="R95" s="11">
        <v>9.9733502538071068</v>
      </c>
      <c r="S95" s="11">
        <v>8.6724784815713978</v>
      </c>
      <c r="T95" s="11">
        <v>3.7300000000000004</v>
      </c>
      <c r="U95" s="14">
        <v>56.990380455528687</v>
      </c>
      <c r="V95" s="36">
        <f>IFERROR(LOOKUP($C95,#REF!,#REF!),0)</f>
        <v>0</v>
      </c>
      <c r="W95" s="36">
        <f>IFERROR(LOOKUP($C95,#REF!,#REF!),0)</f>
        <v>0</v>
      </c>
      <c r="X95" s="36">
        <f>IFERROR(LOOKUP($C95,#REF!,#REF!),0)</f>
        <v>0</v>
      </c>
      <c r="Y95" s="36">
        <f>IFERROR(LOOKUP($C95,#REF!,#REF!),0)</f>
        <v>0</v>
      </c>
    </row>
    <row r="96" spans="1:25" ht="16.5" customHeight="1" x14ac:dyDescent="0.35">
      <c r="A96" s="3" t="s">
        <v>14</v>
      </c>
      <c r="B96" s="4">
        <v>101</v>
      </c>
      <c r="C96" s="5">
        <v>34088</v>
      </c>
      <c r="D96" s="3" t="s">
        <v>43</v>
      </c>
      <c r="E96" s="6">
        <v>1.5</v>
      </c>
      <c r="F96" s="16">
        <v>0.68</v>
      </c>
      <c r="G96" s="49">
        <v>0</v>
      </c>
      <c r="H96" s="50">
        <f t="shared" si="4"/>
        <v>0</v>
      </c>
      <c r="I96" s="50">
        <f t="shared" si="5"/>
        <v>0</v>
      </c>
      <c r="J96" s="50">
        <f t="shared" si="6"/>
        <v>0</v>
      </c>
      <c r="K96" s="51">
        <f t="shared" si="7"/>
        <v>0</v>
      </c>
      <c r="L96" s="36"/>
      <c r="M96" s="11">
        <v>3690</v>
      </c>
      <c r="N96" s="11">
        <v>3208.695652173913</v>
      </c>
      <c r="O96" s="11">
        <v>1985.0599999999997</v>
      </c>
      <c r="P96" s="8">
        <v>38</v>
      </c>
      <c r="Q96" s="11">
        <v>1223.6356521739137</v>
      </c>
      <c r="R96" s="11">
        <v>97.10526315789474</v>
      </c>
      <c r="S96" s="11">
        <v>84.439359267734559</v>
      </c>
      <c r="T96" s="11">
        <v>52.238421052631573</v>
      </c>
      <c r="U96" s="14">
        <v>38.134986449864513</v>
      </c>
      <c r="V96" s="36">
        <f>IFERROR(LOOKUP($C96,#REF!,#REF!),0)</f>
        <v>0</v>
      </c>
      <c r="W96" s="36">
        <f>IFERROR(LOOKUP($C96,#REF!,#REF!),0)</f>
        <v>0</v>
      </c>
      <c r="X96" s="36">
        <f>IFERROR(LOOKUP($C96,#REF!,#REF!),0)</f>
        <v>0</v>
      </c>
      <c r="Y96" s="36">
        <f>IFERROR(LOOKUP($C96,#REF!,#REF!),0)</f>
        <v>0</v>
      </c>
    </row>
    <row r="97" spans="1:25" ht="16.5" customHeight="1" x14ac:dyDescent="0.35">
      <c r="A97" s="3" t="s">
        <v>14</v>
      </c>
      <c r="B97" s="4">
        <v>102</v>
      </c>
      <c r="C97" s="5">
        <v>34089</v>
      </c>
      <c r="D97" s="3" t="s">
        <v>177</v>
      </c>
      <c r="E97" s="6">
        <v>39.99</v>
      </c>
      <c r="F97" s="16">
        <v>29.01</v>
      </c>
      <c r="G97" s="49">
        <v>0</v>
      </c>
      <c r="H97" s="50">
        <f t="shared" si="4"/>
        <v>0</v>
      </c>
      <c r="I97" s="50">
        <f t="shared" si="5"/>
        <v>0</v>
      </c>
      <c r="J97" s="50">
        <f t="shared" si="6"/>
        <v>0</v>
      </c>
      <c r="K97" s="51">
        <f t="shared" si="7"/>
        <v>0</v>
      </c>
      <c r="L97" s="36"/>
      <c r="M97" s="11">
        <v>3476.96</v>
      </c>
      <c r="N97" s="11">
        <v>3023.4434782608696</v>
      </c>
      <c r="O97" s="11">
        <v>1953.2599999999998</v>
      </c>
      <c r="P97" s="8">
        <v>127</v>
      </c>
      <c r="Q97" s="11">
        <v>1070.1834782608698</v>
      </c>
      <c r="R97" s="11">
        <v>27.377637795275589</v>
      </c>
      <c r="S97" s="11">
        <v>23.80664156110921</v>
      </c>
      <c r="T97" s="11">
        <v>15.379999999999999</v>
      </c>
      <c r="U97" s="14">
        <v>35.396179421103504</v>
      </c>
      <c r="V97" s="36">
        <f>IFERROR(LOOKUP($C97,#REF!,#REF!),0)</f>
        <v>0</v>
      </c>
      <c r="W97" s="36">
        <f>IFERROR(LOOKUP($C97,#REF!,#REF!),0)</f>
        <v>0</v>
      </c>
      <c r="X97" s="36">
        <f>IFERROR(LOOKUP($C97,#REF!,#REF!),0)</f>
        <v>0</v>
      </c>
      <c r="Y97" s="36">
        <f>IFERROR(LOOKUP($C97,#REF!,#REF!),0)</f>
        <v>0</v>
      </c>
    </row>
    <row r="98" spans="1:25" ht="16.5" customHeight="1" x14ac:dyDescent="0.35">
      <c r="A98" s="3" t="s">
        <v>14</v>
      </c>
      <c r="B98" s="4">
        <v>102</v>
      </c>
      <c r="C98" s="5">
        <v>34090</v>
      </c>
      <c r="D98" s="3" t="s">
        <v>141</v>
      </c>
      <c r="E98" s="6">
        <v>3.99</v>
      </c>
      <c r="F98" s="16">
        <v>1.3</v>
      </c>
      <c r="G98" s="49">
        <v>0</v>
      </c>
      <c r="H98" s="50">
        <f t="shared" si="4"/>
        <v>0</v>
      </c>
      <c r="I98" s="50">
        <f t="shared" si="5"/>
        <v>0</v>
      </c>
      <c r="J98" s="50">
        <f t="shared" si="6"/>
        <v>0</v>
      </c>
      <c r="K98" s="51">
        <f t="shared" si="7"/>
        <v>0</v>
      </c>
      <c r="L98" s="36"/>
      <c r="M98" s="11">
        <v>3338.41</v>
      </c>
      <c r="N98" s="11">
        <v>2902.965217391305</v>
      </c>
      <c r="O98" s="11">
        <v>1794.2853999999993</v>
      </c>
      <c r="P98" s="8">
        <v>839</v>
      </c>
      <c r="Q98" s="11">
        <v>1108.6798173913048</v>
      </c>
      <c r="R98" s="11">
        <v>3.9790345649582837</v>
      </c>
      <c r="S98" s="11">
        <v>3.4600300564854649</v>
      </c>
      <c r="T98" s="11">
        <v>2.1385999999999989</v>
      </c>
      <c r="U98" s="14">
        <v>38.191288367815837</v>
      </c>
      <c r="V98" s="36">
        <f>IFERROR(LOOKUP($C98,#REF!,#REF!),0)</f>
        <v>0</v>
      </c>
      <c r="W98" s="36">
        <f>IFERROR(LOOKUP($C98,#REF!,#REF!),0)</f>
        <v>0</v>
      </c>
      <c r="X98" s="36">
        <f>IFERROR(LOOKUP($C98,#REF!,#REF!),0)</f>
        <v>0</v>
      </c>
      <c r="Y98" s="36">
        <f>IFERROR(LOOKUP($C98,#REF!,#REF!),0)</f>
        <v>0</v>
      </c>
    </row>
    <row r="99" spans="1:25" ht="16.5" customHeight="1" x14ac:dyDescent="0.35">
      <c r="A99" s="3" t="s">
        <v>14</v>
      </c>
      <c r="B99" s="4">
        <v>101</v>
      </c>
      <c r="C99" s="5">
        <v>34091</v>
      </c>
      <c r="D99" s="3" t="s">
        <v>27</v>
      </c>
      <c r="E99" s="6">
        <v>17.989999999999998</v>
      </c>
      <c r="F99" s="16">
        <v>12.24</v>
      </c>
      <c r="G99" s="49">
        <v>40</v>
      </c>
      <c r="H99" s="50">
        <f t="shared" si="4"/>
        <v>719.59999999999991</v>
      </c>
      <c r="I99" s="50">
        <f t="shared" si="5"/>
        <v>489.6</v>
      </c>
      <c r="J99" s="50">
        <f t="shared" si="6"/>
        <v>229.99999999999989</v>
      </c>
      <c r="K99" s="51">
        <f t="shared" si="7"/>
        <v>31.962201222901598</v>
      </c>
      <c r="L99" s="36"/>
      <c r="M99" s="11">
        <v>3274.8300000000008</v>
      </c>
      <c r="N99" s="11">
        <v>2847.6782608695648</v>
      </c>
      <c r="O99" s="11">
        <v>1802.97</v>
      </c>
      <c r="P99" s="8">
        <v>117</v>
      </c>
      <c r="Q99" s="11">
        <v>1044.7082608695662</v>
      </c>
      <c r="R99" s="11">
        <v>27.990000000000006</v>
      </c>
      <c r="S99" s="11">
        <v>24.339130434782607</v>
      </c>
      <c r="T99" s="11">
        <v>15.41</v>
      </c>
      <c r="U99" s="14">
        <v>36.686316541622027</v>
      </c>
      <c r="V99" s="36">
        <f>IFERROR(LOOKUP($C99,#REF!,#REF!),0)</f>
        <v>0</v>
      </c>
      <c r="W99" s="36">
        <f>IFERROR(LOOKUP($C99,#REF!,#REF!),0)</f>
        <v>0</v>
      </c>
      <c r="X99" s="36">
        <f>IFERROR(LOOKUP($C99,#REF!,#REF!),0)</f>
        <v>0</v>
      </c>
      <c r="Y99" s="36">
        <f>IFERROR(LOOKUP($C99,#REF!,#REF!),0)</f>
        <v>0</v>
      </c>
    </row>
    <row r="100" spans="1:25" ht="16.5" customHeight="1" x14ac:dyDescent="0.35">
      <c r="A100" s="3" t="s">
        <v>14</v>
      </c>
      <c r="B100" s="4">
        <v>101</v>
      </c>
      <c r="C100" s="5">
        <v>34092</v>
      </c>
      <c r="D100" s="3" t="s">
        <v>46</v>
      </c>
      <c r="E100" s="6">
        <v>4.99</v>
      </c>
      <c r="F100" s="16">
        <v>2.52</v>
      </c>
      <c r="G100" s="49">
        <v>0</v>
      </c>
      <c r="H100" s="50">
        <f t="shared" si="4"/>
        <v>0</v>
      </c>
      <c r="I100" s="50">
        <f t="shared" si="5"/>
        <v>0</v>
      </c>
      <c r="J100" s="50">
        <f t="shared" si="6"/>
        <v>0</v>
      </c>
      <c r="K100" s="51">
        <f t="shared" si="7"/>
        <v>0</v>
      </c>
      <c r="L100" s="36"/>
      <c r="M100" s="11">
        <v>3189.9999999999995</v>
      </c>
      <c r="N100" s="11">
        <v>2773.913043478261</v>
      </c>
      <c r="O100" s="11">
        <v>1348.0000000000005</v>
      </c>
      <c r="P100" s="8">
        <v>200</v>
      </c>
      <c r="Q100" s="11">
        <v>1425.9130434782601</v>
      </c>
      <c r="R100" s="11">
        <v>15.949999999999998</v>
      </c>
      <c r="S100" s="11">
        <v>13.869565217391305</v>
      </c>
      <c r="T100" s="11">
        <v>6.740000000000002</v>
      </c>
      <c r="U100" s="14">
        <v>51.404388714733514</v>
      </c>
      <c r="V100" s="36">
        <f>IFERROR(LOOKUP($C100,#REF!,#REF!),0)</f>
        <v>0</v>
      </c>
      <c r="W100" s="36">
        <f>IFERROR(LOOKUP($C100,#REF!,#REF!),0)</f>
        <v>0</v>
      </c>
      <c r="X100" s="36">
        <f>IFERROR(LOOKUP($C100,#REF!,#REF!),0)</f>
        <v>0</v>
      </c>
      <c r="Y100" s="36">
        <f>IFERROR(LOOKUP($C100,#REF!,#REF!),0)</f>
        <v>0</v>
      </c>
    </row>
    <row r="101" spans="1:25" ht="16.5" customHeight="1" x14ac:dyDescent="0.35">
      <c r="A101" s="3" t="s">
        <v>312</v>
      </c>
      <c r="B101" s="4">
        <v>103</v>
      </c>
      <c r="C101" s="5">
        <v>34094</v>
      </c>
      <c r="D101" s="3" t="s">
        <v>226</v>
      </c>
      <c r="E101" s="6">
        <v>302.99</v>
      </c>
      <c r="F101" s="16">
        <v>157.83000000000001</v>
      </c>
      <c r="G101" s="49">
        <v>0</v>
      </c>
      <c r="H101" s="50">
        <f t="shared" si="4"/>
        <v>0</v>
      </c>
      <c r="I101" s="50">
        <f t="shared" si="5"/>
        <v>0</v>
      </c>
      <c r="J101" s="50">
        <f t="shared" si="6"/>
        <v>0</v>
      </c>
      <c r="K101" s="51">
        <f t="shared" si="7"/>
        <v>0</v>
      </c>
      <c r="L101" s="36"/>
      <c r="M101" s="11">
        <v>3104</v>
      </c>
      <c r="N101" s="11">
        <v>2699.130434782609</v>
      </c>
      <c r="O101" s="11">
        <v>1639.1999999999998</v>
      </c>
      <c r="P101" s="8">
        <v>60</v>
      </c>
      <c r="Q101" s="11">
        <v>1059.9304347826092</v>
      </c>
      <c r="R101" s="11">
        <v>51.733333333333334</v>
      </c>
      <c r="S101" s="11">
        <v>44.98550724637682</v>
      </c>
      <c r="T101" s="11">
        <v>27.319999999999997</v>
      </c>
      <c r="U101" s="14">
        <v>39.26932989690723</v>
      </c>
      <c r="V101" s="36">
        <f>IFERROR(LOOKUP($C101,#REF!,#REF!),0)</f>
        <v>0</v>
      </c>
      <c r="W101" s="36">
        <f>IFERROR(LOOKUP($C101,#REF!,#REF!),0)</f>
        <v>0</v>
      </c>
      <c r="X101" s="36">
        <f>IFERROR(LOOKUP($C101,#REF!,#REF!),0)</f>
        <v>0</v>
      </c>
      <c r="Y101" s="36">
        <f>IFERROR(LOOKUP($C101,#REF!,#REF!),0)</f>
        <v>0</v>
      </c>
    </row>
    <row r="102" spans="1:25" ht="16.5" customHeight="1" x14ac:dyDescent="0.35">
      <c r="A102" s="3" t="s">
        <v>14</v>
      </c>
      <c r="B102" s="4">
        <v>104</v>
      </c>
      <c r="C102" s="5">
        <v>34095</v>
      </c>
      <c r="D102" s="3" t="s">
        <v>232</v>
      </c>
      <c r="E102" s="6">
        <v>29.99</v>
      </c>
      <c r="F102" s="16">
        <v>12.52</v>
      </c>
      <c r="G102" s="49">
        <v>15</v>
      </c>
      <c r="H102" s="50">
        <f t="shared" si="4"/>
        <v>449.84999999999997</v>
      </c>
      <c r="I102" s="50">
        <f t="shared" si="5"/>
        <v>187.79999999999998</v>
      </c>
      <c r="J102" s="50">
        <f t="shared" si="6"/>
        <v>262.04999999999995</v>
      </c>
      <c r="K102" s="51">
        <f t="shared" si="7"/>
        <v>58.252750916972317</v>
      </c>
      <c r="L102" s="36"/>
      <c r="M102" s="11">
        <v>2990</v>
      </c>
      <c r="N102" s="11">
        <v>2599.9999999999995</v>
      </c>
      <c r="O102" s="11">
        <v>1579.64</v>
      </c>
      <c r="P102" s="8">
        <v>23</v>
      </c>
      <c r="Q102" s="11">
        <v>1020.3599999999999</v>
      </c>
      <c r="R102" s="11">
        <v>130</v>
      </c>
      <c r="S102" s="11">
        <v>113.04347826086955</v>
      </c>
      <c r="T102" s="11">
        <v>68.680000000000007</v>
      </c>
      <c r="U102" s="14">
        <v>39.244615384615386</v>
      </c>
      <c r="V102" s="36">
        <f>IFERROR(LOOKUP($C102,#REF!,#REF!),0)</f>
        <v>0</v>
      </c>
      <c r="W102" s="36">
        <f>IFERROR(LOOKUP($C102,#REF!,#REF!),0)</f>
        <v>0</v>
      </c>
      <c r="X102" s="36">
        <f>IFERROR(LOOKUP($C102,#REF!,#REF!),0)</f>
        <v>0</v>
      </c>
      <c r="Y102" s="36">
        <f>IFERROR(LOOKUP($C102,#REF!,#REF!),0)</f>
        <v>0</v>
      </c>
    </row>
    <row r="103" spans="1:25" ht="16.5" customHeight="1" x14ac:dyDescent="0.35">
      <c r="A103" s="3" t="s">
        <v>14</v>
      </c>
      <c r="B103" s="4">
        <v>103</v>
      </c>
      <c r="C103" s="5">
        <v>34100</v>
      </c>
      <c r="D103" s="3" t="s">
        <v>208</v>
      </c>
      <c r="E103" s="6">
        <v>402.99</v>
      </c>
      <c r="F103" s="16">
        <v>210</v>
      </c>
      <c r="G103" s="49">
        <v>0</v>
      </c>
      <c r="H103" s="50">
        <f t="shared" si="4"/>
        <v>0</v>
      </c>
      <c r="I103" s="50">
        <f t="shared" si="5"/>
        <v>0</v>
      </c>
      <c r="J103" s="50">
        <f t="shared" si="6"/>
        <v>0</v>
      </c>
      <c r="K103" s="51">
        <f t="shared" si="7"/>
        <v>0</v>
      </c>
      <c r="L103" s="36"/>
      <c r="M103" s="11">
        <v>2963.55</v>
      </c>
      <c r="N103" s="11">
        <v>2577</v>
      </c>
      <c r="O103" s="11">
        <v>1494.8999999999999</v>
      </c>
      <c r="P103" s="8">
        <v>330</v>
      </c>
      <c r="Q103" s="11">
        <v>1082.1000000000006</v>
      </c>
      <c r="R103" s="11">
        <v>8.9804545454545455</v>
      </c>
      <c r="S103" s="11">
        <v>7.8090909090909095</v>
      </c>
      <c r="T103" s="11">
        <v>4.5299999999999994</v>
      </c>
      <c r="U103" s="14">
        <v>41.990686845168817</v>
      </c>
      <c r="V103" s="36">
        <f>IFERROR(LOOKUP($C103,#REF!,#REF!),0)</f>
        <v>0</v>
      </c>
      <c r="W103" s="36">
        <f>IFERROR(LOOKUP($C103,#REF!,#REF!),0)</f>
        <v>0</v>
      </c>
      <c r="X103" s="36">
        <f>IFERROR(LOOKUP($C103,#REF!,#REF!),0)</f>
        <v>0</v>
      </c>
      <c r="Y103" s="36">
        <f>IFERROR(LOOKUP($C103,#REF!,#REF!),0)</f>
        <v>0</v>
      </c>
    </row>
    <row r="104" spans="1:25" ht="16.5" customHeight="1" x14ac:dyDescent="0.35">
      <c r="A104" s="3" t="s">
        <v>312</v>
      </c>
      <c r="B104" s="4">
        <v>103</v>
      </c>
      <c r="C104" s="5">
        <v>34101</v>
      </c>
      <c r="D104" s="3" t="s">
        <v>206</v>
      </c>
      <c r="E104" s="6">
        <v>216.99</v>
      </c>
      <c r="F104" s="16">
        <v>117.59</v>
      </c>
      <c r="G104" s="49">
        <v>0</v>
      </c>
      <c r="H104" s="50">
        <f t="shared" si="4"/>
        <v>0</v>
      </c>
      <c r="I104" s="50">
        <f t="shared" si="5"/>
        <v>0</v>
      </c>
      <c r="J104" s="50">
        <f t="shared" si="6"/>
        <v>0</v>
      </c>
      <c r="K104" s="51">
        <f t="shared" si="7"/>
        <v>0</v>
      </c>
      <c r="L104" s="36"/>
      <c r="M104" s="11">
        <v>2907.09</v>
      </c>
      <c r="N104" s="11">
        <v>2527.9043478260874</v>
      </c>
      <c r="O104" s="11">
        <v>1452.0900000000001</v>
      </c>
      <c r="P104" s="8">
        <v>291</v>
      </c>
      <c r="Q104" s="11">
        <v>1075.8143478260868</v>
      </c>
      <c r="R104" s="11">
        <v>9.99</v>
      </c>
      <c r="S104" s="11">
        <v>8.6869565217391322</v>
      </c>
      <c r="T104" s="11">
        <v>4.99</v>
      </c>
      <c r="U104" s="14">
        <v>42.557557557557551</v>
      </c>
      <c r="V104" s="36">
        <f>IFERROR(LOOKUP($C104,#REF!,#REF!),0)</f>
        <v>0</v>
      </c>
      <c r="W104" s="36">
        <f>IFERROR(LOOKUP($C104,#REF!,#REF!),0)</f>
        <v>0</v>
      </c>
      <c r="X104" s="36">
        <f>IFERROR(LOOKUP($C104,#REF!,#REF!),0)</f>
        <v>0</v>
      </c>
      <c r="Y104" s="36">
        <f>IFERROR(LOOKUP($C104,#REF!,#REF!),0)</f>
        <v>0</v>
      </c>
    </row>
    <row r="105" spans="1:25" ht="16.5" customHeight="1" x14ac:dyDescent="0.35">
      <c r="A105" s="3" t="s">
        <v>14</v>
      </c>
      <c r="B105" s="4">
        <v>102</v>
      </c>
      <c r="C105" s="5">
        <v>34102</v>
      </c>
      <c r="D105" s="3" t="s">
        <v>126</v>
      </c>
      <c r="E105" s="6">
        <v>9.99</v>
      </c>
      <c r="F105" s="16">
        <v>4.99</v>
      </c>
      <c r="G105" s="49">
        <v>0</v>
      </c>
      <c r="H105" s="50">
        <f t="shared" si="4"/>
        <v>0</v>
      </c>
      <c r="I105" s="50">
        <f t="shared" si="5"/>
        <v>0</v>
      </c>
      <c r="J105" s="50">
        <f t="shared" si="6"/>
        <v>0</v>
      </c>
      <c r="K105" s="51">
        <f t="shared" si="7"/>
        <v>0</v>
      </c>
      <c r="L105" s="36"/>
      <c r="M105" s="11">
        <v>2903.56</v>
      </c>
      <c r="N105" s="11">
        <v>2524.8347826086956</v>
      </c>
      <c r="O105" s="11">
        <v>2015.13</v>
      </c>
      <c r="P105" s="8">
        <v>44</v>
      </c>
      <c r="Q105" s="11">
        <v>509.7047826086955</v>
      </c>
      <c r="R105" s="11">
        <v>65.989999999999995</v>
      </c>
      <c r="S105" s="11">
        <v>57.382608695652173</v>
      </c>
      <c r="T105" s="11">
        <v>45.798409090909097</v>
      </c>
      <c r="U105" s="14">
        <v>20.187648955075833</v>
      </c>
      <c r="V105" s="36">
        <f>IFERROR(LOOKUP($C105,#REF!,#REF!),0)</f>
        <v>0</v>
      </c>
      <c r="W105" s="36">
        <f>IFERROR(LOOKUP($C105,#REF!,#REF!),0)</f>
        <v>0</v>
      </c>
      <c r="X105" s="36">
        <f>IFERROR(LOOKUP($C105,#REF!,#REF!),0)</f>
        <v>0</v>
      </c>
      <c r="Y105" s="36">
        <f>IFERROR(LOOKUP($C105,#REF!,#REF!),0)</f>
        <v>0</v>
      </c>
    </row>
    <row r="106" spans="1:25" ht="16.5" customHeight="1" x14ac:dyDescent="0.35">
      <c r="A106" s="3" t="s">
        <v>14</v>
      </c>
      <c r="B106" s="4">
        <v>119</v>
      </c>
      <c r="C106" s="5">
        <v>34105</v>
      </c>
      <c r="D106" s="3" t="s">
        <v>262</v>
      </c>
      <c r="E106" s="6">
        <v>79.989999999999995</v>
      </c>
      <c r="F106" s="16">
        <v>54.64</v>
      </c>
      <c r="G106" s="49">
        <v>0</v>
      </c>
      <c r="H106" s="50">
        <f t="shared" si="4"/>
        <v>0</v>
      </c>
      <c r="I106" s="50">
        <f t="shared" si="5"/>
        <v>0</v>
      </c>
      <c r="J106" s="50">
        <f t="shared" si="6"/>
        <v>0</v>
      </c>
      <c r="K106" s="51">
        <f t="shared" si="7"/>
        <v>0</v>
      </c>
      <c r="L106" s="36"/>
      <c r="M106" s="11">
        <v>2790</v>
      </c>
      <c r="N106" s="11">
        <v>2426.086956521739</v>
      </c>
      <c r="O106" s="11">
        <v>1915.2799999999997</v>
      </c>
      <c r="P106" s="8">
        <v>18</v>
      </c>
      <c r="Q106" s="11">
        <v>510.80695652173927</v>
      </c>
      <c r="R106" s="11">
        <v>155</v>
      </c>
      <c r="S106" s="11">
        <v>134.78260869565216</v>
      </c>
      <c r="T106" s="11">
        <v>106.40444444444444</v>
      </c>
      <c r="U106" s="14">
        <v>21.054767025089614</v>
      </c>
      <c r="V106" s="36">
        <f>IFERROR(LOOKUP($C106,#REF!,#REF!),0)</f>
        <v>0</v>
      </c>
      <c r="W106" s="36">
        <f>IFERROR(LOOKUP($C106,#REF!,#REF!),0)</f>
        <v>0</v>
      </c>
      <c r="X106" s="36">
        <f>IFERROR(LOOKUP($C106,#REF!,#REF!),0)</f>
        <v>0</v>
      </c>
      <c r="Y106" s="36">
        <f>IFERROR(LOOKUP($C106,#REF!,#REF!),0)</f>
        <v>0</v>
      </c>
    </row>
    <row r="107" spans="1:25" ht="16.5" customHeight="1" x14ac:dyDescent="0.35">
      <c r="A107" s="3" t="s">
        <v>14</v>
      </c>
      <c r="B107" s="4">
        <v>102</v>
      </c>
      <c r="C107" s="5">
        <v>34106</v>
      </c>
      <c r="D107" s="3" t="s">
        <v>128</v>
      </c>
      <c r="E107" s="6">
        <v>11.99</v>
      </c>
      <c r="F107" s="16">
        <v>6.35</v>
      </c>
      <c r="G107" s="49">
        <v>0</v>
      </c>
      <c r="H107" s="50">
        <f t="shared" si="4"/>
        <v>0</v>
      </c>
      <c r="I107" s="50">
        <f t="shared" si="5"/>
        <v>0</v>
      </c>
      <c r="J107" s="50">
        <f t="shared" si="6"/>
        <v>0</v>
      </c>
      <c r="K107" s="51">
        <f t="shared" si="7"/>
        <v>0</v>
      </c>
      <c r="L107" s="36"/>
      <c r="M107" s="11">
        <v>2782.2599999999998</v>
      </c>
      <c r="N107" s="11">
        <v>2419.3565217391306</v>
      </c>
      <c r="O107" s="11">
        <v>892.62</v>
      </c>
      <c r="P107" s="8">
        <v>174</v>
      </c>
      <c r="Q107" s="11">
        <v>1526.7365217391302</v>
      </c>
      <c r="R107" s="11">
        <v>15.989999999999998</v>
      </c>
      <c r="S107" s="11">
        <v>13.904347826086957</v>
      </c>
      <c r="T107" s="11">
        <v>5.13</v>
      </c>
      <c r="U107" s="14">
        <v>63.10506566604127</v>
      </c>
      <c r="V107" s="36">
        <f>IFERROR(LOOKUP($C107,#REF!,#REF!),0)</f>
        <v>0</v>
      </c>
      <c r="W107" s="36">
        <f>IFERROR(LOOKUP($C107,#REF!,#REF!),0)</f>
        <v>0</v>
      </c>
      <c r="X107" s="36">
        <f>IFERROR(LOOKUP($C107,#REF!,#REF!),0)</f>
        <v>0</v>
      </c>
      <c r="Y107" s="36">
        <f>IFERROR(LOOKUP($C107,#REF!,#REF!),0)</f>
        <v>0</v>
      </c>
    </row>
    <row r="108" spans="1:25" ht="16.5" customHeight="1" x14ac:dyDescent="0.35">
      <c r="A108" s="3" t="s">
        <v>14</v>
      </c>
      <c r="B108" s="4">
        <v>104</v>
      </c>
      <c r="C108" s="5">
        <v>34118</v>
      </c>
      <c r="D108" s="3" t="s">
        <v>228</v>
      </c>
      <c r="E108" s="6">
        <v>29.99</v>
      </c>
      <c r="F108" s="16">
        <v>7.38</v>
      </c>
      <c r="G108" s="49">
        <v>0</v>
      </c>
      <c r="H108" s="50">
        <f t="shared" si="4"/>
        <v>0</v>
      </c>
      <c r="I108" s="50">
        <f t="shared" si="5"/>
        <v>0</v>
      </c>
      <c r="J108" s="50">
        <f t="shared" si="6"/>
        <v>0</v>
      </c>
      <c r="K108" s="51">
        <f t="shared" si="7"/>
        <v>0</v>
      </c>
      <c r="L108" s="36"/>
      <c r="M108" s="11">
        <v>2779.28</v>
      </c>
      <c r="N108" s="11">
        <v>2416.7652173913038</v>
      </c>
      <c r="O108" s="11">
        <v>1473.1999999999998</v>
      </c>
      <c r="P108" s="8">
        <v>232</v>
      </c>
      <c r="Q108" s="11">
        <v>943.56521739130449</v>
      </c>
      <c r="R108" s="11">
        <v>11.979655172413795</v>
      </c>
      <c r="S108" s="11">
        <v>10.417091454272862</v>
      </c>
      <c r="T108" s="11">
        <v>6.35</v>
      </c>
      <c r="U108" s="14">
        <v>39.042485823666567</v>
      </c>
      <c r="V108" s="36">
        <f>IFERROR(LOOKUP($C108,#REF!,#REF!),0)</f>
        <v>0</v>
      </c>
      <c r="W108" s="36">
        <f>IFERROR(LOOKUP($C108,#REF!,#REF!),0)</f>
        <v>0</v>
      </c>
      <c r="X108" s="36">
        <f>IFERROR(LOOKUP($C108,#REF!,#REF!),0)</f>
        <v>0</v>
      </c>
      <c r="Y108" s="36">
        <f>IFERROR(LOOKUP($C108,#REF!,#REF!),0)</f>
        <v>0</v>
      </c>
    </row>
    <row r="109" spans="1:25" ht="16.5" customHeight="1" x14ac:dyDescent="0.35">
      <c r="A109" s="3" t="s">
        <v>14</v>
      </c>
      <c r="B109" s="4">
        <v>101</v>
      </c>
      <c r="C109" s="5">
        <v>34119</v>
      </c>
      <c r="D109" s="3" t="s">
        <v>35</v>
      </c>
      <c r="E109" s="6">
        <v>3.3</v>
      </c>
      <c r="F109" s="16">
        <v>1.85</v>
      </c>
      <c r="G109" s="49">
        <v>0</v>
      </c>
      <c r="H109" s="50">
        <f t="shared" si="4"/>
        <v>0</v>
      </c>
      <c r="I109" s="50">
        <f t="shared" si="5"/>
        <v>0</v>
      </c>
      <c r="J109" s="50">
        <f t="shared" si="6"/>
        <v>0</v>
      </c>
      <c r="K109" s="51">
        <f t="shared" si="7"/>
        <v>0</v>
      </c>
      <c r="L109" s="36"/>
      <c r="M109" s="11">
        <v>2715.9000000000005</v>
      </c>
      <c r="N109" s="11">
        <v>2361.6521739130435</v>
      </c>
      <c r="O109" s="11">
        <v>1336.2000000000003</v>
      </c>
      <c r="P109" s="8">
        <v>170</v>
      </c>
      <c r="Q109" s="11">
        <v>1025.4521739130437</v>
      </c>
      <c r="R109" s="11">
        <v>15.975882352941179</v>
      </c>
      <c r="S109" s="11">
        <v>13.892071611253197</v>
      </c>
      <c r="T109" s="11">
        <v>7.8600000000000012</v>
      </c>
      <c r="U109" s="14">
        <v>43.420965425825692</v>
      </c>
      <c r="V109" s="36">
        <f>IFERROR(LOOKUP($C109,#REF!,#REF!),0)</f>
        <v>0</v>
      </c>
      <c r="W109" s="36">
        <f>IFERROR(LOOKUP($C109,#REF!,#REF!),0)</f>
        <v>0</v>
      </c>
      <c r="X109" s="36">
        <f>IFERROR(LOOKUP($C109,#REF!,#REF!),0)</f>
        <v>0</v>
      </c>
      <c r="Y109" s="36">
        <f>IFERROR(LOOKUP($C109,#REF!,#REF!),0)</f>
        <v>0</v>
      </c>
    </row>
    <row r="110" spans="1:25" ht="16.5" customHeight="1" x14ac:dyDescent="0.35">
      <c r="A110" s="3" t="s">
        <v>14</v>
      </c>
      <c r="B110" s="4">
        <v>102</v>
      </c>
      <c r="C110" s="5">
        <v>34120</v>
      </c>
      <c r="D110" s="3" t="s">
        <v>131</v>
      </c>
      <c r="E110" s="6">
        <v>8.99</v>
      </c>
      <c r="F110" s="16">
        <v>4.99</v>
      </c>
      <c r="G110" s="49">
        <v>0</v>
      </c>
      <c r="H110" s="50">
        <f t="shared" si="4"/>
        <v>0</v>
      </c>
      <c r="I110" s="50">
        <f t="shared" si="5"/>
        <v>0</v>
      </c>
      <c r="J110" s="50">
        <f t="shared" si="6"/>
        <v>0</v>
      </c>
      <c r="K110" s="51">
        <f t="shared" si="7"/>
        <v>0</v>
      </c>
      <c r="L110" s="36"/>
      <c r="M110" s="11">
        <v>2591.5200000000004</v>
      </c>
      <c r="N110" s="11">
        <v>2253.4956521739132</v>
      </c>
      <c r="O110" s="11">
        <v>1175.2800000000002</v>
      </c>
      <c r="P110" s="8">
        <v>118</v>
      </c>
      <c r="Q110" s="11">
        <v>1078.215652173913</v>
      </c>
      <c r="R110" s="11">
        <v>21.962033898305087</v>
      </c>
      <c r="S110" s="11">
        <v>19.097420781134858</v>
      </c>
      <c r="T110" s="11">
        <v>9.9600000000000009</v>
      </c>
      <c r="U110" s="14">
        <v>47.84636043711798</v>
      </c>
      <c r="V110" s="36">
        <f>IFERROR(LOOKUP($C110,#REF!,#REF!),0)</f>
        <v>0</v>
      </c>
      <c r="W110" s="36">
        <f>IFERROR(LOOKUP($C110,#REF!,#REF!),0)</f>
        <v>0</v>
      </c>
      <c r="X110" s="36">
        <f>IFERROR(LOOKUP($C110,#REF!,#REF!),0)</f>
        <v>0</v>
      </c>
      <c r="Y110" s="36">
        <f>IFERROR(LOOKUP($C110,#REF!,#REF!),0)</f>
        <v>0</v>
      </c>
    </row>
    <row r="111" spans="1:25" ht="16.5" customHeight="1" x14ac:dyDescent="0.35">
      <c r="A111" s="3" t="s">
        <v>14</v>
      </c>
      <c r="B111" s="4">
        <v>101</v>
      </c>
      <c r="C111" s="5">
        <v>34121</v>
      </c>
      <c r="D111" s="3" t="s">
        <v>25</v>
      </c>
      <c r="E111" s="6">
        <v>3.3</v>
      </c>
      <c r="F111" s="16">
        <v>1.85</v>
      </c>
      <c r="G111" s="49">
        <v>0</v>
      </c>
      <c r="H111" s="50">
        <f t="shared" si="4"/>
        <v>0</v>
      </c>
      <c r="I111" s="50">
        <f t="shared" si="5"/>
        <v>0</v>
      </c>
      <c r="J111" s="50">
        <f t="shared" si="6"/>
        <v>0</v>
      </c>
      <c r="K111" s="51">
        <f t="shared" si="7"/>
        <v>0</v>
      </c>
      <c r="L111" s="36"/>
      <c r="M111" s="11">
        <v>2500</v>
      </c>
      <c r="N111" s="11">
        <v>2173.913043478261</v>
      </c>
      <c r="O111" s="11">
        <v>1347.25</v>
      </c>
      <c r="P111" s="8">
        <v>25</v>
      </c>
      <c r="Q111" s="11">
        <v>826.66304347826099</v>
      </c>
      <c r="R111" s="11">
        <v>100</v>
      </c>
      <c r="S111" s="11">
        <v>86.956521739130437</v>
      </c>
      <c r="T111" s="11">
        <v>53.89</v>
      </c>
      <c r="U111" s="14">
        <v>38.026499999999999</v>
      </c>
      <c r="V111" s="36">
        <f>IFERROR(LOOKUP($C111,#REF!,#REF!),0)</f>
        <v>0</v>
      </c>
      <c r="W111" s="36">
        <f>IFERROR(LOOKUP($C111,#REF!,#REF!),0)</f>
        <v>0</v>
      </c>
      <c r="X111" s="36">
        <f>IFERROR(LOOKUP($C111,#REF!,#REF!),0)</f>
        <v>0</v>
      </c>
      <c r="Y111" s="36">
        <f>IFERROR(LOOKUP($C111,#REF!,#REF!),0)</f>
        <v>0</v>
      </c>
    </row>
    <row r="112" spans="1:25" ht="16.5" customHeight="1" x14ac:dyDescent="0.35">
      <c r="A112" s="3" t="s">
        <v>14</v>
      </c>
      <c r="B112" s="4">
        <v>102</v>
      </c>
      <c r="C112" s="5">
        <v>34122</v>
      </c>
      <c r="D112" s="3" t="s">
        <v>164</v>
      </c>
      <c r="E112" s="6">
        <v>25.99</v>
      </c>
      <c r="F112" s="16">
        <v>13.19</v>
      </c>
      <c r="G112" s="49">
        <v>0</v>
      </c>
      <c r="H112" s="50">
        <f t="shared" si="4"/>
        <v>0</v>
      </c>
      <c r="I112" s="50">
        <f t="shared" si="5"/>
        <v>0</v>
      </c>
      <c r="J112" s="50">
        <f t="shared" si="6"/>
        <v>0</v>
      </c>
      <c r="K112" s="51">
        <f t="shared" si="7"/>
        <v>0</v>
      </c>
      <c r="L112" s="36"/>
      <c r="M112" s="11">
        <v>2283.46</v>
      </c>
      <c r="N112" s="11">
        <v>1985.6173913043478</v>
      </c>
      <c r="O112" s="11">
        <v>1267.46</v>
      </c>
      <c r="P112" s="8">
        <v>254</v>
      </c>
      <c r="Q112" s="11">
        <v>718.15739130434758</v>
      </c>
      <c r="R112" s="11">
        <v>8.99</v>
      </c>
      <c r="S112" s="11">
        <v>7.8173913043478258</v>
      </c>
      <c r="T112" s="11">
        <v>4.99</v>
      </c>
      <c r="U112" s="14">
        <v>36.16796440489432</v>
      </c>
      <c r="V112" s="36">
        <f>IFERROR(LOOKUP($C112,#REF!,#REF!),0)</f>
        <v>0</v>
      </c>
      <c r="W112" s="36">
        <f>IFERROR(LOOKUP($C112,#REF!,#REF!),0)</f>
        <v>0</v>
      </c>
      <c r="X112" s="36">
        <f>IFERROR(LOOKUP($C112,#REF!,#REF!),0)</f>
        <v>0</v>
      </c>
      <c r="Y112" s="36">
        <f>IFERROR(LOOKUP($C112,#REF!,#REF!),0)</f>
        <v>0</v>
      </c>
    </row>
    <row r="113" spans="1:25" ht="16.5" customHeight="1" x14ac:dyDescent="0.35">
      <c r="A113" s="3" t="s">
        <v>14</v>
      </c>
      <c r="B113" s="4">
        <v>120</v>
      </c>
      <c r="C113" s="5">
        <v>34124</v>
      </c>
      <c r="D113" s="3" t="s">
        <v>280</v>
      </c>
      <c r="E113" s="6">
        <v>29.99</v>
      </c>
      <c r="F113" s="16">
        <v>12.33</v>
      </c>
      <c r="G113" s="49">
        <v>0</v>
      </c>
      <c r="H113" s="50">
        <f t="shared" si="4"/>
        <v>0</v>
      </c>
      <c r="I113" s="50">
        <f t="shared" si="5"/>
        <v>0</v>
      </c>
      <c r="J113" s="50">
        <f t="shared" si="6"/>
        <v>0</v>
      </c>
      <c r="K113" s="51">
        <f t="shared" si="7"/>
        <v>0</v>
      </c>
      <c r="L113" s="36"/>
      <c r="M113" s="11">
        <v>2206.16</v>
      </c>
      <c r="N113" s="11">
        <v>1918.4</v>
      </c>
      <c r="O113" s="11">
        <v>1113.1999999999998</v>
      </c>
      <c r="P113" s="8">
        <v>184</v>
      </c>
      <c r="Q113" s="11">
        <v>805.19999999999982</v>
      </c>
      <c r="R113" s="11">
        <v>11.989999999999998</v>
      </c>
      <c r="S113" s="11">
        <v>10.42608695652174</v>
      </c>
      <c r="T113" s="11">
        <v>6.0499999999999989</v>
      </c>
      <c r="U113" s="14">
        <v>41.972477064220179</v>
      </c>
      <c r="V113" s="36">
        <f>IFERROR(LOOKUP($C113,#REF!,#REF!),0)</f>
        <v>0</v>
      </c>
      <c r="W113" s="36">
        <f>IFERROR(LOOKUP($C113,#REF!,#REF!),0)</f>
        <v>0</v>
      </c>
      <c r="X113" s="36">
        <f>IFERROR(LOOKUP($C113,#REF!,#REF!),0)</f>
        <v>0</v>
      </c>
      <c r="Y113" s="36">
        <f>IFERROR(LOOKUP($C113,#REF!,#REF!),0)</f>
        <v>0</v>
      </c>
    </row>
    <row r="114" spans="1:25" ht="16.5" customHeight="1" x14ac:dyDescent="0.35">
      <c r="A114" s="3" t="s">
        <v>312</v>
      </c>
      <c r="B114" s="4">
        <v>103</v>
      </c>
      <c r="C114" s="5">
        <v>34134</v>
      </c>
      <c r="D114" s="3" t="s">
        <v>212</v>
      </c>
      <c r="E114" s="6">
        <v>313.99</v>
      </c>
      <c r="F114" s="16">
        <v>163.47229999999999</v>
      </c>
      <c r="G114" s="49">
        <v>0</v>
      </c>
      <c r="H114" s="50">
        <f t="shared" si="4"/>
        <v>0</v>
      </c>
      <c r="I114" s="50">
        <f t="shared" si="5"/>
        <v>0</v>
      </c>
      <c r="J114" s="50">
        <f t="shared" si="6"/>
        <v>0</v>
      </c>
      <c r="K114" s="51">
        <f t="shared" si="7"/>
        <v>0</v>
      </c>
      <c r="L114" s="36"/>
      <c r="M114" s="11">
        <v>2206.16</v>
      </c>
      <c r="N114" s="11">
        <v>1918.4</v>
      </c>
      <c r="O114" s="11">
        <v>1113.1999999999998</v>
      </c>
      <c r="P114" s="8">
        <v>184</v>
      </c>
      <c r="Q114" s="11">
        <v>805.19999999999982</v>
      </c>
      <c r="R114" s="11">
        <v>11.989999999999998</v>
      </c>
      <c r="S114" s="11">
        <v>10.42608695652174</v>
      </c>
      <c r="T114" s="11">
        <v>6.0499999999999989</v>
      </c>
      <c r="U114" s="14">
        <v>41.972477064220179</v>
      </c>
      <c r="V114" s="36">
        <f>IFERROR(LOOKUP($C114,#REF!,#REF!),0)</f>
        <v>0</v>
      </c>
      <c r="W114" s="36">
        <f>IFERROR(LOOKUP($C114,#REF!,#REF!),0)</f>
        <v>0</v>
      </c>
      <c r="X114" s="36">
        <f>IFERROR(LOOKUP($C114,#REF!,#REF!),0)</f>
        <v>0</v>
      </c>
      <c r="Y114" s="36">
        <f>IFERROR(LOOKUP($C114,#REF!,#REF!),0)</f>
        <v>0</v>
      </c>
    </row>
    <row r="115" spans="1:25" ht="16.5" customHeight="1" x14ac:dyDescent="0.35">
      <c r="A115" s="3" t="s">
        <v>14</v>
      </c>
      <c r="B115" s="4">
        <v>103</v>
      </c>
      <c r="C115" s="5">
        <v>34135</v>
      </c>
      <c r="D115" s="3" t="s">
        <v>227</v>
      </c>
      <c r="E115" s="6">
        <v>189.99</v>
      </c>
      <c r="F115" s="16">
        <v>61</v>
      </c>
      <c r="G115" s="49">
        <v>0</v>
      </c>
      <c r="H115" s="50">
        <f t="shared" si="4"/>
        <v>0</v>
      </c>
      <c r="I115" s="50">
        <f t="shared" si="5"/>
        <v>0</v>
      </c>
      <c r="J115" s="50">
        <f t="shared" si="6"/>
        <v>0</v>
      </c>
      <c r="K115" s="51">
        <f t="shared" si="7"/>
        <v>0</v>
      </c>
      <c r="L115" s="36"/>
      <c r="M115" s="11">
        <v>2179.46</v>
      </c>
      <c r="N115" s="11">
        <v>1895.1826086956521</v>
      </c>
      <c r="O115" s="11">
        <v>1128.3999999999999</v>
      </c>
      <c r="P115" s="8">
        <v>364</v>
      </c>
      <c r="Q115" s="11">
        <v>766.78260869565247</v>
      </c>
      <c r="R115" s="11">
        <v>5.9875274725274723</v>
      </c>
      <c r="S115" s="11">
        <v>5.2065456282847586</v>
      </c>
      <c r="T115" s="11">
        <v>3.0999999999999996</v>
      </c>
      <c r="U115" s="14">
        <v>40.459563378084489</v>
      </c>
      <c r="V115" s="36">
        <f>IFERROR(LOOKUP($C115,#REF!,#REF!),0)</f>
        <v>0</v>
      </c>
      <c r="W115" s="36">
        <f>IFERROR(LOOKUP($C115,#REF!,#REF!),0)</f>
        <v>0</v>
      </c>
      <c r="X115" s="36">
        <f>IFERROR(LOOKUP($C115,#REF!,#REF!),0)</f>
        <v>0</v>
      </c>
      <c r="Y115" s="36">
        <f>IFERROR(LOOKUP($C115,#REF!,#REF!),0)</f>
        <v>0</v>
      </c>
    </row>
    <row r="116" spans="1:25" ht="16.5" customHeight="1" x14ac:dyDescent="0.35">
      <c r="A116" s="3" t="s">
        <v>312</v>
      </c>
      <c r="B116" s="4">
        <v>103</v>
      </c>
      <c r="C116" s="5">
        <v>34136</v>
      </c>
      <c r="D116" s="3" t="s">
        <v>215</v>
      </c>
      <c r="E116" s="6">
        <v>112.99</v>
      </c>
      <c r="F116" s="16">
        <v>60.22</v>
      </c>
      <c r="G116" s="49">
        <v>0</v>
      </c>
      <c r="H116" s="50">
        <f t="shared" si="4"/>
        <v>0</v>
      </c>
      <c r="I116" s="50">
        <f t="shared" si="5"/>
        <v>0</v>
      </c>
      <c r="J116" s="50">
        <f t="shared" si="6"/>
        <v>0</v>
      </c>
      <c r="K116" s="51">
        <f t="shared" si="7"/>
        <v>0</v>
      </c>
      <c r="L116" s="36"/>
      <c r="M116" s="11">
        <v>2176.81</v>
      </c>
      <c r="N116" s="11">
        <v>1892.8782608695651</v>
      </c>
      <c r="O116" s="11">
        <v>1099.6399999999999</v>
      </c>
      <c r="P116" s="8">
        <v>74</v>
      </c>
      <c r="Q116" s="11">
        <v>793.23826086956524</v>
      </c>
      <c r="R116" s="11">
        <v>29.416351351351352</v>
      </c>
      <c r="S116" s="11">
        <v>25.579435957696827</v>
      </c>
      <c r="T116" s="11">
        <v>14.859999999999998</v>
      </c>
      <c r="U116" s="14">
        <v>41.906459452134087</v>
      </c>
      <c r="V116" s="36">
        <f>IFERROR(LOOKUP($C116,#REF!,#REF!),0)</f>
        <v>0</v>
      </c>
      <c r="W116" s="36">
        <f>IFERROR(LOOKUP($C116,#REF!,#REF!),0)</f>
        <v>0</v>
      </c>
      <c r="X116" s="36">
        <f>IFERROR(LOOKUP($C116,#REF!,#REF!),0)</f>
        <v>0</v>
      </c>
      <c r="Y116" s="36">
        <f>IFERROR(LOOKUP($C116,#REF!,#REF!),0)</f>
        <v>0</v>
      </c>
    </row>
    <row r="117" spans="1:25" ht="16.5" customHeight="1" x14ac:dyDescent="0.35">
      <c r="A117" s="3" t="s">
        <v>14</v>
      </c>
      <c r="B117" s="4">
        <v>102</v>
      </c>
      <c r="C117" s="5">
        <v>34139</v>
      </c>
      <c r="D117" s="3" t="s">
        <v>138</v>
      </c>
      <c r="E117" s="6">
        <v>49.99</v>
      </c>
      <c r="F117" s="16">
        <v>26.72</v>
      </c>
      <c r="G117" s="49">
        <v>0</v>
      </c>
      <c r="H117" s="50">
        <f t="shared" si="4"/>
        <v>0</v>
      </c>
      <c r="I117" s="50">
        <f t="shared" si="5"/>
        <v>0</v>
      </c>
      <c r="J117" s="50">
        <f t="shared" si="6"/>
        <v>0</v>
      </c>
      <c r="K117" s="51">
        <f t="shared" si="7"/>
        <v>0</v>
      </c>
      <c r="L117" s="36"/>
      <c r="M117" s="11">
        <v>2151.7200000000003</v>
      </c>
      <c r="N117" s="11">
        <v>1871.0608695652177</v>
      </c>
      <c r="O117" s="11">
        <v>1088.78</v>
      </c>
      <c r="P117" s="8">
        <v>98</v>
      </c>
      <c r="Q117" s="11">
        <v>782.2808695652177</v>
      </c>
      <c r="R117" s="11">
        <v>21.956326530612248</v>
      </c>
      <c r="S117" s="11">
        <v>19.092457852706303</v>
      </c>
      <c r="T117" s="11">
        <v>11.11</v>
      </c>
      <c r="U117" s="14">
        <v>41.809482646440998</v>
      </c>
      <c r="V117" s="36">
        <f>IFERROR(LOOKUP($C117,#REF!,#REF!),0)</f>
        <v>0</v>
      </c>
      <c r="W117" s="36">
        <f>IFERROR(LOOKUP($C117,#REF!,#REF!),0)</f>
        <v>0</v>
      </c>
      <c r="X117" s="36">
        <f>IFERROR(LOOKUP($C117,#REF!,#REF!),0)</f>
        <v>0</v>
      </c>
      <c r="Y117" s="36">
        <f>IFERROR(LOOKUP($C117,#REF!,#REF!),0)</f>
        <v>0</v>
      </c>
    </row>
    <row r="118" spans="1:25" ht="16.5" customHeight="1" x14ac:dyDescent="0.35">
      <c r="A118" s="3" t="s">
        <v>14</v>
      </c>
      <c r="B118" s="4">
        <v>119</v>
      </c>
      <c r="C118" s="5">
        <v>34140</v>
      </c>
      <c r="D118" s="3" t="s">
        <v>264</v>
      </c>
      <c r="E118" s="6">
        <v>385</v>
      </c>
      <c r="F118" s="16">
        <v>201.52</v>
      </c>
      <c r="G118" s="49">
        <v>0</v>
      </c>
      <c r="H118" s="50">
        <f t="shared" si="4"/>
        <v>0</v>
      </c>
      <c r="I118" s="50">
        <f t="shared" si="5"/>
        <v>0</v>
      </c>
      <c r="J118" s="50">
        <f t="shared" si="6"/>
        <v>0</v>
      </c>
      <c r="K118" s="51">
        <f t="shared" si="7"/>
        <v>0</v>
      </c>
      <c r="L118" s="36"/>
      <c r="M118" s="11">
        <v>2090</v>
      </c>
      <c r="N118" s="11">
        <v>1817.3913043478265</v>
      </c>
      <c r="O118" s="11">
        <v>1144.48</v>
      </c>
      <c r="P118" s="8">
        <v>21</v>
      </c>
      <c r="Q118" s="11">
        <v>672.91130434782622</v>
      </c>
      <c r="R118" s="11">
        <v>99.523809523809518</v>
      </c>
      <c r="S118" s="11">
        <v>86.542443064182208</v>
      </c>
      <c r="T118" s="11">
        <v>54.499047619047623</v>
      </c>
      <c r="U118" s="14">
        <v>37.026220095693787</v>
      </c>
      <c r="V118" s="36">
        <f>IFERROR(LOOKUP($C118,#REF!,#REF!),0)</f>
        <v>0</v>
      </c>
      <c r="W118" s="36">
        <f>IFERROR(LOOKUP($C118,#REF!,#REF!),0)</f>
        <v>0</v>
      </c>
      <c r="X118" s="36">
        <f>IFERROR(LOOKUP($C118,#REF!,#REF!),0)</f>
        <v>0</v>
      </c>
      <c r="Y118" s="36">
        <f>IFERROR(LOOKUP($C118,#REF!,#REF!),0)</f>
        <v>0</v>
      </c>
    </row>
    <row r="119" spans="1:25" ht="16.5" customHeight="1" x14ac:dyDescent="0.35">
      <c r="A119" s="3" t="s">
        <v>314</v>
      </c>
      <c r="B119" s="4">
        <v>103</v>
      </c>
      <c r="C119" s="5">
        <v>34142</v>
      </c>
      <c r="D119" s="3" t="s">
        <v>205</v>
      </c>
      <c r="E119" s="6">
        <v>70.989999999999995</v>
      </c>
      <c r="F119" s="16">
        <v>36.56</v>
      </c>
      <c r="G119" s="49">
        <v>0</v>
      </c>
      <c r="H119" s="50">
        <f t="shared" si="4"/>
        <v>0</v>
      </c>
      <c r="I119" s="50">
        <f t="shared" si="5"/>
        <v>0</v>
      </c>
      <c r="J119" s="50">
        <f t="shared" si="6"/>
        <v>0</v>
      </c>
      <c r="K119" s="51">
        <f t="shared" si="7"/>
        <v>0</v>
      </c>
      <c r="L119" s="36"/>
      <c r="M119" s="11">
        <v>2030.7300000000002</v>
      </c>
      <c r="N119" s="11">
        <v>1765.8521739130438</v>
      </c>
      <c r="O119" s="11">
        <v>825.5</v>
      </c>
      <c r="P119" s="8">
        <v>127</v>
      </c>
      <c r="Q119" s="11">
        <v>940.35217391304354</v>
      </c>
      <c r="R119" s="11">
        <v>15.990000000000002</v>
      </c>
      <c r="S119" s="11">
        <v>13.904347826086958</v>
      </c>
      <c r="T119" s="11">
        <v>6.5</v>
      </c>
      <c r="U119" s="14">
        <v>53.252032520325209</v>
      </c>
      <c r="V119" s="36">
        <f>IFERROR(LOOKUP($C119,#REF!,#REF!),0)</f>
        <v>0</v>
      </c>
      <c r="W119" s="36">
        <f>IFERROR(LOOKUP($C119,#REF!,#REF!),0)</f>
        <v>0</v>
      </c>
      <c r="X119" s="36">
        <f>IFERROR(LOOKUP($C119,#REF!,#REF!),0)</f>
        <v>0</v>
      </c>
      <c r="Y119" s="36">
        <f>IFERROR(LOOKUP($C119,#REF!,#REF!),0)</f>
        <v>0</v>
      </c>
    </row>
    <row r="120" spans="1:25" ht="16.5" customHeight="1" x14ac:dyDescent="0.35">
      <c r="A120" s="3" t="s">
        <v>14</v>
      </c>
      <c r="B120" s="4">
        <v>101</v>
      </c>
      <c r="C120" s="5">
        <v>34690</v>
      </c>
      <c r="D120" s="3" t="s">
        <v>18</v>
      </c>
      <c r="E120" s="6">
        <v>16.989999999999998</v>
      </c>
      <c r="F120" s="16">
        <v>7.7</v>
      </c>
      <c r="G120" s="49">
        <v>184</v>
      </c>
      <c r="H120" s="50">
        <f t="shared" si="4"/>
        <v>3126.16</v>
      </c>
      <c r="I120" s="50">
        <f t="shared" si="5"/>
        <v>1416.8</v>
      </c>
      <c r="J120" s="50">
        <f t="shared" si="6"/>
        <v>1709.36</v>
      </c>
      <c r="K120" s="51">
        <f t="shared" si="7"/>
        <v>54.679223072395523</v>
      </c>
      <c r="L120" s="36"/>
      <c r="M120" s="11">
        <v>2016.6100000000001</v>
      </c>
      <c r="N120" s="11">
        <v>1753.5739130434783</v>
      </c>
      <c r="O120" s="11">
        <v>673.60000000000014</v>
      </c>
      <c r="P120" s="8">
        <v>67.36</v>
      </c>
      <c r="Q120" s="11">
        <v>1079.9739130434782</v>
      </c>
      <c r="R120" s="11">
        <v>29.93779691211401</v>
      </c>
      <c r="S120" s="11">
        <v>26.032866880099139</v>
      </c>
      <c r="T120" s="11">
        <v>10</v>
      </c>
      <c r="U120" s="14">
        <v>61.587019800556376</v>
      </c>
      <c r="V120" s="36">
        <f>IFERROR(LOOKUP($C120,#REF!,#REF!),0)</f>
        <v>0</v>
      </c>
      <c r="W120" s="36">
        <f>IFERROR(LOOKUP($C120,#REF!,#REF!),0)</f>
        <v>0</v>
      </c>
      <c r="X120" s="36">
        <f>IFERROR(LOOKUP($C120,#REF!,#REF!),0)</f>
        <v>0</v>
      </c>
      <c r="Y120" s="36">
        <f>IFERROR(LOOKUP($C120,#REF!,#REF!),0)</f>
        <v>0</v>
      </c>
    </row>
    <row r="121" spans="1:25" ht="16.5" customHeight="1" x14ac:dyDescent="0.35">
      <c r="A121" s="3" t="s">
        <v>14</v>
      </c>
      <c r="B121" s="4">
        <v>102</v>
      </c>
      <c r="C121" s="5">
        <v>38977</v>
      </c>
      <c r="D121" s="3" t="s">
        <v>93</v>
      </c>
      <c r="E121" s="6">
        <v>18.989999999999998</v>
      </c>
      <c r="F121" s="16">
        <v>9.6999999999999993</v>
      </c>
      <c r="G121" s="49">
        <v>0</v>
      </c>
      <c r="H121" s="50">
        <f t="shared" si="4"/>
        <v>0</v>
      </c>
      <c r="I121" s="50">
        <f t="shared" si="5"/>
        <v>0</v>
      </c>
      <c r="J121" s="50">
        <f t="shared" si="6"/>
        <v>0</v>
      </c>
      <c r="K121" s="51">
        <f t="shared" si="7"/>
        <v>0</v>
      </c>
      <c r="L121" s="36"/>
      <c r="M121" s="11">
        <v>2010</v>
      </c>
      <c r="N121" s="11">
        <v>1747.8260869565215</v>
      </c>
      <c r="O121" s="11">
        <v>1072.24</v>
      </c>
      <c r="P121" s="8">
        <v>17</v>
      </c>
      <c r="Q121" s="11">
        <v>675.58608695652197</v>
      </c>
      <c r="R121" s="11">
        <v>118.23529411764706</v>
      </c>
      <c r="S121" s="11">
        <v>102.81329923273655</v>
      </c>
      <c r="T121" s="11">
        <v>63.072941176470586</v>
      </c>
      <c r="U121" s="14">
        <v>38.65293532338309</v>
      </c>
      <c r="V121" s="36">
        <f>IFERROR(LOOKUP($C121,#REF!,#REF!),0)</f>
        <v>0</v>
      </c>
      <c r="W121" s="36">
        <f>IFERROR(LOOKUP($C121,#REF!,#REF!),0)</f>
        <v>0</v>
      </c>
      <c r="X121" s="36">
        <f>IFERROR(LOOKUP($C121,#REF!,#REF!),0)</f>
        <v>0</v>
      </c>
      <c r="Y121" s="36">
        <f>IFERROR(LOOKUP($C121,#REF!,#REF!),0)</f>
        <v>0</v>
      </c>
    </row>
    <row r="122" spans="1:25" ht="16.5" customHeight="1" x14ac:dyDescent="0.35">
      <c r="A122" s="3" t="s">
        <v>14</v>
      </c>
      <c r="B122" s="4">
        <v>102</v>
      </c>
      <c r="C122" s="5">
        <v>39422</v>
      </c>
      <c r="D122" s="3" t="s">
        <v>117</v>
      </c>
      <c r="E122" s="6">
        <v>15.99</v>
      </c>
      <c r="F122" s="16">
        <v>8.3000000000000007</v>
      </c>
      <c r="G122" s="49">
        <v>6</v>
      </c>
      <c r="H122" s="50">
        <f t="shared" si="4"/>
        <v>95.94</v>
      </c>
      <c r="I122" s="50">
        <f t="shared" si="5"/>
        <v>49.800000000000004</v>
      </c>
      <c r="J122" s="50">
        <f t="shared" si="6"/>
        <v>46.139999999999993</v>
      </c>
      <c r="K122" s="51">
        <f t="shared" si="7"/>
        <v>48.092557848655403</v>
      </c>
      <c r="L122" s="36"/>
      <c r="M122" s="11">
        <v>1991.75</v>
      </c>
      <c r="N122" s="11">
        <v>1731.95652173913</v>
      </c>
      <c r="O122" s="11">
        <v>805</v>
      </c>
      <c r="P122" s="8">
        <v>25</v>
      </c>
      <c r="Q122" s="11">
        <v>926.95652173913049</v>
      </c>
      <c r="R122" s="11">
        <v>79.67</v>
      </c>
      <c r="S122" s="11">
        <v>69.278260869565202</v>
      </c>
      <c r="T122" s="11">
        <v>32.200000000000003</v>
      </c>
      <c r="U122" s="14">
        <v>53.520773189406299</v>
      </c>
      <c r="V122" s="36">
        <f>IFERROR(LOOKUP($C122,#REF!,#REF!),0)</f>
        <v>0</v>
      </c>
      <c r="W122" s="36">
        <f>IFERROR(LOOKUP($C122,#REF!,#REF!),0)</f>
        <v>0</v>
      </c>
      <c r="X122" s="36">
        <f>IFERROR(LOOKUP($C122,#REF!,#REF!),0)</f>
        <v>0</v>
      </c>
      <c r="Y122" s="36">
        <f>IFERROR(LOOKUP($C122,#REF!,#REF!),0)</f>
        <v>0</v>
      </c>
    </row>
    <row r="123" spans="1:25" ht="16.5" customHeight="1" x14ac:dyDescent="0.35">
      <c r="A123" s="3" t="s">
        <v>14</v>
      </c>
      <c r="B123" s="4">
        <v>101</v>
      </c>
      <c r="C123" s="5">
        <v>39750</v>
      </c>
      <c r="D123" s="3" t="s">
        <v>74</v>
      </c>
      <c r="E123" s="6">
        <v>39.99</v>
      </c>
      <c r="F123" s="16">
        <v>16.100000000000001</v>
      </c>
      <c r="G123" s="49">
        <v>0</v>
      </c>
      <c r="H123" s="50">
        <f t="shared" si="4"/>
        <v>0</v>
      </c>
      <c r="I123" s="50">
        <f t="shared" si="5"/>
        <v>0</v>
      </c>
      <c r="J123" s="50">
        <f t="shared" si="6"/>
        <v>0</v>
      </c>
      <c r="K123" s="51">
        <f t="shared" si="7"/>
        <v>0</v>
      </c>
      <c r="L123" s="36"/>
      <c r="M123" s="11">
        <v>1960.9099999999999</v>
      </c>
      <c r="N123" s="11">
        <v>1705.1391304347826</v>
      </c>
      <c r="O123" s="11">
        <v>1094.3599999999999</v>
      </c>
      <c r="P123" s="8">
        <v>109</v>
      </c>
      <c r="Q123" s="11">
        <v>610.77913043478247</v>
      </c>
      <c r="R123" s="11">
        <v>17.989999999999998</v>
      </c>
      <c r="S123" s="11">
        <v>15.643478260869566</v>
      </c>
      <c r="T123" s="11">
        <v>10.039999999999999</v>
      </c>
      <c r="U123" s="14">
        <v>35.819899944413557</v>
      </c>
      <c r="V123" s="36">
        <f>IFERROR(LOOKUP($C123,#REF!,#REF!),0)</f>
        <v>0</v>
      </c>
      <c r="W123" s="36">
        <f>IFERROR(LOOKUP($C123,#REF!,#REF!),0)</f>
        <v>0</v>
      </c>
      <c r="X123" s="36">
        <f>IFERROR(LOOKUP($C123,#REF!,#REF!),0)</f>
        <v>0</v>
      </c>
      <c r="Y123" s="36">
        <f>IFERROR(LOOKUP($C123,#REF!,#REF!),0)</f>
        <v>0</v>
      </c>
    </row>
    <row r="124" spans="1:25" ht="16.5" customHeight="1" x14ac:dyDescent="0.35">
      <c r="A124" s="3" t="s">
        <v>14</v>
      </c>
      <c r="B124" s="4">
        <v>102</v>
      </c>
      <c r="C124" s="5">
        <v>40065</v>
      </c>
      <c r="D124" s="3" t="s">
        <v>100</v>
      </c>
      <c r="E124" s="6">
        <v>27.99</v>
      </c>
      <c r="F124" s="16">
        <v>15.7</v>
      </c>
      <c r="G124" s="49">
        <v>0</v>
      </c>
      <c r="H124" s="50">
        <f t="shared" si="4"/>
        <v>0</v>
      </c>
      <c r="I124" s="50">
        <f t="shared" si="5"/>
        <v>0</v>
      </c>
      <c r="J124" s="50">
        <f t="shared" si="6"/>
        <v>0</v>
      </c>
      <c r="K124" s="51">
        <f t="shared" si="7"/>
        <v>0</v>
      </c>
      <c r="L124" s="36"/>
      <c r="M124" s="11">
        <v>1841.7800000000002</v>
      </c>
      <c r="N124" s="11">
        <v>1601.5478260869568</v>
      </c>
      <c r="O124" s="11">
        <v>880.43999999999994</v>
      </c>
      <c r="P124" s="8">
        <v>132</v>
      </c>
      <c r="Q124" s="11">
        <v>721.10782608695683</v>
      </c>
      <c r="R124" s="11">
        <v>13.95287878787879</v>
      </c>
      <c r="S124" s="11">
        <v>12.132938076416339</v>
      </c>
      <c r="T124" s="11">
        <v>6.67</v>
      </c>
      <c r="U124" s="14">
        <v>45.025681677507642</v>
      </c>
      <c r="V124" s="36">
        <f>IFERROR(LOOKUP($C124,#REF!,#REF!),0)</f>
        <v>0</v>
      </c>
      <c r="W124" s="36">
        <f>IFERROR(LOOKUP($C124,#REF!,#REF!),0)</f>
        <v>0</v>
      </c>
      <c r="X124" s="36">
        <f>IFERROR(LOOKUP($C124,#REF!,#REF!),0)</f>
        <v>0</v>
      </c>
      <c r="Y124" s="36">
        <f>IFERROR(LOOKUP($C124,#REF!,#REF!),0)</f>
        <v>0</v>
      </c>
    </row>
    <row r="125" spans="1:25" ht="16.5" customHeight="1" x14ac:dyDescent="0.35">
      <c r="A125" s="3" t="s">
        <v>14</v>
      </c>
      <c r="B125" s="4">
        <v>101</v>
      </c>
      <c r="C125" s="5">
        <v>40158</v>
      </c>
      <c r="D125" s="3" t="s">
        <v>56</v>
      </c>
      <c r="E125" s="6">
        <v>11.99</v>
      </c>
      <c r="F125" s="16">
        <v>6.05</v>
      </c>
      <c r="G125" s="49">
        <v>0</v>
      </c>
      <c r="H125" s="50">
        <f t="shared" si="4"/>
        <v>0</v>
      </c>
      <c r="I125" s="50">
        <f t="shared" si="5"/>
        <v>0</v>
      </c>
      <c r="J125" s="50">
        <f t="shared" si="6"/>
        <v>0</v>
      </c>
      <c r="K125" s="51">
        <f t="shared" si="7"/>
        <v>0</v>
      </c>
      <c r="L125" s="36"/>
      <c r="M125" s="11">
        <v>1647.8500000000001</v>
      </c>
      <c r="N125" s="11">
        <v>1432.913043478261</v>
      </c>
      <c r="O125" s="11">
        <v>537.9</v>
      </c>
      <c r="P125" s="8">
        <v>165</v>
      </c>
      <c r="Q125" s="11">
        <v>895.01304347826101</v>
      </c>
      <c r="R125" s="11">
        <v>9.9869696969696982</v>
      </c>
      <c r="S125" s="11">
        <v>8.6843214756258238</v>
      </c>
      <c r="T125" s="11">
        <v>3.26</v>
      </c>
      <c r="U125" s="14">
        <v>62.461085657068303</v>
      </c>
      <c r="V125" s="36">
        <f>IFERROR(LOOKUP($C125,#REF!,#REF!),0)</f>
        <v>0</v>
      </c>
      <c r="W125" s="36">
        <f>IFERROR(LOOKUP($C125,#REF!,#REF!),0)</f>
        <v>0</v>
      </c>
      <c r="X125" s="36">
        <f>IFERROR(LOOKUP($C125,#REF!,#REF!),0)</f>
        <v>0</v>
      </c>
      <c r="Y125" s="36">
        <f>IFERROR(LOOKUP($C125,#REF!,#REF!),0)</f>
        <v>0</v>
      </c>
    </row>
    <row r="126" spans="1:25" ht="16.5" customHeight="1" x14ac:dyDescent="0.35">
      <c r="A126" s="3" t="s">
        <v>14</v>
      </c>
      <c r="B126" s="4">
        <v>118</v>
      </c>
      <c r="C126" s="5">
        <v>40305</v>
      </c>
      <c r="D126" s="3" t="s">
        <v>254</v>
      </c>
      <c r="E126" s="6">
        <v>9.99</v>
      </c>
      <c r="F126" s="16">
        <v>4.53</v>
      </c>
      <c r="G126" s="49">
        <v>0</v>
      </c>
      <c r="H126" s="50">
        <f t="shared" si="4"/>
        <v>0</v>
      </c>
      <c r="I126" s="50">
        <f t="shared" si="5"/>
        <v>0</v>
      </c>
      <c r="J126" s="50">
        <f t="shared" si="6"/>
        <v>0</v>
      </c>
      <c r="K126" s="51">
        <f t="shared" si="7"/>
        <v>0</v>
      </c>
      <c r="L126" s="36"/>
      <c r="M126" s="11">
        <v>1584.98</v>
      </c>
      <c r="N126" s="11">
        <v>1378.2434782608696</v>
      </c>
      <c r="O126" s="11">
        <v>916.56000000000006</v>
      </c>
      <c r="P126" s="8">
        <v>67</v>
      </c>
      <c r="Q126" s="11">
        <v>461.68347826086949</v>
      </c>
      <c r="R126" s="11">
        <v>23.656417910447761</v>
      </c>
      <c r="S126" s="11">
        <v>20.570798182998054</v>
      </c>
      <c r="T126" s="11">
        <v>13.680000000000001</v>
      </c>
      <c r="U126" s="14">
        <v>33.497962119395822</v>
      </c>
      <c r="V126" s="36">
        <f>IFERROR(LOOKUP($C126,#REF!,#REF!),0)</f>
        <v>0</v>
      </c>
      <c r="W126" s="36">
        <f>IFERROR(LOOKUP($C126,#REF!,#REF!),0)</f>
        <v>0</v>
      </c>
      <c r="X126" s="36">
        <f>IFERROR(LOOKUP($C126,#REF!,#REF!),0)</f>
        <v>0</v>
      </c>
      <c r="Y126" s="36">
        <f>IFERROR(LOOKUP($C126,#REF!,#REF!),0)</f>
        <v>0</v>
      </c>
    </row>
    <row r="127" spans="1:25" ht="16.5" customHeight="1" x14ac:dyDescent="0.35">
      <c r="A127" s="3" t="s">
        <v>14</v>
      </c>
      <c r="B127" s="4">
        <v>104</v>
      </c>
      <c r="C127" s="5">
        <v>40732</v>
      </c>
      <c r="D127" s="3" t="s">
        <v>236</v>
      </c>
      <c r="E127" s="6">
        <v>15</v>
      </c>
      <c r="F127" s="16">
        <v>7.38</v>
      </c>
      <c r="G127" s="49">
        <v>0</v>
      </c>
      <c r="H127" s="50">
        <f t="shared" si="4"/>
        <v>0</v>
      </c>
      <c r="I127" s="50">
        <f t="shared" si="5"/>
        <v>0</v>
      </c>
      <c r="J127" s="50">
        <f t="shared" si="6"/>
        <v>0</v>
      </c>
      <c r="K127" s="51">
        <f t="shared" si="7"/>
        <v>0</v>
      </c>
      <c r="L127" s="36"/>
      <c r="M127" s="11">
        <v>1575</v>
      </c>
      <c r="N127" s="11">
        <v>1369.5652173913043</v>
      </c>
      <c r="O127" s="11">
        <v>1023.96</v>
      </c>
      <c r="P127" s="8">
        <v>483</v>
      </c>
      <c r="Q127" s="11">
        <v>345.60521739130422</v>
      </c>
      <c r="R127" s="11">
        <v>3.2608695652173911</v>
      </c>
      <c r="S127" s="11">
        <v>2.8355387523629489</v>
      </c>
      <c r="T127" s="11">
        <v>2.12</v>
      </c>
      <c r="U127" s="14">
        <v>25.234666666666662</v>
      </c>
      <c r="V127" s="36">
        <f>IFERROR(LOOKUP($C127,#REF!,#REF!),0)</f>
        <v>0</v>
      </c>
      <c r="W127" s="36">
        <f>IFERROR(LOOKUP($C127,#REF!,#REF!),0)</f>
        <v>0</v>
      </c>
      <c r="X127" s="36">
        <f>IFERROR(LOOKUP($C127,#REF!,#REF!),0)</f>
        <v>0</v>
      </c>
      <c r="Y127" s="36">
        <f>IFERROR(LOOKUP($C127,#REF!,#REF!),0)</f>
        <v>0</v>
      </c>
    </row>
    <row r="128" spans="1:25" ht="16.5" customHeight="1" x14ac:dyDescent="0.35">
      <c r="A128" s="3" t="s">
        <v>14</v>
      </c>
      <c r="B128" s="4">
        <v>118</v>
      </c>
      <c r="C128" s="5">
        <v>40809</v>
      </c>
      <c r="D128" s="3" t="s">
        <v>257</v>
      </c>
      <c r="E128" s="6">
        <v>15.99</v>
      </c>
      <c r="F128" s="16">
        <v>6.5</v>
      </c>
      <c r="G128" s="49">
        <v>0</v>
      </c>
      <c r="H128" s="50">
        <f t="shared" si="4"/>
        <v>0</v>
      </c>
      <c r="I128" s="50">
        <f t="shared" si="5"/>
        <v>0</v>
      </c>
      <c r="J128" s="50">
        <f t="shared" si="6"/>
        <v>0</v>
      </c>
      <c r="K128" s="51">
        <f t="shared" si="7"/>
        <v>0</v>
      </c>
      <c r="L128" s="36"/>
      <c r="M128" s="11">
        <v>1517.3100000000004</v>
      </c>
      <c r="N128" s="11">
        <v>1319.4</v>
      </c>
      <c r="O128" s="11">
        <v>850.7700000000001</v>
      </c>
      <c r="P128" s="8">
        <v>69</v>
      </c>
      <c r="Q128" s="11">
        <v>468.63000000000022</v>
      </c>
      <c r="R128" s="11">
        <v>21.990000000000006</v>
      </c>
      <c r="S128" s="11">
        <v>19.121739130434783</v>
      </c>
      <c r="T128" s="11">
        <v>12.330000000000002</v>
      </c>
      <c r="U128" s="14">
        <v>35.518417462482951</v>
      </c>
      <c r="V128" s="36">
        <f>IFERROR(LOOKUP($C128,#REF!,#REF!),0)</f>
        <v>0</v>
      </c>
      <c r="W128" s="36">
        <f>IFERROR(LOOKUP($C128,#REF!,#REF!),0)</f>
        <v>0</v>
      </c>
      <c r="X128" s="36">
        <f>IFERROR(LOOKUP($C128,#REF!,#REF!),0)</f>
        <v>0</v>
      </c>
      <c r="Y128" s="36">
        <f>IFERROR(LOOKUP($C128,#REF!,#REF!),0)</f>
        <v>0</v>
      </c>
    </row>
    <row r="129" spans="1:25" ht="16.5" customHeight="1" x14ac:dyDescent="0.35">
      <c r="A129" s="3" t="s">
        <v>14</v>
      </c>
      <c r="B129" s="4">
        <v>101</v>
      </c>
      <c r="C129" s="5">
        <v>41464</v>
      </c>
      <c r="D129" s="3" t="s">
        <v>44</v>
      </c>
      <c r="E129" s="6">
        <v>16.989999999999998</v>
      </c>
      <c r="F129" s="16">
        <v>7.73</v>
      </c>
      <c r="G129" s="49">
        <v>36</v>
      </c>
      <c r="H129" s="50">
        <f t="shared" si="4"/>
        <v>611.64</v>
      </c>
      <c r="I129" s="50">
        <f t="shared" si="5"/>
        <v>278.28000000000003</v>
      </c>
      <c r="J129" s="50">
        <f t="shared" si="6"/>
        <v>333.35999999999996</v>
      </c>
      <c r="K129" s="51">
        <f t="shared" si="7"/>
        <v>54.502648616833426</v>
      </c>
      <c r="L129" s="36"/>
      <c r="M129" s="11">
        <v>1499.7</v>
      </c>
      <c r="N129" s="11">
        <v>1304.0869565217392</v>
      </c>
      <c r="O129" s="11">
        <v>801.59999999999991</v>
      </c>
      <c r="P129" s="8">
        <v>30</v>
      </c>
      <c r="Q129" s="11">
        <v>502.48695652173933</v>
      </c>
      <c r="R129" s="11">
        <v>49.99</v>
      </c>
      <c r="S129" s="11">
        <v>43.469565217391306</v>
      </c>
      <c r="T129" s="11">
        <v>26.719999999999995</v>
      </c>
      <c r="U129" s="14">
        <v>38.531706341268269</v>
      </c>
      <c r="V129" s="36">
        <f>IFERROR(LOOKUP($C129,#REF!,#REF!),0)</f>
        <v>0</v>
      </c>
      <c r="W129" s="36">
        <f>IFERROR(LOOKUP($C129,#REF!,#REF!),0)</f>
        <v>0</v>
      </c>
      <c r="X129" s="36">
        <f>IFERROR(LOOKUP($C129,#REF!,#REF!),0)</f>
        <v>0</v>
      </c>
      <c r="Y129" s="36">
        <f>IFERROR(LOOKUP($C129,#REF!,#REF!),0)</f>
        <v>0</v>
      </c>
    </row>
    <row r="130" spans="1:25" ht="16.5" customHeight="1" x14ac:dyDescent="0.35">
      <c r="A130" s="3" t="s">
        <v>14</v>
      </c>
      <c r="B130" s="4">
        <v>117</v>
      </c>
      <c r="C130" s="5">
        <v>41620</v>
      </c>
      <c r="D130" s="3" t="s">
        <v>252</v>
      </c>
      <c r="E130" s="6">
        <v>15.99</v>
      </c>
      <c r="F130" s="16">
        <v>8.11</v>
      </c>
      <c r="G130" s="49">
        <v>6</v>
      </c>
      <c r="H130" s="50">
        <f t="shared" si="4"/>
        <v>95.94</v>
      </c>
      <c r="I130" s="50">
        <f t="shared" si="5"/>
        <v>48.66</v>
      </c>
      <c r="J130" s="50">
        <f t="shared" si="6"/>
        <v>47.28</v>
      </c>
      <c r="K130" s="51">
        <f t="shared" si="7"/>
        <v>49.280800500312701</v>
      </c>
      <c r="L130" s="36"/>
      <c r="M130" s="11">
        <v>1468.5600000000002</v>
      </c>
      <c r="N130" s="11">
        <v>1277.0086956521741</v>
      </c>
      <c r="O130" s="11">
        <v>805.77531999999997</v>
      </c>
      <c r="P130" s="8">
        <v>23.452000000000002</v>
      </c>
      <c r="Q130" s="11">
        <v>471.23337565217412</v>
      </c>
      <c r="R130" s="11">
        <v>62.619819205185074</v>
      </c>
      <c r="S130" s="11">
        <v>54.452016700160932</v>
      </c>
      <c r="T130" s="11">
        <v>34.35849053385639</v>
      </c>
      <c r="U130" s="14">
        <v>36.901344310072467</v>
      </c>
      <c r="V130" s="36">
        <f>IFERROR(LOOKUP($C130,#REF!,#REF!),0)</f>
        <v>0</v>
      </c>
      <c r="W130" s="36">
        <f>IFERROR(LOOKUP($C130,#REF!,#REF!),0)</f>
        <v>0</v>
      </c>
      <c r="X130" s="36">
        <f>IFERROR(LOOKUP($C130,#REF!,#REF!),0)</f>
        <v>0</v>
      </c>
      <c r="Y130" s="36">
        <f>IFERROR(LOOKUP($C130,#REF!,#REF!),0)</f>
        <v>0</v>
      </c>
    </row>
    <row r="131" spans="1:25" ht="16.5" customHeight="1" x14ac:dyDescent="0.35">
      <c r="A131" s="3" t="s">
        <v>14</v>
      </c>
      <c r="B131" s="4">
        <v>106</v>
      </c>
      <c r="C131" s="5">
        <v>42296</v>
      </c>
      <c r="D131" s="3" t="s">
        <v>243</v>
      </c>
      <c r="E131" s="6">
        <v>4.99</v>
      </c>
      <c r="F131" s="16">
        <v>2.97</v>
      </c>
      <c r="G131" s="49">
        <v>0</v>
      </c>
      <c r="H131" s="50">
        <f t="shared" si="4"/>
        <v>0</v>
      </c>
      <c r="I131" s="50">
        <f t="shared" si="5"/>
        <v>0</v>
      </c>
      <c r="J131" s="50">
        <f t="shared" si="6"/>
        <v>0</v>
      </c>
      <c r="K131" s="51">
        <f t="shared" si="7"/>
        <v>0</v>
      </c>
      <c r="L131" s="36"/>
      <c r="M131" s="11">
        <v>1430</v>
      </c>
      <c r="N131" s="11">
        <v>1243.478260869565</v>
      </c>
      <c r="O131" s="11">
        <v>665.79999999999984</v>
      </c>
      <c r="P131" s="8">
        <v>18</v>
      </c>
      <c r="Q131" s="11">
        <v>577.67826086956541</v>
      </c>
      <c r="R131" s="11">
        <v>79.444444444444443</v>
      </c>
      <c r="S131" s="11">
        <v>69.082125603864725</v>
      </c>
      <c r="T131" s="11">
        <v>36.98888888888888</v>
      </c>
      <c r="U131" s="14">
        <v>46.456643356643376</v>
      </c>
      <c r="V131" s="36">
        <f>IFERROR(LOOKUP($C131,#REF!,#REF!),0)</f>
        <v>0</v>
      </c>
      <c r="W131" s="36">
        <f>IFERROR(LOOKUP($C131,#REF!,#REF!),0)</f>
        <v>0</v>
      </c>
      <c r="X131" s="36">
        <f>IFERROR(LOOKUP($C131,#REF!,#REF!),0)</f>
        <v>0</v>
      </c>
      <c r="Y131" s="36">
        <f>IFERROR(LOOKUP($C131,#REF!,#REF!),0)</f>
        <v>0</v>
      </c>
    </row>
    <row r="132" spans="1:25" ht="16.5" customHeight="1" x14ac:dyDescent="0.35">
      <c r="A132" s="3" t="s">
        <v>14</v>
      </c>
      <c r="B132" s="4">
        <v>101</v>
      </c>
      <c r="C132" s="5">
        <v>42401</v>
      </c>
      <c r="D132" s="3" t="s">
        <v>37</v>
      </c>
      <c r="E132" s="6">
        <v>14.99</v>
      </c>
      <c r="F132" s="16">
        <v>6.62</v>
      </c>
      <c r="G132" s="49">
        <v>0</v>
      </c>
      <c r="H132" s="50">
        <f t="shared" ref="H132:H195" si="8">E132*G132</f>
        <v>0</v>
      </c>
      <c r="I132" s="50">
        <f t="shared" ref="I132:I195" si="9">F132*G132</f>
        <v>0</v>
      </c>
      <c r="J132" s="50">
        <f t="shared" ref="J132:J195" si="10">H132-I132</f>
        <v>0</v>
      </c>
      <c r="K132" s="51">
        <f t="shared" si="7"/>
        <v>0</v>
      </c>
      <c r="L132" s="36"/>
      <c r="M132" s="11">
        <v>1374.9900000000002</v>
      </c>
      <c r="N132" s="11">
        <v>1195.6434782608699</v>
      </c>
      <c r="O132" s="11">
        <v>709.1400000000001</v>
      </c>
      <c r="P132" s="8">
        <v>106</v>
      </c>
      <c r="Q132" s="11">
        <v>486.50347826086977</v>
      </c>
      <c r="R132" s="11">
        <v>12.971603773584908</v>
      </c>
      <c r="S132" s="11">
        <v>11.279655455291225</v>
      </c>
      <c r="T132" s="11">
        <v>6.6900000000000013</v>
      </c>
      <c r="U132" s="14">
        <v>40.689677743110863</v>
      </c>
      <c r="V132" s="36">
        <f>IFERROR(LOOKUP($C132,#REF!,#REF!),0)</f>
        <v>0</v>
      </c>
      <c r="W132" s="36">
        <f>IFERROR(LOOKUP($C132,#REF!,#REF!),0)</f>
        <v>0</v>
      </c>
      <c r="X132" s="36">
        <f>IFERROR(LOOKUP($C132,#REF!,#REF!),0)</f>
        <v>0</v>
      </c>
      <c r="Y132" s="36">
        <f>IFERROR(LOOKUP($C132,#REF!,#REF!),0)</f>
        <v>0</v>
      </c>
    </row>
    <row r="133" spans="1:25" ht="16.5" customHeight="1" x14ac:dyDescent="0.35">
      <c r="A133" s="3" t="s">
        <v>313</v>
      </c>
      <c r="B133" s="4">
        <v>102</v>
      </c>
      <c r="C133" s="5">
        <v>42797</v>
      </c>
      <c r="D133" s="16" t="s">
        <v>96</v>
      </c>
      <c r="E133" s="16">
        <v>11.99</v>
      </c>
      <c r="F133" s="16">
        <v>4.968</v>
      </c>
      <c r="G133" s="49">
        <v>10</v>
      </c>
      <c r="H133" s="50">
        <f t="shared" si="8"/>
        <v>119.9</v>
      </c>
      <c r="I133" s="50">
        <f t="shared" si="9"/>
        <v>49.68</v>
      </c>
      <c r="J133" s="50">
        <f t="shared" si="10"/>
        <v>70.22</v>
      </c>
      <c r="K133" s="51">
        <f t="shared" ref="K133:K196" si="11">IFERROR(J133/H133*100,0)</f>
        <v>58.565471226021678</v>
      </c>
      <c r="L133" s="36"/>
      <c r="M133" s="11">
        <v>1287.08</v>
      </c>
      <c r="N133" s="11">
        <v>1119.2</v>
      </c>
      <c r="O133" s="11">
        <v>678.04</v>
      </c>
      <c r="P133" s="8">
        <v>92</v>
      </c>
      <c r="Q133" s="11">
        <v>441.16000000000008</v>
      </c>
      <c r="R133" s="11">
        <v>13.989999999999998</v>
      </c>
      <c r="S133" s="11">
        <v>12.165217391304349</v>
      </c>
      <c r="T133" s="11">
        <v>7.3699999999999992</v>
      </c>
      <c r="U133" s="14">
        <v>39.417441029306652</v>
      </c>
      <c r="V133" s="36">
        <f>IFERROR(LOOKUP($C133,#REF!,#REF!),0)</f>
        <v>0</v>
      </c>
      <c r="W133" s="36">
        <f>IFERROR(LOOKUP($C133,#REF!,#REF!),0)</f>
        <v>0</v>
      </c>
      <c r="X133" s="36">
        <f>IFERROR(LOOKUP($C133,#REF!,#REF!),0)</f>
        <v>0</v>
      </c>
      <c r="Y133" s="36">
        <f>IFERROR(LOOKUP($C133,#REF!,#REF!),0)</f>
        <v>0</v>
      </c>
    </row>
    <row r="134" spans="1:25" ht="16.5" customHeight="1" x14ac:dyDescent="0.35">
      <c r="A134" s="3" t="s">
        <v>14</v>
      </c>
      <c r="B134" s="4">
        <v>102</v>
      </c>
      <c r="C134" s="5">
        <v>42990</v>
      </c>
      <c r="D134" s="3" t="s">
        <v>91</v>
      </c>
      <c r="E134" s="6">
        <v>19.989999999999998</v>
      </c>
      <c r="F134" s="16">
        <v>10.85</v>
      </c>
      <c r="G134" s="49">
        <v>16</v>
      </c>
      <c r="H134" s="50">
        <f t="shared" si="8"/>
        <v>319.83999999999997</v>
      </c>
      <c r="I134" s="50">
        <f t="shared" si="9"/>
        <v>173.6</v>
      </c>
      <c r="J134" s="50">
        <f t="shared" si="10"/>
        <v>146.23999999999998</v>
      </c>
      <c r="K134" s="51">
        <f t="shared" si="11"/>
        <v>45.722861430715355</v>
      </c>
      <c r="L134" s="36"/>
      <c r="M134" s="11">
        <v>1102.69</v>
      </c>
      <c r="N134" s="11">
        <v>1098.911304347826</v>
      </c>
      <c r="O134" s="11">
        <v>633.03</v>
      </c>
      <c r="P134" s="8">
        <v>101</v>
      </c>
      <c r="Q134" s="11">
        <v>465.88130434782624</v>
      </c>
      <c r="R134" s="11">
        <v>10.917722772277228</v>
      </c>
      <c r="S134" s="11">
        <v>10.880309944037881</v>
      </c>
      <c r="T134" s="11">
        <v>6.2676237623762372</v>
      </c>
      <c r="U134" s="14">
        <v>42.394804976941614</v>
      </c>
      <c r="V134" s="36">
        <f>IFERROR(LOOKUP($C134,#REF!,#REF!),0)</f>
        <v>0</v>
      </c>
      <c r="W134" s="36">
        <f>IFERROR(LOOKUP($C134,#REF!,#REF!),0)</f>
        <v>0</v>
      </c>
      <c r="X134" s="36">
        <f>IFERROR(LOOKUP($C134,#REF!,#REF!),0)</f>
        <v>0</v>
      </c>
      <c r="Y134" s="36">
        <f>IFERROR(LOOKUP($C134,#REF!,#REF!),0)</f>
        <v>0</v>
      </c>
    </row>
    <row r="135" spans="1:25" ht="16.5" customHeight="1" x14ac:dyDescent="0.35">
      <c r="A135" s="3" t="s">
        <v>14</v>
      </c>
      <c r="B135" s="4">
        <v>104</v>
      </c>
      <c r="C135" s="5">
        <v>43309</v>
      </c>
      <c r="D135" s="3" t="s">
        <v>235</v>
      </c>
      <c r="E135" s="6">
        <v>13.99</v>
      </c>
      <c r="F135" s="16">
        <v>6.67</v>
      </c>
      <c r="G135" s="49">
        <v>0</v>
      </c>
      <c r="H135" s="50">
        <f t="shared" si="8"/>
        <v>0</v>
      </c>
      <c r="I135" s="50">
        <f t="shared" si="9"/>
        <v>0</v>
      </c>
      <c r="J135" s="50">
        <f t="shared" si="10"/>
        <v>0</v>
      </c>
      <c r="K135" s="51">
        <f t="shared" si="11"/>
        <v>0</v>
      </c>
      <c r="L135" s="36"/>
      <c r="M135" s="11">
        <v>1200</v>
      </c>
      <c r="N135" s="11">
        <v>1043.4782608695652</v>
      </c>
      <c r="O135" s="11">
        <v>760</v>
      </c>
      <c r="P135" s="8">
        <v>200</v>
      </c>
      <c r="Q135" s="11">
        <v>283.47826086956525</v>
      </c>
      <c r="R135" s="11">
        <v>6</v>
      </c>
      <c r="S135" s="11">
        <v>5.2173913043478262</v>
      </c>
      <c r="T135" s="11">
        <v>3.8</v>
      </c>
      <c r="U135" s="14">
        <v>27.166666666666668</v>
      </c>
      <c r="V135" s="36">
        <f>IFERROR(LOOKUP($C135,#REF!,#REF!),0)</f>
        <v>0</v>
      </c>
      <c r="W135" s="36">
        <f>IFERROR(LOOKUP($C135,#REF!,#REF!),0)</f>
        <v>0</v>
      </c>
      <c r="X135" s="36">
        <f>IFERROR(LOOKUP($C135,#REF!,#REF!),0)</f>
        <v>0</v>
      </c>
      <c r="Y135" s="36">
        <f>IFERROR(LOOKUP($C135,#REF!,#REF!),0)</f>
        <v>0</v>
      </c>
    </row>
    <row r="136" spans="1:25" ht="16.5" customHeight="1" x14ac:dyDescent="0.35">
      <c r="A136" s="3" t="s">
        <v>14</v>
      </c>
      <c r="B136" s="4">
        <v>113</v>
      </c>
      <c r="C136" s="5">
        <v>46072</v>
      </c>
      <c r="D136" s="3" t="s">
        <v>249</v>
      </c>
      <c r="E136" s="6">
        <v>44.99</v>
      </c>
      <c r="F136" s="16">
        <v>26.64</v>
      </c>
      <c r="G136" s="49">
        <v>0</v>
      </c>
      <c r="H136" s="50">
        <f t="shared" si="8"/>
        <v>0</v>
      </c>
      <c r="I136" s="50">
        <f t="shared" si="9"/>
        <v>0</v>
      </c>
      <c r="J136" s="50">
        <f t="shared" si="10"/>
        <v>0</v>
      </c>
      <c r="K136" s="51">
        <f t="shared" si="11"/>
        <v>0</v>
      </c>
      <c r="L136" s="36"/>
      <c r="M136" s="11">
        <v>1128</v>
      </c>
      <c r="N136" s="11">
        <v>980.86956521739148</v>
      </c>
      <c r="O136" s="11">
        <v>389.09289999999999</v>
      </c>
      <c r="P136" s="8">
        <v>113</v>
      </c>
      <c r="Q136" s="11">
        <v>591.77666521739138</v>
      </c>
      <c r="R136" s="11">
        <v>9.9823008849557517</v>
      </c>
      <c r="S136" s="11">
        <v>8.6802616390919596</v>
      </c>
      <c r="T136" s="11">
        <v>3.4432999999999998</v>
      </c>
      <c r="U136" s="14">
        <v>60.33184086879433</v>
      </c>
      <c r="V136" s="36">
        <f>IFERROR(LOOKUP($C136,#REF!,#REF!),0)</f>
        <v>0</v>
      </c>
      <c r="W136" s="36">
        <f>IFERROR(LOOKUP($C136,#REF!,#REF!),0)</f>
        <v>0</v>
      </c>
      <c r="X136" s="36">
        <f>IFERROR(LOOKUP($C136,#REF!,#REF!),0)</f>
        <v>0</v>
      </c>
      <c r="Y136" s="36">
        <f>IFERROR(LOOKUP($C136,#REF!,#REF!),0)</f>
        <v>0</v>
      </c>
    </row>
    <row r="137" spans="1:25" ht="16.5" customHeight="1" x14ac:dyDescent="0.35">
      <c r="A137" s="3" t="s">
        <v>14</v>
      </c>
      <c r="B137" s="4">
        <v>102</v>
      </c>
      <c r="C137" s="5">
        <v>46797</v>
      </c>
      <c r="D137" s="3" t="s">
        <v>158</v>
      </c>
      <c r="E137" s="6">
        <v>39.99</v>
      </c>
      <c r="F137" s="16">
        <v>25</v>
      </c>
      <c r="G137" s="49">
        <v>0</v>
      </c>
      <c r="H137" s="50">
        <f t="shared" si="8"/>
        <v>0</v>
      </c>
      <c r="I137" s="50">
        <f t="shared" si="9"/>
        <v>0</v>
      </c>
      <c r="J137" s="50">
        <f t="shared" si="10"/>
        <v>0</v>
      </c>
      <c r="K137" s="51">
        <f t="shared" si="11"/>
        <v>0</v>
      </c>
      <c r="L137" s="36"/>
      <c r="M137" s="11">
        <v>1125.1799999999998</v>
      </c>
      <c r="N137" s="11">
        <v>978.4173913043478</v>
      </c>
      <c r="O137" s="11">
        <v>366.6</v>
      </c>
      <c r="P137" s="8">
        <v>282</v>
      </c>
      <c r="Q137" s="11">
        <v>611.81739130434767</v>
      </c>
      <c r="R137" s="11">
        <v>3.9899999999999993</v>
      </c>
      <c r="S137" s="11">
        <v>3.4695652173913043</v>
      </c>
      <c r="T137" s="11">
        <v>1.3</v>
      </c>
      <c r="U137" s="14">
        <v>62.53132832080199</v>
      </c>
      <c r="V137" s="36">
        <f>IFERROR(LOOKUP($C137,#REF!,#REF!),0)</f>
        <v>0</v>
      </c>
      <c r="W137" s="36">
        <f>IFERROR(LOOKUP($C137,#REF!,#REF!),0)</f>
        <v>0</v>
      </c>
      <c r="X137" s="36">
        <f>IFERROR(LOOKUP($C137,#REF!,#REF!),0)</f>
        <v>0</v>
      </c>
      <c r="Y137" s="36">
        <f>IFERROR(LOOKUP($C137,#REF!,#REF!),0)</f>
        <v>0</v>
      </c>
    </row>
    <row r="138" spans="1:25" ht="16.5" customHeight="1" x14ac:dyDescent="0.35">
      <c r="A138" s="3" t="s">
        <v>14</v>
      </c>
      <c r="B138" s="4">
        <v>102</v>
      </c>
      <c r="C138" s="5">
        <v>50682</v>
      </c>
      <c r="D138" s="3" t="s">
        <v>129</v>
      </c>
      <c r="E138" s="6">
        <v>15.99</v>
      </c>
      <c r="F138" s="16">
        <v>7.86</v>
      </c>
      <c r="G138" s="49">
        <v>0</v>
      </c>
      <c r="H138" s="50">
        <f t="shared" si="8"/>
        <v>0</v>
      </c>
      <c r="I138" s="50">
        <f t="shared" si="9"/>
        <v>0</v>
      </c>
      <c r="J138" s="50">
        <f t="shared" si="10"/>
        <v>0</v>
      </c>
      <c r="K138" s="51">
        <f t="shared" si="11"/>
        <v>0</v>
      </c>
      <c r="L138" s="36"/>
      <c r="M138" s="11">
        <v>1119.2</v>
      </c>
      <c r="N138" s="11">
        <v>973.21739130434776</v>
      </c>
      <c r="O138" s="11">
        <v>435.2</v>
      </c>
      <c r="P138" s="8">
        <v>80</v>
      </c>
      <c r="Q138" s="11">
        <v>538.01739130434794</v>
      </c>
      <c r="R138" s="11">
        <v>13.99</v>
      </c>
      <c r="S138" s="11">
        <v>12.165217391304347</v>
      </c>
      <c r="T138" s="11">
        <v>5.4399999999999995</v>
      </c>
      <c r="U138" s="14">
        <v>55.282344531808448</v>
      </c>
      <c r="V138" s="36">
        <f>IFERROR(LOOKUP($C138,#REF!,#REF!),0)</f>
        <v>0</v>
      </c>
      <c r="W138" s="36">
        <f>IFERROR(LOOKUP($C138,#REF!,#REF!),0)</f>
        <v>0</v>
      </c>
      <c r="X138" s="36">
        <f>IFERROR(LOOKUP($C138,#REF!,#REF!),0)</f>
        <v>0</v>
      </c>
      <c r="Y138" s="36">
        <f>IFERROR(LOOKUP($C138,#REF!,#REF!),0)</f>
        <v>0</v>
      </c>
    </row>
    <row r="139" spans="1:25" ht="16.5" customHeight="1" x14ac:dyDescent="0.35">
      <c r="A139" s="3" t="s">
        <v>14</v>
      </c>
      <c r="B139" s="4">
        <v>102</v>
      </c>
      <c r="C139" s="5">
        <v>52943</v>
      </c>
      <c r="D139" s="3" t="s">
        <v>88</v>
      </c>
      <c r="E139" s="6">
        <v>31.99</v>
      </c>
      <c r="F139" s="16">
        <v>15.17</v>
      </c>
      <c r="G139" s="49">
        <v>213</v>
      </c>
      <c r="H139" s="50">
        <f t="shared" si="8"/>
        <v>6813.87</v>
      </c>
      <c r="I139" s="50">
        <f t="shared" si="9"/>
        <v>3231.21</v>
      </c>
      <c r="J139" s="50">
        <f t="shared" si="10"/>
        <v>3582.66</v>
      </c>
      <c r="K139" s="51">
        <f t="shared" si="11"/>
        <v>52.578930915911229</v>
      </c>
      <c r="L139" s="36"/>
      <c r="M139" s="11">
        <v>1103.5</v>
      </c>
      <c r="N139" s="11">
        <v>959.56521739130426</v>
      </c>
      <c r="O139" s="11">
        <v>519.35</v>
      </c>
      <c r="P139" s="8">
        <v>65</v>
      </c>
      <c r="Q139" s="11">
        <v>440.21521739130435</v>
      </c>
      <c r="R139" s="11">
        <v>16.976923076923075</v>
      </c>
      <c r="S139" s="11">
        <v>14.762541806020065</v>
      </c>
      <c r="T139" s="11">
        <v>7.99</v>
      </c>
      <c r="U139" s="14">
        <v>45.87652922519257</v>
      </c>
      <c r="V139" s="36">
        <f>IFERROR(LOOKUP($C139,#REF!,#REF!),0)</f>
        <v>0</v>
      </c>
      <c r="W139" s="36">
        <f>IFERROR(LOOKUP($C139,#REF!,#REF!),0)</f>
        <v>0</v>
      </c>
      <c r="X139" s="36">
        <f>IFERROR(LOOKUP($C139,#REF!,#REF!),0)</f>
        <v>0</v>
      </c>
      <c r="Y139" s="36">
        <f>IFERROR(LOOKUP($C139,#REF!,#REF!),0)</f>
        <v>0</v>
      </c>
    </row>
    <row r="140" spans="1:25" ht="16.5" customHeight="1" x14ac:dyDescent="0.35">
      <c r="A140" s="3" t="s">
        <v>14</v>
      </c>
      <c r="B140" s="4">
        <v>102</v>
      </c>
      <c r="C140" s="5">
        <v>53119</v>
      </c>
      <c r="D140" s="3" t="s">
        <v>144</v>
      </c>
      <c r="E140" s="6">
        <v>4.99</v>
      </c>
      <c r="F140" s="16">
        <v>1.29</v>
      </c>
      <c r="G140" s="49">
        <v>0</v>
      </c>
      <c r="H140" s="50">
        <f t="shared" si="8"/>
        <v>0</v>
      </c>
      <c r="I140" s="50">
        <f t="shared" si="9"/>
        <v>0</v>
      </c>
      <c r="J140" s="50">
        <f t="shared" si="10"/>
        <v>0</v>
      </c>
      <c r="K140" s="51">
        <f t="shared" si="11"/>
        <v>0</v>
      </c>
      <c r="L140" s="36"/>
      <c r="M140" s="11">
        <v>1071.8499999999999</v>
      </c>
      <c r="N140" s="11">
        <v>932.04347826086962</v>
      </c>
      <c r="O140" s="11">
        <v>278.64</v>
      </c>
      <c r="P140" s="8">
        <v>216</v>
      </c>
      <c r="Q140" s="11">
        <v>653.40347826086952</v>
      </c>
      <c r="R140" s="11">
        <v>4.9622685185185178</v>
      </c>
      <c r="S140" s="11">
        <v>4.3150161030595813</v>
      </c>
      <c r="T140" s="11">
        <v>1.29</v>
      </c>
      <c r="U140" s="14">
        <v>70.104398936418349</v>
      </c>
      <c r="V140" s="36">
        <f>IFERROR(LOOKUP($C140,#REF!,#REF!),0)</f>
        <v>0</v>
      </c>
      <c r="W140" s="36">
        <f>IFERROR(LOOKUP($C140,#REF!,#REF!),0)</f>
        <v>0</v>
      </c>
      <c r="X140" s="36">
        <f>IFERROR(LOOKUP($C140,#REF!,#REF!),0)</f>
        <v>0</v>
      </c>
      <c r="Y140" s="36">
        <f>IFERROR(LOOKUP($C140,#REF!,#REF!),0)</f>
        <v>0</v>
      </c>
    </row>
    <row r="141" spans="1:25" ht="16.5" customHeight="1" x14ac:dyDescent="0.35">
      <c r="A141" s="3" t="s">
        <v>14</v>
      </c>
      <c r="B141" s="4">
        <v>102</v>
      </c>
      <c r="C141" s="5">
        <v>53141</v>
      </c>
      <c r="D141" s="3" t="s">
        <v>134</v>
      </c>
      <c r="E141" s="6">
        <v>9.99</v>
      </c>
      <c r="F141" s="16">
        <v>3.26</v>
      </c>
      <c r="G141" s="49">
        <v>0</v>
      </c>
      <c r="H141" s="50">
        <f t="shared" si="8"/>
        <v>0</v>
      </c>
      <c r="I141" s="50">
        <f t="shared" si="9"/>
        <v>0</v>
      </c>
      <c r="J141" s="50">
        <f t="shared" si="10"/>
        <v>0</v>
      </c>
      <c r="K141" s="51">
        <f t="shared" si="11"/>
        <v>0</v>
      </c>
      <c r="L141" s="36"/>
      <c r="M141" s="11">
        <v>1065.6199999999999</v>
      </c>
      <c r="N141" s="11">
        <v>926.6260869565217</v>
      </c>
      <c r="O141" s="11">
        <v>551.79999999999995</v>
      </c>
      <c r="P141" s="8">
        <v>178</v>
      </c>
      <c r="Q141" s="11">
        <v>374.82608695652175</v>
      </c>
      <c r="R141" s="11">
        <v>5.9866292134831456</v>
      </c>
      <c r="S141" s="11">
        <v>5.2057645334636051</v>
      </c>
      <c r="T141" s="11">
        <v>3.0999999999999996</v>
      </c>
      <c r="U141" s="14">
        <v>40.450629680373865</v>
      </c>
      <c r="V141" s="36">
        <f>IFERROR(LOOKUP($C141,#REF!,#REF!),0)</f>
        <v>0</v>
      </c>
      <c r="W141" s="36">
        <f>IFERROR(LOOKUP($C141,#REF!,#REF!),0)</f>
        <v>0</v>
      </c>
      <c r="X141" s="36">
        <f>IFERROR(LOOKUP($C141,#REF!,#REF!),0)</f>
        <v>0</v>
      </c>
      <c r="Y141" s="36">
        <f>IFERROR(LOOKUP($C141,#REF!,#REF!),0)</f>
        <v>0</v>
      </c>
    </row>
    <row r="142" spans="1:25" ht="16.5" customHeight="1" x14ac:dyDescent="0.35">
      <c r="A142" s="3" t="s">
        <v>14</v>
      </c>
      <c r="B142" s="4">
        <v>102</v>
      </c>
      <c r="C142" s="5">
        <v>53210</v>
      </c>
      <c r="D142" s="3" t="s">
        <v>153</v>
      </c>
      <c r="E142" s="6">
        <v>100</v>
      </c>
      <c r="F142" s="16">
        <v>22.26</v>
      </c>
      <c r="G142" s="49">
        <v>0</v>
      </c>
      <c r="H142" s="50">
        <f t="shared" si="8"/>
        <v>0</v>
      </c>
      <c r="I142" s="50">
        <f t="shared" si="9"/>
        <v>0</v>
      </c>
      <c r="J142" s="50">
        <f t="shared" si="10"/>
        <v>0</v>
      </c>
      <c r="K142" s="51">
        <f t="shared" si="11"/>
        <v>0</v>
      </c>
      <c r="L142" s="36"/>
      <c r="M142" s="11">
        <v>1034.6500000000001</v>
      </c>
      <c r="N142" s="11">
        <v>899.69565217391312</v>
      </c>
      <c r="O142" s="11">
        <v>947.80000000000018</v>
      </c>
      <c r="P142" s="8">
        <v>35</v>
      </c>
      <c r="Q142" s="11">
        <v>-48.104347826087064</v>
      </c>
      <c r="R142" s="11">
        <v>29.561428571428575</v>
      </c>
      <c r="S142" s="11">
        <v>25.705590062111803</v>
      </c>
      <c r="T142" s="11">
        <v>27.080000000000005</v>
      </c>
      <c r="U142" s="14">
        <v>-5.3467356110762205</v>
      </c>
      <c r="V142" s="36">
        <f>IFERROR(LOOKUP($C142,#REF!,#REF!),0)</f>
        <v>0</v>
      </c>
      <c r="W142" s="36">
        <f>IFERROR(LOOKUP($C142,#REF!,#REF!),0)</f>
        <v>0</v>
      </c>
      <c r="X142" s="36">
        <f>IFERROR(LOOKUP($C142,#REF!,#REF!),0)</f>
        <v>0</v>
      </c>
      <c r="Y142" s="36">
        <f>IFERROR(LOOKUP($C142,#REF!,#REF!),0)</f>
        <v>0</v>
      </c>
    </row>
    <row r="143" spans="1:25" ht="16.5" customHeight="1" x14ac:dyDescent="0.35">
      <c r="A143" s="3" t="s">
        <v>14</v>
      </c>
      <c r="B143" s="4">
        <v>102</v>
      </c>
      <c r="C143" s="5">
        <v>53212</v>
      </c>
      <c r="D143" s="3" t="s">
        <v>122</v>
      </c>
      <c r="E143" s="6">
        <v>29.99</v>
      </c>
      <c r="F143" s="16">
        <v>15.38</v>
      </c>
      <c r="G143" s="49">
        <v>0</v>
      </c>
      <c r="H143" s="50">
        <f t="shared" si="8"/>
        <v>0</v>
      </c>
      <c r="I143" s="50">
        <f t="shared" si="9"/>
        <v>0</v>
      </c>
      <c r="J143" s="50">
        <f t="shared" si="10"/>
        <v>0</v>
      </c>
      <c r="K143" s="51">
        <f t="shared" si="11"/>
        <v>0</v>
      </c>
      <c r="L143" s="36"/>
      <c r="M143" s="11">
        <v>988</v>
      </c>
      <c r="N143" s="11">
        <v>859.13043478260863</v>
      </c>
      <c r="O143" s="11">
        <v>491.92000000000007</v>
      </c>
      <c r="P143" s="8">
        <v>26</v>
      </c>
      <c r="Q143" s="11">
        <v>367.21043478260867</v>
      </c>
      <c r="R143" s="11">
        <v>38</v>
      </c>
      <c r="S143" s="11">
        <v>33.043478260869563</v>
      </c>
      <c r="T143" s="11">
        <v>18.920000000000002</v>
      </c>
      <c r="U143" s="14">
        <v>42.742105263157889</v>
      </c>
      <c r="V143" s="36">
        <f>IFERROR(LOOKUP($C143,#REF!,#REF!),0)</f>
        <v>0</v>
      </c>
      <c r="W143" s="36">
        <f>IFERROR(LOOKUP($C143,#REF!,#REF!),0)</f>
        <v>0</v>
      </c>
      <c r="X143" s="36">
        <f>IFERROR(LOOKUP($C143,#REF!,#REF!),0)</f>
        <v>0</v>
      </c>
      <c r="Y143" s="36">
        <f>IFERROR(LOOKUP($C143,#REF!,#REF!),0)</f>
        <v>0</v>
      </c>
    </row>
    <row r="144" spans="1:25" ht="16.5" customHeight="1" x14ac:dyDescent="0.35">
      <c r="A144" s="3" t="s">
        <v>14</v>
      </c>
      <c r="B144" s="4">
        <v>102</v>
      </c>
      <c r="C144" s="5">
        <v>53225</v>
      </c>
      <c r="D144" s="3" t="s">
        <v>133</v>
      </c>
      <c r="E144" s="6">
        <v>17.989999999999998</v>
      </c>
      <c r="F144" s="16">
        <v>10.039999999999999</v>
      </c>
      <c r="G144" s="49">
        <v>0</v>
      </c>
      <c r="H144" s="50">
        <f t="shared" si="8"/>
        <v>0</v>
      </c>
      <c r="I144" s="50">
        <f t="shared" si="9"/>
        <v>0</v>
      </c>
      <c r="J144" s="50">
        <f t="shared" si="10"/>
        <v>0</v>
      </c>
      <c r="K144" s="51">
        <f t="shared" si="11"/>
        <v>0</v>
      </c>
      <c r="L144" s="36"/>
      <c r="M144" s="11">
        <v>963.22</v>
      </c>
      <c r="N144" s="11">
        <v>837.5826086956522</v>
      </c>
      <c r="O144" s="11">
        <v>524.4</v>
      </c>
      <c r="P144" s="8">
        <v>138</v>
      </c>
      <c r="Q144" s="11">
        <v>313.18260869565222</v>
      </c>
      <c r="R144" s="11">
        <v>6.979855072463768</v>
      </c>
      <c r="S144" s="11">
        <v>6.0694391934467546</v>
      </c>
      <c r="T144" s="11">
        <v>3.8</v>
      </c>
      <c r="U144" s="14">
        <v>37.391250181682281</v>
      </c>
      <c r="V144" s="36">
        <f>IFERROR(LOOKUP($C144,#REF!,#REF!),0)</f>
        <v>0</v>
      </c>
      <c r="W144" s="36">
        <f>IFERROR(LOOKUP($C144,#REF!,#REF!),0)</f>
        <v>0</v>
      </c>
      <c r="X144" s="36">
        <f>IFERROR(LOOKUP($C144,#REF!,#REF!),0)</f>
        <v>0</v>
      </c>
      <c r="Y144" s="36">
        <f>IFERROR(LOOKUP($C144,#REF!,#REF!),0)</f>
        <v>0</v>
      </c>
    </row>
    <row r="145" spans="1:25" ht="16.5" customHeight="1" x14ac:dyDescent="0.35">
      <c r="A145" s="3" t="s">
        <v>14</v>
      </c>
      <c r="B145" s="4">
        <v>102</v>
      </c>
      <c r="C145" s="5">
        <v>53226</v>
      </c>
      <c r="D145" s="3" t="s">
        <v>127</v>
      </c>
      <c r="E145" s="6">
        <v>15.99</v>
      </c>
      <c r="F145" s="16">
        <v>5.13</v>
      </c>
      <c r="G145" s="49">
        <v>0</v>
      </c>
      <c r="H145" s="50">
        <f t="shared" si="8"/>
        <v>0</v>
      </c>
      <c r="I145" s="50">
        <f t="shared" si="9"/>
        <v>0</v>
      </c>
      <c r="J145" s="50">
        <f t="shared" si="10"/>
        <v>0</v>
      </c>
      <c r="K145" s="51">
        <f t="shared" si="11"/>
        <v>0</v>
      </c>
      <c r="L145" s="36"/>
      <c r="M145" s="11">
        <v>957.76</v>
      </c>
      <c r="N145" s="11">
        <v>832.83478260869572</v>
      </c>
      <c r="O145" s="11">
        <v>415.83360000000005</v>
      </c>
      <c r="P145" s="8">
        <v>24</v>
      </c>
      <c r="Q145" s="11">
        <v>417.00118260869556</v>
      </c>
      <c r="R145" s="11">
        <v>39.906666666666666</v>
      </c>
      <c r="S145" s="11">
        <v>34.701449275362322</v>
      </c>
      <c r="T145" s="11">
        <v>17.326400000000003</v>
      </c>
      <c r="U145" s="14">
        <v>50.070096892749739</v>
      </c>
      <c r="V145" s="36">
        <f>IFERROR(LOOKUP($C145,#REF!,#REF!),0)</f>
        <v>0</v>
      </c>
      <c r="W145" s="36">
        <f>IFERROR(LOOKUP($C145,#REF!,#REF!),0)</f>
        <v>0</v>
      </c>
      <c r="X145" s="36">
        <f>IFERROR(LOOKUP($C145,#REF!,#REF!),0)</f>
        <v>0</v>
      </c>
      <c r="Y145" s="36">
        <f>IFERROR(LOOKUP($C145,#REF!,#REF!),0)</f>
        <v>0</v>
      </c>
    </row>
    <row r="146" spans="1:25" ht="16.5" customHeight="1" x14ac:dyDescent="0.35">
      <c r="A146" s="3" t="s">
        <v>14</v>
      </c>
      <c r="B146" s="4">
        <v>101</v>
      </c>
      <c r="C146" s="5">
        <v>53497</v>
      </c>
      <c r="D146" s="3" t="s">
        <v>59</v>
      </c>
      <c r="E146" s="6">
        <v>79.989999999999995</v>
      </c>
      <c r="F146" s="16">
        <v>32.200000000000003</v>
      </c>
      <c r="G146" s="49">
        <v>0</v>
      </c>
      <c r="H146" s="50">
        <f t="shared" si="8"/>
        <v>0</v>
      </c>
      <c r="I146" s="50">
        <f t="shared" si="9"/>
        <v>0</v>
      </c>
      <c r="J146" s="50">
        <f t="shared" si="10"/>
        <v>0</v>
      </c>
      <c r="K146" s="51">
        <f t="shared" si="11"/>
        <v>0</v>
      </c>
      <c r="L146" s="36"/>
      <c r="M146" s="11">
        <v>950</v>
      </c>
      <c r="N146" s="11">
        <v>826.08695652173913</v>
      </c>
      <c r="O146" s="11">
        <v>358.15000000000003</v>
      </c>
      <c r="P146" s="8">
        <v>95</v>
      </c>
      <c r="Q146" s="11">
        <v>467.93695652173898</v>
      </c>
      <c r="R146" s="11">
        <v>10</v>
      </c>
      <c r="S146" s="11">
        <v>8.695652173913043</v>
      </c>
      <c r="T146" s="11">
        <v>3.7700000000000005</v>
      </c>
      <c r="U146" s="14">
        <v>56.644999999999989</v>
      </c>
      <c r="V146" s="36">
        <f>IFERROR(LOOKUP($C146,#REF!,#REF!),0)</f>
        <v>0</v>
      </c>
      <c r="W146" s="36">
        <f>IFERROR(LOOKUP($C146,#REF!,#REF!),0)</f>
        <v>0</v>
      </c>
      <c r="X146" s="36">
        <f>IFERROR(LOOKUP($C146,#REF!,#REF!),0)</f>
        <v>0</v>
      </c>
      <c r="Y146" s="36">
        <f>IFERROR(LOOKUP($C146,#REF!,#REF!),0)</f>
        <v>0</v>
      </c>
    </row>
    <row r="147" spans="1:25" ht="16.5" customHeight="1" x14ac:dyDescent="0.35">
      <c r="A147" s="3" t="s">
        <v>14</v>
      </c>
      <c r="B147" s="4">
        <v>101</v>
      </c>
      <c r="C147" s="5">
        <v>53528</v>
      </c>
      <c r="D147" s="3" t="s">
        <v>57</v>
      </c>
      <c r="E147" s="6">
        <v>28.99</v>
      </c>
      <c r="F147" s="16">
        <v>14.86</v>
      </c>
      <c r="G147" s="49">
        <v>0</v>
      </c>
      <c r="H147" s="50">
        <f t="shared" si="8"/>
        <v>0</v>
      </c>
      <c r="I147" s="50">
        <f t="shared" si="9"/>
        <v>0</v>
      </c>
      <c r="J147" s="50">
        <f t="shared" si="10"/>
        <v>0</v>
      </c>
      <c r="K147" s="51">
        <f t="shared" si="11"/>
        <v>0</v>
      </c>
      <c r="L147" s="36"/>
      <c r="M147" s="11">
        <v>929.69</v>
      </c>
      <c r="N147" s="11">
        <v>808.42608695652177</v>
      </c>
      <c r="O147" s="11">
        <v>496.93000000000006</v>
      </c>
      <c r="P147" s="8">
        <v>31</v>
      </c>
      <c r="Q147" s="11">
        <v>311.49608695652182</v>
      </c>
      <c r="R147" s="11">
        <v>29.990000000000002</v>
      </c>
      <c r="S147" s="11">
        <v>26.07826086956522</v>
      </c>
      <c r="T147" s="11">
        <v>16.03</v>
      </c>
      <c r="U147" s="14">
        <v>38.531177059019676</v>
      </c>
      <c r="V147" s="36">
        <f>IFERROR(LOOKUP($C147,#REF!,#REF!),0)</f>
        <v>0</v>
      </c>
      <c r="W147" s="36">
        <f>IFERROR(LOOKUP($C147,#REF!,#REF!),0)</f>
        <v>0</v>
      </c>
      <c r="X147" s="36">
        <f>IFERROR(LOOKUP($C147,#REF!,#REF!),0)</f>
        <v>0</v>
      </c>
      <c r="Y147" s="36">
        <f>IFERROR(LOOKUP($C147,#REF!,#REF!),0)</f>
        <v>0</v>
      </c>
    </row>
    <row r="148" spans="1:25" ht="16.5" customHeight="1" x14ac:dyDescent="0.35">
      <c r="A148" s="3" t="s">
        <v>14</v>
      </c>
      <c r="B148" s="4">
        <v>106</v>
      </c>
      <c r="C148" s="5">
        <v>54018</v>
      </c>
      <c r="D148" s="3" t="s">
        <v>240</v>
      </c>
      <c r="E148" s="6">
        <v>18.989999999999998</v>
      </c>
      <c r="F148" s="16">
        <v>9.83</v>
      </c>
      <c r="G148" s="49">
        <v>93</v>
      </c>
      <c r="H148" s="50">
        <f t="shared" si="8"/>
        <v>1766.07</v>
      </c>
      <c r="I148" s="50">
        <f t="shared" si="9"/>
        <v>914.19</v>
      </c>
      <c r="J148" s="50">
        <f t="shared" si="10"/>
        <v>851.87999999999988</v>
      </c>
      <c r="K148" s="51">
        <f t="shared" si="11"/>
        <v>48.235913638757232</v>
      </c>
      <c r="L148" s="36"/>
      <c r="M148" s="11">
        <v>929.69</v>
      </c>
      <c r="N148" s="11">
        <v>808.42608695652166</v>
      </c>
      <c r="O148" s="11">
        <v>558</v>
      </c>
      <c r="P148" s="8">
        <v>31</v>
      </c>
      <c r="Q148" s="11">
        <v>250.42608695652189</v>
      </c>
      <c r="R148" s="11">
        <v>29.990000000000002</v>
      </c>
      <c r="S148" s="11">
        <v>26.078260869565216</v>
      </c>
      <c r="T148" s="11">
        <v>18</v>
      </c>
      <c r="U148" s="14">
        <v>30.976992330776937</v>
      </c>
      <c r="V148" s="36">
        <f>IFERROR(LOOKUP($C148,#REF!,#REF!),0)</f>
        <v>0</v>
      </c>
      <c r="W148" s="36">
        <f>IFERROR(LOOKUP($C148,#REF!,#REF!),0)</f>
        <v>0</v>
      </c>
      <c r="X148" s="36">
        <f>IFERROR(LOOKUP($C148,#REF!,#REF!),0)</f>
        <v>0</v>
      </c>
      <c r="Y148" s="36">
        <f>IFERROR(LOOKUP($C148,#REF!,#REF!),0)</f>
        <v>0</v>
      </c>
    </row>
    <row r="149" spans="1:25" ht="16.5" customHeight="1" x14ac:dyDescent="0.35">
      <c r="A149" s="3" t="s">
        <v>14</v>
      </c>
      <c r="B149" s="4">
        <v>106</v>
      </c>
      <c r="C149" s="5">
        <v>54019</v>
      </c>
      <c r="D149" s="3" t="s">
        <v>244</v>
      </c>
      <c r="E149" s="6">
        <v>23.99</v>
      </c>
      <c r="F149" s="16">
        <v>10.37</v>
      </c>
      <c r="G149" s="49">
        <v>0</v>
      </c>
      <c r="H149" s="50">
        <f t="shared" si="8"/>
        <v>0</v>
      </c>
      <c r="I149" s="50">
        <f t="shared" si="9"/>
        <v>0</v>
      </c>
      <c r="J149" s="50">
        <f t="shared" si="10"/>
        <v>0</v>
      </c>
      <c r="K149" s="51">
        <f t="shared" si="11"/>
        <v>0</v>
      </c>
      <c r="L149" s="36"/>
      <c r="M149" s="11">
        <v>840</v>
      </c>
      <c r="N149" s="11">
        <v>730.43478260869563</v>
      </c>
      <c r="O149" s="11">
        <v>555.59999999999991</v>
      </c>
      <c r="P149" s="8">
        <v>6</v>
      </c>
      <c r="Q149" s="11">
        <v>174.83478260869572</v>
      </c>
      <c r="R149" s="11">
        <v>140</v>
      </c>
      <c r="S149" s="11">
        <v>121.73913043478261</v>
      </c>
      <c r="T149" s="11">
        <v>92.59999999999998</v>
      </c>
      <c r="U149" s="14">
        <v>23.935714285714297</v>
      </c>
      <c r="V149" s="36">
        <f>IFERROR(LOOKUP($C149,#REF!,#REF!),0)</f>
        <v>0</v>
      </c>
      <c r="W149" s="36">
        <f>IFERROR(LOOKUP($C149,#REF!,#REF!),0)</f>
        <v>0</v>
      </c>
      <c r="X149" s="36">
        <f>IFERROR(LOOKUP($C149,#REF!,#REF!),0)</f>
        <v>0</v>
      </c>
      <c r="Y149" s="36">
        <f>IFERROR(LOOKUP($C149,#REF!,#REF!),0)</f>
        <v>0</v>
      </c>
    </row>
    <row r="150" spans="1:25" ht="16.5" customHeight="1" x14ac:dyDescent="0.35">
      <c r="A150" s="3" t="s">
        <v>14</v>
      </c>
      <c r="B150" s="4">
        <v>101</v>
      </c>
      <c r="C150" s="5">
        <v>54228</v>
      </c>
      <c r="D150" s="3" t="s">
        <v>60</v>
      </c>
      <c r="E150" s="6">
        <v>13.99</v>
      </c>
      <c r="F150" s="16">
        <v>7.37</v>
      </c>
      <c r="G150" s="49">
        <v>0</v>
      </c>
      <c r="H150" s="50">
        <f t="shared" si="8"/>
        <v>0</v>
      </c>
      <c r="I150" s="50">
        <f t="shared" si="9"/>
        <v>0</v>
      </c>
      <c r="J150" s="50">
        <f t="shared" si="10"/>
        <v>0</v>
      </c>
      <c r="K150" s="51">
        <f t="shared" si="11"/>
        <v>0</v>
      </c>
      <c r="L150" s="36"/>
      <c r="M150" s="11">
        <v>790.18000000000006</v>
      </c>
      <c r="N150" s="11">
        <v>687.11304347826081</v>
      </c>
      <c r="O150" s="11">
        <v>410.79599999999994</v>
      </c>
      <c r="P150" s="8">
        <v>72</v>
      </c>
      <c r="Q150" s="11">
        <v>276.31704347826098</v>
      </c>
      <c r="R150" s="11">
        <v>10.974722222222223</v>
      </c>
      <c r="S150" s="11">
        <v>9.5432367149758441</v>
      </c>
      <c r="T150" s="11">
        <v>5.7054999999999989</v>
      </c>
      <c r="U150" s="14">
        <v>40.214204358500609</v>
      </c>
      <c r="V150" s="36">
        <f>IFERROR(LOOKUP($C150,#REF!,#REF!),0)</f>
        <v>0</v>
      </c>
      <c r="W150" s="36">
        <f>IFERROR(LOOKUP($C150,#REF!,#REF!),0)</f>
        <v>0</v>
      </c>
      <c r="X150" s="36">
        <f>IFERROR(LOOKUP($C150,#REF!,#REF!),0)</f>
        <v>0</v>
      </c>
      <c r="Y150" s="36">
        <f>IFERROR(LOOKUP($C150,#REF!,#REF!),0)</f>
        <v>0</v>
      </c>
    </row>
    <row r="151" spans="1:25" ht="16.5" customHeight="1" x14ac:dyDescent="0.35">
      <c r="A151" s="3" t="s">
        <v>14</v>
      </c>
      <c r="B151" s="4">
        <v>102</v>
      </c>
      <c r="C151" s="5">
        <v>54430</v>
      </c>
      <c r="D151" s="3" t="s">
        <v>130</v>
      </c>
      <c r="E151" s="6">
        <v>21.99</v>
      </c>
      <c r="F151" s="16">
        <v>9.9600000000000009</v>
      </c>
      <c r="G151" s="49">
        <v>0</v>
      </c>
      <c r="H151" s="50">
        <f t="shared" si="8"/>
        <v>0</v>
      </c>
      <c r="I151" s="50">
        <f t="shared" si="9"/>
        <v>0</v>
      </c>
      <c r="J151" s="50">
        <f t="shared" si="10"/>
        <v>0</v>
      </c>
      <c r="K151" s="51">
        <f t="shared" si="11"/>
        <v>0</v>
      </c>
      <c r="L151" s="36"/>
      <c r="M151" s="11">
        <v>757.61999999999989</v>
      </c>
      <c r="N151" s="11">
        <v>658.79999999999984</v>
      </c>
      <c r="O151" s="11">
        <v>99.939999999999984</v>
      </c>
      <c r="P151" s="8">
        <v>38</v>
      </c>
      <c r="Q151" s="11">
        <v>558.86</v>
      </c>
      <c r="R151" s="11">
        <v>19.937368421052629</v>
      </c>
      <c r="S151" s="11">
        <v>17.336842105263155</v>
      </c>
      <c r="T151" s="11">
        <v>2.6299999999999994</v>
      </c>
      <c r="U151" s="14">
        <v>84.829993928354597</v>
      </c>
      <c r="V151" s="36">
        <f>IFERROR(LOOKUP($C151,#REF!,#REF!),0)</f>
        <v>0</v>
      </c>
      <c r="W151" s="36">
        <f>IFERROR(LOOKUP($C151,#REF!,#REF!),0)</f>
        <v>0</v>
      </c>
      <c r="X151" s="36">
        <f>IFERROR(LOOKUP($C151,#REF!,#REF!),0)</f>
        <v>0</v>
      </c>
      <c r="Y151" s="36">
        <f>IFERROR(LOOKUP($C151,#REF!,#REF!),0)</f>
        <v>0</v>
      </c>
    </row>
    <row r="152" spans="1:25" ht="16.5" customHeight="1" x14ac:dyDescent="0.35">
      <c r="A152" s="3" t="s">
        <v>14</v>
      </c>
      <c r="B152" s="4">
        <v>101</v>
      </c>
      <c r="C152" s="5">
        <v>54546</v>
      </c>
      <c r="D152" s="3" t="s">
        <v>73</v>
      </c>
      <c r="E152" s="6">
        <v>5.99</v>
      </c>
      <c r="F152" s="16">
        <v>2.5299999999999998</v>
      </c>
      <c r="G152" s="49">
        <v>0</v>
      </c>
      <c r="H152" s="50">
        <f t="shared" si="8"/>
        <v>0</v>
      </c>
      <c r="I152" s="50">
        <f t="shared" si="9"/>
        <v>0</v>
      </c>
      <c r="J152" s="50">
        <f t="shared" si="10"/>
        <v>0</v>
      </c>
      <c r="K152" s="51">
        <f t="shared" si="11"/>
        <v>0</v>
      </c>
      <c r="L152" s="36"/>
      <c r="M152" s="11">
        <v>731.78</v>
      </c>
      <c r="N152" s="11">
        <v>636.33043478260868</v>
      </c>
      <c r="O152" s="11">
        <v>394.10590000000002</v>
      </c>
      <c r="P152" s="8">
        <v>22</v>
      </c>
      <c r="Q152" s="11">
        <v>242.22453478260866</v>
      </c>
      <c r="R152" s="11">
        <v>33.262727272727268</v>
      </c>
      <c r="S152" s="11">
        <v>28.924110671936759</v>
      </c>
      <c r="T152" s="11">
        <v>17.913904545454546</v>
      </c>
      <c r="U152" s="14">
        <v>38.065841509743358</v>
      </c>
      <c r="V152" s="36">
        <f>IFERROR(LOOKUP($C152,#REF!,#REF!),0)</f>
        <v>0</v>
      </c>
      <c r="W152" s="36">
        <f>IFERROR(LOOKUP($C152,#REF!,#REF!),0)</f>
        <v>0</v>
      </c>
      <c r="X152" s="36">
        <f>IFERROR(LOOKUP($C152,#REF!,#REF!),0)</f>
        <v>0</v>
      </c>
      <c r="Y152" s="36">
        <f>IFERROR(LOOKUP($C152,#REF!,#REF!),0)</f>
        <v>0</v>
      </c>
    </row>
    <row r="153" spans="1:25" ht="16.5" customHeight="1" x14ac:dyDescent="0.35">
      <c r="A153" s="3" t="s">
        <v>14</v>
      </c>
      <c r="B153" s="4">
        <v>101</v>
      </c>
      <c r="C153" s="5">
        <v>54547</v>
      </c>
      <c r="D153" s="3" t="s">
        <v>48</v>
      </c>
      <c r="E153" s="6">
        <v>9.99</v>
      </c>
      <c r="F153" s="16">
        <v>3.23</v>
      </c>
      <c r="G153" s="49">
        <v>0</v>
      </c>
      <c r="H153" s="50">
        <f t="shared" si="8"/>
        <v>0</v>
      </c>
      <c r="I153" s="50">
        <f t="shared" si="9"/>
        <v>0</v>
      </c>
      <c r="J153" s="50">
        <f t="shared" si="10"/>
        <v>0</v>
      </c>
      <c r="K153" s="51">
        <f t="shared" si="11"/>
        <v>0</v>
      </c>
      <c r="L153" s="36"/>
      <c r="M153" s="11">
        <v>731.78</v>
      </c>
      <c r="N153" s="11">
        <v>636.33043478260868</v>
      </c>
      <c r="O153" s="11">
        <v>394.10590000000002</v>
      </c>
      <c r="P153" s="8">
        <v>22</v>
      </c>
      <c r="Q153" s="11">
        <v>242.22453478260866</v>
      </c>
      <c r="R153" s="11">
        <v>33.262727272727268</v>
      </c>
      <c r="S153" s="11">
        <v>28.924110671936759</v>
      </c>
      <c r="T153" s="11">
        <v>17.913904545454546</v>
      </c>
      <c r="U153" s="14">
        <v>38.065841509743358</v>
      </c>
      <c r="V153" s="36">
        <f>IFERROR(LOOKUP($C153,#REF!,#REF!),0)</f>
        <v>0</v>
      </c>
      <c r="W153" s="36">
        <f>IFERROR(LOOKUP($C153,#REF!,#REF!),0)</f>
        <v>0</v>
      </c>
      <c r="X153" s="36">
        <f>IFERROR(LOOKUP($C153,#REF!,#REF!),0)</f>
        <v>0</v>
      </c>
      <c r="Y153" s="36">
        <f>IFERROR(LOOKUP($C153,#REF!,#REF!),0)</f>
        <v>0</v>
      </c>
    </row>
    <row r="154" spans="1:25" ht="16.5" customHeight="1" x14ac:dyDescent="0.35">
      <c r="A154" s="3" t="s">
        <v>14</v>
      </c>
      <c r="B154" s="4">
        <v>101</v>
      </c>
      <c r="C154" s="5">
        <v>54617</v>
      </c>
      <c r="D154" s="3" t="s">
        <v>81</v>
      </c>
      <c r="E154" s="6">
        <v>30.99</v>
      </c>
      <c r="F154" s="16">
        <v>12.4</v>
      </c>
      <c r="G154" s="49">
        <v>0</v>
      </c>
      <c r="H154" s="50">
        <f t="shared" si="8"/>
        <v>0</v>
      </c>
      <c r="I154" s="50">
        <f t="shared" si="9"/>
        <v>0</v>
      </c>
      <c r="J154" s="50">
        <f t="shared" si="10"/>
        <v>0</v>
      </c>
      <c r="K154" s="51">
        <f t="shared" si="11"/>
        <v>0</v>
      </c>
      <c r="L154" s="36"/>
      <c r="M154" s="11">
        <v>724.5</v>
      </c>
      <c r="N154" s="11">
        <v>630</v>
      </c>
      <c r="O154" s="11">
        <v>270.83</v>
      </c>
      <c r="P154" s="8">
        <v>73</v>
      </c>
      <c r="Q154" s="11">
        <v>359.17</v>
      </c>
      <c r="R154" s="11">
        <v>9.9246575342465757</v>
      </c>
      <c r="S154" s="11">
        <v>8.6301369863013697</v>
      </c>
      <c r="T154" s="11">
        <v>3.71</v>
      </c>
      <c r="U154" s="14">
        <v>57.011111111111113</v>
      </c>
      <c r="V154" s="36">
        <f>IFERROR(LOOKUP($C154,#REF!,#REF!),0)</f>
        <v>0</v>
      </c>
      <c r="W154" s="36">
        <f>IFERROR(LOOKUP($C154,#REF!,#REF!),0)</f>
        <v>0</v>
      </c>
      <c r="X154" s="36">
        <f>IFERROR(LOOKUP($C154,#REF!,#REF!),0)</f>
        <v>0</v>
      </c>
      <c r="Y154" s="36">
        <f>IFERROR(LOOKUP($C154,#REF!,#REF!),0)</f>
        <v>0</v>
      </c>
    </row>
    <row r="155" spans="1:25" ht="16.5" customHeight="1" x14ac:dyDescent="0.35">
      <c r="A155" s="3" t="s">
        <v>14</v>
      </c>
      <c r="B155" s="4">
        <v>102</v>
      </c>
      <c r="C155" s="5">
        <v>55481</v>
      </c>
      <c r="D155" s="3" t="s">
        <v>102</v>
      </c>
      <c r="E155" s="6">
        <v>11.99</v>
      </c>
      <c r="F155" s="16">
        <v>5.0999999999999996</v>
      </c>
      <c r="G155" s="49">
        <v>6</v>
      </c>
      <c r="H155" s="50">
        <f t="shared" si="8"/>
        <v>71.94</v>
      </c>
      <c r="I155" s="50">
        <f t="shared" si="9"/>
        <v>30.599999999999998</v>
      </c>
      <c r="J155" s="50">
        <f t="shared" si="10"/>
        <v>41.34</v>
      </c>
      <c r="K155" s="51">
        <f t="shared" si="11"/>
        <v>57.46455379482903</v>
      </c>
      <c r="L155" s="36"/>
      <c r="M155" s="11">
        <v>719.6400000000001</v>
      </c>
      <c r="N155" s="11">
        <v>625.77391304347827</v>
      </c>
      <c r="O155" s="11">
        <v>267.47999999999996</v>
      </c>
      <c r="P155" s="8">
        <v>36</v>
      </c>
      <c r="Q155" s="11">
        <v>358.29391304347843</v>
      </c>
      <c r="R155" s="11">
        <v>19.990000000000002</v>
      </c>
      <c r="S155" s="11">
        <v>17.382608695652173</v>
      </c>
      <c r="T155" s="11">
        <v>7.4299999999999988</v>
      </c>
      <c r="U155" s="14">
        <v>57.256128064032033</v>
      </c>
      <c r="V155" s="36">
        <f>IFERROR(LOOKUP($C155,#REF!,#REF!),0)</f>
        <v>0</v>
      </c>
      <c r="W155" s="36">
        <f>IFERROR(LOOKUP($C155,#REF!,#REF!),0)</f>
        <v>0</v>
      </c>
      <c r="X155" s="36">
        <f>IFERROR(LOOKUP($C155,#REF!,#REF!),0)</f>
        <v>0</v>
      </c>
      <c r="Y155" s="36">
        <f>IFERROR(LOOKUP($C155,#REF!,#REF!),0)</f>
        <v>0</v>
      </c>
    </row>
    <row r="156" spans="1:25" ht="16.5" customHeight="1" x14ac:dyDescent="0.35">
      <c r="A156" s="3" t="s">
        <v>14</v>
      </c>
      <c r="B156" s="4">
        <v>102</v>
      </c>
      <c r="C156" s="5">
        <v>55482</v>
      </c>
      <c r="D156" s="3" t="s">
        <v>142</v>
      </c>
      <c r="E156" s="6">
        <v>13.99</v>
      </c>
      <c r="F156" s="16">
        <v>5.44</v>
      </c>
      <c r="G156" s="49">
        <v>0</v>
      </c>
      <c r="H156" s="50">
        <f t="shared" si="8"/>
        <v>0</v>
      </c>
      <c r="I156" s="50">
        <f t="shared" si="9"/>
        <v>0</v>
      </c>
      <c r="J156" s="50">
        <f t="shared" si="10"/>
        <v>0</v>
      </c>
      <c r="K156" s="51">
        <f t="shared" si="11"/>
        <v>0</v>
      </c>
      <c r="L156" s="36"/>
      <c r="M156" s="11">
        <v>666.83000000000015</v>
      </c>
      <c r="N156" s="11">
        <v>579.85217391304354</v>
      </c>
      <c r="O156" s="11">
        <v>344.38</v>
      </c>
      <c r="P156" s="8">
        <v>67</v>
      </c>
      <c r="Q156" s="11">
        <v>235.47217391304366</v>
      </c>
      <c r="R156" s="11">
        <v>9.9526865671641822</v>
      </c>
      <c r="S156" s="11">
        <v>8.6545100584036359</v>
      </c>
      <c r="T156" s="11">
        <v>5.14</v>
      </c>
      <c r="U156" s="14">
        <v>40.609000794805297</v>
      </c>
      <c r="V156" s="36">
        <f>IFERROR(LOOKUP($C156,#REF!,#REF!),0)</f>
        <v>0</v>
      </c>
      <c r="W156" s="36">
        <f>IFERROR(LOOKUP($C156,#REF!,#REF!),0)</f>
        <v>0</v>
      </c>
      <c r="X156" s="36">
        <f>IFERROR(LOOKUP($C156,#REF!,#REF!),0)</f>
        <v>0</v>
      </c>
      <c r="Y156" s="36">
        <f>IFERROR(LOOKUP($C156,#REF!,#REF!),0)</f>
        <v>0</v>
      </c>
    </row>
    <row r="157" spans="1:25" ht="16.5" customHeight="1" x14ac:dyDescent="0.35">
      <c r="A157" s="3" t="s">
        <v>14</v>
      </c>
      <c r="B157" s="4">
        <v>101</v>
      </c>
      <c r="C157" s="5">
        <v>56350</v>
      </c>
      <c r="D157" s="3" t="s">
        <v>67</v>
      </c>
      <c r="E157" s="6">
        <v>4.99</v>
      </c>
      <c r="F157" s="16">
        <v>2.61</v>
      </c>
      <c r="G157" s="49">
        <v>0</v>
      </c>
      <c r="H157" s="50">
        <f t="shared" si="8"/>
        <v>0</v>
      </c>
      <c r="I157" s="50">
        <f t="shared" si="9"/>
        <v>0</v>
      </c>
      <c r="J157" s="50">
        <f t="shared" si="10"/>
        <v>0</v>
      </c>
      <c r="K157" s="51">
        <f t="shared" si="11"/>
        <v>0</v>
      </c>
      <c r="L157" s="36"/>
      <c r="M157" s="11">
        <v>630</v>
      </c>
      <c r="N157" s="11">
        <v>547.82608695652175</v>
      </c>
      <c r="O157" s="11">
        <v>213.57</v>
      </c>
      <c r="P157" s="8">
        <v>63</v>
      </c>
      <c r="Q157" s="11">
        <v>334.25608695652176</v>
      </c>
      <c r="R157" s="11">
        <v>10</v>
      </c>
      <c r="S157" s="11">
        <v>8.695652173913043</v>
      </c>
      <c r="T157" s="11">
        <v>3.3899999999999997</v>
      </c>
      <c r="U157" s="14">
        <v>61.015000000000001</v>
      </c>
      <c r="V157" s="36">
        <f>IFERROR(LOOKUP($C157,#REF!,#REF!),0)</f>
        <v>0</v>
      </c>
      <c r="W157" s="36">
        <f>IFERROR(LOOKUP($C157,#REF!,#REF!),0)</f>
        <v>0</v>
      </c>
      <c r="X157" s="36">
        <f>IFERROR(LOOKUP($C157,#REF!,#REF!),0)</f>
        <v>0</v>
      </c>
      <c r="Y157" s="36">
        <f>IFERROR(LOOKUP($C157,#REF!,#REF!),0)</f>
        <v>0</v>
      </c>
    </row>
    <row r="158" spans="1:25" ht="16.5" customHeight="1" x14ac:dyDescent="0.35">
      <c r="A158" s="3" t="s">
        <v>14</v>
      </c>
      <c r="B158" s="4">
        <v>104</v>
      </c>
      <c r="C158" s="5">
        <v>56805</v>
      </c>
      <c r="D158" s="3" t="s">
        <v>238</v>
      </c>
      <c r="E158" s="6">
        <v>15</v>
      </c>
      <c r="F158" s="16">
        <v>29.47</v>
      </c>
      <c r="G158" s="49">
        <v>0</v>
      </c>
      <c r="H158" s="50">
        <f t="shared" si="8"/>
        <v>0</v>
      </c>
      <c r="I158" s="50">
        <f t="shared" si="9"/>
        <v>0</v>
      </c>
      <c r="J158" s="50">
        <f t="shared" si="10"/>
        <v>0</v>
      </c>
      <c r="K158" s="51">
        <f t="shared" si="11"/>
        <v>0</v>
      </c>
      <c r="L158" s="36"/>
      <c r="M158" s="11">
        <v>630</v>
      </c>
      <c r="N158" s="11">
        <v>547.82608695652175</v>
      </c>
      <c r="O158" s="11">
        <v>323.35000000000002</v>
      </c>
      <c r="P158" s="8">
        <v>5</v>
      </c>
      <c r="Q158" s="11">
        <v>224.47608695652173</v>
      </c>
      <c r="R158" s="11">
        <v>126</v>
      </c>
      <c r="S158" s="11">
        <v>109.56521739130434</v>
      </c>
      <c r="T158" s="11">
        <v>64.67</v>
      </c>
      <c r="U158" s="14">
        <v>40.975793650793648</v>
      </c>
      <c r="V158" s="36">
        <f>IFERROR(LOOKUP($C158,#REF!,#REF!),0)</f>
        <v>0</v>
      </c>
      <c r="W158" s="36">
        <f>IFERROR(LOOKUP($C158,#REF!,#REF!),0)</f>
        <v>0</v>
      </c>
      <c r="X158" s="36">
        <f>IFERROR(LOOKUP($C158,#REF!,#REF!),0)</f>
        <v>0</v>
      </c>
      <c r="Y158" s="36">
        <f>IFERROR(LOOKUP($C158,#REF!,#REF!),0)</f>
        <v>0</v>
      </c>
    </row>
    <row r="159" spans="1:25" ht="16.5" customHeight="1" x14ac:dyDescent="0.35">
      <c r="A159" s="3" t="s">
        <v>14</v>
      </c>
      <c r="B159" s="4">
        <v>101</v>
      </c>
      <c r="C159" s="5">
        <v>57071</v>
      </c>
      <c r="D159" s="3" t="s">
        <v>52</v>
      </c>
      <c r="E159" s="6">
        <v>29.99</v>
      </c>
      <c r="F159" s="16">
        <v>12.66</v>
      </c>
      <c r="G159" s="49">
        <v>0</v>
      </c>
      <c r="H159" s="50">
        <f t="shared" si="8"/>
        <v>0</v>
      </c>
      <c r="I159" s="50">
        <f t="shared" si="9"/>
        <v>0</v>
      </c>
      <c r="J159" s="50">
        <f t="shared" si="10"/>
        <v>0</v>
      </c>
      <c r="K159" s="51">
        <f t="shared" si="11"/>
        <v>0</v>
      </c>
      <c r="L159" s="36"/>
      <c r="M159" s="11">
        <v>569.80999999999995</v>
      </c>
      <c r="N159" s="11">
        <v>495.4869565217391</v>
      </c>
      <c r="O159" s="11">
        <v>550.04999999999995</v>
      </c>
      <c r="P159" s="8">
        <v>19</v>
      </c>
      <c r="Q159" s="11">
        <v>-54.563043478260909</v>
      </c>
      <c r="R159" s="11">
        <v>29.99</v>
      </c>
      <c r="S159" s="11">
        <v>26.078260869565216</v>
      </c>
      <c r="T159" s="11">
        <v>28.95</v>
      </c>
      <c r="U159" s="14">
        <v>-11.012004001333787</v>
      </c>
      <c r="V159" s="36">
        <f>IFERROR(LOOKUP($C159,#REF!,#REF!),0)</f>
        <v>0</v>
      </c>
      <c r="W159" s="36">
        <f>IFERROR(LOOKUP($C159,#REF!,#REF!),0)</f>
        <v>0</v>
      </c>
      <c r="X159" s="36">
        <f>IFERROR(LOOKUP($C159,#REF!,#REF!),0)</f>
        <v>0</v>
      </c>
      <c r="Y159" s="36">
        <f>IFERROR(LOOKUP($C159,#REF!,#REF!),0)</f>
        <v>0</v>
      </c>
    </row>
    <row r="160" spans="1:25" ht="16.5" customHeight="1" x14ac:dyDescent="0.35">
      <c r="A160" s="3" t="s">
        <v>14</v>
      </c>
      <c r="B160" s="4">
        <v>101</v>
      </c>
      <c r="C160" s="5">
        <v>57073</v>
      </c>
      <c r="D160" s="3" t="s">
        <v>21</v>
      </c>
      <c r="E160" s="6">
        <v>36.99</v>
      </c>
      <c r="F160" s="16">
        <v>16.05</v>
      </c>
      <c r="G160" s="49">
        <v>36</v>
      </c>
      <c r="H160" s="50">
        <f t="shared" si="8"/>
        <v>1331.64</v>
      </c>
      <c r="I160" s="50">
        <f t="shared" si="9"/>
        <v>577.80000000000007</v>
      </c>
      <c r="J160" s="50">
        <f t="shared" si="10"/>
        <v>753.84</v>
      </c>
      <c r="K160" s="51">
        <f t="shared" si="11"/>
        <v>56.609894566098937</v>
      </c>
      <c r="L160" s="36"/>
      <c r="M160" s="11">
        <v>559.72</v>
      </c>
      <c r="N160" s="11">
        <v>486.71304347826089</v>
      </c>
      <c r="O160" s="11">
        <v>367.64</v>
      </c>
      <c r="P160" s="8">
        <v>28</v>
      </c>
      <c r="Q160" s="11">
        <v>119.07304347826084</v>
      </c>
      <c r="R160" s="11">
        <v>19.990000000000002</v>
      </c>
      <c r="S160" s="11">
        <v>17.382608695652173</v>
      </c>
      <c r="T160" s="11">
        <v>13.129999999999999</v>
      </c>
      <c r="U160" s="14">
        <v>24.464732366183085</v>
      </c>
      <c r="V160" s="36">
        <f>IFERROR(LOOKUP($C160,#REF!,#REF!),0)</f>
        <v>0</v>
      </c>
      <c r="W160" s="36">
        <f>IFERROR(LOOKUP($C160,#REF!,#REF!),0)</f>
        <v>0</v>
      </c>
      <c r="X160" s="36">
        <f>IFERROR(LOOKUP($C160,#REF!,#REF!),0)</f>
        <v>0</v>
      </c>
      <c r="Y160" s="36">
        <f>IFERROR(LOOKUP($C160,#REF!,#REF!),0)</f>
        <v>0</v>
      </c>
    </row>
    <row r="161" spans="1:25" ht="16.5" customHeight="1" x14ac:dyDescent="0.35">
      <c r="A161" s="3" t="s">
        <v>14</v>
      </c>
      <c r="B161" s="4">
        <v>101</v>
      </c>
      <c r="C161" s="5">
        <v>57167</v>
      </c>
      <c r="D161" s="3" t="s">
        <v>31</v>
      </c>
      <c r="E161" s="6">
        <v>16.989999999999998</v>
      </c>
      <c r="F161" s="16">
        <v>7.4</v>
      </c>
      <c r="G161" s="49">
        <v>0</v>
      </c>
      <c r="H161" s="50">
        <f t="shared" si="8"/>
        <v>0</v>
      </c>
      <c r="I161" s="50">
        <f t="shared" si="9"/>
        <v>0</v>
      </c>
      <c r="J161" s="50">
        <f t="shared" si="10"/>
        <v>0</v>
      </c>
      <c r="K161" s="51">
        <f t="shared" si="11"/>
        <v>0</v>
      </c>
      <c r="L161" s="36"/>
      <c r="M161" s="11">
        <v>533.43000000000006</v>
      </c>
      <c r="N161" s="11">
        <v>463.85217391304343</v>
      </c>
      <c r="O161" s="11">
        <v>279.27</v>
      </c>
      <c r="P161" s="8">
        <v>107</v>
      </c>
      <c r="Q161" s="11">
        <v>184.5821739130435</v>
      </c>
      <c r="R161" s="11">
        <v>4.9853271028037387</v>
      </c>
      <c r="S161" s="11">
        <v>4.3350670459162934</v>
      </c>
      <c r="T161" s="11">
        <v>2.61</v>
      </c>
      <c r="U161" s="14">
        <v>39.793318710983641</v>
      </c>
      <c r="V161" s="36">
        <f>IFERROR(LOOKUP($C161,#REF!,#REF!),0)</f>
        <v>0</v>
      </c>
      <c r="W161" s="36">
        <f>IFERROR(LOOKUP($C161,#REF!,#REF!),0)</f>
        <v>0</v>
      </c>
      <c r="X161" s="36">
        <f>IFERROR(LOOKUP($C161,#REF!,#REF!),0)</f>
        <v>0</v>
      </c>
      <c r="Y161" s="36">
        <f>IFERROR(LOOKUP($C161,#REF!,#REF!),0)</f>
        <v>0</v>
      </c>
    </row>
    <row r="162" spans="1:25" ht="16.5" customHeight="1" x14ac:dyDescent="0.35">
      <c r="A162" s="3" t="s">
        <v>14</v>
      </c>
      <c r="B162" s="4">
        <v>102</v>
      </c>
      <c r="C162" s="5">
        <v>58045</v>
      </c>
      <c r="D162" s="3" t="s">
        <v>178</v>
      </c>
      <c r="E162" s="6">
        <v>2.5</v>
      </c>
      <c r="F162" s="16">
        <v>1.29</v>
      </c>
      <c r="G162" s="49">
        <v>0</v>
      </c>
      <c r="H162" s="50">
        <f t="shared" si="8"/>
        <v>0</v>
      </c>
      <c r="I162" s="50">
        <f t="shared" si="9"/>
        <v>0</v>
      </c>
      <c r="J162" s="50">
        <f t="shared" si="10"/>
        <v>0</v>
      </c>
      <c r="K162" s="51">
        <f t="shared" si="11"/>
        <v>0</v>
      </c>
      <c r="L162" s="36"/>
      <c r="M162" s="11">
        <v>500</v>
      </c>
      <c r="N162" s="11">
        <v>434.78260869565219</v>
      </c>
      <c r="O162" s="11">
        <v>111.30000000000001</v>
      </c>
      <c r="P162" s="8">
        <v>5</v>
      </c>
      <c r="Q162" s="11">
        <v>323.48260869565212</v>
      </c>
      <c r="R162" s="11">
        <v>100</v>
      </c>
      <c r="S162" s="11">
        <v>86.956521739130437</v>
      </c>
      <c r="T162" s="11">
        <v>22.26</v>
      </c>
      <c r="U162" s="14">
        <v>74.400999999999996</v>
      </c>
      <c r="V162" s="36">
        <f>IFERROR(LOOKUP($C162,#REF!,#REF!),0)</f>
        <v>0</v>
      </c>
      <c r="W162" s="36">
        <f>IFERROR(LOOKUP($C162,#REF!,#REF!),0)</f>
        <v>0</v>
      </c>
      <c r="X162" s="36">
        <f>IFERROR(LOOKUP($C162,#REF!,#REF!),0)</f>
        <v>0</v>
      </c>
      <c r="Y162" s="36">
        <f>IFERROR(LOOKUP($C162,#REF!,#REF!),0)</f>
        <v>0</v>
      </c>
    </row>
    <row r="163" spans="1:25" ht="16.5" customHeight="1" x14ac:dyDescent="0.35">
      <c r="A163" s="3" t="s">
        <v>14</v>
      </c>
      <c r="B163" s="4">
        <v>104</v>
      </c>
      <c r="C163" s="5">
        <v>58452</v>
      </c>
      <c r="D163" s="3" t="s">
        <v>239</v>
      </c>
      <c r="E163" s="6">
        <v>120</v>
      </c>
      <c r="F163" s="16">
        <v>58.51</v>
      </c>
      <c r="G163" s="49">
        <v>0</v>
      </c>
      <c r="H163" s="50">
        <f t="shared" si="8"/>
        <v>0</v>
      </c>
      <c r="I163" s="50">
        <f t="shared" si="9"/>
        <v>0</v>
      </c>
      <c r="J163" s="50">
        <f t="shared" si="10"/>
        <v>0</v>
      </c>
      <c r="K163" s="51">
        <f t="shared" si="11"/>
        <v>0</v>
      </c>
      <c r="L163" s="36"/>
      <c r="M163" s="11">
        <v>449.84999999999997</v>
      </c>
      <c r="N163" s="11">
        <v>391.17391304347819</v>
      </c>
      <c r="O163" s="11">
        <v>246.45000000000002</v>
      </c>
      <c r="P163" s="8">
        <v>15</v>
      </c>
      <c r="Q163" s="11">
        <v>144.72391304347823</v>
      </c>
      <c r="R163" s="11">
        <v>29.99</v>
      </c>
      <c r="S163" s="11">
        <v>26.078260869565213</v>
      </c>
      <c r="T163" s="11">
        <v>16.43</v>
      </c>
      <c r="U163" s="14">
        <v>36.997332444148043</v>
      </c>
      <c r="V163" s="36">
        <f>IFERROR(LOOKUP($C163,#REF!,#REF!),0)</f>
        <v>0</v>
      </c>
      <c r="W163" s="36">
        <f>IFERROR(LOOKUP($C163,#REF!,#REF!),0)</f>
        <v>0</v>
      </c>
      <c r="X163" s="36">
        <f>IFERROR(LOOKUP($C163,#REF!,#REF!),0)</f>
        <v>0</v>
      </c>
      <c r="Y163" s="36">
        <f>IFERROR(LOOKUP($C163,#REF!,#REF!),0)</f>
        <v>0</v>
      </c>
    </row>
    <row r="164" spans="1:25" ht="16.5" customHeight="1" x14ac:dyDescent="0.35">
      <c r="A164" s="3" t="s">
        <v>14</v>
      </c>
      <c r="B164" s="4">
        <v>101</v>
      </c>
      <c r="C164" s="5">
        <v>58512</v>
      </c>
      <c r="D164" s="3" t="s">
        <v>29</v>
      </c>
      <c r="E164" s="6">
        <v>26.99</v>
      </c>
      <c r="F164" s="16">
        <v>10.66</v>
      </c>
      <c r="G164" s="49">
        <v>0</v>
      </c>
      <c r="H164" s="50">
        <f t="shared" si="8"/>
        <v>0</v>
      </c>
      <c r="I164" s="50">
        <f t="shared" si="9"/>
        <v>0</v>
      </c>
      <c r="J164" s="50">
        <f t="shared" si="10"/>
        <v>0</v>
      </c>
      <c r="K164" s="51">
        <f t="shared" si="11"/>
        <v>0</v>
      </c>
      <c r="L164" s="36"/>
      <c r="M164" s="11">
        <v>446.85</v>
      </c>
      <c r="N164" s="11">
        <v>388.56521739130443</v>
      </c>
      <c r="O164" s="11">
        <v>232.50000000000003</v>
      </c>
      <c r="P164" s="8">
        <v>75</v>
      </c>
      <c r="Q164" s="11">
        <v>156.06521739130434</v>
      </c>
      <c r="R164" s="11">
        <v>5.9580000000000002</v>
      </c>
      <c r="S164" s="11">
        <v>5.1808695652173924</v>
      </c>
      <c r="T164" s="11">
        <v>3.1000000000000005</v>
      </c>
      <c r="U164" s="14">
        <v>40.164484726418259</v>
      </c>
      <c r="V164" s="36">
        <f>IFERROR(LOOKUP($C164,#REF!,#REF!),0)</f>
        <v>0</v>
      </c>
      <c r="W164" s="36">
        <f>IFERROR(LOOKUP($C164,#REF!,#REF!),0)</f>
        <v>0</v>
      </c>
      <c r="X164" s="36">
        <f>IFERROR(LOOKUP($C164,#REF!,#REF!),0)</f>
        <v>0</v>
      </c>
      <c r="Y164" s="36">
        <f>IFERROR(LOOKUP($C164,#REF!,#REF!),0)</f>
        <v>0</v>
      </c>
    </row>
    <row r="165" spans="1:25" ht="16.5" customHeight="1" x14ac:dyDescent="0.35">
      <c r="A165" s="3" t="s">
        <v>14</v>
      </c>
      <c r="B165" s="4">
        <v>101</v>
      </c>
      <c r="C165" s="5">
        <v>58763</v>
      </c>
      <c r="D165" s="3" t="s">
        <v>76</v>
      </c>
      <c r="E165" s="6">
        <v>3.2</v>
      </c>
      <c r="F165" s="16">
        <v>1.62</v>
      </c>
      <c r="G165" s="49">
        <v>0</v>
      </c>
      <c r="H165" s="50">
        <f t="shared" si="8"/>
        <v>0</v>
      </c>
      <c r="I165" s="50">
        <f t="shared" si="9"/>
        <v>0</v>
      </c>
      <c r="J165" s="50">
        <f t="shared" si="10"/>
        <v>0</v>
      </c>
      <c r="K165" s="51">
        <f t="shared" si="11"/>
        <v>0</v>
      </c>
      <c r="L165" s="36"/>
      <c r="M165" s="11">
        <v>430.93</v>
      </c>
      <c r="N165" s="11">
        <v>374.7217391304348</v>
      </c>
      <c r="O165" s="11">
        <v>218.97</v>
      </c>
      <c r="P165" s="8">
        <v>27</v>
      </c>
      <c r="Q165" s="11">
        <v>155.7517391304348</v>
      </c>
      <c r="R165" s="11">
        <v>15.96037037037037</v>
      </c>
      <c r="S165" s="11">
        <v>13.878582930756844</v>
      </c>
      <c r="T165" s="11">
        <v>8.11</v>
      </c>
      <c r="U165" s="14">
        <v>41.5646392685587</v>
      </c>
      <c r="V165" s="36">
        <f>IFERROR(LOOKUP($C165,#REF!,#REF!),0)</f>
        <v>0</v>
      </c>
      <c r="W165" s="36">
        <f>IFERROR(LOOKUP($C165,#REF!,#REF!),0)</f>
        <v>0</v>
      </c>
      <c r="X165" s="36">
        <f>IFERROR(LOOKUP($C165,#REF!,#REF!),0)</f>
        <v>0</v>
      </c>
      <c r="Y165" s="36">
        <f>IFERROR(LOOKUP($C165,#REF!,#REF!),0)</f>
        <v>0</v>
      </c>
    </row>
    <row r="166" spans="1:25" ht="16.5" customHeight="1" x14ac:dyDescent="0.35">
      <c r="A166" s="3" t="s">
        <v>14</v>
      </c>
      <c r="B166" s="4">
        <v>101</v>
      </c>
      <c r="C166" s="5">
        <v>58767</v>
      </c>
      <c r="D166" s="3" t="s">
        <v>26</v>
      </c>
      <c r="E166" s="6">
        <v>19.989999999999998</v>
      </c>
      <c r="F166" s="16">
        <v>7.04</v>
      </c>
      <c r="G166" s="49">
        <v>0</v>
      </c>
      <c r="H166" s="50">
        <f t="shared" si="8"/>
        <v>0</v>
      </c>
      <c r="I166" s="50">
        <f t="shared" si="9"/>
        <v>0</v>
      </c>
      <c r="J166" s="50">
        <f t="shared" si="10"/>
        <v>0</v>
      </c>
      <c r="K166" s="51">
        <f t="shared" si="11"/>
        <v>0</v>
      </c>
      <c r="L166" s="36"/>
      <c r="M166" s="11">
        <v>419.93</v>
      </c>
      <c r="N166" s="11">
        <v>365.15652173913043</v>
      </c>
      <c r="O166" s="11">
        <v>164.08</v>
      </c>
      <c r="P166" s="8">
        <v>7</v>
      </c>
      <c r="Q166" s="11">
        <v>201.07652173913041</v>
      </c>
      <c r="R166" s="11">
        <v>59.99</v>
      </c>
      <c r="S166" s="11">
        <v>52.165217391304346</v>
      </c>
      <c r="T166" s="11">
        <v>23.44</v>
      </c>
      <c r="U166" s="14">
        <v>55.065844307384559</v>
      </c>
      <c r="V166" s="36">
        <f>IFERROR(LOOKUP($C166,#REF!,#REF!),0)</f>
        <v>0</v>
      </c>
      <c r="W166" s="36">
        <f>IFERROR(LOOKUP($C166,#REF!,#REF!),0)</f>
        <v>0</v>
      </c>
      <c r="X166" s="36">
        <f>IFERROR(LOOKUP($C166,#REF!,#REF!),0)</f>
        <v>0</v>
      </c>
      <c r="Y166" s="36">
        <f>IFERROR(LOOKUP($C166,#REF!,#REF!),0)</f>
        <v>0</v>
      </c>
    </row>
    <row r="167" spans="1:25" ht="16.5" customHeight="1" x14ac:dyDescent="0.35">
      <c r="A167" s="3" t="s">
        <v>14</v>
      </c>
      <c r="B167" s="4">
        <v>102</v>
      </c>
      <c r="C167" s="5">
        <v>59058</v>
      </c>
      <c r="D167" s="3" t="s">
        <v>132</v>
      </c>
      <c r="E167" s="6">
        <v>5.99</v>
      </c>
      <c r="F167" s="16">
        <v>3.1</v>
      </c>
      <c r="G167" s="49">
        <v>0</v>
      </c>
      <c r="H167" s="50">
        <f t="shared" si="8"/>
        <v>0</v>
      </c>
      <c r="I167" s="50">
        <f t="shared" si="9"/>
        <v>0</v>
      </c>
      <c r="J167" s="50">
        <f t="shared" si="10"/>
        <v>0</v>
      </c>
      <c r="K167" s="51">
        <f t="shared" si="11"/>
        <v>0</v>
      </c>
      <c r="L167" s="36"/>
      <c r="M167" s="11">
        <v>419</v>
      </c>
      <c r="N167" s="11">
        <v>364.3478260869565</v>
      </c>
      <c r="O167" s="11">
        <v>217.00000000000003</v>
      </c>
      <c r="P167" s="8">
        <v>70</v>
      </c>
      <c r="Q167" s="11">
        <v>147.34782608695647</v>
      </c>
      <c r="R167" s="11">
        <v>5.9857142857142858</v>
      </c>
      <c r="S167" s="11">
        <v>5.2049689440993783</v>
      </c>
      <c r="T167" s="11">
        <v>3.1000000000000005</v>
      </c>
      <c r="U167" s="14">
        <v>40.441527446300704</v>
      </c>
      <c r="V167" s="36">
        <f>IFERROR(LOOKUP($C167,#REF!,#REF!),0)</f>
        <v>0</v>
      </c>
      <c r="W167" s="36">
        <f>IFERROR(LOOKUP($C167,#REF!,#REF!),0)</f>
        <v>0</v>
      </c>
      <c r="X167" s="36">
        <f>IFERROR(LOOKUP($C167,#REF!,#REF!),0)</f>
        <v>0</v>
      </c>
      <c r="Y167" s="36">
        <f>IFERROR(LOOKUP($C167,#REF!,#REF!),0)</f>
        <v>0</v>
      </c>
    </row>
    <row r="168" spans="1:25" ht="16.5" customHeight="1" x14ac:dyDescent="0.35">
      <c r="A168" s="3" t="s">
        <v>14</v>
      </c>
      <c r="B168" s="4">
        <v>102</v>
      </c>
      <c r="C168" s="5">
        <v>59220</v>
      </c>
      <c r="D168" s="3" t="s">
        <v>160</v>
      </c>
      <c r="E168" s="6">
        <v>5.99</v>
      </c>
      <c r="F168" s="16">
        <v>3.1</v>
      </c>
      <c r="G168" s="49">
        <v>0</v>
      </c>
      <c r="H168" s="50">
        <f t="shared" si="8"/>
        <v>0</v>
      </c>
      <c r="I168" s="50">
        <f t="shared" si="9"/>
        <v>0</v>
      </c>
      <c r="J168" s="50">
        <f t="shared" si="10"/>
        <v>0</v>
      </c>
      <c r="K168" s="51">
        <f t="shared" si="11"/>
        <v>0</v>
      </c>
      <c r="L168" s="36"/>
      <c r="M168" s="11">
        <v>405.85999999999996</v>
      </c>
      <c r="N168" s="11">
        <v>352.92173913043479</v>
      </c>
      <c r="O168" s="11">
        <v>204.57780000000002</v>
      </c>
      <c r="P168" s="8">
        <v>14</v>
      </c>
      <c r="Q168" s="11">
        <v>148.34393913043476</v>
      </c>
      <c r="R168" s="11">
        <v>28.99</v>
      </c>
      <c r="S168" s="11">
        <v>25.208695652173912</v>
      </c>
      <c r="T168" s="11">
        <v>14.612700000000002</v>
      </c>
      <c r="U168" s="14">
        <v>42.033097619868911</v>
      </c>
      <c r="V168" s="36">
        <f>IFERROR(LOOKUP($C168,#REF!,#REF!),0)</f>
        <v>0</v>
      </c>
      <c r="W168" s="36">
        <f>IFERROR(LOOKUP($C168,#REF!,#REF!),0)</f>
        <v>0</v>
      </c>
      <c r="X168" s="36">
        <f>IFERROR(LOOKUP($C168,#REF!,#REF!),0)</f>
        <v>0</v>
      </c>
      <c r="Y168" s="36">
        <f>IFERROR(LOOKUP($C168,#REF!,#REF!),0)</f>
        <v>0</v>
      </c>
    </row>
    <row r="169" spans="1:25" ht="16.5" customHeight="1" x14ac:dyDescent="0.35">
      <c r="A169" s="3" t="s">
        <v>14</v>
      </c>
      <c r="B169" s="4">
        <v>102</v>
      </c>
      <c r="C169" s="5">
        <v>59221</v>
      </c>
      <c r="D169" s="3" t="s">
        <v>155</v>
      </c>
      <c r="E169" s="6">
        <v>5.99</v>
      </c>
      <c r="F169" s="16">
        <v>3.1</v>
      </c>
      <c r="G169" s="49">
        <v>0</v>
      </c>
      <c r="H169" s="50">
        <f t="shared" si="8"/>
        <v>0</v>
      </c>
      <c r="I169" s="50">
        <f t="shared" si="9"/>
        <v>0</v>
      </c>
      <c r="J169" s="50">
        <f t="shared" si="10"/>
        <v>0</v>
      </c>
      <c r="K169" s="51">
        <f t="shared" si="11"/>
        <v>0</v>
      </c>
      <c r="L169" s="36"/>
      <c r="M169" s="11">
        <v>405.85999999999996</v>
      </c>
      <c r="N169" s="11">
        <v>352.92173913043479</v>
      </c>
      <c r="O169" s="11">
        <v>204.57780000000002</v>
      </c>
      <c r="P169" s="8">
        <v>14</v>
      </c>
      <c r="Q169" s="11">
        <v>148.34393913043476</v>
      </c>
      <c r="R169" s="11">
        <v>28.99</v>
      </c>
      <c r="S169" s="11">
        <v>25.208695652173912</v>
      </c>
      <c r="T169" s="11">
        <v>14.612700000000002</v>
      </c>
      <c r="U169" s="14">
        <v>42.033097619868911</v>
      </c>
      <c r="V169" s="36">
        <f>IFERROR(LOOKUP($C169,#REF!,#REF!),0)</f>
        <v>0</v>
      </c>
      <c r="W169" s="36">
        <f>IFERROR(LOOKUP($C169,#REF!,#REF!),0)</f>
        <v>0</v>
      </c>
      <c r="X169" s="36">
        <f>IFERROR(LOOKUP($C169,#REF!,#REF!),0)</f>
        <v>0</v>
      </c>
      <c r="Y169" s="36">
        <f>IFERROR(LOOKUP($C169,#REF!,#REF!),0)</f>
        <v>0</v>
      </c>
    </row>
    <row r="170" spans="1:25" ht="16.5" customHeight="1" x14ac:dyDescent="0.35">
      <c r="A170" s="3" t="s">
        <v>14</v>
      </c>
      <c r="B170" s="4">
        <v>102</v>
      </c>
      <c r="C170" s="5">
        <v>59222</v>
      </c>
      <c r="D170" s="3" t="s">
        <v>175</v>
      </c>
      <c r="E170" s="6">
        <v>5.99</v>
      </c>
      <c r="F170" s="16">
        <v>3.1</v>
      </c>
      <c r="G170" s="49">
        <v>0</v>
      </c>
      <c r="H170" s="50">
        <f t="shared" si="8"/>
        <v>0</v>
      </c>
      <c r="I170" s="50">
        <f t="shared" si="9"/>
        <v>0</v>
      </c>
      <c r="J170" s="50">
        <f t="shared" si="10"/>
        <v>0</v>
      </c>
      <c r="K170" s="51">
        <f t="shared" si="11"/>
        <v>0</v>
      </c>
      <c r="L170" s="36"/>
      <c r="M170" s="11">
        <v>375.16</v>
      </c>
      <c r="N170" s="11">
        <v>326.22608695652178</v>
      </c>
      <c r="O170" s="11">
        <v>198.1</v>
      </c>
      <c r="P170" s="8">
        <v>14</v>
      </c>
      <c r="Q170" s="11">
        <v>128.12608695652173</v>
      </c>
      <c r="R170" s="11">
        <v>26.797142857142859</v>
      </c>
      <c r="S170" s="11">
        <v>23.30186335403727</v>
      </c>
      <c r="T170" s="11">
        <v>14.15</v>
      </c>
      <c r="U170" s="14">
        <v>39.275242563173045</v>
      </c>
      <c r="V170" s="36">
        <f>IFERROR(LOOKUP($C170,#REF!,#REF!),0)</f>
        <v>0</v>
      </c>
      <c r="W170" s="36">
        <f>IFERROR(LOOKUP($C170,#REF!,#REF!),0)</f>
        <v>0</v>
      </c>
      <c r="X170" s="36">
        <f>IFERROR(LOOKUP($C170,#REF!,#REF!),0)</f>
        <v>0</v>
      </c>
      <c r="Y170" s="36">
        <f>IFERROR(LOOKUP($C170,#REF!,#REF!),0)</f>
        <v>0</v>
      </c>
    </row>
    <row r="171" spans="1:25" ht="16.5" customHeight="1" x14ac:dyDescent="0.35">
      <c r="A171" s="3" t="s">
        <v>14</v>
      </c>
      <c r="B171" s="4">
        <v>102</v>
      </c>
      <c r="C171" s="5">
        <v>59223</v>
      </c>
      <c r="D171" s="3" t="s">
        <v>176</v>
      </c>
      <c r="E171" s="6">
        <v>5.99</v>
      </c>
      <c r="F171" s="16">
        <v>3.1</v>
      </c>
      <c r="G171" s="49">
        <v>0</v>
      </c>
      <c r="H171" s="50">
        <f t="shared" si="8"/>
        <v>0</v>
      </c>
      <c r="I171" s="50">
        <f t="shared" si="9"/>
        <v>0</v>
      </c>
      <c r="J171" s="50">
        <f t="shared" si="10"/>
        <v>0</v>
      </c>
      <c r="K171" s="51">
        <f t="shared" si="11"/>
        <v>0</v>
      </c>
      <c r="L171" s="36"/>
      <c r="M171" s="11">
        <v>373.59999999999997</v>
      </c>
      <c r="N171" s="11">
        <v>324.86956521739125</v>
      </c>
      <c r="O171" s="11">
        <v>121.5</v>
      </c>
      <c r="P171" s="8">
        <v>15</v>
      </c>
      <c r="Q171" s="11">
        <v>203.36956521739125</v>
      </c>
      <c r="R171" s="11">
        <v>24.906666666666663</v>
      </c>
      <c r="S171" s="11">
        <v>21.657971014492752</v>
      </c>
      <c r="T171" s="11">
        <v>8.1</v>
      </c>
      <c r="U171" s="14">
        <v>62.600374732334039</v>
      </c>
      <c r="V171" s="36">
        <f>IFERROR(LOOKUP($C171,#REF!,#REF!),0)</f>
        <v>0</v>
      </c>
      <c r="W171" s="36">
        <f>IFERROR(LOOKUP($C171,#REF!,#REF!),0)</f>
        <v>0</v>
      </c>
      <c r="X171" s="36">
        <f>IFERROR(LOOKUP($C171,#REF!,#REF!),0)</f>
        <v>0</v>
      </c>
      <c r="Y171" s="36">
        <f>IFERROR(LOOKUP($C171,#REF!,#REF!),0)</f>
        <v>0</v>
      </c>
    </row>
    <row r="172" spans="1:25" ht="16.5" customHeight="1" x14ac:dyDescent="0.35">
      <c r="A172" s="3" t="s">
        <v>14</v>
      </c>
      <c r="B172" s="4">
        <v>101</v>
      </c>
      <c r="C172" s="5">
        <v>59381</v>
      </c>
      <c r="D172" s="3" t="s">
        <v>15</v>
      </c>
      <c r="E172" s="6">
        <v>13.99</v>
      </c>
      <c r="F172" s="16">
        <v>7.36</v>
      </c>
      <c r="G172" s="49">
        <v>780</v>
      </c>
      <c r="H172" s="50">
        <f t="shared" si="8"/>
        <v>10912.2</v>
      </c>
      <c r="I172" s="50">
        <f t="shared" si="9"/>
        <v>5740.8</v>
      </c>
      <c r="J172" s="50">
        <f t="shared" si="10"/>
        <v>5171.4000000000005</v>
      </c>
      <c r="K172" s="51">
        <f t="shared" si="11"/>
        <v>47.390993566833458</v>
      </c>
      <c r="L172" s="36"/>
      <c r="M172" s="11">
        <v>357.91</v>
      </c>
      <c r="N172" s="11">
        <v>311.22608695652173</v>
      </c>
      <c r="O172" s="11">
        <v>225</v>
      </c>
      <c r="P172" s="8">
        <v>9</v>
      </c>
      <c r="Q172" s="11">
        <v>86.226086956521783</v>
      </c>
      <c r="R172" s="11">
        <v>39.767777777777781</v>
      </c>
      <c r="S172" s="11">
        <v>34.580676328502413</v>
      </c>
      <c r="T172" s="11">
        <v>25</v>
      </c>
      <c r="U172" s="14">
        <v>27.705289039143928</v>
      </c>
      <c r="V172" s="36">
        <f>IFERROR(LOOKUP($C172,#REF!,#REF!),0)</f>
        <v>0</v>
      </c>
      <c r="W172" s="36">
        <f>IFERROR(LOOKUP($C172,#REF!,#REF!),0)</f>
        <v>0</v>
      </c>
      <c r="X172" s="36">
        <f>IFERROR(LOOKUP($C172,#REF!,#REF!),0)</f>
        <v>0</v>
      </c>
      <c r="Y172" s="36">
        <f>IFERROR(LOOKUP($C172,#REF!,#REF!),0)</f>
        <v>0</v>
      </c>
    </row>
    <row r="173" spans="1:25" ht="16.5" customHeight="1" x14ac:dyDescent="0.35">
      <c r="A173" s="3" t="s">
        <v>14</v>
      </c>
      <c r="B173" s="4">
        <v>101</v>
      </c>
      <c r="C173" s="5">
        <v>59425</v>
      </c>
      <c r="D173" s="3" t="s">
        <v>17</v>
      </c>
      <c r="E173" s="6">
        <v>10.99</v>
      </c>
      <c r="F173" s="16">
        <v>6.3</v>
      </c>
      <c r="G173" s="49">
        <v>240</v>
      </c>
      <c r="H173" s="50">
        <f t="shared" si="8"/>
        <v>2637.6</v>
      </c>
      <c r="I173" s="50">
        <f t="shared" si="9"/>
        <v>1512</v>
      </c>
      <c r="J173" s="50">
        <f t="shared" si="10"/>
        <v>1125.5999999999999</v>
      </c>
      <c r="K173" s="51">
        <f t="shared" si="11"/>
        <v>42.675159235668787</v>
      </c>
      <c r="L173" s="36"/>
      <c r="M173" s="11">
        <v>330.41</v>
      </c>
      <c r="N173" s="11">
        <v>287.31304347826085</v>
      </c>
      <c r="O173" s="11">
        <v>173.48351999999997</v>
      </c>
      <c r="P173" s="8">
        <v>1.5660000000000001</v>
      </c>
      <c r="Q173" s="11">
        <v>113.82952347826088</v>
      </c>
      <c r="R173" s="11">
        <v>210.98978288633461</v>
      </c>
      <c r="S173" s="11">
        <v>183.46937642289964</v>
      </c>
      <c r="T173" s="11">
        <v>110.78130268199232</v>
      </c>
      <c r="U173" s="14">
        <v>39.618641082291703</v>
      </c>
      <c r="V173" s="36">
        <f>IFERROR(LOOKUP($C173,#REF!,#REF!),0)</f>
        <v>0</v>
      </c>
      <c r="W173" s="36">
        <f>IFERROR(LOOKUP($C173,#REF!,#REF!),0)</f>
        <v>0</v>
      </c>
      <c r="X173" s="36">
        <f>IFERROR(LOOKUP($C173,#REF!,#REF!),0)</f>
        <v>0</v>
      </c>
      <c r="Y173" s="36">
        <f>IFERROR(LOOKUP($C173,#REF!,#REF!),0)</f>
        <v>0</v>
      </c>
    </row>
    <row r="174" spans="1:25" ht="16.5" customHeight="1" x14ac:dyDescent="0.35">
      <c r="A174" s="3" t="s">
        <v>14</v>
      </c>
      <c r="B174" s="4">
        <v>102</v>
      </c>
      <c r="C174" s="5">
        <v>59477</v>
      </c>
      <c r="D174" s="3" t="s">
        <v>156</v>
      </c>
      <c r="E174" s="6">
        <v>5.99</v>
      </c>
      <c r="F174" s="16">
        <v>3.1</v>
      </c>
      <c r="G174" s="49">
        <v>0</v>
      </c>
      <c r="H174" s="50">
        <f t="shared" si="8"/>
        <v>0</v>
      </c>
      <c r="I174" s="50">
        <f t="shared" si="9"/>
        <v>0</v>
      </c>
      <c r="J174" s="50">
        <f t="shared" si="10"/>
        <v>0</v>
      </c>
      <c r="K174" s="51">
        <f t="shared" si="11"/>
        <v>0</v>
      </c>
      <c r="L174" s="36"/>
      <c r="M174" s="11">
        <v>330</v>
      </c>
      <c r="N174" s="11">
        <v>286.95652173913044</v>
      </c>
      <c r="O174" s="11">
        <v>184.9</v>
      </c>
      <c r="P174" s="8">
        <v>13</v>
      </c>
      <c r="Q174" s="11">
        <v>102.05652173913043</v>
      </c>
      <c r="R174" s="11">
        <v>25.384615384615383</v>
      </c>
      <c r="S174" s="11">
        <v>22.073578595317727</v>
      </c>
      <c r="T174" s="11">
        <v>14.223076923076924</v>
      </c>
      <c r="U174" s="14">
        <v>35.565151515151513</v>
      </c>
      <c r="V174" s="36">
        <f>IFERROR(LOOKUP($C174,#REF!,#REF!),0)</f>
        <v>0</v>
      </c>
      <c r="W174" s="36">
        <f>IFERROR(LOOKUP($C174,#REF!,#REF!),0)</f>
        <v>0</v>
      </c>
      <c r="X174" s="36">
        <f>IFERROR(LOOKUP($C174,#REF!,#REF!),0)</f>
        <v>0</v>
      </c>
      <c r="Y174" s="36">
        <f>IFERROR(LOOKUP($C174,#REF!,#REF!),0)</f>
        <v>0</v>
      </c>
    </row>
    <row r="175" spans="1:25" ht="16.5" customHeight="1" x14ac:dyDescent="0.35">
      <c r="A175" s="3" t="s">
        <v>14</v>
      </c>
      <c r="B175" s="4">
        <v>119</v>
      </c>
      <c r="C175" s="5">
        <v>60694</v>
      </c>
      <c r="D175" s="3" t="s">
        <v>266</v>
      </c>
      <c r="E175" s="6">
        <v>160</v>
      </c>
      <c r="F175" s="16">
        <v>106.8</v>
      </c>
      <c r="G175" s="49">
        <v>0</v>
      </c>
      <c r="H175" s="50">
        <f t="shared" si="8"/>
        <v>0</v>
      </c>
      <c r="I175" s="50">
        <f t="shared" si="9"/>
        <v>0</v>
      </c>
      <c r="J175" s="50">
        <f t="shared" si="10"/>
        <v>0</v>
      </c>
      <c r="K175" s="51">
        <f t="shared" si="11"/>
        <v>0</v>
      </c>
      <c r="L175" s="36"/>
      <c r="M175" s="11">
        <v>330</v>
      </c>
      <c r="N175" s="11">
        <v>286.95652173913044</v>
      </c>
      <c r="O175" s="11">
        <v>162.35999999999999</v>
      </c>
      <c r="P175" s="8">
        <v>22</v>
      </c>
      <c r="Q175" s="11">
        <v>124.59652173913045</v>
      </c>
      <c r="R175" s="11">
        <v>15</v>
      </c>
      <c r="S175" s="11">
        <v>13.043478260869565</v>
      </c>
      <c r="T175" s="11">
        <v>7.379999999999999</v>
      </c>
      <c r="U175" s="14">
        <v>43.42</v>
      </c>
      <c r="V175" s="36">
        <f>IFERROR(LOOKUP($C175,#REF!,#REF!),0)</f>
        <v>0</v>
      </c>
      <c r="W175" s="36">
        <f>IFERROR(LOOKUP($C175,#REF!,#REF!),0)</f>
        <v>0</v>
      </c>
      <c r="X175" s="36">
        <f>IFERROR(LOOKUP($C175,#REF!,#REF!),0)</f>
        <v>0</v>
      </c>
      <c r="Y175" s="36">
        <f>IFERROR(LOOKUP($C175,#REF!,#REF!),0)</f>
        <v>0</v>
      </c>
    </row>
    <row r="176" spans="1:25" ht="16.5" customHeight="1" x14ac:dyDescent="0.35">
      <c r="A176" s="3" t="s">
        <v>14</v>
      </c>
      <c r="B176" s="4">
        <v>101</v>
      </c>
      <c r="C176" s="5">
        <v>60832</v>
      </c>
      <c r="D176" s="3" t="s">
        <v>40</v>
      </c>
      <c r="E176" s="6">
        <v>10</v>
      </c>
      <c r="F176" s="16">
        <v>7.36</v>
      </c>
      <c r="G176" s="49">
        <v>0</v>
      </c>
      <c r="H176" s="50">
        <f t="shared" si="8"/>
        <v>0</v>
      </c>
      <c r="I176" s="50">
        <f t="shared" si="9"/>
        <v>0</v>
      </c>
      <c r="J176" s="50">
        <f t="shared" si="10"/>
        <v>0</v>
      </c>
      <c r="K176" s="51">
        <f t="shared" si="11"/>
        <v>0</v>
      </c>
      <c r="L176" s="36"/>
      <c r="M176" s="11">
        <v>319.95999999999998</v>
      </c>
      <c r="N176" s="11">
        <v>278.22608695652173</v>
      </c>
      <c r="O176" s="11">
        <v>170.72</v>
      </c>
      <c r="P176" s="8">
        <v>4</v>
      </c>
      <c r="Q176" s="11">
        <v>107.50608695652173</v>
      </c>
      <c r="R176" s="11">
        <v>79.989999999999995</v>
      </c>
      <c r="S176" s="11">
        <v>69.556521739130432</v>
      </c>
      <c r="T176" s="11">
        <v>42.68</v>
      </c>
      <c r="U176" s="14">
        <v>38.639829978747343</v>
      </c>
      <c r="V176" s="36">
        <f>IFERROR(LOOKUP($C176,#REF!,#REF!),0)</f>
        <v>0</v>
      </c>
      <c r="W176" s="36">
        <f>IFERROR(LOOKUP($C176,#REF!,#REF!),0)</f>
        <v>0</v>
      </c>
      <c r="X176" s="36">
        <f>IFERROR(LOOKUP($C176,#REF!,#REF!),0)</f>
        <v>0</v>
      </c>
      <c r="Y176" s="36">
        <f>IFERROR(LOOKUP($C176,#REF!,#REF!),0)</f>
        <v>0</v>
      </c>
    </row>
    <row r="177" spans="1:25" ht="16.5" customHeight="1" x14ac:dyDescent="0.35">
      <c r="A177" s="3" t="s">
        <v>14</v>
      </c>
      <c r="B177" s="4">
        <v>102</v>
      </c>
      <c r="C177" s="5">
        <v>61014</v>
      </c>
      <c r="D177" s="3" t="s">
        <v>166</v>
      </c>
      <c r="E177" s="6">
        <v>5.99</v>
      </c>
      <c r="F177" s="16">
        <v>3.1</v>
      </c>
      <c r="G177" s="49">
        <v>0</v>
      </c>
      <c r="H177" s="50">
        <f t="shared" si="8"/>
        <v>0</v>
      </c>
      <c r="I177" s="50">
        <f t="shared" si="9"/>
        <v>0</v>
      </c>
      <c r="J177" s="50">
        <f t="shared" si="10"/>
        <v>0</v>
      </c>
      <c r="K177" s="51">
        <f t="shared" si="11"/>
        <v>0</v>
      </c>
      <c r="L177" s="36"/>
      <c r="M177" s="11">
        <v>319.5</v>
      </c>
      <c r="N177" s="11">
        <v>277.82608695652175</v>
      </c>
      <c r="O177" s="11">
        <v>198.08</v>
      </c>
      <c r="P177" s="8">
        <v>32</v>
      </c>
      <c r="Q177" s="11">
        <v>79.746086956521737</v>
      </c>
      <c r="R177" s="11">
        <v>9.984375</v>
      </c>
      <c r="S177" s="11">
        <v>8.6820652173913047</v>
      </c>
      <c r="T177" s="11">
        <v>6.19</v>
      </c>
      <c r="U177" s="14">
        <v>28.703599374021909</v>
      </c>
      <c r="V177" s="36">
        <f>IFERROR(LOOKUP($C177,#REF!,#REF!),0)</f>
        <v>0</v>
      </c>
      <c r="W177" s="36">
        <f>IFERROR(LOOKUP($C177,#REF!,#REF!),0)</f>
        <v>0</v>
      </c>
      <c r="X177" s="36">
        <f>IFERROR(LOOKUP($C177,#REF!,#REF!),0)</f>
        <v>0</v>
      </c>
      <c r="Y177" s="36">
        <f>IFERROR(LOOKUP($C177,#REF!,#REF!),0)</f>
        <v>0</v>
      </c>
    </row>
    <row r="178" spans="1:25" ht="16.5" customHeight="1" x14ac:dyDescent="0.35">
      <c r="A178" s="3" t="s">
        <v>14</v>
      </c>
      <c r="B178" s="4">
        <v>101</v>
      </c>
      <c r="C178" s="5">
        <v>61018</v>
      </c>
      <c r="D178" s="3" t="s">
        <v>80</v>
      </c>
      <c r="E178" s="6">
        <v>4</v>
      </c>
      <c r="F178" s="16">
        <v>2.2599999999999998</v>
      </c>
      <c r="G178" s="49">
        <v>0</v>
      </c>
      <c r="H178" s="50">
        <f t="shared" si="8"/>
        <v>0</v>
      </c>
      <c r="I178" s="50">
        <f t="shared" si="9"/>
        <v>0</v>
      </c>
      <c r="J178" s="50">
        <f t="shared" si="10"/>
        <v>0</v>
      </c>
      <c r="K178" s="51">
        <f t="shared" si="11"/>
        <v>0</v>
      </c>
      <c r="L178" s="36"/>
      <c r="M178" s="11">
        <v>312</v>
      </c>
      <c r="N178" s="11">
        <v>271.30434782608694</v>
      </c>
      <c r="O178" s="11">
        <v>163.82999999999998</v>
      </c>
      <c r="P178" s="8">
        <v>127</v>
      </c>
      <c r="Q178" s="11">
        <v>107.47434782608696</v>
      </c>
      <c r="R178" s="11">
        <v>2.4566929133858268</v>
      </c>
      <c r="S178" s="11">
        <v>2.1362547072920233</v>
      </c>
      <c r="T178" s="11">
        <v>1.2899999999999998</v>
      </c>
      <c r="U178" s="14">
        <v>39.613942307692305</v>
      </c>
      <c r="V178" s="36">
        <f>IFERROR(LOOKUP($C178,#REF!,#REF!),0)</f>
        <v>0</v>
      </c>
      <c r="W178" s="36">
        <f>IFERROR(LOOKUP($C178,#REF!,#REF!),0)</f>
        <v>0</v>
      </c>
      <c r="X178" s="36">
        <f>IFERROR(LOOKUP($C178,#REF!,#REF!),0)</f>
        <v>0</v>
      </c>
      <c r="Y178" s="36">
        <f>IFERROR(LOOKUP($C178,#REF!,#REF!),0)</f>
        <v>0</v>
      </c>
    </row>
    <row r="179" spans="1:25" ht="16.5" customHeight="1" x14ac:dyDescent="0.35">
      <c r="A179" s="3" t="s">
        <v>14</v>
      </c>
      <c r="B179" s="4">
        <v>117</v>
      </c>
      <c r="C179" s="5">
        <v>61814</v>
      </c>
      <c r="D179" s="3" t="s">
        <v>251</v>
      </c>
      <c r="E179" s="6">
        <v>10</v>
      </c>
      <c r="F179" s="16">
        <v>3.39</v>
      </c>
      <c r="G179" s="49">
        <v>0</v>
      </c>
      <c r="H179" s="50">
        <f t="shared" si="8"/>
        <v>0</v>
      </c>
      <c r="I179" s="50">
        <f t="shared" si="9"/>
        <v>0</v>
      </c>
      <c r="J179" s="50">
        <f t="shared" si="10"/>
        <v>0</v>
      </c>
      <c r="K179" s="51">
        <f t="shared" si="11"/>
        <v>0</v>
      </c>
      <c r="L179" s="36"/>
      <c r="M179" s="11">
        <v>299.89999999999998</v>
      </c>
      <c r="N179" s="11">
        <v>260.78260869565219</v>
      </c>
      <c r="O179" s="11">
        <v>218.3</v>
      </c>
      <c r="P179" s="8">
        <v>10</v>
      </c>
      <c r="Q179" s="11">
        <v>42.482608695652175</v>
      </c>
      <c r="R179" s="11">
        <v>29.99</v>
      </c>
      <c r="S179" s="11">
        <v>26.07826086956522</v>
      </c>
      <c r="T179" s="11">
        <v>21.830000000000002</v>
      </c>
      <c r="U179" s="14">
        <v>16.290430143381126</v>
      </c>
      <c r="V179" s="36">
        <f>IFERROR(LOOKUP($C179,#REF!,#REF!),0)</f>
        <v>0</v>
      </c>
      <c r="W179" s="36">
        <f>IFERROR(LOOKUP($C179,#REF!,#REF!),0)</f>
        <v>0</v>
      </c>
      <c r="X179" s="36">
        <f>IFERROR(LOOKUP($C179,#REF!,#REF!),0)</f>
        <v>0</v>
      </c>
      <c r="Y179" s="36">
        <f>IFERROR(LOOKUP($C179,#REF!,#REF!),0)</f>
        <v>0</v>
      </c>
    </row>
    <row r="180" spans="1:25" ht="16.5" customHeight="1" x14ac:dyDescent="0.35">
      <c r="A180" s="3" t="s">
        <v>14</v>
      </c>
      <c r="B180" s="4">
        <v>102</v>
      </c>
      <c r="C180" s="5">
        <v>61937</v>
      </c>
      <c r="D180" s="17" t="s">
        <v>119</v>
      </c>
      <c r="E180" s="16">
        <v>10</v>
      </c>
      <c r="F180" s="16">
        <v>2.67</v>
      </c>
      <c r="G180" s="49">
        <v>10</v>
      </c>
      <c r="H180" s="50">
        <f t="shared" si="8"/>
        <v>100</v>
      </c>
      <c r="I180" s="50">
        <f t="shared" si="9"/>
        <v>26.7</v>
      </c>
      <c r="J180" s="50">
        <f t="shared" si="10"/>
        <v>73.3</v>
      </c>
      <c r="K180" s="51">
        <f t="shared" si="11"/>
        <v>73.3</v>
      </c>
      <c r="L180" s="36"/>
      <c r="M180" s="11">
        <v>296.65000000000003</v>
      </c>
      <c r="N180" s="11">
        <v>257.95652173913044</v>
      </c>
      <c r="O180" s="11">
        <v>152.99180000000001</v>
      </c>
      <c r="P180" s="8">
        <v>4.2380000000000004</v>
      </c>
      <c r="Q180" s="11">
        <v>104.96472173913043</v>
      </c>
      <c r="R180" s="11">
        <v>69.997640396413402</v>
      </c>
      <c r="S180" s="11">
        <v>60.867513388185564</v>
      </c>
      <c r="T180" s="11">
        <v>36.1</v>
      </c>
      <c r="U180" s="14">
        <v>40.69085791336591</v>
      </c>
      <c r="V180" s="36">
        <f>IFERROR(LOOKUP($C180,#REF!,#REF!),0)</f>
        <v>0</v>
      </c>
      <c r="W180" s="36">
        <f>IFERROR(LOOKUP($C180,#REF!,#REF!),0)</f>
        <v>0</v>
      </c>
      <c r="X180" s="36">
        <f>IFERROR(LOOKUP($C180,#REF!,#REF!),0)</f>
        <v>0</v>
      </c>
      <c r="Y180" s="36">
        <f>IFERROR(LOOKUP($C180,#REF!,#REF!),0)</f>
        <v>0</v>
      </c>
    </row>
    <row r="181" spans="1:25" ht="16.5" customHeight="1" x14ac:dyDescent="0.35">
      <c r="A181" s="3" t="s">
        <v>14</v>
      </c>
      <c r="B181" s="4">
        <v>102</v>
      </c>
      <c r="C181" s="5">
        <v>61938</v>
      </c>
      <c r="D181" s="3" t="s">
        <v>121</v>
      </c>
      <c r="E181" s="6">
        <v>10</v>
      </c>
      <c r="F181" s="16">
        <v>3.43</v>
      </c>
      <c r="G181" s="49">
        <v>12</v>
      </c>
      <c r="H181" s="50">
        <f t="shared" si="8"/>
        <v>120</v>
      </c>
      <c r="I181" s="50">
        <f t="shared" si="9"/>
        <v>41.160000000000004</v>
      </c>
      <c r="J181" s="50">
        <f t="shared" si="10"/>
        <v>78.84</v>
      </c>
      <c r="K181" s="51">
        <f t="shared" si="11"/>
        <v>65.7</v>
      </c>
      <c r="L181" s="36"/>
      <c r="M181" s="11">
        <v>295.13</v>
      </c>
      <c r="N181" s="11">
        <v>256.63478260869567</v>
      </c>
      <c r="O181" s="11">
        <v>152.80200000000002</v>
      </c>
      <c r="P181" s="8">
        <v>2.6120000000000001</v>
      </c>
      <c r="Q181" s="11">
        <v>103.83278260869565</v>
      </c>
      <c r="R181" s="11">
        <v>112.99004594180704</v>
      </c>
      <c r="S181" s="11">
        <v>98.252213862440911</v>
      </c>
      <c r="T181" s="11">
        <v>58.500000000000007</v>
      </c>
      <c r="U181" s="14">
        <v>40.45935689357232</v>
      </c>
      <c r="V181" s="36">
        <f>IFERROR(LOOKUP($C181,#REF!,#REF!),0)</f>
        <v>0</v>
      </c>
      <c r="W181" s="36">
        <f>IFERROR(LOOKUP($C181,#REF!,#REF!),0)</f>
        <v>0</v>
      </c>
      <c r="X181" s="36">
        <f>IFERROR(LOOKUP($C181,#REF!,#REF!),0)</f>
        <v>0</v>
      </c>
      <c r="Y181" s="36">
        <f>IFERROR(LOOKUP($C181,#REF!,#REF!),0)</f>
        <v>0</v>
      </c>
    </row>
    <row r="182" spans="1:25" ht="16.5" customHeight="1" x14ac:dyDescent="0.35">
      <c r="A182" s="3" t="s">
        <v>14</v>
      </c>
      <c r="B182" s="4">
        <v>102</v>
      </c>
      <c r="C182" s="5">
        <v>61939</v>
      </c>
      <c r="D182" s="3" t="s">
        <v>98</v>
      </c>
      <c r="E182" s="6">
        <v>10</v>
      </c>
      <c r="F182" s="16">
        <v>5.09</v>
      </c>
      <c r="G182" s="49">
        <v>24</v>
      </c>
      <c r="H182" s="50">
        <f t="shared" si="8"/>
        <v>240</v>
      </c>
      <c r="I182" s="50">
        <f t="shared" si="9"/>
        <v>122.16</v>
      </c>
      <c r="J182" s="50">
        <f t="shared" si="10"/>
        <v>117.84</v>
      </c>
      <c r="K182" s="51">
        <f t="shared" si="11"/>
        <v>49.1</v>
      </c>
      <c r="L182" s="36"/>
      <c r="M182" s="11">
        <v>293.51</v>
      </c>
      <c r="N182" s="11">
        <v>255.22608695652173</v>
      </c>
      <c r="O182" s="11">
        <v>151.9</v>
      </c>
      <c r="P182" s="8">
        <v>49</v>
      </c>
      <c r="Q182" s="11">
        <v>103.32608695652172</v>
      </c>
      <c r="R182" s="11">
        <v>5.99</v>
      </c>
      <c r="S182" s="11">
        <v>5.2086956521739127</v>
      </c>
      <c r="T182" s="11">
        <v>3.1</v>
      </c>
      <c r="U182" s="14">
        <v>40.484140233722869</v>
      </c>
      <c r="V182" s="36">
        <f>IFERROR(LOOKUP($C182,#REF!,#REF!),0)</f>
        <v>0</v>
      </c>
      <c r="W182" s="36">
        <f>IFERROR(LOOKUP($C182,#REF!,#REF!),0)</f>
        <v>0</v>
      </c>
      <c r="X182" s="36">
        <f>IFERROR(LOOKUP($C182,#REF!,#REF!),0)</f>
        <v>0</v>
      </c>
      <c r="Y182" s="36">
        <f>IFERROR(LOOKUP($C182,#REF!,#REF!),0)</f>
        <v>0</v>
      </c>
    </row>
    <row r="183" spans="1:25" ht="16.5" customHeight="1" x14ac:dyDescent="0.35">
      <c r="A183" s="3" t="s">
        <v>14</v>
      </c>
      <c r="B183" s="4">
        <v>102</v>
      </c>
      <c r="C183" s="5">
        <v>61940</v>
      </c>
      <c r="D183" s="3" t="s">
        <v>114</v>
      </c>
      <c r="E183" s="6">
        <v>10</v>
      </c>
      <c r="F183" s="16">
        <v>3.28</v>
      </c>
      <c r="G183" s="49">
        <v>0</v>
      </c>
      <c r="H183" s="50">
        <f t="shared" si="8"/>
        <v>0</v>
      </c>
      <c r="I183" s="50">
        <f t="shared" si="9"/>
        <v>0</v>
      </c>
      <c r="J183" s="50">
        <f t="shared" si="10"/>
        <v>0</v>
      </c>
      <c r="K183" s="51">
        <f t="shared" si="11"/>
        <v>0</v>
      </c>
      <c r="L183" s="36"/>
      <c r="M183" s="11">
        <v>287.76</v>
      </c>
      <c r="N183" s="11">
        <v>250.22608695652173</v>
      </c>
      <c r="O183" s="11">
        <v>165</v>
      </c>
      <c r="P183" s="8">
        <v>33</v>
      </c>
      <c r="Q183" s="11">
        <v>85.226086956521726</v>
      </c>
      <c r="R183" s="11">
        <v>8.7199999999999989</v>
      </c>
      <c r="S183" s="11">
        <v>7.5826086956521737</v>
      </c>
      <c r="T183" s="11">
        <v>5</v>
      </c>
      <c r="U183" s="14">
        <v>34.059633027522935</v>
      </c>
      <c r="V183" s="36">
        <f>IFERROR(LOOKUP($C183,#REF!,#REF!),0)</f>
        <v>0</v>
      </c>
      <c r="W183" s="36">
        <f>IFERROR(LOOKUP($C183,#REF!,#REF!),0)</f>
        <v>0</v>
      </c>
      <c r="X183" s="36">
        <f>IFERROR(LOOKUP($C183,#REF!,#REF!),0)</f>
        <v>0</v>
      </c>
      <c r="Y183" s="36">
        <f>IFERROR(LOOKUP($C183,#REF!,#REF!),0)</f>
        <v>0</v>
      </c>
    </row>
    <row r="184" spans="1:25" ht="16.5" customHeight="1" x14ac:dyDescent="0.35">
      <c r="A184" s="3" t="s">
        <v>14</v>
      </c>
      <c r="B184" s="4">
        <v>102</v>
      </c>
      <c r="C184" s="5">
        <v>61941</v>
      </c>
      <c r="D184" s="3" t="s">
        <v>140</v>
      </c>
      <c r="E184" s="6">
        <v>10</v>
      </c>
      <c r="F184" s="16">
        <v>3.4432999999999998</v>
      </c>
      <c r="G184" s="49">
        <v>0</v>
      </c>
      <c r="H184" s="50">
        <f t="shared" si="8"/>
        <v>0</v>
      </c>
      <c r="I184" s="50">
        <f t="shared" si="9"/>
        <v>0</v>
      </c>
      <c r="J184" s="50">
        <f t="shared" si="10"/>
        <v>0</v>
      </c>
      <c r="K184" s="51">
        <f t="shared" si="11"/>
        <v>0</v>
      </c>
      <c r="L184" s="36"/>
      <c r="M184" s="11">
        <v>285.78000000000003</v>
      </c>
      <c r="N184" s="11">
        <v>248.50434782608696</v>
      </c>
      <c r="O184" s="11">
        <v>151.35999999999999</v>
      </c>
      <c r="P184" s="8">
        <v>22</v>
      </c>
      <c r="Q184" s="11">
        <v>97.144347826086971</v>
      </c>
      <c r="R184" s="11">
        <v>12.990000000000002</v>
      </c>
      <c r="S184" s="11">
        <v>11.295652173913043</v>
      </c>
      <c r="T184" s="11">
        <v>6.879999999999999</v>
      </c>
      <c r="U184" s="14">
        <v>39.091608929946119</v>
      </c>
      <c r="V184" s="36">
        <f>IFERROR(LOOKUP($C184,#REF!,#REF!),0)</f>
        <v>0</v>
      </c>
      <c r="W184" s="36">
        <f>IFERROR(LOOKUP($C184,#REF!,#REF!),0)</f>
        <v>0</v>
      </c>
      <c r="X184" s="36">
        <f>IFERROR(LOOKUP($C184,#REF!,#REF!),0)</f>
        <v>0</v>
      </c>
      <c r="Y184" s="36">
        <f>IFERROR(LOOKUP($C184,#REF!,#REF!),0)</f>
        <v>0</v>
      </c>
    </row>
    <row r="185" spans="1:25" ht="16.5" customHeight="1" x14ac:dyDescent="0.35">
      <c r="A185" s="3" t="s">
        <v>14</v>
      </c>
      <c r="B185" s="4">
        <v>102</v>
      </c>
      <c r="C185" s="5">
        <v>61942</v>
      </c>
      <c r="D185" s="3" t="s">
        <v>120</v>
      </c>
      <c r="E185" s="6">
        <v>10</v>
      </c>
      <c r="F185" s="16">
        <v>3.73</v>
      </c>
      <c r="G185" s="49">
        <v>0</v>
      </c>
      <c r="H185" s="50">
        <f t="shared" si="8"/>
        <v>0</v>
      </c>
      <c r="I185" s="50">
        <f t="shared" si="9"/>
        <v>0</v>
      </c>
      <c r="J185" s="50">
        <f t="shared" si="10"/>
        <v>0</v>
      </c>
      <c r="K185" s="51">
        <f t="shared" si="11"/>
        <v>0</v>
      </c>
      <c r="L185" s="36"/>
      <c r="M185" s="11">
        <v>285</v>
      </c>
      <c r="N185" s="11">
        <v>247.82608695652172</v>
      </c>
      <c r="O185" s="11">
        <v>156.91999999999999</v>
      </c>
      <c r="P185" s="8">
        <v>12</v>
      </c>
      <c r="Q185" s="11">
        <v>90.906086956521733</v>
      </c>
      <c r="R185" s="11">
        <v>23.75</v>
      </c>
      <c r="S185" s="11">
        <v>20.652173913043477</v>
      </c>
      <c r="T185" s="11">
        <v>13.076666666666666</v>
      </c>
      <c r="U185" s="14">
        <v>36.681403508771929</v>
      </c>
      <c r="V185" s="36">
        <f>IFERROR(LOOKUP($C185,#REF!,#REF!),0)</f>
        <v>0</v>
      </c>
      <c r="W185" s="36">
        <f>IFERROR(LOOKUP($C185,#REF!,#REF!),0)</f>
        <v>0</v>
      </c>
      <c r="X185" s="36">
        <f>IFERROR(LOOKUP($C185,#REF!,#REF!),0)</f>
        <v>0</v>
      </c>
      <c r="Y185" s="36">
        <f>IFERROR(LOOKUP($C185,#REF!,#REF!),0)</f>
        <v>0</v>
      </c>
    </row>
    <row r="186" spans="1:25" ht="16.5" customHeight="1" x14ac:dyDescent="0.35">
      <c r="A186" s="3" t="s">
        <v>14</v>
      </c>
      <c r="B186" s="4">
        <v>102</v>
      </c>
      <c r="C186" s="5">
        <v>61943</v>
      </c>
      <c r="D186" s="3" t="s">
        <v>151</v>
      </c>
      <c r="E186" s="6">
        <v>10</v>
      </c>
      <c r="F186" s="16">
        <v>3.71</v>
      </c>
      <c r="G186" s="49">
        <v>0</v>
      </c>
      <c r="H186" s="50">
        <f t="shared" si="8"/>
        <v>0</v>
      </c>
      <c r="I186" s="50">
        <f t="shared" si="9"/>
        <v>0</v>
      </c>
      <c r="J186" s="50">
        <f t="shared" si="10"/>
        <v>0</v>
      </c>
      <c r="K186" s="51">
        <f t="shared" si="11"/>
        <v>0</v>
      </c>
      <c r="L186" s="36"/>
      <c r="M186" s="11">
        <v>279.95999999999998</v>
      </c>
      <c r="N186" s="11">
        <v>243.44347826086954</v>
      </c>
      <c r="O186" s="11">
        <v>149.52000000000001</v>
      </c>
      <c r="P186" s="8">
        <v>4</v>
      </c>
      <c r="Q186" s="11">
        <v>93.923478260869558</v>
      </c>
      <c r="R186" s="11">
        <v>69.989999999999995</v>
      </c>
      <c r="S186" s="11">
        <v>60.860869565217385</v>
      </c>
      <c r="T186" s="11">
        <v>37.380000000000003</v>
      </c>
      <c r="U186" s="14">
        <v>38.581225889412771</v>
      </c>
      <c r="V186" s="36">
        <f>IFERROR(LOOKUP($C186,#REF!,#REF!),0)</f>
        <v>0</v>
      </c>
      <c r="W186" s="36">
        <f>IFERROR(LOOKUP($C186,#REF!,#REF!),0)</f>
        <v>0</v>
      </c>
      <c r="X186" s="36">
        <f>IFERROR(LOOKUP($C186,#REF!,#REF!),0)</f>
        <v>0</v>
      </c>
      <c r="Y186" s="36">
        <f>IFERROR(LOOKUP($C186,#REF!,#REF!),0)</f>
        <v>0</v>
      </c>
    </row>
    <row r="187" spans="1:25" ht="16.5" customHeight="1" x14ac:dyDescent="0.35">
      <c r="A187" s="3" t="s">
        <v>14</v>
      </c>
      <c r="B187" s="4">
        <v>101</v>
      </c>
      <c r="C187" s="5">
        <v>61947</v>
      </c>
      <c r="D187" s="3" t="s">
        <v>41</v>
      </c>
      <c r="E187" s="6">
        <v>28.99</v>
      </c>
      <c r="F187" s="16">
        <v>8.93</v>
      </c>
      <c r="G187" s="49">
        <v>8</v>
      </c>
      <c r="H187" s="50">
        <f t="shared" si="8"/>
        <v>231.92</v>
      </c>
      <c r="I187" s="50">
        <f t="shared" si="9"/>
        <v>71.44</v>
      </c>
      <c r="J187" s="50">
        <f t="shared" si="10"/>
        <v>160.47999999999999</v>
      </c>
      <c r="K187" s="51">
        <f t="shared" si="11"/>
        <v>69.196274577440491</v>
      </c>
      <c r="L187" s="36"/>
      <c r="M187" s="11">
        <v>271.03000000000003</v>
      </c>
      <c r="N187" s="11">
        <v>235.67826086956524</v>
      </c>
      <c r="O187" s="11">
        <v>141.27000000000001</v>
      </c>
      <c r="P187" s="8">
        <v>17</v>
      </c>
      <c r="Q187" s="11">
        <v>94.408260869565225</v>
      </c>
      <c r="R187" s="11">
        <v>15.94294117647059</v>
      </c>
      <c r="S187" s="11">
        <v>13.863427109974426</v>
      </c>
      <c r="T187" s="11">
        <v>8.31</v>
      </c>
      <c r="U187" s="14">
        <v>40.058111648157031</v>
      </c>
      <c r="V187" s="36">
        <f>IFERROR(LOOKUP($C187,#REF!,#REF!),0)</f>
        <v>0</v>
      </c>
      <c r="W187" s="36">
        <f>IFERROR(LOOKUP($C187,#REF!,#REF!),0)</f>
        <v>0</v>
      </c>
      <c r="X187" s="36">
        <f>IFERROR(LOOKUP($C187,#REF!,#REF!),0)</f>
        <v>0</v>
      </c>
      <c r="Y187" s="36">
        <f>IFERROR(LOOKUP($C187,#REF!,#REF!),0)</f>
        <v>0</v>
      </c>
    </row>
    <row r="188" spans="1:25" ht="16.5" customHeight="1" x14ac:dyDescent="0.35">
      <c r="A188" s="3" t="s">
        <v>14</v>
      </c>
      <c r="B188" s="4">
        <v>101</v>
      </c>
      <c r="C188" s="5">
        <v>61949</v>
      </c>
      <c r="D188" s="3" t="s">
        <v>82</v>
      </c>
      <c r="E188" s="6">
        <v>10</v>
      </c>
      <c r="F188" s="16">
        <v>6.28</v>
      </c>
      <c r="G188" s="49">
        <v>0</v>
      </c>
      <c r="H188" s="50">
        <f t="shared" si="8"/>
        <v>0</v>
      </c>
      <c r="I188" s="50">
        <f t="shared" si="9"/>
        <v>0</v>
      </c>
      <c r="J188" s="50">
        <f t="shared" si="10"/>
        <v>0</v>
      </c>
      <c r="K188" s="51">
        <f t="shared" si="11"/>
        <v>0</v>
      </c>
      <c r="L188" s="36"/>
      <c r="M188" s="11">
        <v>270</v>
      </c>
      <c r="N188" s="11">
        <v>234.78260869565219</v>
      </c>
      <c r="O188" s="11">
        <v>239.76</v>
      </c>
      <c r="P188" s="8">
        <v>9</v>
      </c>
      <c r="Q188" s="11">
        <v>-4.9773913043478046</v>
      </c>
      <c r="R188" s="11">
        <v>30</v>
      </c>
      <c r="S188" s="11">
        <v>26.086956521739133</v>
      </c>
      <c r="T188" s="11">
        <v>26.64</v>
      </c>
      <c r="U188" s="14">
        <v>-2.1199999999999908</v>
      </c>
      <c r="V188" s="36">
        <f>IFERROR(LOOKUP($C188,#REF!,#REF!),0)</f>
        <v>0</v>
      </c>
      <c r="W188" s="36">
        <f>IFERROR(LOOKUP($C188,#REF!,#REF!),0)</f>
        <v>0</v>
      </c>
      <c r="X188" s="36">
        <f>IFERROR(LOOKUP($C188,#REF!,#REF!),0)</f>
        <v>0</v>
      </c>
      <c r="Y188" s="36">
        <f>IFERROR(LOOKUP($C188,#REF!,#REF!),0)</f>
        <v>0</v>
      </c>
    </row>
    <row r="189" spans="1:25" ht="16.5" customHeight="1" x14ac:dyDescent="0.35">
      <c r="A189" s="3" t="s">
        <v>14</v>
      </c>
      <c r="B189" s="4">
        <v>101</v>
      </c>
      <c r="C189" s="5">
        <v>61950</v>
      </c>
      <c r="D189" s="3" t="s">
        <v>70</v>
      </c>
      <c r="E189" s="6">
        <v>10</v>
      </c>
      <c r="F189" s="16">
        <v>6.19</v>
      </c>
      <c r="G189" s="49">
        <v>0</v>
      </c>
      <c r="H189" s="50">
        <f t="shared" si="8"/>
        <v>0</v>
      </c>
      <c r="I189" s="50">
        <f t="shared" si="9"/>
        <v>0</v>
      </c>
      <c r="J189" s="50">
        <f t="shared" si="10"/>
        <v>0</v>
      </c>
      <c r="K189" s="51">
        <f t="shared" si="11"/>
        <v>0</v>
      </c>
      <c r="L189" s="36"/>
      <c r="M189" s="11">
        <v>269.90999999999997</v>
      </c>
      <c r="N189" s="11">
        <v>234.70434782608692</v>
      </c>
      <c r="O189" s="11">
        <v>260.55</v>
      </c>
      <c r="P189" s="8">
        <v>9</v>
      </c>
      <c r="Q189" s="11">
        <v>-25.845652173913066</v>
      </c>
      <c r="R189" s="11">
        <v>29.989999999999995</v>
      </c>
      <c r="S189" s="11">
        <v>26.078260869565213</v>
      </c>
      <c r="T189" s="11">
        <v>28.950000000000003</v>
      </c>
      <c r="U189" s="14">
        <v>-11.012004001333789</v>
      </c>
      <c r="V189" s="36">
        <f>IFERROR(LOOKUP($C189,#REF!,#REF!),0)</f>
        <v>0</v>
      </c>
      <c r="W189" s="36">
        <f>IFERROR(LOOKUP($C189,#REF!,#REF!),0)</f>
        <v>0</v>
      </c>
      <c r="X189" s="36">
        <f>IFERROR(LOOKUP($C189,#REF!,#REF!),0)</f>
        <v>0</v>
      </c>
      <c r="Y189" s="36">
        <f>IFERROR(LOOKUP($C189,#REF!,#REF!),0)</f>
        <v>0</v>
      </c>
    </row>
    <row r="190" spans="1:25" ht="16.5" customHeight="1" x14ac:dyDescent="0.35">
      <c r="A190" s="3" t="s">
        <v>14</v>
      </c>
      <c r="B190" s="4">
        <v>112</v>
      </c>
      <c r="C190" s="5">
        <v>61978</v>
      </c>
      <c r="D190" s="3" t="s">
        <v>248</v>
      </c>
      <c r="E190" s="6">
        <v>199.99</v>
      </c>
      <c r="F190" s="16">
        <v>126.16</v>
      </c>
      <c r="G190" s="49">
        <v>0</v>
      </c>
      <c r="H190" s="50">
        <f t="shared" si="8"/>
        <v>0</v>
      </c>
      <c r="I190" s="50">
        <f t="shared" si="9"/>
        <v>0</v>
      </c>
      <c r="J190" s="50">
        <f t="shared" si="10"/>
        <v>0</v>
      </c>
      <c r="K190" s="51">
        <f t="shared" si="11"/>
        <v>0</v>
      </c>
      <c r="L190" s="36"/>
      <c r="M190" s="11">
        <v>259.89999999999998</v>
      </c>
      <c r="N190" s="11">
        <v>225.99999999999997</v>
      </c>
      <c r="O190" s="11">
        <v>131.9</v>
      </c>
      <c r="P190" s="8">
        <v>10</v>
      </c>
      <c r="Q190" s="11">
        <v>94.099999999999966</v>
      </c>
      <c r="R190" s="11">
        <v>25.99</v>
      </c>
      <c r="S190" s="11">
        <v>22.599999999999998</v>
      </c>
      <c r="T190" s="11">
        <v>13.190000000000001</v>
      </c>
      <c r="U190" s="14">
        <v>41.637168141592909</v>
      </c>
      <c r="V190" s="36">
        <f>IFERROR(LOOKUP($C190,#REF!,#REF!),0)</f>
        <v>0</v>
      </c>
      <c r="W190" s="36">
        <f>IFERROR(LOOKUP($C190,#REF!,#REF!),0)</f>
        <v>0</v>
      </c>
      <c r="X190" s="36">
        <f>IFERROR(LOOKUP($C190,#REF!,#REF!),0)</f>
        <v>0</v>
      </c>
      <c r="Y190" s="36">
        <f>IFERROR(LOOKUP($C190,#REF!,#REF!),0)</f>
        <v>0</v>
      </c>
    </row>
    <row r="191" spans="1:25" ht="16.5" customHeight="1" x14ac:dyDescent="0.35">
      <c r="A191" s="3" t="s">
        <v>14</v>
      </c>
      <c r="B191" s="4">
        <v>102</v>
      </c>
      <c r="C191" s="5">
        <v>62290</v>
      </c>
      <c r="D191" s="3" t="s">
        <v>148</v>
      </c>
      <c r="E191" s="6">
        <v>10</v>
      </c>
      <c r="F191" s="16">
        <v>3.77</v>
      </c>
      <c r="G191" s="49">
        <v>0</v>
      </c>
      <c r="H191" s="50">
        <f t="shared" si="8"/>
        <v>0</v>
      </c>
      <c r="I191" s="50">
        <f t="shared" si="9"/>
        <v>0</v>
      </c>
      <c r="J191" s="50">
        <f t="shared" si="10"/>
        <v>0</v>
      </c>
      <c r="K191" s="51">
        <f t="shared" si="11"/>
        <v>0</v>
      </c>
      <c r="L191" s="36"/>
      <c r="M191" s="11">
        <v>244.5</v>
      </c>
      <c r="N191" s="11">
        <v>212.60869565217391</v>
      </c>
      <c r="O191" s="11">
        <v>96.17</v>
      </c>
      <c r="P191" s="8">
        <v>163</v>
      </c>
      <c r="Q191" s="11">
        <v>116.43869565217391</v>
      </c>
      <c r="R191" s="11">
        <v>1.5</v>
      </c>
      <c r="S191" s="11">
        <v>1.3043478260869565</v>
      </c>
      <c r="T191" s="11">
        <v>0.59</v>
      </c>
      <c r="U191" s="14">
        <v>54.766666666666666</v>
      </c>
      <c r="V191" s="36">
        <f>IFERROR(LOOKUP($C191,#REF!,#REF!),0)</f>
        <v>0</v>
      </c>
      <c r="W191" s="36">
        <f>IFERROR(LOOKUP($C191,#REF!,#REF!),0)</f>
        <v>0</v>
      </c>
      <c r="X191" s="36">
        <f>IFERROR(LOOKUP($C191,#REF!,#REF!),0)</f>
        <v>0</v>
      </c>
      <c r="Y191" s="36">
        <f>IFERROR(LOOKUP($C191,#REF!,#REF!),0)</f>
        <v>0</v>
      </c>
    </row>
    <row r="192" spans="1:25" ht="16.5" customHeight="1" x14ac:dyDescent="0.35">
      <c r="A192" s="3" t="s">
        <v>14</v>
      </c>
      <c r="B192" s="4">
        <v>101</v>
      </c>
      <c r="C192" s="5">
        <v>62390</v>
      </c>
      <c r="D192" s="3" t="s">
        <v>65</v>
      </c>
      <c r="E192" s="6">
        <v>19.989999999999998</v>
      </c>
      <c r="F192" s="16">
        <v>7.43</v>
      </c>
      <c r="G192" s="49">
        <v>0</v>
      </c>
      <c r="H192" s="50">
        <f t="shared" si="8"/>
        <v>0</v>
      </c>
      <c r="I192" s="50">
        <f t="shared" si="9"/>
        <v>0</v>
      </c>
      <c r="J192" s="50">
        <f t="shared" si="10"/>
        <v>0</v>
      </c>
      <c r="K192" s="51">
        <f t="shared" si="11"/>
        <v>0</v>
      </c>
      <c r="L192" s="36"/>
      <c r="M192" s="11">
        <v>215.64000000000001</v>
      </c>
      <c r="N192" s="11">
        <v>187.5130434782609</v>
      </c>
      <c r="O192" s="11">
        <v>91.08</v>
      </c>
      <c r="P192" s="8">
        <v>36</v>
      </c>
      <c r="Q192" s="11">
        <v>96.433043478260871</v>
      </c>
      <c r="R192" s="11">
        <v>5.99</v>
      </c>
      <c r="S192" s="11">
        <v>5.2086956521739136</v>
      </c>
      <c r="T192" s="11">
        <v>2.5299999999999998</v>
      </c>
      <c r="U192" s="14">
        <v>51.427378964941575</v>
      </c>
      <c r="V192" s="36">
        <f>IFERROR(LOOKUP($C192,#REF!,#REF!),0)</f>
        <v>0</v>
      </c>
      <c r="W192" s="36">
        <f>IFERROR(LOOKUP($C192,#REF!,#REF!),0)</f>
        <v>0</v>
      </c>
      <c r="X192" s="36">
        <f>IFERROR(LOOKUP($C192,#REF!,#REF!),0)</f>
        <v>0</v>
      </c>
      <c r="Y192" s="36">
        <f>IFERROR(LOOKUP($C192,#REF!,#REF!),0)</f>
        <v>0</v>
      </c>
    </row>
    <row r="193" spans="1:25" ht="16.5" customHeight="1" x14ac:dyDescent="0.35">
      <c r="A193" s="3" t="s">
        <v>14</v>
      </c>
      <c r="B193" s="4">
        <v>119</v>
      </c>
      <c r="C193" s="5">
        <v>62457</v>
      </c>
      <c r="D193" s="3" t="s">
        <v>267</v>
      </c>
      <c r="E193" s="6">
        <v>100</v>
      </c>
      <c r="F193" s="16">
        <v>53.89</v>
      </c>
      <c r="G193" s="49">
        <v>0</v>
      </c>
      <c r="H193" s="50">
        <f t="shared" si="8"/>
        <v>0</v>
      </c>
      <c r="I193" s="50">
        <f t="shared" si="9"/>
        <v>0</v>
      </c>
      <c r="J193" s="50">
        <f t="shared" si="10"/>
        <v>0</v>
      </c>
      <c r="K193" s="51">
        <f t="shared" si="11"/>
        <v>0</v>
      </c>
      <c r="L193" s="36"/>
      <c r="M193" s="11">
        <v>201.39999999999998</v>
      </c>
      <c r="N193" s="11">
        <v>175.13043478260869</v>
      </c>
      <c r="O193" s="11">
        <v>110.10538000000001</v>
      </c>
      <c r="P193" s="8">
        <v>2.0139999999999998</v>
      </c>
      <c r="Q193" s="11">
        <v>65.025054782608677</v>
      </c>
      <c r="R193" s="11">
        <v>99.999999999999972</v>
      </c>
      <c r="S193" s="11">
        <v>86.956521739130423</v>
      </c>
      <c r="T193" s="11">
        <v>54.67</v>
      </c>
      <c r="U193" s="14">
        <v>37.129499999999993</v>
      </c>
      <c r="V193" s="36">
        <f>IFERROR(LOOKUP($C193,#REF!,#REF!),0)</f>
        <v>0</v>
      </c>
      <c r="W193" s="36">
        <f>IFERROR(LOOKUP($C193,#REF!,#REF!),0)</f>
        <v>0</v>
      </c>
      <c r="X193" s="36">
        <f>IFERROR(LOOKUP($C193,#REF!,#REF!),0)</f>
        <v>0</v>
      </c>
      <c r="Y193" s="36">
        <f>IFERROR(LOOKUP($C193,#REF!,#REF!),0)</f>
        <v>0</v>
      </c>
    </row>
    <row r="194" spans="1:25" ht="16.5" customHeight="1" x14ac:dyDescent="0.35">
      <c r="A194" s="3" t="s">
        <v>14</v>
      </c>
      <c r="B194" s="4">
        <v>102</v>
      </c>
      <c r="C194" s="5">
        <v>62499</v>
      </c>
      <c r="D194" s="3" t="s">
        <v>139</v>
      </c>
      <c r="E194" s="6">
        <v>12.99</v>
      </c>
      <c r="F194" s="16">
        <v>6.69</v>
      </c>
      <c r="G194" s="49">
        <v>0</v>
      </c>
      <c r="H194" s="50">
        <f t="shared" si="8"/>
        <v>0</v>
      </c>
      <c r="I194" s="50">
        <f t="shared" si="9"/>
        <v>0</v>
      </c>
      <c r="J194" s="50">
        <f t="shared" si="10"/>
        <v>0</v>
      </c>
      <c r="K194" s="51">
        <f t="shared" si="11"/>
        <v>0</v>
      </c>
      <c r="L194" s="36"/>
      <c r="M194" s="11">
        <v>199.95000000000002</v>
      </c>
      <c r="N194" s="11">
        <v>173.86956521739131</v>
      </c>
      <c r="O194" s="11">
        <v>80.5</v>
      </c>
      <c r="P194" s="8">
        <v>5</v>
      </c>
      <c r="Q194" s="11">
        <v>93.369565217391312</v>
      </c>
      <c r="R194" s="11">
        <v>39.99</v>
      </c>
      <c r="S194" s="11">
        <v>34.77391304347826</v>
      </c>
      <c r="T194" s="11">
        <v>16.100000000000001</v>
      </c>
      <c r="U194" s="14">
        <v>53.700925231307828</v>
      </c>
      <c r="V194" s="36">
        <f>IFERROR(LOOKUP($C194,#REF!,#REF!),0)</f>
        <v>0</v>
      </c>
      <c r="W194" s="36">
        <f>IFERROR(LOOKUP($C194,#REF!,#REF!),0)</f>
        <v>0</v>
      </c>
      <c r="X194" s="36">
        <f>IFERROR(LOOKUP($C194,#REF!,#REF!),0)</f>
        <v>0</v>
      </c>
      <c r="Y194" s="36">
        <f>IFERROR(LOOKUP($C194,#REF!,#REF!),0)</f>
        <v>0</v>
      </c>
    </row>
    <row r="195" spans="1:25" ht="16.5" customHeight="1" x14ac:dyDescent="0.35">
      <c r="A195" s="3" t="s">
        <v>14</v>
      </c>
      <c r="B195" s="4">
        <v>120</v>
      </c>
      <c r="C195" s="5">
        <v>62585</v>
      </c>
      <c r="D195" s="3" t="s">
        <v>278</v>
      </c>
      <c r="E195" s="6">
        <v>60</v>
      </c>
      <c r="F195" s="16">
        <v>26.17</v>
      </c>
      <c r="G195" s="49">
        <v>0</v>
      </c>
      <c r="H195" s="50">
        <f t="shared" si="8"/>
        <v>0</v>
      </c>
      <c r="I195" s="50">
        <f t="shared" si="9"/>
        <v>0</v>
      </c>
      <c r="J195" s="50">
        <f t="shared" si="10"/>
        <v>0</v>
      </c>
      <c r="K195" s="51">
        <f t="shared" si="11"/>
        <v>0</v>
      </c>
      <c r="L195" s="36"/>
      <c r="M195" s="11">
        <v>199.9</v>
      </c>
      <c r="N195" s="11">
        <v>173.82608695652175</v>
      </c>
      <c r="O195" s="11">
        <v>153.9</v>
      </c>
      <c r="P195" s="8">
        <v>10</v>
      </c>
      <c r="Q195" s="11">
        <v>19.926086956521743</v>
      </c>
      <c r="R195" s="11">
        <v>19.990000000000002</v>
      </c>
      <c r="S195" s="11">
        <v>17.382608695652173</v>
      </c>
      <c r="T195" s="11">
        <v>15.39</v>
      </c>
      <c r="U195" s="14">
        <v>11.463231615807906</v>
      </c>
      <c r="V195" s="36">
        <f>IFERROR(LOOKUP($C195,#REF!,#REF!),0)</f>
        <v>0</v>
      </c>
      <c r="W195" s="36">
        <f>IFERROR(LOOKUP($C195,#REF!,#REF!),0)</f>
        <v>0</v>
      </c>
      <c r="X195" s="36">
        <f>IFERROR(LOOKUP($C195,#REF!,#REF!),0)</f>
        <v>0</v>
      </c>
      <c r="Y195" s="36">
        <f>IFERROR(LOOKUP($C195,#REF!,#REF!),0)</f>
        <v>0</v>
      </c>
    </row>
    <row r="196" spans="1:25" ht="16.5" customHeight="1" x14ac:dyDescent="0.35">
      <c r="A196" s="3" t="s">
        <v>14</v>
      </c>
      <c r="B196" s="4">
        <v>109</v>
      </c>
      <c r="C196" s="5">
        <v>62614</v>
      </c>
      <c r="D196" s="3" t="s">
        <v>246</v>
      </c>
      <c r="E196" s="6">
        <v>7.99</v>
      </c>
      <c r="F196" s="16">
        <v>5.54</v>
      </c>
      <c r="G196" s="49">
        <v>0</v>
      </c>
      <c r="H196" s="50">
        <f t="shared" ref="H196:H259" si="12">E196*G196</f>
        <v>0</v>
      </c>
      <c r="I196" s="50">
        <f t="shared" ref="I196:I259" si="13">F196*G196</f>
        <v>0</v>
      </c>
      <c r="J196" s="50">
        <f t="shared" ref="J196:J259" si="14">H196-I196</f>
        <v>0</v>
      </c>
      <c r="K196" s="51">
        <f t="shared" si="11"/>
        <v>0</v>
      </c>
      <c r="L196" s="36"/>
      <c r="M196" s="11">
        <v>197.67</v>
      </c>
      <c r="N196" s="11">
        <v>171.88695652173914</v>
      </c>
      <c r="O196" s="11">
        <v>102.30000000000001</v>
      </c>
      <c r="P196" s="8">
        <v>33</v>
      </c>
      <c r="Q196" s="11">
        <v>69.586956521739097</v>
      </c>
      <c r="R196" s="11">
        <v>5.9899999999999993</v>
      </c>
      <c r="S196" s="11">
        <v>5.2086956521739136</v>
      </c>
      <c r="T196" s="11">
        <v>3.1000000000000005</v>
      </c>
      <c r="U196" s="14">
        <v>40.484140233722862</v>
      </c>
      <c r="V196" s="36">
        <f>IFERROR(LOOKUP($C196,#REF!,#REF!),0)</f>
        <v>0</v>
      </c>
      <c r="W196" s="36">
        <f>IFERROR(LOOKUP($C196,#REF!,#REF!),0)</f>
        <v>0</v>
      </c>
      <c r="X196" s="36">
        <f>IFERROR(LOOKUP($C196,#REF!,#REF!),0)</f>
        <v>0</v>
      </c>
      <c r="Y196" s="36">
        <f>IFERROR(LOOKUP($C196,#REF!,#REF!),0)</f>
        <v>0</v>
      </c>
    </row>
    <row r="197" spans="1:25" ht="16.5" customHeight="1" x14ac:dyDescent="0.35">
      <c r="A197" s="3" t="s">
        <v>14</v>
      </c>
      <c r="B197" s="4">
        <v>119</v>
      </c>
      <c r="C197" s="5">
        <v>62620</v>
      </c>
      <c r="D197" s="3" t="s">
        <v>265</v>
      </c>
      <c r="E197" s="6">
        <v>65.989999999999995</v>
      </c>
      <c r="F197" s="16">
        <v>46.29</v>
      </c>
      <c r="G197" s="49">
        <v>0</v>
      </c>
      <c r="H197" s="50">
        <f t="shared" si="12"/>
        <v>0</v>
      </c>
      <c r="I197" s="50">
        <f t="shared" si="13"/>
        <v>0</v>
      </c>
      <c r="J197" s="50">
        <f t="shared" si="14"/>
        <v>0</v>
      </c>
      <c r="K197" s="51">
        <f t="shared" ref="K197:K260" si="15">IFERROR(J197/H197*100,0)</f>
        <v>0</v>
      </c>
      <c r="L197" s="36"/>
      <c r="M197" s="11">
        <v>186.92000000000002</v>
      </c>
      <c r="N197" s="11">
        <v>162.53913043478263</v>
      </c>
      <c r="O197" s="11">
        <v>101.17701</v>
      </c>
      <c r="P197" s="8">
        <v>14</v>
      </c>
      <c r="Q197" s="11">
        <v>61.362120434782639</v>
      </c>
      <c r="R197" s="11">
        <v>13.351428571428572</v>
      </c>
      <c r="S197" s="11">
        <v>11.609937888198759</v>
      </c>
      <c r="T197" s="11">
        <v>7.2269292857142853</v>
      </c>
      <c r="U197" s="14">
        <v>37.75221404879094</v>
      </c>
      <c r="V197" s="36">
        <f>IFERROR(LOOKUP($C197,#REF!,#REF!),0)</f>
        <v>0</v>
      </c>
      <c r="W197" s="36">
        <f>IFERROR(LOOKUP($C197,#REF!,#REF!),0)</f>
        <v>0</v>
      </c>
      <c r="X197" s="36">
        <f>IFERROR(LOOKUP($C197,#REF!,#REF!),0)</f>
        <v>0</v>
      </c>
      <c r="Y197" s="36">
        <f>IFERROR(LOOKUP($C197,#REF!,#REF!),0)</f>
        <v>0</v>
      </c>
    </row>
    <row r="198" spans="1:25" ht="16.5" customHeight="1" x14ac:dyDescent="0.35">
      <c r="A198" s="3" t="s">
        <v>14</v>
      </c>
      <c r="B198" s="4">
        <v>101</v>
      </c>
      <c r="C198" s="5">
        <v>62621</v>
      </c>
      <c r="D198" s="3" t="s">
        <v>77</v>
      </c>
      <c r="E198" s="6">
        <v>26.99</v>
      </c>
      <c r="F198" s="16">
        <v>14.15</v>
      </c>
      <c r="G198" s="49">
        <v>0</v>
      </c>
      <c r="H198" s="50">
        <f t="shared" si="12"/>
        <v>0</v>
      </c>
      <c r="I198" s="50">
        <f t="shared" si="13"/>
        <v>0</v>
      </c>
      <c r="J198" s="50">
        <f t="shared" si="14"/>
        <v>0</v>
      </c>
      <c r="K198" s="51">
        <f t="shared" si="15"/>
        <v>0</v>
      </c>
      <c r="L198" s="36"/>
      <c r="M198" s="11">
        <v>163.19999999999999</v>
      </c>
      <c r="N198" s="11">
        <v>141.91304347826087</v>
      </c>
      <c r="O198" s="11">
        <v>82.62</v>
      </c>
      <c r="P198" s="8">
        <v>51</v>
      </c>
      <c r="Q198" s="11">
        <v>59.293043478260842</v>
      </c>
      <c r="R198" s="11">
        <v>3.1999999999999997</v>
      </c>
      <c r="S198" s="11">
        <v>2.7826086956521738</v>
      </c>
      <c r="T198" s="11">
        <v>1.62</v>
      </c>
      <c r="U198" s="14">
        <v>41.781249999999986</v>
      </c>
      <c r="V198" s="36">
        <f>IFERROR(LOOKUP($C198,#REF!,#REF!),0)</f>
        <v>0</v>
      </c>
      <c r="W198" s="36">
        <f>IFERROR(LOOKUP($C198,#REF!,#REF!),0)</f>
        <v>0</v>
      </c>
      <c r="X198" s="36">
        <f>IFERROR(LOOKUP($C198,#REF!,#REF!),0)</f>
        <v>0</v>
      </c>
      <c r="Y198" s="36">
        <f>IFERROR(LOOKUP($C198,#REF!,#REF!),0)</f>
        <v>0</v>
      </c>
    </row>
    <row r="199" spans="1:25" ht="16.5" customHeight="1" x14ac:dyDescent="0.35">
      <c r="A199" s="3" t="s">
        <v>14</v>
      </c>
      <c r="B199" s="4">
        <v>101</v>
      </c>
      <c r="C199" s="5">
        <v>62622</v>
      </c>
      <c r="D199" s="3" t="s">
        <v>68</v>
      </c>
      <c r="E199" s="6">
        <v>26.99</v>
      </c>
      <c r="F199" s="16">
        <v>14.15</v>
      </c>
      <c r="G199" s="49">
        <v>0</v>
      </c>
      <c r="H199" s="50">
        <f t="shared" si="12"/>
        <v>0</v>
      </c>
      <c r="I199" s="50">
        <f t="shared" si="13"/>
        <v>0</v>
      </c>
      <c r="J199" s="50">
        <f t="shared" si="14"/>
        <v>0</v>
      </c>
      <c r="K199" s="51">
        <f t="shared" si="15"/>
        <v>0</v>
      </c>
      <c r="L199" s="36"/>
      <c r="M199" s="11">
        <v>160</v>
      </c>
      <c r="N199" s="11">
        <v>139.13043478260869</v>
      </c>
      <c r="O199" s="11">
        <v>72.88</v>
      </c>
      <c r="P199" s="8">
        <v>1</v>
      </c>
      <c r="Q199" s="11">
        <v>66.250434782608693</v>
      </c>
      <c r="R199" s="11">
        <v>160</v>
      </c>
      <c r="S199" s="11">
        <v>139.13043478260869</v>
      </c>
      <c r="T199" s="11">
        <v>72.88</v>
      </c>
      <c r="U199" s="14">
        <v>47.6175</v>
      </c>
      <c r="V199" s="36">
        <f>IFERROR(LOOKUP($C199,#REF!,#REF!),0)</f>
        <v>0</v>
      </c>
      <c r="W199" s="36">
        <f>IFERROR(LOOKUP($C199,#REF!,#REF!),0)</f>
        <v>0</v>
      </c>
      <c r="X199" s="36">
        <f>IFERROR(LOOKUP($C199,#REF!,#REF!),0)</f>
        <v>0</v>
      </c>
      <c r="Y199" s="36">
        <f>IFERROR(LOOKUP($C199,#REF!,#REF!),0)</f>
        <v>0</v>
      </c>
    </row>
    <row r="200" spans="1:25" ht="16.5" customHeight="1" x14ac:dyDescent="0.35">
      <c r="A200" s="3" t="s">
        <v>14</v>
      </c>
      <c r="B200" s="4">
        <v>102</v>
      </c>
      <c r="C200" s="5">
        <v>62623</v>
      </c>
      <c r="D200" s="3" t="s">
        <v>162</v>
      </c>
      <c r="E200" s="6">
        <v>15.99</v>
      </c>
      <c r="F200" s="16">
        <v>8.31</v>
      </c>
      <c r="G200" s="49">
        <v>0</v>
      </c>
      <c r="H200" s="50">
        <f t="shared" si="12"/>
        <v>0</v>
      </c>
      <c r="I200" s="50">
        <f t="shared" si="13"/>
        <v>0</v>
      </c>
      <c r="J200" s="50">
        <f t="shared" si="14"/>
        <v>0</v>
      </c>
      <c r="K200" s="51">
        <f t="shared" si="15"/>
        <v>0</v>
      </c>
      <c r="L200" s="36"/>
      <c r="M200" s="11">
        <v>159.97999999999999</v>
      </c>
      <c r="N200" s="11">
        <v>139.11304347826086</v>
      </c>
      <c r="O200" s="11">
        <v>89.24</v>
      </c>
      <c r="P200" s="8">
        <v>2</v>
      </c>
      <c r="Q200" s="11">
        <v>49.873043478260868</v>
      </c>
      <c r="R200" s="11">
        <v>79.989999999999995</v>
      </c>
      <c r="S200" s="11">
        <v>69.556521739130432</v>
      </c>
      <c r="T200" s="11">
        <v>44.62</v>
      </c>
      <c r="U200" s="14">
        <v>35.850731341417678</v>
      </c>
      <c r="V200" s="36">
        <f>IFERROR(LOOKUP($C200,#REF!,#REF!),0)</f>
        <v>0</v>
      </c>
      <c r="W200" s="36">
        <f>IFERROR(LOOKUP($C200,#REF!,#REF!),0)</f>
        <v>0</v>
      </c>
      <c r="X200" s="36">
        <f>IFERROR(LOOKUP($C200,#REF!,#REF!),0)</f>
        <v>0</v>
      </c>
      <c r="Y200" s="36">
        <f>IFERROR(LOOKUP($C200,#REF!,#REF!),0)</f>
        <v>0</v>
      </c>
    </row>
    <row r="201" spans="1:25" ht="16.5" customHeight="1" x14ac:dyDescent="0.35">
      <c r="A201" s="3" t="s">
        <v>14</v>
      </c>
      <c r="B201" s="4">
        <v>101</v>
      </c>
      <c r="C201" s="5">
        <v>62627</v>
      </c>
      <c r="D201" s="3" t="s">
        <v>78</v>
      </c>
      <c r="E201" s="6">
        <v>20.99</v>
      </c>
      <c r="F201" s="16">
        <v>12.88</v>
      </c>
      <c r="G201" s="49">
        <v>0</v>
      </c>
      <c r="H201" s="50">
        <f t="shared" si="12"/>
        <v>0</v>
      </c>
      <c r="I201" s="50">
        <f t="shared" si="13"/>
        <v>0</v>
      </c>
      <c r="J201" s="50">
        <f t="shared" si="14"/>
        <v>0</v>
      </c>
      <c r="K201" s="51">
        <f t="shared" si="15"/>
        <v>0</v>
      </c>
      <c r="L201" s="36"/>
      <c r="M201" s="11">
        <v>143.88</v>
      </c>
      <c r="N201" s="11">
        <v>125.11304347826086</v>
      </c>
      <c r="O201" s="11">
        <v>70.44</v>
      </c>
      <c r="P201" s="8">
        <v>12</v>
      </c>
      <c r="Q201" s="11">
        <v>54.673043478260865</v>
      </c>
      <c r="R201" s="11">
        <v>11.99</v>
      </c>
      <c r="S201" s="11">
        <v>10.426086956521738</v>
      </c>
      <c r="T201" s="11">
        <v>5.87</v>
      </c>
      <c r="U201" s="14">
        <v>43.69891576313595</v>
      </c>
      <c r="V201" s="36">
        <f>IFERROR(LOOKUP($C201,#REF!,#REF!),0)</f>
        <v>0</v>
      </c>
      <c r="W201" s="36">
        <f>IFERROR(LOOKUP($C201,#REF!,#REF!),0)</f>
        <v>0</v>
      </c>
      <c r="X201" s="36">
        <f>IFERROR(LOOKUP($C201,#REF!,#REF!),0)</f>
        <v>0</v>
      </c>
      <c r="Y201" s="36">
        <f>IFERROR(LOOKUP($C201,#REF!,#REF!),0)</f>
        <v>0</v>
      </c>
    </row>
    <row r="202" spans="1:25" ht="16.5" customHeight="1" x14ac:dyDescent="0.35">
      <c r="A202" s="3" t="s">
        <v>14</v>
      </c>
      <c r="B202" s="4">
        <v>120</v>
      </c>
      <c r="C202" s="5">
        <v>62629</v>
      </c>
      <c r="D202" s="3" t="s">
        <v>279</v>
      </c>
      <c r="E202" s="6">
        <v>60</v>
      </c>
      <c r="F202" s="16">
        <v>33.18</v>
      </c>
      <c r="G202" s="49">
        <v>0</v>
      </c>
      <c r="H202" s="50">
        <f t="shared" si="12"/>
        <v>0</v>
      </c>
      <c r="I202" s="50">
        <f t="shared" si="13"/>
        <v>0</v>
      </c>
      <c r="J202" s="50">
        <f t="shared" si="14"/>
        <v>0</v>
      </c>
      <c r="K202" s="51">
        <f t="shared" si="15"/>
        <v>0</v>
      </c>
      <c r="L202" s="36"/>
      <c r="M202" s="11">
        <v>134.94999999999999</v>
      </c>
      <c r="N202" s="11">
        <v>117.34782608695652</v>
      </c>
      <c r="O202" s="11">
        <v>70.75</v>
      </c>
      <c r="P202" s="8">
        <v>5</v>
      </c>
      <c r="Q202" s="11">
        <v>46.597826086956502</v>
      </c>
      <c r="R202" s="11">
        <v>26.99</v>
      </c>
      <c r="S202" s="11">
        <v>23.469565217391303</v>
      </c>
      <c r="T202" s="11">
        <v>14.15</v>
      </c>
      <c r="U202" s="14">
        <v>39.709151537606516</v>
      </c>
      <c r="V202" s="36">
        <f>IFERROR(LOOKUP($C202,#REF!,#REF!),0)</f>
        <v>0</v>
      </c>
      <c r="W202" s="36">
        <f>IFERROR(LOOKUP($C202,#REF!,#REF!),0)</f>
        <v>0</v>
      </c>
      <c r="X202" s="36">
        <f>IFERROR(LOOKUP($C202,#REF!,#REF!),0)</f>
        <v>0</v>
      </c>
      <c r="Y202" s="36">
        <f>IFERROR(LOOKUP($C202,#REF!,#REF!),0)</f>
        <v>0</v>
      </c>
    </row>
    <row r="203" spans="1:25" ht="16.5" customHeight="1" x14ac:dyDescent="0.35">
      <c r="A203" s="3" t="s">
        <v>14</v>
      </c>
      <c r="B203" s="4">
        <v>101</v>
      </c>
      <c r="C203" s="5">
        <v>62788</v>
      </c>
      <c r="D203" s="3" t="s">
        <v>45</v>
      </c>
      <c r="E203" s="6">
        <v>26.99</v>
      </c>
      <c r="F203" s="16">
        <v>10.66</v>
      </c>
      <c r="G203" s="49">
        <v>0</v>
      </c>
      <c r="H203" s="50">
        <f t="shared" si="12"/>
        <v>0</v>
      </c>
      <c r="I203" s="50">
        <f t="shared" si="13"/>
        <v>0</v>
      </c>
      <c r="J203" s="50">
        <f t="shared" si="14"/>
        <v>0</v>
      </c>
      <c r="K203" s="51">
        <f t="shared" si="15"/>
        <v>0</v>
      </c>
      <c r="L203" s="36"/>
      <c r="M203" s="11">
        <v>134.91</v>
      </c>
      <c r="N203" s="11">
        <v>117.31304347826087</v>
      </c>
      <c r="O203" s="11">
        <v>69.48</v>
      </c>
      <c r="P203" s="8">
        <v>9</v>
      </c>
      <c r="Q203" s="11">
        <v>47.833043478260848</v>
      </c>
      <c r="R203" s="11">
        <v>14.99</v>
      </c>
      <c r="S203" s="11">
        <v>13.034782608695652</v>
      </c>
      <c r="T203" s="11">
        <v>7.7200000000000006</v>
      </c>
      <c r="U203" s="14">
        <v>40.773849232821867</v>
      </c>
      <c r="V203" s="36">
        <f>IFERROR(LOOKUP($C203,#REF!,#REF!),0)</f>
        <v>0</v>
      </c>
      <c r="W203" s="36">
        <f>IFERROR(LOOKUP($C203,#REF!,#REF!),0)</f>
        <v>0</v>
      </c>
      <c r="X203" s="36">
        <f>IFERROR(LOOKUP($C203,#REF!,#REF!),0)</f>
        <v>0</v>
      </c>
      <c r="Y203" s="36">
        <f>IFERROR(LOOKUP($C203,#REF!,#REF!),0)</f>
        <v>0</v>
      </c>
    </row>
    <row r="204" spans="1:25" ht="16.5" customHeight="1" x14ac:dyDescent="0.35">
      <c r="A204" s="3" t="s">
        <v>14</v>
      </c>
      <c r="B204" s="4">
        <v>102</v>
      </c>
      <c r="C204" s="5">
        <v>63394</v>
      </c>
      <c r="D204" s="3" t="s">
        <v>135</v>
      </c>
      <c r="E204" s="6">
        <v>26.97</v>
      </c>
      <c r="F204" s="16">
        <v>13.68</v>
      </c>
      <c r="G204" s="49">
        <v>0</v>
      </c>
      <c r="H204" s="50">
        <f t="shared" si="12"/>
        <v>0</v>
      </c>
      <c r="I204" s="50">
        <f t="shared" si="13"/>
        <v>0</v>
      </c>
      <c r="J204" s="50">
        <f t="shared" si="14"/>
        <v>0</v>
      </c>
      <c r="K204" s="51">
        <f t="shared" si="15"/>
        <v>0</v>
      </c>
      <c r="L204" s="36"/>
      <c r="M204" s="11">
        <v>124.88999999999999</v>
      </c>
      <c r="N204" s="11">
        <v>108.6</v>
      </c>
      <c r="O204" s="11">
        <v>77.28</v>
      </c>
      <c r="P204" s="8">
        <v>6</v>
      </c>
      <c r="Q204" s="11">
        <v>31.319999999999979</v>
      </c>
      <c r="R204" s="11">
        <v>20.814999999999998</v>
      </c>
      <c r="S204" s="11">
        <v>18.099999999999998</v>
      </c>
      <c r="T204" s="11">
        <v>12.88</v>
      </c>
      <c r="U204" s="14">
        <v>28.839779005524846</v>
      </c>
      <c r="V204" s="36">
        <f>IFERROR(LOOKUP($C204,#REF!,#REF!),0)</f>
        <v>0</v>
      </c>
      <c r="W204" s="36">
        <f>IFERROR(LOOKUP($C204,#REF!,#REF!),0)</f>
        <v>0</v>
      </c>
      <c r="X204" s="36">
        <f>IFERROR(LOOKUP($C204,#REF!,#REF!),0)</f>
        <v>0</v>
      </c>
      <c r="Y204" s="36">
        <f>IFERROR(LOOKUP($C204,#REF!,#REF!),0)</f>
        <v>0</v>
      </c>
    </row>
    <row r="205" spans="1:25" ht="16.5" customHeight="1" x14ac:dyDescent="0.35">
      <c r="A205" s="3" t="s">
        <v>14</v>
      </c>
      <c r="B205" s="4">
        <v>119</v>
      </c>
      <c r="C205" s="5">
        <v>63798</v>
      </c>
      <c r="D205" s="3" t="s">
        <v>272</v>
      </c>
      <c r="E205" s="6">
        <v>79.989999999999995</v>
      </c>
      <c r="F205" s="16">
        <v>42.68</v>
      </c>
      <c r="G205" s="49">
        <v>0</v>
      </c>
      <c r="H205" s="50">
        <f t="shared" si="12"/>
        <v>0</v>
      </c>
      <c r="I205" s="50">
        <f t="shared" si="13"/>
        <v>0</v>
      </c>
      <c r="J205" s="50">
        <f t="shared" si="14"/>
        <v>0</v>
      </c>
      <c r="K205" s="51">
        <f t="shared" si="15"/>
        <v>0</v>
      </c>
      <c r="L205" s="36"/>
      <c r="M205" s="11">
        <v>120</v>
      </c>
      <c r="N205" s="11">
        <v>104.34782608695653</v>
      </c>
      <c r="O205" s="11">
        <v>61.38000000000001</v>
      </c>
      <c r="P205" s="8">
        <v>6</v>
      </c>
      <c r="Q205" s="11">
        <v>42.967826086956507</v>
      </c>
      <c r="R205" s="11">
        <v>20</v>
      </c>
      <c r="S205" s="11">
        <v>17.39130434782609</v>
      </c>
      <c r="T205" s="11">
        <v>10.230000000000002</v>
      </c>
      <c r="U205" s="14">
        <v>41.177499999999988</v>
      </c>
      <c r="V205" s="36">
        <f>IFERROR(LOOKUP($C205,#REF!,#REF!),0)</f>
        <v>0</v>
      </c>
      <c r="W205" s="36">
        <f>IFERROR(LOOKUP($C205,#REF!,#REF!),0)</f>
        <v>0</v>
      </c>
      <c r="X205" s="36">
        <f>IFERROR(LOOKUP($C205,#REF!,#REF!),0)</f>
        <v>0</v>
      </c>
      <c r="Y205" s="36">
        <f>IFERROR(LOOKUP($C205,#REF!,#REF!),0)</f>
        <v>0</v>
      </c>
    </row>
    <row r="206" spans="1:25" ht="16.5" customHeight="1" x14ac:dyDescent="0.35">
      <c r="A206" s="3" t="s">
        <v>14</v>
      </c>
      <c r="B206" s="4">
        <v>101</v>
      </c>
      <c r="C206" s="5">
        <v>63800</v>
      </c>
      <c r="D206" s="3" t="s">
        <v>86</v>
      </c>
      <c r="E206" s="6">
        <v>23.99</v>
      </c>
      <c r="F206" s="16">
        <v>11.87</v>
      </c>
      <c r="G206" s="49">
        <v>0</v>
      </c>
      <c r="H206" s="50">
        <f t="shared" si="12"/>
        <v>0</v>
      </c>
      <c r="I206" s="50">
        <f t="shared" si="13"/>
        <v>0</v>
      </c>
      <c r="J206" s="50">
        <f t="shared" si="14"/>
        <v>0</v>
      </c>
      <c r="K206" s="51">
        <f t="shared" si="15"/>
        <v>0</v>
      </c>
      <c r="L206" s="36"/>
      <c r="M206" s="11">
        <v>119.25</v>
      </c>
      <c r="N206" s="11">
        <v>103.69565217391303</v>
      </c>
      <c r="O206" s="11">
        <v>235.76</v>
      </c>
      <c r="P206" s="8">
        <v>8</v>
      </c>
      <c r="Q206" s="11">
        <v>-132.06434782608696</v>
      </c>
      <c r="R206" s="11">
        <v>14.90625</v>
      </c>
      <c r="S206" s="11">
        <v>12.961956521739129</v>
      </c>
      <c r="T206" s="11">
        <v>29.47</v>
      </c>
      <c r="U206" s="14">
        <v>-99.99</v>
      </c>
      <c r="V206" s="36">
        <f>IFERROR(LOOKUP($C206,#REF!,#REF!),0)</f>
        <v>0</v>
      </c>
      <c r="W206" s="36">
        <f>IFERROR(LOOKUP($C206,#REF!,#REF!),0)</f>
        <v>0</v>
      </c>
      <c r="X206" s="36">
        <f>IFERROR(LOOKUP($C206,#REF!,#REF!),0)</f>
        <v>0</v>
      </c>
      <c r="Y206" s="36">
        <f>IFERROR(LOOKUP($C206,#REF!,#REF!),0)</f>
        <v>0</v>
      </c>
    </row>
    <row r="207" spans="1:25" ht="16.5" customHeight="1" x14ac:dyDescent="0.35">
      <c r="A207" s="3" t="s">
        <v>14</v>
      </c>
      <c r="B207" s="4">
        <v>107</v>
      </c>
      <c r="C207" s="5">
        <v>64416</v>
      </c>
      <c r="D207" s="3" t="s">
        <v>245</v>
      </c>
      <c r="E207" s="6">
        <v>49.99</v>
      </c>
      <c r="F207" s="16">
        <v>32.549999999999997</v>
      </c>
      <c r="G207" s="49">
        <v>0</v>
      </c>
      <c r="H207" s="50">
        <f t="shared" si="12"/>
        <v>0</v>
      </c>
      <c r="I207" s="50">
        <f t="shared" si="13"/>
        <v>0</v>
      </c>
      <c r="J207" s="50">
        <f t="shared" si="14"/>
        <v>0</v>
      </c>
      <c r="K207" s="51">
        <f t="shared" si="15"/>
        <v>0</v>
      </c>
      <c r="L207" s="36"/>
      <c r="M207" s="11">
        <v>101.97</v>
      </c>
      <c r="N207" s="11">
        <v>88.669565217391309</v>
      </c>
      <c r="O207" s="11">
        <v>52.256399999999999</v>
      </c>
      <c r="P207" s="8">
        <v>3</v>
      </c>
      <c r="Q207" s="11">
        <v>36.413165217391295</v>
      </c>
      <c r="R207" s="11">
        <v>33.99</v>
      </c>
      <c r="S207" s="11">
        <v>29.556521739130435</v>
      </c>
      <c r="T207" s="11">
        <v>17.418800000000001</v>
      </c>
      <c r="U207" s="14">
        <v>41.066137099146808</v>
      </c>
      <c r="V207" s="36">
        <f>IFERROR(LOOKUP($C207,#REF!,#REF!),0)</f>
        <v>0</v>
      </c>
      <c r="W207" s="36">
        <f>IFERROR(LOOKUP($C207,#REF!,#REF!),0)</f>
        <v>0</v>
      </c>
      <c r="X207" s="36">
        <f>IFERROR(LOOKUP($C207,#REF!,#REF!),0)</f>
        <v>0</v>
      </c>
      <c r="Y207" s="36">
        <f>IFERROR(LOOKUP($C207,#REF!,#REF!),0)</f>
        <v>0</v>
      </c>
    </row>
    <row r="208" spans="1:25" ht="16.5" customHeight="1" x14ac:dyDescent="0.35">
      <c r="A208" s="3" t="s">
        <v>14</v>
      </c>
      <c r="B208" s="4">
        <v>119</v>
      </c>
      <c r="C208" s="5">
        <v>64632</v>
      </c>
      <c r="D208" s="3" t="s">
        <v>275</v>
      </c>
      <c r="E208" s="6">
        <v>140</v>
      </c>
      <c r="F208" s="16">
        <v>62.14</v>
      </c>
      <c r="G208" s="49">
        <v>0</v>
      </c>
      <c r="H208" s="50">
        <f t="shared" si="12"/>
        <v>0</v>
      </c>
      <c r="I208" s="50">
        <f t="shared" si="13"/>
        <v>0</v>
      </c>
      <c r="J208" s="50">
        <f t="shared" si="14"/>
        <v>0</v>
      </c>
      <c r="K208" s="51">
        <f t="shared" si="15"/>
        <v>0</v>
      </c>
      <c r="L208" s="36"/>
      <c r="M208" s="11">
        <v>97.93</v>
      </c>
      <c r="N208" s="11">
        <v>85.156521739130426</v>
      </c>
      <c r="O208" s="11">
        <v>63.980000000000004</v>
      </c>
      <c r="P208" s="8">
        <v>7</v>
      </c>
      <c r="Q208" s="11">
        <v>21.176521739130436</v>
      </c>
      <c r="R208" s="11">
        <v>13.99</v>
      </c>
      <c r="S208" s="11">
        <v>12.165217391304347</v>
      </c>
      <c r="T208" s="11">
        <v>9.14</v>
      </c>
      <c r="U208" s="14">
        <v>24.867762687634023</v>
      </c>
      <c r="V208" s="36">
        <f>IFERROR(LOOKUP($C208,#REF!,#REF!),0)</f>
        <v>0</v>
      </c>
      <c r="W208" s="36">
        <f>IFERROR(LOOKUP($C208,#REF!,#REF!),0)</f>
        <v>0</v>
      </c>
      <c r="X208" s="36">
        <f>IFERROR(LOOKUP($C208,#REF!,#REF!),0)</f>
        <v>0</v>
      </c>
      <c r="Y208" s="36">
        <f>IFERROR(LOOKUP($C208,#REF!,#REF!),0)</f>
        <v>0</v>
      </c>
    </row>
    <row r="209" spans="1:25" ht="16.5" customHeight="1" x14ac:dyDescent="0.35">
      <c r="A209" s="3" t="s">
        <v>14</v>
      </c>
      <c r="B209" s="4">
        <v>119</v>
      </c>
      <c r="C209" s="5">
        <v>64633</v>
      </c>
      <c r="D209" s="3" t="s">
        <v>268</v>
      </c>
      <c r="E209" s="6">
        <v>8.99</v>
      </c>
      <c r="F209" s="16">
        <v>3.8</v>
      </c>
      <c r="G209" s="49">
        <v>0</v>
      </c>
      <c r="H209" s="50">
        <f t="shared" si="12"/>
        <v>0</v>
      </c>
      <c r="I209" s="50">
        <f t="shared" si="13"/>
        <v>0</v>
      </c>
      <c r="J209" s="50">
        <f t="shared" si="14"/>
        <v>0</v>
      </c>
      <c r="K209" s="51">
        <f t="shared" si="15"/>
        <v>0</v>
      </c>
      <c r="L209" s="36"/>
      <c r="M209" s="11">
        <v>96</v>
      </c>
      <c r="N209" s="11">
        <v>83.478260869565219</v>
      </c>
      <c r="O209" s="11">
        <v>54.239999999999995</v>
      </c>
      <c r="P209" s="8">
        <v>24</v>
      </c>
      <c r="Q209" s="11">
        <v>29.238260869565224</v>
      </c>
      <c r="R209" s="11">
        <v>4</v>
      </c>
      <c r="S209" s="11">
        <v>3.4782608695652173</v>
      </c>
      <c r="T209" s="11">
        <v>2.2599999999999998</v>
      </c>
      <c r="U209" s="14">
        <v>35.025000000000006</v>
      </c>
      <c r="V209" s="36">
        <f>IFERROR(LOOKUP($C209,#REF!,#REF!),0)</f>
        <v>0</v>
      </c>
      <c r="W209" s="36">
        <f>IFERROR(LOOKUP($C209,#REF!,#REF!),0)</f>
        <v>0</v>
      </c>
      <c r="X209" s="36">
        <f>IFERROR(LOOKUP($C209,#REF!,#REF!),0)</f>
        <v>0</v>
      </c>
      <c r="Y209" s="36">
        <f>IFERROR(LOOKUP($C209,#REF!,#REF!),0)</f>
        <v>0</v>
      </c>
    </row>
    <row r="210" spans="1:25" ht="16.5" customHeight="1" x14ac:dyDescent="0.35">
      <c r="A210" s="3" t="s">
        <v>14</v>
      </c>
      <c r="B210" s="4">
        <v>119</v>
      </c>
      <c r="C210" s="5">
        <v>64635</v>
      </c>
      <c r="D210" s="3" t="s">
        <v>273</v>
      </c>
      <c r="E210" s="6">
        <v>160</v>
      </c>
      <c r="F210" s="16">
        <v>72.88</v>
      </c>
      <c r="G210" s="49">
        <v>0</v>
      </c>
      <c r="H210" s="50">
        <f t="shared" si="12"/>
        <v>0</v>
      </c>
      <c r="I210" s="50">
        <f t="shared" si="13"/>
        <v>0</v>
      </c>
      <c r="J210" s="50">
        <f t="shared" si="14"/>
        <v>0</v>
      </c>
      <c r="K210" s="51">
        <f t="shared" si="15"/>
        <v>0</v>
      </c>
      <c r="L210" s="36"/>
      <c r="M210" s="11">
        <v>95.98</v>
      </c>
      <c r="N210" s="11">
        <v>83.460869565217394</v>
      </c>
      <c r="O210" s="11">
        <v>20.88</v>
      </c>
      <c r="P210" s="8">
        <v>2</v>
      </c>
      <c r="Q210" s="11">
        <v>62.580869565217398</v>
      </c>
      <c r="R210" s="11">
        <v>47.99</v>
      </c>
      <c r="S210" s="11">
        <v>41.730434782608697</v>
      </c>
      <c r="T210" s="11">
        <v>10.44</v>
      </c>
      <c r="U210" s="14">
        <v>74.982287976661809</v>
      </c>
      <c r="V210" s="36">
        <f>IFERROR(LOOKUP($C210,#REF!,#REF!),0)</f>
        <v>0</v>
      </c>
      <c r="W210" s="36">
        <f>IFERROR(LOOKUP($C210,#REF!,#REF!),0)</f>
        <v>0</v>
      </c>
      <c r="X210" s="36">
        <f>IFERROR(LOOKUP($C210,#REF!,#REF!),0)</f>
        <v>0</v>
      </c>
      <c r="Y210" s="36">
        <f>IFERROR(LOOKUP($C210,#REF!,#REF!),0)</f>
        <v>0</v>
      </c>
    </row>
    <row r="211" spans="1:25" ht="16.5" customHeight="1" x14ac:dyDescent="0.35">
      <c r="A211" s="3" t="s">
        <v>14</v>
      </c>
      <c r="B211" s="4">
        <v>120</v>
      </c>
      <c r="C211" s="5">
        <v>64761</v>
      </c>
      <c r="D211" s="3" t="s">
        <v>283</v>
      </c>
      <c r="E211" s="6">
        <v>69.989999999999995</v>
      </c>
      <c r="F211" s="16">
        <v>42.18</v>
      </c>
      <c r="G211" s="49">
        <v>0</v>
      </c>
      <c r="H211" s="50">
        <f t="shared" si="12"/>
        <v>0</v>
      </c>
      <c r="I211" s="50">
        <f t="shared" si="13"/>
        <v>0</v>
      </c>
      <c r="J211" s="50">
        <f t="shared" si="14"/>
        <v>0</v>
      </c>
      <c r="K211" s="51">
        <f t="shared" si="15"/>
        <v>0</v>
      </c>
      <c r="L211" s="36"/>
      <c r="M211" s="11">
        <v>95.84</v>
      </c>
      <c r="N211" s="11">
        <v>83.339130434782604</v>
      </c>
      <c r="O211" s="11">
        <v>52.96</v>
      </c>
      <c r="P211" s="8">
        <v>16</v>
      </c>
      <c r="Q211" s="11">
        <v>30.379130434782617</v>
      </c>
      <c r="R211" s="11">
        <v>5.99</v>
      </c>
      <c r="S211" s="11">
        <v>5.2086956521739127</v>
      </c>
      <c r="T211" s="11">
        <v>3.31</v>
      </c>
      <c r="U211" s="14">
        <v>36.45242070116862</v>
      </c>
      <c r="V211" s="36">
        <f>IFERROR(LOOKUP($C211,#REF!,#REF!),0)</f>
        <v>0</v>
      </c>
      <c r="W211" s="36">
        <f>IFERROR(LOOKUP($C211,#REF!,#REF!),0)</f>
        <v>0</v>
      </c>
      <c r="X211" s="36">
        <f>IFERROR(LOOKUP($C211,#REF!,#REF!),0)</f>
        <v>0</v>
      </c>
      <c r="Y211" s="36">
        <f>IFERROR(LOOKUP($C211,#REF!,#REF!),0)</f>
        <v>0</v>
      </c>
    </row>
    <row r="212" spans="1:25" ht="16.5" customHeight="1" x14ac:dyDescent="0.35">
      <c r="A212" s="3" t="s">
        <v>14</v>
      </c>
      <c r="B212" s="4">
        <v>120</v>
      </c>
      <c r="C212" s="5">
        <v>64762</v>
      </c>
      <c r="D212" s="3" t="s">
        <v>282</v>
      </c>
      <c r="E212" s="6">
        <v>69.989999999999995</v>
      </c>
      <c r="F212" s="16">
        <v>37.380000000000003</v>
      </c>
      <c r="G212" s="49">
        <v>0</v>
      </c>
      <c r="H212" s="50">
        <f t="shared" si="12"/>
        <v>0</v>
      </c>
      <c r="I212" s="50">
        <f t="shared" si="13"/>
        <v>0</v>
      </c>
      <c r="J212" s="50">
        <f t="shared" si="14"/>
        <v>0</v>
      </c>
      <c r="K212" s="51">
        <f t="shared" si="15"/>
        <v>0</v>
      </c>
      <c r="L212" s="36"/>
      <c r="M212" s="11">
        <v>94.81</v>
      </c>
      <c r="N212" s="11">
        <v>82.443478260869568</v>
      </c>
      <c r="O212" s="11">
        <v>56.43</v>
      </c>
      <c r="P212" s="8">
        <v>19</v>
      </c>
      <c r="Q212" s="11">
        <v>26.013478260869569</v>
      </c>
      <c r="R212" s="11">
        <v>4.99</v>
      </c>
      <c r="S212" s="11">
        <v>4.339130434782609</v>
      </c>
      <c r="T212" s="11">
        <v>2.97</v>
      </c>
      <c r="U212" s="14">
        <v>31.553106212424854</v>
      </c>
      <c r="V212" s="36">
        <f>IFERROR(LOOKUP($C212,#REF!,#REF!),0)</f>
        <v>0</v>
      </c>
      <c r="W212" s="36">
        <f>IFERROR(LOOKUP($C212,#REF!,#REF!),0)</f>
        <v>0</v>
      </c>
      <c r="X212" s="36">
        <f>IFERROR(LOOKUP($C212,#REF!,#REF!),0)</f>
        <v>0</v>
      </c>
      <c r="Y212" s="36">
        <f>IFERROR(LOOKUP($C212,#REF!,#REF!),0)</f>
        <v>0</v>
      </c>
    </row>
    <row r="213" spans="1:25" ht="16.5" customHeight="1" x14ac:dyDescent="0.35">
      <c r="A213" s="3" t="s">
        <v>14</v>
      </c>
      <c r="B213" s="4">
        <v>120</v>
      </c>
      <c r="C213" s="5">
        <v>64763</v>
      </c>
      <c r="D213" s="3" t="s">
        <v>281</v>
      </c>
      <c r="E213" s="6">
        <v>38</v>
      </c>
      <c r="F213" s="16">
        <v>18.920000000000002</v>
      </c>
      <c r="G213" s="49">
        <v>0</v>
      </c>
      <c r="H213" s="50">
        <f t="shared" si="12"/>
        <v>0</v>
      </c>
      <c r="I213" s="50">
        <f t="shared" si="13"/>
        <v>0</v>
      </c>
      <c r="J213" s="50">
        <f t="shared" si="14"/>
        <v>0</v>
      </c>
      <c r="K213" s="51">
        <f t="shared" si="15"/>
        <v>0</v>
      </c>
      <c r="L213" s="36"/>
      <c r="M213" s="11">
        <v>92.97</v>
      </c>
      <c r="N213" s="11">
        <v>80.84347826086956</v>
      </c>
      <c r="O213" s="11">
        <v>37.200000000000003</v>
      </c>
      <c r="P213" s="8">
        <v>3</v>
      </c>
      <c r="Q213" s="11">
        <v>43.643478260869557</v>
      </c>
      <c r="R213" s="11">
        <v>30.99</v>
      </c>
      <c r="S213" s="11">
        <v>26.947826086956521</v>
      </c>
      <c r="T213" s="11">
        <v>12.4</v>
      </c>
      <c r="U213" s="14">
        <v>53.985156502097439</v>
      </c>
      <c r="V213" s="36">
        <f>IFERROR(LOOKUP($C213,#REF!,#REF!),0)</f>
        <v>0</v>
      </c>
      <c r="W213" s="36">
        <f>IFERROR(LOOKUP($C213,#REF!,#REF!),0)</f>
        <v>0</v>
      </c>
      <c r="X213" s="36">
        <f>IFERROR(LOOKUP($C213,#REF!,#REF!),0)</f>
        <v>0</v>
      </c>
      <c r="Y213" s="36">
        <f>IFERROR(LOOKUP($C213,#REF!,#REF!),0)</f>
        <v>0</v>
      </c>
    </row>
    <row r="214" spans="1:25" ht="16.5" customHeight="1" x14ac:dyDescent="0.35">
      <c r="A214" s="3" t="s">
        <v>14</v>
      </c>
      <c r="B214" s="4">
        <v>119</v>
      </c>
      <c r="C214" s="5">
        <v>65238</v>
      </c>
      <c r="D214" s="3" t="s">
        <v>276</v>
      </c>
      <c r="E214" s="6">
        <v>120</v>
      </c>
      <c r="F214" s="16">
        <v>82.1</v>
      </c>
      <c r="G214" s="49">
        <v>0</v>
      </c>
      <c r="H214" s="50">
        <f t="shared" si="12"/>
        <v>0</v>
      </c>
      <c r="I214" s="50">
        <f t="shared" si="13"/>
        <v>0</v>
      </c>
      <c r="J214" s="50">
        <f t="shared" si="14"/>
        <v>0</v>
      </c>
      <c r="K214" s="51">
        <f t="shared" si="15"/>
        <v>0</v>
      </c>
      <c r="L214" s="36"/>
      <c r="M214" s="11">
        <v>84.13</v>
      </c>
      <c r="N214" s="11">
        <v>73.15652173913044</v>
      </c>
      <c r="O214" s="11">
        <v>43.299372192</v>
      </c>
      <c r="P214" s="8">
        <v>0.38</v>
      </c>
      <c r="Q214" s="11">
        <v>29.857149547130426</v>
      </c>
      <c r="R214" s="11">
        <v>221.39473684210526</v>
      </c>
      <c r="S214" s="11">
        <v>192.51716247139589</v>
      </c>
      <c r="T214" s="11">
        <v>113.94571629473684</v>
      </c>
      <c r="U214" s="14">
        <v>40.812696991798404</v>
      </c>
      <c r="V214" s="36">
        <f>IFERROR(LOOKUP($C214,#REF!,#REF!),0)</f>
        <v>0</v>
      </c>
      <c r="W214" s="36">
        <f>IFERROR(LOOKUP($C214,#REF!,#REF!),0)</f>
        <v>0</v>
      </c>
      <c r="X214" s="36">
        <f>IFERROR(LOOKUP($C214,#REF!,#REF!),0)</f>
        <v>0</v>
      </c>
      <c r="Y214" s="36">
        <f>IFERROR(LOOKUP($C214,#REF!,#REF!),0)</f>
        <v>0</v>
      </c>
    </row>
    <row r="215" spans="1:25" ht="16.5" customHeight="1" x14ac:dyDescent="0.35">
      <c r="A215" s="3" t="s">
        <v>14</v>
      </c>
      <c r="B215" s="4">
        <v>119</v>
      </c>
      <c r="C215" s="5">
        <v>65239</v>
      </c>
      <c r="D215" s="3" t="s">
        <v>277</v>
      </c>
      <c r="E215" s="6">
        <v>70</v>
      </c>
      <c r="F215" s="16">
        <v>48.14</v>
      </c>
      <c r="G215" s="49">
        <v>0</v>
      </c>
      <c r="H215" s="50">
        <f t="shared" si="12"/>
        <v>0</v>
      </c>
      <c r="I215" s="50">
        <f t="shared" si="13"/>
        <v>0</v>
      </c>
      <c r="J215" s="50">
        <f t="shared" si="14"/>
        <v>0</v>
      </c>
      <c r="K215" s="51">
        <f t="shared" si="15"/>
        <v>0</v>
      </c>
      <c r="L215" s="36"/>
      <c r="M215" s="11">
        <v>79.989999999999995</v>
      </c>
      <c r="N215" s="11">
        <v>69.556521739130432</v>
      </c>
      <c r="O215" s="11">
        <v>44.62</v>
      </c>
      <c r="P215" s="8">
        <v>1</v>
      </c>
      <c r="Q215" s="11">
        <v>24.936521739130434</v>
      </c>
      <c r="R215" s="11">
        <v>79.989999999999995</v>
      </c>
      <c r="S215" s="11">
        <v>69.556521739130432</v>
      </c>
      <c r="T215" s="11">
        <v>44.62</v>
      </c>
      <c r="U215" s="14">
        <v>35.850731341417678</v>
      </c>
      <c r="V215" s="36">
        <f>IFERROR(LOOKUP($C215,#REF!,#REF!),0)</f>
        <v>0</v>
      </c>
      <c r="W215" s="36">
        <f>IFERROR(LOOKUP($C215,#REF!,#REF!),0)</f>
        <v>0</v>
      </c>
      <c r="X215" s="36">
        <f>IFERROR(LOOKUP($C215,#REF!,#REF!),0)</f>
        <v>0</v>
      </c>
      <c r="Y215" s="36">
        <f>IFERROR(LOOKUP($C215,#REF!,#REF!),0)</f>
        <v>0</v>
      </c>
    </row>
    <row r="216" spans="1:25" ht="16.5" customHeight="1" x14ac:dyDescent="0.35">
      <c r="A216" s="3" t="s">
        <v>14</v>
      </c>
      <c r="B216" s="4">
        <v>102</v>
      </c>
      <c r="C216" s="5">
        <v>65506</v>
      </c>
      <c r="D216" s="3" t="s">
        <v>169</v>
      </c>
      <c r="E216" s="6">
        <v>14.99</v>
      </c>
      <c r="F216" s="16">
        <v>7.72</v>
      </c>
      <c r="G216" s="49">
        <v>0</v>
      </c>
      <c r="H216" s="50">
        <f t="shared" si="12"/>
        <v>0</v>
      </c>
      <c r="I216" s="50">
        <f t="shared" si="13"/>
        <v>0</v>
      </c>
      <c r="J216" s="50">
        <f t="shared" si="14"/>
        <v>0</v>
      </c>
      <c r="K216" s="51">
        <f t="shared" si="15"/>
        <v>0</v>
      </c>
      <c r="L216" s="36"/>
      <c r="M216" s="11">
        <v>75</v>
      </c>
      <c r="N216" s="11">
        <v>65.217391304347828</v>
      </c>
      <c r="O216" s="11">
        <v>34.950000000000003</v>
      </c>
      <c r="P216" s="8">
        <v>5</v>
      </c>
      <c r="Q216" s="11">
        <v>30.267391304347825</v>
      </c>
      <c r="R216" s="11">
        <v>15</v>
      </c>
      <c r="S216" s="11">
        <v>13.043478260869566</v>
      </c>
      <c r="T216" s="11">
        <v>6.99</v>
      </c>
      <c r="U216" s="14">
        <v>46.41</v>
      </c>
      <c r="V216" s="36">
        <f>IFERROR(LOOKUP($C216,#REF!,#REF!),0)</f>
        <v>0</v>
      </c>
      <c r="W216" s="36">
        <f>IFERROR(LOOKUP($C216,#REF!,#REF!),0)</f>
        <v>0</v>
      </c>
      <c r="X216" s="36">
        <f>IFERROR(LOOKUP($C216,#REF!,#REF!),0)</f>
        <v>0</v>
      </c>
      <c r="Y216" s="36">
        <f>IFERROR(LOOKUP($C216,#REF!,#REF!),0)</f>
        <v>0</v>
      </c>
    </row>
    <row r="217" spans="1:25" ht="16.5" customHeight="1" x14ac:dyDescent="0.35">
      <c r="A217" s="3" t="s">
        <v>14</v>
      </c>
      <c r="B217" s="4">
        <v>101</v>
      </c>
      <c r="C217" s="5">
        <v>65681</v>
      </c>
      <c r="D217" s="3" t="s">
        <v>63</v>
      </c>
      <c r="E217" s="6">
        <v>29.99</v>
      </c>
      <c r="F217" s="16">
        <v>16.03</v>
      </c>
      <c r="G217" s="49">
        <v>0</v>
      </c>
      <c r="H217" s="50">
        <f t="shared" si="12"/>
        <v>0</v>
      </c>
      <c r="I217" s="50">
        <f t="shared" si="13"/>
        <v>0</v>
      </c>
      <c r="J217" s="50">
        <f t="shared" si="14"/>
        <v>0</v>
      </c>
      <c r="K217" s="51">
        <f t="shared" si="15"/>
        <v>0</v>
      </c>
      <c r="L217" s="36"/>
      <c r="M217" s="11">
        <v>75</v>
      </c>
      <c r="N217" s="11">
        <v>65.217391304347828</v>
      </c>
      <c r="O217" s="11">
        <v>34.14</v>
      </c>
      <c r="P217" s="8">
        <v>6</v>
      </c>
      <c r="Q217" s="11">
        <v>31.077391304347827</v>
      </c>
      <c r="R217" s="11">
        <v>12.5</v>
      </c>
      <c r="S217" s="11">
        <v>10.869565217391305</v>
      </c>
      <c r="T217" s="11">
        <v>5.69</v>
      </c>
      <c r="U217" s="14">
        <v>47.652000000000001</v>
      </c>
      <c r="V217" s="36">
        <f>IFERROR(LOOKUP($C217,#REF!,#REF!),0)</f>
        <v>0</v>
      </c>
      <c r="W217" s="36">
        <f>IFERROR(LOOKUP($C217,#REF!,#REF!),0)</f>
        <v>0</v>
      </c>
      <c r="X217" s="36">
        <f>IFERROR(LOOKUP($C217,#REF!,#REF!),0)</f>
        <v>0</v>
      </c>
      <c r="Y217" s="36">
        <f>IFERROR(LOOKUP($C217,#REF!,#REF!),0)</f>
        <v>0</v>
      </c>
    </row>
    <row r="218" spans="1:25" ht="16.5" customHeight="1" x14ac:dyDescent="0.35">
      <c r="A218" s="3" t="s">
        <v>14</v>
      </c>
      <c r="B218" s="4">
        <v>102</v>
      </c>
      <c r="C218" s="5">
        <v>66434</v>
      </c>
      <c r="D218" s="3" t="s">
        <v>170</v>
      </c>
      <c r="E218" s="6">
        <v>13.99</v>
      </c>
      <c r="F218" s="16">
        <v>9.14</v>
      </c>
      <c r="G218" s="49">
        <v>0</v>
      </c>
      <c r="H218" s="50">
        <f t="shared" si="12"/>
        <v>0</v>
      </c>
      <c r="I218" s="50">
        <f t="shared" si="13"/>
        <v>0</v>
      </c>
      <c r="J218" s="50">
        <f t="shared" si="14"/>
        <v>0</v>
      </c>
      <c r="K218" s="51">
        <f t="shared" si="15"/>
        <v>0</v>
      </c>
      <c r="L218" s="36"/>
      <c r="M218" s="11">
        <v>71.94</v>
      </c>
      <c r="N218" s="11">
        <v>62.556521739130432</v>
      </c>
      <c r="O218" s="11">
        <v>45.599999999999994</v>
      </c>
      <c r="P218" s="8">
        <v>6</v>
      </c>
      <c r="Q218" s="11">
        <v>16.956521739130437</v>
      </c>
      <c r="R218" s="11">
        <v>11.99</v>
      </c>
      <c r="S218" s="11">
        <v>10.426086956521738</v>
      </c>
      <c r="T218" s="11">
        <v>7.5999999999999988</v>
      </c>
      <c r="U218" s="14">
        <v>27.105921601334448</v>
      </c>
      <c r="V218" s="36">
        <f>IFERROR(LOOKUP($C218,#REF!,#REF!),0)</f>
        <v>0</v>
      </c>
      <c r="W218" s="36">
        <f>IFERROR(LOOKUP($C218,#REF!,#REF!),0)</f>
        <v>0</v>
      </c>
      <c r="X218" s="36">
        <f>IFERROR(LOOKUP($C218,#REF!,#REF!),0)</f>
        <v>0</v>
      </c>
      <c r="Y218" s="36">
        <f>IFERROR(LOOKUP($C218,#REF!,#REF!),0)</f>
        <v>0</v>
      </c>
    </row>
    <row r="219" spans="1:25" ht="16.5" customHeight="1" x14ac:dyDescent="0.35">
      <c r="A219" s="3" t="s">
        <v>14</v>
      </c>
      <c r="B219" s="4">
        <v>102</v>
      </c>
      <c r="C219" s="5">
        <v>66435</v>
      </c>
      <c r="D219" s="3" t="s">
        <v>174</v>
      </c>
      <c r="E219" s="6">
        <v>11.99</v>
      </c>
      <c r="F219" s="16">
        <v>7.6</v>
      </c>
      <c r="G219" s="49">
        <v>0</v>
      </c>
      <c r="H219" s="50">
        <f t="shared" si="12"/>
        <v>0</v>
      </c>
      <c r="I219" s="50">
        <f t="shared" si="13"/>
        <v>0</v>
      </c>
      <c r="J219" s="50">
        <f t="shared" si="14"/>
        <v>0</v>
      </c>
      <c r="K219" s="51">
        <f t="shared" si="15"/>
        <v>0</v>
      </c>
      <c r="L219" s="36"/>
      <c r="M219" s="11">
        <v>71.88</v>
      </c>
      <c r="N219" s="11">
        <v>62.504347826086956</v>
      </c>
      <c r="O219" s="11">
        <v>37.200000000000003</v>
      </c>
      <c r="P219" s="8">
        <v>12</v>
      </c>
      <c r="Q219" s="11">
        <v>25.304347826086946</v>
      </c>
      <c r="R219" s="11">
        <v>5.9899999999999993</v>
      </c>
      <c r="S219" s="11">
        <v>5.2086956521739127</v>
      </c>
      <c r="T219" s="11">
        <v>3.1</v>
      </c>
      <c r="U219" s="14">
        <v>40.484140233722862</v>
      </c>
      <c r="V219" s="36">
        <f>IFERROR(LOOKUP($C219,#REF!,#REF!),0)</f>
        <v>0</v>
      </c>
      <c r="W219" s="36">
        <f>IFERROR(LOOKUP($C219,#REF!,#REF!),0)</f>
        <v>0</v>
      </c>
      <c r="X219" s="36">
        <f>IFERROR(LOOKUP($C219,#REF!,#REF!),0)</f>
        <v>0</v>
      </c>
      <c r="Y219" s="36">
        <f>IFERROR(LOOKUP($C219,#REF!,#REF!),0)</f>
        <v>0</v>
      </c>
    </row>
    <row r="220" spans="1:25" ht="16.5" customHeight="1" x14ac:dyDescent="0.35">
      <c r="A220" s="3" t="s">
        <v>14</v>
      </c>
      <c r="B220" s="4">
        <v>102</v>
      </c>
      <c r="C220" s="5">
        <v>66950</v>
      </c>
      <c r="D220" s="3" t="s">
        <v>179</v>
      </c>
      <c r="E220" s="6">
        <v>29.99</v>
      </c>
      <c r="F220" s="16">
        <v>28.95</v>
      </c>
      <c r="G220" s="49">
        <v>0</v>
      </c>
      <c r="H220" s="50">
        <f t="shared" si="12"/>
        <v>0</v>
      </c>
      <c r="I220" s="50">
        <f t="shared" si="13"/>
        <v>0</v>
      </c>
      <c r="J220" s="50">
        <f t="shared" si="14"/>
        <v>0</v>
      </c>
      <c r="K220" s="51">
        <f t="shared" si="15"/>
        <v>0</v>
      </c>
      <c r="L220" s="36"/>
      <c r="M220" s="11">
        <v>60</v>
      </c>
      <c r="N220" s="11">
        <v>52.173913043478258</v>
      </c>
      <c r="O220" s="11">
        <v>37.68</v>
      </c>
      <c r="P220" s="8">
        <v>6</v>
      </c>
      <c r="Q220" s="11">
        <v>14.493913043478258</v>
      </c>
      <c r="R220" s="11">
        <v>10</v>
      </c>
      <c r="S220" s="11">
        <v>8.695652173913043</v>
      </c>
      <c r="T220" s="11">
        <v>6.28</v>
      </c>
      <c r="U220" s="14">
        <v>27.779999999999998</v>
      </c>
      <c r="V220" s="36">
        <f>IFERROR(LOOKUP($C220,#REF!,#REF!),0)</f>
        <v>0</v>
      </c>
      <c r="W220" s="36">
        <f>IFERROR(LOOKUP($C220,#REF!,#REF!),0)</f>
        <v>0</v>
      </c>
      <c r="X220" s="36">
        <f>IFERROR(LOOKUP($C220,#REF!,#REF!),0)</f>
        <v>0</v>
      </c>
      <c r="Y220" s="36">
        <f>IFERROR(LOOKUP($C220,#REF!,#REF!),0)</f>
        <v>0</v>
      </c>
    </row>
    <row r="221" spans="1:25" ht="16.5" customHeight="1" x14ac:dyDescent="0.35">
      <c r="A221" s="3" t="s">
        <v>14</v>
      </c>
      <c r="B221" s="4">
        <v>102</v>
      </c>
      <c r="C221" s="5">
        <v>66951</v>
      </c>
      <c r="D221" s="3" t="s">
        <v>163</v>
      </c>
      <c r="E221" s="6">
        <v>29.99</v>
      </c>
      <c r="F221" s="16">
        <v>28.95</v>
      </c>
      <c r="G221" s="49">
        <v>0</v>
      </c>
      <c r="H221" s="50">
        <f t="shared" si="12"/>
        <v>0</v>
      </c>
      <c r="I221" s="50">
        <f t="shared" si="13"/>
        <v>0</v>
      </c>
      <c r="J221" s="50">
        <f t="shared" si="14"/>
        <v>0</v>
      </c>
      <c r="K221" s="51">
        <f t="shared" si="15"/>
        <v>0</v>
      </c>
      <c r="L221" s="36"/>
      <c r="M221" s="11">
        <v>55.11</v>
      </c>
      <c r="N221" s="11">
        <v>47.92173913043478</v>
      </c>
      <c r="O221" s="11">
        <v>28.558732800000001</v>
      </c>
      <c r="P221" s="8">
        <v>0.49399999999999999</v>
      </c>
      <c r="Q221" s="11">
        <v>19.363006330434779</v>
      </c>
      <c r="R221" s="11">
        <v>111.55870445344129</v>
      </c>
      <c r="S221" s="11">
        <v>97.007569089948944</v>
      </c>
      <c r="T221" s="11">
        <v>57.811200000000007</v>
      </c>
      <c r="U221" s="14">
        <v>40.405475013609134</v>
      </c>
      <c r="V221" s="36">
        <f>IFERROR(LOOKUP($C221,#REF!,#REF!),0)</f>
        <v>0</v>
      </c>
      <c r="W221" s="36">
        <f>IFERROR(LOOKUP($C221,#REF!,#REF!),0)</f>
        <v>0</v>
      </c>
      <c r="X221" s="36">
        <f>IFERROR(LOOKUP($C221,#REF!,#REF!),0)</f>
        <v>0</v>
      </c>
      <c r="Y221" s="36">
        <f>IFERROR(LOOKUP($C221,#REF!,#REF!),0)</f>
        <v>0</v>
      </c>
    </row>
    <row r="222" spans="1:25" ht="16.5" customHeight="1" x14ac:dyDescent="0.35">
      <c r="A222" s="3" t="s">
        <v>14</v>
      </c>
      <c r="B222" s="4">
        <v>102</v>
      </c>
      <c r="C222" s="5">
        <v>66952</v>
      </c>
      <c r="D222" s="3" t="s">
        <v>152</v>
      </c>
      <c r="E222" s="6">
        <v>29.99</v>
      </c>
      <c r="F222" s="16">
        <v>28.95</v>
      </c>
      <c r="G222" s="49">
        <v>0</v>
      </c>
      <c r="H222" s="50">
        <f t="shared" si="12"/>
        <v>0</v>
      </c>
      <c r="I222" s="50">
        <f t="shared" si="13"/>
        <v>0</v>
      </c>
      <c r="J222" s="50">
        <f t="shared" si="14"/>
        <v>0</v>
      </c>
      <c r="K222" s="51">
        <f t="shared" si="15"/>
        <v>0</v>
      </c>
      <c r="L222" s="36"/>
      <c r="M222" s="11">
        <v>53.910000000000004</v>
      </c>
      <c r="N222" s="11">
        <v>46.878260869565224</v>
      </c>
      <c r="O222" s="11">
        <v>27.900000000000006</v>
      </c>
      <c r="P222" s="8">
        <v>9</v>
      </c>
      <c r="Q222" s="11">
        <v>18.978260869565212</v>
      </c>
      <c r="R222" s="11">
        <v>5.99</v>
      </c>
      <c r="S222" s="11">
        <v>5.2086956521739136</v>
      </c>
      <c r="T222" s="11">
        <v>3.1000000000000005</v>
      </c>
      <c r="U222" s="14">
        <v>40.484140233722862</v>
      </c>
      <c r="V222" s="36">
        <f>IFERROR(LOOKUP($C222,#REF!,#REF!),0)</f>
        <v>0</v>
      </c>
      <c r="W222" s="36">
        <f>IFERROR(LOOKUP($C222,#REF!,#REF!),0)</f>
        <v>0</v>
      </c>
      <c r="X222" s="36">
        <f>IFERROR(LOOKUP($C222,#REF!,#REF!),0)</f>
        <v>0</v>
      </c>
      <c r="Y222" s="36">
        <f>IFERROR(LOOKUP($C222,#REF!,#REF!),0)</f>
        <v>0</v>
      </c>
    </row>
    <row r="223" spans="1:25" ht="16.5" customHeight="1" x14ac:dyDescent="0.35">
      <c r="A223" s="3" t="s">
        <v>14</v>
      </c>
      <c r="B223" s="4">
        <v>101</v>
      </c>
      <c r="C223" s="5">
        <v>67140</v>
      </c>
      <c r="D223" s="3" t="s">
        <v>87</v>
      </c>
      <c r="E223" s="6">
        <v>2</v>
      </c>
      <c r="F223" s="16">
        <v>0.68</v>
      </c>
      <c r="G223" s="49">
        <v>0</v>
      </c>
      <c r="H223" s="50">
        <f t="shared" si="12"/>
        <v>0</v>
      </c>
      <c r="I223" s="50">
        <f t="shared" si="13"/>
        <v>0</v>
      </c>
      <c r="J223" s="50">
        <f t="shared" si="14"/>
        <v>0</v>
      </c>
      <c r="K223" s="51">
        <f t="shared" si="15"/>
        <v>0</v>
      </c>
      <c r="L223" s="36"/>
      <c r="M223" s="11">
        <v>39.99</v>
      </c>
      <c r="N223" s="11">
        <v>34.77391304347826</v>
      </c>
      <c r="O223" s="11">
        <v>29.01</v>
      </c>
      <c r="P223" s="8">
        <v>1</v>
      </c>
      <c r="Q223" s="11">
        <v>5.7639130434782579</v>
      </c>
      <c r="R223" s="11">
        <v>39.99</v>
      </c>
      <c r="S223" s="11">
        <v>34.77391304347826</v>
      </c>
      <c r="T223" s="11">
        <v>29.01</v>
      </c>
      <c r="U223" s="14">
        <v>16.57539384846211</v>
      </c>
      <c r="V223" s="36">
        <f>IFERROR(LOOKUP($C223,#REF!,#REF!),0)</f>
        <v>0</v>
      </c>
      <c r="W223" s="36">
        <f>IFERROR(LOOKUP($C223,#REF!,#REF!),0)</f>
        <v>0</v>
      </c>
      <c r="X223" s="36">
        <f>IFERROR(LOOKUP($C223,#REF!,#REF!),0)</f>
        <v>0</v>
      </c>
      <c r="Y223" s="36">
        <f>IFERROR(LOOKUP($C223,#REF!,#REF!),0)</f>
        <v>0</v>
      </c>
    </row>
    <row r="224" spans="1:25" ht="16.5" customHeight="1" x14ac:dyDescent="0.35">
      <c r="A224" s="3" t="s">
        <v>14</v>
      </c>
      <c r="B224" s="4">
        <v>102</v>
      </c>
      <c r="C224" s="5">
        <v>67241</v>
      </c>
      <c r="D224" s="3" t="s">
        <v>197</v>
      </c>
      <c r="E224" s="6">
        <v>15.99</v>
      </c>
      <c r="F224" s="16">
        <v>6.2</v>
      </c>
      <c r="G224" s="49">
        <v>0</v>
      </c>
      <c r="H224" s="50">
        <f t="shared" si="12"/>
        <v>0</v>
      </c>
      <c r="I224" s="50">
        <f t="shared" si="13"/>
        <v>0</v>
      </c>
      <c r="J224" s="50">
        <f t="shared" si="14"/>
        <v>0</v>
      </c>
      <c r="K224" s="51">
        <f t="shared" si="15"/>
        <v>0</v>
      </c>
      <c r="L224" s="36"/>
      <c r="M224" s="11">
        <v>35</v>
      </c>
      <c r="N224" s="11">
        <v>30.434782608695652</v>
      </c>
      <c r="O224" s="11">
        <v>18.060000000000002</v>
      </c>
      <c r="P224" s="8">
        <v>14</v>
      </c>
      <c r="Q224" s="11">
        <v>12.374782608695654</v>
      </c>
      <c r="R224" s="11">
        <v>2.5</v>
      </c>
      <c r="S224" s="11">
        <v>2.1739130434782608</v>
      </c>
      <c r="T224" s="11">
        <v>1.2900000000000003</v>
      </c>
      <c r="U224" s="14">
        <v>40.660000000000004</v>
      </c>
      <c r="V224" s="36">
        <f>IFERROR(LOOKUP($C224,#REF!,#REF!),0)</f>
        <v>0</v>
      </c>
      <c r="W224" s="36">
        <f>IFERROR(LOOKUP($C224,#REF!,#REF!),0)</f>
        <v>0</v>
      </c>
      <c r="X224" s="36">
        <f>IFERROR(LOOKUP($C224,#REF!,#REF!),0)</f>
        <v>0</v>
      </c>
      <c r="Y224" s="36">
        <f>IFERROR(LOOKUP($C224,#REF!,#REF!),0)</f>
        <v>0</v>
      </c>
    </row>
    <row r="225" spans="1:25" ht="16.5" customHeight="1" x14ac:dyDescent="0.35">
      <c r="A225" s="3" t="s">
        <v>14</v>
      </c>
      <c r="B225" s="4">
        <v>102</v>
      </c>
      <c r="C225" s="5">
        <v>67242</v>
      </c>
      <c r="D225" s="3" t="s">
        <v>198</v>
      </c>
      <c r="E225" s="6">
        <v>13.99</v>
      </c>
      <c r="F225" s="16">
        <v>3.8</v>
      </c>
      <c r="G225" s="49">
        <v>0</v>
      </c>
      <c r="H225" s="50">
        <f t="shared" si="12"/>
        <v>0</v>
      </c>
      <c r="I225" s="50">
        <f t="shared" si="13"/>
        <v>0</v>
      </c>
      <c r="J225" s="50">
        <f t="shared" si="14"/>
        <v>0</v>
      </c>
      <c r="K225" s="51">
        <f t="shared" si="15"/>
        <v>0</v>
      </c>
      <c r="L225" s="36"/>
      <c r="M225" s="11">
        <v>29.99</v>
      </c>
      <c r="N225" s="11">
        <v>29.99</v>
      </c>
      <c r="O225" s="11">
        <v>28.95</v>
      </c>
      <c r="P225" s="8">
        <v>1</v>
      </c>
      <c r="Q225" s="11">
        <v>1.0399999999999991</v>
      </c>
      <c r="R225" s="11">
        <v>29.99</v>
      </c>
      <c r="S225" s="11">
        <v>29.99</v>
      </c>
      <c r="T225" s="11">
        <v>28.95</v>
      </c>
      <c r="U225" s="14">
        <v>3.4678226075358429</v>
      </c>
      <c r="V225" s="36">
        <f>IFERROR(LOOKUP($C225,#REF!,#REF!),0)</f>
        <v>0</v>
      </c>
      <c r="W225" s="36">
        <f>IFERROR(LOOKUP($C225,#REF!,#REF!),0)</f>
        <v>0</v>
      </c>
      <c r="X225" s="36">
        <f>IFERROR(LOOKUP($C225,#REF!,#REF!),0)</f>
        <v>0</v>
      </c>
      <c r="Y225" s="36">
        <f>IFERROR(LOOKUP($C225,#REF!,#REF!),0)</f>
        <v>0</v>
      </c>
    </row>
    <row r="226" spans="1:25" ht="16.5" customHeight="1" x14ac:dyDescent="0.35">
      <c r="A226" s="3" t="s">
        <v>14</v>
      </c>
      <c r="B226" s="4">
        <v>102</v>
      </c>
      <c r="C226" s="5">
        <v>67243</v>
      </c>
      <c r="D226" s="3" t="s">
        <v>199</v>
      </c>
      <c r="E226" s="6">
        <v>30.99</v>
      </c>
      <c r="F226" s="16">
        <v>9.5</v>
      </c>
      <c r="G226" s="49">
        <v>0</v>
      </c>
      <c r="H226" s="50">
        <f t="shared" si="12"/>
        <v>0</v>
      </c>
      <c r="I226" s="50">
        <f t="shared" si="13"/>
        <v>0</v>
      </c>
      <c r="J226" s="50">
        <f t="shared" si="14"/>
        <v>0</v>
      </c>
      <c r="K226" s="51">
        <f t="shared" si="15"/>
        <v>0</v>
      </c>
      <c r="L226" s="36"/>
      <c r="M226" s="11">
        <v>15</v>
      </c>
      <c r="N226" s="11">
        <v>13.043478260869565</v>
      </c>
      <c r="O226" s="11">
        <v>10.23</v>
      </c>
      <c r="P226" s="8">
        <v>1</v>
      </c>
      <c r="Q226" s="11">
        <v>2.8134782608695641</v>
      </c>
      <c r="R226" s="11">
        <v>15</v>
      </c>
      <c r="S226" s="11">
        <v>13.043478260869565</v>
      </c>
      <c r="T226" s="11">
        <v>10.23</v>
      </c>
      <c r="U226" s="14">
        <v>21.569999999999993</v>
      </c>
      <c r="V226" s="36">
        <f>IFERROR(LOOKUP($C226,#REF!,#REF!),0)</f>
        <v>0</v>
      </c>
      <c r="W226" s="36">
        <f>IFERROR(LOOKUP($C226,#REF!,#REF!),0)</f>
        <v>0</v>
      </c>
      <c r="X226" s="36">
        <f>IFERROR(LOOKUP($C226,#REF!,#REF!),0)</f>
        <v>0</v>
      </c>
      <c r="Y226" s="36">
        <f>IFERROR(LOOKUP($C226,#REF!,#REF!),0)</f>
        <v>0</v>
      </c>
    </row>
    <row r="227" spans="1:25" ht="16.5" customHeight="1" x14ac:dyDescent="0.35">
      <c r="A227" s="3" t="s">
        <v>14</v>
      </c>
      <c r="B227" s="4">
        <v>102</v>
      </c>
      <c r="C227" s="5">
        <v>67244</v>
      </c>
      <c r="D227" s="3" t="s">
        <v>200</v>
      </c>
      <c r="E227" s="6">
        <v>35.99</v>
      </c>
      <c r="F227" s="16">
        <v>12.5</v>
      </c>
      <c r="G227" s="49">
        <v>0</v>
      </c>
      <c r="H227" s="50">
        <f t="shared" si="12"/>
        <v>0</v>
      </c>
      <c r="I227" s="50">
        <f t="shared" si="13"/>
        <v>0</v>
      </c>
      <c r="J227" s="50">
        <f t="shared" si="14"/>
        <v>0</v>
      </c>
      <c r="K227" s="51">
        <f t="shared" si="15"/>
        <v>0</v>
      </c>
      <c r="L227" s="36"/>
      <c r="M227" s="11">
        <v>15</v>
      </c>
      <c r="N227" s="11">
        <v>13.043478260869565</v>
      </c>
      <c r="O227" s="11">
        <v>7.77</v>
      </c>
      <c r="P227" s="8">
        <v>1</v>
      </c>
      <c r="Q227" s="11">
        <v>5.2734782608695649</v>
      </c>
      <c r="R227" s="11">
        <v>15</v>
      </c>
      <c r="S227" s="11">
        <v>13.043478260869565</v>
      </c>
      <c r="T227" s="11">
        <v>7.77</v>
      </c>
      <c r="U227" s="14">
        <v>40.43</v>
      </c>
      <c r="V227" s="36">
        <f>IFERROR(LOOKUP($C227,#REF!,#REF!),0)</f>
        <v>0</v>
      </c>
      <c r="W227" s="36">
        <f>IFERROR(LOOKUP($C227,#REF!,#REF!),0)</f>
        <v>0</v>
      </c>
      <c r="X227" s="36">
        <f>IFERROR(LOOKUP($C227,#REF!,#REF!),0)</f>
        <v>0</v>
      </c>
      <c r="Y227" s="36">
        <f>IFERROR(LOOKUP($C227,#REF!,#REF!),0)</f>
        <v>0</v>
      </c>
    </row>
    <row r="228" spans="1:25" ht="16.5" customHeight="1" x14ac:dyDescent="0.35">
      <c r="A228" s="3" t="s">
        <v>14</v>
      </c>
      <c r="B228" s="4">
        <v>102</v>
      </c>
      <c r="C228" s="5">
        <v>67245</v>
      </c>
      <c r="D228" s="3" t="s">
        <v>201</v>
      </c>
      <c r="E228" s="6">
        <v>26.99</v>
      </c>
      <c r="F228" s="16">
        <v>7.8</v>
      </c>
      <c r="G228" s="49">
        <v>0</v>
      </c>
      <c r="H228" s="50">
        <f t="shared" si="12"/>
        <v>0</v>
      </c>
      <c r="I228" s="50">
        <f t="shared" si="13"/>
        <v>0</v>
      </c>
      <c r="J228" s="50">
        <f t="shared" si="14"/>
        <v>0</v>
      </c>
      <c r="K228" s="51">
        <f t="shared" si="15"/>
        <v>0</v>
      </c>
      <c r="L228" s="36"/>
      <c r="M228" s="11">
        <v>10.98</v>
      </c>
      <c r="N228" s="11">
        <v>9.5478260869565226</v>
      </c>
      <c r="O228" s="11">
        <v>5.5768000000000004</v>
      </c>
      <c r="P228" s="8">
        <v>2</v>
      </c>
      <c r="Q228" s="11">
        <v>3.9710260869565221</v>
      </c>
      <c r="R228" s="11">
        <v>5.49</v>
      </c>
      <c r="S228" s="11">
        <v>4.7739130434782613</v>
      </c>
      <c r="T228" s="11">
        <v>2.7884000000000002</v>
      </c>
      <c r="U228" s="14">
        <v>41.590892531876136</v>
      </c>
      <c r="V228" s="36">
        <f>IFERROR(LOOKUP($C228,#REF!,#REF!),0)</f>
        <v>0</v>
      </c>
      <c r="W228" s="36">
        <f>IFERROR(LOOKUP($C228,#REF!,#REF!),0)</f>
        <v>0</v>
      </c>
      <c r="X228" s="36">
        <f>IFERROR(LOOKUP($C228,#REF!,#REF!),0)</f>
        <v>0</v>
      </c>
      <c r="Y228" s="36">
        <f>IFERROR(LOOKUP($C228,#REF!,#REF!),0)</f>
        <v>0</v>
      </c>
    </row>
    <row r="229" spans="1:25" ht="16.5" customHeight="1" x14ac:dyDescent="0.35">
      <c r="A229" s="3" t="s">
        <v>14</v>
      </c>
      <c r="B229" s="4">
        <v>102</v>
      </c>
      <c r="C229" s="5">
        <v>67246</v>
      </c>
      <c r="D229" s="3" t="s">
        <v>92</v>
      </c>
      <c r="E229" s="6">
        <v>26.99</v>
      </c>
      <c r="F229" s="16">
        <v>7.8</v>
      </c>
      <c r="G229" s="49">
        <v>0</v>
      </c>
      <c r="H229" s="50">
        <f t="shared" si="12"/>
        <v>0</v>
      </c>
      <c r="I229" s="50">
        <f t="shared" si="13"/>
        <v>0</v>
      </c>
      <c r="J229" s="50">
        <f t="shared" si="14"/>
        <v>0</v>
      </c>
      <c r="K229" s="51">
        <f t="shared" si="15"/>
        <v>0</v>
      </c>
      <c r="L229" s="36"/>
      <c r="M229" s="11">
        <v>10</v>
      </c>
      <c r="N229" s="11">
        <v>8.695652173913043</v>
      </c>
      <c r="O229" s="11">
        <v>5.04</v>
      </c>
      <c r="P229" s="8">
        <v>1</v>
      </c>
      <c r="Q229" s="11">
        <v>3.655652173913043</v>
      </c>
      <c r="R229" s="11">
        <v>10</v>
      </c>
      <c r="S229" s="11">
        <v>8.695652173913043</v>
      </c>
      <c r="T229" s="11">
        <v>5.04</v>
      </c>
      <c r="U229" s="14">
        <v>42.039999999999992</v>
      </c>
      <c r="V229" s="36">
        <f>IFERROR(LOOKUP($C229,#REF!,#REF!),0)</f>
        <v>0</v>
      </c>
      <c r="W229" s="36">
        <f>IFERROR(LOOKUP($C229,#REF!,#REF!),0)</f>
        <v>0</v>
      </c>
      <c r="X229" s="36">
        <f>IFERROR(LOOKUP($C229,#REF!,#REF!),0)</f>
        <v>0</v>
      </c>
      <c r="Y229" s="36">
        <f>IFERROR(LOOKUP($C229,#REF!,#REF!),0)</f>
        <v>0</v>
      </c>
    </row>
    <row r="230" spans="1:25" ht="16.5" customHeight="1" x14ac:dyDescent="0.35">
      <c r="A230" s="3" t="s">
        <v>14</v>
      </c>
      <c r="B230" s="4">
        <v>102</v>
      </c>
      <c r="C230" s="5">
        <v>67247</v>
      </c>
      <c r="D230" s="3" t="s">
        <v>202</v>
      </c>
      <c r="E230" s="6">
        <v>15.99</v>
      </c>
      <c r="F230" s="16">
        <v>8.0500000000000007</v>
      </c>
      <c r="G230" s="49">
        <v>0</v>
      </c>
      <c r="H230" s="50">
        <f t="shared" si="12"/>
        <v>0</v>
      </c>
      <c r="I230" s="50">
        <f t="shared" si="13"/>
        <v>0</v>
      </c>
      <c r="J230" s="50">
        <f t="shared" si="14"/>
        <v>0</v>
      </c>
      <c r="K230" s="51">
        <f t="shared" si="15"/>
        <v>0</v>
      </c>
      <c r="L230" s="36"/>
      <c r="M230" s="11">
        <v>7.99</v>
      </c>
      <c r="N230" s="11">
        <v>6.947826086956522</v>
      </c>
      <c r="O230" s="11">
        <v>5.54</v>
      </c>
      <c r="P230" s="8">
        <v>1</v>
      </c>
      <c r="Q230" s="11">
        <v>1.4078260869565229</v>
      </c>
      <c r="R230" s="11">
        <v>7.99</v>
      </c>
      <c r="S230" s="11">
        <v>6.947826086956522</v>
      </c>
      <c r="T230" s="11">
        <v>5.54</v>
      </c>
      <c r="U230" s="14">
        <v>20.262828535669598</v>
      </c>
      <c r="V230" s="36">
        <f>IFERROR(LOOKUP($C230,#REF!,#REF!),0)</f>
        <v>0</v>
      </c>
      <c r="W230" s="36">
        <f>IFERROR(LOOKUP($C230,#REF!,#REF!),0)</f>
        <v>0</v>
      </c>
      <c r="X230" s="36">
        <f>IFERROR(LOOKUP($C230,#REF!,#REF!),0)</f>
        <v>0</v>
      </c>
      <c r="Y230" s="36">
        <f>IFERROR(LOOKUP($C230,#REF!,#REF!),0)</f>
        <v>0</v>
      </c>
    </row>
    <row r="231" spans="1:25" ht="16.5" customHeight="1" x14ac:dyDescent="0.35">
      <c r="A231" s="3" t="s">
        <v>14</v>
      </c>
      <c r="B231" s="4">
        <v>102</v>
      </c>
      <c r="C231" s="5">
        <v>67301</v>
      </c>
      <c r="D231" s="3" t="s">
        <v>203</v>
      </c>
      <c r="E231" s="6">
        <v>15.99</v>
      </c>
      <c r="F231" s="16">
        <v>9.99</v>
      </c>
      <c r="G231" s="49">
        <v>0</v>
      </c>
      <c r="H231" s="50">
        <f t="shared" si="12"/>
        <v>0</v>
      </c>
      <c r="I231" s="50">
        <f t="shared" si="13"/>
        <v>0</v>
      </c>
      <c r="J231" s="50">
        <f t="shared" si="14"/>
        <v>0</v>
      </c>
      <c r="K231" s="51">
        <f t="shared" si="15"/>
        <v>0</v>
      </c>
      <c r="L231" s="36"/>
      <c r="M231" s="11">
        <v>0</v>
      </c>
      <c r="N231" s="11">
        <v>0</v>
      </c>
      <c r="O231" s="11">
        <v>0</v>
      </c>
      <c r="P231" s="8">
        <v>0</v>
      </c>
      <c r="Q231" s="11">
        <v>0</v>
      </c>
      <c r="R231" s="11">
        <v>0</v>
      </c>
      <c r="S231" s="11">
        <v>0</v>
      </c>
      <c r="T231" s="11">
        <v>0</v>
      </c>
      <c r="U231" s="14">
        <v>0</v>
      </c>
      <c r="V231" s="36">
        <f>IFERROR(LOOKUP($C231,#REF!,#REF!),0)</f>
        <v>0</v>
      </c>
      <c r="W231" s="36">
        <f>IFERROR(LOOKUP($C231,#REF!,#REF!),0)</f>
        <v>0</v>
      </c>
      <c r="X231" s="36">
        <f>IFERROR(LOOKUP($C231,#REF!,#REF!),0)</f>
        <v>0</v>
      </c>
      <c r="Y231" s="36">
        <f>IFERROR(LOOKUP($C231,#REF!,#REF!),0)</f>
        <v>0</v>
      </c>
    </row>
    <row r="232" spans="1:25" ht="16.5" customHeight="1" x14ac:dyDescent="0.35">
      <c r="A232" s="3" t="s">
        <v>14</v>
      </c>
      <c r="B232" s="4">
        <v>101</v>
      </c>
      <c r="C232" s="5">
        <v>32858</v>
      </c>
      <c r="D232" s="3" t="s">
        <v>33</v>
      </c>
      <c r="E232" s="6">
        <v>3.8</v>
      </c>
      <c r="F232" s="16">
        <v>1.3</v>
      </c>
      <c r="G232" s="49">
        <v>0</v>
      </c>
      <c r="H232" s="50">
        <f t="shared" si="12"/>
        <v>0</v>
      </c>
      <c r="I232" s="50">
        <f t="shared" si="13"/>
        <v>0</v>
      </c>
      <c r="J232" s="50">
        <f t="shared" si="14"/>
        <v>0</v>
      </c>
      <c r="K232" s="51">
        <f t="shared" si="15"/>
        <v>0</v>
      </c>
      <c r="L232" s="36"/>
      <c r="M232" s="11">
        <v>0</v>
      </c>
      <c r="N232" s="11">
        <v>0</v>
      </c>
      <c r="O232" s="11">
        <v>0</v>
      </c>
      <c r="P232" s="8">
        <v>0</v>
      </c>
      <c r="Q232" s="11">
        <v>0</v>
      </c>
      <c r="R232" s="11">
        <v>0</v>
      </c>
      <c r="S232" s="11">
        <v>0</v>
      </c>
      <c r="T232" s="11">
        <v>0</v>
      </c>
      <c r="U232" s="14">
        <v>0</v>
      </c>
      <c r="V232" s="36">
        <f>IFERROR(LOOKUP($C232,#REF!,#REF!),0)</f>
        <v>0</v>
      </c>
      <c r="W232" s="36">
        <f>IFERROR(LOOKUP($C232,#REF!,#REF!),0)</f>
        <v>0</v>
      </c>
      <c r="X232" s="36">
        <f>IFERROR(LOOKUP($C232,#REF!,#REF!),0)</f>
        <v>0</v>
      </c>
      <c r="Y232" s="36">
        <f>IFERROR(LOOKUP($C232,#REF!,#REF!),0)</f>
        <v>0</v>
      </c>
    </row>
    <row r="233" spans="1:25" ht="16.5" customHeight="1" x14ac:dyDescent="0.35">
      <c r="A233" s="3" t="s">
        <v>14</v>
      </c>
      <c r="B233" s="4">
        <v>101</v>
      </c>
      <c r="C233" s="5">
        <v>32859</v>
      </c>
      <c r="D233" s="3" t="s">
        <v>20</v>
      </c>
      <c r="E233" s="6">
        <v>20.99</v>
      </c>
      <c r="F233" s="16">
        <v>7.46</v>
      </c>
      <c r="G233" s="49">
        <v>104.666666666667</v>
      </c>
      <c r="H233" s="50">
        <f t="shared" si="12"/>
        <v>2196.9533333333402</v>
      </c>
      <c r="I233" s="50">
        <f t="shared" si="13"/>
        <v>780.81333333333578</v>
      </c>
      <c r="J233" s="50">
        <f t="shared" si="14"/>
        <v>1416.1400000000044</v>
      </c>
      <c r="K233" s="51">
        <f t="shared" si="15"/>
        <v>64.459266317293952</v>
      </c>
      <c r="L233" s="36"/>
      <c r="M233" s="11">
        <v>0</v>
      </c>
      <c r="N233" s="11">
        <v>0</v>
      </c>
      <c r="O233" s="11">
        <v>0</v>
      </c>
      <c r="P233" s="8">
        <v>0</v>
      </c>
      <c r="Q233" s="11">
        <v>0</v>
      </c>
      <c r="R233" s="11">
        <v>0</v>
      </c>
      <c r="S233" s="11">
        <v>0</v>
      </c>
      <c r="T233" s="11">
        <v>0</v>
      </c>
      <c r="U233" s="14">
        <v>0</v>
      </c>
      <c r="V233" s="36">
        <f>IFERROR(LOOKUP($C233,#REF!,#REF!),0)</f>
        <v>0</v>
      </c>
      <c r="W233" s="36">
        <f>IFERROR(LOOKUP($C233,#REF!,#REF!),0)</f>
        <v>0</v>
      </c>
      <c r="X233" s="36">
        <f>IFERROR(LOOKUP($C233,#REF!,#REF!),0)</f>
        <v>0</v>
      </c>
      <c r="Y233" s="36">
        <f>IFERROR(LOOKUP($C233,#REF!,#REF!),0)</f>
        <v>0</v>
      </c>
    </row>
    <row r="234" spans="1:25" ht="16.5" customHeight="1" x14ac:dyDescent="0.35">
      <c r="A234" s="3" t="s">
        <v>34</v>
      </c>
      <c r="B234" s="4">
        <v>102</v>
      </c>
      <c r="C234" s="5">
        <v>33032</v>
      </c>
      <c r="D234" s="3" t="s">
        <v>157</v>
      </c>
      <c r="E234" s="6">
        <v>28.99</v>
      </c>
      <c r="F234" s="16">
        <v>14.6126666666667</v>
      </c>
      <c r="G234" s="49">
        <v>0</v>
      </c>
      <c r="H234" s="50">
        <f t="shared" si="12"/>
        <v>0</v>
      </c>
      <c r="I234" s="50">
        <f t="shared" si="13"/>
        <v>0</v>
      </c>
      <c r="J234" s="50">
        <f t="shared" si="14"/>
        <v>0</v>
      </c>
      <c r="K234" s="51">
        <f t="shared" si="15"/>
        <v>0</v>
      </c>
      <c r="L234" s="36"/>
      <c r="M234" s="11">
        <v>0</v>
      </c>
      <c r="N234" s="11">
        <v>0</v>
      </c>
      <c r="O234" s="11">
        <v>0</v>
      </c>
      <c r="P234" s="8">
        <v>0</v>
      </c>
      <c r="Q234" s="11">
        <v>0</v>
      </c>
      <c r="R234" s="11">
        <v>0</v>
      </c>
      <c r="S234" s="11">
        <v>0</v>
      </c>
      <c r="T234" s="11">
        <v>0</v>
      </c>
      <c r="U234" s="14">
        <v>0</v>
      </c>
      <c r="V234" s="36">
        <f>IFERROR(LOOKUP($C234,#REF!,#REF!),0)</f>
        <v>0</v>
      </c>
      <c r="W234" s="36">
        <f>IFERROR(LOOKUP($C234,#REF!,#REF!),0)</f>
        <v>0</v>
      </c>
      <c r="X234" s="36">
        <f>IFERROR(LOOKUP($C234,#REF!,#REF!),0)</f>
        <v>0</v>
      </c>
      <c r="Y234" s="36">
        <f>IFERROR(LOOKUP($C234,#REF!,#REF!),0)</f>
        <v>0</v>
      </c>
    </row>
    <row r="235" spans="1:25" ht="16.5" customHeight="1" x14ac:dyDescent="0.35">
      <c r="A235" s="3" t="s">
        <v>19</v>
      </c>
      <c r="B235" s="4">
        <v>102</v>
      </c>
      <c r="C235" s="5">
        <v>34015</v>
      </c>
      <c r="D235" s="3" t="s">
        <v>103</v>
      </c>
      <c r="E235" s="6">
        <v>29.99</v>
      </c>
      <c r="F235" s="16">
        <v>3.1788888888888902</v>
      </c>
      <c r="G235" s="49">
        <v>6</v>
      </c>
      <c r="H235" s="50">
        <f t="shared" si="12"/>
        <v>179.94</v>
      </c>
      <c r="I235" s="50">
        <f t="shared" si="13"/>
        <v>19.073333333333341</v>
      </c>
      <c r="J235" s="50">
        <f t="shared" si="14"/>
        <v>160.86666666666665</v>
      </c>
      <c r="K235" s="51">
        <f t="shared" si="15"/>
        <v>89.400170427179418</v>
      </c>
      <c r="L235" s="36"/>
      <c r="M235" s="11">
        <v>0</v>
      </c>
      <c r="N235" s="11">
        <v>0</v>
      </c>
      <c r="O235" s="11">
        <v>0</v>
      </c>
      <c r="P235" s="8">
        <v>0</v>
      </c>
      <c r="Q235" s="11">
        <v>0</v>
      </c>
      <c r="R235" s="11">
        <v>0</v>
      </c>
      <c r="S235" s="11">
        <v>0</v>
      </c>
      <c r="T235" s="11">
        <v>0</v>
      </c>
      <c r="U235" s="14">
        <v>0</v>
      </c>
      <c r="V235" s="36">
        <f>IFERROR(LOOKUP($C235,#REF!,#REF!),0)</f>
        <v>0</v>
      </c>
      <c r="W235" s="36">
        <f>IFERROR(LOOKUP($C235,#REF!,#REF!),0)</f>
        <v>0</v>
      </c>
      <c r="X235" s="36">
        <f>IFERROR(LOOKUP($C235,#REF!,#REF!),0)</f>
        <v>0</v>
      </c>
      <c r="Y235" s="36">
        <f>IFERROR(LOOKUP($C235,#REF!,#REF!),0)</f>
        <v>0</v>
      </c>
    </row>
    <row r="236" spans="1:25" ht="16.5" customHeight="1" x14ac:dyDescent="0.35">
      <c r="A236" s="3" t="s">
        <v>19</v>
      </c>
      <c r="B236" s="4">
        <v>101</v>
      </c>
      <c r="C236" s="5">
        <v>34047</v>
      </c>
      <c r="D236" s="3" t="s">
        <v>85</v>
      </c>
      <c r="E236" s="6">
        <v>3.99</v>
      </c>
      <c r="F236" s="16">
        <v>2.120625</v>
      </c>
      <c r="G236" s="49">
        <v>0</v>
      </c>
      <c r="H236" s="50">
        <f t="shared" si="12"/>
        <v>0</v>
      </c>
      <c r="I236" s="50">
        <f t="shared" si="13"/>
        <v>0</v>
      </c>
      <c r="J236" s="50">
        <f t="shared" si="14"/>
        <v>0</v>
      </c>
      <c r="K236" s="51">
        <f t="shared" si="15"/>
        <v>0</v>
      </c>
      <c r="L236" s="36"/>
      <c r="M236" s="11">
        <v>0</v>
      </c>
      <c r="N236" s="11">
        <v>0</v>
      </c>
      <c r="O236" s="11">
        <v>0</v>
      </c>
      <c r="P236" s="8">
        <v>0</v>
      </c>
      <c r="Q236" s="11">
        <v>0</v>
      </c>
      <c r="R236" s="11">
        <v>0</v>
      </c>
      <c r="S236" s="11">
        <v>0</v>
      </c>
      <c r="T236" s="11">
        <v>0</v>
      </c>
      <c r="U236" s="14">
        <v>0</v>
      </c>
      <c r="V236" s="36">
        <f>IFERROR(LOOKUP($C236,#REF!,#REF!),0)</f>
        <v>0</v>
      </c>
      <c r="W236" s="36">
        <f>IFERROR(LOOKUP($C236,#REF!,#REF!),0)</f>
        <v>0</v>
      </c>
      <c r="X236" s="36">
        <f>IFERROR(LOOKUP($C236,#REF!,#REF!),0)</f>
        <v>0</v>
      </c>
      <c r="Y236" s="36">
        <f>IFERROR(LOOKUP($C236,#REF!,#REF!),0)</f>
        <v>0</v>
      </c>
    </row>
    <row r="237" spans="1:25" ht="16.5" customHeight="1" x14ac:dyDescent="0.35">
      <c r="A237" s="3" t="s">
        <v>19</v>
      </c>
      <c r="B237" s="4">
        <v>101</v>
      </c>
      <c r="C237" s="5">
        <v>34132</v>
      </c>
      <c r="D237" s="3" t="s">
        <v>54</v>
      </c>
      <c r="E237" s="6">
        <v>3.99</v>
      </c>
      <c r="F237" s="16">
        <v>2.1095999999999999</v>
      </c>
      <c r="G237" s="49">
        <v>0</v>
      </c>
      <c r="H237" s="50">
        <f t="shared" si="12"/>
        <v>0</v>
      </c>
      <c r="I237" s="50">
        <f t="shared" si="13"/>
        <v>0</v>
      </c>
      <c r="J237" s="50">
        <f t="shared" si="14"/>
        <v>0</v>
      </c>
      <c r="K237" s="51">
        <f t="shared" si="15"/>
        <v>0</v>
      </c>
      <c r="L237" s="36"/>
      <c r="M237" s="11">
        <v>0</v>
      </c>
      <c r="N237" s="11">
        <v>0</v>
      </c>
      <c r="O237" s="11">
        <v>0</v>
      </c>
      <c r="P237" s="8">
        <v>0</v>
      </c>
      <c r="Q237" s="11">
        <v>0</v>
      </c>
      <c r="R237" s="11">
        <v>0</v>
      </c>
      <c r="S237" s="11">
        <v>0</v>
      </c>
      <c r="T237" s="11">
        <v>0</v>
      </c>
      <c r="U237" s="14">
        <v>0</v>
      </c>
      <c r="V237" s="36">
        <f>IFERROR(LOOKUP($C237,#REF!,#REF!),0)</f>
        <v>0</v>
      </c>
      <c r="W237" s="36">
        <f>IFERROR(LOOKUP($C237,#REF!,#REF!),0)</f>
        <v>0</v>
      </c>
      <c r="X237" s="36">
        <f>IFERROR(LOOKUP($C237,#REF!,#REF!),0)</f>
        <v>0</v>
      </c>
      <c r="Y237" s="36">
        <f>IFERROR(LOOKUP($C237,#REF!,#REF!),0)</f>
        <v>0</v>
      </c>
    </row>
    <row r="238" spans="1:25" ht="16.5" customHeight="1" x14ac:dyDescent="0.35">
      <c r="A238" s="3" t="s">
        <v>19</v>
      </c>
      <c r="B238" s="4">
        <v>101</v>
      </c>
      <c r="C238" s="5">
        <v>34141</v>
      </c>
      <c r="D238" s="3" t="s">
        <v>24</v>
      </c>
      <c r="E238" s="6">
        <v>5</v>
      </c>
      <c r="F238" s="16">
        <v>3.3388749999999998</v>
      </c>
      <c r="G238" s="49">
        <v>144</v>
      </c>
      <c r="H238" s="50">
        <f t="shared" si="12"/>
        <v>720</v>
      </c>
      <c r="I238" s="50">
        <f t="shared" si="13"/>
        <v>480.798</v>
      </c>
      <c r="J238" s="50">
        <f t="shared" si="14"/>
        <v>239.202</v>
      </c>
      <c r="K238" s="51">
        <f t="shared" si="15"/>
        <v>33.222499999999997</v>
      </c>
      <c r="L238" s="36"/>
      <c r="M238" s="11">
        <v>0</v>
      </c>
      <c r="N238" s="11">
        <v>0</v>
      </c>
      <c r="O238" s="11">
        <v>0</v>
      </c>
      <c r="P238" s="8">
        <v>0</v>
      </c>
      <c r="Q238" s="11">
        <v>0</v>
      </c>
      <c r="R238" s="11">
        <v>0</v>
      </c>
      <c r="S238" s="11">
        <v>0</v>
      </c>
      <c r="T238" s="11">
        <v>0</v>
      </c>
      <c r="U238" s="14">
        <v>0</v>
      </c>
      <c r="V238" s="36">
        <f>IFERROR(LOOKUP($C238,#REF!,#REF!),0)</f>
        <v>0</v>
      </c>
      <c r="W238" s="36">
        <f>IFERROR(LOOKUP($C238,#REF!,#REF!),0)</f>
        <v>0</v>
      </c>
      <c r="X238" s="36">
        <f>IFERROR(LOOKUP($C238,#REF!,#REF!),0)</f>
        <v>0</v>
      </c>
      <c r="Y238" s="36">
        <f>IFERROR(LOOKUP($C238,#REF!,#REF!),0)</f>
        <v>0</v>
      </c>
    </row>
    <row r="239" spans="1:25" ht="16.5" customHeight="1" x14ac:dyDescent="0.35">
      <c r="A239" s="3" t="s">
        <v>14</v>
      </c>
      <c r="B239" s="4">
        <v>101</v>
      </c>
      <c r="C239" s="5">
        <v>34687</v>
      </c>
      <c r="D239" s="3" t="s">
        <v>39</v>
      </c>
      <c r="E239" s="6">
        <v>3</v>
      </c>
      <c r="F239" s="16">
        <v>1.53</v>
      </c>
      <c r="G239" s="49">
        <v>0</v>
      </c>
      <c r="H239" s="50">
        <f t="shared" si="12"/>
        <v>0</v>
      </c>
      <c r="I239" s="50">
        <f t="shared" si="13"/>
        <v>0</v>
      </c>
      <c r="J239" s="50">
        <f t="shared" si="14"/>
        <v>0</v>
      </c>
      <c r="K239" s="51">
        <f t="shared" si="15"/>
        <v>0</v>
      </c>
      <c r="L239" s="36"/>
      <c r="M239" s="11">
        <v>0</v>
      </c>
      <c r="N239" s="11">
        <v>0</v>
      </c>
      <c r="O239" s="11">
        <v>0</v>
      </c>
      <c r="P239" s="8">
        <v>0</v>
      </c>
      <c r="Q239" s="11">
        <v>0</v>
      </c>
      <c r="R239" s="11">
        <v>0</v>
      </c>
      <c r="S239" s="11">
        <v>0</v>
      </c>
      <c r="T239" s="11">
        <v>0</v>
      </c>
      <c r="U239" s="14">
        <v>0</v>
      </c>
      <c r="V239" s="36">
        <f>IFERROR(LOOKUP($C239,#REF!,#REF!),0)</f>
        <v>0</v>
      </c>
      <c r="W239" s="36">
        <f>IFERROR(LOOKUP($C239,#REF!,#REF!),0)</f>
        <v>0</v>
      </c>
      <c r="X239" s="36">
        <f>IFERROR(LOOKUP($C239,#REF!,#REF!),0)</f>
        <v>0</v>
      </c>
      <c r="Y239" s="36">
        <f>IFERROR(LOOKUP($C239,#REF!,#REF!),0)</f>
        <v>0</v>
      </c>
    </row>
    <row r="240" spans="1:25" ht="16.5" customHeight="1" x14ac:dyDescent="0.35">
      <c r="A240" s="3" t="s">
        <v>34</v>
      </c>
      <c r="B240" s="4">
        <v>102</v>
      </c>
      <c r="C240" s="5">
        <v>38815</v>
      </c>
      <c r="D240" s="3" t="s">
        <v>181</v>
      </c>
      <c r="E240" s="6">
        <v>10.85</v>
      </c>
      <c r="F240" s="16">
        <v>5.9984999999999999</v>
      </c>
      <c r="G240" s="49">
        <v>0</v>
      </c>
      <c r="H240" s="50">
        <f t="shared" si="12"/>
        <v>0</v>
      </c>
      <c r="I240" s="50">
        <f t="shared" si="13"/>
        <v>0</v>
      </c>
      <c r="J240" s="50">
        <f t="shared" si="14"/>
        <v>0</v>
      </c>
      <c r="K240" s="51">
        <f t="shared" si="15"/>
        <v>0</v>
      </c>
      <c r="L240" s="36"/>
      <c r="M240" s="11">
        <v>0</v>
      </c>
      <c r="N240" s="11">
        <v>0</v>
      </c>
      <c r="O240" s="11">
        <v>0</v>
      </c>
      <c r="P240" s="8">
        <v>0</v>
      </c>
      <c r="Q240" s="11">
        <v>0</v>
      </c>
      <c r="R240" s="11">
        <v>0</v>
      </c>
      <c r="S240" s="11">
        <v>0</v>
      </c>
      <c r="T240" s="11">
        <v>0</v>
      </c>
      <c r="U240" s="14">
        <v>0</v>
      </c>
      <c r="V240" s="36">
        <f>IFERROR(LOOKUP($C240,#REF!,#REF!),0)</f>
        <v>0</v>
      </c>
      <c r="W240" s="36">
        <f>IFERROR(LOOKUP($C240,#REF!,#REF!),0)</f>
        <v>0</v>
      </c>
      <c r="X240" s="36">
        <f>IFERROR(LOOKUP($C240,#REF!,#REF!),0)</f>
        <v>0</v>
      </c>
      <c r="Y240" s="36">
        <f>IFERROR(LOOKUP($C240,#REF!,#REF!),0)</f>
        <v>0</v>
      </c>
    </row>
    <row r="241" spans="1:25" ht="16.5" customHeight="1" x14ac:dyDescent="0.35">
      <c r="A241" s="3" t="s">
        <v>34</v>
      </c>
      <c r="B241" s="4">
        <v>102</v>
      </c>
      <c r="C241" s="5">
        <v>38816</v>
      </c>
      <c r="D241" s="3" t="s">
        <v>182</v>
      </c>
      <c r="E241" s="6">
        <v>7.99</v>
      </c>
      <c r="F241" s="16">
        <v>4.1159999999999997</v>
      </c>
      <c r="G241" s="49">
        <v>0</v>
      </c>
      <c r="H241" s="50">
        <f t="shared" si="12"/>
        <v>0</v>
      </c>
      <c r="I241" s="50">
        <f t="shared" si="13"/>
        <v>0</v>
      </c>
      <c r="J241" s="50">
        <f t="shared" si="14"/>
        <v>0</v>
      </c>
      <c r="K241" s="51">
        <f t="shared" si="15"/>
        <v>0</v>
      </c>
      <c r="L241" s="36"/>
      <c r="M241" s="11">
        <v>0</v>
      </c>
      <c r="N241" s="11">
        <v>0</v>
      </c>
      <c r="O241" s="11">
        <v>0</v>
      </c>
      <c r="P241" s="8">
        <v>0</v>
      </c>
      <c r="Q241" s="11">
        <v>0</v>
      </c>
      <c r="R241" s="11">
        <v>0</v>
      </c>
      <c r="S241" s="11">
        <v>0</v>
      </c>
      <c r="T241" s="11">
        <v>0</v>
      </c>
      <c r="U241" s="14">
        <v>0</v>
      </c>
      <c r="V241" s="36">
        <f>IFERROR(LOOKUP($C241,#REF!,#REF!),0)</f>
        <v>0</v>
      </c>
      <c r="W241" s="36">
        <f>IFERROR(LOOKUP($C241,#REF!,#REF!),0)</f>
        <v>0</v>
      </c>
      <c r="X241" s="36">
        <f>IFERROR(LOOKUP($C241,#REF!,#REF!),0)</f>
        <v>0</v>
      </c>
      <c r="Y241" s="36">
        <f>IFERROR(LOOKUP($C241,#REF!,#REF!),0)</f>
        <v>0</v>
      </c>
    </row>
    <row r="242" spans="1:25" ht="16.5" customHeight="1" x14ac:dyDescent="0.35">
      <c r="A242" s="3" t="s">
        <v>34</v>
      </c>
      <c r="B242" s="4">
        <v>102</v>
      </c>
      <c r="C242" s="5">
        <v>38908</v>
      </c>
      <c r="D242" s="3" t="s">
        <v>183</v>
      </c>
      <c r="E242" s="6">
        <v>7.99</v>
      </c>
      <c r="F242" s="16">
        <v>4.3630833333333303</v>
      </c>
      <c r="G242" s="49">
        <v>0</v>
      </c>
      <c r="H242" s="50">
        <f t="shared" si="12"/>
        <v>0</v>
      </c>
      <c r="I242" s="50">
        <f t="shared" si="13"/>
        <v>0</v>
      </c>
      <c r="J242" s="50">
        <f t="shared" si="14"/>
        <v>0</v>
      </c>
      <c r="K242" s="51">
        <f t="shared" si="15"/>
        <v>0</v>
      </c>
      <c r="L242" s="36"/>
      <c r="M242" s="11">
        <v>0</v>
      </c>
      <c r="N242" s="11">
        <v>0</v>
      </c>
      <c r="O242" s="11">
        <v>0</v>
      </c>
      <c r="P242" s="8">
        <v>0</v>
      </c>
      <c r="Q242" s="11">
        <v>0</v>
      </c>
      <c r="R242" s="11">
        <v>0</v>
      </c>
      <c r="S242" s="11">
        <v>0</v>
      </c>
      <c r="T242" s="11">
        <v>0</v>
      </c>
      <c r="U242" s="14">
        <v>0</v>
      </c>
      <c r="V242" s="36">
        <f>IFERROR(LOOKUP($C242,#REF!,#REF!),0)</f>
        <v>0</v>
      </c>
      <c r="W242" s="36">
        <f>IFERROR(LOOKUP($C242,#REF!,#REF!),0)</f>
        <v>0</v>
      </c>
      <c r="X242" s="36">
        <f>IFERROR(LOOKUP($C242,#REF!,#REF!),0)</f>
        <v>0</v>
      </c>
      <c r="Y242" s="36">
        <f>IFERROR(LOOKUP($C242,#REF!,#REF!),0)</f>
        <v>0</v>
      </c>
    </row>
    <row r="243" spans="1:25" ht="16.5" customHeight="1" x14ac:dyDescent="0.35">
      <c r="A243" s="3" t="s">
        <v>34</v>
      </c>
      <c r="B243" s="4">
        <v>102</v>
      </c>
      <c r="C243" s="5">
        <v>38983</v>
      </c>
      <c r="D243" s="3" t="s">
        <v>184</v>
      </c>
      <c r="E243" s="6">
        <v>10.85</v>
      </c>
      <c r="F243" s="16">
        <v>5.9984999999999999</v>
      </c>
      <c r="G243" s="49">
        <v>0</v>
      </c>
      <c r="H243" s="50">
        <f t="shared" si="12"/>
        <v>0</v>
      </c>
      <c r="I243" s="50">
        <f t="shared" si="13"/>
        <v>0</v>
      </c>
      <c r="J243" s="50">
        <f t="shared" si="14"/>
        <v>0</v>
      </c>
      <c r="K243" s="51">
        <f t="shared" si="15"/>
        <v>0</v>
      </c>
      <c r="L243" s="36"/>
      <c r="M243" s="11">
        <v>0</v>
      </c>
      <c r="N243" s="11">
        <v>0</v>
      </c>
      <c r="O243" s="11">
        <v>0</v>
      </c>
      <c r="P243" s="8">
        <v>0</v>
      </c>
      <c r="Q243" s="11">
        <v>0</v>
      </c>
      <c r="R243" s="11">
        <v>0</v>
      </c>
      <c r="S243" s="11">
        <v>0</v>
      </c>
      <c r="T243" s="11">
        <v>0</v>
      </c>
      <c r="U243" s="14">
        <v>0</v>
      </c>
      <c r="V243" s="36">
        <f>IFERROR(LOOKUP($C243,#REF!,#REF!),0)</f>
        <v>0</v>
      </c>
      <c r="W243" s="36">
        <f>IFERROR(LOOKUP($C243,#REF!,#REF!),0)</f>
        <v>0</v>
      </c>
      <c r="X243" s="36">
        <f>IFERROR(LOOKUP($C243,#REF!,#REF!),0)</f>
        <v>0</v>
      </c>
      <c r="Y243" s="36">
        <f>IFERROR(LOOKUP($C243,#REF!,#REF!),0)</f>
        <v>0</v>
      </c>
    </row>
    <row r="244" spans="1:25" ht="16.5" customHeight="1" x14ac:dyDescent="0.35">
      <c r="A244" s="3" t="s">
        <v>34</v>
      </c>
      <c r="B244" s="4">
        <v>102</v>
      </c>
      <c r="C244" s="5">
        <v>39025</v>
      </c>
      <c r="D244" s="3" t="s">
        <v>185</v>
      </c>
      <c r="E244" s="6">
        <v>330.99</v>
      </c>
      <c r="F244" s="16">
        <v>182.6</v>
      </c>
      <c r="G244" s="49">
        <v>0</v>
      </c>
      <c r="H244" s="50">
        <f t="shared" si="12"/>
        <v>0</v>
      </c>
      <c r="I244" s="50">
        <f t="shared" si="13"/>
        <v>0</v>
      </c>
      <c r="J244" s="50">
        <f t="shared" si="14"/>
        <v>0</v>
      </c>
      <c r="K244" s="51">
        <f t="shared" si="15"/>
        <v>0</v>
      </c>
      <c r="L244" s="36"/>
      <c r="M244" s="11">
        <v>0</v>
      </c>
      <c r="N244" s="11">
        <v>0</v>
      </c>
      <c r="O244" s="11">
        <v>0</v>
      </c>
      <c r="P244" s="8">
        <v>0</v>
      </c>
      <c r="Q244" s="11">
        <v>0</v>
      </c>
      <c r="R244" s="11">
        <v>0</v>
      </c>
      <c r="S244" s="11">
        <v>0</v>
      </c>
      <c r="T244" s="11">
        <v>0</v>
      </c>
      <c r="U244" s="14">
        <v>0</v>
      </c>
      <c r="V244" s="36">
        <f>IFERROR(LOOKUP($C244,#REF!,#REF!),0)</f>
        <v>0</v>
      </c>
      <c r="W244" s="36">
        <f>IFERROR(LOOKUP($C244,#REF!,#REF!),0)</f>
        <v>0</v>
      </c>
      <c r="X244" s="36">
        <f>IFERROR(LOOKUP($C244,#REF!,#REF!),0)</f>
        <v>0</v>
      </c>
      <c r="Y244" s="36">
        <f>IFERROR(LOOKUP($C244,#REF!,#REF!),0)</f>
        <v>0</v>
      </c>
    </row>
    <row r="245" spans="1:25" ht="16.5" customHeight="1" x14ac:dyDescent="0.35">
      <c r="A245" s="3" t="s">
        <v>34</v>
      </c>
      <c r="B245" s="4">
        <v>102</v>
      </c>
      <c r="C245" s="5">
        <v>39421</v>
      </c>
      <c r="D245" s="3" t="s">
        <v>186</v>
      </c>
      <c r="E245" s="6">
        <v>28.99</v>
      </c>
      <c r="F245" s="16">
        <v>16.567</v>
      </c>
      <c r="G245" s="49">
        <v>0</v>
      </c>
      <c r="H245" s="50">
        <f t="shared" si="12"/>
        <v>0</v>
      </c>
      <c r="I245" s="50">
        <f t="shared" si="13"/>
        <v>0</v>
      </c>
      <c r="J245" s="50">
        <f t="shared" si="14"/>
        <v>0</v>
      </c>
      <c r="K245" s="51">
        <f t="shared" si="15"/>
        <v>0</v>
      </c>
      <c r="L245" s="36"/>
      <c r="M245" s="11">
        <v>0</v>
      </c>
      <c r="N245" s="11">
        <v>0</v>
      </c>
      <c r="O245" s="11">
        <v>0</v>
      </c>
      <c r="P245" s="8">
        <v>0</v>
      </c>
      <c r="Q245" s="11">
        <v>0</v>
      </c>
      <c r="R245" s="11">
        <v>0</v>
      </c>
      <c r="S245" s="11">
        <v>0</v>
      </c>
      <c r="T245" s="11">
        <v>0</v>
      </c>
      <c r="U245" s="14">
        <v>0</v>
      </c>
      <c r="V245" s="36">
        <f>IFERROR(LOOKUP($C245,#REF!,#REF!),0)</f>
        <v>0</v>
      </c>
      <c r="W245" s="36">
        <f>IFERROR(LOOKUP($C245,#REF!,#REF!),0)</f>
        <v>0</v>
      </c>
      <c r="X245" s="36">
        <f>IFERROR(LOOKUP($C245,#REF!,#REF!),0)</f>
        <v>0</v>
      </c>
      <c r="Y245" s="36">
        <f>IFERROR(LOOKUP($C245,#REF!,#REF!),0)</f>
        <v>0</v>
      </c>
    </row>
    <row r="246" spans="1:25" ht="16.5" customHeight="1" x14ac:dyDescent="0.35">
      <c r="A246" s="3" t="s">
        <v>34</v>
      </c>
      <c r="B246" s="4">
        <v>102</v>
      </c>
      <c r="C246" s="5">
        <v>39963</v>
      </c>
      <c r="D246" s="3" t="s">
        <v>187</v>
      </c>
      <c r="E246" s="6">
        <v>5.4</v>
      </c>
      <c r="F246" s="16">
        <v>2.9407999999999999</v>
      </c>
      <c r="G246" s="49">
        <v>0</v>
      </c>
      <c r="H246" s="50">
        <f t="shared" si="12"/>
        <v>0</v>
      </c>
      <c r="I246" s="50">
        <f t="shared" si="13"/>
        <v>0</v>
      </c>
      <c r="J246" s="50">
        <f t="shared" si="14"/>
        <v>0</v>
      </c>
      <c r="K246" s="51">
        <f t="shared" si="15"/>
        <v>0</v>
      </c>
      <c r="L246" s="36"/>
      <c r="M246" s="11">
        <v>0</v>
      </c>
      <c r="N246" s="11">
        <v>0</v>
      </c>
      <c r="O246" s="11">
        <v>0</v>
      </c>
      <c r="P246" s="8">
        <v>0</v>
      </c>
      <c r="Q246" s="11">
        <v>0</v>
      </c>
      <c r="R246" s="11">
        <v>0</v>
      </c>
      <c r="S246" s="11">
        <v>0</v>
      </c>
      <c r="T246" s="11">
        <v>0</v>
      </c>
      <c r="U246" s="14">
        <v>0</v>
      </c>
      <c r="V246" s="36">
        <f>IFERROR(LOOKUP($C246,#REF!,#REF!),0)</f>
        <v>0</v>
      </c>
      <c r="W246" s="36">
        <f>IFERROR(LOOKUP($C246,#REF!,#REF!),0)</f>
        <v>0</v>
      </c>
      <c r="X246" s="36">
        <f>IFERROR(LOOKUP($C246,#REF!,#REF!),0)</f>
        <v>0</v>
      </c>
      <c r="Y246" s="36">
        <f>IFERROR(LOOKUP($C246,#REF!,#REF!),0)</f>
        <v>0</v>
      </c>
    </row>
    <row r="247" spans="1:25" ht="16.5" customHeight="1" x14ac:dyDescent="0.35">
      <c r="A247" s="3" t="s">
        <v>14</v>
      </c>
      <c r="B247" s="4">
        <v>101</v>
      </c>
      <c r="C247" s="5">
        <v>40158</v>
      </c>
      <c r="D247" s="3" t="s">
        <v>56</v>
      </c>
      <c r="E247" s="6">
        <v>11.99</v>
      </c>
      <c r="F247" s="16">
        <v>6.05</v>
      </c>
      <c r="G247" s="49">
        <v>0</v>
      </c>
      <c r="H247" s="50">
        <f t="shared" si="12"/>
        <v>0</v>
      </c>
      <c r="I247" s="50">
        <f t="shared" si="13"/>
        <v>0</v>
      </c>
      <c r="J247" s="50">
        <f t="shared" si="14"/>
        <v>0</v>
      </c>
      <c r="K247" s="51">
        <f t="shared" si="15"/>
        <v>0</v>
      </c>
      <c r="L247" s="36"/>
      <c r="M247" s="11">
        <v>0</v>
      </c>
      <c r="N247" s="11">
        <v>0</v>
      </c>
      <c r="O247" s="11">
        <v>0</v>
      </c>
      <c r="P247" s="8">
        <v>0</v>
      </c>
      <c r="Q247" s="11">
        <v>0</v>
      </c>
      <c r="R247" s="11">
        <v>0</v>
      </c>
      <c r="S247" s="11">
        <v>0</v>
      </c>
      <c r="T247" s="11">
        <v>0</v>
      </c>
      <c r="U247" s="14">
        <v>0</v>
      </c>
      <c r="V247" s="36">
        <f>IFERROR(LOOKUP($C247,#REF!,#REF!),0)</f>
        <v>0</v>
      </c>
      <c r="W247" s="36">
        <f>IFERROR(LOOKUP($C247,#REF!,#REF!),0)</f>
        <v>0</v>
      </c>
      <c r="X247" s="36">
        <f>IFERROR(LOOKUP($C247,#REF!,#REF!),0)</f>
        <v>0</v>
      </c>
      <c r="Y247" s="36">
        <f>IFERROR(LOOKUP($C247,#REF!,#REF!),0)</f>
        <v>0</v>
      </c>
    </row>
    <row r="248" spans="1:25" ht="16.5" customHeight="1" x14ac:dyDescent="0.35">
      <c r="A248" s="3" t="s">
        <v>34</v>
      </c>
      <c r="B248" s="4">
        <v>102</v>
      </c>
      <c r="C248" s="5">
        <v>40364</v>
      </c>
      <c r="D248" s="3" t="s">
        <v>188</v>
      </c>
      <c r="E248" s="6">
        <v>4.99</v>
      </c>
      <c r="F248" s="16">
        <v>2.8072499999999998</v>
      </c>
      <c r="G248" s="49">
        <v>0</v>
      </c>
      <c r="H248" s="50">
        <f t="shared" si="12"/>
        <v>0</v>
      </c>
      <c r="I248" s="50">
        <f t="shared" si="13"/>
        <v>0</v>
      </c>
      <c r="J248" s="50">
        <f t="shared" si="14"/>
        <v>0</v>
      </c>
      <c r="K248" s="51">
        <f t="shared" si="15"/>
        <v>0</v>
      </c>
      <c r="L248" s="36"/>
      <c r="M248" s="11">
        <v>0</v>
      </c>
      <c r="N248" s="11">
        <v>0</v>
      </c>
      <c r="O248" s="11">
        <v>0</v>
      </c>
      <c r="P248" s="8">
        <v>0</v>
      </c>
      <c r="Q248" s="11">
        <v>0</v>
      </c>
      <c r="R248" s="11">
        <v>0</v>
      </c>
      <c r="S248" s="11">
        <v>0</v>
      </c>
      <c r="T248" s="11">
        <v>0</v>
      </c>
      <c r="U248" s="14">
        <v>0</v>
      </c>
      <c r="V248" s="36">
        <f>IFERROR(LOOKUP($C248,#REF!,#REF!),0)</f>
        <v>0</v>
      </c>
      <c r="W248" s="36">
        <f>IFERROR(LOOKUP($C248,#REF!,#REF!),0)</f>
        <v>0</v>
      </c>
      <c r="X248" s="36">
        <f>IFERROR(LOOKUP($C248,#REF!,#REF!),0)</f>
        <v>0</v>
      </c>
      <c r="Y248" s="36">
        <f>IFERROR(LOOKUP($C248,#REF!,#REF!),0)</f>
        <v>0</v>
      </c>
    </row>
    <row r="249" spans="1:25" ht="16.5" customHeight="1" x14ac:dyDescent="0.35">
      <c r="A249" s="3" t="s">
        <v>19</v>
      </c>
      <c r="B249" s="4">
        <v>102</v>
      </c>
      <c r="C249" s="5">
        <v>42674</v>
      </c>
      <c r="D249" s="3" t="s">
        <v>180</v>
      </c>
      <c r="E249" s="6">
        <v>5.49</v>
      </c>
      <c r="F249" s="16">
        <v>2.7884166666666701</v>
      </c>
      <c r="G249" s="49">
        <v>0</v>
      </c>
      <c r="H249" s="50">
        <f t="shared" si="12"/>
        <v>0</v>
      </c>
      <c r="I249" s="50">
        <f t="shared" si="13"/>
        <v>0</v>
      </c>
      <c r="J249" s="50">
        <f t="shared" si="14"/>
        <v>0</v>
      </c>
      <c r="K249" s="51">
        <f t="shared" si="15"/>
        <v>0</v>
      </c>
      <c r="L249" s="36"/>
      <c r="M249" s="11">
        <v>0</v>
      </c>
      <c r="N249" s="11">
        <v>0</v>
      </c>
      <c r="O249" s="11">
        <v>0</v>
      </c>
      <c r="P249" s="8">
        <v>0</v>
      </c>
      <c r="Q249" s="11">
        <v>0</v>
      </c>
      <c r="R249" s="11">
        <v>0</v>
      </c>
      <c r="S249" s="11">
        <v>0</v>
      </c>
      <c r="T249" s="11">
        <v>0</v>
      </c>
      <c r="U249" s="14">
        <v>0</v>
      </c>
      <c r="V249" s="36">
        <f>IFERROR(LOOKUP($C249,#REF!,#REF!),0)</f>
        <v>0</v>
      </c>
      <c r="W249" s="36">
        <f>IFERROR(LOOKUP($C249,#REF!,#REF!),0)</f>
        <v>0</v>
      </c>
      <c r="X249" s="36">
        <f>IFERROR(LOOKUP($C249,#REF!,#REF!),0)</f>
        <v>0</v>
      </c>
      <c r="Y249" s="36">
        <f>IFERROR(LOOKUP($C249,#REF!,#REF!),0)</f>
        <v>0</v>
      </c>
    </row>
    <row r="250" spans="1:25" ht="16.5" customHeight="1" x14ac:dyDescent="0.35">
      <c r="A250" s="18" t="s">
        <v>313</v>
      </c>
      <c r="B250" s="19">
        <v>102</v>
      </c>
      <c r="C250" s="20">
        <v>42797</v>
      </c>
      <c r="D250" s="18" t="s">
        <v>96</v>
      </c>
      <c r="E250" s="21">
        <v>11.99</v>
      </c>
      <c r="F250" s="37">
        <v>4.968</v>
      </c>
      <c r="G250" s="49">
        <v>0</v>
      </c>
      <c r="H250" s="50">
        <f t="shared" si="12"/>
        <v>0</v>
      </c>
      <c r="I250" s="50">
        <f t="shared" si="13"/>
        <v>0</v>
      </c>
      <c r="J250" s="50">
        <f t="shared" si="14"/>
        <v>0</v>
      </c>
      <c r="K250" s="51">
        <f t="shared" si="15"/>
        <v>0</v>
      </c>
      <c r="L250" s="36"/>
      <c r="M250" s="11">
        <v>0</v>
      </c>
      <c r="N250" s="11">
        <v>0</v>
      </c>
      <c r="O250" s="11">
        <v>0</v>
      </c>
      <c r="P250" s="8">
        <v>0</v>
      </c>
      <c r="Q250" s="11">
        <v>0</v>
      </c>
      <c r="R250" s="11">
        <v>0</v>
      </c>
      <c r="S250" s="11">
        <v>0</v>
      </c>
      <c r="T250" s="11">
        <v>0</v>
      </c>
      <c r="U250" s="14">
        <v>0</v>
      </c>
      <c r="V250" s="36">
        <f>IFERROR(LOOKUP($C250,#REF!,#REF!),0)</f>
        <v>0</v>
      </c>
      <c r="W250" s="36">
        <f>IFERROR(LOOKUP($C250,#REF!,#REF!),0)</f>
        <v>0</v>
      </c>
      <c r="X250" s="36">
        <f>IFERROR(LOOKUP($C250,#REF!,#REF!),0)</f>
        <v>0</v>
      </c>
      <c r="Y250" s="36">
        <f>IFERROR(LOOKUP($C250,#REF!,#REF!),0)</f>
        <v>0</v>
      </c>
    </row>
    <row r="251" spans="1:25" ht="16.5" customHeight="1" x14ac:dyDescent="0.35">
      <c r="A251" s="3" t="s">
        <v>313</v>
      </c>
      <c r="B251" s="4">
        <v>101</v>
      </c>
      <c r="C251" s="5">
        <v>43420</v>
      </c>
      <c r="D251" s="3" t="s">
        <v>75</v>
      </c>
      <c r="E251" s="6">
        <v>13.99</v>
      </c>
      <c r="F251" s="16">
        <v>6.5</v>
      </c>
      <c r="G251" s="49">
        <v>0</v>
      </c>
      <c r="H251" s="50">
        <f t="shared" si="12"/>
        <v>0</v>
      </c>
      <c r="I251" s="50">
        <f t="shared" si="13"/>
        <v>0</v>
      </c>
      <c r="J251" s="50">
        <f t="shared" si="14"/>
        <v>0</v>
      </c>
      <c r="K251" s="51">
        <f t="shared" si="15"/>
        <v>0</v>
      </c>
      <c r="L251" s="36"/>
      <c r="M251" s="11">
        <v>0</v>
      </c>
      <c r="N251" s="11">
        <v>0</v>
      </c>
      <c r="O251" s="11">
        <v>0</v>
      </c>
      <c r="P251" s="8">
        <v>0</v>
      </c>
      <c r="Q251" s="11">
        <v>0</v>
      </c>
      <c r="R251" s="11">
        <v>0</v>
      </c>
      <c r="S251" s="11">
        <v>0</v>
      </c>
      <c r="T251" s="11">
        <v>0</v>
      </c>
      <c r="U251" s="14">
        <v>0</v>
      </c>
      <c r="V251" s="36">
        <f>IFERROR(LOOKUP($C251,#REF!,#REF!),0)</f>
        <v>0</v>
      </c>
      <c r="W251" s="36">
        <f>IFERROR(LOOKUP($C251,#REF!,#REF!),0)</f>
        <v>0</v>
      </c>
      <c r="X251" s="36">
        <f>IFERROR(LOOKUP($C251,#REF!,#REF!),0)</f>
        <v>0</v>
      </c>
      <c r="Y251" s="36">
        <f>IFERROR(LOOKUP($C251,#REF!,#REF!),0)</f>
        <v>0</v>
      </c>
    </row>
    <row r="252" spans="1:25" ht="16.5" customHeight="1" x14ac:dyDescent="0.35">
      <c r="A252" s="3" t="s">
        <v>19</v>
      </c>
      <c r="B252" s="4">
        <v>102</v>
      </c>
      <c r="C252" s="5">
        <v>46909</v>
      </c>
      <c r="D252" s="3" t="s">
        <v>149</v>
      </c>
      <c r="E252" s="6">
        <v>10.99</v>
      </c>
      <c r="F252" s="16">
        <v>5.7054999999999998</v>
      </c>
      <c r="G252" s="49">
        <v>0</v>
      </c>
      <c r="H252" s="50">
        <f t="shared" si="12"/>
        <v>0</v>
      </c>
      <c r="I252" s="50">
        <f t="shared" si="13"/>
        <v>0</v>
      </c>
      <c r="J252" s="50">
        <f t="shared" si="14"/>
        <v>0</v>
      </c>
      <c r="K252" s="51">
        <f t="shared" si="15"/>
        <v>0</v>
      </c>
      <c r="L252" s="36"/>
      <c r="M252" s="11">
        <v>0</v>
      </c>
      <c r="N252" s="11">
        <v>0</v>
      </c>
      <c r="O252" s="11">
        <v>0</v>
      </c>
      <c r="P252" s="8">
        <v>0</v>
      </c>
      <c r="Q252" s="11">
        <v>0</v>
      </c>
      <c r="R252" s="11">
        <v>0</v>
      </c>
      <c r="S252" s="11">
        <v>0</v>
      </c>
      <c r="T252" s="11">
        <v>0</v>
      </c>
      <c r="U252" s="14">
        <v>0</v>
      </c>
      <c r="V252" s="36">
        <f>IFERROR(LOOKUP($C252,#REF!,#REF!),0)</f>
        <v>0</v>
      </c>
      <c r="W252" s="36">
        <f>IFERROR(LOOKUP($C252,#REF!,#REF!),0)</f>
        <v>0</v>
      </c>
      <c r="X252" s="36">
        <f>IFERROR(LOOKUP($C252,#REF!,#REF!),0)</f>
        <v>0</v>
      </c>
      <c r="Y252" s="36">
        <f>IFERROR(LOOKUP($C252,#REF!,#REF!),0)</f>
        <v>0</v>
      </c>
    </row>
    <row r="253" spans="1:25" ht="16.5" customHeight="1" x14ac:dyDescent="0.35">
      <c r="A253" s="3" t="s">
        <v>19</v>
      </c>
      <c r="B253" s="4">
        <v>109</v>
      </c>
      <c r="C253" s="5">
        <v>48604</v>
      </c>
      <c r="D253" s="3" t="s">
        <v>247</v>
      </c>
      <c r="E253" s="6">
        <v>189.99</v>
      </c>
      <c r="F253" s="16">
        <v>107.69199999999999</v>
      </c>
      <c r="G253" s="49">
        <v>0</v>
      </c>
      <c r="H253" s="50">
        <f t="shared" si="12"/>
        <v>0</v>
      </c>
      <c r="I253" s="50">
        <f t="shared" si="13"/>
        <v>0</v>
      </c>
      <c r="J253" s="50">
        <f t="shared" si="14"/>
        <v>0</v>
      </c>
      <c r="K253" s="51">
        <f t="shared" si="15"/>
        <v>0</v>
      </c>
      <c r="L253" s="36"/>
      <c r="M253" s="11">
        <v>0</v>
      </c>
      <c r="N253" s="11">
        <v>0</v>
      </c>
      <c r="O253" s="11">
        <v>0</v>
      </c>
      <c r="P253" s="8">
        <v>0</v>
      </c>
      <c r="Q253" s="11">
        <v>0</v>
      </c>
      <c r="R253" s="11">
        <v>0</v>
      </c>
      <c r="S253" s="11">
        <v>0</v>
      </c>
      <c r="T253" s="11">
        <v>0</v>
      </c>
      <c r="U253" s="14">
        <v>0</v>
      </c>
      <c r="V253" s="36">
        <f>IFERROR(LOOKUP($C253,#REF!,#REF!),0)</f>
        <v>0</v>
      </c>
      <c r="W253" s="36">
        <f>IFERROR(LOOKUP($C253,#REF!,#REF!),0)</f>
        <v>0</v>
      </c>
      <c r="X253" s="36">
        <f>IFERROR(LOOKUP($C253,#REF!,#REF!),0)</f>
        <v>0</v>
      </c>
      <c r="Y253" s="36">
        <f>IFERROR(LOOKUP($C253,#REF!,#REF!),0)</f>
        <v>0</v>
      </c>
    </row>
    <row r="254" spans="1:25" ht="16.5" customHeight="1" x14ac:dyDescent="0.35">
      <c r="A254" s="3" t="s">
        <v>34</v>
      </c>
      <c r="B254" s="4">
        <v>102</v>
      </c>
      <c r="C254" s="5">
        <v>48620</v>
      </c>
      <c r="D254" s="3" t="s">
        <v>150</v>
      </c>
      <c r="E254" s="6">
        <v>37.99</v>
      </c>
      <c r="F254" s="16">
        <v>19.462499999999999</v>
      </c>
      <c r="G254" s="49">
        <v>0</v>
      </c>
      <c r="H254" s="50">
        <f t="shared" si="12"/>
        <v>0</v>
      </c>
      <c r="I254" s="50">
        <f t="shared" si="13"/>
        <v>0</v>
      </c>
      <c r="J254" s="50">
        <f t="shared" si="14"/>
        <v>0</v>
      </c>
      <c r="K254" s="51">
        <f t="shared" si="15"/>
        <v>0</v>
      </c>
      <c r="L254" s="36"/>
      <c r="M254" s="11">
        <v>0</v>
      </c>
      <c r="N254" s="11">
        <v>0</v>
      </c>
      <c r="O254" s="11">
        <v>0</v>
      </c>
      <c r="P254" s="8">
        <v>0</v>
      </c>
      <c r="Q254" s="11">
        <v>0</v>
      </c>
      <c r="R254" s="11">
        <v>0</v>
      </c>
      <c r="S254" s="11">
        <v>0</v>
      </c>
      <c r="T254" s="11">
        <v>0</v>
      </c>
      <c r="U254" s="14">
        <v>0</v>
      </c>
      <c r="V254" s="36">
        <f>IFERROR(LOOKUP($C254,#REF!,#REF!),0)</f>
        <v>0</v>
      </c>
      <c r="W254" s="36">
        <f>IFERROR(LOOKUP($C254,#REF!,#REF!),0)</f>
        <v>0</v>
      </c>
      <c r="X254" s="36">
        <f>IFERROR(LOOKUP($C254,#REF!,#REF!),0)</f>
        <v>0</v>
      </c>
      <c r="Y254" s="36">
        <f>IFERROR(LOOKUP($C254,#REF!,#REF!),0)</f>
        <v>0</v>
      </c>
    </row>
    <row r="255" spans="1:25" ht="16.5" customHeight="1" x14ac:dyDescent="0.35">
      <c r="A255" s="3" t="s">
        <v>34</v>
      </c>
      <c r="B255" s="4">
        <v>102</v>
      </c>
      <c r="C255" s="5">
        <v>48683</v>
      </c>
      <c r="D255" s="3" t="s">
        <v>189</v>
      </c>
      <c r="E255" s="6">
        <v>11.99</v>
      </c>
      <c r="F255" s="16">
        <v>7.0248571428571402</v>
      </c>
      <c r="G255" s="49">
        <v>0</v>
      </c>
      <c r="H255" s="50">
        <f t="shared" si="12"/>
        <v>0</v>
      </c>
      <c r="I255" s="50">
        <f t="shared" si="13"/>
        <v>0</v>
      </c>
      <c r="J255" s="50">
        <f t="shared" si="14"/>
        <v>0</v>
      </c>
      <c r="K255" s="51">
        <f t="shared" si="15"/>
        <v>0</v>
      </c>
      <c r="L255" s="36"/>
      <c r="M255" s="11">
        <v>0</v>
      </c>
      <c r="N255" s="11">
        <v>0</v>
      </c>
      <c r="O255" s="11">
        <v>0</v>
      </c>
      <c r="P255" s="8">
        <v>0</v>
      </c>
      <c r="Q255" s="11">
        <v>0</v>
      </c>
      <c r="R255" s="11">
        <v>0</v>
      </c>
      <c r="S255" s="11">
        <v>0</v>
      </c>
      <c r="T255" s="11">
        <v>0</v>
      </c>
      <c r="U255" s="14">
        <v>0</v>
      </c>
      <c r="V255" s="36">
        <f>IFERROR(LOOKUP($C255,#REF!,#REF!),0)</f>
        <v>0</v>
      </c>
      <c r="W255" s="36">
        <f>IFERROR(LOOKUP($C255,#REF!,#REF!),0)</f>
        <v>0</v>
      </c>
      <c r="X255" s="36">
        <f>IFERROR(LOOKUP($C255,#REF!,#REF!),0)</f>
        <v>0</v>
      </c>
      <c r="Y255" s="36">
        <f>IFERROR(LOOKUP($C255,#REF!,#REF!),0)</f>
        <v>0</v>
      </c>
    </row>
    <row r="256" spans="1:25" ht="16.5" customHeight="1" x14ac:dyDescent="0.35">
      <c r="A256" s="3" t="s">
        <v>19</v>
      </c>
      <c r="B256" s="4">
        <v>101</v>
      </c>
      <c r="C256" s="5">
        <v>50037</v>
      </c>
      <c r="D256" s="3" t="s">
        <v>22</v>
      </c>
      <c r="E256" s="6">
        <v>25.99</v>
      </c>
      <c r="F256" s="16">
        <v>13.4</v>
      </c>
      <c r="G256" s="49">
        <v>65</v>
      </c>
      <c r="H256" s="50">
        <f t="shared" si="12"/>
        <v>1689.35</v>
      </c>
      <c r="I256" s="50">
        <f t="shared" si="13"/>
        <v>871</v>
      </c>
      <c r="J256" s="50">
        <f t="shared" si="14"/>
        <v>818.34999999999991</v>
      </c>
      <c r="K256" s="51">
        <f t="shared" si="15"/>
        <v>48.441708349365136</v>
      </c>
      <c r="L256" s="36"/>
      <c r="M256" s="11">
        <v>0</v>
      </c>
      <c r="N256" s="11">
        <v>0</v>
      </c>
      <c r="O256" s="11">
        <v>0</v>
      </c>
      <c r="P256" s="8">
        <v>0</v>
      </c>
      <c r="Q256" s="11">
        <v>0</v>
      </c>
      <c r="R256" s="11">
        <v>0</v>
      </c>
      <c r="S256" s="11">
        <v>0</v>
      </c>
      <c r="T256" s="11">
        <v>0</v>
      </c>
      <c r="U256" s="14">
        <v>0</v>
      </c>
      <c r="V256" s="36">
        <f>IFERROR(LOOKUP($C256,#REF!,#REF!),0)</f>
        <v>0</v>
      </c>
      <c r="W256" s="36">
        <f>IFERROR(LOOKUP($C256,#REF!,#REF!),0)</f>
        <v>0</v>
      </c>
      <c r="X256" s="36">
        <f>IFERROR(LOOKUP($C256,#REF!,#REF!),0)</f>
        <v>0</v>
      </c>
      <c r="Y256" s="36">
        <f>IFERROR(LOOKUP($C256,#REF!,#REF!),0)</f>
        <v>0</v>
      </c>
    </row>
    <row r="257" spans="1:25" ht="16.5" customHeight="1" x14ac:dyDescent="0.35">
      <c r="A257" s="3" t="s">
        <v>19</v>
      </c>
      <c r="B257" s="4">
        <v>101</v>
      </c>
      <c r="C257" s="5">
        <v>51680</v>
      </c>
      <c r="D257" s="3" t="s">
        <v>32</v>
      </c>
      <c r="E257" s="6">
        <v>21.99</v>
      </c>
      <c r="F257" s="16">
        <v>12.14</v>
      </c>
      <c r="G257" s="49">
        <v>34</v>
      </c>
      <c r="H257" s="50">
        <f t="shared" si="12"/>
        <v>747.66</v>
      </c>
      <c r="I257" s="50">
        <f t="shared" si="13"/>
        <v>412.76</v>
      </c>
      <c r="J257" s="50">
        <f t="shared" si="14"/>
        <v>334.9</v>
      </c>
      <c r="K257" s="51">
        <f t="shared" si="15"/>
        <v>44.793087767166895</v>
      </c>
      <c r="L257" s="36"/>
      <c r="M257" s="11">
        <v>0</v>
      </c>
      <c r="N257" s="11">
        <v>0</v>
      </c>
      <c r="O257" s="11">
        <v>0</v>
      </c>
      <c r="P257" s="8">
        <v>0</v>
      </c>
      <c r="Q257" s="11">
        <v>0</v>
      </c>
      <c r="R257" s="11">
        <v>0</v>
      </c>
      <c r="S257" s="11">
        <v>0</v>
      </c>
      <c r="T257" s="11">
        <v>0</v>
      </c>
      <c r="U257" s="14">
        <v>0</v>
      </c>
      <c r="V257" s="36">
        <f>IFERROR(LOOKUP($C257,#REF!,#REF!),0)</f>
        <v>0</v>
      </c>
      <c r="W257" s="36">
        <f>IFERROR(LOOKUP($C257,#REF!,#REF!),0)</f>
        <v>0</v>
      </c>
      <c r="X257" s="36">
        <f>IFERROR(LOOKUP($C257,#REF!,#REF!),0)</f>
        <v>0</v>
      </c>
      <c r="Y257" s="36">
        <f>IFERROR(LOOKUP($C257,#REF!,#REF!),0)</f>
        <v>0</v>
      </c>
    </row>
    <row r="258" spans="1:25" ht="16.5" customHeight="1" x14ac:dyDescent="0.35">
      <c r="A258" s="3" t="s">
        <v>34</v>
      </c>
      <c r="B258" s="4">
        <v>102</v>
      </c>
      <c r="C258" s="5">
        <v>54652</v>
      </c>
      <c r="D258" s="3" t="s">
        <v>190</v>
      </c>
      <c r="E258" s="6">
        <v>21.99</v>
      </c>
      <c r="F258" s="16">
        <v>10.989750000000001</v>
      </c>
      <c r="G258" s="49">
        <v>0</v>
      </c>
      <c r="H258" s="50">
        <f t="shared" si="12"/>
        <v>0</v>
      </c>
      <c r="I258" s="50">
        <f t="shared" si="13"/>
        <v>0</v>
      </c>
      <c r="J258" s="50">
        <f t="shared" si="14"/>
        <v>0</v>
      </c>
      <c r="K258" s="51">
        <f t="shared" si="15"/>
        <v>0</v>
      </c>
      <c r="L258" s="36"/>
      <c r="M258" s="11">
        <v>0</v>
      </c>
      <c r="N258" s="11">
        <v>0</v>
      </c>
      <c r="O258" s="11">
        <v>0</v>
      </c>
      <c r="P258" s="8">
        <v>0</v>
      </c>
      <c r="Q258" s="11">
        <v>0</v>
      </c>
      <c r="R258" s="11">
        <v>0</v>
      </c>
      <c r="S258" s="11">
        <v>0</v>
      </c>
      <c r="T258" s="11">
        <v>0</v>
      </c>
      <c r="U258" s="14">
        <v>0</v>
      </c>
      <c r="V258" s="36">
        <f>IFERROR(LOOKUP($C258,#REF!,#REF!),0)</f>
        <v>0</v>
      </c>
      <c r="W258" s="36">
        <f>IFERROR(LOOKUP($C258,#REF!,#REF!),0)</f>
        <v>0</v>
      </c>
      <c r="X258" s="36">
        <f>IFERROR(LOOKUP($C258,#REF!,#REF!),0)</f>
        <v>0</v>
      </c>
      <c r="Y258" s="36">
        <f>IFERROR(LOOKUP($C258,#REF!,#REF!),0)</f>
        <v>0</v>
      </c>
    </row>
    <row r="259" spans="1:25" ht="16.5" customHeight="1" x14ac:dyDescent="0.35">
      <c r="A259" s="3" t="s">
        <v>19</v>
      </c>
      <c r="B259" s="4">
        <v>102</v>
      </c>
      <c r="C259" s="5">
        <v>56514</v>
      </c>
      <c r="D259" s="3" t="s">
        <v>191</v>
      </c>
      <c r="E259" s="6">
        <v>269.99</v>
      </c>
      <c r="F259" s="16">
        <v>141.47833333333301</v>
      </c>
      <c r="G259" s="49">
        <v>0</v>
      </c>
      <c r="H259" s="50">
        <f t="shared" si="12"/>
        <v>0</v>
      </c>
      <c r="I259" s="50">
        <f t="shared" si="13"/>
        <v>0</v>
      </c>
      <c r="J259" s="50">
        <f t="shared" si="14"/>
        <v>0</v>
      </c>
      <c r="K259" s="51">
        <f t="shared" si="15"/>
        <v>0</v>
      </c>
      <c r="L259" s="36"/>
      <c r="M259" s="11">
        <v>0</v>
      </c>
      <c r="N259" s="11">
        <v>0</v>
      </c>
      <c r="O259" s="11">
        <v>0</v>
      </c>
      <c r="P259" s="8">
        <v>0</v>
      </c>
      <c r="Q259" s="11">
        <v>0</v>
      </c>
      <c r="R259" s="11">
        <v>0</v>
      </c>
      <c r="S259" s="11">
        <v>0</v>
      </c>
      <c r="T259" s="11">
        <v>0</v>
      </c>
      <c r="U259" s="14">
        <v>0</v>
      </c>
      <c r="V259" s="36">
        <f>IFERROR(LOOKUP($C259,#REF!,#REF!),0)</f>
        <v>0</v>
      </c>
      <c r="W259" s="36">
        <f>IFERROR(LOOKUP($C259,#REF!,#REF!),0)</f>
        <v>0</v>
      </c>
      <c r="X259" s="36">
        <f>IFERROR(LOOKUP($C259,#REF!,#REF!),0)</f>
        <v>0</v>
      </c>
      <c r="Y259" s="36">
        <f>IFERROR(LOOKUP($C259,#REF!,#REF!),0)</f>
        <v>0</v>
      </c>
    </row>
    <row r="260" spans="1:25" ht="16.5" customHeight="1" x14ac:dyDescent="0.35">
      <c r="A260" s="3" t="s">
        <v>19</v>
      </c>
      <c r="B260" s="4">
        <v>1138</v>
      </c>
      <c r="C260" s="5">
        <v>57870</v>
      </c>
      <c r="D260" s="3" t="s">
        <v>284</v>
      </c>
      <c r="E260" s="6">
        <v>0</v>
      </c>
      <c r="F260" s="16">
        <v>120.14</v>
      </c>
      <c r="G260" s="49">
        <v>0</v>
      </c>
      <c r="H260" s="50">
        <f t="shared" ref="H260:H290" si="16">E260*G260</f>
        <v>0</v>
      </c>
      <c r="I260" s="50">
        <f t="shared" ref="I260:I290" si="17">F260*G260</f>
        <v>0</v>
      </c>
      <c r="J260" s="50">
        <f t="shared" ref="J260:J290" si="18">H260-I260</f>
        <v>0</v>
      </c>
      <c r="K260" s="51">
        <f t="shared" si="15"/>
        <v>0</v>
      </c>
      <c r="L260" s="36"/>
      <c r="M260" s="11">
        <v>0</v>
      </c>
      <c r="N260" s="11">
        <v>0</v>
      </c>
      <c r="O260" s="11">
        <v>0</v>
      </c>
      <c r="P260" s="8">
        <v>0</v>
      </c>
      <c r="Q260" s="11">
        <v>0</v>
      </c>
      <c r="R260" s="11">
        <v>0</v>
      </c>
      <c r="S260" s="11">
        <v>0</v>
      </c>
      <c r="T260" s="11">
        <v>0</v>
      </c>
      <c r="U260" s="14">
        <v>0</v>
      </c>
      <c r="V260" s="36">
        <f>IFERROR(LOOKUP($C260,#REF!,#REF!),0)</f>
        <v>0</v>
      </c>
      <c r="W260" s="36">
        <f>IFERROR(LOOKUP($C260,#REF!,#REF!),0)</f>
        <v>0</v>
      </c>
      <c r="X260" s="36">
        <f>IFERROR(LOOKUP($C260,#REF!,#REF!),0)</f>
        <v>0</v>
      </c>
      <c r="Y260" s="36">
        <f>IFERROR(LOOKUP($C260,#REF!,#REF!),0)</f>
        <v>0</v>
      </c>
    </row>
    <row r="261" spans="1:25" ht="16.5" customHeight="1" x14ac:dyDescent="0.35">
      <c r="A261" s="3" t="s">
        <v>19</v>
      </c>
      <c r="B261" s="4">
        <v>102</v>
      </c>
      <c r="C261" s="5">
        <v>61923</v>
      </c>
      <c r="D261" s="3" t="s">
        <v>192</v>
      </c>
      <c r="E261" s="6">
        <v>79.989999999999995</v>
      </c>
      <c r="F261" s="16">
        <v>41.475000000000001</v>
      </c>
      <c r="G261" s="49">
        <v>0</v>
      </c>
      <c r="H261" s="50">
        <f t="shared" si="16"/>
        <v>0</v>
      </c>
      <c r="I261" s="50">
        <f t="shared" si="17"/>
        <v>0</v>
      </c>
      <c r="J261" s="50">
        <f t="shared" si="18"/>
        <v>0</v>
      </c>
      <c r="K261" s="51">
        <f t="shared" ref="K261:K290" si="19">IFERROR(J261/H261*100,0)</f>
        <v>0</v>
      </c>
      <c r="L261" s="36"/>
      <c r="M261" s="11">
        <v>0</v>
      </c>
      <c r="N261" s="11">
        <v>0</v>
      </c>
      <c r="O261" s="11">
        <v>0</v>
      </c>
      <c r="P261" s="8">
        <v>0</v>
      </c>
      <c r="Q261" s="11">
        <v>0</v>
      </c>
      <c r="R261" s="11">
        <v>0</v>
      </c>
      <c r="S261" s="11">
        <v>0</v>
      </c>
      <c r="T261" s="11">
        <v>0</v>
      </c>
      <c r="U261" s="14">
        <v>0</v>
      </c>
      <c r="V261" s="36">
        <f>IFERROR(LOOKUP($C261,#REF!,#REF!),0)</f>
        <v>0</v>
      </c>
      <c r="W261" s="36">
        <f>IFERROR(LOOKUP($C261,#REF!,#REF!),0)</f>
        <v>0</v>
      </c>
      <c r="X261" s="36">
        <f>IFERROR(LOOKUP($C261,#REF!,#REF!),0)</f>
        <v>0</v>
      </c>
      <c r="Y261" s="36">
        <f>IFERROR(LOOKUP($C261,#REF!,#REF!),0)</f>
        <v>0</v>
      </c>
    </row>
    <row r="262" spans="1:25" ht="16.5" customHeight="1" x14ac:dyDescent="0.35">
      <c r="A262" s="3" t="s">
        <v>19</v>
      </c>
      <c r="B262" s="4">
        <v>102</v>
      </c>
      <c r="C262" s="5">
        <v>61925</v>
      </c>
      <c r="D262" s="3" t="s">
        <v>193</v>
      </c>
      <c r="E262" s="6">
        <v>79.989999999999995</v>
      </c>
      <c r="F262" s="16">
        <v>41.475000000000001</v>
      </c>
      <c r="G262" s="49">
        <v>0</v>
      </c>
      <c r="H262" s="50">
        <f t="shared" si="16"/>
        <v>0</v>
      </c>
      <c r="I262" s="50">
        <f t="shared" si="17"/>
        <v>0</v>
      </c>
      <c r="J262" s="50">
        <f t="shared" si="18"/>
        <v>0</v>
      </c>
      <c r="K262" s="51">
        <f t="shared" si="19"/>
        <v>0</v>
      </c>
      <c r="L262" s="36"/>
      <c r="M262" s="11">
        <v>0</v>
      </c>
      <c r="N262" s="11">
        <v>0</v>
      </c>
      <c r="O262" s="11">
        <v>0</v>
      </c>
      <c r="P262" s="8">
        <v>0</v>
      </c>
      <c r="Q262" s="11">
        <v>0</v>
      </c>
      <c r="R262" s="11">
        <v>0</v>
      </c>
      <c r="S262" s="11">
        <v>0</v>
      </c>
      <c r="T262" s="11">
        <v>0</v>
      </c>
      <c r="U262" s="14">
        <v>0</v>
      </c>
      <c r="V262" s="36">
        <f>IFERROR(LOOKUP($C262,#REF!,#REF!),0)</f>
        <v>0</v>
      </c>
      <c r="W262" s="36">
        <f>IFERROR(LOOKUP($C262,#REF!,#REF!),0)</f>
        <v>0</v>
      </c>
      <c r="X262" s="36">
        <f>IFERROR(LOOKUP($C262,#REF!,#REF!),0)</f>
        <v>0</v>
      </c>
      <c r="Y262" s="36">
        <f>IFERROR(LOOKUP($C262,#REF!,#REF!),0)</f>
        <v>0</v>
      </c>
    </row>
    <row r="263" spans="1:25" ht="16.5" customHeight="1" x14ac:dyDescent="0.35">
      <c r="A263" s="3" t="s">
        <v>19</v>
      </c>
      <c r="B263" s="4">
        <v>102</v>
      </c>
      <c r="C263" s="5">
        <v>61926</v>
      </c>
      <c r="D263" s="3" t="s">
        <v>194</v>
      </c>
      <c r="E263" s="6">
        <v>79.989999999999995</v>
      </c>
      <c r="F263" s="16">
        <v>41.475000000000001</v>
      </c>
      <c r="G263" s="49">
        <v>0</v>
      </c>
      <c r="H263" s="50">
        <f t="shared" si="16"/>
        <v>0</v>
      </c>
      <c r="I263" s="50">
        <f t="shared" si="17"/>
        <v>0</v>
      </c>
      <c r="J263" s="50">
        <f t="shared" si="18"/>
        <v>0</v>
      </c>
      <c r="K263" s="51">
        <f t="shared" si="19"/>
        <v>0</v>
      </c>
      <c r="L263" s="36"/>
      <c r="M263" s="11">
        <v>0</v>
      </c>
      <c r="N263" s="11">
        <v>0</v>
      </c>
      <c r="O263" s="11">
        <v>0</v>
      </c>
      <c r="P263" s="8">
        <v>0</v>
      </c>
      <c r="Q263" s="11">
        <v>0</v>
      </c>
      <c r="R263" s="11">
        <v>0</v>
      </c>
      <c r="S263" s="11">
        <v>0</v>
      </c>
      <c r="T263" s="11">
        <v>0</v>
      </c>
      <c r="U263" s="14">
        <v>0</v>
      </c>
      <c r="V263" s="36">
        <f>IFERROR(LOOKUP($C263,#REF!,#REF!),0)</f>
        <v>0</v>
      </c>
      <c r="W263" s="36">
        <f>IFERROR(LOOKUP($C263,#REF!,#REF!),0)</f>
        <v>0</v>
      </c>
      <c r="X263" s="36">
        <f>IFERROR(LOOKUP($C263,#REF!,#REF!),0)</f>
        <v>0</v>
      </c>
      <c r="Y263" s="36">
        <f>IFERROR(LOOKUP($C263,#REF!,#REF!),0)</f>
        <v>0</v>
      </c>
    </row>
    <row r="264" spans="1:25" ht="16.5" customHeight="1" x14ac:dyDescent="0.35">
      <c r="A264" s="3" t="s">
        <v>19</v>
      </c>
      <c r="B264" s="4">
        <v>102</v>
      </c>
      <c r="C264" s="5">
        <v>61928</v>
      </c>
      <c r="D264" s="3" t="s">
        <v>173</v>
      </c>
      <c r="E264" s="6">
        <v>79.989999999999995</v>
      </c>
      <c r="F264" s="16">
        <v>44.62</v>
      </c>
      <c r="G264" s="49">
        <v>0</v>
      </c>
      <c r="H264" s="50">
        <f t="shared" si="16"/>
        <v>0</v>
      </c>
      <c r="I264" s="50">
        <f t="shared" si="17"/>
        <v>0</v>
      </c>
      <c r="J264" s="50">
        <f t="shared" si="18"/>
        <v>0</v>
      </c>
      <c r="K264" s="51">
        <f t="shared" si="19"/>
        <v>0</v>
      </c>
      <c r="L264" s="36"/>
      <c r="M264" s="11">
        <v>0</v>
      </c>
      <c r="N264" s="11">
        <v>0</v>
      </c>
      <c r="O264" s="11">
        <v>0</v>
      </c>
      <c r="P264" s="8">
        <v>0</v>
      </c>
      <c r="Q264" s="11">
        <v>0</v>
      </c>
      <c r="R264" s="11">
        <v>0</v>
      </c>
      <c r="S264" s="11">
        <v>0</v>
      </c>
      <c r="T264" s="11">
        <v>0</v>
      </c>
      <c r="U264" s="14">
        <v>0</v>
      </c>
      <c r="V264" s="36">
        <f>IFERROR(LOOKUP($C264,#REF!,#REF!),0)</f>
        <v>0</v>
      </c>
      <c r="W264" s="36">
        <f>IFERROR(LOOKUP($C264,#REF!,#REF!),0)</f>
        <v>0</v>
      </c>
      <c r="X264" s="36">
        <f>IFERROR(LOOKUP($C264,#REF!,#REF!),0)</f>
        <v>0</v>
      </c>
      <c r="Y264" s="36">
        <f>IFERROR(LOOKUP($C264,#REF!,#REF!),0)</f>
        <v>0</v>
      </c>
    </row>
    <row r="265" spans="1:25" ht="16.5" customHeight="1" x14ac:dyDescent="0.35">
      <c r="A265" s="3" t="s">
        <v>19</v>
      </c>
      <c r="B265" s="4">
        <v>102</v>
      </c>
      <c r="C265" s="5">
        <v>61929</v>
      </c>
      <c r="D265" s="3" t="s">
        <v>167</v>
      </c>
      <c r="E265" s="6">
        <v>79.989999999999995</v>
      </c>
      <c r="F265" s="16">
        <v>44.62</v>
      </c>
      <c r="G265" s="49">
        <v>0</v>
      </c>
      <c r="H265" s="50">
        <f t="shared" si="16"/>
        <v>0</v>
      </c>
      <c r="I265" s="50">
        <f t="shared" si="17"/>
        <v>0</v>
      </c>
      <c r="J265" s="50">
        <f t="shared" si="18"/>
        <v>0</v>
      </c>
      <c r="K265" s="51">
        <f t="shared" si="19"/>
        <v>0</v>
      </c>
      <c r="L265" s="36"/>
      <c r="M265" s="11">
        <v>0</v>
      </c>
      <c r="N265" s="11">
        <v>0</v>
      </c>
      <c r="O265" s="11">
        <v>0</v>
      </c>
      <c r="P265" s="8">
        <v>0</v>
      </c>
      <c r="Q265" s="11">
        <v>0</v>
      </c>
      <c r="R265" s="11">
        <v>0</v>
      </c>
      <c r="S265" s="11">
        <v>0</v>
      </c>
      <c r="T265" s="11">
        <v>0</v>
      </c>
      <c r="U265" s="14">
        <v>0</v>
      </c>
      <c r="V265" s="36">
        <f>IFERROR(LOOKUP($C265,#REF!,#REF!),0)</f>
        <v>0</v>
      </c>
      <c r="W265" s="36">
        <f>IFERROR(LOOKUP($C265,#REF!,#REF!),0)</f>
        <v>0</v>
      </c>
      <c r="X265" s="36">
        <f>IFERROR(LOOKUP($C265,#REF!,#REF!),0)</f>
        <v>0</v>
      </c>
      <c r="Y265" s="36">
        <f>IFERROR(LOOKUP($C265,#REF!,#REF!),0)</f>
        <v>0</v>
      </c>
    </row>
    <row r="266" spans="1:25" ht="16.5" customHeight="1" x14ac:dyDescent="0.35">
      <c r="A266" s="3" t="s">
        <v>104</v>
      </c>
      <c r="B266" s="4">
        <v>102</v>
      </c>
      <c r="C266" s="5">
        <v>32863</v>
      </c>
      <c r="D266" s="3" t="s">
        <v>106</v>
      </c>
      <c r="E266" s="6">
        <v>17.989999999999998</v>
      </c>
      <c r="F266" s="16">
        <v>9.4</v>
      </c>
      <c r="G266" s="49">
        <v>0</v>
      </c>
      <c r="H266" s="50">
        <f t="shared" si="16"/>
        <v>0</v>
      </c>
      <c r="I266" s="50">
        <f t="shared" si="17"/>
        <v>0</v>
      </c>
      <c r="J266" s="50">
        <f t="shared" si="18"/>
        <v>0</v>
      </c>
      <c r="K266" s="51">
        <f t="shared" si="19"/>
        <v>0</v>
      </c>
      <c r="L266" s="36"/>
      <c r="M266" s="11">
        <v>0</v>
      </c>
      <c r="N266" s="11">
        <v>0</v>
      </c>
      <c r="O266" s="11">
        <v>0</v>
      </c>
      <c r="P266" s="8">
        <v>0</v>
      </c>
      <c r="Q266" s="11">
        <v>0</v>
      </c>
      <c r="R266" s="11">
        <v>0</v>
      </c>
      <c r="S266" s="11">
        <v>0</v>
      </c>
      <c r="T266" s="11">
        <v>0</v>
      </c>
      <c r="U266" s="14">
        <v>0</v>
      </c>
      <c r="V266" s="36">
        <f>IFERROR(LOOKUP($C266,#REF!,#REF!),0)</f>
        <v>0</v>
      </c>
      <c r="W266" s="36">
        <f>IFERROR(LOOKUP($C266,#REF!,#REF!),0)</f>
        <v>0</v>
      </c>
      <c r="X266" s="36">
        <f>IFERROR(LOOKUP($C266,#REF!,#REF!),0)</f>
        <v>0</v>
      </c>
      <c r="Y266" s="36">
        <f>IFERROR(LOOKUP($C266,#REF!,#REF!),0)</f>
        <v>0</v>
      </c>
    </row>
    <row r="267" spans="1:25" ht="16.5" customHeight="1" x14ac:dyDescent="0.35">
      <c r="A267" s="3" t="s">
        <v>104</v>
      </c>
      <c r="B267" s="4">
        <v>102</v>
      </c>
      <c r="C267" s="5">
        <v>32864</v>
      </c>
      <c r="D267" s="3" t="s">
        <v>105</v>
      </c>
      <c r="E267" s="6">
        <v>9.99</v>
      </c>
      <c r="F267" s="16">
        <v>5</v>
      </c>
      <c r="G267" s="49">
        <v>0</v>
      </c>
      <c r="H267" s="50">
        <f t="shared" si="16"/>
        <v>0</v>
      </c>
      <c r="I267" s="50">
        <f t="shared" si="17"/>
        <v>0</v>
      </c>
      <c r="J267" s="50">
        <f t="shared" si="18"/>
        <v>0</v>
      </c>
      <c r="K267" s="51">
        <f t="shared" si="19"/>
        <v>0</v>
      </c>
      <c r="L267" s="36"/>
      <c r="M267" s="11">
        <v>0</v>
      </c>
      <c r="N267" s="11">
        <v>0</v>
      </c>
      <c r="O267" s="11">
        <v>0</v>
      </c>
      <c r="P267" s="8">
        <v>0</v>
      </c>
      <c r="Q267" s="11">
        <v>0</v>
      </c>
      <c r="R267" s="11">
        <v>0</v>
      </c>
      <c r="S267" s="11">
        <v>0</v>
      </c>
      <c r="T267" s="11">
        <v>0</v>
      </c>
      <c r="U267" s="14">
        <v>0</v>
      </c>
      <c r="V267" s="36">
        <f>IFERROR(LOOKUP($C267,#REF!,#REF!),0)</f>
        <v>0</v>
      </c>
      <c r="W267" s="36">
        <f>IFERROR(LOOKUP($C267,#REF!,#REF!),0)</f>
        <v>0</v>
      </c>
      <c r="X267" s="36">
        <f>IFERROR(LOOKUP($C267,#REF!,#REF!),0)</f>
        <v>0</v>
      </c>
      <c r="Y267" s="36">
        <f>IFERROR(LOOKUP($C267,#REF!,#REF!),0)</f>
        <v>0</v>
      </c>
    </row>
    <row r="268" spans="1:25" ht="16.5" customHeight="1" x14ac:dyDescent="0.35">
      <c r="A268" s="3" t="s">
        <v>104</v>
      </c>
      <c r="B268" s="4">
        <v>1821</v>
      </c>
      <c r="C268" s="5">
        <v>33999</v>
      </c>
      <c r="D268" s="3" t="s">
        <v>285</v>
      </c>
      <c r="E268" s="6">
        <v>19.989999999999998</v>
      </c>
      <c r="F268" s="16">
        <v>17.149999999999999</v>
      </c>
      <c r="G268" s="49">
        <v>0</v>
      </c>
      <c r="H268" s="50">
        <f t="shared" si="16"/>
        <v>0</v>
      </c>
      <c r="I268" s="50">
        <f t="shared" si="17"/>
        <v>0</v>
      </c>
      <c r="J268" s="50">
        <f t="shared" si="18"/>
        <v>0</v>
      </c>
      <c r="K268" s="51">
        <f t="shared" si="19"/>
        <v>0</v>
      </c>
      <c r="L268" s="36"/>
      <c r="M268" s="11">
        <v>0</v>
      </c>
      <c r="N268" s="11">
        <v>0</v>
      </c>
      <c r="O268" s="11">
        <v>0</v>
      </c>
      <c r="P268" s="8">
        <v>0</v>
      </c>
      <c r="Q268" s="11">
        <v>0</v>
      </c>
      <c r="R268" s="11">
        <v>0</v>
      </c>
      <c r="S268" s="11">
        <v>0</v>
      </c>
      <c r="T268" s="11">
        <v>0</v>
      </c>
      <c r="U268" s="14">
        <v>0</v>
      </c>
      <c r="V268" s="36">
        <f>IFERROR(LOOKUP($C268,#REF!,#REF!),0)</f>
        <v>0</v>
      </c>
      <c r="W268" s="36">
        <f>IFERROR(LOOKUP($C268,#REF!,#REF!),0)</f>
        <v>0</v>
      </c>
      <c r="X268" s="36">
        <f>IFERROR(LOOKUP($C268,#REF!,#REF!),0)</f>
        <v>0</v>
      </c>
      <c r="Y268" s="36">
        <f>IFERROR(LOOKUP($C268,#REF!,#REF!),0)</f>
        <v>0</v>
      </c>
    </row>
    <row r="269" spans="1:25" ht="16.5" customHeight="1" x14ac:dyDescent="0.35">
      <c r="A269" s="3" t="s">
        <v>104</v>
      </c>
      <c r="B269" s="4">
        <v>1821</v>
      </c>
      <c r="C269" s="5">
        <v>40827</v>
      </c>
      <c r="D269" s="3" t="s">
        <v>286</v>
      </c>
      <c r="E269" s="6">
        <v>29.99</v>
      </c>
      <c r="F269" s="16">
        <v>29.25</v>
      </c>
      <c r="G269" s="49">
        <v>0</v>
      </c>
      <c r="H269" s="50">
        <f t="shared" si="16"/>
        <v>0</v>
      </c>
      <c r="I269" s="50">
        <f t="shared" si="17"/>
        <v>0</v>
      </c>
      <c r="J269" s="50">
        <f t="shared" si="18"/>
        <v>0</v>
      </c>
      <c r="K269" s="51">
        <f t="shared" si="19"/>
        <v>0</v>
      </c>
      <c r="L269" s="36"/>
      <c r="M269" s="11">
        <v>0</v>
      </c>
      <c r="N269" s="11">
        <v>0</v>
      </c>
      <c r="O269" s="11">
        <v>0</v>
      </c>
      <c r="P269" s="8">
        <v>0</v>
      </c>
      <c r="Q269" s="11">
        <v>0</v>
      </c>
      <c r="R269" s="11">
        <v>0</v>
      </c>
      <c r="S269" s="11">
        <v>0</v>
      </c>
      <c r="T269" s="11">
        <v>0</v>
      </c>
      <c r="U269" s="14">
        <v>0</v>
      </c>
      <c r="V269" s="36">
        <f>IFERROR(LOOKUP($C269,#REF!,#REF!),0)</f>
        <v>0</v>
      </c>
      <c r="W269" s="36">
        <f>IFERROR(LOOKUP($C269,#REF!,#REF!),0)</f>
        <v>0</v>
      </c>
      <c r="X269" s="36">
        <f>IFERROR(LOOKUP($C269,#REF!,#REF!),0)</f>
        <v>0</v>
      </c>
      <c r="Y269" s="36">
        <f>IFERROR(LOOKUP($C269,#REF!,#REF!),0)</f>
        <v>0</v>
      </c>
    </row>
    <row r="270" spans="1:25" ht="16.5" customHeight="1" x14ac:dyDescent="0.35">
      <c r="A270" s="3" t="s">
        <v>104</v>
      </c>
      <c r="B270" s="4">
        <v>102</v>
      </c>
      <c r="C270" s="5">
        <v>48861</v>
      </c>
      <c r="D270" s="3" t="s">
        <v>108</v>
      </c>
      <c r="E270" s="6">
        <v>50</v>
      </c>
      <c r="F270" s="16">
        <v>30</v>
      </c>
      <c r="G270" s="49">
        <v>0</v>
      </c>
      <c r="H270" s="50">
        <f t="shared" si="16"/>
        <v>0</v>
      </c>
      <c r="I270" s="50">
        <f t="shared" si="17"/>
        <v>0</v>
      </c>
      <c r="J270" s="50">
        <f t="shared" si="18"/>
        <v>0</v>
      </c>
      <c r="K270" s="51">
        <f t="shared" si="19"/>
        <v>0</v>
      </c>
      <c r="L270" s="36"/>
      <c r="M270" s="11">
        <v>0</v>
      </c>
      <c r="N270" s="11">
        <v>0</v>
      </c>
      <c r="O270" s="11">
        <v>0</v>
      </c>
      <c r="P270" s="8">
        <v>0</v>
      </c>
      <c r="Q270" s="11">
        <v>0</v>
      </c>
      <c r="R270" s="11">
        <v>0</v>
      </c>
      <c r="S270" s="11">
        <v>0</v>
      </c>
      <c r="T270" s="11">
        <v>0</v>
      </c>
      <c r="U270" s="14">
        <v>0</v>
      </c>
      <c r="V270" s="36">
        <f>IFERROR(LOOKUP($C270,#REF!,#REF!),0)</f>
        <v>0</v>
      </c>
      <c r="W270" s="36">
        <f>IFERROR(LOOKUP($C270,#REF!,#REF!),0)</f>
        <v>0</v>
      </c>
      <c r="X270" s="36">
        <f>IFERROR(LOOKUP($C270,#REF!,#REF!),0)</f>
        <v>0</v>
      </c>
      <c r="Y270" s="36">
        <f>IFERROR(LOOKUP($C270,#REF!,#REF!),0)</f>
        <v>0</v>
      </c>
    </row>
    <row r="271" spans="1:25" ht="16.5" customHeight="1" x14ac:dyDescent="0.35">
      <c r="A271" s="3" t="s">
        <v>104</v>
      </c>
      <c r="B271" s="4">
        <v>102</v>
      </c>
      <c r="C271" s="5">
        <v>53410</v>
      </c>
      <c r="D271" s="3" t="s">
        <v>123</v>
      </c>
      <c r="E271" s="6">
        <v>52</v>
      </c>
      <c r="F271" s="16">
        <v>28.2</v>
      </c>
      <c r="G271" s="49">
        <v>0</v>
      </c>
      <c r="H271" s="50">
        <f t="shared" si="16"/>
        <v>0</v>
      </c>
      <c r="I271" s="50">
        <f t="shared" si="17"/>
        <v>0</v>
      </c>
      <c r="J271" s="50">
        <f t="shared" si="18"/>
        <v>0</v>
      </c>
      <c r="K271" s="51">
        <f t="shared" si="19"/>
        <v>0</v>
      </c>
      <c r="L271" s="36"/>
      <c r="M271" s="11">
        <v>0</v>
      </c>
      <c r="N271" s="11">
        <v>0</v>
      </c>
      <c r="O271" s="11">
        <v>0</v>
      </c>
      <c r="P271" s="8">
        <v>0</v>
      </c>
      <c r="Q271" s="11">
        <v>0</v>
      </c>
      <c r="R271" s="11">
        <v>0</v>
      </c>
      <c r="S271" s="11">
        <v>0</v>
      </c>
      <c r="T271" s="11">
        <v>0</v>
      </c>
      <c r="U271" s="14">
        <v>0</v>
      </c>
      <c r="V271" s="36">
        <f>IFERROR(LOOKUP($C271,#REF!,#REF!),0)</f>
        <v>0</v>
      </c>
      <c r="W271" s="36">
        <f>IFERROR(LOOKUP($C271,#REF!,#REF!),0)</f>
        <v>0</v>
      </c>
      <c r="X271" s="36">
        <f>IFERROR(LOOKUP($C271,#REF!,#REF!),0)</f>
        <v>0</v>
      </c>
      <c r="Y271" s="36">
        <f>IFERROR(LOOKUP($C271,#REF!,#REF!),0)</f>
        <v>0</v>
      </c>
    </row>
    <row r="272" spans="1:25" ht="16.5" customHeight="1" x14ac:dyDescent="0.35">
      <c r="A272" s="3" t="s">
        <v>104</v>
      </c>
      <c r="B272" s="4">
        <v>102</v>
      </c>
      <c r="C272" s="5">
        <v>55095</v>
      </c>
      <c r="D272" s="3" t="s">
        <v>113</v>
      </c>
      <c r="E272" s="6">
        <v>5</v>
      </c>
      <c r="F272" s="16">
        <v>1.38</v>
      </c>
      <c r="G272" s="49">
        <v>0</v>
      </c>
      <c r="H272" s="50">
        <f t="shared" si="16"/>
        <v>0</v>
      </c>
      <c r="I272" s="50">
        <f t="shared" si="17"/>
        <v>0</v>
      </c>
      <c r="J272" s="50">
        <f t="shared" si="18"/>
        <v>0</v>
      </c>
      <c r="K272" s="51">
        <f t="shared" si="19"/>
        <v>0</v>
      </c>
      <c r="L272" s="36"/>
      <c r="M272" s="11">
        <v>0</v>
      </c>
      <c r="N272" s="11">
        <v>0</v>
      </c>
      <c r="O272" s="11">
        <v>0</v>
      </c>
      <c r="P272" s="8">
        <v>0</v>
      </c>
      <c r="Q272" s="11">
        <v>0</v>
      </c>
      <c r="R272" s="11">
        <v>0</v>
      </c>
      <c r="S272" s="11">
        <v>0</v>
      </c>
      <c r="T272" s="11">
        <v>0</v>
      </c>
      <c r="U272" s="14">
        <v>0</v>
      </c>
      <c r="V272" s="36">
        <f>IFERROR(LOOKUP($C272,#REF!,#REF!),0)</f>
        <v>0</v>
      </c>
      <c r="W272" s="36">
        <f>IFERROR(LOOKUP($C272,#REF!,#REF!),0)</f>
        <v>0</v>
      </c>
      <c r="X272" s="36">
        <f>IFERROR(LOOKUP($C272,#REF!,#REF!),0)</f>
        <v>0</v>
      </c>
      <c r="Y272" s="36">
        <f>IFERROR(LOOKUP($C272,#REF!,#REF!),0)</f>
        <v>0</v>
      </c>
    </row>
    <row r="273" spans="1:25" ht="16.5" customHeight="1" x14ac:dyDescent="0.35">
      <c r="A273" s="3" t="s">
        <v>104</v>
      </c>
      <c r="B273" s="4">
        <v>102</v>
      </c>
      <c r="C273" s="5">
        <v>58147</v>
      </c>
      <c r="D273" s="3" t="s">
        <v>143</v>
      </c>
      <c r="E273" s="6">
        <v>16.989999999999998</v>
      </c>
      <c r="F273" s="16">
        <v>7.99</v>
      </c>
      <c r="G273" s="49">
        <v>0</v>
      </c>
      <c r="H273" s="50">
        <f t="shared" si="16"/>
        <v>0</v>
      </c>
      <c r="I273" s="50">
        <f t="shared" si="17"/>
        <v>0</v>
      </c>
      <c r="J273" s="50">
        <f t="shared" si="18"/>
        <v>0</v>
      </c>
      <c r="K273" s="51">
        <f t="shared" si="19"/>
        <v>0</v>
      </c>
      <c r="L273" s="36"/>
      <c r="M273" s="11">
        <v>0</v>
      </c>
      <c r="N273" s="11">
        <v>0</v>
      </c>
      <c r="O273" s="11">
        <v>0</v>
      </c>
      <c r="P273" s="8">
        <v>0</v>
      </c>
      <c r="Q273" s="11">
        <v>0</v>
      </c>
      <c r="R273" s="11">
        <v>0</v>
      </c>
      <c r="S273" s="11">
        <v>0</v>
      </c>
      <c r="T273" s="11">
        <v>0</v>
      </c>
      <c r="U273" s="14">
        <v>0</v>
      </c>
      <c r="V273" s="36">
        <f>IFERROR(LOOKUP($C273,#REF!,#REF!),0)</f>
        <v>0</v>
      </c>
      <c r="W273" s="36">
        <f>IFERROR(LOOKUP($C273,#REF!,#REF!),0)</f>
        <v>0</v>
      </c>
      <c r="X273" s="36">
        <f>IFERROR(LOOKUP($C273,#REF!,#REF!),0)</f>
        <v>0</v>
      </c>
      <c r="Y273" s="36">
        <f>IFERROR(LOOKUP($C273,#REF!,#REF!),0)</f>
        <v>0</v>
      </c>
    </row>
    <row r="274" spans="1:25" ht="16.5" customHeight="1" x14ac:dyDescent="0.35">
      <c r="A274" s="3" t="s">
        <v>14</v>
      </c>
      <c r="B274" s="4">
        <v>101</v>
      </c>
      <c r="C274" s="5">
        <v>32858</v>
      </c>
      <c r="D274" s="3" t="s">
        <v>33</v>
      </c>
      <c r="E274" s="6">
        <v>3.8</v>
      </c>
      <c r="F274" s="16">
        <v>1.3</v>
      </c>
      <c r="G274" s="49">
        <v>0</v>
      </c>
      <c r="H274" s="50">
        <f t="shared" si="16"/>
        <v>0</v>
      </c>
      <c r="I274" s="50">
        <f t="shared" si="17"/>
        <v>0</v>
      </c>
      <c r="J274" s="50">
        <f t="shared" si="18"/>
        <v>0</v>
      </c>
      <c r="K274" s="51">
        <f t="shared" si="19"/>
        <v>0</v>
      </c>
      <c r="L274" s="36"/>
      <c r="M274" s="11">
        <v>0</v>
      </c>
      <c r="N274" s="11">
        <v>0</v>
      </c>
      <c r="O274" s="11">
        <v>0</v>
      </c>
      <c r="P274" s="8">
        <v>0</v>
      </c>
      <c r="Q274" s="11">
        <v>0</v>
      </c>
      <c r="R274" s="11">
        <v>0</v>
      </c>
      <c r="S274" s="11">
        <v>0</v>
      </c>
      <c r="T274" s="11">
        <v>0</v>
      </c>
      <c r="U274" s="14">
        <v>0</v>
      </c>
      <c r="V274" s="36">
        <f>IFERROR(LOOKUP($C274,#REF!,#REF!),0)</f>
        <v>0</v>
      </c>
      <c r="W274" s="36">
        <f>IFERROR(LOOKUP($C274,#REF!,#REF!),0)</f>
        <v>0</v>
      </c>
      <c r="X274" s="36">
        <f>IFERROR(LOOKUP($C274,#REF!,#REF!),0)</f>
        <v>0</v>
      </c>
      <c r="Y274" s="36">
        <f>IFERROR(LOOKUP($C274,#REF!,#REF!),0)</f>
        <v>0</v>
      </c>
    </row>
    <row r="275" spans="1:25" ht="16.5" customHeight="1" x14ac:dyDescent="0.35">
      <c r="A275" s="3" t="s">
        <v>34</v>
      </c>
      <c r="B275" s="4">
        <v>102</v>
      </c>
      <c r="C275" s="5">
        <v>33032</v>
      </c>
      <c r="D275" s="3" t="s">
        <v>157</v>
      </c>
      <c r="E275" s="6">
        <v>28.99</v>
      </c>
      <c r="F275" s="16">
        <v>14.6126666666667</v>
      </c>
      <c r="G275" s="49">
        <v>0</v>
      </c>
      <c r="H275" s="50">
        <f t="shared" si="16"/>
        <v>0</v>
      </c>
      <c r="I275" s="50">
        <f t="shared" si="17"/>
        <v>0</v>
      </c>
      <c r="J275" s="50">
        <f t="shared" si="18"/>
        <v>0</v>
      </c>
      <c r="K275" s="51">
        <f t="shared" si="19"/>
        <v>0</v>
      </c>
      <c r="L275" s="36"/>
      <c r="M275" s="11">
        <v>0</v>
      </c>
      <c r="N275" s="11">
        <v>0</v>
      </c>
      <c r="O275" s="11">
        <v>0</v>
      </c>
      <c r="P275" s="8">
        <v>0</v>
      </c>
      <c r="Q275" s="11">
        <v>0</v>
      </c>
      <c r="R275" s="11">
        <v>0</v>
      </c>
      <c r="S275" s="11">
        <v>0</v>
      </c>
      <c r="T275" s="11">
        <v>0</v>
      </c>
      <c r="U275" s="14">
        <v>0</v>
      </c>
      <c r="V275" s="36">
        <f>IFERROR(LOOKUP($C275,#REF!,#REF!),0)</f>
        <v>0</v>
      </c>
      <c r="W275" s="36">
        <f>IFERROR(LOOKUP($C275,#REF!,#REF!),0)</f>
        <v>0</v>
      </c>
      <c r="X275" s="36">
        <f>IFERROR(LOOKUP($C275,#REF!,#REF!),0)</f>
        <v>0</v>
      </c>
      <c r="Y275" s="36">
        <f>IFERROR(LOOKUP($C275,#REF!,#REF!),0)</f>
        <v>0</v>
      </c>
    </row>
    <row r="276" spans="1:25" ht="16.5" customHeight="1" x14ac:dyDescent="0.35">
      <c r="A276" s="3" t="s">
        <v>14</v>
      </c>
      <c r="B276" s="4">
        <v>101</v>
      </c>
      <c r="C276" s="5">
        <v>34687</v>
      </c>
      <c r="D276" s="3" t="s">
        <v>39</v>
      </c>
      <c r="E276" s="6">
        <v>3</v>
      </c>
      <c r="F276" s="16">
        <v>1.53</v>
      </c>
      <c r="G276" s="49">
        <v>0</v>
      </c>
      <c r="H276" s="50">
        <f t="shared" si="16"/>
        <v>0</v>
      </c>
      <c r="I276" s="50">
        <f t="shared" si="17"/>
        <v>0</v>
      </c>
      <c r="J276" s="50">
        <f t="shared" si="18"/>
        <v>0</v>
      </c>
      <c r="K276" s="51">
        <f t="shared" si="19"/>
        <v>0</v>
      </c>
      <c r="L276" s="36"/>
      <c r="M276" s="11">
        <v>0</v>
      </c>
      <c r="N276" s="11">
        <v>0</v>
      </c>
      <c r="O276" s="11">
        <v>0</v>
      </c>
      <c r="P276" s="8">
        <v>0</v>
      </c>
      <c r="Q276" s="11">
        <v>0</v>
      </c>
      <c r="R276" s="11">
        <v>0</v>
      </c>
      <c r="S276" s="11">
        <v>0</v>
      </c>
      <c r="T276" s="11">
        <v>0</v>
      </c>
      <c r="U276" s="14">
        <v>0</v>
      </c>
      <c r="V276" s="36">
        <f>IFERROR(LOOKUP($C276,#REF!,#REF!),0)</f>
        <v>0</v>
      </c>
      <c r="W276" s="36">
        <f>IFERROR(LOOKUP($C276,#REF!,#REF!),0)</f>
        <v>0</v>
      </c>
      <c r="X276" s="36">
        <f>IFERROR(LOOKUP($C276,#REF!,#REF!),0)</f>
        <v>0</v>
      </c>
      <c r="Y276" s="36">
        <f>IFERROR(LOOKUP($C276,#REF!,#REF!),0)</f>
        <v>0</v>
      </c>
    </row>
    <row r="277" spans="1:25" ht="16.5" customHeight="1" x14ac:dyDescent="0.35">
      <c r="A277" s="3" t="s">
        <v>34</v>
      </c>
      <c r="B277" s="4">
        <v>102</v>
      </c>
      <c r="C277" s="5">
        <v>38815</v>
      </c>
      <c r="D277" s="3" t="s">
        <v>181</v>
      </c>
      <c r="E277" s="6">
        <v>10.85</v>
      </c>
      <c r="F277" s="16">
        <v>5.9984999999999999</v>
      </c>
      <c r="G277" s="49">
        <v>0</v>
      </c>
      <c r="H277" s="50">
        <f t="shared" si="16"/>
        <v>0</v>
      </c>
      <c r="I277" s="50">
        <f t="shared" si="17"/>
        <v>0</v>
      </c>
      <c r="J277" s="50">
        <f t="shared" si="18"/>
        <v>0</v>
      </c>
      <c r="K277" s="51">
        <f t="shared" si="19"/>
        <v>0</v>
      </c>
      <c r="L277" s="36"/>
      <c r="M277" s="11">
        <v>0</v>
      </c>
      <c r="N277" s="11">
        <v>0</v>
      </c>
      <c r="O277" s="11">
        <v>0</v>
      </c>
      <c r="P277" s="8">
        <v>0</v>
      </c>
      <c r="Q277" s="11">
        <v>0</v>
      </c>
      <c r="R277" s="11">
        <v>0</v>
      </c>
      <c r="S277" s="11">
        <v>0</v>
      </c>
      <c r="T277" s="11">
        <v>0</v>
      </c>
      <c r="U277" s="14">
        <v>0</v>
      </c>
      <c r="V277" s="36">
        <f>IFERROR(LOOKUP($C277,#REF!,#REF!),0)</f>
        <v>0</v>
      </c>
      <c r="W277" s="36">
        <f>IFERROR(LOOKUP($C277,#REF!,#REF!),0)</f>
        <v>0</v>
      </c>
      <c r="X277" s="36">
        <f>IFERROR(LOOKUP($C277,#REF!,#REF!),0)</f>
        <v>0</v>
      </c>
      <c r="Y277" s="36">
        <f>IFERROR(LOOKUP($C277,#REF!,#REF!),0)</f>
        <v>0</v>
      </c>
    </row>
    <row r="278" spans="1:25" ht="16.5" customHeight="1" x14ac:dyDescent="0.35">
      <c r="A278" s="3" t="s">
        <v>34</v>
      </c>
      <c r="B278" s="4">
        <v>102</v>
      </c>
      <c r="C278" s="5">
        <v>38816</v>
      </c>
      <c r="D278" s="3" t="s">
        <v>182</v>
      </c>
      <c r="E278" s="6">
        <v>7.99</v>
      </c>
      <c r="F278" s="16">
        <v>4.1159999999999997</v>
      </c>
      <c r="G278" s="49">
        <v>0</v>
      </c>
      <c r="H278" s="50">
        <f t="shared" si="16"/>
        <v>0</v>
      </c>
      <c r="I278" s="50">
        <f t="shared" si="17"/>
        <v>0</v>
      </c>
      <c r="J278" s="50">
        <f t="shared" si="18"/>
        <v>0</v>
      </c>
      <c r="K278" s="51">
        <f t="shared" si="19"/>
        <v>0</v>
      </c>
      <c r="L278" s="36"/>
      <c r="M278" s="11">
        <v>0</v>
      </c>
      <c r="N278" s="11">
        <v>0</v>
      </c>
      <c r="O278" s="11">
        <v>0</v>
      </c>
      <c r="P278" s="8">
        <v>0</v>
      </c>
      <c r="Q278" s="11">
        <v>0</v>
      </c>
      <c r="R278" s="11">
        <v>0</v>
      </c>
      <c r="S278" s="11">
        <v>0</v>
      </c>
      <c r="T278" s="11">
        <v>0</v>
      </c>
      <c r="U278" s="14">
        <v>0</v>
      </c>
      <c r="V278" s="36">
        <f>IFERROR(LOOKUP($C278,#REF!,#REF!),0)</f>
        <v>0</v>
      </c>
      <c r="W278" s="36">
        <f>IFERROR(LOOKUP($C278,#REF!,#REF!),0)</f>
        <v>0</v>
      </c>
      <c r="X278" s="36">
        <f>IFERROR(LOOKUP($C278,#REF!,#REF!),0)</f>
        <v>0</v>
      </c>
      <c r="Y278" s="36">
        <f>IFERROR(LOOKUP($C278,#REF!,#REF!),0)</f>
        <v>0</v>
      </c>
    </row>
    <row r="279" spans="1:25" ht="16.5" customHeight="1" x14ac:dyDescent="0.35">
      <c r="A279" s="3" t="s">
        <v>34</v>
      </c>
      <c r="B279" s="4">
        <v>102</v>
      </c>
      <c r="C279" s="5">
        <v>38908</v>
      </c>
      <c r="D279" s="3" t="s">
        <v>183</v>
      </c>
      <c r="E279" s="6">
        <v>7.99</v>
      </c>
      <c r="F279" s="16">
        <v>4.3630833333333303</v>
      </c>
      <c r="G279" s="49">
        <v>0</v>
      </c>
      <c r="H279" s="50">
        <f t="shared" si="16"/>
        <v>0</v>
      </c>
      <c r="I279" s="50">
        <f t="shared" si="17"/>
        <v>0</v>
      </c>
      <c r="J279" s="50">
        <f t="shared" si="18"/>
        <v>0</v>
      </c>
      <c r="K279" s="51">
        <f t="shared" si="19"/>
        <v>0</v>
      </c>
      <c r="L279" s="36"/>
      <c r="M279" s="11">
        <v>0</v>
      </c>
      <c r="N279" s="11">
        <v>0</v>
      </c>
      <c r="O279" s="11">
        <v>0</v>
      </c>
      <c r="P279" s="8">
        <v>0</v>
      </c>
      <c r="Q279" s="11">
        <v>0</v>
      </c>
      <c r="R279" s="11">
        <v>0</v>
      </c>
      <c r="S279" s="11">
        <v>0</v>
      </c>
      <c r="T279" s="11">
        <v>0</v>
      </c>
      <c r="U279" s="14">
        <v>0</v>
      </c>
      <c r="V279" s="36">
        <f>IFERROR(LOOKUP($C279,#REF!,#REF!),0)</f>
        <v>0</v>
      </c>
      <c r="W279" s="36">
        <f>IFERROR(LOOKUP($C279,#REF!,#REF!),0)</f>
        <v>0</v>
      </c>
      <c r="X279" s="36">
        <f>IFERROR(LOOKUP($C279,#REF!,#REF!),0)</f>
        <v>0</v>
      </c>
      <c r="Y279" s="36">
        <f>IFERROR(LOOKUP($C279,#REF!,#REF!),0)</f>
        <v>0</v>
      </c>
    </row>
    <row r="280" spans="1:25" ht="16.5" customHeight="1" x14ac:dyDescent="0.35">
      <c r="A280" s="3" t="s">
        <v>34</v>
      </c>
      <c r="B280" s="4">
        <v>102</v>
      </c>
      <c r="C280" s="5">
        <v>38983</v>
      </c>
      <c r="D280" s="3" t="s">
        <v>184</v>
      </c>
      <c r="E280" s="6">
        <v>10.85</v>
      </c>
      <c r="F280" s="16">
        <v>5.9984999999999999</v>
      </c>
      <c r="G280" s="49">
        <v>0</v>
      </c>
      <c r="H280" s="50">
        <f t="shared" si="16"/>
        <v>0</v>
      </c>
      <c r="I280" s="50">
        <f t="shared" si="17"/>
        <v>0</v>
      </c>
      <c r="J280" s="50">
        <f t="shared" si="18"/>
        <v>0</v>
      </c>
      <c r="K280" s="51">
        <f t="shared" si="19"/>
        <v>0</v>
      </c>
      <c r="L280" s="36"/>
      <c r="M280" s="11">
        <v>0</v>
      </c>
      <c r="N280" s="11">
        <v>0</v>
      </c>
      <c r="O280" s="11">
        <v>0</v>
      </c>
      <c r="P280" s="8">
        <v>0</v>
      </c>
      <c r="Q280" s="11">
        <v>0</v>
      </c>
      <c r="R280" s="11">
        <v>0</v>
      </c>
      <c r="S280" s="11">
        <v>0</v>
      </c>
      <c r="T280" s="11">
        <v>0</v>
      </c>
      <c r="U280" s="14">
        <v>0</v>
      </c>
      <c r="V280" s="36">
        <f>IFERROR(LOOKUP($C280,#REF!,#REF!),0)</f>
        <v>0</v>
      </c>
      <c r="W280" s="36">
        <f>IFERROR(LOOKUP($C280,#REF!,#REF!),0)</f>
        <v>0</v>
      </c>
      <c r="X280" s="36">
        <f>IFERROR(LOOKUP($C280,#REF!,#REF!),0)</f>
        <v>0</v>
      </c>
      <c r="Y280" s="36">
        <f>IFERROR(LOOKUP($C280,#REF!,#REF!),0)</f>
        <v>0</v>
      </c>
    </row>
    <row r="281" spans="1:25" ht="16.5" customHeight="1" x14ac:dyDescent="0.35">
      <c r="A281" s="3" t="s">
        <v>34</v>
      </c>
      <c r="B281" s="4">
        <v>102</v>
      </c>
      <c r="C281" s="5">
        <v>39025</v>
      </c>
      <c r="D281" s="3" t="s">
        <v>185</v>
      </c>
      <c r="E281" s="6">
        <v>330.99</v>
      </c>
      <c r="F281" s="16">
        <v>182.6</v>
      </c>
      <c r="G281" s="49">
        <v>0</v>
      </c>
      <c r="H281" s="50">
        <f t="shared" si="16"/>
        <v>0</v>
      </c>
      <c r="I281" s="50">
        <f t="shared" si="17"/>
        <v>0</v>
      </c>
      <c r="J281" s="50">
        <f t="shared" si="18"/>
        <v>0</v>
      </c>
      <c r="K281" s="51">
        <f t="shared" si="19"/>
        <v>0</v>
      </c>
      <c r="L281" s="36"/>
      <c r="M281" s="11">
        <v>0</v>
      </c>
      <c r="N281" s="11">
        <v>0</v>
      </c>
      <c r="O281" s="11">
        <v>0</v>
      </c>
      <c r="P281" s="8">
        <v>0</v>
      </c>
      <c r="Q281" s="11">
        <v>0</v>
      </c>
      <c r="R281" s="11">
        <v>0</v>
      </c>
      <c r="S281" s="11">
        <v>0</v>
      </c>
      <c r="T281" s="11">
        <v>0</v>
      </c>
      <c r="U281" s="14">
        <v>0</v>
      </c>
      <c r="V281" s="36">
        <f>IFERROR(LOOKUP($C281,#REF!,#REF!),0)</f>
        <v>0</v>
      </c>
      <c r="W281" s="36">
        <f>IFERROR(LOOKUP($C281,#REF!,#REF!),0)</f>
        <v>0</v>
      </c>
      <c r="X281" s="36">
        <f>IFERROR(LOOKUP($C281,#REF!,#REF!),0)</f>
        <v>0</v>
      </c>
      <c r="Y281" s="36">
        <f>IFERROR(LOOKUP($C281,#REF!,#REF!),0)</f>
        <v>0</v>
      </c>
    </row>
    <row r="282" spans="1:25" ht="16.5" customHeight="1" x14ac:dyDescent="0.35">
      <c r="A282" s="3" t="s">
        <v>34</v>
      </c>
      <c r="B282" s="4">
        <v>102</v>
      </c>
      <c r="C282" s="5">
        <v>39421</v>
      </c>
      <c r="D282" s="3" t="s">
        <v>186</v>
      </c>
      <c r="E282" s="6">
        <v>28.99</v>
      </c>
      <c r="F282" s="16">
        <v>16.567</v>
      </c>
      <c r="G282" s="49">
        <v>0</v>
      </c>
      <c r="H282" s="50">
        <f t="shared" si="16"/>
        <v>0</v>
      </c>
      <c r="I282" s="50">
        <f t="shared" si="17"/>
        <v>0</v>
      </c>
      <c r="J282" s="50">
        <f t="shared" si="18"/>
        <v>0</v>
      </c>
      <c r="K282" s="51">
        <f t="shared" si="19"/>
        <v>0</v>
      </c>
      <c r="L282" s="36"/>
      <c r="M282" s="11">
        <v>0</v>
      </c>
      <c r="N282" s="11">
        <v>0</v>
      </c>
      <c r="O282" s="11">
        <v>0</v>
      </c>
      <c r="P282" s="8">
        <v>0</v>
      </c>
      <c r="Q282" s="11">
        <v>0</v>
      </c>
      <c r="R282" s="11">
        <v>0</v>
      </c>
      <c r="S282" s="11">
        <v>0</v>
      </c>
      <c r="T282" s="11">
        <v>0</v>
      </c>
      <c r="U282" s="14">
        <v>0</v>
      </c>
      <c r="V282" s="36">
        <f>IFERROR(LOOKUP($C282,#REF!,#REF!),0)</f>
        <v>0</v>
      </c>
      <c r="W282" s="36">
        <f>IFERROR(LOOKUP($C282,#REF!,#REF!),0)</f>
        <v>0</v>
      </c>
      <c r="X282" s="36">
        <f>IFERROR(LOOKUP($C282,#REF!,#REF!),0)</f>
        <v>0</v>
      </c>
      <c r="Y282" s="36">
        <f>IFERROR(LOOKUP($C282,#REF!,#REF!),0)</f>
        <v>0</v>
      </c>
    </row>
    <row r="283" spans="1:25" ht="16.5" customHeight="1" x14ac:dyDescent="0.35">
      <c r="A283" s="3" t="s">
        <v>34</v>
      </c>
      <c r="B283" s="4">
        <v>102</v>
      </c>
      <c r="C283" s="5">
        <v>39963</v>
      </c>
      <c r="D283" s="3" t="s">
        <v>187</v>
      </c>
      <c r="E283" s="6">
        <v>5.4</v>
      </c>
      <c r="F283" s="16">
        <v>2.9407999999999999</v>
      </c>
      <c r="G283" s="49">
        <v>0</v>
      </c>
      <c r="H283" s="50">
        <f t="shared" si="16"/>
        <v>0</v>
      </c>
      <c r="I283" s="50">
        <f t="shared" si="17"/>
        <v>0</v>
      </c>
      <c r="J283" s="50">
        <f t="shared" si="18"/>
        <v>0</v>
      </c>
      <c r="K283" s="51">
        <f t="shared" si="19"/>
        <v>0</v>
      </c>
      <c r="L283" s="36"/>
      <c r="M283" s="11">
        <v>0</v>
      </c>
      <c r="N283" s="11">
        <v>0</v>
      </c>
      <c r="O283" s="11">
        <v>0</v>
      </c>
      <c r="P283" s="8">
        <v>0</v>
      </c>
      <c r="Q283" s="11">
        <v>0</v>
      </c>
      <c r="R283" s="11">
        <v>0</v>
      </c>
      <c r="S283" s="11">
        <v>0</v>
      </c>
      <c r="T283" s="11">
        <v>0</v>
      </c>
      <c r="U283" s="14">
        <v>0</v>
      </c>
      <c r="V283" s="36">
        <f>IFERROR(LOOKUP($C283,#REF!,#REF!),0)</f>
        <v>0</v>
      </c>
      <c r="W283" s="36">
        <f>IFERROR(LOOKUP($C283,#REF!,#REF!),0)</f>
        <v>0</v>
      </c>
      <c r="X283" s="36">
        <f>IFERROR(LOOKUP($C283,#REF!,#REF!),0)</f>
        <v>0</v>
      </c>
      <c r="Y283" s="36">
        <f>IFERROR(LOOKUP($C283,#REF!,#REF!),0)</f>
        <v>0</v>
      </c>
    </row>
    <row r="284" spans="1:25" ht="16.5" customHeight="1" x14ac:dyDescent="0.35">
      <c r="A284" s="3" t="s">
        <v>34</v>
      </c>
      <c r="B284" s="4">
        <v>102</v>
      </c>
      <c r="C284" s="5">
        <v>40364</v>
      </c>
      <c r="D284" s="3" t="s">
        <v>188</v>
      </c>
      <c r="E284" s="6">
        <v>4.99</v>
      </c>
      <c r="F284" s="16">
        <v>2.8072499999999998</v>
      </c>
      <c r="G284" s="49">
        <v>0</v>
      </c>
      <c r="H284" s="50">
        <f t="shared" si="16"/>
        <v>0</v>
      </c>
      <c r="I284" s="50">
        <f t="shared" si="17"/>
        <v>0</v>
      </c>
      <c r="J284" s="50">
        <f t="shared" si="18"/>
        <v>0</v>
      </c>
      <c r="K284" s="51">
        <f t="shared" si="19"/>
        <v>0</v>
      </c>
      <c r="L284" s="36"/>
      <c r="M284" s="11">
        <v>0</v>
      </c>
      <c r="N284" s="11">
        <v>0</v>
      </c>
      <c r="O284" s="11">
        <v>0</v>
      </c>
      <c r="P284" s="8">
        <v>0</v>
      </c>
      <c r="Q284" s="11">
        <v>0</v>
      </c>
      <c r="R284" s="11">
        <v>0</v>
      </c>
      <c r="S284" s="11">
        <v>0</v>
      </c>
      <c r="T284" s="11">
        <v>0</v>
      </c>
      <c r="U284" s="14">
        <v>0</v>
      </c>
      <c r="V284" s="36">
        <f>IFERROR(LOOKUP($C284,#REF!,#REF!),0)</f>
        <v>0</v>
      </c>
      <c r="W284" s="36">
        <f>IFERROR(LOOKUP($C284,#REF!,#REF!),0)</f>
        <v>0</v>
      </c>
      <c r="X284" s="36">
        <f>IFERROR(LOOKUP($C284,#REF!,#REF!),0)</f>
        <v>0</v>
      </c>
      <c r="Y284" s="36">
        <f>IFERROR(LOOKUP($C284,#REF!,#REF!),0)</f>
        <v>0</v>
      </c>
    </row>
    <row r="285" spans="1:25" ht="16.5" customHeight="1" x14ac:dyDescent="0.35">
      <c r="A285" s="3" t="s">
        <v>34</v>
      </c>
      <c r="B285" s="4">
        <v>102</v>
      </c>
      <c r="C285" s="5">
        <v>48620</v>
      </c>
      <c r="D285" s="3" t="s">
        <v>150</v>
      </c>
      <c r="E285" s="6">
        <v>37.99</v>
      </c>
      <c r="F285" s="16">
        <v>19.462499999999999</v>
      </c>
      <c r="G285" s="49">
        <v>0</v>
      </c>
      <c r="H285" s="50">
        <f t="shared" si="16"/>
        <v>0</v>
      </c>
      <c r="I285" s="50">
        <f t="shared" si="17"/>
        <v>0</v>
      </c>
      <c r="J285" s="50">
        <f t="shared" si="18"/>
        <v>0</v>
      </c>
      <c r="K285" s="51">
        <f t="shared" si="19"/>
        <v>0</v>
      </c>
      <c r="L285" s="36"/>
      <c r="M285" s="11">
        <v>0</v>
      </c>
      <c r="N285" s="11">
        <v>0</v>
      </c>
      <c r="O285" s="11">
        <v>0</v>
      </c>
      <c r="P285" s="8">
        <v>0</v>
      </c>
      <c r="Q285" s="11">
        <v>0</v>
      </c>
      <c r="R285" s="11">
        <v>0</v>
      </c>
      <c r="S285" s="11">
        <v>0</v>
      </c>
      <c r="T285" s="11">
        <v>0</v>
      </c>
      <c r="U285" s="14">
        <v>0</v>
      </c>
      <c r="V285" s="36">
        <f>IFERROR(LOOKUP($C285,#REF!,#REF!),0)</f>
        <v>0</v>
      </c>
      <c r="W285" s="36">
        <f>IFERROR(LOOKUP($C285,#REF!,#REF!),0)</f>
        <v>0</v>
      </c>
      <c r="X285" s="36">
        <f>IFERROR(LOOKUP($C285,#REF!,#REF!),0)</f>
        <v>0</v>
      </c>
      <c r="Y285" s="36">
        <f>IFERROR(LOOKUP($C285,#REF!,#REF!),0)</f>
        <v>0</v>
      </c>
    </row>
    <row r="286" spans="1:25" ht="16.5" customHeight="1" x14ac:dyDescent="0.35">
      <c r="A286" s="3" t="s">
        <v>34</v>
      </c>
      <c r="B286" s="4">
        <v>102</v>
      </c>
      <c r="C286" s="5">
        <v>48683</v>
      </c>
      <c r="D286" s="3" t="s">
        <v>189</v>
      </c>
      <c r="E286" s="6">
        <v>11.99</v>
      </c>
      <c r="F286" s="16">
        <v>7.0248571428571402</v>
      </c>
      <c r="G286" s="49">
        <v>0</v>
      </c>
      <c r="H286" s="50">
        <f t="shared" si="16"/>
        <v>0</v>
      </c>
      <c r="I286" s="50">
        <f t="shared" si="17"/>
        <v>0</v>
      </c>
      <c r="J286" s="50">
        <f t="shared" si="18"/>
        <v>0</v>
      </c>
      <c r="K286" s="51">
        <f t="shared" si="19"/>
        <v>0</v>
      </c>
      <c r="L286" s="36"/>
      <c r="M286" s="11">
        <v>0</v>
      </c>
      <c r="N286" s="11">
        <v>0</v>
      </c>
      <c r="O286" s="11">
        <v>0</v>
      </c>
      <c r="P286" s="8">
        <v>0</v>
      </c>
      <c r="Q286" s="11">
        <v>0</v>
      </c>
      <c r="R286" s="11">
        <v>0</v>
      </c>
      <c r="S286" s="11">
        <v>0</v>
      </c>
      <c r="T286" s="11">
        <v>0</v>
      </c>
      <c r="U286" s="14">
        <v>0</v>
      </c>
      <c r="V286" s="36">
        <f>IFERROR(LOOKUP($C286,#REF!,#REF!),0)</f>
        <v>0</v>
      </c>
      <c r="W286" s="36">
        <f>IFERROR(LOOKUP($C286,#REF!,#REF!),0)</f>
        <v>0</v>
      </c>
      <c r="X286" s="36">
        <f>IFERROR(LOOKUP($C286,#REF!,#REF!),0)</f>
        <v>0</v>
      </c>
      <c r="Y286" s="36">
        <f>IFERROR(LOOKUP($C286,#REF!,#REF!),0)</f>
        <v>0</v>
      </c>
    </row>
    <row r="287" spans="1:25" ht="16.5" customHeight="1" x14ac:dyDescent="0.35">
      <c r="A287" s="3" t="s">
        <v>34</v>
      </c>
      <c r="B287" s="4">
        <v>102</v>
      </c>
      <c r="C287" s="5">
        <v>54652</v>
      </c>
      <c r="D287" s="3" t="s">
        <v>190</v>
      </c>
      <c r="E287" s="6">
        <v>21.99</v>
      </c>
      <c r="F287" s="16">
        <v>10.989750000000001</v>
      </c>
      <c r="G287" s="49">
        <v>0</v>
      </c>
      <c r="H287" s="50">
        <f t="shared" si="16"/>
        <v>0</v>
      </c>
      <c r="I287" s="50">
        <f t="shared" si="17"/>
        <v>0</v>
      </c>
      <c r="J287" s="50">
        <f t="shared" si="18"/>
        <v>0</v>
      </c>
      <c r="K287" s="51">
        <f t="shared" si="19"/>
        <v>0</v>
      </c>
      <c r="L287" s="36"/>
      <c r="M287" s="11">
        <v>0</v>
      </c>
      <c r="N287" s="11">
        <v>0</v>
      </c>
      <c r="O287" s="11">
        <v>0</v>
      </c>
      <c r="P287" s="8">
        <v>0</v>
      </c>
      <c r="Q287" s="11">
        <v>0</v>
      </c>
      <c r="R287" s="11">
        <v>0</v>
      </c>
      <c r="S287" s="11">
        <v>0</v>
      </c>
      <c r="T287" s="11">
        <v>0</v>
      </c>
      <c r="U287" s="14">
        <v>0</v>
      </c>
      <c r="V287" s="36">
        <f>IFERROR(LOOKUP($C287,#REF!,#REF!),0)</f>
        <v>0</v>
      </c>
      <c r="W287" s="36">
        <f>IFERROR(LOOKUP($C287,#REF!,#REF!),0)</f>
        <v>0</v>
      </c>
      <c r="X287" s="36">
        <f>IFERROR(LOOKUP($C287,#REF!,#REF!),0)</f>
        <v>0</v>
      </c>
      <c r="Y287" s="36">
        <f>IFERROR(LOOKUP($C287,#REF!,#REF!),0)</f>
        <v>0</v>
      </c>
    </row>
    <row r="288" spans="1:25" ht="16.5" customHeight="1" x14ac:dyDescent="0.35">
      <c r="A288" s="3" t="s">
        <v>34</v>
      </c>
      <c r="B288" s="4">
        <v>102</v>
      </c>
      <c r="C288" s="5">
        <v>63898</v>
      </c>
      <c r="D288" s="3" t="s">
        <v>195</v>
      </c>
      <c r="E288" s="6">
        <v>330.99</v>
      </c>
      <c r="F288" s="16">
        <v>179.16</v>
      </c>
      <c r="G288" s="49">
        <v>0</v>
      </c>
      <c r="H288" s="50">
        <f t="shared" si="16"/>
        <v>0</v>
      </c>
      <c r="I288" s="50">
        <f t="shared" si="17"/>
        <v>0</v>
      </c>
      <c r="J288" s="50">
        <f t="shared" si="18"/>
        <v>0</v>
      </c>
      <c r="K288" s="51">
        <f t="shared" si="19"/>
        <v>0</v>
      </c>
      <c r="L288" s="36"/>
      <c r="M288" s="11">
        <v>0</v>
      </c>
      <c r="N288" s="11">
        <v>0</v>
      </c>
      <c r="O288" s="11">
        <v>0</v>
      </c>
      <c r="P288" s="8">
        <v>0</v>
      </c>
      <c r="Q288" s="11">
        <v>0</v>
      </c>
      <c r="R288" s="11">
        <v>0</v>
      </c>
      <c r="S288" s="11">
        <v>0</v>
      </c>
      <c r="T288" s="11">
        <v>0</v>
      </c>
      <c r="U288" s="14">
        <v>0</v>
      </c>
      <c r="V288" s="36">
        <f>IFERROR(LOOKUP($C288,#REF!,#REF!),0)</f>
        <v>0</v>
      </c>
      <c r="W288" s="36">
        <f>IFERROR(LOOKUP($C288,#REF!,#REF!),0)</f>
        <v>0</v>
      </c>
      <c r="X288" s="36">
        <f>IFERROR(LOOKUP($C288,#REF!,#REF!),0)</f>
        <v>0</v>
      </c>
      <c r="Y288" s="36">
        <f>IFERROR(LOOKUP($C288,#REF!,#REF!),0)</f>
        <v>0</v>
      </c>
    </row>
    <row r="289" spans="1:25" ht="16.5" customHeight="1" x14ac:dyDescent="0.35">
      <c r="A289" s="3" t="s">
        <v>34</v>
      </c>
      <c r="B289" s="4">
        <v>102</v>
      </c>
      <c r="C289" s="5">
        <v>66308</v>
      </c>
      <c r="D289" s="3" t="s">
        <v>196</v>
      </c>
      <c r="E289" s="6">
        <v>10.85</v>
      </c>
      <c r="F289" s="16">
        <v>5.6589999999999998</v>
      </c>
      <c r="G289" s="49">
        <v>0</v>
      </c>
      <c r="H289" s="50">
        <f t="shared" si="16"/>
        <v>0</v>
      </c>
      <c r="I289" s="50">
        <f t="shared" si="17"/>
        <v>0</v>
      </c>
      <c r="J289" s="50">
        <f t="shared" si="18"/>
        <v>0</v>
      </c>
      <c r="K289" s="51">
        <f t="shared" si="19"/>
        <v>0</v>
      </c>
      <c r="L289" s="36"/>
      <c r="M289" s="11">
        <v>0</v>
      </c>
      <c r="N289" s="11">
        <v>0</v>
      </c>
      <c r="O289" s="11">
        <v>0</v>
      </c>
      <c r="P289" s="8">
        <v>0</v>
      </c>
      <c r="Q289" s="11">
        <v>0</v>
      </c>
      <c r="R289" s="11">
        <v>0</v>
      </c>
      <c r="S289" s="11">
        <v>0</v>
      </c>
      <c r="T289" s="11">
        <v>0</v>
      </c>
      <c r="U289" s="14">
        <v>0</v>
      </c>
      <c r="V289" s="36">
        <f>IFERROR(LOOKUP($C289,#REF!,#REF!),0)</f>
        <v>0</v>
      </c>
      <c r="W289" s="36">
        <f>IFERROR(LOOKUP($C289,#REF!,#REF!),0)</f>
        <v>0</v>
      </c>
      <c r="X289" s="36">
        <f>IFERROR(LOOKUP($C289,#REF!,#REF!),0)</f>
        <v>0</v>
      </c>
      <c r="Y289" s="36">
        <f>IFERROR(LOOKUP($C289,#REF!,#REF!),0)</f>
        <v>0</v>
      </c>
    </row>
    <row r="290" spans="1:25" ht="16.5" customHeight="1" x14ac:dyDescent="0.35">
      <c r="A290" s="3" t="s">
        <v>34</v>
      </c>
      <c r="B290" s="4">
        <v>101</v>
      </c>
      <c r="C290" s="5">
        <v>66806</v>
      </c>
      <c r="D290" s="3" t="s">
        <v>79</v>
      </c>
      <c r="E290" s="6">
        <v>33.99</v>
      </c>
      <c r="F290" s="16">
        <v>17.418749999999999</v>
      </c>
      <c r="G290" s="49">
        <v>0</v>
      </c>
      <c r="H290" s="50">
        <f t="shared" si="16"/>
        <v>0</v>
      </c>
      <c r="I290" s="50">
        <f t="shared" si="17"/>
        <v>0</v>
      </c>
      <c r="J290" s="50">
        <f t="shared" si="18"/>
        <v>0</v>
      </c>
      <c r="K290" s="51">
        <f t="shared" si="19"/>
        <v>0</v>
      </c>
      <c r="L290" s="36"/>
      <c r="M290" s="11">
        <v>0</v>
      </c>
      <c r="N290" s="11">
        <v>0</v>
      </c>
      <c r="O290" s="11">
        <v>0</v>
      </c>
      <c r="P290" s="8">
        <v>0</v>
      </c>
      <c r="Q290" s="11">
        <v>0</v>
      </c>
      <c r="R290" s="11">
        <v>0</v>
      </c>
      <c r="S290" s="11">
        <v>0</v>
      </c>
      <c r="T290" s="11">
        <v>0</v>
      </c>
      <c r="U290" s="14">
        <v>0</v>
      </c>
      <c r="V290" s="36">
        <f>IFERROR(LOOKUP($C290,#REF!,#REF!),0)</f>
        <v>0</v>
      </c>
      <c r="W290" s="36">
        <f>IFERROR(LOOKUP($C290,#REF!,#REF!),0)</f>
        <v>0</v>
      </c>
      <c r="X290" s="36">
        <f>IFERROR(LOOKUP($C290,#REF!,#REF!),0)</f>
        <v>0</v>
      </c>
      <c r="Y290" s="36">
        <f>IFERROR(LOOKUP($C290,#REF!,#REF!),0)</f>
        <v>0</v>
      </c>
    </row>
  </sheetData>
  <autoFilter ref="A3:L290" xr:uid="{77DF1547-A399-404D-B990-43D9D0B75869}"/>
  <sortState xmlns:xlrd2="http://schemas.microsoft.com/office/spreadsheetml/2017/richdata2" ref="A4:L290">
    <sortCondition ref="A4:A290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F0E7A-C2E7-4746-8935-EC61B11829F2}">
  <sheetPr codeName="Sheet4">
    <pageSetUpPr fitToPage="1"/>
  </sheetPr>
  <dimension ref="A1:O911"/>
  <sheetViews>
    <sheetView tabSelected="1" workbookViewId="0">
      <selection sqref="A1:N52"/>
    </sheetView>
  </sheetViews>
  <sheetFormatPr defaultRowHeight="13" x14ac:dyDescent="0.35"/>
  <cols>
    <col min="1" max="1" width="11" customWidth="1"/>
    <col min="2" max="2" width="11.09765625" style="36" customWidth="1"/>
    <col min="3" max="3" width="7.59765625" customWidth="1"/>
    <col min="4" max="4" width="29.796875" customWidth="1"/>
    <col min="5" max="5" width="8.3984375" customWidth="1"/>
    <col min="6" max="6" width="6.8984375" style="40" customWidth="1"/>
    <col min="7" max="8" width="9.8984375" bestFit="1" customWidth="1"/>
    <col min="9" max="9" width="11" bestFit="1" customWidth="1"/>
    <col min="10" max="13" width="9.8984375" bestFit="1" customWidth="1"/>
    <col min="14" max="14" width="10.69921875" bestFit="1" customWidth="1"/>
    <col min="15" max="15" width="24.296875" bestFit="1" customWidth="1"/>
  </cols>
  <sheetData>
    <row r="1" spans="1:15" ht="15.5" x14ac:dyDescent="0.35">
      <c r="A1" s="81" t="s">
        <v>321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3"/>
    </row>
    <row r="2" spans="1:15" ht="15.5" x14ac:dyDescent="0.35">
      <c r="A2" s="81" t="s">
        <v>322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3"/>
    </row>
    <row r="3" spans="1:15" s="22" customFormat="1" x14ac:dyDescent="0.35">
      <c r="A3" s="43" t="s">
        <v>317</v>
      </c>
      <c r="B3" s="42"/>
      <c r="C3" s="42"/>
      <c r="D3" s="42"/>
      <c r="E3" s="42"/>
      <c r="F3" s="42"/>
      <c r="G3" s="43" t="s">
        <v>308</v>
      </c>
      <c r="H3" s="54" t="s">
        <v>309</v>
      </c>
      <c r="I3" s="42"/>
      <c r="J3" s="42"/>
      <c r="K3" s="42"/>
      <c r="L3" s="42"/>
      <c r="M3" s="42"/>
      <c r="N3" s="44"/>
      <c r="O3"/>
    </row>
    <row r="4" spans="1:15" x14ac:dyDescent="0.35">
      <c r="A4" s="52"/>
      <c r="B4" s="53"/>
      <c r="C4" s="53"/>
      <c r="D4" s="53"/>
      <c r="E4" s="53"/>
      <c r="F4" s="53"/>
      <c r="G4" s="66">
        <v>46188</v>
      </c>
      <c r="H4" s="66">
        <v>46189</v>
      </c>
      <c r="I4" s="66">
        <v>46190</v>
      </c>
      <c r="J4" s="66">
        <v>46191</v>
      </c>
      <c r="K4" s="66">
        <v>46192</v>
      </c>
      <c r="L4" s="66">
        <v>46193</v>
      </c>
      <c r="M4" s="66">
        <v>46194</v>
      </c>
      <c r="N4" s="63" t="s">
        <v>292</v>
      </c>
    </row>
    <row r="5" spans="1:15" s="39" customFormat="1" ht="26" x14ac:dyDescent="0.35">
      <c r="A5" s="59" t="s">
        <v>300</v>
      </c>
      <c r="B5" s="67" t="s">
        <v>316</v>
      </c>
      <c r="C5" s="59" t="s">
        <v>1</v>
      </c>
      <c r="D5" s="59" t="s">
        <v>2</v>
      </c>
      <c r="E5" s="59" t="s">
        <v>3</v>
      </c>
      <c r="F5" s="59" t="s">
        <v>4</v>
      </c>
      <c r="G5" s="41" t="s">
        <v>306</v>
      </c>
      <c r="H5" s="41" t="s">
        <v>307</v>
      </c>
      <c r="I5" s="41" t="s">
        <v>310</v>
      </c>
      <c r="J5" s="41" t="s">
        <v>315</v>
      </c>
      <c r="K5" s="41" t="s">
        <v>318</v>
      </c>
      <c r="L5" s="41" t="s">
        <v>319</v>
      </c>
      <c r="M5" s="41" t="s">
        <v>320</v>
      </c>
      <c r="N5" s="64"/>
      <c r="O5"/>
    </row>
    <row r="6" spans="1:15" s="61" customFormat="1" ht="29.5" customHeight="1" x14ac:dyDescent="0.35">
      <c r="A6" s="41">
        <v>101</v>
      </c>
      <c r="B6" s="65">
        <v>780</v>
      </c>
      <c r="C6" s="41">
        <v>59381</v>
      </c>
      <c r="D6" s="41" t="s">
        <v>15</v>
      </c>
      <c r="E6" s="62">
        <v>13.99</v>
      </c>
      <c r="F6" s="55">
        <v>7.36</v>
      </c>
      <c r="G6" s="65">
        <v>100</v>
      </c>
      <c r="H6" s="65">
        <v>90</v>
      </c>
      <c r="I6" s="65">
        <v>91</v>
      </c>
      <c r="J6" s="65">
        <v>99</v>
      </c>
      <c r="K6" s="65">
        <v>79</v>
      </c>
      <c r="L6" s="65">
        <v>99</v>
      </c>
      <c r="M6" s="65">
        <v>46</v>
      </c>
      <c r="N6" s="56">
        <v>604</v>
      </c>
      <c r="O6"/>
    </row>
    <row r="7" spans="1:15" x14ac:dyDescent="0.35">
      <c r="A7" s="52"/>
      <c r="B7" s="65">
        <v>240</v>
      </c>
      <c r="C7" s="41">
        <v>59425</v>
      </c>
      <c r="D7" s="41" t="s">
        <v>17</v>
      </c>
      <c r="E7" s="62">
        <v>10.99</v>
      </c>
      <c r="F7" s="55">
        <v>6.3</v>
      </c>
      <c r="G7" s="65">
        <v>60</v>
      </c>
      <c r="H7" s="65">
        <v>0</v>
      </c>
      <c r="I7" s="65">
        <v>24</v>
      </c>
      <c r="J7" s="65">
        <v>15</v>
      </c>
      <c r="K7" s="65">
        <v>52</v>
      </c>
      <c r="L7" s="65">
        <v>40</v>
      </c>
      <c r="M7" s="65">
        <v>5</v>
      </c>
      <c r="N7" s="56">
        <v>196</v>
      </c>
    </row>
    <row r="8" spans="1:15" x14ac:dyDescent="0.35">
      <c r="A8" s="52"/>
      <c r="B8" s="65">
        <v>184</v>
      </c>
      <c r="C8" s="41">
        <v>34690</v>
      </c>
      <c r="D8" s="41" t="s">
        <v>18</v>
      </c>
      <c r="E8" s="62">
        <v>16.989999999999998</v>
      </c>
      <c r="F8" s="55">
        <v>7.7</v>
      </c>
      <c r="G8" s="65">
        <v>31</v>
      </c>
      <c r="H8" s="65">
        <v>27</v>
      </c>
      <c r="I8" s="65">
        <v>33</v>
      </c>
      <c r="J8" s="65">
        <v>31</v>
      </c>
      <c r="K8" s="65">
        <v>30</v>
      </c>
      <c r="L8" s="65">
        <v>15</v>
      </c>
      <c r="M8" s="65">
        <v>0</v>
      </c>
      <c r="N8" s="56">
        <v>167</v>
      </c>
    </row>
    <row r="9" spans="1:15" x14ac:dyDescent="0.35">
      <c r="A9" s="52"/>
      <c r="B9" s="65">
        <v>144</v>
      </c>
      <c r="C9" s="41">
        <v>34141</v>
      </c>
      <c r="D9" s="41" t="s">
        <v>24</v>
      </c>
      <c r="E9" s="62">
        <v>5</v>
      </c>
      <c r="F9" s="55">
        <v>3.3388750000000003</v>
      </c>
      <c r="G9" s="65">
        <v>0</v>
      </c>
      <c r="H9" s="65">
        <v>0</v>
      </c>
      <c r="I9" s="65">
        <v>40</v>
      </c>
      <c r="J9" s="65">
        <v>0</v>
      </c>
      <c r="K9" s="65">
        <v>0</v>
      </c>
      <c r="L9" s="65">
        <v>0</v>
      </c>
      <c r="M9" s="65">
        <v>0</v>
      </c>
      <c r="N9" s="56">
        <v>40</v>
      </c>
    </row>
    <row r="10" spans="1:15" x14ac:dyDescent="0.35">
      <c r="A10" s="52"/>
      <c r="B10" s="65">
        <v>104.666666666667</v>
      </c>
      <c r="C10" s="41">
        <v>32859</v>
      </c>
      <c r="D10" s="41" t="s">
        <v>20</v>
      </c>
      <c r="E10" s="62">
        <v>20.99</v>
      </c>
      <c r="F10" s="55">
        <v>7.46</v>
      </c>
      <c r="G10" s="65">
        <v>8</v>
      </c>
      <c r="H10" s="65">
        <v>11</v>
      </c>
      <c r="I10" s="65">
        <v>10</v>
      </c>
      <c r="J10" s="65">
        <v>12</v>
      </c>
      <c r="K10" s="65">
        <v>12</v>
      </c>
      <c r="L10" s="65">
        <v>12</v>
      </c>
      <c r="M10" s="65">
        <v>2</v>
      </c>
      <c r="N10" s="56">
        <v>67</v>
      </c>
    </row>
    <row r="11" spans="1:15" x14ac:dyDescent="0.35">
      <c r="A11" s="52"/>
      <c r="B11" s="65">
        <v>70</v>
      </c>
      <c r="C11" s="41">
        <v>34041</v>
      </c>
      <c r="D11" s="41" t="s">
        <v>42</v>
      </c>
      <c r="E11" s="62">
        <v>6.99</v>
      </c>
      <c r="F11" s="55">
        <v>3.15</v>
      </c>
      <c r="G11" s="65">
        <v>11</v>
      </c>
      <c r="H11" s="65">
        <v>7</v>
      </c>
      <c r="I11" s="65">
        <v>8</v>
      </c>
      <c r="J11" s="65">
        <v>9</v>
      </c>
      <c r="K11" s="65">
        <v>4</v>
      </c>
      <c r="L11" s="65">
        <v>0</v>
      </c>
      <c r="M11" s="65">
        <v>0</v>
      </c>
      <c r="N11" s="56">
        <v>39</v>
      </c>
    </row>
    <row r="12" spans="1:15" x14ac:dyDescent="0.35">
      <c r="A12" s="52"/>
      <c r="B12" s="65">
        <v>65</v>
      </c>
      <c r="C12" s="41">
        <v>50037</v>
      </c>
      <c r="D12" s="41" t="s">
        <v>22</v>
      </c>
      <c r="E12" s="62">
        <v>25.99</v>
      </c>
      <c r="F12" s="55">
        <v>13.4</v>
      </c>
      <c r="G12" s="65">
        <v>7</v>
      </c>
      <c r="H12" s="65">
        <v>7</v>
      </c>
      <c r="I12" s="65">
        <v>8</v>
      </c>
      <c r="J12" s="65">
        <v>5</v>
      </c>
      <c r="K12" s="65">
        <v>11</v>
      </c>
      <c r="L12" s="65">
        <v>4</v>
      </c>
      <c r="M12" s="65">
        <v>4</v>
      </c>
      <c r="N12" s="56">
        <v>46</v>
      </c>
    </row>
    <row r="13" spans="1:15" x14ac:dyDescent="0.35">
      <c r="A13" s="52"/>
      <c r="B13" s="65">
        <v>50</v>
      </c>
      <c r="C13" s="41">
        <v>34046</v>
      </c>
      <c r="D13" s="41" t="s">
        <v>36</v>
      </c>
      <c r="E13" s="62">
        <v>19.989999999999998</v>
      </c>
      <c r="F13" s="55">
        <v>12.2</v>
      </c>
      <c r="G13" s="65">
        <v>5</v>
      </c>
      <c r="H13" s="65">
        <v>4</v>
      </c>
      <c r="I13" s="65">
        <v>0</v>
      </c>
      <c r="J13" s="65">
        <v>0</v>
      </c>
      <c r="K13" s="65">
        <v>3</v>
      </c>
      <c r="L13" s="65">
        <v>3</v>
      </c>
      <c r="M13" s="65">
        <v>0</v>
      </c>
      <c r="N13" s="56">
        <v>15</v>
      </c>
    </row>
    <row r="14" spans="1:15" x14ac:dyDescent="0.35">
      <c r="A14" s="52"/>
      <c r="B14" s="65">
        <v>48</v>
      </c>
      <c r="C14" s="41">
        <v>34042</v>
      </c>
      <c r="D14" s="41" t="s">
        <v>30</v>
      </c>
      <c r="E14" s="62">
        <v>9.5</v>
      </c>
      <c r="F14" s="55">
        <v>4.1500000000000004</v>
      </c>
      <c r="G14" s="65">
        <v>6</v>
      </c>
      <c r="H14" s="65">
        <v>11</v>
      </c>
      <c r="I14" s="65">
        <v>12</v>
      </c>
      <c r="J14" s="65">
        <v>6</v>
      </c>
      <c r="K14" s="65">
        <v>5</v>
      </c>
      <c r="L14" s="65">
        <v>8</v>
      </c>
      <c r="M14" s="65">
        <v>0</v>
      </c>
      <c r="N14" s="56">
        <v>48</v>
      </c>
    </row>
    <row r="15" spans="1:15" x14ac:dyDescent="0.35">
      <c r="A15" s="52"/>
      <c r="B15" s="65">
        <v>40</v>
      </c>
      <c r="C15" s="41">
        <v>34091</v>
      </c>
      <c r="D15" s="41" t="s">
        <v>27</v>
      </c>
      <c r="E15" s="55">
        <v>19.989999999999998</v>
      </c>
      <c r="F15" s="55">
        <v>12.24</v>
      </c>
      <c r="G15" s="65">
        <v>5</v>
      </c>
      <c r="H15" s="65">
        <v>5</v>
      </c>
      <c r="I15" s="65">
        <v>13</v>
      </c>
      <c r="J15" s="65">
        <v>8</v>
      </c>
      <c r="K15" s="65">
        <v>17</v>
      </c>
      <c r="L15" s="65">
        <v>15</v>
      </c>
      <c r="M15" s="65">
        <v>0</v>
      </c>
      <c r="N15" s="56">
        <v>63</v>
      </c>
    </row>
    <row r="16" spans="1:15" x14ac:dyDescent="0.35">
      <c r="A16" s="52"/>
      <c r="B16" s="65">
        <v>36</v>
      </c>
      <c r="C16" s="41">
        <v>34024</v>
      </c>
      <c r="D16" s="41" t="s">
        <v>23</v>
      </c>
      <c r="E16" s="62">
        <v>37.99</v>
      </c>
      <c r="F16" s="55">
        <v>16.5</v>
      </c>
      <c r="G16" s="65">
        <v>5</v>
      </c>
      <c r="H16" s="65">
        <v>1</v>
      </c>
      <c r="I16" s="65">
        <v>5</v>
      </c>
      <c r="J16" s="65">
        <v>4</v>
      </c>
      <c r="K16" s="65">
        <v>6</v>
      </c>
      <c r="L16" s="65">
        <v>4</v>
      </c>
      <c r="M16" s="65">
        <v>1</v>
      </c>
      <c r="N16" s="56">
        <v>26</v>
      </c>
    </row>
    <row r="17" spans="1:14" x14ac:dyDescent="0.35">
      <c r="A17" s="52"/>
      <c r="B17" s="52"/>
      <c r="C17" s="41">
        <v>57073</v>
      </c>
      <c r="D17" s="41" t="s">
        <v>21</v>
      </c>
      <c r="E17" s="62">
        <v>36.99</v>
      </c>
      <c r="F17" s="55">
        <v>16.05</v>
      </c>
      <c r="G17" s="65">
        <v>7</v>
      </c>
      <c r="H17" s="65">
        <v>1</v>
      </c>
      <c r="I17" s="65">
        <v>0</v>
      </c>
      <c r="J17" s="65">
        <v>6</v>
      </c>
      <c r="K17" s="65">
        <v>7</v>
      </c>
      <c r="L17" s="65">
        <v>8</v>
      </c>
      <c r="M17" s="65">
        <v>0</v>
      </c>
      <c r="N17" s="56">
        <v>29</v>
      </c>
    </row>
    <row r="18" spans="1:14" x14ac:dyDescent="0.35">
      <c r="A18" s="52"/>
      <c r="B18" s="52"/>
      <c r="C18" s="41">
        <v>41464</v>
      </c>
      <c r="D18" s="41" t="s">
        <v>44</v>
      </c>
      <c r="E18" s="55">
        <v>16.989999999999998</v>
      </c>
      <c r="F18" s="55">
        <v>7.73</v>
      </c>
      <c r="G18" s="65">
        <v>0</v>
      </c>
      <c r="H18" s="65">
        <v>0</v>
      </c>
      <c r="I18" s="65">
        <v>0</v>
      </c>
      <c r="J18" s="65">
        <v>0</v>
      </c>
      <c r="K18" s="65">
        <v>0</v>
      </c>
      <c r="L18" s="65">
        <v>0</v>
      </c>
      <c r="M18" s="65">
        <v>0</v>
      </c>
      <c r="N18" s="56">
        <v>0</v>
      </c>
    </row>
    <row r="19" spans="1:14" x14ac:dyDescent="0.35">
      <c r="A19" s="52"/>
      <c r="B19" s="65">
        <v>34</v>
      </c>
      <c r="C19" s="41">
        <v>51680</v>
      </c>
      <c r="D19" s="41" t="s">
        <v>32</v>
      </c>
      <c r="E19" s="62">
        <v>21.99</v>
      </c>
      <c r="F19" s="55">
        <v>12.14</v>
      </c>
      <c r="G19" s="65">
        <v>3</v>
      </c>
      <c r="H19" s="65">
        <v>1</v>
      </c>
      <c r="I19" s="65">
        <v>1</v>
      </c>
      <c r="J19" s="65">
        <v>0</v>
      </c>
      <c r="K19" s="65">
        <v>4</v>
      </c>
      <c r="L19" s="65">
        <v>1</v>
      </c>
      <c r="M19" s="65">
        <v>2</v>
      </c>
      <c r="N19" s="56">
        <v>12</v>
      </c>
    </row>
    <row r="20" spans="1:14" x14ac:dyDescent="0.35">
      <c r="A20" s="52"/>
      <c r="B20" s="65">
        <v>30</v>
      </c>
      <c r="C20" s="41">
        <v>33997</v>
      </c>
      <c r="D20" s="41" t="s">
        <v>38</v>
      </c>
      <c r="E20" s="62">
        <v>14.99</v>
      </c>
      <c r="F20" s="55">
        <v>7.62</v>
      </c>
      <c r="G20" s="65">
        <v>3</v>
      </c>
      <c r="H20" s="65">
        <v>4</v>
      </c>
      <c r="I20" s="65">
        <v>3</v>
      </c>
      <c r="J20" s="65">
        <v>11</v>
      </c>
      <c r="K20" s="65">
        <v>3</v>
      </c>
      <c r="L20" s="65">
        <v>5</v>
      </c>
      <c r="M20" s="65">
        <v>0</v>
      </c>
      <c r="N20" s="56">
        <v>29</v>
      </c>
    </row>
    <row r="21" spans="1:14" x14ac:dyDescent="0.35">
      <c r="A21" s="52"/>
      <c r="B21" s="65">
        <v>28</v>
      </c>
      <c r="C21" s="41">
        <v>34023</v>
      </c>
      <c r="D21" s="41" t="s">
        <v>47</v>
      </c>
      <c r="E21" s="62">
        <v>6.99</v>
      </c>
      <c r="F21" s="55">
        <v>2.85</v>
      </c>
      <c r="G21" s="65">
        <v>5</v>
      </c>
      <c r="H21" s="65">
        <v>4</v>
      </c>
      <c r="I21" s="65">
        <v>4</v>
      </c>
      <c r="J21" s="65">
        <v>4</v>
      </c>
      <c r="K21" s="65">
        <v>4</v>
      </c>
      <c r="L21" s="65">
        <v>4</v>
      </c>
      <c r="M21" s="65">
        <v>2</v>
      </c>
      <c r="N21" s="56">
        <v>27</v>
      </c>
    </row>
    <row r="22" spans="1:14" x14ac:dyDescent="0.35">
      <c r="A22" s="52"/>
      <c r="B22" s="65">
        <v>24</v>
      </c>
      <c r="C22" s="41">
        <v>34022</v>
      </c>
      <c r="D22" s="41" t="s">
        <v>53</v>
      </c>
      <c r="E22" s="62">
        <v>5.99</v>
      </c>
      <c r="F22" s="55">
        <v>2.72</v>
      </c>
      <c r="G22" s="65">
        <v>5</v>
      </c>
      <c r="H22" s="65">
        <v>0</v>
      </c>
      <c r="I22" s="65">
        <v>2</v>
      </c>
      <c r="J22" s="65">
        <v>0</v>
      </c>
      <c r="K22" s="65">
        <v>6</v>
      </c>
      <c r="L22" s="65">
        <v>4</v>
      </c>
      <c r="M22" s="65">
        <v>0</v>
      </c>
      <c r="N22" s="56">
        <v>17</v>
      </c>
    </row>
    <row r="23" spans="1:14" x14ac:dyDescent="0.35">
      <c r="A23" s="52"/>
      <c r="B23" s="65">
        <v>8</v>
      </c>
      <c r="C23" s="41">
        <v>32067</v>
      </c>
      <c r="D23" s="41" t="s">
        <v>28</v>
      </c>
      <c r="E23" s="62">
        <v>34.99</v>
      </c>
      <c r="F23" s="55">
        <v>15.91</v>
      </c>
      <c r="G23" s="65">
        <v>0</v>
      </c>
      <c r="H23" s="65">
        <v>4</v>
      </c>
      <c r="I23" s="65">
        <v>4</v>
      </c>
      <c r="J23" s="65">
        <v>1</v>
      </c>
      <c r="K23" s="65">
        <v>7</v>
      </c>
      <c r="L23" s="65">
        <v>0</v>
      </c>
      <c r="M23" s="65">
        <v>0</v>
      </c>
      <c r="N23" s="56">
        <v>16</v>
      </c>
    </row>
    <row r="24" spans="1:14" x14ac:dyDescent="0.35">
      <c r="A24" s="52"/>
      <c r="B24" s="52"/>
      <c r="C24" s="41">
        <v>61947</v>
      </c>
      <c r="D24" s="41" t="s">
        <v>41</v>
      </c>
      <c r="E24" s="62">
        <v>28.99</v>
      </c>
      <c r="F24" s="55">
        <v>8.93</v>
      </c>
      <c r="G24" s="65">
        <v>1</v>
      </c>
      <c r="H24" s="65">
        <v>1</v>
      </c>
      <c r="I24" s="65">
        <v>3</v>
      </c>
      <c r="J24" s="65">
        <v>2</v>
      </c>
      <c r="K24" s="65">
        <v>3</v>
      </c>
      <c r="L24" s="65">
        <v>7</v>
      </c>
      <c r="M24" s="65">
        <v>0</v>
      </c>
      <c r="N24" s="56">
        <v>17</v>
      </c>
    </row>
    <row r="25" spans="1:14" x14ac:dyDescent="0.35">
      <c r="A25" s="52"/>
      <c r="B25" s="65">
        <v>6</v>
      </c>
      <c r="C25" s="41">
        <v>32062</v>
      </c>
      <c r="D25" s="41" t="s">
        <v>50</v>
      </c>
      <c r="E25" s="62">
        <v>24.99</v>
      </c>
      <c r="F25" s="55">
        <v>9.68</v>
      </c>
      <c r="G25" s="65">
        <v>0</v>
      </c>
      <c r="H25" s="65">
        <v>0</v>
      </c>
      <c r="I25" s="65">
        <v>2</v>
      </c>
      <c r="J25" s="65">
        <v>0</v>
      </c>
      <c r="K25" s="65">
        <v>2</v>
      </c>
      <c r="L25" s="65">
        <v>1</v>
      </c>
      <c r="M25" s="65">
        <v>0</v>
      </c>
      <c r="N25" s="56">
        <v>5</v>
      </c>
    </row>
    <row r="26" spans="1:14" x14ac:dyDescent="0.35">
      <c r="A26" s="52"/>
      <c r="B26" s="52"/>
      <c r="C26" s="41">
        <v>32063</v>
      </c>
      <c r="D26" s="41" t="s">
        <v>51</v>
      </c>
      <c r="E26" s="62">
        <v>19.989999999999998</v>
      </c>
      <c r="F26" s="55">
        <v>8.5</v>
      </c>
      <c r="G26" s="65">
        <v>0</v>
      </c>
      <c r="H26" s="65">
        <v>0</v>
      </c>
      <c r="I26" s="65">
        <v>2</v>
      </c>
      <c r="J26" s="65">
        <v>1</v>
      </c>
      <c r="K26" s="65">
        <v>1</v>
      </c>
      <c r="L26" s="65">
        <v>1</v>
      </c>
      <c r="M26" s="65">
        <v>0</v>
      </c>
      <c r="N26" s="56">
        <v>5</v>
      </c>
    </row>
    <row r="27" spans="1:14" x14ac:dyDescent="0.35">
      <c r="A27" s="52"/>
      <c r="B27" s="52"/>
      <c r="C27" s="41">
        <v>34011</v>
      </c>
      <c r="D27" s="41" t="s">
        <v>64</v>
      </c>
      <c r="E27" s="62">
        <v>19.989999999999998</v>
      </c>
      <c r="F27" s="55">
        <v>2.63</v>
      </c>
      <c r="G27" s="65">
        <v>0</v>
      </c>
      <c r="H27" s="65">
        <v>0</v>
      </c>
      <c r="I27" s="65">
        <v>1</v>
      </c>
      <c r="J27" s="65">
        <v>1</v>
      </c>
      <c r="K27" s="65">
        <v>3</v>
      </c>
      <c r="L27" s="65">
        <v>0</v>
      </c>
      <c r="M27" s="65">
        <v>0</v>
      </c>
      <c r="N27" s="56">
        <v>5</v>
      </c>
    </row>
    <row r="28" spans="1:14" x14ac:dyDescent="0.35">
      <c r="A28" s="52"/>
      <c r="B28" s="52"/>
      <c r="C28" s="41">
        <v>34053</v>
      </c>
      <c r="D28" s="41" t="s">
        <v>55</v>
      </c>
      <c r="E28" s="62">
        <v>15.99</v>
      </c>
      <c r="F28" s="55">
        <v>6.74</v>
      </c>
      <c r="G28" s="65">
        <v>3</v>
      </c>
      <c r="H28" s="65">
        <v>4</v>
      </c>
      <c r="I28" s="65">
        <v>0</v>
      </c>
      <c r="J28" s="65">
        <v>0</v>
      </c>
      <c r="K28" s="65">
        <v>0</v>
      </c>
      <c r="L28" s="65">
        <v>4</v>
      </c>
      <c r="M28" s="65">
        <v>0</v>
      </c>
      <c r="N28" s="56">
        <v>11</v>
      </c>
    </row>
    <row r="29" spans="1:14" x14ac:dyDescent="0.35">
      <c r="A29" s="41">
        <v>102</v>
      </c>
      <c r="B29" s="65">
        <v>213</v>
      </c>
      <c r="C29" s="41">
        <v>52943</v>
      </c>
      <c r="D29" s="41" t="s">
        <v>88</v>
      </c>
      <c r="E29" s="62">
        <v>31.99</v>
      </c>
      <c r="F29" s="55">
        <v>15.17</v>
      </c>
      <c r="G29" s="65">
        <v>7</v>
      </c>
      <c r="H29" s="65">
        <v>5</v>
      </c>
      <c r="I29" s="65">
        <v>13</v>
      </c>
      <c r="J29" s="65">
        <v>5</v>
      </c>
      <c r="K29" s="65">
        <v>3</v>
      </c>
      <c r="L29" s="65">
        <v>16</v>
      </c>
      <c r="M29" s="65">
        <v>18</v>
      </c>
      <c r="N29" s="56">
        <v>67</v>
      </c>
    </row>
    <row r="30" spans="1:14" x14ac:dyDescent="0.35">
      <c r="A30" s="52"/>
      <c r="B30" s="65">
        <v>32</v>
      </c>
      <c r="C30" s="41">
        <v>32127</v>
      </c>
      <c r="D30" s="41" t="s">
        <v>90</v>
      </c>
      <c r="E30" s="62">
        <v>11.99</v>
      </c>
      <c r="F30" s="55">
        <v>6.02</v>
      </c>
      <c r="G30" s="65">
        <v>12</v>
      </c>
      <c r="H30" s="65">
        <v>9</v>
      </c>
      <c r="I30" s="65">
        <v>8</v>
      </c>
      <c r="J30" s="65">
        <v>14</v>
      </c>
      <c r="K30" s="65">
        <v>20</v>
      </c>
      <c r="L30" s="65">
        <v>12</v>
      </c>
      <c r="M30" s="65">
        <v>23</v>
      </c>
      <c r="N30" s="56">
        <v>98</v>
      </c>
    </row>
    <row r="31" spans="1:14" x14ac:dyDescent="0.35">
      <c r="A31" s="52"/>
      <c r="B31" s="65">
        <v>24</v>
      </c>
      <c r="C31" s="41">
        <v>61939</v>
      </c>
      <c r="D31" s="41" t="s">
        <v>98</v>
      </c>
      <c r="E31" s="55">
        <v>10</v>
      </c>
      <c r="F31" s="55">
        <v>5.09</v>
      </c>
      <c r="G31" s="65">
        <v>0</v>
      </c>
      <c r="H31" s="65">
        <v>17</v>
      </c>
      <c r="I31" s="65">
        <v>19</v>
      </c>
      <c r="J31" s="65">
        <v>8</v>
      </c>
      <c r="K31" s="65">
        <v>5</v>
      </c>
      <c r="L31" s="65">
        <v>21</v>
      </c>
      <c r="M31" s="65">
        <v>3</v>
      </c>
      <c r="N31" s="56">
        <v>73</v>
      </c>
    </row>
    <row r="32" spans="1:14" x14ac:dyDescent="0.35">
      <c r="A32" s="52"/>
      <c r="B32" s="65">
        <v>16</v>
      </c>
      <c r="C32" s="41">
        <v>33995</v>
      </c>
      <c r="D32" s="41" t="s">
        <v>89</v>
      </c>
      <c r="E32" s="62">
        <v>15.99</v>
      </c>
      <c r="F32" s="55">
        <v>8.2200000000000006</v>
      </c>
      <c r="G32" s="65">
        <v>20</v>
      </c>
      <c r="H32" s="65">
        <v>7</v>
      </c>
      <c r="I32" s="65">
        <v>7</v>
      </c>
      <c r="J32" s="65">
        <v>10</v>
      </c>
      <c r="K32" s="65">
        <v>15</v>
      </c>
      <c r="L32" s="65">
        <v>14</v>
      </c>
      <c r="M32" s="65">
        <v>7</v>
      </c>
      <c r="N32" s="56">
        <v>80</v>
      </c>
    </row>
    <row r="33" spans="1:14" x14ac:dyDescent="0.35">
      <c r="A33" s="52"/>
      <c r="B33" s="52"/>
      <c r="C33" s="41">
        <v>42990</v>
      </c>
      <c r="D33" s="41" t="s">
        <v>91</v>
      </c>
      <c r="E33" s="62">
        <v>19.989999999999998</v>
      </c>
      <c r="F33" s="55">
        <v>10.85</v>
      </c>
      <c r="G33" s="65">
        <v>7</v>
      </c>
      <c r="H33" s="65">
        <v>10</v>
      </c>
      <c r="I33" s="65">
        <v>5</v>
      </c>
      <c r="J33" s="65">
        <v>11</v>
      </c>
      <c r="K33" s="65">
        <v>15</v>
      </c>
      <c r="L33" s="65">
        <v>9</v>
      </c>
      <c r="M33" s="65">
        <v>19</v>
      </c>
      <c r="N33" s="56">
        <v>76</v>
      </c>
    </row>
    <row r="34" spans="1:14" x14ac:dyDescent="0.35">
      <c r="A34" s="52"/>
      <c r="B34" s="65">
        <v>12</v>
      </c>
      <c r="C34" s="41">
        <v>34008</v>
      </c>
      <c r="D34" s="41" t="s">
        <v>101</v>
      </c>
      <c r="E34" s="62">
        <v>5.99</v>
      </c>
      <c r="F34" s="55">
        <v>4.32</v>
      </c>
      <c r="G34" s="65">
        <v>14</v>
      </c>
      <c r="H34" s="65">
        <v>13</v>
      </c>
      <c r="I34" s="65">
        <v>16</v>
      </c>
      <c r="J34" s="65">
        <v>16</v>
      </c>
      <c r="K34" s="65">
        <v>24</v>
      </c>
      <c r="L34" s="65">
        <v>14</v>
      </c>
      <c r="M34" s="65">
        <v>8</v>
      </c>
      <c r="N34" s="56">
        <v>105</v>
      </c>
    </row>
    <row r="35" spans="1:14" x14ac:dyDescent="0.35">
      <c r="A35" s="52"/>
      <c r="B35" s="52"/>
      <c r="C35" s="41">
        <v>61938</v>
      </c>
      <c r="D35" s="41" t="s">
        <v>121</v>
      </c>
      <c r="E35" s="55">
        <v>10</v>
      </c>
      <c r="F35" s="55">
        <v>3.43</v>
      </c>
      <c r="G35" s="65">
        <v>3</v>
      </c>
      <c r="H35" s="65">
        <v>0</v>
      </c>
      <c r="I35" s="65">
        <v>1</v>
      </c>
      <c r="J35" s="65">
        <v>0</v>
      </c>
      <c r="K35" s="65">
        <v>3</v>
      </c>
      <c r="L35" s="65">
        <v>1</v>
      </c>
      <c r="M35" s="65">
        <v>0</v>
      </c>
      <c r="N35" s="56">
        <v>8</v>
      </c>
    </row>
    <row r="36" spans="1:14" x14ac:dyDescent="0.35">
      <c r="A36" s="52"/>
      <c r="B36" s="65">
        <v>10</v>
      </c>
      <c r="C36" s="41">
        <v>42797</v>
      </c>
      <c r="D36" s="41" t="s">
        <v>96</v>
      </c>
      <c r="E36" s="62">
        <v>11.99</v>
      </c>
      <c r="F36" s="55">
        <v>4.968</v>
      </c>
      <c r="G36" s="65">
        <v>12</v>
      </c>
      <c r="H36" s="65">
        <v>7</v>
      </c>
      <c r="I36" s="65">
        <v>8</v>
      </c>
      <c r="J36" s="65">
        <v>10</v>
      </c>
      <c r="K36" s="65">
        <v>12</v>
      </c>
      <c r="L36" s="65">
        <v>1</v>
      </c>
      <c r="M36" s="65">
        <v>10</v>
      </c>
      <c r="N36" s="56">
        <v>60</v>
      </c>
    </row>
    <row r="37" spans="1:14" x14ac:dyDescent="0.35">
      <c r="A37" s="52"/>
      <c r="B37" s="52"/>
      <c r="C37" s="41">
        <v>61937</v>
      </c>
      <c r="D37" s="41" t="s">
        <v>119</v>
      </c>
      <c r="E37" s="62">
        <v>10</v>
      </c>
      <c r="F37" s="55">
        <v>2.67</v>
      </c>
      <c r="G37" s="65">
        <v>12</v>
      </c>
      <c r="H37" s="65">
        <v>0</v>
      </c>
      <c r="I37" s="65">
        <v>0</v>
      </c>
      <c r="J37" s="65">
        <v>0</v>
      </c>
      <c r="K37" s="65">
        <v>0</v>
      </c>
      <c r="L37" s="65">
        <v>0</v>
      </c>
      <c r="M37" s="65">
        <v>0</v>
      </c>
      <c r="N37" s="56">
        <v>12</v>
      </c>
    </row>
    <row r="38" spans="1:14" x14ac:dyDescent="0.35">
      <c r="A38" s="52"/>
      <c r="B38" s="65">
        <v>8</v>
      </c>
      <c r="C38" s="41">
        <v>32131</v>
      </c>
      <c r="D38" s="41" t="s">
        <v>92</v>
      </c>
      <c r="E38" s="55">
        <v>18.989999999999998</v>
      </c>
      <c r="F38" s="55">
        <v>9.1300000000000008</v>
      </c>
      <c r="G38" s="65">
        <v>0</v>
      </c>
      <c r="H38" s="65">
        <v>0</v>
      </c>
      <c r="I38" s="65">
        <v>7</v>
      </c>
      <c r="J38" s="65">
        <v>17</v>
      </c>
      <c r="K38" s="65">
        <v>16</v>
      </c>
      <c r="L38" s="65">
        <v>8</v>
      </c>
      <c r="M38" s="65">
        <v>10</v>
      </c>
      <c r="N38" s="56">
        <v>58</v>
      </c>
    </row>
    <row r="39" spans="1:14" x14ac:dyDescent="0.35">
      <c r="A39" s="52"/>
      <c r="B39" s="52"/>
      <c r="C39" s="41">
        <v>32872</v>
      </c>
      <c r="D39" s="41" t="s">
        <v>95</v>
      </c>
      <c r="E39" s="55">
        <v>39.99</v>
      </c>
      <c r="F39" s="55">
        <v>11.79</v>
      </c>
      <c r="G39" s="65">
        <v>2</v>
      </c>
      <c r="H39" s="65">
        <v>0</v>
      </c>
      <c r="I39" s="65">
        <v>8</v>
      </c>
      <c r="J39" s="65">
        <v>11</v>
      </c>
      <c r="K39" s="65">
        <v>5</v>
      </c>
      <c r="L39" s="65">
        <v>12</v>
      </c>
      <c r="M39" s="65">
        <v>19</v>
      </c>
      <c r="N39" s="56">
        <v>57</v>
      </c>
    </row>
    <row r="40" spans="1:14" x14ac:dyDescent="0.35">
      <c r="A40" s="52"/>
      <c r="B40" s="52"/>
      <c r="C40" s="41">
        <v>33031</v>
      </c>
      <c r="D40" s="41" t="s">
        <v>94</v>
      </c>
      <c r="E40" s="62">
        <v>17.989999999999998</v>
      </c>
      <c r="F40" s="55">
        <v>9.1199999999999992</v>
      </c>
      <c r="G40" s="65">
        <v>9</v>
      </c>
      <c r="H40" s="65">
        <v>0</v>
      </c>
      <c r="I40" s="65">
        <v>0</v>
      </c>
      <c r="J40" s="65">
        <v>3</v>
      </c>
      <c r="K40" s="65">
        <v>1</v>
      </c>
      <c r="L40" s="65">
        <v>2</v>
      </c>
      <c r="M40" s="65">
        <v>5</v>
      </c>
      <c r="N40" s="56">
        <v>20</v>
      </c>
    </row>
    <row r="41" spans="1:14" x14ac:dyDescent="0.35">
      <c r="A41" s="52"/>
      <c r="B41" s="65">
        <v>6</v>
      </c>
      <c r="C41" s="41">
        <v>32152</v>
      </c>
      <c r="D41" s="41" t="s">
        <v>97</v>
      </c>
      <c r="E41" s="62">
        <v>12.99</v>
      </c>
      <c r="F41" s="55">
        <v>6.77</v>
      </c>
      <c r="G41" s="65">
        <v>6</v>
      </c>
      <c r="H41" s="65">
        <v>2</v>
      </c>
      <c r="I41" s="65">
        <v>5</v>
      </c>
      <c r="J41" s="65">
        <v>3</v>
      </c>
      <c r="K41" s="65">
        <v>1</v>
      </c>
      <c r="L41" s="65">
        <v>5</v>
      </c>
      <c r="M41" s="65">
        <v>3</v>
      </c>
      <c r="N41" s="56">
        <v>25</v>
      </c>
    </row>
    <row r="42" spans="1:14" x14ac:dyDescent="0.35">
      <c r="A42" s="52"/>
      <c r="B42" s="52"/>
      <c r="C42" s="41">
        <v>32855</v>
      </c>
      <c r="D42" s="41" t="s">
        <v>107</v>
      </c>
      <c r="E42" s="62">
        <v>17.989999999999998</v>
      </c>
      <c r="F42" s="55">
        <v>9.14</v>
      </c>
      <c r="G42" s="65">
        <v>3</v>
      </c>
      <c r="H42" s="65">
        <v>2</v>
      </c>
      <c r="I42" s="65">
        <v>3</v>
      </c>
      <c r="J42" s="65">
        <v>1</v>
      </c>
      <c r="K42" s="65">
        <v>3</v>
      </c>
      <c r="L42" s="65">
        <v>1</v>
      </c>
      <c r="M42" s="65">
        <v>3</v>
      </c>
      <c r="N42" s="56">
        <v>16</v>
      </c>
    </row>
    <row r="43" spans="1:14" x14ac:dyDescent="0.35">
      <c r="A43" s="52"/>
      <c r="B43" s="52"/>
      <c r="C43" s="41">
        <v>34015</v>
      </c>
      <c r="D43" s="41" t="s">
        <v>103</v>
      </c>
      <c r="E43" s="62">
        <v>29.99</v>
      </c>
      <c r="F43" s="55">
        <v>3.1788888888888889</v>
      </c>
      <c r="G43" s="65">
        <v>3</v>
      </c>
      <c r="H43" s="65">
        <v>1</v>
      </c>
      <c r="I43" s="65">
        <v>8</v>
      </c>
      <c r="J43" s="65">
        <v>6</v>
      </c>
      <c r="K43" s="65">
        <v>1</v>
      </c>
      <c r="L43" s="65">
        <v>3</v>
      </c>
      <c r="M43" s="65">
        <v>2</v>
      </c>
      <c r="N43" s="56">
        <v>24</v>
      </c>
    </row>
    <row r="44" spans="1:14" x14ac:dyDescent="0.35">
      <c r="A44" s="52"/>
      <c r="B44" s="52"/>
      <c r="C44" s="41">
        <v>39422</v>
      </c>
      <c r="D44" s="41" t="s">
        <v>117</v>
      </c>
      <c r="E44" s="62">
        <v>15.99</v>
      </c>
      <c r="F44" s="55">
        <v>8.3000000000000007</v>
      </c>
      <c r="G44" s="65">
        <v>1</v>
      </c>
      <c r="H44" s="65">
        <v>1</v>
      </c>
      <c r="I44" s="65">
        <v>0</v>
      </c>
      <c r="J44" s="65">
        <v>0</v>
      </c>
      <c r="K44" s="65">
        <v>2</v>
      </c>
      <c r="L44" s="65">
        <v>1</v>
      </c>
      <c r="M44" s="65">
        <v>0</v>
      </c>
      <c r="N44" s="56">
        <v>5</v>
      </c>
    </row>
    <row r="45" spans="1:14" x14ac:dyDescent="0.35">
      <c r="A45" s="52"/>
      <c r="B45" s="52"/>
      <c r="C45" s="41">
        <v>55481</v>
      </c>
      <c r="D45" s="41" t="s">
        <v>102</v>
      </c>
      <c r="E45" s="62">
        <v>11.99</v>
      </c>
      <c r="F45" s="55">
        <v>5.0999999999999996</v>
      </c>
      <c r="G45" s="65">
        <v>8</v>
      </c>
      <c r="H45" s="65">
        <v>5</v>
      </c>
      <c r="I45" s="65">
        <v>1</v>
      </c>
      <c r="J45" s="65">
        <v>0</v>
      </c>
      <c r="K45" s="65">
        <v>0</v>
      </c>
      <c r="L45" s="65">
        <v>6</v>
      </c>
      <c r="M45" s="65">
        <v>4</v>
      </c>
      <c r="N45" s="56">
        <v>24</v>
      </c>
    </row>
    <row r="46" spans="1:14" x14ac:dyDescent="0.35">
      <c r="A46" s="41">
        <v>104</v>
      </c>
      <c r="B46" s="65">
        <v>15</v>
      </c>
      <c r="C46" s="41">
        <v>34095</v>
      </c>
      <c r="D46" s="41" t="s">
        <v>232</v>
      </c>
      <c r="E46" s="62">
        <v>29.99</v>
      </c>
      <c r="F46" s="55">
        <v>12.52</v>
      </c>
      <c r="G46" s="65">
        <v>0</v>
      </c>
      <c r="H46" s="65">
        <v>0</v>
      </c>
      <c r="I46" s="65">
        <v>0</v>
      </c>
      <c r="J46" s="65">
        <v>4</v>
      </c>
      <c r="K46" s="65">
        <v>10</v>
      </c>
      <c r="L46" s="65">
        <v>4</v>
      </c>
      <c r="M46" s="65">
        <v>3</v>
      </c>
      <c r="N46" s="56">
        <v>21</v>
      </c>
    </row>
    <row r="47" spans="1:14" x14ac:dyDescent="0.35">
      <c r="A47" s="52"/>
      <c r="B47" s="65">
        <v>10</v>
      </c>
      <c r="C47" s="41">
        <v>34083</v>
      </c>
      <c r="D47" s="41" t="s">
        <v>230</v>
      </c>
      <c r="E47" s="55">
        <v>55</v>
      </c>
      <c r="F47" s="55">
        <v>25.97</v>
      </c>
      <c r="G47" s="65">
        <v>1</v>
      </c>
      <c r="H47" s="65">
        <v>3</v>
      </c>
      <c r="I47" s="65">
        <v>3</v>
      </c>
      <c r="J47" s="65">
        <v>1</v>
      </c>
      <c r="K47" s="65">
        <v>2</v>
      </c>
      <c r="L47" s="65">
        <v>5</v>
      </c>
      <c r="M47" s="65">
        <v>1</v>
      </c>
      <c r="N47" s="56">
        <v>16</v>
      </c>
    </row>
    <row r="48" spans="1:14" x14ac:dyDescent="0.35">
      <c r="A48" s="52"/>
      <c r="B48" s="65">
        <v>5</v>
      </c>
      <c r="C48" s="41">
        <v>34082</v>
      </c>
      <c r="D48" s="41" t="s">
        <v>234</v>
      </c>
      <c r="E48" s="55">
        <v>55</v>
      </c>
      <c r="F48" s="55">
        <v>25.03</v>
      </c>
      <c r="G48" s="65">
        <v>0</v>
      </c>
      <c r="H48" s="65">
        <v>0</v>
      </c>
      <c r="I48" s="65">
        <v>0</v>
      </c>
      <c r="J48" s="65">
        <v>0</v>
      </c>
      <c r="K48" s="65">
        <v>0</v>
      </c>
      <c r="L48" s="65">
        <v>0</v>
      </c>
      <c r="M48" s="65">
        <v>0</v>
      </c>
      <c r="N48" s="56">
        <v>0</v>
      </c>
    </row>
    <row r="49" spans="1:14" x14ac:dyDescent="0.35">
      <c r="A49" s="52"/>
      <c r="B49" s="65">
        <v>3</v>
      </c>
      <c r="C49" s="41">
        <v>34079</v>
      </c>
      <c r="D49" s="41" t="s">
        <v>233</v>
      </c>
      <c r="E49" s="62">
        <v>60</v>
      </c>
      <c r="F49" s="55">
        <v>29.14</v>
      </c>
      <c r="G49" s="65">
        <v>0</v>
      </c>
      <c r="H49" s="65">
        <v>0</v>
      </c>
      <c r="I49" s="65">
        <v>0</v>
      </c>
      <c r="J49" s="65">
        <v>1</v>
      </c>
      <c r="K49" s="65">
        <v>0</v>
      </c>
      <c r="L49" s="65">
        <v>0</v>
      </c>
      <c r="M49" s="65">
        <v>0</v>
      </c>
      <c r="N49" s="56">
        <v>1</v>
      </c>
    </row>
    <row r="50" spans="1:14" x14ac:dyDescent="0.35">
      <c r="A50" s="41">
        <v>106</v>
      </c>
      <c r="B50" s="65">
        <v>93</v>
      </c>
      <c r="C50" s="41">
        <v>54018</v>
      </c>
      <c r="D50" s="41" t="s">
        <v>240</v>
      </c>
      <c r="E50" s="62">
        <v>18.989999999999998</v>
      </c>
      <c r="F50" s="55">
        <v>9.83</v>
      </c>
      <c r="G50" s="65">
        <v>8</v>
      </c>
      <c r="H50" s="65">
        <v>3</v>
      </c>
      <c r="I50" s="65">
        <v>6</v>
      </c>
      <c r="J50" s="65">
        <v>12</v>
      </c>
      <c r="K50" s="65">
        <v>14</v>
      </c>
      <c r="L50" s="65">
        <v>13</v>
      </c>
      <c r="M50" s="65">
        <v>2</v>
      </c>
      <c r="N50" s="56">
        <v>58</v>
      </c>
    </row>
    <row r="51" spans="1:14" x14ac:dyDescent="0.35">
      <c r="A51" s="41">
        <v>117</v>
      </c>
      <c r="B51" s="65">
        <v>24</v>
      </c>
      <c r="C51" s="41">
        <v>34034</v>
      </c>
      <c r="D51" s="41" t="s">
        <v>250</v>
      </c>
      <c r="E51" s="55">
        <v>19.989999999999998</v>
      </c>
      <c r="F51" s="55">
        <v>8.43</v>
      </c>
      <c r="G51" s="65">
        <v>0</v>
      </c>
      <c r="H51" s="65">
        <v>0</v>
      </c>
      <c r="I51" s="65">
        <v>0</v>
      </c>
      <c r="J51" s="65">
        <v>0</v>
      </c>
      <c r="K51" s="65">
        <v>0</v>
      </c>
      <c r="L51" s="65">
        <v>0</v>
      </c>
      <c r="M51" s="65">
        <v>0</v>
      </c>
      <c r="N51" s="56">
        <v>0</v>
      </c>
    </row>
    <row r="52" spans="1:14" x14ac:dyDescent="0.35">
      <c r="A52" s="52"/>
      <c r="B52" s="65">
        <v>6</v>
      </c>
      <c r="C52" s="41">
        <v>41620</v>
      </c>
      <c r="D52" s="41" t="s">
        <v>252</v>
      </c>
      <c r="E52" s="62">
        <v>15.99</v>
      </c>
      <c r="F52" s="55">
        <v>8.11</v>
      </c>
      <c r="G52" s="65">
        <v>0</v>
      </c>
      <c r="H52" s="65">
        <v>0</v>
      </c>
      <c r="I52" s="65">
        <v>1</v>
      </c>
      <c r="J52" s="65">
        <v>0</v>
      </c>
      <c r="K52" s="65">
        <v>0</v>
      </c>
      <c r="L52" s="65">
        <v>0</v>
      </c>
      <c r="M52" s="65">
        <v>0</v>
      </c>
      <c r="N52" s="56">
        <v>1</v>
      </c>
    </row>
    <row r="53" spans="1:14" x14ac:dyDescent="0.35">
      <c r="A53" s="57" t="s">
        <v>292</v>
      </c>
      <c r="B53" s="45"/>
      <c r="C53" s="45"/>
      <c r="D53" s="45"/>
      <c r="E53" s="45"/>
      <c r="F53" s="45"/>
      <c r="G53" s="68">
        <v>393</v>
      </c>
      <c r="H53" s="68">
        <v>267</v>
      </c>
      <c r="I53" s="68">
        <v>385</v>
      </c>
      <c r="J53" s="68">
        <v>348</v>
      </c>
      <c r="K53" s="68">
        <v>411</v>
      </c>
      <c r="L53" s="68">
        <v>383</v>
      </c>
      <c r="M53" s="68">
        <v>202</v>
      </c>
      <c r="N53" s="58">
        <v>2389</v>
      </c>
    </row>
    <row r="54" spans="1:14" x14ac:dyDescent="0.35">
      <c r="B54"/>
      <c r="F54"/>
    </row>
    <row r="55" spans="1:14" x14ac:dyDescent="0.35">
      <c r="B55"/>
      <c r="F55"/>
    </row>
    <row r="56" spans="1:14" x14ac:dyDescent="0.35">
      <c r="B56"/>
      <c r="F56"/>
    </row>
    <row r="57" spans="1:14" x14ac:dyDescent="0.35">
      <c r="B57"/>
      <c r="F57"/>
    </row>
    <row r="58" spans="1:14" x14ac:dyDescent="0.35">
      <c r="B58"/>
      <c r="F58"/>
    </row>
    <row r="59" spans="1:14" x14ac:dyDescent="0.35">
      <c r="B59"/>
      <c r="F59"/>
    </row>
    <row r="60" spans="1:14" x14ac:dyDescent="0.35">
      <c r="B60"/>
      <c r="F60"/>
    </row>
    <row r="61" spans="1:14" x14ac:dyDescent="0.35">
      <c r="B61"/>
      <c r="F61"/>
    </row>
    <row r="62" spans="1:14" x14ac:dyDescent="0.35">
      <c r="B62"/>
      <c r="F62"/>
    </row>
    <row r="63" spans="1:14" x14ac:dyDescent="0.35">
      <c r="B63"/>
      <c r="F63"/>
    </row>
    <row r="64" spans="1:14" x14ac:dyDescent="0.35">
      <c r="B64"/>
      <c r="F64"/>
    </row>
    <row r="65" spans="2:6" x14ac:dyDescent="0.35">
      <c r="B65"/>
      <c r="F65"/>
    </row>
    <row r="66" spans="2:6" x14ac:dyDescent="0.35">
      <c r="B66"/>
      <c r="F66"/>
    </row>
    <row r="67" spans="2:6" x14ac:dyDescent="0.35">
      <c r="B67"/>
      <c r="F67"/>
    </row>
    <row r="68" spans="2:6" x14ac:dyDescent="0.35">
      <c r="B68"/>
      <c r="F68"/>
    </row>
    <row r="69" spans="2:6" x14ac:dyDescent="0.35">
      <c r="B69"/>
      <c r="F69"/>
    </row>
    <row r="70" spans="2:6" x14ac:dyDescent="0.35">
      <c r="B70"/>
      <c r="F70"/>
    </row>
    <row r="71" spans="2:6" x14ac:dyDescent="0.35">
      <c r="B71"/>
      <c r="F71"/>
    </row>
    <row r="72" spans="2:6" x14ac:dyDescent="0.35">
      <c r="B72"/>
      <c r="F72"/>
    </row>
    <row r="73" spans="2:6" x14ac:dyDescent="0.35">
      <c r="B73"/>
      <c r="F73"/>
    </row>
    <row r="74" spans="2:6" x14ac:dyDescent="0.35">
      <c r="B74"/>
      <c r="F74"/>
    </row>
    <row r="75" spans="2:6" x14ac:dyDescent="0.35">
      <c r="B75"/>
      <c r="F75"/>
    </row>
    <row r="76" spans="2:6" x14ac:dyDescent="0.35">
      <c r="B76"/>
      <c r="F76"/>
    </row>
    <row r="77" spans="2:6" x14ac:dyDescent="0.35">
      <c r="B77"/>
      <c r="F77"/>
    </row>
    <row r="78" spans="2:6" x14ac:dyDescent="0.35">
      <c r="B78"/>
      <c r="F78"/>
    </row>
    <row r="79" spans="2:6" x14ac:dyDescent="0.35">
      <c r="B79"/>
      <c r="F79"/>
    </row>
    <row r="80" spans="2:6" x14ac:dyDescent="0.35">
      <c r="B80"/>
      <c r="F80"/>
    </row>
    <row r="81" spans="2:6" x14ac:dyDescent="0.35">
      <c r="B81"/>
      <c r="F81"/>
    </row>
    <row r="82" spans="2:6" x14ac:dyDescent="0.35">
      <c r="B82"/>
      <c r="F82"/>
    </row>
    <row r="83" spans="2:6" x14ac:dyDescent="0.35">
      <c r="B83"/>
      <c r="F83"/>
    </row>
    <row r="84" spans="2:6" x14ac:dyDescent="0.35">
      <c r="B84"/>
      <c r="F84"/>
    </row>
    <row r="85" spans="2:6" x14ac:dyDescent="0.35">
      <c r="B85"/>
      <c r="F85"/>
    </row>
    <row r="86" spans="2:6" x14ac:dyDescent="0.35">
      <c r="B86"/>
      <c r="F86"/>
    </row>
    <row r="87" spans="2:6" x14ac:dyDescent="0.35">
      <c r="B87"/>
      <c r="F87"/>
    </row>
    <row r="88" spans="2:6" x14ac:dyDescent="0.35">
      <c r="B88"/>
      <c r="F88"/>
    </row>
    <row r="89" spans="2:6" x14ac:dyDescent="0.35">
      <c r="B89"/>
      <c r="F89"/>
    </row>
    <row r="90" spans="2:6" x14ac:dyDescent="0.35">
      <c r="B90"/>
      <c r="F90"/>
    </row>
    <row r="91" spans="2:6" x14ac:dyDescent="0.35">
      <c r="B91"/>
      <c r="F91"/>
    </row>
    <row r="92" spans="2:6" x14ac:dyDescent="0.35">
      <c r="B92"/>
      <c r="F92"/>
    </row>
    <row r="93" spans="2:6" x14ac:dyDescent="0.35">
      <c r="B93"/>
      <c r="F93"/>
    </row>
    <row r="94" spans="2:6" x14ac:dyDescent="0.35">
      <c r="B94"/>
      <c r="F94"/>
    </row>
    <row r="95" spans="2:6" x14ac:dyDescent="0.35">
      <c r="B95"/>
      <c r="F95"/>
    </row>
    <row r="96" spans="2:6" x14ac:dyDescent="0.35">
      <c r="B96"/>
      <c r="F96"/>
    </row>
    <row r="97" spans="2:6" x14ac:dyDescent="0.35">
      <c r="B97"/>
      <c r="F97"/>
    </row>
    <row r="98" spans="2:6" x14ac:dyDescent="0.35">
      <c r="B98"/>
      <c r="F98"/>
    </row>
    <row r="99" spans="2:6" x14ac:dyDescent="0.35">
      <c r="B99"/>
      <c r="F99"/>
    </row>
    <row r="100" spans="2:6" x14ac:dyDescent="0.35">
      <c r="B100"/>
      <c r="F100"/>
    </row>
    <row r="101" spans="2:6" x14ac:dyDescent="0.35">
      <c r="B101"/>
      <c r="F101"/>
    </row>
    <row r="102" spans="2:6" x14ac:dyDescent="0.35">
      <c r="B102"/>
      <c r="F102"/>
    </row>
    <row r="103" spans="2:6" x14ac:dyDescent="0.35">
      <c r="B103"/>
      <c r="F103"/>
    </row>
    <row r="104" spans="2:6" x14ac:dyDescent="0.35">
      <c r="B104"/>
      <c r="F104"/>
    </row>
    <row r="105" spans="2:6" x14ac:dyDescent="0.35">
      <c r="B105"/>
      <c r="F105"/>
    </row>
    <row r="106" spans="2:6" x14ac:dyDescent="0.35">
      <c r="B106"/>
      <c r="F106"/>
    </row>
    <row r="107" spans="2:6" x14ac:dyDescent="0.35">
      <c r="B107"/>
      <c r="F107"/>
    </row>
    <row r="108" spans="2:6" x14ac:dyDescent="0.35">
      <c r="B108"/>
      <c r="F108"/>
    </row>
    <row r="109" spans="2:6" x14ac:dyDescent="0.35">
      <c r="B109"/>
      <c r="F109"/>
    </row>
    <row r="110" spans="2:6" x14ac:dyDescent="0.35">
      <c r="B110"/>
      <c r="F110"/>
    </row>
    <row r="111" spans="2:6" x14ac:dyDescent="0.35">
      <c r="B111"/>
      <c r="F111"/>
    </row>
    <row r="112" spans="2:6" x14ac:dyDescent="0.35">
      <c r="B112"/>
      <c r="F112"/>
    </row>
    <row r="113" spans="2:6" x14ac:dyDescent="0.35">
      <c r="B113"/>
      <c r="F113"/>
    </row>
    <row r="114" spans="2:6" x14ac:dyDescent="0.35">
      <c r="B114"/>
      <c r="F114"/>
    </row>
    <row r="115" spans="2:6" x14ac:dyDescent="0.35">
      <c r="B115"/>
      <c r="F115"/>
    </row>
    <row r="116" spans="2:6" x14ac:dyDescent="0.35">
      <c r="B116"/>
      <c r="F116"/>
    </row>
    <row r="117" spans="2:6" x14ac:dyDescent="0.35">
      <c r="B117"/>
      <c r="F117"/>
    </row>
    <row r="118" spans="2:6" x14ac:dyDescent="0.35">
      <c r="B118"/>
      <c r="F118"/>
    </row>
    <row r="119" spans="2:6" x14ac:dyDescent="0.35">
      <c r="B119"/>
      <c r="F119"/>
    </row>
    <row r="120" spans="2:6" x14ac:dyDescent="0.35">
      <c r="B120"/>
      <c r="F120"/>
    </row>
    <row r="121" spans="2:6" x14ac:dyDescent="0.35">
      <c r="B121"/>
      <c r="F121"/>
    </row>
    <row r="122" spans="2:6" x14ac:dyDescent="0.35">
      <c r="B122"/>
      <c r="F122"/>
    </row>
    <row r="123" spans="2:6" x14ac:dyDescent="0.35">
      <c r="B123"/>
      <c r="F123"/>
    </row>
    <row r="124" spans="2:6" x14ac:dyDescent="0.35">
      <c r="B124"/>
      <c r="F124"/>
    </row>
    <row r="125" spans="2:6" x14ac:dyDescent="0.35">
      <c r="B125"/>
      <c r="F125"/>
    </row>
    <row r="126" spans="2:6" x14ac:dyDescent="0.35">
      <c r="B126"/>
      <c r="F126"/>
    </row>
    <row r="127" spans="2:6" x14ac:dyDescent="0.35">
      <c r="B127"/>
      <c r="F127"/>
    </row>
    <row r="128" spans="2:6" x14ac:dyDescent="0.35">
      <c r="B128"/>
      <c r="F128"/>
    </row>
    <row r="129" spans="2:6" x14ac:dyDescent="0.35">
      <c r="B129"/>
      <c r="F129"/>
    </row>
    <row r="130" spans="2:6" x14ac:dyDescent="0.35">
      <c r="B130"/>
      <c r="F130"/>
    </row>
    <row r="131" spans="2:6" x14ac:dyDescent="0.35">
      <c r="B131"/>
      <c r="F131"/>
    </row>
    <row r="132" spans="2:6" x14ac:dyDescent="0.35">
      <c r="B132"/>
      <c r="F132"/>
    </row>
    <row r="133" spans="2:6" x14ac:dyDescent="0.35">
      <c r="B133"/>
      <c r="F133"/>
    </row>
    <row r="134" spans="2:6" x14ac:dyDescent="0.35">
      <c r="B134"/>
      <c r="F134"/>
    </row>
    <row r="135" spans="2:6" x14ac:dyDescent="0.35">
      <c r="B135"/>
      <c r="F135"/>
    </row>
    <row r="136" spans="2:6" x14ac:dyDescent="0.35">
      <c r="B136"/>
      <c r="F136"/>
    </row>
    <row r="137" spans="2:6" x14ac:dyDescent="0.35">
      <c r="B137"/>
      <c r="F137"/>
    </row>
    <row r="138" spans="2:6" x14ac:dyDescent="0.35">
      <c r="B138"/>
      <c r="F138"/>
    </row>
    <row r="139" spans="2:6" x14ac:dyDescent="0.35">
      <c r="B139"/>
      <c r="F139"/>
    </row>
    <row r="140" spans="2:6" x14ac:dyDescent="0.35">
      <c r="B140"/>
      <c r="F140"/>
    </row>
    <row r="141" spans="2:6" x14ac:dyDescent="0.35">
      <c r="B141"/>
      <c r="F141"/>
    </row>
    <row r="142" spans="2:6" x14ac:dyDescent="0.35">
      <c r="B142"/>
      <c r="F142"/>
    </row>
    <row r="143" spans="2:6" x14ac:dyDescent="0.35">
      <c r="B143"/>
      <c r="F143"/>
    </row>
    <row r="144" spans="2:6" x14ac:dyDescent="0.35">
      <c r="B144"/>
      <c r="F144"/>
    </row>
    <row r="145" spans="2:6" x14ac:dyDescent="0.35">
      <c r="B145"/>
      <c r="F145"/>
    </row>
    <row r="146" spans="2:6" x14ac:dyDescent="0.35">
      <c r="B146"/>
      <c r="F146"/>
    </row>
    <row r="147" spans="2:6" x14ac:dyDescent="0.35">
      <c r="B147"/>
      <c r="F147"/>
    </row>
    <row r="148" spans="2:6" x14ac:dyDescent="0.35">
      <c r="B148"/>
      <c r="F148"/>
    </row>
    <row r="149" spans="2:6" x14ac:dyDescent="0.35">
      <c r="B149"/>
      <c r="F149"/>
    </row>
    <row r="150" spans="2:6" x14ac:dyDescent="0.35">
      <c r="B150"/>
      <c r="F150"/>
    </row>
    <row r="151" spans="2:6" x14ac:dyDescent="0.35">
      <c r="B151"/>
      <c r="F151"/>
    </row>
    <row r="152" spans="2:6" x14ac:dyDescent="0.35">
      <c r="B152"/>
      <c r="F152"/>
    </row>
    <row r="153" spans="2:6" x14ac:dyDescent="0.35">
      <c r="B153"/>
      <c r="F153"/>
    </row>
    <row r="154" spans="2:6" x14ac:dyDescent="0.35">
      <c r="B154"/>
      <c r="F154"/>
    </row>
    <row r="155" spans="2:6" x14ac:dyDescent="0.35">
      <c r="B155"/>
      <c r="F155"/>
    </row>
    <row r="156" spans="2:6" x14ac:dyDescent="0.35">
      <c r="B156"/>
      <c r="F156"/>
    </row>
    <row r="157" spans="2:6" x14ac:dyDescent="0.35">
      <c r="B157"/>
      <c r="F157"/>
    </row>
    <row r="158" spans="2:6" x14ac:dyDescent="0.35">
      <c r="B158"/>
      <c r="F158"/>
    </row>
    <row r="159" spans="2:6" x14ac:dyDescent="0.35">
      <c r="B159"/>
      <c r="F159"/>
    </row>
    <row r="160" spans="2:6" x14ac:dyDescent="0.35">
      <c r="B160"/>
      <c r="F160"/>
    </row>
    <row r="161" spans="2:6" x14ac:dyDescent="0.35">
      <c r="B161"/>
      <c r="F161"/>
    </row>
    <row r="162" spans="2:6" x14ac:dyDescent="0.35">
      <c r="B162"/>
      <c r="F162"/>
    </row>
    <row r="163" spans="2:6" x14ac:dyDescent="0.35">
      <c r="B163"/>
      <c r="F163"/>
    </row>
    <row r="164" spans="2:6" x14ac:dyDescent="0.35">
      <c r="B164"/>
      <c r="F164"/>
    </row>
    <row r="165" spans="2:6" x14ac:dyDescent="0.35">
      <c r="B165"/>
      <c r="F165"/>
    </row>
    <row r="166" spans="2:6" x14ac:dyDescent="0.35">
      <c r="B166"/>
      <c r="F166"/>
    </row>
    <row r="167" spans="2:6" x14ac:dyDescent="0.35">
      <c r="B167"/>
      <c r="F167"/>
    </row>
    <row r="168" spans="2:6" x14ac:dyDescent="0.35">
      <c r="B168"/>
      <c r="F168"/>
    </row>
    <row r="169" spans="2:6" x14ac:dyDescent="0.35">
      <c r="B169"/>
      <c r="F169"/>
    </row>
    <row r="170" spans="2:6" x14ac:dyDescent="0.35">
      <c r="B170"/>
      <c r="F170"/>
    </row>
    <row r="171" spans="2:6" x14ac:dyDescent="0.35">
      <c r="B171"/>
      <c r="F171"/>
    </row>
    <row r="172" spans="2:6" x14ac:dyDescent="0.35">
      <c r="B172"/>
      <c r="F172"/>
    </row>
    <row r="173" spans="2:6" x14ac:dyDescent="0.35">
      <c r="B173"/>
      <c r="F173"/>
    </row>
    <row r="174" spans="2:6" x14ac:dyDescent="0.35">
      <c r="B174"/>
      <c r="F174"/>
    </row>
    <row r="175" spans="2:6" x14ac:dyDescent="0.35">
      <c r="B175"/>
      <c r="F175"/>
    </row>
    <row r="176" spans="2:6" x14ac:dyDescent="0.35">
      <c r="B176"/>
      <c r="F176"/>
    </row>
    <row r="177" spans="2:6" x14ac:dyDescent="0.35">
      <c r="B177"/>
      <c r="F177"/>
    </row>
    <row r="178" spans="2:6" x14ac:dyDescent="0.35">
      <c r="B178"/>
      <c r="F178"/>
    </row>
    <row r="179" spans="2:6" x14ac:dyDescent="0.35">
      <c r="B179"/>
      <c r="F179"/>
    </row>
    <row r="180" spans="2:6" x14ac:dyDescent="0.35">
      <c r="B180"/>
      <c r="F180"/>
    </row>
    <row r="181" spans="2:6" x14ac:dyDescent="0.35">
      <c r="B181"/>
      <c r="F181"/>
    </row>
    <row r="182" spans="2:6" x14ac:dyDescent="0.35">
      <c r="B182"/>
      <c r="F182"/>
    </row>
    <row r="183" spans="2:6" x14ac:dyDescent="0.35">
      <c r="B183"/>
      <c r="F183"/>
    </row>
    <row r="184" spans="2:6" x14ac:dyDescent="0.35">
      <c r="B184"/>
      <c r="F184"/>
    </row>
    <row r="185" spans="2:6" x14ac:dyDescent="0.35">
      <c r="B185"/>
      <c r="F185"/>
    </row>
    <row r="186" spans="2:6" x14ac:dyDescent="0.35">
      <c r="B186"/>
      <c r="F186"/>
    </row>
    <row r="187" spans="2:6" x14ac:dyDescent="0.35">
      <c r="B187"/>
      <c r="F187"/>
    </row>
    <row r="188" spans="2:6" x14ac:dyDescent="0.35">
      <c r="B188"/>
      <c r="F188"/>
    </row>
    <row r="189" spans="2:6" x14ac:dyDescent="0.35">
      <c r="B189"/>
      <c r="F189"/>
    </row>
    <row r="190" spans="2:6" x14ac:dyDescent="0.35">
      <c r="B190"/>
      <c r="F190"/>
    </row>
    <row r="191" spans="2:6" x14ac:dyDescent="0.35">
      <c r="B191"/>
      <c r="F191"/>
    </row>
    <row r="192" spans="2:6" x14ac:dyDescent="0.35">
      <c r="B192"/>
      <c r="F192"/>
    </row>
    <row r="193" spans="2:6" x14ac:dyDescent="0.35">
      <c r="B193"/>
      <c r="F193"/>
    </row>
    <row r="194" spans="2:6" x14ac:dyDescent="0.35">
      <c r="B194"/>
      <c r="F194"/>
    </row>
    <row r="195" spans="2:6" x14ac:dyDescent="0.35">
      <c r="B195"/>
      <c r="F195"/>
    </row>
    <row r="196" spans="2:6" x14ac:dyDescent="0.35">
      <c r="B196"/>
      <c r="F196"/>
    </row>
    <row r="197" spans="2:6" x14ac:dyDescent="0.35">
      <c r="B197"/>
      <c r="F197"/>
    </row>
    <row r="198" spans="2:6" x14ac:dyDescent="0.35">
      <c r="B198"/>
      <c r="F198"/>
    </row>
    <row r="199" spans="2:6" x14ac:dyDescent="0.35">
      <c r="B199"/>
      <c r="F199"/>
    </row>
    <row r="200" spans="2:6" x14ac:dyDescent="0.35">
      <c r="B200"/>
      <c r="F200"/>
    </row>
    <row r="201" spans="2:6" x14ac:dyDescent="0.35">
      <c r="B201"/>
      <c r="F201"/>
    </row>
    <row r="202" spans="2:6" x14ac:dyDescent="0.35">
      <c r="B202"/>
      <c r="F202"/>
    </row>
    <row r="203" spans="2:6" x14ac:dyDescent="0.35">
      <c r="B203"/>
      <c r="F203"/>
    </row>
    <row r="204" spans="2:6" x14ac:dyDescent="0.35">
      <c r="B204"/>
      <c r="F204"/>
    </row>
    <row r="205" spans="2:6" x14ac:dyDescent="0.35">
      <c r="B205"/>
      <c r="F205"/>
    </row>
    <row r="206" spans="2:6" x14ac:dyDescent="0.35">
      <c r="B206"/>
      <c r="F206"/>
    </row>
    <row r="207" spans="2:6" x14ac:dyDescent="0.35">
      <c r="B207"/>
      <c r="F207"/>
    </row>
    <row r="208" spans="2:6" x14ac:dyDescent="0.35">
      <c r="B208"/>
      <c r="F208"/>
    </row>
    <row r="209" spans="2:6" x14ac:dyDescent="0.35">
      <c r="B209"/>
      <c r="F209"/>
    </row>
    <row r="210" spans="2:6" x14ac:dyDescent="0.35">
      <c r="B210"/>
      <c r="F210"/>
    </row>
    <row r="211" spans="2:6" x14ac:dyDescent="0.35">
      <c r="B211"/>
      <c r="F211"/>
    </row>
    <row r="212" spans="2:6" x14ac:dyDescent="0.35">
      <c r="B212"/>
      <c r="F212"/>
    </row>
    <row r="213" spans="2:6" x14ac:dyDescent="0.35">
      <c r="B213"/>
      <c r="F213"/>
    </row>
    <row r="214" spans="2:6" x14ac:dyDescent="0.35">
      <c r="B214"/>
      <c r="F214"/>
    </row>
    <row r="215" spans="2:6" x14ac:dyDescent="0.35">
      <c r="B215"/>
      <c r="F215"/>
    </row>
    <row r="216" spans="2:6" x14ac:dyDescent="0.35">
      <c r="B216"/>
      <c r="F216"/>
    </row>
    <row r="217" spans="2:6" x14ac:dyDescent="0.35">
      <c r="B217"/>
      <c r="F217"/>
    </row>
    <row r="218" spans="2:6" x14ac:dyDescent="0.35">
      <c r="B218"/>
      <c r="F218"/>
    </row>
    <row r="219" spans="2:6" x14ac:dyDescent="0.35">
      <c r="B219"/>
      <c r="F219"/>
    </row>
    <row r="220" spans="2:6" x14ac:dyDescent="0.35">
      <c r="B220"/>
      <c r="F220"/>
    </row>
    <row r="221" spans="2:6" x14ac:dyDescent="0.35">
      <c r="B221"/>
      <c r="F221"/>
    </row>
    <row r="222" spans="2:6" x14ac:dyDescent="0.35">
      <c r="B222"/>
      <c r="F222"/>
    </row>
    <row r="223" spans="2:6" x14ac:dyDescent="0.35">
      <c r="B223"/>
      <c r="F223"/>
    </row>
    <row r="224" spans="2:6" x14ac:dyDescent="0.35">
      <c r="B224"/>
      <c r="F224"/>
    </row>
    <row r="225" spans="2:6" x14ac:dyDescent="0.35">
      <c r="B225"/>
      <c r="F225"/>
    </row>
    <row r="226" spans="2:6" x14ac:dyDescent="0.35">
      <c r="B226"/>
      <c r="F226"/>
    </row>
    <row r="227" spans="2:6" x14ac:dyDescent="0.35">
      <c r="B227"/>
      <c r="F227"/>
    </row>
    <row r="228" spans="2:6" x14ac:dyDescent="0.35">
      <c r="B228"/>
      <c r="F228"/>
    </row>
    <row r="229" spans="2:6" x14ac:dyDescent="0.35">
      <c r="B229"/>
      <c r="F229"/>
    </row>
    <row r="230" spans="2:6" x14ac:dyDescent="0.35">
      <c r="B230"/>
      <c r="F230"/>
    </row>
    <row r="231" spans="2:6" x14ac:dyDescent="0.35">
      <c r="B231"/>
      <c r="F231"/>
    </row>
    <row r="232" spans="2:6" x14ac:dyDescent="0.35">
      <c r="B232"/>
      <c r="F232"/>
    </row>
    <row r="233" spans="2:6" x14ac:dyDescent="0.35">
      <c r="B233"/>
      <c r="F233"/>
    </row>
    <row r="234" spans="2:6" x14ac:dyDescent="0.35">
      <c r="B234"/>
      <c r="F234"/>
    </row>
    <row r="235" spans="2:6" x14ac:dyDescent="0.35">
      <c r="B235"/>
      <c r="F235"/>
    </row>
    <row r="236" spans="2:6" x14ac:dyDescent="0.35">
      <c r="B236"/>
      <c r="F236"/>
    </row>
    <row r="237" spans="2:6" x14ac:dyDescent="0.35">
      <c r="B237"/>
      <c r="F237"/>
    </row>
    <row r="238" spans="2:6" x14ac:dyDescent="0.35">
      <c r="B238"/>
      <c r="F238"/>
    </row>
    <row r="239" spans="2:6" x14ac:dyDescent="0.35">
      <c r="B239"/>
      <c r="F239"/>
    </row>
    <row r="240" spans="2:6" x14ac:dyDescent="0.35">
      <c r="B240"/>
      <c r="F240"/>
    </row>
    <row r="241" spans="2:6" x14ac:dyDescent="0.35">
      <c r="B241"/>
      <c r="F241"/>
    </row>
    <row r="242" spans="2:6" x14ac:dyDescent="0.35">
      <c r="B242"/>
      <c r="F242"/>
    </row>
    <row r="243" spans="2:6" x14ac:dyDescent="0.35">
      <c r="B243"/>
      <c r="F243"/>
    </row>
    <row r="244" spans="2:6" x14ac:dyDescent="0.35">
      <c r="B244"/>
      <c r="F244"/>
    </row>
    <row r="245" spans="2:6" x14ac:dyDescent="0.35">
      <c r="B245"/>
      <c r="F245"/>
    </row>
    <row r="246" spans="2:6" x14ac:dyDescent="0.35">
      <c r="B246"/>
      <c r="F246"/>
    </row>
    <row r="247" spans="2:6" x14ac:dyDescent="0.35">
      <c r="B247"/>
      <c r="F247"/>
    </row>
    <row r="248" spans="2:6" x14ac:dyDescent="0.35">
      <c r="B248"/>
      <c r="F248"/>
    </row>
    <row r="249" spans="2:6" x14ac:dyDescent="0.35">
      <c r="B249"/>
      <c r="F249"/>
    </row>
    <row r="250" spans="2:6" x14ac:dyDescent="0.35">
      <c r="B250"/>
      <c r="F250"/>
    </row>
    <row r="251" spans="2:6" x14ac:dyDescent="0.35">
      <c r="B251"/>
      <c r="F251"/>
    </row>
    <row r="252" spans="2:6" x14ac:dyDescent="0.35">
      <c r="B252"/>
      <c r="F252"/>
    </row>
    <row r="253" spans="2:6" x14ac:dyDescent="0.35">
      <c r="B253"/>
      <c r="F253"/>
    </row>
    <row r="254" spans="2:6" x14ac:dyDescent="0.35">
      <c r="B254"/>
      <c r="F254"/>
    </row>
    <row r="255" spans="2:6" x14ac:dyDescent="0.35">
      <c r="B255"/>
      <c r="F255"/>
    </row>
    <row r="256" spans="2:6" x14ac:dyDescent="0.35">
      <c r="B256"/>
      <c r="F256"/>
    </row>
    <row r="257" spans="2:6" x14ac:dyDescent="0.35">
      <c r="B257"/>
      <c r="F257"/>
    </row>
    <row r="258" spans="2:6" x14ac:dyDescent="0.35">
      <c r="B258"/>
      <c r="F258"/>
    </row>
    <row r="259" spans="2:6" x14ac:dyDescent="0.35">
      <c r="B259"/>
      <c r="F259"/>
    </row>
    <row r="260" spans="2:6" x14ac:dyDescent="0.35">
      <c r="B260"/>
      <c r="F260"/>
    </row>
    <row r="261" spans="2:6" x14ac:dyDescent="0.35">
      <c r="B261"/>
      <c r="F261"/>
    </row>
    <row r="262" spans="2:6" x14ac:dyDescent="0.35">
      <c r="B262"/>
      <c r="F262"/>
    </row>
    <row r="263" spans="2:6" x14ac:dyDescent="0.35">
      <c r="B263"/>
      <c r="F263"/>
    </row>
    <row r="264" spans="2:6" x14ac:dyDescent="0.35">
      <c r="B264"/>
      <c r="F264"/>
    </row>
    <row r="265" spans="2:6" x14ac:dyDescent="0.35">
      <c r="B265"/>
      <c r="F265"/>
    </row>
    <row r="266" spans="2:6" x14ac:dyDescent="0.35">
      <c r="B266"/>
      <c r="F266"/>
    </row>
    <row r="267" spans="2:6" x14ac:dyDescent="0.35">
      <c r="B267"/>
      <c r="F267"/>
    </row>
    <row r="268" spans="2:6" x14ac:dyDescent="0.35">
      <c r="B268"/>
      <c r="F268"/>
    </row>
    <row r="269" spans="2:6" x14ac:dyDescent="0.35">
      <c r="B269"/>
      <c r="F269"/>
    </row>
    <row r="270" spans="2:6" x14ac:dyDescent="0.35">
      <c r="B270"/>
      <c r="F270"/>
    </row>
    <row r="271" spans="2:6" x14ac:dyDescent="0.35">
      <c r="B271"/>
      <c r="F271"/>
    </row>
    <row r="272" spans="2:6" x14ac:dyDescent="0.35">
      <c r="B272"/>
      <c r="F272"/>
    </row>
    <row r="273" spans="2:6" x14ac:dyDescent="0.35">
      <c r="B273"/>
      <c r="F273"/>
    </row>
    <row r="274" spans="2:6" x14ac:dyDescent="0.35">
      <c r="B274"/>
      <c r="F274"/>
    </row>
    <row r="275" spans="2:6" x14ac:dyDescent="0.35">
      <c r="B275"/>
      <c r="F275"/>
    </row>
    <row r="276" spans="2:6" x14ac:dyDescent="0.35">
      <c r="B276"/>
      <c r="F276"/>
    </row>
    <row r="277" spans="2:6" x14ac:dyDescent="0.35">
      <c r="B277"/>
      <c r="F277"/>
    </row>
    <row r="278" spans="2:6" x14ac:dyDescent="0.35">
      <c r="B278"/>
      <c r="F278"/>
    </row>
    <row r="279" spans="2:6" x14ac:dyDescent="0.35">
      <c r="B279"/>
      <c r="F279"/>
    </row>
    <row r="280" spans="2:6" x14ac:dyDescent="0.35">
      <c r="B280"/>
      <c r="F280"/>
    </row>
    <row r="281" spans="2:6" x14ac:dyDescent="0.35">
      <c r="B281"/>
      <c r="F281"/>
    </row>
    <row r="282" spans="2:6" x14ac:dyDescent="0.35">
      <c r="B282"/>
      <c r="F282"/>
    </row>
    <row r="283" spans="2:6" x14ac:dyDescent="0.35">
      <c r="B283"/>
      <c r="F283"/>
    </row>
    <row r="284" spans="2:6" x14ac:dyDescent="0.35">
      <c r="B284"/>
      <c r="F284"/>
    </row>
    <row r="285" spans="2:6" x14ac:dyDescent="0.35">
      <c r="B285"/>
      <c r="F285"/>
    </row>
    <row r="286" spans="2:6" x14ac:dyDescent="0.35">
      <c r="B286"/>
      <c r="F286"/>
    </row>
    <row r="287" spans="2:6" x14ac:dyDescent="0.35">
      <c r="B287"/>
      <c r="F287"/>
    </row>
    <row r="288" spans="2:6" x14ac:dyDescent="0.35">
      <c r="B288"/>
      <c r="F288"/>
    </row>
    <row r="289" spans="2:6" x14ac:dyDescent="0.35">
      <c r="B289"/>
      <c r="F289"/>
    </row>
    <row r="290" spans="2:6" x14ac:dyDescent="0.35">
      <c r="B290"/>
      <c r="F290"/>
    </row>
    <row r="291" spans="2:6" x14ac:dyDescent="0.35">
      <c r="B291"/>
      <c r="F291"/>
    </row>
    <row r="292" spans="2:6" x14ac:dyDescent="0.35">
      <c r="B292"/>
      <c r="F292"/>
    </row>
    <row r="293" spans="2:6" x14ac:dyDescent="0.35">
      <c r="B293"/>
      <c r="F293"/>
    </row>
    <row r="294" spans="2:6" x14ac:dyDescent="0.35">
      <c r="B294"/>
      <c r="F294"/>
    </row>
    <row r="295" spans="2:6" x14ac:dyDescent="0.35">
      <c r="B295"/>
      <c r="F295"/>
    </row>
    <row r="296" spans="2:6" x14ac:dyDescent="0.35">
      <c r="B296"/>
      <c r="F296"/>
    </row>
    <row r="297" spans="2:6" x14ac:dyDescent="0.35">
      <c r="B297"/>
      <c r="F297"/>
    </row>
    <row r="298" spans="2:6" x14ac:dyDescent="0.35">
      <c r="B298"/>
      <c r="F298"/>
    </row>
    <row r="299" spans="2:6" x14ac:dyDescent="0.35">
      <c r="B299"/>
      <c r="F299"/>
    </row>
    <row r="300" spans="2:6" x14ac:dyDescent="0.35">
      <c r="B300"/>
      <c r="F300"/>
    </row>
    <row r="301" spans="2:6" x14ac:dyDescent="0.35">
      <c r="B301"/>
      <c r="F301"/>
    </row>
    <row r="302" spans="2:6" x14ac:dyDescent="0.35">
      <c r="F302"/>
    </row>
    <row r="303" spans="2:6" x14ac:dyDescent="0.35">
      <c r="F303"/>
    </row>
    <row r="304" spans="2:6" x14ac:dyDescent="0.35">
      <c r="F304"/>
    </row>
    <row r="305" spans="6:6" x14ac:dyDescent="0.35">
      <c r="F305"/>
    </row>
    <row r="306" spans="6:6" x14ac:dyDescent="0.35">
      <c r="F306"/>
    </row>
    <row r="307" spans="6:6" x14ac:dyDescent="0.35">
      <c r="F307"/>
    </row>
    <row r="308" spans="6:6" x14ac:dyDescent="0.35">
      <c r="F308"/>
    </row>
    <row r="309" spans="6:6" x14ac:dyDescent="0.35">
      <c r="F309"/>
    </row>
    <row r="310" spans="6:6" x14ac:dyDescent="0.35">
      <c r="F310"/>
    </row>
    <row r="311" spans="6:6" x14ac:dyDescent="0.35">
      <c r="F311"/>
    </row>
    <row r="312" spans="6:6" x14ac:dyDescent="0.35">
      <c r="F312"/>
    </row>
    <row r="313" spans="6:6" x14ac:dyDescent="0.35">
      <c r="F313"/>
    </row>
    <row r="314" spans="6:6" x14ac:dyDescent="0.35">
      <c r="F314"/>
    </row>
    <row r="315" spans="6:6" x14ac:dyDescent="0.35">
      <c r="F315"/>
    </row>
    <row r="316" spans="6:6" x14ac:dyDescent="0.35">
      <c r="F316"/>
    </row>
    <row r="317" spans="6:6" x14ac:dyDescent="0.35">
      <c r="F317"/>
    </row>
    <row r="318" spans="6:6" x14ac:dyDescent="0.35">
      <c r="F318"/>
    </row>
    <row r="319" spans="6:6" x14ac:dyDescent="0.35">
      <c r="F319"/>
    </row>
    <row r="320" spans="6:6" x14ac:dyDescent="0.35">
      <c r="F320"/>
    </row>
    <row r="321" spans="6:6" x14ac:dyDescent="0.35">
      <c r="F321"/>
    </row>
    <row r="322" spans="6:6" x14ac:dyDescent="0.35">
      <c r="F322"/>
    </row>
    <row r="323" spans="6:6" x14ac:dyDescent="0.35">
      <c r="F323"/>
    </row>
    <row r="324" spans="6:6" x14ac:dyDescent="0.35">
      <c r="F324"/>
    </row>
    <row r="325" spans="6:6" x14ac:dyDescent="0.35">
      <c r="F325"/>
    </row>
    <row r="326" spans="6:6" x14ac:dyDescent="0.35">
      <c r="F326"/>
    </row>
    <row r="327" spans="6:6" x14ac:dyDescent="0.35">
      <c r="F327"/>
    </row>
    <row r="328" spans="6:6" x14ac:dyDescent="0.35">
      <c r="F328"/>
    </row>
    <row r="329" spans="6:6" x14ac:dyDescent="0.35">
      <c r="F329"/>
    </row>
    <row r="330" spans="6:6" x14ac:dyDescent="0.35">
      <c r="F330"/>
    </row>
    <row r="331" spans="6:6" x14ac:dyDescent="0.35">
      <c r="F331"/>
    </row>
    <row r="332" spans="6:6" x14ac:dyDescent="0.35">
      <c r="F332"/>
    </row>
    <row r="333" spans="6:6" x14ac:dyDescent="0.35">
      <c r="F333"/>
    </row>
    <row r="334" spans="6:6" x14ac:dyDescent="0.35">
      <c r="F334"/>
    </row>
    <row r="335" spans="6:6" x14ac:dyDescent="0.35">
      <c r="F335"/>
    </row>
    <row r="336" spans="6:6" x14ac:dyDescent="0.35">
      <c r="F336"/>
    </row>
    <row r="337" spans="6:6" x14ac:dyDescent="0.35">
      <c r="F337"/>
    </row>
    <row r="338" spans="6:6" x14ac:dyDescent="0.35">
      <c r="F338"/>
    </row>
    <row r="339" spans="6:6" x14ac:dyDescent="0.35">
      <c r="F339"/>
    </row>
    <row r="340" spans="6:6" x14ac:dyDescent="0.35">
      <c r="F340"/>
    </row>
    <row r="341" spans="6:6" x14ac:dyDescent="0.35">
      <c r="F341"/>
    </row>
    <row r="342" spans="6:6" x14ac:dyDescent="0.35">
      <c r="F342"/>
    </row>
    <row r="343" spans="6:6" x14ac:dyDescent="0.35">
      <c r="F343"/>
    </row>
    <row r="344" spans="6:6" x14ac:dyDescent="0.35">
      <c r="F344"/>
    </row>
    <row r="345" spans="6:6" x14ac:dyDescent="0.35">
      <c r="F345"/>
    </row>
    <row r="346" spans="6:6" x14ac:dyDescent="0.35">
      <c r="F346"/>
    </row>
    <row r="347" spans="6:6" x14ac:dyDescent="0.35">
      <c r="F347"/>
    </row>
    <row r="348" spans="6:6" x14ac:dyDescent="0.35">
      <c r="F348"/>
    </row>
    <row r="349" spans="6:6" x14ac:dyDescent="0.35">
      <c r="F349"/>
    </row>
    <row r="350" spans="6:6" x14ac:dyDescent="0.35">
      <c r="F350"/>
    </row>
    <row r="351" spans="6:6" x14ac:dyDescent="0.35">
      <c r="F351"/>
    </row>
    <row r="352" spans="6:6" x14ac:dyDescent="0.35">
      <c r="F352"/>
    </row>
    <row r="353" spans="6:6" x14ac:dyDescent="0.35">
      <c r="F353"/>
    </row>
    <row r="354" spans="6:6" x14ac:dyDescent="0.35">
      <c r="F354"/>
    </row>
    <row r="355" spans="6:6" x14ac:dyDescent="0.35">
      <c r="F355"/>
    </row>
    <row r="356" spans="6:6" x14ac:dyDescent="0.35">
      <c r="F356"/>
    </row>
    <row r="357" spans="6:6" x14ac:dyDescent="0.35">
      <c r="F357"/>
    </row>
    <row r="358" spans="6:6" x14ac:dyDescent="0.35">
      <c r="F358"/>
    </row>
    <row r="359" spans="6:6" x14ac:dyDescent="0.35">
      <c r="F359"/>
    </row>
    <row r="360" spans="6:6" x14ac:dyDescent="0.35">
      <c r="F360"/>
    </row>
    <row r="361" spans="6:6" x14ac:dyDescent="0.35">
      <c r="F361"/>
    </row>
    <row r="362" spans="6:6" x14ac:dyDescent="0.35">
      <c r="F362"/>
    </row>
    <row r="363" spans="6:6" x14ac:dyDescent="0.35">
      <c r="F363"/>
    </row>
    <row r="364" spans="6:6" x14ac:dyDescent="0.35">
      <c r="F364"/>
    </row>
    <row r="365" spans="6:6" x14ac:dyDescent="0.35">
      <c r="F365"/>
    </row>
    <row r="366" spans="6:6" x14ac:dyDescent="0.35">
      <c r="F366"/>
    </row>
    <row r="367" spans="6:6" x14ac:dyDescent="0.35">
      <c r="F367"/>
    </row>
    <row r="368" spans="6:6" x14ac:dyDescent="0.35">
      <c r="F368"/>
    </row>
    <row r="369" spans="6:6" x14ac:dyDescent="0.35">
      <c r="F369"/>
    </row>
    <row r="370" spans="6:6" x14ac:dyDescent="0.35">
      <c r="F370"/>
    </row>
    <row r="371" spans="6:6" x14ac:dyDescent="0.35">
      <c r="F371"/>
    </row>
    <row r="372" spans="6:6" x14ac:dyDescent="0.35">
      <c r="F372"/>
    </row>
    <row r="373" spans="6:6" x14ac:dyDescent="0.35">
      <c r="F373"/>
    </row>
    <row r="374" spans="6:6" x14ac:dyDescent="0.35">
      <c r="F374"/>
    </row>
    <row r="375" spans="6:6" x14ac:dyDescent="0.35">
      <c r="F375"/>
    </row>
    <row r="376" spans="6:6" x14ac:dyDescent="0.35">
      <c r="F376"/>
    </row>
    <row r="377" spans="6:6" x14ac:dyDescent="0.35">
      <c r="F377"/>
    </row>
    <row r="378" spans="6:6" x14ac:dyDescent="0.35">
      <c r="F378"/>
    </row>
    <row r="379" spans="6:6" x14ac:dyDescent="0.35">
      <c r="F379"/>
    </row>
    <row r="380" spans="6:6" x14ac:dyDescent="0.35">
      <c r="F380"/>
    </row>
    <row r="381" spans="6:6" x14ac:dyDescent="0.35">
      <c r="F381"/>
    </row>
    <row r="382" spans="6:6" x14ac:dyDescent="0.35">
      <c r="F382"/>
    </row>
    <row r="383" spans="6:6" x14ac:dyDescent="0.35">
      <c r="F383"/>
    </row>
    <row r="384" spans="6:6" x14ac:dyDescent="0.35">
      <c r="F384"/>
    </row>
    <row r="385" spans="6:6" x14ac:dyDescent="0.35">
      <c r="F385"/>
    </row>
    <row r="386" spans="6:6" x14ac:dyDescent="0.35">
      <c r="F386"/>
    </row>
    <row r="387" spans="6:6" x14ac:dyDescent="0.35">
      <c r="F387"/>
    </row>
    <row r="388" spans="6:6" x14ac:dyDescent="0.35">
      <c r="F388"/>
    </row>
    <row r="389" spans="6:6" x14ac:dyDescent="0.35">
      <c r="F389"/>
    </row>
    <row r="390" spans="6:6" x14ac:dyDescent="0.35">
      <c r="F390"/>
    </row>
    <row r="391" spans="6:6" x14ac:dyDescent="0.35">
      <c r="F391"/>
    </row>
    <row r="392" spans="6:6" x14ac:dyDescent="0.35">
      <c r="F392"/>
    </row>
    <row r="393" spans="6:6" x14ac:dyDescent="0.35">
      <c r="F393"/>
    </row>
    <row r="394" spans="6:6" x14ac:dyDescent="0.35">
      <c r="F394"/>
    </row>
    <row r="395" spans="6:6" x14ac:dyDescent="0.35">
      <c r="F395"/>
    </row>
    <row r="396" spans="6:6" x14ac:dyDescent="0.35">
      <c r="F396"/>
    </row>
    <row r="397" spans="6:6" x14ac:dyDescent="0.35">
      <c r="F397"/>
    </row>
    <row r="398" spans="6:6" x14ac:dyDescent="0.35">
      <c r="F398"/>
    </row>
    <row r="399" spans="6:6" x14ac:dyDescent="0.35">
      <c r="F399"/>
    </row>
    <row r="400" spans="6:6" x14ac:dyDescent="0.35">
      <c r="F400"/>
    </row>
    <row r="401" spans="6:6" x14ac:dyDescent="0.35">
      <c r="F401"/>
    </row>
    <row r="402" spans="6:6" x14ac:dyDescent="0.35">
      <c r="F402"/>
    </row>
    <row r="403" spans="6:6" x14ac:dyDescent="0.35">
      <c r="F403"/>
    </row>
    <row r="404" spans="6:6" x14ac:dyDescent="0.35">
      <c r="F404"/>
    </row>
    <row r="405" spans="6:6" x14ac:dyDescent="0.35">
      <c r="F405"/>
    </row>
    <row r="406" spans="6:6" x14ac:dyDescent="0.35">
      <c r="F406"/>
    </row>
    <row r="407" spans="6:6" x14ac:dyDescent="0.35">
      <c r="F407"/>
    </row>
    <row r="408" spans="6:6" x14ac:dyDescent="0.35">
      <c r="F408"/>
    </row>
    <row r="409" spans="6:6" x14ac:dyDescent="0.35">
      <c r="F409"/>
    </row>
    <row r="410" spans="6:6" x14ac:dyDescent="0.35">
      <c r="F410"/>
    </row>
    <row r="411" spans="6:6" x14ac:dyDescent="0.35">
      <c r="F411"/>
    </row>
    <row r="412" spans="6:6" x14ac:dyDescent="0.35">
      <c r="F412"/>
    </row>
    <row r="413" spans="6:6" x14ac:dyDescent="0.35">
      <c r="F413"/>
    </row>
    <row r="414" spans="6:6" x14ac:dyDescent="0.35">
      <c r="F414"/>
    </row>
    <row r="415" spans="6:6" x14ac:dyDescent="0.35">
      <c r="F415"/>
    </row>
    <row r="416" spans="6:6" x14ac:dyDescent="0.35">
      <c r="F416"/>
    </row>
    <row r="417" spans="6:6" x14ac:dyDescent="0.35">
      <c r="F417"/>
    </row>
    <row r="418" spans="6:6" x14ac:dyDescent="0.35">
      <c r="F418"/>
    </row>
    <row r="419" spans="6:6" x14ac:dyDescent="0.35">
      <c r="F419"/>
    </row>
    <row r="420" spans="6:6" x14ac:dyDescent="0.35">
      <c r="F420"/>
    </row>
    <row r="421" spans="6:6" x14ac:dyDescent="0.35">
      <c r="F421"/>
    </row>
    <row r="422" spans="6:6" x14ac:dyDescent="0.35">
      <c r="F422"/>
    </row>
    <row r="423" spans="6:6" x14ac:dyDescent="0.35">
      <c r="F423"/>
    </row>
    <row r="424" spans="6:6" x14ac:dyDescent="0.35">
      <c r="F424"/>
    </row>
    <row r="425" spans="6:6" x14ac:dyDescent="0.35">
      <c r="F425"/>
    </row>
    <row r="426" spans="6:6" x14ac:dyDescent="0.35">
      <c r="F426"/>
    </row>
    <row r="427" spans="6:6" x14ac:dyDescent="0.35">
      <c r="F427"/>
    </row>
    <row r="428" spans="6:6" x14ac:dyDescent="0.35">
      <c r="F428"/>
    </row>
    <row r="429" spans="6:6" x14ac:dyDescent="0.35">
      <c r="F429"/>
    </row>
    <row r="430" spans="6:6" x14ac:dyDescent="0.35">
      <c r="F430"/>
    </row>
    <row r="431" spans="6:6" x14ac:dyDescent="0.35">
      <c r="F431"/>
    </row>
    <row r="432" spans="6:6" x14ac:dyDescent="0.35">
      <c r="F432"/>
    </row>
    <row r="433" spans="6:6" x14ac:dyDescent="0.35">
      <c r="F433"/>
    </row>
    <row r="434" spans="6:6" x14ac:dyDescent="0.35">
      <c r="F434"/>
    </row>
    <row r="435" spans="6:6" x14ac:dyDescent="0.35">
      <c r="F435"/>
    </row>
    <row r="436" spans="6:6" x14ac:dyDescent="0.35">
      <c r="F436"/>
    </row>
    <row r="437" spans="6:6" x14ac:dyDescent="0.35">
      <c r="F437"/>
    </row>
    <row r="438" spans="6:6" x14ac:dyDescent="0.35">
      <c r="F438"/>
    </row>
    <row r="439" spans="6:6" x14ac:dyDescent="0.35">
      <c r="F439"/>
    </row>
    <row r="440" spans="6:6" x14ac:dyDescent="0.35">
      <c r="F440"/>
    </row>
    <row r="441" spans="6:6" x14ac:dyDescent="0.35">
      <c r="F441"/>
    </row>
    <row r="442" spans="6:6" x14ac:dyDescent="0.35">
      <c r="F442"/>
    </row>
    <row r="443" spans="6:6" x14ac:dyDescent="0.35">
      <c r="F443"/>
    </row>
    <row r="444" spans="6:6" x14ac:dyDescent="0.35">
      <c r="F444"/>
    </row>
    <row r="445" spans="6:6" x14ac:dyDescent="0.35">
      <c r="F445"/>
    </row>
    <row r="446" spans="6:6" x14ac:dyDescent="0.35">
      <c r="F446"/>
    </row>
    <row r="447" spans="6:6" x14ac:dyDescent="0.35">
      <c r="F447"/>
    </row>
    <row r="448" spans="6:6" x14ac:dyDescent="0.35">
      <c r="F448"/>
    </row>
    <row r="449" spans="6:6" x14ac:dyDescent="0.35">
      <c r="F449"/>
    </row>
    <row r="450" spans="6:6" x14ac:dyDescent="0.35">
      <c r="F450"/>
    </row>
    <row r="451" spans="6:6" x14ac:dyDescent="0.35">
      <c r="F451"/>
    </row>
    <row r="452" spans="6:6" x14ac:dyDescent="0.35">
      <c r="F452"/>
    </row>
    <row r="453" spans="6:6" x14ac:dyDescent="0.35">
      <c r="F453"/>
    </row>
    <row r="454" spans="6:6" x14ac:dyDescent="0.35">
      <c r="F454"/>
    </row>
    <row r="455" spans="6:6" x14ac:dyDescent="0.35">
      <c r="F455"/>
    </row>
    <row r="456" spans="6:6" x14ac:dyDescent="0.35">
      <c r="F456"/>
    </row>
    <row r="457" spans="6:6" x14ac:dyDescent="0.35">
      <c r="F457"/>
    </row>
    <row r="458" spans="6:6" x14ac:dyDescent="0.35">
      <c r="F458"/>
    </row>
    <row r="459" spans="6:6" x14ac:dyDescent="0.35">
      <c r="F459"/>
    </row>
    <row r="460" spans="6:6" x14ac:dyDescent="0.35">
      <c r="F460"/>
    </row>
    <row r="461" spans="6:6" x14ac:dyDescent="0.35">
      <c r="F461"/>
    </row>
    <row r="462" spans="6:6" x14ac:dyDescent="0.35">
      <c r="F462"/>
    </row>
    <row r="463" spans="6:6" x14ac:dyDescent="0.35">
      <c r="F463"/>
    </row>
    <row r="464" spans="6:6" x14ac:dyDescent="0.35">
      <c r="F464"/>
    </row>
    <row r="465" spans="6:6" x14ac:dyDescent="0.35">
      <c r="F465"/>
    </row>
    <row r="466" spans="6:6" x14ac:dyDescent="0.35">
      <c r="F466"/>
    </row>
    <row r="467" spans="6:6" x14ac:dyDescent="0.35">
      <c r="F467"/>
    </row>
    <row r="468" spans="6:6" x14ac:dyDescent="0.35">
      <c r="F468"/>
    </row>
    <row r="469" spans="6:6" x14ac:dyDescent="0.35">
      <c r="F469"/>
    </row>
    <row r="470" spans="6:6" x14ac:dyDescent="0.35">
      <c r="F470"/>
    </row>
    <row r="471" spans="6:6" x14ac:dyDescent="0.35">
      <c r="F471"/>
    </row>
    <row r="472" spans="6:6" x14ac:dyDescent="0.35">
      <c r="F472"/>
    </row>
    <row r="473" spans="6:6" x14ac:dyDescent="0.35">
      <c r="F473"/>
    </row>
    <row r="474" spans="6:6" x14ac:dyDescent="0.35">
      <c r="F474"/>
    </row>
    <row r="475" spans="6:6" x14ac:dyDescent="0.35">
      <c r="F475"/>
    </row>
    <row r="476" spans="6:6" x14ac:dyDescent="0.35">
      <c r="F476"/>
    </row>
    <row r="477" spans="6:6" x14ac:dyDescent="0.35">
      <c r="F477"/>
    </row>
    <row r="478" spans="6:6" x14ac:dyDescent="0.35">
      <c r="F478"/>
    </row>
    <row r="479" spans="6:6" x14ac:dyDescent="0.35">
      <c r="F479"/>
    </row>
    <row r="480" spans="6:6" x14ac:dyDescent="0.35">
      <c r="F480"/>
    </row>
    <row r="481" spans="6:6" x14ac:dyDescent="0.35">
      <c r="F481"/>
    </row>
    <row r="482" spans="6:6" x14ac:dyDescent="0.35">
      <c r="F482"/>
    </row>
    <row r="483" spans="6:6" x14ac:dyDescent="0.35">
      <c r="F483"/>
    </row>
    <row r="484" spans="6:6" x14ac:dyDescent="0.35">
      <c r="F484"/>
    </row>
    <row r="485" spans="6:6" x14ac:dyDescent="0.35">
      <c r="F485"/>
    </row>
    <row r="486" spans="6:6" x14ac:dyDescent="0.35">
      <c r="F486"/>
    </row>
    <row r="487" spans="6:6" x14ac:dyDescent="0.35">
      <c r="F487"/>
    </row>
    <row r="488" spans="6:6" x14ac:dyDescent="0.35">
      <c r="F488"/>
    </row>
    <row r="489" spans="6:6" x14ac:dyDescent="0.35">
      <c r="F489"/>
    </row>
    <row r="490" spans="6:6" x14ac:dyDescent="0.35">
      <c r="F490"/>
    </row>
    <row r="491" spans="6:6" x14ac:dyDescent="0.35">
      <c r="F491"/>
    </row>
    <row r="492" spans="6:6" x14ac:dyDescent="0.35">
      <c r="F492"/>
    </row>
    <row r="493" spans="6:6" x14ac:dyDescent="0.35">
      <c r="F493"/>
    </row>
    <row r="494" spans="6:6" x14ac:dyDescent="0.35">
      <c r="F494"/>
    </row>
    <row r="495" spans="6:6" x14ac:dyDescent="0.35">
      <c r="F495"/>
    </row>
    <row r="496" spans="6:6" x14ac:dyDescent="0.35">
      <c r="F496"/>
    </row>
    <row r="497" spans="6:6" x14ac:dyDescent="0.35">
      <c r="F497"/>
    </row>
    <row r="498" spans="6:6" x14ac:dyDescent="0.35">
      <c r="F498"/>
    </row>
    <row r="499" spans="6:6" x14ac:dyDescent="0.35">
      <c r="F499"/>
    </row>
    <row r="500" spans="6:6" x14ac:dyDescent="0.35">
      <c r="F500"/>
    </row>
    <row r="501" spans="6:6" x14ac:dyDescent="0.35">
      <c r="F501"/>
    </row>
    <row r="502" spans="6:6" x14ac:dyDescent="0.35">
      <c r="F502"/>
    </row>
    <row r="503" spans="6:6" x14ac:dyDescent="0.35">
      <c r="F503"/>
    </row>
    <row r="504" spans="6:6" x14ac:dyDescent="0.35">
      <c r="F504"/>
    </row>
    <row r="505" spans="6:6" x14ac:dyDescent="0.35">
      <c r="F505"/>
    </row>
    <row r="506" spans="6:6" x14ac:dyDescent="0.35">
      <c r="F506"/>
    </row>
    <row r="507" spans="6:6" x14ac:dyDescent="0.35">
      <c r="F507"/>
    </row>
    <row r="508" spans="6:6" x14ac:dyDescent="0.35">
      <c r="F508"/>
    </row>
    <row r="509" spans="6:6" x14ac:dyDescent="0.35">
      <c r="F509"/>
    </row>
    <row r="510" spans="6:6" x14ac:dyDescent="0.35">
      <c r="F510"/>
    </row>
    <row r="511" spans="6:6" x14ac:dyDescent="0.35">
      <c r="F511"/>
    </row>
    <row r="512" spans="6:6" x14ac:dyDescent="0.35">
      <c r="F512"/>
    </row>
    <row r="513" spans="6:6" x14ac:dyDescent="0.35">
      <c r="F513"/>
    </row>
    <row r="514" spans="6:6" x14ac:dyDescent="0.35">
      <c r="F514"/>
    </row>
    <row r="515" spans="6:6" x14ac:dyDescent="0.35">
      <c r="F515"/>
    </row>
    <row r="516" spans="6:6" x14ac:dyDescent="0.35">
      <c r="F516"/>
    </row>
    <row r="517" spans="6:6" x14ac:dyDescent="0.35">
      <c r="F517"/>
    </row>
    <row r="518" spans="6:6" x14ac:dyDescent="0.35">
      <c r="F518"/>
    </row>
    <row r="519" spans="6:6" x14ac:dyDescent="0.35">
      <c r="F519"/>
    </row>
    <row r="520" spans="6:6" x14ac:dyDescent="0.35">
      <c r="F520"/>
    </row>
    <row r="521" spans="6:6" x14ac:dyDescent="0.35">
      <c r="F521"/>
    </row>
    <row r="522" spans="6:6" x14ac:dyDescent="0.35">
      <c r="F522"/>
    </row>
    <row r="523" spans="6:6" x14ac:dyDescent="0.35">
      <c r="F523"/>
    </row>
    <row r="524" spans="6:6" x14ac:dyDescent="0.35">
      <c r="F524"/>
    </row>
    <row r="525" spans="6:6" x14ac:dyDescent="0.35">
      <c r="F525"/>
    </row>
    <row r="526" spans="6:6" x14ac:dyDescent="0.35">
      <c r="F526"/>
    </row>
    <row r="527" spans="6:6" x14ac:dyDescent="0.35">
      <c r="F527"/>
    </row>
    <row r="528" spans="6:6" x14ac:dyDescent="0.35">
      <c r="F528"/>
    </row>
    <row r="529" spans="6:6" x14ac:dyDescent="0.35">
      <c r="F529"/>
    </row>
    <row r="530" spans="6:6" x14ac:dyDescent="0.35">
      <c r="F530"/>
    </row>
    <row r="531" spans="6:6" x14ac:dyDescent="0.35">
      <c r="F531"/>
    </row>
    <row r="532" spans="6:6" x14ac:dyDescent="0.35">
      <c r="F532"/>
    </row>
    <row r="533" spans="6:6" x14ac:dyDescent="0.35">
      <c r="F533"/>
    </row>
    <row r="534" spans="6:6" x14ac:dyDescent="0.35">
      <c r="F534"/>
    </row>
    <row r="535" spans="6:6" x14ac:dyDescent="0.35">
      <c r="F535"/>
    </row>
    <row r="536" spans="6:6" x14ac:dyDescent="0.35">
      <c r="F536"/>
    </row>
    <row r="537" spans="6:6" x14ac:dyDescent="0.35">
      <c r="F537"/>
    </row>
    <row r="538" spans="6:6" x14ac:dyDescent="0.35">
      <c r="F538"/>
    </row>
    <row r="539" spans="6:6" x14ac:dyDescent="0.35">
      <c r="F539"/>
    </row>
    <row r="540" spans="6:6" x14ac:dyDescent="0.35">
      <c r="F540"/>
    </row>
    <row r="541" spans="6:6" x14ac:dyDescent="0.35">
      <c r="F541"/>
    </row>
    <row r="542" spans="6:6" x14ac:dyDescent="0.35">
      <c r="F542"/>
    </row>
    <row r="543" spans="6:6" x14ac:dyDescent="0.35">
      <c r="F543"/>
    </row>
    <row r="544" spans="6:6" x14ac:dyDescent="0.35">
      <c r="F544"/>
    </row>
    <row r="545" spans="6:6" x14ac:dyDescent="0.35">
      <c r="F545"/>
    </row>
    <row r="546" spans="6:6" x14ac:dyDescent="0.35">
      <c r="F546"/>
    </row>
    <row r="547" spans="6:6" x14ac:dyDescent="0.35">
      <c r="F547"/>
    </row>
    <row r="548" spans="6:6" x14ac:dyDescent="0.35">
      <c r="F548"/>
    </row>
    <row r="549" spans="6:6" x14ac:dyDescent="0.35">
      <c r="F549"/>
    </row>
    <row r="550" spans="6:6" x14ac:dyDescent="0.35">
      <c r="F550"/>
    </row>
    <row r="551" spans="6:6" x14ac:dyDescent="0.35">
      <c r="F551"/>
    </row>
    <row r="552" spans="6:6" x14ac:dyDescent="0.35">
      <c r="F552"/>
    </row>
    <row r="553" spans="6:6" x14ac:dyDescent="0.35">
      <c r="F553"/>
    </row>
    <row r="554" spans="6:6" x14ac:dyDescent="0.35">
      <c r="F554"/>
    </row>
    <row r="555" spans="6:6" x14ac:dyDescent="0.35">
      <c r="F555"/>
    </row>
    <row r="556" spans="6:6" x14ac:dyDescent="0.35">
      <c r="F556"/>
    </row>
    <row r="557" spans="6:6" x14ac:dyDescent="0.35">
      <c r="F557"/>
    </row>
    <row r="558" spans="6:6" x14ac:dyDescent="0.35">
      <c r="F558"/>
    </row>
    <row r="559" spans="6:6" x14ac:dyDescent="0.35">
      <c r="F559"/>
    </row>
    <row r="560" spans="6:6" x14ac:dyDescent="0.35">
      <c r="F560"/>
    </row>
    <row r="561" spans="6:6" x14ac:dyDescent="0.35">
      <c r="F561"/>
    </row>
    <row r="562" spans="6:6" x14ac:dyDescent="0.35">
      <c r="F562"/>
    </row>
    <row r="563" spans="6:6" x14ac:dyDescent="0.35">
      <c r="F563"/>
    </row>
    <row r="564" spans="6:6" x14ac:dyDescent="0.35">
      <c r="F564"/>
    </row>
    <row r="565" spans="6:6" x14ac:dyDescent="0.35">
      <c r="F565"/>
    </row>
    <row r="566" spans="6:6" x14ac:dyDescent="0.35">
      <c r="F566"/>
    </row>
    <row r="567" spans="6:6" x14ac:dyDescent="0.35">
      <c r="F567"/>
    </row>
    <row r="568" spans="6:6" x14ac:dyDescent="0.35">
      <c r="F568"/>
    </row>
    <row r="569" spans="6:6" x14ac:dyDescent="0.35">
      <c r="F569"/>
    </row>
    <row r="570" spans="6:6" x14ac:dyDescent="0.35">
      <c r="F570"/>
    </row>
    <row r="571" spans="6:6" x14ac:dyDescent="0.35">
      <c r="F571"/>
    </row>
    <row r="572" spans="6:6" x14ac:dyDescent="0.35">
      <c r="F572"/>
    </row>
    <row r="573" spans="6:6" x14ac:dyDescent="0.35">
      <c r="F573"/>
    </row>
    <row r="574" spans="6:6" x14ac:dyDescent="0.35">
      <c r="F574"/>
    </row>
    <row r="575" spans="6:6" x14ac:dyDescent="0.35">
      <c r="F575"/>
    </row>
    <row r="576" spans="6:6" x14ac:dyDescent="0.35">
      <c r="F576"/>
    </row>
    <row r="577" spans="6:6" x14ac:dyDescent="0.35">
      <c r="F577"/>
    </row>
    <row r="578" spans="6:6" x14ac:dyDescent="0.35">
      <c r="F578"/>
    </row>
    <row r="579" spans="6:6" x14ac:dyDescent="0.35">
      <c r="F579"/>
    </row>
    <row r="580" spans="6:6" x14ac:dyDescent="0.35">
      <c r="F580"/>
    </row>
    <row r="581" spans="6:6" x14ac:dyDescent="0.35">
      <c r="F581"/>
    </row>
    <row r="582" spans="6:6" x14ac:dyDescent="0.35">
      <c r="F582"/>
    </row>
    <row r="583" spans="6:6" x14ac:dyDescent="0.35">
      <c r="F583"/>
    </row>
    <row r="584" spans="6:6" x14ac:dyDescent="0.35">
      <c r="F584"/>
    </row>
    <row r="585" spans="6:6" x14ac:dyDescent="0.35">
      <c r="F585"/>
    </row>
    <row r="586" spans="6:6" x14ac:dyDescent="0.35">
      <c r="F586"/>
    </row>
    <row r="587" spans="6:6" x14ac:dyDescent="0.35">
      <c r="F587"/>
    </row>
    <row r="588" spans="6:6" x14ac:dyDescent="0.35">
      <c r="F588"/>
    </row>
    <row r="589" spans="6:6" x14ac:dyDescent="0.35">
      <c r="F589"/>
    </row>
    <row r="590" spans="6:6" x14ac:dyDescent="0.35">
      <c r="F590"/>
    </row>
    <row r="591" spans="6:6" x14ac:dyDescent="0.35">
      <c r="F591"/>
    </row>
    <row r="592" spans="6:6" x14ac:dyDescent="0.35">
      <c r="F592"/>
    </row>
    <row r="593" spans="6:6" x14ac:dyDescent="0.35">
      <c r="F593"/>
    </row>
    <row r="594" spans="6:6" x14ac:dyDescent="0.35">
      <c r="F594"/>
    </row>
    <row r="595" spans="6:6" x14ac:dyDescent="0.35">
      <c r="F595"/>
    </row>
    <row r="596" spans="6:6" x14ac:dyDescent="0.35">
      <c r="F596"/>
    </row>
    <row r="597" spans="6:6" x14ac:dyDescent="0.35">
      <c r="F597"/>
    </row>
    <row r="598" spans="6:6" x14ac:dyDescent="0.35">
      <c r="F598"/>
    </row>
    <row r="599" spans="6:6" x14ac:dyDescent="0.35">
      <c r="F599"/>
    </row>
    <row r="600" spans="6:6" x14ac:dyDescent="0.35">
      <c r="F600"/>
    </row>
    <row r="601" spans="6:6" x14ac:dyDescent="0.35">
      <c r="F601"/>
    </row>
    <row r="602" spans="6:6" x14ac:dyDescent="0.35">
      <c r="F602"/>
    </row>
    <row r="603" spans="6:6" x14ac:dyDescent="0.35">
      <c r="F603"/>
    </row>
    <row r="604" spans="6:6" x14ac:dyDescent="0.35">
      <c r="F604"/>
    </row>
    <row r="605" spans="6:6" x14ac:dyDescent="0.35">
      <c r="F605"/>
    </row>
    <row r="606" spans="6:6" x14ac:dyDescent="0.35">
      <c r="F606"/>
    </row>
    <row r="607" spans="6:6" x14ac:dyDescent="0.35">
      <c r="F607"/>
    </row>
    <row r="608" spans="6:6" x14ac:dyDescent="0.35">
      <c r="F608"/>
    </row>
    <row r="609" spans="6:6" x14ac:dyDescent="0.35">
      <c r="F609"/>
    </row>
    <row r="610" spans="6:6" x14ac:dyDescent="0.35">
      <c r="F610"/>
    </row>
    <row r="611" spans="6:6" x14ac:dyDescent="0.35">
      <c r="F611"/>
    </row>
    <row r="612" spans="6:6" x14ac:dyDescent="0.35">
      <c r="F612"/>
    </row>
    <row r="613" spans="6:6" x14ac:dyDescent="0.35">
      <c r="F613"/>
    </row>
    <row r="614" spans="6:6" x14ac:dyDescent="0.35">
      <c r="F614"/>
    </row>
    <row r="615" spans="6:6" x14ac:dyDescent="0.35">
      <c r="F615"/>
    </row>
    <row r="616" spans="6:6" x14ac:dyDescent="0.35">
      <c r="F616"/>
    </row>
    <row r="617" spans="6:6" x14ac:dyDescent="0.35">
      <c r="F617"/>
    </row>
    <row r="618" spans="6:6" x14ac:dyDescent="0.35">
      <c r="F618"/>
    </row>
    <row r="619" spans="6:6" x14ac:dyDescent="0.35">
      <c r="F619"/>
    </row>
    <row r="620" spans="6:6" x14ac:dyDescent="0.35">
      <c r="F620"/>
    </row>
    <row r="621" spans="6:6" x14ac:dyDescent="0.35">
      <c r="F621"/>
    </row>
    <row r="622" spans="6:6" x14ac:dyDescent="0.35">
      <c r="F622"/>
    </row>
    <row r="623" spans="6:6" x14ac:dyDescent="0.35">
      <c r="F623"/>
    </row>
    <row r="624" spans="6:6" x14ac:dyDescent="0.35">
      <c r="F624"/>
    </row>
    <row r="625" spans="6:6" x14ac:dyDescent="0.35">
      <c r="F625"/>
    </row>
    <row r="626" spans="6:6" x14ac:dyDescent="0.35">
      <c r="F626"/>
    </row>
    <row r="627" spans="6:6" x14ac:dyDescent="0.35">
      <c r="F627"/>
    </row>
    <row r="628" spans="6:6" x14ac:dyDescent="0.35">
      <c r="F628"/>
    </row>
    <row r="629" spans="6:6" x14ac:dyDescent="0.35">
      <c r="F629"/>
    </row>
    <row r="630" spans="6:6" x14ac:dyDescent="0.35">
      <c r="F630"/>
    </row>
    <row r="631" spans="6:6" x14ac:dyDescent="0.35">
      <c r="F631"/>
    </row>
    <row r="632" spans="6:6" x14ac:dyDescent="0.35">
      <c r="F632"/>
    </row>
    <row r="633" spans="6:6" x14ac:dyDescent="0.35">
      <c r="F633"/>
    </row>
    <row r="634" spans="6:6" x14ac:dyDescent="0.35">
      <c r="F634"/>
    </row>
    <row r="635" spans="6:6" x14ac:dyDescent="0.35">
      <c r="F635"/>
    </row>
    <row r="636" spans="6:6" x14ac:dyDescent="0.35">
      <c r="F636"/>
    </row>
    <row r="637" spans="6:6" x14ac:dyDescent="0.35">
      <c r="F637"/>
    </row>
    <row r="638" spans="6:6" x14ac:dyDescent="0.35">
      <c r="F638"/>
    </row>
    <row r="639" spans="6:6" x14ac:dyDescent="0.35">
      <c r="F639"/>
    </row>
    <row r="640" spans="6:6" x14ac:dyDescent="0.35">
      <c r="F640"/>
    </row>
    <row r="641" spans="6:6" x14ac:dyDescent="0.35">
      <c r="F641"/>
    </row>
    <row r="642" spans="6:6" x14ac:dyDescent="0.35">
      <c r="F642"/>
    </row>
    <row r="643" spans="6:6" x14ac:dyDescent="0.35">
      <c r="F643"/>
    </row>
    <row r="644" spans="6:6" x14ac:dyDescent="0.35">
      <c r="F644"/>
    </row>
    <row r="645" spans="6:6" x14ac:dyDescent="0.35">
      <c r="F645"/>
    </row>
    <row r="646" spans="6:6" x14ac:dyDescent="0.35">
      <c r="F646"/>
    </row>
    <row r="647" spans="6:6" x14ac:dyDescent="0.35">
      <c r="F647"/>
    </row>
    <row r="648" spans="6:6" x14ac:dyDescent="0.35">
      <c r="F648"/>
    </row>
    <row r="649" spans="6:6" x14ac:dyDescent="0.35">
      <c r="F649"/>
    </row>
    <row r="650" spans="6:6" x14ac:dyDescent="0.35">
      <c r="F650"/>
    </row>
    <row r="651" spans="6:6" x14ac:dyDescent="0.35">
      <c r="F651"/>
    </row>
    <row r="652" spans="6:6" x14ac:dyDescent="0.35">
      <c r="F652"/>
    </row>
    <row r="653" spans="6:6" x14ac:dyDescent="0.35">
      <c r="F653"/>
    </row>
    <row r="654" spans="6:6" x14ac:dyDescent="0.35">
      <c r="F654"/>
    </row>
    <row r="655" spans="6:6" x14ac:dyDescent="0.35">
      <c r="F655"/>
    </row>
    <row r="656" spans="6:6" x14ac:dyDescent="0.35">
      <c r="F656"/>
    </row>
    <row r="657" spans="6:6" x14ac:dyDescent="0.35">
      <c r="F657"/>
    </row>
    <row r="658" spans="6:6" x14ac:dyDescent="0.35">
      <c r="F658"/>
    </row>
    <row r="659" spans="6:6" x14ac:dyDescent="0.35">
      <c r="F659"/>
    </row>
    <row r="660" spans="6:6" x14ac:dyDescent="0.35">
      <c r="F660"/>
    </row>
    <row r="661" spans="6:6" x14ac:dyDescent="0.35">
      <c r="F661"/>
    </row>
    <row r="662" spans="6:6" x14ac:dyDescent="0.35">
      <c r="F662"/>
    </row>
    <row r="663" spans="6:6" x14ac:dyDescent="0.35">
      <c r="F663"/>
    </row>
    <row r="664" spans="6:6" x14ac:dyDescent="0.35">
      <c r="F664"/>
    </row>
    <row r="665" spans="6:6" x14ac:dyDescent="0.35">
      <c r="F665"/>
    </row>
    <row r="666" spans="6:6" x14ac:dyDescent="0.35">
      <c r="F666"/>
    </row>
    <row r="667" spans="6:6" x14ac:dyDescent="0.35">
      <c r="F667"/>
    </row>
    <row r="668" spans="6:6" x14ac:dyDescent="0.35">
      <c r="F668"/>
    </row>
    <row r="669" spans="6:6" x14ac:dyDescent="0.35">
      <c r="F669"/>
    </row>
    <row r="670" spans="6:6" x14ac:dyDescent="0.35">
      <c r="F670"/>
    </row>
    <row r="671" spans="6:6" x14ac:dyDescent="0.35">
      <c r="F671"/>
    </row>
    <row r="672" spans="6:6" x14ac:dyDescent="0.35">
      <c r="F672"/>
    </row>
    <row r="673" spans="6:6" x14ac:dyDescent="0.35">
      <c r="F673"/>
    </row>
    <row r="674" spans="6:6" x14ac:dyDescent="0.35">
      <c r="F674"/>
    </row>
    <row r="675" spans="6:6" x14ac:dyDescent="0.35">
      <c r="F675"/>
    </row>
    <row r="676" spans="6:6" x14ac:dyDescent="0.35">
      <c r="F676"/>
    </row>
    <row r="677" spans="6:6" x14ac:dyDescent="0.35">
      <c r="F677"/>
    </row>
    <row r="678" spans="6:6" x14ac:dyDescent="0.35">
      <c r="F678"/>
    </row>
    <row r="679" spans="6:6" x14ac:dyDescent="0.35">
      <c r="F679"/>
    </row>
    <row r="680" spans="6:6" x14ac:dyDescent="0.35">
      <c r="F680"/>
    </row>
    <row r="681" spans="6:6" x14ac:dyDescent="0.35">
      <c r="F681"/>
    </row>
    <row r="682" spans="6:6" x14ac:dyDescent="0.35">
      <c r="F682"/>
    </row>
    <row r="683" spans="6:6" x14ac:dyDescent="0.35">
      <c r="F683"/>
    </row>
    <row r="684" spans="6:6" x14ac:dyDescent="0.35">
      <c r="F684"/>
    </row>
    <row r="685" spans="6:6" x14ac:dyDescent="0.35">
      <c r="F685"/>
    </row>
    <row r="686" spans="6:6" x14ac:dyDescent="0.35">
      <c r="F686"/>
    </row>
    <row r="687" spans="6:6" x14ac:dyDescent="0.35">
      <c r="F687"/>
    </row>
    <row r="688" spans="6:6" x14ac:dyDescent="0.35">
      <c r="F688"/>
    </row>
    <row r="689" spans="6:6" x14ac:dyDescent="0.35">
      <c r="F689"/>
    </row>
    <row r="690" spans="6:6" x14ac:dyDescent="0.35">
      <c r="F690"/>
    </row>
    <row r="691" spans="6:6" x14ac:dyDescent="0.35">
      <c r="F691"/>
    </row>
    <row r="692" spans="6:6" x14ac:dyDescent="0.35">
      <c r="F692"/>
    </row>
    <row r="693" spans="6:6" x14ac:dyDescent="0.35">
      <c r="F693"/>
    </row>
    <row r="694" spans="6:6" x14ac:dyDescent="0.35">
      <c r="F694"/>
    </row>
    <row r="695" spans="6:6" x14ac:dyDescent="0.35">
      <c r="F695"/>
    </row>
    <row r="696" spans="6:6" x14ac:dyDescent="0.35">
      <c r="F696"/>
    </row>
    <row r="697" spans="6:6" x14ac:dyDescent="0.35">
      <c r="F697"/>
    </row>
    <row r="698" spans="6:6" x14ac:dyDescent="0.35">
      <c r="F698"/>
    </row>
    <row r="699" spans="6:6" x14ac:dyDescent="0.35">
      <c r="F699"/>
    </row>
    <row r="700" spans="6:6" x14ac:dyDescent="0.35">
      <c r="F700"/>
    </row>
    <row r="701" spans="6:6" x14ac:dyDescent="0.35">
      <c r="F701"/>
    </row>
    <row r="702" spans="6:6" x14ac:dyDescent="0.35">
      <c r="F702"/>
    </row>
    <row r="703" spans="6:6" x14ac:dyDescent="0.35">
      <c r="F703"/>
    </row>
    <row r="704" spans="6:6" x14ac:dyDescent="0.35">
      <c r="F704"/>
    </row>
    <row r="705" spans="6:6" x14ac:dyDescent="0.35">
      <c r="F705"/>
    </row>
    <row r="706" spans="6:6" x14ac:dyDescent="0.35">
      <c r="F706"/>
    </row>
    <row r="707" spans="6:6" x14ac:dyDescent="0.35">
      <c r="F707"/>
    </row>
    <row r="708" spans="6:6" x14ac:dyDescent="0.35">
      <c r="F708"/>
    </row>
    <row r="709" spans="6:6" x14ac:dyDescent="0.35">
      <c r="F709"/>
    </row>
    <row r="710" spans="6:6" x14ac:dyDescent="0.35">
      <c r="F710"/>
    </row>
    <row r="711" spans="6:6" x14ac:dyDescent="0.35">
      <c r="F711"/>
    </row>
    <row r="712" spans="6:6" x14ac:dyDescent="0.35">
      <c r="F712"/>
    </row>
    <row r="713" spans="6:6" x14ac:dyDescent="0.35">
      <c r="F713"/>
    </row>
    <row r="714" spans="6:6" x14ac:dyDescent="0.35">
      <c r="F714"/>
    </row>
    <row r="715" spans="6:6" x14ac:dyDescent="0.35">
      <c r="F715"/>
    </row>
    <row r="716" spans="6:6" x14ac:dyDescent="0.35">
      <c r="F716"/>
    </row>
    <row r="717" spans="6:6" x14ac:dyDescent="0.35">
      <c r="F717"/>
    </row>
    <row r="718" spans="6:6" x14ac:dyDescent="0.35">
      <c r="F718"/>
    </row>
    <row r="719" spans="6:6" x14ac:dyDescent="0.35">
      <c r="F719"/>
    </row>
    <row r="720" spans="6:6" x14ac:dyDescent="0.35">
      <c r="F720"/>
    </row>
    <row r="721" spans="6:6" x14ac:dyDescent="0.35">
      <c r="F721"/>
    </row>
    <row r="722" spans="6:6" x14ac:dyDescent="0.35">
      <c r="F722"/>
    </row>
    <row r="723" spans="6:6" x14ac:dyDescent="0.35">
      <c r="F723"/>
    </row>
    <row r="724" spans="6:6" x14ac:dyDescent="0.35">
      <c r="F724"/>
    </row>
    <row r="725" spans="6:6" x14ac:dyDescent="0.35">
      <c r="F725"/>
    </row>
    <row r="726" spans="6:6" x14ac:dyDescent="0.35">
      <c r="F726"/>
    </row>
    <row r="727" spans="6:6" x14ac:dyDescent="0.35">
      <c r="F727"/>
    </row>
    <row r="728" spans="6:6" x14ac:dyDescent="0.35">
      <c r="F728"/>
    </row>
    <row r="729" spans="6:6" x14ac:dyDescent="0.35">
      <c r="F729"/>
    </row>
    <row r="730" spans="6:6" x14ac:dyDescent="0.35">
      <c r="F730"/>
    </row>
    <row r="731" spans="6:6" x14ac:dyDescent="0.35">
      <c r="F731"/>
    </row>
    <row r="732" spans="6:6" x14ac:dyDescent="0.35">
      <c r="F732"/>
    </row>
    <row r="733" spans="6:6" x14ac:dyDescent="0.35">
      <c r="F733"/>
    </row>
    <row r="734" spans="6:6" x14ac:dyDescent="0.35">
      <c r="F734"/>
    </row>
    <row r="735" spans="6:6" x14ac:dyDescent="0.35">
      <c r="F735"/>
    </row>
    <row r="736" spans="6:6" x14ac:dyDescent="0.35">
      <c r="F736"/>
    </row>
    <row r="737" spans="6:6" x14ac:dyDescent="0.35">
      <c r="F737"/>
    </row>
    <row r="738" spans="6:6" x14ac:dyDescent="0.35">
      <c r="F738"/>
    </row>
    <row r="739" spans="6:6" x14ac:dyDescent="0.35">
      <c r="F739"/>
    </row>
    <row r="740" spans="6:6" x14ac:dyDescent="0.35">
      <c r="F740"/>
    </row>
    <row r="741" spans="6:6" x14ac:dyDescent="0.35">
      <c r="F741"/>
    </row>
    <row r="742" spans="6:6" x14ac:dyDescent="0.35">
      <c r="F742"/>
    </row>
    <row r="743" spans="6:6" x14ac:dyDescent="0.35">
      <c r="F743"/>
    </row>
    <row r="744" spans="6:6" x14ac:dyDescent="0.35">
      <c r="F744"/>
    </row>
    <row r="745" spans="6:6" x14ac:dyDescent="0.35">
      <c r="F745"/>
    </row>
    <row r="746" spans="6:6" x14ac:dyDescent="0.35">
      <c r="F746"/>
    </row>
    <row r="747" spans="6:6" x14ac:dyDescent="0.35">
      <c r="F747"/>
    </row>
    <row r="748" spans="6:6" x14ac:dyDescent="0.35">
      <c r="F748"/>
    </row>
    <row r="749" spans="6:6" x14ac:dyDescent="0.35">
      <c r="F749"/>
    </row>
    <row r="750" spans="6:6" x14ac:dyDescent="0.35">
      <c r="F750"/>
    </row>
    <row r="751" spans="6:6" x14ac:dyDescent="0.35">
      <c r="F751"/>
    </row>
    <row r="752" spans="6:6" x14ac:dyDescent="0.35">
      <c r="F752"/>
    </row>
    <row r="753" spans="6:6" x14ac:dyDescent="0.35">
      <c r="F753"/>
    </row>
    <row r="754" spans="6:6" x14ac:dyDescent="0.35">
      <c r="F754"/>
    </row>
    <row r="755" spans="6:6" x14ac:dyDescent="0.35">
      <c r="F755"/>
    </row>
    <row r="756" spans="6:6" x14ac:dyDescent="0.35">
      <c r="F756"/>
    </row>
    <row r="757" spans="6:6" x14ac:dyDescent="0.35">
      <c r="F757"/>
    </row>
    <row r="758" spans="6:6" x14ac:dyDescent="0.35">
      <c r="F758"/>
    </row>
    <row r="759" spans="6:6" x14ac:dyDescent="0.35">
      <c r="F759"/>
    </row>
    <row r="760" spans="6:6" x14ac:dyDescent="0.35">
      <c r="F760"/>
    </row>
    <row r="761" spans="6:6" x14ac:dyDescent="0.35">
      <c r="F761"/>
    </row>
    <row r="762" spans="6:6" x14ac:dyDescent="0.35">
      <c r="F762"/>
    </row>
    <row r="763" spans="6:6" x14ac:dyDescent="0.35">
      <c r="F763"/>
    </row>
    <row r="764" spans="6:6" x14ac:dyDescent="0.35">
      <c r="F764"/>
    </row>
    <row r="765" spans="6:6" x14ac:dyDescent="0.35">
      <c r="F765"/>
    </row>
    <row r="766" spans="6:6" x14ac:dyDescent="0.35">
      <c r="F766"/>
    </row>
    <row r="767" spans="6:6" x14ac:dyDescent="0.35">
      <c r="F767"/>
    </row>
    <row r="768" spans="6:6" x14ac:dyDescent="0.35">
      <c r="F768"/>
    </row>
    <row r="769" spans="6:6" x14ac:dyDescent="0.35">
      <c r="F769"/>
    </row>
    <row r="770" spans="6:6" x14ac:dyDescent="0.35">
      <c r="F770"/>
    </row>
    <row r="771" spans="6:6" x14ac:dyDescent="0.35">
      <c r="F771"/>
    </row>
    <row r="772" spans="6:6" x14ac:dyDescent="0.35">
      <c r="F772"/>
    </row>
    <row r="773" spans="6:6" x14ac:dyDescent="0.35">
      <c r="F773"/>
    </row>
    <row r="774" spans="6:6" x14ac:dyDescent="0.35">
      <c r="F774"/>
    </row>
    <row r="775" spans="6:6" x14ac:dyDescent="0.35">
      <c r="F775"/>
    </row>
    <row r="776" spans="6:6" x14ac:dyDescent="0.35">
      <c r="F776"/>
    </row>
    <row r="777" spans="6:6" x14ac:dyDescent="0.35">
      <c r="F777"/>
    </row>
    <row r="778" spans="6:6" x14ac:dyDescent="0.35">
      <c r="F778"/>
    </row>
    <row r="779" spans="6:6" x14ac:dyDescent="0.35">
      <c r="F779"/>
    </row>
    <row r="780" spans="6:6" x14ac:dyDescent="0.35">
      <c r="F780"/>
    </row>
    <row r="781" spans="6:6" x14ac:dyDescent="0.35">
      <c r="F781"/>
    </row>
    <row r="782" spans="6:6" x14ac:dyDescent="0.35">
      <c r="F782"/>
    </row>
    <row r="783" spans="6:6" x14ac:dyDescent="0.35">
      <c r="F783"/>
    </row>
    <row r="784" spans="6:6" x14ac:dyDescent="0.35">
      <c r="F784"/>
    </row>
    <row r="785" spans="6:6" x14ac:dyDescent="0.35">
      <c r="F785"/>
    </row>
    <row r="786" spans="6:6" x14ac:dyDescent="0.35">
      <c r="F786"/>
    </row>
    <row r="787" spans="6:6" x14ac:dyDescent="0.35">
      <c r="F787"/>
    </row>
    <row r="788" spans="6:6" x14ac:dyDescent="0.35">
      <c r="F788"/>
    </row>
    <row r="789" spans="6:6" x14ac:dyDescent="0.35">
      <c r="F789"/>
    </row>
    <row r="790" spans="6:6" x14ac:dyDescent="0.35">
      <c r="F790"/>
    </row>
    <row r="791" spans="6:6" x14ac:dyDescent="0.35">
      <c r="F791"/>
    </row>
    <row r="792" spans="6:6" x14ac:dyDescent="0.35">
      <c r="F792"/>
    </row>
    <row r="793" spans="6:6" x14ac:dyDescent="0.35">
      <c r="F793"/>
    </row>
    <row r="794" spans="6:6" x14ac:dyDescent="0.35">
      <c r="F794"/>
    </row>
    <row r="795" spans="6:6" x14ac:dyDescent="0.35">
      <c r="F795"/>
    </row>
    <row r="796" spans="6:6" x14ac:dyDescent="0.35">
      <c r="F796"/>
    </row>
    <row r="797" spans="6:6" x14ac:dyDescent="0.35">
      <c r="F797"/>
    </row>
    <row r="798" spans="6:6" x14ac:dyDescent="0.35">
      <c r="F798"/>
    </row>
    <row r="799" spans="6:6" x14ac:dyDescent="0.35">
      <c r="F799"/>
    </row>
    <row r="800" spans="6:6" x14ac:dyDescent="0.35">
      <c r="F800"/>
    </row>
    <row r="801" spans="6:6" x14ac:dyDescent="0.35">
      <c r="F801"/>
    </row>
    <row r="802" spans="6:6" x14ac:dyDescent="0.35">
      <c r="F802"/>
    </row>
    <row r="803" spans="6:6" x14ac:dyDescent="0.35">
      <c r="F803"/>
    </row>
    <row r="804" spans="6:6" x14ac:dyDescent="0.35">
      <c r="F804"/>
    </row>
    <row r="805" spans="6:6" x14ac:dyDescent="0.35">
      <c r="F805"/>
    </row>
    <row r="806" spans="6:6" x14ac:dyDescent="0.35">
      <c r="F806"/>
    </row>
    <row r="807" spans="6:6" x14ac:dyDescent="0.35">
      <c r="F807"/>
    </row>
    <row r="808" spans="6:6" x14ac:dyDescent="0.35">
      <c r="F808"/>
    </row>
    <row r="809" spans="6:6" x14ac:dyDescent="0.35">
      <c r="F809"/>
    </row>
    <row r="810" spans="6:6" x14ac:dyDescent="0.35">
      <c r="F810"/>
    </row>
    <row r="811" spans="6:6" x14ac:dyDescent="0.35">
      <c r="F811"/>
    </row>
    <row r="812" spans="6:6" x14ac:dyDescent="0.35">
      <c r="F812"/>
    </row>
    <row r="813" spans="6:6" x14ac:dyDescent="0.35">
      <c r="F813"/>
    </row>
    <row r="814" spans="6:6" x14ac:dyDescent="0.35">
      <c r="F814"/>
    </row>
    <row r="815" spans="6:6" x14ac:dyDescent="0.35">
      <c r="F815"/>
    </row>
    <row r="816" spans="6:6" x14ac:dyDescent="0.35">
      <c r="F816"/>
    </row>
    <row r="817" spans="6:6" x14ac:dyDescent="0.35">
      <c r="F817"/>
    </row>
    <row r="818" spans="6:6" x14ac:dyDescent="0.35">
      <c r="F818"/>
    </row>
    <row r="819" spans="6:6" x14ac:dyDescent="0.35">
      <c r="F819"/>
    </row>
    <row r="820" spans="6:6" x14ac:dyDescent="0.35">
      <c r="F820"/>
    </row>
    <row r="821" spans="6:6" x14ac:dyDescent="0.35">
      <c r="F821"/>
    </row>
    <row r="822" spans="6:6" x14ac:dyDescent="0.35">
      <c r="F822"/>
    </row>
    <row r="823" spans="6:6" x14ac:dyDescent="0.35">
      <c r="F823"/>
    </row>
    <row r="824" spans="6:6" x14ac:dyDescent="0.35">
      <c r="F824"/>
    </row>
    <row r="825" spans="6:6" x14ac:dyDescent="0.35">
      <c r="F825"/>
    </row>
    <row r="826" spans="6:6" x14ac:dyDescent="0.35">
      <c r="F826"/>
    </row>
    <row r="827" spans="6:6" x14ac:dyDescent="0.35">
      <c r="F827"/>
    </row>
    <row r="828" spans="6:6" x14ac:dyDescent="0.35">
      <c r="F828"/>
    </row>
    <row r="829" spans="6:6" x14ac:dyDescent="0.35">
      <c r="F829"/>
    </row>
    <row r="830" spans="6:6" x14ac:dyDescent="0.35">
      <c r="F830"/>
    </row>
    <row r="831" spans="6:6" x14ac:dyDescent="0.35">
      <c r="F831"/>
    </row>
    <row r="832" spans="6:6" x14ac:dyDescent="0.35">
      <c r="F832"/>
    </row>
    <row r="833" spans="6:6" x14ac:dyDescent="0.35">
      <c r="F833"/>
    </row>
    <row r="834" spans="6:6" x14ac:dyDescent="0.35">
      <c r="F834"/>
    </row>
    <row r="835" spans="6:6" x14ac:dyDescent="0.35">
      <c r="F835"/>
    </row>
    <row r="836" spans="6:6" x14ac:dyDescent="0.35">
      <c r="F836"/>
    </row>
    <row r="837" spans="6:6" x14ac:dyDescent="0.35">
      <c r="F837"/>
    </row>
    <row r="838" spans="6:6" x14ac:dyDescent="0.35">
      <c r="F838"/>
    </row>
    <row r="839" spans="6:6" x14ac:dyDescent="0.35">
      <c r="F839"/>
    </row>
    <row r="840" spans="6:6" x14ac:dyDescent="0.35">
      <c r="F840"/>
    </row>
    <row r="841" spans="6:6" x14ac:dyDescent="0.35">
      <c r="F841"/>
    </row>
    <row r="842" spans="6:6" x14ac:dyDescent="0.35">
      <c r="F842"/>
    </row>
    <row r="843" spans="6:6" x14ac:dyDescent="0.35">
      <c r="F843"/>
    </row>
    <row r="844" spans="6:6" x14ac:dyDescent="0.35">
      <c r="F844"/>
    </row>
    <row r="845" spans="6:6" x14ac:dyDescent="0.35">
      <c r="F845"/>
    </row>
    <row r="846" spans="6:6" x14ac:dyDescent="0.35">
      <c r="F846"/>
    </row>
    <row r="847" spans="6:6" x14ac:dyDescent="0.35">
      <c r="F847"/>
    </row>
    <row r="848" spans="6:6" x14ac:dyDescent="0.35">
      <c r="F848"/>
    </row>
    <row r="849" spans="6:6" x14ac:dyDescent="0.35">
      <c r="F849"/>
    </row>
    <row r="850" spans="6:6" x14ac:dyDescent="0.35">
      <c r="F850"/>
    </row>
    <row r="851" spans="6:6" x14ac:dyDescent="0.35">
      <c r="F851"/>
    </row>
    <row r="852" spans="6:6" x14ac:dyDescent="0.35">
      <c r="F852"/>
    </row>
    <row r="853" spans="6:6" x14ac:dyDescent="0.35">
      <c r="F853"/>
    </row>
    <row r="854" spans="6:6" x14ac:dyDescent="0.35">
      <c r="F854"/>
    </row>
    <row r="855" spans="6:6" x14ac:dyDescent="0.35">
      <c r="F855"/>
    </row>
    <row r="856" spans="6:6" x14ac:dyDescent="0.35">
      <c r="F856"/>
    </row>
    <row r="857" spans="6:6" x14ac:dyDescent="0.35">
      <c r="F857"/>
    </row>
    <row r="858" spans="6:6" x14ac:dyDescent="0.35">
      <c r="F858"/>
    </row>
    <row r="859" spans="6:6" x14ac:dyDescent="0.35">
      <c r="F859"/>
    </row>
    <row r="860" spans="6:6" x14ac:dyDescent="0.35">
      <c r="F860"/>
    </row>
    <row r="861" spans="6:6" x14ac:dyDescent="0.35">
      <c r="F861"/>
    </row>
    <row r="862" spans="6:6" x14ac:dyDescent="0.35">
      <c r="F862"/>
    </row>
    <row r="863" spans="6:6" x14ac:dyDescent="0.35">
      <c r="F863"/>
    </row>
    <row r="864" spans="6:6" x14ac:dyDescent="0.35">
      <c r="F864"/>
    </row>
    <row r="865" spans="6:6" x14ac:dyDescent="0.35">
      <c r="F865"/>
    </row>
    <row r="866" spans="6:6" x14ac:dyDescent="0.35">
      <c r="F866"/>
    </row>
    <row r="867" spans="6:6" x14ac:dyDescent="0.35">
      <c r="F867"/>
    </row>
    <row r="868" spans="6:6" x14ac:dyDescent="0.35">
      <c r="F868"/>
    </row>
    <row r="869" spans="6:6" x14ac:dyDescent="0.35">
      <c r="F869"/>
    </row>
    <row r="870" spans="6:6" x14ac:dyDescent="0.35">
      <c r="F870"/>
    </row>
    <row r="871" spans="6:6" x14ac:dyDescent="0.35">
      <c r="F871"/>
    </row>
    <row r="872" spans="6:6" x14ac:dyDescent="0.35">
      <c r="F872"/>
    </row>
    <row r="873" spans="6:6" x14ac:dyDescent="0.35">
      <c r="F873"/>
    </row>
    <row r="874" spans="6:6" x14ac:dyDescent="0.35">
      <c r="F874"/>
    </row>
    <row r="875" spans="6:6" x14ac:dyDescent="0.35">
      <c r="F875"/>
    </row>
    <row r="876" spans="6:6" x14ac:dyDescent="0.35">
      <c r="F876"/>
    </row>
    <row r="877" spans="6:6" x14ac:dyDescent="0.35">
      <c r="F877"/>
    </row>
    <row r="878" spans="6:6" x14ac:dyDescent="0.35">
      <c r="F878"/>
    </row>
    <row r="879" spans="6:6" x14ac:dyDescent="0.35">
      <c r="F879"/>
    </row>
    <row r="880" spans="6:6" x14ac:dyDescent="0.35">
      <c r="F880"/>
    </row>
    <row r="881" spans="6:6" x14ac:dyDescent="0.35">
      <c r="F881"/>
    </row>
    <row r="882" spans="6:6" x14ac:dyDescent="0.35">
      <c r="F882"/>
    </row>
    <row r="883" spans="6:6" x14ac:dyDescent="0.35">
      <c r="F883"/>
    </row>
    <row r="884" spans="6:6" x14ac:dyDescent="0.35">
      <c r="F884"/>
    </row>
    <row r="885" spans="6:6" x14ac:dyDescent="0.35">
      <c r="F885"/>
    </row>
    <row r="886" spans="6:6" x14ac:dyDescent="0.35">
      <c r="F886"/>
    </row>
    <row r="887" spans="6:6" x14ac:dyDescent="0.35">
      <c r="F887"/>
    </row>
    <row r="888" spans="6:6" x14ac:dyDescent="0.35">
      <c r="F888"/>
    </row>
    <row r="889" spans="6:6" x14ac:dyDescent="0.35">
      <c r="F889"/>
    </row>
    <row r="890" spans="6:6" x14ac:dyDescent="0.35">
      <c r="F890"/>
    </row>
    <row r="891" spans="6:6" x14ac:dyDescent="0.35">
      <c r="F891"/>
    </row>
    <row r="892" spans="6:6" x14ac:dyDescent="0.35">
      <c r="F892"/>
    </row>
    <row r="893" spans="6:6" x14ac:dyDescent="0.35">
      <c r="F893"/>
    </row>
    <row r="894" spans="6:6" x14ac:dyDescent="0.35">
      <c r="F894"/>
    </row>
    <row r="895" spans="6:6" x14ac:dyDescent="0.35">
      <c r="F895"/>
    </row>
    <row r="896" spans="6:6" x14ac:dyDescent="0.35">
      <c r="F896"/>
    </row>
    <row r="897" spans="6:6" x14ac:dyDescent="0.35">
      <c r="F897"/>
    </row>
    <row r="898" spans="6:6" x14ac:dyDescent="0.35">
      <c r="F898"/>
    </row>
    <row r="899" spans="6:6" x14ac:dyDescent="0.35">
      <c r="F899"/>
    </row>
    <row r="900" spans="6:6" x14ac:dyDescent="0.35">
      <c r="F900"/>
    </row>
    <row r="901" spans="6:6" x14ac:dyDescent="0.35">
      <c r="F901"/>
    </row>
    <row r="902" spans="6:6" x14ac:dyDescent="0.35">
      <c r="F902"/>
    </row>
    <row r="903" spans="6:6" x14ac:dyDescent="0.35">
      <c r="F903"/>
    </row>
    <row r="904" spans="6:6" x14ac:dyDescent="0.35">
      <c r="F904"/>
    </row>
    <row r="905" spans="6:6" x14ac:dyDescent="0.35">
      <c r="F905"/>
    </row>
    <row r="906" spans="6:6" x14ac:dyDescent="0.35">
      <c r="F906"/>
    </row>
    <row r="907" spans="6:6" x14ac:dyDescent="0.35">
      <c r="F907"/>
    </row>
    <row r="908" spans="6:6" x14ac:dyDescent="0.35">
      <c r="F908"/>
    </row>
    <row r="909" spans="6:6" x14ac:dyDescent="0.35">
      <c r="F909"/>
    </row>
    <row r="910" spans="6:6" x14ac:dyDescent="0.35">
      <c r="F910"/>
    </row>
    <row r="911" spans="6:6" x14ac:dyDescent="0.35">
      <c r="F911"/>
    </row>
  </sheetData>
  <mergeCells count="2">
    <mergeCell ref="A1:N1"/>
    <mergeCell ref="A2:N2"/>
  </mergeCells>
  <pageMargins left="0.7" right="0.7" top="0.75" bottom="0.75" header="0.3" footer="0.3"/>
  <pageSetup paperSize="9" scale="72" fitToWidth="0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A1075-74EC-4247-84EC-ADB783FDE934}">
  <sheetPr>
    <pageSetUpPr fitToPage="1"/>
  </sheetPr>
  <dimension ref="A1:P52"/>
  <sheetViews>
    <sheetView topLeftCell="A31" workbookViewId="0">
      <selection activeCell="Q12" sqref="Q12"/>
    </sheetView>
  </sheetViews>
  <sheetFormatPr defaultRowHeight="13" x14ac:dyDescent="0.35"/>
  <cols>
    <col min="2" max="2" width="10.296875" style="76" customWidth="1"/>
    <col min="4" max="4" width="22.09765625" customWidth="1"/>
    <col min="7" max="8" width="9.8984375" bestFit="1" customWidth="1"/>
    <col min="9" max="9" width="11" bestFit="1" customWidth="1"/>
    <col min="10" max="13" width="9.8984375" bestFit="1" customWidth="1"/>
  </cols>
  <sheetData>
    <row r="1" spans="1:16" ht="15.5" x14ac:dyDescent="0.35">
      <c r="A1" s="81" t="s">
        <v>321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3"/>
    </row>
    <row r="2" spans="1:16" ht="15.5" x14ac:dyDescent="0.35">
      <c r="A2" s="81" t="s">
        <v>322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3"/>
    </row>
    <row r="3" spans="1:16" x14ac:dyDescent="0.35">
      <c r="A3" s="41" t="s">
        <v>317</v>
      </c>
      <c r="B3" s="71"/>
      <c r="C3" s="42"/>
      <c r="D3" s="42"/>
      <c r="E3" s="42"/>
      <c r="F3" s="42"/>
      <c r="G3" s="41" t="s">
        <v>308</v>
      </c>
      <c r="H3" s="42" t="s">
        <v>309</v>
      </c>
      <c r="I3" s="42"/>
      <c r="J3" s="42"/>
      <c r="K3" s="42"/>
      <c r="L3" s="42"/>
      <c r="M3" s="42"/>
      <c r="N3" s="44"/>
    </row>
    <row r="4" spans="1:16" x14ac:dyDescent="0.35">
      <c r="A4" s="52"/>
      <c r="B4" s="72"/>
      <c r="C4" s="53"/>
      <c r="D4" s="53"/>
      <c r="E4" s="53"/>
      <c r="F4" s="53"/>
      <c r="G4" s="66">
        <v>46188</v>
      </c>
      <c r="H4" s="66">
        <v>46189</v>
      </c>
      <c r="I4" s="66">
        <v>46190</v>
      </c>
      <c r="J4" s="66">
        <v>46191</v>
      </c>
      <c r="K4" s="66">
        <v>46192</v>
      </c>
      <c r="L4" s="66">
        <v>46193</v>
      </c>
      <c r="M4" s="66">
        <v>46194</v>
      </c>
      <c r="N4" s="84" t="s">
        <v>292</v>
      </c>
      <c r="O4" s="84" t="s">
        <v>323</v>
      </c>
      <c r="P4" s="84" t="s">
        <v>324</v>
      </c>
    </row>
    <row r="5" spans="1:16" ht="39" x14ac:dyDescent="0.35">
      <c r="A5" s="60" t="s">
        <v>300</v>
      </c>
      <c r="B5" s="73" t="s">
        <v>316</v>
      </c>
      <c r="C5" s="60" t="s">
        <v>1</v>
      </c>
      <c r="D5" s="60" t="s">
        <v>2</v>
      </c>
      <c r="E5" s="60" t="s">
        <v>3</v>
      </c>
      <c r="F5" s="60" t="s">
        <v>4</v>
      </c>
      <c r="G5" s="41" t="s">
        <v>306</v>
      </c>
      <c r="H5" s="41" t="s">
        <v>307</v>
      </c>
      <c r="I5" s="41" t="s">
        <v>310</v>
      </c>
      <c r="J5" s="41" t="s">
        <v>315</v>
      </c>
      <c r="K5" s="41" t="s">
        <v>318</v>
      </c>
      <c r="L5" s="41" t="s">
        <v>319</v>
      </c>
      <c r="M5" s="41" t="s">
        <v>320</v>
      </c>
      <c r="N5" s="85"/>
      <c r="O5" s="85"/>
      <c r="P5" s="85"/>
    </row>
    <row r="6" spans="1:16" x14ac:dyDescent="0.35">
      <c r="A6" s="41">
        <v>101</v>
      </c>
      <c r="B6" s="74">
        <v>36</v>
      </c>
      <c r="C6" s="41">
        <v>41464</v>
      </c>
      <c r="D6" s="41" t="s">
        <v>44</v>
      </c>
      <c r="E6" s="55">
        <v>16.989999999999998</v>
      </c>
      <c r="F6" s="55">
        <v>7.73</v>
      </c>
      <c r="G6" s="74">
        <v>0</v>
      </c>
      <c r="H6" s="74">
        <v>0</v>
      </c>
      <c r="I6" s="74">
        <v>0</v>
      </c>
      <c r="J6" s="74">
        <v>0</v>
      </c>
      <c r="K6" s="74">
        <v>0</v>
      </c>
      <c r="L6" s="74">
        <v>0</v>
      </c>
      <c r="M6" s="74">
        <v>0</v>
      </c>
      <c r="N6" s="77">
        <v>0</v>
      </c>
      <c r="O6" s="77">
        <f t="shared" ref="O6:O52" si="0">B6-N6</f>
        <v>36</v>
      </c>
      <c r="P6" s="80">
        <f t="shared" ref="P6:P52" si="1">O6/B6</f>
        <v>1</v>
      </c>
    </row>
    <row r="7" spans="1:16" x14ac:dyDescent="0.35">
      <c r="A7" s="41">
        <v>117</v>
      </c>
      <c r="B7" s="74">
        <v>24</v>
      </c>
      <c r="C7" s="41">
        <v>34034</v>
      </c>
      <c r="D7" s="41" t="s">
        <v>250</v>
      </c>
      <c r="E7" s="55">
        <v>19.989999999999998</v>
      </c>
      <c r="F7" s="55">
        <v>8.43</v>
      </c>
      <c r="G7" s="74">
        <v>0</v>
      </c>
      <c r="H7" s="74">
        <v>0</v>
      </c>
      <c r="I7" s="74">
        <v>0</v>
      </c>
      <c r="J7" s="74">
        <v>0</v>
      </c>
      <c r="K7" s="74">
        <v>0</v>
      </c>
      <c r="L7" s="74">
        <v>0</v>
      </c>
      <c r="M7" s="74">
        <v>0</v>
      </c>
      <c r="N7" s="77">
        <v>0</v>
      </c>
      <c r="O7" s="77">
        <f t="shared" si="0"/>
        <v>24</v>
      </c>
      <c r="P7" s="80">
        <f t="shared" si="1"/>
        <v>1</v>
      </c>
    </row>
    <row r="8" spans="1:16" x14ac:dyDescent="0.35">
      <c r="A8" s="41">
        <v>104</v>
      </c>
      <c r="B8" s="74">
        <v>5</v>
      </c>
      <c r="C8" s="41">
        <v>34082</v>
      </c>
      <c r="D8" s="41" t="s">
        <v>234</v>
      </c>
      <c r="E8" s="55">
        <v>55</v>
      </c>
      <c r="F8" s="55">
        <v>25.03</v>
      </c>
      <c r="G8" s="74">
        <v>0</v>
      </c>
      <c r="H8" s="74">
        <v>0</v>
      </c>
      <c r="I8" s="74">
        <v>0</v>
      </c>
      <c r="J8" s="74">
        <v>0</v>
      </c>
      <c r="K8" s="74">
        <v>0</v>
      </c>
      <c r="L8" s="74">
        <v>0</v>
      </c>
      <c r="M8" s="74">
        <v>0</v>
      </c>
      <c r="N8" s="77">
        <v>0</v>
      </c>
      <c r="O8" s="77">
        <f t="shared" si="0"/>
        <v>5</v>
      </c>
      <c r="P8" s="80">
        <f t="shared" si="1"/>
        <v>1</v>
      </c>
    </row>
    <row r="9" spans="1:16" x14ac:dyDescent="0.35">
      <c r="A9" s="41">
        <v>117</v>
      </c>
      <c r="B9" s="74">
        <v>6</v>
      </c>
      <c r="C9" s="41">
        <v>41620</v>
      </c>
      <c r="D9" s="41" t="s">
        <v>252</v>
      </c>
      <c r="E9" s="55">
        <v>15.99</v>
      </c>
      <c r="F9" s="55">
        <v>8.11</v>
      </c>
      <c r="G9" s="74">
        <v>0</v>
      </c>
      <c r="H9" s="74">
        <v>0</v>
      </c>
      <c r="I9" s="74">
        <v>1</v>
      </c>
      <c r="J9" s="74">
        <v>0</v>
      </c>
      <c r="K9" s="74">
        <v>0</v>
      </c>
      <c r="L9" s="74">
        <v>0</v>
      </c>
      <c r="M9" s="74">
        <v>0</v>
      </c>
      <c r="N9" s="77">
        <v>1</v>
      </c>
      <c r="O9" s="77">
        <f t="shared" si="0"/>
        <v>5</v>
      </c>
      <c r="P9" s="80">
        <f t="shared" si="1"/>
        <v>0.83333333333333337</v>
      </c>
    </row>
    <row r="10" spans="1:16" x14ac:dyDescent="0.35">
      <c r="A10" s="41">
        <v>101</v>
      </c>
      <c r="B10" s="74">
        <v>144</v>
      </c>
      <c r="C10" s="41">
        <v>34141</v>
      </c>
      <c r="D10" s="41" t="s">
        <v>24</v>
      </c>
      <c r="E10" s="62">
        <v>5</v>
      </c>
      <c r="F10" s="55">
        <v>3.3388750000000003</v>
      </c>
      <c r="G10" s="74">
        <v>0</v>
      </c>
      <c r="H10" s="74">
        <v>0</v>
      </c>
      <c r="I10" s="74">
        <v>40</v>
      </c>
      <c r="J10" s="74">
        <v>0</v>
      </c>
      <c r="K10" s="74">
        <v>0</v>
      </c>
      <c r="L10" s="74">
        <v>0</v>
      </c>
      <c r="M10" s="74">
        <v>0</v>
      </c>
      <c r="N10" s="77">
        <v>40</v>
      </c>
      <c r="O10" s="77">
        <f t="shared" si="0"/>
        <v>104</v>
      </c>
      <c r="P10" s="80">
        <f t="shared" si="1"/>
        <v>0.72222222222222221</v>
      </c>
    </row>
    <row r="11" spans="1:16" x14ac:dyDescent="0.35">
      <c r="A11" s="41">
        <v>101</v>
      </c>
      <c r="B11" s="74">
        <v>50</v>
      </c>
      <c r="C11" s="41">
        <v>34046</v>
      </c>
      <c r="D11" s="41" t="s">
        <v>36</v>
      </c>
      <c r="E11" s="62">
        <v>19.989999999999998</v>
      </c>
      <c r="F11" s="55">
        <v>12.2</v>
      </c>
      <c r="G11" s="74">
        <v>5</v>
      </c>
      <c r="H11" s="74">
        <v>4</v>
      </c>
      <c r="I11" s="74">
        <v>0</v>
      </c>
      <c r="J11" s="74">
        <v>0</v>
      </c>
      <c r="K11" s="74">
        <v>3</v>
      </c>
      <c r="L11" s="74">
        <v>3</v>
      </c>
      <c r="M11" s="74">
        <v>0</v>
      </c>
      <c r="N11" s="77">
        <v>15</v>
      </c>
      <c r="O11" s="77">
        <f t="shared" si="0"/>
        <v>35</v>
      </c>
      <c r="P11" s="80">
        <f t="shared" si="1"/>
        <v>0.7</v>
      </c>
    </row>
    <row r="12" spans="1:16" x14ac:dyDescent="0.35">
      <c r="A12" s="41">
        <v>102</v>
      </c>
      <c r="B12" s="74">
        <v>213</v>
      </c>
      <c r="C12" s="41">
        <v>52943</v>
      </c>
      <c r="D12" s="41" t="s">
        <v>88</v>
      </c>
      <c r="E12" s="62">
        <v>31.99</v>
      </c>
      <c r="F12" s="55">
        <v>15.17</v>
      </c>
      <c r="G12" s="74">
        <v>7</v>
      </c>
      <c r="H12" s="74">
        <v>5</v>
      </c>
      <c r="I12" s="74">
        <v>13</v>
      </c>
      <c r="J12" s="74">
        <v>5</v>
      </c>
      <c r="K12" s="74">
        <v>3</v>
      </c>
      <c r="L12" s="74">
        <v>16</v>
      </c>
      <c r="M12" s="74">
        <v>18</v>
      </c>
      <c r="N12" s="77">
        <v>67</v>
      </c>
      <c r="O12" s="77">
        <f t="shared" si="0"/>
        <v>146</v>
      </c>
      <c r="P12" s="80">
        <f t="shared" si="1"/>
        <v>0.68544600938967137</v>
      </c>
    </row>
    <row r="13" spans="1:16" x14ac:dyDescent="0.35">
      <c r="A13" s="41">
        <v>104</v>
      </c>
      <c r="B13" s="74">
        <v>3</v>
      </c>
      <c r="C13" s="41">
        <v>34079</v>
      </c>
      <c r="D13" s="41" t="s">
        <v>233</v>
      </c>
      <c r="E13" s="62">
        <v>60</v>
      </c>
      <c r="F13" s="55">
        <v>29.14</v>
      </c>
      <c r="G13" s="74">
        <v>0</v>
      </c>
      <c r="H13" s="74">
        <v>0</v>
      </c>
      <c r="I13" s="74">
        <v>0</v>
      </c>
      <c r="J13" s="74">
        <v>1</v>
      </c>
      <c r="K13" s="74">
        <v>0</v>
      </c>
      <c r="L13" s="74">
        <v>0</v>
      </c>
      <c r="M13" s="74">
        <v>0</v>
      </c>
      <c r="N13" s="77">
        <v>1</v>
      </c>
      <c r="O13" s="77">
        <f t="shared" si="0"/>
        <v>2</v>
      </c>
      <c r="P13" s="80">
        <f t="shared" si="1"/>
        <v>0.66666666666666663</v>
      </c>
    </row>
    <row r="14" spans="1:16" x14ac:dyDescent="0.35">
      <c r="A14" s="41">
        <v>101</v>
      </c>
      <c r="B14" s="74">
        <v>34</v>
      </c>
      <c r="C14" s="41">
        <v>51680</v>
      </c>
      <c r="D14" s="41" t="s">
        <v>32</v>
      </c>
      <c r="E14" s="62">
        <v>21.99</v>
      </c>
      <c r="F14" s="55">
        <v>12.14</v>
      </c>
      <c r="G14" s="74">
        <v>3</v>
      </c>
      <c r="H14" s="74">
        <v>1</v>
      </c>
      <c r="I14" s="74">
        <v>1</v>
      </c>
      <c r="J14" s="74">
        <v>0</v>
      </c>
      <c r="K14" s="74">
        <v>4</v>
      </c>
      <c r="L14" s="74">
        <v>1</v>
      </c>
      <c r="M14" s="74">
        <v>2</v>
      </c>
      <c r="N14" s="77">
        <v>12</v>
      </c>
      <c r="O14" s="77">
        <f t="shared" si="0"/>
        <v>22</v>
      </c>
      <c r="P14" s="80">
        <f t="shared" si="1"/>
        <v>0.6470588235294118</v>
      </c>
    </row>
    <row r="15" spans="1:16" x14ac:dyDescent="0.35">
      <c r="A15" s="41">
        <v>101</v>
      </c>
      <c r="B15" s="74">
        <v>70</v>
      </c>
      <c r="C15" s="41">
        <v>34041</v>
      </c>
      <c r="D15" s="41" t="s">
        <v>42</v>
      </c>
      <c r="E15" s="62">
        <v>6.99</v>
      </c>
      <c r="F15" s="55">
        <v>3.15</v>
      </c>
      <c r="G15" s="74">
        <v>11</v>
      </c>
      <c r="H15" s="74">
        <v>7</v>
      </c>
      <c r="I15" s="74">
        <v>8</v>
      </c>
      <c r="J15" s="74">
        <v>9</v>
      </c>
      <c r="K15" s="74">
        <v>4</v>
      </c>
      <c r="L15" s="74">
        <v>0</v>
      </c>
      <c r="M15" s="74">
        <v>0</v>
      </c>
      <c r="N15" s="77">
        <v>39</v>
      </c>
      <c r="O15" s="77">
        <f t="shared" si="0"/>
        <v>31</v>
      </c>
      <c r="P15" s="80">
        <f t="shared" si="1"/>
        <v>0.44285714285714284</v>
      </c>
    </row>
    <row r="16" spans="1:16" x14ac:dyDescent="0.35">
      <c r="A16" s="41">
        <v>106</v>
      </c>
      <c r="B16" s="74">
        <v>93</v>
      </c>
      <c r="C16" s="41">
        <v>54018</v>
      </c>
      <c r="D16" s="41" t="s">
        <v>240</v>
      </c>
      <c r="E16" s="62">
        <v>18.989999999999998</v>
      </c>
      <c r="F16" s="55">
        <v>9.83</v>
      </c>
      <c r="G16" s="74">
        <v>8</v>
      </c>
      <c r="H16" s="74">
        <v>3</v>
      </c>
      <c r="I16" s="74">
        <v>6</v>
      </c>
      <c r="J16" s="74">
        <v>12</v>
      </c>
      <c r="K16" s="74">
        <v>14</v>
      </c>
      <c r="L16" s="74">
        <v>13</v>
      </c>
      <c r="M16" s="74">
        <v>2</v>
      </c>
      <c r="N16" s="77">
        <v>58</v>
      </c>
      <c r="O16" s="77">
        <f t="shared" si="0"/>
        <v>35</v>
      </c>
      <c r="P16" s="80">
        <f t="shared" si="1"/>
        <v>0.37634408602150538</v>
      </c>
    </row>
    <row r="17" spans="1:16" x14ac:dyDescent="0.35">
      <c r="A17" s="41">
        <v>101</v>
      </c>
      <c r="B17" s="74">
        <v>104.666666666667</v>
      </c>
      <c r="C17" s="41">
        <v>32859</v>
      </c>
      <c r="D17" s="41" t="s">
        <v>20</v>
      </c>
      <c r="E17" s="62">
        <v>20.99</v>
      </c>
      <c r="F17" s="55">
        <v>7.46</v>
      </c>
      <c r="G17" s="74">
        <v>8</v>
      </c>
      <c r="H17" s="74">
        <v>11</v>
      </c>
      <c r="I17" s="74">
        <v>10</v>
      </c>
      <c r="J17" s="74">
        <v>12</v>
      </c>
      <c r="K17" s="74">
        <v>12</v>
      </c>
      <c r="L17" s="74">
        <v>12</v>
      </c>
      <c r="M17" s="74">
        <v>2</v>
      </c>
      <c r="N17" s="77">
        <v>67</v>
      </c>
      <c r="O17" s="77">
        <f t="shared" si="0"/>
        <v>37.666666666666998</v>
      </c>
      <c r="P17" s="80">
        <f t="shared" si="1"/>
        <v>0.35987261146497018</v>
      </c>
    </row>
    <row r="18" spans="1:16" x14ac:dyDescent="0.35">
      <c r="A18" s="41">
        <v>102</v>
      </c>
      <c r="B18" s="74">
        <v>12</v>
      </c>
      <c r="C18" s="41">
        <v>61938</v>
      </c>
      <c r="D18" s="41" t="s">
        <v>121</v>
      </c>
      <c r="E18" s="55">
        <v>10</v>
      </c>
      <c r="F18" s="55">
        <v>3.43</v>
      </c>
      <c r="G18" s="74">
        <v>3</v>
      </c>
      <c r="H18" s="74">
        <v>0</v>
      </c>
      <c r="I18" s="74">
        <v>1</v>
      </c>
      <c r="J18" s="74">
        <v>0</v>
      </c>
      <c r="K18" s="74">
        <v>3</v>
      </c>
      <c r="L18" s="74">
        <v>1</v>
      </c>
      <c r="M18" s="74">
        <v>0</v>
      </c>
      <c r="N18" s="77">
        <v>8</v>
      </c>
      <c r="O18" s="77">
        <f t="shared" si="0"/>
        <v>4</v>
      </c>
      <c r="P18" s="80">
        <f t="shared" si="1"/>
        <v>0.33333333333333331</v>
      </c>
    </row>
    <row r="19" spans="1:16" x14ac:dyDescent="0.35">
      <c r="A19" s="41">
        <v>101</v>
      </c>
      <c r="B19" s="74">
        <v>65</v>
      </c>
      <c r="C19" s="41">
        <v>50037</v>
      </c>
      <c r="D19" s="41" t="s">
        <v>22</v>
      </c>
      <c r="E19" s="62">
        <v>25.99</v>
      </c>
      <c r="F19" s="55">
        <v>13.4</v>
      </c>
      <c r="G19" s="74">
        <v>7</v>
      </c>
      <c r="H19" s="74">
        <v>7</v>
      </c>
      <c r="I19" s="74">
        <v>8</v>
      </c>
      <c r="J19" s="74">
        <v>5</v>
      </c>
      <c r="K19" s="74">
        <v>11</v>
      </c>
      <c r="L19" s="74">
        <v>4</v>
      </c>
      <c r="M19" s="74">
        <v>4</v>
      </c>
      <c r="N19" s="77">
        <v>46</v>
      </c>
      <c r="O19" s="77">
        <f t="shared" si="0"/>
        <v>19</v>
      </c>
      <c r="P19" s="80">
        <f t="shared" si="1"/>
        <v>0.29230769230769232</v>
      </c>
    </row>
    <row r="20" spans="1:16" x14ac:dyDescent="0.35">
      <c r="A20" s="41">
        <v>101</v>
      </c>
      <c r="B20" s="74">
        <v>24</v>
      </c>
      <c r="C20" s="41">
        <v>34022</v>
      </c>
      <c r="D20" s="41" t="s">
        <v>53</v>
      </c>
      <c r="E20" s="62">
        <v>5.99</v>
      </c>
      <c r="F20" s="55">
        <v>2.72</v>
      </c>
      <c r="G20" s="74">
        <v>5</v>
      </c>
      <c r="H20" s="74">
        <v>0</v>
      </c>
      <c r="I20" s="74">
        <v>2</v>
      </c>
      <c r="J20" s="74">
        <v>0</v>
      </c>
      <c r="K20" s="74">
        <v>6</v>
      </c>
      <c r="L20" s="74">
        <v>4</v>
      </c>
      <c r="M20" s="74">
        <v>0</v>
      </c>
      <c r="N20" s="77">
        <v>17</v>
      </c>
      <c r="O20" s="77">
        <f t="shared" si="0"/>
        <v>7</v>
      </c>
      <c r="P20" s="80">
        <f t="shared" si="1"/>
        <v>0.29166666666666669</v>
      </c>
    </row>
    <row r="21" spans="1:16" x14ac:dyDescent="0.35">
      <c r="A21" s="41">
        <v>101</v>
      </c>
      <c r="B21" s="74">
        <v>36</v>
      </c>
      <c r="C21" s="41">
        <v>34024</v>
      </c>
      <c r="D21" s="41" t="s">
        <v>23</v>
      </c>
      <c r="E21" s="62">
        <v>37.99</v>
      </c>
      <c r="F21" s="55">
        <v>16.5</v>
      </c>
      <c r="G21" s="74">
        <v>5</v>
      </c>
      <c r="H21" s="74">
        <v>1</v>
      </c>
      <c r="I21" s="74">
        <v>5</v>
      </c>
      <c r="J21" s="74">
        <v>4</v>
      </c>
      <c r="K21" s="74">
        <v>6</v>
      </c>
      <c r="L21" s="74">
        <v>4</v>
      </c>
      <c r="M21" s="74">
        <v>1</v>
      </c>
      <c r="N21" s="77">
        <v>26</v>
      </c>
      <c r="O21" s="77">
        <f t="shared" si="0"/>
        <v>10</v>
      </c>
      <c r="P21" s="80">
        <f t="shared" si="1"/>
        <v>0.27777777777777779</v>
      </c>
    </row>
    <row r="22" spans="1:16" x14ac:dyDescent="0.35">
      <c r="A22" s="41">
        <v>101</v>
      </c>
      <c r="B22" s="74">
        <v>780</v>
      </c>
      <c r="C22" s="41">
        <v>59381</v>
      </c>
      <c r="D22" s="41" t="s">
        <v>15</v>
      </c>
      <c r="E22" s="62">
        <v>13.99</v>
      </c>
      <c r="F22" s="55">
        <v>7.36</v>
      </c>
      <c r="G22" s="74">
        <v>100</v>
      </c>
      <c r="H22" s="74">
        <v>90</v>
      </c>
      <c r="I22" s="74">
        <v>91</v>
      </c>
      <c r="J22" s="74">
        <v>99</v>
      </c>
      <c r="K22" s="74">
        <v>79</v>
      </c>
      <c r="L22" s="74">
        <v>99</v>
      </c>
      <c r="M22" s="74">
        <v>46</v>
      </c>
      <c r="N22" s="77">
        <v>604</v>
      </c>
      <c r="O22" s="77">
        <f t="shared" si="0"/>
        <v>176</v>
      </c>
      <c r="P22" s="80">
        <f t="shared" si="1"/>
        <v>0.22564102564102564</v>
      </c>
    </row>
    <row r="23" spans="1:16" x14ac:dyDescent="0.35">
      <c r="A23" s="41">
        <v>101</v>
      </c>
      <c r="B23" s="74">
        <v>36</v>
      </c>
      <c r="C23" s="41">
        <v>57073</v>
      </c>
      <c r="D23" s="41" t="s">
        <v>21</v>
      </c>
      <c r="E23" s="62">
        <v>36.99</v>
      </c>
      <c r="F23" s="55">
        <v>16.05</v>
      </c>
      <c r="G23" s="74">
        <v>7</v>
      </c>
      <c r="H23" s="74">
        <v>1</v>
      </c>
      <c r="I23" s="74">
        <v>0</v>
      </c>
      <c r="J23" s="74">
        <v>6</v>
      </c>
      <c r="K23" s="74">
        <v>7</v>
      </c>
      <c r="L23" s="74">
        <v>8</v>
      </c>
      <c r="M23" s="74">
        <v>0</v>
      </c>
      <c r="N23" s="77">
        <v>29</v>
      </c>
      <c r="O23" s="77">
        <f t="shared" si="0"/>
        <v>7</v>
      </c>
      <c r="P23" s="80">
        <f t="shared" si="1"/>
        <v>0.19444444444444445</v>
      </c>
    </row>
    <row r="24" spans="1:16" x14ac:dyDescent="0.35">
      <c r="A24" s="41">
        <v>101</v>
      </c>
      <c r="B24" s="74">
        <v>240</v>
      </c>
      <c r="C24" s="41">
        <v>59425</v>
      </c>
      <c r="D24" s="41" t="s">
        <v>17</v>
      </c>
      <c r="E24" s="62">
        <v>10.99</v>
      </c>
      <c r="F24" s="55">
        <v>6.3</v>
      </c>
      <c r="G24" s="74">
        <v>60</v>
      </c>
      <c r="H24" s="74">
        <v>0</v>
      </c>
      <c r="I24" s="74">
        <v>24</v>
      </c>
      <c r="J24" s="74">
        <v>15</v>
      </c>
      <c r="K24" s="74">
        <v>52</v>
      </c>
      <c r="L24" s="74">
        <v>40</v>
      </c>
      <c r="M24" s="74">
        <v>5</v>
      </c>
      <c r="N24" s="77">
        <v>196</v>
      </c>
      <c r="O24" s="77">
        <f t="shared" si="0"/>
        <v>44</v>
      </c>
      <c r="P24" s="80">
        <f t="shared" si="1"/>
        <v>0.18333333333333332</v>
      </c>
    </row>
    <row r="25" spans="1:16" x14ac:dyDescent="0.35">
      <c r="A25" s="41">
        <v>101</v>
      </c>
      <c r="B25" s="74">
        <v>6</v>
      </c>
      <c r="C25" s="41">
        <v>32062</v>
      </c>
      <c r="D25" s="41" t="s">
        <v>50</v>
      </c>
      <c r="E25" s="62">
        <v>24.99</v>
      </c>
      <c r="F25" s="55">
        <v>9.68</v>
      </c>
      <c r="G25" s="74">
        <v>0</v>
      </c>
      <c r="H25" s="74">
        <v>0</v>
      </c>
      <c r="I25" s="74">
        <v>2</v>
      </c>
      <c r="J25" s="74">
        <v>0</v>
      </c>
      <c r="K25" s="74">
        <v>2</v>
      </c>
      <c r="L25" s="74">
        <v>1</v>
      </c>
      <c r="M25" s="74">
        <v>0</v>
      </c>
      <c r="N25" s="77">
        <v>5</v>
      </c>
      <c r="O25" s="77">
        <f t="shared" si="0"/>
        <v>1</v>
      </c>
      <c r="P25" s="80">
        <f t="shared" si="1"/>
        <v>0.16666666666666666</v>
      </c>
    </row>
    <row r="26" spans="1:16" x14ac:dyDescent="0.35">
      <c r="A26" s="41">
        <v>101</v>
      </c>
      <c r="B26" s="74">
        <v>6</v>
      </c>
      <c r="C26" s="41">
        <v>32063</v>
      </c>
      <c r="D26" s="41" t="s">
        <v>51</v>
      </c>
      <c r="E26" s="62">
        <v>19.989999999999998</v>
      </c>
      <c r="F26" s="55">
        <v>8.5</v>
      </c>
      <c r="G26" s="74">
        <v>0</v>
      </c>
      <c r="H26" s="74">
        <v>0</v>
      </c>
      <c r="I26" s="74">
        <v>2</v>
      </c>
      <c r="J26" s="74">
        <v>1</v>
      </c>
      <c r="K26" s="74">
        <v>1</v>
      </c>
      <c r="L26" s="74">
        <v>1</v>
      </c>
      <c r="M26" s="74">
        <v>0</v>
      </c>
      <c r="N26" s="77">
        <v>5</v>
      </c>
      <c r="O26" s="77">
        <f t="shared" si="0"/>
        <v>1</v>
      </c>
      <c r="P26" s="80">
        <f t="shared" si="1"/>
        <v>0.16666666666666666</v>
      </c>
    </row>
    <row r="27" spans="1:16" x14ac:dyDescent="0.35">
      <c r="A27" s="41">
        <v>101</v>
      </c>
      <c r="B27" s="74">
        <v>6</v>
      </c>
      <c r="C27" s="41">
        <v>34011</v>
      </c>
      <c r="D27" s="41" t="s">
        <v>64</v>
      </c>
      <c r="E27" s="62">
        <v>19.989999999999998</v>
      </c>
      <c r="F27" s="55">
        <v>2.63</v>
      </c>
      <c r="G27" s="74">
        <v>0</v>
      </c>
      <c r="H27" s="74">
        <v>0</v>
      </c>
      <c r="I27" s="74">
        <v>1</v>
      </c>
      <c r="J27" s="74">
        <v>1</v>
      </c>
      <c r="K27" s="74">
        <v>3</v>
      </c>
      <c r="L27" s="74">
        <v>0</v>
      </c>
      <c r="M27" s="74">
        <v>0</v>
      </c>
      <c r="N27" s="77">
        <v>5</v>
      </c>
      <c r="O27" s="77">
        <f t="shared" si="0"/>
        <v>1</v>
      </c>
      <c r="P27" s="80">
        <f t="shared" si="1"/>
        <v>0.16666666666666666</v>
      </c>
    </row>
    <row r="28" spans="1:16" x14ac:dyDescent="0.35">
      <c r="A28" s="41">
        <v>102</v>
      </c>
      <c r="B28" s="74">
        <v>6</v>
      </c>
      <c r="C28" s="41">
        <v>39422</v>
      </c>
      <c r="D28" s="41" t="s">
        <v>117</v>
      </c>
      <c r="E28" s="62">
        <v>15.99</v>
      </c>
      <c r="F28" s="55">
        <v>8.3000000000000007</v>
      </c>
      <c r="G28" s="74">
        <v>1</v>
      </c>
      <c r="H28" s="74">
        <v>1</v>
      </c>
      <c r="I28" s="74">
        <v>0</v>
      </c>
      <c r="J28" s="74">
        <v>0</v>
      </c>
      <c r="K28" s="74">
        <v>2</v>
      </c>
      <c r="L28" s="74">
        <v>1</v>
      </c>
      <c r="M28" s="74">
        <v>0</v>
      </c>
      <c r="N28" s="77">
        <v>5</v>
      </c>
      <c r="O28" s="77">
        <f t="shared" si="0"/>
        <v>1</v>
      </c>
      <c r="P28" s="80">
        <f t="shared" si="1"/>
        <v>0.16666666666666666</v>
      </c>
    </row>
    <row r="29" spans="1:16" x14ac:dyDescent="0.35">
      <c r="A29" s="41">
        <v>101</v>
      </c>
      <c r="B29" s="74">
        <v>184</v>
      </c>
      <c r="C29" s="41">
        <v>34690</v>
      </c>
      <c r="D29" s="41" t="s">
        <v>18</v>
      </c>
      <c r="E29" s="62">
        <v>16.989999999999998</v>
      </c>
      <c r="F29" s="55">
        <v>7.7</v>
      </c>
      <c r="G29" s="74">
        <v>31</v>
      </c>
      <c r="H29" s="74">
        <v>27</v>
      </c>
      <c r="I29" s="74">
        <v>33</v>
      </c>
      <c r="J29" s="74">
        <v>31</v>
      </c>
      <c r="K29" s="74">
        <v>30</v>
      </c>
      <c r="L29" s="74">
        <v>15</v>
      </c>
      <c r="M29" s="74">
        <v>0</v>
      </c>
      <c r="N29" s="77">
        <v>167</v>
      </c>
      <c r="O29" s="77">
        <f t="shared" si="0"/>
        <v>17</v>
      </c>
      <c r="P29" s="80">
        <f t="shared" si="1"/>
        <v>9.2391304347826081E-2</v>
      </c>
    </row>
    <row r="30" spans="1:16" x14ac:dyDescent="0.35">
      <c r="A30" s="41">
        <v>101</v>
      </c>
      <c r="B30" s="74">
        <v>28</v>
      </c>
      <c r="C30" s="41">
        <v>34023</v>
      </c>
      <c r="D30" s="41" t="s">
        <v>47</v>
      </c>
      <c r="E30" s="62">
        <v>6.99</v>
      </c>
      <c r="F30" s="55">
        <v>2.85</v>
      </c>
      <c r="G30" s="74">
        <v>5</v>
      </c>
      <c r="H30" s="74">
        <v>4</v>
      </c>
      <c r="I30" s="74">
        <v>4</v>
      </c>
      <c r="J30" s="74">
        <v>4</v>
      </c>
      <c r="K30" s="74">
        <v>4</v>
      </c>
      <c r="L30" s="74">
        <v>4</v>
      </c>
      <c r="M30" s="74">
        <v>2</v>
      </c>
      <c r="N30" s="77">
        <v>27</v>
      </c>
      <c r="O30" s="77">
        <f t="shared" si="0"/>
        <v>1</v>
      </c>
      <c r="P30" s="80">
        <f t="shared" si="1"/>
        <v>3.5714285714285712E-2</v>
      </c>
    </row>
    <row r="31" spans="1:16" x14ac:dyDescent="0.35">
      <c r="A31" s="41">
        <v>101</v>
      </c>
      <c r="B31" s="74">
        <v>30</v>
      </c>
      <c r="C31" s="41">
        <v>33997</v>
      </c>
      <c r="D31" s="41" t="s">
        <v>38</v>
      </c>
      <c r="E31" s="62">
        <v>14.99</v>
      </c>
      <c r="F31" s="55">
        <v>7.62</v>
      </c>
      <c r="G31" s="74">
        <v>3</v>
      </c>
      <c r="H31" s="74">
        <v>4</v>
      </c>
      <c r="I31" s="74">
        <v>3</v>
      </c>
      <c r="J31" s="74">
        <v>11</v>
      </c>
      <c r="K31" s="74">
        <v>3</v>
      </c>
      <c r="L31" s="74">
        <v>5</v>
      </c>
      <c r="M31" s="74">
        <v>0</v>
      </c>
      <c r="N31" s="77">
        <v>29</v>
      </c>
      <c r="O31" s="77">
        <f t="shared" si="0"/>
        <v>1</v>
      </c>
      <c r="P31" s="80">
        <f t="shared" si="1"/>
        <v>3.3333333333333333E-2</v>
      </c>
    </row>
    <row r="32" spans="1:16" x14ac:dyDescent="0.35">
      <c r="A32" s="41">
        <v>101</v>
      </c>
      <c r="B32" s="74">
        <v>48</v>
      </c>
      <c r="C32" s="41">
        <v>34042</v>
      </c>
      <c r="D32" s="41" t="s">
        <v>30</v>
      </c>
      <c r="E32" s="62">
        <v>9.5</v>
      </c>
      <c r="F32" s="55">
        <v>4.1500000000000004</v>
      </c>
      <c r="G32" s="74">
        <v>6</v>
      </c>
      <c r="H32" s="74">
        <v>11</v>
      </c>
      <c r="I32" s="74">
        <v>12</v>
      </c>
      <c r="J32" s="74">
        <v>6</v>
      </c>
      <c r="K32" s="74">
        <v>5</v>
      </c>
      <c r="L32" s="74">
        <v>8</v>
      </c>
      <c r="M32" s="74">
        <v>0</v>
      </c>
      <c r="N32" s="77">
        <v>48</v>
      </c>
      <c r="O32" s="77">
        <f t="shared" si="0"/>
        <v>0</v>
      </c>
      <c r="P32" s="80">
        <f t="shared" si="1"/>
        <v>0</v>
      </c>
    </row>
    <row r="33" spans="1:16" x14ac:dyDescent="0.35">
      <c r="A33" s="41">
        <v>102</v>
      </c>
      <c r="B33" s="74">
        <v>10</v>
      </c>
      <c r="C33" s="41">
        <v>61937</v>
      </c>
      <c r="D33" s="41" t="s">
        <v>119</v>
      </c>
      <c r="E33" s="62">
        <v>10</v>
      </c>
      <c r="F33" s="55">
        <v>2.67</v>
      </c>
      <c r="G33" s="74">
        <v>12</v>
      </c>
      <c r="H33" s="74">
        <v>0</v>
      </c>
      <c r="I33" s="74">
        <v>0</v>
      </c>
      <c r="J33" s="74">
        <v>0</v>
      </c>
      <c r="K33" s="74">
        <v>0</v>
      </c>
      <c r="L33" s="74">
        <v>0</v>
      </c>
      <c r="M33" s="74">
        <v>0</v>
      </c>
      <c r="N33" s="77">
        <v>12</v>
      </c>
      <c r="O33" s="77">
        <f t="shared" si="0"/>
        <v>-2</v>
      </c>
      <c r="P33" s="80">
        <f t="shared" si="1"/>
        <v>-0.2</v>
      </c>
    </row>
    <row r="34" spans="1:16" x14ac:dyDescent="0.35">
      <c r="A34" s="41">
        <v>104</v>
      </c>
      <c r="B34" s="74">
        <v>15</v>
      </c>
      <c r="C34" s="41">
        <v>34095</v>
      </c>
      <c r="D34" s="41" t="s">
        <v>232</v>
      </c>
      <c r="E34" s="62">
        <v>29.99</v>
      </c>
      <c r="F34" s="55">
        <v>12.52</v>
      </c>
      <c r="G34" s="74">
        <v>0</v>
      </c>
      <c r="H34" s="74">
        <v>0</v>
      </c>
      <c r="I34" s="74">
        <v>0</v>
      </c>
      <c r="J34" s="74">
        <v>4</v>
      </c>
      <c r="K34" s="74">
        <v>10</v>
      </c>
      <c r="L34" s="74">
        <v>4</v>
      </c>
      <c r="M34" s="74">
        <v>3</v>
      </c>
      <c r="N34" s="77">
        <v>21</v>
      </c>
      <c r="O34" s="77">
        <f t="shared" si="0"/>
        <v>-6</v>
      </c>
      <c r="P34" s="80">
        <f t="shared" si="1"/>
        <v>-0.4</v>
      </c>
    </row>
    <row r="35" spans="1:16" x14ac:dyDescent="0.35">
      <c r="A35" s="41">
        <v>101</v>
      </c>
      <c r="B35" s="74">
        <v>40</v>
      </c>
      <c r="C35" s="41">
        <v>34091</v>
      </c>
      <c r="D35" s="41" t="s">
        <v>27</v>
      </c>
      <c r="E35" s="55">
        <v>19.989999999999998</v>
      </c>
      <c r="F35" s="55">
        <v>12.24</v>
      </c>
      <c r="G35" s="74">
        <v>5</v>
      </c>
      <c r="H35" s="74">
        <v>5</v>
      </c>
      <c r="I35" s="74">
        <v>13</v>
      </c>
      <c r="J35" s="74">
        <v>8</v>
      </c>
      <c r="K35" s="74">
        <v>17</v>
      </c>
      <c r="L35" s="74">
        <v>15</v>
      </c>
      <c r="M35" s="74">
        <v>0</v>
      </c>
      <c r="N35" s="77">
        <v>63</v>
      </c>
      <c r="O35" s="77">
        <f t="shared" si="0"/>
        <v>-23</v>
      </c>
      <c r="P35" s="80">
        <f t="shared" si="1"/>
        <v>-0.57499999999999996</v>
      </c>
    </row>
    <row r="36" spans="1:16" x14ac:dyDescent="0.35">
      <c r="A36" s="41">
        <v>104</v>
      </c>
      <c r="B36" s="74">
        <v>10</v>
      </c>
      <c r="C36" s="41">
        <v>34083</v>
      </c>
      <c r="D36" s="41" t="s">
        <v>230</v>
      </c>
      <c r="E36" s="55">
        <v>55</v>
      </c>
      <c r="F36" s="55">
        <v>25.97</v>
      </c>
      <c r="G36" s="74">
        <v>1</v>
      </c>
      <c r="H36" s="74">
        <v>3</v>
      </c>
      <c r="I36" s="74">
        <v>3</v>
      </c>
      <c r="J36" s="74">
        <v>1</v>
      </c>
      <c r="K36" s="74">
        <v>2</v>
      </c>
      <c r="L36" s="74">
        <v>5</v>
      </c>
      <c r="M36" s="74">
        <v>1</v>
      </c>
      <c r="N36" s="77">
        <v>16</v>
      </c>
      <c r="O36" s="77">
        <f t="shared" si="0"/>
        <v>-6</v>
      </c>
      <c r="P36" s="80">
        <f t="shared" si="1"/>
        <v>-0.6</v>
      </c>
    </row>
    <row r="37" spans="1:16" x14ac:dyDescent="0.35">
      <c r="A37" s="41">
        <v>101</v>
      </c>
      <c r="B37" s="74">
        <v>6</v>
      </c>
      <c r="C37" s="41">
        <v>34053</v>
      </c>
      <c r="D37" s="41" t="s">
        <v>55</v>
      </c>
      <c r="E37" s="62">
        <v>15.99</v>
      </c>
      <c r="F37" s="55">
        <v>6.74</v>
      </c>
      <c r="G37" s="74">
        <v>3</v>
      </c>
      <c r="H37" s="74">
        <v>4</v>
      </c>
      <c r="I37" s="74">
        <v>0</v>
      </c>
      <c r="J37" s="74">
        <v>0</v>
      </c>
      <c r="K37" s="74">
        <v>0</v>
      </c>
      <c r="L37" s="74">
        <v>4</v>
      </c>
      <c r="M37" s="74">
        <v>0</v>
      </c>
      <c r="N37" s="77">
        <v>11</v>
      </c>
      <c r="O37" s="77">
        <f t="shared" si="0"/>
        <v>-5</v>
      </c>
      <c r="P37" s="80">
        <f t="shared" si="1"/>
        <v>-0.83333333333333337</v>
      </c>
    </row>
    <row r="38" spans="1:16" x14ac:dyDescent="0.35">
      <c r="A38" s="41">
        <v>101</v>
      </c>
      <c r="B38" s="74">
        <v>8</v>
      </c>
      <c r="C38" s="41">
        <v>32067</v>
      </c>
      <c r="D38" s="41" t="s">
        <v>28</v>
      </c>
      <c r="E38" s="62">
        <v>34.99</v>
      </c>
      <c r="F38" s="55">
        <v>15.91</v>
      </c>
      <c r="G38" s="74">
        <v>0</v>
      </c>
      <c r="H38" s="74">
        <v>4</v>
      </c>
      <c r="I38" s="74">
        <v>4</v>
      </c>
      <c r="J38" s="74">
        <v>1</v>
      </c>
      <c r="K38" s="74">
        <v>7</v>
      </c>
      <c r="L38" s="74">
        <v>0</v>
      </c>
      <c r="M38" s="74">
        <v>0</v>
      </c>
      <c r="N38" s="77">
        <v>16</v>
      </c>
      <c r="O38" s="77">
        <f t="shared" si="0"/>
        <v>-8</v>
      </c>
      <c r="P38" s="80">
        <f t="shared" si="1"/>
        <v>-1</v>
      </c>
    </row>
    <row r="39" spans="1:16" x14ac:dyDescent="0.35">
      <c r="A39" s="41">
        <v>101</v>
      </c>
      <c r="B39" s="74">
        <v>8</v>
      </c>
      <c r="C39" s="41">
        <v>61947</v>
      </c>
      <c r="D39" s="41" t="s">
        <v>41</v>
      </c>
      <c r="E39" s="62">
        <v>28.99</v>
      </c>
      <c r="F39" s="55">
        <v>8.93</v>
      </c>
      <c r="G39" s="74">
        <v>1</v>
      </c>
      <c r="H39" s="74">
        <v>1</v>
      </c>
      <c r="I39" s="74">
        <v>3</v>
      </c>
      <c r="J39" s="74">
        <v>2</v>
      </c>
      <c r="K39" s="74">
        <v>3</v>
      </c>
      <c r="L39" s="74">
        <v>7</v>
      </c>
      <c r="M39" s="74">
        <v>0</v>
      </c>
      <c r="N39" s="77">
        <v>17</v>
      </c>
      <c r="O39" s="77">
        <f t="shared" si="0"/>
        <v>-9</v>
      </c>
      <c r="P39" s="80">
        <f t="shared" si="1"/>
        <v>-1.125</v>
      </c>
    </row>
    <row r="40" spans="1:16" x14ac:dyDescent="0.35">
      <c r="A40" s="41">
        <v>102</v>
      </c>
      <c r="B40" s="74">
        <v>8</v>
      </c>
      <c r="C40" s="41">
        <v>33031</v>
      </c>
      <c r="D40" s="41" t="s">
        <v>94</v>
      </c>
      <c r="E40" s="62">
        <v>17.989999999999998</v>
      </c>
      <c r="F40" s="55">
        <v>9.1199999999999992</v>
      </c>
      <c r="G40" s="74">
        <v>9</v>
      </c>
      <c r="H40" s="74">
        <v>0</v>
      </c>
      <c r="I40" s="74">
        <v>0</v>
      </c>
      <c r="J40" s="74">
        <v>3</v>
      </c>
      <c r="K40" s="74">
        <v>1</v>
      </c>
      <c r="L40" s="74">
        <v>2</v>
      </c>
      <c r="M40" s="74">
        <v>5</v>
      </c>
      <c r="N40" s="77">
        <v>20</v>
      </c>
      <c r="O40" s="77">
        <f t="shared" si="0"/>
        <v>-12</v>
      </c>
      <c r="P40" s="80">
        <f t="shared" si="1"/>
        <v>-1.5</v>
      </c>
    </row>
    <row r="41" spans="1:16" x14ac:dyDescent="0.35">
      <c r="A41" s="41">
        <v>102</v>
      </c>
      <c r="B41" s="74">
        <v>6</v>
      </c>
      <c r="C41" s="41">
        <v>32855</v>
      </c>
      <c r="D41" s="41" t="s">
        <v>107</v>
      </c>
      <c r="E41" s="62">
        <v>17.989999999999998</v>
      </c>
      <c r="F41" s="55">
        <v>9.14</v>
      </c>
      <c r="G41" s="74">
        <v>3</v>
      </c>
      <c r="H41" s="74">
        <v>2</v>
      </c>
      <c r="I41" s="74">
        <v>3</v>
      </c>
      <c r="J41" s="74">
        <v>1</v>
      </c>
      <c r="K41" s="74">
        <v>3</v>
      </c>
      <c r="L41" s="74">
        <v>1</v>
      </c>
      <c r="M41" s="74">
        <v>3</v>
      </c>
      <c r="N41" s="77">
        <v>16</v>
      </c>
      <c r="O41" s="77">
        <f t="shared" si="0"/>
        <v>-10</v>
      </c>
      <c r="P41" s="80">
        <f t="shared" si="1"/>
        <v>-1.6666666666666667</v>
      </c>
    </row>
    <row r="42" spans="1:16" x14ac:dyDescent="0.35">
      <c r="A42" s="41">
        <v>102</v>
      </c>
      <c r="B42" s="74">
        <v>24</v>
      </c>
      <c r="C42" s="41">
        <v>61939</v>
      </c>
      <c r="D42" s="41" t="s">
        <v>98</v>
      </c>
      <c r="E42" s="55">
        <v>10</v>
      </c>
      <c r="F42" s="55">
        <v>5.09</v>
      </c>
      <c r="G42" s="74">
        <v>0</v>
      </c>
      <c r="H42" s="74">
        <v>17</v>
      </c>
      <c r="I42" s="74">
        <v>19</v>
      </c>
      <c r="J42" s="74">
        <v>8</v>
      </c>
      <c r="K42" s="74">
        <v>5</v>
      </c>
      <c r="L42" s="74">
        <v>21</v>
      </c>
      <c r="M42" s="74">
        <v>3</v>
      </c>
      <c r="N42" s="77">
        <v>73</v>
      </c>
      <c r="O42" s="77">
        <f t="shared" si="0"/>
        <v>-49</v>
      </c>
      <c r="P42" s="80">
        <f t="shared" si="1"/>
        <v>-2.0416666666666665</v>
      </c>
    </row>
    <row r="43" spans="1:16" x14ac:dyDescent="0.35">
      <c r="A43" s="41">
        <v>102</v>
      </c>
      <c r="B43" s="74">
        <v>32</v>
      </c>
      <c r="C43" s="41">
        <v>32127</v>
      </c>
      <c r="D43" s="41" t="s">
        <v>90</v>
      </c>
      <c r="E43" s="62">
        <v>11.99</v>
      </c>
      <c r="F43" s="55">
        <v>6.02</v>
      </c>
      <c r="G43" s="74">
        <v>12</v>
      </c>
      <c r="H43" s="74">
        <v>9</v>
      </c>
      <c r="I43" s="74">
        <v>8</v>
      </c>
      <c r="J43" s="74">
        <v>14</v>
      </c>
      <c r="K43" s="74">
        <v>20</v>
      </c>
      <c r="L43" s="74">
        <v>12</v>
      </c>
      <c r="M43" s="74">
        <v>23</v>
      </c>
      <c r="N43" s="77">
        <v>98</v>
      </c>
      <c r="O43" s="77">
        <f t="shared" si="0"/>
        <v>-66</v>
      </c>
      <c r="P43" s="80">
        <f t="shared" si="1"/>
        <v>-2.0625</v>
      </c>
    </row>
    <row r="44" spans="1:16" x14ac:dyDescent="0.35">
      <c r="A44" s="41">
        <v>102</v>
      </c>
      <c r="B44" s="74">
        <v>6</v>
      </c>
      <c r="C44" s="41">
        <v>34015</v>
      </c>
      <c r="D44" s="41" t="s">
        <v>103</v>
      </c>
      <c r="E44" s="62">
        <v>29.99</v>
      </c>
      <c r="F44" s="55">
        <v>3.1788888888888889</v>
      </c>
      <c r="G44" s="74">
        <v>3</v>
      </c>
      <c r="H44" s="74">
        <v>1</v>
      </c>
      <c r="I44" s="74">
        <v>8</v>
      </c>
      <c r="J44" s="74">
        <v>6</v>
      </c>
      <c r="K44" s="74">
        <v>1</v>
      </c>
      <c r="L44" s="74">
        <v>3</v>
      </c>
      <c r="M44" s="74">
        <v>2</v>
      </c>
      <c r="N44" s="77">
        <v>24</v>
      </c>
      <c r="O44" s="77">
        <f t="shared" si="0"/>
        <v>-18</v>
      </c>
      <c r="P44" s="80">
        <f t="shared" si="1"/>
        <v>-3</v>
      </c>
    </row>
    <row r="45" spans="1:16" x14ac:dyDescent="0.35">
      <c r="A45" s="41">
        <v>102</v>
      </c>
      <c r="B45" s="74">
        <v>6</v>
      </c>
      <c r="C45" s="41">
        <v>55481</v>
      </c>
      <c r="D45" s="41" t="s">
        <v>102</v>
      </c>
      <c r="E45" s="62">
        <v>11.99</v>
      </c>
      <c r="F45" s="55">
        <v>5.0999999999999996</v>
      </c>
      <c r="G45" s="74">
        <v>8</v>
      </c>
      <c r="H45" s="74">
        <v>5</v>
      </c>
      <c r="I45" s="74">
        <v>1</v>
      </c>
      <c r="J45" s="74">
        <v>0</v>
      </c>
      <c r="K45" s="74">
        <v>0</v>
      </c>
      <c r="L45" s="74">
        <v>6</v>
      </c>
      <c r="M45" s="74">
        <v>4</v>
      </c>
      <c r="N45" s="77">
        <v>24</v>
      </c>
      <c r="O45" s="77">
        <f t="shared" si="0"/>
        <v>-18</v>
      </c>
      <c r="P45" s="80">
        <f t="shared" si="1"/>
        <v>-3</v>
      </c>
    </row>
    <row r="46" spans="1:16" x14ac:dyDescent="0.35">
      <c r="A46" s="41">
        <v>102</v>
      </c>
      <c r="B46" s="74">
        <v>6</v>
      </c>
      <c r="C46" s="41">
        <v>32152</v>
      </c>
      <c r="D46" s="41" t="s">
        <v>97</v>
      </c>
      <c r="E46" s="62">
        <v>12.99</v>
      </c>
      <c r="F46" s="55">
        <v>6.77</v>
      </c>
      <c r="G46" s="74">
        <v>6</v>
      </c>
      <c r="H46" s="74">
        <v>2</v>
      </c>
      <c r="I46" s="74">
        <v>5</v>
      </c>
      <c r="J46" s="74">
        <v>3</v>
      </c>
      <c r="K46" s="74">
        <v>1</v>
      </c>
      <c r="L46" s="74">
        <v>5</v>
      </c>
      <c r="M46" s="74">
        <v>3</v>
      </c>
      <c r="N46" s="77">
        <v>25</v>
      </c>
      <c r="O46" s="77">
        <f t="shared" si="0"/>
        <v>-19</v>
      </c>
      <c r="P46" s="80">
        <f t="shared" si="1"/>
        <v>-3.1666666666666665</v>
      </c>
    </row>
    <row r="47" spans="1:16" x14ac:dyDescent="0.35">
      <c r="A47" s="41">
        <v>102</v>
      </c>
      <c r="B47" s="74">
        <v>16</v>
      </c>
      <c r="C47" s="41">
        <v>42990</v>
      </c>
      <c r="D47" s="41" t="s">
        <v>91</v>
      </c>
      <c r="E47" s="62">
        <v>19.989999999999998</v>
      </c>
      <c r="F47" s="55">
        <v>10.85</v>
      </c>
      <c r="G47" s="74">
        <v>7</v>
      </c>
      <c r="H47" s="74">
        <v>10</v>
      </c>
      <c r="I47" s="74">
        <v>5</v>
      </c>
      <c r="J47" s="74">
        <v>11</v>
      </c>
      <c r="K47" s="74">
        <v>15</v>
      </c>
      <c r="L47" s="74">
        <v>9</v>
      </c>
      <c r="M47" s="74">
        <v>19</v>
      </c>
      <c r="N47" s="77">
        <v>76</v>
      </c>
      <c r="O47" s="77">
        <f t="shared" si="0"/>
        <v>-60</v>
      </c>
      <c r="P47" s="80">
        <f t="shared" si="1"/>
        <v>-3.75</v>
      </c>
    </row>
    <row r="48" spans="1:16" x14ac:dyDescent="0.35">
      <c r="A48" s="41">
        <v>102</v>
      </c>
      <c r="B48" s="74">
        <v>16</v>
      </c>
      <c r="C48" s="41">
        <v>33995</v>
      </c>
      <c r="D48" s="41" t="s">
        <v>89</v>
      </c>
      <c r="E48" s="62">
        <v>15.99</v>
      </c>
      <c r="F48" s="55">
        <v>8.2200000000000006</v>
      </c>
      <c r="G48" s="74">
        <v>20</v>
      </c>
      <c r="H48" s="74">
        <v>7</v>
      </c>
      <c r="I48" s="74">
        <v>7</v>
      </c>
      <c r="J48" s="74">
        <v>10</v>
      </c>
      <c r="K48" s="74">
        <v>15</v>
      </c>
      <c r="L48" s="74">
        <v>14</v>
      </c>
      <c r="M48" s="74">
        <v>7</v>
      </c>
      <c r="N48" s="77">
        <v>80</v>
      </c>
      <c r="O48" s="77">
        <f t="shared" si="0"/>
        <v>-64</v>
      </c>
      <c r="P48" s="80">
        <f t="shared" si="1"/>
        <v>-4</v>
      </c>
    </row>
    <row r="49" spans="1:16" x14ac:dyDescent="0.35">
      <c r="A49" s="41">
        <v>102</v>
      </c>
      <c r="B49" s="74">
        <v>10</v>
      </c>
      <c r="C49" s="41">
        <v>42797</v>
      </c>
      <c r="D49" s="41" t="s">
        <v>96</v>
      </c>
      <c r="E49" s="62">
        <v>11.99</v>
      </c>
      <c r="F49" s="55">
        <v>4.968</v>
      </c>
      <c r="G49" s="74">
        <v>12</v>
      </c>
      <c r="H49" s="74">
        <v>7</v>
      </c>
      <c r="I49" s="74">
        <v>8</v>
      </c>
      <c r="J49" s="74">
        <v>10</v>
      </c>
      <c r="K49" s="74">
        <v>12</v>
      </c>
      <c r="L49" s="74">
        <v>1</v>
      </c>
      <c r="M49" s="74">
        <v>10</v>
      </c>
      <c r="N49" s="77">
        <v>60</v>
      </c>
      <c r="O49" s="77">
        <f t="shared" si="0"/>
        <v>-50</v>
      </c>
      <c r="P49" s="80">
        <f t="shared" si="1"/>
        <v>-5</v>
      </c>
    </row>
    <row r="50" spans="1:16" x14ac:dyDescent="0.35">
      <c r="A50" s="41">
        <v>102</v>
      </c>
      <c r="B50" s="74">
        <v>8</v>
      </c>
      <c r="C50" s="41">
        <v>32872</v>
      </c>
      <c r="D50" s="41" t="s">
        <v>95</v>
      </c>
      <c r="E50" s="55">
        <v>39.99</v>
      </c>
      <c r="F50" s="55">
        <v>11.79</v>
      </c>
      <c r="G50" s="74">
        <v>2</v>
      </c>
      <c r="H50" s="74">
        <v>0</v>
      </c>
      <c r="I50" s="74">
        <v>8</v>
      </c>
      <c r="J50" s="74">
        <v>11</v>
      </c>
      <c r="K50" s="74">
        <v>5</v>
      </c>
      <c r="L50" s="74">
        <v>12</v>
      </c>
      <c r="M50" s="74">
        <v>19</v>
      </c>
      <c r="N50" s="77">
        <v>57</v>
      </c>
      <c r="O50" s="77">
        <f t="shared" si="0"/>
        <v>-49</v>
      </c>
      <c r="P50" s="80">
        <f t="shared" si="1"/>
        <v>-6.125</v>
      </c>
    </row>
    <row r="51" spans="1:16" x14ac:dyDescent="0.35">
      <c r="A51" s="41">
        <v>102</v>
      </c>
      <c r="B51" s="74">
        <v>8</v>
      </c>
      <c r="C51" s="41">
        <v>32131</v>
      </c>
      <c r="D51" s="41" t="s">
        <v>92</v>
      </c>
      <c r="E51" s="55">
        <v>18.989999999999998</v>
      </c>
      <c r="F51" s="55">
        <v>9.1300000000000008</v>
      </c>
      <c r="G51" s="74">
        <v>0</v>
      </c>
      <c r="H51" s="74">
        <v>0</v>
      </c>
      <c r="I51" s="74">
        <v>7</v>
      </c>
      <c r="J51" s="74">
        <v>17</v>
      </c>
      <c r="K51" s="74">
        <v>16</v>
      </c>
      <c r="L51" s="74">
        <v>8</v>
      </c>
      <c r="M51" s="74">
        <v>10</v>
      </c>
      <c r="N51" s="77">
        <v>58</v>
      </c>
      <c r="O51" s="77">
        <f t="shared" si="0"/>
        <v>-50</v>
      </c>
      <c r="P51" s="80">
        <f t="shared" si="1"/>
        <v>-6.25</v>
      </c>
    </row>
    <row r="52" spans="1:16" x14ac:dyDescent="0.35">
      <c r="A52" s="41">
        <v>102</v>
      </c>
      <c r="B52" s="75">
        <v>12</v>
      </c>
      <c r="C52" s="69">
        <v>34008</v>
      </c>
      <c r="D52" s="69" t="s">
        <v>101</v>
      </c>
      <c r="E52" s="79">
        <v>5.99</v>
      </c>
      <c r="F52" s="70">
        <v>4.32</v>
      </c>
      <c r="G52" s="75">
        <v>14</v>
      </c>
      <c r="H52" s="75">
        <v>13</v>
      </c>
      <c r="I52" s="75">
        <v>16</v>
      </c>
      <c r="J52" s="75">
        <v>16</v>
      </c>
      <c r="K52" s="75">
        <v>24</v>
      </c>
      <c r="L52" s="75">
        <v>14</v>
      </c>
      <c r="M52" s="75">
        <v>8</v>
      </c>
      <c r="N52" s="78">
        <v>105</v>
      </c>
      <c r="O52" s="78">
        <f t="shared" si="0"/>
        <v>-93</v>
      </c>
      <c r="P52" s="80">
        <f t="shared" si="1"/>
        <v>-7.75</v>
      </c>
    </row>
  </sheetData>
  <sortState xmlns:xlrd2="http://schemas.microsoft.com/office/spreadsheetml/2017/richdata2" ref="A6:P52">
    <sortCondition descending="1" ref="P6:P52"/>
  </sortState>
  <mergeCells count="5">
    <mergeCell ref="A1:N1"/>
    <mergeCell ref="A2:N2"/>
    <mergeCell ref="O4:O5"/>
    <mergeCell ref="N4:N5"/>
    <mergeCell ref="P4:P5"/>
  </mergeCells>
  <conditionalFormatting sqref="O6:O5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6:P5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scale="83" fitToWidth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8AF0-10D7-43A0-BBC9-00652270CF17}">
  <sheetPr codeName="Sheet3">
    <pageSetUpPr fitToPage="1"/>
  </sheetPr>
  <dimension ref="A1:K57"/>
  <sheetViews>
    <sheetView workbookViewId="0">
      <selection activeCell="C10" sqref="C10"/>
    </sheetView>
  </sheetViews>
  <sheetFormatPr defaultRowHeight="13" x14ac:dyDescent="0.35"/>
  <cols>
    <col min="1" max="1" width="12.69921875" customWidth="1"/>
    <col min="2" max="2" width="38.3984375" bestFit="1" customWidth="1"/>
    <col min="3" max="3" width="10.19921875" bestFit="1" customWidth="1"/>
    <col min="4" max="4" width="11.8984375" bestFit="1" customWidth="1"/>
    <col min="5" max="5" width="8.8984375" bestFit="1" customWidth="1"/>
    <col min="6" max="6" width="10.59765625" bestFit="1" customWidth="1"/>
    <col min="7" max="7" width="10.796875" bestFit="1" customWidth="1"/>
    <col min="8" max="8" width="10.59765625" bestFit="1" customWidth="1"/>
    <col min="9" max="10" width="13.8984375" bestFit="1" customWidth="1"/>
    <col min="11" max="11" width="7.8984375" customWidth="1"/>
  </cols>
  <sheetData>
    <row r="1" spans="1:11" ht="30" customHeight="1" x14ac:dyDescent="0.35">
      <c r="A1" s="86" t="s">
        <v>299</v>
      </c>
      <c r="B1" s="86"/>
      <c r="C1" s="86"/>
      <c r="D1" s="86"/>
      <c r="E1" s="86"/>
      <c r="F1" s="86"/>
      <c r="G1" s="86"/>
      <c r="H1" s="86"/>
      <c r="I1" s="86"/>
      <c r="J1" s="86"/>
    </row>
    <row r="2" spans="1:11" ht="10" customHeight="1" x14ac:dyDescent="0.35">
      <c r="A2" s="23"/>
      <c r="B2" s="23"/>
      <c r="C2" s="24" t="s">
        <v>293</v>
      </c>
      <c r="D2" s="23"/>
      <c r="E2" s="23"/>
      <c r="F2" s="23"/>
      <c r="G2" s="23"/>
      <c r="H2" s="23"/>
      <c r="I2" s="23"/>
    </row>
    <row r="3" spans="1:11" s="22" customFormat="1" ht="38.5" customHeight="1" x14ac:dyDescent="0.35">
      <c r="A3" s="25" t="s">
        <v>1</v>
      </c>
      <c r="B3" s="25" t="s">
        <v>2</v>
      </c>
      <c r="C3" s="25" t="s">
        <v>295</v>
      </c>
      <c r="D3" s="25" t="s">
        <v>301</v>
      </c>
      <c r="E3" s="25" t="s">
        <v>294</v>
      </c>
      <c r="F3" s="25" t="s">
        <v>296</v>
      </c>
      <c r="G3" s="25" t="s">
        <v>297</v>
      </c>
      <c r="H3" s="25" t="s">
        <v>298</v>
      </c>
      <c r="I3" s="38" t="s">
        <v>302</v>
      </c>
      <c r="J3"/>
      <c r="K3"/>
    </row>
    <row r="4" spans="1:11" s="30" customFormat="1" ht="17" customHeight="1" x14ac:dyDescent="0.35">
      <c r="A4" s="46">
        <v>59381</v>
      </c>
      <c r="B4" s="23" t="s">
        <v>15</v>
      </c>
      <c r="C4" s="26">
        <v>780</v>
      </c>
      <c r="D4" s="27">
        <v>13.99</v>
      </c>
      <c r="E4" s="27">
        <v>7.36</v>
      </c>
      <c r="F4" s="28">
        <v>10912.2</v>
      </c>
      <c r="G4" s="28">
        <v>5740.8</v>
      </c>
      <c r="H4" s="28">
        <v>5171.4000000000005</v>
      </c>
      <c r="I4" s="29">
        <v>0.47390993566833456</v>
      </c>
      <c r="J4"/>
    </row>
    <row r="5" spans="1:11" s="30" customFormat="1" ht="17" customHeight="1" x14ac:dyDescent="0.35">
      <c r="A5" s="46">
        <v>59425</v>
      </c>
      <c r="B5" s="23" t="s">
        <v>17</v>
      </c>
      <c r="C5" s="26">
        <v>240</v>
      </c>
      <c r="D5" s="27">
        <v>10.99</v>
      </c>
      <c r="E5" s="27">
        <v>6.3</v>
      </c>
      <c r="F5" s="28">
        <v>2637.6</v>
      </c>
      <c r="G5" s="28">
        <v>1512</v>
      </c>
      <c r="H5" s="28">
        <v>1125.5999999999999</v>
      </c>
      <c r="I5" s="29">
        <v>0.42675159235668786</v>
      </c>
      <c r="J5"/>
    </row>
    <row r="6" spans="1:11" s="30" customFormat="1" ht="17" customHeight="1" x14ac:dyDescent="0.35">
      <c r="A6" s="46">
        <v>52943</v>
      </c>
      <c r="B6" s="23" t="s">
        <v>88</v>
      </c>
      <c r="C6" s="26">
        <v>213</v>
      </c>
      <c r="D6" s="27">
        <v>31.99</v>
      </c>
      <c r="E6" s="27">
        <v>15.17</v>
      </c>
      <c r="F6" s="28">
        <v>6813.87</v>
      </c>
      <c r="G6" s="28">
        <v>3231.21</v>
      </c>
      <c r="H6" s="28">
        <v>3582.66</v>
      </c>
      <c r="I6" s="29">
        <v>0.52578930915911226</v>
      </c>
      <c r="J6"/>
    </row>
    <row r="7" spans="1:11" s="30" customFormat="1" ht="17" customHeight="1" x14ac:dyDescent="0.35">
      <c r="A7" s="46">
        <v>34690</v>
      </c>
      <c r="B7" s="23" t="s">
        <v>18</v>
      </c>
      <c r="C7" s="26">
        <v>184</v>
      </c>
      <c r="D7" s="27">
        <v>16.989999999999998</v>
      </c>
      <c r="E7" s="27">
        <v>7.7</v>
      </c>
      <c r="F7" s="28">
        <v>3126.16</v>
      </c>
      <c r="G7" s="28">
        <v>1416.8</v>
      </c>
      <c r="H7" s="28">
        <v>1709.36</v>
      </c>
      <c r="I7" s="29">
        <v>0.54679223072395522</v>
      </c>
      <c r="J7"/>
    </row>
    <row r="8" spans="1:11" s="30" customFormat="1" ht="17" customHeight="1" x14ac:dyDescent="0.35">
      <c r="A8" s="46">
        <v>34141</v>
      </c>
      <c r="B8" s="23" t="s">
        <v>24</v>
      </c>
      <c r="C8" s="26">
        <v>144</v>
      </c>
      <c r="D8" s="27">
        <v>5</v>
      </c>
      <c r="E8" s="27">
        <v>3.3388749999999998</v>
      </c>
      <c r="F8" s="28">
        <v>720</v>
      </c>
      <c r="G8" s="28">
        <v>480.798</v>
      </c>
      <c r="H8" s="28">
        <v>239.202</v>
      </c>
      <c r="I8" s="29">
        <v>0.33222499999999999</v>
      </c>
      <c r="J8"/>
    </row>
    <row r="9" spans="1:11" s="30" customFormat="1" ht="17" customHeight="1" x14ac:dyDescent="0.35">
      <c r="A9" s="46">
        <v>32859</v>
      </c>
      <c r="B9" s="23" t="s">
        <v>20</v>
      </c>
      <c r="C9" s="26">
        <v>104.666666666667</v>
      </c>
      <c r="D9" s="27">
        <v>41.98</v>
      </c>
      <c r="E9" s="27">
        <v>14.92</v>
      </c>
      <c r="F9" s="28">
        <v>2196.9533333333402</v>
      </c>
      <c r="G9" s="28">
        <v>780.81333333333578</v>
      </c>
      <c r="H9" s="28">
        <v>1416.1400000000044</v>
      </c>
      <c r="I9" s="29">
        <v>0.64459266317293951</v>
      </c>
      <c r="J9"/>
    </row>
    <row r="10" spans="1:11" s="30" customFormat="1" ht="17" customHeight="1" x14ac:dyDescent="0.35">
      <c r="A10" s="46">
        <v>54018</v>
      </c>
      <c r="B10" s="23" t="s">
        <v>240</v>
      </c>
      <c r="C10" s="26">
        <v>93</v>
      </c>
      <c r="D10" s="27">
        <v>18.989999999999998</v>
      </c>
      <c r="E10" s="27">
        <v>9.83</v>
      </c>
      <c r="F10" s="28">
        <v>1766.07</v>
      </c>
      <c r="G10" s="28">
        <v>914.19</v>
      </c>
      <c r="H10" s="28">
        <v>851.87999999999988</v>
      </c>
      <c r="I10" s="29">
        <v>0.48235913638757233</v>
      </c>
      <c r="J10"/>
    </row>
    <row r="11" spans="1:11" s="30" customFormat="1" ht="17" customHeight="1" x14ac:dyDescent="0.35">
      <c r="A11" s="46">
        <v>34041</v>
      </c>
      <c r="B11" s="23" t="s">
        <v>42</v>
      </c>
      <c r="C11" s="26">
        <v>70</v>
      </c>
      <c r="D11" s="27">
        <v>6.99</v>
      </c>
      <c r="E11" s="27">
        <v>3.15</v>
      </c>
      <c r="F11" s="28">
        <v>489.3</v>
      </c>
      <c r="G11" s="28">
        <v>220.5</v>
      </c>
      <c r="H11" s="28">
        <v>268.8</v>
      </c>
      <c r="I11" s="29">
        <v>0.54935622317596566</v>
      </c>
      <c r="J11"/>
    </row>
    <row r="12" spans="1:11" s="30" customFormat="1" ht="17" customHeight="1" x14ac:dyDescent="0.35">
      <c r="A12" s="46">
        <v>50037</v>
      </c>
      <c r="B12" s="23" t="s">
        <v>22</v>
      </c>
      <c r="C12" s="26">
        <v>65</v>
      </c>
      <c r="D12" s="27">
        <v>25.99</v>
      </c>
      <c r="E12" s="27">
        <v>13.4</v>
      </c>
      <c r="F12" s="28">
        <v>1689.35</v>
      </c>
      <c r="G12" s="28">
        <v>871</v>
      </c>
      <c r="H12" s="28">
        <v>818.34999999999991</v>
      </c>
      <c r="I12" s="29">
        <v>0.48441708349365137</v>
      </c>
      <c r="J12"/>
    </row>
    <row r="13" spans="1:11" s="30" customFormat="1" ht="17" customHeight="1" x14ac:dyDescent="0.35">
      <c r="A13" s="46">
        <v>34046</v>
      </c>
      <c r="B13" s="23" t="s">
        <v>36</v>
      </c>
      <c r="C13" s="26">
        <v>50</v>
      </c>
      <c r="D13" s="27">
        <v>19.989999999999998</v>
      </c>
      <c r="E13" s="27">
        <v>12.2</v>
      </c>
      <c r="F13" s="28">
        <v>999.49999999999989</v>
      </c>
      <c r="G13" s="28">
        <v>610</v>
      </c>
      <c r="H13" s="28">
        <v>389.49999999999989</v>
      </c>
      <c r="I13" s="29">
        <v>0.3896948474237118</v>
      </c>
      <c r="J13"/>
    </row>
    <row r="14" spans="1:11" s="30" customFormat="1" ht="17" customHeight="1" x14ac:dyDescent="0.35">
      <c r="A14" s="46">
        <v>34042</v>
      </c>
      <c r="B14" s="23" t="s">
        <v>30</v>
      </c>
      <c r="C14" s="26">
        <v>48</v>
      </c>
      <c r="D14" s="27">
        <v>9.5</v>
      </c>
      <c r="E14" s="27">
        <v>4.1500000000000004</v>
      </c>
      <c r="F14" s="28">
        <v>456</v>
      </c>
      <c r="G14" s="28">
        <v>199.20000000000002</v>
      </c>
      <c r="H14" s="28">
        <v>256.79999999999995</v>
      </c>
      <c r="I14" s="29">
        <v>0.56315789473684197</v>
      </c>
      <c r="J14"/>
    </row>
    <row r="15" spans="1:11" s="30" customFormat="1" ht="17" customHeight="1" x14ac:dyDescent="0.35">
      <c r="A15" s="46">
        <v>34091</v>
      </c>
      <c r="B15" s="23" t="s">
        <v>27</v>
      </c>
      <c r="C15" s="26">
        <v>40</v>
      </c>
      <c r="D15" s="27">
        <v>17.989999999999998</v>
      </c>
      <c r="E15" s="27">
        <v>12.24</v>
      </c>
      <c r="F15" s="28">
        <v>719.59999999999991</v>
      </c>
      <c r="G15" s="28">
        <v>489.6</v>
      </c>
      <c r="H15" s="28">
        <v>229.99999999999989</v>
      </c>
      <c r="I15" s="29">
        <v>0.31962201222901598</v>
      </c>
      <c r="J15"/>
    </row>
    <row r="16" spans="1:11" s="30" customFormat="1" ht="17" customHeight="1" x14ac:dyDescent="0.35">
      <c r="A16" s="46">
        <v>41464</v>
      </c>
      <c r="B16" s="23" t="s">
        <v>44</v>
      </c>
      <c r="C16" s="26">
        <v>36</v>
      </c>
      <c r="D16" s="27">
        <v>16.989999999999998</v>
      </c>
      <c r="E16" s="27">
        <v>7.73</v>
      </c>
      <c r="F16" s="28">
        <v>611.64</v>
      </c>
      <c r="G16" s="28">
        <v>278.28000000000003</v>
      </c>
      <c r="H16" s="28">
        <v>333.35999999999996</v>
      </c>
      <c r="I16" s="29">
        <v>0.54502648616833427</v>
      </c>
      <c r="J16"/>
    </row>
    <row r="17" spans="1:10" s="30" customFormat="1" ht="17" customHeight="1" x14ac:dyDescent="0.35">
      <c r="A17" s="46">
        <v>57073</v>
      </c>
      <c r="B17" s="23" t="s">
        <v>21</v>
      </c>
      <c r="C17" s="26">
        <v>36</v>
      </c>
      <c r="D17" s="27">
        <v>36.99</v>
      </c>
      <c r="E17" s="27">
        <v>16.05</v>
      </c>
      <c r="F17" s="28">
        <v>1331.64</v>
      </c>
      <c r="G17" s="28">
        <v>577.80000000000007</v>
      </c>
      <c r="H17" s="28">
        <v>753.84</v>
      </c>
      <c r="I17" s="29">
        <v>0.56609894566098939</v>
      </c>
      <c r="J17"/>
    </row>
    <row r="18" spans="1:10" s="30" customFormat="1" ht="17" customHeight="1" x14ac:dyDescent="0.35">
      <c r="A18" s="46">
        <v>34024</v>
      </c>
      <c r="B18" s="23" t="s">
        <v>23</v>
      </c>
      <c r="C18" s="26">
        <v>36</v>
      </c>
      <c r="D18" s="27">
        <v>37.99</v>
      </c>
      <c r="E18" s="27">
        <v>16.5</v>
      </c>
      <c r="F18" s="28">
        <v>1367.64</v>
      </c>
      <c r="G18" s="28">
        <v>594</v>
      </c>
      <c r="H18" s="28">
        <v>773.6400000000001</v>
      </c>
      <c r="I18" s="29">
        <v>0.56567517767833642</v>
      </c>
      <c r="J18"/>
    </row>
    <row r="19" spans="1:10" s="30" customFormat="1" ht="17" customHeight="1" x14ac:dyDescent="0.35">
      <c r="A19" s="46">
        <v>51680</v>
      </c>
      <c r="B19" s="23" t="s">
        <v>32</v>
      </c>
      <c r="C19" s="26">
        <v>34</v>
      </c>
      <c r="D19" s="27">
        <v>21.99</v>
      </c>
      <c r="E19" s="27">
        <v>12.14</v>
      </c>
      <c r="F19" s="28">
        <v>747.66</v>
      </c>
      <c r="G19" s="28">
        <v>412.76</v>
      </c>
      <c r="H19" s="28">
        <v>334.9</v>
      </c>
      <c r="I19" s="29">
        <v>0.44793087767166895</v>
      </c>
      <c r="J19"/>
    </row>
    <row r="20" spans="1:10" s="30" customFormat="1" ht="17" customHeight="1" x14ac:dyDescent="0.35">
      <c r="A20" s="46">
        <v>32127</v>
      </c>
      <c r="B20" s="23" t="s">
        <v>90</v>
      </c>
      <c r="C20" s="26">
        <v>32</v>
      </c>
      <c r="D20" s="27">
        <v>11.99</v>
      </c>
      <c r="E20" s="27">
        <v>6.02</v>
      </c>
      <c r="F20" s="28">
        <v>383.68</v>
      </c>
      <c r="G20" s="28">
        <v>192.64</v>
      </c>
      <c r="H20" s="28">
        <v>191.04000000000002</v>
      </c>
      <c r="I20" s="29">
        <v>0.49791492910758972</v>
      </c>
      <c r="J20"/>
    </row>
    <row r="21" spans="1:10" s="30" customFormat="1" ht="17" customHeight="1" x14ac:dyDescent="0.35">
      <c r="A21" s="46">
        <v>33997</v>
      </c>
      <c r="B21" s="23" t="s">
        <v>38</v>
      </c>
      <c r="C21" s="26">
        <v>30</v>
      </c>
      <c r="D21" s="27">
        <v>14.99</v>
      </c>
      <c r="E21" s="27">
        <v>7.62</v>
      </c>
      <c r="F21" s="28">
        <v>449.7</v>
      </c>
      <c r="G21" s="28">
        <v>228.6</v>
      </c>
      <c r="H21" s="28">
        <v>221.1</v>
      </c>
      <c r="I21" s="29">
        <v>0.49166110740493663</v>
      </c>
      <c r="J21"/>
    </row>
    <row r="22" spans="1:10" s="30" customFormat="1" ht="17" customHeight="1" x14ac:dyDescent="0.35">
      <c r="A22" s="46">
        <v>34023</v>
      </c>
      <c r="B22" s="23" t="s">
        <v>47</v>
      </c>
      <c r="C22" s="26">
        <v>28</v>
      </c>
      <c r="D22" s="27">
        <v>6.99</v>
      </c>
      <c r="E22" s="27">
        <v>2.85</v>
      </c>
      <c r="F22" s="28">
        <v>195.72</v>
      </c>
      <c r="G22" s="28">
        <v>79.8</v>
      </c>
      <c r="H22" s="28">
        <v>115.92</v>
      </c>
      <c r="I22" s="29">
        <v>0.59227467811158796</v>
      </c>
      <c r="J22"/>
    </row>
    <row r="23" spans="1:10" s="30" customFormat="1" ht="17" customHeight="1" x14ac:dyDescent="0.35">
      <c r="A23" s="46">
        <v>34022</v>
      </c>
      <c r="B23" s="23" t="s">
        <v>53</v>
      </c>
      <c r="C23" s="26">
        <v>24</v>
      </c>
      <c r="D23" s="27">
        <v>5.99</v>
      </c>
      <c r="E23" s="27">
        <v>2.72</v>
      </c>
      <c r="F23" s="28">
        <v>143.76</v>
      </c>
      <c r="G23" s="28">
        <v>65.28</v>
      </c>
      <c r="H23" s="28">
        <v>78.47999999999999</v>
      </c>
      <c r="I23" s="29">
        <v>0.54590984974958257</v>
      </c>
      <c r="J23"/>
    </row>
    <row r="24" spans="1:10" s="30" customFormat="1" ht="17" customHeight="1" x14ac:dyDescent="0.35">
      <c r="A24" s="46">
        <v>34034</v>
      </c>
      <c r="B24" s="23" t="s">
        <v>250</v>
      </c>
      <c r="C24" s="26">
        <v>24</v>
      </c>
      <c r="D24" s="27">
        <v>19.989999999999998</v>
      </c>
      <c r="E24" s="27">
        <v>8.43</v>
      </c>
      <c r="F24" s="28">
        <v>479.76</v>
      </c>
      <c r="G24" s="28">
        <v>202.32</v>
      </c>
      <c r="H24" s="28">
        <v>277.44</v>
      </c>
      <c r="I24" s="29">
        <v>0.5782891445722862</v>
      </c>
      <c r="J24"/>
    </row>
    <row r="25" spans="1:10" s="30" customFormat="1" ht="17" customHeight="1" x14ac:dyDescent="0.35">
      <c r="A25" s="46">
        <v>61939</v>
      </c>
      <c r="B25" s="23" t="s">
        <v>98</v>
      </c>
      <c r="C25" s="26">
        <v>24</v>
      </c>
      <c r="D25" s="27">
        <v>10</v>
      </c>
      <c r="E25" s="27">
        <v>5.09</v>
      </c>
      <c r="F25" s="28">
        <v>240</v>
      </c>
      <c r="G25" s="28">
        <v>122.16</v>
      </c>
      <c r="H25" s="28">
        <v>117.84</v>
      </c>
      <c r="I25" s="29">
        <v>0.49099999999999999</v>
      </c>
      <c r="J25"/>
    </row>
    <row r="26" spans="1:10" s="30" customFormat="1" ht="17" customHeight="1" x14ac:dyDescent="0.35">
      <c r="A26" s="46">
        <v>33995</v>
      </c>
      <c r="B26" s="23" t="s">
        <v>89</v>
      </c>
      <c r="C26" s="26">
        <v>16</v>
      </c>
      <c r="D26" s="27">
        <v>15.99</v>
      </c>
      <c r="E26" s="27">
        <v>8.2200000000000006</v>
      </c>
      <c r="F26" s="28">
        <v>255.84</v>
      </c>
      <c r="G26" s="28">
        <v>131.52000000000001</v>
      </c>
      <c r="H26" s="28">
        <v>124.32</v>
      </c>
      <c r="I26" s="29">
        <v>0.48592870544090055</v>
      </c>
      <c r="J26"/>
    </row>
    <row r="27" spans="1:10" s="30" customFormat="1" ht="17" customHeight="1" x14ac:dyDescent="0.35">
      <c r="A27" s="46">
        <v>42990</v>
      </c>
      <c r="B27" s="23" t="s">
        <v>91</v>
      </c>
      <c r="C27" s="26">
        <v>16</v>
      </c>
      <c r="D27" s="27">
        <v>19.989999999999998</v>
      </c>
      <c r="E27" s="27">
        <v>10.85</v>
      </c>
      <c r="F27" s="28">
        <v>319.83999999999997</v>
      </c>
      <c r="G27" s="28">
        <v>173.6</v>
      </c>
      <c r="H27" s="28">
        <v>146.23999999999998</v>
      </c>
      <c r="I27" s="29">
        <v>0.45722861430715356</v>
      </c>
      <c r="J27"/>
    </row>
    <row r="28" spans="1:10" s="30" customFormat="1" ht="17" customHeight="1" x14ac:dyDescent="0.35">
      <c r="A28" s="46">
        <v>34095</v>
      </c>
      <c r="B28" s="23" t="s">
        <v>232</v>
      </c>
      <c r="C28" s="26">
        <v>15</v>
      </c>
      <c r="D28" s="27">
        <v>29.99</v>
      </c>
      <c r="E28" s="27">
        <v>12.52</v>
      </c>
      <c r="F28" s="28">
        <v>449.84999999999997</v>
      </c>
      <c r="G28" s="28">
        <v>187.79999999999998</v>
      </c>
      <c r="H28" s="28">
        <v>262.04999999999995</v>
      </c>
      <c r="I28" s="29">
        <v>0.58252750916972318</v>
      </c>
      <c r="J28"/>
    </row>
    <row r="29" spans="1:10" s="30" customFormat="1" ht="17" customHeight="1" x14ac:dyDescent="0.35">
      <c r="A29" s="46">
        <v>34008</v>
      </c>
      <c r="B29" s="23" t="s">
        <v>101</v>
      </c>
      <c r="C29" s="26">
        <v>12</v>
      </c>
      <c r="D29" s="27">
        <v>5.99</v>
      </c>
      <c r="E29" s="27">
        <v>4.32</v>
      </c>
      <c r="F29" s="28">
        <v>71.88</v>
      </c>
      <c r="G29" s="28">
        <v>51.84</v>
      </c>
      <c r="H29" s="28">
        <v>20.039999999999992</v>
      </c>
      <c r="I29" s="29">
        <v>0.27879799666110172</v>
      </c>
      <c r="J29"/>
    </row>
    <row r="30" spans="1:10" s="30" customFormat="1" ht="17" customHeight="1" x14ac:dyDescent="0.35">
      <c r="A30" s="46">
        <v>61938</v>
      </c>
      <c r="B30" s="23" t="s">
        <v>121</v>
      </c>
      <c r="C30" s="26">
        <v>12</v>
      </c>
      <c r="D30" s="27">
        <v>10</v>
      </c>
      <c r="E30" s="27">
        <v>3.43</v>
      </c>
      <c r="F30" s="28">
        <v>120</v>
      </c>
      <c r="G30" s="28">
        <v>41.160000000000004</v>
      </c>
      <c r="H30" s="28">
        <v>78.84</v>
      </c>
      <c r="I30" s="29">
        <v>0.65700000000000003</v>
      </c>
      <c r="J30"/>
    </row>
    <row r="31" spans="1:10" s="30" customFormat="1" ht="17" customHeight="1" x14ac:dyDescent="0.35">
      <c r="A31" s="46">
        <v>42797</v>
      </c>
      <c r="B31" s="23" t="s">
        <v>96</v>
      </c>
      <c r="C31" s="26">
        <v>10</v>
      </c>
      <c r="D31" s="27">
        <v>23.98</v>
      </c>
      <c r="E31" s="27">
        <v>9.9359999999999999</v>
      </c>
      <c r="F31" s="28">
        <v>119.9</v>
      </c>
      <c r="G31" s="28">
        <v>49.68</v>
      </c>
      <c r="H31" s="28">
        <v>70.22</v>
      </c>
      <c r="I31" s="29">
        <v>0.58565471226021681</v>
      </c>
      <c r="J31"/>
    </row>
    <row r="32" spans="1:10" s="30" customFormat="1" ht="17" customHeight="1" x14ac:dyDescent="0.35">
      <c r="A32" s="46">
        <v>34083</v>
      </c>
      <c r="B32" s="23" t="s">
        <v>230</v>
      </c>
      <c r="C32" s="26">
        <v>10</v>
      </c>
      <c r="D32" s="27">
        <v>55</v>
      </c>
      <c r="E32" s="27">
        <v>25.97</v>
      </c>
      <c r="F32" s="28">
        <v>550</v>
      </c>
      <c r="G32" s="28">
        <v>259.7</v>
      </c>
      <c r="H32" s="28">
        <v>290.3</v>
      </c>
      <c r="I32" s="29">
        <v>0.52781818181818185</v>
      </c>
      <c r="J32"/>
    </row>
    <row r="33" spans="1:10" s="30" customFormat="1" ht="17" customHeight="1" x14ac:dyDescent="0.35">
      <c r="A33" s="46">
        <v>61937</v>
      </c>
      <c r="B33" s="23" t="s">
        <v>119</v>
      </c>
      <c r="C33" s="26">
        <v>10</v>
      </c>
      <c r="D33" s="27">
        <v>10</v>
      </c>
      <c r="E33" s="27">
        <v>2.67</v>
      </c>
      <c r="F33" s="28">
        <v>100</v>
      </c>
      <c r="G33" s="28">
        <v>26.7</v>
      </c>
      <c r="H33" s="28">
        <v>73.3</v>
      </c>
      <c r="I33" s="29">
        <v>0.73299999999999998</v>
      </c>
      <c r="J33"/>
    </row>
    <row r="34" spans="1:10" s="30" customFormat="1" ht="17" customHeight="1" x14ac:dyDescent="0.35">
      <c r="A34" s="46">
        <v>32131</v>
      </c>
      <c r="B34" s="23" t="s">
        <v>92</v>
      </c>
      <c r="C34" s="26">
        <v>8</v>
      </c>
      <c r="D34" s="27">
        <v>18.989999999999998</v>
      </c>
      <c r="E34" s="27">
        <v>9.1300000000000008</v>
      </c>
      <c r="F34" s="28">
        <v>151.91999999999999</v>
      </c>
      <c r="G34" s="28">
        <v>73.040000000000006</v>
      </c>
      <c r="H34" s="28">
        <v>78.879999999999981</v>
      </c>
      <c r="I34" s="29">
        <v>0.51922064244339117</v>
      </c>
      <c r="J34"/>
    </row>
    <row r="35" spans="1:10" s="30" customFormat="1" ht="17" customHeight="1" x14ac:dyDescent="0.35">
      <c r="A35" s="46">
        <v>32872</v>
      </c>
      <c r="B35" s="23" t="s">
        <v>95</v>
      </c>
      <c r="C35" s="26">
        <v>8</v>
      </c>
      <c r="D35" s="27">
        <v>29.99</v>
      </c>
      <c r="E35" s="27">
        <v>11.79</v>
      </c>
      <c r="F35" s="28">
        <v>239.92</v>
      </c>
      <c r="G35" s="28">
        <v>94.32</v>
      </c>
      <c r="H35" s="28">
        <v>145.6</v>
      </c>
      <c r="I35" s="29">
        <v>0.60686895631877291</v>
      </c>
      <c r="J35"/>
    </row>
    <row r="36" spans="1:10" s="30" customFormat="1" ht="17" customHeight="1" x14ac:dyDescent="0.35">
      <c r="A36" s="46">
        <v>33031</v>
      </c>
      <c r="B36" s="23" t="s">
        <v>94</v>
      </c>
      <c r="C36" s="26">
        <v>8</v>
      </c>
      <c r="D36" s="27">
        <v>17.989999999999998</v>
      </c>
      <c r="E36" s="27">
        <v>9.1199999999999992</v>
      </c>
      <c r="F36" s="28">
        <v>143.91999999999999</v>
      </c>
      <c r="G36" s="28">
        <v>72.959999999999994</v>
      </c>
      <c r="H36" s="28">
        <v>70.959999999999994</v>
      </c>
      <c r="I36" s="29">
        <v>0.49305169538632576</v>
      </c>
      <c r="J36"/>
    </row>
    <row r="37" spans="1:10" s="30" customFormat="1" ht="17" customHeight="1" x14ac:dyDescent="0.35">
      <c r="A37" s="46">
        <v>32067</v>
      </c>
      <c r="B37" s="23" t="s">
        <v>28</v>
      </c>
      <c r="C37" s="26">
        <v>8</v>
      </c>
      <c r="D37" s="27">
        <v>34.99</v>
      </c>
      <c r="E37" s="27">
        <v>15.91</v>
      </c>
      <c r="F37" s="28">
        <v>279.92</v>
      </c>
      <c r="G37" s="28">
        <v>127.28</v>
      </c>
      <c r="H37" s="28">
        <v>152.64000000000001</v>
      </c>
      <c r="I37" s="29">
        <v>0.54529865675907407</v>
      </c>
      <c r="J37"/>
    </row>
    <row r="38" spans="1:10" s="30" customFormat="1" ht="17" customHeight="1" x14ac:dyDescent="0.35">
      <c r="A38" s="46">
        <v>61947</v>
      </c>
      <c r="B38" s="23" t="s">
        <v>41</v>
      </c>
      <c r="C38" s="26">
        <v>8</v>
      </c>
      <c r="D38" s="27">
        <v>28.99</v>
      </c>
      <c r="E38" s="27">
        <v>8.93</v>
      </c>
      <c r="F38" s="28">
        <v>231.92</v>
      </c>
      <c r="G38" s="28">
        <v>71.44</v>
      </c>
      <c r="H38" s="28">
        <v>160.47999999999999</v>
      </c>
      <c r="I38" s="29">
        <v>0.69196274577440497</v>
      </c>
      <c r="J38"/>
    </row>
    <row r="39" spans="1:10" s="30" customFormat="1" ht="17" customHeight="1" x14ac:dyDescent="0.35">
      <c r="A39" s="46">
        <v>34015</v>
      </c>
      <c r="B39" s="23" t="s">
        <v>103</v>
      </c>
      <c r="C39" s="26">
        <v>6</v>
      </c>
      <c r="D39" s="27">
        <v>29.99</v>
      </c>
      <c r="E39" s="27">
        <v>3.1788888888888902</v>
      </c>
      <c r="F39" s="28">
        <v>179.94</v>
      </c>
      <c r="G39" s="28">
        <v>19.073333333333341</v>
      </c>
      <c r="H39" s="28">
        <v>160.86666666666665</v>
      </c>
      <c r="I39" s="29">
        <v>0.89400170427179415</v>
      </c>
      <c r="J39"/>
    </row>
    <row r="40" spans="1:10" s="30" customFormat="1" ht="17" customHeight="1" x14ac:dyDescent="0.35">
      <c r="A40" s="46">
        <v>34011</v>
      </c>
      <c r="B40" s="23" t="s">
        <v>64</v>
      </c>
      <c r="C40" s="26">
        <v>6</v>
      </c>
      <c r="D40" s="27">
        <v>19.989999999999998</v>
      </c>
      <c r="E40" s="27">
        <v>2.63</v>
      </c>
      <c r="F40" s="28">
        <v>119.94</v>
      </c>
      <c r="G40" s="28">
        <v>15.78</v>
      </c>
      <c r="H40" s="28">
        <v>104.16</v>
      </c>
      <c r="I40" s="29">
        <v>0.86843421710855428</v>
      </c>
      <c r="J40"/>
    </row>
    <row r="41" spans="1:10" s="30" customFormat="1" ht="17" customHeight="1" x14ac:dyDescent="0.35">
      <c r="A41" s="46">
        <v>41620</v>
      </c>
      <c r="B41" s="23" t="s">
        <v>252</v>
      </c>
      <c r="C41" s="26">
        <v>6</v>
      </c>
      <c r="D41" s="27">
        <v>15.99</v>
      </c>
      <c r="E41" s="27">
        <v>8.11</v>
      </c>
      <c r="F41" s="28">
        <v>95.94</v>
      </c>
      <c r="G41" s="28">
        <v>48.66</v>
      </c>
      <c r="H41" s="28">
        <v>47.28</v>
      </c>
      <c r="I41" s="29">
        <v>0.49280800500312699</v>
      </c>
      <c r="J41"/>
    </row>
    <row r="42" spans="1:10" s="30" customFormat="1" ht="17" customHeight="1" x14ac:dyDescent="0.35">
      <c r="A42" s="46">
        <v>32855</v>
      </c>
      <c r="B42" s="23" t="s">
        <v>107</v>
      </c>
      <c r="C42" s="26">
        <v>6</v>
      </c>
      <c r="D42" s="27">
        <v>17.989999999999998</v>
      </c>
      <c r="E42" s="27">
        <v>9.14</v>
      </c>
      <c r="F42" s="28">
        <v>107.94</v>
      </c>
      <c r="G42" s="28">
        <v>54.84</v>
      </c>
      <c r="H42" s="28">
        <v>53.099999999999994</v>
      </c>
      <c r="I42" s="29">
        <v>0.49193996664813783</v>
      </c>
      <c r="J42"/>
    </row>
    <row r="43" spans="1:10" s="30" customFormat="1" ht="17" customHeight="1" x14ac:dyDescent="0.35">
      <c r="A43" s="46">
        <v>39422</v>
      </c>
      <c r="B43" s="23" t="s">
        <v>117</v>
      </c>
      <c r="C43" s="26">
        <v>6</v>
      </c>
      <c r="D43" s="27">
        <v>15.99</v>
      </c>
      <c r="E43" s="27">
        <v>8.3000000000000007</v>
      </c>
      <c r="F43" s="28">
        <v>95.94</v>
      </c>
      <c r="G43" s="28">
        <v>49.800000000000004</v>
      </c>
      <c r="H43" s="28">
        <v>46.139999999999993</v>
      </c>
      <c r="I43" s="29">
        <v>0.48092557848655404</v>
      </c>
      <c r="J43"/>
    </row>
    <row r="44" spans="1:10" s="30" customFormat="1" ht="17" customHeight="1" x14ac:dyDescent="0.35">
      <c r="A44" s="46">
        <v>32063</v>
      </c>
      <c r="B44" s="23" t="s">
        <v>51</v>
      </c>
      <c r="C44" s="26">
        <v>6</v>
      </c>
      <c r="D44" s="27">
        <v>19.989999999999998</v>
      </c>
      <c r="E44" s="27">
        <v>8.5</v>
      </c>
      <c r="F44" s="28">
        <v>119.94</v>
      </c>
      <c r="G44" s="28">
        <v>51</v>
      </c>
      <c r="H44" s="28">
        <v>68.94</v>
      </c>
      <c r="I44" s="29">
        <v>0.57478739369684839</v>
      </c>
      <c r="J44"/>
    </row>
    <row r="45" spans="1:10" s="30" customFormat="1" ht="17" customHeight="1" x14ac:dyDescent="0.35">
      <c r="A45" s="46">
        <v>32062</v>
      </c>
      <c r="B45" s="23" t="s">
        <v>50</v>
      </c>
      <c r="C45" s="26">
        <v>6</v>
      </c>
      <c r="D45" s="27">
        <v>24.99</v>
      </c>
      <c r="E45" s="27">
        <v>9.68</v>
      </c>
      <c r="F45" s="28">
        <v>149.94</v>
      </c>
      <c r="G45" s="28">
        <v>58.08</v>
      </c>
      <c r="H45" s="28">
        <v>91.86</v>
      </c>
      <c r="I45" s="29">
        <v>0.61264505802320934</v>
      </c>
      <c r="J45"/>
    </row>
    <row r="46" spans="1:10" s="30" customFormat="1" ht="17" customHeight="1" x14ac:dyDescent="0.35">
      <c r="A46" s="46">
        <v>55481</v>
      </c>
      <c r="B46" s="23" t="s">
        <v>102</v>
      </c>
      <c r="C46" s="26">
        <v>6</v>
      </c>
      <c r="D46" s="27">
        <v>11.99</v>
      </c>
      <c r="E46" s="27">
        <v>5.0999999999999996</v>
      </c>
      <c r="F46" s="28">
        <v>71.94</v>
      </c>
      <c r="G46" s="28">
        <v>30.599999999999998</v>
      </c>
      <c r="H46" s="28">
        <v>41.34</v>
      </c>
      <c r="I46" s="29">
        <v>0.57464553794829032</v>
      </c>
      <c r="J46"/>
    </row>
    <row r="47" spans="1:10" s="30" customFormat="1" ht="17" customHeight="1" x14ac:dyDescent="0.35">
      <c r="A47" s="46">
        <v>32152</v>
      </c>
      <c r="B47" s="23" t="s">
        <v>97</v>
      </c>
      <c r="C47" s="26">
        <v>6</v>
      </c>
      <c r="D47" s="27">
        <v>12.99</v>
      </c>
      <c r="E47" s="27">
        <v>6.77</v>
      </c>
      <c r="F47" s="28">
        <v>77.94</v>
      </c>
      <c r="G47" s="28">
        <v>40.619999999999997</v>
      </c>
      <c r="H47" s="28">
        <v>37.32</v>
      </c>
      <c r="I47" s="29">
        <v>0.47882986913010012</v>
      </c>
      <c r="J47"/>
    </row>
    <row r="48" spans="1:10" s="30" customFormat="1" ht="17" customHeight="1" x14ac:dyDescent="0.35">
      <c r="A48" s="46">
        <v>34053</v>
      </c>
      <c r="B48" s="23" t="s">
        <v>55</v>
      </c>
      <c r="C48" s="26">
        <v>6</v>
      </c>
      <c r="D48" s="27">
        <v>15.99</v>
      </c>
      <c r="E48" s="27">
        <v>6.74</v>
      </c>
      <c r="F48" s="28">
        <v>95.94</v>
      </c>
      <c r="G48" s="28">
        <v>40.44</v>
      </c>
      <c r="H48" s="28">
        <v>55.5</v>
      </c>
      <c r="I48" s="29">
        <v>0.57848655409631022</v>
      </c>
      <c r="J48"/>
    </row>
    <row r="49" spans="1:10" s="30" customFormat="1" ht="17" customHeight="1" x14ac:dyDescent="0.35">
      <c r="A49" s="46">
        <v>34082</v>
      </c>
      <c r="B49" s="23" t="s">
        <v>234</v>
      </c>
      <c r="C49" s="26">
        <v>5</v>
      </c>
      <c r="D49" s="27">
        <v>55</v>
      </c>
      <c r="E49" s="27">
        <v>25.03</v>
      </c>
      <c r="F49" s="28">
        <v>275</v>
      </c>
      <c r="G49" s="28">
        <v>125.15</v>
      </c>
      <c r="H49" s="28">
        <v>149.85</v>
      </c>
      <c r="I49" s="29">
        <v>0.5449090909090909</v>
      </c>
      <c r="J49"/>
    </row>
    <row r="50" spans="1:10" s="30" customFormat="1" ht="17" customHeight="1" x14ac:dyDescent="0.35">
      <c r="A50" s="46">
        <v>34079</v>
      </c>
      <c r="B50" s="23" t="s">
        <v>233</v>
      </c>
      <c r="C50" s="26">
        <v>3</v>
      </c>
      <c r="D50" s="27">
        <v>60</v>
      </c>
      <c r="E50" s="27">
        <v>29.14</v>
      </c>
      <c r="F50" s="28">
        <v>180</v>
      </c>
      <c r="G50" s="28">
        <v>87.42</v>
      </c>
      <c r="H50" s="28">
        <v>92.58</v>
      </c>
      <c r="I50" s="29">
        <v>0.51433333333333331</v>
      </c>
      <c r="J50"/>
    </row>
    <row r="51" spans="1:10" s="30" customFormat="1" ht="17" customHeight="1" x14ac:dyDescent="0.35">
      <c r="A51" s="47" t="s">
        <v>292</v>
      </c>
      <c r="B51" s="31"/>
      <c r="C51" s="32">
        <v>2544.666666666667</v>
      </c>
      <c r="D51" s="33">
        <v>1007.0900000000003</v>
      </c>
      <c r="E51" s="33">
        <v>450.02376388888894</v>
      </c>
      <c r="F51" s="34">
        <v>43083.113333333335</v>
      </c>
      <c r="G51" s="34">
        <v>21203.054666666671</v>
      </c>
      <c r="H51" s="34">
        <v>21880.058666666671</v>
      </c>
      <c r="I51" s="35">
        <v>0.50785695307999246</v>
      </c>
      <c r="J51"/>
    </row>
    <row r="52" spans="1:10" s="30" customFormat="1" ht="17" customHeight="1" x14ac:dyDescent="0.35">
      <c r="A52"/>
      <c r="B52"/>
      <c r="C52"/>
      <c r="D52"/>
      <c r="E52"/>
      <c r="F52"/>
      <c r="G52"/>
      <c r="H52"/>
      <c r="I52"/>
      <c r="J52"/>
    </row>
    <row r="53" spans="1:10" s="30" customFormat="1" ht="17" customHeight="1" x14ac:dyDescent="0.35">
      <c r="A53"/>
      <c r="B53"/>
      <c r="C53"/>
      <c r="D53"/>
      <c r="E53"/>
      <c r="F53"/>
      <c r="G53"/>
      <c r="H53"/>
      <c r="I53"/>
      <c r="J53"/>
    </row>
    <row r="54" spans="1:10" s="30" customFormat="1" ht="17" customHeight="1" x14ac:dyDescent="0.35">
      <c r="A54"/>
      <c r="B54"/>
      <c r="C54"/>
      <c r="D54"/>
      <c r="E54"/>
      <c r="F54"/>
      <c r="G54"/>
      <c r="H54"/>
      <c r="I54"/>
      <c r="J54"/>
    </row>
    <row r="55" spans="1:10" s="30" customFormat="1" ht="17" customHeight="1" x14ac:dyDescent="0.35">
      <c r="A55"/>
      <c r="B55"/>
      <c r="C55"/>
      <c r="D55"/>
      <c r="E55"/>
      <c r="F55"/>
      <c r="G55"/>
      <c r="H55"/>
      <c r="I55"/>
      <c r="J55"/>
    </row>
    <row r="56" spans="1:10" s="30" customFormat="1" ht="17" customHeight="1" x14ac:dyDescent="0.35">
      <c r="A56"/>
      <c r="B56"/>
      <c r="C56"/>
      <c r="D56"/>
      <c r="E56"/>
      <c r="F56"/>
      <c r="G56"/>
      <c r="H56"/>
      <c r="I56"/>
      <c r="J56"/>
    </row>
    <row r="57" spans="1:10" s="30" customFormat="1" ht="17" customHeight="1" x14ac:dyDescent="0.35">
      <c r="A57"/>
      <c r="B57"/>
      <c r="C57"/>
      <c r="D57"/>
      <c r="E57"/>
      <c r="F57"/>
      <c r="G57"/>
      <c r="H57"/>
      <c r="I57"/>
      <c r="J57"/>
    </row>
  </sheetData>
  <mergeCells count="1">
    <mergeCell ref="A1:J1"/>
  </mergeCells>
  <printOptions horizontalCentered="1"/>
  <pageMargins left="6.9444444444444441E-3" right="6.9444444444444441E-3" top="6.9444444444444441E-3" bottom="6.9444444444444441E-3" header="0.3" footer="0.3"/>
  <pageSetup paperSize="9" scale="91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4AA79B-42E1-43BF-B4E7-2CC6DA259C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Production Plan</vt:lpstr>
      <vt:lpstr>Plan vs Actual Pivot</vt:lpstr>
      <vt:lpstr>Variance</vt:lpstr>
      <vt:lpstr>Pivot Production plan</vt:lpstr>
      <vt:lpstr>Bake_prod</vt:lpstr>
      <vt:lpstr>'Pivot Production plan'!Print_Area</vt:lpstr>
      <vt:lpstr>'Pivot Production plan'!Print_Titles</vt:lpstr>
      <vt:lpstr>'Plan vs Actual Pivot'!Print_Titles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Gerhard Stimie</dc:creator>
  <cp:lastModifiedBy>Gerhard Stimie</cp:lastModifiedBy>
  <cp:lastPrinted>2026-06-22T06:52:27Z</cp:lastPrinted>
  <dcterms:created xsi:type="dcterms:W3CDTF">2026-06-16T15:56:46Z</dcterms:created>
  <dcterms:modified xsi:type="dcterms:W3CDTF">2026-06-23T07:00:42Z</dcterms:modified>
</cp:coreProperties>
</file>
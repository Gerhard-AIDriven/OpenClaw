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785A3987-0B19-4D93-807F-275091163624}" xr6:coauthVersionLast="47" xr6:coauthVersionMax="47" xr10:uidLastSave="{00000000-0000-0000-0000-000000000000}"/>
  <bookViews>
    <workbookView xWindow="-110" yWindow="-110" windowWidth="19420" windowHeight="10300" firstSheet="3" activeTab="3" xr2:uid="{E73BFAA0-D4BB-4FC6-A02B-94A6B3604F4B}"/>
  </bookViews>
  <sheets>
    <sheet name="Bake_prod" sheetId="8" r:id="rId1"/>
    <sheet name="All bakery products" sheetId="1" r:id="rId2"/>
    <sheet name="Actuals" sheetId="4" r:id="rId3"/>
    <sheet name="Merged data (2)" sheetId="12" r:id="rId4"/>
    <sheet name="Merged data" sheetId="10" r:id="rId5"/>
    <sheet name="Actuals data" sheetId="9" r:id="rId6"/>
    <sheet name="Actuals Unpivoted" sheetId="7" r:id="rId7"/>
    <sheet name="Pivot Production plan" sheetId="3" r:id="rId8"/>
    <sheet name="Macro Instructions" sheetId="6" r:id="rId9"/>
    <sheet name="Sheet3" sheetId="11" r:id="rId10"/>
  </sheets>
  <definedNames>
    <definedName name="Bake_prod">'All bakery products'!$A$3:$K$293</definedName>
    <definedName name="ExternalData_1" localSheetId="5" hidden="1">'Actuals data'!$A$1:$J$123</definedName>
    <definedName name="ExternalData_1" localSheetId="0" hidden="1">Bake_prod!$A$1:$K$291</definedName>
    <definedName name="ExternalData_2" localSheetId="4" hidden="1">'Merged data'!$A$1:$K$77</definedName>
    <definedName name="ExternalData_3" localSheetId="3" hidden="1">'Merged data (2)'!$A$1:$O$141</definedName>
    <definedName name="_xlnm.Print_Area" localSheetId="7">'Pivot Production plan'!$A$1:$J$57</definedName>
    <definedName name="_xlnm.Print_Titles" localSheetId="7">'Pivot Production plan'!$1:$3</definedName>
  </definedNames>
  <calcPr calcId="191029" iterateCount="1"/>
  <pivotCaches>
    <pivotCache cacheId="3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93" i="1" l="1"/>
  <c r="X293" i="1"/>
  <c r="W293" i="1"/>
  <c r="V293" i="1"/>
  <c r="Y292" i="1"/>
  <c r="X292" i="1"/>
  <c r="W292" i="1"/>
  <c r="V292" i="1"/>
  <c r="Y291" i="1"/>
  <c r="X291" i="1"/>
  <c r="W291" i="1"/>
  <c r="V291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3" i="1"/>
  <c r="X193" i="1"/>
  <c r="W193" i="1"/>
  <c r="V193" i="1"/>
  <c r="Y192" i="1"/>
  <c r="X192" i="1"/>
  <c r="W192" i="1"/>
  <c r="V192" i="1"/>
  <c r="Y191" i="1"/>
  <c r="X191" i="1"/>
  <c r="W191" i="1"/>
  <c r="V191" i="1"/>
  <c r="Y190" i="1"/>
  <c r="X190" i="1"/>
  <c r="W190" i="1"/>
  <c r="V190" i="1"/>
  <c r="Y189" i="1"/>
  <c r="X189" i="1"/>
  <c r="W189" i="1"/>
  <c r="V189" i="1"/>
  <c r="Y188" i="1"/>
  <c r="X188" i="1"/>
  <c r="W188" i="1"/>
  <c r="V188" i="1"/>
  <c r="Y187" i="1"/>
  <c r="X187" i="1"/>
  <c r="W187" i="1"/>
  <c r="V187" i="1"/>
  <c r="Y186" i="1"/>
  <c r="X186" i="1"/>
  <c r="W186" i="1"/>
  <c r="V186" i="1"/>
  <c r="Y185" i="1"/>
  <c r="X185" i="1"/>
  <c r="W185" i="1"/>
  <c r="V185" i="1"/>
  <c r="Y184" i="1"/>
  <c r="X184" i="1"/>
  <c r="W184" i="1"/>
  <c r="V184" i="1"/>
  <c r="Y183" i="1"/>
  <c r="X183" i="1"/>
  <c r="W183" i="1"/>
  <c r="V183" i="1"/>
  <c r="Y182" i="1"/>
  <c r="X182" i="1"/>
  <c r="W182" i="1"/>
  <c r="V182" i="1"/>
  <c r="Y181" i="1"/>
  <c r="X181" i="1"/>
  <c r="W181" i="1"/>
  <c r="V181" i="1"/>
  <c r="Y180" i="1"/>
  <c r="X180" i="1"/>
  <c r="W180" i="1"/>
  <c r="V180" i="1"/>
  <c r="Y179" i="1"/>
  <c r="X179" i="1"/>
  <c r="W179" i="1"/>
  <c r="V179" i="1"/>
  <c r="Y178" i="1"/>
  <c r="X178" i="1"/>
  <c r="W178" i="1"/>
  <c r="V178" i="1"/>
  <c r="Y177" i="1"/>
  <c r="X177" i="1"/>
  <c r="W177" i="1"/>
  <c r="V177" i="1"/>
  <c r="Y176" i="1"/>
  <c r="X176" i="1"/>
  <c r="W176" i="1"/>
  <c r="V176" i="1"/>
  <c r="Y175" i="1"/>
  <c r="X175" i="1"/>
  <c r="W175" i="1"/>
  <c r="V175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50" i="1"/>
  <c r="X150" i="1"/>
  <c r="W150" i="1"/>
  <c r="V150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2" i="1"/>
  <c r="X142" i="1"/>
  <c r="W142" i="1"/>
  <c r="V142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8" i="1"/>
  <c r="X38" i="1"/>
  <c r="W38" i="1"/>
  <c r="V38" i="1"/>
  <c r="Y37" i="1"/>
  <c r="X37" i="1"/>
  <c r="W37" i="1"/>
  <c r="V37" i="1"/>
  <c r="Y36" i="1"/>
  <c r="X36" i="1"/>
  <c r="W36" i="1"/>
  <c r="V36" i="1"/>
  <c r="Y35" i="1"/>
  <c r="X35" i="1"/>
  <c r="W35" i="1"/>
  <c r="V35" i="1"/>
  <c r="Y34" i="1"/>
  <c r="X34" i="1"/>
  <c r="W34" i="1"/>
  <c r="V34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W13" i="1"/>
  <c r="X13" i="1"/>
  <c r="Y13" i="1"/>
  <c r="V13" i="1"/>
  <c r="Y12" i="1"/>
  <c r="X12" i="1"/>
  <c r="W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I291" i="1" l="1"/>
  <c r="H291" i="1"/>
  <c r="I290" i="1"/>
  <c r="H290" i="1"/>
  <c r="I284" i="1"/>
  <c r="H284" i="1"/>
  <c r="I283" i="1"/>
  <c r="H283" i="1"/>
  <c r="I282" i="1"/>
  <c r="H282" i="1"/>
  <c r="I281" i="1"/>
  <c r="H281" i="1"/>
  <c r="I268" i="1"/>
  <c r="H268" i="1"/>
  <c r="I255" i="1"/>
  <c r="H255" i="1"/>
  <c r="I254" i="1"/>
  <c r="H254" i="1"/>
  <c r="I252" i="1"/>
  <c r="H252" i="1"/>
  <c r="I251" i="1"/>
  <c r="H251" i="1"/>
  <c r="I246" i="1"/>
  <c r="H246" i="1"/>
  <c r="I234" i="1"/>
  <c r="H234" i="1"/>
  <c r="I233" i="1"/>
  <c r="H233" i="1"/>
  <c r="I232" i="1"/>
  <c r="H232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10" i="1"/>
  <c r="H210" i="1"/>
  <c r="I209" i="1"/>
  <c r="H209" i="1"/>
  <c r="I208" i="1"/>
  <c r="H208" i="1"/>
  <c r="I207" i="1"/>
  <c r="H207" i="1"/>
  <c r="I206" i="1"/>
  <c r="H206" i="1"/>
  <c r="I205" i="1"/>
  <c r="H205" i="1"/>
  <c r="I204" i="1"/>
  <c r="H204" i="1"/>
  <c r="I203" i="1"/>
  <c r="H203" i="1"/>
  <c r="I202" i="1"/>
  <c r="H202" i="1"/>
  <c r="I201" i="1"/>
  <c r="H201" i="1"/>
  <c r="I200" i="1"/>
  <c r="H200" i="1"/>
  <c r="I199" i="1"/>
  <c r="H199" i="1"/>
  <c r="I198" i="1"/>
  <c r="H198" i="1"/>
  <c r="I197" i="1"/>
  <c r="H197" i="1"/>
  <c r="I196" i="1"/>
  <c r="H196" i="1"/>
  <c r="I195" i="1"/>
  <c r="H195" i="1"/>
  <c r="I194" i="1"/>
  <c r="H194" i="1"/>
  <c r="I193" i="1"/>
  <c r="H193" i="1"/>
  <c r="I192" i="1"/>
  <c r="H192" i="1"/>
  <c r="I191" i="1"/>
  <c r="H191" i="1"/>
  <c r="I190" i="1"/>
  <c r="H190" i="1"/>
  <c r="I189" i="1"/>
  <c r="H189" i="1"/>
  <c r="I188" i="1"/>
  <c r="H188" i="1"/>
  <c r="I187" i="1"/>
  <c r="H187" i="1"/>
  <c r="I186" i="1"/>
  <c r="H186" i="1"/>
  <c r="I185" i="1"/>
  <c r="H185" i="1"/>
  <c r="I184" i="1"/>
  <c r="H184" i="1"/>
  <c r="I183" i="1"/>
  <c r="H183" i="1"/>
  <c r="I182" i="1"/>
  <c r="H182" i="1"/>
  <c r="I181" i="1"/>
  <c r="H181" i="1"/>
  <c r="I180" i="1"/>
  <c r="H180" i="1"/>
  <c r="I179" i="1"/>
  <c r="H179" i="1"/>
  <c r="I178" i="1"/>
  <c r="H178" i="1"/>
  <c r="I177" i="1"/>
  <c r="H177" i="1"/>
  <c r="I80" i="1"/>
  <c r="H80" i="1"/>
  <c r="I79" i="1"/>
  <c r="H79" i="1"/>
  <c r="I78" i="1"/>
  <c r="H78" i="1"/>
  <c r="I77" i="1"/>
  <c r="H77" i="1"/>
  <c r="I76" i="1"/>
  <c r="H76" i="1"/>
  <c r="I253" i="1"/>
  <c r="H253" i="1"/>
  <c r="I225" i="1"/>
  <c r="H225" i="1"/>
  <c r="I176" i="1"/>
  <c r="H176" i="1"/>
  <c r="I224" i="1"/>
  <c r="H224" i="1"/>
  <c r="I223" i="1"/>
  <c r="H223" i="1"/>
  <c r="I175" i="1"/>
  <c r="H175" i="1"/>
  <c r="I174" i="1"/>
  <c r="H174" i="1"/>
  <c r="I173" i="1"/>
  <c r="H173" i="1"/>
  <c r="I172" i="1"/>
  <c r="H172" i="1"/>
  <c r="I222" i="1"/>
  <c r="H222" i="1"/>
  <c r="I75" i="1"/>
  <c r="H75" i="1"/>
  <c r="I171" i="1"/>
  <c r="H171" i="1"/>
  <c r="J171" i="1" s="1"/>
  <c r="K171" i="1" s="1"/>
  <c r="I170" i="1"/>
  <c r="H170" i="1"/>
  <c r="I221" i="1"/>
  <c r="H221" i="1"/>
  <c r="I220" i="1"/>
  <c r="H220" i="1"/>
  <c r="I169" i="1"/>
  <c r="H169" i="1"/>
  <c r="J169" i="1" s="1"/>
  <c r="K169" i="1" s="1"/>
  <c r="I219" i="1"/>
  <c r="H219" i="1"/>
  <c r="I74" i="1"/>
  <c r="H74" i="1"/>
  <c r="I250" i="1"/>
  <c r="H250" i="1"/>
  <c r="I168" i="1"/>
  <c r="H168" i="1"/>
  <c r="J168" i="1" s="1"/>
  <c r="K168" i="1" s="1"/>
  <c r="I167" i="1"/>
  <c r="H167" i="1"/>
  <c r="I73" i="1"/>
  <c r="H73" i="1"/>
  <c r="I166" i="1"/>
  <c r="H166" i="1"/>
  <c r="I72" i="1"/>
  <c r="H72" i="1"/>
  <c r="J72" i="1" s="1"/>
  <c r="K72" i="1" s="1"/>
  <c r="I245" i="1"/>
  <c r="H245" i="1"/>
  <c r="I218" i="1"/>
  <c r="H218" i="1"/>
  <c r="I71" i="1"/>
  <c r="H71" i="1"/>
  <c r="I165" i="1"/>
  <c r="H165" i="1"/>
  <c r="J165" i="1" s="1"/>
  <c r="K165" i="1" s="1"/>
  <c r="I70" i="1"/>
  <c r="H70" i="1"/>
  <c r="I164" i="1"/>
  <c r="H164" i="1"/>
  <c r="I163" i="1"/>
  <c r="H163" i="1"/>
  <c r="I280" i="1"/>
  <c r="H280" i="1"/>
  <c r="J280" i="1" s="1"/>
  <c r="K280" i="1" s="1"/>
  <c r="I69" i="1"/>
  <c r="H69" i="1"/>
  <c r="I68" i="1"/>
  <c r="H68" i="1"/>
  <c r="I162" i="1"/>
  <c r="H162" i="1"/>
  <c r="I161" i="1"/>
  <c r="H161" i="1"/>
  <c r="J161" i="1" s="1"/>
  <c r="K161" i="1" s="1"/>
  <c r="I67" i="1"/>
  <c r="H67" i="1"/>
  <c r="I217" i="1"/>
  <c r="H217" i="1"/>
  <c r="I66" i="1"/>
  <c r="H66" i="1"/>
  <c r="I65" i="1"/>
  <c r="H65" i="1"/>
  <c r="J65" i="1" s="1"/>
  <c r="K65" i="1" s="1"/>
  <c r="I160" i="1"/>
  <c r="H160" i="1"/>
  <c r="I159" i="1"/>
  <c r="H159" i="1"/>
  <c r="I256" i="1"/>
  <c r="H256" i="1"/>
  <c r="I158" i="1"/>
  <c r="H158" i="1"/>
  <c r="J158" i="1" s="1"/>
  <c r="K158" i="1" s="1"/>
  <c r="I289" i="1"/>
  <c r="H289" i="1"/>
  <c r="I216" i="1"/>
  <c r="H216" i="1"/>
  <c r="I157" i="1"/>
  <c r="H157" i="1"/>
  <c r="I64" i="1"/>
  <c r="H64" i="1"/>
  <c r="J64" i="1" s="1"/>
  <c r="K64" i="1" s="1"/>
  <c r="I156" i="1"/>
  <c r="H156" i="1"/>
  <c r="I215" i="1"/>
  <c r="H215" i="1"/>
  <c r="I244" i="1"/>
  <c r="H244" i="1"/>
  <c r="I293" i="1"/>
  <c r="H293" i="1"/>
  <c r="J293" i="1" s="1"/>
  <c r="K293" i="1" s="1"/>
  <c r="I155" i="1"/>
  <c r="H155" i="1"/>
  <c r="I63" i="1"/>
  <c r="H63" i="1"/>
  <c r="I279" i="1"/>
  <c r="H279" i="1"/>
  <c r="I243" i="1"/>
  <c r="H243" i="1"/>
  <c r="J243" i="1" s="1"/>
  <c r="K243" i="1" s="1"/>
  <c r="I214" i="1"/>
  <c r="H214" i="1"/>
  <c r="I213" i="1"/>
  <c r="H213" i="1"/>
  <c r="I154" i="1"/>
  <c r="H154" i="1"/>
  <c r="I62" i="1"/>
  <c r="H62" i="1"/>
  <c r="J62" i="1" s="1"/>
  <c r="K62" i="1" s="1"/>
  <c r="I61" i="1"/>
  <c r="H61" i="1"/>
  <c r="I153" i="1"/>
  <c r="H153" i="1"/>
  <c r="I152" i="1"/>
  <c r="H152" i="1"/>
  <c r="I151" i="1"/>
  <c r="H151" i="1"/>
  <c r="I278" i="1"/>
  <c r="H278" i="1"/>
  <c r="I150" i="1"/>
  <c r="H150" i="1"/>
  <c r="I149" i="1"/>
  <c r="H149" i="1"/>
  <c r="I148" i="1"/>
  <c r="H148" i="1"/>
  <c r="J148" i="1" s="1"/>
  <c r="K148" i="1" s="1"/>
  <c r="I60" i="1"/>
  <c r="H60" i="1"/>
  <c r="I292" i="1"/>
  <c r="H292" i="1"/>
  <c r="I147" i="1"/>
  <c r="H147" i="1"/>
  <c r="I267" i="1"/>
  <c r="H267" i="1"/>
  <c r="I259" i="1"/>
  <c r="H259" i="1"/>
  <c r="I59" i="1"/>
  <c r="H59" i="1"/>
  <c r="I58" i="1"/>
  <c r="H58" i="1"/>
  <c r="I146" i="1"/>
  <c r="H146" i="1"/>
  <c r="J146" i="1" s="1"/>
  <c r="K146" i="1" s="1"/>
  <c r="I145" i="1"/>
  <c r="H145" i="1"/>
  <c r="I144" i="1"/>
  <c r="H144" i="1"/>
  <c r="I143" i="1"/>
  <c r="H143" i="1"/>
  <c r="I277" i="1"/>
  <c r="H277" i="1"/>
  <c r="I276" i="1"/>
  <c r="H276" i="1"/>
  <c r="I57" i="1"/>
  <c r="H57" i="1"/>
  <c r="I142" i="1"/>
  <c r="H142" i="1"/>
  <c r="I141" i="1"/>
  <c r="H141" i="1"/>
  <c r="J141" i="1" s="1"/>
  <c r="K141" i="1" s="1"/>
  <c r="I56" i="1"/>
  <c r="H56" i="1"/>
  <c r="I288" i="1"/>
  <c r="H288" i="1"/>
  <c r="I140" i="1"/>
  <c r="H140" i="1"/>
  <c r="I139" i="1"/>
  <c r="H139" i="1"/>
  <c r="I138" i="1"/>
  <c r="H138" i="1"/>
  <c r="I137" i="1"/>
  <c r="H137" i="1"/>
  <c r="I136" i="1"/>
  <c r="H136" i="1"/>
  <c r="I135" i="1"/>
  <c r="H135" i="1"/>
  <c r="J135" i="1" s="1"/>
  <c r="K135" i="1" s="1"/>
  <c r="I134" i="1"/>
  <c r="H134" i="1"/>
  <c r="I275" i="1"/>
  <c r="H275" i="1"/>
  <c r="I55" i="1"/>
  <c r="H55" i="1"/>
  <c r="I54" i="1"/>
  <c r="H54" i="1"/>
  <c r="I133" i="1"/>
  <c r="H133" i="1"/>
  <c r="I266" i="1"/>
  <c r="H266" i="1"/>
  <c r="I212" i="1"/>
  <c r="H212" i="1"/>
  <c r="I132" i="1"/>
  <c r="H132" i="1"/>
  <c r="J132" i="1" s="1"/>
  <c r="K132" i="1" s="1"/>
  <c r="I131" i="1"/>
  <c r="H131" i="1"/>
  <c r="I130" i="1"/>
  <c r="H130" i="1"/>
  <c r="I129" i="1"/>
  <c r="H129" i="1"/>
  <c r="I128" i="1"/>
  <c r="H128" i="1"/>
  <c r="I242" i="1"/>
  <c r="H242" i="1"/>
  <c r="I127" i="1"/>
  <c r="H127" i="1"/>
  <c r="I53" i="1"/>
  <c r="H53" i="1"/>
  <c r="I265" i="1"/>
  <c r="H265" i="1"/>
  <c r="I52" i="1"/>
  <c r="H52" i="1"/>
  <c r="I264" i="1"/>
  <c r="H264" i="1"/>
  <c r="I263" i="1"/>
  <c r="H263" i="1"/>
  <c r="I211" i="1"/>
  <c r="H211" i="1"/>
  <c r="J211" i="1" s="1"/>
  <c r="K211" i="1" s="1"/>
  <c r="I51" i="1"/>
  <c r="H51" i="1"/>
  <c r="I126" i="1"/>
  <c r="H126" i="1"/>
  <c r="I50" i="1"/>
  <c r="H50" i="1"/>
  <c r="I49" i="1"/>
  <c r="H49" i="1"/>
  <c r="J49" i="1" s="1"/>
  <c r="K49" i="1" s="1"/>
  <c r="I125" i="1"/>
  <c r="H125" i="1"/>
  <c r="I274" i="1"/>
  <c r="H274" i="1"/>
  <c r="I124" i="1"/>
  <c r="H124" i="1"/>
  <c r="I123" i="1"/>
  <c r="H123" i="1"/>
  <c r="J123" i="1" s="1"/>
  <c r="K123" i="1" s="1"/>
  <c r="I122" i="1"/>
  <c r="H122" i="1"/>
  <c r="I121" i="1"/>
  <c r="H121" i="1"/>
  <c r="I273" i="1"/>
  <c r="H273" i="1"/>
  <c r="I272" i="1"/>
  <c r="H272" i="1"/>
  <c r="J272" i="1" s="1"/>
  <c r="K272" i="1" s="1"/>
  <c r="I120" i="1"/>
  <c r="H120" i="1"/>
  <c r="I119" i="1"/>
  <c r="H119" i="1"/>
  <c r="I118" i="1"/>
  <c r="H118" i="1"/>
  <c r="I117" i="1"/>
  <c r="H117" i="1"/>
  <c r="J117" i="1" s="1"/>
  <c r="K117" i="1" s="1"/>
  <c r="I249" i="1"/>
  <c r="H249" i="1"/>
  <c r="I48" i="1"/>
  <c r="H48" i="1"/>
  <c r="I116" i="1"/>
  <c r="H116" i="1"/>
  <c r="I262" i="1"/>
  <c r="H262" i="1"/>
  <c r="J262" i="1" s="1"/>
  <c r="K262" i="1" s="1"/>
  <c r="I115" i="1"/>
  <c r="H115" i="1"/>
  <c r="I47" i="1"/>
  <c r="H47" i="1"/>
  <c r="I46" i="1"/>
  <c r="H46" i="1"/>
  <c r="I114" i="1"/>
  <c r="H114" i="1"/>
  <c r="J114" i="1" s="1"/>
  <c r="K114" i="1" s="1"/>
  <c r="I261" i="1"/>
  <c r="H261" i="1"/>
  <c r="I260" i="1"/>
  <c r="H260" i="1"/>
  <c r="I45" i="1"/>
  <c r="H45" i="1"/>
  <c r="I113" i="1"/>
  <c r="H113" i="1"/>
  <c r="J113" i="1" s="1"/>
  <c r="K113" i="1" s="1"/>
  <c r="I112" i="1"/>
  <c r="H112" i="1"/>
  <c r="I44" i="1"/>
  <c r="H44" i="1"/>
  <c r="I111" i="1"/>
  <c r="H111" i="1"/>
  <c r="I248" i="1"/>
  <c r="H248" i="1"/>
  <c r="J248" i="1" s="1"/>
  <c r="K248" i="1" s="1"/>
  <c r="I110" i="1"/>
  <c r="H110" i="1"/>
  <c r="I287" i="1"/>
  <c r="H287" i="1"/>
  <c r="I271" i="1"/>
  <c r="H271" i="1"/>
  <c r="I43" i="1"/>
  <c r="H43" i="1"/>
  <c r="J43" i="1" s="1"/>
  <c r="K43" i="1" s="1"/>
  <c r="I109" i="1"/>
  <c r="H109" i="1"/>
  <c r="I108" i="1"/>
  <c r="H108" i="1"/>
  <c r="I42" i="1"/>
  <c r="H42" i="1"/>
  <c r="I107" i="1"/>
  <c r="H107" i="1"/>
  <c r="J107" i="1" s="1"/>
  <c r="K107" i="1" s="1"/>
  <c r="I106" i="1"/>
  <c r="H106" i="1"/>
  <c r="I241" i="1"/>
  <c r="H241" i="1"/>
  <c r="I105" i="1"/>
  <c r="H105" i="1"/>
  <c r="I41" i="1"/>
  <c r="H41" i="1"/>
  <c r="J41" i="1" s="1"/>
  <c r="K41" i="1" s="1"/>
  <c r="I40" i="1"/>
  <c r="H40" i="1"/>
  <c r="I104" i="1"/>
  <c r="H104" i="1"/>
  <c r="I103" i="1"/>
  <c r="H103" i="1"/>
  <c r="I39" i="1"/>
  <c r="H39" i="1"/>
  <c r="J39" i="1" s="1"/>
  <c r="K39" i="1" s="1"/>
  <c r="I38" i="1"/>
  <c r="H38" i="1"/>
  <c r="I37" i="1"/>
  <c r="H37" i="1"/>
  <c r="I36" i="1"/>
  <c r="H36" i="1"/>
  <c r="I35" i="1"/>
  <c r="H35" i="1"/>
  <c r="J35" i="1" s="1"/>
  <c r="K35" i="1" s="1"/>
  <c r="I34" i="1"/>
  <c r="H34" i="1"/>
  <c r="I33" i="1"/>
  <c r="H33" i="1"/>
  <c r="I270" i="1"/>
  <c r="H270" i="1"/>
  <c r="I102" i="1"/>
  <c r="H102" i="1"/>
  <c r="I32" i="1"/>
  <c r="H32" i="1"/>
  <c r="I101" i="1"/>
  <c r="H101" i="1"/>
  <c r="I240" i="1"/>
  <c r="H240" i="1"/>
  <c r="I100" i="1"/>
  <c r="H100" i="1"/>
  <c r="J100" i="1" s="1"/>
  <c r="K100" i="1" s="1"/>
  <c r="I286" i="1"/>
  <c r="H286" i="1"/>
  <c r="I99" i="1"/>
  <c r="H99" i="1"/>
  <c r="I31" i="1"/>
  <c r="H31" i="1"/>
  <c r="I239" i="1"/>
  <c r="H239" i="1"/>
  <c r="I269" i="1"/>
  <c r="H269" i="1"/>
  <c r="I30" i="1"/>
  <c r="H30" i="1"/>
  <c r="I98" i="1"/>
  <c r="H98" i="1"/>
  <c r="I29" i="1"/>
  <c r="H29" i="1"/>
  <c r="J29" i="1" s="1"/>
  <c r="K29" i="1" s="1"/>
  <c r="I28" i="1"/>
  <c r="H28" i="1"/>
  <c r="I285" i="1"/>
  <c r="H285" i="1"/>
  <c r="I238" i="1"/>
  <c r="H238" i="1"/>
  <c r="I237" i="1"/>
  <c r="H237" i="1"/>
  <c r="I258" i="1"/>
  <c r="H258" i="1"/>
  <c r="I27" i="1"/>
  <c r="H27" i="1"/>
  <c r="I26" i="1"/>
  <c r="H26" i="1"/>
  <c r="I25" i="1"/>
  <c r="H25" i="1"/>
  <c r="J25" i="1" s="1"/>
  <c r="K25" i="1" s="1"/>
  <c r="I24" i="1"/>
  <c r="H24" i="1"/>
  <c r="I97" i="1"/>
  <c r="H97" i="1"/>
  <c r="I96" i="1"/>
  <c r="H96" i="1"/>
  <c r="I95" i="1"/>
  <c r="H95" i="1"/>
  <c r="J95" i="1" s="1"/>
  <c r="K95" i="1" s="1"/>
  <c r="I94" i="1"/>
  <c r="H94" i="1"/>
  <c r="I93" i="1"/>
  <c r="H93" i="1"/>
  <c r="I23" i="1"/>
  <c r="H23" i="1"/>
  <c r="I22" i="1"/>
  <c r="H22" i="1"/>
  <c r="J22" i="1" s="1"/>
  <c r="K22" i="1" s="1"/>
  <c r="I92" i="1"/>
  <c r="H92" i="1"/>
  <c r="I91" i="1"/>
  <c r="H91" i="1"/>
  <c r="I90" i="1"/>
  <c r="H90" i="1"/>
  <c r="I89" i="1"/>
  <c r="H89" i="1"/>
  <c r="I236" i="1"/>
  <c r="H236" i="1"/>
  <c r="I88" i="1"/>
  <c r="H88" i="1"/>
  <c r="I87" i="1"/>
  <c r="H87" i="1"/>
  <c r="I86" i="1"/>
  <c r="H86" i="1"/>
  <c r="J86" i="1" s="1"/>
  <c r="K86" i="1" s="1"/>
  <c r="I235" i="1"/>
  <c r="H235" i="1"/>
  <c r="I85" i="1"/>
  <c r="H85" i="1"/>
  <c r="I84" i="1"/>
  <c r="H84" i="1"/>
  <c r="I83" i="1"/>
  <c r="H83" i="1"/>
  <c r="J83" i="1" s="1"/>
  <c r="K83" i="1" s="1"/>
  <c r="I21" i="1"/>
  <c r="H21" i="1"/>
  <c r="I257" i="1"/>
  <c r="H257" i="1"/>
  <c r="I20" i="1"/>
  <c r="H20" i="1"/>
  <c r="I19" i="1"/>
  <c r="H19" i="1"/>
  <c r="I82" i="1"/>
  <c r="H82" i="1"/>
  <c r="I18" i="1"/>
  <c r="H18" i="1"/>
  <c r="I17" i="1"/>
  <c r="H17" i="1"/>
  <c r="I16" i="1"/>
  <c r="H16" i="1"/>
  <c r="J16" i="1" s="1"/>
  <c r="K16" i="1" s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247" i="1"/>
  <c r="H247" i="1"/>
  <c r="I8" i="1"/>
  <c r="H8" i="1"/>
  <c r="I7" i="1"/>
  <c r="H7" i="1"/>
  <c r="I6" i="1"/>
  <c r="H6" i="1"/>
  <c r="J6" i="1" s="1"/>
  <c r="K6" i="1" s="1"/>
  <c r="I81" i="1"/>
  <c r="H81" i="1"/>
  <c r="I5" i="1"/>
  <c r="H5" i="1"/>
  <c r="I4" i="1"/>
  <c r="H4" i="1"/>
  <c r="J8" i="1" l="1"/>
  <c r="K8" i="1" s="1"/>
  <c r="J85" i="1"/>
  <c r="K85" i="1" s="1"/>
  <c r="J88" i="1"/>
  <c r="K88" i="1" s="1"/>
  <c r="J97" i="1"/>
  <c r="K97" i="1" s="1"/>
  <c r="J27" i="1"/>
  <c r="K27" i="1" s="1"/>
  <c r="J99" i="1"/>
  <c r="K99" i="1" s="1"/>
  <c r="J101" i="1"/>
  <c r="K101" i="1" s="1"/>
  <c r="J104" i="1"/>
  <c r="K104" i="1" s="1"/>
  <c r="J241" i="1"/>
  <c r="K241" i="1" s="1"/>
  <c r="J127" i="1"/>
  <c r="K127" i="1" s="1"/>
  <c r="J130" i="1"/>
  <c r="K130" i="1" s="1"/>
  <c r="J266" i="1"/>
  <c r="K266" i="1" s="1"/>
  <c r="J137" i="1"/>
  <c r="K137" i="1" s="1"/>
  <c r="J57" i="1"/>
  <c r="K57" i="1" s="1"/>
  <c r="J59" i="1"/>
  <c r="K59" i="1" s="1"/>
  <c r="J292" i="1"/>
  <c r="K292" i="1" s="1"/>
  <c r="J150" i="1"/>
  <c r="K150" i="1" s="1"/>
  <c r="J15" i="1"/>
  <c r="K15" i="1" s="1"/>
  <c r="J24" i="1"/>
  <c r="K24" i="1" s="1"/>
  <c r="J269" i="1"/>
  <c r="K269" i="1" s="1"/>
  <c r="J286" i="1"/>
  <c r="K286" i="1" s="1"/>
  <c r="J38" i="1"/>
  <c r="K38" i="1" s="1"/>
  <c r="J40" i="1"/>
  <c r="K40" i="1" s="1"/>
  <c r="J106" i="1"/>
  <c r="K106" i="1" s="1"/>
  <c r="J109" i="1"/>
  <c r="K109" i="1" s="1"/>
  <c r="J110" i="1"/>
  <c r="K110" i="1" s="1"/>
  <c r="J112" i="1"/>
  <c r="K112" i="1" s="1"/>
  <c r="J261" i="1"/>
  <c r="K261" i="1" s="1"/>
  <c r="J115" i="1"/>
  <c r="K115" i="1" s="1"/>
  <c r="J249" i="1"/>
  <c r="K249" i="1" s="1"/>
  <c r="J120" i="1"/>
  <c r="K120" i="1" s="1"/>
  <c r="J122" i="1"/>
  <c r="K122" i="1" s="1"/>
  <c r="J125" i="1"/>
  <c r="K125" i="1" s="1"/>
  <c r="J51" i="1"/>
  <c r="K51" i="1" s="1"/>
  <c r="J52" i="1"/>
  <c r="K52" i="1" s="1"/>
  <c r="J242" i="1"/>
  <c r="K242" i="1" s="1"/>
  <c r="J131" i="1"/>
  <c r="K131" i="1" s="1"/>
  <c r="J133" i="1"/>
  <c r="K133" i="1" s="1"/>
  <c r="J134" i="1"/>
  <c r="K134" i="1" s="1"/>
  <c r="J138" i="1"/>
  <c r="K138" i="1" s="1"/>
  <c r="J56" i="1"/>
  <c r="K56" i="1" s="1"/>
  <c r="J276" i="1"/>
  <c r="K276" i="1" s="1"/>
  <c r="J145" i="1"/>
  <c r="K145" i="1" s="1"/>
  <c r="J259" i="1"/>
  <c r="K259" i="1" s="1"/>
  <c r="J60" i="1"/>
  <c r="K60" i="1" s="1"/>
  <c r="J278" i="1"/>
  <c r="K278" i="1" s="1"/>
  <c r="J61" i="1"/>
  <c r="K61" i="1" s="1"/>
  <c r="J214" i="1"/>
  <c r="K214" i="1" s="1"/>
  <c r="J155" i="1"/>
  <c r="K155" i="1" s="1"/>
  <c r="J156" i="1"/>
  <c r="K156" i="1" s="1"/>
  <c r="J289" i="1"/>
  <c r="K289" i="1" s="1"/>
  <c r="J160" i="1"/>
  <c r="K160" i="1" s="1"/>
  <c r="J67" i="1"/>
  <c r="K67" i="1" s="1"/>
  <c r="J69" i="1"/>
  <c r="K69" i="1" s="1"/>
  <c r="J70" i="1"/>
  <c r="K70" i="1" s="1"/>
  <c r="J245" i="1"/>
  <c r="K245" i="1" s="1"/>
  <c r="J167" i="1"/>
  <c r="K167" i="1" s="1"/>
  <c r="J219" i="1"/>
  <c r="K219" i="1" s="1"/>
  <c r="J170" i="1"/>
  <c r="K170" i="1" s="1"/>
  <c r="J172" i="1"/>
  <c r="K172" i="1" s="1"/>
  <c r="J223" i="1"/>
  <c r="K223" i="1" s="1"/>
  <c r="J253" i="1"/>
  <c r="K253" i="1" s="1"/>
  <c r="J79" i="1"/>
  <c r="K79" i="1" s="1"/>
  <c r="J179" i="1"/>
  <c r="K179" i="1" s="1"/>
  <c r="J183" i="1"/>
  <c r="K183" i="1" s="1"/>
  <c r="J187" i="1"/>
  <c r="K187" i="1" s="1"/>
  <c r="J191" i="1"/>
  <c r="K191" i="1" s="1"/>
  <c r="J195" i="1"/>
  <c r="K195" i="1" s="1"/>
  <c r="J199" i="1"/>
  <c r="K199" i="1" s="1"/>
  <c r="J203" i="1"/>
  <c r="K203" i="1" s="1"/>
  <c r="J207" i="1"/>
  <c r="K207" i="1" s="1"/>
  <c r="J226" i="1"/>
  <c r="K226" i="1" s="1"/>
  <c r="J230" i="1"/>
  <c r="K230" i="1" s="1"/>
  <c r="J234" i="1"/>
  <c r="K234" i="1" s="1"/>
  <c r="J254" i="1"/>
  <c r="K254" i="1" s="1"/>
  <c r="J282" i="1"/>
  <c r="K282" i="1" s="1"/>
  <c r="J291" i="1"/>
  <c r="K291" i="1" s="1"/>
  <c r="J20" i="1"/>
  <c r="K20" i="1" s="1"/>
  <c r="J84" i="1"/>
  <c r="K84" i="1" s="1"/>
  <c r="J90" i="1"/>
  <c r="K90" i="1" s="1"/>
  <c r="J23" i="1"/>
  <c r="K23" i="1" s="1"/>
  <c r="J96" i="1"/>
  <c r="K96" i="1" s="1"/>
  <c r="J238" i="1"/>
  <c r="K238" i="1" s="1"/>
  <c r="J98" i="1"/>
  <c r="K98" i="1" s="1"/>
  <c r="J31" i="1"/>
  <c r="K31" i="1" s="1"/>
  <c r="J270" i="1"/>
  <c r="K270" i="1" s="1"/>
  <c r="J103" i="1"/>
  <c r="K103" i="1" s="1"/>
  <c r="J105" i="1"/>
  <c r="K105" i="1" s="1"/>
  <c r="J42" i="1"/>
  <c r="K42" i="1" s="1"/>
  <c r="J271" i="1"/>
  <c r="K271" i="1" s="1"/>
  <c r="J111" i="1"/>
  <c r="K111" i="1" s="1"/>
  <c r="J45" i="1"/>
  <c r="K45" i="1" s="1"/>
  <c r="J46" i="1"/>
  <c r="K46" i="1" s="1"/>
  <c r="J116" i="1"/>
  <c r="K116" i="1" s="1"/>
  <c r="J118" i="1"/>
  <c r="K118" i="1" s="1"/>
  <c r="J273" i="1"/>
  <c r="K273" i="1" s="1"/>
  <c r="J124" i="1"/>
  <c r="K124" i="1" s="1"/>
  <c r="J50" i="1"/>
  <c r="K50" i="1" s="1"/>
  <c r="J263" i="1"/>
  <c r="K263" i="1" s="1"/>
  <c r="J4" i="1"/>
  <c r="K4" i="1" s="1"/>
  <c r="J7" i="1"/>
  <c r="K7" i="1" s="1"/>
  <c r="J5" i="1"/>
  <c r="K5" i="1" s="1"/>
  <c r="J82" i="1"/>
  <c r="K82" i="1" s="1"/>
  <c r="J247" i="1"/>
  <c r="K247" i="1" s="1"/>
  <c r="J235" i="1"/>
  <c r="K235" i="1" s="1"/>
  <c r="J94" i="1"/>
  <c r="K94" i="1" s="1"/>
  <c r="J81" i="1"/>
  <c r="K81" i="1" s="1"/>
  <c r="J11" i="1"/>
  <c r="K11" i="1" s="1"/>
  <c r="J18" i="1"/>
  <c r="K18" i="1" s="1"/>
  <c r="J53" i="1"/>
  <c r="K53" i="1" s="1"/>
  <c r="J108" i="1"/>
  <c r="K108" i="1" s="1"/>
  <c r="J287" i="1"/>
  <c r="K287" i="1" s="1"/>
  <c r="J44" i="1"/>
  <c r="K44" i="1" s="1"/>
  <c r="J260" i="1"/>
  <c r="K260" i="1" s="1"/>
  <c r="J47" i="1"/>
  <c r="K47" i="1" s="1"/>
  <c r="J48" i="1"/>
  <c r="K48" i="1" s="1"/>
  <c r="J119" i="1"/>
  <c r="K119" i="1" s="1"/>
  <c r="J121" i="1"/>
  <c r="K121" i="1" s="1"/>
  <c r="J274" i="1"/>
  <c r="K274" i="1" s="1"/>
  <c r="J126" i="1"/>
  <c r="K126" i="1" s="1"/>
  <c r="J264" i="1"/>
  <c r="K264" i="1" s="1"/>
  <c r="J129" i="1"/>
  <c r="K129" i="1" s="1"/>
  <c r="J212" i="1"/>
  <c r="K212" i="1" s="1"/>
  <c r="J55" i="1"/>
  <c r="K55" i="1" s="1"/>
  <c r="J136" i="1"/>
  <c r="K136" i="1" s="1"/>
  <c r="J140" i="1"/>
  <c r="K140" i="1" s="1"/>
  <c r="J142" i="1"/>
  <c r="K142" i="1" s="1"/>
  <c r="J143" i="1"/>
  <c r="K143" i="1" s="1"/>
  <c r="J58" i="1"/>
  <c r="K58" i="1" s="1"/>
  <c r="J147" i="1"/>
  <c r="K147" i="1" s="1"/>
  <c r="J149" i="1"/>
  <c r="K149" i="1" s="1"/>
  <c r="J152" i="1"/>
  <c r="K152" i="1" s="1"/>
  <c r="J154" i="1"/>
  <c r="K154" i="1" s="1"/>
  <c r="J279" i="1"/>
  <c r="K279" i="1" s="1"/>
  <c r="J244" i="1"/>
  <c r="K244" i="1" s="1"/>
  <c r="J157" i="1"/>
  <c r="K157" i="1" s="1"/>
  <c r="J256" i="1"/>
  <c r="K256" i="1" s="1"/>
  <c r="J66" i="1"/>
  <c r="K66" i="1" s="1"/>
  <c r="J162" i="1"/>
  <c r="K162" i="1" s="1"/>
  <c r="J163" i="1"/>
  <c r="K163" i="1" s="1"/>
  <c r="J71" i="1"/>
  <c r="K71" i="1" s="1"/>
  <c r="J166" i="1"/>
  <c r="K166" i="1" s="1"/>
  <c r="J250" i="1"/>
  <c r="K250" i="1" s="1"/>
  <c r="J220" i="1"/>
  <c r="K220" i="1" s="1"/>
  <c r="J75" i="1"/>
  <c r="K75" i="1" s="1"/>
  <c r="J174" i="1"/>
  <c r="K174" i="1" s="1"/>
  <c r="J176" i="1"/>
  <c r="K176" i="1" s="1"/>
  <c r="J77" i="1"/>
  <c r="K77" i="1" s="1"/>
  <c r="J177" i="1"/>
  <c r="K177" i="1" s="1"/>
  <c r="J181" i="1"/>
  <c r="K181" i="1" s="1"/>
  <c r="J185" i="1"/>
  <c r="K185" i="1" s="1"/>
  <c r="J189" i="1"/>
  <c r="K189" i="1" s="1"/>
  <c r="J193" i="1"/>
  <c r="K193" i="1" s="1"/>
  <c r="J197" i="1"/>
  <c r="K197" i="1" s="1"/>
  <c r="J201" i="1"/>
  <c r="K201" i="1" s="1"/>
  <c r="J205" i="1"/>
  <c r="K205" i="1" s="1"/>
  <c r="J209" i="1"/>
  <c r="K209" i="1" s="1"/>
  <c r="J228" i="1"/>
  <c r="K228" i="1" s="1"/>
  <c r="J232" i="1"/>
  <c r="K232" i="1" s="1"/>
  <c r="J251" i="1"/>
  <c r="K251" i="1" s="1"/>
  <c r="J268" i="1"/>
  <c r="K268" i="1" s="1"/>
  <c r="J284" i="1"/>
  <c r="K284" i="1" s="1"/>
  <c r="J9" i="1"/>
  <c r="K9" i="1" s="1"/>
  <c r="J13" i="1"/>
  <c r="K13" i="1" s="1"/>
  <c r="J10" i="1"/>
  <c r="K10" i="1" s="1"/>
  <c r="J14" i="1"/>
  <c r="K14" i="1" s="1"/>
  <c r="J17" i="1"/>
  <c r="K17" i="1" s="1"/>
  <c r="J173" i="1"/>
  <c r="K173" i="1" s="1"/>
  <c r="J224" i="1"/>
  <c r="K224" i="1" s="1"/>
  <c r="J76" i="1"/>
  <c r="K76" i="1" s="1"/>
  <c r="J80" i="1"/>
  <c r="K80" i="1" s="1"/>
  <c r="J180" i="1"/>
  <c r="K180" i="1" s="1"/>
  <c r="J184" i="1"/>
  <c r="K184" i="1" s="1"/>
  <c r="J188" i="1"/>
  <c r="K188" i="1" s="1"/>
  <c r="J192" i="1"/>
  <c r="K192" i="1" s="1"/>
  <c r="J196" i="1"/>
  <c r="K196" i="1" s="1"/>
  <c r="J200" i="1"/>
  <c r="K200" i="1" s="1"/>
  <c r="J204" i="1"/>
  <c r="K204" i="1" s="1"/>
  <c r="J208" i="1"/>
  <c r="K208" i="1" s="1"/>
  <c r="J227" i="1"/>
  <c r="K227" i="1" s="1"/>
  <c r="J231" i="1"/>
  <c r="K231" i="1" s="1"/>
  <c r="J246" i="1"/>
  <c r="K246" i="1" s="1"/>
  <c r="J255" i="1"/>
  <c r="K255" i="1" s="1"/>
  <c r="J283" i="1"/>
  <c r="K283" i="1" s="1"/>
  <c r="J239" i="1"/>
  <c r="K239" i="1" s="1"/>
  <c r="J36" i="1"/>
  <c r="K36" i="1" s="1"/>
  <c r="J12" i="1"/>
  <c r="K12" i="1" s="1"/>
  <c r="J257" i="1"/>
  <c r="K257" i="1" s="1"/>
  <c r="J236" i="1"/>
  <c r="K236" i="1" s="1"/>
  <c r="J91" i="1"/>
  <c r="K91" i="1" s="1"/>
  <c r="J258" i="1"/>
  <c r="K258" i="1" s="1"/>
  <c r="J285" i="1"/>
  <c r="K285" i="1" s="1"/>
  <c r="J32" i="1"/>
  <c r="K32" i="1" s="1"/>
  <c r="J33" i="1"/>
  <c r="K33" i="1" s="1"/>
  <c r="J19" i="1"/>
  <c r="K19" i="1" s="1"/>
  <c r="J92" i="1"/>
  <c r="K92" i="1" s="1"/>
  <c r="J93" i="1"/>
  <c r="K93" i="1" s="1"/>
  <c r="J28" i="1"/>
  <c r="K28" i="1" s="1"/>
  <c r="J30" i="1"/>
  <c r="K30" i="1" s="1"/>
  <c r="J34" i="1"/>
  <c r="K34" i="1" s="1"/>
  <c r="J37" i="1"/>
  <c r="K37" i="1" s="1"/>
  <c r="J288" i="1"/>
  <c r="K288" i="1" s="1"/>
  <c r="J21" i="1"/>
  <c r="K21" i="1" s="1"/>
  <c r="J87" i="1"/>
  <c r="K87" i="1" s="1"/>
  <c r="J89" i="1"/>
  <c r="K89" i="1" s="1"/>
  <c r="J26" i="1"/>
  <c r="K26" i="1" s="1"/>
  <c r="J237" i="1"/>
  <c r="K237" i="1" s="1"/>
  <c r="J240" i="1"/>
  <c r="K240" i="1" s="1"/>
  <c r="J102" i="1"/>
  <c r="K102" i="1" s="1"/>
  <c r="J128" i="1"/>
  <c r="K128" i="1" s="1"/>
  <c r="J139" i="1"/>
  <c r="K139" i="1" s="1"/>
  <c r="J267" i="1"/>
  <c r="K267" i="1" s="1"/>
  <c r="J275" i="1"/>
  <c r="K275" i="1" s="1"/>
  <c r="J144" i="1"/>
  <c r="K144" i="1" s="1"/>
  <c r="J153" i="1"/>
  <c r="K153" i="1" s="1"/>
  <c r="J213" i="1"/>
  <c r="K213" i="1" s="1"/>
  <c r="J63" i="1"/>
  <c r="K63" i="1" s="1"/>
  <c r="J215" i="1"/>
  <c r="K215" i="1" s="1"/>
  <c r="J216" i="1"/>
  <c r="K216" i="1" s="1"/>
  <c r="J159" i="1"/>
  <c r="K159" i="1" s="1"/>
  <c r="J217" i="1"/>
  <c r="K217" i="1" s="1"/>
  <c r="J68" i="1"/>
  <c r="K68" i="1" s="1"/>
  <c r="J164" i="1"/>
  <c r="K164" i="1" s="1"/>
  <c r="J218" i="1"/>
  <c r="K218" i="1" s="1"/>
  <c r="J73" i="1"/>
  <c r="K73" i="1" s="1"/>
  <c r="J74" i="1"/>
  <c r="K74" i="1" s="1"/>
  <c r="J221" i="1"/>
  <c r="K221" i="1" s="1"/>
  <c r="J222" i="1"/>
  <c r="K222" i="1" s="1"/>
  <c r="J175" i="1"/>
  <c r="K175" i="1" s="1"/>
  <c r="J225" i="1"/>
  <c r="K225" i="1" s="1"/>
  <c r="J78" i="1"/>
  <c r="K78" i="1" s="1"/>
  <c r="J178" i="1"/>
  <c r="K178" i="1" s="1"/>
  <c r="J182" i="1"/>
  <c r="K182" i="1" s="1"/>
  <c r="J186" i="1"/>
  <c r="K186" i="1" s="1"/>
  <c r="J190" i="1"/>
  <c r="K190" i="1" s="1"/>
  <c r="J194" i="1"/>
  <c r="K194" i="1" s="1"/>
  <c r="J198" i="1"/>
  <c r="K198" i="1" s="1"/>
  <c r="J202" i="1"/>
  <c r="K202" i="1" s="1"/>
  <c r="J206" i="1"/>
  <c r="K206" i="1" s="1"/>
  <c r="J210" i="1"/>
  <c r="K210" i="1" s="1"/>
  <c r="J229" i="1"/>
  <c r="K229" i="1" s="1"/>
  <c r="J233" i="1"/>
  <c r="K233" i="1" s="1"/>
  <c r="J252" i="1"/>
  <c r="K252" i="1" s="1"/>
  <c r="J281" i="1"/>
  <c r="K281" i="1" s="1"/>
  <c r="J290" i="1"/>
  <c r="K290" i="1" s="1"/>
  <c r="J265" i="1"/>
  <c r="K265" i="1" s="1"/>
  <c r="J54" i="1"/>
  <c r="K54" i="1" s="1"/>
  <c r="J277" i="1"/>
  <c r="K277" i="1" s="1"/>
  <c r="J151" i="1"/>
  <c r="K151" i="1" s="1"/>
  <c r="H294" i="1"/>
  <c r="J294" i="1" s="1"/>
  <c r="K29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48E3A2-7ACD-4EFE-93CA-4BC375FA1272}" keepAlive="1" name="Query - Actuals data" description="Connection to the 'Actuals data' query in the workbook." type="5" refreshedVersion="8" background="1" saveData="1">
    <dbPr connection="Provider=Microsoft.Mashup.OleDb.1;Data Source=$Workbook$;Location=&quot;Actuals data&quot;;Extended Properties=&quot;&quot;" command="SELECT * FROM [Actuals data]"/>
  </connection>
  <connection id="2" xr16:uid="{FF39924E-6638-4761-AC18-710E184EEB4C}" keepAlive="1" name="Query - Bake_prod" description="Connection to the 'Bake_prod' query in the workbook." type="5" refreshedVersion="8" background="1" saveData="1">
    <dbPr connection="Provider=Microsoft.Mashup.OleDb.1;Data Source=$Workbook$;Location=Bake_prod;Extended Properties=&quot;&quot;" command="SELECT * FROM [Bake_prod]"/>
  </connection>
  <connection id="3" xr16:uid="{FEB524FF-4E78-4A8D-934B-778788DCDFAB}" keepAlive="1" name="Query - Merged data(1)" description="Connection to the 'Merged data' query in the workbook." type="5" refreshedVersion="8" background="1" saveData="1">
    <dbPr connection="Provider=Microsoft.Mashup.OleDb.1;Data Source=$Workbook$;Location=&quot;Merged data&quot;;Extended Properties=&quot;&quot;" command="SELECT * FROM [Merged data]"/>
  </connection>
</connections>
</file>

<file path=xl/sharedStrings.xml><?xml version="1.0" encoding="utf-8"?>
<sst xmlns="http://schemas.openxmlformats.org/spreadsheetml/2006/main" count="2933" uniqueCount="340">
  <si>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</si>
  <si>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</si>
  <si>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</si>
  <si>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</si>
  <si>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</si>
  <si>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</si>
  <si>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</si>
  <si>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</si>
  <si>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</si>
  <si>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</si>
  <si>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</si>
  <si>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</si>
  <si>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</si>
  <si>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</si>
  <si>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</si>
  <si>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</si>
  <si>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</si>
  <si>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</si>
  <si>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</si>
  <si>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</si>
  <si>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</si>
  <si>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</si>
  <si>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</si>
  <si>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</si>
  <si>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</si>
  <si>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</si>
  <si>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</si>
  <si>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</si>
  <si>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</si>
  <si>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</si>
  <si>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</si>
  <si>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</si>
  <si>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</si>
  <si>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</si>
  <si>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</si>
  <si>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</si>
  <si>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</si>
  <si>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</si>
  <si>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</si>
  <si>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</si>
  <si>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</si>
  <si>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</si>
  <si>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</si>
  <si>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</si>
  <si>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</si>
  <si>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</si>
  <si>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</si>
  <si>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</si>
  <si>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</si>
  <si>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</si>
  <si>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</si>
  <si>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</si>
  <si>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</si>
  <si>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</si>
  <si>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</si>
  <si>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</si>
  <si>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</si>
  <si>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</si>
  <si>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</si>
  <si>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</si>
  <si>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</si>
  <si>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</si>
  <si>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</si>
  <si>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</si>
  <si>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</si>
  <si>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</si>
  <si>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</si>
  <si>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</si>
  <si>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</si>
  <si>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</si>
  <si>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</si>
  <si>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</si>
  <si>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</si>
  <si>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</si>
  <si>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</si>
  <si>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</si>
  <si>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</si>
  <si>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</si>
  <si>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</si>
  <si>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</si>
  <si>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</si>
  <si>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</si>
  <si>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</si>
  <si>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</si>
  <si>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</si>
  <si>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</si>
  <si>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</si>
  <si>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</si>
  <si>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</si>
  <si>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</si>
  <si>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</si>
  <si>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</si>
  <si>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</si>
  <si>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</si>
  <si>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</si>
  <si>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</si>
  <si>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</si>
  <si>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</si>
  <si>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</si>
  <si>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</si>
  <si>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</si>
  <si>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</si>
  <si>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</si>
  <si>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</si>
  <si>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</si>
  <si>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</si>
  <si>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</si>
  <si>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</si>
  <si>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</si>
  <si>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</si>
  <si>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</si>
  <si>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</si>
  <si>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</si>
  <si>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</si>
  <si>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</si>
  <si>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</si>
  <si>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</si>
  <si>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</si>
  <si>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</si>
  <si>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</si>
  <si>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</si>
  <si>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</si>
  <si>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</si>
  <si>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</si>
  <si>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</si>
  <si>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</si>
  <si>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</si>
  <si>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</si>
  <si>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</si>
  <si>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</si>
  <si>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</si>
  <si>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</si>
  <si>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</si>
  <si>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</si>
  <si>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</si>
  <si>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</si>
  <si>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</si>
  <si>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</si>
  <si>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</si>
  <si>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</si>
  <si>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</si>
  <si>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</si>
  <si>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</si>
  <si>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</si>
  <si>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</si>
  <si>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</si>
  <si>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</si>
  <si>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</si>
  <si>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</si>
  <si>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</si>
  <si>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</si>
  <si>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</si>
  <si>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</si>
  <si>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</si>
  <si>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</si>
  <si>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</si>
  <si>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</si>
  <si>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</si>
  <si>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</si>
  <si>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</si>
  <si>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</si>
  <si>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</si>
  <si>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</si>
  <si>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</si>
  <si>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</si>
  <si>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</si>
  <si>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</si>
  <si>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</si>
  <si>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</si>
  <si>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</si>
  <si>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</si>
  <si>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</si>
  <si>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</si>
  <si>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</si>
  <si>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</si>
  <si>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</si>
  <si>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</si>
  <si>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</si>
  <si>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</si>
  <si>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</si>
  <si>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</si>
  <si>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</si>
  <si>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</si>
  <si>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</si>
  <si>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</si>
  <si>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</si>
  <si>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</si>
  <si>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</si>
  <si>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</si>
  <si>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</si>
  <si>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</si>
  <si>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</si>
  <si>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</si>
  <si>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</si>
  <si>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</si>
  <si>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</si>
  <si>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</si>
  <si>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</si>
  <si>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</si>
  <si>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</si>
  <si>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</si>
  <si>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</si>
  <si>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</si>
  <si>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</si>
  <si>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</si>
  <si>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</si>
  <si>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</si>
  <si>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</si>
  <si>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</si>
  <si>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</si>
  <si>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</si>
  <si>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</si>
  <si>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</si>
  <si>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</si>
  <si>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</si>
  <si>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</si>
  <si>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</si>
  <si>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</si>
  <si>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</si>
  <si>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</si>
  <si>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</si>
  <si>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</si>
  <si>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</si>
  <si>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</si>
  <si>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</si>
  <si>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</si>
  <si>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</si>
  <si>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</si>
  <si>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</si>
  <si>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</si>
  <si>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</si>
  <si>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</si>
  <si>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</si>
  <si>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</si>
  <si>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</si>
  <si>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</si>
  <si>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</si>
  <si>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</si>
  <si>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</si>
  <si>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</si>
  <si>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</si>
  <si>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</si>
  <si>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</si>
  <si>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</si>
  <si>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</si>
  <si>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</si>
  <si>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</si>
  <si>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</si>
  <si>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</si>
  <si>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</si>
  <si>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</si>
  <si>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</si>
  <si>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</si>
  <si>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</si>
  <si>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</si>
  <si>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</si>
  <si>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</si>
  <si>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</si>
  <si>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</si>
  <si>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</si>
  <si>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</si>
  <si>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</si>
  <si>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</si>
  <si>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</si>
  <si>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</si>
  <si>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</si>
  <si>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</si>
  <si>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</si>
  <si>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</si>
  <si>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</si>
  <si>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</si>
  <si>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</si>
  <si>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</si>
  <si>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</si>
  <si>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</si>
  <si>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</si>
  <si>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</si>
  <si>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</si>
  <si>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</si>
  <si>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</si>
  <si>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</si>
  <si>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</si>
  <si>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</si>
  <si>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</si>
  <si>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</si>
  <si>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</si>
  <si>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</si>
  <si>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</si>
  <si>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</si>
  <si>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</si>
  <si>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(Overall)</t>
  </si>
  <si>
    <t>&gt;Sub-Department</t>
  </si>
  <si>
    <t>Total prod</t>
  </si>
  <si>
    <t>Potential Sales</t>
  </si>
  <si>
    <t>CP of potential sales</t>
  </si>
  <si>
    <t>Potential GP</t>
  </si>
  <si>
    <t>Potential GP%</t>
  </si>
  <si>
    <t/>
  </si>
  <si>
    <t>Grand Total</t>
  </si>
  <si>
    <t>101 Total</t>
  </si>
  <si>
    <t>102 Total</t>
  </si>
  <si>
    <t>104 Total</t>
  </si>
  <si>
    <t>106 Total</t>
  </si>
  <si>
    <t>117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</si>
  <si>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</si>
  <si>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</si>
  <si>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</si>
  <si>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</si>
  <si>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</si>
  <si>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</si>
  <si>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</si>
  <si>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</si>
  <si>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</si>
  <si>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</si>
  <si>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</si>
  <si>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</si>
  <si>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</si>
  <si>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</si>
  <si>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</si>
  <si>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0.000</t>
  </si>
  <si>
    <t>4.000</t>
  </si>
  <si>
    <t>Date</t>
  </si>
  <si>
    <t>Day</t>
  </si>
  <si>
    <t>STEP 1: Open the VBA Editor</t>
  </si>
  <si>
    <t xml:space="preserve">   • Press Alt + F11 to open the VBA Editor</t>
  </si>
  <si>
    <t xml:space="preserve">   • Or go to Developer tab → Visual Basic</t>
  </si>
  <si>
    <t>STEP 2: Insert a New Module</t>
  </si>
  <si>
    <t xml:space="preserve">   • In the VBA Editor, right-click on your workbook name in the Project Explorer</t>
  </si>
  <si>
    <t xml:space="preserve">   • Select Insert → Module</t>
  </si>
  <si>
    <t>STEP 3: Copy the VBA Code</t>
  </si>
  <si>
    <t xml:space="preserve">   • Copy ALL the code from cells A20 onwards (the gray area below)</t>
  </si>
  <si>
    <t xml:space="preserve">   • Paste it into the new module</t>
  </si>
  <si>
    <t>STEP 4: Run the Macro</t>
  </si>
  <si>
    <t xml:space="preserve">   • Press Alt + F8 to open the Macro dialog</t>
  </si>
  <si>
    <t xml:space="preserve">   • Select 'UnpivotActuals' and click Run</t>
  </si>
  <si>
    <t xml:space="preserve">   • Or assign it to a button for easy access</t>
  </si>
  <si>
    <t>Actuals data.Date</t>
  </si>
  <si>
    <t>Actuals data.Day</t>
  </si>
  <si>
    <t>Actuals data.Sales excl. VAT</t>
  </si>
  <si>
    <t>Actuals data.Sales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</si>
</sst>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##0;\-###0"/>
    <numFmt numFmtId="165" formatCode="#,##0.0000;\-#,##0.0000"/>
    <numFmt numFmtId="166" formatCode="#,##0.0"/>
    <numFmt numFmtId="167" formatCode="#,##0.00_ ;\-#,##0.00\ "/>
    <numFmt numFmtId="168" formatCode="0.0"/>
    <numFmt numFmtId="169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sz val="8"/>
      <name val="MS Sans Serif"/>
    </font>
  </fonts>
  <fills count="10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79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165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vertical="top"/>
      <protection locked="0"/>
    </xf>
    <xf numFmtId="4" fontId="0" fillId="0" borderId="0" xfId="0" applyNumberFormat="1" applyAlignment="1">
      <alignment horizontal="left" vertical="top"/>
      <protection locked="0"/>
    </xf>
    <xf numFmtId="166" fontId="0" fillId="2" borderId="0" xfId="0" applyNumberFormat="1" applyFill="1" applyAlignment="1">
      <alignment horizontal="left" vertical="top" wrapText="1"/>
      <protection locked="0"/>
    </xf>
    <xf numFmtId="166" fontId="1" fillId="0" borderId="0" xfId="0" applyNumberFormat="1" applyFont="1" applyAlignment="1">
      <alignment horizontal="right" vertical="top"/>
      <protection locked="0"/>
    </xf>
    <xf numFmtId="166" fontId="0" fillId="0" borderId="0" xfId="0" applyNumberFormat="1" applyAlignment="1">
      <alignment vertical="top"/>
      <protection locked="0"/>
    </xf>
    <xf numFmtId="166" fontId="0" fillId="0" borderId="0" xfId="0" applyNumberFormat="1" applyAlignment="1">
      <alignment horizontal="left" vertical="top"/>
      <protection locked="0"/>
    </xf>
    <xf numFmtId="3" fontId="0" fillId="2" borderId="0" xfId="0" applyNumberFormat="1" applyFill="1" applyAlignment="1">
      <alignment horizontal="right" vertical="top" wrapText="1"/>
      <protection locked="0"/>
    </xf>
    <xf numFmtId="167" fontId="0" fillId="2" borderId="0" xfId="1" applyNumberFormat="1" applyFont="1" applyFill="1" applyAlignment="1">
      <alignment horizontal="right" vertical="top" wrapText="1"/>
      <protection locked="0"/>
    </xf>
    <xf numFmtId="4" fontId="0" fillId="3" borderId="0" xfId="0" applyNumberFormat="1" applyFill="1" applyAlignment="1">
      <alignment horizontal="right" vertical="top"/>
      <protection locked="0"/>
    </xf>
    <xf numFmtId="3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167" fontId="0" fillId="4" borderId="0" xfId="1" applyNumberFormat="1" applyFont="1" applyFill="1" applyAlignment="1">
      <alignment horizontal="right" vertical="top"/>
      <protection locked="0"/>
    </xf>
    <xf numFmtId="168" fontId="0" fillId="4" borderId="0" xfId="1" applyNumberFormat="1" applyFont="1" applyFill="1" applyAlignment="1">
      <alignment horizontal="righ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49" fontId="0" fillId="5" borderId="0" xfId="0" applyNumberFormat="1" applyFill="1" applyAlignment="1">
      <alignment horizontal="left" vertical="top"/>
      <protection locked="0"/>
    </xf>
    <xf numFmtId="4" fontId="0" fillId="5" borderId="0" xfId="0" applyNumberFormat="1" applyFill="1" applyAlignment="1">
      <alignment horizontal="left" vertical="top"/>
      <protection locked="0"/>
    </xf>
    <xf numFmtId="167" fontId="0" fillId="5" borderId="0" xfId="1" applyNumberFormat="1" applyFont="1" applyFill="1" applyAlignment="1">
      <alignment horizontal="right" vertical="top"/>
      <protection locked="0"/>
    </xf>
    <xf numFmtId="168" fontId="0" fillId="5" borderId="0" xfId="1" applyNumberFormat="1" applyFont="1" applyFill="1" applyAlignment="1">
      <alignment horizontal="right" vertical="top"/>
      <protection locked="0"/>
    </xf>
    <xf numFmtId="4" fontId="1" fillId="5" borderId="0" xfId="0" applyNumberFormat="1" applyFont="1" applyFill="1" applyAlignment="1">
      <alignment horizontal="right" vertical="top"/>
      <protection locked="0"/>
    </xf>
    <xf numFmtId="3" fontId="1" fillId="5" borderId="0" xfId="0" applyNumberFormat="1" applyFont="1" applyFill="1" applyAlignment="1">
      <alignment horizontal="right" vertical="top"/>
      <protection locked="0"/>
    </xf>
    <xf numFmtId="4" fontId="1" fillId="5" borderId="0" xfId="0" applyNumberFormat="1" applyFont="1" applyFill="1" applyAlignment="1">
      <alignment horizontal="left" vertical="top"/>
      <protection locked="0"/>
    </xf>
    <xf numFmtId="166" fontId="1" fillId="5" borderId="0" xfId="0" applyNumberFormat="1" applyFon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4" fillId="0" borderId="1" xfId="0" applyFont="1" applyBorder="1" applyAlignment="1">
      <alignment horizontal="center" vertical="center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5" fillId="6" borderId="1" xfId="0" applyFont="1" applyFill="1" applyBorder="1" applyAlignment="1">
      <alignment horizontal="center" vertical="top" wrapText="1"/>
      <protection locked="0"/>
    </xf>
    <xf numFmtId="164" fontId="0" fillId="0" borderId="1" xfId="0" applyNumberFormat="1" applyBorder="1" applyAlignment="1">
      <alignment horizontal="left" vertical="center"/>
      <protection locked="0"/>
    </xf>
    <xf numFmtId="1" fontId="0" fillId="0" borderId="1" xfId="0" applyNumberFormat="1" applyBorder="1" applyAlignment="1">
      <alignment horizontal="left" vertical="center"/>
      <protection locked="0"/>
    </xf>
    <xf numFmtId="0" fontId="0" fillId="0" borderId="1" xfId="0" applyBorder="1" applyAlignment="1">
      <alignment horizontal="left" vertical="center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7" fontId="0" fillId="0" borderId="1" xfId="0" applyNumberFormat="1" applyBorder="1" applyAlignment="1">
      <alignment horizontal="right" vertical="center"/>
      <protection locked="0"/>
    </xf>
    <xf numFmtId="169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0" fillId="8" borderId="1" xfId="0" applyFill="1" applyBorder="1" applyAlignment="1">
      <alignment horizontal="left" vertical="center"/>
      <protection locked="0"/>
    </xf>
    <xf numFmtId="1" fontId="0" fillId="8" borderId="1" xfId="0" applyNumberFormat="1" applyFill="1" applyBorder="1" applyAlignment="1">
      <alignment horizontal="left" vertical="center"/>
      <protection locked="0"/>
    </xf>
    <xf numFmtId="3" fontId="0" fillId="8" borderId="1" xfId="0" applyNumberFormat="1" applyFill="1" applyBorder="1" applyAlignment="1">
      <alignment horizontal="right" vertical="center"/>
      <protection locked="0"/>
    </xf>
    <xf numFmtId="4" fontId="0" fillId="8" borderId="1" xfId="0" applyNumberFormat="1" applyFill="1" applyBorder="1" applyAlignment="1">
      <alignment horizontal="right" vertical="center"/>
      <protection locked="0"/>
    </xf>
    <xf numFmtId="167" fontId="0" fillId="8" borderId="1" xfId="0" applyNumberFormat="1" applyFill="1" applyBorder="1" applyAlignment="1">
      <alignment horizontal="right" vertical="center"/>
      <protection locked="0"/>
    </xf>
    <xf numFmtId="169" fontId="0" fillId="8" borderId="1" xfId="0" applyNumberFormat="1" applyFill="1" applyBorder="1" applyAlignment="1">
      <alignment horizontal="right" vertical="center"/>
      <protection locked="0"/>
    </xf>
    <xf numFmtId="164" fontId="3" fillId="7" borderId="1" xfId="0" applyNumberFormat="1" applyFont="1" applyFill="1" applyBorder="1" applyAlignment="1">
      <alignment horizontal="left" vertical="center"/>
      <protection locked="0"/>
    </xf>
    <xf numFmtId="0" fontId="3" fillId="7" borderId="1" xfId="0" applyFont="1" applyFill="1" applyBorder="1" applyAlignment="1">
      <alignment horizontal="left" vertical="center"/>
      <protection locked="0"/>
    </xf>
    <xf numFmtId="3" fontId="3" fillId="7" borderId="1" xfId="0" applyNumberFormat="1" applyFont="1" applyFill="1" applyBorder="1" applyAlignment="1">
      <alignment horizontal="right" vertical="center"/>
      <protection locked="0"/>
    </xf>
    <xf numFmtId="4" fontId="3" fillId="7" borderId="1" xfId="0" applyNumberFormat="1" applyFont="1" applyFill="1" applyBorder="1" applyAlignment="1">
      <alignment horizontal="right" vertical="center"/>
      <protection locked="0"/>
    </xf>
    <xf numFmtId="167" fontId="3" fillId="7" borderId="1" xfId="0" applyNumberFormat="1" applyFont="1" applyFill="1" applyBorder="1" applyAlignment="1">
      <alignment horizontal="right" vertical="center"/>
      <protection locked="0"/>
    </xf>
    <xf numFmtId="169" fontId="3" fillId="7" borderId="1" xfId="0" applyNumberFormat="1" applyFont="1" applyFill="1" applyBorder="1" applyAlignment="1">
      <alignment horizontal="right" vertical="center"/>
      <protection locked="0"/>
    </xf>
    <xf numFmtId="164" fontId="0" fillId="8" borderId="1" xfId="0" applyNumberFormat="1" applyFill="1" applyBorder="1" applyAlignment="1">
      <alignment horizontal="left" vertical="center"/>
      <protection locked="0"/>
    </xf>
    <xf numFmtId="164" fontId="5" fillId="6" borderId="1" xfId="0" applyNumberFormat="1" applyFont="1" applyFill="1" applyBorder="1" applyAlignment="1">
      <alignment horizontal="left" vertical="center"/>
      <protection locked="0"/>
    </xf>
    <xf numFmtId="0" fontId="5" fillId="6" borderId="1" xfId="0" applyFont="1" applyFill="1" applyBorder="1" applyAlignment="1">
      <alignment horizontal="left" vertical="center"/>
      <protection locked="0"/>
    </xf>
    <xf numFmtId="3" fontId="5" fillId="6" borderId="1" xfId="0" applyNumberFormat="1" applyFont="1" applyFill="1" applyBorder="1" applyAlignment="1">
      <alignment horizontal="right" vertical="center"/>
      <protection locked="0"/>
    </xf>
    <xf numFmtId="4" fontId="5" fillId="6" borderId="1" xfId="0" applyNumberFormat="1" applyFont="1" applyFill="1" applyBorder="1" applyAlignment="1">
      <alignment horizontal="right" vertical="center"/>
      <protection locked="0"/>
    </xf>
    <xf numFmtId="167" fontId="5" fillId="6" borderId="1" xfId="0" applyNumberFormat="1" applyFont="1" applyFill="1" applyBorder="1" applyAlignment="1">
      <alignment horizontal="right" vertical="center"/>
      <protection locked="0"/>
    </xf>
    <xf numFmtId="169" fontId="5" fillId="6" borderId="1" xfId="0" applyNumberFormat="1" applyFont="1" applyFill="1" applyBorder="1" applyAlignment="1">
      <alignment horizontal="right" vertical="center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horizontal="right" vertical="top"/>
      <protection locked="0"/>
    </xf>
    <xf numFmtId="49" fontId="0" fillId="9" borderId="0" xfId="0" applyNumberFormat="1" applyFill="1" applyAlignment="1">
      <alignment horizontal="left" vertical="top"/>
      <protection locked="0"/>
    </xf>
    <xf numFmtId="4" fontId="0" fillId="9" borderId="0" xfId="0" applyNumberFormat="1" applyFill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5" fillId="6" borderId="0" xfId="0" applyFont="1" applyFill="1" applyAlignment="1">
      <alignment vertical="top"/>
      <protection locked="0"/>
    </xf>
    <xf numFmtId="0" fontId="0" fillId="0" borderId="0" xfId="0" applyNumberFormat="1" applyAlignment="1">
      <alignment vertical="top"/>
      <protection locked="0"/>
    </xf>
    <xf numFmtId="14" fontId="0" fillId="0" borderId="0" xfId="0" applyNumberFormat="1" applyAlignment="1">
      <alignment vertical="top"/>
      <protection locked="0"/>
    </xf>
  </cellXfs>
  <cellStyles count="2">
    <cellStyle name="Comma" xfId="1" builtinId="3"/>
    <cellStyle name="Normal" xfId="0" builtinId="0"/>
  </cellStyles>
  <dxfs count="339"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19" formatCode="yyyy/mm/dd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ans Serif"/>
        <scheme val="none"/>
      </font>
      <fill>
        <patternFill patternType="solid">
          <fgColor indexed="64"/>
          <bgColor rgb="FF4472C4"/>
        </patternFill>
      </fill>
      <alignment horizontal="general" vertical="top" textRotation="0" wrapText="0" indent="0" justifyLastLine="0" shrinkToFit="0" readingOrder="0"/>
    </dxf>
    <dxf>
      <numFmt numFmtId="4" formatCode="#,##0.00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9" formatCode="0.0%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right"/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fill>
        <patternFill patternType="solid">
          <fgColor indexed="64"/>
          <bgColor rgb="FFD9E2F3"/>
        </patternFill>
      </fill>
    </dxf>
    <dxf>
      <fill>
        <patternFill patternType="solid">
          <fgColor indexed="64"/>
          <bgColor rgb="FFD9E2F3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0.471157291664" createdVersion="8" refreshedVersion="8" recordCount="290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&gt;Sub-Department" numFmtId="164">
      <sharedItems containsSemiMixedTypes="0" containsString="0" containsNumber="1" containsInteger="1" minValue="101" maxValue="1821" count="15">
        <n v="101"/>
        <n v="102"/>
        <n v="103"/>
        <n v="104"/>
        <n v="106"/>
        <n v="107"/>
        <n v="109"/>
        <n v="112"/>
        <n v="113"/>
        <n v="117"/>
        <n v="118"/>
        <n v="119"/>
        <n v="120"/>
        <n v="1138"/>
        <n v="1821"/>
      </sharedItems>
    </cacheField>
    <cacheField name="Product Code" numFmtId="1">
      <sharedItems containsSemiMixedTypes="0" containsString="0" containsNumber="1" containsInteger="1" minValue="32062" maxValue="67301" count="273">
        <n v="59381"/>
        <n v="59425"/>
        <n v="34690"/>
        <n v="34141"/>
        <n v="32859"/>
        <n v="34070"/>
        <n v="34041"/>
        <n v="50037"/>
        <n v="34046"/>
        <n v="34042"/>
        <n v="34091"/>
        <n v="57073"/>
        <n v="34024"/>
        <n v="41464"/>
        <n v="51680"/>
        <n v="33997"/>
        <n v="34023"/>
        <n v="34022"/>
        <n v="32067"/>
        <n v="61947"/>
        <n v="32062"/>
        <n v="32063"/>
        <n v="34053"/>
        <n v="34011"/>
        <n v="32860"/>
        <n v="34121"/>
        <n v="58767"/>
        <n v="58512"/>
        <n v="57167"/>
        <n v="32858"/>
        <n v="34119"/>
        <n v="42401"/>
        <n v="34687"/>
        <n v="60832"/>
        <n v="34088"/>
        <n v="62788"/>
        <n v="34092"/>
        <n v="54547"/>
        <n v="34004"/>
        <n v="57071"/>
        <n v="34132"/>
        <n v="34113"/>
        <n v="40158"/>
        <n v="53528"/>
        <n v="34086"/>
        <n v="53497"/>
        <n v="54228"/>
        <n v="34006"/>
        <n v="34059"/>
        <n v="65681"/>
        <n v="62390"/>
        <n v="32862"/>
        <n v="56350"/>
        <n v="62622"/>
        <n v="34052"/>
        <n v="61950"/>
        <n v="32871"/>
        <n v="34068"/>
        <n v="54546"/>
        <n v="39750"/>
        <n v="43420"/>
        <n v="58763"/>
        <n v="62621"/>
        <n v="62627"/>
        <n v="66806"/>
        <n v="61018"/>
        <n v="54617"/>
        <n v="61949"/>
        <n v="33027"/>
        <n v="34019"/>
        <n v="34047"/>
        <n v="63800"/>
        <n v="67140"/>
        <n v="52943"/>
        <n v="32127"/>
        <n v="61939"/>
        <n v="33995"/>
        <n v="42990"/>
        <n v="34008"/>
        <n v="61938"/>
        <n v="42797"/>
        <n v="61937"/>
        <n v="32131"/>
        <n v="33031"/>
        <n v="32872"/>
        <n v="32152"/>
        <n v="55481"/>
        <n v="34015"/>
        <n v="32855"/>
        <n v="39422"/>
        <n v="38977"/>
        <n v="32128"/>
        <n v="32153"/>
        <n v="40065"/>
        <n v="32864"/>
        <n v="32863"/>
        <n v="48861"/>
        <n v="33019"/>
        <n v="33023"/>
        <n v="32066"/>
        <n v="34039"/>
        <n v="55095"/>
        <n v="61940"/>
        <n v="32149"/>
        <n v="33036"/>
        <n v="33025"/>
        <n v="61942"/>
        <n v="53212"/>
        <n v="53410"/>
        <n v="32857"/>
        <n v="32150"/>
        <n v="34102"/>
        <n v="53226"/>
        <n v="34106"/>
        <n v="50682"/>
        <n v="54430"/>
        <n v="34120"/>
        <n v="59058"/>
        <n v="53225"/>
        <n v="53141"/>
        <n v="63394"/>
        <n v="32869"/>
        <n v="34074"/>
        <n v="34139"/>
        <n v="62499"/>
        <n v="61941"/>
        <n v="34090"/>
        <n v="55482"/>
        <n v="58147"/>
        <n v="53119"/>
        <n v="33013"/>
        <n v="33012"/>
        <n v="34061"/>
        <n v="62290"/>
        <n v="46909"/>
        <n v="48620"/>
        <n v="61943"/>
        <n v="66952"/>
        <n v="53210"/>
        <n v="34037"/>
        <n v="59221"/>
        <n v="59477"/>
        <n v="33032"/>
        <n v="46797"/>
        <n v="32125"/>
        <n v="59220"/>
        <n v="32151"/>
        <n v="62623"/>
        <n v="66951"/>
        <n v="34122"/>
        <n v="34021"/>
        <n v="61014"/>
        <n v="61929"/>
        <n v="32155"/>
        <n v="65506"/>
        <n v="66434"/>
        <n v="32124"/>
        <n v="32868"/>
        <n v="61928"/>
        <n v="66435"/>
        <n v="59222"/>
        <n v="59223"/>
        <n v="34089"/>
        <n v="58045"/>
        <n v="66950"/>
        <n v="42674"/>
        <n v="38815"/>
        <n v="38816"/>
        <n v="38908"/>
        <n v="38983"/>
        <n v="39025"/>
        <n v="39421"/>
        <n v="39963"/>
        <n v="40364"/>
        <n v="48683"/>
        <n v="54652"/>
        <n v="56514"/>
        <n v="61923"/>
        <n v="61925"/>
        <n v="61926"/>
        <n v="63898"/>
        <n v="66308"/>
        <n v="67241"/>
        <n v="67242"/>
        <n v="67243"/>
        <n v="67244"/>
        <n v="67245"/>
        <n v="67246"/>
        <n v="67247"/>
        <n v="67301"/>
        <n v="33990"/>
        <n v="34142"/>
        <n v="34101"/>
        <n v="33040"/>
        <n v="34100"/>
        <n v="33989"/>
        <n v="34087"/>
        <n v="33042"/>
        <n v="34134"/>
        <n v="33047"/>
        <n v="33988"/>
        <n v="34136"/>
        <n v="33044"/>
        <n v="33048"/>
        <n v="33051"/>
        <n v="33041"/>
        <n v="33043"/>
        <n v="33045"/>
        <n v="33046"/>
        <n v="33049"/>
        <n v="33050"/>
        <n v="34076"/>
        <n v="34094"/>
        <n v="34135"/>
        <n v="34095"/>
        <n v="34083"/>
        <n v="34082"/>
        <n v="34079"/>
        <n v="34118"/>
        <n v="34081"/>
        <n v="34080"/>
        <n v="43309"/>
        <n v="40732"/>
        <n v="34075"/>
        <n v="56805"/>
        <n v="58452"/>
        <n v="54018"/>
        <n v="34028"/>
        <n v="34027"/>
        <n v="42296"/>
        <n v="54019"/>
        <n v="64416"/>
        <n v="62614"/>
        <n v="48604"/>
        <n v="61978"/>
        <n v="46072"/>
        <n v="34034"/>
        <n v="41620"/>
        <n v="61814"/>
        <n v="34033"/>
        <n v="40305"/>
        <n v="34014"/>
        <n v="34054"/>
        <n v="40809"/>
        <n v="34025"/>
        <n v="34040"/>
        <n v="33021"/>
        <n v="33991"/>
        <n v="34105"/>
        <n v="34003"/>
        <n v="34140"/>
        <n v="62620"/>
        <n v="60694"/>
        <n v="62457"/>
        <n v="64633"/>
        <n v="33038"/>
        <n v="32130"/>
        <n v="33037"/>
        <n v="63798"/>
        <n v="64635"/>
        <n v="33017"/>
        <n v="64632"/>
        <n v="65238"/>
        <n v="65239"/>
        <n v="62585"/>
        <n v="62629"/>
        <n v="34124"/>
        <n v="64763"/>
        <n v="64762"/>
        <n v="64761"/>
        <n v="57870"/>
        <n v="33999"/>
        <n v="40827"/>
      </sharedItems>
    </cacheField>
    <cacheField name="Product Description" numFmtId="0">
      <sharedItems count="272">
        <s v="WHITE BREAD STD"/>
        <s v="BROWN BREAD STD"/>
        <s v="OUMA BROOD"/>
        <s v="WHAMMY BURGER BUNS"/>
        <s v="HAMBURGER BUNS 6'S"/>
        <s v="WHITE BREAD DOUGH"/>
        <s v="MINI LOAF"/>
        <s v="CHEESE BUNS 6'S"/>
        <s v="MOSBOLLE"/>
        <s v="MINI OUMA BROOD"/>
        <s v="CHEESE &amp; GARLIC ROLLS 6'S"/>
        <s v="FOCACCIA  CHICKEN MAYO"/>
        <s v="FOCACCIA"/>
        <s v="OUPA BROOD"/>
        <s v="CONEY ROLL 6'S"/>
        <s v="FRENCH LOAF"/>
        <s v="DUMPIE WHITE BREAD"/>
        <s v="DUMPIE BROWN BREAD"/>
        <s v="BANANA BREAD"/>
        <s v="CUSTARD DELIGHT"/>
        <s v="ARTISAN FETA &amp; SPINACH LOAF"/>
        <s v="ARTISAN CHEESE &amp; ONION BREAD"/>
        <s v="RAISIN BREAD"/>
        <s v="CHEESE LOAF"/>
        <s v="HOTDOG ROLLS 6'S"/>
        <s v="HOTDOG ROLLS BULK"/>
        <s v="TOMATO,ONION &amp; CHEESE SQUARE"/>
        <s v="MEDITERRANEAN SQUARE"/>
        <s v="GATSBY ROLL"/>
        <s v="HAMBURGER BUNS"/>
        <s v="HAMBURGER BUNS BULK"/>
        <s v="BANANA BREAD MINI"/>
        <s v="HOTDOG ROLLS"/>
        <s v="WHITE BREAD STD BULK"/>
        <s v="BULK C/TAIL BUNS"/>
        <s v="MEATY SQUARE"/>
        <s v="CHEESE BUNS"/>
        <s v=" MINI GATSBY"/>
        <s v="BREAD SLICES"/>
        <s v="FOCACCIA CHAKALAKA"/>
        <s v="PORTUGUESE ROLL"/>
        <s v="CONEY ROLL"/>
        <s v="JELLY CREAM TART SMALL"/>
        <s v="MADEIRA LOAF"/>
        <s v="BREAD CRUMBS"/>
        <s v="PARTY WHEEL 30'S"/>
        <s v="CHAKALAKA ROLL"/>
        <s v="BRUINBROODDEEG"/>
        <s v="SUITABLE FOR TOAST"/>
        <s v="CINNAMON BUN 6'S"/>
        <s v="MADEIRA LOAF MINI"/>
        <s v="JAM DOUGHNUT"/>
        <s v="FOCACCIA SLICE"/>
        <s v="SEEDED HAMBURGER ROLLS 6'S"/>
        <s v="POTBREAD"/>
        <s v="LARGE CRUNCHIE BISCUIT"/>
        <s v="LEMON MEGANGUE TARTLETTE"/>
        <s v="VETKOEK COCKTAIL"/>
        <s v="BABY FOCACCIA"/>
        <s v="PARTY WHEEL 15'S"/>
        <s v="CINNAMON BUN"/>
        <s v="C/TAIL SEEDED BUNS"/>
        <s v="SEEDED HOTDOG ROLLS 6'S"/>
        <s v="BROWN HAMBURGER ROLLS 6'S"/>
        <s v="GB SOURDOUGH CIABATTA LOAF"/>
        <s v="SEEDED HAMBURGER ROLL"/>
        <s v="PIZZA BOAT MEATY"/>
        <s v="LARGE MELTING MOMENT BISCUIT"/>
        <s v="SEED LOAF"/>
        <s v="CRISPY ROLL"/>
        <s v="MULTI SEED SANDWICH WEDGE"/>
        <s v="CHAKALAKA BREAD"/>
        <s v=" C/TAIL BUNS"/>
        <s v="SAGO PUDDING"/>
        <s v="SMALL MALVA PUDDING"/>
        <s v="MADEIRA COCANUT SLICE"/>
        <s v="DOUGHNUT IMITATION CREAM"/>
        <s v="MALVA PUDDING MED"/>
        <s v="C/TAIL ECLAIR"/>
        <s v="SCHOOL BUN 8'S"/>
        <s v="GANASH TOPPED  RING DOUGHNUT"/>
        <s v="CUSTARD BUNS 3'S"/>
        <s v="CARROT CAKE SLICE"/>
        <s v="SLICE MILK TART"/>
        <s v="MEDIUM MILKTART"/>
        <s v="DOUGHNUT CUSTARD"/>
        <s v="BEESTING ROLL"/>
        <s v="CHOCOLATE ECLAIRS WITH IMM CREAM"/>
        <s v="ECLAIRS CARAMEL"/>
        <s v="CREAM HORN"/>
        <s v="CARAMEL DOUGHNUT"/>
        <s v="CAKE SLICE ASSORTED"/>
        <s v="DOUGHNUT RING C/TAIL"/>
        <s v="DOUGHNUT IMITAT CREAM 2'S"/>
        <s v="KOEKSISTERS SMALL"/>
        <s v="KOEKSISTERS MEDIUM"/>
        <s v="KOEKSISTERS SMALL 6'S"/>
        <s v="POEDING ASSORTED"/>
        <s v="SCONES 6'S"/>
        <s v="ASSORTED LARGE CUPCAKE"/>
        <s v="LAMINGTON WITH IMMITATION CREAM"/>
        <s v="CAPE MELAY DOUGHNUT"/>
        <s v="GARLIC TWIST"/>
        <s v="DOUGHNUT CINNAMON &amp; SUGAR 4S"/>
        <s v="TEMPTING TREATS PLATTER"/>
        <s v="SCONES GEVUL"/>
        <s v="SCONE 2'S"/>
        <s v="ASS DELIGHTS"/>
        <s v="KOEKSISTERS MED  3'S"/>
        <s v="BACON AVO &amp; FETA PIZZA"/>
        <s v="DOUGHNUT C/TAIL IMMITATION CREAM"/>
        <s v="CROISSANT IMMATATION CREAM LARGE"/>
        <s v=" CHOCOLATE SLICE"/>
        <s v="DOUGHNUT C/TAIL C/MEL"/>
        <s v="JELLY CREAM TART MEDIUM"/>
        <s v="PEPPERMINT CRUSH CUP"/>
        <s v="HERTZOGGIES"/>
        <s v="MINI MUFFIN B/BERRY"/>
        <s v="AP RED VELVET SLICE"/>
        <s v="B COPENHAGEN"/>
        <s v="C/TAIL-RING DOUGHNUT 3'S"/>
        <s v="LEMINGTON C/TAIL IMMATATION CREAM"/>
        <s v="YOGHURT &amp; MUESLI"/>
        <s v="VANILLA SPONGE"/>
        <s v="BREAD &amp; BUTTER PUDDING"/>
        <s v="CHOCOLATE BREAD TWIST"/>
        <s v="C/TAIL PEPPERMINT TERT"/>
        <s v="SAVOURY ROLL"/>
        <s v="SCOTCH PANCAKS"/>
        <s v="B CHELSEA BUN"/>
        <s v="MINI MUFFIN CAPPUCINO"/>
        <s v="MALVA PUDDING FAMILY"/>
        <s v="SWISS JAM ROLL"/>
        <s v="ROCKY ROAD TREAT"/>
        <s v="CHELSEA BUN"/>
        <s v="CHEESE CAKE SLICED"/>
        <s v="ROCK BUN 2'S"/>
        <s v="MINI CUPCAKE VANILLA"/>
        <s v="RED VELVET CAKE"/>
        <s v="IMMITATION CREAMY BUNS 6'S"/>
        <s v="MINI MUFFIN BRAN"/>
        <s v="MINI MUFFIN CHOC CHIP"/>
        <s v="SLICE TIRAMISU"/>
        <s v="CHOCOLATE SWISS ROLL"/>
        <s v="C/T AILRING DOUGHNUT"/>
        <s v="MINI MUFFIN BANANA"/>
        <s v="DOUGHNUT COCONUT"/>
        <s v="PEANUT BUTTER BARS"/>
        <s v="MINI CUPCAKE CARAMEL"/>
        <s v="JAM SWISS ROLL"/>
        <s v="CUSTARD BUNS 6'S"/>
        <s v="MINI MUFFIN CARROT"/>
        <s v="MADEIRA LOAF VINALLA"/>
        <s v="FILLED C/TAIL DOUGHNUT"/>
        <s v="COCANUT SLICE"/>
        <s v="BLACK FOREST DANISH"/>
        <s v="C/TAIL MILKTARTS 6'S"/>
        <s v="LEMINGTON C/TAIL"/>
        <s v="MADEIRA LOAF CHOC"/>
        <s v="APPLE DANISH"/>
        <s v="MINI MUFFIN LEM &amp; POPPY SEED"/>
        <s v="MINI MUFFIN CARAMEL"/>
        <s v="C/TAIL LEMON MERINGUE 6'S"/>
        <s v=" BULK C/T RING DOUGHNUT"/>
        <s v="MINI CUPCAKE CHOC"/>
        <s v="C/TAIL APPLE DANISH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GB ECLAIR JUMBO"/>
        <s v="JUMBO  CROISSANT"/>
        <s v="GB BAVARIAN WHIP"/>
        <s v="MINI SWIS ROLL VANILLACARMEL"/>
        <s v="MINI SWIS ROLL CHOC FILLING"/>
        <s v="MINI SWISS ROLL RED VELVET"/>
        <s v="WHITE CHOC CANACHE"/>
        <s v=" ROUND DOUGHNUT"/>
        <s v="MOIST CHOC PUDDING"/>
        <s v="MOIST VANILLA PUDDING"/>
        <s v="MOIST VANILLA LOAF"/>
        <s v="MOIST CHOC LOAF"/>
        <s v="CHOC MOUSSE SLICE"/>
        <s v="VANIILA CAKE SLICE"/>
        <s v="CARAMEL &amp; CUSTARD DANISH"/>
        <s v="FRUIT TRIFLE"/>
        <s v="YEAST"/>
        <s v="COCONUT"/>
        <s v="TOPPING BACON"/>
        <s v="COCOA POWDER"/>
        <s v="TOPPING SALAMI"/>
        <s v="IMMATATION CREAM"/>
        <s v="TOPPING CHEESE"/>
        <s v="SADE : POPPY"/>
        <s v="TOPPING HAM"/>
        <s v="TOPPING PINEAPPLE"/>
        <s v="SADE :SONNEBLOM"/>
        <s v="TOPPING FETA"/>
        <s v="TOPPING MUSHROOM"/>
        <s v="TOPPING PEPPERDEW"/>
        <s v="TOPPING BANANA"/>
        <s v="TOPPING CHICKEN MAYO"/>
        <s v="TOPPING GARLIC"/>
        <s v="TOPPING GREEN PEPPER"/>
        <s v="TOPPING OLIVES"/>
        <s v="TOPPING AVO"/>
        <s v="BAKING POWDER"/>
        <s v="CHERRIES"/>
        <s v="SADE :SESAME"/>
        <s v="CHOC CHIP BISCUITS 500G"/>
        <s v="BISCUIT GINGER 1KG"/>
        <s v="BISCUIT KELLOGG 1KG"/>
        <s v="BISCUIT CHOC CHIP 1KG"/>
        <s v="GINGER BISCUITS 500G"/>
        <s v="BISCUIT COCNUT 500G"/>
        <s v="BISCUIT COCONUT 1KG"/>
        <s v="BISCUITS 250G"/>
        <s v="MARKDOWN GINGER BISCUITS 500G"/>
        <s v="BAKERS MIX"/>
        <s v="LUXURY COOKIES"/>
        <s v="MELTING MOMENTS"/>
        <s v="BREAKFAST ROLL"/>
        <s v="GARLIC LOAF"/>
        <s v="GARLIC BUNS 6'S"/>
        <s v="GARLIC BUNS SINGLE"/>
        <s v="SUNNYSEED BREAD"/>
        <s v="MINI SWISSROLLS 5'S"/>
        <s v="BEANTREE BISC CHOC"/>
        <s v="GB DIP -WHITE"/>
        <s v="GATUE CAKES"/>
        <s v="PIEMANS MINI PIES ASSORTED"/>
        <s v="HOT CROSS BUNS 6'S"/>
        <s v=" JUMBO MUFFIN ALL BRAN"/>
        <s v="HOT CROSS BUN LOAF"/>
        <s v="HAWAIAN PIZZA"/>
        <s v="PIZZA SLICE"/>
        <s v="CHICKEN MUSHROOM &amp; PEPPERDEW PIZZA"/>
        <s v="REGINA PIZZA"/>
        <s v="SOUR DOUGH PIZZA SLICE"/>
        <s v="FOUR SEASONS PIZZA"/>
        <s v="MARGHERITA PIZZA"/>
        <s v="SALAMI FETA &amp; OLIVE PIZZA"/>
        <s v="VEGETARIAN PIZZA"/>
        <s v="DESSERT TOPPING VANILLA CAKE"/>
        <s v="BOX CAKE WITH ICING"/>
        <s v="VERJAARSDAGKOEK GROOT"/>
        <s v="BUDGET CAKE"/>
        <s v="ROUND CAKE ASST."/>
        <s v="OREO  CAKE"/>
        <s v="C/T MILKTARTLET"/>
        <s v="YOGHURT TART"/>
        <s v="CARROT CAKE"/>
        <s v="LEMON MERAINGUE TART"/>
        <s v="MINI CAKE"/>
        <s v="MIST CHOC CAKE"/>
        <s v="PEPPERMINT TERT"/>
        <s v="BLACK FOREST CAKE"/>
        <s v="CREMORA TART"/>
        <s v="ALTAS MILKTART MEDIUM"/>
        <s v="BULK BISCUITS 1KG"/>
        <s v="BULK CHOC CHIP BISCUITS"/>
        <s v="KELLOGGS BISCUIT 500G"/>
        <s v=" CRUNCHIE BISCUITS 500G"/>
        <s v=" CRUNCHIE BISCUITS 1KG"/>
        <s v="BULK CRUNCHIE BISCUITS"/>
        <s v="TROLLEY COVERS"/>
        <s v="AMAZING PIES MARK DOWN"/>
        <s v="MACCOY PIES MARK DOWN"/>
      </sharedItems>
    </cacheField>
    <cacheField name="SP" numFmtId="0">
      <sharedItems containsSemiMixedTypes="0" containsString="0" containsNumber="1" minValue="0" maxValue="402.99"/>
    </cacheField>
    <cacheField name="List Cost" numFmtId="0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7">
      <sharedItems containsSemiMixedTypes="0" containsString="0" containsNumber="1" minValue="0" maxValue="10912.2"/>
    </cacheField>
    <cacheField name="CP of potential sales" numFmtId="167">
      <sharedItems containsSemiMixedTypes="0" containsString="0" containsNumber="1" minValue="0" maxValue="5740.8"/>
    </cacheField>
    <cacheField name="Potential GP" numFmtId="167">
      <sharedItems containsSemiMixedTypes="0" containsString="0" containsNumber="1" minValue="0" maxValue="5171.4000000000005"/>
    </cacheField>
    <cacheField name="Potential GP%" numFmtId="168">
      <sharedItems containsSemiMixedTypes="0" containsString="0" containsNumber="1" minValue="0" maxValue="89.400170427179418" count="49">
        <n v="47.390993566833458"/>
        <n v="42.675159235668787"/>
        <n v="54.679223072395523"/>
        <n v="33.222499999999997"/>
        <n v="47.117675083373037"/>
        <n v="47.575057736720559"/>
        <n v="54.935622317596568"/>
        <n v="48.441708349365136"/>
        <n v="38.969484742371179"/>
        <n v="56.315789473684198"/>
        <n v="38.769384692346165"/>
        <n v="56.609894566098937"/>
        <n v="56.567517767833642"/>
        <n v="54.502648616833426"/>
        <n v="44.793087767166895"/>
        <n v="49.166110740493664"/>
        <n v="59.227467811158796"/>
        <n v="54.590984974958253"/>
        <n v="54.529865675907409"/>
        <n v="69.196274577440491"/>
        <n v="61.264505802320933"/>
        <n v="57.478739369684838"/>
        <n v="57.848655409631021"/>
        <n v="86.843421710855424"/>
        <n v="0"/>
        <n v="52.578930915911229"/>
        <n v="49.791492910758976"/>
        <n v="49.1"/>
        <n v="48.592870544090054"/>
        <n v="45.722861430715355"/>
        <n v="27.879799666110173"/>
        <n v="65.7"/>
        <n v="57.2977481234362"/>
        <n v="73.3"/>
        <n v="51.922064244339118"/>
        <n v="49.305169538632576"/>
        <n v="70.517629407351848"/>
        <n v="47.882986913010015"/>
        <n v="57.46455379482903"/>
        <n v="89.400170427179418"/>
        <n v="49.193996664813781"/>
        <n v="48.092557848655403"/>
        <n v="58.252750916972317"/>
        <n v="72.474494898979799"/>
        <n v="50.690138027605528"/>
        <n v="49.929985997199438"/>
        <n v="48.235913638757232"/>
        <n v="57.82891445722862"/>
        <n v="49.280800500312701"/>
      </sharedItems>
    </cacheField>
    <cacheField name="GP%" numFmtId="0" formula="('Potential Sales'-'CP of potential sales' 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0">
  <r>
    <s v="BAKERY PRODUCTS"/>
    <x v="0"/>
    <x v="0"/>
    <x v="0"/>
    <n v="13.99"/>
    <n v="7.36"/>
    <n v="780"/>
    <n v="10912.2"/>
    <n v="5740.8"/>
    <n v="5171.4000000000005"/>
    <x v="0"/>
  </r>
  <r>
    <s v="BAKERY PRODUCTS"/>
    <x v="0"/>
    <x v="1"/>
    <x v="1"/>
    <n v="10.99"/>
    <n v="6.3"/>
    <n v="240"/>
    <n v="2637.6"/>
    <n v="1512"/>
    <n v="1125.5999999999999"/>
    <x v="1"/>
  </r>
  <r>
    <s v="BAKERY PRODUCTS"/>
    <x v="0"/>
    <x v="2"/>
    <x v="2"/>
    <n v="16.989999999999998"/>
    <n v="7.7"/>
    <n v="184"/>
    <n v="3126.16"/>
    <n v="1416.8"/>
    <n v="1709.36"/>
    <x v="2"/>
  </r>
  <r>
    <s v="GOOSEBUMPS DISTR.(BREAD STOP)"/>
    <x v="0"/>
    <x v="3"/>
    <x v="3"/>
    <n v="5"/>
    <n v="3.3388749999999998"/>
    <n v="144"/>
    <n v="720"/>
    <n v="480.798"/>
    <n v="239.202"/>
    <x v="3"/>
  </r>
  <r>
    <s v="GOOSEBUMPS DISTR.(BREAD STOP)"/>
    <x v="0"/>
    <x v="4"/>
    <x v="4"/>
    <n v="20.99"/>
    <n v="11.1"/>
    <n v="104.666666666667"/>
    <n v="2196.9533333333402"/>
    <n v="1161.8000000000036"/>
    <n v="1035.1533333333366"/>
    <x v="4"/>
  </r>
  <r>
    <s v="BAKERY PRODUCTS"/>
    <x v="0"/>
    <x v="5"/>
    <x v="5"/>
    <n v="12.99"/>
    <n v="6.81"/>
    <n v="86"/>
    <n v="1117.1400000000001"/>
    <n v="585.66"/>
    <n v="531.48000000000013"/>
    <x v="5"/>
  </r>
  <r>
    <s v="BAKERY PRODUCTS"/>
    <x v="0"/>
    <x v="6"/>
    <x v="6"/>
    <n v="6.99"/>
    <n v="3.15"/>
    <n v="70"/>
    <n v="489.3"/>
    <n v="220.5"/>
    <n v="268.8"/>
    <x v="6"/>
  </r>
  <r>
    <s v="GOOSEBUMPS DISTR.(BREAD STOP)"/>
    <x v="0"/>
    <x v="7"/>
    <x v="7"/>
    <n v="25.99"/>
    <n v="13.4"/>
    <n v="65"/>
    <n v="1689.35"/>
    <n v="871"/>
    <n v="818.34999999999991"/>
    <x v="7"/>
  </r>
  <r>
    <s v="BAKERY PRODUCTS"/>
    <x v="0"/>
    <x v="8"/>
    <x v="8"/>
    <n v="19.989999999999998"/>
    <n v="12.2"/>
    <n v="50"/>
    <n v="999.49999999999989"/>
    <n v="610"/>
    <n v="389.49999999999989"/>
    <x v="8"/>
  </r>
  <r>
    <s v="BAKERY PRODUCTS"/>
    <x v="0"/>
    <x v="9"/>
    <x v="9"/>
    <n v="9.5"/>
    <n v="4.1500000000000004"/>
    <n v="48"/>
    <n v="456"/>
    <n v="199.20000000000002"/>
    <n v="256.79999999999995"/>
    <x v="9"/>
  </r>
  <r>
    <s v="BAKERY PRODUCTS"/>
    <x v="0"/>
    <x v="10"/>
    <x v="10"/>
    <n v="19.989999999999998"/>
    <n v="12.24"/>
    <n v="40"/>
    <n v="799.59999999999991"/>
    <n v="489.6"/>
    <n v="309.99999999999989"/>
    <x v="10"/>
  </r>
  <r>
    <s v="BAKERY PRODUCTS"/>
    <x v="0"/>
    <x v="11"/>
    <x v="11"/>
    <n v="36.99"/>
    <n v="16.05"/>
    <n v="36"/>
    <n v="1331.64"/>
    <n v="577.80000000000007"/>
    <n v="753.84"/>
    <x v="11"/>
  </r>
  <r>
    <s v="BAKERY PRODUCTS"/>
    <x v="0"/>
    <x v="12"/>
    <x v="12"/>
    <n v="37.99"/>
    <n v="16.5"/>
    <n v="36"/>
    <n v="1367.64"/>
    <n v="594"/>
    <n v="773.6400000000001"/>
    <x v="12"/>
  </r>
  <r>
    <s v="BAKERY PRODUCTS"/>
    <x v="0"/>
    <x v="13"/>
    <x v="13"/>
    <n v="16.989999999999998"/>
    <n v="7.73"/>
    <n v="36"/>
    <n v="611.64"/>
    <n v="278.28000000000003"/>
    <n v="333.35999999999996"/>
    <x v="13"/>
  </r>
  <r>
    <s v="GOOSEBUMPS DISTR.(BREAD STOP)"/>
    <x v="0"/>
    <x v="14"/>
    <x v="14"/>
    <n v="21.99"/>
    <n v="12.14"/>
    <n v="34"/>
    <n v="747.66"/>
    <n v="412.76"/>
    <n v="334.9"/>
    <x v="14"/>
  </r>
  <r>
    <s v="BAKERY PRODUCTS"/>
    <x v="0"/>
    <x v="15"/>
    <x v="15"/>
    <n v="14.99"/>
    <n v="7.62"/>
    <n v="30"/>
    <n v="449.7"/>
    <n v="228.6"/>
    <n v="221.1"/>
    <x v="15"/>
  </r>
  <r>
    <s v="BAKERY PRODUCTS"/>
    <x v="0"/>
    <x v="16"/>
    <x v="16"/>
    <n v="6.99"/>
    <n v="2.85"/>
    <n v="28"/>
    <n v="195.72"/>
    <n v="79.8"/>
    <n v="115.92"/>
    <x v="16"/>
  </r>
  <r>
    <s v="BAKERY PRODUCTS"/>
    <x v="0"/>
    <x v="17"/>
    <x v="17"/>
    <n v="5.99"/>
    <n v="2.72"/>
    <n v="24"/>
    <n v="143.76"/>
    <n v="65.28"/>
    <n v="78.47999999999999"/>
    <x v="17"/>
  </r>
  <r>
    <s v="BAKERY PRODUCTS"/>
    <x v="0"/>
    <x v="18"/>
    <x v="18"/>
    <n v="34.99"/>
    <n v="15.91"/>
    <n v="8"/>
    <n v="279.92"/>
    <n v="127.28"/>
    <n v="152.64000000000001"/>
    <x v="18"/>
  </r>
  <r>
    <s v="BAKERY PRODUCTS"/>
    <x v="0"/>
    <x v="19"/>
    <x v="19"/>
    <n v="28.99"/>
    <n v="8.93"/>
    <n v="8"/>
    <n v="231.92"/>
    <n v="71.44"/>
    <n v="160.47999999999999"/>
    <x v="19"/>
  </r>
  <r>
    <s v="BAKERY PRODUCTS"/>
    <x v="0"/>
    <x v="20"/>
    <x v="20"/>
    <n v="24.99"/>
    <n v="9.68"/>
    <n v="6"/>
    <n v="149.94"/>
    <n v="58.08"/>
    <n v="91.86"/>
    <x v="20"/>
  </r>
  <r>
    <s v="BAKERY PRODUCTS"/>
    <x v="0"/>
    <x v="21"/>
    <x v="21"/>
    <n v="19.989999999999998"/>
    <n v="8.5"/>
    <n v="6"/>
    <n v="119.94"/>
    <n v="51"/>
    <n v="68.94"/>
    <x v="21"/>
  </r>
  <r>
    <s v="BAKERY PRODUCTS"/>
    <x v="0"/>
    <x v="22"/>
    <x v="22"/>
    <n v="15.99"/>
    <n v="6.74"/>
    <n v="6"/>
    <n v="95.94"/>
    <n v="40.44"/>
    <n v="55.5"/>
    <x v="22"/>
  </r>
  <r>
    <s v="BAKERY PRODUCTS"/>
    <x v="0"/>
    <x v="23"/>
    <x v="23"/>
    <n v="19.989999999999998"/>
    <n v="2.63"/>
    <n v="6"/>
    <n v="119.94"/>
    <n v="15.78"/>
    <n v="104.16"/>
    <x v="23"/>
  </r>
  <r>
    <s v="BAKERY PRODUCTS"/>
    <x v="0"/>
    <x v="24"/>
    <x v="24"/>
    <n v="20.99"/>
    <n v="11.1"/>
    <n v="0"/>
    <n v="0"/>
    <n v="0"/>
    <n v="0"/>
    <x v="24"/>
  </r>
  <r>
    <s v="BAKERY PRODUCTS"/>
    <x v="0"/>
    <x v="4"/>
    <x v="4"/>
    <n v="20.99"/>
    <n v="7.46"/>
    <n v="0"/>
    <n v="0"/>
    <n v="0"/>
    <n v="0"/>
    <x v="24"/>
  </r>
  <r>
    <s v="BAKERY PRODUCTS"/>
    <x v="0"/>
    <x v="25"/>
    <x v="25"/>
    <n v="3.3"/>
    <n v="1.85"/>
    <n v="0"/>
    <n v="0"/>
    <n v="0"/>
    <n v="0"/>
    <x v="24"/>
  </r>
  <r>
    <s v="BAKERY PRODUCTS"/>
    <x v="0"/>
    <x v="26"/>
    <x v="26"/>
    <n v="19.989999999999998"/>
    <n v="7.04"/>
    <n v="0"/>
    <n v="0"/>
    <n v="0"/>
    <n v="0"/>
    <x v="24"/>
  </r>
  <r>
    <s v="BAKERY PRODUCTS"/>
    <x v="0"/>
    <x v="27"/>
    <x v="27"/>
    <n v="26.99"/>
    <n v="10.66"/>
    <n v="0"/>
    <n v="0"/>
    <n v="0"/>
    <n v="0"/>
    <x v="24"/>
  </r>
  <r>
    <s v="BAKERY PRODUCTS"/>
    <x v="0"/>
    <x v="28"/>
    <x v="28"/>
    <n v="16.989999999999998"/>
    <n v="7.4"/>
    <n v="0"/>
    <n v="0"/>
    <n v="0"/>
    <n v="0"/>
    <x v="24"/>
  </r>
  <r>
    <s v="GOOSEBUMPS DISTR.(BREAD STOP)"/>
    <x v="0"/>
    <x v="29"/>
    <x v="29"/>
    <n v="3.8"/>
    <n v="1.8573999999999999"/>
    <n v="0"/>
    <n v="0"/>
    <n v="0"/>
    <n v="0"/>
    <x v="24"/>
  </r>
  <r>
    <s v="VECTOR LOG.(PTY)LTD GOOSEBUMPS"/>
    <x v="0"/>
    <x v="29"/>
    <x v="29"/>
    <n v="3.8"/>
    <n v="2.0770666666666702"/>
    <n v="0"/>
    <n v="0"/>
    <n v="0"/>
    <n v="0"/>
    <x v="24"/>
  </r>
  <r>
    <s v="BAKERY PRODUCTS"/>
    <x v="0"/>
    <x v="30"/>
    <x v="30"/>
    <n v="3.3"/>
    <n v="1.85"/>
    <n v="0"/>
    <n v="0"/>
    <n v="0"/>
    <n v="0"/>
    <x v="24"/>
  </r>
  <r>
    <s v="BAKERY PRODUCTS"/>
    <x v="0"/>
    <x v="31"/>
    <x v="31"/>
    <n v="14.99"/>
    <n v="6.62"/>
    <n v="0"/>
    <n v="0"/>
    <n v="0"/>
    <n v="0"/>
    <x v="24"/>
  </r>
  <r>
    <s v="GOOSEBUMPS DISTR.(BREAD STOP)"/>
    <x v="0"/>
    <x v="32"/>
    <x v="32"/>
    <n v="3.8"/>
    <n v="1.9688000000000001"/>
    <n v="0"/>
    <n v="0"/>
    <n v="0"/>
    <n v="0"/>
    <x v="24"/>
  </r>
  <r>
    <s v="VECTOR LOG.(PTY)LTD GOOSEBUMPS"/>
    <x v="0"/>
    <x v="32"/>
    <x v="32"/>
    <n v="3.8"/>
    <n v="2.0770666666666702"/>
    <n v="0"/>
    <n v="0"/>
    <n v="0"/>
    <n v="0"/>
    <x v="24"/>
  </r>
  <r>
    <s v="BAKERY PRODUCTS"/>
    <x v="0"/>
    <x v="33"/>
    <x v="33"/>
    <n v="10"/>
    <n v="7.36"/>
    <n v="0"/>
    <n v="0"/>
    <n v="0"/>
    <n v="0"/>
    <x v="24"/>
  </r>
  <r>
    <s v="BAKERY PRODUCTS"/>
    <x v="0"/>
    <x v="34"/>
    <x v="34"/>
    <n v="1.5"/>
    <n v="0.68"/>
    <n v="0"/>
    <n v="0"/>
    <n v="0"/>
    <n v="0"/>
    <x v="24"/>
  </r>
  <r>
    <s v="BAKERY PRODUCTS"/>
    <x v="0"/>
    <x v="35"/>
    <x v="35"/>
    <n v="26.99"/>
    <n v="10.66"/>
    <n v="0"/>
    <n v="0"/>
    <n v="0"/>
    <n v="0"/>
    <x v="24"/>
  </r>
  <r>
    <s v="BAKERY PRODUCTS"/>
    <x v="0"/>
    <x v="36"/>
    <x v="36"/>
    <n v="4.99"/>
    <n v="2.52"/>
    <n v="0"/>
    <n v="0"/>
    <n v="0"/>
    <n v="0"/>
    <x v="24"/>
  </r>
  <r>
    <s v="BAKERY PRODUCTS"/>
    <x v="0"/>
    <x v="37"/>
    <x v="37"/>
    <n v="9.99"/>
    <n v="3.23"/>
    <n v="0"/>
    <n v="0"/>
    <n v="0"/>
    <n v="0"/>
    <x v="24"/>
  </r>
  <r>
    <s v="BAKERY PRODUCTS"/>
    <x v="0"/>
    <x v="38"/>
    <x v="38"/>
    <n v="1"/>
    <n v="0.65"/>
    <n v="0"/>
    <n v="0"/>
    <n v="0"/>
    <n v="0"/>
    <x v="24"/>
  </r>
  <r>
    <s v="BAKERY PRODUCTS"/>
    <x v="0"/>
    <x v="39"/>
    <x v="39"/>
    <n v="29.99"/>
    <n v="12.66"/>
    <n v="0"/>
    <n v="0"/>
    <n v="0"/>
    <n v="0"/>
    <x v="24"/>
  </r>
  <r>
    <s v="GOOSEBUMPS DISTR.(BREAD STOP)"/>
    <x v="0"/>
    <x v="40"/>
    <x v="40"/>
    <n v="3.99"/>
    <n v="2.1095999999999999"/>
    <n v="0"/>
    <n v="0"/>
    <n v="0"/>
    <n v="0"/>
    <x v="24"/>
  </r>
  <r>
    <s v="GOOSEBUMPS DISTR.(BREAD STOP)"/>
    <x v="0"/>
    <x v="41"/>
    <x v="41"/>
    <n v="3.99"/>
    <n v="2.1385999999999998"/>
    <n v="0"/>
    <n v="0"/>
    <n v="0"/>
    <n v="0"/>
    <x v="24"/>
  </r>
  <r>
    <s v="GOOSEBUMPS DISTR.(BREAD STOP)"/>
    <x v="0"/>
    <x v="42"/>
    <x v="42"/>
    <n v="11.99"/>
    <n v="6.05"/>
    <n v="0"/>
    <n v="0"/>
    <n v="0"/>
    <n v="0"/>
    <x v="24"/>
  </r>
  <r>
    <s v="BAKERY PRODUCTS"/>
    <x v="0"/>
    <x v="42"/>
    <x v="42"/>
    <n v="11.99"/>
    <n v="6.05"/>
    <n v="0"/>
    <n v="0"/>
    <n v="0"/>
    <n v="0"/>
    <x v="24"/>
  </r>
  <r>
    <s v="BAKERY PRODUCTS"/>
    <x v="0"/>
    <x v="43"/>
    <x v="43"/>
    <n v="28.99"/>
    <n v="14.86"/>
    <n v="0"/>
    <n v="0"/>
    <n v="0"/>
    <n v="0"/>
    <x v="24"/>
  </r>
  <r>
    <s v="BAKERY PRODUCTS"/>
    <x v="0"/>
    <x v="44"/>
    <x v="44"/>
    <n v="29.99"/>
    <n v="10"/>
    <n v="0"/>
    <n v="0"/>
    <n v="0"/>
    <n v="0"/>
    <x v="24"/>
  </r>
  <r>
    <s v="BAKERY PRODUCTS"/>
    <x v="0"/>
    <x v="45"/>
    <x v="45"/>
    <n v="79.989999999999995"/>
    <n v="32.200000000000003"/>
    <n v="0"/>
    <n v="0"/>
    <n v="0"/>
    <n v="0"/>
    <x v="24"/>
  </r>
  <r>
    <s v="BAKERY PRODUCTS"/>
    <x v="0"/>
    <x v="46"/>
    <x v="46"/>
    <n v="13.99"/>
    <n v="7.37"/>
    <n v="0"/>
    <n v="0"/>
    <n v="0"/>
    <n v="0"/>
    <x v="24"/>
  </r>
  <r>
    <s v="BAKERY PRODUCTS"/>
    <x v="0"/>
    <x v="47"/>
    <x v="47"/>
    <n v="10.99"/>
    <n v="6.3"/>
    <n v="0"/>
    <n v="0"/>
    <n v="0"/>
    <n v="0"/>
    <x v="24"/>
  </r>
  <r>
    <s v="BAKERY PRODUCTS"/>
    <x v="0"/>
    <x v="48"/>
    <x v="48"/>
    <n v="6.99"/>
    <n v="3.8"/>
    <n v="0"/>
    <n v="0"/>
    <n v="0"/>
    <n v="0"/>
    <x v="24"/>
  </r>
  <r>
    <s v="BAKERY PRODUCTS"/>
    <x v="0"/>
    <x v="49"/>
    <x v="49"/>
    <n v="29.99"/>
    <n v="16.03"/>
    <n v="0"/>
    <n v="0"/>
    <n v="0"/>
    <n v="0"/>
    <x v="24"/>
  </r>
  <r>
    <s v="BAKERY PRODUCTS"/>
    <x v="0"/>
    <x v="50"/>
    <x v="50"/>
    <n v="19.989999999999998"/>
    <n v="7.43"/>
    <n v="0"/>
    <n v="0"/>
    <n v="0"/>
    <n v="0"/>
    <x v="24"/>
  </r>
  <r>
    <s v="BAKERY PRODUCTS"/>
    <x v="0"/>
    <x v="51"/>
    <x v="51"/>
    <n v="9.99"/>
    <n v="5.14"/>
    <n v="0"/>
    <n v="0"/>
    <n v="0"/>
    <n v="0"/>
    <x v="24"/>
  </r>
  <r>
    <s v="BAKERY PRODUCTS"/>
    <x v="0"/>
    <x v="52"/>
    <x v="52"/>
    <n v="4.99"/>
    <n v="2.61"/>
    <n v="0"/>
    <n v="0"/>
    <n v="0"/>
    <n v="0"/>
    <x v="24"/>
  </r>
  <r>
    <s v="BAKERY PRODUCTS"/>
    <x v="0"/>
    <x v="53"/>
    <x v="53"/>
    <n v="26.99"/>
    <n v="14.15"/>
    <n v="0"/>
    <n v="0"/>
    <n v="0"/>
    <n v="0"/>
    <x v="24"/>
  </r>
  <r>
    <s v="BAKERY PRODUCTS"/>
    <x v="0"/>
    <x v="54"/>
    <x v="54"/>
    <n v="24.99"/>
    <n v="8.1"/>
    <n v="0"/>
    <n v="0"/>
    <n v="0"/>
    <n v="0"/>
    <x v="24"/>
  </r>
  <r>
    <s v="BAKERY PRODUCTS"/>
    <x v="0"/>
    <x v="55"/>
    <x v="55"/>
    <n v="10"/>
    <n v="6.19"/>
    <n v="0"/>
    <n v="0"/>
    <n v="0"/>
    <n v="0"/>
    <x v="24"/>
  </r>
  <r>
    <s v="BAKERY PRODUCTS"/>
    <x v="0"/>
    <x v="56"/>
    <x v="56"/>
    <n v="8.99"/>
    <n v="5"/>
    <n v="0"/>
    <n v="0"/>
    <n v="0"/>
    <n v="0"/>
    <x v="24"/>
  </r>
  <r>
    <s v="BAKERY PRODUCTS"/>
    <x v="0"/>
    <x v="57"/>
    <x v="57"/>
    <n v="1.5"/>
    <n v="0.59"/>
    <n v="0"/>
    <n v="0"/>
    <n v="0"/>
    <n v="0"/>
    <x v="24"/>
  </r>
  <r>
    <s v="BAKERY PRODUCTS"/>
    <x v="0"/>
    <x v="58"/>
    <x v="58"/>
    <n v="5.99"/>
    <n v="2.5299999999999998"/>
    <n v="0"/>
    <n v="0"/>
    <n v="0"/>
    <n v="0"/>
    <x v="24"/>
  </r>
  <r>
    <s v="BAKERY PRODUCTS"/>
    <x v="0"/>
    <x v="59"/>
    <x v="59"/>
    <n v="39.99"/>
    <n v="16.100000000000001"/>
    <n v="0"/>
    <n v="0"/>
    <n v="0"/>
    <n v="0"/>
    <x v="24"/>
  </r>
  <r>
    <s v="GOOSEBUMPS DISTR.(BREAD STOP)"/>
    <x v="0"/>
    <x v="60"/>
    <x v="60"/>
    <n v="13.99"/>
    <n v="8.3665000000000003"/>
    <n v="0"/>
    <n v="0"/>
    <n v="0"/>
    <n v="0"/>
    <x v="24"/>
  </r>
  <r>
    <s v="BAKERY PRODUCTS"/>
    <x v="0"/>
    <x v="61"/>
    <x v="61"/>
    <n v="3.2"/>
    <n v="1.62"/>
    <n v="0"/>
    <n v="0"/>
    <n v="0"/>
    <n v="0"/>
    <x v="24"/>
  </r>
  <r>
    <s v="BAKERY PRODUCTS"/>
    <x v="0"/>
    <x v="62"/>
    <x v="62"/>
    <n v="26.99"/>
    <n v="14.15"/>
    <n v="0"/>
    <n v="0"/>
    <n v="0"/>
    <n v="0"/>
    <x v="24"/>
  </r>
  <r>
    <s v="BAKERY PRODUCTS"/>
    <x v="0"/>
    <x v="63"/>
    <x v="63"/>
    <n v="20.99"/>
    <n v="12.88"/>
    <n v="0"/>
    <n v="0"/>
    <n v="0"/>
    <n v="0"/>
    <x v="24"/>
  </r>
  <r>
    <s v="VECTOR LOG.(PTY)LTD GOOSEBUMPS"/>
    <x v="0"/>
    <x v="64"/>
    <x v="64"/>
    <n v="33.99"/>
    <n v="17.418749999999999"/>
    <n v="0"/>
    <n v="0"/>
    <n v="0"/>
    <n v="0"/>
    <x v="24"/>
  </r>
  <r>
    <s v="BAKERY PRODUCTS"/>
    <x v="0"/>
    <x v="65"/>
    <x v="65"/>
    <n v="4"/>
    <n v="2.2599999999999998"/>
    <n v="0"/>
    <n v="0"/>
    <n v="0"/>
    <n v="0"/>
    <x v="24"/>
  </r>
  <r>
    <s v="BAKERY PRODUCTS"/>
    <x v="0"/>
    <x v="66"/>
    <x v="66"/>
    <n v="30.99"/>
    <n v="12.4"/>
    <n v="0"/>
    <n v="0"/>
    <n v="0"/>
    <n v="0"/>
    <x v="24"/>
  </r>
  <r>
    <s v="BAKERY PRODUCTS"/>
    <x v="0"/>
    <x v="67"/>
    <x v="67"/>
    <n v="10"/>
    <n v="6.28"/>
    <n v="0"/>
    <n v="0"/>
    <n v="0"/>
    <n v="0"/>
    <x v="24"/>
  </r>
  <r>
    <s v="BAKERY PRODUCTS"/>
    <x v="0"/>
    <x v="68"/>
    <x v="68"/>
    <n v="19.989999999999998"/>
    <n v="7.94"/>
    <n v="0"/>
    <n v="0"/>
    <n v="0"/>
    <n v="0"/>
    <x v="24"/>
  </r>
  <r>
    <s v="BAKERY PRODUCTS"/>
    <x v="0"/>
    <x v="69"/>
    <x v="69"/>
    <n v="5.99"/>
    <n v="3.12"/>
    <n v="0"/>
    <n v="0"/>
    <n v="0"/>
    <n v="0"/>
    <x v="24"/>
  </r>
  <r>
    <s v="GOOSEBUMPS DISTR.(BREAD STOP)"/>
    <x v="0"/>
    <x v="70"/>
    <x v="70"/>
    <n v="3.99"/>
    <n v="2.120625"/>
    <n v="0"/>
    <n v="0"/>
    <n v="0"/>
    <n v="0"/>
    <x v="24"/>
  </r>
  <r>
    <s v="BAKERY PRODUCTS"/>
    <x v="0"/>
    <x v="71"/>
    <x v="71"/>
    <n v="23.99"/>
    <n v="11.87"/>
    <n v="0"/>
    <n v="0"/>
    <n v="0"/>
    <n v="0"/>
    <x v="24"/>
  </r>
  <r>
    <s v="BAKERY PRODUCTS"/>
    <x v="0"/>
    <x v="72"/>
    <x v="72"/>
    <n v="2"/>
    <n v="0.68"/>
    <n v="0"/>
    <n v="0"/>
    <n v="0"/>
    <n v="0"/>
    <x v="24"/>
  </r>
  <r>
    <s v="BAKERY PRODUCTS"/>
    <x v="1"/>
    <x v="73"/>
    <x v="73"/>
    <n v="31.99"/>
    <n v="15.17"/>
    <n v="213"/>
    <n v="6813.87"/>
    <n v="3231.21"/>
    <n v="3582.66"/>
    <x v="25"/>
  </r>
  <r>
    <s v="BAKERY PRODUCTS"/>
    <x v="1"/>
    <x v="74"/>
    <x v="74"/>
    <n v="11.99"/>
    <n v="6.02"/>
    <n v="32"/>
    <n v="383.68"/>
    <n v="192.64"/>
    <n v="191.04000000000002"/>
    <x v="26"/>
  </r>
  <r>
    <s v="BAKERY PRODUCTS"/>
    <x v="1"/>
    <x v="75"/>
    <x v="75"/>
    <n v="10"/>
    <n v="5.09"/>
    <n v="24"/>
    <n v="240"/>
    <n v="122.16"/>
    <n v="117.84"/>
    <x v="27"/>
  </r>
  <r>
    <s v="BAKERY PRODUCTS"/>
    <x v="1"/>
    <x v="76"/>
    <x v="76"/>
    <n v="15.99"/>
    <n v="8.2200000000000006"/>
    <n v="16"/>
    <n v="255.84"/>
    <n v="131.52000000000001"/>
    <n v="124.32"/>
    <x v="28"/>
  </r>
  <r>
    <s v="BAKERY PRODUCTS"/>
    <x v="1"/>
    <x v="77"/>
    <x v="77"/>
    <n v="19.989999999999998"/>
    <n v="10.85"/>
    <n v="16"/>
    <n v="319.83999999999997"/>
    <n v="173.6"/>
    <n v="146.23999999999998"/>
    <x v="29"/>
  </r>
  <r>
    <s v="BAKERY PRODUCTS"/>
    <x v="1"/>
    <x v="78"/>
    <x v="78"/>
    <n v="5.99"/>
    <n v="4.32"/>
    <n v="12"/>
    <n v="71.88"/>
    <n v="51.84"/>
    <n v="20.039999999999992"/>
    <x v="30"/>
  </r>
  <r>
    <s v="BAKERY PRODUCTS"/>
    <x v="1"/>
    <x v="79"/>
    <x v="79"/>
    <n v="10"/>
    <n v="3.43"/>
    <n v="12"/>
    <n v="120"/>
    <n v="41.160000000000004"/>
    <n v="78.84"/>
    <x v="31"/>
  </r>
  <r>
    <s v="BAKERY PRODUCTS"/>
    <x v="1"/>
    <x v="80"/>
    <x v="80"/>
    <n v="11.99"/>
    <n v="5.12"/>
    <n v="10"/>
    <n v="119.9"/>
    <n v="51.2"/>
    <n v="68.7"/>
    <x v="32"/>
  </r>
  <r>
    <s v="BAKERY PRODUCTS"/>
    <x v="1"/>
    <x v="81"/>
    <x v="81"/>
    <n v="10"/>
    <n v="2.67"/>
    <n v="10"/>
    <n v="100"/>
    <n v="26.7"/>
    <n v="73.3"/>
    <x v="33"/>
  </r>
  <r>
    <s v="BAKERY PRODUCTS"/>
    <x v="1"/>
    <x v="82"/>
    <x v="82"/>
    <n v="18.989999999999998"/>
    <n v="9.1300000000000008"/>
    <n v="8"/>
    <n v="151.91999999999999"/>
    <n v="73.040000000000006"/>
    <n v="78.879999999999981"/>
    <x v="34"/>
  </r>
  <r>
    <s v="BAKERY PRODUCTS"/>
    <x v="1"/>
    <x v="83"/>
    <x v="83"/>
    <n v="17.989999999999998"/>
    <n v="9.1199999999999992"/>
    <n v="8"/>
    <n v="143.91999999999999"/>
    <n v="72.959999999999994"/>
    <n v="70.959999999999994"/>
    <x v="35"/>
  </r>
  <r>
    <s v="BAKERY PRODUCTS"/>
    <x v="1"/>
    <x v="84"/>
    <x v="84"/>
    <n v="39.99"/>
    <n v="11.79"/>
    <n v="8"/>
    <n v="319.92"/>
    <n v="94.32"/>
    <n v="225.60000000000002"/>
    <x v="36"/>
  </r>
  <r>
    <s v="BAKERY PRODUCTS"/>
    <x v="1"/>
    <x v="85"/>
    <x v="85"/>
    <n v="12.99"/>
    <n v="6.77"/>
    <n v="6"/>
    <n v="77.94"/>
    <n v="40.619999999999997"/>
    <n v="37.32"/>
    <x v="37"/>
  </r>
  <r>
    <s v="BAKERY PRODUCTS"/>
    <x v="1"/>
    <x v="86"/>
    <x v="86"/>
    <n v="11.99"/>
    <n v="5.0999999999999996"/>
    <n v="6"/>
    <n v="71.94"/>
    <n v="30.599999999999998"/>
    <n v="41.34"/>
    <x v="38"/>
  </r>
  <r>
    <s v="GOOSEBUMPS DISTR.(BREAD STOP)"/>
    <x v="1"/>
    <x v="87"/>
    <x v="87"/>
    <n v="29.99"/>
    <n v="3.1788888888888902"/>
    <n v="6"/>
    <n v="179.94"/>
    <n v="19.073333333333341"/>
    <n v="160.86666666666665"/>
    <x v="39"/>
  </r>
  <r>
    <s v="BAKERY PRODUCTS"/>
    <x v="1"/>
    <x v="88"/>
    <x v="88"/>
    <n v="17.989999999999998"/>
    <n v="9.14"/>
    <n v="6"/>
    <n v="107.94"/>
    <n v="54.84"/>
    <n v="53.099999999999994"/>
    <x v="40"/>
  </r>
  <r>
    <s v="BAKERY PRODUCTS"/>
    <x v="1"/>
    <x v="89"/>
    <x v="89"/>
    <n v="15.99"/>
    <n v="8.3000000000000007"/>
    <n v="6"/>
    <n v="95.94"/>
    <n v="49.800000000000004"/>
    <n v="46.139999999999993"/>
    <x v="41"/>
  </r>
  <r>
    <s v="BAKERY PRODUCTS"/>
    <x v="1"/>
    <x v="90"/>
    <x v="90"/>
    <n v="18.989999999999998"/>
    <n v="9.6999999999999993"/>
    <n v="0"/>
    <n v="0"/>
    <n v="0"/>
    <n v="0"/>
    <x v="24"/>
  </r>
  <r>
    <s v="BAKERY PRODUCTS"/>
    <x v="1"/>
    <x v="91"/>
    <x v="91"/>
    <n v="18.989999999999998"/>
    <n v="11"/>
    <n v="0"/>
    <n v="0"/>
    <n v="0"/>
    <n v="0"/>
    <x v="24"/>
  </r>
  <r>
    <s v="GOOSEBUMPS DISTR.(BREAD STOP)"/>
    <x v="1"/>
    <x v="80"/>
    <x v="80"/>
    <n v="11.99"/>
    <n v="4.84"/>
    <n v="0"/>
    <n v="0"/>
    <n v="0"/>
    <n v="0"/>
    <x v="24"/>
  </r>
  <r>
    <s v="BAKERY PRODUCTS"/>
    <x v="1"/>
    <x v="92"/>
    <x v="92"/>
    <n v="8.99"/>
    <n v="4.5599999999999996"/>
    <n v="0"/>
    <n v="0"/>
    <n v="0"/>
    <n v="0"/>
    <x v="24"/>
  </r>
  <r>
    <s v="BAKERY PRODUCTS"/>
    <x v="1"/>
    <x v="93"/>
    <x v="93"/>
    <n v="27.99"/>
    <n v="15.7"/>
    <n v="0"/>
    <n v="0"/>
    <n v="0"/>
    <n v="0"/>
    <x v="24"/>
  </r>
  <r>
    <s v="ROSSOUW D"/>
    <x v="1"/>
    <x v="94"/>
    <x v="94"/>
    <n v="9.99"/>
    <n v="5"/>
    <n v="0"/>
    <n v="0"/>
    <n v="0"/>
    <n v="0"/>
    <x v="24"/>
  </r>
  <r>
    <s v="ROSSOUW D"/>
    <x v="1"/>
    <x v="95"/>
    <x v="95"/>
    <n v="17.989999999999998"/>
    <n v="9.4"/>
    <n v="0"/>
    <n v="0"/>
    <n v="0"/>
    <n v="0"/>
    <x v="24"/>
  </r>
  <r>
    <s v="ROSSOUW D"/>
    <x v="1"/>
    <x v="96"/>
    <x v="96"/>
    <n v="50"/>
    <n v="30"/>
    <n v="0"/>
    <n v="0"/>
    <n v="0"/>
    <n v="0"/>
    <x v="24"/>
  </r>
  <r>
    <s v="BAKERY PRODUCTS"/>
    <x v="1"/>
    <x v="97"/>
    <x v="97"/>
    <n v="14.99"/>
    <n v="5.5"/>
    <n v="0"/>
    <n v="0"/>
    <n v="0"/>
    <n v="0"/>
    <x v="24"/>
  </r>
  <r>
    <s v="BAKERY PRODUCTS"/>
    <x v="1"/>
    <x v="98"/>
    <x v="98"/>
    <n v="19.989999999999998"/>
    <n v="10.23"/>
    <n v="0"/>
    <n v="0"/>
    <n v="0"/>
    <n v="0"/>
    <x v="24"/>
  </r>
  <r>
    <s v="BAKERY PRODUCTS"/>
    <x v="1"/>
    <x v="99"/>
    <x v="99"/>
    <n v="10"/>
    <n v="4.5"/>
    <n v="0"/>
    <n v="0"/>
    <n v="0"/>
    <n v="0"/>
    <x v="24"/>
  </r>
  <r>
    <s v="BAKERY PRODUCTS"/>
    <x v="1"/>
    <x v="100"/>
    <x v="100"/>
    <n v="11.99"/>
    <n v="5.62"/>
    <n v="0"/>
    <n v="0"/>
    <n v="0"/>
    <n v="0"/>
    <x v="24"/>
  </r>
  <r>
    <s v="ROSSOUW D"/>
    <x v="1"/>
    <x v="101"/>
    <x v="101"/>
    <n v="5"/>
    <n v="1.38"/>
    <n v="0"/>
    <n v="0"/>
    <n v="0"/>
    <n v="0"/>
    <x v="24"/>
  </r>
  <r>
    <s v="BAKERY PRODUCTS"/>
    <x v="1"/>
    <x v="102"/>
    <x v="102"/>
    <n v="10"/>
    <n v="3.28"/>
    <n v="0"/>
    <n v="0"/>
    <n v="0"/>
    <n v="0"/>
    <x v="24"/>
  </r>
  <r>
    <s v="BAKERY PRODUCTS"/>
    <x v="1"/>
    <x v="103"/>
    <x v="103"/>
    <n v="24.99"/>
    <n v="13"/>
    <n v="0"/>
    <n v="0"/>
    <n v="0"/>
    <n v="0"/>
    <x v="24"/>
  </r>
  <r>
    <s v="BAKERY PRODUCTS"/>
    <x v="1"/>
    <x v="104"/>
    <x v="104"/>
    <n v="400"/>
    <n v="204.01"/>
    <n v="0"/>
    <n v="0"/>
    <n v="0"/>
    <n v="0"/>
    <x v="24"/>
  </r>
  <r>
    <s v="BAKERY PRODUCTS"/>
    <x v="1"/>
    <x v="105"/>
    <x v="105"/>
    <n v="5.99"/>
    <n v="2.95"/>
    <n v="0"/>
    <n v="0"/>
    <n v="0"/>
    <n v="0"/>
    <x v="24"/>
  </r>
  <r>
    <s v="BAKERY PRODUCTS"/>
    <x v="1"/>
    <x v="106"/>
    <x v="106"/>
    <n v="10"/>
    <n v="3.73"/>
    <n v="0"/>
    <n v="0"/>
    <n v="0"/>
    <n v="0"/>
    <x v="24"/>
  </r>
  <r>
    <s v="BAKERY PRODUCTS"/>
    <x v="1"/>
    <x v="107"/>
    <x v="107"/>
    <n v="29.99"/>
    <n v="15.38"/>
    <n v="0"/>
    <n v="0"/>
    <n v="0"/>
    <n v="0"/>
    <x v="24"/>
  </r>
  <r>
    <s v="ROSSOUW D"/>
    <x v="1"/>
    <x v="108"/>
    <x v="108"/>
    <n v="52"/>
    <n v="28.2"/>
    <n v="0"/>
    <n v="0"/>
    <n v="0"/>
    <n v="0"/>
    <x v="24"/>
  </r>
  <r>
    <s v="BAKERY PRODUCTS"/>
    <x v="1"/>
    <x v="109"/>
    <x v="109"/>
    <n v="130"/>
    <n v="68.680000000000007"/>
    <n v="0"/>
    <n v="0"/>
    <n v="0"/>
    <n v="0"/>
    <x v="24"/>
  </r>
  <r>
    <s v="BAKERY PRODUCTS"/>
    <x v="1"/>
    <x v="110"/>
    <x v="110"/>
    <n v="8.99"/>
    <n v="4.53"/>
    <n v="0"/>
    <n v="0"/>
    <n v="0"/>
    <n v="0"/>
    <x v="24"/>
  </r>
  <r>
    <s v="BAKERY PRODUCTS"/>
    <x v="1"/>
    <x v="111"/>
    <x v="111"/>
    <n v="9.99"/>
    <n v="4.99"/>
    <n v="0"/>
    <n v="0"/>
    <n v="0"/>
    <n v="0"/>
    <x v="24"/>
  </r>
  <r>
    <s v="BAKERY PRODUCTS"/>
    <x v="1"/>
    <x v="112"/>
    <x v="112"/>
    <n v="15.99"/>
    <n v="5.13"/>
    <n v="0"/>
    <n v="0"/>
    <n v="0"/>
    <n v="0"/>
    <x v="24"/>
  </r>
  <r>
    <s v="BAKERY PRODUCTS"/>
    <x v="1"/>
    <x v="113"/>
    <x v="113"/>
    <n v="11.99"/>
    <n v="6.35"/>
    <n v="0"/>
    <n v="0"/>
    <n v="0"/>
    <n v="0"/>
    <x v="24"/>
  </r>
  <r>
    <s v="BAKERY PRODUCTS"/>
    <x v="1"/>
    <x v="114"/>
    <x v="114"/>
    <n v="15.99"/>
    <n v="7.86"/>
    <n v="0"/>
    <n v="0"/>
    <n v="0"/>
    <n v="0"/>
    <x v="24"/>
  </r>
  <r>
    <s v="BAKERY PRODUCTS"/>
    <x v="1"/>
    <x v="115"/>
    <x v="115"/>
    <n v="21.99"/>
    <n v="9.9600000000000009"/>
    <n v="0"/>
    <n v="0"/>
    <n v="0"/>
    <n v="0"/>
    <x v="24"/>
  </r>
  <r>
    <s v="BAKERY PRODUCTS"/>
    <x v="1"/>
    <x v="116"/>
    <x v="116"/>
    <n v="8.99"/>
    <n v="4.99"/>
    <n v="0"/>
    <n v="0"/>
    <n v="0"/>
    <n v="0"/>
    <x v="24"/>
  </r>
  <r>
    <s v="BAKERY PRODUCTS"/>
    <x v="1"/>
    <x v="117"/>
    <x v="117"/>
    <n v="5.99"/>
    <n v="3.1"/>
    <n v="0"/>
    <n v="0"/>
    <n v="0"/>
    <n v="0"/>
    <x v="24"/>
  </r>
  <r>
    <s v="BAKERY PRODUCTS"/>
    <x v="1"/>
    <x v="118"/>
    <x v="118"/>
    <n v="17.989999999999998"/>
    <n v="10.039999999999999"/>
    <n v="0"/>
    <n v="0"/>
    <n v="0"/>
    <n v="0"/>
    <x v="24"/>
  </r>
  <r>
    <s v="BAKERY PRODUCTS"/>
    <x v="1"/>
    <x v="119"/>
    <x v="119"/>
    <n v="9.99"/>
    <n v="3.26"/>
    <n v="0"/>
    <n v="0"/>
    <n v="0"/>
    <n v="0"/>
    <x v="24"/>
  </r>
  <r>
    <s v="BAKERY PRODUCTS"/>
    <x v="1"/>
    <x v="120"/>
    <x v="120"/>
    <n v="26.97"/>
    <n v="13.68"/>
    <n v="0"/>
    <n v="0"/>
    <n v="0"/>
    <n v="0"/>
    <x v="24"/>
  </r>
  <r>
    <s v="BAKERY PRODUCTS"/>
    <x v="1"/>
    <x v="121"/>
    <x v="121"/>
    <n v="3.5"/>
    <n v="2.12"/>
    <n v="0"/>
    <n v="0"/>
    <n v="0"/>
    <n v="0"/>
    <x v="24"/>
  </r>
  <r>
    <s v="BAKERY PRODUCTS"/>
    <x v="1"/>
    <x v="122"/>
    <x v="122"/>
    <n v="21.99"/>
    <n v="12.33"/>
    <n v="0"/>
    <n v="0"/>
    <n v="0"/>
    <n v="0"/>
    <x v="24"/>
  </r>
  <r>
    <s v="BAKERY PRODUCTS"/>
    <x v="1"/>
    <x v="123"/>
    <x v="123"/>
    <n v="49.99"/>
    <n v="26.72"/>
    <n v="0"/>
    <n v="0"/>
    <n v="0"/>
    <n v="0"/>
    <x v="24"/>
  </r>
  <r>
    <s v="BAKERY PRODUCTS"/>
    <x v="1"/>
    <x v="124"/>
    <x v="124"/>
    <n v="12.99"/>
    <n v="6.69"/>
    <n v="0"/>
    <n v="0"/>
    <n v="0"/>
    <n v="0"/>
    <x v="24"/>
  </r>
  <r>
    <s v="BAKERY PRODUCTS"/>
    <x v="1"/>
    <x v="125"/>
    <x v="125"/>
    <n v="10"/>
    <n v="3.4432999999999998"/>
    <n v="0"/>
    <n v="0"/>
    <n v="0"/>
    <n v="0"/>
    <x v="24"/>
  </r>
  <r>
    <s v="BAKERY PRODUCTS"/>
    <x v="1"/>
    <x v="126"/>
    <x v="126"/>
    <n v="3.99"/>
    <n v="1.3"/>
    <n v="0"/>
    <n v="0"/>
    <n v="0"/>
    <n v="0"/>
    <x v="24"/>
  </r>
  <r>
    <s v="BAKERY PRODUCTS"/>
    <x v="1"/>
    <x v="127"/>
    <x v="127"/>
    <n v="13.99"/>
    <n v="5.44"/>
    <n v="0"/>
    <n v="0"/>
    <n v="0"/>
    <n v="0"/>
    <x v="24"/>
  </r>
  <r>
    <s v="ROSSOUW D"/>
    <x v="1"/>
    <x v="128"/>
    <x v="128"/>
    <n v="16.989999999999998"/>
    <n v="7.99"/>
    <n v="0"/>
    <n v="0"/>
    <n v="0"/>
    <n v="0"/>
    <x v="24"/>
  </r>
  <r>
    <s v="BAKERY PRODUCTS"/>
    <x v="1"/>
    <x v="129"/>
    <x v="129"/>
    <n v="4.99"/>
    <n v="1.29"/>
    <n v="0"/>
    <n v="0"/>
    <n v="0"/>
    <n v="0"/>
    <x v="24"/>
  </r>
  <r>
    <s v="BAKERY PRODUCTS"/>
    <x v="1"/>
    <x v="130"/>
    <x v="130"/>
    <n v="5.99"/>
    <n v="3.1"/>
    <n v="0"/>
    <n v="0"/>
    <n v="0"/>
    <n v="0"/>
    <x v="24"/>
  </r>
  <r>
    <s v="BAKERY PRODUCTS"/>
    <x v="1"/>
    <x v="131"/>
    <x v="131"/>
    <n v="47.99"/>
    <n v="27.08"/>
    <n v="0"/>
    <n v="0"/>
    <n v="0"/>
    <n v="0"/>
    <x v="24"/>
  </r>
  <r>
    <s v="BAKERY PRODUCTS"/>
    <x v="1"/>
    <x v="132"/>
    <x v="132"/>
    <n v="39.99"/>
    <n v="17.68"/>
    <n v="0"/>
    <n v="0"/>
    <n v="0"/>
    <n v="0"/>
    <x v="24"/>
  </r>
  <r>
    <s v="BAKERY PRODUCTS"/>
    <x v="1"/>
    <x v="133"/>
    <x v="133"/>
    <n v="10"/>
    <n v="3.77"/>
    <n v="0"/>
    <n v="0"/>
    <n v="0"/>
    <n v="0"/>
    <x v="24"/>
  </r>
  <r>
    <s v="GOOSEBUMPS DISTR.(BREAD STOP)"/>
    <x v="1"/>
    <x v="134"/>
    <x v="134"/>
    <n v="10.99"/>
    <n v="5.7054999999999998"/>
    <n v="0"/>
    <n v="0"/>
    <n v="0"/>
    <n v="0"/>
    <x v="24"/>
  </r>
  <r>
    <s v="GOOSEBUMPS DISTR.(BREAD STOP)"/>
    <x v="1"/>
    <x v="135"/>
    <x v="135"/>
    <n v="37.99"/>
    <n v="16.841833333333302"/>
    <n v="0"/>
    <n v="0"/>
    <n v="0"/>
    <n v="0"/>
    <x v="24"/>
  </r>
  <r>
    <s v="VECTOR LOG.(PTY)LTD GOOSEBUMPS"/>
    <x v="1"/>
    <x v="135"/>
    <x v="135"/>
    <n v="37.99"/>
    <n v="19.462499999999999"/>
    <n v="0"/>
    <n v="0"/>
    <n v="0"/>
    <n v="0"/>
    <x v="24"/>
  </r>
  <r>
    <s v="BAKERY PRODUCTS"/>
    <x v="1"/>
    <x v="136"/>
    <x v="136"/>
    <n v="10"/>
    <n v="3.71"/>
    <n v="0"/>
    <n v="0"/>
    <n v="0"/>
    <n v="0"/>
    <x v="24"/>
  </r>
  <r>
    <s v="BAKERY PRODUCTS"/>
    <x v="1"/>
    <x v="137"/>
    <x v="137"/>
    <n v="29.99"/>
    <n v="28.95"/>
    <n v="0"/>
    <n v="0"/>
    <n v="0"/>
    <n v="0"/>
    <x v="24"/>
  </r>
  <r>
    <s v="BAKERY PRODUCTS"/>
    <x v="1"/>
    <x v="138"/>
    <x v="138"/>
    <n v="100"/>
    <n v="22.26"/>
    <n v="0"/>
    <n v="0"/>
    <n v="0"/>
    <n v="0"/>
    <x v="24"/>
  </r>
  <r>
    <s v="BAKERY PRODUCTS"/>
    <x v="1"/>
    <x v="139"/>
    <x v="139"/>
    <n v="29.99"/>
    <n v="16.43"/>
    <n v="0"/>
    <n v="0"/>
    <n v="0"/>
    <n v="0"/>
    <x v="24"/>
  </r>
  <r>
    <s v="BAKERY PRODUCTS"/>
    <x v="1"/>
    <x v="140"/>
    <x v="140"/>
    <n v="5.99"/>
    <n v="3.1"/>
    <n v="0"/>
    <n v="0"/>
    <n v="0"/>
    <n v="0"/>
    <x v="24"/>
  </r>
  <r>
    <s v="BAKERY PRODUCTS"/>
    <x v="1"/>
    <x v="141"/>
    <x v="141"/>
    <n v="5.99"/>
    <n v="3.1"/>
    <n v="0"/>
    <n v="0"/>
    <n v="0"/>
    <n v="0"/>
    <x v="24"/>
  </r>
  <r>
    <s v="GOOSEBUMPS DISTR.(BREAD STOP)"/>
    <x v="1"/>
    <x v="142"/>
    <x v="142"/>
    <n v="28.99"/>
    <n v="12.413"/>
    <n v="0"/>
    <n v="0"/>
    <n v="0"/>
    <n v="0"/>
    <x v="24"/>
  </r>
  <r>
    <s v="VECTOR LOG.(PTY)LTD GOOSEBUMPS"/>
    <x v="1"/>
    <x v="142"/>
    <x v="142"/>
    <n v="28.99"/>
    <n v="14.6126666666667"/>
    <n v="0"/>
    <n v="0"/>
    <n v="0"/>
    <n v="0"/>
    <x v="24"/>
  </r>
  <r>
    <s v="BAKERY PRODUCTS"/>
    <x v="1"/>
    <x v="143"/>
    <x v="143"/>
    <n v="39.99"/>
    <n v="25"/>
    <n v="0"/>
    <n v="0"/>
    <n v="0"/>
    <n v="0"/>
    <x v="24"/>
  </r>
  <r>
    <s v="BAKERY PRODUCTS"/>
    <x v="1"/>
    <x v="144"/>
    <x v="144"/>
    <n v="3"/>
    <n v="1.29"/>
    <n v="0"/>
    <n v="0"/>
    <n v="0"/>
    <n v="0"/>
    <x v="24"/>
  </r>
  <r>
    <s v="BAKERY PRODUCTS"/>
    <x v="1"/>
    <x v="145"/>
    <x v="145"/>
    <n v="5.99"/>
    <n v="3.1"/>
    <n v="0"/>
    <n v="0"/>
    <n v="0"/>
    <n v="0"/>
    <x v="24"/>
  </r>
  <r>
    <s v="BAKERY PRODUCTS"/>
    <x v="1"/>
    <x v="146"/>
    <x v="146"/>
    <n v="12.99"/>
    <n v="6.88"/>
    <n v="0"/>
    <n v="0"/>
    <n v="0"/>
    <n v="0"/>
    <x v="24"/>
  </r>
  <r>
    <s v="BAKERY PRODUCTS"/>
    <x v="1"/>
    <x v="147"/>
    <x v="147"/>
    <n v="15.99"/>
    <n v="8.31"/>
    <n v="0"/>
    <n v="0"/>
    <n v="0"/>
    <n v="0"/>
    <x v="24"/>
  </r>
  <r>
    <s v="BAKERY PRODUCTS"/>
    <x v="1"/>
    <x v="148"/>
    <x v="148"/>
    <n v="29.99"/>
    <n v="28.95"/>
    <n v="0"/>
    <n v="0"/>
    <n v="0"/>
    <n v="0"/>
    <x v="24"/>
  </r>
  <r>
    <s v="BAKERY PRODUCTS"/>
    <x v="1"/>
    <x v="149"/>
    <x v="149"/>
    <n v="25.99"/>
    <n v="13.19"/>
    <n v="0"/>
    <n v="0"/>
    <n v="0"/>
    <n v="0"/>
    <x v="24"/>
  </r>
  <r>
    <s v="BAKERY PRODUCTS"/>
    <x v="1"/>
    <x v="150"/>
    <x v="150"/>
    <n v="32.99"/>
    <n v="15.39"/>
    <n v="0"/>
    <n v="0"/>
    <n v="0"/>
    <n v="0"/>
    <x v="24"/>
  </r>
  <r>
    <s v="BAKERY PRODUCTS"/>
    <x v="1"/>
    <x v="151"/>
    <x v="151"/>
    <n v="5.99"/>
    <n v="3.1"/>
    <n v="0"/>
    <n v="0"/>
    <n v="0"/>
    <n v="0"/>
    <x v="24"/>
  </r>
  <r>
    <s v="GOOSEBUMPS DISTR.(BREAD STOP)"/>
    <x v="1"/>
    <x v="152"/>
    <x v="152"/>
    <n v="79.989999999999995"/>
    <n v="44.62"/>
    <n v="0"/>
    <n v="0"/>
    <n v="0"/>
    <n v="0"/>
    <x v="24"/>
  </r>
  <r>
    <s v="BAKERY PRODUCTS"/>
    <x v="1"/>
    <x v="153"/>
    <x v="153"/>
    <n v="11.99"/>
    <n v="5.87"/>
    <n v="0"/>
    <n v="0"/>
    <n v="0"/>
    <n v="0"/>
    <x v="24"/>
  </r>
  <r>
    <s v="BAKERY PRODUCTS"/>
    <x v="1"/>
    <x v="154"/>
    <x v="154"/>
    <n v="14.99"/>
    <n v="7.72"/>
    <n v="0"/>
    <n v="0"/>
    <n v="0"/>
    <n v="0"/>
    <x v="24"/>
  </r>
  <r>
    <s v="BAKERY PRODUCTS"/>
    <x v="1"/>
    <x v="155"/>
    <x v="155"/>
    <n v="13.99"/>
    <n v="9.14"/>
    <n v="0"/>
    <n v="0"/>
    <n v="0"/>
    <n v="0"/>
    <x v="24"/>
  </r>
  <r>
    <s v="BAKERY PRODUCTS"/>
    <x v="1"/>
    <x v="156"/>
    <x v="156"/>
    <n v="47.99"/>
    <n v="10.44"/>
    <n v="0"/>
    <n v="0"/>
    <n v="0"/>
    <n v="0"/>
    <x v="24"/>
  </r>
  <r>
    <s v="BAKERY PRODUCTS"/>
    <x v="1"/>
    <x v="157"/>
    <x v="157"/>
    <n v="5.99"/>
    <n v="3.31"/>
    <n v="0"/>
    <n v="0"/>
    <n v="0"/>
    <n v="0"/>
    <x v="24"/>
  </r>
  <r>
    <s v="GOOSEBUMPS DISTR.(BREAD STOP)"/>
    <x v="1"/>
    <x v="158"/>
    <x v="158"/>
    <n v="79.989999999999995"/>
    <n v="44.62"/>
    <n v="0"/>
    <n v="0"/>
    <n v="0"/>
    <n v="0"/>
    <x v="24"/>
  </r>
  <r>
    <s v="BAKERY PRODUCTS"/>
    <x v="1"/>
    <x v="159"/>
    <x v="159"/>
    <n v="11.99"/>
    <n v="7.6"/>
    <n v="0"/>
    <n v="0"/>
    <n v="0"/>
    <n v="0"/>
    <x v="24"/>
  </r>
  <r>
    <s v="BAKERY PRODUCTS"/>
    <x v="1"/>
    <x v="160"/>
    <x v="160"/>
    <n v="5.99"/>
    <n v="3.1"/>
    <n v="0"/>
    <n v="0"/>
    <n v="0"/>
    <n v="0"/>
    <x v="24"/>
  </r>
  <r>
    <s v="BAKERY PRODUCTS"/>
    <x v="1"/>
    <x v="161"/>
    <x v="161"/>
    <n v="5.99"/>
    <n v="3.1"/>
    <n v="0"/>
    <n v="0"/>
    <n v="0"/>
    <n v="0"/>
    <x v="24"/>
  </r>
  <r>
    <s v="BAKERY PRODUCTS"/>
    <x v="1"/>
    <x v="162"/>
    <x v="162"/>
    <n v="39.99"/>
    <n v="29.01"/>
    <n v="0"/>
    <n v="0"/>
    <n v="0"/>
    <n v="0"/>
    <x v="24"/>
  </r>
  <r>
    <s v="BAKERY PRODUCTS"/>
    <x v="1"/>
    <x v="163"/>
    <x v="163"/>
    <n v="2.5"/>
    <n v="1.29"/>
    <n v="0"/>
    <n v="0"/>
    <n v="0"/>
    <n v="0"/>
    <x v="24"/>
  </r>
  <r>
    <s v="BAKERY PRODUCTS"/>
    <x v="1"/>
    <x v="164"/>
    <x v="164"/>
    <n v="29.99"/>
    <n v="28.95"/>
    <n v="0"/>
    <n v="0"/>
    <n v="0"/>
    <n v="0"/>
    <x v="24"/>
  </r>
  <r>
    <s v="GOOSEBUMPS DISTR.(BREAD STOP)"/>
    <x v="1"/>
    <x v="165"/>
    <x v="165"/>
    <n v="5.49"/>
    <n v="2.7884166666666701"/>
    <n v="0"/>
    <n v="0"/>
    <n v="0"/>
    <n v="0"/>
    <x v="24"/>
  </r>
  <r>
    <s v="GOOSEBUMPS DISTR.(BREAD STOP)"/>
    <x v="1"/>
    <x v="166"/>
    <x v="166"/>
    <n v="10.85"/>
    <n v="5.2888333333333302"/>
    <n v="0"/>
    <n v="0"/>
    <n v="0"/>
    <n v="0"/>
    <x v="24"/>
  </r>
  <r>
    <s v="VECTOR LOG.(PTY)LTD GOOSEBUMPS"/>
    <x v="1"/>
    <x v="166"/>
    <x v="166"/>
    <n v="10.85"/>
    <n v="5.9984999999999999"/>
    <n v="0"/>
    <n v="0"/>
    <n v="0"/>
    <n v="0"/>
    <x v="24"/>
  </r>
  <r>
    <s v="GOOSEBUMPS DISTR.(BREAD STOP)"/>
    <x v="1"/>
    <x v="167"/>
    <x v="167"/>
    <n v="7.99"/>
    <n v="3.6635833333333299"/>
    <n v="0"/>
    <n v="0"/>
    <n v="0"/>
    <n v="0"/>
    <x v="24"/>
  </r>
  <r>
    <s v="VECTOR LOG.(PTY)LTD GOOSEBUMPS"/>
    <x v="1"/>
    <x v="167"/>
    <x v="167"/>
    <n v="7.99"/>
    <n v="4.1159999999999997"/>
    <n v="0"/>
    <n v="0"/>
    <n v="0"/>
    <n v="0"/>
    <x v="24"/>
  </r>
  <r>
    <s v="GOOSEBUMPS DISTR.(BREAD STOP)"/>
    <x v="1"/>
    <x v="168"/>
    <x v="168"/>
    <n v="7.99"/>
    <n v="4.1161666666666701"/>
    <n v="0"/>
    <n v="0"/>
    <n v="0"/>
    <n v="0"/>
    <x v="24"/>
  </r>
  <r>
    <s v="VECTOR LOG.(PTY)LTD GOOSEBUMPS"/>
    <x v="1"/>
    <x v="168"/>
    <x v="168"/>
    <n v="7.99"/>
    <n v="4.3630833333333303"/>
    <n v="0"/>
    <n v="0"/>
    <n v="0"/>
    <n v="0"/>
    <x v="24"/>
  </r>
  <r>
    <s v="GOOSEBUMPS DISTR.(BREAD STOP)"/>
    <x v="1"/>
    <x v="169"/>
    <x v="169"/>
    <n v="10.85"/>
    <n v="5.6589999999999998"/>
    <n v="0"/>
    <n v="0"/>
    <n v="0"/>
    <n v="0"/>
    <x v="24"/>
  </r>
  <r>
    <s v="VECTOR LOG.(PTY)LTD GOOSEBUMPS"/>
    <x v="1"/>
    <x v="169"/>
    <x v="169"/>
    <n v="10.85"/>
    <n v="5.9984999999999999"/>
    <n v="0"/>
    <n v="0"/>
    <n v="0"/>
    <n v="0"/>
    <x v="24"/>
  </r>
  <r>
    <s v="GOOSEBUMPS DISTR.(BREAD STOP)"/>
    <x v="1"/>
    <x v="170"/>
    <x v="170"/>
    <n v="330.99"/>
    <n v="172.26333333333301"/>
    <n v="0"/>
    <n v="0"/>
    <n v="0"/>
    <n v="0"/>
    <x v="24"/>
  </r>
  <r>
    <s v="VECTOR LOG.(PTY)LTD GOOSEBUMPS"/>
    <x v="1"/>
    <x v="170"/>
    <x v="170"/>
    <n v="330.99"/>
    <n v="182.6"/>
    <n v="0"/>
    <n v="0"/>
    <n v="0"/>
    <n v="0"/>
    <x v="24"/>
  </r>
  <r>
    <s v="GOOSEBUMPS DISTR.(BREAD STOP)"/>
    <x v="1"/>
    <x v="171"/>
    <x v="171"/>
    <n v="28.99"/>
    <n v="14.814500000000001"/>
    <n v="0"/>
    <n v="0"/>
    <n v="0"/>
    <n v="0"/>
    <x v="24"/>
  </r>
  <r>
    <s v="VECTOR LOG.(PTY)LTD GOOSEBUMPS"/>
    <x v="1"/>
    <x v="171"/>
    <x v="171"/>
    <n v="28.99"/>
    <n v="15.703250000000001"/>
    <n v="0"/>
    <n v="0"/>
    <n v="0"/>
    <n v="0"/>
    <x v="24"/>
  </r>
  <r>
    <s v="GOOSEBUMPS DISTR.(BREAD STOP)"/>
    <x v="1"/>
    <x v="172"/>
    <x v="172"/>
    <n v="5.4"/>
    <n v="2.6173000000000002"/>
    <n v="0"/>
    <n v="0"/>
    <n v="0"/>
    <n v="0"/>
    <x v="24"/>
  </r>
  <r>
    <s v="VECTOR LOG.(PTY)LTD GOOSEBUMPS"/>
    <x v="1"/>
    <x v="172"/>
    <x v="172"/>
    <n v="5.4"/>
    <n v="2.9407999999999999"/>
    <n v="0"/>
    <n v="0"/>
    <n v="0"/>
    <n v="0"/>
    <x v="24"/>
  </r>
  <r>
    <s v="GOOSEBUMPS DISTR.(BREAD STOP)"/>
    <x v="1"/>
    <x v="173"/>
    <x v="173"/>
    <n v="4.99"/>
    <n v="2.5465"/>
    <n v="0"/>
    <n v="0"/>
    <n v="0"/>
    <n v="0"/>
    <x v="24"/>
  </r>
  <r>
    <s v="VECTOR LOG.(PTY)LTD GOOSEBUMPS"/>
    <x v="1"/>
    <x v="173"/>
    <x v="173"/>
    <n v="4.99"/>
    <n v="2.8072499999999998"/>
    <n v="0"/>
    <n v="0"/>
    <n v="0"/>
    <n v="0"/>
    <x v="24"/>
  </r>
  <r>
    <s v="GOOSEBUMPS DISTR.(BREAD STOP)"/>
    <x v="1"/>
    <x v="174"/>
    <x v="174"/>
    <n v="11.99"/>
    <n v="6.2521428571428599"/>
    <n v="0"/>
    <n v="0"/>
    <n v="0"/>
    <n v="0"/>
    <x v="24"/>
  </r>
  <r>
    <s v="VECTOR LOG.(PTY)LTD GOOSEBUMPS"/>
    <x v="1"/>
    <x v="174"/>
    <x v="174"/>
    <n v="11.99"/>
    <n v="6.6272857142857102"/>
    <n v="0"/>
    <n v="0"/>
    <n v="0"/>
    <n v="0"/>
    <x v="24"/>
  </r>
  <r>
    <s v="GOOSEBUMPS DISTR.(BREAD STOP)"/>
    <x v="1"/>
    <x v="175"/>
    <x v="175"/>
    <n v="21.99"/>
    <n v="8.2398749999999996"/>
    <n v="0"/>
    <n v="0"/>
    <n v="0"/>
    <n v="0"/>
    <x v="24"/>
  </r>
  <r>
    <s v="VECTOR LOG.(PTY)LTD GOOSEBUMPS"/>
    <x v="1"/>
    <x v="175"/>
    <x v="175"/>
    <n v="21.99"/>
    <n v="10.989750000000001"/>
    <n v="0"/>
    <n v="0"/>
    <n v="0"/>
    <n v="0"/>
    <x v="24"/>
  </r>
  <r>
    <s v="GOOSEBUMPS DISTR.(BREAD STOP)"/>
    <x v="1"/>
    <x v="176"/>
    <x v="176"/>
    <n v="269.99"/>
    <n v="141.47833333333301"/>
    <n v="0"/>
    <n v="0"/>
    <n v="0"/>
    <n v="0"/>
    <x v="24"/>
  </r>
  <r>
    <s v="GOOSEBUMPS DISTR.(BREAD STOP)"/>
    <x v="1"/>
    <x v="177"/>
    <x v="177"/>
    <n v="79.989999999999995"/>
    <n v="41.475000000000001"/>
    <n v="0"/>
    <n v="0"/>
    <n v="0"/>
    <n v="0"/>
    <x v="24"/>
  </r>
  <r>
    <s v="GOOSEBUMPS DISTR.(BREAD STOP)"/>
    <x v="1"/>
    <x v="178"/>
    <x v="178"/>
    <n v="79.989999999999995"/>
    <n v="41.475000000000001"/>
    <n v="0"/>
    <n v="0"/>
    <n v="0"/>
    <n v="0"/>
    <x v="24"/>
  </r>
  <r>
    <s v="GOOSEBUMPS DISTR.(BREAD STOP)"/>
    <x v="1"/>
    <x v="179"/>
    <x v="179"/>
    <n v="79.989999999999995"/>
    <n v="41.475000000000001"/>
    <n v="0"/>
    <n v="0"/>
    <n v="0"/>
    <n v="0"/>
    <x v="24"/>
  </r>
  <r>
    <s v="VECTOR LOG.(PTY)LTD GOOSEBUMPS"/>
    <x v="1"/>
    <x v="180"/>
    <x v="180"/>
    <n v="330.99"/>
    <n v="179.16"/>
    <n v="0"/>
    <n v="0"/>
    <n v="0"/>
    <n v="0"/>
    <x v="24"/>
  </r>
  <r>
    <s v="VECTOR LOG.(PTY)LTD GOOSEBUMPS"/>
    <x v="1"/>
    <x v="181"/>
    <x v="181"/>
    <n v="10.85"/>
    <n v="5.6589999999999998"/>
    <n v="0"/>
    <n v="0"/>
    <n v="0"/>
    <n v="0"/>
    <x v="24"/>
  </r>
  <r>
    <s v="BAKERY PRODUCTS"/>
    <x v="1"/>
    <x v="182"/>
    <x v="182"/>
    <n v="15.99"/>
    <n v="6.2"/>
    <n v="0"/>
    <n v="0"/>
    <n v="0"/>
    <n v="0"/>
    <x v="24"/>
  </r>
  <r>
    <s v="BAKERY PRODUCTS"/>
    <x v="1"/>
    <x v="183"/>
    <x v="183"/>
    <n v="13.99"/>
    <n v="3.8"/>
    <n v="0"/>
    <n v="0"/>
    <n v="0"/>
    <n v="0"/>
    <x v="24"/>
  </r>
  <r>
    <s v="BAKERY PRODUCTS"/>
    <x v="1"/>
    <x v="184"/>
    <x v="184"/>
    <n v="30.99"/>
    <n v="9.5"/>
    <n v="0"/>
    <n v="0"/>
    <n v="0"/>
    <n v="0"/>
    <x v="24"/>
  </r>
  <r>
    <s v="BAKERY PRODUCTS"/>
    <x v="1"/>
    <x v="185"/>
    <x v="185"/>
    <n v="35.99"/>
    <n v="12.5"/>
    <n v="0"/>
    <n v="0"/>
    <n v="0"/>
    <n v="0"/>
    <x v="24"/>
  </r>
  <r>
    <s v="BAKERY PRODUCTS"/>
    <x v="1"/>
    <x v="186"/>
    <x v="186"/>
    <n v="26.99"/>
    <n v="7.8"/>
    <n v="0"/>
    <n v="0"/>
    <n v="0"/>
    <n v="0"/>
    <x v="24"/>
  </r>
  <r>
    <s v="BAKERY PRODUCTS"/>
    <x v="1"/>
    <x v="187"/>
    <x v="82"/>
    <n v="26.99"/>
    <n v="7.8"/>
    <n v="0"/>
    <n v="0"/>
    <n v="0"/>
    <n v="0"/>
    <x v="24"/>
  </r>
  <r>
    <s v="BAKERY PRODUCTS"/>
    <x v="1"/>
    <x v="188"/>
    <x v="187"/>
    <n v="15.99"/>
    <n v="8.0500000000000007"/>
    <n v="0"/>
    <n v="0"/>
    <n v="0"/>
    <n v="0"/>
    <x v="24"/>
  </r>
  <r>
    <s v="BAKERY PRODUCTS"/>
    <x v="1"/>
    <x v="189"/>
    <x v="188"/>
    <n v="15.99"/>
    <n v="9.99"/>
    <n v="0"/>
    <n v="0"/>
    <n v="0"/>
    <n v="0"/>
    <x v="24"/>
  </r>
  <r>
    <s v="BAKERY PRODUCTS"/>
    <x v="2"/>
    <x v="190"/>
    <x v="189"/>
    <n v="21.99"/>
    <n v="11.11"/>
    <n v="0"/>
    <n v="0"/>
    <n v="0"/>
    <n v="0"/>
    <x v="24"/>
  </r>
  <r>
    <s v="BAKERY PRODUCTS"/>
    <x v="2"/>
    <x v="191"/>
    <x v="190"/>
    <n v="70.989999999999995"/>
    <n v="18.7"/>
    <n v="0"/>
    <n v="0"/>
    <n v="0"/>
    <n v="0"/>
    <x v="24"/>
  </r>
  <r>
    <s v="BAKERY PRODUCTS"/>
    <x v="2"/>
    <x v="192"/>
    <x v="191"/>
    <n v="216.99"/>
    <n v="54"/>
    <n v="0"/>
    <n v="0"/>
    <n v="0"/>
    <n v="0"/>
    <x v="24"/>
  </r>
  <r>
    <s v="BAKERY PRODUCTS"/>
    <x v="2"/>
    <x v="193"/>
    <x v="192"/>
    <n v="30"/>
    <n v="18.260000000000002"/>
    <n v="0"/>
    <n v="0"/>
    <n v="0"/>
    <n v="0"/>
    <x v="24"/>
  </r>
  <r>
    <s v="BAKERY PRODUCTS"/>
    <x v="2"/>
    <x v="194"/>
    <x v="193"/>
    <n v="402.99"/>
    <n v="210"/>
    <n v="0"/>
    <n v="0"/>
    <n v="0"/>
    <n v="0"/>
    <x v="24"/>
  </r>
  <r>
    <s v="BAKERY PRODUCTS"/>
    <x v="2"/>
    <x v="195"/>
    <x v="194"/>
    <n v="30"/>
    <n v="20.81"/>
    <n v="0"/>
    <n v="0"/>
    <n v="0"/>
    <n v="0"/>
    <x v="24"/>
  </r>
  <r>
    <s v="BAKERY PRODUCTS"/>
    <x v="2"/>
    <x v="196"/>
    <x v="195"/>
    <n v="99.99"/>
    <n v="54.67"/>
    <n v="0"/>
    <n v="0"/>
    <n v="0"/>
    <n v="0"/>
    <x v="24"/>
  </r>
  <r>
    <s v="BAKERY PRODUCTS"/>
    <x v="2"/>
    <x v="197"/>
    <x v="196"/>
    <n v="20"/>
    <n v="10.23"/>
    <n v="0"/>
    <n v="0"/>
    <n v="0"/>
    <n v="0"/>
    <x v="24"/>
  </r>
  <r>
    <s v="BAKERY PRODUCTS"/>
    <x v="2"/>
    <x v="198"/>
    <x v="197"/>
    <n v="313.99"/>
    <n v="163.47229999999999"/>
    <n v="0"/>
    <n v="0"/>
    <n v="0"/>
    <n v="0"/>
    <x v="24"/>
  </r>
  <r>
    <s v="BAKERY PRODUCTS"/>
    <x v="2"/>
    <x v="199"/>
    <x v="198"/>
    <n v="15"/>
    <n v="6.99"/>
    <n v="0"/>
    <n v="0"/>
    <n v="0"/>
    <n v="0"/>
    <x v="24"/>
  </r>
  <r>
    <s v="BAKERY PRODUCTS"/>
    <x v="2"/>
    <x v="200"/>
    <x v="199"/>
    <n v="15"/>
    <n v="9.1300000000000008"/>
    <n v="0"/>
    <n v="0"/>
    <n v="0"/>
    <n v="0"/>
    <x v="24"/>
  </r>
  <r>
    <s v="BAKERY PRODUCTS"/>
    <x v="2"/>
    <x v="201"/>
    <x v="200"/>
    <n v="112.99"/>
    <n v="45"/>
    <n v="0"/>
    <n v="0"/>
    <n v="0"/>
    <n v="0"/>
    <x v="24"/>
  </r>
  <r>
    <s v="BAKERY PRODUCTS"/>
    <x v="2"/>
    <x v="202"/>
    <x v="201"/>
    <n v="15"/>
    <n v="10.23"/>
    <n v="0"/>
    <n v="0"/>
    <n v="0"/>
    <n v="0"/>
    <x v="24"/>
  </r>
  <r>
    <s v="BAKERY PRODUCTS"/>
    <x v="2"/>
    <x v="203"/>
    <x v="202"/>
    <n v="15"/>
    <n v="7.77"/>
    <n v="0"/>
    <n v="0"/>
    <n v="0"/>
    <n v="0"/>
    <x v="24"/>
  </r>
  <r>
    <s v="BAKERY PRODUCTS"/>
    <x v="2"/>
    <x v="204"/>
    <x v="203"/>
    <n v="10"/>
    <n v="5.04"/>
    <n v="0"/>
    <n v="0"/>
    <n v="0"/>
    <n v="0"/>
    <x v="24"/>
  </r>
  <r>
    <s v="BAKERY PRODUCTS"/>
    <x v="2"/>
    <x v="205"/>
    <x v="204"/>
    <n v="10"/>
    <n v="1.5"/>
    <n v="0"/>
    <n v="0"/>
    <n v="0"/>
    <n v="0"/>
    <x v="24"/>
  </r>
  <r>
    <s v="BAKERY PRODUCTS"/>
    <x v="2"/>
    <x v="206"/>
    <x v="205"/>
    <n v="15"/>
    <n v="4.26"/>
    <n v="0"/>
    <n v="0"/>
    <n v="0"/>
    <n v="0"/>
    <x v="24"/>
  </r>
  <r>
    <s v="BAKERY PRODUCTS"/>
    <x v="2"/>
    <x v="207"/>
    <x v="206"/>
    <n v="10"/>
    <n v="2.5"/>
    <n v="0"/>
    <n v="0"/>
    <n v="0"/>
    <n v="0"/>
    <x v="24"/>
  </r>
  <r>
    <s v="BAKERY PRODUCTS"/>
    <x v="2"/>
    <x v="208"/>
    <x v="207"/>
    <n v="10"/>
    <n v="3.39"/>
    <n v="0"/>
    <n v="0"/>
    <n v="0"/>
    <n v="0"/>
    <x v="24"/>
  </r>
  <r>
    <s v="BAKERY PRODUCTS"/>
    <x v="2"/>
    <x v="209"/>
    <x v="208"/>
    <n v="10"/>
    <n v="2.3199999999999998"/>
    <n v="0"/>
    <n v="0"/>
    <n v="0"/>
    <n v="0"/>
    <x v="24"/>
  </r>
  <r>
    <s v="BAKERY PRODUCTS"/>
    <x v="2"/>
    <x v="210"/>
    <x v="209"/>
    <n v="10"/>
    <n v="4.5599999999999996"/>
    <n v="0"/>
    <n v="0"/>
    <n v="0"/>
    <n v="0"/>
    <x v="24"/>
  </r>
  <r>
    <s v="BAKERY PRODUCTS"/>
    <x v="2"/>
    <x v="211"/>
    <x v="210"/>
    <n v="114.99"/>
    <n v="20.95"/>
    <n v="0"/>
    <n v="0"/>
    <n v="0"/>
    <n v="0"/>
    <x v="24"/>
  </r>
  <r>
    <s v="BAKERY PRODUCTS"/>
    <x v="2"/>
    <x v="212"/>
    <x v="211"/>
    <n v="282.99"/>
    <n v="57"/>
    <n v="0"/>
    <n v="0"/>
    <n v="0"/>
    <n v="0"/>
    <x v="24"/>
  </r>
  <r>
    <s v="BAKERY PRODUCTS"/>
    <x v="2"/>
    <x v="213"/>
    <x v="212"/>
    <n v="189.99"/>
    <n v="61"/>
    <n v="0"/>
    <n v="0"/>
    <n v="0"/>
    <n v="0"/>
    <x v="24"/>
  </r>
  <r>
    <s v="BAKERY PRODUCTS"/>
    <x v="3"/>
    <x v="214"/>
    <x v="213"/>
    <n v="29.99"/>
    <n v="12.52"/>
    <n v="15"/>
    <n v="449.84999999999997"/>
    <n v="187.79999999999998"/>
    <n v="262.04999999999995"/>
    <x v="42"/>
  </r>
  <r>
    <s v="BAKERY PRODUCTS"/>
    <x v="3"/>
    <x v="215"/>
    <x v="214"/>
    <n v="49.99"/>
    <n v="13.76"/>
    <n v="10"/>
    <n v="499.90000000000003"/>
    <n v="137.6"/>
    <n v="362.30000000000007"/>
    <x v="43"/>
  </r>
  <r>
    <s v="BAKERY PRODUCTS"/>
    <x v="3"/>
    <x v="216"/>
    <x v="215"/>
    <n v="49.99"/>
    <n v="24.65"/>
    <n v="5"/>
    <n v="249.95000000000002"/>
    <n v="123.25"/>
    <n v="126.70000000000002"/>
    <x v="44"/>
  </r>
  <r>
    <s v="BAKERY PRODUCTS"/>
    <x v="3"/>
    <x v="217"/>
    <x v="216"/>
    <n v="49.99"/>
    <n v="25.03"/>
    <n v="3"/>
    <n v="149.97"/>
    <n v="75.09"/>
    <n v="74.88"/>
    <x v="45"/>
  </r>
  <r>
    <s v="BAKERY PRODUCTS"/>
    <x v="3"/>
    <x v="218"/>
    <x v="217"/>
    <n v="29.99"/>
    <n v="7.38"/>
    <n v="0"/>
    <n v="0"/>
    <n v="0"/>
    <n v="0"/>
    <x v="24"/>
  </r>
  <r>
    <s v="BAKERY PRODUCTS"/>
    <x v="3"/>
    <x v="219"/>
    <x v="218"/>
    <n v="29.99"/>
    <n v="14.34"/>
    <n v="0"/>
    <n v="0"/>
    <n v="0"/>
    <n v="0"/>
    <x v="24"/>
  </r>
  <r>
    <s v="BAKERY PRODUCTS"/>
    <x v="3"/>
    <x v="220"/>
    <x v="219"/>
    <n v="49.99"/>
    <n v="28.67"/>
    <n v="0"/>
    <n v="0"/>
    <n v="0"/>
    <n v="0"/>
    <x v="24"/>
  </r>
  <r>
    <s v="BAKERY PRODUCTS"/>
    <x v="3"/>
    <x v="221"/>
    <x v="220"/>
    <n v="13.99"/>
    <n v="6.67"/>
    <n v="0"/>
    <n v="0"/>
    <n v="0"/>
    <n v="0"/>
    <x v="24"/>
  </r>
  <r>
    <s v="BAKERY PRODUCTS"/>
    <x v="3"/>
    <x v="222"/>
    <x v="221"/>
    <n v="15"/>
    <n v="7.38"/>
    <n v="0"/>
    <n v="0"/>
    <n v="0"/>
    <n v="0"/>
    <x v="24"/>
  </r>
  <r>
    <s v="BAKERY PRODUCTS"/>
    <x v="3"/>
    <x v="223"/>
    <x v="222"/>
    <n v="69.989999999999995"/>
    <n v="36.1"/>
    <n v="0"/>
    <n v="0"/>
    <n v="0"/>
    <n v="0"/>
    <x v="24"/>
  </r>
  <r>
    <s v="BAKERY PRODUCTS"/>
    <x v="3"/>
    <x v="224"/>
    <x v="223"/>
    <n v="15"/>
    <n v="29.47"/>
    <n v="0"/>
    <n v="0"/>
    <n v="0"/>
    <n v="0"/>
    <x v="24"/>
  </r>
  <r>
    <s v="BAKERY PRODUCTS"/>
    <x v="3"/>
    <x v="225"/>
    <x v="224"/>
    <n v="120"/>
    <n v="58.51"/>
    <n v="0"/>
    <n v="0"/>
    <n v="0"/>
    <n v="0"/>
    <x v="24"/>
  </r>
  <r>
    <s v="BAKERY PRODUCTS"/>
    <x v="4"/>
    <x v="226"/>
    <x v="225"/>
    <n v="18.989999999999998"/>
    <n v="9.83"/>
    <n v="93"/>
    <n v="1766.07"/>
    <n v="914.19"/>
    <n v="851.87999999999988"/>
    <x v="46"/>
  </r>
  <r>
    <s v="BAKERY PRODUCTS"/>
    <x v="4"/>
    <x v="227"/>
    <x v="226"/>
    <n v="26.99"/>
    <n v="15.3"/>
    <n v="0"/>
    <n v="0"/>
    <n v="0"/>
    <n v="0"/>
    <x v="24"/>
  </r>
  <r>
    <s v="BAKERY PRODUCTS"/>
    <x v="4"/>
    <x v="228"/>
    <x v="227"/>
    <n v="27.99"/>
    <n v="15.41"/>
    <n v="0"/>
    <n v="0"/>
    <n v="0"/>
    <n v="0"/>
    <x v="24"/>
  </r>
  <r>
    <s v="BAKERY PRODUCTS"/>
    <x v="4"/>
    <x v="229"/>
    <x v="228"/>
    <n v="4.99"/>
    <n v="2.97"/>
    <n v="0"/>
    <n v="0"/>
    <n v="0"/>
    <n v="0"/>
    <x v="24"/>
  </r>
  <r>
    <s v="BAKERY PRODUCTS"/>
    <x v="4"/>
    <x v="230"/>
    <x v="229"/>
    <n v="23.99"/>
    <n v="10.37"/>
    <n v="0"/>
    <n v="0"/>
    <n v="0"/>
    <n v="0"/>
    <x v="24"/>
  </r>
  <r>
    <s v="BAKERY PRODUCTS"/>
    <x v="5"/>
    <x v="231"/>
    <x v="230"/>
    <n v="49.99"/>
    <n v="32.549999999999997"/>
    <n v="0"/>
    <n v="0"/>
    <n v="0"/>
    <n v="0"/>
    <x v="24"/>
  </r>
  <r>
    <s v="BAKERY PRODUCTS"/>
    <x v="6"/>
    <x v="232"/>
    <x v="231"/>
    <n v="7.99"/>
    <n v="5.54"/>
    <n v="0"/>
    <n v="0"/>
    <n v="0"/>
    <n v="0"/>
    <x v="24"/>
  </r>
  <r>
    <s v="GOOSEBUMPS DISTR.(BREAD STOP)"/>
    <x v="6"/>
    <x v="233"/>
    <x v="232"/>
    <n v="189.99"/>
    <n v="107.69199999999999"/>
    <n v="0"/>
    <n v="0"/>
    <n v="0"/>
    <n v="0"/>
    <x v="24"/>
  </r>
  <r>
    <s v="BAKERY PRODUCTS"/>
    <x v="7"/>
    <x v="234"/>
    <x v="233"/>
    <n v="199.99"/>
    <n v="126.16"/>
    <n v="0"/>
    <n v="0"/>
    <n v="0"/>
    <n v="0"/>
    <x v="24"/>
  </r>
  <r>
    <s v="BAKERY PRODUCTS"/>
    <x v="8"/>
    <x v="235"/>
    <x v="234"/>
    <n v="44.99"/>
    <n v="26.64"/>
    <n v="0"/>
    <n v="0"/>
    <n v="0"/>
    <n v="0"/>
    <x v="24"/>
  </r>
  <r>
    <s v="BAKERY PRODUCTS"/>
    <x v="9"/>
    <x v="236"/>
    <x v="235"/>
    <n v="19.989999999999998"/>
    <n v="8.43"/>
    <n v="24"/>
    <n v="479.76"/>
    <n v="202.32"/>
    <n v="277.44"/>
    <x v="47"/>
  </r>
  <r>
    <s v="BAKERY PRODUCTS"/>
    <x v="9"/>
    <x v="237"/>
    <x v="236"/>
    <n v="15.99"/>
    <n v="8.11"/>
    <n v="6"/>
    <n v="95.94"/>
    <n v="48.66"/>
    <n v="47.28"/>
    <x v="48"/>
  </r>
  <r>
    <s v="BAKERY PRODUCTS"/>
    <x v="9"/>
    <x v="238"/>
    <x v="237"/>
    <n v="10"/>
    <n v="3.39"/>
    <n v="0"/>
    <n v="0"/>
    <n v="0"/>
    <n v="0"/>
    <x v="24"/>
  </r>
  <r>
    <s v="BAKERY PRODUCTS"/>
    <x v="10"/>
    <x v="239"/>
    <x v="238"/>
    <n v="120"/>
    <n v="64.849999999999994"/>
    <n v="0"/>
    <n v="0"/>
    <n v="0"/>
    <n v="0"/>
    <x v="24"/>
  </r>
  <r>
    <s v="BAKERY PRODUCTS"/>
    <x v="10"/>
    <x v="240"/>
    <x v="239"/>
    <n v="9.99"/>
    <n v="4.53"/>
    <n v="0"/>
    <n v="0"/>
    <n v="0"/>
    <n v="0"/>
    <x v="24"/>
  </r>
  <r>
    <s v="BAKERY PRODUCTS"/>
    <x v="10"/>
    <x v="241"/>
    <x v="240"/>
    <n v="100"/>
    <n v="52.03"/>
    <n v="0"/>
    <n v="0"/>
    <n v="0"/>
    <n v="0"/>
    <x v="24"/>
  </r>
  <r>
    <s v="BAKERY PRODUCTS"/>
    <x v="10"/>
    <x v="242"/>
    <x v="241"/>
    <n v="100"/>
    <n v="54.36"/>
    <n v="0"/>
    <n v="0"/>
    <n v="0"/>
    <n v="0"/>
    <x v="24"/>
  </r>
  <r>
    <s v="BAKERY PRODUCTS"/>
    <x v="10"/>
    <x v="243"/>
    <x v="242"/>
    <n v="15.99"/>
    <n v="6.5"/>
    <n v="0"/>
    <n v="0"/>
    <n v="0"/>
    <n v="0"/>
    <x v="24"/>
  </r>
  <r>
    <s v="BAKERY PRODUCTS"/>
    <x v="10"/>
    <x v="244"/>
    <x v="243"/>
    <n v="120"/>
    <n v="62.39"/>
    <n v="0"/>
    <n v="0"/>
    <n v="0"/>
    <n v="0"/>
    <x v="24"/>
  </r>
  <r>
    <s v="BAKERY PRODUCTS"/>
    <x v="10"/>
    <x v="245"/>
    <x v="244"/>
    <n v="80"/>
    <n v="36.909999999999997"/>
    <n v="0"/>
    <n v="0"/>
    <n v="0"/>
    <n v="0"/>
    <x v="24"/>
  </r>
  <r>
    <s v="BAKERY PRODUCTS"/>
    <x v="10"/>
    <x v="246"/>
    <x v="245"/>
    <n v="130"/>
    <n v="64.900000000000006"/>
    <n v="0"/>
    <n v="0"/>
    <n v="0"/>
    <n v="0"/>
    <x v="24"/>
  </r>
  <r>
    <s v="BAKERY PRODUCTS"/>
    <x v="10"/>
    <x v="247"/>
    <x v="246"/>
    <n v="100"/>
    <n v="51.82"/>
    <n v="0"/>
    <n v="0"/>
    <n v="0"/>
    <n v="0"/>
    <x v="24"/>
  </r>
  <r>
    <s v="BAKERY PRODUCTS"/>
    <x v="11"/>
    <x v="248"/>
    <x v="247"/>
    <n v="79.989999999999995"/>
    <n v="54.64"/>
    <n v="0"/>
    <n v="0"/>
    <n v="0"/>
    <n v="0"/>
    <x v="24"/>
  </r>
  <r>
    <s v="BAKERY PRODUCTS"/>
    <x v="11"/>
    <x v="249"/>
    <x v="248"/>
    <n v="120"/>
    <n v="62.47"/>
    <n v="0"/>
    <n v="0"/>
    <n v="0"/>
    <n v="0"/>
    <x v="24"/>
  </r>
  <r>
    <s v="BAKERY PRODUCTS"/>
    <x v="11"/>
    <x v="250"/>
    <x v="249"/>
    <n v="385"/>
    <n v="201.52"/>
    <n v="0"/>
    <n v="0"/>
    <n v="0"/>
    <n v="0"/>
    <x v="24"/>
  </r>
  <r>
    <s v="BAKERY PRODUCTS"/>
    <x v="11"/>
    <x v="251"/>
    <x v="250"/>
    <n v="65.989999999999995"/>
    <n v="46.29"/>
    <n v="0"/>
    <n v="0"/>
    <n v="0"/>
    <n v="0"/>
    <x v="24"/>
  </r>
  <r>
    <s v="BAKERY PRODUCTS"/>
    <x v="11"/>
    <x v="252"/>
    <x v="251"/>
    <n v="160"/>
    <n v="106.8"/>
    <n v="0"/>
    <n v="0"/>
    <n v="0"/>
    <n v="0"/>
    <x v="24"/>
  </r>
  <r>
    <s v="BAKERY PRODUCTS"/>
    <x v="11"/>
    <x v="253"/>
    <x v="252"/>
    <n v="100"/>
    <n v="53.89"/>
    <n v="0"/>
    <n v="0"/>
    <n v="0"/>
    <n v="0"/>
    <x v="24"/>
  </r>
  <r>
    <s v="BAKERY PRODUCTS"/>
    <x v="11"/>
    <x v="254"/>
    <x v="253"/>
    <n v="8.99"/>
    <n v="3.8"/>
    <n v="0"/>
    <n v="0"/>
    <n v="0"/>
    <n v="0"/>
    <x v="24"/>
  </r>
  <r>
    <s v="BAKERY PRODUCTS"/>
    <x v="11"/>
    <x v="255"/>
    <x v="254"/>
    <n v="35.99"/>
    <n v="18"/>
    <n v="0"/>
    <n v="0"/>
    <n v="0"/>
    <n v="0"/>
    <x v="24"/>
  </r>
  <r>
    <s v="BAKERY PRODUCTS"/>
    <x v="11"/>
    <x v="256"/>
    <x v="255"/>
    <n v="140"/>
    <n v="92.6"/>
    <n v="0"/>
    <n v="0"/>
    <n v="0"/>
    <n v="0"/>
    <x v="24"/>
  </r>
  <r>
    <s v="BAKERY PRODUCTS"/>
    <x v="11"/>
    <x v="257"/>
    <x v="256"/>
    <n v="59.99"/>
    <n v="23.44"/>
    <n v="0"/>
    <n v="0"/>
    <n v="0"/>
    <n v="0"/>
    <x v="24"/>
  </r>
  <r>
    <s v="BAKERY PRODUCTS"/>
    <x v="11"/>
    <x v="258"/>
    <x v="257"/>
    <n v="79.989999999999995"/>
    <n v="42.68"/>
    <n v="0"/>
    <n v="0"/>
    <n v="0"/>
    <n v="0"/>
    <x v="24"/>
  </r>
  <r>
    <s v="BAKERY PRODUCTS"/>
    <x v="11"/>
    <x v="259"/>
    <x v="258"/>
    <n v="160"/>
    <n v="72.88"/>
    <n v="0"/>
    <n v="0"/>
    <n v="0"/>
    <n v="0"/>
    <x v="24"/>
  </r>
  <r>
    <s v="BAKERY PRODUCTS"/>
    <x v="11"/>
    <x v="260"/>
    <x v="259"/>
    <n v="69.989999999999995"/>
    <n v="32.450000000000003"/>
    <n v="0"/>
    <n v="0"/>
    <n v="0"/>
    <n v="0"/>
    <x v="24"/>
  </r>
  <r>
    <s v="BAKERY PRODUCTS"/>
    <x v="11"/>
    <x v="261"/>
    <x v="260"/>
    <n v="140"/>
    <n v="62.14"/>
    <n v="0"/>
    <n v="0"/>
    <n v="0"/>
    <n v="0"/>
    <x v="24"/>
  </r>
  <r>
    <s v="BAKERY PRODUCTS"/>
    <x v="11"/>
    <x v="262"/>
    <x v="261"/>
    <n v="120"/>
    <n v="82.1"/>
    <n v="0"/>
    <n v="0"/>
    <n v="0"/>
    <n v="0"/>
    <x v="24"/>
  </r>
  <r>
    <s v="BAKERY PRODUCTS"/>
    <x v="11"/>
    <x v="263"/>
    <x v="262"/>
    <n v="70"/>
    <n v="48.14"/>
    <n v="0"/>
    <n v="0"/>
    <n v="0"/>
    <n v="0"/>
    <x v="24"/>
  </r>
  <r>
    <s v="BAKERY PRODUCTS"/>
    <x v="12"/>
    <x v="264"/>
    <x v="263"/>
    <n v="55"/>
    <n v="33.18"/>
    <n v="0"/>
    <n v="0"/>
    <n v="0"/>
    <n v="0"/>
    <x v="24"/>
  </r>
  <r>
    <s v="BAKERY PRODUCTS"/>
    <x v="12"/>
    <x v="265"/>
    <x v="264"/>
    <n v="60"/>
    <n v="33.18"/>
    <n v="0"/>
    <n v="0"/>
    <n v="0"/>
    <n v="0"/>
    <x v="24"/>
  </r>
  <r>
    <s v="BAKERY PRODUCTS"/>
    <x v="12"/>
    <x v="266"/>
    <x v="265"/>
    <n v="29.99"/>
    <n v="12.33"/>
    <n v="0"/>
    <n v="0"/>
    <n v="0"/>
    <n v="0"/>
    <x v="24"/>
  </r>
  <r>
    <s v="BAKERY PRODUCTS"/>
    <x v="12"/>
    <x v="267"/>
    <x v="266"/>
    <n v="38"/>
    <n v="18.920000000000002"/>
    <n v="0"/>
    <n v="0"/>
    <n v="0"/>
    <n v="0"/>
    <x v="24"/>
  </r>
  <r>
    <s v="BAKERY PRODUCTS"/>
    <x v="12"/>
    <x v="268"/>
    <x v="267"/>
    <n v="69.989999999999995"/>
    <n v="37.380000000000003"/>
    <n v="0"/>
    <n v="0"/>
    <n v="0"/>
    <n v="0"/>
    <x v="24"/>
  </r>
  <r>
    <s v="BAKERY PRODUCTS"/>
    <x v="12"/>
    <x v="269"/>
    <x v="268"/>
    <n v="69.989999999999995"/>
    <n v="42.18"/>
    <n v="0"/>
    <n v="0"/>
    <n v="0"/>
    <n v="0"/>
    <x v="24"/>
  </r>
  <r>
    <s v="GOOSEBUMPS DISTR.(BREAD STOP)"/>
    <x v="13"/>
    <x v="270"/>
    <x v="269"/>
    <n v="0"/>
    <n v="120.14"/>
    <n v="0"/>
    <n v="0"/>
    <n v="0"/>
    <n v="0"/>
    <x v="24"/>
  </r>
  <r>
    <s v="ROSSOUW D"/>
    <x v="14"/>
    <x v="271"/>
    <x v="270"/>
    <n v="19.989999999999998"/>
    <n v="17.149999999999999"/>
    <n v="0"/>
    <n v="0"/>
    <n v="0"/>
    <n v="0"/>
    <x v="24"/>
  </r>
  <r>
    <s v="ROSSOUW D"/>
    <x v="14"/>
    <x v="272"/>
    <x v="271"/>
    <n v="29.99"/>
    <n v="29.25"/>
    <n v="0"/>
    <n v="0"/>
    <n v="0"/>
    <n v="0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3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J57" firstHeaderRow="1" firstDataRow="2" firstDataCol="3"/>
  <pivotFields count="12">
    <pivotField compact="0" outline="0" showAll="0" includeNewItemsInFilter="1"/>
    <pivotField name="Sub-Department" axis="axisRow" compact="0" numFmtId="164" outline="0" showAll="0" includeNewItemsInFilter="1" sortType="ascending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compact="0" numFmtId="1" outline="0" showAll="0" includeNewItemsInFilter="1" sortType="descending" defaultSubtotal="0">
      <items count="273">
        <item x="20"/>
        <item x="21"/>
        <item x="99"/>
        <item x="18"/>
        <item x="156"/>
        <item x="144"/>
        <item x="74"/>
        <item x="91"/>
        <item x="256"/>
        <item x="82"/>
        <item x="103"/>
        <item x="110"/>
        <item x="146"/>
        <item x="85"/>
        <item x="92"/>
        <item x="153"/>
        <item x="88"/>
        <item x="109"/>
        <item x="29"/>
        <item x="4"/>
        <item x="24"/>
        <item x="51"/>
        <item x="95"/>
        <item x="94"/>
        <item x="157"/>
        <item x="121"/>
        <item x="56"/>
        <item x="84"/>
        <item x="131"/>
        <item x="130"/>
        <item x="260"/>
        <item x="97"/>
        <item x="246"/>
        <item x="98"/>
        <item x="105"/>
        <item x="68"/>
        <item x="83"/>
        <item x="142"/>
        <item x="104"/>
        <item x="257"/>
        <item x="255"/>
        <item x="193"/>
        <item x="205"/>
        <item x="197"/>
        <item x="206"/>
        <item x="202"/>
        <item x="207"/>
        <item x="208"/>
        <item x="199"/>
        <item x="203"/>
        <item x="209"/>
        <item x="210"/>
        <item x="204"/>
        <item x="200"/>
        <item x="195"/>
        <item x="190"/>
        <item x="247"/>
        <item x="76"/>
        <item x="15"/>
        <item x="271"/>
        <item x="249"/>
        <item x="38"/>
        <item x="47"/>
        <item x="78"/>
        <item x="23"/>
        <item x="241"/>
        <item x="87"/>
        <item x="69"/>
        <item x="150"/>
        <item x="17"/>
        <item x="16"/>
        <item x="12"/>
        <item x="244"/>
        <item x="228"/>
        <item x="227"/>
        <item x="239"/>
        <item x="236"/>
        <item x="139"/>
        <item x="100"/>
        <item x="245"/>
        <item x="6"/>
        <item x="9"/>
        <item x="8"/>
        <item x="70"/>
        <item x="54"/>
        <item x="22"/>
        <item x="242"/>
        <item x="48"/>
        <item x="132"/>
        <item x="57"/>
        <item x="5"/>
        <item x="122"/>
        <item x="223"/>
        <item x="211"/>
        <item x="217"/>
        <item x="220"/>
        <item x="219"/>
        <item x="216"/>
        <item x="215"/>
        <item x="44"/>
        <item x="196"/>
        <item x="34"/>
        <item x="162"/>
        <item x="126"/>
        <item x="10"/>
        <item x="36"/>
        <item x="212"/>
        <item x="214"/>
        <item x="194"/>
        <item x="192"/>
        <item x="111"/>
        <item x="248"/>
        <item x="113"/>
        <item x="41"/>
        <item x="218"/>
        <item x="30"/>
        <item x="116"/>
        <item x="25"/>
        <item x="149"/>
        <item x="266"/>
        <item x="40"/>
        <item x="198"/>
        <item x="213"/>
        <item x="201"/>
        <item x="123"/>
        <item x="250"/>
        <item x="3"/>
        <item x="191"/>
        <item x="32"/>
        <item x="2"/>
        <item x="166"/>
        <item x="167"/>
        <item x="168"/>
        <item x="90"/>
        <item x="169"/>
        <item x="170"/>
        <item x="171"/>
        <item x="89"/>
        <item x="59"/>
        <item x="172"/>
        <item x="93"/>
        <item x="42"/>
        <item x="240"/>
        <item x="173"/>
        <item x="222"/>
        <item x="243"/>
        <item x="272"/>
        <item x="13"/>
        <item x="237"/>
        <item x="229"/>
        <item x="31"/>
        <item x="165"/>
        <item x="80"/>
        <item x="77"/>
        <item x="221"/>
        <item x="60"/>
        <item x="235"/>
        <item x="143"/>
        <item x="134"/>
        <item x="233"/>
        <item x="135"/>
        <item x="174"/>
        <item x="96"/>
        <item x="7"/>
        <item x="114"/>
        <item x="14"/>
        <item x="73"/>
        <item x="129"/>
        <item x="119"/>
        <item x="138"/>
        <item x="107"/>
        <item x="118"/>
        <item x="112"/>
        <item x="108"/>
        <item x="45"/>
        <item x="43"/>
        <item x="226"/>
        <item x="230"/>
        <item x="46"/>
        <item x="115"/>
        <item x="58"/>
        <item x="37"/>
        <item x="66"/>
        <item x="175"/>
        <item x="101"/>
        <item x="86"/>
        <item x="127"/>
        <item x="52"/>
        <item x="176"/>
        <item x="224"/>
        <item x="39"/>
        <item x="11"/>
        <item x="28"/>
        <item x="270"/>
        <item x="163"/>
        <item x="128"/>
        <item x="225"/>
        <item x="27"/>
        <item x="61"/>
        <item x="26"/>
        <item x="117"/>
        <item x="145"/>
        <item x="140"/>
        <item x="160"/>
        <item x="161"/>
        <item x="0"/>
        <item x="1"/>
        <item x="141"/>
        <item x="252"/>
        <item x="33"/>
        <item x="151"/>
        <item x="65"/>
        <item x="238"/>
        <item x="177"/>
        <item x="178"/>
        <item x="179"/>
        <item x="158"/>
        <item x="152"/>
        <item x="81"/>
        <item x="79"/>
        <item x="75"/>
        <item x="102"/>
        <item x="125"/>
        <item x="106"/>
        <item x="136"/>
        <item x="19"/>
        <item x="67"/>
        <item x="55"/>
        <item x="234"/>
        <item x="133"/>
        <item x="50"/>
        <item x="253"/>
        <item x="124"/>
        <item x="264"/>
        <item x="232"/>
        <item x="251"/>
        <item x="62"/>
        <item x="53"/>
        <item x="147"/>
        <item x="63"/>
        <item x="265"/>
        <item x="35"/>
        <item x="120"/>
        <item x="258"/>
        <item x="71"/>
        <item x="180"/>
        <item x="231"/>
        <item x="261"/>
        <item x="254"/>
        <item x="259"/>
        <item x="269"/>
        <item x="268"/>
        <item x="267"/>
        <item x="262"/>
        <item x="263"/>
        <item x="154"/>
        <item x="49"/>
        <item x="181"/>
        <item x="155"/>
        <item x="159"/>
        <item x="64"/>
        <item x="164"/>
        <item x="148"/>
        <item x="137"/>
        <item x="72"/>
        <item x="182"/>
        <item x="183"/>
        <item x="184"/>
        <item x="185"/>
        <item x="186"/>
        <item x="187"/>
        <item x="188"/>
        <item x="18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254"/>
        <item x="122"/>
        <item x="190"/>
        <item x="180"/>
        <item x="33"/>
        <item x="0"/>
        <item x="5"/>
        <item x="3"/>
        <item x="57"/>
        <item x="249"/>
        <item x="246"/>
        <item x="123"/>
        <item x="187"/>
        <item x="269"/>
        <item x="194"/>
        <item x="199"/>
        <item x="203"/>
        <item x="208"/>
        <item x="202"/>
        <item x="198"/>
        <item x="207"/>
        <item x="206"/>
        <item x="201"/>
        <item x="205"/>
        <item x="196"/>
        <item x="204"/>
        <item x="192"/>
        <item x="209"/>
        <item x="26"/>
        <item x="104"/>
        <item x="132"/>
        <item x="229"/>
        <item x="48"/>
        <item x="242"/>
        <item x="74"/>
        <item x="142"/>
        <item x="83"/>
        <item x="62"/>
        <item x="53"/>
        <item x="65"/>
        <item x="68"/>
        <item x="128"/>
        <item x="105"/>
        <item x="98"/>
        <item x="106"/>
        <item x="79"/>
        <item x="127"/>
        <item x="245"/>
        <item x="73"/>
        <item x="200"/>
        <item x="212"/>
        <item x="197"/>
        <item x="251"/>
        <item x="133"/>
        <item x="136"/>
        <item x="241"/>
        <item x="138"/>
        <item x="22"/>
        <item x="54"/>
        <item x="40"/>
        <item x="97"/>
        <item x="239"/>
        <item x="66"/>
        <item x="234"/>
        <item x="259"/>
        <item x="115"/>
        <item x="147"/>
        <item x="45"/>
        <item x="59"/>
        <item x="13"/>
        <item x="2"/>
        <item x="252"/>
        <item x="70"/>
        <item x="8"/>
        <item x="183"/>
        <item x="184"/>
        <item x="182"/>
        <item x="185"/>
        <item x="258"/>
        <item x="230"/>
        <item x="179"/>
        <item x="177"/>
        <item x="178"/>
        <item x="9"/>
        <item x="160"/>
        <item x="141"/>
        <item x="151"/>
        <item x="161"/>
        <item x="130"/>
        <item x="140"/>
        <item x="145"/>
        <item x="117"/>
        <item x="6"/>
        <item x="137"/>
        <item x="164"/>
        <item x="148"/>
        <item x="257"/>
        <item x="224"/>
        <item x="84"/>
        <item x="27"/>
        <item x="35"/>
        <item x="221"/>
        <item x="244"/>
        <item x="77"/>
        <item x="131"/>
        <item x="152"/>
        <item x="50"/>
        <item x="158"/>
        <item x="43"/>
        <item x="75"/>
        <item x="271"/>
        <item x="223"/>
        <item x="256"/>
        <item x="56"/>
        <item x="121"/>
        <item x="157"/>
        <item x="67"/>
        <item x="55"/>
        <item x="100"/>
        <item x="96"/>
        <item x="94"/>
        <item x="95"/>
        <item x="108"/>
        <item x="265"/>
        <item x="175"/>
        <item x="42"/>
        <item x="114"/>
        <item x="149"/>
        <item x="51"/>
        <item x="139"/>
        <item x="195"/>
        <item x="25"/>
        <item x="24"/>
        <item x="32"/>
        <item x="235"/>
        <item x="237"/>
        <item x="116"/>
        <item x="238"/>
        <item x="30"/>
        <item x="4"/>
        <item x="29"/>
        <item x="217"/>
        <item x="170"/>
        <item x="173"/>
        <item x="171"/>
        <item x="64"/>
        <item x="169"/>
        <item x="166"/>
        <item x="174"/>
        <item x="172"/>
        <item x="232"/>
        <item x="168"/>
        <item x="167"/>
        <item x="176"/>
        <item x="233"/>
        <item x="28"/>
        <item x="102"/>
        <item x="226"/>
        <item x="228"/>
        <item x="227"/>
        <item x="80"/>
        <item x="189"/>
        <item x="15"/>
        <item x="243"/>
        <item x="52"/>
        <item x="39"/>
        <item x="11"/>
        <item x="12"/>
        <item x="153"/>
        <item x="88"/>
        <item x="16"/>
        <item x="17"/>
        <item x="92"/>
        <item x="76"/>
        <item x="93"/>
        <item x="85"/>
        <item x="146"/>
        <item x="103"/>
        <item x="110"/>
        <item x="113"/>
        <item x="247"/>
        <item x="19"/>
        <item x="150"/>
        <item x="81"/>
        <item x="111"/>
        <item x="69"/>
        <item x="261"/>
        <item x="89"/>
        <item x="14"/>
        <item x="41"/>
        <item x="191"/>
        <item x="193"/>
        <item x="154"/>
        <item x="49"/>
        <item x="60"/>
        <item x="143"/>
        <item x="87"/>
        <item x="125"/>
        <item x="186"/>
        <item x="213"/>
        <item x="240"/>
        <item x="211"/>
        <item x="134"/>
        <item x="23"/>
        <item x="135"/>
        <item x="7"/>
        <item x="36"/>
        <item x="10"/>
        <item x="46"/>
        <item x="71"/>
        <item x="82"/>
        <item x="255"/>
        <item x="90"/>
        <item x="188"/>
        <item x="101"/>
        <item x="91"/>
        <item x="120"/>
        <item x="61"/>
        <item x="126"/>
        <item x="156"/>
        <item x="162"/>
        <item x="78"/>
        <item x="165"/>
        <item x="253"/>
        <item x="144"/>
        <item x="268"/>
        <item x="264"/>
        <item x="34"/>
        <item x="263"/>
        <item x="250"/>
        <item x="47"/>
        <item x="63"/>
        <item x="1"/>
        <item x="225"/>
        <item x="38"/>
        <item x="44"/>
        <item x="124"/>
        <item x="248"/>
        <item x="155"/>
        <item x="260"/>
        <item x="220"/>
        <item x="215"/>
        <item x="214"/>
        <item x="219"/>
        <item x="218"/>
        <item x="216"/>
        <item x="86"/>
        <item x="231"/>
        <item x="31"/>
        <item x="18"/>
        <item x="210"/>
        <item x="222"/>
        <item x="109"/>
        <item x="58"/>
        <item x="119"/>
        <item x="129"/>
        <item x="99"/>
        <item x="107"/>
        <item x="20"/>
        <item x="21"/>
        <item x="159"/>
        <item x="118"/>
        <item x="270"/>
        <item x="262"/>
        <item x="181"/>
        <item x="37"/>
        <item x="236"/>
        <item x="266"/>
        <item x="267"/>
        <item x="112"/>
        <item x="72"/>
        <item x="1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dataField="1" compact="0" numFmtId="167" outline="0" showAll="0" includeNewItemsInFilter="1"/>
    <pivotField compact="0" numFmtId="168" outline="0" showAll="0" includeNewItemsInFilter="1">
      <items count="50">
        <item x="24"/>
        <item x="30"/>
        <item x="3"/>
        <item x="10"/>
        <item x="8"/>
        <item x="1"/>
        <item x="14"/>
        <item x="29"/>
        <item x="4"/>
        <item x="0"/>
        <item x="5"/>
        <item x="37"/>
        <item x="41"/>
        <item x="46"/>
        <item x="7"/>
        <item x="28"/>
        <item x="27"/>
        <item x="15"/>
        <item x="40"/>
        <item x="48"/>
        <item x="35"/>
        <item x="26"/>
        <item x="45"/>
        <item x="44"/>
        <item x="34"/>
        <item x="25"/>
        <item x="13"/>
        <item x="18"/>
        <item x="17"/>
        <item x="2"/>
        <item x="6"/>
        <item x="9"/>
        <item x="12"/>
        <item x="11"/>
        <item x="32"/>
        <item x="38"/>
        <item x="21"/>
        <item x="47"/>
        <item x="22"/>
        <item x="42"/>
        <item x="16"/>
        <item x="20"/>
        <item x="31"/>
        <item x="19"/>
        <item x="36"/>
        <item x="43"/>
        <item x="33"/>
        <item x="23"/>
        <item x="39"/>
        <item t="default"/>
      </items>
    </pivotField>
    <pivotField dataField="1" compact="0" outline="0" dragToRow="0" dragToCol="0" dragToPage="0" showAll="0" defaultSubtotal="0"/>
  </pivotFields>
  <rowFields count="3">
    <field x="1"/>
    <field x="2"/>
    <field x="3"/>
  </rowFields>
  <rowItems count="54">
    <i>
      <x/>
      <x v="205"/>
      <x v="5"/>
    </i>
    <i r="1">
      <x v="206"/>
      <x v="232"/>
    </i>
    <i r="1">
      <x v="129"/>
      <x v="70"/>
    </i>
    <i r="1">
      <x v="126"/>
      <x v="7"/>
    </i>
    <i r="1">
      <x v="19"/>
      <x v="139"/>
    </i>
    <i r="1">
      <x v="90"/>
      <x v="6"/>
    </i>
    <i r="1">
      <x v="80"/>
      <x v="92"/>
    </i>
    <i r="1">
      <x v="163"/>
      <x v="205"/>
    </i>
    <i r="1">
      <x v="82"/>
      <x v="73"/>
    </i>
    <i r="1">
      <x v="81"/>
      <x v="83"/>
    </i>
    <i r="1">
      <x v="104"/>
      <x v="207"/>
    </i>
    <i r="1">
      <x v="71"/>
      <x v="167"/>
    </i>
    <i r="1">
      <x v="191"/>
      <x v="166"/>
    </i>
    <i r="1">
      <x v="147"/>
      <x v="69"/>
    </i>
    <i r="1">
      <x v="165"/>
      <x v="188"/>
    </i>
    <i r="1">
      <x v="58"/>
      <x v="162"/>
    </i>
    <i r="1">
      <x v="70"/>
      <x v="170"/>
    </i>
    <i r="1">
      <x v="69"/>
      <x v="171"/>
    </i>
    <i r="1">
      <x v="225"/>
      <x v="181"/>
    </i>
    <i r="1">
      <x v="3"/>
      <x v="249"/>
    </i>
    <i r="1">
      <x v="85"/>
      <x v="57"/>
    </i>
    <i r="1">
      <x/>
      <x v="258"/>
    </i>
    <i r="1">
      <x v="1"/>
      <x v="259"/>
    </i>
    <i r="1">
      <x v="64"/>
      <x v="203"/>
    </i>
    <i t="default">
      <x/>
    </i>
    <i>
      <x v="1"/>
      <x v="166"/>
      <x v="48"/>
    </i>
    <i r="1">
      <x v="6"/>
      <x v="34"/>
    </i>
    <i r="1">
      <x v="220"/>
      <x v="109"/>
    </i>
    <i r="1">
      <x v="57"/>
      <x v="173"/>
    </i>
    <i r="1">
      <x v="153"/>
      <x v="103"/>
    </i>
    <i r="1">
      <x v="219"/>
      <x v="45"/>
    </i>
    <i r="1">
      <x v="63"/>
      <x v="221"/>
    </i>
    <i r="1">
      <x v="218"/>
      <x v="183"/>
    </i>
    <i r="1">
      <x v="152"/>
      <x v="160"/>
    </i>
    <i r="1">
      <x v="9"/>
      <x v="210"/>
    </i>
    <i r="1">
      <x v="36"/>
      <x v="36"/>
    </i>
    <i r="1">
      <x v="27"/>
      <x v="98"/>
    </i>
    <i r="1">
      <x v="13"/>
      <x v="175"/>
    </i>
    <i r="1">
      <x v="16"/>
      <x v="169"/>
    </i>
    <i r="1">
      <x v="137"/>
      <x v="187"/>
    </i>
    <i r="1">
      <x v="185"/>
      <x v="246"/>
    </i>
    <i r="1">
      <x v="66"/>
      <x v="196"/>
    </i>
    <i t="default">
      <x v="1"/>
    </i>
    <i>
      <x v="3"/>
      <x v="107"/>
      <x v="199"/>
    </i>
    <i r="1">
      <x v="98"/>
      <x v="242"/>
    </i>
    <i r="1">
      <x v="97"/>
      <x v="241"/>
    </i>
    <i r="1">
      <x v="94"/>
      <x v="245"/>
    </i>
    <i t="default">
      <x v="3"/>
    </i>
    <i>
      <x v="4"/>
      <x v="176"/>
      <x v="233"/>
    </i>
    <i t="default">
      <x v="4"/>
    </i>
    <i>
      <x v="9"/>
      <x v="76"/>
      <x v="134"/>
    </i>
    <i r="1">
      <x v="148"/>
      <x v="266"/>
    </i>
    <i t="default">
      <x v="9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7"/>
    <dataField name="CP of Plan Sales" fld="8" baseField="3" baseItem="13" numFmtId="167"/>
    <dataField name="Plan GP" fld="9" baseField="3" baseItem="13" numFmtId="167"/>
    <dataField name="Planned GP%" fld="11" baseField="3" baseItem="5" numFmtId="169"/>
  </dataFields>
  <formats count="325">
    <format dxfId="338">
      <pivotArea field="1" type="button" dataOnly="0" labelOnly="1" outline="0" axis="axisRow" fieldPosition="0"/>
    </format>
    <format dxfId="337">
      <pivotArea field="2" type="button" dataOnly="0" labelOnly="1" outline="0" axis="axisRow" fieldPosition="1"/>
    </format>
    <format dxfId="336">
      <pivotArea field="3" type="button" dataOnly="0" labelOnly="1" outline="0" axis="axisRow" fieldPosition="2"/>
    </format>
    <format dxfId="33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34">
      <pivotArea field="1" type="button" dataOnly="0" labelOnly="1" outline="0" axis="axisRow" fieldPosition="0"/>
    </format>
    <format dxfId="333">
      <pivotArea field="2" type="button" dataOnly="0" labelOnly="1" outline="0" axis="axisRow" fieldPosition="1"/>
    </format>
    <format dxfId="332">
      <pivotArea field="3" type="button" dataOnly="0" labelOnly="1" outline="0" axis="axisRow" fieldPosition="2"/>
    </format>
    <format dxfId="33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30">
      <pivotArea field="1" type="button" dataOnly="0" labelOnly="1" outline="0" axis="axisRow" fieldPosition="0"/>
    </format>
    <format dxfId="329">
      <pivotArea field="2" type="button" dataOnly="0" labelOnly="1" outline="0" axis="axisRow" fieldPosition="1"/>
    </format>
    <format dxfId="328">
      <pivotArea field="3" type="button" dataOnly="0" labelOnly="1" outline="0" axis="axisRow" fieldPosition="2"/>
    </format>
    <format dxfId="32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6">
      <pivotArea field="1" type="button" dataOnly="0" labelOnly="1" outline="0" axis="axisRow" fieldPosition="0"/>
    </format>
    <format dxfId="325">
      <pivotArea field="2" type="button" dataOnly="0" labelOnly="1" outline="0" axis="axisRow" fieldPosition="1"/>
    </format>
    <format dxfId="324">
      <pivotArea field="3" type="button" dataOnly="0" labelOnly="1" outline="0" axis="axisRow" fieldPosition="2"/>
    </format>
    <format dxfId="32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2">
      <pivotArea outline="0" fieldPosition="0">
        <references count="1">
          <reference field="1" count="1" selected="0" defaultSubtotal="1">
            <x v="0"/>
          </reference>
        </references>
      </pivotArea>
    </format>
    <format dxfId="321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20">
      <pivotArea outline="0" fieldPosition="0">
        <references count="1">
          <reference field="1" count="1" selected="0" defaultSubtotal="1">
            <x v="0"/>
          </reference>
        </references>
      </pivotArea>
    </format>
    <format dxfId="319">
      <pivotArea dataOnly="0" labelOnly="1" outline="0" fieldPosition="0">
        <references count="1">
          <reference field="1" count="1" defaultSubtotal="1">
            <x v="0"/>
          </reference>
        </references>
      </pivotArea>
    </format>
    <format dxfId="318">
      <pivotArea outline="0" fieldPosition="0">
        <references count="1">
          <reference field="1" count="1" selected="0" defaultSubtotal="1">
            <x v="1"/>
          </reference>
        </references>
      </pivotArea>
    </format>
    <format dxfId="317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16">
      <pivotArea outline="0" fieldPosition="0">
        <references count="1">
          <reference field="1" count="1" selected="0" defaultSubtotal="1">
            <x v="1"/>
          </reference>
        </references>
      </pivotArea>
    </format>
    <format dxfId="315">
      <pivotArea dataOnly="0" labelOnly="1" outline="0" fieldPosition="0">
        <references count="1">
          <reference field="1" count="1" defaultSubtotal="1">
            <x v="1"/>
          </reference>
        </references>
      </pivotArea>
    </format>
    <format dxfId="314">
      <pivotArea outline="0" fieldPosition="0">
        <references count="1">
          <reference field="1" count="1" selected="0" defaultSubtotal="1">
            <x v="3"/>
          </reference>
        </references>
      </pivotArea>
    </format>
    <format dxfId="313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312">
      <pivotArea outline="0" fieldPosition="0">
        <references count="1">
          <reference field="1" count="1" selected="0" defaultSubtotal="1">
            <x v="3"/>
          </reference>
        </references>
      </pivotArea>
    </format>
    <format dxfId="311">
      <pivotArea dataOnly="0" labelOnly="1" outline="0" fieldPosition="0">
        <references count="1">
          <reference field="1" count="1" defaultSubtotal="1">
            <x v="3"/>
          </reference>
        </references>
      </pivotArea>
    </format>
    <format dxfId="310">
      <pivotArea outline="0" fieldPosition="0">
        <references count="1">
          <reference field="1" count="1" selected="0" defaultSubtotal="1">
            <x v="4"/>
          </reference>
        </references>
      </pivotArea>
    </format>
    <format dxfId="309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308">
      <pivotArea outline="0" fieldPosition="0">
        <references count="1">
          <reference field="1" count="1" selected="0" defaultSubtotal="1">
            <x v="4"/>
          </reference>
        </references>
      </pivotArea>
    </format>
    <format dxfId="307">
      <pivotArea dataOnly="0" labelOnly="1" outline="0" fieldPosition="0">
        <references count="1">
          <reference field="1" count="1" defaultSubtotal="1">
            <x v="4"/>
          </reference>
        </references>
      </pivotArea>
    </format>
    <format dxfId="306">
      <pivotArea outline="0" fieldPosition="0">
        <references count="1">
          <reference field="1" count="1" selected="0" defaultSubtotal="1">
            <x v="9"/>
          </reference>
        </references>
      </pivotArea>
    </format>
    <format dxfId="305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304">
      <pivotArea outline="0" fieldPosition="0">
        <references count="1">
          <reference field="1" count="1" selected="0" defaultSubtotal="1">
            <x v="9"/>
          </reference>
        </references>
      </pivotArea>
    </format>
    <format dxfId="303">
      <pivotArea dataOnly="0" labelOnly="1" outline="0" fieldPosition="0">
        <references count="1">
          <reference field="1" count="1" defaultSubtotal="1">
            <x v="9"/>
          </reference>
        </references>
      </pivotArea>
    </format>
    <format dxfId="302">
      <pivotArea grandRow="1" outline="0" collapsedLevelsAreSubtotals="1" fieldPosition="0"/>
    </format>
    <format dxfId="301">
      <pivotArea dataOnly="0" labelOnly="1" grandRow="1" outline="0" fieldPosition="0"/>
    </format>
    <format dxfId="300">
      <pivotArea grandRow="1" outline="0" collapsedLevelsAreSubtotals="1" fieldPosition="0"/>
    </format>
    <format dxfId="299">
      <pivotArea dataOnly="0" labelOnly="1" grandRow="1" outline="0" fieldPosition="0"/>
    </format>
    <format dxfId="298">
      <pivotArea grandRow="1" outline="0" collapsedLevelsAreSubtotals="1" fieldPosition="0"/>
    </format>
    <format dxfId="297">
      <pivotArea dataOnly="0" labelOnly="1" grandRow="1" outline="0" fieldPosition="0"/>
    </format>
    <format dxfId="296">
      <pivotArea grandRow="1" outline="0" collapsedLevelsAreSubtotals="1" fieldPosition="0"/>
    </format>
    <format dxfId="295">
      <pivotArea dataOnly="0" labelOnly="1" grandRow="1" outline="0" fieldPosition="0"/>
    </format>
    <format dxfId="294">
      <pivotArea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 selected="0">
            <x v="232"/>
          </reference>
        </references>
      </pivotArea>
    </format>
    <format dxfId="293">
      <pivotArea dataOnly="0" labelOnly="1" outline="0" offset="IV2" fieldPosition="0">
        <references count="1">
          <reference field="1" count="1">
            <x v="0"/>
          </reference>
        </references>
      </pivotArea>
    </format>
    <format dxfId="292">
      <pivotArea dataOnly="0" labelOnly="1" outline="0" fieldPosition="0">
        <references count="2">
          <reference field="1" count="1" selected="0">
            <x v="0"/>
          </reference>
          <reference field="2" count="1">
            <x v="206"/>
          </reference>
        </references>
      </pivotArea>
    </format>
    <format dxfId="29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290">
      <pivotArea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 selected="0">
            <x v="7"/>
          </reference>
        </references>
      </pivotArea>
    </format>
    <format dxfId="289">
      <pivotArea dataOnly="0" labelOnly="1" outline="0" offset="IV4" fieldPosition="0">
        <references count="1">
          <reference field="1" count="1">
            <x v="0"/>
          </reference>
        </references>
      </pivotArea>
    </format>
    <format dxfId="288">
      <pivotArea dataOnly="0" labelOnly="1" outline="0" fieldPosition="0">
        <references count="2">
          <reference field="1" count="1" selected="0">
            <x v="0"/>
          </reference>
          <reference field="2" count="1">
            <x v="126"/>
          </reference>
        </references>
      </pivotArea>
    </format>
    <format dxfId="28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286">
      <pivotArea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 selected="0">
            <x v="6"/>
          </reference>
        </references>
      </pivotArea>
    </format>
    <format dxfId="285">
      <pivotArea dataOnly="0" labelOnly="1" outline="0" offset="IV6" fieldPosition="0">
        <references count="1">
          <reference field="1" count="1">
            <x v="0"/>
          </reference>
        </references>
      </pivotArea>
    </format>
    <format dxfId="284">
      <pivotArea dataOnly="0" labelOnly="1" outline="0" fieldPosition="0">
        <references count="2">
          <reference field="1" count="1" selected="0">
            <x v="0"/>
          </reference>
          <reference field="2" count="1">
            <x v="90"/>
          </reference>
        </references>
      </pivotArea>
    </format>
    <format dxfId="28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282">
      <pivotArea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205"/>
          </reference>
        </references>
      </pivotArea>
    </format>
    <format dxfId="281">
      <pivotArea dataOnly="0" labelOnly="1" outline="0" offset="IV8" fieldPosition="0">
        <references count="1">
          <reference field="1" count="1">
            <x v="0"/>
          </reference>
        </references>
      </pivotArea>
    </format>
    <format dxfId="280">
      <pivotArea dataOnly="0" labelOnly="1" outline="0" fieldPosition="0">
        <references count="2">
          <reference field="1" count="1" selected="0">
            <x v="0"/>
          </reference>
          <reference field="2" count="1">
            <x v="163"/>
          </reference>
        </references>
      </pivotArea>
    </format>
    <format dxfId="27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278">
      <pivotArea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 selected="0">
            <x v="83"/>
          </reference>
        </references>
      </pivotArea>
    </format>
    <format dxfId="277">
      <pivotArea dataOnly="0" labelOnly="1" outline="0" offset="IV10" fieldPosition="0">
        <references count="1">
          <reference field="1" count="1">
            <x v="0"/>
          </reference>
        </references>
      </pivotArea>
    </format>
    <format dxfId="276">
      <pivotArea dataOnly="0" labelOnly="1" outline="0" fieldPosition="0">
        <references count="2">
          <reference field="1" count="1" selected="0">
            <x v="0"/>
          </reference>
          <reference field="2" count="1">
            <x v="81"/>
          </reference>
        </references>
      </pivotArea>
    </format>
    <format dxfId="27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274">
      <pivotArea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 selected="0">
            <x v="167"/>
          </reference>
        </references>
      </pivotArea>
    </format>
    <format dxfId="273">
      <pivotArea dataOnly="0" labelOnly="1" outline="0" offset="IV12" fieldPosition="0">
        <references count="1">
          <reference field="1" count="1">
            <x v="0"/>
          </reference>
        </references>
      </pivotArea>
    </format>
    <format dxfId="272">
      <pivotArea dataOnly="0" labelOnly="1" outline="0" fieldPosition="0">
        <references count="2">
          <reference field="1" count="1" selected="0">
            <x v="0"/>
          </reference>
          <reference field="2" count="1">
            <x v="71"/>
          </reference>
        </references>
      </pivotArea>
    </format>
    <format dxfId="27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270">
      <pivotArea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 selected="0">
            <x v="69"/>
          </reference>
        </references>
      </pivotArea>
    </format>
    <format dxfId="269">
      <pivotArea dataOnly="0" labelOnly="1" outline="0" offset="IV14" fieldPosition="0">
        <references count="1">
          <reference field="1" count="1">
            <x v="0"/>
          </reference>
        </references>
      </pivotArea>
    </format>
    <format dxfId="268">
      <pivotArea dataOnly="0" labelOnly="1" outline="0" fieldPosition="0">
        <references count="2">
          <reference field="1" count="1" selected="0">
            <x v="0"/>
          </reference>
          <reference field="2" count="1">
            <x v="147"/>
          </reference>
        </references>
      </pivotArea>
    </format>
    <format dxfId="26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266">
      <pivotArea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 selected="0">
            <x v="162"/>
          </reference>
        </references>
      </pivotArea>
    </format>
    <format dxfId="265">
      <pivotArea dataOnly="0" labelOnly="1" outline="0" offset="IV16" fieldPosition="0">
        <references count="1">
          <reference field="1" count="1">
            <x v="0"/>
          </reference>
        </references>
      </pivotArea>
    </format>
    <format dxfId="264">
      <pivotArea dataOnly="0" labelOnly="1" outline="0" fieldPosition="0">
        <references count="2">
          <reference field="1" count="1" selected="0">
            <x v="0"/>
          </reference>
          <reference field="2" count="1">
            <x v="58"/>
          </reference>
        </references>
      </pivotArea>
    </format>
    <format dxfId="26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262">
      <pivotArea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 selected="0">
            <x v="171"/>
          </reference>
        </references>
      </pivotArea>
    </format>
    <format dxfId="261">
      <pivotArea dataOnly="0" labelOnly="1" outline="0" offset="IV18" fieldPosition="0">
        <references count="1">
          <reference field="1" count="1">
            <x v="0"/>
          </reference>
        </references>
      </pivotArea>
    </format>
    <format dxfId="260">
      <pivotArea dataOnly="0" labelOnly="1" outline="0" fieldPosition="0">
        <references count="2">
          <reference field="1" count="1" selected="0">
            <x v="0"/>
          </reference>
          <reference field="2" count="1">
            <x v="69"/>
          </reference>
        </references>
      </pivotArea>
    </format>
    <format dxfId="25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258">
      <pivotArea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 selected="0">
            <x v="249"/>
          </reference>
        </references>
      </pivotArea>
    </format>
    <format dxfId="257">
      <pivotArea dataOnly="0" labelOnly="1" outline="0" offset="IV20" fieldPosition="0">
        <references count="1">
          <reference field="1" count="1">
            <x v="0"/>
          </reference>
        </references>
      </pivotArea>
    </format>
    <format dxfId="256">
      <pivotArea dataOnly="0" labelOnly="1" outline="0" fieldPosition="0">
        <references count="2">
          <reference field="1" count="1" selected="0">
            <x v="0"/>
          </reference>
          <reference field="2" count="1">
            <x v="3"/>
          </reference>
        </references>
      </pivotArea>
    </format>
    <format dxfId="25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254">
      <pivotArea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 selected="0">
            <x v="258"/>
          </reference>
        </references>
      </pivotArea>
    </format>
    <format dxfId="253">
      <pivotArea dataOnly="0" labelOnly="1" outline="0" offset="IV22" fieldPosition="0">
        <references count="1">
          <reference field="1" count="1">
            <x v="0"/>
          </reference>
        </references>
      </pivotArea>
    </format>
    <format dxfId="252">
      <pivotArea dataOnly="0" labelOnly="1" outline="0" fieldPosition="0">
        <references count="2">
          <reference field="1" count="1" selected="0">
            <x v="0"/>
          </reference>
          <reference field="2" count="1">
            <x v="0"/>
          </reference>
        </references>
      </pivotArea>
    </format>
    <format dxfId="25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250">
      <pivotArea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 selected="0">
            <x v="203"/>
          </reference>
        </references>
      </pivotArea>
    </format>
    <format dxfId="249">
      <pivotArea dataOnly="0" labelOnly="1" outline="0" offset="IV256" fieldPosition="0">
        <references count="1">
          <reference field="1" count="1">
            <x v="0"/>
          </reference>
        </references>
      </pivotArea>
    </format>
    <format dxfId="248">
      <pivotArea dataOnly="0" labelOnly="1" outline="0" fieldPosition="0">
        <references count="2">
          <reference field="1" count="1" selected="0">
            <x v="0"/>
          </reference>
          <reference field="2" count="1">
            <x v="64"/>
          </reference>
        </references>
      </pivotArea>
    </format>
    <format dxfId="24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246">
      <pivotArea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 selected="0">
            <x v="34"/>
          </reference>
        </references>
      </pivotArea>
    </format>
    <format dxfId="245">
      <pivotArea dataOnly="0" labelOnly="1" outline="0" offset="IV2" fieldPosition="0">
        <references count="1">
          <reference field="1" count="1">
            <x v="1"/>
          </reference>
        </references>
      </pivotArea>
    </format>
    <format dxfId="244">
      <pivotArea dataOnly="0" labelOnly="1" outline="0" fieldPosition="0">
        <references count="2">
          <reference field="1" count="1" selected="0">
            <x v="1"/>
          </reference>
          <reference field="2" count="1">
            <x v="6"/>
          </reference>
        </references>
      </pivotArea>
    </format>
    <format dxfId="24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242">
      <pivotArea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 selected="0">
            <x v="173"/>
          </reference>
        </references>
      </pivotArea>
    </format>
    <format dxfId="241">
      <pivotArea dataOnly="0" labelOnly="1" outline="0" offset="IV4" fieldPosition="0">
        <references count="1">
          <reference field="1" count="1">
            <x v="1"/>
          </reference>
        </references>
      </pivotArea>
    </format>
    <format dxfId="240">
      <pivotArea dataOnly="0" labelOnly="1" outline="0" fieldPosition="0">
        <references count="2">
          <reference field="1" count="1" selected="0">
            <x v="1"/>
          </reference>
          <reference field="2" count="1">
            <x v="57"/>
          </reference>
        </references>
      </pivotArea>
    </format>
    <format dxfId="23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238">
      <pivotArea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 selected="0">
            <x v="45"/>
          </reference>
        </references>
      </pivotArea>
    </format>
    <format dxfId="237">
      <pivotArea dataOnly="0" labelOnly="1" outline="0" offset="IV6" fieldPosition="0">
        <references count="1">
          <reference field="1" count="1">
            <x v="1"/>
          </reference>
        </references>
      </pivotArea>
    </format>
    <format dxfId="236">
      <pivotArea dataOnly="0" labelOnly="1" outline="0" fieldPosition="0">
        <references count="2">
          <reference field="1" count="1" selected="0">
            <x v="1"/>
          </reference>
          <reference field="2" count="1">
            <x v="219"/>
          </reference>
        </references>
      </pivotArea>
    </format>
    <format dxfId="23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234">
      <pivotArea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3"/>
          </reference>
        </references>
      </pivotArea>
    </format>
    <format dxfId="233">
      <pivotArea dataOnly="0" labelOnly="1" outline="0" offset="IV8" fieldPosition="0">
        <references count="1">
          <reference field="1" count="1">
            <x v="1"/>
          </reference>
        </references>
      </pivotArea>
    </format>
    <format dxfId="232">
      <pivotArea dataOnly="0" labelOnly="1" outline="0" fieldPosition="0">
        <references count="2">
          <reference field="1" count="1" selected="0">
            <x v="1"/>
          </reference>
          <reference field="2" count="1">
            <x v="218"/>
          </reference>
        </references>
      </pivotArea>
    </format>
    <format dxfId="23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230">
      <pivotArea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 selected="0">
            <x v="210"/>
          </reference>
        </references>
      </pivotArea>
    </format>
    <format dxfId="229">
      <pivotArea dataOnly="0" labelOnly="1" outline="0" offset="IV10" fieldPosition="0">
        <references count="1">
          <reference field="1" count="1">
            <x v="1"/>
          </reference>
        </references>
      </pivotArea>
    </format>
    <format dxfId="228">
      <pivotArea dataOnly="0" labelOnly="1" outline="0" fieldPosition="0">
        <references count="2">
          <reference field="1" count="1" selected="0">
            <x v="1"/>
          </reference>
          <reference field="2" count="1">
            <x v="9"/>
          </reference>
        </references>
      </pivotArea>
    </format>
    <format dxfId="22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226">
      <pivotArea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 selected="0">
            <x v="98"/>
          </reference>
        </references>
      </pivotArea>
    </format>
    <format dxfId="225">
      <pivotArea dataOnly="0" labelOnly="1" outline="0" offset="IV12" fieldPosition="0">
        <references count="1">
          <reference field="1" count="1">
            <x v="1"/>
          </reference>
        </references>
      </pivotArea>
    </format>
    <format dxfId="224">
      <pivotArea dataOnly="0" labelOnly="1" outline="0" fieldPosition="0">
        <references count="2">
          <reference field="1" count="1" selected="0">
            <x v="1"/>
          </reference>
          <reference field="2" count="1">
            <x v="27"/>
          </reference>
        </references>
      </pivotArea>
    </format>
    <format dxfId="22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222">
      <pivotArea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 selected="0">
            <x v="169"/>
          </reference>
        </references>
      </pivotArea>
    </format>
    <format dxfId="221">
      <pivotArea dataOnly="0" labelOnly="1" outline="0" offset="IV14" fieldPosition="0">
        <references count="1">
          <reference field="1" count="1">
            <x v="1"/>
          </reference>
        </references>
      </pivotArea>
    </format>
    <format dxfId="220">
      <pivotArea dataOnly="0" labelOnly="1" outline="0" fieldPosition="0">
        <references count="2">
          <reference field="1" count="1" selected="0">
            <x v="1"/>
          </reference>
          <reference field="2" count="1">
            <x v="16"/>
          </reference>
        </references>
      </pivotArea>
    </format>
    <format dxfId="21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218">
      <pivotArea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 selected="0">
            <x v="246"/>
          </reference>
        </references>
      </pivotArea>
    </format>
    <format dxfId="217">
      <pivotArea dataOnly="0" labelOnly="1" outline="0" offset="IV16" fieldPosition="0">
        <references count="1">
          <reference field="1" count="1">
            <x v="1"/>
          </reference>
        </references>
      </pivotArea>
    </format>
    <format dxfId="216">
      <pivotArea dataOnly="0" labelOnly="1" outline="0" fieldPosition="0">
        <references count="2">
          <reference field="1" count="1" selected="0">
            <x v="1"/>
          </reference>
          <reference field="2" count="1">
            <x v="185"/>
          </reference>
        </references>
      </pivotArea>
    </format>
    <format dxfId="21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214">
      <pivotArea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 selected="0">
            <x v="199"/>
          </reference>
        </references>
      </pivotArea>
    </format>
    <format dxfId="213">
      <pivotArea dataOnly="0" labelOnly="1" outline="0" offset="IV1" fieldPosition="0">
        <references count="1">
          <reference field="1" count="1">
            <x v="3"/>
          </reference>
        </references>
      </pivotArea>
    </format>
    <format dxfId="212">
      <pivotArea dataOnly="0" labelOnly="1" outline="0" fieldPosition="0">
        <references count="2">
          <reference field="1" count="1" selected="0">
            <x v="3"/>
          </reference>
          <reference field="2" count="1">
            <x v="107"/>
          </reference>
        </references>
      </pivotArea>
    </format>
    <format dxfId="211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210">
      <pivotArea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 selected="0">
            <x v="241"/>
          </reference>
        </references>
      </pivotArea>
    </format>
    <format dxfId="209">
      <pivotArea dataOnly="0" labelOnly="1" outline="0" offset="IV3" fieldPosition="0">
        <references count="1">
          <reference field="1" count="1">
            <x v="3"/>
          </reference>
        </references>
      </pivotArea>
    </format>
    <format dxfId="208">
      <pivotArea dataOnly="0" labelOnly="1" outline="0" fieldPosition="0">
        <references count="2">
          <reference field="1" count="1" selected="0">
            <x v="3"/>
          </reference>
          <reference field="2" count="1">
            <x v="97"/>
          </reference>
        </references>
      </pivotArea>
    </format>
    <format dxfId="20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206">
      <pivotArea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 selected="0">
            <x v="233"/>
          </reference>
        </references>
      </pivotArea>
    </format>
    <format dxfId="205">
      <pivotArea dataOnly="0" labelOnly="1" outline="0" fieldPosition="0">
        <references count="1">
          <reference field="1" count="1">
            <x v="4"/>
          </reference>
        </references>
      </pivotArea>
    </format>
    <format dxfId="204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203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202">
      <pivotArea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 selected="0">
            <x v="266"/>
          </reference>
        </references>
      </pivotArea>
    </format>
    <format dxfId="201">
      <pivotArea dataOnly="0" labelOnly="1" outline="0" offset="IV256" fieldPosition="0">
        <references count="1">
          <reference field="1" count="1">
            <x v="9"/>
          </reference>
        </references>
      </pivotArea>
    </format>
    <format dxfId="200">
      <pivotArea dataOnly="0" labelOnly="1" outline="0" fieldPosition="0">
        <references count="2">
          <reference field="1" count="1" selected="0">
            <x v="9"/>
          </reference>
          <reference field="2" count="1">
            <x v="148"/>
          </reference>
        </references>
      </pivotArea>
    </format>
    <format dxfId="199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98">
      <pivotArea outline="0" collapsedLevelsAreSubtotals="1" fieldPosition="0"/>
    </format>
    <format dxfId="197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96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95">
      <pivotArea dataOnly="0" labelOnly="1" grandRow="1" outline="0" fieldPosition="0"/>
    </format>
    <format dxfId="194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93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92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91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90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8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8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8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8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8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8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8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18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8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18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7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17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7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17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7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17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7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17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7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17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16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16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16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16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16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16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16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16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16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16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15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15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15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15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15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5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15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15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15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15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14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148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4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14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4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144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43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142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141">
      <pivotArea field="1" type="button" dataOnly="0" labelOnly="1" outline="0" axis="axisRow" fieldPosition="0"/>
    </format>
    <format dxfId="140">
      <pivotArea field="2" type="button" dataOnly="0" labelOnly="1" outline="0" axis="axisRow" fieldPosition="1"/>
    </format>
    <format dxfId="139">
      <pivotArea field="3" type="button" dataOnly="0" labelOnly="1" outline="0" axis="axisRow" fieldPosition="2"/>
    </format>
    <format dxfId="13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37">
      <pivotArea outline="0" fieldPosition="0">
        <references count="1">
          <reference field="4294967294" count="1">
            <x v="6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type="origin" dataOnly="0" labelOnly="1" outline="0" fieldPosition="0"/>
    </format>
    <format dxfId="132">
      <pivotArea field="-2" type="button" dataOnly="0" labelOnly="1" outline="0" axis="axisCol" fieldPosition="0"/>
    </format>
    <format dxfId="131">
      <pivotArea type="topRight" dataOnly="0" labelOnly="1" outline="0" fieldPosition="0"/>
    </format>
    <format dxfId="130">
      <pivotArea field="1" type="button" dataOnly="0" labelOnly="1" outline="0" axis="axisRow" fieldPosition="0"/>
    </format>
    <format dxfId="129">
      <pivotArea field="2" type="button" dataOnly="0" labelOnly="1" outline="0" axis="axisRow" fieldPosition="1"/>
    </format>
    <format dxfId="128">
      <pivotArea field="3" type="button" dataOnly="0" labelOnly="1" outline="0" axis="axisRow" fieldPosition="2"/>
    </format>
    <format dxfId="127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126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125">
      <pivotArea dataOnly="0" labelOnly="1" grandRow="1" outline="0" fieldPosition="0"/>
    </format>
    <format dxfId="124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123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122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121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120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11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11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11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11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11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11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11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11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11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11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10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10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10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10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10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10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10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10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10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10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9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9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9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9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9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9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9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9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9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9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8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8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8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8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8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8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8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8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8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8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7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78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7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76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75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74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73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72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  <format dxfId="7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0">
      <pivotArea outline="0" collapsedLevelsAreSubtotals="1" fieldPosition="0"/>
    </format>
    <format dxfId="69">
      <pivotArea dataOnly="0" labelOnly="1" outline="0" fieldPosition="0">
        <references count="1">
          <reference field="1" count="5">
            <x v="0"/>
            <x v="1"/>
            <x v="3"/>
            <x v="4"/>
            <x v="9"/>
          </reference>
        </references>
      </pivotArea>
    </format>
    <format dxfId="68">
      <pivotArea dataOnly="0" labelOnly="1" outline="0" fieldPosition="0">
        <references count="1">
          <reference field="1" count="5" defaultSubtotal="1">
            <x v="0"/>
            <x v="1"/>
            <x v="3"/>
            <x v="4"/>
            <x v="9"/>
          </reference>
        </references>
      </pivotArea>
    </format>
    <format dxfId="67">
      <pivotArea dataOnly="0" labelOnly="1" grandRow="1" outline="0" fieldPosition="0"/>
    </format>
    <format dxfId="66">
      <pivotArea dataOnly="0" labelOnly="1" outline="0" fieldPosition="0">
        <references count="2">
          <reference field="1" count="1" selected="0">
            <x v="0"/>
          </reference>
          <reference field="2" count="24">
            <x v="0"/>
            <x v="1"/>
            <x v="3"/>
            <x v="19"/>
            <x v="58"/>
            <x v="64"/>
            <x v="69"/>
            <x v="70"/>
            <x v="71"/>
            <x v="80"/>
            <x v="81"/>
            <x v="82"/>
            <x v="85"/>
            <x v="90"/>
            <x v="104"/>
            <x v="126"/>
            <x v="129"/>
            <x v="147"/>
            <x v="163"/>
            <x v="165"/>
            <x v="191"/>
            <x v="205"/>
            <x v="206"/>
            <x v="225"/>
          </reference>
        </references>
      </pivotArea>
    </format>
    <format dxfId="65">
      <pivotArea dataOnly="0" labelOnly="1" outline="0" fieldPosition="0">
        <references count="2">
          <reference field="1" count="1" selected="0">
            <x v="1"/>
          </reference>
          <reference field="2" count="17">
            <x v="6"/>
            <x v="9"/>
            <x v="13"/>
            <x v="16"/>
            <x v="27"/>
            <x v="36"/>
            <x v="57"/>
            <x v="63"/>
            <x v="66"/>
            <x v="137"/>
            <x v="152"/>
            <x v="153"/>
            <x v="166"/>
            <x v="185"/>
            <x v="218"/>
            <x v="219"/>
            <x v="220"/>
          </reference>
        </references>
      </pivotArea>
    </format>
    <format dxfId="64">
      <pivotArea dataOnly="0" labelOnly="1" outline="0" fieldPosition="0">
        <references count="2">
          <reference field="1" count="1" selected="0">
            <x v="3"/>
          </reference>
          <reference field="2" count="4">
            <x v="94"/>
            <x v="97"/>
            <x v="98"/>
            <x v="107"/>
          </reference>
        </references>
      </pivotArea>
    </format>
    <format dxfId="63">
      <pivotArea dataOnly="0" labelOnly="1" outline="0" fieldPosition="0">
        <references count="2">
          <reference field="1" count="1" selected="0">
            <x v="4"/>
          </reference>
          <reference field="2" count="1">
            <x v="176"/>
          </reference>
        </references>
      </pivotArea>
    </format>
    <format dxfId="62">
      <pivotArea dataOnly="0" labelOnly="1" outline="0" fieldPosition="0">
        <references count="2">
          <reference field="1" count="1" selected="0">
            <x v="9"/>
          </reference>
          <reference field="2" count="2">
            <x v="76"/>
            <x v="148"/>
          </reference>
        </references>
      </pivotArea>
    </format>
    <format dxfId="6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5"/>
          </reference>
          <reference field="3" count="1">
            <x v="5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06"/>
          </reference>
          <reference field="3" count="1">
            <x v="232"/>
          </reference>
        </references>
      </pivotArea>
    </format>
    <format dxfId="5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9"/>
          </reference>
          <reference field="3" count="1">
            <x v="70"/>
          </reference>
        </references>
      </pivotArea>
    </format>
    <format dxfId="5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26"/>
          </reference>
          <reference field="3" count="1">
            <x v="7"/>
          </reference>
        </references>
      </pivotArea>
    </format>
    <format dxfId="5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"/>
          </reference>
          <reference field="3" count="1">
            <x v="139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90"/>
          </reference>
          <reference field="3" count="1">
            <x v="6"/>
          </reference>
        </references>
      </pivotArea>
    </format>
    <format dxfId="5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0"/>
          </reference>
          <reference field="3" count="1">
            <x v="92"/>
          </reference>
        </references>
      </pivotArea>
    </format>
    <format dxfId="5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3"/>
          </reference>
          <reference field="3" count="1">
            <x v="205"/>
          </reference>
        </references>
      </pivotArea>
    </format>
    <format dxfId="5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2"/>
          </reference>
          <reference field="3" count="1">
            <x v="73"/>
          </reference>
        </references>
      </pivotArea>
    </format>
    <format dxfId="5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1"/>
          </reference>
          <reference field="3" count="1">
            <x v="83"/>
          </reference>
        </references>
      </pivotArea>
    </format>
    <format dxfId="5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04"/>
          </reference>
          <reference field="3" count="1">
            <x v="207"/>
          </reference>
        </references>
      </pivotArea>
    </format>
    <format dxfId="5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1"/>
          </reference>
          <reference field="3" count="1">
            <x v="167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91"/>
          </reference>
          <reference field="3" count="1">
            <x v="166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47"/>
          </reference>
          <reference field="3" count="1">
            <x v="69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65"/>
          </reference>
          <reference field="3" count="1">
            <x v="188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58"/>
          </reference>
          <reference field="3" count="1">
            <x v="162"/>
          </reference>
        </references>
      </pivotArea>
    </format>
    <format dxfId="45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70"/>
          </reference>
          <reference field="3" count="1">
            <x v="170"/>
          </reference>
        </references>
      </pivotArea>
    </format>
    <format dxfId="44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9"/>
          </reference>
          <reference field="3" count="1">
            <x v="171"/>
          </reference>
        </references>
      </pivotArea>
    </format>
    <format dxfId="43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225"/>
          </reference>
          <reference field="3" count="1">
            <x v="181"/>
          </reference>
        </references>
      </pivotArea>
    </format>
    <format dxfId="42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3"/>
          </reference>
          <reference field="3" count="1">
            <x v="249"/>
          </reference>
        </references>
      </pivotArea>
    </format>
    <format dxfId="41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85"/>
          </reference>
          <reference field="3" count="1">
            <x v="57"/>
          </reference>
        </references>
      </pivotArea>
    </format>
    <format dxfId="40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0"/>
          </reference>
          <reference field="3" count="1">
            <x v="258"/>
          </reference>
        </references>
      </pivotArea>
    </format>
    <format dxfId="39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1"/>
          </reference>
          <reference field="3" count="1">
            <x v="259"/>
          </reference>
        </references>
      </pivotArea>
    </format>
    <format dxfId="38">
      <pivotArea dataOnly="0" labelOnly="1" outline="0" fieldPosition="0">
        <references count="3">
          <reference field="1" count="1" selected="0">
            <x v="0"/>
          </reference>
          <reference field="2" count="1" selected="0">
            <x v="64"/>
          </reference>
          <reference field="3" count="1">
            <x v="203"/>
          </reference>
        </references>
      </pivotArea>
    </format>
    <format dxfId="3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6"/>
          </reference>
          <reference field="3" count="1">
            <x v="48"/>
          </reference>
        </references>
      </pivotArea>
    </format>
    <format dxfId="3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"/>
          </reference>
          <reference field="3" count="1">
            <x v="34"/>
          </reference>
        </references>
      </pivotArea>
    </format>
    <format dxfId="3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20"/>
          </reference>
          <reference field="3" count="1">
            <x v="109"/>
          </reference>
        </references>
      </pivotArea>
    </format>
    <format dxfId="3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57"/>
          </reference>
          <reference field="3" count="1">
            <x v="173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3"/>
          </reference>
          <reference field="3" count="1">
            <x v="103"/>
          </reference>
        </references>
      </pivotArea>
    </format>
    <format dxfId="3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9"/>
          </reference>
          <reference field="3" count="1">
            <x v="45"/>
          </reference>
        </references>
      </pivotArea>
    </format>
    <format dxfId="3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3"/>
          </reference>
          <reference field="3" count="1">
            <x v="221"/>
          </reference>
        </references>
      </pivotArea>
    </format>
    <format dxfId="30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18"/>
          </reference>
          <reference field="3" count="1">
            <x v="183"/>
          </reference>
        </references>
      </pivotArea>
    </format>
    <format dxfId="29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52"/>
          </reference>
          <reference field="3" count="1">
            <x v="160"/>
          </reference>
        </references>
      </pivotArea>
    </format>
    <format dxfId="28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9"/>
          </reference>
          <reference field="3" count="1">
            <x v="210"/>
          </reference>
        </references>
      </pivotArea>
    </format>
    <format dxfId="27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26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27"/>
          </reference>
          <reference field="3" count="1">
            <x v="98"/>
          </reference>
        </references>
      </pivotArea>
    </format>
    <format dxfId="25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"/>
          </reference>
          <reference field="3" count="1">
            <x v="175"/>
          </reference>
        </references>
      </pivotArea>
    </format>
    <format dxfId="24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6"/>
          </reference>
          <reference field="3" count="1">
            <x v="169"/>
          </reference>
        </references>
      </pivotArea>
    </format>
    <format dxfId="23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37"/>
          </reference>
          <reference field="3" count="1">
            <x v="187"/>
          </reference>
        </references>
      </pivotArea>
    </format>
    <format dxfId="22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185"/>
          </reference>
          <reference field="3" count="1">
            <x v="246"/>
          </reference>
        </references>
      </pivotArea>
    </format>
    <format dxfId="21">
      <pivotArea dataOnly="0" labelOnly="1" outline="0" fieldPosition="0">
        <references count="3">
          <reference field="1" count="1" selected="0">
            <x v="1"/>
          </reference>
          <reference field="2" count="1" selected="0">
            <x v="66"/>
          </reference>
          <reference field="3" count="1">
            <x v="196"/>
          </reference>
        </references>
      </pivotArea>
    </format>
    <format dxfId="20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107"/>
          </reference>
          <reference field="3" count="1">
            <x v="199"/>
          </reference>
        </references>
      </pivotArea>
    </format>
    <format dxfId="19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8"/>
          </reference>
          <reference field="3" count="1">
            <x v="242"/>
          </reference>
        </references>
      </pivotArea>
    </format>
    <format dxfId="18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7"/>
          </reference>
          <reference field="3" count="1">
            <x v="241"/>
          </reference>
        </references>
      </pivotArea>
    </format>
    <format dxfId="17">
      <pivotArea dataOnly="0" labelOnly="1" outline="0" fieldPosition="0">
        <references count="3">
          <reference field="1" count="1" selected="0">
            <x v="3"/>
          </reference>
          <reference field="2" count="1" selected="0">
            <x v="94"/>
          </reference>
          <reference field="3" count="1">
            <x v="245"/>
          </reference>
        </references>
      </pivotArea>
    </format>
    <format dxfId="16">
      <pivotArea dataOnly="0" labelOnly="1" outline="0" fieldPosition="0">
        <references count="3">
          <reference field="1" count="1" selected="0">
            <x v="4"/>
          </reference>
          <reference field="2" count="1" selected="0">
            <x v="176"/>
          </reference>
          <reference field="3" count="1">
            <x v="233"/>
          </reference>
        </references>
      </pivotArea>
    </format>
    <format dxfId="15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76"/>
          </reference>
          <reference field="3" count="1">
            <x v="134"/>
          </reference>
        </references>
      </pivotArea>
    </format>
    <format dxfId="14">
      <pivotArea dataOnly="0" labelOnly="1" outline="0" fieldPosition="0">
        <references count="3">
          <reference field="1" count="1" selected="0">
            <x v="9"/>
          </reference>
          <reference field="2" count="1" selected="0">
            <x v="148"/>
          </reference>
          <reference field="3" count="1">
            <x v="266"/>
          </reference>
        </references>
      </pivotArea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8E303D5-7CA2-46F5-9FD5-6E541A0D19E4}" autoFormatId="16" applyNumberFormats="0" applyBorderFormats="0" applyFontFormats="0" applyPatternFormats="0" applyAlignmentFormats="0" applyWidthHeightFormats="0">
  <queryTableRefresh nextId="12">
    <queryTableFields count="11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B70BD888-9DCB-4D37-80BB-2711D2C1371C}" autoFormatId="16" applyNumberFormats="0" applyBorderFormats="0" applyFontFormats="0" applyPatternFormats="0" applyAlignmentFormats="0" applyWidthHeightFormats="0">
  <queryTableRefresh nextId="16">
    <queryTableFields count="15">
      <queryTableField id="1" name="Supplier Name" tableColumnId="1"/>
      <queryTableField id="2" name="&gt;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Total prod" tableColumnId="7"/>
      <queryTableField id="8" name="Potential Sales" tableColumnId="8"/>
      <queryTableField id="9" name="CP of potential sales" tableColumnId="9"/>
      <queryTableField id="10" name="Potential GP" tableColumnId="10"/>
      <queryTableField id="11" name="Potential GP%" tableColumnId="11"/>
      <queryTableField id="12" name="Actuals data.Date" tableColumnId="12"/>
      <queryTableField id="13" name="Actuals data.Day" tableColumnId="13"/>
      <queryTableField id="14" name="Actuals data.Sales excl. VAT" tableColumnId="14"/>
      <queryTableField id="15" name="Actuals data.Sales Quantity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EF8637A-C6DD-43EA-A525-63708DB5E487}" autoFormatId="16" applyNumberFormats="0" applyBorderFormats="0" applyFontFormats="0" applyPatternFormats="0" applyAlignmentFormats="0" applyWidthHeightFormats="0">
  <queryTableRefresh nextId="11">
    <queryTableFields count="10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Date" tableColumnId="7"/>
      <queryTableField id="8" name="Day" tableColumnId="8"/>
      <queryTableField id="9" name="Sales excl. VAT" tableColumnId="9"/>
      <queryTableField id="10" name="Sales Quantity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D04EA8-67C7-4BF2-A164-437E58985EDC}" name="Bake_prod_1" displayName="Bake_prod_1" ref="A1:K291" tableType="queryTable" totalsRowShown="0">
  <autoFilter ref="A1:K291" xr:uid="{31D04EA8-67C7-4BF2-A164-437E58985EDC}"/>
  <tableColumns count="11">
    <tableColumn id="1" xr3:uid="{09CD1EAD-7A2E-4CDC-86E2-043E445C6FD3}" uniqueName="1" name="Supplier Name" queryTableFieldId="1" dataDxfId="13"/>
    <tableColumn id="2" xr3:uid="{FD41B1CA-9DEB-4DFD-A467-BCB595014F0B}" uniqueName="2" name="&gt;Sub-Department" queryTableFieldId="2"/>
    <tableColumn id="3" xr3:uid="{C892F06B-7F21-44F6-9FA7-2CAD641CC137}" uniqueName="3" name="Product Code" queryTableFieldId="3"/>
    <tableColumn id="4" xr3:uid="{BD4893D3-6410-4C04-B45F-A22081EFD428}" uniqueName="4" name="Product Description" queryTableFieldId="4" dataDxfId="12"/>
    <tableColumn id="5" xr3:uid="{AB3A7B1C-6279-4C1E-A5D6-4A266F7FA203}" uniqueName="5" name="SP" queryTableFieldId="5"/>
    <tableColumn id="6" xr3:uid="{43B275FD-A964-49EE-9DA4-C1A87B106ED8}" uniqueName="6" name="List Cost" queryTableFieldId="6"/>
    <tableColumn id="7" xr3:uid="{9C11EF23-4271-419F-8733-AF83DEC743AF}" uniqueName="7" name="Total prod" queryTableFieldId="7"/>
    <tableColumn id="8" xr3:uid="{59365F8A-CD60-44EB-BB17-C1E7D8462BC3}" uniqueName="8" name="Potential Sales" queryTableFieldId="8"/>
    <tableColumn id="9" xr3:uid="{FECB2B39-FB8E-4637-860F-CAB7ADF0C8B8}" uniqueName="9" name="CP of potential sales" queryTableFieldId="9"/>
    <tableColumn id="10" xr3:uid="{7C68375B-64D6-45ED-A175-9A4E7DF399C6}" uniqueName="10" name="Potential GP" queryTableFieldId="10"/>
    <tableColumn id="11" xr3:uid="{C4BEF203-B4B1-4482-AFC0-3C23A9F97C82}" uniqueName="11" name="Potential GP%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861AA-AD3D-42F2-82F7-BA9AC8460490}" name="Merged_data_1" displayName="Merged_data_1" ref="A1:O141" tableType="queryTable" totalsRowShown="0">
  <autoFilter ref="A1:O141" xr:uid="{1C8861AA-AD3D-42F2-82F7-BA9AC8460490}"/>
  <tableColumns count="15">
    <tableColumn id="1" xr3:uid="{D97FC4D1-AEFE-40CC-A938-F7E918E4C19D}" uniqueName="1" name="Supplier Name" queryTableFieldId="1" dataDxfId="3"/>
    <tableColumn id="2" xr3:uid="{2E6D8CA6-2F70-4967-8DCB-0BD1AAEEEE46}" uniqueName="2" name="&gt;Sub-Department" queryTableFieldId="2"/>
    <tableColumn id="3" xr3:uid="{4BD3C4E7-DD1B-46E9-8D61-A4CA32EB49A8}" uniqueName="3" name="Product Code" queryTableFieldId="3"/>
    <tableColumn id="4" xr3:uid="{A0E35E6D-4714-4F56-9402-703A66188287}" uniqueName="4" name="Product Description" queryTableFieldId="4" dataDxfId="2"/>
    <tableColumn id="5" xr3:uid="{85A47178-97B8-4D86-B9EF-91BE9D68EC6B}" uniqueName="5" name="SP" queryTableFieldId="5"/>
    <tableColumn id="6" xr3:uid="{B33FCC98-6A20-461B-B118-414310F43FEC}" uniqueName="6" name="List Cost" queryTableFieldId="6"/>
    <tableColumn id="7" xr3:uid="{49743905-8961-40A6-B372-640231AEE9D9}" uniqueName="7" name="Total prod" queryTableFieldId="7"/>
    <tableColumn id="8" xr3:uid="{5AB82110-936F-4431-80A4-A367C4BE5B77}" uniqueName="8" name="Potential Sales" queryTableFieldId="8"/>
    <tableColumn id="9" xr3:uid="{1183E4CD-84DE-463C-8D06-BE91A4BCA45A}" uniqueName="9" name="CP of potential sales" queryTableFieldId="9"/>
    <tableColumn id="10" xr3:uid="{5E69081E-509F-4DA5-94FD-6DBE2525C75E}" uniqueName="10" name="Potential GP" queryTableFieldId="10"/>
    <tableColumn id="11" xr3:uid="{29E242DC-D1DA-4F1B-9A37-0BEBB296CA37}" uniqueName="11" name="Potential GP%" queryTableFieldId="11"/>
    <tableColumn id="12" xr3:uid="{B9A057A3-0621-484A-B71F-C9E35965FFF4}" uniqueName="12" name="Actuals data.Date" queryTableFieldId="12" dataDxfId="1"/>
    <tableColumn id="13" xr3:uid="{FE13A594-A3C6-437E-8A25-499FEC41D772}" uniqueName="13" name="Actuals data.Day" queryTableFieldId="13" dataDxfId="0"/>
    <tableColumn id="14" xr3:uid="{D3F4ECDD-1CF5-4A46-8B8C-117CC43D8730}" uniqueName="14" name="Actuals data.Sales excl. VAT" queryTableFieldId="14"/>
    <tableColumn id="15" xr3:uid="{89532A7E-901A-4503-9BE6-14D9F0DF54DA}" uniqueName="15" name="Actuals data.Sales Quantity" queryTableFieldId="1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132525-3E53-441A-BBA1-ED3EDCE736F1}" name="Merged_data" displayName="Merged_data" ref="A1:K77" totalsRowShown="0">
  <autoFilter ref="A1:K77" xr:uid="{84132525-3E53-441A-BBA1-ED3EDCE736F1}"/>
  <tableColumns count="11">
    <tableColumn id="1" xr3:uid="{44F11F4B-DC86-41CE-8769-8FBD3CD5FD67}" name="Supplier Name" dataDxfId="5"/>
    <tableColumn id="2" xr3:uid="{B1297171-3BF7-4955-9BC6-E99EE34D193E}" name="&gt;Sub-Department"/>
    <tableColumn id="3" xr3:uid="{8D98B225-677E-420C-9995-47232CB12841}" name="Product Code"/>
    <tableColumn id="4" xr3:uid="{E66CF101-E30B-4607-8889-6BEAE28BEB87}" name="Product Description" dataDxfId="4"/>
    <tableColumn id="5" xr3:uid="{E436DEE8-1F5E-4D60-808D-DD51ADCA7C07}" name="SP"/>
    <tableColumn id="6" xr3:uid="{900BA18B-94AF-4FC3-905E-6D9B97F5B325}" name="List Cost"/>
    <tableColumn id="7" xr3:uid="{C3D59076-BA53-4348-AEE7-429B11C724C9}" name="Total prod"/>
    <tableColumn id="8" xr3:uid="{B83336CA-0CAD-4078-A9B6-876227476F34}" name="Potential Sales"/>
    <tableColumn id="9" xr3:uid="{C47F75D8-F36E-4D7C-B7EC-7E244CC14C8B}" name="CP of potential sales"/>
    <tableColumn id="10" xr3:uid="{27A9A27C-2E04-4347-A7CB-C3143153207A}" name="Potential GP"/>
    <tableColumn id="11" xr3:uid="{728A60A8-68ED-4CD1-866F-BFFE169F30F9}" name="Potential GP%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04160D-5A29-4771-840A-AE62BE118671}" name="Actuals_data" displayName="Actuals_data" ref="A1:J123" tableType="queryTable" totalsRowShown="0">
  <autoFilter ref="A1:J123" xr:uid="{AC04160D-5A29-4771-840A-AE62BE118671}"/>
  <tableColumns count="10">
    <tableColumn id="1" xr3:uid="{6910D76E-394E-4A87-A280-E64EA731EDD5}" uniqueName="1" name="Supplier Name" queryTableFieldId="1" dataDxfId="9"/>
    <tableColumn id="2" xr3:uid="{1147C4D4-B421-463F-9038-0BFDD410F0E9}" uniqueName="2" name="Sub-Department" queryTableFieldId="2"/>
    <tableColumn id="3" xr3:uid="{04CEA4C8-7EA8-4BC1-884D-251FC9F0AAA0}" uniqueName="3" name="Product Code" queryTableFieldId="3"/>
    <tableColumn id="4" xr3:uid="{B084499C-169E-43A5-9664-8DC86194B9C4}" uniqueName="4" name="Product Description" queryTableFieldId="4" dataDxfId="8"/>
    <tableColumn id="5" xr3:uid="{80DBF635-37A9-4B01-84FA-4390AE1FB72E}" uniqueName="5" name="SP" queryTableFieldId="5"/>
    <tableColumn id="6" xr3:uid="{56EC1B6C-0E48-4E93-9549-68181696153A}" uniqueName="6" name="List Cost" queryTableFieldId="6"/>
    <tableColumn id="7" xr3:uid="{5BE79AF1-41C5-4412-92C4-3E8A4ADCCDA2}" uniqueName="7" name="Date" queryTableFieldId="7" dataDxfId="7"/>
    <tableColumn id="8" xr3:uid="{C2D236F1-B83F-4CDE-86EC-0890F848739A}" uniqueName="8" name="Day" queryTableFieldId="8" dataDxfId="6"/>
    <tableColumn id="9" xr3:uid="{7F34D01A-7780-4F1F-86A5-AF46B909856F}" uniqueName="9" name="Sales excl. VAT" queryTableFieldId="9"/>
    <tableColumn id="10" xr3:uid="{305DDD15-125A-44B2-BCFD-409F59BB8BA3}" uniqueName="10" name="Sales Quantity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644A15-B6B2-4C82-9483-6F76BEB67CE3}" name="Table2" displayName="Table2" ref="A1:J123" totalsRowShown="0" headerRowDxfId="10">
  <autoFilter ref="A1:J123" xr:uid="{08644A15-B6B2-4C82-9483-6F76BEB67CE3}"/>
  <tableColumns count="10">
    <tableColumn id="1" xr3:uid="{400E0A59-AF21-49BC-8C5D-A6379E53F0C5}" name="Supplier Name"/>
    <tableColumn id="2" xr3:uid="{BED43ADB-01AC-4923-BE30-094B7E62FAF7}" name="Sub-Department"/>
    <tableColumn id="3" xr3:uid="{860B9E2B-C08E-474A-96DB-DE3ECAB25FD4}" name="Product Code"/>
    <tableColumn id="4" xr3:uid="{714A5BD6-1AD0-497D-9D8C-A9B704C6BE75}" name="Product Description"/>
    <tableColumn id="5" xr3:uid="{54A8DEF5-2481-4C66-81FF-2A6293A3AC15}" name="SP"/>
    <tableColumn id="6" xr3:uid="{B10C2E5E-DA2E-47BF-A85B-4900EBCA7771}" name="List Cost"/>
    <tableColumn id="7" xr3:uid="{1E06D311-795A-45B7-B77B-10E043E3F2F5}" name="Date"/>
    <tableColumn id="8" xr3:uid="{D9F78221-1BC5-46C0-805A-6E8D619A3690}" name="Day"/>
    <tableColumn id="9" xr3:uid="{CFFD4A08-A6AF-45FA-A154-332B10449289}" name="Sales excl. VAT" dataDxfId="11"/>
    <tableColumn id="10" xr3:uid="{3A3A023D-829C-4543-94FD-B45CCC4D8F0D}" name="Sales Quant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FEDF-82FA-4E46-97D8-0CF7E2F4E224}">
  <dimension ref="A1:K291"/>
  <sheetViews>
    <sheetView workbookViewId="0"/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</cols>
  <sheetData>
    <row r="1" spans="1:11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</row>
    <row r="2" spans="1:11" x14ac:dyDescent="0.35">
      <c r="A2" s="77" t="s">
        <v>14</v>
      </c>
      <c r="B2">
        <v>101</v>
      </c>
      <c r="C2">
        <v>59381</v>
      </c>
      <c r="D2" s="77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</row>
    <row r="3" spans="1:11" x14ac:dyDescent="0.35">
      <c r="A3" s="77" t="s">
        <v>14</v>
      </c>
      <c r="B3">
        <v>101</v>
      </c>
      <c r="C3">
        <v>59425</v>
      </c>
      <c r="D3" s="77" t="s">
        <v>17</v>
      </c>
      <c r="E3">
        <v>10.99</v>
      </c>
      <c r="F3">
        <v>6.3</v>
      </c>
      <c r="G3">
        <v>240</v>
      </c>
      <c r="H3">
        <v>2637.6</v>
      </c>
      <c r="I3">
        <v>1512</v>
      </c>
      <c r="J3">
        <v>1125.5999999999999</v>
      </c>
      <c r="K3">
        <v>42.675159235668787</v>
      </c>
    </row>
    <row r="4" spans="1:11" x14ac:dyDescent="0.35">
      <c r="A4" s="77" t="s">
        <v>14</v>
      </c>
      <c r="B4">
        <v>101</v>
      </c>
      <c r="C4">
        <v>34690</v>
      </c>
      <c r="D4" s="77" t="s">
        <v>18</v>
      </c>
      <c r="E4">
        <v>16.989999999999998</v>
      </c>
      <c r="F4">
        <v>7.7</v>
      </c>
      <c r="G4">
        <v>184</v>
      </c>
      <c r="H4">
        <v>3126.16</v>
      </c>
      <c r="I4">
        <v>1416.8</v>
      </c>
      <c r="J4">
        <v>1709.36</v>
      </c>
      <c r="K4">
        <v>54.679223072395523</v>
      </c>
    </row>
    <row r="5" spans="1:11" x14ac:dyDescent="0.35">
      <c r="A5" s="77" t="s">
        <v>19</v>
      </c>
      <c r="B5">
        <v>101</v>
      </c>
      <c r="C5">
        <v>34141</v>
      </c>
      <c r="D5" s="77" t="s">
        <v>24</v>
      </c>
      <c r="E5">
        <v>5</v>
      </c>
      <c r="F5">
        <v>3.3388749999999998</v>
      </c>
      <c r="G5">
        <v>144</v>
      </c>
      <c r="H5">
        <v>720</v>
      </c>
      <c r="I5">
        <v>480.798</v>
      </c>
      <c r="J5">
        <v>239.202</v>
      </c>
      <c r="K5">
        <v>33.222499999999997</v>
      </c>
    </row>
    <row r="6" spans="1:11" x14ac:dyDescent="0.35">
      <c r="A6" s="77" t="s">
        <v>19</v>
      </c>
      <c r="B6">
        <v>101</v>
      </c>
      <c r="C6">
        <v>32859</v>
      </c>
      <c r="D6" s="77" t="s">
        <v>20</v>
      </c>
      <c r="E6">
        <v>20.99</v>
      </c>
      <c r="F6">
        <v>11.1</v>
      </c>
      <c r="G6">
        <v>104.666666666667</v>
      </c>
      <c r="H6">
        <v>2196.9533333333402</v>
      </c>
      <c r="I6">
        <v>1161.8000000000036</v>
      </c>
      <c r="J6">
        <v>1035.1533333333366</v>
      </c>
      <c r="K6">
        <v>47.117675083373037</v>
      </c>
    </row>
    <row r="7" spans="1:11" x14ac:dyDescent="0.35">
      <c r="A7" s="77" t="s">
        <v>14</v>
      </c>
      <c r="B7">
        <v>101</v>
      </c>
      <c r="C7">
        <v>34070</v>
      </c>
      <c r="D7" s="77" t="s">
        <v>26</v>
      </c>
      <c r="E7">
        <v>12.99</v>
      </c>
      <c r="F7">
        <v>6.81</v>
      </c>
      <c r="G7">
        <v>86</v>
      </c>
      <c r="H7">
        <v>1117.1400000000001</v>
      </c>
      <c r="I7">
        <v>585.66</v>
      </c>
      <c r="J7">
        <v>531.48000000000013</v>
      </c>
      <c r="K7">
        <v>47.575057736720559</v>
      </c>
    </row>
    <row r="8" spans="1:11" x14ac:dyDescent="0.35">
      <c r="A8" s="77" t="s">
        <v>14</v>
      </c>
      <c r="B8">
        <v>101</v>
      </c>
      <c r="C8">
        <v>34041</v>
      </c>
      <c r="D8" s="77" t="s">
        <v>43</v>
      </c>
      <c r="E8">
        <v>6.99</v>
      </c>
      <c r="F8">
        <v>3.15</v>
      </c>
      <c r="G8">
        <v>70</v>
      </c>
      <c r="H8">
        <v>489.3</v>
      </c>
      <c r="I8">
        <v>220.5</v>
      </c>
      <c r="J8">
        <v>268.8</v>
      </c>
      <c r="K8">
        <v>54.935622317596568</v>
      </c>
    </row>
    <row r="9" spans="1:11" x14ac:dyDescent="0.35">
      <c r="A9" s="77" t="s">
        <v>19</v>
      </c>
      <c r="B9">
        <v>101</v>
      </c>
      <c r="C9">
        <v>50037</v>
      </c>
      <c r="D9" s="77" t="s">
        <v>22</v>
      </c>
      <c r="E9">
        <v>25.99</v>
      </c>
      <c r="F9">
        <v>13.4</v>
      </c>
      <c r="G9">
        <v>65</v>
      </c>
      <c r="H9">
        <v>1689.35</v>
      </c>
      <c r="I9">
        <v>871</v>
      </c>
      <c r="J9">
        <v>818.34999999999991</v>
      </c>
      <c r="K9">
        <v>48.441708349365136</v>
      </c>
    </row>
    <row r="10" spans="1:11" x14ac:dyDescent="0.35">
      <c r="A10" s="77" t="s">
        <v>14</v>
      </c>
      <c r="B10">
        <v>101</v>
      </c>
      <c r="C10">
        <v>34046</v>
      </c>
      <c r="D10" s="77" t="s">
        <v>37</v>
      </c>
      <c r="E10">
        <v>19.989999999999998</v>
      </c>
      <c r="F10">
        <v>12.2</v>
      </c>
      <c r="G10">
        <v>50</v>
      </c>
      <c r="H10">
        <v>999.49999999999989</v>
      </c>
      <c r="I10">
        <v>610</v>
      </c>
      <c r="J10">
        <v>389.49999999999989</v>
      </c>
      <c r="K10">
        <v>38.969484742371179</v>
      </c>
    </row>
    <row r="11" spans="1:11" x14ac:dyDescent="0.35">
      <c r="A11" s="77" t="s">
        <v>14</v>
      </c>
      <c r="B11">
        <v>101</v>
      </c>
      <c r="C11">
        <v>34042</v>
      </c>
      <c r="D11" s="77" t="s">
        <v>31</v>
      </c>
      <c r="E11">
        <v>9.5</v>
      </c>
      <c r="F11">
        <v>4.1500000000000004</v>
      </c>
      <c r="G11">
        <v>48</v>
      </c>
      <c r="H11">
        <v>456</v>
      </c>
      <c r="I11">
        <v>199.20000000000002</v>
      </c>
      <c r="J11">
        <v>256.79999999999995</v>
      </c>
      <c r="K11">
        <v>56.315789473684198</v>
      </c>
    </row>
    <row r="12" spans="1:11" x14ac:dyDescent="0.35">
      <c r="A12" s="77" t="s">
        <v>14</v>
      </c>
      <c r="B12">
        <v>101</v>
      </c>
      <c r="C12">
        <v>34091</v>
      </c>
      <c r="D12" s="77" t="s">
        <v>28</v>
      </c>
      <c r="E12">
        <v>19.989999999999998</v>
      </c>
      <c r="F12">
        <v>12.24</v>
      </c>
      <c r="G12">
        <v>40</v>
      </c>
      <c r="H12">
        <v>799.59999999999991</v>
      </c>
      <c r="I12">
        <v>489.6</v>
      </c>
      <c r="J12">
        <v>309.99999999999989</v>
      </c>
      <c r="K12">
        <v>38.769384692346165</v>
      </c>
    </row>
    <row r="13" spans="1:11" x14ac:dyDescent="0.35">
      <c r="A13" s="77" t="s">
        <v>14</v>
      </c>
      <c r="B13">
        <v>101</v>
      </c>
      <c r="C13">
        <v>57073</v>
      </c>
      <c r="D13" s="77" t="s">
        <v>21</v>
      </c>
      <c r="E13">
        <v>36.99</v>
      </c>
      <c r="F13">
        <v>16.05</v>
      </c>
      <c r="G13">
        <v>36</v>
      </c>
      <c r="H13">
        <v>1331.64</v>
      </c>
      <c r="I13">
        <v>577.80000000000007</v>
      </c>
      <c r="J13">
        <v>753.84</v>
      </c>
      <c r="K13">
        <v>56.609894566098937</v>
      </c>
    </row>
    <row r="14" spans="1:11" x14ac:dyDescent="0.35">
      <c r="A14" s="77" t="s">
        <v>14</v>
      </c>
      <c r="B14">
        <v>101</v>
      </c>
      <c r="C14">
        <v>34024</v>
      </c>
      <c r="D14" s="77" t="s">
        <v>23</v>
      </c>
      <c r="E14">
        <v>37.99</v>
      </c>
      <c r="F14">
        <v>16.5</v>
      </c>
      <c r="G14">
        <v>36</v>
      </c>
      <c r="H14">
        <v>1367.64</v>
      </c>
      <c r="I14">
        <v>594</v>
      </c>
      <c r="J14">
        <v>773.6400000000001</v>
      </c>
      <c r="K14">
        <v>56.567517767833642</v>
      </c>
    </row>
    <row r="15" spans="1:11" x14ac:dyDescent="0.35">
      <c r="A15" s="77" t="s">
        <v>14</v>
      </c>
      <c r="B15">
        <v>101</v>
      </c>
      <c r="C15">
        <v>41464</v>
      </c>
      <c r="D15" s="77" t="s">
        <v>45</v>
      </c>
      <c r="E15">
        <v>16.989999999999998</v>
      </c>
      <c r="F15">
        <v>7.73</v>
      </c>
      <c r="G15">
        <v>36</v>
      </c>
      <c r="H15">
        <v>611.64</v>
      </c>
      <c r="I15">
        <v>278.28000000000003</v>
      </c>
      <c r="J15">
        <v>333.35999999999996</v>
      </c>
      <c r="K15">
        <v>54.502648616833426</v>
      </c>
    </row>
    <row r="16" spans="1:11" x14ac:dyDescent="0.35">
      <c r="A16" s="77" t="s">
        <v>19</v>
      </c>
      <c r="B16">
        <v>101</v>
      </c>
      <c r="C16">
        <v>51680</v>
      </c>
      <c r="D16" s="77" t="s">
        <v>33</v>
      </c>
      <c r="E16">
        <v>21.99</v>
      </c>
      <c r="F16">
        <v>12.14</v>
      </c>
      <c r="G16">
        <v>34</v>
      </c>
      <c r="H16">
        <v>747.66</v>
      </c>
      <c r="I16">
        <v>412.76</v>
      </c>
      <c r="J16">
        <v>334.9</v>
      </c>
      <c r="K16">
        <v>44.793087767166895</v>
      </c>
    </row>
    <row r="17" spans="1:11" x14ac:dyDescent="0.35">
      <c r="A17" s="77" t="s">
        <v>14</v>
      </c>
      <c r="B17">
        <v>101</v>
      </c>
      <c r="C17">
        <v>33997</v>
      </c>
      <c r="D17" s="77" t="s">
        <v>39</v>
      </c>
      <c r="E17">
        <v>14.99</v>
      </c>
      <c r="F17">
        <v>7.62</v>
      </c>
      <c r="G17">
        <v>30</v>
      </c>
      <c r="H17">
        <v>449.7</v>
      </c>
      <c r="I17">
        <v>228.6</v>
      </c>
      <c r="J17">
        <v>221.1</v>
      </c>
      <c r="K17">
        <v>49.166110740493664</v>
      </c>
    </row>
    <row r="18" spans="1:11" x14ac:dyDescent="0.35">
      <c r="A18" s="77" t="s">
        <v>14</v>
      </c>
      <c r="B18">
        <v>101</v>
      </c>
      <c r="C18">
        <v>34023</v>
      </c>
      <c r="D18" s="77" t="s">
        <v>48</v>
      </c>
      <c r="E18">
        <v>6.99</v>
      </c>
      <c r="F18">
        <v>2.85</v>
      </c>
      <c r="G18">
        <v>28</v>
      </c>
      <c r="H18">
        <v>195.72</v>
      </c>
      <c r="I18">
        <v>79.8</v>
      </c>
      <c r="J18">
        <v>115.92</v>
      </c>
      <c r="K18">
        <v>59.227467811158796</v>
      </c>
    </row>
    <row r="19" spans="1:11" x14ac:dyDescent="0.35">
      <c r="A19" s="77" t="s">
        <v>14</v>
      </c>
      <c r="B19">
        <v>101</v>
      </c>
      <c r="C19">
        <v>34022</v>
      </c>
      <c r="D19" s="77" t="s">
        <v>54</v>
      </c>
      <c r="E19">
        <v>5.99</v>
      </c>
      <c r="F19">
        <v>2.72</v>
      </c>
      <c r="G19">
        <v>24</v>
      </c>
      <c r="H19">
        <v>143.76</v>
      </c>
      <c r="I19">
        <v>65.28</v>
      </c>
      <c r="J19">
        <v>78.47999999999999</v>
      </c>
      <c r="K19">
        <v>54.590984974958253</v>
      </c>
    </row>
    <row r="20" spans="1:11" x14ac:dyDescent="0.35">
      <c r="A20" s="77" t="s">
        <v>14</v>
      </c>
      <c r="B20">
        <v>101</v>
      </c>
      <c r="C20">
        <v>32067</v>
      </c>
      <c r="D20" s="77" t="s">
        <v>29</v>
      </c>
      <c r="E20">
        <v>34.99</v>
      </c>
      <c r="F20">
        <v>15.91</v>
      </c>
      <c r="G20">
        <v>8</v>
      </c>
      <c r="H20">
        <v>279.92</v>
      </c>
      <c r="I20">
        <v>127.28</v>
      </c>
      <c r="J20">
        <v>152.64000000000001</v>
      </c>
      <c r="K20">
        <v>54.529865675907409</v>
      </c>
    </row>
    <row r="21" spans="1:11" x14ac:dyDescent="0.35">
      <c r="A21" s="77" t="s">
        <v>14</v>
      </c>
      <c r="B21">
        <v>101</v>
      </c>
      <c r="C21">
        <v>61947</v>
      </c>
      <c r="D21" s="77" t="s">
        <v>42</v>
      </c>
      <c r="E21">
        <v>28.99</v>
      </c>
      <c r="F21">
        <v>8.93</v>
      </c>
      <c r="G21">
        <v>8</v>
      </c>
      <c r="H21">
        <v>231.92</v>
      </c>
      <c r="I21">
        <v>71.44</v>
      </c>
      <c r="J21">
        <v>160.47999999999999</v>
      </c>
      <c r="K21">
        <v>69.196274577440491</v>
      </c>
    </row>
    <row r="22" spans="1:11" x14ac:dyDescent="0.35">
      <c r="A22" s="77" t="s">
        <v>14</v>
      </c>
      <c r="B22">
        <v>101</v>
      </c>
      <c r="C22">
        <v>32062</v>
      </c>
      <c r="D22" s="77" t="s">
        <v>51</v>
      </c>
      <c r="E22">
        <v>24.99</v>
      </c>
      <c r="F22">
        <v>9.68</v>
      </c>
      <c r="G22">
        <v>6</v>
      </c>
      <c r="H22">
        <v>149.94</v>
      </c>
      <c r="I22">
        <v>58.08</v>
      </c>
      <c r="J22">
        <v>91.86</v>
      </c>
      <c r="K22">
        <v>61.264505802320933</v>
      </c>
    </row>
    <row r="23" spans="1:11" x14ac:dyDescent="0.35">
      <c r="A23" s="77" t="s">
        <v>14</v>
      </c>
      <c r="B23">
        <v>101</v>
      </c>
      <c r="C23">
        <v>32063</v>
      </c>
      <c r="D23" s="77" t="s">
        <v>52</v>
      </c>
      <c r="E23">
        <v>19.989999999999998</v>
      </c>
      <c r="F23">
        <v>8.5</v>
      </c>
      <c r="G23">
        <v>6</v>
      </c>
      <c r="H23">
        <v>119.94</v>
      </c>
      <c r="I23">
        <v>51</v>
      </c>
      <c r="J23">
        <v>68.94</v>
      </c>
      <c r="K23">
        <v>57.478739369684838</v>
      </c>
    </row>
    <row r="24" spans="1:11" x14ac:dyDescent="0.35">
      <c r="A24" s="77" t="s">
        <v>14</v>
      </c>
      <c r="B24">
        <v>101</v>
      </c>
      <c r="C24">
        <v>34053</v>
      </c>
      <c r="D24" s="77" t="s">
        <v>57</v>
      </c>
      <c r="E24">
        <v>15.99</v>
      </c>
      <c r="F24">
        <v>6.74</v>
      </c>
      <c r="G24">
        <v>6</v>
      </c>
      <c r="H24">
        <v>95.94</v>
      </c>
      <c r="I24">
        <v>40.44</v>
      </c>
      <c r="J24">
        <v>55.5</v>
      </c>
      <c r="K24">
        <v>57.848655409631021</v>
      </c>
    </row>
    <row r="25" spans="1:11" x14ac:dyDescent="0.35">
      <c r="A25" s="77" t="s">
        <v>14</v>
      </c>
      <c r="B25">
        <v>101</v>
      </c>
      <c r="C25">
        <v>34011</v>
      </c>
      <c r="D25" s="77" t="s">
        <v>66</v>
      </c>
      <c r="E25">
        <v>19.989999999999998</v>
      </c>
      <c r="F25">
        <v>2.63</v>
      </c>
      <c r="G25">
        <v>6</v>
      </c>
      <c r="H25">
        <v>119.94</v>
      </c>
      <c r="I25">
        <v>15.78</v>
      </c>
      <c r="J25">
        <v>104.16</v>
      </c>
      <c r="K25">
        <v>86.843421710855424</v>
      </c>
    </row>
    <row r="26" spans="1:11" x14ac:dyDescent="0.35">
      <c r="A26" s="77" t="s">
        <v>14</v>
      </c>
      <c r="B26">
        <v>101</v>
      </c>
      <c r="C26">
        <v>32860</v>
      </c>
      <c r="D26" s="77" t="s">
        <v>16</v>
      </c>
      <c r="E26">
        <v>20.99</v>
      </c>
      <c r="F26">
        <v>11.1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35">
      <c r="A27" s="77" t="s">
        <v>14</v>
      </c>
      <c r="B27">
        <v>101</v>
      </c>
      <c r="C27">
        <v>32859</v>
      </c>
      <c r="D27" s="77" t="s">
        <v>20</v>
      </c>
      <c r="E27">
        <v>20.99</v>
      </c>
      <c r="F27">
        <v>7.46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35">
      <c r="A28" s="77" t="s">
        <v>14</v>
      </c>
      <c r="B28">
        <v>101</v>
      </c>
      <c r="C28">
        <v>34121</v>
      </c>
      <c r="D28" s="77" t="s">
        <v>25</v>
      </c>
      <c r="E28">
        <v>3.3</v>
      </c>
      <c r="F28">
        <v>1.85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35">
      <c r="A29" s="77" t="s">
        <v>14</v>
      </c>
      <c r="B29">
        <v>101</v>
      </c>
      <c r="C29">
        <v>58767</v>
      </c>
      <c r="D29" s="77" t="s">
        <v>27</v>
      </c>
      <c r="E29">
        <v>19.989999999999998</v>
      </c>
      <c r="F29">
        <v>7.04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35">
      <c r="A30" s="77" t="s">
        <v>14</v>
      </c>
      <c r="B30">
        <v>101</v>
      </c>
      <c r="C30">
        <v>58512</v>
      </c>
      <c r="D30" s="77" t="s">
        <v>30</v>
      </c>
      <c r="E30">
        <v>26.99</v>
      </c>
      <c r="F30">
        <v>10.66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35">
      <c r="A31" s="77" t="s">
        <v>14</v>
      </c>
      <c r="B31">
        <v>101</v>
      </c>
      <c r="C31">
        <v>57167</v>
      </c>
      <c r="D31" s="77" t="s">
        <v>32</v>
      </c>
      <c r="E31">
        <v>16.989999999999998</v>
      </c>
      <c r="F31">
        <v>7.4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35">
      <c r="A32" s="77" t="s">
        <v>19</v>
      </c>
      <c r="B32">
        <v>101</v>
      </c>
      <c r="C32">
        <v>32858</v>
      </c>
      <c r="D32" s="77" t="s">
        <v>34</v>
      </c>
      <c r="E32">
        <v>3.8</v>
      </c>
      <c r="F32">
        <v>1.8573999999999999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35">
      <c r="A33" s="77" t="s">
        <v>35</v>
      </c>
      <c r="B33">
        <v>101</v>
      </c>
      <c r="C33">
        <v>32858</v>
      </c>
      <c r="D33" s="77" t="s">
        <v>34</v>
      </c>
      <c r="E33">
        <v>3.8</v>
      </c>
      <c r="F33">
        <v>2.0770666666666702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35">
      <c r="A34" s="77" t="s">
        <v>14</v>
      </c>
      <c r="B34">
        <v>101</v>
      </c>
      <c r="C34">
        <v>34119</v>
      </c>
      <c r="D34" s="77" t="s">
        <v>36</v>
      </c>
      <c r="E34">
        <v>3.3</v>
      </c>
      <c r="F34">
        <v>1.85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35">
      <c r="A35" s="77" t="s">
        <v>14</v>
      </c>
      <c r="B35">
        <v>101</v>
      </c>
      <c r="C35">
        <v>42401</v>
      </c>
      <c r="D35" s="77" t="s">
        <v>38</v>
      </c>
      <c r="E35">
        <v>14.99</v>
      </c>
      <c r="F35">
        <v>6.62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35">
      <c r="A36" s="77" t="s">
        <v>19</v>
      </c>
      <c r="B36">
        <v>101</v>
      </c>
      <c r="C36">
        <v>34687</v>
      </c>
      <c r="D36" s="77" t="s">
        <v>40</v>
      </c>
      <c r="E36">
        <v>3.8</v>
      </c>
      <c r="F36">
        <v>1.9688000000000001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35">
      <c r="A37" s="77" t="s">
        <v>35</v>
      </c>
      <c r="B37">
        <v>101</v>
      </c>
      <c r="C37">
        <v>34687</v>
      </c>
      <c r="D37" s="77" t="s">
        <v>40</v>
      </c>
      <c r="E37">
        <v>3.8</v>
      </c>
      <c r="F37">
        <v>2.0770666666666702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 x14ac:dyDescent="0.35">
      <c r="A38" s="77" t="s">
        <v>14</v>
      </c>
      <c r="B38">
        <v>101</v>
      </c>
      <c r="C38">
        <v>60832</v>
      </c>
      <c r="D38" s="77" t="s">
        <v>41</v>
      </c>
      <c r="E38">
        <v>10</v>
      </c>
      <c r="F38">
        <v>7.36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35">
      <c r="A39" s="77" t="s">
        <v>14</v>
      </c>
      <c r="B39">
        <v>101</v>
      </c>
      <c r="C39">
        <v>34088</v>
      </c>
      <c r="D39" s="77" t="s">
        <v>44</v>
      </c>
      <c r="E39">
        <v>1.5</v>
      </c>
      <c r="F39">
        <v>0.68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1:11" x14ac:dyDescent="0.35">
      <c r="A40" s="77" t="s">
        <v>14</v>
      </c>
      <c r="B40">
        <v>101</v>
      </c>
      <c r="C40">
        <v>62788</v>
      </c>
      <c r="D40" s="77" t="s">
        <v>46</v>
      </c>
      <c r="E40">
        <v>26.99</v>
      </c>
      <c r="F40">
        <v>10.66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1:11" x14ac:dyDescent="0.35">
      <c r="A41" s="77" t="s">
        <v>14</v>
      </c>
      <c r="B41">
        <v>101</v>
      </c>
      <c r="C41">
        <v>34092</v>
      </c>
      <c r="D41" s="77" t="s">
        <v>47</v>
      </c>
      <c r="E41">
        <v>4.99</v>
      </c>
      <c r="F41">
        <v>2.52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35">
      <c r="A42" s="77" t="s">
        <v>14</v>
      </c>
      <c r="B42">
        <v>101</v>
      </c>
      <c r="C42">
        <v>54547</v>
      </c>
      <c r="D42" s="77" t="s">
        <v>49</v>
      </c>
      <c r="E42">
        <v>9.99</v>
      </c>
      <c r="F42">
        <v>3.23</v>
      </c>
      <c r="G42">
        <v>0</v>
      </c>
      <c r="H42">
        <v>0</v>
      </c>
      <c r="I42">
        <v>0</v>
      </c>
      <c r="J42">
        <v>0</v>
      </c>
      <c r="K42">
        <v>0</v>
      </c>
    </row>
    <row r="43" spans="1:11" x14ac:dyDescent="0.35">
      <c r="A43" s="77" t="s">
        <v>14</v>
      </c>
      <c r="B43">
        <v>101</v>
      </c>
      <c r="C43">
        <v>34004</v>
      </c>
      <c r="D43" s="77" t="s">
        <v>50</v>
      </c>
      <c r="E43">
        <v>1</v>
      </c>
      <c r="F43">
        <v>0.65</v>
      </c>
      <c r="G43">
        <v>0</v>
      </c>
      <c r="H43">
        <v>0</v>
      </c>
      <c r="I43">
        <v>0</v>
      </c>
      <c r="J43">
        <v>0</v>
      </c>
      <c r="K43">
        <v>0</v>
      </c>
    </row>
    <row r="44" spans="1:11" x14ac:dyDescent="0.35">
      <c r="A44" s="77" t="s">
        <v>14</v>
      </c>
      <c r="B44">
        <v>101</v>
      </c>
      <c r="C44">
        <v>57071</v>
      </c>
      <c r="D44" s="77" t="s">
        <v>53</v>
      </c>
      <c r="E44">
        <v>29.99</v>
      </c>
      <c r="F44">
        <v>12.66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35">
      <c r="A45" s="77" t="s">
        <v>19</v>
      </c>
      <c r="B45">
        <v>101</v>
      </c>
      <c r="C45">
        <v>34132</v>
      </c>
      <c r="D45" s="77" t="s">
        <v>55</v>
      </c>
      <c r="E45">
        <v>3.99</v>
      </c>
      <c r="F45">
        <v>2.1095999999999999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 x14ac:dyDescent="0.35">
      <c r="A46" s="77" t="s">
        <v>19</v>
      </c>
      <c r="B46">
        <v>101</v>
      </c>
      <c r="C46">
        <v>34113</v>
      </c>
      <c r="D46" s="77" t="s">
        <v>56</v>
      </c>
      <c r="E46">
        <v>3.99</v>
      </c>
      <c r="F46">
        <v>2.1385999999999998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35">
      <c r="A47" s="77" t="s">
        <v>19</v>
      </c>
      <c r="B47">
        <v>101</v>
      </c>
      <c r="C47">
        <v>40158</v>
      </c>
      <c r="D47" s="77" t="s">
        <v>58</v>
      </c>
      <c r="E47">
        <v>11.99</v>
      </c>
      <c r="F47">
        <v>6.05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35">
      <c r="A48" s="77" t="s">
        <v>14</v>
      </c>
      <c r="B48">
        <v>101</v>
      </c>
      <c r="C48">
        <v>40158</v>
      </c>
      <c r="D48" s="77" t="s">
        <v>58</v>
      </c>
      <c r="E48">
        <v>11.99</v>
      </c>
      <c r="F48">
        <v>6.05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x14ac:dyDescent="0.35">
      <c r="A49" s="77" t="s">
        <v>14</v>
      </c>
      <c r="B49">
        <v>101</v>
      </c>
      <c r="C49">
        <v>53528</v>
      </c>
      <c r="D49" s="77" t="s">
        <v>59</v>
      </c>
      <c r="E49">
        <v>28.99</v>
      </c>
      <c r="F49">
        <v>14.86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1:11" x14ac:dyDescent="0.35">
      <c r="A50" s="77" t="s">
        <v>14</v>
      </c>
      <c r="B50">
        <v>101</v>
      </c>
      <c r="C50">
        <v>34086</v>
      </c>
      <c r="D50" s="77" t="s">
        <v>60</v>
      </c>
      <c r="E50">
        <v>29.99</v>
      </c>
      <c r="F50">
        <v>10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35">
      <c r="A51" s="77" t="s">
        <v>14</v>
      </c>
      <c r="B51">
        <v>101</v>
      </c>
      <c r="C51">
        <v>53497</v>
      </c>
      <c r="D51" s="77" t="s">
        <v>61</v>
      </c>
      <c r="E51">
        <v>79.989999999999995</v>
      </c>
      <c r="F51">
        <v>32.200000000000003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35">
      <c r="A52" s="77" t="s">
        <v>14</v>
      </c>
      <c r="B52">
        <v>101</v>
      </c>
      <c r="C52">
        <v>54228</v>
      </c>
      <c r="D52" s="77" t="s">
        <v>62</v>
      </c>
      <c r="E52">
        <v>13.99</v>
      </c>
      <c r="F52">
        <v>7.37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35">
      <c r="A53" s="77" t="s">
        <v>14</v>
      </c>
      <c r="B53">
        <v>101</v>
      </c>
      <c r="C53">
        <v>34006</v>
      </c>
      <c r="D53" s="77" t="s">
        <v>63</v>
      </c>
      <c r="E53">
        <v>10.99</v>
      </c>
      <c r="F53">
        <v>6.3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35">
      <c r="A54" s="77" t="s">
        <v>14</v>
      </c>
      <c r="B54">
        <v>101</v>
      </c>
      <c r="C54">
        <v>34059</v>
      </c>
      <c r="D54" s="77" t="s">
        <v>64</v>
      </c>
      <c r="E54">
        <v>6.99</v>
      </c>
      <c r="F54">
        <v>3.8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35">
      <c r="A55" s="77" t="s">
        <v>14</v>
      </c>
      <c r="B55">
        <v>101</v>
      </c>
      <c r="C55">
        <v>65681</v>
      </c>
      <c r="D55" s="77" t="s">
        <v>65</v>
      </c>
      <c r="E55">
        <v>29.99</v>
      </c>
      <c r="F55">
        <v>16.03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x14ac:dyDescent="0.35">
      <c r="A56" s="77" t="s">
        <v>14</v>
      </c>
      <c r="B56">
        <v>101</v>
      </c>
      <c r="C56">
        <v>62390</v>
      </c>
      <c r="D56" s="77" t="s">
        <v>67</v>
      </c>
      <c r="E56">
        <v>19.989999999999998</v>
      </c>
      <c r="F56">
        <v>7.43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x14ac:dyDescent="0.35">
      <c r="A57" s="77" t="s">
        <v>14</v>
      </c>
      <c r="B57">
        <v>101</v>
      </c>
      <c r="C57">
        <v>32862</v>
      </c>
      <c r="D57" s="77" t="s">
        <v>68</v>
      </c>
      <c r="E57">
        <v>9.99</v>
      </c>
      <c r="F57">
        <v>5.14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35">
      <c r="A58" s="77" t="s">
        <v>14</v>
      </c>
      <c r="B58">
        <v>101</v>
      </c>
      <c r="C58">
        <v>56350</v>
      </c>
      <c r="D58" s="77" t="s">
        <v>69</v>
      </c>
      <c r="E58">
        <v>4.99</v>
      </c>
      <c r="F58">
        <v>2.61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35">
      <c r="A59" s="77" t="s">
        <v>14</v>
      </c>
      <c r="B59">
        <v>101</v>
      </c>
      <c r="C59">
        <v>62622</v>
      </c>
      <c r="D59" s="77" t="s">
        <v>70</v>
      </c>
      <c r="E59">
        <v>26.99</v>
      </c>
      <c r="F59">
        <v>14.15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35">
      <c r="A60" s="77" t="s">
        <v>14</v>
      </c>
      <c r="B60">
        <v>101</v>
      </c>
      <c r="C60">
        <v>34052</v>
      </c>
      <c r="D60" s="77" t="s">
        <v>71</v>
      </c>
      <c r="E60">
        <v>24.99</v>
      </c>
      <c r="F60">
        <v>8.1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35">
      <c r="A61" s="77" t="s">
        <v>14</v>
      </c>
      <c r="B61">
        <v>101</v>
      </c>
      <c r="C61">
        <v>61950</v>
      </c>
      <c r="D61" s="77" t="s">
        <v>72</v>
      </c>
      <c r="E61">
        <v>10</v>
      </c>
      <c r="F61">
        <v>6.19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35">
      <c r="A62" s="77" t="s">
        <v>14</v>
      </c>
      <c r="B62">
        <v>101</v>
      </c>
      <c r="C62">
        <v>32871</v>
      </c>
      <c r="D62" s="77" t="s">
        <v>73</v>
      </c>
      <c r="E62">
        <v>8.99</v>
      </c>
      <c r="F62">
        <v>5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35">
      <c r="A63" s="77" t="s">
        <v>14</v>
      </c>
      <c r="B63">
        <v>101</v>
      </c>
      <c r="C63">
        <v>34068</v>
      </c>
      <c r="D63" s="77" t="s">
        <v>74</v>
      </c>
      <c r="E63">
        <v>1.5</v>
      </c>
      <c r="F63">
        <v>0.59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35">
      <c r="A64" s="77" t="s">
        <v>14</v>
      </c>
      <c r="B64">
        <v>101</v>
      </c>
      <c r="C64">
        <v>54546</v>
      </c>
      <c r="D64" s="77" t="s">
        <v>75</v>
      </c>
      <c r="E64">
        <v>5.99</v>
      </c>
      <c r="F64">
        <v>2.5299999999999998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35">
      <c r="A65" s="77" t="s">
        <v>14</v>
      </c>
      <c r="B65">
        <v>101</v>
      </c>
      <c r="C65">
        <v>39750</v>
      </c>
      <c r="D65" s="77" t="s">
        <v>76</v>
      </c>
      <c r="E65">
        <v>39.99</v>
      </c>
      <c r="F65">
        <v>16.100000000000001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35">
      <c r="A66" s="77" t="s">
        <v>19</v>
      </c>
      <c r="B66">
        <v>101</v>
      </c>
      <c r="C66">
        <v>43420</v>
      </c>
      <c r="D66" s="77" t="s">
        <v>77</v>
      </c>
      <c r="E66">
        <v>13.99</v>
      </c>
      <c r="F66">
        <v>8.3665000000000003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35">
      <c r="A67" s="77" t="s">
        <v>14</v>
      </c>
      <c r="B67">
        <v>101</v>
      </c>
      <c r="C67">
        <v>58763</v>
      </c>
      <c r="D67" s="77" t="s">
        <v>78</v>
      </c>
      <c r="E67">
        <v>3.2</v>
      </c>
      <c r="F67">
        <v>1.62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1:11" x14ac:dyDescent="0.35">
      <c r="A68" s="77" t="s">
        <v>14</v>
      </c>
      <c r="B68">
        <v>101</v>
      </c>
      <c r="C68">
        <v>62621</v>
      </c>
      <c r="D68" s="77" t="s">
        <v>79</v>
      </c>
      <c r="E68">
        <v>26.99</v>
      </c>
      <c r="F68">
        <v>14.15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35">
      <c r="A69" s="77" t="s">
        <v>14</v>
      </c>
      <c r="B69">
        <v>101</v>
      </c>
      <c r="C69">
        <v>62627</v>
      </c>
      <c r="D69" s="77" t="s">
        <v>80</v>
      </c>
      <c r="E69">
        <v>20.99</v>
      </c>
      <c r="F69">
        <v>12.88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35">
      <c r="A70" s="77" t="s">
        <v>35</v>
      </c>
      <c r="B70">
        <v>101</v>
      </c>
      <c r="C70">
        <v>66806</v>
      </c>
      <c r="D70" s="77" t="s">
        <v>81</v>
      </c>
      <c r="E70">
        <v>33.99</v>
      </c>
      <c r="F70">
        <v>17.418749999999999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35">
      <c r="A71" s="77" t="s">
        <v>14</v>
      </c>
      <c r="B71">
        <v>101</v>
      </c>
      <c r="C71">
        <v>61018</v>
      </c>
      <c r="D71" s="77" t="s">
        <v>82</v>
      </c>
      <c r="E71">
        <v>4</v>
      </c>
      <c r="F71">
        <v>2.2599999999999998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 x14ac:dyDescent="0.35">
      <c r="A72" s="77" t="s">
        <v>14</v>
      </c>
      <c r="B72">
        <v>101</v>
      </c>
      <c r="C72">
        <v>54617</v>
      </c>
      <c r="D72" s="77" t="s">
        <v>83</v>
      </c>
      <c r="E72">
        <v>30.99</v>
      </c>
      <c r="F72">
        <v>12.4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35">
      <c r="A73" s="77" t="s">
        <v>14</v>
      </c>
      <c r="B73">
        <v>101</v>
      </c>
      <c r="C73">
        <v>61949</v>
      </c>
      <c r="D73" s="77" t="s">
        <v>84</v>
      </c>
      <c r="E73">
        <v>10</v>
      </c>
      <c r="F73">
        <v>6.28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35">
      <c r="A74" s="77" t="s">
        <v>14</v>
      </c>
      <c r="B74">
        <v>101</v>
      </c>
      <c r="C74">
        <v>33027</v>
      </c>
      <c r="D74" s="77" t="s">
        <v>85</v>
      </c>
      <c r="E74">
        <v>19.989999999999998</v>
      </c>
      <c r="F74">
        <v>7.94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35">
      <c r="A75" s="77" t="s">
        <v>14</v>
      </c>
      <c r="B75">
        <v>101</v>
      </c>
      <c r="C75">
        <v>34019</v>
      </c>
      <c r="D75" s="77" t="s">
        <v>86</v>
      </c>
      <c r="E75">
        <v>5.99</v>
      </c>
      <c r="F75">
        <v>3.12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35">
      <c r="A76" s="77" t="s">
        <v>19</v>
      </c>
      <c r="B76">
        <v>101</v>
      </c>
      <c r="C76">
        <v>34047</v>
      </c>
      <c r="D76" s="77" t="s">
        <v>87</v>
      </c>
      <c r="E76">
        <v>3.99</v>
      </c>
      <c r="F76">
        <v>2.120625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 x14ac:dyDescent="0.35">
      <c r="A77" s="77" t="s">
        <v>14</v>
      </c>
      <c r="B77">
        <v>101</v>
      </c>
      <c r="C77">
        <v>63800</v>
      </c>
      <c r="D77" s="77" t="s">
        <v>88</v>
      </c>
      <c r="E77">
        <v>23.99</v>
      </c>
      <c r="F77">
        <v>11.87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1:11" x14ac:dyDescent="0.35">
      <c r="A78" s="77" t="s">
        <v>14</v>
      </c>
      <c r="B78">
        <v>101</v>
      </c>
      <c r="C78">
        <v>67140</v>
      </c>
      <c r="D78" s="77" t="s">
        <v>89</v>
      </c>
      <c r="E78">
        <v>2</v>
      </c>
      <c r="F78">
        <v>0.68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1:11" x14ac:dyDescent="0.35">
      <c r="A79" s="77" t="s">
        <v>14</v>
      </c>
      <c r="B79">
        <v>102</v>
      </c>
      <c r="C79">
        <v>52943</v>
      </c>
      <c r="D79" s="77" t="s">
        <v>90</v>
      </c>
      <c r="E79">
        <v>31.99</v>
      </c>
      <c r="F79">
        <v>15.17</v>
      </c>
      <c r="G79">
        <v>213</v>
      </c>
      <c r="H79">
        <v>6813.87</v>
      </c>
      <c r="I79">
        <v>3231.21</v>
      </c>
      <c r="J79">
        <v>3582.66</v>
      </c>
      <c r="K79">
        <v>52.578930915911229</v>
      </c>
    </row>
    <row r="80" spans="1:11" x14ac:dyDescent="0.35">
      <c r="A80" s="77" t="s">
        <v>14</v>
      </c>
      <c r="B80">
        <v>102</v>
      </c>
      <c r="C80">
        <v>32127</v>
      </c>
      <c r="D80" s="77" t="s">
        <v>92</v>
      </c>
      <c r="E80">
        <v>11.99</v>
      </c>
      <c r="F80">
        <v>6.02</v>
      </c>
      <c r="G80">
        <v>32</v>
      </c>
      <c r="H80">
        <v>383.68</v>
      </c>
      <c r="I80">
        <v>192.64</v>
      </c>
      <c r="J80">
        <v>191.04000000000002</v>
      </c>
      <c r="K80">
        <v>49.791492910758976</v>
      </c>
    </row>
    <row r="81" spans="1:11" x14ac:dyDescent="0.35">
      <c r="A81" s="77" t="s">
        <v>14</v>
      </c>
      <c r="B81">
        <v>102</v>
      </c>
      <c r="C81">
        <v>61939</v>
      </c>
      <c r="D81" s="77" t="s">
        <v>101</v>
      </c>
      <c r="E81">
        <v>10</v>
      </c>
      <c r="F81">
        <v>5.09</v>
      </c>
      <c r="G81">
        <v>24</v>
      </c>
      <c r="H81">
        <v>240</v>
      </c>
      <c r="I81">
        <v>122.16</v>
      </c>
      <c r="J81">
        <v>117.84</v>
      </c>
      <c r="K81">
        <v>49.1</v>
      </c>
    </row>
    <row r="82" spans="1:11" x14ac:dyDescent="0.35">
      <c r="A82" s="77" t="s">
        <v>14</v>
      </c>
      <c r="B82">
        <v>102</v>
      </c>
      <c r="C82">
        <v>33995</v>
      </c>
      <c r="D82" s="77" t="s">
        <v>91</v>
      </c>
      <c r="E82">
        <v>15.99</v>
      </c>
      <c r="F82">
        <v>8.2200000000000006</v>
      </c>
      <c r="G82">
        <v>16</v>
      </c>
      <c r="H82">
        <v>255.84</v>
      </c>
      <c r="I82">
        <v>131.52000000000001</v>
      </c>
      <c r="J82">
        <v>124.32</v>
      </c>
      <c r="K82">
        <v>48.592870544090054</v>
      </c>
    </row>
    <row r="83" spans="1:11" x14ac:dyDescent="0.35">
      <c r="A83" s="77" t="s">
        <v>14</v>
      </c>
      <c r="B83">
        <v>102</v>
      </c>
      <c r="C83">
        <v>42990</v>
      </c>
      <c r="D83" s="77" t="s">
        <v>93</v>
      </c>
      <c r="E83">
        <v>19.989999999999998</v>
      </c>
      <c r="F83">
        <v>10.85</v>
      </c>
      <c r="G83">
        <v>16</v>
      </c>
      <c r="H83">
        <v>319.83999999999997</v>
      </c>
      <c r="I83">
        <v>173.6</v>
      </c>
      <c r="J83">
        <v>146.23999999999998</v>
      </c>
      <c r="K83">
        <v>45.722861430715355</v>
      </c>
    </row>
    <row r="84" spans="1:11" x14ac:dyDescent="0.35">
      <c r="A84" s="77" t="s">
        <v>14</v>
      </c>
      <c r="B84">
        <v>102</v>
      </c>
      <c r="C84">
        <v>34008</v>
      </c>
      <c r="D84" s="77" t="s">
        <v>104</v>
      </c>
      <c r="E84">
        <v>5.99</v>
      </c>
      <c r="F84">
        <v>4.32</v>
      </c>
      <c r="G84">
        <v>12</v>
      </c>
      <c r="H84">
        <v>71.88</v>
      </c>
      <c r="I84">
        <v>51.84</v>
      </c>
      <c r="J84">
        <v>20.039999999999992</v>
      </c>
      <c r="K84">
        <v>27.879799666110173</v>
      </c>
    </row>
    <row r="85" spans="1:11" x14ac:dyDescent="0.35">
      <c r="A85" s="77" t="s">
        <v>14</v>
      </c>
      <c r="B85">
        <v>102</v>
      </c>
      <c r="C85">
        <v>61938</v>
      </c>
      <c r="D85" s="77" t="s">
        <v>124</v>
      </c>
      <c r="E85">
        <v>10</v>
      </c>
      <c r="F85">
        <v>3.43</v>
      </c>
      <c r="G85">
        <v>12</v>
      </c>
      <c r="H85">
        <v>120</v>
      </c>
      <c r="I85">
        <v>41.160000000000004</v>
      </c>
      <c r="J85">
        <v>78.84</v>
      </c>
      <c r="K85">
        <v>65.7</v>
      </c>
    </row>
    <row r="86" spans="1:11" x14ac:dyDescent="0.35">
      <c r="A86" s="77" t="s">
        <v>14</v>
      </c>
      <c r="B86">
        <v>102</v>
      </c>
      <c r="C86">
        <v>42797</v>
      </c>
      <c r="D86" s="77" t="s">
        <v>99</v>
      </c>
      <c r="E86">
        <v>11.99</v>
      </c>
      <c r="F86">
        <v>5.12</v>
      </c>
      <c r="G86">
        <v>10</v>
      </c>
      <c r="H86">
        <v>119.9</v>
      </c>
      <c r="I86">
        <v>51.2</v>
      </c>
      <c r="J86">
        <v>68.7</v>
      </c>
      <c r="K86">
        <v>57.2977481234362</v>
      </c>
    </row>
    <row r="87" spans="1:11" x14ac:dyDescent="0.35">
      <c r="A87" s="77" t="s">
        <v>14</v>
      </c>
      <c r="B87">
        <v>102</v>
      </c>
      <c r="C87">
        <v>61937</v>
      </c>
      <c r="D87" s="77" t="s">
        <v>122</v>
      </c>
      <c r="E87">
        <v>10</v>
      </c>
      <c r="F87">
        <v>2.67</v>
      </c>
      <c r="G87">
        <v>10</v>
      </c>
      <c r="H87">
        <v>100</v>
      </c>
      <c r="I87">
        <v>26.7</v>
      </c>
      <c r="J87">
        <v>73.3</v>
      </c>
      <c r="K87">
        <v>73.3</v>
      </c>
    </row>
    <row r="88" spans="1:11" x14ac:dyDescent="0.35">
      <c r="A88" s="77" t="s">
        <v>14</v>
      </c>
      <c r="B88">
        <v>102</v>
      </c>
      <c r="C88">
        <v>32131</v>
      </c>
      <c r="D88" s="77" t="s">
        <v>94</v>
      </c>
      <c r="E88">
        <v>18.989999999999998</v>
      </c>
      <c r="F88">
        <v>9.1300000000000008</v>
      </c>
      <c r="G88">
        <v>8</v>
      </c>
      <c r="H88">
        <v>151.91999999999999</v>
      </c>
      <c r="I88">
        <v>73.040000000000006</v>
      </c>
      <c r="J88">
        <v>78.879999999999981</v>
      </c>
      <c r="K88">
        <v>51.922064244339118</v>
      </c>
    </row>
    <row r="89" spans="1:11" x14ac:dyDescent="0.35">
      <c r="A89" s="77" t="s">
        <v>14</v>
      </c>
      <c r="B89">
        <v>102</v>
      </c>
      <c r="C89">
        <v>33031</v>
      </c>
      <c r="D89" s="77" t="s">
        <v>97</v>
      </c>
      <c r="E89">
        <v>17.989999999999998</v>
      </c>
      <c r="F89">
        <v>9.1199999999999992</v>
      </c>
      <c r="G89">
        <v>8</v>
      </c>
      <c r="H89">
        <v>143.91999999999999</v>
      </c>
      <c r="I89">
        <v>72.959999999999994</v>
      </c>
      <c r="J89">
        <v>70.959999999999994</v>
      </c>
      <c r="K89">
        <v>49.305169538632576</v>
      </c>
    </row>
    <row r="90" spans="1:11" x14ac:dyDescent="0.35">
      <c r="A90" s="77" t="s">
        <v>14</v>
      </c>
      <c r="B90">
        <v>102</v>
      </c>
      <c r="C90">
        <v>32872</v>
      </c>
      <c r="D90" s="77" t="s">
        <v>98</v>
      </c>
      <c r="E90">
        <v>39.99</v>
      </c>
      <c r="F90">
        <v>11.79</v>
      </c>
      <c r="G90">
        <v>8</v>
      </c>
      <c r="H90">
        <v>319.92</v>
      </c>
      <c r="I90">
        <v>94.32</v>
      </c>
      <c r="J90">
        <v>225.60000000000002</v>
      </c>
      <c r="K90">
        <v>70.517629407351848</v>
      </c>
    </row>
    <row r="91" spans="1:11" x14ac:dyDescent="0.35">
      <c r="A91" s="77" t="s">
        <v>14</v>
      </c>
      <c r="B91">
        <v>102</v>
      </c>
      <c r="C91">
        <v>32152</v>
      </c>
      <c r="D91" s="77" t="s">
        <v>100</v>
      </c>
      <c r="E91">
        <v>12.99</v>
      </c>
      <c r="F91">
        <v>6.77</v>
      </c>
      <c r="G91">
        <v>6</v>
      </c>
      <c r="H91">
        <v>77.94</v>
      </c>
      <c r="I91">
        <v>40.619999999999997</v>
      </c>
      <c r="J91">
        <v>37.32</v>
      </c>
      <c r="K91">
        <v>47.882986913010015</v>
      </c>
    </row>
    <row r="92" spans="1:11" x14ac:dyDescent="0.35">
      <c r="A92" s="77" t="s">
        <v>14</v>
      </c>
      <c r="B92">
        <v>102</v>
      </c>
      <c r="C92">
        <v>55481</v>
      </c>
      <c r="D92" s="77" t="s">
        <v>105</v>
      </c>
      <c r="E92">
        <v>11.99</v>
      </c>
      <c r="F92">
        <v>5.0999999999999996</v>
      </c>
      <c r="G92">
        <v>6</v>
      </c>
      <c r="H92">
        <v>71.94</v>
      </c>
      <c r="I92">
        <v>30.599999999999998</v>
      </c>
      <c r="J92">
        <v>41.34</v>
      </c>
      <c r="K92">
        <v>57.46455379482903</v>
      </c>
    </row>
    <row r="93" spans="1:11" x14ac:dyDescent="0.35">
      <c r="A93" s="77" t="s">
        <v>19</v>
      </c>
      <c r="B93">
        <v>102</v>
      </c>
      <c r="C93">
        <v>34015</v>
      </c>
      <c r="D93" s="77" t="s">
        <v>106</v>
      </c>
      <c r="E93">
        <v>29.99</v>
      </c>
      <c r="F93">
        <v>3.1788888888888902</v>
      </c>
      <c r="G93">
        <v>6</v>
      </c>
      <c r="H93">
        <v>179.94</v>
      </c>
      <c r="I93">
        <v>19.073333333333341</v>
      </c>
      <c r="J93">
        <v>160.86666666666665</v>
      </c>
      <c r="K93">
        <v>89.400170427179418</v>
      </c>
    </row>
    <row r="94" spans="1:11" x14ac:dyDescent="0.35">
      <c r="A94" s="77" t="s">
        <v>14</v>
      </c>
      <c r="B94">
        <v>102</v>
      </c>
      <c r="C94">
        <v>32855</v>
      </c>
      <c r="D94" s="77" t="s">
        <v>110</v>
      </c>
      <c r="E94">
        <v>17.989999999999998</v>
      </c>
      <c r="F94">
        <v>9.14</v>
      </c>
      <c r="G94">
        <v>6</v>
      </c>
      <c r="H94">
        <v>107.94</v>
      </c>
      <c r="I94">
        <v>54.84</v>
      </c>
      <c r="J94">
        <v>53.099999999999994</v>
      </c>
      <c r="K94">
        <v>49.193996664813781</v>
      </c>
    </row>
    <row r="95" spans="1:11" x14ac:dyDescent="0.35">
      <c r="A95" s="77" t="s">
        <v>14</v>
      </c>
      <c r="B95">
        <v>102</v>
      </c>
      <c r="C95">
        <v>39422</v>
      </c>
      <c r="D95" s="77" t="s">
        <v>120</v>
      </c>
      <c r="E95">
        <v>15.99</v>
      </c>
      <c r="F95">
        <v>8.3000000000000007</v>
      </c>
      <c r="G95">
        <v>6</v>
      </c>
      <c r="H95">
        <v>95.94</v>
      </c>
      <c r="I95">
        <v>49.800000000000004</v>
      </c>
      <c r="J95">
        <v>46.139999999999993</v>
      </c>
      <c r="K95">
        <v>48.092557848655403</v>
      </c>
    </row>
    <row r="96" spans="1:11" x14ac:dyDescent="0.35">
      <c r="A96" s="77" t="s">
        <v>14</v>
      </c>
      <c r="B96">
        <v>102</v>
      </c>
      <c r="C96">
        <v>38977</v>
      </c>
      <c r="D96" s="77" t="s">
        <v>95</v>
      </c>
      <c r="E96">
        <v>18.989999999999998</v>
      </c>
      <c r="F96">
        <v>9.6999999999999993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1" x14ac:dyDescent="0.35">
      <c r="A97" s="77" t="s">
        <v>14</v>
      </c>
      <c r="B97">
        <v>102</v>
      </c>
      <c r="C97">
        <v>32128</v>
      </c>
      <c r="D97" s="77" t="s">
        <v>96</v>
      </c>
      <c r="E97">
        <v>18.989999999999998</v>
      </c>
      <c r="F97">
        <v>11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1:11" x14ac:dyDescent="0.35">
      <c r="A98" s="77" t="s">
        <v>19</v>
      </c>
      <c r="B98">
        <v>102</v>
      </c>
      <c r="C98">
        <v>42797</v>
      </c>
      <c r="D98" s="77" t="s">
        <v>99</v>
      </c>
      <c r="E98">
        <v>11.99</v>
      </c>
      <c r="F98">
        <v>4.84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1:11" x14ac:dyDescent="0.35">
      <c r="A99" s="77" t="s">
        <v>14</v>
      </c>
      <c r="B99">
        <v>102</v>
      </c>
      <c r="C99">
        <v>32153</v>
      </c>
      <c r="D99" s="77" t="s">
        <v>102</v>
      </c>
      <c r="E99">
        <v>8.99</v>
      </c>
      <c r="F99">
        <v>4.5599999999999996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1:11" x14ac:dyDescent="0.35">
      <c r="A100" s="77" t="s">
        <v>14</v>
      </c>
      <c r="B100">
        <v>102</v>
      </c>
      <c r="C100">
        <v>40065</v>
      </c>
      <c r="D100" s="77" t="s">
        <v>103</v>
      </c>
      <c r="E100">
        <v>27.99</v>
      </c>
      <c r="F100">
        <v>15.7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1:11" x14ac:dyDescent="0.35">
      <c r="A101" s="77" t="s">
        <v>107</v>
      </c>
      <c r="B101">
        <v>102</v>
      </c>
      <c r="C101">
        <v>32864</v>
      </c>
      <c r="D101" s="77" t="s">
        <v>108</v>
      </c>
      <c r="E101">
        <v>9.99</v>
      </c>
      <c r="F101">
        <v>5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1:11" x14ac:dyDescent="0.35">
      <c r="A102" s="77" t="s">
        <v>107</v>
      </c>
      <c r="B102">
        <v>102</v>
      </c>
      <c r="C102">
        <v>32863</v>
      </c>
      <c r="D102" s="77" t="s">
        <v>109</v>
      </c>
      <c r="E102">
        <v>17.989999999999998</v>
      </c>
      <c r="F102">
        <v>9.4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1:11" x14ac:dyDescent="0.35">
      <c r="A103" s="77" t="s">
        <v>107</v>
      </c>
      <c r="B103">
        <v>102</v>
      </c>
      <c r="C103">
        <v>48861</v>
      </c>
      <c r="D103" s="77" t="s">
        <v>111</v>
      </c>
      <c r="E103">
        <v>50</v>
      </c>
      <c r="F103">
        <v>30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1:11" x14ac:dyDescent="0.35">
      <c r="A104" s="77" t="s">
        <v>14</v>
      </c>
      <c r="B104">
        <v>102</v>
      </c>
      <c r="C104">
        <v>33019</v>
      </c>
      <c r="D104" s="77" t="s">
        <v>112</v>
      </c>
      <c r="E104">
        <v>14.99</v>
      </c>
      <c r="F104">
        <v>5.5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1:11" x14ac:dyDescent="0.35">
      <c r="A105" s="77" t="s">
        <v>14</v>
      </c>
      <c r="B105">
        <v>102</v>
      </c>
      <c r="C105">
        <v>33023</v>
      </c>
      <c r="D105" s="77" t="s">
        <v>113</v>
      </c>
      <c r="E105">
        <v>19.989999999999998</v>
      </c>
      <c r="F105">
        <v>10.23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1:11" x14ac:dyDescent="0.35">
      <c r="A106" s="77" t="s">
        <v>14</v>
      </c>
      <c r="B106">
        <v>102</v>
      </c>
      <c r="C106">
        <v>32066</v>
      </c>
      <c r="D106" s="77" t="s">
        <v>114</v>
      </c>
      <c r="E106">
        <v>10</v>
      </c>
      <c r="F106">
        <v>4.5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 x14ac:dyDescent="0.35">
      <c r="A107" s="77" t="s">
        <v>14</v>
      </c>
      <c r="B107">
        <v>102</v>
      </c>
      <c r="C107">
        <v>34039</v>
      </c>
      <c r="D107" s="77" t="s">
        <v>115</v>
      </c>
      <c r="E107">
        <v>11.99</v>
      </c>
      <c r="F107">
        <v>5.62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 x14ac:dyDescent="0.35">
      <c r="A108" s="77" t="s">
        <v>107</v>
      </c>
      <c r="B108">
        <v>102</v>
      </c>
      <c r="C108">
        <v>55095</v>
      </c>
      <c r="D108" s="77" t="s">
        <v>116</v>
      </c>
      <c r="E108">
        <v>5</v>
      </c>
      <c r="F108">
        <v>1.38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 x14ac:dyDescent="0.35">
      <c r="A109" s="77" t="s">
        <v>14</v>
      </c>
      <c r="B109">
        <v>102</v>
      </c>
      <c r="C109">
        <v>61940</v>
      </c>
      <c r="D109" s="77" t="s">
        <v>117</v>
      </c>
      <c r="E109">
        <v>10</v>
      </c>
      <c r="F109">
        <v>3.28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 x14ac:dyDescent="0.35">
      <c r="A110" s="77" t="s">
        <v>14</v>
      </c>
      <c r="B110">
        <v>102</v>
      </c>
      <c r="C110">
        <v>32149</v>
      </c>
      <c r="D110" s="77" t="s">
        <v>118</v>
      </c>
      <c r="E110">
        <v>24.99</v>
      </c>
      <c r="F110">
        <v>13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 x14ac:dyDescent="0.35">
      <c r="A111" s="77" t="s">
        <v>14</v>
      </c>
      <c r="B111">
        <v>102</v>
      </c>
      <c r="C111">
        <v>33036</v>
      </c>
      <c r="D111" s="77" t="s">
        <v>119</v>
      </c>
      <c r="E111">
        <v>400</v>
      </c>
      <c r="F111">
        <v>204.01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 x14ac:dyDescent="0.35">
      <c r="A112" s="77" t="s">
        <v>14</v>
      </c>
      <c r="B112">
        <v>102</v>
      </c>
      <c r="C112">
        <v>33025</v>
      </c>
      <c r="D112" s="77" t="s">
        <v>121</v>
      </c>
      <c r="E112">
        <v>5.99</v>
      </c>
      <c r="F112">
        <v>2.95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 x14ac:dyDescent="0.35">
      <c r="A113" s="77" t="s">
        <v>14</v>
      </c>
      <c r="B113">
        <v>102</v>
      </c>
      <c r="C113">
        <v>61942</v>
      </c>
      <c r="D113" s="77" t="s">
        <v>123</v>
      </c>
      <c r="E113">
        <v>10</v>
      </c>
      <c r="F113">
        <v>3.73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1:11" x14ac:dyDescent="0.35">
      <c r="A114" s="77" t="s">
        <v>14</v>
      </c>
      <c r="B114">
        <v>102</v>
      </c>
      <c r="C114">
        <v>53212</v>
      </c>
      <c r="D114" s="77" t="s">
        <v>125</v>
      </c>
      <c r="E114">
        <v>29.99</v>
      </c>
      <c r="F114">
        <v>15.38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1:11" x14ac:dyDescent="0.35">
      <c r="A115" s="77" t="s">
        <v>107</v>
      </c>
      <c r="B115">
        <v>102</v>
      </c>
      <c r="C115">
        <v>53410</v>
      </c>
      <c r="D115" s="77" t="s">
        <v>126</v>
      </c>
      <c r="E115">
        <v>52</v>
      </c>
      <c r="F115">
        <v>28.2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1:11" x14ac:dyDescent="0.35">
      <c r="A116" s="77" t="s">
        <v>14</v>
      </c>
      <c r="B116">
        <v>102</v>
      </c>
      <c r="C116">
        <v>32857</v>
      </c>
      <c r="D116" s="77" t="s">
        <v>127</v>
      </c>
      <c r="E116">
        <v>130</v>
      </c>
      <c r="F116">
        <v>68.680000000000007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1:11" x14ac:dyDescent="0.35">
      <c r="A117" s="77" t="s">
        <v>14</v>
      </c>
      <c r="B117">
        <v>102</v>
      </c>
      <c r="C117">
        <v>32150</v>
      </c>
      <c r="D117" s="77" t="s">
        <v>128</v>
      </c>
      <c r="E117">
        <v>8.99</v>
      </c>
      <c r="F117">
        <v>4.53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1:11" x14ac:dyDescent="0.35">
      <c r="A118" s="77" t="s">
        <v>14</v>
      </c>
      <c r="B118">
        <v>102</v>
      </c>
      <c r="C118">
        <v>34102</v>
      </c>
      <c r="D118" s="77" t="s">
        <v>129</v>
      </c>
      <c r="E118">
        <v>9.99</v>
      </c>
      <c r="F118">
        <v>4.99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1:11" x14ac:dyDescent="0.35">
      <c r="A119" s="77" t="s">
        <v>14</v>
      </c>
      <c r="B119">
        <v>102</v>
      </c>
      <c r="C119">
        <v>53226</v>
      </c>
      <c r="D119" s="77" t="s">
        <v>130</v>
      </c>
      <c r="E119">
        <v>15.99</v>
      </c>
      <c r="F119">
        <v>5.13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1:11" x14ac:dyDescent="0.35">
      <c r="A120" s="77" t="s">
        <v>14</v>
      </c>
      <c r="B120">
        <v>102</v>
      </c>
      <c r="C120">
        <v>34106</v>
      </c>
      <c r="D120" s="77" t="s">
        <v>131</v>
      </c>
      <c r="E120">
        <v>11.99</v>
      </c>
      <c r="F120">
        <v>6.35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1:11" x14ac:dyDescent="0.35">
      <c r="A121" s="77" t="s">
        <v>14</v>
      </c>
      <c r="B121">
        <v>102</v>
      </c>
      <c r="C121">
        <v>50682</v>
      </c>
      <c r="D121" s="77" t="s">
        <v>132</v>
      </c>
      <c r="E121">
        <v>15.99</v>
      </c>
      <c r="F121">
        <v>7.86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1:11" x14ac:dyDescent="0.35">
      <c r="A122" s="77" t="s">
        <v>14</v>
      </c>
      <c r="B122">
        <v>102</v>
      </c>
      <c r="C122">
        <v>54430</v>
      </c>
      <c r="D122" s="77" t="s">
        <v>133</v>
      </c>
      <c r="E122">
        <v>21.99</v>
      </c>
      <c r="F122">
        <v>9.9600000000000009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1:11" x14ac:dyDescent="0.35">
      <c r="A123" s="77" t="s">
        <v>14</v>
      </c>
      <c r="B123">
        <v>102</v>
      </c>
      <c r="C123">
        <v>34120</v>
      </c>
      <c r="D123" s="77" t="s">
        <v>134</v>
      </c>
      <c r="E123">
        <v>8.99</v>
      </c>
      <c r="F123">
        <v>4.99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1:11" x14ac:dyDescent="0.35">
      <c r="A124" s="77" t="s">
        <v>14</v>
      </c>
      <c r="B124">
        <v>102</v>
      </c>
      <c r="C124">
        <v>59058</v>
      </c>
      <c r="D124" s="77" t="s">
        <v>135</v>
      </c>
      <c r="E124">
        <v>5.99</v>
      </c>
      <c r="F124">
        <v>3.1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1:11" x14ac:dyDescent="0.35">
      <c r="A125" s="77" t="s">
        <v>14</v>
      </c>
      <c r="B125">
        <v>102</v>
      </c>
      <c r="C125">
        <v>53225</v>
      </c>
      <c r="D125" s="77" t="s">
        <v>136</v>
      </c>
      <c r="E125">
        <v>17.989999999999998</v>
      </c>
      <c r="F125">
        <v>10.039999999999999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1:11" x14ac:dyDescent="0.35">
      <c r="A126" s="77" t="s">
        <v>14</v>
      </c>
      <c r="B126">
        <v>102</v>
      </c>
      <c r="C126">
        <v>53141</v>
      </c>
      <c r="D126" s="77" t="s">
        <v>137</v>
      </c>
      <c r="E126">
        <v>9.99</v>
      </c>
      <c r="F126">
        <v>3.26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1:11" x14ac:dyDescent="0.35">
      <c r="A127" s="77" t="s">
        <v>14</v>
      </c>
      <c r="B127">
        <v>102</v>
      </c>
      <c r="C127">
        <v>63394</v>
      </c>
      <c r="D127" s="77" t="s">
        <v>138</v>
      </c>
      <c r="E127">
        <v>26.97</v>
      </c>
      <c r="F127">
        <v>13.68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1:11" x14ac:dyDescent="0.35">
      <c r="A128" s="77" t="s">
        <v>14</v>
      </c>
      <c r="B128">
        <v>102</v>
      </c>
      <c r="C128">
        <v>32869</v>
      </c>
      <c r="D128" s="77" t="s">
        <v>139</v>
      </c>
      <c r="E128">
        <v>3.5</v>
      </c>
      <c r="F128">
        <v>2.12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1:11" x14ac:dyDescent="0.35">
      <c r="A129" s="77" t="s">
        <v>14</v>
      </c>
      <c r="B129">
        <v>102</v>
      </c>
      <c r="C129">
        <v>34074</v>
      </c>
      <c r="D129" s="77" t="s">
        <v>140</v>
      </c>
      <c r="E129">
        <v>21.99</v>
      </c>
      <c r="F129">
        <v>12.33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1:11" x14ac:dyDescent="0.35">
      <c r="A130" s="77" t="s">
        <v>14</v>
      </c>
      <c r="B130">
        <v>102</v>
      </c>
      <c r="C130">
        <v>34139</v>
      </c>
      <c r="D130" s="77" t="s">
        <v>141</v>
      </c>
      <c r="E130">
        <v>49.99</v>
      </c>
      <c r="F130">
        <v>26.72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1:11" x14ac:dyDescent="0.35">
      <c r="A131" s="77" t="s">
        <v>14</v>
      </c>
      <c r="B131">
        <v>102</v>
      </c>
      <c r="C131">
        <v>62499</v>
      </c>
      <c r="D131" s="77" t="s">
        <v>142</v>
      </c>
      <c r="E131">
        <v>12.99</v>
      </c>
      <c r="F131">
        <v>6.69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1:11" x14ac:dyDescent="0.35">
      <c r="A132" s="77" t="s">
        <v>14</v>
      </c>
      <c r="B132">
        <v>102</v>
      </c>
      <c r="C132">
        <v>61941</v>
      </c>
      <c r="D132" s="77" t="s">
        <v>143</v>
      </c>
      <c r="E132">
        <v>10</v>
      </c>
      <c r="F132">
        <v>3.4432999999999998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1:11" x14ac:dyDescent="0.35">
      <c r="A133" s="77" t="s">
        <v>14</v>
      </c>
      <c r="B133">
        <v>102</v>
      </c>
      <c r="C133">
        <v>34090</v>
      </c>
      <c r="D133" s="77" t="s">
        <v>144</v>
      </c>
      <c r="E133">
        <v>3.99</v>
      </c>
      <c r="F133">
        <v>1.3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1:11" x14ac:dyDescent="0.35">
      <c r="A134" s="77" t="s">
        <v>14</v>
      </c>
      <c r="B134">
        <v>102</v>
      </c>
      <c r="C134">
        <v>55482</v>
      </c>
      <c r="D134" s="77" t="s">
        <v>145</v>
      </c>
      <c r="E134">
        <v>13.99</v>
      </c>
      <c r="F134">
        <v>5.44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1:11" x14ac:dyDescent="0.35">
      <c r="A135" s="77" t="s">
        <v>107</v>
      </c>
      <c r="B135">
        <v>102</v>
      </c>
      <c r="C135">
        <v>58147</v>
      </c>
      <c r="D135" s="77" t="s">
        <v>146</v>
      </c>
      <c r="E135">
        <v>16.989999999999998</v>
      </c>
      <c r="F135">
        <v>7.99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1:11" x14ac:dyDescent="0.35">
      <c r="A136" s="77" t="s">
        <v>14</v>
      </c>
      <c r="B136">
        <v>102</v>
      </c>
      <c r="C136">
        <v>53119</v>
      </c>
      <c r="D136" s="77" t="s">
        <v>147</v>
      </c>
      <c r="E136">
        <v>4.99</v>
      </c>
      <c r="F136">
        <v>1.29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1:11" x14ac:dyDescent="0.35">
      <c r="A137" s="77" t="s">
        <v>14</v>
      </c>
      <c r="B137">
        <v>102</v>
      </c>
      <c r="C137">
        <v>33013</v>
      </c>
      <c r="D137" s="77" t="s">
        <v>148</v>
      </c>
      <c r="E137">
        <v>5.99</v>
      </c>
      <c r="F137">
        <v>3.1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1:11" x14ac:dyDescent="0.35">
      <c r="A138" s="77" t="s">
        <v>14</v>
      </c>
      <c r="B138">
        <v>102</v>
      </c>
      <c r="C138">
        <v>33012</v>
      </c>
      <c r="D138" s="77" t="s">
        <v>149</v>
      </c>
      <c r="E138">
        <v>47.99</v>
      </c>
      <c r="F138">
        <v>27.08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1:11" x14ac:dyDescent="0.35">
      <c r="A139" s="77" t="s">
        <v>14</v>
      </c>
      <c r="B139">
        <v>102</v>
      </c>
      <c r="C139">
        <v>34061</v>
      </c>
      <c r="D139" s="77" t="s">
        <v>150</v>
      </c>
      <c r="E139">
        <v>39.99</v>
      </c>
      <c r="F139">
        <v>17.68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1:11" x14ac:dyDescent="0.35">
      <c r="A140" s="77" t="s">
        <v>14</v>
      </c>
      <c r="B140">
        <v>102</v>
      </c>
      <c r="C140">
        <v>62290</v>
      </c>
      <c r="D140" s="77" t="s">
        <v>151</v>
      </c>
      <c r="E140">
        <v>10</v>
      </c>
      <c r="F140">
        <v>3.77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1:11" x14ac:dyDescent="0.35">
      <c r="A141" s="77" t="s">
        <v>19</v>
      </c>
      <c r="B141">
        <v>102</v>
      </c>
      <c r="C141">
        <v>46909</v>
      </c>
      <c r="D141" s="77" t="s">
        <v>152</v>
      </c>
      <c r="E141">
        <v>10.99</v>
      </c>
      <c r="F141">
        <v>5.7054999999999998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1:11" x14ac:dyDescent="0.35">
      <c r="A142" s="77" t="s">
        <v>19</v>
      </c>
      <c r="B142">
        <v>102</v>
      </c>
      <c r="C142">
        <v>48620</v>
      </c>
      <c r="D142" s="77" t="s">
        <v>153</v>
      </c>
      <c r="E142">
        <v>37.99</v>
      </c>
      <c r="F142">
        <v>16.841833333333302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1:11" x14ac:dyDescent="0.35">
      <c r="A143" s="77" t="s">
        <v>35</v>
      </c>
      <c r="B143">
        <v>102</v>
      </c>
      <c r="C143">
        <v>48620</v>
      </c>
      <c r="D143" s="77" t="s">
        <v>153</v>
      </c>
      <c r="E143">
        <v>37.99</v>
      </c>
      <c r="F143">
        <v>19.462499999999999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 x14ac:dyDescent="0.35">
      <c r="A144" s="77" t="s">
        <v>14</v>
      </c>
      <c r="B144">
        <v>102</v>
      </c>
      <c r="C144">
        <v>61943</v>
      </c>
      <c r="D144" s="77" t="s">
        <v>154</v>
      </c>
      <c r="E144">
        <v>10</v>
      </c>
      <c r="F144">
        <v>3.71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 x14ac:dyDescent="0.35">
      <c r="A145" s="77" t="s">
        <v>14</v>
      </c>
      <c r="B145">
        <v>102</v>
      </c>
      <c r="C145">
        <v>66952</v>
      </c>
      <c r="D145" s="77" t="s">
        <v>155</v>
      </c>
      <c r="E145">
        <v>29.99</v>
      </c>
      <c r="F145">
        <v>28.95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 x14ac:dyDescent="0.35">
      <c r="A146" s="77" t="s">
        <v>14</v>
      </c>
      <c r="B146">
        <v>102</v>
      </c>
      <c r="C146">
        <v>53210</v>
      </c>
      <c r="D146" s="77" t="s">
        <v>156</v>
      </c>
      <c r="E146">
        <v>100</v>
      </c>
      <c r="F146">
        <v>22.26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 x14ac:dyDescent="0.35">
      <c r="A147" s="77" t="s">
        <v>14</v>
      </c>
      <c r="B147">
        <v>102</v>
      </c>
      <c r="C147">
        <v>34037</v>
      </c>
      <c r="D147" s="77" t="s">
        <v>157</v>
      </c>
      <c r="E147">
        <v>29.99</v>
      </c>
      <c r="F147">
        <v>16.43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 x14ac:dyDescent="0.35">
      <c r="A148" s="77" t="s">
        <v>14</v>
      </c>
      <c r="B148">
        <v>102</v>
      </c>
      <c r="C148">
        <v>59221</v>
      </c>
      <c r="D148" s="77" t="s">
        <v>158</v>
      </c>
      <c r="E148">
        <v>5.99</v>
      </c>
      <c r="F148">
        <v>3.1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 x14ac:dyDescent="0.35">
      <c r="A149" s="77" t="s">
        <v>14</v>
      </c>
      <c r="B149">
        <v>102</v>
      </c>
      <c r="C149">
        <v>59477</v>
      </c>
      <c r="D149" s="77" t="s">
        <v>159</v>
      </c>
      <c r="E149">
        <v>5.99</v>
      </c>
      <c r="F149">
        <v>3.1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 x14ac:dyDescent="0.35">
      <c r="A150" s="77" t="s">
        <v>19</v>
      </c>
      <c r="B150">
        <v>102</v>
      </c>
      <c r="C150">
        <v>33032</v>
      </c>
      <c r="D150" s="77" t="s">
        <v>160</v>
      </c>
      <c r="E150">
        <v>28.99</v>
      </c>
      <c r="F150">
        <v>12.413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1:11" x14ac:dyDescent="0.35">
      <c r="A151" s="77" t="s">
        <v>35</v>
      </c>
      <c r="B151">
        <v>102</v>
      </c>
      <c r="C151">
        <v>33032</v>
      </c>
      <c r="D151" s="77" t="s">
        <v>160</v>
      </c>
      <c r="E151">
        <v>28.99</v>
      </c>
      <c r="F151">
        <v>14.6126666666667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1:11" x14ac:dyDescent="0.35">
      <c r="A152" s="77" t="s">
        <v>14</v>
      </c>
      <c r="B152">
        <v>102</v>
      </c>
      <c r="C152">
        <v>46797</v>
      </c>
      <c r="D152" s="77" t="s">
        <v>161</v>
      </c>
      <c r="E152">
        <v>39.99</v>
      </c>
      <c r="F152">
        <v>25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1:11" x14ac:dyDescent="0.35">
      <c r="A153" s="77" t="s">
        <v>14</v>
      </c>
      <c r="B153">
        <v>102</v>
      </c>
      <c r="C153">
        <v>32125</v>
      </c>
      <c r="D153" s="77" t="s">
        <v>162</v>
      </c>
      <c r="E153">
        <v>3</v>
      </c>
      <c r="F153">
        <v>1.29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1:11" x14ac:dyDescent="0.35">
      <c r="A154" s="77" t="s">
        <v>14</v>
      </c>
      <c r="B154">
        <v>102</v>
      </c>
      <c r="C154">
        <v>59220</v>
      </c>
      <c r="D154" s="77" t="s">
        <v>163</v>
      </c>
      <c r="E154">
        <v>5.99</v>
      </c>
      <c r="F154">
        <v>3.1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1:11" x14ac:dyDescent="0.35">
      <c r="A155" s="77" t="s">
        <v>14</v>
      </c>
      <c r="B155">
        <v>102</v>
      </c>
      <c r="C155">
        <v>32151</v>
      </c>
      <c r="D155" s="77" t="s">
        <v>164</v>
      </c>
      <c r="E155">
        <v>12.99</v>
      </c>
      <c r="F155">
        <v>6.88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1:11" x14ac:dyDescent="0.35">
      <c r="A156" s="77" t="s">
        <v>14</v>
      </c>
      <c r="B156">
        <v>102</v>
      </c>
      <c r="C156">
        <v>62623</v>
      </c>
      <c r="D156" s="77" t="s">
        <v>165</v>
      </c>
      <c r="E156">
        <v>15.99</v>
      </c>
      <c r="F156">
        <v>8.31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1:11" x14ac:dyDescent="0.35">
      <c r="A157" s="77" t="s">
        <v>14</v>
      </c>
      <c r="B157">
        <v>102</v>
      </c>
      <c r="C157">
        <v>66951</v>
      </c>
      <c r="D157" s="77" t="s">
        <v>166</v>
      </c>
      <c r="E157">
        <v>29.99</v>
      </c>
      <c r="F157">
        <v>28.95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1:11" x14ac:dyDescent="0.35">
      <c r="A158" s="77" t="s">
        <v>14</v>
      </c>
      <c r="B158">
        <v>102</v>
      </c>
      <c r="C158">
        <v>34122</v>
      </c>
      <c r="D158" s="77" t="s">
        <v>167</v>
      </c>
      <c r="E158">
        <v>25.99</v>
      </c>
      <c r="F158">
        <v>13.19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1:11" x14ac:dyDescent="0.35">
      <c r="A159" s="77" t="s">
        <v>14</v>
      </c>
      <c r="B159">
        <v>102</v>
      </c>
      <c r="C159">
        <v>34021</v>
      </c>
      <c r="D159" s="77" t="s">
        <v>168</v>
      </c>
      <c r="E159">
        <v>32.99</v>
      </c>
      <c r="F159">
        <v>15.39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1:11" x14ac:dyDescent="0.35">
      <c r="A160" s="77" t="s">
        <v>14</v>
      </c>
      <c r="B160">
        <v>102</v>
      </c>
      <c r="C160">
        <v>61014</v>
      </c>
      <c r="D160" s="77" t="s">
        <v>169</v>
      </c>
      <c r="E160">
        <v>5.99</v>
      </c>
      <c r="F160">
        <v>3.1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1:11" x14ac:dyDescent="0.35">
      <c r="A161" s="77" t="s">
        <v>19</v>
      </c>
      <c r="B161">
        <v>102</v>
      </c>
      <c r="C161">
        <v>61929</v>
      </c>
      <c r="D161" s="77" t="s">
        <v>170</v>
      </c>
      <c r="E161">
        <v>79.989999999999995</v>
      </c>
      <c r="F161">
        <v>44.62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1:11" x14ac:dyDescent="0.35">
      <c r="A162" s="77" t="s">
        <v>14</v>
      </c>
      <c r="B162">
        <v>102</v>
      </c>
      <c r="C162">
        <v>32155</v>
      </c>
      <c r="D162" s="77" t="s">
        <v>171</v>
      </c>
      <c r="E162">
        <v>11.99</v>
      </c>
      <c r="F162">
        <v>5.87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1:11" x14ac:dyDescent="0.35">
      <c r="A163" s="77" t="s">
        <v>14</v>
      </c>
      <c r="B163">
        <v>102</v>
      </c>
      <c r="C163">
        <v>65506</v>
      </c>
      <c r="D163" s="77" t="s">
        <v>172</v>
      </c>
      <c r="E163">
        <v>14.99</v>
      </c>
      <c r="F163">
        <v>7.72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1:11" x14ac:dyDescent="0.35">
      <c r="A164" s="77" t="s">
        <v>14</v>
      </c>
      <c r="B164">
        <v>102</v>
      </c>
      <c r="C164">
        <v>66434</v>
      </c>
      <c r="D164" s="77" t="s">
        <v>173</v>
      </c>
      <c r="E164">
        <v>13.99</v>
      </c>
      <c r="F164">
        <v>9.14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1:11" x14ac:dyDescent="0.35">
      <c r="A165" s="77" t="s">
        <v>14</v>
      </c>
      <c r="B165">
        <v>102</v>
      </c>
      <c r="C165">
        <v>32124</v>
      </c>
      <c r="D165" s="77" t="s">
        <v>174</v>
      </c>
      <c r="E165">
        <v>47.99</v>
      </c>
      <c r="F165">
        <v>10.44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1:11" x14ac:dyDescent="0.35">
      <c r="A166" s="77" t="s">
        <v>14</v>
      </c>
      <c r="B166">
        <v>102</v>
      </c>
      <c r="C166">
        <v>32868</v>
      </c>
      <c r="D166" s="77" t="s">
        <v>175</v>
      </c>
      <c r="E166">
        <v>5.99</v>
      </c>
      <c r="F166">
        <v>3.31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1:11" x14ac:dyDescent="0.35">
      <c r="A167" s="77" t="s">
        <v>19</v>
      </c>
      <c r="B167">
        <v>102</v>
      </c>
      <c r="C167">
        <v>61928</v>
      </c>
      <c r="D167" s="77" t="s">
        <v>176</v>
      </c>
      <c r="E167">
        <v>79.989999999999995</v>
      </c>
      <c r="F167">
        <v>44.62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1:11" x14ac:dyDescent="0.35">
      <c r="A168" s="77" t="s">
        <v>14</v>
      </c>
      <c r="B168">
        <v>102</v>
      </c>
      <c r="C168">
        <v>66435</v>
      </c>
      <c r="D168" s="77" t="s">
        <v>177</v>
      </c>
      <c r="E168">
        <v>11.99</v>
      </c>
      <c r="F168">
        <v>7.6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1:11" x14ac:dyDescent="0.35">
      <c r="A169" s="77" t="s">
        <v>14</v>
      </c>
      <c r="B169">
        <v>102</v>
      </c>
      <c r="C169">
        <v>59222</v>
      </c>
      <c r="D169" s="77" t="s">
        <v>178</v>
      </c>
      <c r="E169">
        <v>5.99</v>
      </c>
      <c r="F169">
        <v>3.1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1:11" x14ac:dyDescent="0.35">
      <c r="A170" s="77" t="s">
        <v>14</v>
      </c>
      <c r="B170">
        <v>102</v>
      </c>
      <c r="C170">
        <v>59223</v>
      </c>
      <c r="D170" s="77" t="s">
        <v>179</v>
      </c>
      <c r="E170">
        <v>5.99</v>
      </c>
      <c r="F170">
        <v>3.1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1:11" x14ac:dyDescent="0.35">
      <c r="A171" s="77" t="s">
        <v>14</v>
      </c>
      <c r="B171">
        <v>102</v>
      </c>
      <c r="C171">
        <v>34089</v>
      </c>
      <c r="D171" s="77" t="s">
        <v>180</v>
      </c>
      <c r="E171">
        <v>39.99</v>
      </c>
      <c r="F171">
        <v>29.01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1:11" x14ac:dyDescent="0.35">
      <c r="A172" s="77" t="s">
        <v>14</v>
      </c>
      <c r="B172">
        <v>102</v>
      </c>
      <c r="C172">
        <v>58045</v>
      </c>
      <c r="D172" s="77" t="s">
        <v>181</v>
      </c>
      <c r="E172">
        <v>2.5</v>
      </c>
      <c r="F172">
        <v>1.29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1:11" x14ac:dyDescent="0.35">
      <c r="A173" s="77" t="s">
        <v>14</v>
      </c>
      <c r="B173">
        <v>102</v>
      </c>
      <c r="C173">
        <v>66950</v>
      </c>
      <c r="D173" s="77" t="s">
        <v>182</v>
      </c>
      <c r="E173">
        <v>29.99</v>
      </c>
      <c r="F173">
        <v>28.95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1:11" x14ac:dyDescent="0.35">
      <c r="A174" s="77" t="s">
        <v>19</v>
      </c>
      <c r="B174">
        <v>102</v>
      </c>
      <c r="C174">
        <v>42674</v>
      </c>
      <c r="D174" s="77" t="s">
        <v>183</v>
      </c>
      <c r="E174">
        <v>5.49</v>
      </c>
      <c r="F174">
        <v>2.7884166666666701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1:11" x14ac:dyDescent="0.35">
      <c r="A175" s="77" t="s">
        <v>19</v>
      </c>
      <c r="B175">
        <v>102</v>
      </c>
      <c r="C175">
        <v>38815</v>
      </c>
      <c r="D175" s="77" t="s">
        <v>184</v>
      </c>
      <c r="E175">
        <v>10.85</v>
      </c>
      <c r="F175">
        <v>5.2888333333333302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1:11" x14ac:dyDescent="0.35">
      <c r="A176" s="77" t="s">
        <v>35</v>
      </c>
      <c r="B176">
        <v>102</v>
      </c>
      <c r="C176">
        <v>38815</v>
      </c>
      <c r="D176" s="77" t="s">
        <v>184</v>
      </c>
      <c r="E176">
        <v>10.85</v>
      </c>
      <c r="F176">
        <v>5.9984999999999999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1:11" x14ac:dyDescent="0.35">
      <c r="A177" s="77" t="s">
        <v>19</v>
      </c>
      <c r="B177">
        <v>102</v>
      </c>
      <c r="C177">
        <v>38816</v>
      </c>
      <c r="D177" s="77" t="s">
        <v>185</v>
      </c>
      <c r="E177">
        <v>7.99</v>
      </c>
      <c r="F177">
        <v>3.6635833333333299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1:11" x14ac:dyDescent="0.35">
      <c r="A178" s="77" t="s">
        <v>35</v>
      </c>
      <c r="B178">
        <v>102</v>
      </c>
      <c r="C178">
        <v>38816</v>
      </c>
      <c r="D178" s="77" t="s">
        <v>185</v>
      </c>
      <c r="E178">
        <v>7.99</v>
      </c>
      <c r="F178">
        <v>4.1159999999999997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1:11" x14ac:dyDescent="0.35">
      <c r="A179" s="77" t="s">
        <v>19</v>
      </c>
      <c r="B179">
        <v>102</v>
      </c>
      <c r="C179">
        <v>38908</v>
      </c>
      <c r="D179" s="77" t="s">
        <v>186</v>
      </c>
      <c r="E179">
        <v>7.99</v>
      </c>
      <c r="F179">
        <v>4.1161666666666701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1:11" x14ac:dyDescent="0.35">
      <c r="A180" s="77" t="s">
        <v>35</v>
      </c>
      <c r="B180">
        <v>102</v>
      </c>
      <c r="C180">
        <v>38908</v>
      </c>
      <c r="D180" s="77" t="s">
        <v>186</v>
      </c>
      <c r="E180">
        <v>7.99</v>
      </c>
      <c r="F180">
        <v>4.3630833333333303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 x14ac:dyDescent="0.35">
      <c r="A181" s="77" t="s">
        <v>19</v>
      </c>
      <c r="B181">
        <v>102</v>
      </c>
      <c r="C181">
        <v>38983</v>
      </c>
      <c r="D181" s="77" t="s">
        <v>187</v>
      </c>
      <c r="E181">
        <v>10.85</v>
      </c>
      <c r="F181">
        <v>5.6589999999999998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 x14ac:dyDescent="0.35">
      <c r="A182" s="77" t="s">
        <v>35</v>
      </c>
      <c r="B182">
        <v>102</v>
      </c>
      <c r="C182">
        <v>38983</v>
      </c>
      <c r="D182" s="77" t="s">
        <v>187</v>
      </c>
      <c r="E182">
        <v>10.85</v>
      </c>
      <c r="F182">
        <v>5.9984999999999999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 x14ac:dyDescent="0.35">
      <c r="A183" s="77" t="s">
        <v>19</v>
      </c>
      <c r="B183">
        <v>102</v>
      </c>
      <c r="C183">
        <v>39025</v>
      </c>
      <c r="D183" s="77" t="s">
        <v>188</v>
      </c>
      <c r="E183">
        <v>330.99</v>
      </c>
      <c r="F183">
        <v>172.26333333333301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 x14ac:dyDescent="0.35">
      <c r="A184" s="77" t="s">
        <v>35</v>
      </c>
      <c r="B184">
        <v>102</v>
      </c>
      <c r="C184">
        <v>39025</v>
      </c>
      <c r="D184" s="77" t="s">
        <v>188</v>
      </c>
      <c r="E184">
        <v>330.99</v>
      </c>
      <c r="F184">
        <v>182.6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 x14ac:dyDescent="0.35">
      <c r="A185" s="77" t="s">
        <v>19</v>
      </c>
      <c r="B185">
        <v>102</v>
      </c>
      <c r="C185">
        <v>39421</v>
      </c>
      <c r="D185" s="77" t="s">
        <v>189</v>
      </c>
      <c r="E185">
        <v>28.99</v>
      </c>
      <c r="F185">
        <v>14.814500000000001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 x14ac:dyDescent="0.35">
      <c r="A186" s="77" t="s">
        <v>35</v>
      </c>
      <c r="B186">
        <v>102</v>
      </c>
      <c r="C186">
        <v>39421</v>
      </c>
      <c r="D186" s="77" t="s">
        <v>189</v>
      </c>
      <c r="E186">
        <v>28.99</v>
      </c>
      <c r="F186">
        <v>15.703250000000001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 x14ac:dyDescent="0.35">
      <c r="A187" s="77" t="s">
        <v>19</v>
      </c>
      <c r="B187">
        <v>102</v>
      </c>
      <c r="C187">
        <v>39963</v>
      </c>
      <c r="D187" s="77" t="s">
        <v>190</v>
      </c>
      <c r="E187">
        <v>5.4</v>
      </c>
      <c r="F187">
        <v>2.6173000000000002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1:11" x14ac:dyDescent="0.35">
      <c r="A188" s="77" t="s">
        <v>35</v>
      </c>
      <c r="B188">
        <v>102</v>
      </c>
      <c r="C188">
        <v>39963</v>
      </c>
      <c r="D188" s="77" t="s">
        <v>190</v>
      </c>
      <c r="E188">
        <v>5.4</v>
      </c>
      <c r="F188">
        <v>2.9407999999999999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1:11" x14ac:dyDescent="0.35">
      <c r="A189" s="77" t="s">
        <v>19</v>
      </c>
      <c r="B189">
        <v>102</v>
      </c>
      <c r="C189">
        <v>40364</v>
      </c>
      <c r="D189" s="77" t="s">
        <v>191</v>
      </c>
      <c r="E189">
        <v>4.99</v>
      </c>
      <c r="F189">
        <v>2.5465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1:11" x14ac:dyDescent="0.35">
      <c r="A190" s="77" t="s">
        <v>35</v>
      </c>
      <c r="B190">
        <v>102</v>
      </c>
      <c r="C190">
        <v>40364</v>
      </c>
      <c r="D190" s="77" t="s">
        <v>191</v>
      </c>
      <c r="E190">
        <v>4.99</v>
      </c>
      <c r="F190">
        <v>2.8072499999999998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1:11" x14ac:dyDescent="0.35">
      <c r="A191" s="77" t="s">
        <v>19</v>
      </c>
      <c r="B191">
        <v>102</v>
      </c>
      <c r="C191">
        <v>48683</v>
      </c>
      <c r="D191" s="77" t="s">
        <v>192</v>
      </c>
      <c r="E191">
        <v>11.99</v>
      </c>
      <c r="F191">
        <v>6.2521428571428599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1:11" x14ac:dyDescent="0.35">
      <c r="A192" s="77" t="s">
        <v>35</v>
      </c>
      <c r="B192">
        <v>102</v>
      </c>
      <c r="C192">
        <v>48683</v>
      </c>
      <c r="D192" s="77" t="s">
        <v>192</v>
      </c>
      <c r="E192">
        <v>11.99</v>
      </c>
      <c r="F192">
        <v>6.6272857142857102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1:11" x14ac:dyDescent="0.35">
      <c r="A193" s="77" t="s">
        <v>19</v>
      </c>
      <c r="B193">
        <v>102</v>
      </c>
      <c r="C193">
        <v>54652</v>
      </c>
      <c r="D193" s="77" t="s">
        <v>193</v>
      </c>
      <c r="E193">
        <v>21.99</v>
      </c>
      <c r="F193">
        <v>8.2398749999999996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1:11" x14ac:dyDescent="0.35">
      <c r="A194" s="77" t="s">
        <v>35</v>
      </c>
      <c r="B194">
        <v>102</v>
      </c>
      <c r="C194">
        <v>54652</v>
      </c>
      <c r="D194" s="77" t="s">
        <v>193</v>
      </c>
      <c r="E194">
        <v>21.99</v>
      </c>
      <c r="F194">
        <v>10.989750000000001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1:11" x14ac:dyDescent="0.35">
      <c r="A195" s="77" t="s">
        <v>19</v>
      </c>
      <c r="B195">
        <v>102</v>
      </c>
      <c r="C195">
        <v>56514</v>
      </c>
      <c r="D195" s="77" t="s">
        <v>194</v>
      </c>
      <c r="E195">
        <v>269.99</v>
      </c>
      <c r="F195">
        <v>141.47833333333301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1:11" x14ac:dyDescent="0.35">
      <c r="A196" s="77" t="s">
        <v>19</v>
      </c>
      <c r="B196">
        <v>102</v>
      </c>
      <c r="C196">
        <v>61923</v>
      </c>
      <c r="D196" s="77" t="s">
        <v>195</v>
      </c>
      <c r="E196">
        <v>79.989999999999995</v>
      </c>
      <c r="F196">
        <v>41.475000000000001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1:11" x14ac:dyDescent="0.35">
      <c r="A197" s="77" t="s">
        <v>19</v>
      </c>
      <c r="B197">
        <v>102</v>
      </c>
      <c r="C197">
        <v>61925</v>
      </c>
      <c r="D197" s="77" t="s">
        <v>196</v>
      </c>
      <c r="E197">
        <v>79.989999999999995</v>
      </c>
      <c r="F197">
        <v>41.475000000000001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1:11" x14ac:dyDescent="0.35">
      <c r="A198" s="77" t="s">
        <v>19</v>
      </c>
      <c r="B198">
        <v>102</v>
      </c>
      <c r="C198">
        <v>61926</v>
      </c>
      <c r="D198" s="77" t="s">
        <v>197</v>
      </c>
      <c r="E198">
        <v>79.989999999999995</v>
      </c>
      <c r="F198">
        <v>41.475000000000001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1:11" x14ac:dyDescent="0.35">
      <c r="A199" s="77" t="s">
        <v>35</v>
      </c>
      <c r="B199">
        <v>102</v>
      </c>
      <c r="C199">
        <v>63898</v>
      </c>
      <c r="D199" s="77" t="s">
        <v>198</v>
      </c>
      <c r="E199">
        <v>330.99</v>
      </c>
      <c r="F199">
        <v>179.16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1:11" x14ac:dyDescent="0.35">
      <c r="A200" s="77" t="s">
        <v>35</v>
      </c>
      <c r="B200">
        <v>102</v>
      </c>
      <c r="C200">
        <v>66308</v>
      </c>
      <c r="D200" s="77" t="s">
        <v>199</v>
      </c>
      <c r="E200">
        <v>10.85</v>
      </c>
      <c r="F200">
        <v>5.6589999999999998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1:11" x14ac:dyDescent="0.35">
      <c r="A201" s="77" t="s">
        <v>14</v>
      </c>
      <c r="B201">
        <v>102</v>
      </c>
      <c r="C201">
        <v>67241</v>
      </c>
      <c r="D201" s="77" t="s">
        <v>200</v>
      </c>
      <c r="E201">
        <v>15.99</v>
      </c>
      <c r="F201">
        <v>6.2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1:11" x14ac:dyDescent="0.35">
      <c r="A202" s="77" t="s">
        <v>14</v>
      </c>
      <c r="B202">
        <v>102</v>
      </c>
      <c r="C202">
        <v>67242</v>
      </c>
      <c r="D202" s="77" t="s">
        <v>201</v>
      </c>
      <c r="E202">
        <v>13.99</v>
      </c>
      <c r="F202">
        <v>3.8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1:11" x14ac:dyDescent="0.35">
      <c r="A203" s="77" t="s">
        <v>14</v>
      </c>
      <c r="B203">
        <v>102</v>
      </c>
      <c r="C203">
        <v>67243</v>
      </c>
      <c r="D203" s="77" t="s">
        <v>202</v>
      </c>
      <c r="E203">
        <v>30.99</v>
      </c>
      <c r="F203">
        <v>9.5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1:11" x14ac:dyDescent="0.35">
      <c r="A204" s="77" t="s">
        <v>14</v>
      </c>
      <c r="B204">
        <v>102</v>
      </c>
      <c r="C204">
        <v>67244</v>
      </c>
      <c r="D204" s="77" t="s">
        <v>203</v>
      </c>
      <c r="E204">
        <v>35.99</v>
      </c>
      <c r="F204">
        <v>12.5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1:11" x14ac:dyDescent="0.35">
      <c r="A205" s="77" t="s">
        <v>14</v>
      </c>
      <c r="B205">
        <v>102</v>
      </c>
      <c r="C205">
        <v>67245</v>
      </c>
      <c r="D205" s="77" t="s">
        <v>204</v>
      </c>
      <c r="E205">
        <v>26.99</v>
      </c>
      <c r="F205">
        <v>7.8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1:11" x14ac:dyDescent="0.35">
      <c r="A206" s="77" t="s">
        <v>14</v>
      </c>
      <c r="B206">
        <v>102</v>
      </c>
      <c r="C206">
        <v>67246</v>
      </c>
      <c r="D206" s="77" t="s">
        <v>94</v>
      </c>
      <c r="E206">
        <v>26.99</v>
      </c>
      <c r="F206">
        <v>7.8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1:11" x14ac:dyDescent="0.35">
      <c r="A207" s="77" t="s">
        <v>14</v>
      </c>
      <c r="B207">
        <v>102</v>
      </c>
      <c r="C207">
        <v>67247</v>
      </c>
      <c r="D207" s="77" t="s">
        <v>205</v>
      </c>
      <c r="E207">
        <v>15.99</v>
      </c>
      <c r="F207">
        <v>8.0500000000000007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1:11" x14ac:dyDescent="0.35">
      <c r="A208" s="77" t="s">
        <v>14</v>
      </c>
      <c r="B208">
        <v>102</v>
      </c>
      <c r="C208">
        <v>67301</v>
      </c>
      <c r="D208" s="77" t="s">
        <v>206</v>
      </c>
      <c r="E208">
        <v>15.99</v>
      </c>
      <c r="F208">
        <v>9.99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1:11" x14ac:dyDescent="0.35">
      <c r="A209" s="77" t="s">
        <v>14</v>
      </c>
      <c r="B209">
        <v>103</v>
      </c>
      <c r="C209">
        <v>33990</v>
      </c>
      <c r="D209" s="77" t="s">
        <v>207</v>
      </c>
      <c r="E209">
        <v>21.99</v>
      </c>
      <c r="F209">
        <v>11.11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1:11" x14ac:dyDescent="0.35">
      <c r="A210" s="77" t="s">
        <v>14</v>
      </c>
      <c r="B210">
        <v>103</v>
      </c>
      <c r="C210">
        <v>34142</v>
      </c>
      <c r="D210" s="77" t="s">
        <v>208</v>
      </c>
      <c r="E210">
        <v>70.989999999999995</v>
      </c>
      <c r="F210">
        <v>18.7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1:11" x14ac:dyDescent="0.35">
      <c r="A211" s="77" t="s">
        <v>14</v>
      </c>
      <c r="B211">
        <v>103</v>
      </c>
      <c r="C211">
        <v>34101</v>
      </c>
      <c r="D211" s="77" t="s">
        <v>209</v>
      </c>
      <c r="E211">
        <v>216.99</v>
      </c>
      <c r="F211">
        <v>54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1:11" x14ac:dyDescent="0.35">
      <c r="A212" s="77" t="s">
        <v>14</v>
      </c>
      <c r="B212">
        <v>103</v>
      </c>
      <c r="C212">
        <v>33040</v>
      </c>
      <c r="D212" s="77" t="s">
        <v>210</v>
      </c>
      <c r="E212">
        <v>30</v>
      </c>
      <c r="F212">
        <v>18.260000000000002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1:11" x14ac:dyDescent="0.35">
      <c r="A213" s="77" t="s">
        <v>14</v>
      </c>
      <c r="B213">
        <v>103</v>
      </c>
      <c r="C213">
        <v>34100</v>
      </c>
      <c r="D213" s="77" t="s">
        <v>211</v>
      </c>
      <c r="E213">
        <v>402.99</v>
      </c>
      <c r="F213">
        <v>210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1:11" x14ac:dyDescent="0.35">
      <c r="A214" s="77" t="s">
        <v>14</v>
      </c>
      <c r="B214">
        <v>103</v>
      </c>
      <c r="C214">
        <v>33989</v>
      </c>
      <c r="D214" s="77" t="s">
        <v>212</v>
      </c>
      <c r="E214">
        <v>30</v>
      </c>
      <c r="F214">
        <v>20.81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1:11" x14ac:dyDescent="0.35">
      <c r="A215" s="77" t="s">
        <v>14</v>
      </c>
      <c r="B215">
        <v>103</v>
      </c>
      <c r="C215">
        <v>34087</v>
      </c>
      <c r="D215" s="77" t="s">
        <v>213</v>
      </c>
      <c r="E215">
        <v>99.99</v>
      </c>
      <c r="F215">
        <v>54.67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1:11" x14ac:dyDescent="0.35">
      <c r="A216" s="77" t="s">
        <v>14</v>
      </c>
      <c r="B216">
        <v>103</v>
      </c>
      <c r="C216">
        <v>33042</v>
      </c>
      <c r="D216" s="77" t="s">
        <v>214</v>
      </c>
      <c r="E216">
        <v>20</v>
      </c>
      <c r="F216">
        <v>10.23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1:11" x14ac:dyDescent="0.35">
      <c r="A217" s="77" t="s">
        <v>14</v>
      </c>
      <c r="B217">
        <v>103</v>
      </c>
      <c r="C217">
        <v>34134</v>
      </c>
      <c r="D217" s="77" t="s">
        <v>215</v>
      </c>
      <c r="E217">
        <v>313.99</v>
      </c>
      <c r="F217">
        <v>163.47229999999999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 x14ac:dyDescent="0.35">
      <c r="A218" s="77" t="s">
        <v>14</v>
      </c>
      <c r="B218">
        <v>103</v>
      </c>
      <c r="C218">
        <v>33047</v>
      </c>
      <c r="D218" s="77" t="s">
        <v>216</v>
      </c>
      <c r="E218">
        <v>15</v>
      </c>
      <c r="F218">
        <v>6.99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 x14ac:dyDescent="0.35">
      <c r="A219" s="77" t="s">
        <v>14</v>
      </c>
      <c r="B219">
        <v>103</v>
      </c>
      <c r="C219">
        <v>33988</v>
      </c>
      <c r="D219" s="77" t="s">
        <v>217</v>
      </c>
      <c r="E219">
        <v>15</v>
      </c>
      <c r="F219">
        <v>9.1300000000000008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 x14ac:dyDescent="0.35">
      <c r="A220" s="77" t="s">
        <v>14</v>
      </c>
      <c r="B220">
        <v>103</v>
      </c>
      <c r="C220">
        <v>34136</v>
      </c>
      <c r="D220" s="77" t="s">
        <v>218</v>
      </c>
      <c r="E220">
        <v>112.99</v>
      </c>
      <c r="F220">
        <v>45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 x14ac:dyDescent="0.35">
      <c r="A221" s="77" t="s">
        <v>14</v>
      </c>
      <c r="B221">
        <v>103</v>
      </c>
      <c r="C221">
        <v>33044</v>
      </c>
      <c r="D221" s="77" t="s">
        <v>219</v>
      </c>
      <c r="E221">
        <v>15</v>
      </c>
      <c r="F221">
        <v>10.23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 x14ac:dyDescent="0.35">
      <c r="A222" s="77" t="s">
        <v>14</v>
      </c>
      <c r="B222">
        <v>103</v>
      </c>
      <c r="C222">
        <v>33048</v>
      </c>
      <c r="D222" s="77" t="s">
        <v>220</v>
      </c>
      <c r="E222">
        <v>15</v>
      </c>
      <c r="F222">
        <v>7.77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 x14ac:dyDescent="0.35">
      <c r="A223" s="77" t="s">
        <v>14</v>
      </c>
      <c r="B223">
        <v>103</v>
      </c>
      <c r="C223">
        <v>33051</v>
      </c>
      <c r="D223" s="77" t="s">
        <v>221</v>
      </c>
      <c r="E223">
        <v>10</v>
      </c>
      <c r="F223">
        <v>5.04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 x14ac:dyDescent="0.35">
      <c r="A224" s="77" t="s">
        <v>14</v>
      </c>
      <c r="B224">
        <v>103</v>
      </c>
      <c r="C224">
        <v>33041</v>
      </c>
      <c r="D224" s="77" t="s">
        <v>222</v>
      </c>
      <c r="E224">
        <v>10</v>
      </c>
      <c r="F224">
        <v>1.5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1:11" x14ac:dyDescent="0.35">
      <c r="A225" s="77" t="s">
        <v>14</v>
      </c>
      <c r="B225">
        <v>103</v>
      </c>
      <c r="C225">
        <v>33043</v>
      </c>
      <c r="D225" s="77" t="s">
        <v>223</v>
      </c>
      <c r="E225">
        <v>15</v>
      </c>
      <c r="F225">
        <v>4.26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1:11" x14ac:dyDescent="0.35">
      <c r="A226" s="77" t="s">
        <v>14</v>
      </c>
      <c r="B226">
        <v>103</v>
      </c>
      <c r="C226">
        <v>33045</v>
      </c>
      <c r="D226" s="77" t="s">
        <v>224</v>
      </c>
      <c r="E226">
        <v>10</v>
      </c>
      <c r="F226">
        <v>2.5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1:11" x14ac:dyDescent="0.35">
      <c r="A227" s="77" t="s">
        <v>14</v>
      </c>
      <c r="B227">
        <v>103</v>
      </c>
      <c r="C227">
        <v>33046</v>
      </c>
      <c r="D227" s="77" t="s">
        <v>225</v>
      </c>
      <c r="E227">
        <v>10</v>
      </c>
      <c r="F227">
        <v>3.39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1:11" x14ac:dyDescent="0.35">
      <c r="A228" s="77" t="s">
        <v>14</v>
      </c>
      <c r="B228">
        <v>103</v>
      </c>
      <c r="C228">
        <v>33049</v>
      </c>
      <c r="D228" s="77" t="s">
        <v>226</v>
      </c>
      <c r="E228">
        <v>10</v>
      </c>
      <c r="F228">
        <v>2.3199999999999998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1:11" x14ac:dyDescent="0.35">
      <c r="A229" s="77" t="s">
        <v>14</v>
      </c>
      <c r="B229">
        <v>103</v>
      </c>
      <c r="C229">
        <v>33050</v>
      </c>
      <c r="D229" s="77" t="s">
        <v>227</v>
      </c>
      <c r="E229">
        <v>10</v>
      </c>
      <c r="F229">
        <v>4.5599999999999996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1:11" x14ac:dyDescent="0.35">
      <c r="A230" s="77" t="s">
        <v>14</v>
      </c>
      <c r="B230">
        <v>103</v>
      </c>
      <c r="C230">
        <v>34076</v>
      </c>
      <c r="D230" s="77" t="s">
        <v>228</v>
      </c>
      <c r="E230">
        <v>114.99</v>
      </c>
      <c r="F230">
        <v>20.95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1:11" x14ac:dyDescent="0.35">
      <c r="A231" s="77" t="s">
        <v>14</v>
      </c>
      <c r="B231">
        <v>103</v>
      </c>
      <c r="C231">
        <v>34094</v>
      </c>
      <c r="D231" s="77" t="s">
        <v>229</v>
      </c>
      <c r="E231">
        <v>282.99</v>
      </c>
      <c r="F231">
        <v>57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1:11" x14ac:dyDescent="0.35">
      <c r="A232" s="77" t="s">
        <v>14</v>
      </c>
      <c r="B232">
        <v>103</v>
      </c>
      <c r="C232">
        <v>34135</v>
      </c>
      <c r="D232" s="77" t="s">
        <v>230</v>
      </c>
      <c r="E232">
        <v>189.99</v>
      </c>
      <c r="F232">
        <v>61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1:11" x14ac:dyDescent="0.35">
      <c r="A233" s="77" t="s">
        <v>14</v>
      </c>
      <c r="B233">
        <v>104</v>
      </c>
      <c r="C233">
        <v>34095</v>
      </c>
      <c r="D233" s="77" t="s">
        <v>235</v>
      </c>
      <c r="E233">
        <v>29.99</v>
      </c>
      <c r="F233">
        <v>12.52</v>
      </c>
      <c r="G233">
        <v>15</v>
      </c>
      <c r="H233">
        <v>449.84999999999997</v>
      </c>
      <c r="I233">
        <v>187.79999999999998</v>
      </c>
      <c r="J233">
        <v>262.04999999999995</v>
      </c>
      <c r="K233">
        <v>58.252750916972317</v>
      </c>
    </row>
    <row r="234" spans="1:11" x14ac:dyDescent="0.35">
      <c r="A234" s="77" t="s">
        <v>14</v>
      </c>
      <c r="B234">
        <v>104</v>
      </c>
      <c r="C234">
        <v>34083</v>
      </c>
      <c r="D234" s="77" t="s">
        <v>233</v>
      </c>
      <c r="E234">
        <v>49.99</v>
      </c>
      <c r="F234">
        <v>13.76</v>
      </c>
      <c r="G234">
        <v>10</v>
      </c>
      <c r="H234">
        <v>499.90000000000003</v>
      </c>
      <c r="I234">
        <v>137.6</v>
      </c>
      <c r="J234">
        <v>362.30000000000007</v>
      </c>
      <c r="K234">
        <v>72.474494898979799</v>
      </c>
    </row>
    <row r="235" spans="1:11" x14ac:dyDescent="0.35">
      <c r="A235" s="77" t="s">
        <v>14</v>
      </c>
      <c r="B235">
        <v>104</v>
      </c>
      <c r="C235">
        <v>34082</v>
      </c>
      <c r="D235" s="77" t="s">
        <v>237</v>
      </c>
      <c r="E235">
        <v>49.99</v>
      </c>
      <c r="F235">
        <v>24.65</v>
      </c>
      <c r="G235">
        <v>5</v>
      </c>
      <c r="H235">
        <v>249.95000000000002</v>
      </c>
      <c r="I235">
        <v>123.25</v>
      </c>
      <c r="J235">
        <v>126.70000000000002</v>
      </c>
      <c r="K235">
        <v>50.690138027605528</v>
      </c>
    </row>
    <row r="236" spans="1:11" x14ac:dyDescent="0.35">
      <c r="A236" s="77" t="s">
        <v>14</v>
      </c>
      <c r="B236">
        <v>104</v>
      </c>
      <c r="C236">
        <v>34079</v>
      </c>
      <c r="D236" s="77" t="s">
        <v>236</v>
      </c>
      <c r="E236">
        <v>49.99</v>
      </c>
      <c r="F236">
        <v>25.03</v>
      </c>
      <c r="G236">
        <v>3</v>
      </c>
      <c r="H236">
        <v>149.97</v>
      </c>
      <c r="I236">
        <v>75.09</v>
      </c>
      <c r="J236">
        <v>74.88</v>
      </c>
      <c r="K236">
        <v>49.929985997199438</v>
      </c>
    </row>
    <row r="237" spans="1:11" x14ac:dyDescent="0.35">
      <c r="A237" s="77" t="s">
        <v>14</v>
      </c>
      <c r="B237">
        <v>104</v>
      </c>
      <c r="C237">
        <v>34118</v>
      </c>
      <c r="D237" s="77" t="s">
        <v>231</v>
      </c>
      <c r="E237">
        <v>29.99</v>
      </c>
      <c r="F237">
        <v>7.38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1:11" x14ac:dyDescent="0.35">
      <c r="A238" s="77" t="s">
        <v>14</v>
      </c>
      <c r="B238">
        <v>104</v>
      </c>
      <c r="C238">
        <v>34081</v>
      </c>
      <c r="D238" s="77" t="s">
        <v>232</v>
      </c>
      <c r="E238">
        <v>29.99</v>
      </c>
      <c r="F238">
        <v>14.34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1:11" x14ac:dyDescent="0.35">
      <c r="A239" s="77" t="s">
        <v>14</v>
      </c>
      <c r="B239">
        <v>104</v>
      </c>
      <c r="C239">
        <v>34080</v>
      </c>
      <c r="D239" s="77" t="s">
        <v>234</v>
      </c>
      <c r="E239">
        <v>49.99</v>
      </c>
      <c r="F239">
        <v>28.67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1:11" x14ac:dyDescent="0.35">
      <c r="A240" s="77" t="s">
        <v>14</v>
      </c>
      <c r="B240">
        <v>104</v>
      </c>
      <c r="C240">
        <v>43309</v>
      </c>
      <c r="D240" s="77" t="s">
        <v>238</v>
      </c>
      <c r="E240">
        <v>13.99</v>
      </c>
      <c r="F240">
        <v>6.67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1:11" x14ac:dyDescent="0.35">
      <c r="A241" s="77" t="s">
        <v>14</v>
      </c>
      <c r="B241">
        <v>104</v>
      </c>
      <c r="C241">
        <v>40732</v>
      </c>
      <c r="D241" s="77" t="s">
        <v>239</v>
      </c>
      <c r="E241">
        <v>15</v>
      </c>
      <c r="F241">
        <v>7.38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1:11" x14ac:dyDescent="0.35">
      <c r="A242" s="77" t="s">
        <v>14</v>
      </c>
      <c r="B242">
        <v>104</v>
      </c>
      <c r="C242">
        <v>34075</v>
      </c>
      <c r="D242" s="77" t="s">
        <v>240</v>
      </c>
      <c r="E242">
        <v>69.989999999999995</v>
      </c>
      <c r="F242">
        <v>36.1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1:11" x14ac:dyDescent="0.35">
      <c r="A243" s="77" t="s">
        <v>14</v>
      </c>
      <c r="B243">
        <v>104</v>
      </c>
      <c r="C243">
        <v>56805</v>
      </c>
      <c r="D243" s="77" t="s">
        <v>241</v>
      </c>
      <c r="E243">
        <v>15</v>
      </c>
      <c r="F243">
        <v>29.47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1:11" x14ac:dyDescent="0.35">
      <c r="A244" s="77" t="s">
        <v>14</v>
      </c>
      <c r="B244">
        <v>104</v>
      </c>
      <c r="C244">
        <v>58452</v>
      </c>
      <c r="D244" s="77" t="s">
        <v>242</v>
      </c>
      <c r="E244">
        <v>120</v>
      </c>
      <c r="F244">
        <v>58.51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1:11" x14ac:dyDescent="0.35">
      <c r="A245" s="77" t="s">
        <v>14</v>
      </c>
      <c r="B245">
        <v>106</v>
      </c>
      <c r="C245">
        <v>54018</v>
      </c>
      <c r="D245" s="77" t="s">
        <v>243</v>
      </c>
      <c r="E245">
        <v>18.989999999999998</v>
      </c>
      <c r="F245">
        <v>9.83</v>
      </c>
      <c r="G245">
        <v>93</v>
      </c>
      <c r="H245">
        <v>1766.07</v>
      </c>
      <c r="I245">
        <v>914.19</v>
      </c>
      <c r="J245">
        <v>851.87999999999988</v>
      </c>
      <c r="K245">
        <v>48.235913638757232</v>
      </c>
    </row>
    <row r="246" spans="1:11" x14ac:dyDescent="0.35">
      <c r="A246" s="77" t="s">
        <v>14</v>
      </c>
      <c r="B246">
        <v>106</v>
      </c>
      <c r="C246">
        <v>34028</v>
      </c>
      <c r="D246" s="77" t="s">
        <v>244</v>
      </c>
      <c r="E246">
        <v>26.99</v>
      </c>
      <c r="F246">
        <v>15.3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1:11" x14ac:dyDescent="0.35">
      <c r="A247" s="77" t="s">
        <v>14</v>
      </c>
      <c r="B247">
        <v>106</v>
      </c>
      <c r="C247">
        <v>34027</v>
      </c>
      <c r="D247" s="77" t="s">
        <v>245</v>
      </c>
      <c r="E247">
        <v>27.99</v>
      </c>
      <c r="F247">
        <v>15.41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1:11" x14ac:dyDescent="0.35">
      <c r="A248" s="77" t="s">
        <v>14</v>
      </c>
      <c r="B248">
        <v>106</v>
      </c>
      <c r="C248">
        <v>42296</v>
      </c>
      <c r="D248" s="77" t="s">
        <v>246</v>
      </c>
      <c r="E248">
        <v>4.99</v>
      </c>
      <c r="F248">
        <v>2.97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1:11" x14ac:dyDescent="0.35">
      <c r="A249" s="77" t="s">
        <v>14</v>
      </c>
      <c r="B249">
        <v>106</v>
      </c>
      <c r="C249">
        <v>54019</v>
      </c>
      <c r="D249" s="77" t="s">
        <v>247</v>
      </c>
      <c r="E249">
        <v>23.99</v>
      </c>
      <c r="F249">
        <v>10.37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1:11" x14ac:dyDescent="0.35">
      <c r="A250" s="77" t="s">
        <v>14</v>
      </c>
      <c r="B250">
        <v>107</v>
      </c>
      <c r="C250">
        <v>64416</v>
      </c>
      <c r="D250" s="77" t="s">
        <v>248</v>
      </c>
      <c r="E250">
        <v>49.99</v>
      </c>
      <c r="F250">
        <v>32.549999999999997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1:11" x14ac:dyDescent="0.35">
      <c r="A251" s="77" t="s">
        <v>14</v>
      </c>
      <c r="B251">
        <v>109</v>
      </c>
      <c r="C251">
        <v>62614</v>
      </c>
      <c r="D251" s="77" t="s">
        <v>249</v>
      </c>
      <c r="E251">
        <v>7.99</v>
      </c>
      <c r="F251">
        <v>5.54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1:11" x14ac:dyDescent="0.35">
      <c r="A252" s="77" t="s">
        <v>19</v>
      </c>
      <c r="B252">
        <v>109</v>
      </c>
      <c r="C252">
        <v>48604</v>
      </c>
      <c r="D252" s="77" t="s">
        <v>250</v>
      </c>
      <c r="E252">
        <v>189.99</v>
      </c>
      <c r="F252">
        <v>107.69199999999999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1:11" x14ac:dyDescent="0.35">
      <c r="A253" s="77" t="s">
        <v>14</v>
      </c>
      <c r="B253">
        <v>112</v>
      </c>
      <c r="C253">
        <v>61978</v>
      </c>
      <c r="D253" s="77" t="s">
        <v>251</v>
      </c>
      <c r="E253">
        <v>199.99</v>
      </c>
      <c r="F253">
        <v>126.16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1:11" x14ac:dyDescent="0.35">
      <c r="A254" s="77" t="s">
        <v>14</v>
      </c>
      <c r="B254">
        <v>113</v>
      </c>
      <c r="C254">
        <v>46072</v>
      </c>
      <c r="D254" s="77" t="s">
        <v>252</v>
      </c>
      <c r="E254">
        <v>44.99</v>
      </c>
      <c r="F254">
        <v>26.64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 x14ac:dyDescent="0.35">
      <c r="A255" s="77" t="s">
        <v>14</v>
      </c>
      <c r="B255">
        <v>117</v>
      </c>
      <c r="C255">
        <v>34034</v>
      </c>
      <c r="D255" s="77" t="s">
        <v>253</v>
      </c>
      <c r="E255">
        <v>19.989999999999998</v>
      </c>
      <c r="F255">
        <v>8.43</v>
      </c>
      <c r="G255">
        <v>24</v>
      </c>
      <c r="H255">
        <v>479.76</v>
      </c>
      <c r="I255">
        <v>202.32</v>
      </c>
      <c r="J255">
        <v>277.44</v>
      </c>
      <c r="K255">
        <v>57.82891445722862</v>
      </c>
    </row>
    <row r="256" spans="1:11" x14ac:dyDescent="0.35">
      <c r="A256" s="77" t="s">
        <v>14</v>
      </c>
      <c r="B256">
        <v>117</v>
      </c>
      <c r="C256">
        <v>41620</v>
      </c>
      <c r="D256" s="77" t="s">
        <v>255</v>
      </c>
      <c r="E256">
        <v>15.99</v>
      </c>
      <c r="F256">
        <v>8.11</v>
      </c>
      <c r="G256">
        <v>6</v>
      </c>
      <c r="H256">
        <v>95.94</v>
      </c>
      <c r="I256">
        <v>48.66</v>
      </c>
      <c r="J256">
        <v>47.28</v>
      </c>
      <c r="K256">
        <v>49.280800500312701</v>
      </c>
    </row>
    <row r="257" spans="1:11" x14ac:dyDescent="0.35">
      <c r="A257" s="77" t="s">
        <v>14</v>
      </c>
      <c r="B257">
        <v>117</v>
      </c>
      <c r="C257">
        <v>61814</v>
      </c>
      <c r="D257" s="77" t="s">
        <v>254</v>
      </c>
      <c r="E257">
        <v>10</v>
      </c>
      <c r="F257">
        <v>3.39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 x14ac:dyDescent="0.35">
      <c r="A258" s="77" t="s">
        <v>14</v>
      </c>
      <c r="B258">
        <v>118</v>
      </c>
      <c r="C258">
        <v>34033</v>
      </c>
      <c r="D258" s="77" t="s">
        <v>256</v>
      </c>
      <c r="E258">
        <v>120</v>
      </c>
      <c r="F258">
        <v>64.849999999999994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 x14ac:dyDescent="0.35">
      <c r="A259" s="77" t="s">
        <v>14</v>
      </c>
      <c r="B259">
        <v>118</v>
      </c>
      <c r="C259">
        <v>40305</v>
      </c>
      <c r="D259" s="77" t="s">
        <v>257</v>
      </c>
      <c r="E259">
        <v>9.99</v>
      </c>
      <c r="F259">
        <v>4.53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 x14ac:dyDescent="0.35">
      <c r="A260" s="77" t="s">
        <v>14</v>
      </c>
      <c r="B260">
        <v>118</v>
      </c>
      <c r="C260">
        <v>34014</v>
      </c>
      <c r="D260" s="77" t="s">
        <v>258</v>
      </c>
      <c r="E260">
        <v>100</v>
      </c>
      <c r="F260">
        <v>52.03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 x14ac:dyDescent="0.35">
      <c r="A261" s="77" t="s">
        <v>14</v>
      </c>
      <c r="B261">
        <v>118</v>
      </c>
      <c r="C261">
        <v>34054</v>
      </c>
      <c r="D261" s="77" t="s">
        <v>259</v>
      </c>
      <c r="E261">
        <v>100</v>
      </c>
      <c r="F261">
        <v>54.36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1:11" x14ac:dyDescent="0.35">
      <c r="A262" s="77" t="s">
        <v>14</v>
      </c>
      <c r="B262">
        <v>118</v>
      </c>
      <c r="C262">
        <v>40809</v>
      </c>
      <c r="D262" s="77" t="s">
        <v>260</v>
      </c>
      <c r="E262">
        <v>15.99</v>
      </c>
      <c r="F262">
        <v>6.5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1:11" x14ac:dyDescent="0.35">
      <c r="A263" s="77" t="s">
        <v>14</v>
      </c>
      <c r="B263">
        <v>118</v>
      </c>
      <c r="C263">
        <v>34025</v>
      </c>
      <c r="D263" s="77" t="s">
        <v>261</v>
      </c>
      <c r="E263">
        <v>120</v>
      </c>
      <c r="F263">
        <v>62.39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1:11" x14ac:dyDescent="0.35">
      <c r="A264" s="77" t="s">
        <v>14</v>
      </c>
      <c r="B264">
        <v>118</v>
      </c>
      <c r="C264">
        <v>34040</v>
      </c>
      <c r="D264" s="77" t="s">
        <v>262</v>
      </c>
      <c r="E264">
        <v>80</v>
      </c>
      <c r="F264">
        <v>36.909999999999997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1:11" x14ac:dyDescent="0.35">
      <c r="A265" s="77" t="s">
        <v>14</v>
      </c>
      <c r="B265">
        <v>118</v>
      </c>
      <c r="C265">
        <v>33021</v>
      </c>
      <c r="D265" s="77" t="s">
        <v>263</v>
      </c>
      <c r="E265">
        <v>130</v>
      </c>
      <c r="F265">
        <v>64.900000000000006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1:11" x14ac:dyDescent="0.35">
      <c r="A266" s="77" t="s">
        <v>14</v>
      </c>
      <c r="B266">
        <v>118</v>
      </c>
      <c r="C266">
        <v>33991</v>
      </c>
      <c r="D266" s="77" t="s">
        <v>264</v>
      </c>
      <c r="E266">
        <v>100</v>
      </c>
      <c r="F266">
        <v>51.82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1:11" x14ac:dyDescent="0.35">
      <c r="A267" s="77" t="s">
        <v>14</v>
      </c>
      <c r="B267">
        <v>119</v>
      </c>
      <c r="C267">
        <v>34105</v>
      </c>
      <c r="D267" s="77" t="s">
        <v>265</v>
      </c>
      <c r="E267">
        <v>79.989999999999995</v>
      </c>
      <c r="F267">
        <v>54.64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1:11" x14ac:dyDescent="0.35">
      <c r="A268" s="77" t="s">
        <v>14</v>
      </c>
      <c r="B268">
        <v>119</v>
      </c>
      <c r="C268">
        <v>34003</v>
      </c>
      <c r="D268" s="77" t="s">
        <v>266</v>
      </c>
      <c r="E268">
        <v>120</v>
      </c>
      <c r="F268">
        <v>62.47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1:11" x14ac:dyDescent="0.35">
      <c r="A269" s="77" t="s">
        <v>14</v>
      </c>
      <c r="B269">
        <v>119</v>
      </c>
      <c r="C269">
        <v>34140</v>
      </c>
      <c r="D269" s="77" t="s">
        <v>267</v>
      </c>
      <c r="E269">
        <v>385</v>
      </c>
      <c r="F269">
        <v>201.52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1:11" x14ac:dyDescent="0.35">
      <c r="A270" s="77" t="s">
        <v>14</v>
      </c>
      <c r="B270">
        <v>119</v>
      </c>
      <c r="C270">
        <v>62620</v>
      </c>
      <c r="D270" s="77" t="s">
        <v>268</v>
      </c>
      <c r="E270">
        <v>65.989999999999995</v>
      </c>
      <c r="F270">
        <v>46.29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1:11" x14ac:dyDescent="0.35">
      <c r="A271" s="77" t="s">
        <v>14</v>
      </c>
      <c r="B271">
        <v>119</v>
      </c>
      <c r="C271">
        <v>60694</v>
      </c>
      <c r="D271" s="77" t="s">
        <v>269</v>
      </c>
      <c r="E271">
        <v>160</v>
      </c>
      <c r="F271">
        <v>106.8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1:11" x14ac:dyDescent="0.35">
      <c r="A272" s="77" t="s">
        <v>14</v>
      </c>
      <c r="B272">
        <v>119</v>
      </c>
      <c r="C272">
        <v>62457</v>
      </c>
      <c r="D272" s="77" t="s">
        <v>270</v>
      </c>
      <c r="E272">
        <v>100</v>
      </c>
      <c r="F272">
        <v>53.89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1:11" x14ac:dyDescent="0.35">
      <c r="A273" s="77" t="s">
        <v>14</v>
      </c>
      <c r="B273">
        <v>119</v>
      </c>
      <c r="C273">
        <v>64633</v>
      </c>
      <c r="D273" s="77" t="s">
        <v>271</v>
      </c>
      <c r="E273">
        <v>8.99</v>
      </c>
      <c r="F273">
        <v>3.8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1:11" x14ac:dyDescent="0.35">
      <c r="A274" s="77" t="s">
        <v>14</v>
      </c>
      <c r="B274">
        <v>119</v>
      </c>
      <c r="C274">
        <v>33038</v>
      </c>
      <c r="D274" s="77" t="s">
        <v>272</v>
      </c>
      <c r="E274">
        <v>35.99</v>
      </c>
      <c r="F274">
        <v>18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1:11" x14ac:dyDescent="0.35">
      <c r="A275" s="77" t="s">
        <v>14</v>
      </c>
      <c r="B275">
        <v>119</v>
      </c>
      <c r="C275">
        <v>32130</v>
      </c>
      <c r="D275" s="77" t="s">
        <v>273</v>
      </c>
      <c r="E275">
        <v>140</v>
      </c>
      <c r="F275">
        <v>92.6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1:11" x14ac:dyDescent="0.35">
      <c r="A276" s="77" t="s">
        <v>14</v>
      </c>
      <c r="B276">
        <v>119</v>
      </c>
      <c r="C276">
        <v>33037</v>
      </c>
      <c r="D276" s="77" t="s">
        <v>274</v>
      </c>
      <c r="E276">
        <v>59.99</v>
      </c>
      <c r="F276">
        <v>23.44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1:11" x14ac:dyDescent="0.35">
      <c r="A277" s="77" t="s">
        <v>14</v>
      </c>
      <c r="B277">
        <v>119</v>
      </c>
      <c r="C277">
        <v>63798</v>
      </c>
      <c r="D277" s="77" t="s">
        <v>275</v>
      </c>
      <c r="E277">
        <v>79.989999999999995</v>
      </c>
      <c r="F277">
        <v>42.68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1:11" x14ac:dyDescent="0.35">
      <c r="A278" s="77" t="s">
        <v>14</v>
      </c>
      <c r="B278">
        <v>119</v>
      </c>
      <c r="C278">
        <v>64635</v>
      </c>
      <c r="D278" s="77" t="s">
        <v>276</v>
      </c>
      <c r="E278">
        <v>160</v>
      </c>
      <c r="F278">
        <v>72.88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1:11" x14ac:dyDescent="0.35">
      <c r="A279" s="77" t="s">
        <v>14</v>
      </c>
      <c r="B279">
        <v>119</v>
      </c>
      <c r="C279">
        <v>33017</v>
      </c>
      <c r="D279" s="77" t="s">
        <v>277</v>
      </c>
      <c r="E279">
        <v>69.989999999999995</v>
      </c>
      <c r="F279">
        <v>32.450000000000003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1:11" x14ac:dyDescent="0.35">
      <c r="A280" s="77" t="s">
        <v>14</v>
      </c>
      <c r="B280">
        <v>119</v>
      </c>
      <c r="C280">
        <v>64632</v>
      </c>
      <c r="D280" s="77" t="s">
        <v>278</v>
      </c>
      <c r="E280">
        <v>140</v>
      </c>
      <c r="F280">
        <v>62.14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1:11" x14ac:dyDescent="0.35">
      <c r="A281" s="77" t="s">
        <v>14</v>
      </c>
      <c r="B281">
        <v>119</v>
      </c>
      <c r="C281">
        <v>65238</v>
      </c>
      <c r="D281" s="77" t="s">
        <v>279</v>
      </c>
      <c r="E281">
        <v>120</v>
      </c>
      <c r="F281">
        <v>82.1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1:11" x14ac:dyDescent="0.35">
      <c r="A282" s="77" t="s">
        <v>14</v>
      </c>
      <c r="B282">
        <v>119</v>
      </c>
      <c r="C282">
        <v>65239</v>
      </c>
      <c r="D282" s="77" t="s">
        <v>280</v>
      </c>
      <c r="E282">
        <v>70</v>
      </c>
      <c r="F282">
        <v>48.14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1:11" x14ac:dyDescent="0.35">
      <c r="A283" s="77" t="s">
        <v>14</v>
      </c>
      <c r="B283">
        <v>120</v>
      </c>
      <c r="C283">
        <v>62585</v>
      </c>
      <c r="D283" s="77" t="s">
        <v>281</v>
      </c>
      <c r="E283">
        <v>55</v>
      </c>
      <c r="F283">
        <v>33.18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1:11" x14ac:dyDescent="0.35">
      <c r="A284" s="77" t="s">
        <v>14</v>
      </c>
      <c r="B284">
        <v>120</v>
      </c>
      <c r="C284">
        <v>62629</v>
      </c>
      <c r="D284" s="77" t="s">
        <v>282</v>
      </c>
      <c r="E284">
        <v>60</v>
      </c>
      <c r="F284">
        <v>33.18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1:11" x14ac:dyDescent="0.35">
      <c r="A285" s="77" t="s">
        <v>14</v>
      </c>
      <c r="B285">
        <v>120</v>
      </c>
      <c r="C285">
        <v>34124</v>
      </c>
      <c r="D285" s="77" t="s">
        <v>283</v>
      </c>
      <c r="E285">
        <v>29.99</v>
      </c>
      <c r="F285">
        <v>12.33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1:11" x14ac:dyDescent="0.35">
      <c r="A286" s="77" t="s">
        <v>14</v>
      </c>
      <c r="B286">
        <v>120</v>
      </c>
      <c r="C286">
        <v>64763</v>
      </c>
      <c r="D286" s="77" t="s">
        <v>284</v>
      </c>
      <c r="E286">
        <v>38</v>
      </c>
      <c r="F286">
        <v>18.920000000000002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1:11" x14ac:dyDescent="0.35">
      <c r="A287" s="77" t="s">
        <v>14</v>
      </c>
      <c r="B287">
        <v>120</v>
      </c>
      <c r="C287">
        <v>64762</v>
      </c>
      <c r="D287" s="77" t="s">
        <v>285</v>
      </c>
      <c r="E287">
        <v>69.989999999999995</v>
      </c>
      <c r="F287">
        <v>37.380000000000003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1:11" x14ac:dyDescent="0.35">
      <c r="A288" s="77" t="s">
        <v>14</v>
      </c>
      <c r="B288">
        <v>120</v>
      </c>
      <c r="C288">
        <v>64761</v>
      </c>
      <c r="D288" s="77" t="s">
        <v>286</v>
      </c>
      <c r="E288">
        <v>69.989999999999995</v>
      </c>
      <c r="F288">
        <v>42.18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1:11" x14ac:dyDescent="0.35">
      <c r="A289" s="77" t="s">
        <v>19</v>
      </c>
      <c r="B289">
        <v>1138</v>
      </c>
      <c r="C289">
        <v>57870</v>
      </c>
      <c r="D289" s="77" t="s">
        <v>287</v>
      </c>
      <c r="E289">
        <v>0</v>
      </c>
      <c r="F289">
        <v>120.14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1:11" x14ac:dyDescent="0.35">
      <c r="A290" s="77" t="s">
        <v>107</v>
      </c>
      <c r="B290">
        <v>1821</v>
      </c>
      <c r="C290">
        <v>33999</v>
      </c>
      <c r="D290" s="77" t="s">
        <v>288</v>
      </c>
      <c r="E290">
        <v>19.989999999999998</v>
      </c>
      <c r="F290">
        <v>17.149999999999999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1:11" x14ac:dyDescent="0.35">
      <c r="A291" s="77" t="s">
        <v>107</v>
      </c>
      <c r="B291">
        <v>1821</v>
      </c>
      <c r="C291">
        <v>40827</v>
      </c>
      <c r="D291" s="77" t="s">
        <v>289</v>
      </c>
      <c r="E291">
        <v>29.99</v>
      </c>
      <c r="F291">
        <v>29.25</v>
      </c>
      <c r="G291">
        <v>0</v>
      </c>
      <c r="H291">
        <v>0</v>
      </c>
      <c r="I291">
        <v>0</v>
      </c>
      <c r="J291">
        <v>0</v>
      </c>
      <c r="K291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5"/>
  <sheetViews>
    <sheetView topLeftCell="B1" workbookViewId="0">
      <pane ySplit="3" topLeftCell="A280" activePane="bottomLeft" state="frozen"/>
      <selection pane="bottomLeft" activeCell="A3" sqref="A3:K293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4" customWidth="1"/>
    <col min="7" max="7" width="8.19921875" style="10" customWidth="1"/>
    <col min="8" max="8" width="9.3984375" style="14" bestFit="1" customWidth="1"/>
    <col min="9" max="9" width="8.8984375" style="14" bestFit="1" customWidth="1"/>
    <col min="10" max="10" width="9.3984375" style="14" bestFit="1" customWidth="1"/>
    <col min="11" max="12" width="8.19921875" style="14" customWidth="1"/>
    <col min="13" max="15" width="12.69921875" style="14" hidden="1" customWidth="1"/>
    <col min="16" max="16" width="12.69921875" style="10" hidden="1" customWidth="1"/>
    <col min="17" max="20" width="12.69921875" style="14" hidden="1" customWidth="1"/>
    <col min="21" max="21" width="12.69921875" style="18" hidden="1" customWidth="1"/>
    <col min="22" max="22" width="0" style="72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72" t="s">
        <v>314</v>
      </c>
      <c r="W1" s="1" t="s">
        <v>315</v>
      </c>
      <c r="X1" s="1" t="s">
        <v>316</v>
      </c>
      <c r="Y1" s="1" t="s">
        <v>315</v>
      </c>
    </row>
    <row r="2" spans="1:25" ht="16.5" customHeight="1" x14ac:dyDescent="0.35">
      <c r="V2" s="72" t="s">
        <v>317</v>
      </c>
      <c r="W2" s="1" t="s">
        <v>315</v>
      </c>
      <c r="X2" s="1" t="s">
        <v>318</v>
      </c>
      <c r="Y2" s="1" t="s">
        <v>315</v>
      </c>
    </row>
    <row r="3" spans="1:25" ht="46.5" customHeight="1" x14ac:dyDescent="0.35">
      <c r="A3" s="2" t="s">
        <v>0</v>
      </c>
      <c r="B3" s="2" t="s">
        <v>291</v>
      </c>
      <c r="C3" s="2" t="s">
        <v>1</v>
      </c>
      <c r="D3" s="2" t="s">
        <v>2</v>
      </c>
      <c r="E3" s="2" t="s">
        <v>3</v>
      </c>
      <c r="F3" s="11" t="s">
        <v>4</v>
      </c>
      <c r="G3" s="19" t="s">
        <v>292</v>
      </c>
      <c r="H3" s="20" t="s">
        <v>293</v>
      </c>
      <c r="I3" s="20" t="s">
        <v>294</v>
      </c>
      <c r="J3" s="20" t="s">
        <v>295</v>
      </c>
      <c r="K3" s="20" t="s">
        <v>296</v>
      </c>
      <c r="L3" s="11"/>
      <c r="M3" s="11" t="s">
        <v>5</v>
      </c>
      <c r="N3" s="11" t="s">
        <v>6</v>
      </c>
      <c r="O3" s="11" t="s">
        <v>7</v>
      </c>
      <c r="P3" s="8" t="s">
        <v>8</v>
      </c>
      <c r="Q3" s="11" t="s">
        <v>9</v>
      </c>
      <c r="R3" s="11" t="s">
        <v>10</v>
      </c>
      <c r="S3" s="11" t="s">
        <v>11</v>
      </c>
      <c r="T3" s="11" t="s">
        <v>12</v>
      </c>
      <c r="U3" s="15" t="s">
        <v>13</v>
      </c>
      <c r="V3" s="72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59381</v>
      </c>
      <c r="D4" s="3" t="s">
        <v>15</v>
      </c>
      <c r="E4" s="6">
        <v>13.99</v>
      </c>
      <c r="F4" s="21">
        <v>7.36</v>
      </c>
      <c r="G4" s="22">
        <v>780</v>
      </c>
      <c r="H4" s="24">
        <f t="shared" ref="H4:H67" si="0">E4*G4</f>
        <v>10912.2</v>
      </c>
      <c r="I4" s="24">
        <f t="shared" ref="I4:I67" si="1">F4*G4</f>
        <v>5740.8</v>
      </c>
      <c r="J4" s="24">
        <f t="shared" ref="J4:J67" si="2">H4-I4</f>
        <v>5171.4000000000005</v>
      </c>
      <c r="K4" s="25">
        <f t="shared" ref="K4:K21" si="3">J4/H4*100</f>
        <v>47.390993566833458</v>
      </c>
      <c r="L4" s="21"/>
      <c r="M4" s="12">
        <v>454440.52</v>
      </c>
      <c r="N4" s="12">
        <v>395165.66956521739</v>
      </c>
      <c r="O4" s="12">
        <v>239885.73999999996</v>
      </c>
      <c r="P4" s="9">
        <v>35200</v>
      </c>
      <c r="Q4" s="12">
        <v>155279.92956521743</v>
      </c>
      <c r="R4" s="12">
        <v>12.910242045454545</v>
      </c>
      <c r="S4" s="12">
        <v>11.226297430830039</v>
      </c>
      <c r="T4" s="12">
        <v>6.8149357954545442</v>
      </c>
      <c r="U4" s="16">
        <v>39.294893641966624</v>
      </c>
      <c r="V4" s="72">
        <f>LOOKUP($C4,Actuals!$C$4:$C$79,Actuals!G$4:G$79)</f>
        <v>1216.5217391304348</v>
      </c>
      <c r="W4" s="72">
        <f>LOOKUP($C4,Actuals!$C$4:$C$79,Actuals!H$4:H$79)</f>
        <v>100</v>
      </c>
      <c r="X4" s="72">
        <f>LOOKUP($C4,Actuals!$C$4:$C$79,Actuals!I$4:I$79)</f>
        <v>1094.8695652173913</v>
      </c>
      <c r="Y4" s="72">
        <f>LOOKUP($C4,Actuals!$C$4:$C$79,Actuals!J$4:J$79)</f>
        <v>90</v>
      </c>
    </row>
    <row r="5" spans="1:25" ht="16.5" customHeight="1" x14ac:dyDescent="0.35">
      <c r="A5" s="3" t="s">
        <v>14</v>
      </c>
      <c r="B5" s="4">
        <v>101</v>
      </c>
      <c r="C5" s="5">
        <v>59425</v>
      </c>
      <c r="D5" s="3" t="s">
        <v>17</v>
      </c>
      <c r="E5" s="6">
        <v>10.99</v>
      </c>
      <c r="F5" s="21">
        <v>6.3</v>
      </c>
      <c r="G5" s="22">
        <v>240</v>
      </c>
      <c r="H5" s="24">
        <f t="shared" si="0"/>
        <v>2637.6</v>
      </c>
      <c r="I5" s="24">
        <f t="shared" si="1"/>
        <v>1512</v>
      </c>
      <c r="J5" s="24">
        <f t="shared" si="2"/>
        <v>1125.5999999999999</v>
      </c>
      <c r="K5" s="25">
        <f t="shared" si="3"/>
        <v>42.675159235668787</v>
      </c>
      <c r="L5" s="21"/>
      <c r="M5" s="12">
        <v>171710</v>
      </c>
      <c r="N5" s="12">
        <v>149313.04347826089</v>
      </c>
      <c r="O5" s="12">
        <v>106275.53999999998</v>
      </c>
      <c r="P5" s="9">
        <v>3203</v>
      </c>
      <c r="Q5" s="12">
        <v>43037.503478260885</v>
      </c>
      <c r="R5" s="12">
        <v>53.609116453325008</v>
      </c>
      <c r="S5" s="12">
        <v>46.616623002891316</v>
      </c>
      <c r="T5" s="12">
        <v>33.179999999999993</v>
      </c>
      <c r="U5" s="16">
        <v>28.823673053404008</v>
      </c>
      <c r="V5" s="72">
        <f>LOOKUP($C5,Actuals!$C$4:$C$79,Actuals!G$4:G$79)</f>
        <v>659.4</v>
      </c>
      <c r="W5" s="72">
        <f>LOOKUP($C5,Actuals!$C$4:$C$79,Actuals!H$4:H$79)</f>
        <v>60</v>
      </c>
      <c r="X5" s="72">
        <f>LOOKUP($C5,Actuals!$C$4:$C$79,Actuals!I$4:I$79)</f>
        <v>0</v>
      </c>
      <c r="Y5" s="72">
        <f>LOOKUP($C5,Actuals!$C$4:$C$79,Actuals!J$4:J$79)</f>
        <v>0</v>
      </c>
    </row>
    <row r="6" spans="1:25" ht="16.5" customHeight="1" x14ac:dyDescent="0.35">
      <c r="A6" s="3" t="s">
        <v>14</v>
      </c>
      <c r="B6" s="4">
        <v>101</v>
      </c>
      <c r="C6" s="5">
        <v>34690</v>
      </c>
      <c r="D6" s="3" t="s">
        <v>18</v>
      </c>
      <c r="E6" s="6">
        <v>16.989999999999998</v>
      </c>
      <c r="F6" s="21">
        <v>7.7</v>
      </c>
      <c r="G6" s="22">
        <v>184</v>
      </c>
      <c r="H6" s="24">
        <f t="shared" si="0"/>
        <v>3126.16</v>
      </c>
      <c r="I6" s="24">
        <f t="shared" si="1"/>
        <v>1416.8</v>
      </c>
      <c r="J6" s="24">
        <f t="shared" si="2"/>
        <v>1709.36</v>
      </c>
      <c r="K6" s="25">
        <f t="shared" si="3"/>
        <v>54.679223072395523</v>
      </c>
      <c r="L6" s="21"/>
      <c r="M6" s="12">
        <v>134364.05999999997</v>
      </c>
      <c r="N6" s="12">
        <v>116838.31304347824</v>
      </c>
      <c r="O6" s="12">
        <v>71250.900000000009</v>
      </c>
      <c r="P6" s="9">
        <v>6419</v>
      </c>
      <c r="Q6" s="12">
        <v>45587.413043478227</v>
      </c>
      <c r="R6" s="12">
        <v>20.932241782209061</v>
      </c>
      <c r="S6" s="12">
        <v>18.201949375833966</v>
      </c>
      <c r="T6" s="12">
        <v>11.100000000000001</v>
      </c>
      <c r="U6" s="16">
        <v>39.017520756666606</v>
      </c>
      <c r="V6" s="72">
        <f>LOOKUP($C6,Actuals!$C$4:$C$79,Actuals!G$4:G$79)</f>
        <v>457.99130434782614</v>
      </c>
      <c r="W6" s="72">
        <f>LOOKUP($C6,Actuals!$C$4:$C$79,Actuals!H$4:H$79)</f>
        <v>31</v>
      </c>
      <c r="X6" s="72">
        <f>LOOKUP($C6,Actuals!$C$4:$C$79,Actuals!I$4:I$79)</f>
        <v>398.89565217391305</v>
      </c>
      <c r="Y6" s="72">
        <f>LOOKUP($C6,Actuals!$C$4:$C$79,Actuals!J$4:J$79)</f>
        <v>27</v>
      </c>
    </row>
    <row r="7" spans="1:25" ht="16.5" customHeight="1" x14ac:dyDescent="0.35">
      <c r="A7" s="3" t="s">
        <v>19</v>
      </c>
      <c r="B7" s="4">
        <v>101</v>
      </c>
      <c r="C7" s="5">
        <v>34141</v>
      </c>
      <c r="D7" s="3" t="s">
        <v>24</v>
      </c>
      <c r="E7" s="6">
        <v>5</v>
      </c>
      <c r="F7" s="21">
        <v>3.3388749999999998</v>
      </c>
      <c r="G7" s="22">
        <v>144</v>
      </c>
      <c r="H7" s="24">
        <f t="shared" si="0"/>
        <v>720</v>
      </c>
      <c r="I7" s="24">
        <f t="shared" si="1"/>
        <v>480.798</v>
      </c>
      <c r="J7" s="24">
        <f t="shared" si="2"/>
        <v>239.202</v>
      </c>
      <c r="K7" s="25">
        <f t="shared" si="3"/>
        <v>33.222499999999997</v>
      </c>
      <c r="L7" s="21"/>
      <c r="M7" s="12">
        <v>106203.17000000001</v>
      </c>
      <c r="N7" s="12">
        <v>106203.17000000001</v>
      </c>
      <c r="O7" s="12">
        <v>62059.759999999987</v>
      </c>
      <c r="P7" s="9">
        <v>9844</v>
      </c>
      <c r="Q7" s="12">
        <v>44143.41000000004</v>
      </c>
      <c r="R7" s="12">
        <v>10.788619463632671</v>
      </c>
      <c r="S7" s="12">
        <v>10.788619463632671</v>
      </c>
      <c r="T7" s="12">
        <v>6.3043234457537576</v>
      </c>
      <c r="U7" s="16">
        <v>41.565058745421659</v>
      </c>
      <c r="V7" s="72">
        <f>LOOKUP($C7,Actuals!$C$4:$C$79,Actuals!G$4:G$79)</f>
        <v>229.56521739130434</v>
      </c>
      <c r="W7" s="72">
        <f>LOOKUP($C7,Actuals!$C$4:$C$79,Actuals!H$4:H$79)</f>
        <v>80</v>
      </c>
      <c r="X7" s="72">
        <f>LOOKUP($C7,Actuals!$C$4:$C$79,Actuals!I$4:I$79)</f>
        <v>0</v>
      </c>
      <c r="Y7" s="72">
        <f>LOOKUP($C7,Actuals!$C$4:$C$79,Actuals!J$4:J$79)</f>
        <v>0</v>
      </c>
    </row>
    <row r="8" spans="1:25" ht="16.5" customHeight="1" x14ac:dyDescent="0.35">
      <c r="A8" s="3" t="s">
        <v>19</v>
      </c>
      <c r="B8" s="4">
        <v>101</v>
      </c>
      <c r="C8" s="5">
        <v>32859</v>
      </c>
      <c r="D8" s="3" t="s">
        <v>20</v>
      </c>
      <c r="E8" s="6">
        <v>20.99</v>
      </c>
      <c r="F8" s="21">
        <v>11.1</v>
      </c>
      <c r="G8" s="22">
        <v>104.666666666667</v>
      </c>
      <c r="H8" s="24">
        <f t="shared" si="0"/>
        <v>2196.9533333333402</v>
      </c>
      <c r="I8" s="24">
        <f t="shared" si="1"/>
        <v>1161.8000000000036</v>
      </c>
      <c r="J8" s="24">
        <f t="shared" si="2"/>
        <v>1035.1533333333366</v>
      </c>
      <c r="K8" s="25">
        <f t="shared" si="3"/>
        <v>47.117675083373037</v>
      </c>
      <c r="L8" s="21"/>
      <c r="M8" s="12">
        <v>119705.7</v>
      </c>
      <c r="N8" s="12">
        <v>104091.91304347827</v>
      </c>
      <c r="O8" s="12">
        <v>0</v>
      </c>
      <c r="P8" s="9">
        <v>7213</v>
      </c>
      <c r="Q8" s="12">
        <v>104091.91304347826</v>
      </c>
      <c r="R8" s="12">
        <v>16.595826979065574</v>
      </c>
      <c r="S8" s="12">
        <v>14.431153894839634</v>
      </c>
      <c r="T8" s="12">
        <v>0</v>
      </c>
      <c r="U8" s="16">
        <v>100</v>
      </c>
      <c r="V8" s="72">
        <f>LOOKUP($C8,Actuals!$C$4:$C$79,Actuals!G$4:G$79)</f>
        <v>146.01739130434785</v>
      </c>
      <c r="W8" s="72">
        <f>LOOKUP($C8,Actuals!$C$4:$C$79,Actuals!H$4:H$79)</f>
        <v>8</v>
      </c>
      <c r="X8" s="72">
        <f>LOOKUP($C8,Actuals!$C$4:$C$79,Actuals!I$4:I$79)</f>
        <v>200.77391304347827</v>
      </c>
      <c r="Y8" s="72">
        <f>LOOKUP($C8,Actuals!$C$4:$C$79,Actuals!J$4:J$79)</f>
        <v>11</v>
      </c>
    </row>
    <row r="9" spans="1:25" ht="16.5" customHeight="1" x14ac:dyDescent="0.35">
      <c r="A9" s="3" t="s">
        <v>14</v>
      </c>
      <c r="B9" s="4">
        <v>101</v>
      </c>
      <c r="C9" s="5">
        <v>34070</v>
      </c>
      <c r="D9" s="3" t="s">
        <v>26</v>
      </c>
      <c r="E9" s="6">
        <v>12.99</v>
      </c>
      <c r="F9" s="21">
        <v>6.81</v>
      </c>
      <c r="G9" s="22">
        <v>86</v>
      </c>
      <c r="H9" s="24">
        <f t="shared" si="0"/>
        <v>1117.1400000000001</v>
      </c>
      <c r="I9" s="24">
        <f t="shared" si="1"/>
        <v>585.66</v>
      </c>
      <c r="J9" s="24">
        <f t="shared" si="2"/>
        <v>531.48000000000013</v>
      </c>
      <c r="K9" s="25">
        <f t="shared" si="3"/>
        <v>47.575057736720559</v>
      </c>
      <c r="L9" s="21"/>
      <c r="M9" s="12">
        <v>95456.190000000017</v>
      </c>
      <c r="N9" s="12">
        <v>83005.382608695669</v>
      </c>
      <c r="O9" s="12">
        <v>45238.604040000006</v>
      </c>
      <c r="P9" s="9">
        <v>2985.3040000000001</v>
      </c>
      <c r="Q9" s="12">
        <v>37766.778568695663</v>
      </c>
      <c r="R9" s="12">
        <v>31.975366662825632</v>
      </c>
      <c r="S9" s="12">
        <v>27.804666663326639</v>
      </c>
      <c r="T9" s="12">
        <v>15.153767937871656</v>
      </c>
      <c r="U9" s="16">
        <v>45.499192199060118</v>
      </c>
      <c r="V9" s="72">
        <f>LOOKUP($C9,Actuals!$C$4:$C$79,Actuals!G$4:G$79)</f>
        <v>169.43478260869566</v>
      </c>
      <c r="W9" s="72">
        <f>LOOKUP($C9,Actuals!$C$4:$C$79,Actuals!H$4:H$79)</f>
        <v>15</v>
      </c>
      <c r="X9" s="72">
        <f>LOOKUP($C9,Actuals!$C$4:$C$79,Actuals!I$4:I$79)</f>
        <v>101.66086956521738</v>
      </c>
      <c r="Y9" s="72">
        <f>LOOKUP($C9,Actuals!$C$4:$C$79,Actuals!J$4:J$79)</f>
        <v>9</v>
      </c>
    </row>
    <row r="10" spans="1:25" ht="16.5" customHeight="1" x14ac:dyDescent="0.35">
      <c r="A10" s="3" t="s">
        <v>14</v>
      </c>
      <c r="B10" s="4">
        <v>101</v>
      </c>
      <c r="C10" s="5">
        <v>34041</v>
      </c>
      <c r="D10" s="3" t="s">
        <v>43</v>
      </c>
      <c r="E10" s="6">
        <v>6.99</v>
      </c>
      <c r="F10" s="21">
        <v>3.15</v>
      </c>
      <c r="G10" s="22">
        <v>70</v>
      </c>
      <c r="H10" s="24">
        <f t="shared" si="0"/>
        <v>489.3</v>
      </c>
      <c r="I10" s="24">
        <f t="shared" si="1"/>
        <v>220.5</v>
      </c>
      <c r="J10" s="24">
        <f t="shared" si="2"/>
        <v>268.8</v>
      </c>
      <c r="K10" s="25">
        <f t="shared" si="3"/>
        <v>54.935622317596568</v>
      </c>
      <c r="L10" s="21"/>
      <c r="M10" s="12">
        <v>95243.62999999999</v>
      </c>
      <c r="N10" s="12">
        <v>82820.547826086928</v>
      </c>
      <c r="O10" s="12">
        <v>50604.899999999994</v>
      </c>
      <c r="P10" s="9">
        <v>4559</v>
      </c>
      <c r="Q10" s="12">
        <v>32215.647826086948</v>
      </c>
      <c r="R10" s="12">
        <v>20.891342399649044</v>
      </c>
      <c r="S10" s="12">
        <v>18.166384695346991</v>
      </c>
      <c r="T10" s="12">
        <v>11.099999999999998</v>
      </c>
      <c r="U10" s="16">
        <v>38.898134184931834</v>
      </c>
      <c r="V10" s="72">
        <f>LOOKUP($C10,Actuals!$C$4:$C$79,Actuals!G$4:G$79)</f>
        <v>66.860869565217399</v>
      </c>
      <c r="W10" s="72">
        <f>LOOKUP($C10,Actuals!$C$4:$C$79,Actuals!H$4:H$79)</f>
        <v>11</v>
      </c>
      <c r="X10" s="72">
        <f>LOOKUP($C10,Actuals!$C$4:$C$79,Actuals!I$4:I$79)</f>
        <v>42.547826086956519</v>
      </c>
      <c r="Y10" s="72">
        <f>LOOKUP($C10,Actuals!$C$4:$C$79,Actuals!J$4:J$79)</f>
        <v>7</v>
      </c>
    </row>
    <row r="11" spans="1:25" ht="16.5" customHeight="1" x14ac:dyDescent="0.35">
      <c r="A11" s="3" t="s">
        <v>19</v>
      </c>
      <c r="B11" s="4">
        <v>101</v>
      </c>
      <c r="C11" s="5">
        <v>50037</v>
      </c>
      <c r="D11" s="3" t="s">
        <v>22</v>
      </c>
      <c r="E11" s="6">
        <v>25.99</v>
      </c>
      <c r="F11" s="21">
        <v>13.4</v>
      </c>
      <c r="G11" s="22">
        <v>65</v>
      </c>
      <c r="H11" s="24">
        <f t="shared" si="0"/>
        <v>1689.35</v>
      </c>
      <c r="I11" s="24">
        <f t="shared" si="1"/>
        <v>871</v>
      </c>
      <c r="J11" s="24">
        <f t="shared" si="2"/>
        <v>818.34999999999991</v>
      </c>
      <c r="K11" s="25">
        <f t="shared" si="3"/>
        <v>48.441708349365136</v>
      </c>
      <c r="L11" s="21"/>
      <c r="M11" s="12">
        <v>95243.62999999999</v>
      </c>
      <c r="N11" s="12">
        <v>82820.547826086928</v>
      </c>
      <c r="O11" s="12">
        <v>50604.899999999994</v>
      </c>
      <c r="P11" s="9">
        <v>4559</v>
      </c>
      <c r="Q11" s="12">
        <v>32215.647826086948</v>
      </c>
      <c r="R11" s="12">
        <v>20.891342399649044</v>
      </c>
      <c r="S11" s="12">
        <v>18.166384695346991</v>
      </c>
      <c r="T11" s="12">
        <v>11.099999999999998</v>
      </c>
      <c r="U11" s="16">
        <v>38.898134184931834</v>
      </c>
      <c r="V11" s="72">
        <f>LOOKUP($C11,Actuals!$C$4:$C$79,Actuals!G$4:G$79)</f>
        <v>158.20000000000002</v>
      </c>
      <c r="W11" s="72">
        <f>LOOKUP($C11,Actuals!$C$4:$C$79,Actuals!H$4:H$79)</f>
        <v>7</v>
      </c>
      <c r="X11" s="72">
        <f>LOOKUP($C11,Actuals!$C$4:$C$79,Actuals!I$4:I$79)</f>
        <v>158.20000000000002</v>
      </c>
      <c r="Y11" s="72">
        <f>LOOKUP($C11,Actuals!$C$4:$C$79,Actuals!J$4:J$79)</f>
        <v>7</v>
      </c>
    </row>
    <row r="12" spans="1:25" ht="16.5" customHeight="1" x14ac:dyDescent="0.35">
      <c r="A12" s="3" t="s">
        <v>14</v>
      </c>
      <c r="B12" s="4">
        <v>101</v>
      </c>
      <c r="C12" s="5">
        <v>34046</v>
      </c>
      <c r="D12" s="3" t="s">
        <v>37</v>
      </c>
      <c r="E12" s="6">
        <v>19.989999999999998</v>
      </c>
      <c r="F12" s="21">
        <v>12.2</v>
      </c>
      <c r="G12" s="22">
        <v>50</v>
      </c>
      <c r="H12" s="24">
        <f t="shared" si="0"/>
        <v>999.49999999999989</v>
      </c>
      <c r="I12" s="24">
        <f t="shared" si="1"/>
        <v>610</v>
      </c>
      <c r="J12" s="24">
        <f t="shared" si="2"/>
        <v>389.49999999999989</v>
      </c>
      <c r="K12" s="25">
        <f t="shared" si="3"/>
        <v>38.969484742371179</v>
      </c>
      <c r="L12" s="21"/>
      <c r="M12" s="12">
        <v>76247.279999999984</v>
      </c>
      <c r="N12" s="12">
        <v>66301.982608695631</v>
      </c>
      <c r="O12" s="12">
        <v>23023.7</v>
      </c>
      <c r="P12" s="9">
        <v>2122</v>
      </c>
      <c r="Q12" s="12">
        <v>43278.282608695648</v>
      </c>
      <c r="R12" s="12">
        <v>35.931800188501406</v>
      </c>
      <c r="S12" s="12">
        <v>31.245043642175133</v>
      </c>
      <c r="T12" s="12">
        <v>10.85</v>
      </c>
      <c r="U12" s="16">
        <v>65.274492414680239</v>
      </c>
      <c r="V12" s="72">
        <f>LOOKUP($C12,Actuals!$C$4:$C$79,Actuals!G$4:G$79)</f>
        <v>86.913043478260875</v>
      </c>
      <c r="W12" s="72">
        <f>LOOKUP($C12,Actuals!$C$4:$C$79,Actuals!H$4:H$79)</f>
        <v>5</v>
      </c>
      <c r="X12" s="72">
        <f>LOOKUP($C12,Actuals!$C$4:$C$79,Actuals!I$4:I$79)</f>
        <v>69.530434782608694</v>
      </c>
      <c r="Y12" s="72">
        <f>LOOKUP($C12,Actuals!$C$4:$C$79,Actuals!J$4:J$79)</f>
        <v>4</v>
      </c>
    </row>
    <row r="13" spans="1:25" ht="16.5" customHeight="1" x14ac:dyDescent="0.35">
      <c r="A13" s="3" t="s">
        <v>14</v>
      </c>
      <c r="B13" s="4">
        <v>101</v>
      </c>
      <c r="C13" s="5">
        <v>34042</v>
      </c>
      <c r="D13" s="3" t="s">
        <v>31</v>
      </c>
      <c r="E13" s="6">
        <v>9.5</v>
      </c>
      <c r="F13" s="21">
        <v>4.1500000000000004</v>
      </c>
      <c r="G13" s="22">
        <v>48</v>
      </c>
      <c r="H13" s="24">
        <f t="shared" si="0"/>
        <v>456</v>
      </c>
      <c r="I13" s="24">
        <f t="shared" si="1"/>
        <v>199.20000000000002</v>
      </c>
      <c r="J13" s="24">
        <f t="shared" si="2"/>
        <v>256.79999999999995</v>
      </c>
      <c r="K13" s="25">
        <f t="shared" si="3"/>
        <v>56.315789473684198</v>
      </c>
      <c r="L13" s="21"/>
      <c r="M13" s="12">
        <v>76174.740000000005</v>
      </c>
      <c r="N13" s="12">
        <v>66238.904347826101</v>
      </c>
      <c r="O13" s="12">
        <v>39192.959999999999</v>
      </c>
      <c r="P13" s="9">
        <v>4768</v>
      </c>
      <c r="Q13" s="12">
        <v>27045.944347826087</v>
      </c>
      <c r="R13" s="12">
        <v>15.976245805369128</v>
      </c>
      <c r="S13" s="12">
        <v>13.892387656842722</v>
      </c>
      <c r="T13" s="12">
        <v>8.2200000000000006</v>
      </c>
      <c r="U13" s="16">
        <v>40.830905363116436</v>
      </c>
      <c r="V13" s="72">
        <f>IFERROR(LOOKUP($C13,Actuals!$C$4:$C$79,Actuals!G$4:G$79),0)</f>
        <v>49.565217391304344</v>
      </c>
      <c r="W13" s="72">
        <f>IFERROR(LOOKUP($C13,Actuals!$C$4:$C$79,Actuals!H$4:H$79),0)</f>
        <v>6</v>
      </c>
      <c r="X13" s="72">
        <f>IFERROR(LOOKUP($C13,Actuals!$C$4:$C$79,Actuals!I$4:I$79),0)</f>
        <v>90.869565217391312</v>
      </c>
      <c r="Y13" s="72">
        <f>IFERROR(LOOKUP($C13,Actuals!$C$4:$C$79,Actuals!J$4:J$79),0)</f>
        <v>11</v>
      </c>
    </row>
    <row r="14" spans="1:25" ht="16.5" customHeight="1" x14ac:dyDescent="0.35">
      <c r="A14" s="3" t="s">
        <v>14</v>
      </c>
      <c r="B14" s="4">
        <v>101</v>
      </c>
      <c r="C14" s="5">
        <v>34091</v>
      </c>
      <c r="D14" s="3" t="s">
        <v>28</v>
      </c>
      <c r="E14" s="6">
        <v>19.989999999999998</v>
      </c>
      <c r="F14" s="21">
        <v>12.24</v>
      </c>
      <c r="G14" s="22">
        <v>40</v>
      </c>
      <c r="H14" s="24">
        <f t="shared" si="0"/>
        <v>799.59999999999991</v>
      </c>
      <c r="I14" s="24">
        <f t="shared" si="1"/>
        <v>489.6</v>
      </c>
      <c r="J14" s="24">
        <f t="shared" si="2"/>
        <v>309.99999999999989</v>
      </c>
      <c r="K14" s="25">
        <f t="shared" si="3"/>
        <v>38.769384692346165</v>
      </c>
      <c r="L14" s="21"/>
      <c r="M14" s="12">
        <v>74663.489999999991</v>
      </c>
      <c r="N14" s="12">
        <v>64924.773913043493</v>
      </c>
      <c r="O14" s="12">
        <v>37510.619999999995</v>
      </c>
      <c r="P14" s="9">
        <v>6231</v>
      </c>
      <c r="Q14" s="12">
        <v>27414.153913043483</v>
      </c>
      <c r="R14" s="12">
        <v>11.982585459797784</v>
      </c>
      <c r="S14" s="12">
        <v>10.419639530258946</v>
      </c>
      <c r="T14" s="12">
        <v>6.02</v>
      </c>
      <c r="U14" s="16">
        <v>42.224488836511668</v>
      </c>
      <c r="V14" s="72">
        <f>IFERROR(LOOKUP($C14,Actuals!$C$4:$C$79,Actuals!G$4:G$79),0)</f>
        <v>86.913043478260875</v>
      </c>
      <c r="W14" s="72">
        <f>IFERROR(LOOKUP($C14,Actuals!$C$4:$C$79,Actuals!H$4:H$79),0)</f>
        <v>5</v>
      </c>
      <c r="X14" s="72">
        <f>IFERROR(LOOKUP($C14,Actuals!$C$4:$C$79,Actuals!I$4:I$79),0)</f>
        <v>86.913043478260875</v>
      </c>
      <c r="Y14" s="72">
        <f>IFERROR(LOOKUP($C14,Actuals!$C$4:$C$79,Actuals!J$4:J$79),0)</f>
        <v>5</v>
      </c>
    </row>
    <row r="15" spans="1:25" ht="16.5" customHeight="1" x14ac:dyDescent="0.35">
      <c r="A15" s="3" t="s">
        <v>14</v>
      </c>
      <c r="B15" s="4">
        <v>101</v>
      </c>
      <c r="C15" s="5">
        <v>57073</v>
      </c>
      <c r="D15" s="3" t="s">
        <v>21</v>
      </c>
      <c r="E15" s="6">
        <v>36.99</v>
      </c>
      <c r="F15" s="21">
        <v>16.05</v>
      </c>
      <c r="G15" s="22">
        <v>36</v>
      </c>
      <c r="H15" s="24">
        <f t="shared" si="0"/>
        <v>1331.64</v>
      </c>
      <c r="I15" s="24">
        <f t="shared" si="1"/>
        <v>577.80000000000007</v>
      </c>
      <c r="J15" s="24">
        <f t="shared" si="2"/>
        <v>753.84</v>
      </c>
      <c r="K15" s="25">
        <f t="shared" si="3"/>
        <v>56.609894566098937</v>
      </c>
      <c r="L15" s="21"/>
      <c r="M15" s="12">
        <v>69580.39999999998</v>
      </c>
      <c r="N15" s="12">
        <v>60504.695652173898</v>
      </c>
      <c r="O15" s="12">
        <v>38029.25</v>
      </c>
      <c r="P15" s="9">
        <v>3505</v>
      </c>
      <c r="Q15" s="12">
        <v>22475.44565217389</v>
      </c>
      <c r="R15" s="12">
        <v>19.851754636233945</v>
      </c>
      <c r="S15" s="12">
        <v>17.262395335855604</v>
      </c>
      <c r="T15" s="12">
        <v>10.85</v>
      </c>
      <c r="U15" s="16">
        <v>37.146613845278239</v>
      </c>
      <c r="V15" s="72">
        <f>IFERROR(LOOKUP($C15,Actuals!$C$4:$C$79,Actuals!G$4:G$79),0)</f>
        <v>225.15652173913043</v>
      </c>
      <c r="W15" s="72">
        <f>IFERROR(LOOKUP($C15,Actuals!$C$4:$C$79,Actuals!H$4:H$79),0)</f>
        <v>7</v>
      </c>
      <c r="X15" s="72">
        <f>IFERROR(LOOKUP($C15,Actuals!$C$4:$C$79,Actuals!I$4:I$79),0)</f>
        <v>32.165217391304353</v>
      </c>
      <c r="Y15" s="72">
        <f>IFERROR(LOOKUP($C15,Actuals!$C$4:$C$79,Actuals!J$4:J$79),0)</f>
        <v>1</v>
      </c>
    </row>
    <row r="16" spans="1:25" ht="16.5" customHeight="1" x14ac:dyDescent="0.35">
      <c r="A16" s="3" t="s">
        <v>14</v>
      </c>
      <c r="B16" s="4">
        <v>101</v>
      </c>
      <c r="C16" s="5">
        <v>34024</v>
      </c>
      <c r="D16" s="3" t="s">
        <v>23</v>
      </c>
      <c r="E16" s="6">
        <v>37.99</v>
      </c>
      <c r="F16" s="21">
        <v>16.5</v>
      </c>
      <c r="G16" s="22">
        <v>36</v>
      </c>
      <c r="H16" s="24">
        <f t="shared" si="0"/>
        <v>1367.64</v>
      </c>
      <c r="I16" s="24">
        <f t="shared" si="1"/>
        <v>594</v>
      </c>
      <c r="J16" s="24">
        <f t="shared" si="2"/>
        <v>773.6400000000001</v>
      </c>
      <c r="K16" s="25">
        <f t="shared" si="3"/>
        <v>56.567517767833642</v>
      </c>
      <c r="L16" s="21"/>
      <c r="M16" s="12">
        <v>69066</v>
      </c>
      <c r="N16" s="12">
        <v>60057.391304347824</v>
      </c>
      <c r="O16" s="12">
        <v>35830.349999999991</v>
      </c>
      <c r="P16" s="9">
        <v>3645</v>
      </c>
      <c r="Q16" s="12">
        <v>24227.041304347833</v>
      </c>
      <c r="R16" s="12">
        <v>18.94814814814815</v>
      </c>
      <c r="S16" s="12">
        <v>16.476650563607084</v>
      </c>
      <c r="T16" s="12">
        <v>9.8299999999999983</v>
      </c>
      <c r="U16" s="16">
        <v>40.339816262705256</v>
      </c>
      <c r="V16" s="72">
        <f>IFERROR(LOOKUP($C16,Actuals!$C$4:$C$79,Actuals!G$4:G$79),0)</f>
        <v>165.17391304347825</v>
      </c>
      <c r="W16" s="72">
        <f>IFERROR(LOOKUP($C16,Actuals!$C$4:$C$79,Actuals!H$4:H$79),0)</f>
        <v>5</v>
      </c>
      <c r="X16" s="72">
        <f>IFERROR(LOOKUP($C16,Actuals!$C$4:$C$79,Actuals!I$4:I$79),0)</f>
        <v>33.03478260869565</v>
      </c>
      <c r="Y16" s="72">
        <f>IFERROR(LOOKUP($C16,Actuals!$C$4:$C$79,Actuals!J$4:J$79),0)</f>
        <v>1</v>
      </c>
    </row>
    <row r="17" spans="1:25" ht="16.5" customHeight="1" x14ac:dyDescent="0.35">
      <c r="A17" s="3" t="s">
        <v>14</v>
      </c>
      <c r="B17" s="4">
        <v>101</v>
      </c>
      <c r="C17" s="5">
        <v>41464</v>
      </c>
      <c r="D17" s="3" t="s">
        <v>45</v>
      </c>
      <c r="E17" s="6">
        <v>16.989999999999998</v>
      </c>
      <c r="F17" s="21">
        <v>7.73</v>
      </c>
      <c r="G17" s="22">
        <v>36</v>
      </c>
      <c r="H17" s="24">
        <f t="shared" si="0"/>
        <v>611.64</v>
      </c>
      <c r="I17" s="24">
        <f t="shared" si="1"/>
        <v>278.28000000000003</v>
      </c>
      <c r="J17" s="24">
        <f t="shared" si="2"/>
        <v>333.35999999999996</v>
      </c>
      <c r="K17" s="25">
        <f t="shared" si="3"/>
        <v>54.502648616833426</v>
      </c>
      <c r="L17" s="21"/>
      <c r="M17" s="12">
        <v>67677.219999999987</v>
      </c>
      <c r="N17" s="12">
        <v>58849.756521739117</v>
      </c>
      <c r="O17" s="12">
        <v>35148.200000000004</v>
      </c>
      <c r="P17" s="9">
        <v>2623</v>
      </c>
      <c r="Q17" s="12">
        <v>23701.556521739112</v>
      </c>
      <c r="R17" s="12">
        <v>25.801456347693474</v>
      </c>
      <c r="S17" s="12">
        <v>22.436048997994327</v>
      </c>
      <c r="T17" s="12">
        <v>13.400000000000002</v>
      </c>
      <c r="U17" s="16">
        <v>40.274689179017678</v>
      </c>
      <c r="V17" s="72">
        <f>IFERROR(LOOKUP($C17,Actuals!$C$4:$C$79,Actuals!G$4:G$79),0)</f>
        <v>17.373913043478261</v>
      </c>
      <c r="W17" s="72">
        <f>IFERROR(LOOKUP($C17,Actuals!$C$4:$C$79,Actuals!H$4:H$79),0)</f>
        <v>2</v>
      </c>
      <c r="X17" s="72">
        <f>IFERROR(LOOKUP($C17,Actuals!$C$4:$C$79,Actuals!I$4:I$79),0)</f>
        <v>86.869565217391312</v>
      </c>
      <c r="Y17" s="72">
        <f>IFERROR(LOOKUP($C17,Actuals!$C$4:$C$79,Actuals!J$4:J$79),0)</f>
        <v>10</v>
      </c>
    </row>
    <row r="18" spans="1:25" ht="16.5" customHeight="1" x14ac:dyDescent="0.35">
      <c r="A18" s="3" t="s">
        <v>19</v>
      </c>
      <c r="B18" s="4">
        <v>101</v>
      </c>
      <c r="C18" s="5">
        <v>51680</v>
      </c>
      <c r="D18" s="3" t="s">
        <v>33</v>
      </c>
      <c r="E18" s="6">
        <v>21.99</v>
      </c>
      <c r="F18" s="21">
        <v>12.14</v>
      </c>
      <c r="G18" s="22">
        <v>34</v>
      </c>
      <c r="H18" s="24">
        <f t="shared" si="0"/>
        <v>747.66</v>
      </c>
      <c r="I18" s="24">
        <f t="shared" si="1"/>
        <v>412.76</v>
      </c>
      <c r="J18" s="24">
        <f t="shared" si="2"/>
        <v>334.9</v>
      </c>
      <c r="K18" s="25">
        <f t="shared" si="3"/>
        <v>44.793087767166895</v>
      </c>
      <c r="L18" s="21"/>
      <c r="M18" s="12">
        <v>66517.169999999984</v>
      </c>
      <c r="N18" s="12">
        <v>57841.017391304347</v>
      </c>
      <c r="O18" s="12">
        <v>29799</v>
      </c>
      <c r="P18" s="9">
        <v>1806</v>
      </c>
      <c r="Q18" s="12">
        <v>28042.017391304333</v>
      </c>
      <c r="R18" s="12">
        <v>36.831212624584708</v>
      </c>
      <c r="S18" s="12">
        <v>32.027141412682361</v>
      </c>
      <c r="T18" s="12">
        <v>16.5</v>
      </c>
      <c r="U18" s="16">
        <v>48.481196659448969</v>
      </c>
      <c r="V18" s="72">
        <f>IFERROR(LOOKUP($C18,Actuals!$C$4:$C$79,Actuals!G$4:G$79),0)</f>
        <v>57.365217391304348</v>
      </c>
      <c r="W18" s="72">
        <f>IFERROR(LOOKUP($C18,Actuals!$C$4:$C$79,Actuals!H$4:H$79),0)</f>
        <v>3</v>
      </c>
      <c r="X18" s="72">
        <f>IFERROR(LOOKUP($C18,Actuals!$C$4:$C$79,Actuals!I$4:I$79),0)</f>
        <v>19.121739130434783</v>
      </c>
      <c r="Y18" s="72">
        <f>IFERROR(LOOKUP($C18,Actuals!$C$4:$C$79,Actuals!J$4:J$79),0)</f>
        <v>1</v>
      </c>
    </row>
    <row r="19" spans="1:25" ht="16.5" customHeight="1" x14ac:dyDescent="0.35">
      <c r="A19" s="3" t="s">
        <v>14</v>
      </c>
      <c r="B19" s="4">
        <v>101</v>
      </c>
      <c r="C19" s="5">
        <v>33997</v>
      </c>
      <c r="D19" s="3" t="s">
        <v>39</v>
      </c>
      <c r="E19" s="6">
        <v>14.99</v>
      </c>
      <c r="F19" s="21">
        <v>7.62</v>
      </c>
      <c r="G19" s="22">
        <v>30</v>
      </c>
      <c r="H19" s="24">
        <f t="shared" si="0"/>
        <v>449.7</v>
      </c>
      <c r="I19" s="24">
        <f t="shared" si="1"/>
        <v>228.6</v>
      </c>
      <c r="J19" s="24">
        <f t="shared" si="2"/>
        <v>221.1</v>
      </c>
      <c r="K19" s="25">
        <f t="shared" si="3"/>
        <v>49.166110740493664</v>
      </c>
      <c r="L19" s="21"/>
      <c r="M19" s="12">
        <v>65610.25</v>
      </c>
      <c r="N19" s="12">
        <v>57052.391304347824</v>
      </c>
      <c r="O19" s="12">
        <v>44130.241300000009</v>
      </c>
      <c r="P19" s="9">
        <v>13217</v>
      </c>
      <c r="Q19" s="12">
        <v>12922.150004347815</v>
      </c>
      <c r="R19" s="12">
        <v>4.9640803510630249</v>
      </c>
      <c r="S19" s="12">
        <v>4.3165916096200219</v>
      </c>
      <c r="T19" s="12">
        <v>3.3389000000000006</v>
      </c>
      <c r="U19" s="16">
        <v>22.649620303230041</v>
      </c>
      <c r="V19" s="72">
        <f>IFERROR(LOOKUP($C19,Actuals!$C$4:$C$79,Actuals!G$4:G$79),0)</f>
        <v>39.104347826086958</v>
      </c>
      <c r="W19" s="72">
        <f>IFERROR(LOOKUP($C19,Actuals!$C$4:$C$79,Actuals!H$4:H$79),0)</f>
        <v>3</v>
      </c>
      <c r="X19" s="72">
        <f>IFERROR(LOOKUP($C19,Actuals!$C$4:$C$79,Actuals!I$4:I$79),0)</f>
        <v>52.139130434782608</v>
      </c>
      <c r="Y19" s="72">
        <f>IFERROR(LOOKUP($C19,Actuals!$C$4:$C$79,Actuals!J$4:J$79),0)</f>
        <v>4</v>
      </c>
    </row>
    <row r="20" spans="1:25" ht="16.5" customHeight="1" x14ac:dyDescent="0.35">
      <c r="A20" s="3" t="s">
        <v>14</v>
      </c>
      <c r="B20" s="4">
        <v>101</v>
      </c>
      <c r="C20" s="5">
        <v>34023</v>
      </c>
      <c r="D20" s="3" t="s">
        <v>48</v>
      </c>
      <c r="E20" s="6">
        <v>6.99</v>
      </c>
      <c r="F20" s="21">
        <v>2.85</v>
      </c>
      <c r="G20" s="22">
        <v>28</v>
      </c>
      <c r="H20" s="24">
        <f t="shared" si="0"/>
        <v>195.72</v>
      </c>
      <c r="I20" s="24">
        <f t="shared" si="1"/>
        <v>79.8</v>
      </c>
      <c r="J20" s="24">
        <f t="shared" si="2"/>
        <v>115.92</v>
      </c>
      <c r="K20" s="25">
        <f t="shared" si="3"/>
        <v>59.227467811158796</v>
      </c>
      <c r="L20" s="21"/>
      <c r="M20" s="12">
        <v>62399.23000000001</v>
      </c>
      <c r="N20" s="12">
        <v>54260.200000000004</v>
      </c>
      <c r="O20" s="12">
        <v>30028.57</v>
      </c>
      <c r="P20" s="9">
        <v>3289</v>
      </c>
      <c r="Q20" s="12">
        <v>24231.630000000012</v>
      </c>
      <c r="R20" s="12">
        <v>18.972097902097904</v>
      </c>
      <c r="S20" s="12">
        <v>16.497476436606874</v>
      </c>
      <c r="T20" s="12">
        <v>9.1300000000000008</v>
      </c>
      <c r="U20" s="16">
        <v>44.658202513075892</v>
      </c>
      <c r="V20" s="72">
        <f>IFERROR(LOOKUP($C20,Actuals!$C$4:$C$79,Actuals!G$4:G$79),0)</f>
        <v>30.39130434782609</v>
      </c>
      <c r="W20" s="72">
        <f>IFERROR(LOOKUP($C20,Actuals!$C$4:$C$79,Actuals!H$4:H$79),0)</f>
        <v>5</v>
      </c>
      <c r="X20" s="72">
        <f>IFERROR(LOOKUP($C20,Actuals!$C$4:$C$79,Actuals!I$4:I$79),0)</f>
        <v>24.31304347826087</v>
      </c>
      <c r="Y20" s="72">
        <f>IFERROR(LOOKUP($C20,Actuals!$C$4:$C$79,Actuals!J$4:J$79),0)</f>
        <v>4</v>
      </c>
    </row>
    <row r="21" spans="1:25" ht="16.5" customHeight="1" x14ac:dyDescent="0.35">
      <c r="A21" s="3" t="s">
        <v>14</v>
      </c>
      <c r="B21" s="4">
        <v>101</v>
      </c>
      <c r="C21" s="5">
        <v>34022</v>
      </c>
      <c r="D21" s="3" t="s">
        <v>54</v>
      </c>
      <c r="E21" s="6">
        <v>5.99</v>
      </c>
      <c r="F21" s="21">
        <v>2.72</v>
      </c>
      <c r="G21" s="22">
        <v>24</v>
      </c>
      <c r="H21" s="24">
        <f t="shared" si="0"/>
        <v>143.76</v>
      </c>
      <c r="I21" s="24">
        <f t="shared" si="1"/>
        <v>65.28</v>
      </c>
      <c r="J21" s="24">
        <f t="shared" si="2"/>
        <v>78.47999999999999</v>
      </c>
      <c r="K21" s="25">
        <f t="shared" si="3"/>
        <v>54.590984974958253</v>
      </c>
      <c r="L21" s="21"/>
      <c r="M21" s="12">
        <v>58982.93</v>
      </c>
      <c r="N21" s="12">
        <v>51289.504347826078</v>
      </c>
      <c r="O21" s="12">
        <v>30147.600000000002</v>
      </c>
      <c r="P21" s="9">
        <v>3108</v>
      </c>
      <c r="Q21" s="12">
        <v>21141.904347826083</v>
      </c>
      <c r="R21" s="12">
        <v>18.977776705276707</v>
      </c>
      <c r="S21" s="12">
        <v>16.502414526327566</v>
      </c>
      <c r="T21" s="12">
        <v>9.7000000000000011</v>
      </c>
      <c r="U21" s="16">
        <v>41.220722673492141</v>
      </c>
      <c r="V21" s="72">
        <f>IFERROR(LOOKUP($C21,Actuals!$C$4:$C$79,Actuals!G$4:G$79),0)</f>
        <v>26.043478260869563</v>
      </c>
      <c r="W21" s="72">
        <f>IFERROR(LOOKUP($C21,Actuals!$C$4:$C$79,Actuals!H$4:H$79),0)</f>
        <v>5</v>
      </c>
      <c r="X21" s="72">
        <f>IFERROR(LOOKUP($C21,Actuals!$C$4:$C$79,Actuals!I$4:I$79),0)</f>
        <v>0</v>
      </c>
      <c r="Y21" s="72">
        <f>IFERROR(LOOKUP($C21,Actuals!$C$4:$C$79,Actuals!J$4:J$79),0)</f>
        <v>0</v>
      </c>
    </row>
    <row r="22" spans="1:25" ht="16.5" customHeight="1" x14ac:dyDescent="0.35">
      <c r="A22" s="3" t="s">
        <v>14</v>
      </c>
      <c r="B22" s="4">
        <v>101</v>
      </c>
      <c r="C22" s="5">
        <v>32067</v>
      </c>
      <c r="D22" s="3" t="s">
        <v>29</v>
      </c>
      <c r="E22" s="6">
        <v>34.99</v>
      </c>
      <c r="F22" s="21">
        <v>15.91</v>
      </c>
      <c r="G22" s="22">
        <v>8</v>
      </c>
      <c r="H22" s="24">
        <f t="shared" si="0"/>
        <v>279.92</v>
      </c>
      <c r="I22" s="24">
        <f t="shared" si="1"/>
        <v>127.28</v>
      </c>
      <c r="J22" s="24">
        <f t="shared" si="2"/>
        <v>152.64000000000001</v>
      </c>
      <c r="K22" s="25">
        <f t="shared" ref="K22:K53" si="4">IFERROR(J22/H22*100,0)</f>
        <v>54.529865675907409</v>
      </c>
      <c r="L22" s="21"/>
      <c r="M22" s="12">
        <v>54060.76</v>
      </c>
      <c r="N22" s="12">
        <v>47009.35652173913</v>
      </c>
      <c r="O22" s="12">
        <v>30950.5</v>
      </c>
      <c r="P22" s="9">
        <v>16730</v>
      </c>
      <c r="Q22" s="12">
        <v>16058.85652173913</v>
      </c>
      <c r="R22" s="12">
        <v>3.2313664076509268</v>
      </c>
      <c r="S22" s="12">
        <v>2.8098838327399358</v>
      </c>
      <c r="T22" s="12">
        <v>1.85</v>
      </c>
      <c r="U22" s="16">
        <v>34.160979238915615</v>
      </c>
      <c r="V22" s="72">
        <f>IFERROR(LOOKUP($C22,Actuals!$C$4:$C$79,Actuals!G$4:G$79),0)</f>
        <v>0</v>
      </c>
      <c r="W22" s="72">
        <f>IFERROR(LOOKUP($C22,Actuals!$C$4:$C$79,Actuals!H$4:H$79),0)</f>
        <v>0</v>
      </c>
      <c r="X22" s="72">
        <f>IFERROR(LOOKUP($C22,Actuals!$C$4:$C$79,Actuals!I$4:I$79),0)</f>
        <v>121.70434782608696</v>
      </c>
      <c r="Y22" s="72">
        <f>IFERROR(LOOKUP($C22,Actuals!$C$4:$C$79,Actuals!J$4:J$79),0)</f>
        <v>4</v>
      </c>
    </row>
    <row r="23" spans="1:25" ht="16.5" customHeight="1" x14ac:dyDescent="0.35">
      <c r="A23" s="3" t="s">
        <v>14</v>
      </c>
      <c r="B23" s="4">
        <v>101</v>
      </c>
      <c r="C23" s="5">
        <v>61947</v>
      </c>
      <c r="D23" s="3" t="s">
        <v>42</v>
      </c>
      <c r="E23" s="6">
        <v>28.99</v>
      </c>
      <c r="F23" s="21">
        <v>8.93</v>
      </c>
      <c r="G23" s="22">
        <v>8</v>
      </c>
      <c r="H23" s="24">
        <f t="shared" si="0"/>
        <v>231.92</v>
      </c>
      <c r="I23" s="24">
        <f t="shared" si="1"/>
        <v>71.44</v>
      </c>
      <c r="J23" s="24">
        <f t="shared" si="2"/>
        <v>160.47999999999999</v>
      </c>
      <c r="K23" s="25">
        <f t="shared" si="4"/>
        <v>69.196274577440491</v>
      </c>
      <c r="L23" s="21"/>
      <c r="M23" s="12">
        <v>51833.519999999982</v>
      </c>
      <c r="N23" s="12">
        <v>45072.626086956501</v>
      </c>
      <c r="O23" s="12">
        <v>35461.360000000001</v>
      </c>
      <c r="P23" s="9">
        <v>649</v>
      </c>
      <c r="Q23" s="12">
        <v>9611.2660869565007</v>
      </c>
      <c r="R23" s="12">
        <v>79.866748844375934</v>
      </c>
      <c r="S23" s="12">
        <v>69.449346821196457</v>
      </c>
      <c r="T23" s="12">
        <v>54.64</v>
      </c>
      <c r="U23" s="16">
        <v>21.32395407450619</v>
      </c>
      <c r="V23" s="72">
        <f>IFERROR(LOOKUP($C23,Actuals!$C$4:$C$79,Actuals!G$4:G$79),0)</f>
        <v>25.208695652173912</v>
      </c>
      <c r="W23" s="72">
        <f>IFERROR(LOOKUP($C23,Actuals!$C$4:$C$79,Actuals!H$4:H$79),0)</f>
        <v>1</v>
      </c>
      <c r="X23" s="72">
        <f>IFERROR(LOOKUP($C23,Actuals!$C$4:$C$79,Actuals!I$4:I$79),0)</f>
        <v>25.208695652173912</v>
      </c>
      <c r="Y23" s="72">
        <f>IFERROR(LOOKUP($C23,Actuals!$C$4:$C$79,Actuals!J$4:J$79),0)</f>
        <v>1</v>
      </c>
    </row>
    <row r="24" spans="1:25" ht="16.5" customHeight="1" x14ac:dyDescent="0.35">
      <c r="A24" s="3" t="s">
        <v>14</v>
      </c>
      <c r="B24" s="4">
        <v>101</v>
      </c>
      <c r="C24" s="5">
        <v>32062</v>
      </c>
      <c r="D24" s="3" t="s">
        <v>51</v>
      </c>
      <c r="E24" s="6">
        <v>24.99</v>
      </c>
      <c r="F24" s="21">
        <v>9.68</v>
      </c>
      <c r="G24" s="22">
        <v>6</v>
      </c>
      <c r="H24" s="24">
        <f t="shared" si="0"/>
        <v>149.94</v>
      </c>
      <c r="I24" s="24">
        <f t="shared" si="1"/>
        <v>58.08</v>
      </c>
      <c r="J24" s="24">
        <f t="shared" si="2"/>
        <v>91.86</v>
      </c>
      <c r="K24" s="25">
        <f t="shared" si="4"/>
        <v>61.264505802320933</v>
      </c>
      <c r="L24" s="21"/>
      <c r="M24" s="12">
        <v>43273.899999999994</v>
      </c>
      <c r="N24" s="12">
        <v>37629.47826086956</v>
      </c>
      <c r="O24" s="12">
        <v>22899.3</v>
      </c>
      <c r="P24" s="9">
        <v>3360</v>
      </c>
      <c r="Q24" s="12">
        <v>14730.178260869561</v>
      </c>
      <c r="R24" s="12">
        <v>12.879136904761904</v>
      </c>
      <c r="S24" s="12">
        <v>11.199249482401655</v>
      </c>
      <c r="T24" s="12">
        <v>6.8152678571428567</v>
      </c>
      <c r="U24" s="16">
        <v>39.145316229875277</v>
      </c>
      <c r="V24" s="72">
        <f>IFERROR(LOOKUP($C24,Actuals!$C$4:$C$79,Actuals!G$4:G$79),0)</f>
        <v>0</v>
      </c>
      <c r="W24" s="72">
        <f>IFERROR(LOOKUP($C24,Actuals!$C$4:$C$79,Actuals!H$4:H$79),0)</f>
        <v>0</v>
      </c>
      <c r="X24" s="72">
        <f>IFERROR(LOOKUP($C24,Actuals!$C$4:$C$79,Actuals!I$4:I$79),0)</f>
        <v>0</v>
      </c>
      <c r="Y24" s="72">
        <f>IFERROR(LOOKUP($C24,Actuals!$C$4:$C$79,Actuals!J$4:J$79),0)</f>
        <v>0</v>
      </c>
    </row>
    <row r="25" spans="1:25" ht="16.5" customHeight="1" x14ac:dyDescent="0.35">
      <c r="A25" s="3" t="s">
        <v>14</v>
      </c>
      <c r="B25" s="4">
        <v>101</v>
      </c>
      <c r="C25" s="5">
        <v>32063</v>
      </c>
      <c r="D25" s="3" t="s">
        <v>52</v>
      </c>
      <c r="E25" s="6">
        <v>19.989999999999998</v>
      </c>
      <c r="F25" s="21">
        <v>8.5</v>
      </c>
      <c r="G25" s="22">
        <v>6</v>
      </c>
      <c r="H25" s="24">
        <f t="shared" si="0"/>
        <v>119.94</v>
      </c>
      <c r="I25" s="24">
        <f t="shared" si="1"/>
        <v>51</v>
      </c>
      <c r="J25" s="24">
        <f t="shared" si="2"/>
        <v>68.94</v>
      </c>
      <c r="K25" s="25">
        <f t="shared" si="4"/>
        <v>57.478739369684838</v>
      </c>
      <c r="L25" s="21"/>
      <c r="M25" s="12">
        <v>43047.56</v>
      </c>
      <c r="N25" s="12">
        <v>37432.66086956521</v>
      </c>
      <c r="O25" s="12">
        <v>10656.719999999998</v>
      </c>
      <c r="P25" s="9">
        <v>1444</v>
      </c>
      <c r="Q25" s="12">
        <v>26775.94086956522</v>
      </c>
      <c r="R25" s="12">
        <v>29.811329639889195</v>
      </c>
      <c r="S25" s="12">
        <v>25.922895339034078</v>
      </c>
      <c r="T25" s="12">
        <v>7.3799999999999981</v>
      </c>
      <c r="U25" s="16">
        <v>71.530957852198824</v>
      </c>
      <c r="V25" s="72">
        <f>IFERROR(LOOKUP($C25,Actuals!$C$4:$C$79,Actuals!G$4:G$79),0)</f>
        <v>0</v>
      </c>
      <c r="W25" s="72">
        <f>IFERROR(LOOKUP($C25,Actuals!$C$4:$C$79,Actuals!H$4:H$79),0)</f>
        <v>0</v>
      </c>
      <c r="X25" s="72">
        <f>IFERROR(LOOKUP($C25,Actuals!$C$4:$C$79,Actuals!I$4:I$79),0)</f>
        <v>0</v>
      </c>
      <c r="Y25" s="72">
        <f>IFERROR(LOOKUP($C25,Actuals!$C$4:$C$79,Actuals!J$4:J$79),0)</f>
        <v>0</v>
      </c>
    </row>
    <row r="26" spans="1:25" ht="16.5" customHeight="1" x14ac:dyDescent="0.35">
      <c r="A26" s="3" t="s">
        <v>14</v>
      </c>
      <c r="B26" s="4">
        <v>101</v>
      </c>
      <c r="C26" s="5">
        <v>34053</v>
      </c>
      <c r="D26" s="3" t="s">
        <v>57</v>
      </c>
      <c r="E26" s="6">
        <v>15.99</v>
      </c>
      <c r="F26" s="21">
        <v>6.74</v>
      </c>
      <c r="G26" s="22">
        <v>6</v>
      </c>
      <c r="H26" s="24">
        <f t="shared" si="0"/>
        <v>95.94</v>
      </c>
      <c r="I26" s="24">
        <f t="shared" si="1"/>
        <v>40.44</v>
      </c>
      <c r="J26" s="24">
        <f t="shared" si="2"/>
        <v>55.5</v>
      </c>
      <c r="K26" s="25">
        <f t="shared" si="4"/>
        <v>57.848655409631021</v>
      </c>
      <c r="L26" s="21"/>
      <c r="M26" s="12">
        <v>37227.340000000011</v>
      </c>
      <c r="N26" s="12">
        <v>32371.599999999995</v>
      </c>
      <c r="O26" s="12">
        <v>13136.640000000001</v>
      </c>
      <c r="P26" s="9">
        <v>1866</v>
      </c>
      <c r="Q26" s="12">
        <v>19234.960000000014</v>
      </c>
      <c r="R26" s="12">
        <v>19.95034297963559</v>
      </c>
      <c r="S26" s="12">
        <v>17.348124330117898</v>
      </c>
      <c r="T26" s="12">
        <v>7.0400000000000009</v>
      </c>
      <c r="U26" s="16">
        <v>59.419244028716548</v>
      </c>
      <c r="V26" s="72">
        <f>IFERROR(LOOKUP($C26,Actuals!$C$4:$C$79,Actuals!G$4:G$79),0)</f>
        <v>41.713043478260872</v>
      </c>
      <c r="W26" s="72">
        <f>IFERROR(LOOKUP($C26,Actuals!$C$4:$C$79,Actuals!H$4:H$79),0)</f>
        <v>3</v>
      </c>
      <c r="X26" s="72">
        <f>IFERROR(LOOKUP($C26,Actuals!$C$4:$C$79,Actuals!I$4:I$79),0)</f>
        <v>55.617391304347827</v>
      </c>
      <c r="Y26" s="72">
        <f>IFERROR(LOOKUP($C26,Actuals!$C$4:$C$79,Actuals!J$4:J$79),0)</f>
        <v>4</v>
      </c>
    </row>
    <row r="27" spans="1:25" ht="16.5" customHeight="1" x14ac:dyDescent="0.35">
      <c r="A27" s="3" t="s">
        <v>14</v>
      </c>
      <c r="B27" s="4">
        <v>101</v>
      </c>
      <c r="C27" s="5">
        <v>34011</v>
      </c>
      <c r="D27" s="3" t="s">
        <v>66</v>
      </c>
      <c r="E27" s="6">
        <v>19.989999999999998</v>
      </c>
      <c r="F27" s="21">
        <v>2.63</v>
      </c>
      <c r="G27" s="22">
        <v>6</v>
      </c>
      <c r="H27" s="24">
        <f t="shared" si="0"/>
        <v>119.94</v>
      </c>
      <c r="I27" s="24">
        <f t="shared" si="1"/>
        <v>15.78</v>
      </c>
      <c r="J27" s="24">
        <f t="shared" si="2"/>
        <v>104.16</v>
      </c>
      <c r="K27" s="25">
        <f t="shared" si="4"/>
        <v>86.843421710855424</v>
      </c>
      <c r="L27" s="21"/>
      <c r="M27" s="12">
        <v>35786.65</v>
      </c>
      <c r="N27" s="12">
        <v>31118.82608695652</v>
      </c>
      <c r="O27" s="12">
        <v>20735</v>
      </c>
      <c r="P27" s="9">
        <v>1885</v>
      </c>
      <c r="Q27" s="12">
        <v>10383.826086956524</v>
      </c>
      <c r="R27" s="12">
        <v>18.984960212201592</v>
      </c>
      <c r="S27" s="12">
        <v>16.508661054088339</v>
      </c>
      <c r="T27" s="12">
        <v>11</v>
      </c>
      <c r="U27" s="16">
        <v>33.368309132036671</v>
      </c>
      <c r="V27" s="72">
        <f>IFERROR(LOOKUP($C27,Actuals!$C$4:$C$79,Actuals!G$4:G$79),0)</f>
        <v>72.921739130434787</v>
      </c>
      <c r="W27" s="72">
        <f>IFERROR(LOOKUP($C27,Actuals!$C$4:$C$79,Actuals!H$4:H$79),0)</f>
        <v>14</v>
      </c>
      <c r="X27" s="72">
        <f>IFERROR(LOOKUP($C27,Actuals!$C$4:$C$79,Actuals!I$4:I$79),0)</f>
        <v>67.713043478260872</v>
      </c>
      <c r="Y27" s="72">
        <f>IFERROR(LOOKUP($C27,Actuals!$C$4:$C$79,Actuals!J$4:J$79),0)</f>
        <v>13</v>
      </c>
    </row>
    <row r="28" spans="1:25" ht="16.5" customHeight="1" x14ac:dyDescent="0.35">
      <c r="A28" s="3" t="s">
        <v>14</v>
      </c>
      <c r="B28" s="4">
        <v>101</v>
      </c>
      <c r="C28" s="5">
        <v>32860</v>
      </c>
      <c r="D28" s="3" t="s">
        <v>16</v>
      </c>
      <c r="E28" s="6">
        <v>20.99</v>
      </c>
      <c r="F28" s="21">
        <v>11.1</v>
      </c>
      <c r="G28" s="22">
        <v>0</v>
      </c>
      <c r="H28" s="24">
        <f t="shared" si="0"/>
        <v>0</v>
      </c>
      <c r="I28" s="24">
        <f t="shared" si="1"/>
        <v>0</v>
      </c>
      <c r="J28" s="24">
        <f t="shared" si="2"/>
        <v>0</v>
      </c>
      <c r="K28" s="25">
        <f t="shared" si="4"/>
        <v>0</v>
      </c>
      <c r="L28" s="21"/>
      <c r="M28" s="12">
        <v>35280</v>
      </c>
      <c r="N28" s="12">
        <v>30678.260869565216</v>
      </c>
      <c r="O28" s="12">
        <v>19576.2</v>
      </c>
      <c r="P28" s="9">
        <v>590</v>
      </c>
      <c r="Q28" s="12">
        <v>11102.060869565219</v>
      </c>
      <c r="R28" s="12">
        <v>59.796610169491522</v>
      </c>
      <c r="S28" s="12">
        <v>51.997052321296977</v>
      </c>
      <c r="T28" s="12">
        <v>33.18</v>
      </c>
      <c r="U28" s="16">
        <v>36.18869047619048</v>
      </c>
      <c r="V28" s="72">
        <f>IFERROR(LOOKUP($C28,Actuals!$C$4:$C$79,Actuals!G$4:G$79),0)</f>
        <v>365.04347826086956</v>
      </c>
      <c r="W28" s="72">
        <f>IFERROR(LOOKUP($C28,Actuals!$C$4:$C$79,Actuals!H$4:H$79),0)</f>
        <v>20</v>
      </c>
      <c r="X28" s="72">
        <f>IFERROR(LOOKUP($C28,Actuals!$C$4:$C$79,Actuals!I$4:I$79),0)</f>
        <v>200.77391304347825</v>
      </c>
      <c r="Y28" s="72">
        <f>IFERROR(LOOKUP($C28,Actuals!$C$4:$C$79,Actuals!J$4:J$79),0)</f>
        <v>11</v>
      </c>
    </row>
    <row r="29" spans="1:25" ht="16.5" customHeight="1" x14ac:dyDescent="0.35">
      <c r="A29" s="3" t="s">
        <v>14</v>
      </c>
      <c r="B29" s="4">
        <v>101</v>
      </c>
      <c r="C29" s="5">
        <v>32859</v>
      </c>
      <c r="D29" s="3" t="s">
        <v>20</v>
      </c>
      <c r="E29" s="6">
        <v>20.99</v>
      </c>
      <c r="F29" s="21">
        <v>7.46</v>
      </c>
      <c r="G29" s="22">
        <v>0</v>
      </c>
      <c r="H29" s="24">
        <f t="shared" si="0"/>
        <v>0</v>
      </c>
      <c r="I29" s="24">
        <f t="shared" si="1"/>
        <v>0</v>
      </c>
      <c r="J29" s="24">
        <f t="shared" si="2"/>
        <v>0</v>
      </c>
      <c r="K29" s="25">
        <f t="shared" si="4"/>
        <v>0</v>
      </c>
      <c r="L29" s="21"/>
      <c r="M29" s="12">
        <v>34637.33</v>
      </c>
      <c r="N29" s="12">
        <v>30119.417391304345</v>
      </c>
      <c r="O29" s="12">
        <v>17468.530000000002</v>
      </c>
      <c r="P29" s="9">
        <v>1937</v>
      </c>
      <c r="Q29" s="12">
        <v>12650.887391304346</v>
      </c>
      <c r="R29" s="12">
        <v>17.881946308724832</v>
      </c>
      <c r="S29" s="12">
        <v>15.54951852932594</v>
      </c>
      <c r="T29" s="12">
        <v>9.0183427981414575</v>
      </c>
      <c r="U29" s="16">
        <v>42.002430614599909</v>
      </c>
      <c r="V29" s="72">
        <f>IFERROR(LOOKUP($C29,Actuals!$C$4:$C$79,Actuals!G$4:G$79),0)</f>
        <v>146.01739130434785</v>
      </c>
      <c r="W29" s="72">
        <f>IFERROR(LOOKUP($C29,Actuals!$C$4:$C$79,Actuals!H$4:H$79),0)</f>
        <v>8</v>
      </c>
      <c r="X29" s="72">
        <f>IFERROR(LOOKUP($C29,Actuals!$C$4:$C$79,Actuals!I$4:I$79),0)</f>
        <v>200.77391304347827</v>
      </c>
      <c r="Y29" s="72">
        <f>IFERROR(LOOKUP($C29,Actuals!$C$4:$C$79,Actuals!J$4:J$79),0)</f>
        <v>11</v>
      </c>
    </row>
    <row r="30" spans="1:25" ht="16.5" customHeight="1" x14ac:dyDescent="0.35">
      <c r="A30" s="3" t="s">
        <v>14</v>
      </c>
      <c r="B30" s="4">
        <v>101</v>
      </c>
      <c r="C30" s="5">
        <v>34121</v>
      </c>
      <c r="D30" s="3" t="s">
        <v>25</v>
      </c>
      <c r="E30" s="6">
        <v>3.3</v>
      </c>
      <c r="F30" s="21">
        <v>1.85</v>
      </c>
      <c r="G30" s="22">
        <v>0</v>
      </c>
      <c r="H30" s="24">
        <f t="shared" si="0"/>
        <v>0</v>
      </c>
      <c r="I30" s="24">
        <f t="shared" si="1"/>
        <v>0</v>
      </c>
      <c r="J30" s="24">
        <f t="shared" si="2"/>
        <v>0</v>
      </c>
      <c r="K30" s="25">
        <f t="shared" si="4"/>
        <v>0</v>
      </c>
      <c r="L30" s="21"/>
      <c r="M30" s="12">
        <v>34544.649999999994</v>
      </c>
      <c r="N30" s="12">
        <v>30038.82608695652</v>
      </c>
      <c r="O30" s="12">
        <v>11082.6</v>
      </c>
      <c r="P30" s="9">
        <v>940</v>
      </c>
      <c r="Q30" s="12">
        <v>18956.226086956514</v>
      </c>
      <c r="R30" s="12">
        <v>36.749627659574465</v>
      </c>
      <c r="S30" s="12">
        <v>31.956197964847362</v>
      </c>
      <c r="T30" s="12">
        <v>11.790000000000001</v>
      </c>
      <c r="U30" s="16">
        <v>63.105748647040848</v>
      </c>
      <c r="V30" s="72">
        <f>IFERROR(LOOKUP($C30,Actuals!$C$4:$C$79,Actuals!G$4:G$79),0)</f>
        <v>229.56521739130434</v>
      </c>
      <c r="W30" s="72">
        <f>IFERROR(LOOKUP($C30,Actuals!$C$4:$C$79,Actuals!H$4:H$79),0)</f>
        <v>80</v>
      </c>
      <c r="X30" s="72">
        <f>IFERROR(LOOKUP($C30,Actuals!$C$4:$C$79,Actuals!I$4:I$79),0)</f>
        <v>0</v>
      </c>
      <c r="Y30" s="72">
        <f>IFERROR(LOOKUP($C30,Actuals!$C$4:$C$79,Actuals!J$4:J$79),0)</f>
        <v>0</v>
      </c>
    </row>
    <row r="31" spans="1:25" ht="16.5" customHeight="1" x14ac:dyDescent="0.35">
      <c r="A31" s="3" t="s">
        <v>14</v>
      </c>
      <c r="B31" s="4">
        <v>101</v>
      </c>
      <c r="C31" s="5">
        <v>58767</v>
      </c>
      <c r="D31" s="3" t="s">
        <v>27</v>
      </c>
      <c r="E31" s="6">
        <v>19.989999999999998</v>
      </c>
      <c r="F31" s="21">
        <v>7.04</v>
      </c>
      <c r="G31" s="22">
        <v>0</v>
      </c>
      <c r="H31" s="24">
        <f t="shared" si="0"/>
        <v>0</v>
      </c>
      <c r="I31" s="24">
        <f t="shared" si="1"/>
        <v>0</v>
      </c>
      <c r="J31" s="24">
        <f t="shared" si="2"/>
        <v>0</v>
      </c>
      <c r="K31" s="25">
        <f t="shared" si="4"/>
        <v>0</v>
      </c>
      <c r="L31" s="21"/>
      <c r="M31" s="12">
        <v>34032.75</v>
      </c>
      <c r="N31" s="12">
        <v>29593.695652173916</v>
      </c>
      <c r="O31" s="12">
        <v>13707.18</v>
      </c>
      <c r="P31" s="9">
        <v>1626</v>
      </c>
      <c r="Q31" s="12">
        <v>15886.515652173915</v>
      </c>
      <c r="R31" s="12">
        <v>20.930350553505534</v>
      </c>
      <c r="S31" s="12">
        <v>18.200304829135248</v>
      </c>
      <c r="T31" s="12">
        <v>8.43</v>
      </c>
      <c r="U31" s="16">
        <v>53.682094453137054</v>
      </c>
      <c r="V31" s="72">
        <f>IFERROR(LOOKUP($C31,Actuals!$C$4:$C$79,Actuals!G$4:G$79),0)</f>
        <v>121.67826086956522</v>
      </c>
      <c r="W31" s="72">
        <f>IFERROR(LOOKUP($C31,Actuals!$C$4:$C$79,Actuals!H$4:H$79),0)</f>
        <v>7</v>
      </c>
      <c r="X31" s="72">
        <f>IFERROR(LOOKUP($C31,Actuals!$C$4:$C$79,Actuals!I$4:I$79),0)</f>
        <v>52.14782608695652</v>
      </c>
      <c r="Y31" s="72">
        <f>IFERROR(LOOKUP($C31,Actuals!$C$4:$C$79,Actuals!J$4:J$79),0)</f>
        <v>3</v>
      </c>
    </row>
    <row r="32" spans="1:25" ht="16.5" customHeight="1" x14ac:dyDescent="0.35">
      <c r="A32" s="3" t="s">
        <v>14</v>
      </c>
      <c r="B32" s="4">
        <v>101</v>
      </c>
      <c r="C32" s="5">
        <v>58512</v>
      </c>
      <c r="D32" s="3" t="s">
        <v>30</v>
      </c>
      <c r="E32" s="6">
        <v>26.99</v>
      </c>
      <c r="F32" s="21">
        <v>10.66</v>
      </c>
      <c r="G32" s="22">
        <v>0</v>
      </c>
      <c r="H32" s="24">
        <f t="shared" si="0"/>
        <v>0</v>
      </c>
      <c r="I32" s="24">
        <f t="shared" si="1"/>
        <v>0</v>
      </c>
      <c r="J32" s="24">
        <f t="shared" si="2"/>
        <v>0</v>
      </c>
      <c r="K32" s="25">
        <f t="shared" si="4"/>
        <v>0</v>
      </c>
      <c r="L32" s="21"/>
      <c r="M32" s="12">
        <v>32682.93</v>
      </c>
      <c r="N32" s="12">
        <v>28419.939130434785</v>
      </c>
      <c r="O32" s="12">
        <v>13422.095279999996</v>
      </c>
      <c r="P32" s="9">
        <v>2729</v>
      </c>
      <c r="Q32" s="12">
        <v>14997.843850434789</v>
      </c>
      <c r="R32" s="12">
        <v>11.976156101135947</v>
      </c>
      <c r="S32" s="12">
        <v>10.414048783596476</v>
      </c>
      <c r="T32" s="12">
        <v>4.9183199999999987</v>
      </c>
      <c r="U32" s="16">
        <v>52.772258876422661</v>
      </c>
      <c r="V32" s="72">
        <f>IFERROR(LOOKUP($C32,Actuals!$C$4:$C$79,Actuals!G$4:G$79),0)</f>
        <v>70.408695652173918</v>
      </c>
      <c r="W32" s="72">
        <f>IFERROR(LOOKUP($C32,Actuals!$C$4:$C$79,Actuals!H$4:H$79),0)</f>
        <v>3</v>
      </c>
      <c r="X32" s="72">
        <f>IFERROR(LOOKUP($C32,Actuals!$C$4:$C$79,Actuals!I$4:I$79),0)</f>
        <v>70.408695652173918</v>
      </c>
      <c r="Y32" s="72">
        <f>IFERROR(LOOKUP($C32,Actuals!$C$4:$C$79,Actuals!J$4:J$79),0)</f>
        <v>3</v>
      </c>
    </row>
    <row r="33" spans="1:25" ht="16.5" customHeight="1" x14ac:dyDescent="0.35">
      <c r="A33" s="3" t="s">
        <v>14</v>
      </c>
      <c r="B33" s="4">
        <v>101</v>
      </c>
      <c r="C33" s="5">
        <v>57167</v>
      </c>
      <c r="D33" s="3" t="s">
        <v>32</v>
      </c>
      <c r="E33" s="6">
        <v>16.989999999999998</v>
      </c>
      <c r="F33" s="21">
        <v>7.4</v>
      </c>
      <c r="G33" s="22">
        <v>0</v>
      </c>
      <c r="H33" s="24">
        <f t="shared" si="0"/>
        <v>0</v>
      </c>
      <c r="I33" s="24">
        <f t="shared" si="1"/>
        <v>0</v>
      </c>
      <c r="J33" s="24">
        <f t="shared" si="2"/>
        <v>0</v>
      </c>
      <c r="K33" s="25">
        <f t="shared" si="4"/>
        <v>0</v>
      </c>
      <c r="L33" s="21"/>
      <c r="M33" s="12">
        <v>32682.93</v>
      </c>
      <c r="N33" s="12">
        <v>28419.939130434785</v>
      </c>
      <c r="O33" s="12">
        <v>13422.095279999996</v>
      </c>
      <c r="P33" s="9">
        <v>2729</v>
      </c>
      <c r="Q33" s="12">
        <v>14997.843850434789</v>
      </c>
      <c r="R33" s="12">
        <v>11.976156101135947</v>
      </c>
      <c r="S33" s="12">
        <v>10.414048783596476</v>
      </c>
      <c r="T33" s="12">
        <v>4.9183199999999987</v>
      </c>
      <c r="U33" s="16">
        <v>52.772258876422661</v>
      </c>
      <c r="V33" s="72">
        <f>IFERROR(LOOKUP($C33,Actuals!$C$4:$C$79,Actuals!G$4:G$79),0)</f>
        <v>225.15652173913043</v>
      </c>
      <c r="W33" s="72">
        <f>IFERROR(LOOKUP($C33,Actuals!$C$4:$C$79,Actuals!H$4:H$79),0)</f>
        <v>7</v>
      </c>
      <c r="X33" s="72">
        <f>IFERROR(LOOKUP($C33,Actuals!$C$4:$C$79,Actuals!I$4:I$79),0)</f>
        <v>32.165217391304353</v>
      </c>
      <c r="Y33" s="72">
        <f>IFERROR(LOOKUP($C33,Actuals!$C$4:$C$79,Actuals!J$4:J$79),0)</f>
        <v>1</v>
      </c>
    </row>
    <row r="34" spans="1:25" ht="16.5" customHeight="1" x14ac:dyDescent="0.35">
      <c r="A34" s="3" t="s">
        <v>19</v>
      </c>
      <c r="B34" s="4">
        <v>101</v>
      </c>
      <c r="C34" s="5">
        <v>32858</v>
      </c>
      <c r="D34" s="3" t="s">
        <v>34</v>
      </c>
      <c r="E34" s="6">
        <v>3.8</v>
      </c>
      <c r="F34" s="21">
        <v>1.8573999999999999</v>
      </c>
      <c r="G34" s="22">
        <v>0</v>
      </c>
      <c r="H34" s="24">
        <f t="shared" si="0"/>
        <v>0</v>
      </c>
      <c r="I34" s="24">
        <f t="shared" si="1"/>
        <v>0</v>
      </c>
      <c r="J34" s="24">
        <f t="shared" si="2"/>
        <v>0</v>
      </c>
      <c r="K34" s="25">
        <f t="shared" si="4"/>
        <v>0</v>
      </c>
      <c r="L34" s="21"/>
      <c r="M34" s="12">
        <v>31987.21</v>
      </c>
      <c r="N34" s="12">
        <v>27814.965217391309</v>
      </c>
      <c r="O34" s="12">
        <v>16688.05</v>
      </c>
      <c r="P34" s="9">
        <v>2465</v>
      </c>
      <c r="Q34" s="12">
        <v>11126.915217391303</v>
      </c>
      <c r="R34" s="12">
        <v>12.976555780933063</v>
      </c>
      <c r="S34" s="12">
        <v>11.283961548637448</v>
      </c>
      <c r="T34" s="12">
        <v>6.77</v>
      </c>
      <c r="U34" s="16">
        <v>40.003340397615169</v>
      </c>
      <c r="V34" s="72">
        <f>IFERROR(LOOKUP($C34,Actuals!$C$4:$C$79,Actuals!G$4:G$79),0)</f>
        <v>19.826086956521738</v>
      </c>
      <c r="W34" s="72">
        <f>IFERROR(LOOKUP($C34,Actuals!$C$4:$C$79,Actuals!H$4:H$79),0)</f>
        <v>6</v>
      </c>
      <c r="X34" s="72">
        <f>IFERROR(LOOKUP($C34,Actuals!$C$4:$C$79,Actuals!I$4:I$79),0)</f>
        <v>102.43478260869566</v>
      </c>
      <c r="Y34" s="72">
        <f>IFERROR(LOOKUP($C34,Actuals!$C$4:$C$79,Actuals!J$4:J$79),0)</f>
        <v>31</v>
      </c>
    </row>
    <row r="35" spans="1:25" ht="16.5" customHeight="1" x14ac:dyDescent="0.35">
      <c r="A35" s="3" t="s">
        <v>35</v>
      </c>
      <c r="B35" s="4">
        <v>101</v>
      </c>
      <c r="C35" s="5">
        <v>32858</v>
      </c>
      <c r="D35" s="3" t="s">
        <v>34</v>
      </c>
      <c r="E35" s="6">
        <v>3.8</v>
      </c>
      <c r="F35" s="21">
        <v>2.0770666666666702</v>
      </c>
      <c r="G35" s="22">
        <v>0</v>
      </c>
      <c r="H35" s="24">
        <f t="shared" si="0"/>
        <v>0</v>
      </c>
      <c r="I35" s="24">
        <f t="shared" si="1"/>
        <v>0</v>
      </c>
      <c r="J35" s="24">
        <f t="shared" si="2"/>
        <v>0</v>
      </c>
      <c r="K35" s="25">
        <f t="shared" si="4"/>
        <v>0</v>
      </c>
      <c r="L35" s="21"/>
      <c r="M35" s="12">
        <v>30559.729999999996</v>
      </c>
      <c r="N35" s="12">
        <v>26573.678260869568</v>
      </c>
      <c r="O35" s="12">
        <v>18564</v>
      </c>
      <c r="P35" s="9">
        <v>1547</v>
      </c>
      <c r="Q35" s="12">
        <v>8009.6782608695576</v>
      </c>
      <c r="R35" s="12">
        <v>19.754188752424042</v>
      </c>
      <c r="S35" s="12">
        <v>17.177555436890476</v>
      </c>
      <c r="T35" s="12">
        <v>12</v>
      </c>
      <c r="U35" s="16">
        <v>30.14139850057574</v>
      </c>
      <c r="V35" s="72">
        <f>IFERROR(LOOKUP($C35,Actuals!$C$4:$C$79,Actuals!G$4:G$79),0)</f>
        <v>19.826086956521738</v>
      </c>
      <c r="W35" s="72">
        <f>IFERROR(LOOKUP($C35,Actuals!$C$4:$C$79,Actuals!H$4:H$79),0)</f>
        <v>6</v>
      </c>
      <c r="X35" s="72">
        <f>IFERROR(LOOKUP($C35,Actuals!$C$4:$C$79,Actuals!I$4:I$79),0)</f>
        <v>102.43478260869566</v>
      </c>
      <c r="Y35" s="72">
        <f>IFERROR(LOOKUP($C35,Actuals!$C$4:$C$79,Actuals!J$4:J$79),0)</f>
        <v>31</v>
      </c>
    </row>
    <row r="36" spans="1:25" ht="16.5" customHeight="1" x14ac:dyDescent="0.35">
      <c r="A36" s="3" t="s">
        <v>14</v>
      </c>
      <c r="B36" s="4">
        <v>101</v>
      </c>
      <c r="C36" s="5">
        <v>34119</v>
      </c>
      <c r="D36" s="3" t="s">
        <v>36</v>
      </c>
      <c r="E36" s="6">
        <v>3.3</v>
      </c>
      <c r="F36" s="21">
        <v>1.85</v>
      </c>
      <c r="G36" s="22">
        <v>0</v>
      </c>
      <c r="H36" s="24">
        <f t="shared" si="0"/>
        <v>0</v>
      </c>
      <c r="I36" s="24">
        <f t="shared" si="1"/>
        <v>0</v>
      </c>
      <c r="J36" s="24">
        <f t="shared" si="2"/>
        <v>0</v>
      </c>
      <c r="K36" s="25">
        <f t="shared" si="4"/>
        <v>0</v>
      </c>
      <c r="L36" s="21"/>
      <c r="M36" s="12">
        <v>29958.480000000003</v>
      </c>
      <c r="N36" s="12">
        <v>26050.852173913048</v>
      </c>
      <c r="O36" s="12">
        <v>14368.679999999997</v>
      </c>
      <c r="P36" s="9">
        <v>1002</v>
      </c>
      <c r="Q36" s="12">
        <v>11682.172173913048</v>
      </c>
      <c r="R36" s="12">
        <v>29.898682634730541</v>
      </c>
      <c r="S36" s="12">
        <v>25.998854464983083</v>
      </c>
      <c r="T36" s="12">
        <v>14.339999999999996</v>
      </c>
      <c r="U36" s="16">
        <v>44.843723713619667</v>
      </c>
      <c r="V36" s="72">
        <f>IFERROR(LOOKUP($C36,Actuals!$C$4:$C$79,Actuals!G$4:G$79),0)</f>
        <v>229.56521739130434</v>
      </c>
      <c r="W36" s="72">
        <f>IFERROR(LOOKUP($C36,Actuals!$C$4:$C$79,Actuals!H$4:H$79),0)</f>
        <v>80</v>
      </c>
      <c r="X36" s="72">
        <f>IFERROR(LOOKUP($C36,Actuals!$C$4:$C$79,Actuals!I$4:I$79),0)</f>
        <v>0</v>
      </c>
      <c r="Y36" s="72">
        <f>IFERROR(LOOKUP($C36,Actuals!$C$4:$C$79,Actuals!J$4:J$79),0)</f>
        <v>0</v>
      </c>
    </row>
    <row r="37" spans="1:25" ht="16.5" customHeight="1" x14ac:dyDescent="0.35">
      <c r="A37" s="3" t="s">
        <v>14</v>
      </c>
      <c r="B37" s="4">
        <v>101</v>
      </c>
      <c r="C37" s="5">
        <v>42401</v>
      </c>
      <c r="D37" s="3" t="s">
        <v>38</v>
      </c>
      <c r="E37" s="6">
        <v>14.99</v>
      </c>
      <c r="F37" s="21">
        <v>6.62</v>
      </c>
      <c r="G37" s="22">
        <v>0</v>
      </c>
      <c r="H37" s="24">
        <f t="shared" si="0"/>
        <v>0</v>
      </c>
      <c r="I37" s="24">
        <f t="shared" si="1"/>
        <v>0</v>
      </c>
      <c r="J37" s="24">
        <f t="shared" si="2"/>
        <v>0</v>
      </c>
      <c r="K37" s="25">
        <f t="shared" si="4"/>
        <v>0</v>
      </c>
      <c r="L37" s="21"/>
      <c r="M37" s="12">
        <v>29918.5</v>
      </c>
      <c r="N37" s="12">
        <v>26016.086956521744</v>
      </c>
      <c r="O37" s="12">
        <v>15259.82</v>
      </c>
      <c r="P37" s="9">
        <v>2998</v>
      </c>
      <c r="Q37" s="12">
        <v>10756.26695652174</v>
      </c>
      <c r="R37" s="12">
        <v>9.9794863242161433</v>
      </c>
      <c r="S37" s="12">
        <v>8.6778141949705621</v>
      </c>
      <c r="T37" s="12">
        <v>5.09</v>
      </c>
      <c r="U37" s="16">
        <v>41.344676370807363</v>
      </c>
      <c r="V37" s="72">
        <f>IFERROR(LOOKUP($C37,Actuals!$C$4:$C$79,Actuals!G$4:G$79),0)</f>
        <v>0</v>
      </c>
      <c r="W37" s="72">
        <f>IFERROR(LOOKUP($C37,Actuals!$C$4:$C$79,Actuals!H$4:H$79),0)</f>
        <v>0</v>
      </c>
      <c r="X37" s="72">
        <f>IFERROR(LOOKUP($C37,Actuals!$C$4:$C$79,Actuals!I$4:I$79),0)</f>
        <v>130.34782608695653</v>
      </c>
      <c r="Y37" s="72">
        <f>IFERROR(LOOKUP($C37,Actuals!$C$4:$C$79,Actuals!J$4:J$79),0)</f>
        <v>10</v>
      </c>
    </row>
    <row r="38" spans="1:25" ht="16.5" customHeight="1" x14ac:dyDescent="0.35">
      <c r="A38" s="3" t="s">
        <v>19</v>
      </c>
      <c r="B38" s="4">
        <v>101</v>
      </c>
      <c r="C38" s="5">
        <v>34687</v>
      </c>
      <c r="D38" s="3" t="s">
        <v>40</v>
      </c>
      <c r="E38" s="6">
        <v>3.8</v>
      </c>
      <c r="F38" s="21">
        <v>1.9688000000000001</v>
      </c>
      <c r="G38" s="22">
        <v>0</v>
      </c>
      <c r="H38" s="24">
        <f t="shared" si="0"/>
        <v>0</v>
      </c>
      <c r="I38" s="24">
        <f t="shared" si="1"/>
        <v>0</v>
      </c>
      <c r="J38" s="24">
        <f t="shared" si="2"/>
        <v>0</v>
      </c>
      <c r="K38" s="25">
        <f t="shared" si="4"/>
        <v>0</v>
      </c>
      <c r="L38" s="21"/>
      <c r="M38" s="12">
        <v>29021.47</v>
      </c>
      <c r="N38" s="12">
        <v>25236.060869565223</v>
      </c>
      <c r="O38" s="12">
        <v>14751.599999999997</v>
      </c>
      <c r="P38" s="9">
        <v>3235</v>
      </c>
      <c r="Q38" s="12">
        <v>10484.460869565222</v>
      </c>
      <c r="R38" s="12">
        <v>8.9710880989180843</v>
      </c>
      <c r="S38" s="12">
        <v>7.8009461729722478</v>
      </c>
      <c r="T38" s="12">
        <v>4.5599999999999987</v>
      </c>
      <c r="U38" s="16">
        <v>41.545552310065631</v>
      </c>
      <c r="V38" s="72">
        <f>IFERROR(LOOKUP($C38,Actuals!$C$4:$C$79,Actuals!G$4:G$79),0)</f>
        <v>19.826086956521738</v>
      </c>
      <c r="W38" s="72">
        <f>IFERROR(LOOKUP($C38,Actuals!$C$4:$C$79,Actuals!H$4:H$79),0)</f>
        <v>6</v>
      </c>
      <c r="X38" s="72">
        <f>IFERROR(LOOKUP($C38,Actuals!$C$4:$C$79,Actuals!I$4:I$79),0)</f>
        <v>3.3043478260869565</v>
      </c>
      <c r="Y38" s="72">
        <f>IFERROR(LOOKUP($C38,Actuals!$C$4:$C$79,Actuals!J$4:J$79),0)</f>
        <v>1</v>
      </c>
    </row>
    <row r="39" spans="1:25" ht="16.5" customHeight="1" x14ac:dyDescent="0.35">
      <c r="A39" s="3" t="s">
        <v>35</v>
      </c>
      <c r="B39" s="4">
        <v>101</v>
      </c>
      <c r="C39" s="5">
        <v>34687</v>
      </c>
      <c r="D39" s="3" t="s">
        <v>40</v>
      </c>
      <c r="E39" s="6">
        <v>3.8</v>
      </c>
      <c r="F39" s="21">
        <v>2.0770666666666702</v>
      </c>
      <c r="G39" s="22">
        <v>0</v>
      </c>
      <c r="H39" s="24">
        <f t="shared" si="0"/>
        <v>0</v>
      </c>
      <c r="I39" s="24">
        <f t="shared" si="1"/>
        <v>0</v>
      </c>
      <c r="J39" s="24">
        <f t="shared" si="2"/>
        <v>0</v>
      </c>
      <c r="K39" s="25">
        <f t="shared" si="4"/>
        <v>0</v>
      </c>
      <c r="L39" s="21"/>
      <c r="M39" s="12">
        <v>27072.79</v>
      </c>
      <c r="N39" s="12">
        <v>23541.556521739138</v>
      </c>
      <c r="O39" s="12">
        <v>12664.360000000004</v>
      </c>
      <c r="P39" s="9">
        <v>796</v>
      </c>
      <c r="Q39" s="12">
        <v>10877.196521739126</v>
      </c>
      <c r="R39" s="12">
        <v>34.011042713567839</v>
      </c>
      <c r="S39" s="12">
        <v>29.574819750928565</v>
      </c>
      <c r="T39" s="12">
        <v>15.910000000000005</v>
      </c>
      <c r="U39" s="16">
        <v>46.204236800122914</v>
      </c>
      <c r="V39" s="72">
        <f>IFERROR(LOOKUP($C39,Actuals!$C$4:$C$79,Actuals!G$4:G$79),0)</f>
        <v>19.826086956521738</v>
      </c>
      <c r="W39" s="72">
        <f>IFERROR(LOOKUP($C39,Actuals!$C$4:$C$79,Actuals!H$4:H$79),0)</f>
        <v>6</v>
      </c>
      <c r="X39" s="72">
        <f>IFERROR(LOOKUP($C39,Actuals!$C$4:$C$79,Actuals!I$4:I$79),0)</f>
        <v>3.3043478260869565</v>
      </c>
      <c r="Y39" s="72">
        <f>IFERROR(LOOKUP($C39,Actuals!$C$4:$C$79,Actuals!J$4:J$79),0)</f>
        <v>1</v>
      </c>
    </row>
    <row r="40" spans="1:25" ht="16.5" customHeight="1" x14ac:dyDescent="0.35">
      <c r="A40" s="3" t="s">
        <v>14</v>
      </c>
      <c r="B40" s="4">
        <v>101</v>
      </c>
      <c r="C40" s="5">
        <v>60832</v>
      </c>
      <c r="D40" s="3" t="s">
        <v>41</v>
      </c>
      <c r="E40" s="6">
        <v>10</v>
      </c>
      <c r="F40" s="21">
        <v>7.36</v>
      </c>
      <c r="G40" s="22">
        <v>0</v>
      </c>
      <c r="H40" s="24">
        <f t="shared" si="0"/>
        <v>0</v>
      </c>
      <c r="I40" s="24">
        <f t="shared" si="1"/>
        <v>0</v>
      </c>
      <c r="J40" s="24">
        <f t="shared" si="2"/>
        <v>0</v>
      </c>
      <c r="K40" s="25">
        <f t="shared" si="4"/>
        <v>0</v>
      </c>
      <c r="L40" s="21"/>
      <c r="M40" s="12">
        <v>26632.370000000003</v>
      </c>
      <c r="N40" s="12">
        <v>23158.582608695655</v>
      </c>
      <c r="O40" s="12">
        <v>10532.080000000002</v>
      </c>
      <c r="P40" s="9">
        <v>988</v>
      </c>
      <c r="Q40" s="12">
        <v>12626.502608695653</v>
      </c>
      <c r="R40" s="12">
        <v>26.955840080971662</v>
      </c>
      <c r="S40" s="12">
        <v>23.439860939975357</v>
      </c>
      <c r="T40" s="12">
        <v>10.660000000000002</v>
      </c>
      <c r="U40" s="16">
        <v>54.521914497282822</v>
      </c>
      <c r="V40" s="72">
        <f>IFERROR(LOOKUP($C40,Actuals!$C$4:$C$79,Actuals!G$4:G$79),0)</f>
        <v>0</v>
      </c>
      <c r="W40" s="72">
        <f>IFERROR(LOOKUP($C40,Actuals!$C$4:$C$79,Actuals!H$4:H$79),0)</f>
        <v>0</v>
      </c>
      <c r="X40" s="72">
        <f>IFERROR(LOOKUP($C40,Actuals!$C$4:$C$79,Actuals!I$4:I$79),0)</f>
        <v>10.417391304347827</v>
      </c>
      <c r="Y40" s="72">
        <f>IFERROR(LOOKUP($C40,Actuals!$C$4:$C$79,Actuals!J$4:J$79),0)</f>
        <v>2</v>
      </c>
    </row>
    <row r="41" spans="1:25" ht="16.5" customHeight="1" x14ac:dyDescent="0.35">
      <c r="A41" s="3" t="s">
        <v>14</v>
      </c>
      <c r="B41" s="4">
        <v>101</v>
      </c>
      <c r="C41" s="5">
        <v>34088</v>
      </c>
      <c r="D41" s="3" t="s">
        <v>44</v>
      </c>
      <c r="E41" s="6">
        <v>1.5</v>
      </c>
      <c r="F41" s="21">
        <v>0.68</v>
      </c>
      <c r="G41" s="22">
        <v>0</v>
      </c>
      <c r="H41" s="24">
        <f t="shared" si="0"/>
        <v>0</v>
      </c>
      <c r="I41" s="24">
        <f t="shared" si="1"/>
        <v>0</v>
      </c>
      <c r="J41" s="24">
        <f t="shared" si="2"/>
        <v>0</v>
      </c>
      <c r="K41" s="25">
        <f t="shared" si="4"/>
        <v>0</v>
      </c>
      <c r="L41" s="21"/>
      <c r="M41" s="12">
        <v>26328.23</v>
      </c>
      <c r="N41" s="12">
        <v>22894.113043478261</v>
      </c>
      <c r="O41" s="12">
        <v>15919.799999999997</v>
      </c>
      <c r="P41" s="9">
        <v>1014</v>
      </c>
      <c r="Q41" s="12">
        <v>6974.3130434782634</v>
      </c>
      <c r="R41" s="12">
        <v>25.964723865877712</v>
      </c>
      <c r="S41" s="12">
        <v>22.578020752937142</v>
      </c>
      <c r="T41" s="12">
        <v>15.699999999999998</v>
      </c>
      <c r="U41" s="16">
        <v>30.463346757453891</v>
      </c>
      <c r="V41" s="72">
        <f>IFERROR(LOOKUP($C41,Actuals!$C$4:$C$79,Actuals!G$4:G$79),0)</f>
        <v>0</v>
      </c>
      <c r="W41" s="72">
        <f>IFERROR(LOOKUP($C41,Actuals!$C$4:$C$79,Actuals!H$4:H$79),0)</f>
        <v>0</v>
      </c>
      <c r="X41" s="72">
        <f>IFERROR(LOOKUP($C41,Actuals!$C$4:$C$79,Actuals!I$4:I$79),0)</f>
        <v>117.39130434782609</v>
      </c>
      <c r="Y41" s="72">
        <f>IFERROR(LOOKUP($C41,Actuals!$C$4:$C$79,Actuals!J$4:J$79),0)</f>
        <v>90</v>
      </c>
    </row>
    <row r="42" spans="1:25" ht="16.5" customHeight="1" x14ac:dyDescent="0.35">
      <c r="A42" s="3" t="s">
        <v>14</v>
      </c>
      <c r="B42" s="4">
        <v>101</v>
      </c>
      <c r="C42" s="5">
        <v>62788</v>
      </c>
      <c r="D42" s="3" t="s">
        <v>46</v>
      </c>
      <c r="E42" s="6">
        <v>26.99</v>
      </c>
      <c r="F42" s="21">
        <v>10.66</v>
      </c>
      <c r="G42" s="22">
        <v>0</v>
      </c>
      <c r="H42" s="24">
        <f t="shared" si="0"/>
        <v>0</v>
      </c>
      <c r="I42" s="24">
        <f t="shared" si="1"/>
        <v>0</v>
      </c>
      <c r="J42" s="24">
        <f t="shared" si="2"/>
        <v>0</v>
      </c>
      <c r="K42" s="25">
        <f t="shared" si="4"/>
        <v>0</v>
      </c>
      <c r="L42" s="21"/>
      <c r="M42" s="12">
        <v>25419.74</v>
      </c>
      <c r="N42" s="12">
        <v>22104.121739130438</v>
      </c>
      <c r="O42" s="12">
        <v>18360.000000000004</v>
      </c>
      <c r="P42" s="9">
        <v>4250</v>
      </c>
      <c r="Q42" s="12">
        <v>3744.1217391304344</v>
      </c>
      <c r="R42" s="12">
        <v>5.9811152941176475</v>
      </c>
      <c r="S42" s="12">
        <v>5.200969820971868</v>
      </c>
      <c r="T42" s="12">
        <v>4.3200000000000012</v>
      </c>
      <c r="U42" s="16">
        <v>16.938568215095824</v>
      </c>
      <c r="V42" s="72">
        <f>IFERROR(LOOKUP($C42,Actuals!$C$4:$C$79,Actuals!G$4:G$79),0)</f>
        <v>0</v>
      </c>
      <c r="W42" s="72">
        <f>IFERROR(LOOKUP($C42,Actuals!$C$4:$C$79,Actuals!H$4:H$79),0)</f>
        <v>0</v>
      </c>
      <c r="X42" s="72">
        <f>IFERROR(LOOKUP($C42,Actuals!$C$4:$C$79,Actuals!I$4:I$79),0)</f>
        <v>1043.4782608695652</v>
      </c>
      <c r="Y42" s="72">
        <f>IFERROR(LOOKUP($C42,Actuals!$C$4:$C$79,Actuals!J$4:J$79),0)</f>
        <v>20</v>
      </c>
    </row>
    <row r="43" spans="1:25" ht="16.5" customHeight="1" x14ac:dyDescent="0.35">
      <c r="A43" s="3" t="s">
        <v>14</v>
      </c>
      <c r="B43" s="4">
        <v>101</v>
      </c>
      <c r="C43" s="5">
        <v>34092</v>
      </c>
      <c r="D43" s="3" t="s">
        <v>47</v>
      </c>
      <c r="E43" s="6">
        <v>4.99</v>
      </c>
      <c r="F43" s="21">
        <v>2.52</v>
      </c>
      <c r="G43" s="22">
        <v>0</v>
      </c>
      <c r="H43" s="24">
        <f t="shared" si="0"/>
        <v>0</v>
      </c>
      <c r="I43" s="24">
        <f t="shared" si="1"/>
        <v>0</v>
      </c>
      <c r="J43" s="24">
        <f t="shared" si="2"/>
        <v>0</v>
      </c>
      <c r="K43" s="25">
        <f t="shared" si="4"/>
        <v>0</v>
      </c>
      <c r="L43" s="21"/>
      <c r="M43" s="12">
        <v>24134.15</v>
      </c>
      <c r="N43" s="12">
        <v>20986.217391304344</v>
      </c>
      <c r="O43" s="12">
        <v>10644.800000000003</v>
      </c>
      <c r="P43" s="9">
        <v>2558</v>
      </c>
      <c r="Q43" s="12">
        <v>10341.417391304345</v>
      </c>
      <c r="R43" s="12">
        <v>9.4347732603596572</v>
      </c>
      <c r="S43" s="12">
        <v>8.2041506611823074</v>
      </c>
      <c r="T43" s="12">
        <v>4.1613760750586408</v>
      </c>
      <c r="U43" s="16">
        <v>49.277186062073852</v>
      </c>
      <c r="V43" s="72">
        <f>IFERROR(LOOKUP($C43,Actuals!$C$4:$C$79,Actuals!G$4:G$79),0)</f>
        <v>30.373913043478261</v>
      </c>
      <c r="W43" s="72">
        <f>IFERROR(LOOKUP($C43,Actuals!$C$4:$C$79,Actuals!H$4:H$79),0)</f>
        <v>7</v>
      </c>
      <c r="X43" s="72">
        <f>IFERROR(LOOKUP($C43,Actuals!$C$4:$C$79,Actuals!I$4:I$79),0)</f>
        <v>8.6782608695652179</v>
      </c>
      <c r="Y43" s="72">
        <f>IFERROR(LOOKUP($C43,Actuals!$C$4:$C$79,Actuals!J$4:J$79),0)</f>
        <v>2</v>
      </c>
    </row>
    <row r="44" spans="1:25" ht="16.5" customHeight="1" x14ac:dyDescent="0.35">
      <c r="A44" s="3" t="s">
        <v>14</v>
      </c>
      <c r="B44" s="4">
        <v>101</v>
      </c>
      <c r="C44" s="5">
        <v>54547</v>
      </c>
      <c r="D44" s="3" t="s">
        <v>49</v>
      </c>
      <c r="E44" s="6">
        <v>9.99</v>
      </c>
      <c r="F44" s="21">
        <v>3.23</v>
      </c>
      <c r="G44" s="22">
        <v>0</v>
      </c>
      <c r="H44" s="24">
        <f t="shared" si="0"/>
        <v>0</v>
      </c>
      <c r="I44" s="24">
        <f t="shared" si="1"/>
        <v>0</v>
      </c>
      <c r="J44" s="24">
        <f t="shared" si="2"/>
        <v>0</v>
      </c>
      <c r="K44" s="25">
        <f t="shared" si="4"/>
        <v>0</v>
      </c>
      <c r="L44" s="21"/>
      <c r="M44" s="12">
        <v>22560</v>
      </c>
      <c r="N44" s="12">
        <v>19617.391304347824</v>
      </c>
      <c r="O44" s="12">
        <v>11744.36</v>
      </c>
      <c r="P44" s="9">
        <v>188</v>
      </c>
      <c r="Q44" s="12">
        <v>7873.0313043478236</v>
      </c>
      <c r="R44" s="12">
        <v>120</v>
      </c>
      <c r="S44" s="12">
        <v>104.34782608695652</v>
      </c>
      <c r="T44" s="12">
        <v>62.470000000000006</v>
      </c>
      <c r="U44" s="16">
        <v>40.132916666666659</v>
      </c>
      <c r="V44" s="72">
        <f>IFERROR(LOOKUP($C44,Actuals!$C$4:$C$79,Actuals!G$4:G$79),0)</f>
        <v>132.10434782608695</v>
      </c>
      <c r="W44" s="72">
        <f>IFERROR(LOOKUP($C44,Actuals!$C$4:$C$79,Actuals!H$4:H$79),0)</f>
        <v>8</v>
      </c>
      <c r="X44" s="72">
        <f>IFERROR(LOOKUP($C44,Actuals!$C$4:$C$79,Actuals!I$4:I$79),0)</f>
        <v>49.539130434782606</v>
      </c>
      <c r="Y44" s="72">
        <f>IFERROR(LOOKUP($C44,Actuals!$C$4:$C$79,Actuals!J$4:J$79),0)</f>
        <v>3</v>
      </c>
    </row>
    <row r="45" spans="1:25" ht="16.5" customHeight="1" x14ac:dyDescent="0.35">
      <c r="A45" s="3" t="s">
        <v>14</v>
      </c>
      <c r="B45" s="4">
        <v>101</v>
      </c>
      <c r="C45" s="5">
        <v>34004</v>
      </c>
      <c r="D45" s="3" t="s">
        <v>50</v>
      </c>
      <c r="E45" s="6">
        <v>1</v>
      </c>
      <c r="F45" s="21">
        <v>0.65</v>
      </c>
      <c r="G45" s="22">
        <v>0</v>
      </c>
      <c r="H45" s="24">
        <f t="shared" si="0"/>
        <v>0</v>
      </c>
      <c r="I45" s="24">
        <f t="shared" si="1"/>
        <v>0</v>
      </c>
      <c r="J45" s="24">
        <f t="shared" si="2"/>
        <v>0</v>
      </c>
      <c r="K45" s="25">
        <f t="shared" si="4"/>
        <v>0</v>
      </c>
      <c r="L45" s="21"/>
      <c r="M45" s="12">
        <v>22277.850000000002</v>
      </c>
      <c r="N45" s="12">
        <v>19372.043478260872</v>
      </c>
      <c r="O45" s="12">
        <v>9782.8000000000011</v>
      </c>
      <c r="P45" s="9">
        <v>1322</v>
      </c>
      <c r="Q45" s="12">
        <v>9589.2434782608707</v>
      </c>
      <c r="R45" s="12">
        <v>16.851626323751894</v>
      </c>
      <c r="S45" s="12">
        <v>14.653588107610341</v>
      </c>
      <c r="T45" s="12">
        <v>7.4000000000000012</v>
      </c>
      <c r="U45" s="16">
        <v>49.500423065960135</v>
      </c>
      <c r="V45" s="72">
        <f>IFERROR(LOOKUP($C45,Actuals!$C$4:$C$79,Actuals!G$4:G$79),0)</f>
        <v>30.434782608695652</v>
      </c>
      <c r="W45" s="72">
        <f>IFERROR(LOOKUP($C45,Actuals!$C$4:$C$79,Actuals!H$4:H$79),0)</f>
        <v>35</v>
      </c>
      <c r="X45" s="72">
        <f>IFERROR(LOOKUP($C45,Actuals!$C$4:$C$79,Actuals!I$4:I$79),0)</f>
        <v>6.9565217391304346</v>
      </c>
      <c r="Y45" s="72">
        <f>IFERROR(LOOKUP($C45,Actuals!$C$4:$C$79,Actuals!J$4:J$79),0)</f>
        <v>8</v>
      </c>
    </row>
    <row r="46" spans="1:25" ht="16.5" customHeight="1" x14ac:dyDescent="0.35">
      <c r="A46" s="3" t="s">
        <v>14</v>
      </c>
      <c r="B46" s="4">
        <v>101</v>
      </c>
      <c r="C46" s="5">
        <v>57071</v>
      </c>
      <c r="D46" s="3" t="s">
        <v>53</v>
      </c>
      <c r="E46" s="6">
        <v>29.99</v>
      </c>
      <c r="F46" s="21">
        <v>12.66</v>
      </c>
      <c r="G46" s="22">
        <v>0</v>
      </c>
      <c r="H46" s="24">
        <f t="shared" si="0"/>
        <v>0</v>
      </c>
      <c r="I46" s="24">
        <f t="shared" si="1"/>
        <v>0</v>
      </c>
      <c r="J46" s="24">
        <f t="shared" si="2"/>
        <v>0</v>
      </c>
      <c r="K46" s="25">
        <f t="shared" si="4"/>
        <v>0</v>
      </c>
      <c r="L46" s="21"/>
      <c r="M46" s="12">
        <v>20774.900000000001</v>
      </c>
      <c r="N46" s="12">
        <v>18065.130434782615</v>
      </c>
      <c r="O46" s="12">
        <v>11532.999999999996</v>
      </c>
      <c r="P46" s="9">
        <v>950</v>
      </c>
      <c r="Q46" s="12">
        <v>6532.1304347826153</v>
      </c>
      <c r="R46" s="12">
        <v>21.868315789473687</v>
      </c>
      <c r="S46" s="12">
        <v>19.015926773455384</v>
      </c>
      <c r="T46" s="12">
        <v>12.139999999999997</v>
      </c>
      <c r="U46" s="16">
        <v>36.158778140929712</v>
      </c>
      <c r="V46" s="72">
        <f>IFERROR(LOOKUP($C46,Actuals!$C$4:$C$79,Actuals!G$4:G$79),0)</f>
        <v>83.408695652173918</v>
      </c>
      <c r="W46" s="72">
        <f>IFERROR(LOOKUP($C46,Actuals!$C$4:$C$79,Actuals!H$4:H$79),0)</f>
        <v>8</v>
      </c>
      <c r="X46" s="72">
        <f>IFERROR(LOOKUP($C46,Actuals!$C$4:$C$79,Actuals!I$4:I$79),0)</f>
        <v>52.130434782608695</v>
      </c>
      <c r="Y46" s="72">
        <f>IFERROR(LOOKUP($C46,Actuals!$C$4:$C$79,Actuals!J$4:J$79),0)</f>
        <v>5</v>
      </c>
    </row>
    <row r="47" spans="1:25" ht="16.5" customHeight="1" x14ac:dyDescent="0.35">
      <c r="A47" s="3" t="s">
        <v>19</v>
      </c>
      <c r="B47" s="4">
        <v>101</v>
      </c>
      <c r="C47" s="5">
        <v>34132</v>
      </c>
      <c r="D47" s="3" t="s">
        <v>55</v>
      </c>
      <c r="E47" s="6">
        <v>3.99</v>
      </c>
      <c r="F47" s="21">
        <v>2.1095999999999999</v>
      </c>
      <c r="G47" s="22">
        <v>0</v>
      </c>
      <c r="H47" s="24">
        <f t="shared" si="0"/>
        <v>0</v>
      </c>
      <c r="I47" s="24">
        <f t="shared" si="1"/>
        <v>0</v>
      </c>
      <c r="J47" s="24">
        <f t="shared" si="2"/>
        <v>0</v>
      </c>
      <c r="K47" s="25">
        <f t="shared" si="4"/>
        <v>0</v>
      </c>
      <c r="L47" s="21"/>
      <c r="M47" s="12">
        <v>20648.34</v>
      </c>
      <c r="N47" s="12">
        <v>17955.078260869566</v>
      </c>
      <c r="O47" s="12">
        <v>5724.1599999999989</v>
      </c>
      <c r="P47" s="9">
        <v>416</v>
      </c>
      <c r="Q47" s="12">
        <v>12230.918260869563</v>
      </c>
      <c r="R47" s="12">
        <v>49.635432692307695</v>
      </c>
      <c r="S47" s="12">
        <v>43.161245819397998</v>
      </c>
      <c r="T47" s="12">
        <v>13.759999999999998</v>
      </c>
      <c r="U47" s="16">
        <v>68.119548593252532</v>
      </c>
      <c r="V47" s="72">
        <f>IFERROR(LOOKUP($C47,Actuals!$C$4:$C$79,Actuals!G$4:G$79),0)</f>
        <v>229.56521739130434</v>
      </c>
      <c r="W47" s="72">
        <f>IFERROR(LOOKUP($C47,Actuals!$C$4:$C$79,Actuals!H$4:H$79),0)</f>
        <v>80</v>
      </c>
      <c r="X47" s="72">
        <f>IFERROR(LOOKUP($C47,Actuals!$C$4:$C$79,Actuals!I$4:I$79),0)</f>
        <v>0</v>
      </c>
      <c r="Y47" s="72">
        <f>IFERROR(LOOKUP($C47,Actuals!$C$4:$C$79,Actuals!J$4:J$79),0)</f>
        <v>0</v>
      </c>
    </row>
    <row r="48" spans="1:25" ht="16.5" customHeight="1" x14ac:dyDescent="0.35">
      <c r="A48" s="3" t="s">
        <v>19</v>
      </c>
      <c r="B48" s="4">
        <v>101</v>
      </c>
      <c r="C48" s="5">
        <v>34113</v>
      </c>
      <c r="D48" s="3" t="s">
        <v>56</v>
      </c>
      <c r="E48" s="6">
        <v>3.99</v>
      </c>
      <c r="F48" s="21">
        <v>2.1385999999999998</v>
      </c>
      <c r="G48" s="22">
        <v>0</v>
      </c>
      <c r="H48" s="24">
        <f t="shared" si="0"/>
        <v>0</v>
      </c>
      <c r="I48" s="24">
        <f t="shared" si="1"/>
        <v>0</v>
      </c>
      <c r="J48" s="24">
        <f t="shared" si="2"/>
        <v>0</v>
      </c>
      <c r="K48" s="25">
        <f t="shared" si="4"/>
        <v>0</v>
      </c>
      <c r="L48" s="21"/>
      <c r="M48" s="12">
        <v>20234.47</v>
      </c>
      <c r="N48" s="12">
        <v>17595.191304347823</v>
      </c>
      <c r="O48" s="12">
        <v>10598.200400000002</v>
      </c>
      <c r="P48" s="9">
        <v>5385</v>
      </c>
      <c r="Q48" s="12">
        <v>6996.9909043478256</v>
      </c>
      <c r="R48" s="12">
        <v>3.7575617455896011</v>
      </c>
      <c r="S48" s="12">
        <v>3.2674449961648699</v>
      </c>
      <c r="T48" s="12">
        <v>1.9680966388115138</v>
      </c>
      <c r="U48" s="16">
        <v>39.766495193597848</v>
      </c>
      <c r="V48" s="72">
        <f>IFERROR(LOOKUP($C48,Actuals!$C$4:$C$79,Actuals!G$4:G$79),0)</f>
        <v>69.556521739130432</v>
      </c>
      <c r="W48" s="72">
        <f>IFERROR(LOOKUP($C48,Actuals!$C$4:$C$79,Actuals!H$4:H$79),0)</f>
        <v>1</v>
      </c>
      <c r="X48" s="72">
        <f>IFERROR(LOOKUP($C48,Actuals!$C$4:$C$79,Actuals!I$4:I$79),0)</f>
        <v>0</v>
      </c>
      <c r="Y48" s="72">
        <f>IFERROR(LOOKUP($C48,Actuals!$C$4:$C$79,Actuals!J$4:J$79),0)</f>
        <v>0</v>
      </c>
    </row>
    <row r="49" spans="1:25" ht="16.5" customHeight="1" x14ac:dyDescent="0.35">
      <c r="A49" s="3" t="s">
        <v>19</v>
      </c>
      <c r="B49" s="4">
        <v>101</v>
      </c>
      <c r="C49" s="5">
        <v>40158</v>
      </c>
      <c r="D49" s="3" t="s">
        <v>58</v>
      </c>
      <c r="E49" s="6">
        <v>11.99</v>
      </c>
      <c r="F49" s="21">
        <v>6.05</v>
      </c>
      <c r="G49" s="22">
        <v>0</v>
      </c>
      <c r="H49" s="24">
        <f t="shared" si="0"/>
        <v>0</v>
      </c>
      <c r="I49" s="24">
        <f t="shared" si="1"/>
        <v>0</v>
      </c>
      <c r="J49" s="24">
        <f t="shared" si="2"/>
        <v>0</v>
      </c>
      <c r="K49" s="25">
        <f t="shared" si="4"/>
        <v>0</v>
      </c>
      <c r="L49" s="21"/>
      <c r="M49" s="12">
        <v>20234.47</v>
      </c>
      <c r="N49" s="12">
        <v>17595.191304347823</v>
      </c>
      <c r="O49" s="12">
        <v>10598.200400000002</v>
      </c>
      <c r="P49" s="9">
        <v>5385</v>
      </c>
      <c r="Q49" s="12">
        <v>6996.9909043478256</v>
      </c>
      <c r="R49" s="12">
        <v>3.7575617455896011</v>
      </c>
      <c r="S49" s="12">
        <v>3.2674449961648699</v>
      </c>
      <c r="T49" s="12">
        <v>1.9680966388115138</v>
      </c>
      <c r="U49" s="16">
        <v>39.766495193597848</v>
      </c>
      <c r="V49" s="72">
        <f>IFERROR(LOOKUP($C49,Actuals!$C$4:$C$79,Actuals!G$4:G$79),0)</f>
        <v>13.904347826086957</v>
      </c>
      <c r="W49" s="72">
        <f>IFERROR(LOOKUP($C49,Actuals!$C$4:$C$79,Actuals!H$4:H$79),0)</f>
        <v>1</v>
      </c>
      <c r="X49" s="72">
        <f>IFERROR(LOOKUP($C49,Actuals!$C$4:$C$79,Actuals!I$4:I$79),0)</f>
        <v>13.904347826086957</v>
      </c>
      <c r="Y49" s="72">
        <f>IFERROR(LOOKUP($C49,Actuals!$C$4:$C$79,Actuals!J$4:J$79),0)</f>
        <v>1</v>
      </c>
    </row>
    <row r="50" spans="1:25" ht="16.5" customHeight="1" x14ac:dyDescent="0.35">
      <c r="A50" s="3" t="s">
        <v>14</v>
      </c>
      <c r="B50" s="4">
        <v>101</v>
      </c>
      <c r="C50" s="5">
        <v>40158</v>
      </c>
      <c r="D50" s="3" t="s">
        <v>58</v>
      </c>
      <c r="E50" s="6">
        <v>11.99</v>
      </c>
      <c r="F50" s="21">
        <v>6.05</v>
      </c>
      <c r="G50" s="22">
        <v>0</v>
      </c>
      <c r="H50" s="24">
        <f t="shared" si="0"/>
        <v>0</v>
      </c>
      <c r="I50" s="24">
        <f t="shared" si="1"/>
        <v>0</v>
      </c>
      <c r="J50" s="24">
        <f t="shared" si="2"/>
        <v>0</v>
      </c>
      <c r="K50" s="25">
        <f t="shared" si="4"/>
        <v>0</v>
      </c>
      <c r="L50" s="21"/>
      <c r="M50" s="12">
        <v>19817.16</v>
      </c>
      <c r="N50" s="12">
        <v>17232.313043478262</v>
      </c>
      <c r="O50" s="12">
        <v>11157.35</v>
      </c>
      <c r="P50" s="9">
        <v>6031</v>
      </c>
      <c r="Q50" s="12">
        <v>6074.9630434782612</v>
      </c>
      <c r="R50" s="12">
        <v>3.2858829381528767</v>
      </c>
      <c r="S50" s="12">
        <v>2.8572895114372843</v>
      </c>
      <c r="T50" s="12">
        <v>1.85</v>
      </c>
      <c r="U50" s="16">
        <v>35.25332338236155</v>
      </c>
      <c r="V50" s="72">
        <f>IFERROR(LOOKUP($C50,Actuals!$C$4:$C$79,Actuals!G$4:G$79),0)</f>
        <v>13.904347826086957</v>
      </c>
      <c r="W50" s="72">
        <f>IFERROR(LOOKUP($C50,Actuals!$C$4:$C$79,Actuals!H$4:H$79),0)</f>
        <v>1</v>
      </c>
      <c r="X50" s="72">
        <f>IFERROR(LOOKUP($C50,Actuals!$C$4:$C$79,Actuals!I$4:I$79),0)</f>
        <v>13.904347826086957</v>
      </c>
      <c r="Y50" s="72">
        <f>IFERROR(LOOKUP($C50,Actuals!$C$4:$C$79,Actuals!J$4:J$79),0)</f>
        <v>1</v>
      </c>
    </row>
    <row r="51" spans="1:25" ht="16.5" customHeight="1" x14ac:dyDescent="0.35">
      <c r="A51" s="3" t="s">
        <v>14</v>
      </c>
      <c r="B51" s="4">
        <v>101</v>
      </c>
      <c r="C51" s="5">
        <v>53528</v>
      </c>
      <c r="D51" s="3" t="s">
        <v>59</v>
      </c>
      <c r="E51" s="6">
        <v>28.99</v>
      </c>
      <c r="F51" s="21">
        <v>14.86</v>
      </c>
      <c r="G51" s="22">
        <v>0</v>
      </c>
      <c r="H51" s="24">
        <f t="shared" si="0"/>
        <v>0</v>
      </c>
      <c r="I51" s="24">
        <f t="shared" si="1"/>
        <v>0</v>
      </c>
      <c r="J51" s="24">
        <f t="shared" si="2"/>
        <v>0</v>
      </c>
      <c r="K51" s="25">
        <f t="shared" si="4"/>
        <v>0</v>
      </c>
      <c r="L51" s="21"/>
      <c r="M51" s="12">
        <v>19201.350000000006</v>
      </c>
      <c r="N51" s="12">
        <v>16696.826086956524</v>
      </c>
      <c r="O51" s="12">
        <v>11772.999999999998</v>
      </c>
      <c r="P51" s="9">
        <v>965</v>
      </c>
      <c r="Q51" s="12">
        <v>4923.8260869565293</v>
      </c>
      <c r="R51" s="12">
        <v>19.897772020725395</v>
      </c>
      <c r="S51" s="12">
        <v>17.302410452804686</v>
      </c>
      <c r="T51" s="12">
        <v>12.199999999999998</v>
      </c>
      <c r="U51" s="16">
        <v>29.489593179646256</v>
      </c>
      <c r="V51" s="72">
        <f>IFERROR(LOOKUP($C51,Actuals!$C$4:$C$79,Actuals!G$4:G$79),0)</f>
        <v>194.04347826086956</v>
      </c>
      <c r="W51" s="72">
        <f>IFERROR(LOOKUP($C51,Actuals!$C$4:$C$79,Actuals!H$4:H$79),0)</f>
        <v>6.976</v>
      </c>
      <c r="X51" s="72">
        <f>IFERROR(LOOKUP($C51,Actuals!$C$4:$C$79,Actuals!I$4:I$79),0)</f>
        <v>133.09565217391304</v>
      </c>
      <c r="Y51" s="72">
        <f>IFERROR(LOOKUP($C51,Actuals!$C$4:$C$79,Actuals!J$4:J$79),0)</f>
        <v>4.7850000000000001</v>
      </c>
    </row>
    <row r="52" spans="1:25" ht="16.5" customHeight="1" x14ac:dyDescent="0.35">
      <c r="A52" s="3" t="s">
        <v>14</v>
      </c>
      <c r="B52" s="4">
        <v>101</v>
      </c>
      <c r="C52" s="5">
        <v>34086</v>
      </c>
      <c r="D52" s="3" t="s">
        <v>60</v>
      </c>
      <c r="E52" s="6">
        <v>29.99</v>
      </c>
      <c r="F52" s="21">
        <v>10</v>
      </c>
      <c r="G52" s="22">
        <v>0</v>
      </c>
      <c r="H52" s="24">
        <f t="shared" si="0"/>
        <v>0</v>
      </c>
      <c r="I52" s="24">
        <f t="shared" si="1"/>
        <v>0</v>
      </c>
      <c r="J52" s="24">
        <f t="shared" si="2"/>
        <v>0</v>
      </c>
      <c r="K52" s="25">
        <f t="shared" si="4"/>
        <v>0</v>
      </c>
      <c r="L52" s="21"/>
      <c r="M52" s="12">
        <v>19072.490000000009</v>
      </c>
      <c r="N52" s="12">
        <v>16584.773913043486</v>
      </c>
      <c r="O52" s="12">
        <v>8124.3000000000011</v>
      </c>
      <c r="P52" s="9">
        <v>1593</v>
      </c>
      <c r="Q52" s="12">
        <v>8460.4739130434846</v>
      </c>
      <c r="R52" s="12">
        <v>11.972686754551168</v>
      </c>
      <c r="S52" s="12">
        <v>10.411031960479276</v>
      </c>
      <c r="T52" s="12">
        <v>5.1000000000000005</v>
      </c>
      <c r="U52" s="16">
        <v>51.013501645563863</v>
      </c>
      <c r="V52" s="72">
        <f>IFERROR(LOOKUP($C52,Actuals!$C$4:$C$79,Actuals!G$4:G$79),0)</f>
        <v>5.2695652173913041</v>
      </c>
      <c r="W52" s="72">
        <f>IFERROR(LOOKUP($C52,Actuals!$C$4:$C$79,Actuals!H$4:H$79),0)</f>
        <v>0.20200000000000001</v>
      </c>
      <c r="X52" s="72">
        <f>IFERROR(LOOKUP($C52,Actuals!$C$4:$C$79,Actuals!I$4:I$79),0)</f>
        <v>0</v>
      </c>
      <c r="Y52" s="72">
        <f>IFERROR(LOOKUP($C52,Actuals!$C$4:$C$79,Actuals!J$4:J$79),0)</f>
        <v>0</v>
      </c>
    </row>
    <row r="53" spans="1:25" ht="16.5" customHeight="1" x14ac:dyDescent="0.35">
      <c r="A53" s="3" t="s">
        <v>14</v>
      </c>
      <c r="B53" s="4">
        <v>101</v>
      </c>
      <c r="C53" s="5">
        <v>53497</v>
      </c>
      <c r="D53" s="3" t="s">
        <v>61</v>
      </c>
      <c r="E53" s="6">
        <v>79.989999999999995</v>
      </c>
      <c r="F53" s="21">
        <v>32.200000000000003</v>
      </c>
      <c r="G53" s="22">
        <v>0</v>
      </c>
      <c r="H53" s="24">
        <f t="shared" si="0"/>
        <v>0</v>
      </c>
      <c r="I53" s="24">
        <f t="shared" si="1"/>
        <v>0</v>
      </c>
      <c r="J53" s="24">
        <f t="shared" si="2"/>
        <v>0</v>
      </c>
      <c r="K53" s="25">
        <f t="shared" si="4"/>
        <v>0</v>
      </c>
      <c r="L53" s="21"/>
      <c r="M53" s="12">
        <v>19068.940000000002</v>
      </c>
      <c r="N53" s="12">
        <v>16581.686956521742</v>
      </c>
      <c r="O53" s="12">
        <v>2085.3583999999996</v>
      </c>
      <c r="P53" s="9">
        <v>656</v>
      </c>
      <c r="Q53" s="12">
        <v>14496.328556521743</v>
      </c>
      <c r="R53" s="12">
        <v>29.068506097560981</v>
      </c>
      <c r="S53" s="12">
        <v>25.276961823966069</v>
      </c>
      <c r="T53" s="12">
        <v>3.1788999999999996</v>
      </c>
      <c r="U53" s="16">
        <v>87.423725912399959</v>
      </c>
      <c r="V53" s="72">
        <f>IFERROR(LOOKUP($C53,Actuals!$C$4:$C$79,Actuals!G$4:G$79),0)</f>
        <v>194.04347826086956</v>
      </c>
      <c r="W53" s="72">
        <f>IFERROR(LOOKUP($C53,Actuals!$C$4:$C$79,Actuals!H$4:H$79),0)</f>
        <v>6.976</v>
      </c>
      <c r="X53" s="72">
        <f>IFERROR(LOOKUP($C53,Actuals!$C$4:$C$79,Actuals!I$4:I$79),0)</f>
        <v>133.09565217391304</v>
      </c>
      <c r="Y53" s="72">
        <f>IFERROR(LOOKUP($C53,Actuals!$C$4:$C$79,Actuals!J$4:J$79),0)</f>
        <v>4.7850000000000001</v>
      </c>
    </row>
    <row r="54" spans="1:25" ht="16.5" customHeight="1" x14ac:dyDescent="0.35">
      <c r="A54" s="3" t="s">
        <v>14</v>
      </c>
      <c r="B54" s="4">
        <v>101</v>
      </c>
      <c r="C54" s="5">
        <v>54228</v>
      </c>
      <c r="D54" s="3" t="s">
        <v>62</v>
      </c>
      <c r="E54" s="6">
        <v>13.99</v>
      </c>
      <c r="F54" s="21">
        <v>7.37</v>
      </c>
      <c r="G54" s="22">
        <v>0</v>
      </c>
      <c r="H54" s="24">
        <f t="shared" si="0"/>
        <v>0</v>
      </c>
      <c r="I54" s="24">
        <f t="shared" si="1"/>
        <v>0</v>
      </c>
      <c r="J54" s="24">
        <f t="shared" si="2"/>
        <v>0</v>
      </c>
      <c r="K54" s="25">
        <f t="shared" ref="K54:K85" si="5">IFERROR(J54/H54*100,0)</f>
        <v>0</v>
      </c>
      <c r="L54" s="21"/>
      <c r="M54" s="12">
        <v>18856.399999999998</v>
      </c>
      <c r="N54" s="12">
        <v>16396.869565217392</v>
      </c>
      <c r="O54" s="12">
        <v>8672.2000000000007</v>
      </c>
      <c r="P54" s="9">
        <v>1310</v>
      </c>
      <c r="Q54" s="12">
        <v>7724.6695652173876</v>
      </c>
      <c r="R54" s="12">
        <v>14.394198473282442</v>
      </c>
      <c r="S54" s="12">
        <v>12.516694324593429</v>
      </c>
      <c r="T54" s="12">
        <v>6.620000000000001</v>
      </c>
      <c r="U54" s="16">
        <v>47.110636176576634</v>
      </c>
      <c r="V54" s="72">
        <f>IFERROR(LOOKUP($C54,Actuals!$C$4:$C$79,Actuals!G$4:G$79),0)</f>
        <v>132.10434782608695</v>
      </c>
      <c r="W54" s="72">
        <f>IFERROR(LOOKUP($C54,Actuals!$C$4:$C$79,Actuals!H$4:H$79),0)</f>
        <v>8</v>
      </c>
      <c r="X54" s="72">
        <f>IFERROR(LOOKUP($C54,Actuals!$C$4:$C$79,Actuals!I$4:I$79),0)</f>
        <v>49.539130434782606</v>
      </c>
      <c r="Y54" s="72">
        <f>IFERROR(LOOKUP($C54,Actuals!$C$4:$C$79,Actuals!J$4:J$79),0)</f>
        <v>3</v>
      </c>
    </row>
    <row r="55" spans="1:25" ht="16.5" customHeight="1" x14ac:dyDescent="0.35">
      <c r="A55" s="3" t="s">
        <v>14</v>
      </c>
      <c r="B55" s="4">
        <v>101</v>
      </c>
      <c r="C55" s="5">
        <v>34006</v>
      </c>
      <c r="D55" s="3" t="s">
        <v>63</v>
      </c>
      <c r="E55" s="6">
        <v>10.99</v>
      </c>
      <c r="F55" s="21">
        <v>6.3</v>
      </c>
      <c r="G55" s="22">
        <v>0</v>
      </c>
      <c r="H55" s="24">
        <f t="shared" si="0"/>
        <v>0</v>
      </c>
      <c r="I55" s="24">
        <f t="shared" si="1"/>
        <v>0</v>
      </c>
      <c r="J55" s="24">
        <f t="shared" si="2"/>
        <v>0</v>
      </c>
      <c r="K55" s="25">
        <f t="shared" si="5"/>
        <v>0</v>
      </c>
      <c r="L55" s="21"/>
      <c r="M55" s="12">
        <v>18732.740000000005</v>
      </c>
      <c r="N55" s="12">
        <v>16289.339130434788</v>
      </c>
      <c r="O55" s="12">
        <v>0</v>
      </c>
      <c r="P55" s="9">
        <v>1271</v>
      </c>
      <c r="Q55" s="12">
        <v>16289.339130434786</v>
      </c>
      <c r="R55" s="12">
        <v>14.738583792289539</v>
      </c>
      <c r="S55" s="12">
        <v>12.816159819382209</v>
      </c>
      <c r="T55" s="12">
        <v>0</v>
      </c>
      <c r="U55" s="16">
        <v>100</v>
      </c>
      <c r="V55" s="72">
        <f>IFERROR(LOOKUP($C55,Actuals!$C$4:$C$79,Actuals!G$4:G$79),0)</f>
        <v>30.434782608695652</v>
      </c>
      <c r="W55" s="72">
        <f>IFERROR(LOOKUP($C55,Actuals!$C$4:$C$79,Actuals!H$4:H$79),0)</f>
        <v>35</v>
      </c>
      <c r="X55" s="72">
        <f>IFERROR(LOOKUP($C55,Actuals!$C$4:$C$79,Actuals!I$4:I$79),0)</f>
        <v>6.9565217391304346</v>
      </c>
      <c r="Y55" s="72">
        <f>IFERROR(LOOKUP($C55,Actuals!$C$4:$C$79,Actuals!J$4:J$79),0)</f>
        <v>8</v>
      </c>
    </row>
    <row r="56" spans="1:25" ht="16.5" customHeight="1" x14ac:dyDescent="0.35">
      <c r="A56" s="3" t="s">
        <v>14</v>
      </c>
      <c r="B56" s="4">
        <v>101</v>
      </c>
      <c r="C56" s="5">
        <v>34059</v>
      </c>
      <c r="D56" s="3" t="s">
        <v>64</v>
      </c>
      <c r="E56" s="6">
        <v>6.99</v>
      </c>
      <c r="F56" s="21">
        <v>3.8</v>
      </c>
      <c r="G56" s="22">
        <v>0</v>
      </c>
      <c r="H56" s="24">
        <f t="shared" si="0"/>
        <v>0</v>
      </c>
      <c r="I56" s="24">
        <f t="shared" si="1"/>
        <v>0</v>
      </c>
      <c r="J56" s="24">
        <f t="shared" si="2"/>
        <v>0</v>
      </c>
      <c r="K56" s="25">
        <f t="shared" si="5"/>
        <v>0</v>
      </c>
      <c r="L56" s="21"/>
      <c r="M56" s="12">
        <v>17713.699999999997</v>
      </c>
      <c r="N56" s="12">
        <v>15403.21739130435</v>
      </c>
      <c r="O56" s="12">
        <v>9414.8016000000007</v>
      </c>
      <c r="P56" s="9">
        <v>4782</v>
      </c>
      <c r="Q56" s="12">
        <v>5988.4157913043455</v>
      </c>
      <c r="R56" s="12">
        <v>3.7042450857381843</v>
      </c>
      <c r="S56" s="12">
        <v>3.2210826832505961</v>
      </c>
      <c r="T56" s="12">
        <v>1.9688000000000001</v>
      </c>
      <c r="U56" s="16">
        <v>38.877694439896793</v>
      </c>
      <c r="V56" s="72">
        <f>IFERROR(LOOKUP($C56,Actuals!$C$4:$C$79,Actuals!G$4:G$79),0)</f>
        <v>41.713043478260872</v>
      </c>
      <c r="W56" s="72">
        <f>IFERROR(LOOKUP($C56,Actuals!$C$4:$C$79,Actuals!H$4:H$79),0)</f>
        <v>3</v>
      </c>
      <c r="X56" s="72">
        <f>IFERROR(LOOKUP($C56,Actuals!$C$4:$C$79,Actuals!I$4:I$79),0)</f>
        <v>55.617391304347827</v>
      </c>
      <c r="Y56" s="72">
        <f>IFERROR(LOOKUP($C56,Actuals!$C$4:$C$79,Actuals!J$4:J$79),0)</f>
        <v>4</v>
      </c>
    </row>
    <row r="57" spans="1:25" ht="16.5" customHeight="1" x14ac:dyDescent="0.35">
      <c r="A57" s="3" t="s">
        <v>14</v>
      </c>
      <c r="B57" s="4">
        <v>101</v>
      </c>
      <c r="C57" s="5">
        <v>65681</v>
      </c>
      <c r="D57" s="3" t="s">
        <v>65</v>
      </c>
      <c r="E57" s="6">
        <v>29.99</v>
      </c>
      <c r="F57" s="21">
        <v>16.03</v>
      </c>
      <c r="G57" s="22">
        <v>0</v>
      </c>
      <c r="H57" s="24">
        <f t="shared" si="0"/>
        <v>0</v>
      </c>
      <c r="I57" s="24">
        <f t="shared" si="1"/>
        <v>0</v>
      </c>
      <c r="J57" s="24">
        <f t="shared" si="2"/>
        <v>0</v>
      </c>
      <c r="K57" s="25">
        <f t="shared" si="5"/>
        <v>0</v>
      </c>
      <c r="L57" s="21"/>
      <c r="M57" s="12">
        <v>17713.699999999997</v>
      </c>
      <c r="N57" s="12">
        <v>15403.21739130435</v>
      </c>
      <c r="O57" s="12">
        <v>9414.8016000000007</v>
      </c>
      <c r="P57" s="9">
        <v>4782</v>
      </c>
      <c r="Q57" s="12">
        <v>5988.4157913043455</v>
      </c>
      <c r="R57" s="12">
        <v>3.7042450857381843</v>
      </c>
      <c r="S57" s="12">
        <v>3.2210826832505961</v>
      </c>
      <c r="T57" s="12">
        <v>1.9688000000000001</v>
      </c>
      <c r="U57" s="16">
        <v>38.877694439896793</v>
      </c>
      <c r="V57" s="72">
        <f>IFERROR(LOOKUP($C57,Actuals!$C$4:$C$79,Actuals!G$4:G$79),0)</f>
        <v>0</v>
      </c>
      <c r="W57" s="72">
        <f>IFERROR(LOOKUP($C57,Actuals!$C$4:$C$79,Actuals!H$4:H$79),0)</f>
        <v>0</v>
      </c>
      <c r="X57" s="72">
        <f>IFERROR(LOOKUP($C57,Actuals!$C$4:$C$79,Actuals!I$4:I$79),0)</f>
        <v>1043.4782608695652</v>
      </c>
      <c r="Y57" s="72">
        <f>IFERROR(LOOKUP($C57,Actuals!$C$4:$C$79,Actuals!J$4:J$79),0)</f>
        <v>20</v>
      </c>
    </row>
    <row r="58" spans="1:25" ht="16.5" customHeight="1" x14ac:dyDescent="0.35">
      <c r="A58" s="3" t="s">
        <v>14</v>
      </c>
      <c r="B58" s="4">
        <v>101</v>
      </c>
      <c r="C58" s="5">
        <v>62390</v>
      </c>
      <c r="D58" s="3" t="s">
        <v>67</v>
      </c>
      <c r="E58" s="6">
        <v>19.989999999999998</v>
      </c>
      <c r="F58" s="21">
        <v>7.43</v>
      </c>
      <c r="G58" s="22">
        <v>0</v>
      </c>
      <c r="H58" s="24">
        <f t="shared" si="0"/>
        <v>0</v>
      </c>
      <c r="I58" s="24">
        <f t="shared" si="1"/>
        <v>0</v>
      </c>
      <c r="J58" s="24">
        <f t="shared" si="2"/>
        <v>0</v>
      </c>
      <c r="K58" s="25">
        <f t="shared" si="5"/>
        <v>0</v>
      </c>
      <c r="L58" s="21"/>
      <c r="M58" s="12">
        <v>17495.680000000004</v>
      </c>
      <c r="N58" s="12">
        <v>15213.634782608699</v>
      </c>
      <c r="O58" s="12">
        <v>8329.9131999999991</v>
      </c>
      <c r="P58" s="9">
        <v>1883</v>
      </c>
      <c r="Q58" s="12">
        <v>6883.7215826087031</v>
      </c>
      <c r="R58" s="12">
        <v>9.2913860860329276</v>
      </c>
      <c r="S58" s="12">
        <v>8.0794661617677637</v>
      </c>
      <c r="T58" s="12">
        <v>4.4237457249070626</v>
      </c>
      <c r="U58" s="16">
        <v>45.247054244247749</v>
      </c>
      <c r="V58" s="72">
        <f>IFERROR(LOOKUP($C58,Actuals!$C$4:$C$79,Actuals!G$4:G$79),0)</f>
        <v>25.208695652173912</v>
      </c>
      <c r="W58" s="72">
        <f>IFERROR(LOOKUP($C58,Actuals!$C$4:$C$79,Actuals!H$4:H$79),0)</f>
        <v>1</v>
      </c>
      <c r="X58" s="72">
        <f>IFERROR(LOOKUP($C58,Actuals!$C$4:$C$79,Actuals!I$4:I$79),0)</f>
        <v>25.208695652173912</v>
      </c>
      <c r="Y58" s="72">
        <f>IFERROR(LOOKUP($C58,Actuals!$C$4:$C$79,Actuals!J$4:J$79),0)</f>
        <v>1</v>
      </c>
    </row>
    <row r="59" spans="1:25" ht="16.5" customHeight="1" x14ac:dyDescent="0.35">
      <c r="A59" s="3" t="s">
        <v>14</v>
      </c>
      <c r="B59" s="4">
        <v>101</v>
      </c>
      <c r="C59" s="5">
        <v>32862</v>
      </c>
      <c r="D59" s="3" t="s">
        <v>68</v>
      </c>
      <c r="E59" s="6">
        <v>9.99</v>
      </c>
      <c r="F59" s="21">
        <v>5.14</v>
      </c>
      <c r="G59" s="22">
        <v>0</v>
      </c>
      <c r="H59" s="24">
        <f t="shared" si="0"/>
        <v>0</v>
      </c>
      <c r="I59" s="24">
        <f t="shared" si="1"/>
        <v>0</v>
      </c>
      <c r="J59" s="24">
        <f t="shared" si="2"/>
        <v>0</v>
      </c>
      <c r="K59" s="25">
        <f t="shared" si="5"/>
        <v>0</v>
      </c>
      <c r="L59" s="21"/>
      <c r="M59" s="12">
        <v>16771.030000000002</v>
      </c>
      <c r="N59" s="12">
        <v>14583.504347826092</v>
      </c>
      <c r="O59" s="12">
        <v>8612.2000000000007</v>
      </c>
      <c r="P59" s="9">
        <v>947</v>
      </c>
      <c r="Q59" s="12">
        <v>5971.3043478260897</v>
      </c>
      <c r="R59" s="12">
        <v>17.709640971488916</v>
      </c>
      <c r="S59" s="12">
        <v>15.399687801294712</v>
      </c>
      <c r="T59" s="12">
        <v>9.0941921858500532</v>
      </c>
      <c r="U59" s="16">
        <v>40.945606799343878</v>
      </c>
      <c r="V59" s="72">
        <f>IFERROR(LOOKUP($C59,Actuals!$C$4:$C$79,Actuals!G$4:G$79),0)</f>
        <v>365.04347826086956</v>
      </c>
      <c r="W59" s="72">
        <f>IFERROR(LOOKUP($C59,Actuals!$C$4:$C$79,Actuals!H$4:H$79),0)</f>
        <v>20</v>
      </c>
      <c r="X59" s="72">
        <f>IFERROR(LOOKUP($C59,Actuals!$C$4:$C$79,Actuals!I$4:I$79),0)</f>
        <v>200.77391304347825</v>
      </c>
      <c r="Y59" s="72">
        <f>IFERROR(LOOKUP($C59,Actuals!$C$4:$C$79,Actuals!J$4:J$79),0)</f>
        <v>11</v>
      </c>
    </row>
    <row r="60" spans="1:25" ht="16.5" customHeight="1" x14ac:dyDescent="0.35">
      <c r="A60" s="3" t="s">
        <v>14</v>
      </c>
      <c r="B60" s="4">
        <v>101</v>
      </c>
      <c r="C60" s="5">
        <v>56350</v>
      </c>
      <c r="D60" s="3" t="s">
        <v>69</v>
      </c>
      <c r="E60" s="6">
        <v>4.99</v>
      </c>
      <c r="F60" s="21">
        <v>2.61</v>
      </c>
      <c r="G60" s="22">
        <v>0</v>
      </c>
      <c r="H60" s="24">
        <f t="shared" si="0"/>
        <v>0</v>
      </c>
      <c r="I60" s="24">
        <f t="shared" si="1"/>
        <v>0</v>
      </c>
      <c r="J60" s="24">
        <f t="shared" si="2"/>
        <v>0</v>
      </c>
      <c r="K60" s="25">
        <f t="shared" si="5"/>
        <v>0</v>
      </c>
      <c r="L60" s="21"/>
      <c r="M60" s="12">
        <v>16500</v>
      </c>
      <c r="N60" s="12">
        <v>14347.826086956522</v>
      </c>
      <c r="O60" s="12">
        <v>14307.84</v>
      </c>
      <c r="P60" s="9">
        <v>1944</v>
      </c>
      <c r="Q60" s="12">
        <v>39.986086956521831</v>
      </c>
      <c r="R60" s="12">
        <v>8.4876543209876552</v>
      </c>
      <c r="S60" s="12">
        <v>7.3805689747718732</v>
      </c>
      <c r="T60" s="12">
        <v>7.36</v>
      </c>
      <c r="U60" s="16">
        <v>0.27869090909090971</v>
      </c>
      <c r="V60" s="72">
        <f>IFERROR(LOOKUP($C60,Actuals!$C$4:$C$79,Actuals!G$4:G$79),0)</f>
        <v>83.408695652173918</v>
      </c>
      <c r="W60" s="72">
        <f>IFERROR(LOOKUP($C60,Actuals!$C$4:$C$79,Actuals!H$4:H$79),0)</f>
        <v>8</v>
      </c>
      <c r="X60" s="72">
        <f>IFERROR(LOOKUP($C60,Actuals!$C$4:$C$79,Actuals!I$4:I$79),0)</f>
        <v>52.130434782608695</v>
      </c>
      <c r="Y60" s="72">
        <f>IFERROR(LOOKUP($C60,Actuals!$C$4:$C$79,Actuals!J$4:J$79),0)</f>
        <v>5</v>
      </c>
    </row>
    <row r="61" spans="1:25" ht="16.5" customHeight="1" x14ac:dyDescent="0.35">
      <c r="A61" s="3" t="s">
        <v>14</v>
      </c>
      <c r="B61" s="4">
        <v>101</v>
      </c>
      <c r="C61" s="5">
        <v>62622</v>
      </c>
      <c r="D61" s="3" t="s">
        <v>70</v>
      </c>
      <c r="E61" s="6">
        <v>26.99</v>
      </c>
      <c r="F61" s="21">
        <v>14.15</v>
      </c>
      <c r="G61" s="22">
        <v>0</v>
      </c>
      <c r="H61" s="24">
        <f t="shared" si="0"/>
        <v>0</v>
      </c>
      <c r="I61" s="24">
        <f t="shared" si="1"/>
        <v>0</v>
      </c>
      <c r="J61" s="24">
        <f t="shared" si="2"/>
        <v>0</v>
      </c>
      <c r="K61" s="25">
        <f t="shared" si="5"/>
        <v>0</v>
      </c>
      <c r="L61" s="21"/>
      <c r="M61" s="12">
        <v>15558.990000000003</v>
      </c>
      <c r="N61" s="12">
        <v>13529.556521739132</v>
      </c>
      <c r="O61" s="12">
        <v>5099.03</v>
      </c>
      <c r="P61" s="9">
        <v>571</v>
      </c>
      <c r="Q61" s="12">
        <v>8430.5265217391352</v>
      </c>
      <c r="R61" s="12">
        <v>27.24866900175132</v>
      </c>
      <c r="S61" s="12">
        <v>23.694494784131582</v>
      </c>
      <c r="T61" s="12">
        <v>8.93</v>
      </c>
      <c r="U61" s="16">
        <v>62.311920632380392</v>
      </c>
      <c r="V61" s="72">
        <f>IFERROR(LOOKUP($C61,Actuals!$C$4:$C$79,Actuals!G$4:G$79),0)</f>
        <v>70.408695652173918</v>
      </c>
      <c r="W61" s="72">
        <f>IFERROR(LOOKUP($C61,Actuals!$C$4:$C$79,Actuals!H$4:H$79),0)</f>
        <v>3</v>
      </c>
      <c r="X61" s="72">
        <f>IFERROR(LOOKUP($C61,Actuals!$C$4:$C$79,Actuals!I$4:I$79),0)</f>
        <v>0</v>
      </c>
      <c r="Y61" s="72">
        <f>IFERROR(LOOKUP($C61,Actuals!$C$4:$C$79,Actuals!J$4:J$79),0)</f>
        <v>0</v>
      </c>
    </row>
    <row r="62" spans="1:25" ht="16.5" customHeight="1" x14ac:dyDescent="0.35">
      <c r="A62" s="3" t="s">
        <v>14</v>
      </c>
      <c r="B62" s="4">
        <v>101</v>
      </c>
      <c r="C62" s="5">
        <v>34052</v>
      </c>
      <c r="D62" s="3" t="s">
        <v>71</v>
      </c>
      <c r="E62" s="6">
        <v>24.99</v>
      </c>
      <c r="F62" s="21">
        <v>8.1</v>
      </c>
      <c r="G62" s="22">
        <v>0</v>
      </c>
      <c r="H62" s="24">
        <f t="shared" si="0"/>
        <v>0</v>
      </c>
      <c r="I62" s="24">
        <f t="shared" si="1"/>
        <v>0</v>
      </c>
      <c r="J62" s="24">
        <f t="shared" si="2"/>
        <v>0</v>
      </c>
      <c r="K62" s="25">
        <f t="shared" si="5"/>
        <v>0</v>
      </c>
      <c r="L62" s="21"/>
      <c r="M62" s="12">
        <v>15397.9</v>
      </c>
      <c r="N62" s="12">
        <v>13389.478260869564</v>
      </c>
      <c r="O62" s="12">
        <v>6945.7499999999991</v>
      </c>
      <c r="P62" s="9">
        <v>2205</v>
      </c>
      <c r="Q62" s="12">
        <v>6443.728260869565</v>
      </c>
      <c r="R62" s="12">
        <v>6.9831746031746027</v>
      </c>
      <c r="S62" s="12">
        <v>6.0723257418909586</v>
      </c>
      <c r="T62" s="12">
        <v>3.1499999999999995</v>
      </c>
      <c r="U62" s="16">
        <v>48.125312542619454</v>
      </c>
      <c r="V62" s="72">
        <f>IFERROR(LOOKUP($C62,Actuals!$C$4:$C$79,Actuals!G$4:G$79),0)</f>
        <v>86.913043478260875</v>
      </c>
      <c r="W62" s="72">
        <f>IFERROR(LOOKUP($C62,Actuals!$C$4:$C$79,Actuals!H$4:H$79),0)</f>
        <v>5</v>
      </c>
      <c r="X62" s="72">
        <f>IFERROR(LOOKUP($C62,Actuals!$C$4:$C$79,Actuals!I$4:I$79),0)</f>
        <v>69.530434782608694</v>
      </c>
      <c r="Y62" s="72">
        <f>IFERROR(LOOKUP($C62,Actuals!$C$4:$C$79,Actuals!J$4:J$79),0)</f>
        <v>4</v>
      </c>
    </row>
    <row r="63" spans="1:25" ht="16.5" customHeight="1" x14ac:dyDescent="0.35">
      <c r="A63" s="3" t="s">
        <v>14</v>
      </c>
      <c r="B63" s="4">
        <v>101</v>
      </c>
      <c r="C63" s="5">
        <v>61950</v>
      </c>
      <c r="D63" s="3" t="s">
        <v>72</v>
      </c>
      <c r="E63" s="6">
        <v>10</v>
      </c>
      <c r="F63" s="21">
        <v>6.19</v>
      </c>
      <c r="G63" s="22">
        <v>0</v>
      </c>
      <c r="H63" s="24">
        <f t="shared" si="0"/>
        <v>0</v>
      </c>
      <c r="I63" s="24">
        <f t="shared" si="1"/>
        <v>0</v>
      </c>
      <c r="J63" s="24">
        <f t="shared" si="2"/>
        <v>0</v>
      </c>
      <c r="K63" s="25">
        <f t="shared" si="5"/>
        <v>0</v>
      </c>
      <c r="L63" s="21"/>
      <c r="M63" s="12">
        <v>15192.550000000003</v>
      </c>
      <c r="N63" s="12">
        <v>13210.913043478264</v>
      </c>
      <c r="O63" s="12">
        <v>7732.4399999999987</v>
      </c>
      <c r="P63" s="9">
        <v>846</v>
      </c>
      <c r="Q63" s="12">
        <v>5478.473043478265</v>
      </c>
      <c r="R63" s="12">
        <v>17.958096926713953</v>
      </c>
      <c r="S63" s="12">
        <v>15.615736458012131</v>
      </c>
      <c r="T63" s="12">
        <v>9.1399999999999988</v>
      </c>
      <c r="U63" s="16">
        <v>41.469299097254925</v>
      </c>
      <c r="V63" s="72">
        <f>IFERROR(LOOKUP($C63,Actuals!$C$4:$C$79,Actuals!G$4:G$79),0)</f>
        <v>25.208695652173912</v>
      </c>
      <c r="W63" s="72">
        <f>IFERROR(LOOKUP($C63,Actuals!$C$4:$C$79,Actuals!H$4:H$79),0)</f>
        <v>1</v>
      </c>
      <c r="X63" s="72">
        <f>IFERROR(LOOKUP($C63,Actuals!$C$4:$C$79,Actuals!I$4:I$79),0)</f>
        <v>25.208695652173912</v>
      </c>
      <c r="Y63" s="72">
        <f>IFERROR(LOOKUP($C63,Actuals!$C$4:$C$79,Actuals!J$4:J$79),0)</f>
        <v>1</v>
      </c>
    </row>
    <row r="64" spans="1:25" ht="16.5" customHeight="1" x14ac:dyDescent="0.35">
      <c r="A64" s="3" t="s">
        <v>14</v>
      </c>
      <c r="B64" s="4">
        <v>101</v>
      </c>
      <c r="C64" s="5">
        <v>32871</v>
      </c>
      <c r="D64" s="3" t="s">
        <v>73</v>
      </c>
      <c r="E64" s="6">
        <v>8.99</v>
      </c>
      <c r="F64" s="21">
        <v>5</v>
      </c>
      <c r="G64" s="22">
        <v>0</v>
      </c>
      <c r="H64" s="24">
        <f t="shared" si="0"/>
        <v>0</v>
      </c>
      <c r="I64" s="24">
        <f t="shared" si="1"/>
        <v>0</v>
      </c>
      <c r="J64" s="24">
        <f t="shared" si="2"/>
        <v>0</v>
      </c>
      <c r="K64" s="25">
        <f t="shared" si="5"/>
        <v>0</v>
      </c>
      <c r="L64" s="21"/>
      <c r="M64" s="12">
        <v>13376</v>
      </c>
      <c r="N64" s="12">
        <v>11631.304347826088</v>
      </c>
      <c r="O64" s="12">
        <v>4642.8999999999996</v>
      </c>
      <c r="P64" s="9">
        <v>6605</v>
      </c>
      <c r="Q64" s="12">
        <v>6988.4043478260865</v>
      </c>
      <c r="R64" s="12">
        <v>2.025132475397426</v>
      </c>
      <c r="S64" s="12">
        <v>1.7609847612151535</v>
      </c>
      <c r="T64" s="12">
        <v>0.70293716881150636</v>
      </c>
      <c r="U64" s="16">
        <v>60.082722787081345</v>
      </c>
      <c r="V64" s="72">
        <f>IFERROR(LOOKUP($C64,Actuals!$C$4:$C$79,Actuals!G$4:G$79),0)</f>
        <v>0</v>
      </c>
      <c r="W64" s="72">
        <f>IFERROR(LOOKUP($C64,Actuals!$C$4:$C$79,Actuals!H$4:H$79),0)</f>
        <v>0</v>
      </c>
      <c r="X64" s="72">
        <f>IFERROR(LOOKUP($C64,Actuals!$C$4:$C$79,Actuals!I$4:I$79),0)</f>
        <v>34.747826086956522</v>
      </c>
      <c r="Y64" s="72">
        <f>IFERROR(LOOKUP($C64,Actuals!$C$4:$C$79,Actuals!J$4:J$79),0)</f>
        <v>4</v>
      </c>
    </row>
    <row r="65" spans="1:25" ht="16.5" customHeight="1" x14ac:dyDescent="0.35">
      <c r="A65" s="3" t="s">
        <v>14</v>
      </c>
      <c r="B65" s="4">
        <v>101</v>
      </c>
      <c r="C65" s="5">
        <v>34068</v>
      </c>
      <c r="D65" s="3" t="s">
        <v>74</v>
      </c>
      <c r="E65" s="6">
        <v>1.5</v>
      </c>
      <c r="F65" s="21">
        <v>0.59</v>
      </c>
      <c r="G65" s="22">
        <v>0</v>
      </c>
      <c r="H65" s="24">
        <f t="shared" si="0"/>
        <v>0</v>
      </c>
      <c r="I65" s="24">
        <f t="shared" si="1"/>
        <v>0</v>
      </c>
      <c r="J65" s="24">
        <f t="shared" si="2"/>
        <v>0</v>
      </c>
      <c r="K65" s="25">
        <f t="shared" si="5"/>
        <v>0</v>
      </c>
      <c r="L65" s="21"/>
      <c r="M65" s="12">
        <v>12774.550000000001</v>
      </c>
      <c r="N65" s="12">
        <v>11108.304347826088</v>
      </c>
      <c r="O65" s="12">
        <v>6960</v>
      </c>
      <c r="P65" s="9">
        <v>266</v>
      </c>
      <c r="Q65" s="12">
        <v>4148.3043478260879</v>
      </c>
      <c r="R65" s="12">
        <v>48.02462406015038</v>
      </c>
      <c r="S65" s="12">
        <v>41.760542661000329</v>
      </c>
      <c r="T65" s="12">
        <v>26.165413533834588</v>
      </c>
      <c r="U65" s="16">
        <v>37.344172593163755</v>
      </c>
      <c r="V65" s="72">
        <f>IFERROR(LOOKUP($C65,Actuals!$C$4:$C$79,Actuals!G$4:G$79),0)</f>
        <v>20.869565217391305</v>
      </c>
      <c r="W65" s="72">
        <f>IFERROR(LOOKUP($C65,Actuals!$C$4:$C$79,Actuals!H$4:H$79),0)</f>
        <v>16</v>
      </c>
      <c r="X65" s="72">
        <f>IFERROR(LOOKUP($C65,Actuals!$C$4:$C$79,Actuals!I$4:I$79),0)</f>
        <v>0</v>
      </c>
      <c r="Y65" s="72">
        <f>IFERROR(LOOKUP($C65,Actuals!$C$4:$C$79,Actuals!J$4:J$79),0)</f>
        <v>0</v>
      </c>
    </row>
    <row r="66" spans="1:25" ht="16.5" customHeight="1" x14ac:dyDescent="0.35">
      <c r="A66" s="3" t="s">
        <v>14</v>
      </c>
      <c r="B66" s="4">
        <v>101</v>
      </c>
      <c r="C66" s="5">
        <v>54546</v>
      </c>
      <c r="D66" s="3" t="s">
        <v>75</v>
      </c>
      <c r="E66" s="6">
        <v>5.99</v>
      </c>
      <c r="F66" s="21">
        <v>2.5299999999999998</v>
      </c>
      <c r="G66" s="22">
        <v>0</v>
      </c>
      <c r="H66" s="24">
        <f t="shared" si="0"/>
        <v>0</v>
      </c>
      <c r="I66" s="24">
        <f t="shared" si="1"/>
        <v>0</v>
      </c>
      <c r="J66" s="24">
        <f t="shared" si="2"/>
        <v>0</v>
      </c>
      <c r="K66" s="25">
        <f t="shared" si="5"/>
        <v>0</v>
      </c>
      <c r="L66" s="21"/>
      <c r="M66" s="12">
        <v>12642.460000000001</v>
      </c>
      <c r="N66" s="12">
        <v>10993.443478260871</v>
      </c>
      <c r="O66" s="12">
        <v>7282.18</v>
      </c>
      <c r="P66" s="9">
        <v>254</v>
      </c>
      <c r="Q66" s="12">
        <v>3711.2634782608693</v>
      </c>
      <c r="R66" s="12">
        <v>49.773464566929135</v>
      </c>
      <c r="S66" s="12">
        <v>43.281273536460127</v>
      </c>
      <c r="T66" s="12">
        <v>28.67</v>
      </c>
      <c r="U66" s="16">
        <v>33.758880787441683</v>
      </c>
      <c r="V66" s="72">
        <f>IFERROR(LOOKUP($C66,Actuals!$C$4:$C$79,Actuals!G$4:G$79),0)</f>
        <v>132.10434782608695</v>
      </c>
      <c r="W66" s="72">
        <f>IFERROR(LOOKUP($C66,Actuals!$C$4:$C$79,Actuals!H$4:H$79),0)</f>
        <v>8</v>
      </c>
      <c r="X66" s="72">
        <f>IFERROR(LOOKUP($C66,Actuals!$C$4:$C$79,Actuals!I$4:I$79),0)</f>
        <v>49.539130434782606</v>
      </c>
      <c r="Y66" s="72">
        <f>IFERROR(LOOKUP($C66,Actuals!$C$4:$C$79,Actuals!J$4:J$79),0)</f>
        <v>3</v>
      </c>
    </row>
    <row r="67" spans="1:25" ht="16.5" customHeight="1" x14ac:dyDescent="0.35">
      <c r="A67" s="3" t="s">
        <v>14</v>
      </c>
      <c r="B67" s="4">
        <v>101</v>
      </c>
      <c r="C67" s="5">
        <v>39750</v>
      </c>
      <c r="D67" s="3" t="s">
        <v>76</v>
      </c>
      <c r="E67" s="6">
        <v>39.99</v>
      </c>
      <c r="F67" s="21">
        <v>16.100000000000001</v>
      </c>
      <c r="G67" s="22">
        <v>0</v>
      </c>
      <c r="H67" s="24">
        <f t="shared" si="0"/>
        <v>0</v>
      </c>
      <c r="I67" s="24">
        <f t="shared" si="1"/>
        <v>0</v>
      </c>
      <c r="J67" s="24">
        <f t="shared" si="2"/>
        <v>0</v>
      </c>
      <c r="K67" s="25">
        <f t="shared" si="5"/>
        <v>0</v>
      </c>
      <c r="L67" s="21"/>
      <c r="M67" s="12">
        <v>12421.890000000003</v>
      </c>
      <c r="N67" s="12">
        <v>10801.643478260869</v>
      </c>
      <c r="O67" s="12">
        <v>0</v>
      </c>
      <c r="P67" s="9">
        <v>761</v>
      </c>
      <c r="Q67" s="12">
        <v>10801.643478260872</v>
      </c>
      <c r="R67" s="12">
        <v>16.323114323258874</v>
      </c>
      <c r="S67" s="12">
        <v>14.194012455007712</v>
      </c>
      <c r="T67" s="12">
        <v>0</v>
      </c>
      <c r="U67" s="16">
        <v>100</v>
      </c>
      <c r="V67" s="72">
        <f>IFERROR(LOOKUP($C67,Actuals!$C$4:$C$79,Actuals!G$4:G$79),0)</f>
        <v>13.904347826086957</v>
      </c>
      <c r="W67" s="72">
        <f>IFERROR(LOOKUP($C67,Actuals!$C$4:$C$79,Actuals!H$4:H$79),0)</f>
        <v>1</v>
      </c>
      <c r="X67" s="72">
        <f>IFERROR(LOOKUP($C67,Actuals!$C$4:$C$79,Actuals!I$4:I$79),0)</f>
        <v>13.904347826086957</v>
      </c>
      <c r="Y67" s="72">
        <f>IFERROR(LOOKUP($C67,Actuals!$C$4:$C$79,Actuals!J$4:J$79),0)</f>
        <v>1</v>
      </c>
    </row>
    <row r="68" spans="1:25" ht="16.5" customHeight="1" x14ac:dyDescent="0.35">
      <c r="A68" s="3" t="s">
        <v>19</v>
      </c>
      <c r="B68" s="4">
        <v>101</v>
      </c>
      <c r="C68" s="5">
        <v>43420</v>
      </c>
      <c r="D68" s="3" t="s">
        <v>77</v>
      </c>
      <c r="E68" s="6">
        <v>13.99</v>
      </c>
      <c r="F68" s="21">
        <v>8.3665000000000003</v>
      </c>
      <c r="G68" s="22">
        <v>0</v>
      </c>
      <c r="H68" s="24">
        <f t="shared" ref="H68:H131" si="6">E68*G68</f>
        <v>0</v>
      </c>
      <c r="I68" s="24">
        <f t="shared" ref="I68:I131" si="7">F68*G68</f>
        <v>0</v>
      </c>
      <c r="J68" s="24">
        <f t="shared" ref="J68:J131" si="8">H68-I68</f>
        <v>0</v>
      </c>
      <c r="K68" s="25">
        <f t="shared" si="5"/>
        <v>0</v>
      </c>
      <c r="L68" s="21"/>
      <c r="M68" s="12">
        <v>12033.220000000001</v>
      </c>
      <c r="N68" s="12">
        <v>10463.669565217391</v>
      </c>
      <c r="O68" s="12">
        <v>4416.5</v>
      </c>
      <c r="P68" s="9">
        <v>803</v>
      </c>
      <c r="Q68" s="12">
        <v>6047.169565217393</v>
      </c>
      <c r="R68" s="12">
        <v>14.985330012453302</v>
      </c>
      <c r="S68" s="12">
        <v>13.030721749959392</v>
      </c>
      <c r="T68" s="12">
        <v>5.5</v>
      </c>
      <c r="U68" s="16">
        <v>57.792053997184468</v>
      </c>
      <c r="V68" s="72">
        <f>IFERROR(LOOKUP($C68,Actuals!$C$4:$C$79,Actuals!G$4:G$79),0)</f>
        <v>48.660869565217389</v>
      </c>
      <c r="W68" s="72">
        <f>IFERROR(LOOKUP($C68,Actuals!$C$4:$C$79,Actuals!H$4:H$79),0)</f>
        <v>4</v>
      </c>
      <c r="X68" s="72">
        <f>IFERROR(LOOKUP($C68,Actuals!$C$4:$C$79,Actuals!I$4:I$79),0)</f>
        <v>12.165217391304347</v>
      </c>
      <c r="Y68" s="72">
        <f>IFERROR(LOOKUP($C68,Actuals!$C$4:$C$79,Actuals!J$4:J$79),0)</f>
        <v>1</v>
      </c>
    </row>
    <row r="69" spans="1:25" ht="16.5" customHeight="1" x14ac:dyDescent="0.35">
      <c r="A69" s="3" t="s">
        <v>14</v>
      </c>
      <c r="B69" s="4">
        <v>101</v>
      </c>
      <c r="C69" s="5">
        <v>58763</v>
      </c>
      <c r="D69" s="3" t="s">
        <v>78</v>
      </c>
      <c r="E69" s="6">
        <v>3.2</v>
      </c>
      <c r="F69" s="21">
        <v>1.62</v>
      </c>
      <c r="G69" s="22">
        <v>0</v>
      </c>
      <c r="H69" s="24">
        <f t="shared" si="6"/>
        <v>0</v>
      </c>
      <c r="I69" s="24">
        <f t="shared" si="7"/>
        <v>0</v>
      </c>
      <c r="J69" s="24">
        <f t="shared" si="8"/>
        <v>0</v>
      </c>
      <c r="K69" s="25">
        <f t="shared" si="5"/>
        <v>0</v>
      </c>
      <c r="L69" s="21"/>
      <c r="M69" s="12">
        <v>11775.560000000001</v>
      </c>
      <c r="N69" s="12">
        <v>10239.617391304349</v>
      </c>
      <c r="O69" s="12">
        <v>4932.8799999999992</v>
      </c>
      <c r="P69" s="9">
        <v>394</v>
      </c>
      <c r="Q69" s="12">
        <v>5306.7373913043484</v>
      </c>
      <c r="R69" s="12">
        <v>29.887208121827413</v>
      </c>
      <c r="S69" s="12">
        <v>25.988876627676014</v>
      </c>
      <c r="T69" s="12">
        <v>12.519999999999998</v>
      </c>
      <c r="U69" s="16">
        <v>51.825543753333179</v>
      </c>
      <c r="V69" s="72">
        <f>IFERROR(LOOKUP($C69,Actuals!$C$4:$C$79,Actuals!G$4:G$79),0)</f>
        <v>70.408695652173918</v>
      </c>
      <c r="W69" s="72">
        <f>IFERROR(LOOKUP($C69,Actuals!$C$4:$C$79,Actuals!H$4:H$79),0)</f>
        <v>3</v>
      </c>
      <c r="X69" s="72">
        <f>IFERROR(LOOKUP($C69,Actuals!$C$4:$C$79,Actuals!I$4:I$79),0)</f>
        <v>70.408695652173918</v>
      </c>
      <c r="Y69" s="72">
        <f>IFERROR(LOOKUP($C69,Actuals!$C$4:$C$79,Actuals!J$4:J$79),0)</f>
        <v>3</v>
      </c>
    </row>
    <row r="70" spans="1:25" ht="16.5" customHeight="1" x14ac:dyDescent="0.35">
      <c r="A70" s="3" t="s">
        <v>14</v>
      </c>
      <c r="B70" s="4">
        <v>101</v>
      </c>
      <c r="C70" s="5">
        <v>62621</v>
      </c>
      <c r="D70" s="3" t="s">
        <v>79</v>
      </c>
      <c r="E70" s="6">
        <v>26.99</v>
      </c>
      <c r="F70" s="21">
        <v>14.15</v>
      </c>
      <c r="G70" s="22">
        <v>0</v>
      </c>
      <c r="H70" s="24">
        <f t="shared" si="6"/>
        <v>0</v>
      </c>
      <c r="I70" s="24">
        <f t="shared" si="7"/>
        <v>0</v>
      </c>
      <c r="J70" s="24">
        <f t="shared" si="8"/>
        <v>0</v>
      </c>
      <c r="K70" s="25">
        <f t="shared" si="5"/>
        <v>0</v>
      </c>
      <c r="L70" s="21"/>
      <c r="M70" s="12">
        <v>11462.840000000002</v>
      </c>
      <c r="N70" s="12">
        <v>9967.6869565217421</v>
      </c>
      <c r="O70" s="12">
        <v>6045.9300000000012</v>
      </c>
      <c r="P70" s="9">
        <v>591</v>
      </c>
      <c r="Q70" s="12">
        <v>3921.7569565217391</v>
      </c>
      <c r="R70" s="12">
        <v>19.395668358714047</v>
      </c>
      <c r="S70" s="12">
        <v>16.865798572794827</v>
      </c>
      <c r="T70" s="12">
        <v>10.230000000000002</v>
      </c>
      <c r="U70" s="16">
        <v>39.344704279218753</v>
      </c>
      <c r="V70" s="72">
        <f>IFERROR(LOOKUP($C70,Actuals!$C$4:$C$79,Actuals!G$4:G$79),0)</f>
        <v>0</v>
      </c>
      <c r="W70" s="72">
        <f>IFERROR(LOOKUP($C70,Actuals!$C$4:$C$79,Actuals!H$4:H$79),0)</f>
        <v>0</v>
      </c>
      <c r="X70" s="72">
        <f>IFERROR(LOOKUP($C70,Actuals!$C$4:$C$79,Actuals!I$4:I$79),0)</f>
        <v>6217.391304347826</v>
      </c>
      <c r="Y70" s="72">
        <f>IFERROR(LOOKUP($C70,Actuals!$C$4:$C$79,Actuals!J$4:J$79),0)</f>
        <v>130</v>
      </c>
    </row>
    <row r="71" spans="1:25" ht="16.5" customHeight="1" x14ac:dyDescent="0.35">
      <c r="A71" s="3" t="s">
        <v>14</v>
      </c>
      <c r="B71" s="4">
        <v>101</v>
      </c>
      <c r="C71" s="5">
        <v>62627</v>
      </c>
      <c r="D71" s="3" t="s">
        <v>80</v>
      </c>
      <c r="E71" s="6">
        <v>20.99</v>
      </c>
      <c r="F71" s="21">
        <v>12.88</v>
      </c>
      <c r="G71" s="22">
        <v>0</v>
      </c>
      <c r="H71" s="24">
        <f t="shared" si="6"/>
        <v>0</v>
      </c>
      <c r="I71" s="24">
        <f t="shared" si="7"/>
        <v>0</v>
      </c>
      <c r="J71" s="24">
        <f t="shared" si="8"/>
        <v>0</v>
      </c>
      <c r="K71" s="25">
        <f t="shared" si="5"/>
        <v>0</v>
      </c>
      <c r="L71" s="21"/>
      <c r="M71" s="12">
        <v>10470.77</v>
      </c>
      <c r="N71" s="12">
        <v>9105.0173913043491</v>
      </c>
      <c r="O71" s="12">
        <v>4136.079999999999</v>
      </c>
      <c r="P71" s="9">
        <v>388</v>
      </c>
      <c r="Q71" s="12">
        <v>4968.9373913043482</v>
      </c>
      <c r="R71" s="12">
        <v>26.986520618556703</v>
      </c>
      <c r="S71" s="12">
        <v>23.46653966831018</v>
      </c>
      <c r="T71" s="12">
        <v>10.659999999999997</v>
      </c>
      <c r="U71" s="16">
        <v>54.573617795061878</v>
      </c>
      <c r="V71" s="72">
        <f>IFERROR(LOOKUP($C71,Actuals!$C$4:$C$79,Actuals!G$4:G$79),0)</f>
        <v>70.408695652173918</v>
      </c>
      <c r="W71" s="72">
        <f>IFERROR(LOOKUP($C71,Actuals!$C$4:$C$79,Actuals!H$4:H$79),0)</f>
        <v>3</v>
      </c>
      <c r="X71" s="72">
        <f>IFERROR(LOOKUP($C71,Actuals!$C$4:$C$79,Actuals!I$4:I$79),0)</f>
        <v>0</v>
      </c>
      <c r="Y71" s="72">
        <f>IFERROR(LOOKUP($C71,Actuals!$C$4:$C$79,Actuals!J$4:J$79),0)</f>
        <v>0</v>
      </c>
    </row>
    <row r="72" spans="1:25" ht="16.5" customHeight="1" x14ac:dyDescent="0.35">
      <c r="A72" s="3" t="s">
        <v>35</v>
      </c>
      <c r="B72" s="4">
        <v>101</v>
      </c>
      <c r="C72" s="5">
        <v>66806</v>
      </c>
      <c r="D72" s="3" t="s">
        <v>81</v>
      </c>
      <c r="E72" s="6">
        <v>33.99</v>
      </c>
      <c r="F72" s="21">
        <v>17.418749999999999</v>
      </c>
      <c r="G72" s="22">
        <v>0</v>
      </c>
      <c r="H72" s="24">
        <f t="shared" si="6"/>
        <v>0</v>
      </c>
      <c r="I72" s="24">
        <f t="shared" si="7"/>
        <v>0</v>
      </c>
      <c r="J72" s="24">
        <f t="shared" si="8"/>
        <v>0</v>
      </c>
      <c r="K72" s="25">
        <f t="shared" si="5"/>
        <v>0</v>
      </c>
      <c r="L72" s="21"/>
      <c r="M72" s="12">
        <v>10203.790000000001</v>
      </c>
      <c r="N72" s="12">
        <v>8872.8608695652165</v>
      </c>
      <c r="O72" s="12">
        <v>4131</v>
      </c>
      <c r="P72" s="9">
        <v>918</v>
      </c>
      <c r="Q72" s="12">
        <v>4741.8608695652183</v>
      </c>
      <c r="R72" s="12">
        <v>11.115239651416124</v>
      </c>
      <c r="S72" s="12">
        <v>9.6654257838401048</v>
      </c>
      <c r="T72" s="12">
        <v>4.5</v>
      </c>
      <c r="U72" s="16">
        <v>53.44229938091631</v>
      </c>
      <c r="V72" s="72">
        <f>IFERROR(LOOKUP($C72,Actuals!$C$4:$C$79,Actuals!G$4:G$79),0)</f>
        <v>0</v>
      </c>
      <c r="W72" s="72">
        <f>IFERROR(LOOKUP($C72,Actuals!$C$4:$C$79,Actuals!H$4:H$79),0)</f>
        <v>0</v>
      </c>
      <c r="X72" s="72">
        <f>IFERROR(LOOKUP($C72,Actuals!$C$4:$C$79,Actuals!I$4:I$79),0)</f>
        <v>1043.4782608695652</v>
      </c>
      <c r="Y72" s="72">
        <f>IFERROR(LOOKUP($C72,Actuals!$C$4:$C$79,Actuals!J$4:J$79),0)</f>
        <v>20</v>
      </c>
    </row>
    <row r="73" spans="1:25" ht="16.5" customHeight="1" x14ac:dyDescent="0.35">
      <c r="A73" s="3" t="s">
        <v>14</v>
      </c>
      <c r="B73" s="4">
        <v>101</v>
      </c>
      <c r="C73" s="5">
        <v>61018</v>
      </c>
      <c r="D73" s="3" t="s">
        <v>82</v>
      </c>
      <c r="E73" s="6">
        <v>4</v>
      </c>
      <c r="F73" s="21">
        <v>2.2599999999999998</v>
      </c>
      <c r="G73" s="22">
        <v>0</v>
      </c>
      <c r="H73" s="24">
        <f t="shared" si="6"/>
        <v>0</v>
      </c>
      <c r="I73" s="24">
        <f t="shared" si="7"/>
        <v>0</v>
      </c>
      <c r="J73" s="24">
        <f t="shared" si="8"/>
        <v>0</v>
      </c>
      <c r="K73" s="25">
        <f t="shared" si="5"/>
        <v>0</v>
      </c>
      <c r="L73" s="21"/>
      <c r="M73" s="12">
        <v>10080.59</v>
      </c>
      <c r="N73" s="12">
        <v>8765.7304347826102</v>
      </c>
      <c r="O73" s="12">
        <v>4726.420000000001</v>
      </c>
      <c r="P73" s="9">
        <v>841</v>
      </c>
      <c r="Q73" s="12">
        <v>4039.3104347826074</v>
      </c>
      <c r="R73" s="12">
        <v>11.986432818073721</v>
      </c>
      <c r="S73" s="12">
        <v>10.422985059194543</v>
      </c>
      <c r="T73" s="12">
        <v>5.620000000000001</v>
      </c>
      <c r="U73" s="16">
        <v>46.080705593620998</v>
      </c>
      <c r="V73" s="72">
        <f>IFERROR(LOOKUP($C73,Actuals!$C$4:$C$79,Actuals!G$4:G$79),0)</f>
        <v>0</v>
      </c>
      <c r="W73" s="72">
        <f>IFERROR(LOOKUP($C73,Actuals!$C$4:$C$79,Actuals!H$4:H$79),0)</f>
        <v>0</v>
      </c>
      <c r="X73" s="72">
        <f>IFERROR(LOOKUP($C73,Actuals!$C$4:$C$79,Actuals!I$4:I$79),0)</f>
        <v>10.417391304347827</v>
      </c>
      <c r="Y73" s="72">
        <f>IFERROR(LOOKUP($C73,Actuals!$C$4:$C$79,Actuals!J$4:J$79),0)</f>
        <v>2</v>
      </c>
    </row>
    <row r="74" spans="1:25" ht="16.5" customHeight="1" x14ac:dyDescent="0.35">
      <c r="A74" s="3" t="s">
        <v>14</v>
      </c>
      <c r="B74" s="4">
        <v>101</v>
      </c>
      <c r="C74" s="5">
        <v>54617</v>
      </c>
      <c r="D74" s="3" t="s">
        <v>83</v>
      </c>
      <c r="E74" s="6">
        <v>30.99</v>
      </c>
      <c r="F74" s="21">
        <v>12.4</v>
      </c>
      <c r="G74" s="22">
        <v>0</v>
      </c>
      <c r="H74" s="24">
        <f t="shared" si="6"/>
        <v>0</v>
      </c>
      <c r="I74" s="24">
        <f t="shared" si="7"/>
        <v>0</v>
      </c>
      <c r="J74" s="24">
        <f t="shared" si="8"/>
        <v>0</v>
      </c>
      <c r="K74" s="25">
        <f t="shared" si="5"/>
        <v>0</v>
      </c>
      <c r="L74" s="21"/>
      <c r="M74" s="12">
        <v>9639.1500000000033</v>
      </c>
      <c r="N74" s="12">
        <v>8381.8695652173938</v>
      </c>
      <c r="O74" s="12">
        <v>4876.2</v>
      </c>
      <c r="P74" s="9">
        <v>1935</v>
      </c>
      <c r="Q74" s="12">
        <v>3505.6695652173939</v>
      </c>
      <c r="R74" s="12">
        <v>4.9814728682170557</v>
      </c>
      <c r="S74" s="12">
        <v>4.331715537580048</v>
      </c>
      <c r="T74" s="12">
        <v>2.52</v>
      </c>
      <c r="U74" s="16">
        <v>41.824434727128448</v>
      </c>
      <c r="V74" s="72">
        <f>IFERROR(LOOKUP($C74,Actuals!$C$4:$C$79,Actuals!G$4:G$79),0)</f>
        <v>132.10434782608695</v>
      </c>
      <c r="W74" s="72">
        <f>IFERROR(LOOKUP($C74,Actuals!$C$4:$C$79,Actuals!H$4:H$79),0)</f>
        <v>8</v>
      </c>
      <c r="X74" s="72">
        <f>IFERROR(LOOKUP($C74,Actuals!$C$4:$C$79,Actuals!I$4:I$79),0)</f>
        <v>49.539130434782606</v>
      </c>
      <c r="Y74" s="72">
        <f>IFERROR(LOOKUP($C74,Actuals!$C$4:$C$79,Actuals!J$4:J$79),0)</f>
        <v>3</v>
      </c>
    </row>
    <row r="75" spans="1:25" ht="16.5" customHeight="1" x14ac:dyDescent="0.35">
      <c r="A75" s="3" t="s">
        <v>14</v>
      </c>
      <c r="B75" s="4">
        <v>101</v>
      </c>
      <c r="C75" s="5">
        <v>61949</v>
      </c>
      <c r="D75" s="3" t="s">
        <v>84</v>
      </c>
      <c r="E75" s="6">
        <v>10</v>
      </c>
      <c r="F75" s="21">
        <v>6.28</v>
      </c>
      <c r="G75" s="22">
        <v>0</v>
      </c>
      <c r="H75" s="24">
        <f t="shared" si="6"/>
        <v>0</v>
      </c>
      <c r="I75" s="24">
        <f t="shared" si="7"/>
        <v>0</v>
      </c>
      <c r="J75" s="24">
        <f t="shared" si="8"/>
        <v>0</v>
      </c>
      <c r="K75" s="25">
        <f t="shared" si="5"/>
        <v>0</v>
      </c>
      <c r="L75" s="21"/>
      <c r="M75" s="12">
        <v>9240</v>
      </c>
      <c r="N75" s="12">
        <v>8034.7826086956511</v>
      </c>
      <c r="O75" s="12">
        <v>4836.4800000000014</v>
      </c>
      <c r="P75" s="9">
        <v>24</v>
      </c>
      <c r="Q75" s="12">
        <v>3198.3026086956506</v>
      </c>
      <c r="R75" s="12">
        <v>385</v>
      </c>
      <c r="S75" s="12">
        <v>334.78260869565213</v>
      </c>
      <c r="T75" s="12">
        <v>201.52000000000007</v>
      </c>
      <c r="U75" s="16">
        <v>39.805714285714267</v>
      </c>
      <c r="V75" s="72">
        <f>IFERROR(LOOKUP($C75,Actuals!$C$4:$C$79,Actuals!G$4:G$79),0)</f>
        <v>25.208695652173912</v>
      </c>
      <c r="W75" s="72">
        <f>IFERROR(LOOKUP($C75,Actuals!$C$4:$C$79,Actuals!H$4:H$79),0)</f>
        <v>1</v>
      </c>
      <c r="X75" s="72">
        <f>IFERROR(LOOKUP($C75,Actuals!$C$4:$C$79,Actuals!I$4:I$79),0)</f>
        <v>25.208695652173912</v>
      </c>
      <c r="Y75" s="72">
        <f>IFERROR(LOOKUP($C75,Actuals!$C$4:$C$79,Actuals!J$4:J$79),0)</f>
        <v>1</v>
      </c>
    </row>
    <row r="76" spans="1:25" ht="16.5" customHeight="1" x14ac:dyDescent="0.35">
      <c r="A76" s="3" t="s">
        <v>14</v>
      </c>
      <c r="B76" s="4">
        <v>101</v>
      </c>
      <c r="C76" s="5">
        <v>33027</v>
      </c>
      <c r="D76" s="3" t="s">
        <v>85</v>
      </c>
      <c r="E76" s="6">
        <v>19.989999999999998</v>
      </c>
      <c r="F76" s="21">
        <v>7.94</v>
      </c>
      <c r="G76" s="22">
        <v>0</v>
      </c>
      <c r="H76" s="24">
        <f t="shared" si="6"/>
        <v>0</v>
      </c>
      <c r="I76" s="24">
        <f t="shared" si="7"/>
        <v>0</v>
      </c>
      <c r="J76" s="24">
        <f t="shared" si="8"/>
        <v>0</v>
      </c>
      <c r="K76" s="25">
        <f t="shared" si="5"/>
        <v>0</v>
      </c>
      <c r="L76" s="21"/>
      <c r="M76" s="12">
        <v>9206.9199999999983</v>
      </c>
      <c r="N76" s="12">
        <v>8006.0173913043491</v>
      </c>
      <c r="O76" s="12">
        <v>3797.64</v>
      </c>
      <c r="P76" s="9">
        <v>308</v>
      </c>
      <c r="Q76" s="12">
        <v>4208.377391304346</v>
      </c>
      <c r="R76" s="12">
        <v>29.892597402597396</v>
      </c>
      <c r="S76" s="12">
        <v>25.993562958780355</v>
      </c>
      <c r="T76" s="12">
        <v>12.33</v>
      </c>
      <c r="U76" s="16">
        <v>52.565179234749507</v>
      </c>
      <c r="V76" s="72">
        <f>IFERROR(LOOKUP($C76,Actuals!$C$4:$C$79,Actuals!G$4:G$79),0)</f>
        <v>0</v>
      </c>
      <c r="W76" s="72">
        <f>IFERROR(LOOKUP($C76,Actuals!$C$4:$C$79,Actuals!H$4:H$79),0)</f>
        <v>0</v>
      </c>
      <c r="X76" s="72">
        <f>IFERROR(LOOKUP($C76,Actuals!$C$4:$C$79,Actuals!I$4:I$79),0)</f>
        <v>26.069565217391304</v>
      </c>
      <c r="Y76" s="72">
        <f>IFERROR(LOOKUP($C76,Actuals!$C$4:$C$79,Actuals!J$4:J$79),0)</f>
        <v>2</v>
      </c>
    </row>
    <row r="77" spans="1:25" ht="16.5" customHeight="1" x14ac:dyDescent="0.35">
      <c r="A77" s="3" t="s">
        <v>14</v>
      </c>
      <c r="B77" s="4">
        <v>101</v>
      </c>
      <c r="C77" s="5">
        <v>34019</v>
      </c>
      <c r="D77" s="3" t="s">
        <v>86</v>
      </c>
      <c r="E77" s="6">
        <v>5.99</v>
      </c>
      <c r="F77" s="21">
        <v>3.12</v>
      </c>
      <c r="G77" s="22">
        <v>0</v>
      </c>
      <c r="H77" s="24">
        <f t="shared" si="6"/>
        <v>0</v>
      </c>
      <c r="I77" s="24">
        <f t="shared" si="7"/>
        <v>0</v>
      </c>
      <c r="J77" s="24">
        <f t="shared" si="8"/>
        <v>0</v>
      </c>
      <c r="K77" s="25">
        <f t="shared" si="5"/>
        <v>0</v>
      </c>
      <c r="L77" s="21"/>
      <c r="M77" s="12">
        <v>9170.1700000000019</v>
      </c>
      <c r="N77" s="12">
        <v>7974.0608695652199</v>
      </c>
      <c r="O77" s="12">
        <v>3742.0499999999993</v>
      </c>
      <c r="P77" s="9">
        <v>1313</v>
      </c>
      <c r="Q77" s="12">
        <v>4232.0108695652207</v>
      </c>
      <c r="R77" s="12">
        <v>6.9841355674028955</v>
      </c>
      <c r="S77" s="12">
        <v>6.0731613629590404</v>
      </c>
      <c r="T77" s="12">
        <v>2.8499999999999996</v>
      </c>
      <c r="U77" s="16">
        <v>53.072216763702329</v>
      </c>
      <c r="V77" s="72">
        <f>IFERROR(LOOKUP($C77,Actuals!$C$4:$C$79,Actuals!G$4:G$79),0)</f>
        <v>78.234782608695653</v>
      </c>
      <c r="W77" s="72">
        <f>IFERROR(LOOKUP($C77,Actuals!$C$4:$C$79,Actuals!H$4:H$79),0)</f>
        <v>3</v>
      </c>
      <c r="X77" s="72">
        <f>IFERROR(LOOKUP($C77,Actuals!$C$4:$C$79,Actuals!I$4:I$79),0)</f>
        <v>26.078260869565216</v>
      </c>
      <c r="Y77" s="72">
        <f>IFERROR(LOOKUP($C77,Actuals!$C$4:$C$79,Actuals!J$4:J$79),0)</f>
        <v>1</v>
      </c>
    </row>
    <row r="78" spans="1:25" ht="16.5" customHeight="1" x14ac:dyDescent="0.35">
      <c r="A78" s="3" t="s">
        <v>19</v>
      </c>
      <c r="B78" s="4">
        <v>101</v>
      </c>
      <c r="C78" s="5">
        <v>34047</v>
      </c>
      <c r="D78" s="3" t="s">
        <v>87</v>
      </c>
      <c r="E78" s="6">
        <v>3.99</v>
      </c>
      <c r="F78" s="21">
        <v>2.120625</v>
      </c>
      <c r="G78" s="22">
        <v>0</v>
      </c>
      <c r="H78" s="24">
        <f t="shared" si="6"/>
        <v>0</v>
      </c>
      <c r="I78" s="24">
        <f t="shared" si="7"/>
        <v>0</v>
      </c>
      <c r="J78" s="24">
        <f t="shared" si="8"/>
        <v>0</v>
      </c>
      <c r="K78" s="25">
        <f t="shared" si="5"/>
        <v>0</v>
      </c>
      <c r="L78" s="21"/>
      <c r="M78" s="12">
        <v>8585.25</v>
      </c>
      <c r="N78" s="12">
        <v>7465.434782608696</v>
      </c>
      <c r="O78" s="12">
        <v>2372.2199999999998</v>
      </c>
      <c r="P78" s="9">
        <v>1719</v>
      </c>
      <c r="Q78" s="12">
        <v>5093.2147826086966</v>
      </c>
      <c r="R78" s="12">
        <v>4.9943280977312394</v>
      </c>
      <c r="S78" s="12">
        <v>4.342893998027165</v>
      </c>
      <c r="T78" s="12">
        <v>1.38</v>
      </c>
      <c r="U78" s="16">
        <v>68.223953874377571</v>
      </c>
      <c r="V78" s="72">
        <f>IFERROR(LOOKUP($C78,Actuals!$C$4:$C$79,Actuals!G$4:G$79),0)</f>
        <v>86.913043478260875</v>
      </c>
      <c r="W78" s="72">
        <f>IFERROR(LOOKUP($C78,Actuals!$C$4:$C$79,Actuals!H$4:H$79),0)</f>
        <v>5</v>
      </c>
      <c r="X78" s="72">
        <f>IFERROR(LOOKUP($C78,Actuals!$C$4:$C$79,Actuals!I$4:I$79),0)</f>
        <v>69.530434782608694</v>
      </c>
      <c r="Y78" s="72">
        <f>IFERROR(LOOKUP($C78,Actuals!$C$4:$C$79,Actuals!J$4:J$79),0)</f>
        <v>4</v>
      </c>
    </row>
    <row r="79" spans="1:25" ht="16.5" customHeight="1" x14ac:dyDescent="0.35">
      <c r="A79" s="3" t="s">
        <v>14</v>
      </c>
      <c r="B79" s="4">
        <v>101</v>
      </c>
      <c r="C79" s="5">
        <v>63800</v>
      </c>
      <c r="D79" s="3" t="s">
        <v>88</v>
      </c>
      <c r="E79" s="6">
        <v>23.99</v>
      </c>
      <c r="F79" s="21">
        <v>11.87</v>
      </c>
      <c r="G79" s="22">
        <v>0</v>
      </c>
      <c r="H79" s="24">
        <f t="shared" si="6"/>
        <v>0</v>
      </c>
      <c r="I79" s="24">
        <f t="shared" si="7"/>
        <v>0</v>
      </c>
      <c r="J79" s="24">
        <f t="shared" si="8"/>
        <v>0</v>
      </c>
      <c r="K79" s="25">
        <f t="shared" si="5"/>
        <v>0</v>
      </c>
      <c r="L79" s="21"/>
      <c r="M79" s="12">
        <v>8418.1799999999985</v>
      </c>
      <c r="N79" s="12">
        <v>7320.1565217391308</v>
      </c>
      <c r="O79" s="12">
        <v>4773.6000000000004</v>
      </c>
      <c r="P79" s="9">
        <v>312</v>
      </c>
      <c r="Q79" s="12">
        <v>2546.5565217391286</v>
      </c>
      <c r="R79" s="12">
        <v>26.98134615384615</v>
      </c>
      <c r="S79" s="12">
        <v>23.462040133779265</v>
      </c>
      <c r="T79" s="12">
        <v>15.3</v>
      </c>
      <c r="U79" s="16">
        <v>34.788279651896239</v>
      </c>
      <c r="V79" s="72">
        <f>IFERROR(LOOKUP($C79,Actuals!$C$4:$C$79,Actuals!G$4:G$79),0)</f>
        <v>0</v>
      </c>
      <c r="W79" s="72">
        <f>IFERROR(LOOKUP($C79,Actuals!$C$4:$C$79,Actuals!H$4:H$79),0)</f>
        <v>0</v>
      </c>
      <c r="X79" s="72">
        <f>IFERROR(LOOKUP($C79,Actuals!$C$4:$C$79,Actuals!I$4:I$79),0)</f>
        <v>1043.4782608695652</v>
      </c>
      <c r="Y79" s="72">
        <f>IFERROR(LOOKUP($C79,Actuals!$C$4:$C$79,Actuals!J$4:J$79),0)</f>
        <v>20</v>
      </c>
    </row>
    <row r="80" spans="1:25" ht="16.5" customHeight="1" x14ac:dyDescent="0.35">
      <c r="A80" s="3" t="s">
        <v>14</v>
      </c>
      <c r="B80" s="4">
        <v>101</v>
      </c>
      <c r="C80" s="5">
        <v>67140</v>
      </c>
      <c r="D80" s="3" t="s">
        <v>89</v>
      </c>
      <c r="E80" s="6">
        <v>2</v>
      </c>
      <c r="F80" s="21">
        <v>0.68</v>
      </c>
      <c r="G80" s="22">
        <v>0</v>
      </c>
      <c r="H80" s="24">
        <f t="shared" si="6"/>
        <v>0</v>
      </c>
      <c r="I80" s="24">
        <f t="shared" si="7"/>
        <v>0</v>
      </c>
      <c r="J80" s="24">
        <f t="shared" si="8"/>
        <v>0</v>
      </c>
      <c r="K80" s="25">
        <f t="shared" si="5"/>
        <v>0</v>
      </c>
      <c r="L80" s="21"/>
      <c r="M80" s="12">
        <v>7897</v>
      </c>
      <c r="N80" s="12">
        <v>6866.95652173913</v>
      </c>
      <c r="O80" s="12">
        <v>2597.7600000000002</v>
      </c>
      <c r="P80" s="9">
        <v>792</v>
      </c>
      <c r="Q80" s="12">
        <v>4269.1965217391307</v>
      </c>
      <c r="R80" s="12">
        <v>9.9709595959595951</v>
      </c>
      <c r="S80" s="12">
        <v>8.670399648660517</v>
      </c>
      <c r="T80" s="12">
        <v>3.2800000000000002</v>
      </c>
      <c r="U80" s="16">
        <v>62.170140559706219</v>
      </c>
      <c r="V80" s="72">
        <f>IFERROR(LOOKUP($C80,Actuals!$C$4:$C$79,Actuals!G$4:G$79),0)</f>
        <v>0</v>
      </c>
      <c r="W80" s="72">
        <f>IFERROR(LOOKUP($C80,Actuals!$C$4:$C$79,Actuals!H$4:H$79),0)</f>
        <v>0</v>
      </c>
      <c r="X80" s="72">
        <f>IFERROR(LOOKUP($C80,Actuals!$C$4:$C$79,Actuals!I$4:I$79),0)</f>
        <v>1043.4782608695652</v>
      </c>
      <c r="Y80" s="72">
        <f>IFERROR(LOOKUP($C80,Actuals!$C$4:$C$79,Actuals!J$4:J$79),0)</f>
        <v>20</v>
      </c>
    </row>
    <row r="81" spans="1:25" ht="16.5" customHeight="1" x14ac:dyDescent="0.35">
      <c r="A81" s="3" t="s">
        <v>14</v>
      </c>
      <c r="B81" s="4">
        <v>102</v>
      </c>
      <c r="C81" s="5">
        <v>52943</v>
      </c>
      <c r="D81" s="3" t="s">
        <v>90</v>
      </c>
      <c r="E81" s="6">
        <v>31.99</v>
      </c>
      <c r="F81" s="21">
        <v>15.17</v>
      </c>
      <c r="G81" s="22">
        <v>213</v>
      </c>
      <c r="H81" s="24">
        <f t="shared" si="6"/>
        <v>6813.87</v>
      </c>
      <c r="I81" s="24">
        <f t="shared" si="7"/>
        <v>3231.21</v>
      </c>
      <c r="J81" s="24">
        <f t="shared" si="8"/>
        <v>3582.66</v>
      </c>
      <c r="K81" s="25">
        <f>J81/H81*100</f>
        <v>52.578930915911229</v>
      </c>
      <c r="L81" s="21"/>
      <c r="M81" s="12">
        <v>7862.13</v>
      </c>
      <c r="N81" s="12">
        <v>6836.6347826086967</v>
      </c>
      <c r="O81" s="12">
        <v>2542.0100000000002</v>
      </c>
      <c r="P81" s="9">
        <v>787</v>
      </c>
      <c r="Q81" s="12">
        <v>4294.6247826086947</v>
      </c>
      <c r="R81" s="12">
        <v>9.99</v>
      </c>
      <c r="S81" s="12">
        <v>8.6869565217391322</v>
      </c>
      <c r="T81" s="12">
        <v>3.2300000000000004</v>
      </c>
      <c r="U81" s="16">
        <v>62.817817817817811</v>
      </c>
      <c r="V81" s="72">
        <f>IFERROR(LOOKUP($C81,Actuals!$C$4:$C$79,Actuals!G$4:G$79),0)</f>
        <v>194.04347826086956</v>
      </c>
      <c r="W81" s="72">
        <f>IFERROR(LOOKUP($C81,Actuals!$C$4:$C$79,Actuals!H$4:H$79),0)</f>
        <v>6.976</v>
      </c>
      <c r="X81" s="72">
        <f>IFERROR(LOOKUP($C81,Actuals!$C$4:$C$79,Actuals!I$4:I$79),0)</f>
        <v>133.09565217391304</v>
      </c>
      <c r="Y81" s="72">
        <f>IFERROR(LOOKUP($C81,Actuals!$C$4:$C$79,Actuals!J$4:J$79),0)</f>
        <v>4.7850000000000001</v>
      </c>
    </row>
    <row r="82" spans="1:25" ht="16.5" customHeight="1" x14ac:dyDescent="0.35">
      <c r="A82" s="3" t="s">
        <v>14</v>
      </c>
      <c r="B82" s="4">
        <v>102</v>
      </c>
      <c r="C82" s="5">
        <v>32127</v>
      </c>
      <c r="D82" s="3" t="s">
        <v>92</v>
      </c>
      <c r="E82" s="6">
        <v>11.99</v>
      </c>
      <c r="F82" s="21">
        <v>6.02</v>
      </c>
      <c r="G82" s="22">
        <v>32</v>
      </c>
      <c r="H82" s="24">
        <f t="shared" si="6"/>
        <v>383.68</v>
      </c>
      <c r="I82" s="24">
        <f t="shared" si="7"/>
        <v>192.64</v>
      </c>
      <c r="J82" s="24">
        <f t="shared" si="8"/>
        <v>191.04000000000002</v>
      </c>
      <c r="K82" s="25">
        <f>J82/H82*100</f>
        <v>49.791492910758976</v>
      </c>
      <c r="L82" s="21"/>
      <c r="M82" s="12">
        <v>7140.91</v>
      </c>
      <c r="N82" s="12">
        <v>6209.4869565217396</v>
      </c>
      <c r="O82" s="12">
        <v>4147</v>
      </c>
      <c r="P82" s="9">
        <v>319</v>
      </c>
      <c r="Q82" s="12">
        <v>2062.4869565217386</v>
      </c>
      <c r="R82" s="12">
        <v>22.385297805642633</v>
      </c>
      <c r="S82" s="12">
        <v>19.465476352732725</v>
      </c>
      <c r="T82" s="12">
        <v>13</v>
      </c>
      <c r="U82" s="16">
        <v>33.215094434742902</v>
      </c>
      <c r="V82" s="72">
        <f>IFERROR(LOOKUP($C82,Actuals!$C$4:$C$79,Actuals!G$4:G$79),0)</f>
        <v>125.11304347826086</v>
      </c>
      <c r="W82" s="72">
        <f>IFERROR(LOOKUP($C82,Actuals!$C$4:$C$79,Actuals!H$4:H$79),0)</f>
        <v>12</v>
      </c>
      <c r="X82" s="72">
        <f>IFERROR(LOOKUP($C82,Actuals!$C$4:$C$79,Actuals!I$4:I$79),0)</f>
        <v>93.834782608695647</v>
      </c>
      <c r="Y82" s="72">
        <f>IFERROR(LOOKUP($C82,Actuals!$C$4:$C$79,Actuals!J$4:J$79),0)</f>
        <v>9</v>
      </c>
    </row>
    <row r="83" spans="1:25" ht="16.5" customHeight="1" x14ac:dyDescent="0.35">
      <c r="A83" s="3" t="s">
        <v>14</v>
      </c>
      <c r="B83" s="4">
        <v>102</v>
      </c>
      <c r="C83" s="5">
        <v>61939</v>
      </c>
      <c r="D83" s="3" t="s">
        <v>101</v>
      </c>
      <c r="E83" s="6">
        <v>10</v>
      </c>
      <c r="F83" s="21">
        <v>5.09</v>
      </c>
      <c r="G83" s="22">
        <v>24</v>
      </c>
      <c r="H83" s="24">
        <f t="shared" si="6"/>
        <v>240</v>
      </c>
      <c r="I83" s="24">
        <f t="shared" si="7"/>
        <v>122.16</v>
      </c>
      <c r="J83" s="24">
        <f t="shared" si="8"/>
        <v>117.84</v>
      </c>
      <c r="K83" s="25">
        <f>J83/H83*100</f>
        <v>49.1</v>
      </c>
      <c r="L83" s="21"/>
      <c r="M83" s="12">
        <v>6660</v>
      </c>
      <c r="N83" s="12">
        <v>5791.3043478260879</v>
      </c>
      <c r="O83" s="12">
        <v>3465.86</v>
      </c>
      <c r="P83" s="9">
        <v>17</v>
      </c>
      <c r="Q83" s="12">
        <v>2325.4443478260869</v>
      </c>
      <c r="R83" s="12">
        <v>391.76470588235293</v>
      </c>
      <c r="S83" s="12">
        <v>340.66496163682871</v>
      </c>
      <c r="T83" s="12">
        <v>203.87411764705882</v>
      </c>
      <c r="U83" s="16">
        <v>40.154069069069067</v>
      </c>
      <c r="V83" s="72">
        <f>IFERROR(LOOKUP($C83,Actuals!$C$4:$C$79,Actuals!G$4:G$79),0)</f>
        <v>0</v>
      </c>
      <c r="W83" s="72">
        <f>IFERROR(LOOKUP($C83,Actuals!$C$4:$C$79,Actuals!H$4:H$79),0)</f>
        <v>0</v>
      </c>
      <c r="X83" s="72">
        <f>IFERROR(LOOKUP($C83,Actuals!$C$4:$C$79,Actuals!I$4:I$79),0)</f>
        <v>147.82608695652175</v>
      </c>
      <c r="Y83" s="72">
        <f>IFERROR(LOOKUP($C83,Actuals!$C$4:$C$79,Actuals!J$4:J$79),0)</f>
        <v>17</v>
      </c>
    </row>
    <row r="84" spans="1:25" ht="16.5" customHeight="1" x14ac:dyDescent="0.35">
      <c r="A84" s="3" t="s">
        <v>14</v>
      </c>
      <c r="B84" s="4">
        <v>102</v>
      </c>
      <c r="C84" s="5">
        <v>33995</v>
      </c>
      <c r="D84" s="3" t="s">
        <v>91</v>
      </c>
      <c r="E84" s="6">
        <v>15.99</v>
      </c>
      <c r="F84" s="21">
        <v>8.2200000000000006</v>
      </c>
      <c r="G84" s="22">
        <v>16</v>
      </c>
      <c r="H84" s="24">
        <f t="shared" si="6"/>
        <v>255.84</v>
      </c>
      <c r="I84" s="24">
        <f t="shared" si="7"/>
        <v>131.52000000000001</v>
      </c>
      <c r="J84" s="24">
        <f t="shared" si="8"/>
        <v>124.32</v>
      </c>
      <c r="K84" s="25">
        <f>J84/H84*100</f>
        <v>48.592870544090054</v>
      </c>
      <c r="L84" s="21"/>
      <c r="M84" s="12">
        <v>6648</v>
      </c>
      <c r="N84" s="12">
        <v>5780.8695652173919</v>
      </c>
      <c r="O84" s="12">
        <v>4323.8</v>
      </c>
      <c r="P84" s="9">
        <v>6652</v>
      </c>
      <c r="Q84" s="12">
        <v>1457.0695652173908</v>
      </c>
      <c r="R84" s="12">
        <v>0.99939867708959707</v>
      </c>
      <c r="S84" s="12">
        <v>0.8690423279039976</v>
      </c>
      <c r="T84" s="12">
        <v>0.65</v>
      </c>
      <c r="U84" s="16">
        <v>25.205024067388681</v>
      </c>
      <c r="V84" s="72">
        <f>IFERROR(LOOKUP($C84,Actuals!$C$4:$C$79,Actuals!G$4:G$79),0)</f>
        <v>278.08695652173913</v>
      </c>
      <c r="W84" s="72">
        <f>IFERROR(LOOKUP($C84,Actuals!$C$4:$C$79,Actuals!H$4:H$79),0)</f>
        <v>20</v>
      </c>
      <c r="X84" s="72">
        <f>IFERROR(LOOKUP($C84,Actuals!$C$4:$C$79,Actuals!I$4:I$79),0)</f>
        <v>97.330434782608705</v>
      </c>
      <c r="Y84" s="72">
        <f>IFERROR(LOOKUP($C84,Actuals!$C$4:$C$79,Actuals!J$4:J$79),0)</f>
        <v>7</v>
      </c>
    </row>
    <row r="85" spans="1:25" ht="16.5" customHeight="1" x14ac:dyDescent="0.35">
      <c r="A85" s="3" t="s">
        <v>14</v>
      </c>
      <c r="B85" s="4">
        <v>102</v>
      </c>
      <c r="C85" s="5">
        <v>42990</v>
      </c>
      <c r="D85" s="3" t="s">
        <v>93</v>
      </c>
      <c r="E85" s="6">
        <v>19.989999999999998</v>
      </c>
      <c r="F85" s="21">
        <v>10.85</v>
      </c>
      <c r="G85" s="22">
        <v>16</v>
      </c>
      <c r="H85" s="24">
        <f t="shared" si="6"/>
        <v>319.83999999999997</v>
      </c>
      <c r="I85" s="24">
        <f t="shared" si="7"/>
        <v>173.6</v>
      </c>
      <c r="J85" s="24">
        <f t="shared" si="8"/>
        <v>146.23999999999998</v>
      </c>
      <c r="K85" s="25">
        <f>J85/H85*100</f>
        <v>45.722861430715355</v>
      </c>
      <c r="L85" s="21"/>
      <c r="M85" s="12">
        <v>6640</v>
      </c>
      <c r="N85" s="12">
        <v>5773.913043478261</v>
      </c>
      <c r="O85" s="12">
        <v>3782.7400000000002</v>
      </c>
      <c r="P85" s="9">
        <v>58</v>
      </c>
      <c r="Q85" s="12">
        <v>1991.1730434782608</v>
      </c>
      <c r="R85" s="12">
        <v>114.48275862068965</v>
      </c>
      <c r="S85" s="12">
        <v>99.550224887556226</v>
      </c>
      <c r="T85" s="12">
        <v>65.219655172413795</v>
      </c>
      <c r="U85" s="16">
        <v>34.485677710843369</v>
      </c>
      <c r="V85" s="72">
        <f>IFERROR(LOOKUP($C85,Actuals!$C$4:$C$79,Actuals!G$4:G$79),0)</f>
        <v>121.67826086956522</v>
      </c>
      <c r="W85" s="72">
        <f>IFERROR(LOOKUP($C85,Actuals!$C$4:$C$79,Actuals!H$4:H$79),0)</f>
        <v>7</v>
      </c>
      <c r="X85" s="72">
        <f>IFERROR(LOOKUP($C85,Actuals!$C$4:$C$79,Actuals!I$4:I$79),0)</f>
        <v>173.82608695652175</v>
      </c>
      <c r="Y85" s="72">
        <f>IFERROR(LOOKUP($C85,Actuals!$C$4:$C$79,Actuals!J$4:J$79),0)</f>
        <v>10</v>
      </c>
    </row>
    <row r="86" spans="1:25" ht="16.5" customHeight="1" x14ac:dyDescent="0.35">
      <c r="A86" s="3" t="s">
        <v>14</v>
      </c>
      <c r="B86" s="4">
        <v>102</v>
      </c>
      <c r="C86" s="5">
        <v>34008</v>
      </c>
      <c r="D86" s="3" t="s">
        <v>104</v>
      </c>
      <c r="E86" s="6">
        <v>5.99</v>
      </c>
      <c r="F86" s="21">
        <v>4.32</v>
      </c>
      <c r="G86" s="22">
        <v>12</v>
      </c>
      <c r="H86" s="24">
        <f t="shared" si="6"/>
        <v>71.88</v>
      </c>
      <c r="I86" s="24">
        <f t="shared" si="7"/>
        <v>51.84</v>
      </c>
      <c r="J86" s="24">
        <f t="shared" si="8"/>
        <v>20.039999999999992</v>
      </c>
      <c r="K86" s="25">
        <f t="shared" ref="K86:K117" si="9">IFERROR(J86/H86*100,0)</f>
        <v>27.879799666110173</v>
      </c>
      <c r="L86" s="21"/>
      <c r="M86" s="12">
        <v>6633.3599999999988</v>
      </c>
      <c r="N86" s="12">
        <v>5768.1391304347835</v>
      </c>
      <c r="O86" s="12">
        <v>3007.9200000000005</v>
      </c>
      <c r="P86" s="9">
        <v>664</v>
      </c>
      <c r="Q86" s="12">
        <v>2760.2191304347812</v>
      </c>
      <c r="R86" s="12">
        <v>9.9899999999999984</v>
      </c>
      <c r="S86" s="12">
        <v>8.6869565217391322</v>
      </c>
      <c r="T86" s="12">
        <v>4.5300000000000011</v>
      </c>
      <c r="U86" s="16">
        <v>47.852852852852834</v>
      </c>
      <c r="V86" s="72">
        <f>IFERROR(LOOKUP($C86,Actuals!$C$4:$C$79,Actuals!G$4:G$79),0)</f>
        <v>72.921739130434787</v>
      </c>
      <c r="W86" s="72">
        <f>IFERROR(LOOKUP($C86,Actuals!$C$4:$C$79,Actuals!H$4:H$79),0)</f>
        <v>14</v>
      </c>
      <c r="X86" s="72">
        <f>IFERROR(LOOKUP($C86,Actuals!$C$4:$C$79,Actuals!I$4:I$79),0)</f>
        <v>67.713043478260872</v>
      </c>
      <c r="Y86" s="72">
        <f>IFERROR(LOOKUP($C86,Actuals!$C$4:$C$79,Actuals!J$4:J$79),0)</f>
        <v>13</v>
      </c>
    </row>
    <row r="87" spans="1:25" ht="16.5" customHeight="1" x14ac:dyDescent="0.35">
      <c r="A87" s="3" t="s">
        <v>14</v>
      </c>
      <c r="B87" s="4">
        <v>102</v>
      </c>
      <c r="C87" s="5">
        <v>61938</v>
      </c>
      <c r="D87" s="3" t="s">
        <v>124</v>
      </c>
      <c r="E87" s="6">
        <v>10</v>
      </c>
      <c r="F87" s="21">
        <v>3.43</v>
      </c>
      <c r="G87" s="22">
        <v>12</v>
      </c>
      <c r="H87" s="24">
        <f t="shared" si="6"/>
        <v>120</v>
      </c>
      <c r="I87" s="24">
        <f t="shared" si="7"/>
        <v>41.160000000000004</v>
      </c>
      <c r="J87" s="24">
        <f t="shared" si="8"/>
        <v>78.84</v>
      </c>
      <c r="K87" s="25">
        <f t="shared" si="9"/>
        <v>65.7</v>
      </c>
      <c r="L87" s="21"/>
      <c r="M87" s="12">
        <v>6481.1899999999987</v>
      </c>
      <c r="N87" s="12">
        <v>5635.8173913043483</v>
      </c>
      <c r="O87" s="12">
        <v>3278.9300000000003</v>
      </c>
      <c r="P87" s="9">
        <v>131</v>
      </c>
      <c r="Q87" s="12">
        <v>2356.8873913043462</v>
      </c>
      <c r="R87" s="12">
        <v>49.47473282442747</v>
      </c>
      <c r="S87" s="12">
        <v>43.021506803849988</v>
      </c>
      <c r="T87" s="12">
        <v>25.03</v>
      </c>
      <c r="U87" s="16">
        <v>41.819796981727102</v>
      </c>
      <c r="V87" s="72">
        <f>IFERROR(LOOKUP($C87,Actuals!$C$4:$C$79,Actuals!G$4:G$79),0)</f>
        <v>26.086956521739129</v>
      </c>
      <c r="W87" s="72">
        <f>IFERROR(LOOKUP($C87,Actuals!$C$4:$C$79,Actuals!H$4:H$79),0)</f>
        <v>3</v>
      </c>
      <c r="X87" s="72">
        <f>IFERROR(LOOKUP($C87,Actuals!$C$4:$C$79,Actuals!I$4:I$79),0)</f>
        <v>0</v>
      </c>
      <c r="Y87" s="72">
        <f>IFERROR(LOOKUP($C87,Actuals!$C$4:$C$79,Actuals!J$4:J$79),0)</f>
        <v>0</v>
      </c>
    </row>
    <row r="88" spans="1:25" ht="16.5" customHeight="1" x14ac:dyDescent="0.35">
      <c r="A88" s="3" t="s">
        <v>14</v>
      </c>
      <c r="B88" s="4">
        <v>102</v>
      </c>
      <c r="C88" s="5">
        <v>42797</v>
      </c>
      <c r="D88" s="21" t="s">
        <v>99</v>
      </c>
      <c r="E88" s="21">
        <v>11.99</v>
      </c>
      <c r="F88" s="21">
        <v>5.12</v>
      </c>
      <c r="G88" s="22">
        <v>10</v>
      </c>
      <c r="H88" s="24">
        <f t="shared" si="6"/>
        <v>119.9</v>
      </c>
      <c r="I88" s="24">
        <f t="shared" si="7"/>
        <v>51.2</v>
      </c>
      <c r="J88" s="24">
        <f t="shared" si="8"/>
        <v>68.7</v>
      </c>
      <c r="K88" s="25">
        <f t="shared" si="9"/>
        <v>57.2977481234362</v>
      </c>
      <c r="L88" s="21"/>
      <c r="M88" s="12">
        <v>6411.9900000000016</v>
      </c>
      <c r="N88" s="12">
        <v>5575.6434782608703</v>
      </c>
      <c r="O88" s="12">
        <v>3328.3000000000006</v>
      </c>
      <c r="P88" s="9">
        <v>401</v>
      </c>
      <c r="Q88" s="12">
        <v>2247.3434782608697</v>
      </c>
      <c r="R88" s="12">
        <v>15.990000000000004</v>
      </c>
      <c r="S88" s="12">
        <v>13.904347826086958</v>
      </c>
      <c r="T88" s="12">
        <v>8.3000000000000007</v>
      </c>
      <c r="U88" s="16">
        <v>40.306441525953716</v>
      </c>
      <c r="V88" s="72">
        <f>IFERROR(LOOKUP($C88,Actuals!$C$4:$C$79,Actuals!G$4:G$79),0)</f>
        <v>125.11304347826086</v>
      </c>
      <c r="W88" s="72">
        <f>IFERROR(LOOKUP($C88,Actuals!$C$4:$C$79,Actuals!H$4:H$79),0)</f>
        <v>12</v>
      </c>
      <c r="X88" s="72">
        <f>IFERROR(LOOKUP($C88,Actuals!$C$4:$C$79,Actuals!I$4:I$79),0)</f>
        <v>72.982608695652175</v>
      </c>
      <c r="Y88" s="72">
        <f>IFERROR(LOOKUP($C88,Actuals!$C$4:$C$79,Actuals!J$4:J$79),0)</f>
        <v>7</v>
      </c>
    </row>
    <row r="89" spans="1:25" ht="16.5" customHeight="1" x14ac:dyDescent="0.35">
      <c r="A89" s="3" t="s">
        <v>14</v>
      </c>
      <c r="B89" s="4">
        <v>102</v>
      </c>
      <c r="C89" s="5">
        <v>61937</v>
      </c>
      <c r="D89" s="23" t="s">
        <v>122</v>
      </c>
      <c r="E89" s="21">
        <v>10</v>
      </c>
      <c r="F89" s="21">
        <v>2.67</v>
      </c>
      <c r="G89" s="22">
        <v>10</v>
      </c>
      <c r="H89" s="24">
        <f t="shared" si="6"/>
        <v>100</v>
      </c>
      <c r="I89" s="24">
        <f t="shared" si="7"/>
        <v>26.7</v>
      </c>
      <c r="J89" s="24">
        <f t="shared" si="8"/>
        <v>73.3</v>
      </c>
      <c r="K89" s="25">
        <f t="shared" si="9"/>
        <v>73.3</v>
      </c>
      <c r="L89" s="21"/>
      <c r="M89" s="12">
        <v>6057.57</v>
      </c>
      <c r="N89" s="12">
        <v>5267.452173913045</v>
      </c>
      <c r="O89" s="12">
        <v>2352.2400000000007</v>
      </c>
      <c r="P89" s="9">
        <v>243</v>
      </c>
      <c r="Q89" s="12">
        <v>2915.2121739130425</v>
      </c>
      <c r="R89" s="12">
        <v>24.928271604938271</v>
      </c>
      <c r="S89" s="12">
        <v>21.676757917337635</v>
      </c>
      <c r="T89" s="12">
        <v>9.6800000000000033</v>
      </c>
      <c r="U89" s="16">
        <v>55.343875514438942</v>
      </c>
      <c r="V89" s="72">
        <f>IFERROR(LOOKUP($C89,Actuals!$C$4:$C$79,Actuals!G$4:G$79),0)</f>
        <v>104.34782608695652</v>
      </c>
      <c r="W89" s="72">
        <f>IFERROR(LOOKUP($C89,Actuals!$C$4:$C$79,Actuals!H$4:H$79),0)</f>
        <v>12</v>
      </c>
      <c r="X89" s="72">
        <f>IFERROR(LOOKUP($C89,Actuals!$C$4:$C$79,Actuals!I$4:I$79),0)</f>
        <v>0</v>
      </c>
      <c r="Y89" s="72">
        <f>IFERROR(LOOKUP($C89,Actuals!$C$4:$C$79,Actuals!J$4:J$79),0)</f>
        <v>0</v>
      </c>
    </row>
    <row r="90" spans="1:25" ht="16.5" customHeight="1" x14ac:dyDescent="0.35">
      <c r="A90" s="3" t="s">
        <v>14</v>
      </c>
      <c r="B90" s="4">
        <v>102</v>
      </c>
      <c r="C90" s="5">
        <v>32131</v>
      </c>
      <c r="D90" s="3" t="s">
        <v>94</v>
      </c>
      <c r="E90" s="6">
        <v>18.989999999999998</v>
      </c>
      <c r="F90" s="21">
        <v>9.1300000000000008</v>
      </c>
      <c r="G90" s="22">
        <v>8</v>
      </c>
      <c r="H90" s="24">
        <f t="shared" si="6"/>
        <v>151.91999999999999</v>
      </c>
      <c r="I90" s="24">
        <f t="shared" si="7"/>
        <v>73.040000000000006</v>
      </c>
      <c r="J90" s="24">
        <f t="shared" si="8"/>
        <v>78.879999999999981</v>
      </c>
      <c r="K90" s="25">
        <f t="shared" si="9"/>
        <v>51.922064244339118</v>
      </c>
      <c r="L90" s="21"/>
      <c r="M90" s="12">
        <v>5660.5500000000011</v>
      </c>
      <c r="N90" s="12">
        <v>4922.2173913043489</v>
      </c>
      <c r="O90" s="12">
        <v>2787.75</v>
      </c>
      <c r="P90" s="9">
        <v>945</v>
      </c>
      <c r="Q90" s="12">
        <v>2134.4673913043489</v>
      </c>
      <c r="R90" s="12">
        <v>5.9900000000000011</v>
      </c>
      <c r="S90" s="12">
        <v>5.2086956521739145</v>
      </c>
      <c r="T90" s="12">
        <v>2.95</v>
      </c>
      <c r="U90" s="16">
        <v>43.363939899833063</v>
      </c>
      <c r="V90" s="72">
        <f>IFERROR(LOOKUP($C90,Actuals!$C$4:$C$79,Actuals!G$4:G$79),0)</f>
        <v>125.11304347826086</v>
      </c>
      <c r="W90" s="72">
        <f>IFERROR(LOOKUP($C90,Actuals!$C$4:$C$79,Actuals!H$4:H$79),0)</f>
        <v>12</v>
      </c>
      <c r="X90" s="72">
        <f>IFERROR(LOOKUP($C90,Actuals!$C$4:$C$79,Actuals!I$4:I$79),0)</f>
        <v>93.834782608695647</v>
      </c>
      <c r="Y90" s="72">
        <f>IFERROR(LOOKUP($C90,Actuals!$C$4:$C$79,Actuals!J$4:J$79),0)</f>
        <v>9</v>
      </c>
    </row>
    <row r="91" spans="1:25" ht="16.5" customHeight="1" x14ac:dyDescent="0.35">
      <c r="A91" s="3" t="s">
        <v>14</v>
      </c>
      <c r="B91" s="4">
        <v>102</v>
      </c>
      <c r="C91" s="5">
        <v>33031</v>
      </c>
      <c r="D91" s="3" t="s">
        <v>97</v>
      </c>
      <c r="E91" s="6">
        <v>17.989999999999998</v>
      </c>
      <c r="F91" s="21">
        <v>9.1199999999999992</v>
      </c>
      <c r="G91" s="22">
        <v>8</v>
      </c>
      <c r="H91" s="24">
        <f t="shared" si="6"/>
        <v>143.91999999999999</v>
      </c>
      <c r="I91" s="24">
        <f t="shared" si="7"/>
        <v>72.959999999999994</v>
      </c>
      <c r="J91" s="24">
        <f t="shared" si="8"/>
        <v>70.959999999999994</v>
      </c>
      <c r="K91" s="25">
        <f t="shared" si="9"/>
        <v>49.305169538632576</v>
      </c>
      <c r="L91" s="21"/>
      <c r="M91" s="12">
        <v>5508.24</v>
      </c>
      <c r="N91" s="12">
        <v>4789.7739130434793</v>
      </c>
      <c r="O91" s="12">
        <v>2346</v>
      </c>
      <c r="P91" s="9">
        <v>276</v>
      </c>
      <c r="Q91" s="12">
        <v>2443.7739130434775</v>
      </c>
      <c r="R91" s="12">
        <v>19.957391304347826</v>
      </c>
      <c r="S91" s="12">
        <v>17.354253308128548</v>
      </c>
      <c r="T91" s="12">
        <v>8.5</v>
      </c>
      <c r="U91" s="16">
        <v>51.020652694871671</v>
      </c>
      <c r="V91" s="72">
        <f>IFERROR(LOOKUP($C91,Actuals!$C$4:$C$79,Actuals!G$4:G$79),0)</f>
        <v>140.7913043478261</v>
      </c>
      <c r="W91" s="72">
        <f>IFERROR(LOOKUP($C91,Actuals!$C$4:$C$79,Actuals!H$4:H$79),0)</f>
        <v>9</v>
      </c>
      <c r="X91" s="72">
        <f>IFERROR(LOOKUP($C91,Actuals!$C$4:$C$79,Actuals!I$4:I$79),0)</f>
        <v>0</v>
      </c>
      <c r="Y91" s="72">
        <f>IFERROR(LOOKUP($C91,Actuals!$C$4:$C$79,Actuals!J$4:J$79),0)</f>
        <v>0</v>
      </c>
    </row>
    <row r="92" spans="1:25" ht="16.5" customHeight="1" x14ac:dyDescent="0.35">
      <c r="A92" s="3" t="s">
        <v>14</v>
      </c>
      <c r="B92" s="4">
        <v>102</v>
      </c>
      <c r="C92" s="5">
        <v>32872</v>
      </c>
      <c r="D92" s="3" t="s">
        <v>98</v>
      </c>
      <c r="E92" s="6">
        <v>39.99</v>
      </c>
      <c r="F92" s="21">
        <v>11.79</v>
      </c>
      <c r="G92" s="22">
        <v>8</v>
      </c>
      <c r="H92" s="24">
        <f t="shared" si="6"/>
        <v>319.92</v>
      </c>
      <c r="I92" s="24">
        <f t="shared" si="7"/>
        <v>94.32</v>
      </c>
      <c r="J92" s="24">
        <f t="shared" si="8"/>
        <v>225.60000000000002</v>
      </c>
      <c r="K92" s="25">
        <f t="shared" si="9"/>
        <v>70.517629407351848</v>
      </c>
      <c r="L92" s="21"/>
      <c r="M92" s="12">
        <v>4711.5599999999986</v>
      </c>
      <c r="N92" s="12">
        <v>4097.0086956521736</v>
      </c>
      <c r="O92" s="12">
        <v>2341.75</v>
      </c>
      <c r="P92" s="9">
        <v>95</v>
      </c>
      <c r="Q92" s="12">
        <v>1755.2586956521727</v>
      </c>
      <c r="R92" s="12">
        <v>49.595368421052619</v>
      </c>
      <c r="S92" s="12">
        <v>43.126407322654458</v>
      </c>
      <c r="T92" s="12">
        <v>24.65</v>
      </c>
      <c r="U92" s="16">
        <v>42.842444965149525</v>
      </c>
      <c r="V92" s="72">
        <f>IFERROR(LOOKUP($C92,Actuals!$C$4:$C$79,Actuals!G$4:G$79),0)</f>
        <v>69.547826086956519</v>
      </c>
      <c r="W92" s="72">
        <f>IFERROR(LOOKUP($C92,Actuals!$C$4:$C$79,Actuals!H$4:H$79),0)</f>
        <v>2</v>
      </c>
      <c r="X92" s="72">
        <f>IFERROR(LOOKUP($C92,Actuals!$C$4:$C$79,Actuals!I$4:I$79),0)</f>
        <v>0</v>
      </c>
      <c r="Y92" s="72">
        <f>IFERROR(LOOKUP($C92,Actuals!$C$4:$C$79,Actuals!J$4:J$79),0)</f>
        <v>0</v>
      </c>
    </row>
    <row r="93" spans="1:25" ht="16.5" customHeight="1" x14ac:dyDescent="0.35">
      <c r="A93" s="3" t="s">
        <v>14</v>
      </c>
      <c r="B93" s="4">
        <v>102</v>
      </c>
      <c r="C93" s="5">
        <v>32152</v>
      </c>
      <c r="D93" s="3" t="s">
        <v>100</v>
      </c>
      <c r="E93" s="6">
        <v>12.99</v>
      </c>
      <c r="F93" s="21">
        <v>6.77</v>
      </c>
      <c r="G93" s="22">
        <v>6</v>
      </c>
      <c r="H93" s="24">
        <f t="shared" si="6"/>
        <v>77.94</v>
      </c>
      <c r="I93" s="24">
        <f t="shared" si="7"/>
        <v>40.619999999999997</v>
      </c>
      <c r="J93" s="24">
        <f t="shared" si="8"/>
        <v>37.32</v>
      </c>
      <c r="K93" s="25">
        <f t="shared" si="9"/>
        <v>47.882986913010015</v>
      </c>
      <c r="L93" s="21"/>
      <c r="M93" s="12">
        <v>4519.49</v>
      </c>
      <c r="N93" s="12">
        <v>3929.9913043478264</v>
      </c>
      <c r="O93" s="12">
        <v>1911.6600000000003</v>
      </c>
      <c r="P93" s="9">
        <v>151</v>
      </c>
      <c r="Q93" s="12">
        <v>2018.3313043478252</v>
      </c>
      <c r="R93" s="12">
        <v>29.930397350993378</v>
      </c>
      <c r="S93" s="12">
        <v>26.026432479124679</v>
      </c>
      <c r="T93" s="12">
        <v>12.660000000000002</v>
      </c>
      <c r="U93" s="16">
        <v>51.357144279553644</v>
      </c>
      <c r="V93" s="72">
        <f>IFERROR(LOOKUP($C93,Actuals!$C$4:$C$79,Actuals!G$4:G$79),0)</f>
        <v>67.77391304347826</v>
      </c>
      <c r="W93" s="72">
        <f>IFERROR(LOOKUP($C93,Actuals!$C$4:$C$79,Actuals!H$4:H$79),0)</f>
        <v>6</v>
      </c>
      <c r="X93" s="72">
        <f>IFERROR(LOOKUP($C93,Actuals!$C$4:$C$79,Actuals!I$4:I$79),0)</f>
        <v>22.591304347826089</v>
      </c>
      <c r="Y93" s="72">
        <f>IFERROR(LOOKUP($C93,Actuals!$C$4:$C$79,Actuals!J$4:J$79),0)</f>
        <v>2</v>
      </c>
    </row>
    <row r="94" spans="1:25" ht="16.5" customHeight="1" x14ac:dyDescent="0.35">
      <c r="A94" s="3" t="s">
        <v>14</v>
      </c>
      <c r="B94" s="4">
        <v>102</v>
      </c>
      <c r="C94" s="5">
        <v>55481</v>
      </c>
      <c r="D94" s="3" t="s">
        <v>105</v>
      </c>
      <c r="E94" s="6">
        <v>11.99</v>
      </c>
      <c r="F94" s="21">
        <v>5.0999999999999996</v>
      </c>
      <c r="G94" s="22">
        <v>6</v>
      </c>
      <c r="H94" s="24">
        <f t="shared" si="6"/>
        <v>71.94</v>
      </c>
      <c r="I94" s="24">
        <f t="shared" si="7"/>
        <v>30.599999999999998</v>
      </c>
      <c r="J94" s="24">
        <f t="shared" si="8"/>
        <v>41.34</v>
      </c>
      <c r="K94" s="25">
        <f t="shared" si="9"/>
        <v>57.46455379482903</v>
      </c>
      <c r="L94" s="21"/>
      <c r="M94" s="12">
        <v>4281.33</v>
      </c>
      <c r="N94" s="12">
        <v>3722.8956521739133</v>
      </c>
      <c r="O94" s="12">
        <v>1950.2399999999996</v>
      </c>
      <c r="P94" s="9">
        <v>717</v>
      </c>
      <c r="Q94" s="12">
        <v>1772.6556521739133</v>
      </c>
      <c r="R94" s="12">
        <v>5.9711715481171543</v>
      </c>
      <c r="S94" s="12">
        <v>5.1923230853192655</v>
      </c>
      <c r="T94" s="12">
        <v>2.7199999999999993</v>
      </c>
      <c r="U94" s="16">
        <v>47.614970114427067</v>
      </c>
      <c r="V94" s="72">
        <f>IFERROR(LOOKUP($C94,Actuals!$C$4:$C$79,Actuals!G$4:G$79),0)</f>
        <v>83.408695652173918</v>
      </c>
      <c r="W94" s="72">
        <f>IFERROR(LOOKUP($C94,Actuals!$C$4:$C$79,Actuals!H$4:H$79),0)</f>
        <v>8</v>
      </c>
      <c r="X94" s="72">
        <f>IFERROR(LOOKUP($C94,Actuals!$C$4:$C$79,Actuals!I$4:I$79),0)</f>
        <v>52.130434782608695</v>
      </c>
      <c r="Y94" s="72">
        <f>IFERROR(LOOKUP($C94,Actuals!$C$4:$C$79,Actuals!J$4:J$79),0)</f>
        <v>5</v>
      </c>
    </row>
    <row r="95" spans="1:25" ht="16.5" customHeight="1" x14ac:dyDescent="0.35">
      <c r="A95" s="3" t="s">
        <v>19</v>
      </c>
      <c r="B95" s="4">
        <v>102</v>
      </c>
      <c r="C95" s="5">
        <v>34015</v>
      </c>
      <c r="D95" s="3" t="s">
        <v>106</v>
      </c>
      <c r="E95" s="6">
        <v>29.99</v>
      </c>
      <c r="F95" s="21">
        <v>3.1788888888888902</v>
      </c>
      <c r="G95" s="22">
        <v>6</v>
      </c>
      <c r="H95" s="24">
        <f t="shared" si="6"/>
        <v>179.94</v>
      </c>
      <c r="I95" s="24">
        <f t="shared" si="7"/>
        <v>19.073333333333341</v>
      </c>
      <c r="J95" s="24">
        <f t="shared" si="8"/>
        <v>160.86666666666665</v>
      </c>
      <c r="K95" s="25">
        <f t="shared" si="9"/>
        <v>89.400170427179418</v>
      </c>
      <c r="L95" s="21"/>
      <c r="M95" s="12">
        <v>4235.3900000000003</v>
      </c>
      <c r="N95" s="12">
        <v>3682.9478260869564</v>
      </c>
      <c r="O95" s="12">
        <v>2250.9431999999997</v>
      </c>
      <c r="P95" s="9">
        <v>1067</v>
      </c>
      <c r="Q95" s="12">
        <v>1432.0046260869576</v>
      </c>
      <c r="R95" s="12">
        <v>3.9694376757263359</v>
      </c>
      <c r="S95" s="12">
        <v>3.4516849354142045</v>
      </c>
      <c r="T95" s="12">
        <v>2.1095999999999999</v>
      </c>
      <c r="U95" s="16">
        <v>38.882023143087196</v>
      </c>
      <c r="V95" s="72">
        <f>IFERROR(LOOKUP($C95,Actuals!$C$4:$C$79,Actuals!G$4:G$79),0)</f>
        <v>78.234782608695653</v>
      </c>
      <c r="W95" s="72">
        <f>IFERROR(LOOKUP($C95,Actuals!$C$4:$C$79,Actuals!H$4:H$79),0)</f>
        <v>3</v>
      </c>
      <c r="X95" s="72">
        <f>IFERROR(LOOKUP($C95,Actuals!$C$4:$C$79,Actuals!I$4:I$79),0)</f>
        <v>26.078260869565216</v>
      </c>
      <c r="Y95" s="72">
        <f>IFERROR(LOOKUP($C95,Actuals!$C$4:$C$79,Actuals!J$4:J$79),0)</f>
        <v>1</v>
      </c>
    </row>
    <row r="96" spans="1:25" ht="16.5" customHeight="1" x14ac:dyDescent="0.35">
      <c r="A96" s="3" t="s">
        <v>14</v>
      </c>
      <c r="B96" s="4">
        <v>102</v>
      </c>
      <c r="C96" s="5">
        <v>32855</v>
      </c>
      <c r="D96" s="3" t="s">
        <v>110</v>
      </c>
      <c r="E96" s="6">
        <v>17.989999999999998</v>
      </c>
      <c r="F96" s="21">
        <v>9.14</v>
      </c>
      <c r="G96" s="22">
        <v>6</v>
      </c>
      <c r="H96" s="24">
        <f t="shared" si="6"/>
        <v>107.94</v>
      </c>
      <c r="I96" s="24">
        <f t="shared" si="7"/>
        <v>54.84</v>
      </c>
      <c r="J96" s="24">
        <f t="shared" si="8"/>
        <v>53.099999999999994</v>
      </c>
      <c r="K96" s="25">
        <f t="shared" si="9"/>
        <v>49.193996664813781</v>
      </c>
      <c r="L96" s="21"/>
      <c r="M96" s="12">
        <v>4003.5</v>
      </c>
      <c r="N96" s="12">
        <v>3481.304347826087</v>
      </c>
      <c r="O96" s="12">
        <v>1070.6699999999998</v>
      </c>
      <c r="P96" s="9">
        <v>401</v>
      </c>
      <c r="Q96" s="12">
        <v>2410.6343478260878</v>
      </c>
      <c r="R96" s="12">
        <v>9.9837905236907734</v>
      </c>
      <c r="S96" s="12">
        <v>8.6815569771224119</v>
      </c>
      <c r="T96" s="12">
        <v>2.6699999999999995</v>
      </c>
      <c r="U96" s="16">
        <v>69.245147995503956</v>
      </c>
      <c r="V96" s="72">
        <f>IFERROR(LOOKUP($C96,Actuals!$C$4:$C$79,Actuals!G$4:G$79),0)</f>
        <v>46.930434782608693</v>
      </c>
      <c r="W96" s="72">
        <f>IFERROR(LOOKUP($C96,Actuals!$C$4:$C$79,Actuals!H$4:H$79),0)</f>
        <v>3</v>
      </c>
      <c r="X96" s="72">
        <f>IFERROR(LOOKUP($C96,Actuals!$C$4:$C$79,Actuals!I$4:I$79),0)</f>
        <v>31.286956521739128</v>
      </c>
      <c r="Y96" s="72">
        <f>IFERROR(LOOKUP($C96,Actuals!$C$4:$C$79,Actuals!J$4:J$79),0)</f>
        <v>2</v>
      </c>
    </row>
    <row r="97" spans="1:25" ht="16.5" customHeight="1" x14ac:dyDescent="0.35">
      <c r="A97" s="3" t="s">
        <v>14</v>
      </c>
      <c r="B97" s="4">
        <v>102</v>
      </c>
      <c r="C97" s="5">
        <v>39422</v>
      </c>
      <c r="D97" s="3" t="s">
        <v>120</v>
      </c>
      <c r="E97" s="6">
        <v>15.99</v>
      </c>
      <c r="F97" s="21">
        <v>8.3000000000000007</v>
      </c>
      <c r="G97" s="22">
        <v>6</v>
      </c>
      <c r="H97" s="24">
        <f t="shared" si="6"/>
        <v>95.94</v>
      </c>
      <c r="I97" s="24">
        <f t="shared" si="7"/>
        <v>49.800000000000004</v>
      </c>
      <c r="J97" s="24">
        <f t="shared" si="8"/>
        <v>46.139999999999993</v>
      </c>
      <c r="K97" s="25">
        <f t="shared" si="9"/>
        <v>48.092557848655403</v>
      </c>
      <c r="L97" s="21"/>
      <c r="M97" s="12">
        <v>3929.5</v>
      </c>
      <c r="N97" s="12">
        <v>3416.9565217391305</v>
      </c>
      <c r="O97" s="12">
        <v>1469.6200000000001</v>
      </c>
      <c r="P97" s="9">
        <v>394</v>
      </c>
      <c r="Q97" s="12">
        <v>1947.3365217391299</v>
      </c>
      <c r="R97" s="12">
        <v>9.9733502538071068</v>
      </c>
      <c r="S97" s="12">
        <v>8.6724784815713978</v>
      </c>
      <c r="T97" s="12">
        <v>3.7300000000000004</v>
      </c>
      <c r="U97" s="16">
        <v>56.990380455528687</v>
      </c>
      <c r="V97" s="72">
        <f>IFERROR(LOOKUP($C97,Actuals!$C$4:$C$79,Actuals!G$4:G$79),0)</f>
        <v>13.904347826086957</v>
      </c>
      <c r="W97" s="72">
        <f>IFERROR(LOOKUP($C97,Actuals!$C$4:$C$79,Actuals!H$4:H$79),0)</f>
        <v>1</v>
      </c>
      <c r="X97" s="72">
        <f>IFERROR(LOOKUP($C97,Actuals!$C$4:$C$79,Actuals!I$4:I$79),0)</f>
        <v>13.904347826086957</v>
      </c>
      <c r="Y97" s="72">
        <f>IFERROR(LOOKUP($C97,Actuals!$C$4:$C$79,Actuals!J$4:J$79),0)</f>
        <v>1</v>
      </c>
    </row>
    <row r="98" spans="1:25" ht="16.5" customHeight="1" x14ac:dyDescent="0.35">
      <c r="A98" s="3" t="s">
        <v>14</v>
      </c>
      <c r="B98" s="4">
        <v>102</v>
      </c>
      <c r="C98" s="5">
        <v>38977</v>
      </c>
      <c r="D98" s="3" t="s">
        <v>95</v>
      </c>
      <c r="E98" s="6">
        <v>18.989999999999998</v>
      </c>
      <c r="F98" s="21">
        <v>9.6999999999999993</v>
      </c>
      <c r="G98" s="22">
        <v>0</v>
      </c>
      <c r="H98" s="24">
        <f t="shared" si="6"/>
        <v>0</v>
      </c>
      <c r="I98" s="24">
        <f t="shared" si="7"/>
        <v>0</v>
      </c>
      <c r="J98" s="24">
        <f t="shared" si="8"/>
        <v>0</v>
      </c>
      <c r="K98" s="25">
        <f t="shared" si="9"/>
        <v>0</v>
      </c>
      <c r="L98" s="21"/>
      <c r="M98" s="12">
        <v>3690</v>
      </c>
      <c r="N98" s="12">
        <v>3208.695652173913</v>
      </c>
      <c r="O98" s="12">
        <v>1985.0599999999997</v>
      </c>
      <c r="P98" s="9">
        <v>38</v>
      </c>
      <c r="Q98" s="12">
        <v>1223.6356521739137</v>
      </c>
      <c r="R98" s="12">
        <v>97.10526315789474</v>
      </c>
      <c r="S98" s="12">
        <v>84.439359267734559</v>
      </c>
      <c r="T98" s="12">
        <v>52.238421052631573</v>
      </c>
      <c r="U98" s="16">
        <v>38.134986449864513</v>
      </c>
      <c r="V98" s="72">
        <f>IFERROR(LOOKUP($C98,Actuals!$C$4:$C$79,Actuals!G$4:G$79),0)</f>
        <v>132.10434782608695</v>
      </c>
      <c r="W98" s="72">
        <f>IFERROR(LOOKUP($C98,Actuals!$C$4:$C$79,Actuals!H$4:H$79),0)</f>
        <v>8</v>
      </c>
      <c r="X98" s="72">
        <f>IFERROR(LOOKUP($C98,Actuals!$C$4:$C$79,Actuals!I$4:I$79),0)</f>
        <v>132.10434782608695</v>
      </c>
      <c r="Y98" s="72">
        <f>IFERROR(LOOKUP($C98,Actuals!$C$4:$C$79,Actuals!J$4:J$79),0)</f>
        <v>8</v>
      </c>
    </row>
    <row r="99" spans="1:25" ht="16.5" customHeight="1" x14ac:dyDescent="0.35">
      <c r="A99" s="3" t="s">
        <v>14</v>
      </c>
      <c r="B99" s="4">
        <v>102</v>
      </c>
      <c r="C99" s="5">
        <v>32128</v>
      </c>
      <c r="D99" s="3" t="s">
        <v>96</v>
      </c>
      <c r="E99" s="6">
        <v>18.989999999999998</v>
      </c>
      <c r="F99" s="21">
        <v>11</v>
      </c>
      <c r="G99" s="22">
        <v>0</v>
      </c>
      <c r="H99" s="24">
        <f t="shared" si="6"/>
        <v>0</v>
      </c>
      <c r="I99" s="24">
        <f t="shared" si="7"/>
        <v>0</v>
      </c>
      <c r="J99" s="24">
        <f t="shared" si="8"/>
        <v>0</v>
      </c>
      <c r="K99" s="25">
        <f t="shared" si="9"/>
        <v>0</v>
      </c>
      <c r="L99" s="21"/>
      <c r="M99" s="12">
        <v>3653</v>
      </c>
      <c r="N99" s="12">
        <v>3176.521739130435</v>
      </c>
      <c r="O99" s="12">
        <v>1255.3800000000003</v>
      </c>
      <c r="P99" s="9">
        <v>366</v>
      </c>
      <c r="Q99" s="12">
        <v>1921.1417391304342</v>
      </c>
      <c r="R99" s="12">
        <v>9.9808743169398912</v>
      </c>
      <c r="S99" s="12">
        <v>8.6790211451651231</v>
      </c>
      <c r="T99" s="12">
        <v>3.430000000000001</v>
      </c>
      <c r="U99" s="16">
        <v>60.479414180125914</v>
      </c>
      <c r="V99" s="72">
        <f>IFERROR(LOOKUP($C99,Actuals!$C$4:$C$79,Actuals!G$4:G$79),0)</f>
        <v>125.11304347826086</v>
      </c>
      <c r="W99" s="72">
        <f>IFERROR(LOOKUP($C99,Actuals!$C$4:$C$79,Actuals!H$4:H$79),0)</f>
        <v>12</v>
      </c>
      <c r="X99" s="72">
        <f>IFERROR(LOOKUP($C99,Actuals!$C$4:$C$79,Actuals!I$4:I$79),0)</f>
        <v>93.834782608695647</v>
      </c>
      <c r="Y99" s="72">
        <f>IFERROR(LOOKUP($C99,Actuals!$C$4:$C$79,Actuals!J$4:J$79),0)</f>
        <v>9</v>
      </c>
    </row>
    <row r="100" spans="1:25" ht="16.5" customHeight="1" x14ac:dyDescent="0.35">
      <c r="A100" s="26" t="s">
        <v>19</v>
      </c>
      <c r="B100" s="27">
        <v>102</v>
      </c>
      <c r="C100" s="28">
        <v>42797</v>
      </c>
      <c r="D100" s="26" t="s">
        <v>99</v>
      </c>
      <c r="E100" s="29">
        <v>11.99</v>
      </c>
      <c r="F100" s="75">
        <v>4.84</v>
      </c>
      <c r="G100" s="22">
        <v>0</v>
      </c>
      <c r="H100" s="24">
        <f t="shared" si="6"/>
        <v>0</v>
      </c>
      <c r="I100" s="24">
        <f t="shared" si="7"/>
        <v>0</v>
      </c>
      <c r="J100" s="24">
        <f t="shared" si="8"/>
        <v>0</v>
      </c>
      <c r="K100" s="25">
        <f t="shared" si="9"/>
        <v>0</v>
      </c>
      <c r="L100" s="21"/>
      <c r="M100" s="12">
        <v>3476.96</v>
      </c>
      <c r="N100" s="12">
        <v>3023.4434782608696</v>
      </c>
      <c r="O100" s="12">
        <v>1953.2599999999998</v>
      </c>
      <c r="P100" s="9">
        <v>127</v>
      </c>
      <c r="Q100" s="12">
        <v>1070.1834782608698</v>
      </c>
      <c r="R100" s="12">
        <v>27.377637795275589</v>
      </c>
      <c r="S100" s="12">
        <v>23.80664156110921</v>
      </c>
      <c r="T100" s="12">
        <v>15.379999999999999</v>
      </c>
      <c r="U100" s="16">
        <v>35.396179421103504</v>
      </c>
      <c r="V100" s="72">
        <f>IFERROR(LOOKUP($C100,Actuals!$C$4:$C$79,Actuals!G$4:G$79),0)</f>
        <v>125.11304347826086</v>
      </c>
      <c r="W100" s="72">
        <f>IFERROR(LOOKUP($C100,Actuals!$C$4:$C$79,Actuals!H$4:H$79),0)</f>
        <v>12</v>
      </c>
      <c r="X100" s="72">
        <f>IFERROR(LOOKUP($C100,Actuals!$C$4:$C$79,Actuals!I$4:I$79),0)</f>
        <v>72.982608695652175</v>
      </c>
      <c r="Y100" s="72">
        <f>IFERROR(LOOKUP($C100,Actuals!$C$4:$C$79,Actuals!J$4:J$79),0)</f>
        <v>7</v>
      </c>
    </row>
    <row r="101" spans="1:25" ht="16.5" customHeight="1" x14ac:dyDescent="0.35">
      <c r="A101" s="3" t="s">
        <v>14</v>
      </c>
      <c r="B101" s="4">
        <v>102</v>
      </c>
      <c r="C101" s="5">
        <v>32153</v>
      </c>
      <c r="D101" s="3" t="s">
        <v>102</v>
      </c>
      <c r="E101" s="6">
        <v>8.99</v>
      </c>
      <c r="F101" s="21">
        <v>4.5599999999999996</v>
      </c>
      <c r="G101" s="22">
        <v>0</v>
      </c>
      <c r="H101" s="24">
        <f t="shared" si="6"/>
        <v>0</v>
      </c>
      <c r="I101" s="24">
        <f t="shared" si="7"/>
        <v>0</v>
      </c>
      <c r="J101" s="24">
        <f t="shared" si="8"/>
        <v>0</v>
      </c>
      <c r="K101" s="25">
        <f t="shared" si="9"/>
        <v>0</v>
      </c>
      <c r="L101" s="21"/>
      <c r="M101" s="12">
        <v>3338.41</v>
      </c>
      <c r="N101" s="12">
        <v>2902.965217391305</v>
      </c>
      <c r="O101" s="12">
        <v>1794.2853999999993</v>
      </c>
      <c r="P101" s="9">
        <v>839</v>
      </c>
      <c r="Q101" s="12">
        <v>1108.6798173913048</v>
      </c>
      <c r="R101" s="12">
        <v>3.9790345649582837</v>
      </c>
      <c r="S101" s="12">
        <v>3.4600300564854649</v>
      </c>
      <c r="T101" s="12">
        <v>2.1385999999999989</v>
      </c>
      <c r="U101" s="16">
        <v>38.191288367815837</v>
      </c>
      <c r="V101" s="72">
        <f>IFERROR(LOOKUP($C101,Actuals!$C$4:$C$79,Actuals!G$4:G$79),0)</f>
        <v>46.904347826086955</v>
      </c>
      <c r="W101" s="72">
        <f>IFERROR(LOOKUP($C101,Actuals!$C$4:$C$79,Actuals!H$4:H$79),0)</f>
        <v>6</v>
      </c>
      <c r="X101" s="72">
        <f>IFERROR(LOOKUP($C101,Actuals!$C$4:$C$79,Actuals!I$4:I$79),0)</f>
        <v>62.539130434782606</v>
      </c>
      <c r="Y101" s="72">
        <f>IFERROR(LOOKUP($C101,Actuals!$C$4:$C$79,Actuals!J$4:J$79),0)</f>
        <v>8</v>
      </c>
    </row>
    <row r="102" spans="1:25" ht="16.5" customHeight="1" x14ac:dyDescent="0.35">
      <c r="A102" s="3" t="s">
        <v>14</v>
      </c>
      <c r="B102" s="4">
        <v>102</v>
      </c>
      <c r="C102" s="5">
        <v>40065</v>
      </c>
      <c r="D102" s="3" t="s">
        <v>103</v>
      </c>
      <c r="E102" s="6">
        <v>27.99</v>
      </c>
      <c r="F102" s="21">
        <v>15.7</v>
      </c>
      <c r="G102" s="22">
        <v>0</v>
      </c>
      <c r="H102" s="24">
        <f t="shared" si="6"/>
        <v>0</v>
      </c>
      <c r="I102" s="24">
        <f t="shared" si="7"/>
        <v>0</v>
      </c>
      <c r="J102" s="24">
        <f t="shared" si="8"/>
        <v>0</v>
      </c>
      <c r="K102" s="25">
        <f t="shared" si="9"/>
        <v>0</v>
      </c>
      <c r="L102" s="21"/>
      <c r="M102" s="12">
        <v>3274.8300000000008</v>
      </c>
      <c r="N102" s="12">
        <v>2847.6782608695648</v>
      </c>
      <c r="O102" s="12">
        <v>1802.97</v>
      </c>
      <c r="P102" s="9">
        <v>117</v>
      </c>
      <c r="Q102" s="12">
        <v>1044.7082608695662</v>
      </c>
      <c r="R102" s="12">
        <v>27.990000000000006</v>
      </c>
      <c r="S102" s="12">
        <v>24.339130434782607</v>
      </c>
      <c r="T102" s="12">
        <v>15.41</v>
      </c>
      <c r="U102" s="16">
        <v>36.686316541622027</v>
      </c>
      <c r="V102" s="72">
        <f>IFERROR(LOOKUP($C102,Actuals!$C$4:$C$79,Actuals!G$4:G$79),0)</f>
        <v>13.904347826086957</v>
      </c>
      <c r="W102" s="72">
        <f>IFERROR(LOOKUP($C102,Actuals!$C$4:$C$79,Actuals!H$4:H$79),0)</f>
        <v>1</v>
      </c>
      <c r="X102" s="72">
        <f>IFERROR(LOOKUP($C102,Actuals!$C$4:$C$79,Actuals!I$4:I$79),0)</f>
        <v>13.904347826086957</v>
      </c>
      <c r="Y102" s="72">
        <f>IFERROR(LOOKUP($C102,Actuals!$C$4:$C$79,Actuals!J$4:J$79),0)</f>
        <v>1</v>
      </c>
    </row>
    <row r="103" spans="1:25" ht="16.5" customHeight="1" x14ac:dyDescent="0.35">
      <c r="A103" s="3" t="s">
        <v>107</v>
      </c>
      <c r="B103" s="4">
        <v>102</v>
      </c>
      <c r="C103" s="5">
        <v>32864</v>
      </c>
      <c r="D103" s="3" t="s">
        <v>108</v>
      </c>
      <c r="E103" s="6">
        <v>9.99</v>
      </c>
      <c r="F103" s="21">
        <v>5</v>
      </c>
      <c r="G103" s="22">
        <v>0</v>
      </c>
      <c r="H103" s="24">
        <f t="shared" si="6"/>
        <v>0</v>
      </c>
      <c r="I103" s="24">
        <f t="shared" si="7"/>
        <v>0</v>
      </c>
      <c r="J103" s="24">
        <f t="shared" si="8"/>
        <v>0</v>
      </c>
      <c r="K103" s="25">
        <f t="shared" si="9"/>
        <v>0</v>
      </c>
      <c r="L103" s="21"/>
      <c r="M103" s="12">
        <v>3189.9999999999995</v>
      </c>
      <c r="N103" s="12">
        <v>2773.913043478261</v>
      </c>
      <c r="O103" s="12">
        <v>1348.0000000000005</v>
      </c>
      <c r="P103" s="9">
        <v>200</v>
      </c>
      <c r="Q103" s="12">
        <v>1425.9130434782601</v>
      </c>
      <c r="R103" s="12">
        <v>15.949999999999998</v>
      </c>
      <c r="S103" s="12">
        <v>13.869565217391305</v>
      </c>
      <c r="T103" s="12">
        <v>6.740000000000002</v>
      </c>
      <c r="U103" s="16">
        <v>51.404388714733514</v>
      </c>
      <c r="V103" s="72">
        <f>IFERROR(LOOKUP($C103,Actuals!$C$4:$C$79,Actuals!G$4:G$79),0)</f>
        <v>0</v>
      </c>
      <c r="W103" s="72">
        <f>IFERROR(LOOKUP($C103,Actuals!$C$4:$C$79,Actuals!H$4:H$79),0)</f>
        <v>0</v>
      </c>
      <c r="X103" s="72">
        <f>IFERROR(LOOKUP($C103,Actuals!$C$4:$C$79,Actuals!I$4:I$79),0)</f>
        <v>34.747826086956522</v>
      </c>
      <c r="Y103" s="72">
        <f>IFERROR(LOOKUP($C103,Actuals!$C$4:$C$79,Actuals!J$4:J$79),0)</f>
        <v>4</v>
      </c>
    </row>
    <row r="104" spans="1:25" ht="16.5" customHeight="1" x14ac:dyDescent="0.35">
      <c r="A104" s="3" t="s">
        <v>107</v>
      </c>
      <c r="B104" s="4">
        <v>102</v>
      </c>
      <c r="C104" s="5">
        <v>32863</v>
      </c>
      <c r="D104" s="3" t="s">
        <v>109</v>
      </c>
      <c r="E104" s="6">
        <v>17.989999999999998</v>
      </c>
      <c r="F104" s="21">
        <v>9.4</v>
      </c>
      <c r="G104" s="22">
        <v>0</v>
      </c>
      <c r="H104" s="24">
        <f t="shared" si="6"/>
        <v>0</v>
      </c>
      <c r="I104" s="24">
        <f t="shared" si="7"/>
        <v>0</v>
      </c>
      <c r="J104" s="24">
        <f t="shared" si="8"/>
        <v>0</v>
      </c>
      <c r="K104" s="25">
        <f t="shared" si="9"/>
        <v>0</v>
      </c>
      <c r="L104" s="21"/>
      <c r="M104" s="12">
        <v>3104</v>
      </c>
      <c r="N104" s="12">
        <v>2699.130434782609</v>
      </c>
      <c r="O104" s="12">
        <v>1639.1999999999998</v>
      </c>
      <c r="P104" s="9">
        <v>60</v>
      </c>
      <c r="Q104" s="12">
        <v>1059.9304347826092</v>
      </c>
      <c r="R104" s="12">
        <v>51.733333333333334</v>
      </c>
      <c r="S104" s="12">
        <v>44.98550724637682</v>
      </c>
      <c r="T104" s="12">
        <v>27.319999999999997</v>
      </c>
      <c r="U104" s="16">
        <v>39.26932989690723</v>
      </c>
      <c r="V104" s="72">
        <f>IFERROR(LOOKUP($C104,Actuals!$C$4:$C$79,Actuals!G$4:G$79),0)</f>
        <v>78.217391304347828</v>
      </c>
      <c r="W104" s="72">
        <f>IFERROR(LOOKUP($C104,Actuals!$C$4:$C$79,Actuals!H$4:H$79),0)</f>
        <v>5</v>
      </c>
      <c r="X104" s="72">
        <f>IFERROR(LOOKUP($C104,Actuals!$C$4:$C$79,Actuals!I$4:I$79),0)</f>
        <v>62.573913043478257</v>
      </c>
      <c r="Y104" s="72">
        <f>IFERROR(LOOKUP($C104,Actuals!$C$4:$C$79,Actuals!J$4:J$79),0)</f>
        <v>4</v>
      </c>
    </row>
    <row r="105" spans="1:25" ht="16.5" customHeight="1" x14ac:dyDescent="0.35">
      <c r="A105" s="3" t="s">
        <v>107</v>
      </c>
      <c r="B105" s="4">
        <v>102</v>
      </c>
      <c r="C105" s="5">
        <v>48861</v>
      </c>
      <c r="D105" s="3" t="s">
        <v>111</v>
      </c>
      <c r="E105" s="6">
        <v>50</v>
      </c>
      <c r="F105" s="21">
        <v>30</v>
      </c>
      <c r="G105" s="22">
        <v>0</v>
      </c>
      <c r="H105" s="24">
        <f t="shared" si="6"/>
        <v>0</v>
      </c>
      <c r="I105" s="24">
        <f t="shared" si="7"/>
        <v>0</v>
      </c>
      <c r="J105" s="24">
        <f t="shared" si="8"/>
        <v>0</v>
      </c>
      <c r="K105" s="25">
        <f t="shared" si="9"/>
        <v>0</v>
      </c>
      <c r="L105" s="21"/>
      <c r="M105" s="12">
        <v>2990</v>
      </c>
      <c r="N105" s="12">
        <v>2599.9999999999995</v>
      </c>
      <c r="O105" s="12">
        <v>1579.64</v>
      </c>
      <c r="P105" s="9">
        <v>23</v>
      </c>
      <c r="Q105" s="12">
        <v>1020.3599999999999</v>
      </c>
      <c r="R105" s="12">
        <v>130</v>
      </c>
      <c r="S105" s="12">
        <v>113.04347826086955</v>
      </c>
      <c r="T105" s="12">
        <v>68.680000000000007</v>
      </c>
      <c r="U105" s="16">
        <v>39.244615384615386</v>
      </c>
      <c r="V105" s="72">
        <f>IFERROR(LOOKUP($C105,Actuals!$C$4:$C$79,Actuals!G$4:G$79),0)</f>
        <v>0</v>
      </c>
      <c r="W105" s="72">
        <f>IFERROR(LOOKUP($C105,Actuals!$C$4:$C$79,Actuals!H$4:H$79),0)</f>
        <v>0</v>
      </c>
      <c r="X105" s="72">
        <f>IFERROR(LOOKUP($C105,Actuals!$C$4:$C$79,Actuals!I$4:I$79),0)</f>
        <v>33.03478260869565</v>
      </c>
      <c r="Y105" s="72">
        <f>IFERROR(LOOKUP($C105,Actuals!$C$4:$C$79,Actuals!J$4:J$79),0)</f>
        <v>1</v>
      </c>
    </row>
    <row r="106" spans="1:25" ht="16.5" customHeight="1" x14ac:dyDescent="0.35">
      <c r="A106" s="3" t="s">
        <v>14</v>
      </c>
      <c r="B106" s="4">
        <v>102</v>
      </c>
      <c r="C106" s="5">
        <v>33019</v>
      </c>
      <c r="D106" s="3" t="s">
        <v>112</v>
      </c>
      <c r="E106" s="6">
        <v>14.99</v>
      </c>
      <c r="F106" s="21">
        <v>5.5</v>
      </c>
      <c r="G106" s="22">
        <v>0</v>
      </c>
      <c r="H106" s="24">
        <f t="shared" si="6"/>
        <v>0</v>
      </c>
      <c r="I106" s="24">
        <f t="shared" si="7"/>
        <v>0</v>
      </c>
      <c r="J106" s="24">
        <f t="shared" si="8"/>
        <v>0</v>
      </c>
      <c r="K106" s="25">
        <f t="shared" si="9"/>
        <v>0</v>
      </c>
      <c r="L106" s="21"/>
      <c r="M106" s="12">
        <v>2963.55</v>
      </c>
      <c r="N106" s="12">
        <v>2577</v>
      </c>
      <c r="O106" s="12">
        <v>1494.8999999999999</v>
      </c>
      <c r="P106" s="9">
        <v>330</v>
      </c>
      <c r="Q106" s="12">
        <v>1082.1000000000006</v>
      </c>
      <c r="R106" s="12">
        <v>8.9804545454545455</v>
      </c>
      <c r="S106" s="12">
        <v>7.8090909090909095</v>
      </c>
      <c r="T106" s="12">
        <v>4.5299999999999994</v>
      </c>
      <c r="U106" s="16">
        <v>41.990686845168817</v>
      </c>
      <c r="V106" s="72">
        <f>IFERROR(LOOKUP($C106,Actuals!$C$4:$C$79,Actuals!G$4:G$79),0)</f>
        <v>0</v>
      </c>
      <c r="W106" s="72">
        <f>IFERROR(LOOKUP($C106,Actuals!$C$4:$C$79,Actuals!H$4:H$79),0)</f>
        <v>0</v>
      </c>
      <c r="X106" s="72">
        <f>IFERROR(LOOKUP($C106,Actuals!$C$4:$C$79,Actuals!I$4:I$79),0)</f>
        <v>26.069565217391304</v>
      </c>
      <c r="Y106" s="72">
        <f>IFERROR(LOOKUP($C106,Actuals!$C$4:$C$79,Actuals!J$4:J$79),0)</f>
        <v>2</v>
      </c>
    </row>
    <row r="107" spans="1:25" ht="16.5" customHeight="1" x14ac:dyDescent="0.35">
      <c r="A107" s="3" t="s">
        <v>14</v>
      </c>
      <c r="B107" s="4">
        <v>102</v>
      </c>
      <c r="C107" s="5">
        <v>33023</v>
      </c>
      <c r="D107" s="3" t="s">
        <v>113</v>
      </c>
      <c r="E107" s="6">
        <v>19.989999999999998</v>
      </c>
      <c r="F107" s="21">
        <v>10.23</v>
      </c>
      <c r="G107" s="22">
        <v>0</v>
      </c>
      <c r="H107" s="24">
        <f t="shared" si="6"/>
        <v>0</v>
      </c>
      <c r="I107" s="24">
        <f t="shared" si="7"/>
        <v>0</v>
      </c>
      <c r="J107" s="24">
        <f t="shared" si="8"/>
        <v>0</v>
      </c>
      <c r="K107" s="25">
        <f t="shared" si="9"/>
        <v>0</v>
      </c>
      <c r="L107" s="21"/>
      <c r="M107" s="12">
        <v>2907.09</v>
      </c>
      <c r="N107" s="12">
        <v>2527.9043478260874</v>
      </c>
      <c r="O107" s="12">
        <v>1452.0900000000001</v>
      </c>
      <c r="P107" s="9">
        <v>291</v>
      </c>
      <c r="Q107" s="12">
        <v>1075.8143478260868</v>
      </c>
      <c r="R107" s="12">
        <v>9.99</v>
      </c>
      <c r="S107" s="12">
        <v>8.6869565217391322</v>
      </c>
      <c r="T107" s="12">
        <v>4.99</v>
      </c>
      <c r="U107" s="16">
        <v>42.557557557557551</v>
      </c>
      <c r="V107" s="72">
        <f>IFERROR(LOOKUP($C107,Actuals!$C$4:$C$79,Actuals!G$4:G$79),0)</f>
        <v>0</v>
      </c>
      <c r="W107" s="72">
        <f>IFERROR(LOOKUP($C107,Actuals!$C$4:$C$79,Actuals!H$4:H$79),0)</f>
        <v>0</v>
      </c>
      <c r="X107" s="72">
        <f>IFERROR(LOOKUP($C107,Actuals!$C$4:$C$79,Actuals!I$4:I$79),0)</f>
        <v>26.069565217391304</v>
      </c>
      <c r="Y107" s="72">
        <f>IFERROR(LOOKUP($C107,Actuals!$C$4:$C$79,Actuals!J$4:J$79),0)</f>
        <v>2</v>
      </c>
    </row>
    <row r="108" spans="1:25" ht="16.5" customHeight="1" x14ac:dyDescent="0.35">
      <c r="A108" s="3" t="s">
        <v>14</v>
      </c>
      <c r="B108" s="4">
        <v>102</v>
      </c>
      <c r="C108" s="5">
        <v>32066</v>
      </c>
      <c r="D108" s="3" t="s">
        <v>114</v>
      </c>
      <c r="E108" s="6">
        <v>10</v>
      </c>
      <c r="F108" s="21">
        <v>4.5</v>
      </c>
      <c r="G108" s="22">
        <v>0</v>
      </c>
      <c r="H108" s="24">
        <f t="shared" si="6"/>
        <v>0</v>
      </c>
      <c r="I108" s="24">
        <f t="shared" si="7"/>
        <v>0</v>
      </c>
      <c r="J108" s="24">
        <f t="shared" si="8"/>
        <v>0</v>
      </c>
      <c r="K108" s="25">
        <f t="shared" si="9"/>
        <v>0</v>
      </c>
      <c r="L108" s="21"/>
      <c r="M108" s="12">
        <v>2903.56</v>
      </c>
      <c r="N108" s="12">
        <v>2524.8347826086956</v>
      </c>
      <c r="O108" s="12">
        <v>2015.13</v>
      </c>
      <c r="P108" s="9">
        <v>44</v>
      </c>
      <c r="Q108" s="12">
        <v>509.7047826086955</v>
      </c>
      <c r="R108" s="12">
        <v>65.989999999999995</v>
      </c>
      <c r="S108" s="12">
        <v>57.382608695652173</v>
      </c>
      <c r="T108" s="12">
        <v>45.798409090909097</v>
      </c>
      <c r="U108" s="16">
        <v>20.187648955075833</v>
      </c>
      <c r="V108" s="72">
        <f>IFERROR(LOOKUP($C108,Actuals!$C$4:$C$79,Actuals!G$4:G$79),0)</f>
        <v>0</v>
      </c>
      <c r="W108" s="72">
        <f>IFERROR(LOOKUP($C108,Actuals!$C$4:$C$79,Actuals!H$4:H$79),0)</f>
        <v>0</v>
      </c>
      <c r="X108" s="72">
        <f>IFERROR(LOOKUP($C108,Actuals!$C$4:$C$79,Actuals!I$4:I$79),0)</f>
        <v>0</v>
      </c>
      <c r="Y108" s="72">
        <f>IFERROR(LOOKUP($C108,Actuals!$C$4:$C$79,Actuals!J$4:J$79),0)</f>
        <v>0</v>
      </c>
    </row>
    <row r="109" spans="1:25" ht="16.5" customHeight="1" x14ac:dyDescent="0.35">
      <c r="A109" s="3" t="s">
        <v>14</v>
      </c>
      <c r="B109" s="4">
        <v>102</v>
      </c>
      <c r="C109" s="5">
        <v>34039</v>
      </c>
      <c r="D109" s="3" t="s">
        <v>115</v>
      </c>
      <c r="E109" s="6">
        <v>11.99</v>
      </c>
      <c r="F109" s="21">
        <v>5.62</v>
      </c>
      <c r="G109" s="22">
        <v>0</v>
      </c>
      <c r="H109" s="24">
        <f t="shared" si="6"/>
        <v>0</v>
      </c>
      <c r="I109" s="24">
        <f t="shared" si="7"/>
        <v>0</v>
      </c>
      <c r="J109" s="24">
        <f t="shared" si="8"/>
        <v>0</v>
      </c>
      <c r="K109" s="25">
        <f t="shared" si="9"/>
        <v>0</v>
      </c>
      <c r="L109" s="21"/>
      <c r="M109" s="12">
        <v>2790</v>
      </c>
      <c r="N109" s="12">
        <v>2426.086956521739</v>
      </c>
      <c r="O109" s="12">
        <v>1915.2799999999997</v>
      </c>
      <c r="P109" s="9">
        <v>18</v>
      </c>
      <c r="Q109" s="12">
        <v>510.80695652173927</v>
      </c>
      <c r="R109" s="12">
        <v>155</v>
      </c>
      <c r="S109" s="12">
        <v>134.78260869565216</v>
      </c>
      <c r="T109" s="12">
        <v>106.40444444444444</v>
      </c>
      <c r="U109" s="16">
        <v>21.054767025089614</v>
      </c>
      <c r="V109" s="72">
        <f>IFERROR(LOOKUP($C109,Actuals!$C$4:$C$79,Actuals!G$4:G$79),0)</f>
        <v>104.34782608695652</v>
      </c>
      <c r="W109" s="72">
        <f>IFERROR(LOOKUP($C109,Actuals!$C$4:$C$79,Actuals!H$4:H$79),0)</f>
        <v>1</v>
      </c>
      <c r="X109" s="72">
        <f>IFERROR(LOOKUP($C109,Actuals!$C$4:$C$79,Actuals!I$4:I$79),0)</f>
        <v>104.34782608695652</v>
      </c>
      <c r="Y109" s="72">
        <f>IFERROR(LOOKUP($C109,Actuals!$C$4:$C$79,Actuals!J$4:J$79),0)</f>
        <v>1</v>
      </c>
    </row>
    <row r="110" spans="1:25" ht="16.5" customHeight="1" x14ac:dyDescent="0.35">
      <c r="A110" s="3" t="s">
        <v>107</v>
      </c>
      <c r="B110" s="4">
        <v>102</v>
      </c>
      <c r="C110" s="5">
        <v>55095</v>
      </c>
      <c r="D110" s="3" t="s">
        <v>116</v>
      </c>
      <c r="E110" s="6">
        <v>5</v>
      </c>
      <c r="F110" s="21">
        <v>1.38</v>
      </c>
      <c r="G110" s="22">
        <v>0</v>
      </c>
      <c r="H110" s="24">
        <f t="shared" si="6"/>
        <v>0</v>
      </c>
      <c r="I110" s="24">
        <f t="shared" si="7"/>
        <v>0</v>
      </c>
      <c r="J110" s="24">
        <f t="shared" si="8"/>
        <v>0</v>
      </c>
      <c r="K110" s="25">
        <f t="shared" si="9"/>
        <v>0</v>
      </c>
      <c r="L110" s="21"/>
      <c r="M110" s="12">
        <v>2782.2599999999998</v>
      </c>
      <c r="N110" s="12">
        <v>2419.3565217391306</v>
      </c>
      <c r="O110" s="12">
        <v>892.62</v>
      </c>
      <c r="P110" s="9">
        <v>174</v>
      </c>
      <c r="Q110" s="12">
        <v>1526.7365217391302</v>
      </c>
      <c r="R110" s="12">
        <v>15.989999999999998</v>
      </c>
      <c r="S110" s="12">
        <v>13.904347826086957</v>
      </c>
      <c r="T110" s="12">
        <v>5.13</v>
      </c>
      <c r="U110" s="16">
        <v>63.10506566604127</v>
      </c>
      <c r="V110" s="72">
        <f>IFERROR(LOOKUP($C110,Actuals!$C$4:$C$79,Actuals!G$4:G$79),0)</f>
        <v>0</v>
      </c>
      <c r="W110" s="72">
        <f>IFERROR(LOOKUP($C110,Actuals!$C$4:$C$79,Actuals!H$4:H$79),0)</f>
        <v>0</v>
      </c>
      <c r="X110" s="72">
        <f>IFERROR(LOOKUP($C110,Actuals!$C$4:$C$79,Actuals!I$4:I$79),0)</f>
        <v>30.434782608695652</v>
      </c>
      <c r="Y110" s="72">
        <f>IFERROR(LOOKUP($C110,Actuals!$C$4:$C$79,Actuals!J$4:J$79),0)</f>
        <v>7</v>
      </c>
    </row>
    <row r="111" spans="1:25" ht="16.5" customHeight="1" x14ac:dyDescent="0.35">
      <c r="A111" s="3" t="s">
        <v>14</v>
      </c>
      <c r="B111" s="4">
        <v>102</v>
      </c>
      <c r="C111" s="5">
        <v>61940</v>
      </c>
      <c r="D111" s="3" t="s">
        <v>117</v>
      </c>
      <c r="E111" s="6">
        <v>10</v>
      </c>
      <c r="F111" s="21">
        <v>3.28</v>
      </c>
      <c r="G111" s="22">
        <v>0</v>
      </c>
      <c r="H111" s="24">
        <f t="shared" si="6"/>
        <v>0</v>
      </c>
      <c r="I111" s="24">
        <f t="shared" si="7"/>
        <v>0</v>
      </c>
      <c r="J111" s="24">
        <f t="shared" si="8"/>
        <v>0</v>
      </c>
      <c r="K111" s="25">
        <f t="shared" si="9"/>
        <v>0</v>
      </c>
      <c r="L111" s="21"/>
      <c r="M111" s="12">
        <v>2779.28</v>
      </c>
      <c r="N111" s="12">
        <v>2416.7652173913038</v>
      </c>
      <c r="O111" s="12">
        <v>1473.1999999999998</v>
      </c>
      <c r="P111" s="9">
        <v>232</v>
      </c>
      <c r="Q111" s="12">
        <v>943.56521739130449</v>
      </c>
      <c r="R111" s="12">
        <v>11.979655172413795</v>
      </c>
      <c r="S111" s="12">
        <v>10.417091454272862</v>
      </c>
      <c r="T111" s="12">
        <v>6.35</v>
      </c>
      <c r="U111" s="16">
        <v>39.042485823666567</v>
      </c>
      <c r="V111" s="72">
        <f>IFERROR(LOOKUP($C111,Actuals!$C$4:$C$79,Actuals!G$4:G$79),0)</f>
        <v>0</v>
      </c>
      <c r="W111" s="72">
        <f>IFERROR(LOOKUP($C111,Actuals!$C$4:$C$79,Actuals!H$4:H$79),0)</f>
        <v>0</v>
      </c>
      <c r="X111" s="72">
        <f>IFERROR(LOOKUP($C111,Actuals!$C$4:$C$79,Actuals!I$4:I$79),0)</f>
        <v>147.82608695652175</v>
      </c>
      <c r="Y111" s="72">
        <f>IFERROR(LOOKUP($C111,Actuals!$C$4:$C$79,Actuals!J$4:J$79),0)</f>
        <v>17</v>
      </c>
    </row>
    <row r="112" spans="1:25" ht="16.5" customHeight="1" x14ac:dyDescent="0.35">
      <c r="A112" s="3" t="s">
        <v>14</v>
      </c>
      <c r="B112" s="4">
        <v>102</v>
      </c>
      <c r="C112" s="5">
        <v>32149</v>
      </c>
      <c r="D112" s="3" t="s">
        <v>118</v>
      </c>
      <c r="E112" s="6">
        <v>24.99</v>
      </c>
      <c r="F112" s="21">
        <v>13</v>
      </c>
      <c r="G112" s="22">
        <v>0</v>
      </c>
      <c r="H112" s="24">
        <f t="shared" si="6"/>
        <v>0</v>
      </c>
      <c r="I112" s="24">
        <f t="shared" si="7"/>
        <v>0</v>
      </c>
      <c r="J112" s="24">
        <f t="shared" si="8"/>
        <v>0</v>
      </c>
      <c r="K112" s="25">
        <f t="shared" si="9"/>
        <v>0</v>
      </c>
      <c r="L112" s="21"/>
      <c r="M112" s="12">
        <v>2715.9000000000005</v>
      </c>
      <c r="N112" s="12">
        <v>2361.6521739130435</v>
      </c>
      <c r="O112" s="12">
        <v>1336.2000000000003</v>
      </c>
      <c r="P112" s="9">
        <v>170</v>
      </c>
      <c r="Q112" s="12">
        <v>1025.4521739130437</v>
      </c>
      <c r="R112" s="12">
        <v>15.975882352941179</v>
      </c>
      <c r="S112" s="12">
        <v>13.892071611253197</v>
      </c>
      <c r="T112" s="12">
        <v>7.8600000000000012</v>
      </c>
      <c r="U112" s="16">
        <v>43.420965425825692</v>
      </c>
      <c r="V112" s="72">
        <f>IFERROR(LOOKUP($C112,Actuals!$C$4:$C$79,Actuals!G$4:G$79),0)</f>
        <v>125.11304347826086</v>
      </c>
      <c r="W112" s="72">
        <f>IFERROR(LOOKUP($C112,Actuals!$C$4:$C$79,Actuals!H$4:H$79),0)</f>
        <v>12</v>
      </c>
      <c r="X112" s="72">
        <f>IFERROR(LOOKUP($C112,Actuals!$C$4:$C$79,Actuals!I$4:I$79),0)</f>
        <v>93.834782608695647</v>
      </c>
      <c r="Y112" s="72">
        <f>IFERROR(LOOKUP($C112,Actuals!$C$4:$C$79,Actuals!J$4:J$79),0)</f>
        <v>9</v>
      </c>
    </row>
    <row r="113" spans="1:25" ht="16.5" customHeight="1" x14ac:dyDescent="0.35">
      <c r="A113" s="3" t="s">
        <v>14</v>
      </c>
      <c r="B113" s="4">
        <v>102</v>
      </c>
      <c r="C113" s="5">
        <v>33036</v>
      </c>
      <c r="D113" s="3" t="s">
        <v>119</v>
      </c>
      <c r="E113" s="6">
        <v>400</v>
      </c>
      <c r="F113" s="21">
        <v>204.01</v>
      </c>
      <c r="G113" s="22">
        <v>0</v>
      </c>
      <c r="H113" s="24">
        <f t="shared" si="6"/>
        <v>0</v>
      </c>
      <c r="I113" s="24">
        <f t="shared" si="7"/>
        <v>0</v>
      </c>
      <c r="J113" s="24">
        <f t="shared" si="8"/>
        <v>0</v>
      </c>
      <c r="K113" s="25">
        <f t="shared" si="9"/>
        <v>0</v>
      </c>
      <c r="L113" s="21"/>
      <c r="M113" s="12">
        <v>2591.5200000000004</v>
      </c>
      <c r="N113" s="12">
        <v>2253.4956521739132</v>
      </c>
      <c r="O113" s="12">
        <v>1175.2800000000002</v>
      </c>
      <c r="P113" s="9">
        <v>118</v>
      </c>
      <c r="Q113" s="12">
        <v>1078.215652173913</v>
      </c>
      <c r="R113" s="12">
        <v>21.962033898305087</v>
      </c>
      <c r="S113" s="12">
        <v>19.097420781134858</v>
      </c>
      <c r="T113" s="12">
        <v>9.9600000000000009</v>
      </c>
      <c r="U113" s="16">
        <v>47.84636043711798</v>
      </c>
      <c r="V113" s="72">
        <f>IFERROR(LOOKUP($C113,Actuals!$C$4:$C$79,Actuals!G$4:G$79),0)</f>
        <v>140.7913043478261</v>
      </c>
      <c r="W113" s="72">
        <f>IFERROR(LOOKUP($C113,Actuals!$C$4:$C$79,Actuals!H$4:H$79),0)</f>
        <v>9</v>
      </c>
      <c r="X113" s="72">
        <f>IFERROR(LOOKUP($C113,Actuals!$C$4:$C$79,Actuals!I$4:I$79),0)</f>
        <v>0</v>
      </c>
      <c r="Y113" s="72">
        <f>IFERROR(LOOKUP($C113,Actuals!$C$4:$C$79,Actuals!J$4:J$79),0)</f>
        <v>0</v>
      </c>
    </row>
    <row r="114" spans="1:25" ht="16.5" customHeight="1" x14ac:dyDescent="0.35">
      <c r="A114" s="3" t="s">
        <v>14</v>
      </c>
      <c r="B114" s="4">
        <v>102</v>
      </c>
      <c r="C114" s="5">
        <v>33025</v>
      </c>
      <c r="D114" s="3" t="s">
        <v>121</v>
      </c>
      <c r="E114" s="6">
        <v>5.99</v>
      </c>
      <c r="F114" s="21">
        <v>2.95</v>
      </c>
      <c r="G114" s="22">
        <v>0</v>
      </c>
      <c r="H114" s="24">
        <f t="shared" si="6"/>
        <v>0</v>
      </c>
      <c r="I114" s="24">
        <f t="shared" si="7"/>
        <v>0</v>
      </c>
      <c r="J114" s="24">
        <f t="shared" si="8"/>
        <v>0</v>
      </c>
      <c r="K114" s="25">
        <f t="shared" si="9"/>
        <v>0</v>
      </c>
      <c r="L114" s="21"/>
      <c r="M114" s="12">
        <v>2500</v>
      </c>
      <c r="N114" s="12">
        <v>2173.913043478261</v>
      </c>
      <c r="O114" s="12">
        <v>1347.25</v>
      </c>
      <c r="P114" s="9">
        <v>25</v>
      </c>
      <c r="Q114" s="12">
        <v>826.66304347826099</v>
      </c>
      <c r="R114" s="12">
        <v>100</v>
      </c>
      <c r="S114" s="12">
        <v>86.956521739130437</v>
      </c>
      <c r="T114" s="12">
        <v>53.89</v>
      </c>
      <c r="U114" s="16">
        <v>38.026499999999999</v>
      </c>
      <c r="V114" s="72">
        <f>IFERROR(LOOKUP($C114,Actuals!$C$4:$C$79,Actuals!G$4:G$79),0)</f>
        <v>0</v>
      </c>
      <c r="W114" s="72">
        <f>IFERROR(LOOKUP($C114,Actuals!$C$4:$C$79,Actuals!H$4:H$79),0)</f>
        <v>0</v>
      </c>
      <c r="X114" s="72">
        <f>IFERROR(LOOKUP($C114,Actuals!$C$4:$C$79,Actuals!I$4:I$79),0)</f>
        <v>26.069565217391304</v>
      </c>
      <c r="Y114" s="72">
        <f>IFERROR(LOOKUP($C114,Actuals!$C$4:$C$79,Actuals!J$4:J$79),0)</f>
        <v>2</v>
      </c>
    </row>
    <row r="115" spans="1:25" ht="16.5" customHeight="1" x14ac:dyDescent="0.35">
      <c r="A115" s="3" t="s">
        <v>14</v>
      </c>
      <c r="B115" s="4">
        <v>102</v>
      </c>
      <c r="C115" s="5">
        <v>61942</v>
      </c>
      <c r="D115" s="3" t="s">
        <v>123</v>
      </c>
      <c r="E115" s="6">
        <v>10</v>
      </c>
      <c r="F115" s="21">
        <v>3.73</v>
      </c>
      <c r="G115" s="22">
        <v>0</v>
      </c>
      <c r="H115" s="24">
        <f t="shared" si="6"/>
        <v>0</v>
      </c>
      <c r="I115" s="24">
        <f t="shared" si="7"/>
        <v>0</v>
      </c>
      <c r="J115" s="24">
        <f t="shared" si="8"/>
        <v>0</v>
      </c>
      <c r="K115" s="25">
        <f t="shared" si="9"/>
        <v>0</v>
      </c>
      <c r="L115" s="21"/>
      <c r="M115" s="12">
        <v>2283.46</v>
      </c>
      <c r="N115" s="12">
        <v>1985.6173913043478</v>
      </c>
      <c r="O115" s="12">
        <v>1267.46</v>
      </c>
      <c r="P115" s="9">
        <v>254</v>
      </c>
      <c r="Q115" s="12">
        <v>718.15739130434758</v>
      </c>
      <c r="R115" s="12">
        <v>8.99</v>
      </c>
      <c r="S115" s="12">
        <v>7.8173913043478258</v>
      </c>
      <c r="T115" s="12">
        <v>4.99</v>
      </c>
      <c r="U115" s="16">
        <v>36.16796440489432</v>
      </c>
      <c r="V115" s="72">
        <f>IFERROR(LOOKUP($C115,Actuals!$C$4:$C$79,Actuals!G$4:G$79),0)</f>
        <v>0</v>
      </c>
      <c r="W115" s="72">
        <f>IFERROR(LOOKUP($C115,Actuals!$C$4:$C$79,Actuals!H$4:H$79),0)</f>
        <v>0</v>
      </c>
      <c r="X115" s="72">
        <f>IFERROR(LOOKUP($C115,Actuals!$C$4:$C$79,Actuals!I$4:I$79),0)</f>
        <v>147.82608695652175</v>
      </c>
      <c r="Y115" s="72">
        <f>IFERROR(LOOKUP($C115,Actuals!$C$4:$C$79,Actuals!J$4:J$79),0)</f>
        <v>17</v>
      </c>
    </row>
    <row r="116" spans="1:25" ht="16.5" customHeight="1" x14ac:dyDescent="0.35">
      <c r="A116" s="3" t="s">
        <v>14</v>
      </c>
      <c r="B116" s="4">
        <v>102</v>
      </c>
      <c r="C116" s="5">
        <v>53212</v>
      </c>
      <c r="D116" s="3" t="s">
        <v>125</v>
      </c>
      <c r="E116" s="6">
        <v>29.99</v>
      </c>
      <c r="F116" s="21">
        <v>15.38</v>
      </c>
      <c r="G116" s="22">
        <v>0</v>
      </c>
      <c r="H116" s="24">
        <f t="shared" si="6"/>
        <v>0</v>
      </c>
      <c r="I116" s="24">
        <f t="shared" si="7"/>
        <v>0</v>
      </c>
      <c r="J116" s="24">
        <f t="shared" si="8"/>
        <v>0</v>
      </c>
      <c r="K116" s="25">
        <f t="shared" si="9"/>
        <v>0</v>
      </c>
      <c r="L116" s="21"/>
      <c r="M116" s="12">
        <v>2206.16</v>
      </c>
      <c r="N116" s="12">
        <v>1918.4</v>
      </c>
      <c r="O116" s="12">
        <v>1113.1999999999998</v>
      </c>
      <c r="P116" s="9">
        <v>184</v>
      </c>
      <c r="Q116" s="12">
        <v>805.19999999999982</v>
      </c>
      <c r="R116" s="12">
        <v>11.989999999999998</v>
      </c>
      <c r="S116" s="12">
        <v>10.42608695652174</v>
      </c>
      <c r="T116" s="12">
        <v>6.0499999999999989</v>
      </c>
      <c r="U116" s="16">
        <v>41.972477064220179</v>
      </c>
      <c r="V116" s="72">
        <f>IFERROR(LOOKUP($C116,Actuals!$C$4:$C$79,Actuals!G$4:G$79),0)</f>
        <v>194.04347826086956</v>
      </c>
      <c r="W116" s="72">
        <f>IFERROR(LOOKUP($C116,Actuals!$C$4:$C$79,Actuals!H$4:H$79),0)</f>
        <v>6.976</v>
      </c>
      <c r="X116" s="72">
        <f>IFERROR(LOOKUP($C116,Actuals!$C$4:$C$79,Actuals!I$4:I$79),0)</f>
        <v>133.09565217391304</v>
      </c>
      <c r="Y116" s="72">
        <f>IFERROR(LOOKUP($C116,Actuals!$C$4:$C$79,Actuals!J$4:J$79),0)</f>
        <v>4.7850000000000001</v>
      </c>
    </row>
    <row r="117" spans="1:25" ht="16.5" customHeight="1" x14ac:dyDescent="0.35">
      <c r="A117" s="3" t="s">
        <v>107</v>
      </c>
      <c r="B117" s="4">
        <v>102</v>
      </c>
      <c r="C117" s="5">
        <v>53410</v>
      </c>
      <c r="D117" s="3" t="s">
        <v>126</v>
      </c>
      <c r="E117" s="6">
        <v>52</v>
      </c>
      <c r="F117" s="21">
        <v>28.2</v>
      </c>
      <c r="G117" s="22">
        <v>0</v>
      </c>
      <c r="H117" s="24">
        <f t="shared" si="6"/>
        <v>0</v>
      </c>
      <c r="I117" s="24">
        <f t="shared" si="7"/>
        <v>0</v>
      </c>
      <c r="J117" s="24">
        <f t="shared" si="8"/>
        <v>0</v>
      </c>
      <c r="K117" s="25">
        <f t="shared" si="9"/>
        <v>0</v>
      </c>
      <c r="L117" s="21"/>
      <c r="M117" s="12">
        <v>2206.16</v>
      </c>
      <c r="N117" s="12">
        <v>1918.4</v>
      </c>
      <c r="O117" s="12">
        <v>1113.1999999999998</v>
      </c>
      <c r="P117" s="9">
        <v>184</v>
      </c>
      <c r="Q117" s="12">
        <v>805.19999999999982</v>
      </c>
      <c r="R117" s="12">
        <v>11.989999999999998</v>
      </c>
      <c r="S117" s="12">
        <v>10.42608695652174</v>
      </c>
      <c r="T117" s="12">
        <v>6.0499999999999989</v>
      </c>
      <c r="U117" s="16">
        <v>41.972477064220179</v>
      </c>
      <c r="V117" s="72">
        <f>IFERROR(LOOKUP($C117,Actuals!$C$4:$C$79,Actuals!G$4:G$79),0)</f>
        <v>194.04347826086956</v>
      </c>
      <c r="W117" s="72">
        <f>IFERROR(LOOKUP($C117,Actuals!$C$4:$C$79,Actuals!H$4:H$79),0)</f>
        <v>6.976</v>
      </c>
      <c r="X117" s="72">
        <f>IFERROR(LOOKUP($C117,Actuals!$C$4:$C$79,Actuals!I$4:I$79),0)</f>
        <v>133.09565217391304</v>
      </c>
      <c r="Y117" s="72">
        <f>IFERROR(LOOKUP($C117,Actuals!$C$4:$C$79,Actuals!J$4:J$79),0)</f>
        <v>4.7850000000000001</v>
      </c>
    </row>
    <row r="118" spans="1:25" ht="16.5" customHeight="1" x14ac:dyDescent="0.35">
      <c r="A118" s="3" t="s">
        <v>14</v>
      </c>
      <c r="B118" s="4">
        <v>102</v>
      </c>
      <c r="C118" s="5">
        <v>32857</v>
      </c>
      <c r="D118" s="3" t="s">
        <v>127</v>
      </c>
      <c r="E118" s="6">
        <v>130</v>
      </c>
      <c r="F118" s="21">
        <v>68.680000000000007</v>
      </c>
      <c r="G118" s="22">
        <v>0</v>
      </c>
      <c r="H118" s="24">
        <f t="shared" si="6"/>
        <v>0</v>
      </c>
      <c r="I118" s="24">
        <f t="shared" si="7"/>
        <v>0</v>
      </c>
      <c r="J118" s="24">
        <f t="shared" si="8"/>
        <v>0</v>
      </c>
      <c r="K118" s="25">
        <f t="shared" ref="K118:K149" si="10">IFERROR(J118/H118*100,0)</f>
        <v>0</v>
      </c>
      <c r="L118" s="21"/>
      <c r="M118" s="12">
        <v>2179.46</v>
      </c>
      <c r="N118" s="12">
        <v>1895.1826086956521</v>
      </c>
      <c r="O118" s="12">
        <v>1128.3999999999999</v>
      </c>
      <c r="P118" s="9">
        <v>364</v>
      </c>
      <c r="Q118" s="12">
        <v>766.78260869565247</v>
      </c>
      <c r="R118" s="12">
        <v>5.9875274725274723</v>
      </c>
      <c r="S118" s="12">
        <v>5.2065456282847586</v>
      </c>
      <c r="T118" s="12">
        <v>3.0999999999999996</v>
      </c>
      <c r="U118" s="16">
        <v>40.459563378084489</v>
      </c>
      <c r="V118" s="72">
        <f>IFERROR(LOOKUP($C118,Actuals!$C$4:$C$79,Actuals!G$4:G$79),0)</f>
        <v>113.04347826086956</v>
      </c>
      <c r="W118" s="72">
        <f>IFERROR(LOOKUP($C118,Actuals!$C$4:$C$79,Actuals!H$4:H$79),0)</f>
        <v>1</v>
      </c>
      <c r="X118" s="72">
        <f>IFERROR(LOOKUP($C118,Actuals!$C$4:$C$79,Actuals!I$4:I$79),0)</f>
        <v>0</v>
      </c>
      <c r="Y118" s="72">
        <f>IFERROR(LOOKUP($C118,Actuals!$C$4:$C$79,Actuals!J$4:J$79),0)</f>
        <v>0</v>
      </c>
    </row>
    <row r="119" spans="1:25" ht="16.5" customHeight="1" x14ac:dyDescent="0.35">
      <c r="A119" s="3" t="s">
        <v>14</v>
      </c>
      <c r="B119" s="4">
        <v>102</v>
      </c>
      <c r="C119" s="5">
        <v>32150</v>
      </c>
      <c r="D119" s="3" t="s">
        <v>128</v>
      </c>
      <c r="E119" s="6">
        <v>8.99</v>
      </c>
      <c r="F119" s="21">
        <v>4.53</v>
      </c>
      <c r="G119" s="22">
        <v>0</v>
      </c>
      <c r="H119" s="24">
        <f t="shared" si="6"/>
        <v>0</v>
      </c>
      <c r="I119" s="24">
        <f t="shared" si="7"/>
        <v>0</v>
      </c>
      <c r="J119" s="24">
        <f t="shared" si="8"/>
        <v>0</v>
      </c>
      <c r="K119" s="25">
        <f t="shared" si="10"/>
        <v>0</v>
      </c>
      <c r="L119" s="21"/>
      <c r="M119" s="12">
        <v>2176.81</v>
      </c>
      <c r="N119" s="12">
        <v>1892.8782608695651</v>
      </c>
      <c r="O119" s="12">
        <v>1099.6399999999999</v>
      </c>
      <c r="P119" s="9">
        <v>74</v>
      </c>
      <c r="Q119" s="12">
        <v>793.23826086956524</v>
      </c>
      <c r="R119" s="12">
        <v>29.416351351351352</v>
      </c>
      <c r="S119" s="12">
        <v>25.579435957696827</v>
      </c>
      <c r="T119" s="12">
        <v>14.859999999999998</v>
      </c>
      <c r="U119" s="16">
        <v>41.906459452134087</v>
      </c>
      <c r="V119" s="72">
        <f>IFERROR(LOOKUP($C119,Actuals!$C$4:$C$79,Actuals!G$4:G$79),0)</f>
        <v>125.11304347826086</v>
      </c>
      <c r="W119" s="72">
        <f>IFERROR(LOOKUP($C119,Actuals!$C$4:$C$79,Actuals!H$4:H$79),0)</f>
        <v>12</v>
      </c>
      <c r="X119" s="72">
        <f>IFERROR(LOOKUP($C119,Actuals!$C$4:$C$79,Actuals!I$4:I$79),0)</f>
        <v>93.834782608695647</v>
      </c>
      <c r="Y119" s="72">
        <f>IFERROR(LOOKUP($C119,Actuals!$C$4:$C$79,Actuals!J$4:J$79),0)</f>
        <v>9</v>
      </c>
    </row>
    <row r="120" spans="1:25" ht="16.5" customHeight="1" x14ac:dyDescent="0.35">
      <c r="A120" s="3" t="s">
        <v>14</v>
      </c>
      <c r="B120" s="4">
        <v>102</v>
      </c>
      <c r="C120" s="5">
        <v>34102</v>
      </c>
      <c r="D120" s="3" t="s">
        <v>129</v>
      </c>
      <c r="E120" s="6">
        <v>9.99</v>
      </c>
      <c r="F120" s="21">
        <v>4.99</v>
      </c>
      <c r="G120" s="22">
        <v>0</v>
      </c>
      <c r="H120" s="24">
        <f t="shared" si="6"/>
        <v>0</v>
      </c>
      <c r="I120" s="24">
        <f t="shared" si="7"/>
        <v>0</v>
      </c>
      <c r="J120" s="24">
        <f t="shared" si="8"/>
        <v>0</v>
      </c>
      <c r="K120" s="25">
        <f t="shared" si="10"/>
        <v>0</v>
      </c>
      <c r="L120" s="21"/>
      <c r="M120" s="12">
        <v>2151.7200000000003</v>
      </c>
      <c r="N120" s="12">
        <v>1871.0608695652177</v>
      </c>
      <c r="O120" s="12">
        <v>1088.78</v>
      </c>
      <c r="P120" s="9">
        <v>98</v>
      </c>
      <c r="Q120" s="12">
        <v>782.2808695652177</v>
      </c>
      <c r="R120" s="12">
        <v>21.956326530612248</v>
      </c>
      <c r="S120" s="12">
        <v>19.092457852706303</v>
      </c>
      <c r="T120" s="12">
        <v>11.11</v>
      </c>
      <c r="U120" s="16">
        <v>41.809482646440998</v>
      </c>
      <c r="V120" s="72">
        <f>IFERROR(LOOKUP($C120,Actuals!$C$4:$C$79,Actuals!G$4:G$79),0)</f>
        <v>0</v>
      </c>
      <c r="W120" s="72">
        <f>IFERROR(LOOKUP($C120,Actuals!$C$4:$C$79,Actuals!H$4:H$79),0)</f>
        <v>0</v>
      </c>
      <c r="X120" s="72">
        <f>IFERROR(LOOKUP($C120,Actuals!$C$4:$C$79,Actuals!I$4:I$79),0)</f>
        <v>43.434782608695656</v>
      </c>
      <c r="Y120" s="72">
        <f>IFERROR(LOOKUP($C120,Actuals!$C$4:$C$79,Actuals!J$4:J$79),0)</f>
        <v>5</v>
      </c>
    </row>
    <row r="121" spans="1:25" ht="16.5" customHeight="1" x14ac:dyDescent="0.35">
      <c r="A121" s="3" t="s">
        <v>14</v>
      </c>
      <c r="B121" s="4">
        <v>102</v>
      </c>
      <c r="C121" s="5">
        <v>53226</v>
      </c>
      <c r="D121" s="3" t="s">
        <v>130</v>
      </c>
      <c r="E121" s="6">
        <v>15.99</v>
      </c>
      <c r="F121" s="21">
        <v>5.13</v>
      </c>
      <c r="G121" s="22">
        <v>0</v>
      </c>
      <c r="H121" s="24">
        <f t="shared" si="6"/>
        <v>0</v>
      </c>
      <c r="I121" s="24">
        <f t="shared" si="7"/>
        <v>0</v>
      </c>
      <c r="J121" s="24">
        <f t="shared" si="8"/>
        <v>0</v>
      </c>
      <c r="K121" s="25">
        <f t="shared" si="10"/>
        <v>0</v>
      </c>
      <c r="L121" s="21"/>
      <c r="M121" s="12">
        <v>2090</v>
      </c>
      <c r="N121" s="12">
        <v>1817.3913043478265</v>
      </c>
      <c r="O121" s="12">
        <v>1144.48</v>
      </c>
      <c r="P121" s="9">
        <v>21</v>
      </c>
      <c r="Q121" s="12">
        <v>672.91130434782622</v>
      </c>
      <c r="R121" s="12">
        <v>99.523809523809518</v>
      </c>
      <c r="S121" s="12">
        <v>86.542443064182208</v>
      </c>
      <c r="T121" s="12">
        <v>54.499047619047623</v>
      </c>
      <c r="U121" s="16">
        <v>37.026220095693787</v>
      </c>
      <c r="V121" s="72">
        <f>IFERROR(LOOKUP($C121,Actuals!$C$4:$C$79,Actuals!G$4:G$79),0)</f>
        <v>194.04347826086956</v>
      </c>
      <c r="W121" s="72">
        <f>IFERROR(LOOKUP($C121,Actuals!$C$4:$C$79,Actuals!H$4:H$79),0)</f>
        <v>6.976</v>
      </c>
      <c r="X121" s="72">
        <f>IFERROR(LOOKUP($C121,Actuals!$C$4:$C$79,Actuals!I$4:I$79),0)</f>
        <v>133.09565217391304</v>
      </c>
      <c r="Y121" s="72">
        <f>IFERROR(LOOKUP($C121,Actuals!$C$4:$C$79,Actuals!J$4:J$79),0)</f>
        <v>4.7850000000000001</v>
      </c>
    </row>
    <row r="122" spans="1:25" ht="16.5" customHeight="1" x14ac:dyDescent="0.35">
      <c r="A122" s="3" t="s">
        <v>14</v>
      </c>
      <c r="B122" s="4">
        <v>102</v>
      </c>
      <c r="C122" s="5">
        <v>34106</v>
      </c>
      <c r="D122" s="3" t="s">
        <v>131</v>
      </c>
      <c r="E122" s="6">
        <v>11.99</v>
      </c>
      <c r="F122" s="21">
        <v>6.35</v>
      </c>
      <c r="G122" s="22">
        <v>0</v>
      </c>
      <c r="H122" s="24">
        <f t="shared" si="6"/>
        <v>0</v>
      </c>
      <c r="I122" s="24">
        <f t="shared" si="7"/>
        <v>0</v>
      </c>
      <c r="J122" s="24">
        <f t="shared" si="8"/>
        <v>0</v>
      </c>
      <c r="K122" s="25">
        <f t="shared" si="10"/>
        <v>0</v>
      </c>
      <c r="L122" s="21"/>
      <c r="M122" s="12">
        <v>2030.7300000000002</v>
      </c>
      <c r="N122" s="12">
        <v>1765.8521739130438</v>
      </c>
      <c r="O122" s="12">
        <v>825.5</v>
      </c>
      <c r="P122" s="9">
        <v>127</v>
      </c>
      <c r="Q122" s="12">
        <v>940.35217391304354</v>
      </c>
      <c r="R122" s="12">
        <v>15.990000000000002</v>
      </c>
      <c r="S122" s="12">
        <v>13.904347826086958</v>
      </c>
      <c r="T122" s="12">
        <v>6.5</v>
      </c>
      <c r="U122" s="16">
        <v>53.252032520325209</v>
      </c>
      <c r="V122" s="72">
        <f>IFERROR(LOOKUP($C122,Actuals!$C$4:$C$79,Actuals!G$4:G$79),0)</f>
        <v>69.556521739130432</v>
      </c>
      <c r="W122" s="72">
        <f>IFERROR(LOOKUP($C122,Actuals!$C$4:$C$79,Actuals!H$4:H$79),0)</f>
        <v>1</v>
      </c>
      <c r="X122" s="72">
        <f>IFERROR(LOOKUP($C122,Actuals!$C$4:$C$79,Actuals!I$4:I$79),0)</f>
        <v>0</v>
      </c>
      <c r="Y122" s="72">
        <f>IFERROR(LOOKUP($C122,Actuals!$C$4:$C$79,Actuals!J$4:J$79),0)</f>
        <v>0</v>
      </c>
    </row>
    <row r="123" spans="1:25" ht="16.5" customHeight="1" x14ac:dyDescent="0.35">
      <c r="A123" s="3" t="s">
        <v>14</v>
      </c>
      <c r="B123" s="4">
        <v>102</v>
      </c>
      <c r="C123" s="5">
        <v>50682</v>
      </c>
      <c r="D123" s="3" t="s">
        <v>132</v>
      </c>
      <c r="E123" s="6">
        <v>15.99</v>
      </c>
      <c r="F123" s="21">
        <v>7.86</v>
      </c>
      <c r="G123" s="22">
        <v>0</v>
      </c>
      <c r="H123" s="24">
        <f t="shared" si="6"/>
        <v>0</v>
      </c>
      <c r="I123" s="24">
        <f t="shared" si="7"/>
        <v>0</v>
      </c>
      <c r="J123" s="24">
        <f t="shared" si="8"/>
        <v>0</v>
      </c>
      <c r="K123" s="25">
        <f t="shared" si="10"/>
        <v>0</v>
      </c>
      <c r="L123" s="21"/>
      <c r="M123" s="12">
        <v>2016.6100000000001</v>
      </c>
      <c r="N123" s="12">
        <v>1753.5739130434783</v>
      </c>
      <c r="O123" s="12">
        <v>673.60000000000014</v>
      </c>
      <c r="P123" s="9">
        <v>67.36</v>
      </c>
      <c r="Q123" s="12">
        <v>1079.9739130434782</v>
      </c>
      <c r="R123" s="12">
        <v>29.93779691211401</v>
      </c>
      <c r="S123" s="12">
        <v>26.032866880099139</v>
      </c>
      <c r="T123" s="12">
        <v>10</v>
      </c>
      <c r="U123" s="16">
        <v>61.587019800556376</v>
      </c>
      <c r="V123" s="72">
        <f>IFERROR(LOOKUP($C123,Actuals!$C$4:$C$79,Actuals!G$4:G$79),0)</f>
        <v>158.20000000000002</v>
      </c>
      <c r="W123" s="72">
        <f>IFERROR(LOOKUP($C123,Actuals!$C$4:$C$79,Actuals!H$4:H$79),0)</f>
        <v>7</v>
      </c>
      <c r="X123" s="72">
        <f>IFERROR(LOOKUP($C123,Actuals!$C$4:$C$79,Actuals!I$4:I$79),0)</f>
        <v>158.20000000000002</v>
      </c>
      <c r="Y123" s="72">
        <f>IFERROR(LOOKUP($C123,Actuals!$C$4:$C$79,Actuals!J$4:J$79),0)</f>
        <v>7</v>
      </c>
    </row>
    <row r="124" spans="1:25" ht="16.5" customHeight="1" x14ac:dyDescent="0.35">
      <c r="A124" s="3" t="s">
        <v>14</v>
      </c>
      <c r="B124" s="4">
        <v>102</v>
      </c>
      <c r="C124" s="5">
        <v>54430</v>
      </c>
      <c r="D124" s="3" t="s">
        <v>133</v>
      </c>
      <c r="E124" s="6">
        <v>21.99</v>
      </c>
      <c r="F124" s="21">
        <v>9.9600000000000009</v>
      </c>
      <c r="G124" s="22">
        <v>0</v>
      </c>
      <c r="H124" s="24">
        <f t="shared" si="6"/>
        <v>0</v>
      </c>
      <c r="I124" s="24">
        <f t="shared" si="7"/>
        <v>0</v>
      </c>
      <c r="J124" s="24">
        <f t="shared" si="8"/>
        <v>0</v>
      </c>
      <c r="K124" s="25">
        <f t="shared" si="10"/>
        <v>0</v>
      </c>
      <c r="L124" s="21"/>
      <c r="M124" s="12">
        <v>2010</v>
      </c>
      <c r="N124" s="12">
        <v>1747.8260869565215</v>
      </c>
      <c r="O124" s="12">
        <v>1072.24</v>
      </c>
      <c r="P124" s="9">
        <v>17</v>
      </c>
      <c r="Q124" s="12">
        <v>675.58608695652197</v>
      </c>
      <c r="R124" s="12">
        <v>118.23529411764706</v>
      </c>
      <c r="S124" s="12">
        <v>102.81329923273655</v>
      </c>
      <c r="T124" s="12">
        <v>63.072941176470586</v>
      </c>
      <c r="U124" s="16">
        <v>38.65293532338309</v>
      </c>
      <c r="V124" s="72">
        <f>IFERROR(LOOKUP($C124,Actuals!$C$4:$C$79,Actuals!G$4:G$79),0)</f>
        <v>132.10434782608695</v>
      </c>
      <c r="W124" s="72">
        <f>IFERROR(LOOKUP($C124,Actuals!$C$4:$C$79,Actuals!H$4:H$79),0)</f>
        <v>8</v>
      </c>
      <c r="X124" s="72">
        <f>IFERROR(LOOKUP($C124,Actuals!$C$4:$C$79,Actuals!I$4:I$79),0)</f>
        <v>49.539130434782606</v>
      </c>
      <c r="Y124" s="72">
        <f>IFERROR(LOOKUP($C124,Actuals!$C$4:$C$79,Actuals!J$4:J$79),0)</f>
        <v>3</v>
      </c>
    </row>
    <row r="125" spans="1:25" ht="16.5" customHeight="1" x14ac:dyDescent="0.35">
      <c r="A125" s="3" t="s">
        <v>14</v>
      </c>
      <c r="B125" s="4">
        <v>102</v>
      </c>
      <c r="C125" s="5">
        <v>34120</v>
      </c>
      <c r="D125" s="3" t="s">
        <v>134</v>
      </c>
      <c r="E125" s="6">
        <v>8.99</v>
      </c>
      <c r="F125" s="21">
        <v>4.99</v>
      </c>
      <c r="G125" s="22">
        <v>0</v>
      </c>
      <c r="H125" s="24">
        <f t="shared" si="6"/>
        <v>0</v>
      </c>
      <c r="I125" s="24">
        <f t="shared" si="7"/>
        <v>0</v>
      </c>
      <c r="J125" s="24">
        <f t="shared" si="8"/>
        <v>0</v>
      </c>
      <c r="K125" s="25">
        <f t="shared" si="10"/>
        <v>0</v>
      </c>
      <c r="L125" s="21"/>
      <c r="M125" s="12">
        <v>1991.75</v>
      </c>
      <c r="N125" s="12">
        <v>1731.95652173913</v>
      </c>
      <c r="O125" s="12">
        <v>805</v>
      </c>
      <c r="P125" s="9">
        <v>25</v>
      </c>
      <c r="Q125" s="12">
        <v>926.95652173913049</v>
      </c>
      <c r="R125" s="12">
        <v>79.67</v>
      </c>
      <c r="S125" s="12">
        <v>69.278260869565202</v>
      </c>
      <c r="T125" s="12">
        <v>32.200000000000003</v>
      </c>
      <c r="U125" s="16">
        <v>53.520773189406299</v>
      </c>
      <c r="V125" s="72">
        <f>IFERROR(LOOKUP($C125,Actuals!$C$4:$C$79,Actuals!G$4:G$79),0)</f>
        <v>229.56521739130434</v>
      </c>
      <c r="W125" s="72">
        <f>IFERROR(LOOKUP($C125,Actuals!$C$4:$C$79,Actuals!H$4:H$79),0)</f>
        <v>80</v>
      </c>
      <c r="X125" s="72">
        <f>IFERROR(LOOKUP($C125,Actuals!$C$4:$C$79,Actuals!I$4:I$79),0)</f>
        <v>0</v>
      </c>
      <c r="Y125" s="72">
        <f>IFERROR(LOOKUP($C125,Actuals!$C$4:$C$79,Actuals!J$4:J$79),0)</f>
        <v>0</v>
      </c>
    </row>
    <row r="126" spans="1:25" ht="16.5" customHeight="1" x14ac:dyDescent="0.35">
      <c r="A126" s="3" t="s">
        <v>14</v>
      </c>
      <c r="B126" s="4">
        <v>102</v>
      </c>
      <c r="C126" s="5">
        <v>59058</v>
      </c>
      <c r="D126" s="3" t="s">
        <v>135</v>
      </c>
      <c r="E126" s="6">
        <v>5.99</v>
      </c>
      <c r="F126" s="21">
        <v>3.1</v>
      </c>
      <c r="G126" s="22">
        <v>0</v>
      </c>
      <c r="H126" s="24">
        <f t="shared" si="6"/>
        <v>0</v>
      </c>
      <c r="I126" s="24">
        <f t="shared" si="7"/>
        <v>0</v>
      </c>
      <c r="J126" s="24">
        <f t="shared" si="8"/>
        <v>0</v>
      </c>
      <c r="K126" s="25">
        <f t="shared" si="10"/>
        <v>0</v>
      </c>
      <c r="L126" s="21"/>
      <c r="M126" s="12">
        <v>1960.9099999999999</v>
      </c>
      <c r="N126" s="12">
        <v>1705.1391304347826</v>
      </c>
      <c r="O126" s="12">
        <v>1094.3599999999999</v>
      </c>
      <c r="P126" s="9">
        <v>109</v>
      </c>
      <c r="Q126" s="12">
        <v>610.77913043478247</v>
      </c>
      <c r="R126" s="12">
        <v>17.989999999999998</v>
      </c>
      <c r="S126" s="12">
        <v>15.643478260869566</v>
      </c>
      <c r="T126" s="12">
        <v>10.039999999999999</v>
      </c>
      <c r="U126" s="16">
        <v>35.819899944413557</v>
      </c>
      <c r="V126" s="72">
        <f>IFERROR(LOOKUP($C126,Actuals!$C$4:$C$79,Actuals!G$4:G$79),0)</f>
        <v>121.67826086956522</v>
      </c>
      <c r="W126" s="72">
        <f>IFERROR(LOOKUP($C126,Actuals!$C$4:$C$79,Actuals!H$4:H$79),0)</f>
        <v>7</v>
      </c>
      <c r="X126" s="72">
        <f>IFERROR(LOOKUP($C126,Actuals!$C$4:$C$79,Actuals!I$4:I$79),0)</f>
        <v>52.14782608695652</v>
      </c>
      <c r="Y126" s="72">
        <f>IFERROR(LOOKUP($C126,Actuals!$C$4:$C$79,Actuals!J$4:J$79),0)</f>
        <v>3</v>
      </c>
    </row>
    <row r="127" spans="1:25" ht="16.5" customHeight="1" x14ac:dyDescent="0.35">
      <c r="A127" s="3" t="s">
        <v>14</v>
      </c>
      <c r="B127" s="4">
        <v>102</v>
      </c>
      <c r="C127" s="5">
        <v>53225</v>
      </c>
      <c r="D127" s="3" t="s">
        <v>136</v>
      </c>
      <c r="E127" s="6">
        <v>17.989999999999998</v>
      </c>
      <c r="F127" s="21">
        <v>10.039999999999999</v>
      </c>
      <c r="G127" s="22">
        <v>0</v>
      </c>
      <c r="H127" s="24">
        <f t="shared" si="6"/>
        <v>0</v>
      </c>
      <c r="I127" s="24">
        <f t="shared" si="7"/>
        <v>0</v>
      </c>
      <c r="J127" s="24">
        <f t="shared" si="8"/>
        <v>0</v>
      </c>
      <c r="K127" s="25">
        <f t="shared" si="10"/>
        <v>0</v>
      </c>
      <c r="L127" s="21"/>
      <c r="M127" s="12">
        <v>1841.7800000000002</v>
      </c>
      <c r="N127" s="12">
        <v>1601.5478260869568</v>
      </c>
      <c r="O127" s="12">
        <v>880.43999999999994</v>
      </c>
      <c r="P127" s="9">
        <v>132</v>
      </c>
      <c r="Q127" s="12">
        <v>721.10782608695683</v>
      </c>
      <c r="R127" s="12">
        <v>13.95287878787879</v>
      </c>
      <c r="S127" s="12">
        <v>12.132938076416339</v>
      </c>
      <c r="T127" s="12">
        <v>6.67</v>
      </c>
      <c r="U127" s="16">
        <v>45.025681677507642</v>
      </c>
      <c r="V127" s="72">
        <f>IFERROR(LOOKUP($C127,Actuals!$C$4:$C$79,Actuals!G$4:G$79),0)</f>
        <v>194.04347826086956</v>
      </c>
      <c r="W127" s="72">
        <f>IFERROR(LOOKUP($C127,Actuals!$C$4:$C$79,Actuals!H$4:H$79),0)</f>
        <v>6.976</v>
      </c>
      <c r="X127" s="72">
        <f>IFERROR(LOOKUP($C127,Actuals!$C$4:$C$79,Actuals!I$4:I$79),0)</f>
        <v>133.09565217391304</v>
      </c>
      <c r="Y127" s="72">
        <f>IFERROR(LOOKUP($C127,Actuals!$C$4:$C$79,Actuals!J$4:J$79),0)</f>
        <v>4.7850000000000001</v>
      </c>
    </row>
    <row r="128" spans="1:25" ht="16.5" customHeight="1" x14ac:dyDescent="0.35">
      <c r="A128" s="3" t="s">
        <v>14</v>
      </c>
      <c r="B128" s="4">
        <v>102</v>
      </c>
      <c r="C128" s="5">
        <v>53141</v>
      </c>
      <c r="D128" s="3" t="s">
        <v>137</v>
      </c>
      <c r="E128" s="6">
        <v>9.99</v>
      </c>
      <c r="F128" s="21">
        <v>3.26</v>
      </c>
      <c r="G128" s="22">
        <v>0</v>
      </c>
      <c r="H128" s="24">
        <f t="shared" si="6"/>
        <v>0</v>
      </c>
      <c r="I128" s="24">
        <f t="shared" si="7"/>
        <v>0</v>
      </c>
      <c r="J128" s="24">
        <f t="shared" si="8"/>
        <v>0</v>
      </c>
      <c r="K128" s="25">
        <f t="shared" si="10"/>
        <v>0</v>
      </c>
      <c r="L128" s="21"/>
      <c r="M128" s="12">
        <v>1647.8500000000001</v>
      </c>
      <c r="N128" s="12">
        <v>1432.913043478261</v>
      </c>
      <c r="O128" s="12">
        <v>537.9</v>
      </c>
      <c r="P128" s="9">
        <v>165</v>
      </c>
      <c r="Q128" s="12">
        <v>895.01304347826101</v>
      </c>
      <c r="R128" s="12">
        <v>9.9869696969696982</v>
      </c>
      <c r="S128" s="12">
        <v>8.6843214756258238</v>
      </c>
      <c r="T128" s="12">
        <v>3.26</v>
      </c>
      <c r="U128" s="16">
        <v>62.461085657068303</v>
      </c>
      <c r="V128" s="72">
        <f>IFERROR(LOOKUP($C128,Actuals!$C$4:$C$79,Actuals!G$4:G$79),0)</f>
        <v>194.04347826086956</v>
      </c>
      <c r="W128" s="72">
        <f>IFERROR(LOOKUP($C128,Actuals!$C$4:$C$79,Actuals!H$4:H$79),0)</f>
        <v>6.976</v>
      </c>
      <c r="X128" s="72">
        <f>IFERROR(LOOKUP($C128,Actuals!$C$4:$C$79,Actuals!I$4:I$79),0)</f>
        <v>133.09565217391304</v>
      </c>
      <c r="Y128" s="72">
        <f>IFERROR(LOOKUP($C128,Actuals!$C$4:$C$79,Actuals!J$4:J$79),0)</f>
        <v>4.7850000000000001</v>
      </c>
    </row>
    <row r="129" spans="1:25" ht="16.5" customHeight="1" x14ac:dyDescent="0.35">
      <c r="A129" s="3" t="s">
        <v>14</v>
      </c>
      <c r="B129" s="4">
        <v>102</v>
      </c>
      <c r="C129" s="5">
        <v>63394</v>
      </c>
      <c r="D129" s="3" t="s">
        <v>138</v>
      </c>
      <c r="E129" s="6">
        <v>26.97</v>
      </c>
      <c r="F129" s="21">
        <v>13.68</v>
      </c>
      <c r="G129" s="22">
        <v>0</v>
      </c>
      <c r="H129" s="24">
        <f t="shared" si="6"/>
        <v>0</v>
      </c>
      <c r="I129" s="24">
        <f t="shared" si="7"/>
        <v>0</v>
      </c>
      <c r="J129" s="24">
        <f t="shared" si="8"/>
        <v>0</v>
      </c>
      <c r="K129" s="25">
        <f t="shared" si="10"/>
        <v>0</v>
      </c>
      <c r="L129" s="21"/>
      <c r="M129" s="12">
        <v>1584.98</v>
      </c>
      <c r="N129" s="12">
        <v>1378.2434782608696</v>
      </c>
      <c r="O129" s="12">
        <v>916.56000000000006</v>
      </c>
      <c r="P129" s="9">
        <v>67</v>
      </c>
      <c r="Q129" s="12">
        <v>461.68347826086949</v>
      </c>
      <c r="R129" s="12">
        <v>23.656417910447761</v>
      </c>
      <c r="S129" s="12">
        <v>20.570798182998054</v>
      </c>
      <c r="T129" s="12">
        <v>13.680000000000001</v>
      </c>
      <c r="U129" s="16">
        <v>33.497962119395822</v>
      </c>
      <c r="V129" s="72">
        <f>IFERROR(LOOKUP($C129,Actuals!$C$4:$C$79,Actuals!G$4:G$79),0)</f>
        <v>0</v>
      </c>
      <c r="W129" s="72">
        <f>IFERROR(LOOKUP($C129,Actuals!$C$4:$C$79,Actuals!H$4:H$79),0)</f>
        <v>0</v>
      </c>
      <c r="X129" s="72">
        <f>IFERROR(LOOKUP($C129,Actuals!$C$4:$C$79,Actuals!I$4:I$79),0)</f>
        <v>1043.4782608695652</v>
      </c>
      <c r="Y129" s="72">
        <f>IFERROR(LOOKUP($C129,Actuals!$C$4:$C$79,Actuals!J$4:J$79),0)</f>
        <v>20</v>
      </c>
    </row>
    <row r="130" spans="1:25" ht="16.5" customHeight="1" x14ac:dyDescent="0.35">
      <c r="A130" s="3" t="s">
        <v>14</v>
      </c>
      <c r="B130" s="4">
        <v>102</v>
      </c>
      <c r="C130" s="5">
        <v>32869</v>
      </c>
      <c r="D130" s="3" t="s">
        <v>139</v>
      </c>
      <c r="E130" s="6">
        <v>3.5</v>
      </c>
      <c r="F130" s="21">
        <v>2.12</v>
      </c>
      <c r="G130" s="22">
        <v>0</v>
      </c>
      <c r="H130" s="24">
        <f t="shared" si="6"/>
        <v>0</v>
      </c>
      <c r="I130" s="24">
        <f t="shared" si="7"/>
        <v>0</v>
      </c>
      <c r="J130" s="24">
        <f t="shared" si="8"/>
        <v>0</v>
      </c>
      <c r="K130" s="25">
        <f t="shared" si="10"/>
        <v>0</v>
      </c>
      <c r="L130" s="21"/>
      <c r="M130" s="12">
        <v>1575</v>
      </c>
      <c r="N130" s="12">
        <v>1369.5652173913043</v>
      </c>
      <c r="O130" s="12">
        <v>1023.96</v>
      </c>
      <c r="P130" s="9">
        <v>483</v>
      </c>
      <c r="Q130" s="12">
        <v>345.60521739130422</v>
      </c>
      <c r="R130" s="12">
        <v>3.2608695652173911</v>
      </c>
      <c r="S130" s="12">
        <v>2.8355387523629489</v>
      </c>
      <c r="T130" s="12">
        <v>2.12</v>
      </c>
      <c r="U130" s="16">
        <v>25.234666666666662</v>
      </c>
      <c r="V130" s="72">
        <f>IFERROR(LOOKUP($C130,Actuals!$C$4:$C$79,Actuals!G$4:G$79),0)</f>
        <v>0</v>
      </c>
      <c r="W130" s="72">
        <f>IFERROR(LOOKUP($C130,Actuals!$C$4:$C$79,Actuals!H$4:H$79),0)</f>
        <v>0</v>
      </c>
      <c r="X130" s="72">
        <f>IFERROR(LOOKUP($C130,Actuals!$C$4:$C$79,Actuals!I$4:I$79),0)</f>
        <v>34.747826086956522</v>
      </c>
      <c r="Y130" s="72">
        <f>IFERROR(LOOKUP($C130,Actuals!$C$4:$C$79,Actuals!J$4:J$79),0)</f>
        <v>4</v>
      </c>
    </row>
    <row r="131" spans="1:25" ht="16.5" customHeight="1" x14ac:dyDescent="0.35">
      <c r="A131" s="3" t="s">
        <v>14</v>
      </c>
      <c r="B131" s="4">
        <v>102</v>
      </c>
      <c r="C131" s="5">
        <v>34074</v>
      </c>
      <c r="D131" s="3" t="s">
        <v>140</v>
      </c>
      <c r="E131" s="6">
        <v>21.99</v>
      </c>
      <c r="F131" s="21">
        <v>12.33</v>
      </c>
      <c r="G131" s="22">
        <v>0</v>
      </c>
      <c r="H131" s="24">
        <f t="shared" si="6"/>
        <v>0</v>
      </c>
      <c r="I131" s="24">
        <f t="shared" si="7"/>
        <v>0</v>
      </c>
      <c r="J131" s="24">
        <f t="shared" si="8"/>
        <v>0</v>
      </c>
      <c r="K131" s="25">
        <f t="shared" si="10"/>
        <v>0</v>
      </c>
      <c r="L131" s="21"/>
      <c r="M131" s="12">
        <v>1517.3100000000004</v>
      </c>
      <c r="N131" s="12">
        <v>1319.4</v>
      </c>
      <c r="O131" s="12">
        <v>850.7700000000001</v>
      </c>
      <c r="P131" s="9">
        <v>69</v>
      </c>
      <c r="Q131" s="12">
        <v>468.63000000000022</v>
      </c>
      <c r="R131" s="12">
        <v>21.990000000000006</v>
      </c>
      <c r="S131" s="12">
        <v>19.121739130434783</v>
      </c>
      <c r="T131" s="12">
        <v>12.330000000000002</v>
      </c>
      <c r="U131" s="16">
        <v>35.518417462482951</v>
      </c>
      <c r="V131" s="72">
        <f>IFERROR(LOOKUP($C131,Actuals!$C$4:$C$79,Actuals!G$4:G$79),0)</f>
        <v>169.43478260869566</v>
      </c>
      <c r="W131" s="72">
        <f>IFERROR(LOOKUP($C131,Actuals!$C$4:$C$79,Actuals!H$4:H$79),0)</f>
        <v>15</v>
      </c>
      <c r="X131" s="72">
        <f>IFERROR(LOOKUP($C131,Actuals!$C$4:$C$79,Actuals!I$4:I$79),0)</f>
        <v>101.66086956521738</v>
      </c>
      <c r="Y131" s="72">
        <f>IFERROR(LOOKUP($C131,Actuals!$C$4:$C$79,Actuals!J$4:J$79),0)</f>
        <v>9</v>
      </c>
    </row>
    <row r="132" spans="1:25" ht="16.5" customHeight="1" x14ac:dyDescent="0.35">
      <c r="A132" s="3" t="s">
        <v>14</v>
      </c>
      <c r="B132" s="4">
        <v>102</v>
      </c>
      <c r="C132" s="5">
        <v>34139</v>
      </c>
      <c r="D132" s="3" t="s">
        <v>141</v>
      </c>
      <c r="E132" s="6">
        <v>49.99</v>
      </c>
      <c r="F132" s="21">
        <v>26.72</v>
      </c>
      <c r="G132" s="22">
        <v>0</v>
      </c>
      <c r="H132" s="24">
        <f t="shared" ref="H132:H195" si="11">E132*G132</f>
        <v>0</v>
      </c>
      <c r="I132" s="24">
        <f t="shared" ref="I132:I195" si="12">F132*G132</f>
        <v>0</v>
      </c>
      <c r="J132" s="24">
        <f t="shared" ref="J132:J195" si="13">H132-I132</f>
        <v>0</v>
      </c>
      <c r="K132" s="25">
        <f t="shared" si="10"/>
        <v>0</v>
      </c>
      <c r="L132" s="21"/>
      <c r="M132" s="12">
        <v>1499.7</v>
      </c>
      <c r="N132" s="12">
        <v>1304.0869565217392</v>
      </c>
      <c r="O132" s="12">
        <v>801.59999999999991</v>
      </c>
      <c r="P132" s="9">
        <v>30</v>
      </c>
      <c r="Q132" s="12">
        <v>502.48695652173933</v>
      </c>
      <c r="R132" s="12">
        <v>49.99</v>
      </c>
      <c r="S132" s="12">
        <v>43.469565217391306</v>
      </c>
      <c r="T132" s="12">
        <v>26.719999999999995</v>
      </c>
      <c r="U132" s="16">
        <v>38.531706341268269</v>
      </c>
      <c r="V132" s="72">
        <f>IFERROR(LOOKUP($C132,Actuals!$C$4:$C$79,Actuals!G$4:G$79),0)</f>
        <v>229.56521739130434</v>
      </c>
      <c r="W132" s="72">
        <f>IFERROR(LOOKUP($C132,Actuals!$C$4:$C$79,Actuals!H$4:H$79),0)</f>
        <v>80</v>
      </c>
      <c r="X132" s="72">
        <f>IFERROR(LOOKUP($C132,Actuals!$C$4:$C$79,Actuals!I$4:I$79),0)</f>
        <v>0</v>
      </c>
      <c r="Y132" s="72">
        <f>IFERROR(LOOKUP($C132,Actuals!$C$4:$C$79,Actuals!J$4:J$79),0)</f>
        <v>0</v>
      </c>
    </row>
    <row r="133" spans="1:25" ht="16.5" customHeight="1" x14ac:dyDescent="0.35">
      <c r="A133" s="3" t="s">
        <v>14</v>
      </c>
      <c r="B133" s="4">
        <v>102</v>
      </c>
      <c r="C133" s="5">
        <v>62499</v>
      </c>
      <c r="D133" s="3" t="s">
        <v>142</v>
      </c>
      <c r="E133" s="6">
        <v>12.99</v>
      </c>
      <c r="F133" s="21">
        <v>6.69</v>
      </c>
      <c r="G133" s="22">
        <v>0</v>
      </c>
      <c r="H133" s="24">
        <f t="shared" si="11"/>
        <v>0</v>
      </c>
      <c r="I133" s="24">
        <f t="shared" si="12"/>
        <v>0</v>
      </c>
      <c r="J133" s="24">
        <f t="shared" si="13"/>
        <v>0</v>
      </c>
      <c r="K133" s="25">
        <f t="shared" si="10"/>
        <v>0</v>
      </c>
      <c r="L133" s="21"/>
      <c r="M133" s="12">
        <v>1468.5600000000002</v>
      </c>
      <c r="N133" s="12">
        <v>1277.0086956521741</v>
      </c>
      <c r="O133" s="12">
        <v>805.77531999999997</v>
      </c>
      <c r="P133" s="9">
        <v>23.452000000000002</v>
      </c>
      <c r="Q133" s="12">
        <v>471.23337565217412</v>
      </c>
      <c r="R133" s="12">
        <v>62.619819205185074</v>
      </c>
      <c r="S133" s="12">
        <v>54.452016700160932</v>
      </c>
      <c r="T133" s="12">
        <v>34.35849053385639</v>
      </c>
      <c r="U133" s="16">
        <v>36.901344310072467</v>
      </c>
      <c r="V133" s="72">
        <f>IFERROR(LOOKUP($C133,Actuals!$C$4:$C$79,Actuals!G$4:G$79),0)</f>
        <v>25.208695652173912</v>
      </c>
      <c r="W133" s="72">
        <f>IFERROR(LOOKUP($C133,Actuals!$C$4:$C$79,Actuals!H$4:H$79),0)</f>
        <v>1</v>
      </c>
      <c r="X133" s="72">
        <f>IFERROR(LOOKUP($C133,Actuals!$C$4:$C$79,Actuals!I$4:I$79),0)</f>
        <v>25.208695652173912</v>
      </c>
      <c r="Y133" s="72">
        <f>IFERROR(LOOKUP($C133,Actuals!$C$4:$C$79,Actuals!J$4:J$79),0)</f>
        <v>1</v>
      </c>
    </row>
    <row r="134" spans="1:25" ht="16.5" customHeight="1" x14ac:dyDescent="0.35">
      <c r="A134" s="3" t="s">
        <v>14</v>
      </c>
      <c r="B134" s="4">
        <v>102</v>
      </c>
      <c r="C134" s="5">
        <v>61941</v>
      </c>
      <c r="D134" s="3" t="s">
        <v>143</v>
      </c>
      <c r="E134" s="6">
        <v>10</v>
      </c>
      <c r="F134" s="21">
        <v>3.4432999999999998</v>
      </c>
      <c r="G134" s="22">
        <v>0</v>
      </c>
      <c r="H134" s="24">
        <f t="shared" si="11"/>
        <v>0</v>
      </c>
      <c r="I134" s="24">
        <f t="shared" si="12"/>
        <v>0</v>
      </c>
      <c r="J134" s="24">
        <f t="shared" si="13"/>
        <v>0</v>
      </c>
      <c r="K134" s="25">
        <f t="shared" si="10"/>
        <v>0</v>
      </c>
      <c r="L134" s="21"/>
      <c r="M134" s="12">
        <v>1430</v>
      </c>
      <c r="N134" s="12">
        <v>1243.478260869565</v>
      </c>
      <c r="O134" s="12">
        <v>665.79999999999984</v>
      </c>
      <c r="P134" s="9">
        <v>18</v>
      </c>
      <c r="Q134" s="12">
        <v>577.67826086956541</v>
      </c>
      <c r="R134" s="12">
        <v>79.444444444444443</v>
      </c>
      <c r="S134" s="12">
        <v>69.082125603864725</v>
      </c>
      <c r="T134" s="12">
        <v>36.98888888888888</v>
      </c>
      <c r="U134" s="16">
        <v>46.456643356643376</v>
      </c>
      <c r="V134" s="72">
        <f>IFERROR(LOOKUP($C134,Actuals!$C$4:$C$79,Actuals!G$4:G$79),0)</f>
        <v>0</v>
      </c>
      <c r="W134" s="72">
        <f>IFERROR(LOOKUP($C134,Actuals!$C$4:$C$79,Actuals!H$4:H$79),0)</f>
        <v>0</v>
      </c>
      <c r="X134" s="72">
        <f>IFERROR(LOOKUP($C134,Actuals!$C$4:$C$79,Actuals!I$4:I$79),0)</f>
        <v>147.82608695652175</v>
      </c>
      <c r="Y134" s="72">
        <f>IFERROR(LOOKUP($C134,Actuals!$C$4:$C$79,Actuals!J$4:J$79),0)</f>
        <v>17</v>
      </c>
    </row>
    <row r="135" spans="1:25" ht="16.5" customHeight="1" x14ac:dyDescent="0.35">
      <c r="A135" s="3" t="s">
        <v>14</v>
      </c>
      <c r="B135" s="4">
        <v>102</v>
      </c>
      <c r="C135" s="5">
        <v>34090</v>
      </c>
      <c r="D135" s="3" t="s">
        <v>144</v>
      </c>
      <c r="E135" s="6">
        <v>3.99</v>
      </c>
      <c r="F135" s="21">
        <v>1.3</v>
      </c>
      <c r="G135" s="22">
        <v>0</v>
      </c>
      <c r="H135" s="24">
        <f t="shared" si="11"/>
        <v>0</v>
      </c>
      <c r="I135" s="24">
        <f t="shared" si="12"/>
        <v>0</v>
      </c>
      <c r="J135" s="24">
        <f t="shared" si="13"/>
        <v>0</v>
      </c>
      <c r="K135" s="25">
        <f t="shared" si="10"/>
        <v>0</v>
      </c>
      <c r="L135" s="21"/>
      <c r="M135" s="12">
        <v>1374.9900000000002</v>
      </c>
      <c r="N135" s="12">
        <v>1195.6434782608699</v>
      </c>
      <c r="O135" s="12">
        <v>709.1400000000001</v>
      </c>
      <c r="P135" s="9">
        <v>106</v>
      </c>
      <c r="Q135" s="12">
        <v>486.50347826086977</v>
      </c>
      <c r="R135" s="12">
        <v>12.971603773584908</v>
      </c>
      <c r="S135" s="12">
        <v>11.279655455291225</v>
      </c>
      <c r="T135" s="12">
        <v>6.6900000000000013</v>
      </c>
      <c r="U135" s="16">
        <v>40.689677743110863</v>
      </c>
      <c r="V135" s="72">
        <f>IFERROR(LOOKUP($C135,Actuals!$C$4:$C$79,Actuals!G$4:G$79),0)</f>
        <v>0</v>
      </c>
      <c r="W135" s="72">
        <f>IFERROR(LOOKUP($C135,Actuals!$C$4:$C$79,Actuals!H$4:H$79),0)</f>
        <v>0</v>
      </c>
      <c r="X135" s="72">
        <f>IFERROR(LOOKUP($C135,Actuals!$C$4:$C$79,Actuals!I$4:I$79),0)</f>
        <v>117.39130434782609</v>
      </c>
      <c r="Y135" s="72">
        <f>IFERROR(LOOKUP($C135,Actuals!$C$4:$C$79,Actuals!J$4:J$79),0)</f>
        <v>90</v>
      </c>
    </row>
    <row r="136" spans="1:25" ht="16.5" customHeight="1" x14ac:dyDescent="0.35">
      <c r="A136" s="3" t="s">
        <v>14</v>
      </c>
      <c r="B136" s="4">
        <v>102</v>
      </c>
      <c r="C136" s="5">
        <v>55482</v>
      </c>
      <c r="D136" s="3" t="s">
        <v>145</v>
      </c>
      <c r="E136" s="6">
        <v>13.99</v>
      </c>
      <c r="F136" s="21">
        <v>5.44</v>
      </c>
      <c r="G136" s="22">
        <v>0</v>
      </c>
      <c r="H136" s="24">
        <f t="shared" si="11"/>
        <v>0</v>
      </c>
      <c r="I136" s="24">
        <f t="shared" si="12"/>
        <v>0</v>
      </c>
      <c r="J136" s="24">
        <f t="shared" si="13"/>
        <v>0</v>
      </c>
      <c r="K136" s="25">
        <f t="shared" si="10"/>
        <v>0</v>
      </c>
      <c r="L136" s="21"/>
      <c r="M136" s="12">
        <v>1287.08</v>
      </c>
      <c r="N136" s="12">
        <v>1119.2</v>
      </c>
      <c r="O136" s="12">
        <v>678.04</v>
      </c>
      <c r="P136" s="9">
        <v>92</v>
      </c>
      <c r="Q136" s="12">
        <v>441.16000000000008</v>
      </c>
      <c r="R136" s="12">
        <v>13.989999999999998</v>
      </c>
      <c r="S136" s="12">
        <v>12.165217391304349</v>
      </c>
      <c r="T136" s="12">
        <v>7.3699999999999992</v>
      </c>
      <c r="U136" s="16">
        <v>39.417441029306652</v>
      </c>
      <c r="V136" s="72">
        <f>IFERROR(LOOKUP($C136,Actuals!$C$4:$C$79,Actuals!G$4:G$79),0)</f>
        <v>83.408695652173918</v>
      </c>
      <c r="W136" s="72">
        <f>IFERROR(LOOKUP($C136,Actuals!$C$4:$C$79,Actuals!H$4:H$79),0)</f>
        <v>8</v>
      </c>
      <c r="X136" s="72">
        <f>IFERROR(LOOKUP($C136,Actuals!$C$4:$C$79,Actuals!I$4:I$79),0)</f>
        <v>52.130434782608695</v>
      </c>
      <c r="Y136" s="72">
        <f>IFERROR(LOOKUP($C136,Actuals!$C$4:$C$79,Actuals!J$4:J$79),0)</f>
        <v>5</v>
      </c>
    </row>
    <row r="137" spans="1:25" ht="16.5" customHeight="1" x14ac:dyDescent="0.35">
      <c r="A137" s="3" t="s">
        <v>107</v>
      </c>
      <c r="B137" s="4">
        <v>102</v>
      </c>
      <c r="C137" s="5">
        <v>58147</v>
      </c>
      <c r="D137" s="3" t="s">
        <v>146</v>
      </c>
      <c r="E137" s="6">
        <v>16.989999999999998</v>
      </c>
      <c r="F137" s="21">
        <v>7.99</v>
      </c>
      <c r="G137" s="22">
        <v>0</v>
      </c>
      <c r="H137" s="24">
        <f t="shared" si="11"/>
        <v>0</v>
      </c>
      <c r="I137" s="24">
        <f t="shared" si="12"/>
        <v>0</v>
      </c>
      <c r="J137" s="24">
        <f t="shared" si="13"/>
        <v>0</v>
      </c>
      <c r="K137" s="25">
        <f t="shared" si="10"/>
        <v>0</v>
      </c>
      <c r="L137" s="21"/>
      <c r="M137" s="12">
        <v>1102.69</v>
      </c>
      <c r="N137" s="12">
        <v>1098.911304347826</v>
      </c>
      <c r="O137" s="12">
        <v>633.03</v>
      </c>
      <c r="P137" s="9">
        <v>101</v>
      </c>
      <c r="Q137" s="12">
        <v>465.88130434782624</v>
      </c>
      <c r="R137" s="12">
        <v>10.917722772277228</v>
      </c>
      <c r="S137" s="12">
        <v>10.880309944037881</v>
      </c>
      <c r="T137" s="12">
        <v>6.2676237623762372</v>
      </c>
      <c r="U137" s="16">
        <v>42.394804976941614</v>
      </c>
      <c r="V137" s="72">
        <f>IFERROR(LOOKUP($C137,Actuals!$C$4:$C$79,Actuals!G$4:G$79),0)</f>
        <v>14.77391304347826</v>
      </c>
      <c r="W137" s="72">
        <f>IFERROR(LOOKUP($C137,Actuals!$C$4:$C$79,Actuals!H$4:H$79),0)</f>
        <v>1</v>
      </c>
      <c r="X137" s="72">
        <f>IFERROR(LOOKUP($C137,Actuals!$C$4:$C$79,Actuals!I$4:I$79),0)</f>
        <v>0</v>
      </c>
      <c r="Y137" s="72">
        <f>IFERROR(LOOKUP($C137,Actuals!$C$4:$C$79,Actuals!J$4:J$79),0)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53119</v>
      </c>
      <c r="D138" s="3" t="s">
        <v>147</v>
      </c>
      <c r="E138" s="6">
        <v>4.99</v>
      </c>
      <c r="F138" s="21">
        <v>1.29</v>
      </c>
      <c r="G138" s="22">
        <v>0</v>
      </c>
      <c r="H138" s="24">
        <f t="shared" si="11"/>
        <v>0</v>
      </c>
      <c r="I138" s="24">
        <f t="shared" si="12"/>
        <v>0</v>
      </c>
      <c r="J138" s="24">
        <f t="shared" si="13"/>
        <v>0</v>
      </c>
      <c r="K138" s="25">
        <f t="shared" si="10"/>
        <v>0</v>
      </c>
      <c r="L138" s="21"/>
      <c r="M138" s="12">
        <v>1200</v>
      </c>
      <c r="N138" s="12">
        <v>1043.4782608695652</v>
      </c>
      <c r="O138" s="12">
        <v>760</v>
      </c>
      <c r="P138" s="9">
        <v>200</v>
      </c>
      <c r="Q138" s="12">
        <v>283.47826086956525</v>
      </c>
      <c r="R138" s="12">
        <v>6</v>
      </c>
      <c r="S138" s="12">
        <v>5.2173913043478262</v>
      </c>
      <c r="T138" s="12">
        <v>3.8</v>
      </c>
      <c r="U138" s="16">
        <v>27.166666666666668</v>
      </c>
      <c r="V138" s="72">
        <f>IFERROR(LOOKUP($C138,Actuals!$C$4:$C$79,Actuals!G$4:G$79),0)</f>
        <v>194.04347826086956</v>
      </c>
      <c r="W138" s="72">
        <f>IFERROR(LOOKUP($C138,Actuals!$C$4:$C$79,Actuals!H$4:H$79),0)</f>
        <v>6.976</v>
      </c>
      <c r="X138" s="72">
        <f>IFERROR(LOOKUP($C138,Actuals!$C$4:$C$79,Actuals!I$4:I$79),0)</f>
        <v>133.09565217391304</v>
      </c>
      <c r="Y138" s="72">
        <f>IFERROR(LOOKUP($C138,Actuals!$C$4:$C$79,Actuals!J$4:J$79),0)</f>
        <v>4.7850000000000001</v>
      </c>
    </row>
    <row r="139" spans="1:25" ht="16.5" customHeight="1" x14ac:dyDescent="0.35">
      <c r="A139" s="3" t="s">
        <v>14</v>
      </c>
      <c r="B139" s="4">
        <v>102</v>
      </c>
      <c r="C139" s="5">
        <v>33013</v>
      </c>
      <c r="D139" s="3" t="s">
        <v>148</v>
      </c>
      <c r="E139" s="6">
        <v>5.99</v>
      </c>
      <c r="F139" s="21">
        <v>3.1</v>
      </c>
      <c r="G139" s="22">
        <v>0</v>
      </c>
      <c r="H139" s="24">
        <f t="shared" si="11"/>
        <v>0</v>
      </c>
      <c r="I139" s="24">
        <f t="shared" si="12"/>
        <v>0</v>
      </c>
      <c r="J139" s="24">
        <f t="shared" si="13"/>
        <v>0</v>
      </c>
      <c r="K139" s="25">
        <f t="shared" si="10"/>
        <v>0</v>
      </c>
      <c r="L139" s="21"/>
      <c r="M139" s="12">
        <v>1128</v>
      </c>
      <c r="N139" s="12">
        <v>980.86956521739148</v>
      </c>
      <c r="O139" s="12">
        <v>389.09289999999999</v>
      </c>
      <c r="P139" s="9">
        <v>113</v>
      </c>
      <c r="Q139" s="12">
        <v>591.77666521739138</v>
      </c>
      <c r="R139" s="12">
        <v>9.9823008849557517</v>
      </c>
      <c r="S139" s="12">
        <v>8.6802616390919596</v>
      </c>
      <c r="T139" s="12">
        <v>3.4432999999999998</v>
      </c>
      <c r="U139" s="16">
        <v>60.33184086879433</v>
      </c>
      <c r="V139" s="72">
        <f>IFERROR(LOOKUP($C139,Actuals!$C$4:$C$79,Actuals!G$4:G$79),0)</f>
        <v>0</v>
      </c>
      <c r="W139" s="72">
        <f>IFERROR(LOOKUP($C139,Actuals!$C$4:$C$79,Actuals!H$4:H$79),0)</f>
        <v>0</v>
      </c>
      <c r="X139" s="72">
        <f>IFERROR(LOOKUP($C139,Actuals!$C$4:$C$79,Actuals!I$4:I$79),0)</f>
        <v>15.626086956521739</v>
      </c>
      <c r="Y139" s="72">
        <f>IFERROR(LOOKUP($C139,Actuals!$C$4:$C$79,Actuals!J$4:J$79),0)</f>
        <v>3</v>
      </c>
    </row>
    <row r="140" spans="1:25" ht="16.5" customHeight="1" x14ac:dyDescent="0.35">
      <c r="A140" s="3" t="s">
        <v>14</v>
      </c>
      <c r="B140" s="4">
        <v>102</v>
      </c>
      <c r="C140" s="5">
        <v>33012</v>
      </c>
      <c r="D140" s="3" t="s">
        <v>149</v>
      </c>
      <c r="E140" s="6">
        <v>47.99</v>
      </c>
      <c r="F140" s="21">
        <v>27.08</v>
      </c>
      <c r="G140" s="22">
        <v>0</v>
      </c>
      <c r="H140" s="24">
        <f t="shared" si="11"/>
        <v>0</v>
      </c>
      <c r="I140" s="24">
        <f t="shared" si="12"/>
        <v>0</v>
      </c>
      <c r="J140" s="24">
        <f t="shared" si="13"/>
        <v>0</v>
      </c>
      <c r="K140" s="25">
        <f t="shared" si="10"/>
        <v>0</v>
      </c>
      <c r="L140" s="21"/>
      <c r="M140" s="12">
        <v>1125.1799999999998</v>
      </c>
      <c r="N140" s="12">
        <v>978.4173913043478</v>
      </c>
      <c r="O140" s="12">
        <v>366.6</v>
      </c>
      <c r="P140" s="9">
        <v>282</v>
      </c>
      <c r="Q140" s="12">
        <v>611.81739130434767</v>
      </c>
      <c r="R140" s="12">
        <v>3.9899999999999993</v>
      </c>
      <c r="S140" s="12">
        <v>3.4695652173913043</v>
      </c>
      <c r="T140" s="12">
        <v>1.3</v>
      </c>
      <c r="U140" s="16">
        <v>62.53132832080199</v>
      </c>
      <c r="V140" s="72">
        <f>IFERROR(LOOKUP($C140,Actuals!$C$4:$C$79,Actuals!G$4:G$79),0)</f>
        <v>69.547826086956519</v>
      </c>
      <c r="W140" s="72">
        <f>IFERROR(LOOKUP($C140,Actuals!$C$4:$C$79,Actuals!H$4:H$79),0)</f>
        <v>2</v>
      </c>
      <c r="X140" s="72">
        <f>IFERROR(LOOKUP($C140,Actuals!$C$4:$C$79,Actuals!I$4:I$79),0)</f>
        <v>0</v>
      </c>
      <c r="Y140" s="72">
        <f>IFERROR(LOOKUP($C140,Actuals!$C$4:$C$79,Actuals!J$4:J$79),0)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34061</v>
      </c>
      <c r="D141" s="3" t="s">
        <v>150</v>
      </c>
      <c r="E141" s="6">
        <v>39.99</v>
      </c>
      <c r="F141" s="21">
        <v>17.68</v>
      </c>
      <c r="G141" s="22">
        <v>0</v>
      </c>
      <c r="H141" s="24">
        <f t="shared" si="11"/>
        <v>0</v>
      </c>
      <c r="I141" s="24">
        <f t="shared" si="12"/>
        <v>0</v>
      </c>
      <c r="J141" s="24">
        <f t="shared" si="13"/>
        <v>0</v>
      </c>
      <c r="K141" s="25">
        <f t="shared" si="10"/>
        <v>0</v>
      </c>
      <c r="L141" s="21"/>
      <c r="M141" s="12">
        <v>1119.2</v>
      </c>
      <c r="N141" s="12">
        <v>973.21739130434776</v>
      </c>
      <c r="O141" s="12">
        <v>435.2</v>
      </c>
      <c r="P141" s="9">
        <v>80</v>
      </c>
      <c r="Q141" s="12">
        <v>538.01739130434794</v>
      </c>
      <c r="R141" s="12">
        <v>13.99</v>
      </c>
      <c r="S141" s="12">
        <v>12.165217391304347</v>
      </c>
      <c r="T141" s="12">
        <v>5.4399999999999995</v>
      </c>
      <c r="U141" s="16">
        <v>55.282344531808448</v>
      </c>
      <c r="V141" s="72">
        <f>IFERROR(LOOKUP($C141,Actuals!$C$4:$C$79,Actuals!G$4:G$79),0)</f>
        <v>41.713043478260872</v>
      </c>
      <c r="W141" s="72">
        <f>IFERROR(LOOKUP($C141,Actuals!$C$4:$C$79,Actuals!H$4:H$79),0)</f>
        <v>3</v>
      </c>
      <c r="X141" s="72">
        <f>IFERROR(LOOKUP($C141,Actuals!$C$4:$C$79,Actuals!I$4:I$79),0)</f>
        <v>55.617391304347827</v>
      </c>
      <c r="Y141" s="72">
        <f>IFERROR(LOOKUP($C141,Actuals!$C$4:$C$79,Actuals!J$4:J$79),0)</f>
        <v>4</v>
      </c>
    </row>
    <row r="142" spans="1:25" ht="16.5" customHeight="1" x14ac:dyDescent="0.35">
      <c r="A142" s="3" t="s">
        <v>14</v>
      </c>
      <c r="B142" s="4">
        <v>102</v>
      </c>
      <c r="C142" s="5">
        <v>62290</v>
      </c>
      <c r="D142" s="3" t="s">
        <v>151</v>
      </c>
      <c r="E142" s="6">
        <v>10</v>
      </c>
      <c r="F142" s="21">
        <v>3.77</v>
      </c>
      <c r="G142" s="22">
        <v>0</v>
      </c>
      <c r="H142" s="24">
        <f t="shared" si="11"/>
        <v>0</v>
      </c>
      <c r="I142" s="24">
        <f t="shared" si="12"/>
        <v>0</v>
      </c>
      <c r="J142" s="24">
        <f t="shared" si="13"/>
        <v>0</v>
      </c>
      <c r="K142" s="25">
        <f t="shared" si="10"/>
        <v>0</v>
      </c>
      <c r="L142" s="21"/>
      <c r="M142" s="12">
        <v>1103.5</v>
      </c>
      <c r="N142" s="12">
        <v>959.56521739130426</v>
      </c>
      <c r="O142" s="12">
        <v>519.35</v>
      </c>
      <c r="P142" s="9">
        <v>65</v>
      </c>
      <c r="Q142" s="12">
        <v>440.21521739130435</v>
      </c>
      <c r="R142" s="12">
        <v>16.976923076923075</v>
      </c>
      <c r="S142" s="12">
        <v>14.762541806020065</v>
      </c>
      <c r="T142" s="12">
        <v>7.99</v>
      </c>
      <c r="U142" s="16">
        <v>45.87652922519257</v>
      </c>
      <c r="V142" s="72">
        <f>IFERROR(LOOKUP($C142,Actuals!$C$4:$C$79,Actuals!G$4:G$79),0)</f>
        <v>25.208695652173912</v>
      </c>
      <c r="W142" s="72">
        <f>IFERROR(LOOKUP($C142,Actuals!$C$4:$C$79,Actuals!H$4:H$79),0)</f>
        <v>1</v>
      </c>
      <c r="X142" s="72">
        <f>IFERROR(LOOKUP($C142,Actuals!$C$4:$C$79,Actuals!I$4:I$79),0)</f>
        <v>25.208695652173912</v>
      </c>
      <c r="Y142" s="72">
        <f>IFERROR(LOOKUP($C142,Actuals!$C$4:$C$79,Actuals!J$4:J$79),0)</f>
        <v>1</v>
      </c>
    </row>
    <row r="143" spans="1:25" ht="16.5" customHeight="1" x14ac:dyDescent="0.35">
      <c r="A143" s="3" t="s">
        <v>19</v>
      </c>
      <c r="B143" s="4">
        <v>102</v>
      </c>
      <c r="C143" s="5">
        <v>46909</v>
      </c>
      <c r="D143" s="3" t="s">
        <v>152</v>
      </c>
      <c r="E143" s="6">
        <v>10.99</v>
      </c>
      <c r="F143" s="21">
        <v>5.7054999999999998</v>
      </c>
      <c r="G143" s="22">
        <v>0</v>
      </c>
      <c r="H143" s="24">
        <f t="shared" si="11"/>
        <v>0</v>
      </c>
      <c r="I143" s="24">
        <f t="shared" si="12"/>
        <v>0</v>
      </c>
      <c r="J143" s="24">
        <f t="shared" si="13"/>
        <v>0</v>
      </c>
      <c r="K143" s="25">
        <f t="shared" si="10"/>
        <v>0</v>
      </c>
      <c r="L143" s="21"/>
      <c r="M143" s="12">
        <v>1071.8499999999999</v>
      </c>
      <c r="N143" s="12">
        <v>932.04347826086962</v>
      </c>
      <c r="O143" s="12">
        <v>278.64</v>
      </c>
      <c r="P143" s="9">
        <v>216</v>
      </c>
      <c r="Q143" s="12">
        <v>653.40347826086952</v>
      </c>
      <c r="R143" s="12">
        <v>4.9622685185185178</v>
      </c>
      <c r="S143" s="12">
        <v>4.3150161030595813</v>
      </c>
      <c r="T143" s="12">
        <v>1.29</v>
      </c>
      <c r="U143" s="16">
        <v>70.104398936418349</v>
      </c>
      <c r="V143" s="72">
        <f>IFERROR(LOOKUP($C143,Actuals!$C$4:$C$79,Actuals!G$4:G$79),0)</f>
        <v>48.660869565217389</v>
      </c>
      <c r="W143" s="72">
        <f>IFERROR(LOOKUP($C143,Actuals!$C$4:$C$79,Actuals!H$4:H$79),0)</f>
        <v>4</v>
      </c>
      <c r="X143" s="72">
        <f>IFERROR(LOOKUP($C143,Actuals!$C$4:$C$79,Actuals!I$4:I$79),0)</f>
        <v>12.165217391304347</v>
      </c>
      <c r="Y143" s="72">
        <f>IFERROR(LOOKUP($C143,Actuals!$C$4:$C$79,Actuals!J$4:J$79),0)</f>
        <v>1</v>
      </c>
    </row>
    <row r="144" spans="1:25" ht="16.5" customHeight="1" x14ac:dyDescent="0.35">
      <c r="A144" s="3" t="s">
        <v>19</v>
      </c>
      <c r="B144" s="4">
        <v>102</v>
      </c>
      <c r="C144" s="5">
        <v>48620</v>
      </c>
      <c r="D144" s="3" t="s">
        <v>153</v>
      </c>
      <c r="E144" s="6">
        <v>37.99</v>
      </c>
      <c r="F144" s="21">
        <v>16.841833333333302</v>
      </c>
      <c r="G144" s="22">
        <v>0</v>
      </c>
      <c r="H144" s="24">
        <f t="shared" si="11"/>
        <v>0</v>
      </c>
      <c r="I144" s="24">
        <f t="shared" si="12"/>
        <v>0</v>
      </c>
      <c r="J144" s="24">
        <f t="shared" si="13"/>
        <v>0</v>
      </c>
      <c r="K144" s="25">
        <f t="shared" si="10"/>
        <v>0</v>
      </c>
      <c r="L144" s="21"/>
      <c r="M144" s="12">
        <v>1065.6199999999999</v>
      </c>
      <c r="N144" s="12">
        <v>926.6260869565217</v>
      </c>
      <c r="O144" s="12">
        <v>551.79999999999995</v>
      </c>
      <c r="P144" s="9">
        <v>178</v>
      </c>
      <c r="Q144" s="12">
        <v>374.82608695652175</v>
      </c>
      <c r="R144" s="12">
        <v>5.9866292134831456</v>
      </c>
      <c r="S144" s="12">
        <v>5.2057645334636051</v>
      </c>
      <c r="T144" s="12">
        <v>3.0999999999999996</v>
      </c>
      <c r="U144" s="16">
        <v>40.450629680373865</v>
      </c>
      <c r="V144" s="72">
        <f>IFERROR(LOOKUP($C144,Actuals!$C$4:$C$79,Actuals!G$4:G$79),0)</f>
        <v>0</v>
      </c>
      <c r="W144" s="72">
        <f>IFERROR(LOOKUP($C144,Actuals!$C$4:$C$79,Actuals!H$4:H$79),0)</f>
        <v>0</v>
      </c>
      <c r="X144" s="72">
        <f>IFERROR(LOOKUP($C144,Actuals!$C$4:$C$79,Actuals!I$4:I$79),0)</f>
        <v>33.03478260869565</v>
      </c>
      <c r="Y144" s="72">
        <f>IFERROR(LOOKUP($C144,Actuals!$C$4:$C$79,Actuals!J$4:J$79),0)</f>
        <v>1</v>
      </c>
    </row>
    <row r="145" spans="1:25" ht="16.5" customHeight="1" x14ac:dyDescent="0.35">
      <c r="A145" s="3" t="s">
        <v>35</v>
      </c>
      <c r="B145" s="4">
        <v>102</v>
      </c>
      <c r="C145" s="5">
        <v>48620</v>
      </c>
      <c r="D145" s="3" t="s">
        <v>153</v>
      </c>
      <c r="E145" s="6">
        <v>37.99</v>
      </c>
      <c r="F145" s="21">
        <v>19.462499999999999</v>
      </c>
      <c r="G145" s="22">
        <v>0</v>
      </c>
      <c r="H145" s="24">
        <f t="shared" si="11"/>
        <v>0</v>
      </c>
      <c r="I145" s="24">
        <f t="shared" si="12"/>
        <v>0</v>
      </c>
      <c r="J145" s="24">
        <f t="shared" si="13"/>
        <v>0</v>
      </c>
      <c r="K145" s="25">
        <f t="shared" si="10"/>
        <v>0</v>
      </c>
      <c r="L145" s="21"/>
      <c r="M145" s="12">
        <v>1034.6500000000001</v>
      </c>
      <c r="N145" s="12">
        <v>899.69565217391312</v>
      </c>
      <c r="O145" s="12">
        <v>947.80000000000018</v>
      </c>
      <c r="P145" s="9">
        <v>35</v>
      </c>
      <c r="Q145" s="12">
        <v>-48.104347826087064</v>
      </c>
      <c r="R145" s="12">
        <v>29.561428571428575</v>
      </c>
      <c r="S145" s="12">
        <v>25.705590062111803</v>
      </c>
      <c r="T145" s="12">
        <v>27.080000000000005</v>
      </c>
      <c r="U145" s="16">
        <v>-5.3467356110762205</v>
      </c>
      <c r="V145" s="72">
        <f>IFERROR(LOOKUP($C145,Actuals!$C$4:$C$79,Actuals!G$4:G$79),0)</f>
        <v>0</v>
      </c>
      <c r="W145" s="72">
        <f>IFERROR(LOOKUP($C145,Actuals!$C$4:$C$79,Actuals!H$4:H$79),0)</f>
        <v>0</v>
      </c>
      <c r="X145" s="72">
        <f>IFERROR(LOOKUP($C145,Actuals!$C$4:$C$79,Actuals!I$4:I$79),0)</f>
        <v>33.03478260869565</v>
      </c>
      <c r="Y145" s="72">
        <f>IFERROR(LOOKUP($C145,Actuals!$C$4:$C$79,Actuals!J$4:J$79),0)</f>
        <v>1</v>
      </c>
    </row>
    <row r="146" spans="1:25" ht="16.5" customHeight="1" x14ac:dyDescent="0.35">
      <c r="A146" s="3" t="s">
        <v>14</v>
      </c>
      <c r="B146" s="4">
        <v>102</v>
      </c>
      <c r="C146" s="5">
        <v>61943</v>
      </c>
      <c r="D146" s="3" t="s">
        <v>154</v>
      </c>
      <c r="E146" s="6">
        <v>10</v>
      </c>
      <c r="F146" s="21">
        <v>3.71</v>
      </c>
      <c r="G146" s="22">
        <v>0</v>
      </c>
      <c r="H146" s="24">
        <f t="shared" si="11"/>
        <v>0</v>
      </c>
      <c r="I146" s="24">
        <f t="shared" si="12"/>
        <v>0</v>
      </c>
      <c r="J146" s="24">
        <f t="shared" si="13"/>
        <v>0</v>
      </c>
      <c r="K146" s="25">
        <f t="shared" si="10"/>
        <v>0</v>
      </c>
      <c r="L146" s="21"/>
      <c r="M146" s="12">
        <v>988</v>
      </c>
      <c r="N146" s="12">
        <v>859.13043478260863</v>
      </c>
      <c r="O146" s="12">
        <v>491.92000000000007</v>
      </c>
      <c r="P146" s="9">
        <v>26</v>
      </c>
      <c r="Q146" s="12">
        <v>367.21043478260867</v>
      </c>
      <c r="R146" s="12">
        <v>38</v>
      </c>
      <c r="S146" s="12">
        <v>33.043478260869563</v>
      </c>
      <c r="T146" s="12">
        <v>18.920000000000002</v>
      </c>
      <c r="U146" s="16">
        <v>42.742105263157889</v>
      </c>
      <c r="V146" s="72">
        <f>IFERROR(LOOKUP($C146,Actuals!$C$4:$C$79,Actuals!G$4:G$79),0)</f>
        <v>0</v>
      </c>
      <c r="W146" s="72">
        <f>IFERROR(LOOKUP($C146,Actuals!$C$4:$C$79,Actuals!H$4:H$79),0)</f>
        <v>0</v>
      </c>
      <c r="X146" s="72">
        <f>IFERROR(LOOKUP($C146,Actuals!$C$4:$C$79,Actuals!I$4:I$79),0)</f>
        <v>147.82608695652175</v>
      </c>
      <c r="Y146" s="72">
        <f>IFERROR(LOOKUP($C146,Actuals!$C$4:$C$79,Actuals!J$4:J$79),0)</f>
        <v>17</v>
      </c>
    </row>
    <row r="147" spans="1:25" ht="16.5" customHeight="1" x14ac:dyDescent="0.35">
      <c r="A147" s="3" t="s">
        <v>14</v>
      </c>
      <c r="B147" s="4">
        <v>102</v>
      </c>
      <c r="C147" s="5">
        <v>66952</v>
      </c>
      <c r="D147" s="3" t="s">
        <v>155</v>
      </c>
      <c r="E147" s="6">
        <v>29.99</v>
      </c>
      <c r="F147" s="21">
        <v>28.95</v>
      </c>
      <c r="G147" s="22">
        <v>0</v>
      </c>
      <c r="H147" s="24">
        <f t="shared" si="11"/>
        <v>0</v>
      </c>
      <c r="I147" s="24">
        <f t="shared" si="12"/>
        <v>0</v>
      </c>
      <c r="J147" s="24">
        <f t="shared" si="13"/>
        <v>0</v>
      </c>
      <c r="K147" s="25">
        <f t="shared" si="10"/>
        <v>0</v>
      </c>
      <c r="L147" s="21"/>
      <c r="M147" s="12">
        <v>963.22</v>
      </c>
      <c r="N147" s="12">
        <v>837.5826086956522</v>
      </c>
      <c r="O147" s="12">
        <v>524.4</v>
      </c>
      <c r="P147" s="9">
        <v>138</v>
      </c>
      <c r="Q147" s="12">
        <v>313.18260869565222</v>
      </c>
      <c r="R147" s="12">
        <v>6.979855072463768</v>
      </c>
      <c r="S147" s="12">
        <v>6.0694391934467546</v>
      </c>
      <c r="T147" s="12">
        <v>3.8</v>
      </c>
      <c r="U147" s="16">
        <v>37.391250181682281</v>
      </c>
      <c r="V147" s="72">
        <f>IFERROR(LOOKUP($C147,Actuals!$C$4:$C$79,Actuals!G$4:G$79),0)</f>
        <v>0</v>
      </c>
      <c r="W147" s="72">
        <f>IFERROR(LOOKUP($C147,Actuals!$C$4:$C$79,Actuals!H$4:H$79),0)</f>
        <v>0</v>
      </c>
      <c r="X147" s="72">
        <f>IFERROR(LOOKUP($C147,Actuals!$C$4:$C$79,Actuals!I$4:I$79),0)</f>
        <v>1043.4782608695652</v>
      </c>
      <c r="Y147" s="72">
        <f>IFERROR(LOOKUP($C147,Actuals!$C$4:$C$79,Actuals!J$4:J$79),0)</f>
        <v>20</v>
      </c>
    </row>
    <row r="148" spans="1:25" ht="16.5" customHeight="1" x14ac:dyDescent="0.35">
      <c r="A148" s="3" t="s">
        <v>14</v>
      </c>
      <c r="B148" s="4">
        <v>102</v>
      </c>
      <c r="C148" s="5">
        <v>53210</v>
      </c>
      <c r="D148" s="3" t="s">
        <v>156</v>
      </c>
      <c r="E148" s="6">
        <v>100</v>
      </c>
      <c r="F148" s="21">
        <v>22.26</v>
      </c>
      <c r="G148" s="22">
        <v>0</v>
      </c>
      <c r="H148" s="24">
        <f t="shared" si="11"/>
        <v>0</v>
      </c>
      <c r="I148" s="24">
        <f t="shared" si="12"/>
        <v>0</v>
      </c>
      <c r="J148" s="24">
        <f t="shared" si="13"/>
        <v>0</v>
      </c>
      <c r="K148" s="25">
        <f t="shared" si="10"/>
        <v>0</v>
      </c>
      <c r="L148" s="21"/>
      <c r="M148" s="12">
        <v>957.76</v>
      </c>
      <c r="N148" s="12">
        <v>832.83478260869572</v>
      </c>
      <c r="O148" s="12">
        <v>415.83360000000005</v>
      </c>
      <c r="P148" s="9">
        <v>24</v>
      </c>
      <c r="Q148" s="12">
        <v>417.00118260869556</v>
      </c>
      <c r="R148" s="12">
        <v>39.906666666666666</v>
      </c>
      <c r="S148" s="12">
        <v>34.701449275362322</v>
      </c>
      <c r="T148" s="12">
        <v>17.326400000000003</v>
      </c>
      <c r="U148" s="16">
        <v>50.070096892749739</v>
      </c>
      <c r="V148" s="72">
        <f>IFERROR(LOOKUP($C148,Actuals!$C$4:$C$79,Actuals!G$4:G$79),0)</f>
        <v>194.04347826086956</v>
      </c>
      <c r="W148" s="72">
        <f>IFERROR(LOOKUP($C148,Actuals!$C$4:$C$79,Actuals!H$4:H$79),0)</f>
        <v>6.976</v>
      </c>
      <c r="X148" s="72">
        <f>IFERROR(LOOKUP($C148,Actuals!$C$4:$C$79,Actuals!I$4:I$79),0)</f>
        <v>133.09565217391304</v>
      </c>
      <c r="Y148" s="72">
        <f>IFERROR(LOOKUP($C148,Actuals!$C$4:$C$79,Actuals!J$4:J$79),0)</f>
        <v>4.7850000000000001</v>
      </c>
    </row>
    <row r="149" spans="1:25" ht="16.5" customHeight="1" x14ac:dyDescent="0.35">
      <c r="A149" s="3" t="s">
        <v>14</v>
      </c>
      <c r="B149" s="4">
        <v>102</v>
      </c>
      <c r="C149" s="5">
        <v>34037</v>
      </c>
      <c r="D149" s="3" t="s">
        <v>157</v>
      </c>
      <c r="E149" s="6">
        <v>29.99</v>
      </c>
      <c r="F149" s="21">
        <v>16.43</v>
      </c>
      <c r="G149" s="22">
        <v>0</v>
      </c>
      <c r="H149" s="24">
        <f t="shared" si="11"/>
        <v>0</v>
      </c>
      <c r="I149" s="24">
        <f t="shared" si="12"/>
        <v>0</v>
      </c>
      <c r="J149" s="24">
        <f t="shared" si="13"/>
        <v>0</v>
      </c>
      <c r="K149" s="25">
        <f t="shared" si="10"/>
        <v>0</v>
      </c>
      <c r="L149" s="21"/>
      <c r="M149" s="12">
        <v>950</v>
      </c>
      <c r="N149" s="12">
        <v>826.08695652173913</v>
      </c>
      <c r="O149" s="12">
        <v>358.15000000000003</v>
      </c>
      <c r="P149" s="9">
        <v>95</v>
      </c>
      <c r="Q149" s="12">
        <v>467.93695652173898</v>
      </c>
      <c r="R149" s="12">
        <v>10</v>
      </c>
      <c r="S149" s="12">
        <v>8.695652173913043</v>
      </c>
      <c r="T149" s="12">
        <v>3.7700000000000005</v>
      </c>
      <c r="U149" s="16">
        <v>56.644999999999989</v>
      </c>
      <c r="V149" s="72">
        <f>IFERROR(LOOKUP($C149,Actuals!$C$4:$C$79,Actuals!G$4:G$79),0)</f>
        <v>104.34782608695652</v>
      </c>
      <c r="W149" s="72">
        <f>IFERROR(LOOKUP($C149,Actuals!$C$4:$C$79,Actuals!H$4:H$79),0)</f>
        <v>1</v>
      </c>
      <c r="X149" s="72">
        <f>IFERROR(LOOKUP($C149,Actuals!$C$4:$C$79,Actuals!I$4:I$79),0)</f>
        <v>104.34782608695652</v>
      </c>
      <c r="Y149" s="72">
        <f>IFERROR(LOOKUP($C149,Actuals!$C$4:$C$79,Actuals!J$4:J$79),0)</f>
        <v>1</v>
      </c>
    </row>
    <row r="150" spans="1:25" ht="16.5" customHeight="1" x14ac:dyDescent="0.35">
      <c r="A150" s="3" t="s">
        <v>14</v>
      </c>
      <c r="B150" s="4">
        <v>102</v>
      </c>
      <c r="C150" s="5">
        <v>59221</v>
      </c>
      <c r="D150" s="3" t="s">
        <v>158</v>
      </c>
      <c r="E150" s="6">
        <v>5.99</v>
      </c>
      <c r="F150" s="21">
        <v>3.1</v>
      </c>
      <c r="G150" s="22">
        <v>0</v>
      </c>
      <c r="H150" s="24">
        <f t="shared" si="11"/>
        <v>0</v>
      </c>
      <c r="I150" s="24">
        <f t="shared" si="12"/>
        <v>0</v>
      </c>
      <c r="J150" s="24">
        <f t="shared" si="13"/>
        <v>0</v>
      </c>
      <c r="K150" s="25">
        <f t="shared" ref="K150:K181" si="14">IFERROR(J150/H150*100,0)</f>
        <v>0</v>
      </c>
      <c r="L150" s="21"/>
      <c r="M150" s="12">
        <v>929.69</v>
      </c>
      <c r="N150" s="12">
        <v>808.42608695652177</v>
      </c>
      <c r="O150" s="12">
        <v>496.93000000000006</v>
      </c>
      <c r="P150" s="9">
        <v>31</v>
      </c>
      <c r="Q150" s="12">
        <v>311.49608695652182</v>
      </c>
      <c r="R150" s="12">
        <v>29.990000000000002</v>
      </c>
      <c r="S150" s="12">
        <v>26.07826086956522</v>
      </c>
      <c r="T150" s="12">
        <v>16.03</v>
      </c>
      <c r="U150" s="16">
        <v>38.531177059019676</v>
      </c>
      <c r="V150" s="72">
        <f>IFERROR(LOOKUP($C150,Actuals!$C$4:$C$79,Actuals!G$4:G$79),0)</f>
        <v>121.67826086956522</v>
      </c>
      <c r="W150" s="72">
        <f>IFERROR(LOOKUP($C150,Actuals!$C$4:$C$79,Actuals!H$4:H$79),0)</f>
        <v>7</v>
      </c>
      <c r="X150" s="72">
        <f>IFERROR(LOOKUP($C150,Actuals!$C$4:$C$79,Actuals!I$4:I$79),0)</f>
        <v>52.14782608695652</v>
      </c>
      <c r="Y150" s="72">
        <f>IFERROR(LOOKUP($C150,Actuals!$C$4:$C$79,Actuals!J$4:J$79),0)</f>
        <v>3</v>
      </c>
    </row>
    <row r="151" spans="1:25" ht="16.5" customHeight="1" x14ac:dyDescent="0.35">
      <c r="A151" s="3" t="s">
        <v>14</v>
      </c>
      <c r="B151" s="4">
        <v>102</v>
      </c>
      <c r="C151" s="5">
        <v>59477</v>
      </c>
      <c r="D151" s="3" t="s">
        <v>159</v>
      </c>
      <c r="E151" s="6">
        <v>5.99</v>
      </c>
      <c r="F151" s="21">
        <v>3.1</v>
      </c>
      <c r="G151" s="22">
        <v>0</v>
      </c>
      <c r="H151" s="24">
        <f t="shared" si="11"/>
        <v>0</v>
      </c>
      <c r="I151" s="24">
        <f t="shared" si="12"/>
        <v>0</v>
      </c>
      <c r="J151" s="24">
        <f t="shared" si="13"/>
        <v>0</v>
      </c>
      <c r="K151" s="25">
        <f t="shared" si="14"/>
        <v>0</v>
      </c>
      <c r="L151" s="21"/>
      <c r="M151" s="12">
        <v>929.69</v>
      </c>
      <c r="N151" s="12">
        <v>808.42608695652166</v>
      </c>
      <c r="O151" s="12">
        <v>558</v>
      </c>
      <c r="P151" s="9">
        <v>31</v>
      </c>
      <c r="Q151" s="12">
        <v>250.42608695652189</v>
      </c>
      <c r="R151" s="12">
        <v>29.990000000000002</v>
      </c>
      <c r="S151" s="12">
        <v>26.078260869565216</v>
      </c>
      <c r="T151" s="12">
        <v>18</v>
      </c>
      <c r="U151" s="16">
        <v>30.976992330776937</v>
      </c>
      <c r="V151" s="72">
        <f>IFERROR(LOOKUP($C151,Actuals!$C$4:$C$79,Actuals!G$4:G$79),0)</f>
        <v>0</v>
      </c>
      <c r="W151" s="72">
        <f>IFERROR(LOOKUP($C151,Actuals!$C$4:$C$79,Actuals!H$4:H$79),0)</f>
        <v>0</v>
      </c>
      <c r="X151" s="72">
        <f>IFERROR(LOOKUP($C151,Actuals!$C$4:$C$79,Actuals!I$4:I$79),0)</f>
        <v>10.417391304347827</v>
      </c>
      <c r="Y151" s="72">
        <f>IFERROR(LOOKUP($C151,Actuals!$C$4:$C$79,Actuals!J$4:J$79),0)</f>
        <v>2</v>
      </c>
    </row>
    <row r="152" spans="1:25" ht="16.5" customHeight="1" x14ac:dyDescent="0.35">
      <c r="A152" s="3" t="s">
        <v>19</v>
      </c>
      <c r="B152" s="4">
        <v>102</v>
      </c>
      <c r="C152" s="5">
        <v>33032</v>
      </c>
      <c r="D152" s="3" t="s">
        <v>160</v>
      </c>
      <c r="E152" s="6">
        <v>28.99</v>
      </c>
      <c r="F152" s="21">
        <v>12.413</v>
      </c>
      <c r="G152" s="22">
        <v>0</v>
      </c>
      <c r="H152" s="24">
        <f t="shared" si="11"/>
        <v>0</v>
      </c>
      <c r="I152" s="24">
        <f t="shared" si="12"/>
        <v>0</v>
      </c>
      <c r="J152" s="24">
        <f t="shared" si="13"/>
        <v>0</v>
      </c>
      <c r="K152" s="25">
        <f t="shared" si="14"/>
        <v>0</v>
      </c>
      <c r="L152" s="21"/>
      <c r="M152" s="12">
        <v>840</v>
      </c>
      <c r="N152" s="12">
        <v>730.43478260869563</v>
      </c>
      <c r="O152" s="12">
        <v>555.59999999999991</v>
      </c>
      <c r="P152" s="9">
        <v>6</v>
      </c>
      <c r="Q152" s="12">
        <v>174.83478260869572</v>
      </c>
      <c r="R152" s="12">
        <v>140</v>
      </c>
      <c r="S152" s="12">
        <v>121.73913043478261</v>
      </c>
      <c r="T152" s="12">
        <v>92.59999999999998</v>
      </c>
      <c r="U152" s="16">
        <v>23.935714285714297</v>
      </c>
      <c r="V152" s="72">
        <f>IFERROR(LOOKUP($C152,Actuals!$C$4:$C$79,Actuals!G$4:G$79),0)</f>
        <v>140.7913043478261</v>
      </c>
      <c r="W152" s="72">
        <f>IFERROR(LOOKUP($C152,Actuals!$C$4:$C$79,Actuals!H$4:H$79),0)</f>
        <v>9</v>
      </c>
      <c r="X152" s="72">
        <f>IFERROR(LOOKUP($C152,Actuals!$C$4:$C$79,Actuals!I$4:I$79),0)</f>
        <v>0</v>
      </c>
      <c r="Y152" s="72">
        <f>IFERROR(LOOKUP($C152,Actuals!$C$4:$C$79,Actuals!J$4:J$79),0)</f>
        <v>0</v>
      </c>
    </row>
    <row r="153" spans="1:25" ht="16.5" customHeight="1" x14ac:dyDescent="0.35">
      <c r="A153" s="3" t="s">
        <v>35</v>
      </c>
      <c r="B153" s="4">
        <v>102</v>
      </c>
      <c r="C153" s="5">
        <v>33032</v>
      </c>
      <c r="D153" s="3" t="s">
        <v>160</v>
      </c>
      <c r="E153" s="6">
        <v>28.99</v>
      </c>
      <c r="F153" s="21">
        <v>14.6126666666667</v>
      </c>
      <c r="G153" s="22">
        <v>0</v>
      </c>
      <c r="H153" s="24">
        <f t="shared" si="11"/>
        <v>0</v>
      </c>
      <c r="I153" s="24">
        <f t="shared" si="12"/>
        <v>0</v>
      </c>
      <c r="J153" s="24">
        <f t="shared" si="13"/>
        <v>0</v>
      </c>
      <c r="K153" s="25">
        <f t="shared" si="14"/>
        <v>0</v>
      </c>
      <c r="L153" s="21"/>
      <c r="M153" s="12">
        <v>790.18000000000006</v>
      </c>
      <c r="N153" s="12">
        <v>687.11304347826081</v>
      </c>
      <c r="O153" s="12">
        <v>410.79599999999994</v>
      </c>
      <c r="P153" s="9">
        <v>72</v>
      </c>
      <c r="Q153" s="12">
        <v>276.31704347826098</v>
      </c>
      <c r="R153" s="12">
        <v>10.974722222222223</v>
      </c>
      <c r="S153" s="12">
        <v>9.5432367149758441</v>
      </c>
      <c r="T153" s="12">
        <v>5.7054999999999989</v>
      </c>
      <c r="U153" s="16">
        <v>40.214204358500609</v>
      </c>
      <c r="V153" s="72">
        <f>IFERROR(LOOKUP($C153,Actuals!$C$4:$C$79,Actuals!G$4:G$79),0)</f>
        <v>140.7913043478261</v>
      </c>
      <c r="W153" s="72">
        <f>IFERROR(LOOKUP($C153,Actuals!$C$4:$C$79,Actuals!H$4:H$79),0)</f>
        <v>9</v>
      </c>
      <c r="X153" s="72">
        <f>IFERROR(LOOKUP($C153,Actuals!$C$4:$C$79,Actuals!I$4:I$79),0)</f>
        <v>0</v>
      </c>
      <c r="Y153" s="72">
        <f>IFERROR(LOOKUP($C153,Actuals!$C$4:$C$79,Actuals!J$4:J$79),0)</f>
        <v>0</v>
      </c>
    </row>
    <row r="154" spans="1:25" ht="16.5" customHeight="1" x14ac:dyDescent="0.35">
      <c r="A154" s="3" t="s">
        <v>14</v>
      </c>
      <c r="B154" s="4">
        <v>102</v>
      </c>
      <c r="C154" s="5">
        <v>46797</v>
      </c>
      <c r="D154" s="3" t="s">
        <v>161</v>
      </c>
      <c r="E154" s="6">
        <v>39.99</v>
      </c>
      <c r="F154" s="21">
        <v>25</v>
      </c>
      <c r="G154" s="22">
        <v>0</v>
      </c>
      <c r="H154" s="24">
        <f t="shared" si="11"/>
        <v>0</v>
      </c>
      <c r="I154" s="24">
        <f t="shared" si="12"/>
        <v>0</v>
      </c>
      <c r="J154" s="24">
        <f t="shared" si="13"/>
        <v>0</v>
      </c>
      <c r="K154" s="25">
        <f t="shared" si="14"/>
        <v>0</v>
      </c>
      <c r="L154" s="21"/>
      <c r="M154" s="12">
        <v>757.61999999999989</v>
      </c>
      <c r="N154" s="12">
        <v>658.79999999999984</v>
      </c>
      <c r="O154" s="12">
        <v>99.939999999999984</v>
      </c>
      <c r="P154" s="9">
        <v>38</v>
      </c>
      <c r="Q154" s="12">
        <v>558.86</v>
      </c>
      <c r="R154" s="12">
        <v>19.937368421052629</v>
      </c>
      <c r="S154" s="12">
        <v>17.336842105263155</v>
      </c>
      <c r="T154" s="12">
        <v>2.6299999999999994</v>
      </c>
      <c r="U154" s="16">
        <v>84.829993928354597</v>
      </c>
      <c r="V154" s="72">
        <f>IFERROR(LOOKUP($C154,Actuals!$C$4:$C$79,Actuals!G$4:G$79),0)</f>
        <v>48.660869565217389</v>
      </c>
      <c r="W154" s="72">
        <f>IFERROR(LOOKUP($C154,Actuals!$C$4:$C$79,Actuals!H$4:H$79),0)</f>
        <v>4</v>
      </c>
      <c r="X154" s="72">
        <f>IFERROR(LOOKUP($C154,Actuals!$C$4:$C$79,Actuals!I$4:I$79),0)</f>
        <v>12.165217391304347</v>
      </c>
      <c r="Y154" s="72">
        <f>IFERROR(LOOKUP($C154,Actuals!$C$4:$C$79,Actuals!J$4:J$79),0)</f>
        <v>1</v>
      </c>
    </row>
    <row r="155" spans="1:25" ht="16.5" customHeight="1" x14ac:dyDescent="0.35">
      <c r="A155" s="3" t="s">
        <v>14</v>
      </c>
      <c r="B155" s="4">
        <v>102</v>
      </c>
      <c r="C155" s="5">
        <v>32125</v>
      </c>
      <c r="D155" s="3" t="s">
        <v>162</v>
      </c>
      <c r="E155" s="6">
        <v>3</v>
      </c>
      <c r="F155" s="21">
        <v>1.29</v>
      </c>
      <c r="G155" s="22">
        <v>0</v>
      </c>
      <c r="H155" s="24">
        <f t="shared" si="11"/>
        <v>0</v>
      </c>
      <c r="I155" s="24">
        <f t="shared" si="12"/>
        <v>0</v>
      </c>
      <c r="J155" s="24">
        <f t="shared" si="13"/>
        <v>0</v>
      </c>
      <c r="K155" s="25">
        <f t="shared" si="14"/>
        <v>0</v>
      </c>
      <c r="L155" s="21"/>
      <c r="M155" s="12">
        <v>731.78</v>
      </c>
      <c r="N155" s="12">
        <v>636.33043478260868</v>
      </c>
      <c r="O155" s="12">
        <v>394.10590000000002</v>
      </c>
      <c r="P155" s="9">
        <v>22</v>
      </c>
      <c r="Q155" s="12">
        <v>242.22453478260866</v>
      </c>
      <c r="R155" s="12">
        <v>33.262727272727268</v>
      </c>
      <c r="S155" s="12">
        <v>28.924110671936759</v>
      </c>
      <c r="T155" s="12">
        <v>17.913904545454546</v>
      </c>
      <c r="U155" s="16">
        <v>38.065841509743358</v>
      </c>
      <c r="V155" s="72">
        <f>IFERROR(LOOKUP($C155,Actuals!$C$4:$C$79,Actuals!G$4:G$79),0)</f>
        <v>0</v>
      </c>
      <c r="W155" s="72">
        <f>IFERROR(LOOKUP($C155,Actuals!$C$4:$C$79,Actuals!H$4:H$79),0)</f>
        <v>0</v>
      </c>
      <c r="X155" s="72">
        <f>IFERROR(LOOKUP($C155,Actuals!$C$4:$C$79,Actuals!I$4:I$79),0)</f>
        <v>121.70434782608696</v>
      </c>
      <c r="Y155" s="72">
        <f>IFERROR(LOOKUP($C155,Actuals!$C$4:$C$79,Actuals!J$4:J$79),0)</f>
        <v>4</v>
      </c>
    </row>
    <row r="156" spans="1:25" ht="16.5" customHeight="1" x14ac:dyDescent="0.35">
      <c r="A156" s="3" t="s">
        <v>14</v>
      </c>
      <c r="B156" s="4">
        <v>102</v>
      </c>
      <c r="C156" s="5">
        <v>59220</v>
      </c>
      <c r="D156" s="3" t="s">
        <v>163</v>
      </c>
      <c r="E156" s="6">
        <v>5.99</v>
      </c>
      <c r="F156" s="21">
        <v>3.1</v>
      </c>
      <c r="G156" s="22">
        <v>0</v>
      </c>
      <c r="H156" s="24">
        <f t="shared" si="11"/>
        <v>0</v>
      </c>
      <c r="I156" s="24">
        <f t="shared" si="12"/>
        <v>0</v>
      </c>
      <c r="J156" s="24">
        <f t="shared" si="13"/>
        <v>0</v>
      </c>
      <c r="K156" s="25">
        <f t="shared" si="14"/>
        <v>0</v>
      </c>
      <c r="L156" s="21"/>
      <c r="M156" s="12">
        <v>731.78</v>
      </c>
      <c r="N156" s="12">
        <v>636.33043478260868</v>
      </c>
      <c r="O156" s="12">
        <v>394.10590000000002</v>
      </c>
      <c r="P156" s="9">
        <v>22</v>
      </c>
      <c r="Q156" s="12">
        <v>242.22453478260866</v>
      </c>
      <c r="R156" s="12">
        <v>33.262727272727268</v>
      </c>
      <c r="S156" s="12">
        <v>28.924110671936759</v>
      </c>
      <c r="T156" s="12">
        <v>17.913904545454546</v>
      </c>
      <c r="U156" s="16">
        <v>38.065841509743358</v>
      </c>
      <c r="V156" s="72">
        <f>IFERROR(LOOKUP($C156,Actuals!$C$4:$C$79,Actuals!G$4:G$79),0)</f>
        <v>121.67826086956522</v>
      </c>
      <c r="W156" s="72">
        <f>IFERROR(LOOKUP($C156,Actuals!$C$4:$C$79,Actuals!H$4:H$79),0)</f>
        <v>7</v>
      </c>
      <c r="X156" s="72">
        <f>IFERROR(LOOKUP($C156,Actuals!$C$4:$C$79,Actuals!I$4:I$79),0)</f>
        <v>52.14782608695652</v>
      </c>
      <c r="Y156" s="72">
        <f>IFERROR(LOOKUP($C156,Actuals!$C$4:$C$79,Actuals!J$4:J$79),0)</f>
        <v>3</v>
      </c>
    </row>
    <row r="157" spans="1:25" ht="16.5" customHeight="1" x14ac:dyDescent="0.35">
      <c r="A157" s="3" t="s">
        <v>14</v>
      </c>
      <c r="B157" s="4">
        <v>102</v>
      </c>
      <c r="C157" s="5">
        <v>32151</v>
      </c>
      <c r="D157" s="3" t="s">
        <v>164</v>
      </c>
      <c r="E157" s="6">
        <v>12.99</v>
      </c>
      <c r="F157" s="21">
        <v>6.88</v>
      </c>
      <c r="G157" s="22">
        <v>0</v>
      </c>
      <c r="H157" s="24">
        <f t="shared" si="11"/>
        <v>0</v>
      </c>
      <c r="I157" s="24">
        <f t="shared" si="12"/>
        <v>0</v>
      </c>
      <c r="J157" s="24">
        <f t="shared" si="13"/>
        <v>0</v>
      </c>
      <c r="K157" s="25">
        <f t="shared" si="14"/>
        <v>0</v>
      </c>
      <c r="L157" s="21"/>
      <c r="M157" s="12">
        <v>724.5</v>
      </c>
      <c r="N157" s="12">
        <v>630</v>
      </c>
      <c r="O157" s="12">
        <v>270.83</v>
      </c>
      <c r="P157" s="9">
        <v>73</v>
      </c>
      <c r="Q157" s="12">
        <v>359.17</v>
      </c>
      <c r="R157" s="12">
        <v>9.9246575342465757</v>
      </c>
      <c r="S157" s="12">
        <v>8.6301369863013697</v>
      </c>
      <c r="T157" s="12">
        <v>3.71</v>
      </c>
      <c r="U157" s="16">
        <v>57.011111111111113</v>
      </c>
      <c r="V157" s="72">
        <f>IFERROR(LOOKUP($C157,Actuals!$C$4:$C$79,Actuals!G$4:G$79),0)</f>
        <v>125.11304347826086</v>
      </c>
      <c r="W157" s="72">
        <f>IFERROR(LOOKUP($C157,Actuals!$C$4:$C$79,Actuals!H$4:H$79),0)</f>
        <v>12</v>
      </c>
      <c r="X157" s="72">
        <f>IFERROR(LOOKUP($C157,Actuals!$C$4:$C$79,Actuals!I$4:I$79),0)</f>
        <v>93.834782608695647</v>
      </c>
      <c r="Y157" s="72">
        <f>IFERROR(LOOKUP($C157,Actuals!$C$4:$C$79,Actuals!J$4:J$79),0)</f>
        <v>9</v>
      </c>
    </row>
    <row r="158" spans="1:25" ht="16.5" customHeight="1" x14ac:dyDescent="0.35">
      <c r="A158" s="3" t="s">
        <v>14</v>
      </c>
      <c r="B158" s="4">
        <v>102</v>
      </c>
      <c r="C158" s="5">
        <v>62623</v>
      </c>
      <c r="D158" s="3" t="s">
        <v>165</v>
      </c>
      <c r="E158" s="6">
        <v>15.99</v>
      </c>
      <c r="F158" s="21">
        <v>8.31</v>
      </c>
      <c r="G158" s="22">
        <v>0</v>
      </c>
      <c r="H158" s="24">
        <f t="shared" si="11"/>
        <v>0</v>
      </c>
      <c r="I158" s="24">
        <f t="shared" si="12"/>
        <v>0</v>
      </c>
      <c r="J158" s="24">
        <f t="shared" si="13"/>
        <v>0</v>
      </c>
      <c r="K158" s="25">
        <f t="shared" si="14"/>
        <v>0</v>
      </c>
      <c r="L158" s="21"/>
      <c r="M158" s="12">
        <v>719.6400000000001</v>
      </c>
      <c r="N158" s="12">
        <v>625.77391304347827</v>
      </c>
      <c r="O158" s="12">
        <v>267.47999999999996</v>
      </c>
      <c r="P158" s="9">
        <v>36</v>
      </c>
      <c r="Q158" s="12">
        <v>358.29391304347843</v>
      </c>
      <c r="R158" s="12">
        <v>19.990000000000002</v>
      </c>
      <c r="S158" s="12">
        <v>17.382608695652173</v>
      </c>
      <c r="T158" s="12">
        <v>7.4299999999999988</v>
      </c>
      <c r="U158" s="16">
        <v>57.256128064032033</v>
      </c>
      <c r="V158" s="72">
        <f>IFERROR(LOOKUP($C158,Actuals!$C$4:$C$79,Actuals!G$4:G$79),0)</f>
        <v>70.408695652173918</v>
      </c>
      <c r="W158" s="72">
        <f>IFERROR(LOOKUP($C158,Actuals!$C$4:$C$79,Actuals!H$4:H$79),0)</f>
        <v>3</v>
      </c>
      <c r="X158" s="72">
        <f>IFERROR(LOOKUP($C158,Actuals!$C$4:$C$79,Actuals!I$4:I$79),0)</f>
        <v>0</v>
      </c>
      <c r="Y158" s="72">
        <f>IFERROR(LOOKUP($C158,Actuals!$C$4:$C$79,Actuals!J$4:J$79),0)</f>
        <v>0</v>
      </c>
    </row>
    <row r="159" spans="1:25" ht="16.5" customHeight="1" x14ac:dyDescent="0.35">
      <c r="A159" s="3" t="s">
        <v>14</v>
      </c>
      <c r="B159" s="4">
        <v>102</v>
      </c>
      <c r="C159" s="5">
        <v>66951</v>
      </c>
      <c r="D159" s="3" t="s">
        <v>166</v>
      </c>
      <c r="E159" s="6">
        <v>29.99</v>
      </c>
      <c r="F159" s="21">
        <v>28.95</v>
      </c>
      <c r="G159" s="22">
        <v>0</v>
      </c>
      <c r="H159" s="24">
        <f t="shared" si="11"/>
        <v>0</v>
      </c>
      <c r="I159" s="24">
        <f t="shared" si="12"/>
        <v>0</v>
      </c>
      <c r="J159" s="24">
        <f t="shared" si="13"/>
        <v>0</v>
      </c>
      <c r="K159" s="25">
        <f t="shared" si="14"/>
        <v>0</v>
      </c>
      <c r="L159" s="21"/>
      <c r="M159" s="12">
        <v>666.83000000000015</v>
      </c>
      <c r="N159" s="12">
        <v>579.85217391304354</v>
      </c>
      <c r="O159" s="12">
        <v>344.38</v>
      </c>
      <c r="P159" s="9">
        <v>67</v>
      </c>
      <c r="Q159" s="12">
        <v>235.47217391304366</v>
      </c>
      <c r="R159" s="12">
        <v>9.9526865671641822</v>
      </c>
      <c r="S159" s="12">
        <v>8.6545100584036359</v>
      </c>
      <c r="T159" s="12">
        <v>5.14</v>
      </c>
      <c r="U159" s="16">
        <v>40.609000794805297</v>
      </c>
      <c r="V159" s="72">
        <f>IFERROR(LOOKUP($C159,Actuals!$C$4:$C$79,Actuals!G$4:G$79),0)</f>
        <v>0</v>
      </c>
      <c r="W159" s="72">
        <f>IFERROR(LOOKUP($C159,Actuals!$C$4:$C$79,Actuals!H$4:H$79),0)</f>
        <v>0</v>
      </c>
      <c r="X159" s="72">
        <f>IFERROR(LOOKUP($C159,Actuals!$C$4:$C$79,Actuals!I$4:I$79),0)</f>
        <v>1043.4782608695652</v>
      </c>
      <c r="Y159" s="72">
        <f>IFERROR(LOOKUP($C159,Actuals!$C$4:$C$79,Actuals!J$4:J$79),0)</f>
        <v>20</v>
      </c>
    </row>
    <row r="160" spans="1:25" ht="16.5" customHeight="1" x14ac:dyDescent="0.35">
      <c r="A160" s="3" t="s">
        <v>14</v>
      </c>
      <c r="B160" s="4">
        <v>102</v>
      </c>
      <c r="C160" s="5">
        <v>34122</v>
      </c>
      <c r="D160" s="3" t="s">
        <v>167</v>
      </c>
      <c r="E160" s="6">
        <v>25.99</v>
      </c>
      <c r="F160" s="21">
        <v>13.19</v>
      </c>
      <c r="G160" s="22">
        <v>0</v>
      </c>
      <c r="H160" s="24">
        <f t="shared" si="11"/>
        <v>0</v>
      </c>
      <c r="I160" s="24">
        <f t="shared" si="12"/>
        <v>0</v>
      </c>
      <c r="J160" s="24">
        <f t="shared" si="13"/>
        <v>0</v>
      </c>
      <c r="K160" s="25">
        <f t="shared" si="14"/>
        <v>0</v>
      </c>
      <c r="L160" s="21"/>
      <c r="M160" s="12">
        <v>630</v>
      </c>
      <c r="N160" s="12">
        <v>547.82608695652175</v>
      </c>
      <c r="O160" s="12">
        <v>213.57</v>
      </c>
      <c r="P160" s="9">
        <v>63</v>
      </c>
      <c r="Q160" s="12">
        <v>334.25608695652176</v>
      </c>
      <c r="R160" s="12">
        <v>10</v>
      </c>
      <c r="S160" s="12">
        <v>8.695652173913043</v>
      </c>
      <c r="T160" s="12">
        <v>3.3899999999999997</v>
      </c>
      <c r="U160" s="16">
        <v>61.015000000000001</v>
      </c>
      <c r="V160" s="72">
        <f>IFERROR(LOOKUP($C160,Actuals!$C$4:$C$79,Actuals!G$4:G$79),0)</f>
        <v>229.56521739130434</v>
      </c>
      <c r="W160" s="72">
        <f>IFERROR(LOOKUP($C160,Actuals!$C$4:$C$79,Actuals!H$4:H$79),0)</f>
        <v>80</v>
      </c>
      <c r="X160" s="72">
        <f>IFERROR(LOOKUP($C160,Actuals!$C$4:$C$79,Actuals!I$4:I$79),0)</f>
        <v>0</v>
      </c>
      <c r="Y160" s="72">
        <f>IFERROR(LOOKUP($C160,Actuals!$C$4:$C$79,Actuals!J$4:J$79),0)</f>
        <v>0</v>
      </c>
    </row>
    <row r="161" spans="1:25" ht="16.5" customHeight="1" x14ac:dyDescent="0.35">
      <c r="A161" s="3" t="s">
        <v>14</v>
      </c>
      <c r="B161" s="4">
        <v>102</v>
      </c>
      <c r="C161" s="5">
        <v>34021</v>
      </c>
      <c r="D161" s="3" t="s">
        <v>168</v>
      </c>
      <c r="E161" s="6">
        <v>32.99</v>
      </c>
      <c r="F161" s="21">
        <v>15.39</v>
      </c>
      <c r="G161" s="22">
        <v>0</v>
      </c>
      <c r="H161" s="24">
        <f t="shared" si="11"/>
        <v>0</v>
      </c>
      <c r="I161" s="24">
        <f t="shared" si="12"/>
        <v>0</v>
      </c>
      <c r="J161" s="24">
        <f t="shared" si="13"/>
        <v>0</v>
      </c>
      <c r="K161" s="25">
        <f t="shared" si="14"/>
        <v>0</v>
      </c>
      <c r="L161" s="21"/>
      <c r="M161" s="12">
        <v>630</v>
      </c>
      <c r="N161" s="12">
        <v>547.82608695652175</v>
      </c>
      <c r="O161" s="12">
        <v>323.35000000000002</v>
      </c>
      <c r="P161" s="9">
        <v>5</v>
      </c>
      <c r="Q161" s="12">
        <v>224.47608695652173</v>
      </c>
      <c r="R161" s="12">
        <v>126</v>
      </c>
      <c r="S161" s="12">
        <v>109.56521739130434</v>
      </c>
      <c r="T161" s="12">
        <v>64.67</v>
      </c>
      <c r="U161" s="16">
        <v>40.975793650793648</v>
      </c>
      <c r="V161" s="72">
        <f>IFERROR(LOOKUP($C161,Actuals!$C$4:$C$79,Actuals!G$4:G$79),0)</f>
        <v>78.234782608695653</v>
      </c>
      <c r="W161" s="72">
        <f>IFERROR(LOOKUP($C161,Actuals!$C$4:$C$79,Actuals!H$4:H$79),0)</f>
        <v>3</v>
      </c>
      <c r="X161" s="72">
        <f>IFERROR(LOOKUP($C161,Actuals!$C$4:$C$79,Actuals!I$4:I$79),0)</f>
        <v>26.078260869565216</v>
      </c>
      <c r="Y161" s="72">
        <f>IFERROR(LOOKUP($C161,Actuals!$C$4:$C$79,Actuals!J$4:J$79),0)</f>
        <v>1</v>
      </c>
    </row>
    <row r="162" spans="1:25" ht="16.5" customHeight="1" x14ac:dyDescent="0.35">
      <c r="A162" s="3" t="s">
        <v>14</v>
      </c>
      <c r="B162" s="4">
        <v>102</v>
      </c>
      <c r="C162" s="5">
        <v>61014</v>
      </c>
      <c r="D162" s="3" t="s">
        <v>169</v>
      </c>
      <c r="E162" s="6">
        <v>5.99</v>
      </c>
      <c r="F162" s="21">
        <v>3.1</v>
      </c>
      <c r="G162" s="22">
        <v>0</v>
      </c>
      <c r="H162" s="24">
        <f t="shared" si="11"/>
        <v>0</v>
      </c>
      <c r="I162" s="24">
        <f t="shared" si="12"/>
        <v>0</v>
      </c>
      <c r="J162" s="24">
        <f t="shared" si="13"/>
        <v>0</v>
      </c>
      <c r="K162" s="25">
        <f t="shared" si="14"/>
        <v>0</v>
      </c>
      <c r="L162" s="21"/>
      <c r="M162" s="12">
        <v>569.80999999999995</v>
      </c>
      <c r="N162" s="12">
        <v>495.4869565217391</v>
      </c>
      <c r="O162" s="12">
        <v>550.04999999999995</v>
      </c>
      <c r="P162" s="9">
        <v>19</v>
      </c>
      <c r="Q162" s="12">
        <v>-54.563043478260909</v>
      </c>
      <c r="R162" s="12">
        <v>29.99</v>
      </c>
      <c r="S162" s="12">
        <v>26.078260869565216</v>
      </c>
      <c r="T162" s="12">
        <v>28.95</v>
      </c>
      <c r="U162" s="16">
        <v>-11.012004001333787</v>
      </c>
      <c r="V162" s="72">
        <f>IFERROR(LOOKUP($C162,Actuals!$C$4:$C$79,Actuals!G$4:G$79),0)</f>
        <v>0</v>
      </c>
      <c r="W162" s="72">
        <f>IFERROR(LOOKUP($C162,Actuals!$C$4:$C$79,Actuals!H$4:H$79),0)</f>
        <v>0</v>
      </c>
      <c r="X162" s="72">
        <f>IFERROR(LOOKUP($C162,Actuals!$C$4:$C$79,Actuals!I$4:I$79),0)</f>
        <v>10.417391304347827</v>
      </c>
      <c r="Y162" s="72">
        <f>IFERROR(LOOKUP($C162,Actuals!$C$4:$C$79,Actuals!J$4:J$79),0)</f>
        <v>2</v>
      </c>
    </row>
    <row r="163" spans="1:25" ht="16.5" customHeight="1" x14ac:dyDescent="0.35">
      <c r="A163" s="3" t="s">
        <v>19</v>
      </c>
      <c r="B163" s="4">
        <v>102</v>
      </c>
      <c r="C163" s="5">
        <v>61929</v>
      </c>
      <c r="D163" s="3" t="s">
        <v>170</v>
      </c>
      <c r="E163" s="6">
        <v>79.989999999999995</v>
      </c>
      <c r="F163" s="21">
        <v>44.62</v>
      </c>
      <c r="G163" s="22">
        <v>0</v>
      </c>
      <c r="H163" s="24">
        <f t="shared" si="11"/>
        <v>0</v>
      </c>
      <c r="I163" s="24">
        <f t="shared" si="12"/>
        <v>0</v>
      </c>
      <c r="J163" s="24">
        <f t="shared" si="13"/>
        <v>0</v>
      </c>
      <c r="K163" s="25">
        <f t="shared" si="14"/>
        <v>0</v>
      </c>
      <c r="L163" s="21"/>
      <c r="M163" s="12">
        <v>559.72</v>
      </c>
      <c r="N163" s="12">
        <v>486.71304347826089</v>
      </c>
      <c r="O163" s="12">
        <v>367.64</v>
      </c>
      <c r="P163" s="9">
        <v>28</v>
      </c>
      <c r="Q163" s="12">
        <v>119.07304347826084</v>
      </c>
      <c r="R163" s="12">
        <v>19.990000000000002</v>
      </c>
      <c r="S163" s="12">
        <v>17.382608695652173</v>
      </c>
      <c r="T163" s="12">
        <v>13.129999999999999</v>
      </c>
      <c r="U163" s="16">
        <v>24.464732366183085</v>
      </c>
      <c r="V163" s="72">
        <f>IFERROR(LOOKUP($C163,Actuals!$C$4:$C$79,Actuals!G$4:G$79),0)</f>
        <v>0</v>
      </c>
      <c r="W163" s="72">
        <f>IFERROR(LOOKUP($C163,Actuals!$C$4:$C$79,Actuals!H$4:H$79),0)</f>
        <v>0</v>
      </c>
      <c r="X163" s="72">
        <f>IFERROR(LOOKUP($C163,Actuals!$C$4:$C$79,Actuals!I$4:I$79),0)</f>
        <v>10.417391304347827</v>
      </c>
      <c r="Y163" s="72">
        <f>IFERROR(LOOKUP($C163,Actuals!$C$4:$C$79,Actuals!J$4:J$79),0)</f>
        <v>2</v>
      </c>
    </row>
    <row r="164" spans="1:25" ht="16.5" customHeight="1" x14ac:dyDescent="0.35">
      <c r="A164" s="3" t="s">
        <v>14</v>
      </c>
      <c r="B164" s="4">
        <v>102</v>
      </c>
      <c r="C164" s="5">
        <v>32155</v>
      </c>
      <c r="D164" s="3" t="s">
        <v>171</v>
      </c>
      <c r="E164" s="6">
        <v>11.99</v>
      </c>
      <c r="F164" s="21">
        <v>5.87</v>
      </c>
      <c r="G164" s="22">
        <v>0</v>
      </c>
      <c r="H164" s="24">
        <f t="shared" si="11"/>
        <v>0</v>
      </c>
      <c r="I164" s="24">
        <f t="shared" si="12"/>
        <v>0</v>
      </c>
      <c r="J164" s="24">
        <f t="shared" si="13"/>
        <v>0</v>
      </c>
      <c r="K164" s="25">
        <f t="shared" si="14"/>
        <v>0</v>
      </c>
      <c r="L164" s="21"/>
      <c r="M164" s="12">
        <v>533.43000000000006</v>
      </c>
      <c r="N164" s="12">
        <v>463.85217391304343</v>
      </c>
      <c r="O164" s="12">
        <v>279.27</v>
      </c>
      <c r="P164" s="9">
        <v>107</v>
      </c>
      <c r="Q164" s="12">
        <v>184.5821739130435</v>
      </c>
      <c r="R164" s="12">
        <v>4.9853271028037387</v>
      </c>
      <c r="S164" s="12">
        <v>4.3350670459162934</v>
      </c>
      <c r="T164" s="12">
        <v>2.61</v>
      </c>
      <c r="U164" s="16">
        <v>39.793318710983641</v>
      </c>
      <c r="V164" s="72">
        <f>IFERROR(LOOKUP($C164,Actuals!$C$4:$C$79,Actuals!G$4:G$79),0)</f>
        <v>46.904347826086955</v>
      </c>
      <c r="W164" s="72">
        <f>IFERROR(LOOKUP($C164,Actuals!$C$4:$C$79,Actuals!H$4:H$79),0)</f>
        <v>6</v>
      </c>
      <c r="X164" s="72">
        <f>IFERROR(LOOKUP($C164,Actuals!$C$4:$C$79,Actuals!I$4:I$79),0)</f>
        <v>62.539130434782606</v>
      </c>
      <c r="Y164" s="72">
        <f>IFERROR(LOOKUP($C164,Actuals!$C$4:$C$79,Actuals!J$4:J$79),0)</f>
        <v>8</v>
      </c>
    </row>
    <row r="165" spans="1:25" ht="16.5" customHeight="1" x14ac:dyDescent="0.35">
      <c r="A165" s="3" t="s">
        <v>14</v>
      </c>
      <c r="B165" s="4">
        <v>102</v>
      </c>
      <c r="C165" s="5">
        <v>65506</v>
      </c>
      <c r="D165" s="3" t="s">
        <v>172</v>
      </c>
      <c r="E165" s="6">
        <v>14.99</v>
      </c>
      <c r="F165" s="21">
        <v>7.72</v>
      </c>
      <c r="G165" s="22">
        <v>0</v>
      </c>
      <c r="H165" s="24">
        <f t="shared" si="11"/>
        <v>0</v>
      </c>
      <c r="I165" s="24">
        <f t="shared" si="12"/>
        <v>0</v>
      </c>
      <c r="J165" s="24">
        <f t="shared" si="13"/>
        <v>0</v>
      </c>
      <c r="K165" s="25">
        <f t="shared" si="14"/>
        <v>0</v>
      </c>
      <c r="L165" s="21"/>
      <c r="M165" s="12">
        <v>500</v>
      </c>
      <c r="N165" s="12">
        <v>434.78260869565219</v>
      </c>
      <c r="O165" s="12">
        <v>111.30000000000001</v>
      </c>
      <c r="P165" s="9">
        <v>5</v>
      </c>
      <c r="Q165" s="12">
        <v>323.48260869565212</v>
      </c>
      <c r="R165" s="12">
        <v>100</v>
      </c>
      <c r="S165" s="12">
        <v>86.956521739130437</v>
      </c>
      <c r="T165" s="12">
        <v>22.26</v>
      </c>
      <c r="U165" s="16">
        <v>74.400999999999996</v>
      </c>
      <c r="V165" s="72">
        <f>IFERROR(LOOKUP($C165,Actuals!$C$4:$C$79,Actuals!G$4:G$79),0)</f>
        <v>0</v>
      </c>
      <c r="W165" s="72">
        <f>IFERROR(LOOKUP($C165,Actuals!$C$4:$C$79,Actuals!H$4:H$79),0)</f>
        <v>0</v>
      </c>
      <c r="X165" s="72">
        <f>IFERROR(LOOKUP($C165,Actuals!$C$4:$C$79,Actuals!I$4:I$79),0)</f>
        <v>1043.4782608695652</v>
      </c>
      <c r="Y165" s="72">
        <f>IFERROR(LOOKUP($C165,Actuals!$C$4:$C$79,Actuals!J$4:J$79),0)</f>
        <v>20</v>
      </c>
    </row>
    <row r="166" spans="1:25" ht="16.5" customHeight="1" x14ac:dyDescent="0.35">
      <c r="A166" s="3" t="s">
        <v>14</v>
      </c>
      <c r="B166" s="4">
        <v>102</v>
      </c>
      <c r="C166" s="5">
        <v>66434</v>
      </c>
      <c r="D166" s="3" t="s">
        <v>173</v>
      </c>
      <c r="E166" s="6">
        <v>13.99</v>
      </c>
      <c r="F166" s="21">
        <v>9.14</v>
      </c>
      <c r="G166" s="22">
        <v>0</v>
      </c>
      <c r="H166" s="24">
        <f t="shared" si="11"/>
        <v>0</v>
      </c>
      <c r="I166" s="24">
        <f t="shared" si="12"/>
        <v>0</v>
      </c>
      <c r="J166" s="24">
        <f t="shared" si="13"/>
        <v>0</v>
      </c>
      <c r="K166" s="25">
        <f t="shared" si="14"/>
        <v>0</v>
      </c>
      <c r="L166" s="21"/>
      <c r="M166" s="12">
        <v>449.84999999999997</v>
      </c>
      <c r="N166" s="12">
        <v>391.17391304347819</v>
      </c>
      <c r="O166" s="12">
        <v>246.45000000000002</v>
      </c>
      <c r="P166" s="9">
        <v>15</v>
      </c>
      <c r="Q166" s="12">
        <v>144.72391304347823</v>
      </c>
      <c r="R166" s="12">
        <v>29.99</v>
      </c>
      <c r="S166" s="12">
        <v>26.078260869565213</v>
      </c>
      <c r="T166" s="12">
        <v>16.43</v>
      </c>
      <c r="U166" s="16">
        <v>36.997332444148043</v>
      </c>
      <c r="V166" s="72">
        <f>IFERROR(LOOKUP($C166,Actuals!$C$4:$C$79,Actuals!G$4:G$79),0)</f>
        <v>0</v>
      </c>
      <c r="W166" s="72">
        <f>IFERROR(LOOKUP($C166,Actuals!$C$4:$C$79,Actuals!H$4:H$79),0)</f>
        <v>0</v>
      </c>
      <c r="X166" s="72">
        <f>IFERROR(LOOKUP($C166,Actuals!$C$4:$C$79,Actuals!I$4:I$79),0)</f>
        <v>1043.4782608695652</v>
      </c>
      <c r="Y166" s="72">
        <f>IFERROR(LOOKUP($C166,Actuals!$C$4:$C$79,Actuals!J$4:J$79),0)</f>
        <v>20</v>
      </c>
    </row>
    <row r="167" spans="1:25" ht="16.5" customHeight="1" x14ac:dyDescent="0.35">
      <c r="A167" s="3" t="s">
        <v>14</v>
      </c>
      <c r="B167" s="4">
        <v>102</v>
      </c>
      <c r="C167" s="5">
        <v>32124</v>
      </c>
      <c r="D167" s="3" t="s">
        <v>174</v>
      </c>
      <c r="E167" s="6">
        <v>47.99</v>
      </c>
      <c r="F167" s="21">
        <v>10.44</v>
      </c>
      <c r="G167" s="22">
        <v>0</v>
      </c>
      <c r="H167" s="24">
        <f t="shared" si="11"/>
        <v>0</v>
      </c>
      <c r="I167" s="24">
        <f t="shared" si="12"/>
        <v>0</v>
      </c>
      <c r="J167" s="24">
        <f t="shared" si="13"/>
        <v>0</v>
      </c>
      <c r="K167" s="25">
        <f t="shared" si="14"/>
        <v>0</v>
      </c>
      <c r="L167" s="21"/>
      <c r="M167" s="12">
        <v>446.85</v>
      </c>
      <c r="N167" s="12">
        <v>388.56521739130443</v>
      </c>
      <c r="O167" s="12">
        <v>232.50000000000003</v>
      </c>
      <c r="P167" s="9">
        <v>75</v>
      </c>
      <c r="Q167" s="12">
        <v>156.06521739130434</v>
      </c>
      <c r="R167" s="12">
        <v>5.9580000000000002</v>
      </c>
      <c r="S167" s="12">
        <v>5.1808695652173924</v>
      </c>
      <c r="T167" s="12">
        <v>3.1000000000000005</v>
      </c>
      <c r="U167" s="16">
        <v>40.164484726418259</v>
      </c>
      <c r="V167" s="72">
        <f>IFERROR(LOOKUP($C167,Actuals!$C$4:$C$79,Actuals!G$4:G$79),0)</f>
        <v>0</v>
      </c>
      <c r="W167" s="72">
        <f>IFERROR(LOOKUP($C167,Actuals!$C$4:$C$79,Actuals!H$4:H$79),0)</f>
        <v>0</v>
      </c>
      <c r="X167" s="72">
        <f>IFERROR(LOOKUP($C167,Actuals!$C$4:$C$79,Actuals!I$4:I$79),0)</f>
        <v>121.70434782608696</v>
      </c>
      <c r="Y167" s="72">
        <f>IFERROR(LOOKUP($C167,Actuals!$C$4:$C$79,Actuals!J$4:J$79),0)</f>
        <v>4</v>
      </c>
    </row>
    <row r="168" spans="1:25" ht="16.5" customHeight="1" x14ac:dyDescent="0.35">
      <c r="A168" s="3" t="s">
        <v>14</v>
      </c>
      <c r="B168" s="4">
        <v>102</v>
      </c>
      <c r="C168" s="5">
        <v>32868</v>
      </c>
      <c r="D168" s="3" t="s">
        <v>175</v>
      </c>
      <c r="E168" s="6">
        <v>5.99</v>
      </c>
      <c r="F168" s="21">
        <v>3.31</v>
      </c>
      <c r="G168" s="22">
        <v>0</v>
      </c>
      <c r="H168" s="24">
        <f t="shared" si="11"/>
        <v>0</v>
      </c>
      <c r="I168" s="24">
        <f t="shared" si="12"/>
        <v>0</v>
      </c>
      <c r="J168" s="24">
        <f t="shared" si="13"/>
        <v>0</v>
      </c>
      <c r="K168" s="25">
        <f t="shared" si="14"/>
        <v>0</v>
      </c>
      <c r="L168" s="21"/>
      <c r="M168" s="12">
        <v>430.93</v>
      </c>
      <c r="N168" s="12">
        <v>374.7217391304348</v>
      </c>
      <c r="O168" s="12">
        <v>218.97</v>
      </c>
      <c r="P168" s="9">
        <v>27</v>
      </c>
      <c r="Q168" s="12">
        <v>155.7517391304348</v>
      </c>
      <c r="R168" s="12">
        <v>15.96037037037037</v>
      </c>
      <c r="S168" s="12">
        <v>13.878582930756844</v>
      </c>
      <c r="T168" s="12">
        <v>8.11</v>
      </c>
      <c r="U168" s="16">
        <v>41.5646392685587</v>
      </c>
      <c r="V168" s="72">
        <f>IFERROR(LOOKUP($C168,Actuals!$C$4:$C$79,Actuals!G$4:G$79),0)</f>
        <v>0</v>
      </c>
      <c r="W168" s="72">
        <f>IFERROR(LOOKUP($C168,Actuals!$C$4:$C$79,Actuals!H$4:H$79),0)</f>
        <v>0</v>
      </c>
      <c r="X168" s="72">
        <f>IFERROR(LOOKUP($C168,Actuals!$C$4:$C$79,Actuals!I$4:I$79),0)</f>
        <v>34.747826086956522</v>
      </c>
      <c r="Y168" s="72">
        <f>IFERROR(LOOKUP($C168,Actuals!$C$4:$C$79,Actuals!J$4:J$79),0)</f>
        <v>4</v>
      </c>
    </row>
    <row r="169" spans="1:25" ht="16.5" customHeight="1" x14ac:dyDescent="0.35">
      <c r="A169" s="3" t="s">
        <v>19</v>
      </c>
      <c r="B169" s="4">
        <v>102</v>
      </c>
      <c r="C169" s="5">
        <v>61928</v>
      </c>
      <c r="D169" s="3" t="s">
        <v>176</v>
      </c>
      <c r="E169" s="6">
        <v>79.989999999999995</v>
      </c>
      <c r="F169" s="21">
        <v>44.62</v>
      </c>
      <c r="G169" s="22">
        <v>0</v>
      </c>
      <c r="H169" s="24">
        <f t="shared" si="11"/>
        <v>0</v>
      </c>
      <c r="I169" s="24">
        <f t="shared" si="12"/>
        <v>0</v>
      </c>
      <c r="J169" s="24">
        <f t="shared" si="13"/>
        <v>0</v>
      </c>
      <c r="K169" s="25">
        <f t="shared" si="14"/>
        <v>0</v>
      </c>
      <c r="L169" s="21"/>
      <c r="M169" s="12">
        <v>419.93</v>
      </c>
      <c r="N169" s="12">
        <v>365.15652173913043</v>
      </c>
      <c r="O169" s="12">
        <v>164.08</v>
      </c>
      <c r="P169" s="9">
        <v>7</v>
      </c>
      <c r="Q169" s="12">
        <v>201.07652173913041</v>
      </c>
      <c r="R169" s="12">
        <v>59.99</v>
      </c>
      <c r="S169" s="12">
        <v>52.165217391304346</v>
      </c>
      <c r="T169" s="12">
        <v>23.44</v>
      </c>
      <c r="U169" s="16">
        <v>55.065844307384559</v>
      </c>
      <c r="V169" s="72">
        <f>IFERROR(LOOKUP($C169,Actuals!$C$4:$C$79,Actuals!G$4:G$79),0)</f>
        <v>0</v>
      </c>
      <c r="W169" s="72">
        <f>IFERROR(LOOKUP($C169,Actuals!$C$4:$C$79,Actuals!H$4:H$79),0)</f>
        <v>0</v>
      </c>
      <c r="X169" s="72">
        <f>IFERROR(LOOKUP($C169,Actuals!$C$4:$C$79,Actuals!I$4:I$79),0)</f>
        <v>10.417391304347827</v>
      </c>
      <c r="Y169" s="72">
        <f>IFERROR(LOOKUP($C169,Actuals!$C$4:$C$79,Actuals!J$4:J$79),0)</f>
        <v>2</v>
      </c>
    </row>
    <row r="170" spans="1:25" ht="16.5" customHeight="1" x14ac:dyDescent="0.35">
      <c r="A170" s="3" t="s">
        <v>14</v>
      </c>
      <c r="B170" s="4">
        <v>102</v>
      </c>
      <c r="C170" s="5">
        <v>66435</v>
      </c>
      <c r="D170" s="3" t="s">
        <v>177</v>
      </c>
      <c r="E170" s="6">
        <v>11.99</v>
      </c>
      <c r="F170" s="21">
        <v>7.6</v>
      </c>
      <c r="G170" s="22">
        <v>0</v>
      </c>
      <c r="H170" s="24">
        <f t="shared" si="11"/>
        <v>0</v>
      </c>
      <c r="I170" s="24">
        <f t="shared" si="12"/>
        <v>0</v>
      </c>
      <c r="J170" s="24">
        <f t="shared" si="13"/>
        <v>0</v>
      </c>
      <c r="K170" s="25">
        <f t="shared" si="14"/>
        <v>0</v>
      </c>
      <c r="L170" s="21"/>
      <c r="M170" s="12">
        <v>419</v>
      </c>
      <c r="N170" s="12">
        <v>364.3478260869565</v>
      </c>
      <c r="O170" s="12">
        <v>217.00000000000003</v>
      </c>
      <c r="P170" s="9">
        <v>70</v>
      </c>
      <c r="Q170" s="12">
        <v>147.34782608695647</v>
      </c>
      <c r="R170" s="12">
        <v>5.9857142857142858</v>
      </c>
      <c r="S170" s="12">
        <v>5.2049689440993783</v>
      </c>
      <c r="T170" s="12">
        <v>3.1000000000000005</v>
      </c>
      <c r="U170" s="16">
        <v>40.441527446300704</v>
      </c>
      <c r="V170" s="72">
        <f>IFERROR(LOOKUP($C170,Actuals!$C$4:$C$79,Actuals!G$4:G$79),0)</f>
        <v>0</v>
      </c>
      <c r="W170" s="72">
        <f>IFERROR(LOOKUP($C170,Actuals!$C$4:$C$79,Actuals!H$4:H$79),0)</f>
        <v>0</v>
      </c>
      <c r="X170" s="72">
        <f>IFERROR(LOOKUP($C170,Actuals!$C$4:$C$79,Actuals!I$4:I$79),0)</f>
        <v>1043.4782608695652</v>
      </c>
      <c r="Y170" s="72">
        <f>IFERROR(LOOKUP($C170,Actuals!$C$4:$C$79,Actuals!J$4:J$79),0)</f>
        <v>20</v>
      </c>
    </row>
    <row r="171" spans="1:25" ht="16.5" customHeight="1" x14ac:dyDescent="0.35">
      <c r="A171" s="3" t="s">
        <v>14</v>
      </c>
      <c r="B171" s="4">
        <v>102</v>
      </c>
      <c r="C171" s="5">
        <v>59222</v>
      </c>
      <c r="D171" s="3" t="s">
        <v>178</v>
      </c>
      <c r="E171" s="6">
        <v>5.99</v>
      </c>
      <c r="F171" s="21">
        <v>3.1</v>
      </c>
      <c r="G171" s="22">
        <v>0</v>
      </c>
      <c r="H171" s="24">
        <f t="shared" si="11"/>
        <v>0</v>
      </c>
      <c r="I171" s="24">
        <f t="shared" si="12"/>
        <v>0</v>
      </c>
      <c r="J171" s="24">
        <f t="shared" si="13"/>
        <v>0</v>
      </c>
      <c r="K171" s="25">
        <f t="shared" si="14"/>
        <v>0</v>
      </c>
      <c r="L171" s="21"/>
      <c r="M171" s="12">
        <v>405.85999999999996</v>
      </c>
      <c r="N171" s="12">
        <v>352.92173913043479</v>
      </c>
      <c r="O171" s="12">
        <v>204.57780000000002</v>
      </c>
      <c r="P171" s="9">
        <v>14</v>
      </c>
      <c r="Q171" s="12">
        <v>148.34393913043476</v>
      </c>
      <c r="R171" s="12">
        <v>28.99</v>
      </c>
      <c r="S171" s="12">
        <v>25.208695652173912</v>
      </c>
      <c r="T171" s="12">
        <v>14.612700000000002</v>
      </c>
      <c r="U171" s="16">
        <v>42.033097619868911</v>
      </c>
      <c r="V171" s="72">
        <f>IFERROR(LOOKUP($C171,Actuals!$C$4:$C$79,Actuals!G$4:G$79),0)</f>
        <v>121.67826086956522</v>
      </c>
      <c r="W171" s="72">
        <f>IFERROR(LOOKUP($C171,Actuals!$C$4:$C$79,Actuals!H$4:H$79),0)</f>
        <v>7</v>
      </c>
      <c r="X171" s="72">
        <f>IFERROR(LOOKUP($C171,Actuals!$C$4:$C$79,Actuals!I$4:I$79),0)</f>
        <v>52.14782608695652</v>
      </c>
      <c r="Y171" s="72">
        <f>IFERROR(LOOKUP($C171,Actuals!$C$4:$C$79,Actuals!J$4:J$79),0)</f>
        <v>3</v>
      </c>
    </row>
    <row r="172" spans="1:25" ht="16.5" customHeight="1" x14ac:dyDescent="0.35">
      <c r="A172" s="3" t="s">
        <v>14</v>
      </c>
      <c r="B172" s="4">
        <v>102</v>
      </c>
      <c r="C172" s="5">
        <v>59223</v>
      </c>
      <c r="D172" s="3" t="s">
        <v>179</v>
      </c>
      <c r="E172" s="6">
        <v>5.99</v>
      </c>
      <c r="F172" s="21">
        <v>3.1</v>
      </c>
      <c r="G172" s="22">
        <v>0</v>
      </c>
      <c r="H172" s="24">
        <f t="shared" si="11"/>
        <v>0</v>
      </c>
      <c r="I172" s="24">
        <f t="shared" si="12"/>
        <v>0</v>
      </c>
      <c r="J172" s="24">
        <f t="shared" si="13"/>
        <v>0</v>
      </c>
      <c r="K172" s="25">
        <f t="shared" si="14"/>
        <v>0</v>
      </c>
      <c r="L172" s="21"/>
      <c r="M172" s="12">
        <v>405.85999999999996</v>
      </c>
      <c r="N172" s="12">
        <v>352.92173913043479</v>
      </c>
      <c r="O172" s="12">
        <v>204.57780000000002</v>
      </c>
      <c r="P172" s="9">
        <v>14</v>
      </c>
      <c r="Q172" s="12">
        <v>148.34393913043476</v>
      </c>
      <c r="R172" s="12">
        <v>28.99</v>
      </c>
      <c r="S172" s="12">
        <v>25.208695652173912</v>
      </c>
      <c r="T172" s="12">
        <v>14.612700000000002</v>
      </c>
      <c r="U172" s="16">
        <v>42.033097619868911</v>
      </c>
      <c r="V172" s="72">
        <f>IFERROR(LOOKUP($C172,Actuals!$C$4:$C$79,Actuals!G$4:G$79),0)</f>
        <v>121.67826086956522</v>
      </c>
      <c r="W172" s="72">
        <f>IFERROR(LOOKUP($C172,Actuals!$C$4:$C$79,Actuals!H$4:H$79),0)</f>
        <v>7</v>
      </c>
      <c r="X172" s="72">
        <f>IFERROR(LOOKUP($C172,Actuals!$C$4:$C$79,Actuals!I$4:I$79),0)</f>
        <v>52.14782608695652</v>
      </c>
      <c r="Y172" s="72">
        <f>IFERROR(LOOKUP($C172,Actuals!$C$4:$C$79,Actuals!J$4:J$79),0)</f>
        <v>3</v>
      </c>
    </row>
    <row r="173" spans="1:25" ht="16.5" customHeight="1" x14ac:dyDescent="0.35">
      <c r="A173" s="3" t="s">
        <v>14</v>
      </c>
      <c r="B173" s="4">
        <v>102</v>
      </c>
      <c r="C173" s="5">
        <v>34089</v>
      </c>
      <c r="D173" s="3" t="s">
        <v>180</v>
      </c>
      <c r="E173" s="6">
        <v>39.99</v>
      </c>
      <c r="F173" s="21">
        <v>29.01</v>
      </c>
      <c r="G173" s="22">
        <v>0</v>
      </c>
      <c r="H173" s="24">
        <f t="shared" si="11"/>
        <v>0</v>
      </c>
      <c r="I173" s="24">
        <f t="shared" si="12"/>
        <v>0</v>
      </c>
      <c r="J173" s="24">
        <f t="shared" si="13"/>
        <v>0</v>
      </c>
      <c r="K173" s="25">
        <f t="shared" si="14"/>
        <v>0</v>
      </c>
      <c r="L173" s="21"/>
      <c r="M173" s="12">
        <v>375.16</v>
      </c>
      <c r="N173" s="12">
        <v>326.22608695652178</v>
      </c>
      <c r="O173" s="12">
        <v>198.1</v>
      </c>
      <c r="P173" s="9">
        <v>14</v>
      </c>
      <c r="Q173" s="12">
        <v>128.12608695652173</v>
      </c>
      <c r="R173" s="12">
        <v>26.797142857142859</v>
      </c>
      <c r="S173" s="12">
        <v>23.30186335403727</v>
      </c>
      <c r="T173" s="12">
        <v>14.15</v>
      </c>
      <c r="U173" s="16">
        <v>39.275242563173045</v>
      </c>
      <c r="V173" s="72">
        <f>IFERROR(LOOKUP($C173,Actuals!$C$4:$C$79,Actuals!G$4:G$79),0)</f>
        <v>0</v>
      </c>
      <c r="W173" s="72">
        <f>IFERROR(LOOKUP($C173,Actuals!$C$4:$C$79,Actuals!H$4:H$79),0)</f>
        <v>0</v>
      </c>
      <c r="X173" s="72">
        <f>IFERROR(LOOKUP($C173,Actuals!$C$4:$C$79,Actuals!I$4:I$79),0)</f>
        <v>117.39130434782609</v>
      </c>
      <c r="Y173" s="72">
        <f>IFERROR(LOOKUP($C173,Actuals!$C$4:$C$79,Actuals!J$4:J$79),0)</f>
        <v>90</v>
      </c>
    </row>
    <row r="174" spans="1:25" ht="16.5" customHeight="1" x14ac:dyDescent="0.35">
      <c r="A174" s="3" t="s">
        <v>14</v>
      </c>
      <c r="B174" s="4">
        <v>102</v>
      </c>
      <c r="C174" s="5">
        <v>58045</v>
      </c>
      <c r="D174" s="3" t="s">
        <v>181</v>
      </c>
      <c r="E174" s="6">
        <v>2.5</v>
      </c>
      <c r="F174" s="21">
        <v>1.29</v>
      </c>
      <c r="G174" s="22">
        <v>0</v>
      </c>
      <c r="H174" s="24">
        <f t="shared" si="11"/>
        <v>0</v>
      </c>
      <c r="I174" s="24">
        <f t="shared" si="12"/>
        <v>0</v>
      </c>
      <c r="J174" s="24">
        <f t="shared" si="13"/>
        <v>0</v>
      </c>
      <c r="K174" s="25">
        <f t="shared" si="14"/>
        <v>0</v>
      </c>
      <c r="L174" s="21"/>
      <c r="M174" s="12">
        <v>373.59999999999997</v>
      </c>
      <c r="N174" s="12">
        <v>324.86956521739125</v>
      </c>
      <c r="O174" s="12">
        <v>121.5</v>
      </c>
      <c r="P174" s="9">
        <v>15</v>
      </c>
      <c r="Q174" s="12">
        <v>203.36956521739125</v>
      </c>
      <c r="R174" s="12">
        <v>24.906666666666663</v>
      </c>
      <c r="S174" s="12">
        <v>21.657971014492752</v>
      </c>
      <c r="T174" s="12">
        <v>8.1</v>
      </c>
      <c r="U174" s="16">
        <v>62.600374732334039</v>
      </c>
      <c r="V174" s="72">
        <f>IFERROR(LOOKUP($C174,Actuals!$C$4:$C$79,Actuals!G$4:G$79),0)</f>
        <v>225.15652173913043</v>
      </c>
      <c r="W174" s="72">
        <f>IFERROR(LOOKUP($C174,Actuals!$C$4:$C$79,Actuals!H$4:H$79),0)</f>
        <v>7</v>
      </c>
      <c r="X174" s="72">
        <f>IFERROR(LOOKUP($C174,Actuals!$C$4:$C$79,Actuals!I$4:I$79),0)</f>
        <v>32.165217391304353</v>
      </c>
      <c r="Y174" s="72">
        <f>IFERROR(LOOKUP($C174,Actuals!$C$4:$C$79,Actuals!J$4:J$79),0)</f>
        <v>1</v>
      </c>
    </row>
    <row r="175" spans="1:25" ht="16.5" customHeight="1" x14ac:dyDescent="0.35">
      <c r="A175" s="3" t="s">
        <v>14</v>
      </c>
      <c r="B175" s="4">
        <v>102</v>
      </c>
      <c r="C175" s="5">
        <v>66950</v>
      </c>
      <c r="D175" s="3" t="s">
        <v>182</v>
      </c>
      <c r="E175" s="6">
        <v>29.99</v>
      </c>
      <c r="F175" s="21">
        <v>28.95</v>
      </c>
      <c r="G175" s="22">
        <v>0</v>
      </c>
      <c r="H175" s="24">
        <f t="shared" si="11"/>
        <v>0</v>
      </c>
      <c r="I175" s="24">
        <f t="shared" si="12"/>
        <v>0</v>
      </c>
      <c r="J175" s="24">
        <f t="shared" si="13"/>
        <v>0</v>
      </c>
      <c r="K175" s="25">
        <f t="shared" si="14"/>
        <v>0</v>
      </c>
      <c r="L175" s="21"/>
      <c r="M175" s="12">
        <v>357.91</v>
      </c>
      <c r="N175" s="12">
        <v>311.22608695652173</v>
      </c>
      <c r="O175" s="12">
        <v>225</v>
      </c>
      <c r="P175" s="9">
        <v>9</v>
      </c>
      <c r="Q175" s="12">
        <v>86.226086956521783</v>
      </c>
      <c r="R175" s="12">
        <v>39.767777777777781</v>
      </c>
      <c r="S175" s="12">
        <v>34.580676328502413</v>
      </c>
      <c r="T175" s="12">
        <v>25</v>
      </c>
      <c r="U175" s="16">
        <v>27.705289039143928</v>
      </c>
      <c r="V175" s="72">
        <f>IFERROR(LOOKUP($C175,Actuals!$C$4:$C$79,Actuals!G$4:G$79),0)</f>
        <v>0</v>
      </c>
      <c r="W175" s="72">
        <f>IFERROR(LOOKUP($C175,Actuals!$C$4:$C$79,Actuals!H$4:H$79),0)</f>
        <v>0</v>
      </c>
      <c r="X175" s="72">
        <f>IFERROR(LOOKUP($C175,Actuals!$C$4:$C$79,Actuals!I$4:I$79),0)</f>
        <v>1043.4782608695652</v>
      </c>
      <c r="Y175" s="72">
        <f>IFERROR(LOOKUP($C175,Actuals!$C$4:$C$79,Actuals!J$4:J$79),0)</f>
        <v>20</v>
      </c>
    </row>
    <row r="176" spans="1:25" ht="16.5" customHeight="1" x14ac:dyDescent="0.35">
      <c r="A176" s="3" t="s">
        <v>19</v>
      </c>
      <c r="B176" s="4">
        <v>102</v>
      </c>
      <c r="C176" s="5">
        <v>42674</v>
      </c>
      <c r="D176" s="3" t="s">
        <v>183</v>
      </c>
      <c r="E176" s="6">
        <v>5.49</v>
      </c>
      <c r="F176" s="21">
        <v>2.7884166666666701</v>
      </c>
      <c r="G176" s="22">
        <v>0</v>
      </c>
      <c r="H176" s="24">
        <f t="shared" si="11"/>
        <v>0</v>
      </c>
      <c r="I176" s="24">
        <f t="shared" si="12"/>
        <v>0</v>
      </c>
      <c r="J176" s="24">
        <f t="shared" si="13"/>
        <v>0</v>
      </c>
      <c r="K176" s="25">
        <f t="shared" si="14"/>
        <v>0</v>
      </c>
      <c r="L176" s="21"/>
      <c r="M176" s="12">
        <v>330.41</v>
      </c>
      <c r="N176" s="12">
        <v>287.31304347826085</v>
      </c>
      <c r="O176" s="12">
        <v>173.48351999999997</v>
      </c>
      <c r="P176" s="9">
        <v>1.5660000000000001</v>
      </c>
      <c r="Q176" s="12">
        <v>113.82952347826088</v>
      </c>
      <c r="R176" s="12">
        <v>210.98978288633461</v>
      </c>
      <c r="S176" s="12">
        <v>183.46937642289964</v>
      </c>
      <c r="T176" s="12">
        <v>110.78130268199232</v>
      </c>
      <c r="U176" s="16">
        <v>39.618641082291703</v>
      </c>
      <c r="V176" s="72">
        <f>IFERROR(LOOKUP($C176,Actuals!$C$4:$C$79,Actuals!G$4:G$79),0)</f>
        <v>0</v>
      </c>
      <c r="W176" s="72">
        <f>IFERROR(LOOKUP($C176,Actuals!$C$4:$C$79,Actuals!H$4:H$79),0)</f>
        <v>0</v>
      </c>
      <c r="X176" s="72">
        <f>IFERROR(LOOKUP($C176,Actuals!$C$4:$C$79,Actuals!I$4:I$79),0)</f>
        <v>130.34782608695653</v>
      </c>
      <c r="Y176" s="72">
        <f>IFERROR(LOOKUP($C176,Actuals!$C$4:$C$79,Actuals!J$4:J$79),0)</f>
        <v>10</v>
      </c>
    </row>
    <row r="177" spans="1:25" ht="16.5" customHeight="1" x14ac:dyDescent="0.35">
      <c r="A177" s="3" t="s">
        <v>19</v>
      </c>
      <c r="B177" s="4">
        <v>102</v>
      </c>
      <c r="C177" s="5">
        <v>38815</v>
      </c>
      <c r="D177" s="3" t="s">
        <v>184</v>
      </c>
      <c r="E177" s="6">
        <v>10.85</v>
      </c>
      <c r="F177" s="21">
        <v>5.2888333333333302</v>
      </c>
      <c r="G177" s="22">
        <v>0</v>
      </c>
      <c r="H177" s="24">
        <f t="shared" si="11"/>
        <v>0</v>
      </c>
      <c r="I177" s="24">
        <f t="shared" si="12"/>
        <v>0</v>
      </c>
      <c r="J177" s="24">
        <f t="shared" si="13"/>
        <v>0</v>
      </c>
      <c r="K177" s="25">
        <f t="shared" si="14"/>
        <v>0</v>
      </c>
      <c r="L177" s="21"/>
      <c r="M177" s="12">
        <v>330</v>
      </c>
      <c r="N177" s="12">
        <v>286.95652173913044</v>
      </c>
      <c r="O177" s="12">
        <v>184.9</v>
      </c>
      <c r="P177" s="9">
        <v>13</v>
      </c>
      <c r="Q177" s="12">
        <v>102.05652173913043</v>
      </c>
      <c r="R177" s="12">
        <v>25.384615384615383</v>
      </c>
      <c r="S177" s="12">
        <v>22.073578595317727</v>
      </c>
      <c r="T177" s="12">
        <v>14.223076923076924</v>
      </c>
      <c r="U177" s="16">
        <v>35.565151515151513</v>
      </c>
      <c r="V177" s="72">
        <f>IFERROR(LOOKUP($C177,Actuals!$C$4:$C$79,Actuals!G$4:G$79),0)</f>
        <v>457.99130434782614</v>
      </c>
      <c r="W177" s="72">
        <f>IFERROR(LOOKUP($C177,Actuals!$C$4:$C$79,Actuals!H$4:H$79),0)</f>
        <v>31</v>
      </c>
      <c r="X177" s="72">
        <f>IFERROR(LOOKUP($C177,Actuals!$C$4:$C$79,Actuals!I$4:I$79),0)</f>
        <v>398.89565217391305</v>
      </c>
      <c r="Y177" s="72">
        <f>IFERROR(LOOKUP($C177,Actuals!$C$4:$C$79,Actuals!J$4:J$79),0)</f>
        <v>27</v>
      </c>
    </row>
    <row r="178" spans="1:25" ht="16.5" customHeight="1" x14ac:dyDescent="0.35">
      <c r="A178" s="3" t="s">
        <v>35</v>
      </c>
      <c r="B178" s="4">
        <v>102</v>
      </c>
      <c r="C178" s="5">
        <v>38815</v>
      </c>
      <c r="D178" s="3" t="s">
        <v>184</v>
      </c>
      <c r="E178" s="6">
        <v>10.85</v>
      </c>
      <c r="F178" s="21">
        <v>5.9984999999999999</v>
      </c>
      <c r="G178" s="22">
        <v>0</v>
      </c>
      <c r="H178" s="24">
        <f t="shared" si="11"/>
        <v>0</v>
      </c>
      <c r="I178" s="24">
        <f t="shared" si="12"/>
        <v>0</v>
      </c>
      <c r="J178" s="24">
        <f t="shared" si="13"/>
        <v>0</v>
      </c>
      <c r="K178" s="25">
        <f t="shared" si="14"/>
        <v>0</v>
      </c>
      <c r="L178" s="21"/>
      <c r="M178" s="12">
        <v>330</v>
      </c>
      <c r="N178" s="12">
        <v>286.95652173913044</v>
      </c>
      <c r="O178" s="12">
        <v>162.35999999999999</v>
      </c>
      <c r="P178" s="9">
        <v>22</v>
      </c>
      <c r="Q178" s="12">
        <v>124.59652173913045</v>
      </c>
      <c r="R178" s="12">
        <v>15</v>
      </c>
      <c r="S178" s="12">
        <v>13.043478260869565</v>
      </c>
      <c r="T178" s="12">
        <v>7.379999999999999</v>
      </c>
      <c r="U178" s="16">
        <v>43.42</v>
      </c>
      <c r="V178" s="72">
        <f>IFERROR(LOOKUP($C178,Actuals!$C$4:$C$79,Actuals!G$4:G$79),0)</f>
        <v>457.99130434782614</v>
      </c>
      <c r="W178" s="72">
        <f>IFERROR(LOOKUP($C178,Actuals!$C$4:$C$79,Actuals!H$4:H$79),0)</f>
        <v>31</v>
      </c>
      <c r="X178" s="72">
        <f>IFERROR(LOOKUP($C178,Actuals!$C$4:$C$79,Actuals!I$4:I$79),0)</f>
        <v>398.89565217391305</v>
      </c>
      <c r="Y178" s="72">
        <f>IFERROR(LOOKUP($C178,Actuals!$C$4:$C$79,Actuals!J$4:J$79),0)</f>
        <v>27</v>
      </c>
    </row>
    <row r="179" spans="1:25" ht="16.5" customHeight="1" x14ac:dyDescent="0.35">
      <c r="A179" s="3" t="s">
        <v>19</v>
      </c>
      <c r="B179" s="4">
        <v>102</v>
      </c>
      <c r="C179" s="5">
        <v>38816</v>
      </c>
      <c r="D179" s="3" t="s">
        <v>185</v>
      </c>
      <c r="E179" s="6">
        <v>7.99</v>
      </c>
      <c r="F179" s="21">
        <v>3.6635833333333299</v>
      </c>
      <c r="G179" s="22">
        <v>0</v>
      </c>
      <c r="H179" s="24">
        <f t="shared" si="11"/>
        <v>0</v>
      </c>
      <c r="I179" s="24">
        <f t="shared" si="12"/>
        <v>0</v>
      </c>
      <c r="J179" s="24">
        <f t="shared" si="13"/>
        <v>0</v>
      </c>
      <c r="K179" s="25">
        <f t="shared" si="14"/>
        <v>0</v>
      </c>
      <c r="L179" s="21"/>
      <c r="M179" s="12">
        <v>319.95999999999998</v>
      </c>
      <c r="N179" s="12">
        <v>278.22608695652173</v>
      </c>
      <c r="O179" s="12">
        <v>170.72</v>
      </c>
      <c r="P179" s="9">
        <v>4</v>
      </c>
      <c r="Q179" s="12">
        <v>107.50608695652173</v>
      </c>
      <c r="R179" s="12">
        <v>79.989999999999995</v>
      </c>
      <c r="S179" s="12">
        <v>69.556521739130432</v>
      </c>
      <c r="T179" s="12">
        <v>42.68</v>
      </c>
      <c r="U179" s="16">
        <v>38.639829978747343</v>
      </c>
      <c r="V179" s="72">
        <f>IFERROR(LOOKUP($C179,Actuals!$C$4:$C$79,Actuals!G$4:G$79),0)</f>
        <v>457.99130434782614</v>
      </c>
      <c r="W179" s="72">
        <f>IFERROR(LOOKUP($C179,Actuals!$C$4:$C$79,Actuals!H$4:H$79),0)</f>
        <v>31</v>
      </c>
      <c r="X179" s="72">
        <f>IFERROR(LOOKUP($C179,Actuals!$C$4:$C$79,Actuals!I$4:I$79),0)</f>
        <v>398.89565217391305</v>
      </c>
      <c r="Y179" s="72">
        <f>IFERROR(LOOKUP($C179,Actuals!$C$4:$C$79,Actuals!J$4:J$79),0)</f>
        <v>27</v>
      </c>
    </row>
    <row r="180" spans="1:25" ht="16.5" customHeight="1" x14ac:dyDescent="0.35">
      <c r="A180" s="3" t="s">
        <v>35</v>
      </c>
      <c r="B180" s="4">
        <v>102</v>
      </c>
      <c r="C180" s="5">
        <v>38816</v>
      </c>
      <c r="D180" s="3" t="s">
        <v>185</v>
      </c>
      <c r="E180" s="6">
        <v>7.99</v>
      </c>
      <c r="F180" s="21">
        <v>4.1159999999999997</v>
      </c>
      <c r="G180" s="22">
        <v>0</v>
      </c>
      <c r="H180" s="24">
        <f t="shared" si="11"/>
        <v>0</v>
      </c>
      <c r="I180" s="24">
        <f t="shared" si="12"/>
        <v>0</v>
      </c>
      <c r="J180" s="24">
        <f t="shared" si="13"/>
        <v>0</v>
      </c>
      <c r="K180" s="25">
        <f t="shared" si="14"/>
        <v>0</v>
      </c>
      <c r="L180" s="21"/>
      <c r="M180" s="12">
        <v>319.5</v>
      </c>
      <c r="N180" s="12">
        <v>277.82608695652175</v>
      </c>
      <c r="O180" s="12">
        <v>198.08</v>
      </c>
      <c r="P180" s="9">
        <v>32</v>
      </c>
      <c r="Q180" s="12">
        <v>79.746086956521737</v>
      </c>
      <c r="R180" s="12">
        <v>9.984375</v>
      </c>
      <c r="S180" s="12">
        <v>8.6820652173913047</v>
      </c>
      <c r="T180" s="12">
        <v>6.19</v>
      </c>
      <c r="U180" s="16">
        <v>28.703599374021909</v>
      </c>
      <c r="V180" s="72">
        <f>IFERROR(LOOKUP($C180,Actuals!$C$4:$C$79,Actuals!G$4:G$79),0)</f>
        <v>457.99130434782614</v>
      </c>
      <c r="W180" s="72">
        <f>IFERROR(LOOKUP($C180,Actuals!$C$4:$C$79,Actuals!H$4:H$79),0)</f>
        <v>31</v>
      </c>
      <c r="X180" s="72">
        <f>IFERROR(LOOKUP($C180,Actuals!$C$4:$C$79,Actuals!I$4:I$79),0)</f>
        <v>398.89565217391305</v>
      </c>
      <c r="Y180" s="72">
        <f>IFERROR(LOOKUP($C180,Actuals!$C$4:$C$79,Actuals!J$4:J$79),0)</f>
        <v>27</v>
      </c>
    </row>
    <row r="181" spans="1:25" ht="16.5" customHeight="1" x14ac:dyDescent="0.35">
      <c r="A181" s="3" t="s">
        <v>19</v>
      </c>
      <c r="B181" s="4">
        <v>102</v>
      </c>
      <c r="C181" s="5">
        <v>38908</v>
      </c>
      <c r="D181" s="3" t="s">
        <v>186</v>
      </c>
      <c r="E181" s="6">
        <v>7.99</v>
      </c>
      <c r="F181" s="21">
        <v>4.1161666666666701</v>
      </c>
      <c r="G181" s="22">
        <v>0</v>
      </c>
      <c r="H181" s="24">
        <f t="shared" si="11"/>
        <v>0</v>
      </c>
      <c r="I181" s="24">
        <f t="shared" si="12"/>
        <v>0</v>
      </c>
      <c r="J181" s="24">
        <f t="shared" si="13"/>
        <v>0</v>
      </c>
      <c r="K181" s="25">
        <f t="shared" si="14"/>
        <v>0</v>
      </c>
      <c r="L181" s="21"/>
      <c r="M181" s="12">
        <v>312</v>
      </c>
      <c r="N181" s="12">
        <v>271.30434782608694</v>
      </c>
      <c r="O181" s="12">
        <v>163.82999999999998</v>
      </c>
      <c r="P181" s="9">
        <v>127</v>
      </c>
      <c r="Q181" s="12">
        <v>107.47434782608696</v>
      </c>
      <c r="R181" s="12">
        <v>2.4566929133858268</v>
      </c>
      <c r="S181" s="12">
        <v>2.1362547072920233</v>
      </c>
      <c r="T181" s="12">
        <v>1.2899999999999998</v>
      </c>
      <c r="U181" s="16">
        <v>39.613942307692305</v>
      </c>
      <c r="V181" s="72">
        <f>IFERROR(LOOKUP($C181,Actuals!$C$4:$C$79,Actuals!G$4:G$79),0)</f>
        <v>457.99130434782614</v>
      </c>
      <c r="W181" s="72">
        <f>IFERROR(LOOKUP($C181,Actuals!$C$4:$C$79,Actuals!H$4:H$79),0)</f>
        <v>31</v>
      </c>
      <c r="X181" s="72">
        <f>IFERROR(LOOKUP($C181,Actuals!$C$4:$C$79,Actuals!I$4:I$79),0)</f>
        <v>398.89565217391305</v>
      </c>
      <c r="Y181" s="72">
        <f>IFERROR(LOOKUP($C181,Actuals!$C$4:$C$79,Actuals!J$4:J$79),0)</f>
        <v>27</v>
      </c>
    </row>
    <row r="182" spans="1:25" ht="16.5" customHeight="1" x14ac:dyDescent="0.35">
      <c r="A182" s="3" t="s">
        <v>35</v>
      </c>
      <c r="B182" s="4">
        <v>102</v>
      </c>
      <c r="C182" s="5">
        <v>38908</v>
      </c>
      <c r="D182" s="3" t="s">
        <v>186</v>
      </c>
      <c r="E182" s="6">
        <v>7.99</v>
      </c>
      <c r="F182" s="21">
        <v>4.3630833333333303</v>
      </c>
      <c r="G182" s="22">
        <v>0</v>
      </c>
      <c r="H182" s="24">
        <f t="shared" si="11"/>
        <v>0</v>
      </c>
      <c r="I182" s="24">
        <f t="shared" si="12"/>
        <v>0</v>
      </c>
      <c r="J182" s="24">
        <f t="shared" si="13"/>
        <v>0</v>
      </c>
      <c r="K182" s="25">
        <f t="shared" ref="K182:K213" si="15">IFERROR(J182/H182*100,0)</f>
        <v>0</v>
      </c>
      <c r="L182" s="21"/>
      <c r="M182" s="12">
        <v>299.89999999999998</v>
      </c>
      <c r="N182" s="12">
        <v>260.78260869565219</v>
      </c>
      <c r="O182" s="12">
        <v>218.3</v>
      </c>
      <c r="P182" s="9">
        <v>10</v>
      </c>
      <c r="Q182" s="12">
        <v>42.482608695652175</v>
      </c>
      <c r="R182" s="12">
        <v>29.99</v>
      </c>
      <c r="S182" s="12">
        <v>26.07826086956522</v>
      </c>
      <c r="T182" s="12">
        <v>21.830000000000002</v>
      </c>
      <c r="U182" s="16">
        <v>16.290430143381126</v>
      </c>
      <c r="V182" s="72">
        <f>IFERROR(LOOKUP($C182,Actuals!$C$4:$C$79,Actuals!G$4:G$79),0)</f>
        <v>457.99130434782614</v>
      </c>
      <c r="W182" s="72">
        <f>IFERROR(LOOKUP($C182,Actuals!$C$4:$C$79,Actuals!H$4:H$79),0)</f>
        <v>31</v>
      </c>
      <c r="X182" s="72">
        <f>IFERROR(LOOKUP($C182,Actuals!$C$4:$C$79,Actuals!I$4:I$79),0)</f>
        <v>398.89565217391305</v>
      </c>
      <c r="Y182" s="72">
        <f>IFERROR(LOOKUP($C182,Actuals!$C$4:$C$79,Actuals!J$4:J$79),0)</f>
        <v>27</v>
      </c>
    </row>
    <row r="183" spans="1:25" ht="16.5" customHeight="1" x14ac:dyDescent="0.35">
      <c r="A183" s="3" t="s">
        <v>19</v>
      </c>
      <c r="B183" s="4">
        <v>102</v>
      </c>
      <c r="C183" s="5">
        <v>38983</v>
      </c>
      <c r="D183" s="3" t="s">
        <v>187</v>
      </c>
      <c r="E183" s="6">
        <v>10.85</v>
      </c>
      <c r="F183" s="21">
        <v>5.6589999999999998</v>
      </c>
      <c r="G183" s="22">
        <v>0</v>
      </c>
      <c r="H183" s="24">
        <f t="shared" si="11"/>
        <v>0</v>
      </c>
      <c r="I183" s="24">
        <f t="shared" si="12"/>
        <v>0</v>
      </c>
      <c r="J183" s="24">
        <f t="shared" si="13"/>
        <v>0</v>
      </c>
      <c r="K183" s="25">
        <f t="shared" si="15"/>
        <v>0</v>
      </c>
      <c r="L183" s="21"/>
      <c r="M183" s="12">
        <v>296.65000000000003</v>
      </c>
      <c r="N183" s="12">
        <v>257.95652173913044</v>
      </c>
      <c r="O183" s="12">
        <v>152.99180000000001</v>
      </c>
      <c r="P183" s="9">
        <v>4.2380000000000004</v>
      </c>
      <c r="Q183" s="12">
        <v>104.96472173913043</v>
      </c>
      <c r="R183" s="12">
        <v>69.997640396413402</v>
      </c>
      <c r="S183" s="12">
        <v>60.867513388185564</v>
      </c>
      <c r="T183" s="12">
        <v>36.1</v>
      </c>
      <c r="U183" s="16">
        <v>40.69085791336591</v>
      </c>
      <c r="V183" s="72">
        <f>IFERROR(LOOKUP($C183,Actuals!$C$4:$C$79,Actuals!G$4:G$79),0)</f>
        <v>132.10434782608695</v>
      </c>
      <c r="W183" s="72">
        <f>IFERROR(LOOKUP($C183,Actuals!$C$4:$C$79,Actuals!H$4:H$79),0)</f>
        <v>8</v>
      </c>
      <c r="X183" s="72">
        <f>IFERROR(LOOKUP($C183,Actuals!$C$4:$C$79,Actuals!I$4:I$79),0)</f>
        <v>132.10434782608695</v>
      </c>
      <c r="Y183" s="72">
        <f>IFERROR(LOOKUP($C183,Actuals!$C$4:$C$79,Actuals!J$4:J$79),0)</f>
        <v>8</v>
      </c>
    </row>
    <row r="184" spans="1:25" ht="16.5" customHeight="1" x14ac:dyDescent="0.35">
      <c r="A184" s="3" t="s">
        <v>35</v>
      </c>
      <c r="B184" s="4">
        <v>102</v>
      </c>
      <c r="C184" s="5">
        <v>38983</v>
      </c>
      <c r="D184" s="3" t="s">
        <v>187</v>
      </c>
      <c r="E184" s="6">
        <v>10.85</v>
      </c>
      <c r="F184" s="21">
        <v>5.9984999999999999</v>
      </c>
      <c r="G184" s="22">
        <v>0</v>
      </c>
      <c r="H184" s="24">
        <f t="shared" si="11"/>
        <v>0</v>
      </c>
      <c r="I184" s="24">
        <f t="shared" si="12"/>
        <v>0</v>
      </c>
      <c r="J184" s="24">
        <f t="shared" si="13"/>
        <v>0</v>
      </c>
      <c r="K184" s="25">
        <f t="shared" si="15"/>
        <v>0</v>
      </c>
      <c r="L184" s="21"/>
      <c r="M184" s="12">
        <v>295.13</v>
      </c>
      <c r="N184" s="12">
        <v>256.63478260869567</v>
      </c>
      <c r="O184" s="12">
        <v>152.80200000000002</v>
      </c>
      <c r="P184" s="9">
        <v>2.6120000000000001</v>
      </c>
      <c r="Q184" s="12">
        <v>103.83278260869565</v>
      </c>
      <c r="R184" s="12">
        <v>112.99004594180704</v>
      </c>
      <c r="S184" s="12">
        <v>98.252213862440911</v>
      </c>
      <c r="T184" s="12">
        <v>58.500000000000007</v>
      </c>
      <c r="U184" s="16">
        <v>40.45935689357232</v>
      </c>
      <c r="V184" s="72">
        <f>IFERROR(LOOKUP($C184,Actuals!$C$4:$C$79,Actuals!G$4:G$79),0)</f>
        <v>132.10434782608695</v>
      </c>
      <c r="W184" s="72">
        <f>IFERROR(LOOKUP($C184,Actuals!$C$4:$C$79,Actuals!H$4:H$79),0)</f>
        <v>8</v>
      </c>
      <c r="X184" s="72">
        <f>IFERROR(LOOKUP($C184,Actuals!$C$4:$C$79,Actuals!I$4:I$79),0)</f>
        <v>132.10434782608695</v>
      </c>
      <c r="Y184" s="72">
        <f>IFERROR(LOOKUP($C184,Actuals!$C$4:$C$79,Actuals!J$4:J$79),0)</f>
        <v>8</v>
      </c>
    </row>
    <row r="185" spans="1:25" ht="16.5" customHeight="1" x14ac:dyDescent="0.35">
      <c r="A185" s="3" t="s">
        <v>19</v>
      </c>
      <c r="B185" s="4">
        <v>102</v>
      </c>
      <c r="C185" s="5">
        <v>39025</v>
      </c>
      <c r="D185" s="3" t="s">
        <v>188</v>
      </c>
      <c r="E185" s="6">
        <v>330.99</v>
      </c>
      <c r="F185" s="21">
        <v>172.26333333333301</v>
      </c>
      <c r="G185" s="22">
        <v>0</v>
      </c>
      <c r="H185" s="24">
        <f t="shared" si="11"/>
        <v>0</v>
      </c>
      <c r="I185" s="24">
        <f t="shared" si="12"/>
        <v>0</v>
      </c>
      <c r="J185" s="24">
        <f t="shared" si="13"/>
        <v>0</v>
      </c>
      <c r="K185" s="25">
        <f t="shared" si="15"/>
        <v>0</v>
      </c>
      <c r="L185" s="21"/>
      <c r="M185" s="12">
        <v>293.51</v>
      </c>
      <c r="N185" s="12">
        <v>255.22608695652173</v>
      </c>
      <c r="O185" s="12">
        <v>151.9</v>
      </c>
      <c r="P185" s="9">
        <v>49</v>
      </c>
      <c r="Q185" s="12">
        <v>103.32608695652172</v>
      </c>
      <c r="R185" s="12">
        <v>5.99</v>
      </c>
      <c r="S185" s="12">
        <v>5.2086956521739127</v>
      </c>
      <c r="T185" s="12">
        <v>3.1</v>
      </c>
      <c r="U185" s="16">
        <v>40.484140233722869</v>
      </c>
      <c r="V185" s="72">
        <f>IFERROR(LOOKUP($C185,Actuals!$C$4:$C$79,Actuals!G$4:G$79),0)</f>
        <v>132.10434782608695</v>
      </c>
      <c r="W185" s="72">
        <f>IFERROR(LOOKUP($C185,Actuals!$C$4:$C$79,Actuals!H$4:H$79),0)</f>
        <v>8</v>
      </c>
      <c r="X185" s="72">
        <f>IFERROR(LOOKUP($C185,Actuals!$C$4:$C$79,Actuals!I$4:I$79),0)</f>
        <v>132.10434782608695</v>
      </c>
      <c r="Y185" s="72">
        <f>IFERROR(LOOKUP($C185,Actuals!$C$4:$C$79,Actuals!J$4:J$79),0)</f>
        <v>8</v>
      </c>
    </row>
    <row r="186" spans="1:25" ht="16.5" customHeight="1" x14ac:dyDescent="0.35">
      <c r="A186" s="3" t="s">
        <v>35</v>
      </c>
      <c r="B186" s="4">
        <v>102</v>
      </c>
      <c r="C186" s="5">
        <v>39025</v>
      </c>
      <c r="D186" s="3" t="s">
        <v>188</v>
      </c>
      <c r="E186" s="6">
        <v>330.99</v>
      </c>
      <c r="F186" s="21">
        <v>182.6</v>
      </c>
      <c r="G186" s="22">
        <v>0</v>
      </c>
      <c r="H186" s="24">
        <f t="shared" si="11"/>
        <v>0</v>
      </c>
      <c r="I186" s="24">
        <f t="shared" si="12"/>
        <v>0</v>
      </c>
      <c r="J186" s="24">
        <f t="shared" si="13"/>
        <v>0</v>
      </c>
      <c r="K186" s="25">
        <f t="shared" si="15"/>
        <v>0</v>
      </c>
      <c r="L186" s="21"/>
      <c r="M186" s="12">
        <v>287.76</v>
      </c>
      <c r="N186" s="12">
        <v>250.22608695652173</v>
      </c>
      <c r="O186" s="12">
        <v>165</v>
      </c>
      <c r="P186" s="9">
        <v>33</v>
      </c>
      <c r="Q186" s="12">
        <v>85.226086956521726</v>
      </c>
      <c r="R186" s="12">
        <v>8.7199999999999989</v>
      </c>
      <c r="S186" s="12">
        <v>7.5826086956521737</v>
      </c>
      <c r="T186" s="12">
        <v>5</v>
      </c>
      <c r="U186" s="16">
        <v>34.059633027522935</v>
      </c>
      <c r="V186" s="72">
        <f>IFERROR(LOOKUP($C186,Actuals!$C$4:$C$79,Actuals!G$4:G$79),0)</f>
        <v>132.10434782608695</v>
      </c>
      <c r="W186" s="72">
        <f>IFERROR(LOOKUP($C186,Actuals!$C$4:$C$79,Actuals!H$4:H$79),0)</f>
        <v>8</v>
      </c>
      <c r="X186" s="72">
        <f>IFERROR(LOOKUP($C186,Actuals!$C$4:$C$79,Actuals!I$4:I$79),0)</f>
        <v>132.10434782608695</v>
      </c>
      <c r="Y186" s="72">
        <f>IFERROR(LOOKUP($C186,Actuals!$C$4:$C$79,Actuals!J$4:J$79),0)</f>
        <v>8</v>
      </c>
    </row>
    <row r="187" spans="1:25" ht="16.5" customHeight="1" x14ac:dyDescent="0.35">
      <c r="A187" s="3" t="s">
        <v>19</v>
      </c>
      <c r="B187" s="4">
        <v>102</v>
      </c>
      <c r="C187" s="5">
        <v>39421</v>
      </c>
      <c r="D187" s="3" t="s">
        <v>189</v>
      </c>
      <c r="E187" s="6">
        <v>28.99</v>
      </c>
      <c r="F187" s="21">
        <v>14.814500000000001</v>
      </c>
      <c r="G187" s="22">
        <v>0</v>
      </c>
      <c r="H187" s="24">
        <f t="shared" si="11"/>
        <v>0</v>
      </c>
      <c r="I187" s="24">
        <f t="shared" si="12"/>
        <v>0</v>
      </c>
      <c r="J187" s="24">
        <f t="shared" si="13"/>
        <v>0</v>
      </c>
      <c r="K187" s="25">
        <f t="shared" si="15"/>
        <v>0</v>
      </c>
      <c r="L187" s="21"/>
      <c r="M187" s="12">
        <v>285.78000000000003</v>
      </c>
      <c r="N187" s="12">
        <v>248.50434782608696</v>
      </c>
      <c r="O187" s="12">
        <v>151.35999999999999</v>
      </c>
      <c r="P187" s="9">
        <v>22</v>
      </c>
      <c r="Q187" s="12">
        <v>97.144347826086971</v>
      </c>
      <c r="R187" s="12">
        <v>12.990000000000002</v>
      </c>
      <c r="S187" s="12">
        <v>11.295652173913043</v>
      </c>
      <c r="T187" s="12">
        <v>6.879999999999999</v>
      </c>
      <c r="U187" s="16">
        <v>39.091608929946119</v>
      </c>
      <c r="V187" s="72">
        <f>IFERROR(LOOKUP($C187,Actuals!$C$4:$C$79,Actuals!G$4:G$79),0)</f>
        <v>132.10434782608695</v>
      </c>
      <c r="W187" s="72">
        <f>IFERROR(LOOKUP($C187,Actuals!$C$4:$C$79,Actuals!H$4:H$79),0)</f>
        <v>8</v>
      </c>
      <c r="X187" s="72">
        <f>IFERROR(LOOKUP($C187,Actuals!$C$4:$C$79,Actuals!I$4:I$79),0)</f>
        <v>132.10434782608695</v>
      </c>
      <c r="Y187" s="72">
        <f>IFERROR(LOOKUP($C187,Actuals!$C$4:$C$79,Actuals!J$4:J$79),0)</f>
        <v>8</v>
      </c>
    </row>
    <row r="188" spans="1:25" ht="16.5" customHeight="1" x14ac:dyDescent="0.35">
      <c r="A188" s="3" t="s">
        <v>35</v>
      </c>
      <c r="B188" s="4">
        <v>102</v>
      </c>
      <c r="C188" s="5">
        <v>39421</v>
      </c>
      <c r="D188" s="3" t="s">
        <v>189</v>
      </c>
      <c r="E188" s="6">
        <v>28.99</v>
      </c>
      <c r="F188" s="21">
        <v>15.703250000000001</v>
      </c>
      <c r="G188" s="22">
        <v>0</v>
      </c>
      <c r="H188" s="24">
        <f t="shared" si="11"/>
        <v>0</v>
      </c>
      <c r="I188" s="24">
        <f t="shared" si="12"/>
        <v>0</v>
      </c>
      <c r="J188" s="24">
        <f t="shared" si="13"/>
        <v>0</v>
      </c>
      <c r="K188" s="25">
        <f t="shared" si="15"/>
        <v>0</v>
      </c>
      <c r="L188" s="21"/>
      <c r="M188" s="12">
        <v>285</v>
      </c>
      <c r="N188" s="12">
        <v>247.82608695652172</v>
      </c>
      <c r="O188" s="12">
        <v>156.91999999999999</v>
      </c>
      <c r="P188" s="9">
        <v>12</v>
      </c>
      <c r="Q188" s="12">
        <v>90.906086956521733</v>
      </c>
      <c r="R188" s="12">
        <v>23.75</v>
      </c>
      <c r="S188" s="12">
        <v>20.652173913043477</v>
      </c>
      <c r="T188" s="12">
        <v>13.076666666666666</v>
      </c>
      <c r="U188" s="16">
        <v>36.681403508771929</v>
      </c>
      <c r="V188" s="72">
        <f>IFERROR(LOOKUP($C188,Actuals!$C$4:$C$79,Actuals!G$4:G$79),0)</f>
        <v>132.10434782608695</v>
      </c>
      <c r="W188" s="72">
        <f>IFERROR(LOOKUP($C188,Actuals!$C$4:$C$79,Actuals!H$4:H$79),0)</f>
        <v>8</v>
      </c>
      <c r="X188" s="72">
        <f>IFERROR(LOOKUP($C188,Actuals!$C$4:$C$79,Actuals!I$4:I$79),0)</f>
        <v>132.10434782608695</v>
      </c>
      <c r="Y188" s="72">
        <f>IFERROR(LOOKUP($C188,Actuals!$C$4:$C$79,Actuals!J$4:J$79),0)</f>
        <v>8</v>
      </c>
    </row>
    <row r="189" spans="1:25" ht="16.5" customHeight="1" x14ac:dyDescent="0.35">
      <c r="A189" s="3" t="s">
        <v>19</v>
      </c>
      <c r="B189" s="4">
        <v>102</v>
      </c>
      <c r="C189" s="5">
        <v>39963</v>
      </c>
      <c r="D189" s="3" t="s">
        <v>190</v>
      </c>
      <c r="E189" s="6">
        <v>5.4</v>
      </c>
      <c r="F189" s="21">
        <v>2.6173000000000002</v>
      </c>
      <c r="G189" s="22">
        <v>0</v>
      </c>
      <c r="H189" s="24">
        <f t="shared" si="11"/>
        <v>0</v>
      </c>
      <c r="I189" s="24">
        <f t="shared" si="12"/>
        <v>0</v>
      </c>
      <c r="J189" s="24">
        <f t="shared" si="13"/>
        <v>0</v>
      </c>
      <c r="K189" s="25">
        <f t="shared" si="15"/>
        <v>0</v>
      </c>
      <c r="L189" s="21"/>
      <c r="M189" s="12">
        <v>279.95999999999998</v>
      </c>
      <c r="N189" s="12">
        <v>243.44347826086954</v>
      </c>
      <c r="O189" s="12">
        <v>149.52000000000001</v>
      </c>
      <c r="P189" s="9">
        <v>4</v>
      </c>
      <c r="Q189" s="12">
        <v>93.923478260869558</v>
      </c>
      <c r="R189" s="12">
        <v>69.989999999999995</v>
      </c>
      <c r="S189" s="12">
        <v>60.860869565217385</v>
      </c>
      <c r="T189" s="12">
        <v>37.380000000000003</v>
      </c>
      <c r="U189" s="16">
        <v>38.581225889412771</v>
      </c>
      <c r="V189" s="72">
        <f>IFERROR(LOOKUP($C189,Actuals!$C$4:$C$79,Actuals!G$4:G$79),0)</f>
        <v>13.904347826086957</v>
      </c>
      <c r="W189" s="72">
        <f>IFERROR(LOOKUP($C189,Actuals!$C$4:$C$79,Actuals!H$4:H$79),0)</f>
        <v>1</v>
      </c>
      <c r="X189" s="72">
        <f>IFERROR(LOOKUP($C189,Actuals!$C$4:$C$79,Actuals!I$4:I$79),0)</f>
        <v>13.904347826086957</v>
      </c>
      <c r="Y189" s="72">
        <f>IFERROR(LOOKUP($C189,Actuals!$C$4:$C$79,Actuals!J$4:J$79),0)</f>
        <v>1</v>
      </c>
    </row>
    <row r="190" spans="1:25" ht="16.5" customHeight="1" x14ac:dyDescent="0.35">
      <c r="A190" s="3" t="s">
        <v>35</v>
      </c>
      <c r="B190" s="4">
        <v>102</v>
      </c>
      <c r="C190" s="5">
        <v>39963</v>
      </c>
      <c r="D190" s="3" t="s">
        <v>190</v>
      </c>
      <c r="E190" s="6">
        <v>5.4</v>
      </c>
      <c r="F190" s="21">
        <v>2.9407999999999999</v>
      </c>
      <c r="G190" s="22">
        <v>0</v>
      </c>
      <c r="H190" s="24">
        <f t="shared" si="11"/>
        <v>0</v>
      </c>
      <c r="I190" s="24">
        <f t="shared" si="12"/>
        <v>0</v>
      </c>
      <c r="J190" s="24">
        <f t="shared" si="13"/>
        <v>0</v>
      </c>
      <c r="K190" s="25">
        <f t="shared" si="15"/>
        <v>0</v>
      </c>
      <c r="L190" s="21"/>
      <c r="M190" s="12">
        <v>271.03000000000003</v>
      </c>
      <c r="N190" s="12">
        <v>235.67826086956524</v>
      </c>
      <c r="O190" s="12">
        <v>141.27000000000001</v>
      </c>
      <c r="P190" s="9">
        <v>17</v>
      </c>
      <c r="Q190" s="12">
        <v>94.408260869565225</v>
      </c>
      <c r="R190" s="12">
        <v>15.94294117647059</v>
      </c>
      <c r="S190" s="12">
        <v>13.863427109974426</v>
      </c>
      <c r="T190" s="12">
        <v>8.31</v>
      </c>
      <c r="U190" s="16">
        <v>40.058111648157031</v>
      </c>
      <c r="V190" s="72">
        <f>IFERROR(LOOKUP($C190,Actuals!$C$4:$C$79,Actuals!G$4:G$79),0)</f>
        <v>13.904347826086957</v>
      </c>
      <c r="W190" s="72">
        <f>IFERROR(LOOKUP($C190,Actuals!$C$4:$C$79,Actuals!H$4:H$79),0)</f>
        <v>1</v>
      </c>
      <c r="X190" s="72">
        <f>IFERROR(LOOKUP($C190,Actuals!$C$4:$C$79,Actuals!I$4:I$79),0)</f>
        <v>13.904347826086957</v>
      </c>
      <c r="Y190" s="72">
        <f>IFERROR(LOOKUP($C190,Actuals!$C$4:$C$79,Actuals!J$4:J$79),0)</f>
        <v>1</v>
      </c>
    </row>
    <row r="191" spans="1:25" ht="16.5" customHeight="1" x14ac:dyDescent="0.35">
      <c r="A191" s="3" t="s">
        <v>19</v>
      </c>
      <c r="B191" s="4">
        <v>102</v>
      </c>
      <c r="C191" s="5">
        <v>40364</v>
      </c>
      <c r="D191" s="3" t="s">
        <v>191</v>
      </c>
      <c r="E191" s="6">
        <v>4.99</v>
      </c>
      <c r="F191" s="21">
        <v>2.5465</v>
      </c>
      <c r="G191" s="22">
        <v>0</v>
      </c>
      <c r="H191" s="24">
        <f t="shared" si="11"/>
        <v>0</v>
      </c>
      <c r="I191" s="24">
        <f t="shared" si="12"/>
        <v>0</v>
      </c>
      <c r="J191" s="24">
        <f t="shared" si="13"/>
        <v>0</v>
      </c>
      <c r="K191" s="25">
        <f t="shared" si="15"/>
        <v>0</v>
      </c>
      <c r="L191" s="21"/>
      <c r="M191" s="12">
        <v>270</v>
      </c>
      <c r="N191" s="12">
        <v>234.78260869565219</v>
      </c>
      <c r="O191" s="12">
        <v>239.76</v>
      </c>
      <c r="P191" s="9">
        <v>9</v>
      </c>
      <c r="Q191" s="12">
        <v>-4.9773913043478046</v>
      </c>
      <c r="R191" s="12">
        <v>30</v>
      </c>
      <c r="S191" s="12">
        <v>26.086956521739133</v>
      </c>
      <c r="T191" s="12">
        <v>26.64</v>
      </c>
      <c r="U191" s="16">
        <v>-2.1199999999999908</v>
      </c>
      <c r="V191" s="72">
        <f>IFERROR(LOOKUP($C191,Actuals!$C$4:$C$79,Actuals!G$4:G$79),0)</f>
        <v>17.373913043478261</v>
      </c>
      <c r="W191" s="72">
        <f>IFERROR(LOOKUP($C191,Actuals!$C$4:$C$79,Actuals!H$4:H$79),0)</f>
        <v>2</v>
      </c>
      <c r="X191" s="72">
        <f>IFERROR(LOOKUP($C191,Actuals!$C$4:$C$79,Actuals!I$4:I$79),0)</f>
        <v>86.869565217391312</v>
      </c>
      <c r="Y191" s="72">
        <f>IFERROR(LOOKUP($C191,Actuals!$C$4:$C$79,Actuals!J$4:J$79),0)</f>
        <v>10</v>
      </c>
    </row>
    <row r="192" spans="1:25" ht="16.5" customHeight="1" x14ac:dyDescent="0.35">
      <c r="A192" s="3" t="s">
        <v>35</v>
      </c>
      <c r="B192" s="4">
        <v>102</v>
      </c>
      <c r="C192" s="5">
        <v>40364</v>
      </c>
      <c r="D192" s="3" t="s">
        <v>191</v>
      </c>
      <c r="E192" s="6">
        <v>4.99</v>
      </c>
      <c r="F192" s="21">
        <v>2.8072499999999998</v>
      </c>
      <c r="G192" s="22">
        <v>0</v>
      </c>
      <c r="H192" s="24">
        <f t="shared" si="11"/>
        <v>0</v>
      </c>
      <c r="I192" s="24">
        <f t="shared" si="12"/>
        <v>0</v>
      </c>
      <c r="J192" s="24">
        <f t="shared" si="13"/>
        <v>0</v>
      </c>
      <c r="K192" s="25">
        <f t="shared" si="15"/>
        <v>0</v>
      </c>
      <c r="L192" s="21"/>
      <c r="M192" s="12">
        <v>269.90999999999997</v>
      </c>
      <c r="N192" s="12">
        <v>234.70434782608692</v>
      </c>
      <c r="O192" s="12">
        <v>260.55</v>
      </c>
      <c r="P192" s="9">
        <v>9</v>
      </c>
      <c r="Q192" s="12">
        <v>-25.845652173913066</v>
      </c>
      <c r="R192" s="12">
        <v>29.989999999999995</v>
      </c>
      <c r="S192" s="12">
        <v>26.078260869565213</v>
      </c>
      <c r="T192" s="12">
        <v>28.950000000000003</v>
      </c>
      <c r="U192" s="16">
        <v>-11.012004001333789</v>
      </c>
      <c r="V192" s="72">
        <f>IFERROR(LOOKUP($C192,Actuals!$C$4:$C$79,Actuals!G$4:G$79),0)</f>
        <v>17.373913043478261</v>
      </c>
      <c r="W192" s="72">
        <f>IFERROR(LOOKUP($C192,Actuals!$C$4:$C$79,Actuals!H$4:H$79),0)</f>
        <v>2</v>
      </c>
      <c r="X192" s="72">
        <f>IFERROR(LOOKUP($C192,Actuals!$C$4:$C$79,Actuals!I$4:I$79),0)</f>
        <v>86.869565217391312</v>
      </c>
      <c r="Y192" s="72">
        <f>IFERROR(LOOKUP($C192,Actuals!$C$4:$C$79,Actuals!J$4:J$79),0)</f>
        <v>10</v>
      </c>
    </row>
    <row r="193" spans="1:25" ht="16.5" customHeight="1" x14ac:dyDescent="0.35">
      <c r="A193" s="3" t="s">
        <v>19</v>
      </c>
      <c r="B193" s="4">
        <v>102</v>
      </c>
      <c r="C193" s="5">
        <v>48683</v>
      </c>
      <c r="D193" s="3" t="s">
        <v>192</v>
      </c>
      <c r="E193" s="6">
        <v>11.99</v>
      </c>
      <c r="F193" s="21">
        <v>6.2521428571428599</v>
      </c>
      <c r="G193" s="22">
        <v>0</v>
      </c>
      <c r="H193" s="24">
        <f t="shared" si="11"/>
        <v>0</v>
      </c>
      <c r="I193" s="24">
        <f t="shared" si="12"/>
        <v>0</v>
      </c>
      <c r="J193" s="24">
        <f t="shared" si="13"/>
        <v>0</v>
      </c>
      <c r="K193" s="25">
        <f t="shared" si="15"/>
        <v>0</v>
      </c>
      <c r="L193" s="21"/>
      <c r="M193" s="12">
        <v>259.89999999999998</v>
      </c>
      <c r="N193" s="12">
        <v>225.99999999999997</v>
      </c>
      <c r="O193" s="12">
        <v>131.9</v>
      </c>
      <c r="P193" s="9">
        <v>10</v>
      </c>
      <c r="Q193" s="12">
        <v>94.099999999999966</v>
      </c>
      <c r="R193" s="12">
        <v>25.99</v>
      </c>
      <c r="S193" s="12">
        <v>22.599999999999998</v>
      </c>
      <c r="T193" s="12">
        <v>13.190000000000001</v>
      </c>
      <c r="U193" s="16">
        <v>41.637168141592909</v>
      </c>
      <c r="V193" s="72">
        <f>IFERROR(LOOKUP($C193,Actuals!$C$4:$C$79,Actuals!G$4:G$79),0)</f>
        <v>0</v>
      </c>
      <c r="W193" s="72">
        <f>IFERROR(LOOKUP($C193,Actuals!$C$4:$C$79,Actuals!H$4:H$79),0)</f>
        <v>0</v>
      </c>
      <c r="X193" s="72">
        <f>IFERROR(LOOKUP($C193,Actuals!$C$4:$C$79,Actuals!I$4:I$79),0)</f>
        <v>33.03478260869565</v>
      </c>
      <c r="Y193" s="72">
        <f>IFERROR(LOOKUP($C193,Actuals!$C$4:$C$79,Actuals!J$4:J$79),0)</f>
        <v>1</v>
      </c>
    </row>
    <row r="194" spans="1:25" ht="16.5" customHeight="1" x14ac:dyDescent="0.35">
      <c r="A194" s="3" t="s">
        <v>35</v>
      </c>
      <c r="B194" s="4">
        <v>102</v>
      </c>
      <c r="C194" s="5">
        <v>48683</v>
      </c>
      <c r="D194" s="3" t="s">
        <v>192</v>
      </c>
      <c r="E194" s="6">
        <v>11.99</v>
      </c>
      <c r="F194" s="21">
        <v>6.6272857142857102</v>
      </c>
      <c r="G194" s="22">
        <v>0</v>
      </c>
      <c r="H194" s="24">
        <f t="shared" si="11"/>
        <v>0</v>
      </c>
      <c r="I194" s="24">
        <f t="shared" si="12"/>
        <v>0</v>
      </c>
      <c r="J194" s="24">
        <f t="shared" si="13"/>
        <v>0</v>
      </c>
      <c r="K194" s="25">
        <f t="shared" si="15"/>
        <v>0</v>
      </c>
      <c r="L194" s="21"/>
      <c r="M194" s="12">
        <v>244.5</v>
      </c>
      <c r="N194" s="12">
        <v>212.60869565217391</v>
      </c>
      <c r="O194" s="12">
        <v>96.17</v>
      </c>
      <c r="P194" s="9">
        <v>163</v>
      </c>
      <c r="Q194" s="12">
        <v>116.43869565217391</v>
      </c>
      <c r="R194" s="12">
        <v>1.5</v>
      </c>
      <c r="S194" s="12">
        <v>1.3043478260869565</v>
      </c>
      <c r="T194" s="12">
        <v>0.59</v>
      </c>
      <c r="U194" s="16">
        <v>54.766666666666666</v>
      </c>
      <c r="V194" s="72">
        <f>IFERROR(LOOKUP($C194,Actuals!$C$4:$C$79,Actuals!G$4:G$79),0)</f>
        <v>0</v>
      </c>
      <c r="W194" s="72">
        <f>IFERROR(LOOKUP($C194,Actuals!$C$4:$C$79,Actuals!H$4:H$79),0)</f>
        <v>0</v>
      </c>
      <c r="X194" s="72">
        <f>IFERROR(LOOKUP($C194,Actuals!$C$4:$C$79,Actuals!I$4:I$79),0)</f>
        <v>33.03478260869565</v>
      </c>
      <c r="Y194" s="72">
        <f>IFERROR(LOOKUP($C194,Actuals!$C$4:$C$79,Actuals!J$4:J$79),0)</f>
        <v>1</v>
      </c>
    </row>
    <row r="195" spans="1:25" ht="16.5" customHeight="1" x14ac:dyDescent="0.35">
      <c r="A195" s="3" t="s">
        <v>19</v>
      </c>
      <c r="B195" s="4">
        <v>102</v>
      </c>
      <c r="C195" s="5">
        <v>54652</v>
      </c>
      <c r="D195" s="3" t="s">
        <v>193</v>
      </c>
      <c r="E195" s="6">
        <v>21.99</v>
      </c>
      <c r="F195" s="21">
        <v>8.2398749999999996</v>
      </c>
      <c r="G195" s="22">
        <v>0</v>
      </c>
      <c r="H195" s="24">
        <f t="shared" si="11"/>
        <v>0</v>
      </c>
      <c r="I195" s="24">
        <f t="shared" si="12"/>
        <v>0</v>
      </c>
      <c r="J195" s="24">
        <f t="shared" si="13"/>
        <v>0</v>
      </c>
      <c r="K195" s="25">
        <f t="shared" si="15"/>
        <v>0</v>
      </c>
      <c r="L195" s="21"/>
      <c r="M195" s="12">
        <v>215.64000000000001</v>
      </c>
      <c r="N195" s="12">
        <v>187.5130434782609</v>
      </c>
      <c r="O195" s="12">
        <v>91.08</v>
      </c>
      <c r="P195" s="9">
        <v>36</v>
      </c>
      <c r="Q195" s="12">
        <v>96.433043478260871</v>
      </c>
      <c r="R195" s="12">
        <v>5.99</v>
      </c>
      <c r="S195" s="12">
        <v>5.2086956521739136</v>
      </c>
      <c r="T195" s="12">
        <v>2.5299999999999998</v>
      </c>
      <c r="U195" s="16">
        <v>51.427378964941575</v>
      </c>
      <c r="V195" s="72">
        <f>IFERROR(LOOKUP($C195,Actuals!$C$4:$C$79,Actuals!G$4:G$79),0)</f>
        <v>132.10434782608695</v>
      </c>
      <c r="W195" s="72">
        <f>IFERROR(LOOKUP($C195,Actuals!$C$4:$C$79,Actuals!H$4:H$79),0)</f>
        <v>8</v>
      </c>
      <c r="X195" s="72">
        <f>IFERROR(LOOKUP($C195,Actuals!$C$4:$C$79,Actuals!I$4:I$79),0)</f>
        <v>49.539130434782606</v>
      </c>
      <c r="Y195" s="72">
        <f>IFERROR(LOOKUP($C195,Actuals!$C$4:$C$79,Actuals!J$4:J$79),0)</f>
        <v>3</v>
      </c>
    </row>
    <row r="196" spans="1:25" ht="16.5" customHeight="1" x14ac:dyDescent="0.35">
      <c r="A196" s="3" t="s">
        <v>35</v>
      </c>
      <c r="B196" s="4">
        <v>102</v>
      </c>
      <c r="C196" s="5">
        <v>54652</v>
      </c>
      <c r="D196" s="3" t="s">
        <v>193</v>
      </c>
      <c r="E196" s="6">
        <v>21.99</v>
      </c>
      <c r="F196" s="21">
        <v>10.989750000000001</v>
      </c>
      <c r="G196" s="22">
        <v>0</v>
      </c>
      <c r="H196" s="24">
        <f t="shared" ref="H196:H259" si="16">E196*G196</f>
        <v>0</v>
      </c>
      <c r="I196" s="24">
        <f t="shared" ref="I196:I259" si="17">F196*G196</f>
        <v>0</v>
      </c>
      <c r="J196" s="24">
        <f t="shared" ref="J196:J259" si="18">H196-I196</f>
        <v>0</v>
      </c>
      <c r="K196" s="25">
        <f t="shared" si="15"/>
        <v>0</v>
      </c>
      <c r="L196" s="21"/>
      <c r="M196" s="12">
        <v>201.39999999999998</v>
      </c>
      <c r="N196" s="12">
        <v>175.13043478260869</v>
      </c>
      <c r="O196" s="12">
        <v>110.10538000000001</v>
      </c>
      <c r="P196" s="9">
        <v>2.0139999999999998</v>
      </c>
      <c r="Q196" s="12">
        <v>65.025054782608677</v>
      </c>
      <c r="R196" s="12">
        <v>99.999999999999972</v>
      </c>
      <c r="S196" s="12">
        <v>86.956521739130423</v>
      </c>
      <c r="T196" s="12">
        <v>54.67</v>
      </c>
      <c r="U196" s="16">
        <v>37.129499999999993</v>
      </c>
      <c r="V196" s="72">
        <f>IFERROR(LOOKUP($C196,Actuals!$C$4:$C$79,Actuals!G$4:G$79),0)</f>
        <v>132.10434782608695</v>
      </c>
      <c r="W196" s="72">
        <f>IFERROR(LOOKUP($C196,Actuals!$C$4:$C$79,Actuals!H$4:H$79),0)</f>
        <v>8</v>
      </c>
      <c r="X196" s="72">
        <f>IFERROR(LOOKUP($C196,Actuals!$C$4:$C$79,Actuals!I$4:I$79),0)</f>
        <v>49.539130434782606</v>
      </c>
      <c r="Y196" s="72">
        <f>IFERROR(LOOKUP($C196,Actuals!$C$4:$C$79,Actuals!J$4:J$79),0)</f>
        <v>3</v>
      </c>
    </row>
    <row r="197" spans="1:25" ht="16.5" customHeight="1" x14ac:dyDescent="0.35">
      <c r="A197" s="3" t="s">
        <v>19</v>
      </c>
      <c r="B197" s="4">
        <v>102</v>
      </c>
      <c r="C197" s="5">
        <v>56514</v>
      </c>
      <c r="D197" s="3" t="s">
        <v>194</v>
      </c>
      <c r="E197" s="6">
        <v>269.99</v>
      </c>
      <c r="F197" s="21">
        <v>141.47833333333301</v>
      </c>
      <c r="G197" s="22">
        <v>0</v>
      </c>
      <c r="H197" s="24">
        <f t="shared" si="16"/>
        <v>0</v>
      </c>
      <c r="I197" s="24">
        <f t="shared" si="17"/>
        <v>0</v>
      </c>
      <c r="J197" s="24">
        <f t="shared" si="18"/>
        <v>0</v>
      </c>
      <c r="K197" s="25">
        <f t="shared" si="15"/>
        <v>0</v>
      </c>
      <c r="L197" s="21"/>
      <c r="M197" s="12">
        <v>199.95000000000002</v>
      </c>
      <c r="N197" s="12">
        <v>173.86956521739131</v>
      </c>
      <c r="O197" s="12">
        <v>80.5</v>
      </c>
      <c r="P197" s="9">
        <v>5</v>
      </c>
      <c r="Q197" s="12">
        <v>93.369565217391312</v>
      </c>
      <c r="R197" s="12">
        <v>39.99</v>
      </c>
      <c r="S197" s="12">
        <v>34.77391304347826</v>
      </c>
      <c r="T197" s="12">
        <v>16.100000000000001</v>
      </c>
      <c r="U197" s="16">
        <v>53.700925231307828</v>
      </c>
      <c r="V197" s="72">
        <f>IFERROR(LOOKUP($C197,Actuals!$C$4:$C$79,Actuals!G$4:G$79),0)</f>
        <v>83.408695652173918</v>
      </c>
      <c r="W197" s="72">
        <f>IFERROR(LOOKUP($C197,Actuals!$C$4:$C$79,Actuals!H$4:H$79),0)</f>
        <v>8</v>
      </c>
      <c r="X197" s="72">
        <f>IFERROR(LOOKUP($C197,Actuals!$C$4:$C$79,Actuals!I$4:I$79),0)</f>
        <v>52.130434782608695</v>
      </c>
      <c r="Y197" s="72">
        <f>IFERROR(LOOKUP($C197,Actuals!$C$4:$C$79,Actuals!J$4:J$79),0)</f>
        <v>5</v>
      </c>
    </row>
    <row r="198" spans="1:25" ht="16.5" customHeight="1" x14ac:dyDescent="0.35">
      <c r="A198" s="3" t="s">
        <v>19</v>
      </c>
      <c r="B198" s="4">
        <v>102</v>
      </c>
      <c r="C198" s="5">
        <v>61923</v>
      </c>
      <c r="D198" s="3" t="s">
        <v>195</v>
      </c>
      <c r="E198" s="6">
        <v>79.989999999999995</v>
      </c>
      <c r="F198" s="21">
        <v>41.475000000000001</v>
      </c>
      <c r="G198" s="22">
        <v>0</v>
      </c>
      <c r="H198" s="24">
        <f t="shared" si="16"/>
        <v>0</v>
      </c>
      <c r="I198" s="24">
        <f t="shared" si="17"/>
        <v>0</v>
      </c>
      <c r="J198" s="24">
        <f t="shared" si="18"/>
        <v>0</v>
      </c>
      <c r="K198" s="25">
        <f t="shared" si="15"/>
        <v>0</v>
      </c>
      <c r="L198" s="21"/>
      <c r="M198" s="12">
        <v>199.9</v>
      </c>
      <c r="N198" s="12">
        <v>173.82608695652175</v>
      </c>
      <c r="O198" s="12">
        <v>153.9</v>
      </c>
      <c r="P198" s="9">
        <v>10</v>
      </c>
      <c r="Q198" s="12">
        <v>19.926086956521743</v>
      </c>
      <c r="R198" s="12">
        <v>19.990000000000002</v>
      </c>
      <c r="S198" s="12">
        <v>17.382608695652173</v>
      </c>
      <c r="T198" s="12">
        <v>15.39</v>
      </c>
      <c r="U198" s="16">
        <v>11.463231615807906</v>
      </c>
      <c r="V198" s="72">
        <f>IFERROR(LOOKUP($C198,Actuals!$C$4:$C$79,Actuals!G$4:G$79),0)</f>
        <v>0</v>
      </c>
      <c r="W198" s="72">
        <f>IFERROR(LOOKUP($C198,Actuals!$C$4:$C$79,Actuals!H$4:H$79),0)</f>
        <v>0</v>
      </c>
      <c r="X198" s="72">
        <f>IFERROR(LOOKUP($C198,Actuals!$C$4:$C$79,Actuals!I$4:I$79),0)</f>
        <v>10.417391304347827</v>
      </c>
      <c r="Y198" s="72">
        <f>IFERROR(LOOKUP($C198,Actuals!$C$4:$C$79,Actuals!J$4:J$79),0)</f>
        <v>2</v>
      </c>
    </row>
    <row r="199" spans="1:25" ht="16.5" customHeight="1" x14ac:dyDescent="0.35">
      <c r="A199" s="3" t="s">
        <v>19</v>
      </c>
      <c r="B199" s="4">
        <v>102</v>
      </c>
      <c r="C199" s="5">
        <v>61925</v>
      </c>
      <c r="D199" s="3" t="s">
        <v>196</v>
      </c>
      <c r="E199" s="6">
        <v>79.989999999999995</v>
      </c>
      <c r="F199" s="21">
        <v>41.475000000000001</v>
      </c>
      <c r="G199" s="22">
        <v>0</v>
      </c>
      <c r="H199" s="24">
        <f t="shared" si="16"/>
        <v>0</v>
      </c>
      <c r="I199" s="24">
        <f t="shared" si="17"/>
        <v>0</v>
      </c>
      <c r="J199" s="24">
        <f t="shared" si="18"/>
        <v>0</v>
      </c>
      <c r="K199" s="25">
        <f t="shared" si="15"/>
        <v>0</v>
      </c>
      <c r="L199" s="21"/>
      <c r="M199" s="12">
        <v>197.67</v>
      </c>
      <c r="N199" s="12">
        <v>171.88695652173914</v>
      </c>
      <c r="O199" s="12">
        <v>102.30000000000001</v>
      </c>
      <c r="P199" s="9">
        <v>33</v>
      </c>
      <c r="Q199" s="12">
        <v>69.586956521739097</v>
      </c>
      <c r="R199" s="12">
        <v>5.9899999999999993</v>
      </c>
      <c r="S199" s="12">
        <v>5.2086956521739136</v>
      </c>
      <c r="T199" s="12">
        <v>3.1000000000000005</v>
      </c>
      <c r="U199" s="16">
        <v>40.484140233722862</v>
      </c>
      <c r="V199" s="72">
        <f>IFERROR(LOOKUP($C199,Actuals!$C$4:$C$79,Actuals!G$4:G$79),0)</f>
        <v>0</v>
      </c>
      <c r="W199" s="72">
        <f>IFERROR(LOOKUP($C199,Actuals!$C$4:$C$79,Actuals!H$4:H$79),0)</f>
        <v>0</v>
      </c>
      <c r="X199" s="72">
        <f>IFERROR(LOOKUP($C199,Actuals!$C$4:$C$79,Actuals!I$4:I$79),0)</f>
        <v>10.417391304347827</v>
      </c>
      <c r="Y199" s="72">
        <f>IFERROR(LOOKUP($C199,Actuals!$C$4:$C$79,Actuals!J$4:J$79),0)</f>
        <v>2</v>
      </c>
    </row>
    <row r="200" spans="1:25" ht="16.5" customHeight="1" x14ac:dyDescent="0.35">
      <c r="A200" s="3" t="s">
        <v>19</v>
      </c>
      <c r="B200" s="4">
        <v>102</v>
      </c>
      <c r="C200" s="5">
        <v>61926</v>
      </c>
      <c r="D200" s="3" t="s">
        <v>197</v>
      </c>
      <c r="E200" s="6">
        <v>79.989999999999995</v>
      </c>
      <c r="F200" s="21">
        <v>41.475000000000001</v>
      </c>
      <c r="G200" s="22">
        <v>0</v>
      </c>
      <c r="H200" s="24">
        <f t="shared" si="16"/>
        <v>0</v>
      </c>
      <c r="I200" s="24">
        <f t="shared" si="17"/>
        <v>0</v>
      </c>
      <c r="J200" s="24">
        <f t="shared" si="18"/>
        <v>0</v>
      </c>
      <c r="K200" s="25">
        <f t="shared" si="15"/>
        <v>0</v>
      </c>
      <c r="L200" s="21"/>
      <c r="M200" s="12">
        <v>186.92000000000002</v>
      </c>
      <c r="N200" s="12">
        <v>162.53913043478263</v>
      </c>
      <c r="O200" s="12">
        <v>101.17701</v>
      </c>
      <c r="P200" s="9">
        <v>14</v>
      </c>
      <c r="Q200" s="12">
        <v>61.362120434782639</v>
      </c>
      <c r="R200" s="12">
        <v>13.351428571428572</v>
      </c>
      <c r="S200" s="12">
        <v>11.609937888198759</v>
      </c>
      <c r="T200" s="12">
        <v>7.2269292857142853</v>
      </c>
      <c r="U200" s="16">
        <v>37.75221404879094</v>
      </c>
      <c r="V200" s="72">
        <f>IFERROR(LOOKUP($C200,Actuals!$C$4:$C$79,Actuals!G$4:G$79),0)</f>
        <v>0</v>
      </c>
      <c r="W200" s="72">
        <f>IFERROR(LOOKUP($C200,Actuals!$C$4:$C$79,Actuals!H$4:H$79),0)</f>
        <v>0</v>
      </c>
      <c r="X200" s="72">
        <f>IFERROR(LOOKUP($C200,Actuals!$C$4:$C$79,Actuals!I$4:I$79),0)</f>
        <v>10.417391304347827</v>
      </c>
      <c r="Y200" s="72">
        <f>IFERROR(LOOKUP($C200,Actuals!$C$4:$C$79,Actuals!J$4:J$79),0)</f>
        <v>2</v>
      </c>
    </row>
    <row r="201" spans="1:25" ht="16.5" customHeight="1" x14ac:dyDescent="0.35">
      <c r="A201" s="3" t="s">
        <v>35</v>
      </c>
      <c r="B201" s="4">
        <v>102</v>
      </c>
      <c r="C201" s="5">
        <v>63898</v>
      </c>
      <c r="D201" s="3" t="s">
        <v>198</v>
      </c>
      <c r="E201" s="6">
        <v>330.99</v>
      </c>
      <c r="F201" s="21">
        <v>179.16</v>
      </c>
      <c r="G201" s="22">
        <v>0</v>
      </c>
      <c r="H201" s="24">
        <f t="shared" si="16"/>
        <v>0</v>
      </c>
      <c r="I201" s="24">
        <f t="shared" si="17"/>
        <v>0</v>
      </c>
      <c r="J201" s="24">
        <f t="shared" si="18"/>
        <v>0</v>
      </c>
      <c r="K201" s="25">
        <f t="shared" si="15"/>
        <v>0</v>
      </c>
      <c r="L201" s="21"/>
      <c r="M201" s="12">
        <v>163.19999999999999</v>
      </c>
      <c r="N201" s="12">
        <v>141.91304347826087</v>
      </c>
      <c r="O201" s="12">
        <v>82.62</v>
      </c>
      <c r="P201" s="9">
        <v>51</v>
      </c>
      <c r="Q201" s="12">
        <v>59.293043478260842</v>
      </c>
      <c r="R201" s="12">
        <v>3.1999999999999997</v>
      </c>
      <c r="S201" s="12">
        <v>2.7826086956521738</v>
      </c>
      <c r="T201" s="12">
        <v>1.62</v>
      </c>
      <c r="U201" s="16">
        <v>41.781249999999986</v>
      </c>
      <c r="V201" s="72">
        <f>IFERROR(LOOKUP($C201,Actuals!$C$4:$C$79,Actuals!G$4:G$79),0)</f>
        <v>0</v>
      </c>
      <c r="W201" s="72">
        <f>IFERROR(LOOKUP($C201,Actuals!$C$4:$C$79,Actuals!H$4:H$79),0)</f>
        <v>0</v>
      </c>
      <c r="X201" s="72">
        <f>IFERROR(LOOKUP($C201,Actuals!$C$4:$C$79,Actuals!I$4:I$79),0)</f>
        <v>1043.4782608695652</v>
      </c>
      <c r="Y201" s="72">
        <f>IFERROR(LOOKUP($C201,Actuals!$C$4:$C$79,Actuals!J$4:J$79),0)</f>
        <v>20</v>
      </c>
    </row>
    <row r="202" spans="1:25" ht="16.5" customHeight="1" x14ac:dyDescent="0.35">
      <c r="A202" s="3" t="s">
        <v>35</v>
      </c>
      <c r="B202" s="4">
        <v>102</v>
      </c>
      <c r="C202" s="5">
        <v>66308</v>
      </c>
      <c r="D202" s="3" t="s">
        <v>199</v>
      </c>
      <c r="E202" s="6">
        <v>10.85</v>
      </c>
      <c r="F202" s="21">
        <v>5.6589999999999998</v>
      </c>
      <c r="G202" s="22">
        <v>0</v>
      </c>
      <c r="H202" s="24">
        <f t="shared" si="16"/>
        <v>0</v>
      </c>
      <c r="I202" s="24">
        <f t="shared" si="17"/>
        <v>0</v>
      </c>
      <c r="J202" s="24">
        <f t="shared" si="18"/>
        <v>0</v>
      </c>
      <c r="K202" s="25">
        <f t="shared" si="15"/>
        <v>0</v>
      </c>
      <c r="L202" s="21"/>
      <c r="M202" s="12">
        <v>160</v>
      </c>
      <c r="N202" s="12">
        <v>139.13043478260869</v>
      </c>
      <c r="O202" s="12">
        <v>72.88</v>
      </c>
      <c r="P202" s="9">
        <v>1</v>
      </c>
      <c r="Q202" s="12">
        <v>66.250434782608693</v>
      </c>
      <c r="R202" s="12">
        <v>160</v>
      </c>
      <c r="S202" s="12">
        <v>139.13043478260869</v>
      </c>
      <c r="T202" s="12">
        <v>72.88</v>
      </c>
      <c r="U202" s="16">
        <v>47.6175</v>
      </c>
      <c r="V202" s="72">
        <f>IFERROR(LOOKUP($C202,Actuals!$C$4:$C$79,Actuals!G$4:G$79),0)</f>
        <v>0</v>
      </c>
      <c r="W202" s="72">
        <f>IFERROR(LOOKUP($C202,Actuals!$C$4:$C$79,Actuals!H$4:H$79),0)</f>
        <v>0</v>
      </c>
      <c r="X202" s="72">
        <f>IFERROR(LOOKUP($C202,Actuals!$C$4:$C$79,Actuals!I$4:I$79),0)</f>
        <v>1043.4782608695652</v>
      </c>
      <c r="Y202" s="72">
        <f>IFERROR(LOOKUP($C202,Actuals!$C$4:$C$79,Actuals!J$4:J$79),0)</f>
        <v>20</v>
      </c>
    </row>
    <row r="203" spans="1:25" ht="16.5" customHeight="1" x14ac:dyDescent="0.35">
      <c r="A203" s="3" t="s">
        <v>14</v>
      </c>
      <c r="B203" s="4">
        <v>102</v>
      </c>
      <c r="C203" s="5">
        <v>67241</v>
      </c>
      <c r="D203" s="3" t="s">
        <v>200</v>
      </c>
      <c r="E203" s="6">
        <v>15.99</v>
      </c>
      <c r="F203" s="21">
        <v>6.2</v>
      </c>
      <c r="G203" s="22">
        <v>0</v>
      </c>
      <c r="H203" s="24">
        <f t="shared" si="16"/>
        <v>0</v>
      </c>
      <c r="I203" s="24">
        <f t="shared" si="17"/>
        <v>0</v>
      </c>
      <c r="J203" s="24">
        <f t="shared" si="18"/>
        <v>0</v>
      </c>
      <c r="K203" s="25">
        <f t="shared" si="15"/>
        <v>0</v>
      </c>
      <c r="L203" s="21"/>
      <c r="M203" s="12">
        <v>159.97999999999999</v>
      </c>
      <c r="N203" s="12">
        <v>139.11304347826086</v>
      </c>
      <c r="O203" s="12">
        <v>89.24</v>
      </c>
      <c r="P203" s="9">
        <v>2</v>
      </c>
      <c r="Q203" s="12">
        <v>49.873043478260868</v>
      </c>
      <c r="R203" s="12">
        <v>79.989999999999995</v>
      </c>
      <c r="S203" s="12">
        <v>69.556521739130432</v>
      </c>
      <c r="T203" s="12">
        <v>44.62</v>
      </c>
      <c r="U203" s="16">
        <v>35.850731341417678</v>
      </c>
      <c r="V203" s="72">
        <f>IFERROR(LOOKUP($C203,Actuals!$C$4:$C$79,Actuals!G$4:G$79),0)</f>
        <v>0</v>
      </c>
      <c r="W203" s="72">
        <f>IFERROR(LOOKUP($C203,Actuals!$C$4:$C$79,Actuals!H$4:H$79),0)</f>
        <v>0</v>
      </c>
      <c r="X203" s="72">
        <f>IFERROR(LOOKUP($C203,Actuals!$C$4:$C$79,Actuals!I$4:I$79),0)</f>
        <v>1043.4782608695652</v>
      </c>
      <c r="Y203" s="72">
        <f>IFERROR(LOOKUP($C203,Actuals!$C$4:$C$79,Actuals!J$4:J$79),0)</f>
        <v>20</v>
      </c>
    </row>
    <row r="204" spans="1:25" ht="16.5" customHeight="1" x14ac:dyDescent="0.35">
      <c r="A204" s="3" t="s">
        <v>14</v>
      </c>
      <c r="B204" s="4">
        <v>102</v>
      </c>
      <c r="C204" s="5">
        <v>67242</v>
      </c>
      <c r="D204" s="3" t="s">
        <v>201</v>
      </c>
      <c r="E204" s="6">
        <v>13.99</v>
      </c>
      <c r="F204" s="21">
        <v>3.8</v>
      </c>
      <c r="G204" s="22">
        <v>0</v>
      </c>
      <c r="H204" s="24">
        <f t="shared" si="16"/>
        <v>0</v>
      </c>
      <c r="I204" s="24">
        <f t="shared" si="17"/>
        <v>0</v>
      </c>
      <c r="J204" s="24">
        <f t="shared" si="18"/>
        <v>0</v>
      </c>
      <c r="K204" s="25">
        <f t="shared" si="15"/>
        <v>0</v>
      </c>
      <c r="L204" s="21"/>
      <c r="M204" s="12">
        <v>143.88</v>
      </c>
      <c r="N204" s="12">
        <v>125.11304347826086</v>
      </c>
      <c r="O204" s="12">
        <v>70.44</v>
      </c>
      <c r="P204" s="9">
        <v>12</v>
      </c>
      <c r="Q204" s="12">
        <v>54.673043478260865</v>
      </c>
      <c r="R204" s="12">
        <v>11.99</v>
      </c>
      <c r="S204" s="12">
        <v>10.426086956521738</v>
      </c>
      <c r="T204" s="12">
        <v>5.87</v>
      </c>
      <c r="U204" s="16">
        <v>43.69891576313595</v>
      </c>
      <c r="V204" s="72">
        <f>IFERROR(LOOKUP($C204,Actuals!$C$4:$C$79,Actuals!G$4:G$79),0)</f>
        <v>0</v>
      </c>
      <c r="W204" s="72">
        <f>IFERROR(LOOKUP($C204,Actuals!$C$4:$C$79,Actuals!H$4:H$79),0)</f>
        <v>0</v>
      </c>
      <c r="X204" s="72">
        <f>IFERROR(LOOKUP($C204,Actuals!$C$4:$C$79,Actuals!I$4:I$79),0)</f>
        <v>1043.4782608695652</v>
      </c>
      <c r="Y204" s="72">
        <f>IFERROR(LOOKUP($C204,Actuals!$C$4:$C$79,Actuals!J$4:J$79),0)</f>
        <v>20</v>
      </c>
    </row>
    <row r="205" spans="1:25" ht="16.5" customHeight="1" x14ac:dyDescent="0.35">
      <c r="A205" s="3" t="s">
        <v>14</v>
      </c>
      <c r="B205" s="4">
        <v>102</v>
      </c>
      <c r="C205" s="5">
        <v>67243</v>
      </c>
      <c r="D205" s="3" t="s">
        <v>202</v>
      </c>
      <c r="E205" s="6">
        <v>30.99</v>
      </c>
      <c r="F205" s="21">
        <v>9.5</v>
      </c>
      <c r="G205" s="22">
        <v>0</v>
      </c>
      <c r="H205" s="24">
        <f t="shared" si="16"/>
        <v>0</v>
      </c>
      <c r="I205" s="24">
        <f t="shared" si="17"/>
        <v>0</v>
      </c>
      <c r="J205" s="24">
        <f t="shared" si="18"/>
        <v>0</v>
      </c>
      <c r="K205" s="25">
        <f t="shared" si="15"/>
        <v>0</v>
      </c>
      <c r="L205" s="21"/>
      <c r="M205" s="12">
        <v>134.94999999999999</v>
      </c>
      <c r="N205" s="12">
        <v>117.34782608695652</v>
      </c>
      <c r="O205" s="12">
        <v>70.75</v>
      </c>
      <c r="P205" s="9">
        <v>5</v>
      </c>
      <c r="Q205" s="12">
        <v>46.597826086956502</v>
      </c>
      <c r="R205" s="12">
        <v>26.99</v>
      </c>
      <c r="S205" s="12">
        <v>23.469565217391303</v>
      </c>
      <c r="T205" s="12">
        <v>14.15</v>
      </c>
      <c r="U205" s="16">
        <v>39.709151537606516</v>
      </c>
      <c r="V205" s="72">
        <f>IFERROR(LOOKUP($C205,Actuals!$C$4:$C$79,Actuals!G$4:G$79),0)</f>
        <v>0</v>
      </c>
      <c r="W205" s="72">
        <f>IFERROR(LOOKUP($C205,Actuals!$C$4:$C$79,Actuals!H$4:H$79),0)</f>
        <v>0</v>
      </c>
      <c r="X205" s="72">
        <f>IFERROR(LOOKUP($C205,Actuals!$C$4:$C$79,Actuals!I$4:I$79),0)</f>
        <v>1043.4782608695652</v>
      </c>
      <c r="Y205" s="72">
        <f>IFERROR(LOOKUP($C205,Actuals!$C$4:$C$79,Actuals!J$4:J$79),0)</f>
        <v>20</v>
      </c>
    </row>
    <row r="206" spans="1:25" ht="16.5" customHeight="1" x14ac:dyDescent="0.35">
      <c r="A206" s="3" t="s">
        <v>14</v>
      </c>
      <c r="B206" s="4">
        <v>102</v>
      </c>
      <c r="C206" s="5">
        <v>67244</v>
      </c>
      <c r="D206" s="3" t="s">
        <v>203</v>
      </c>
      <c r="E206" s="6">
        <v>35.99</v>
      </c>
      <c r="F206" s="21">
        <v>12.5</v>
      </c>
      <c r="G206" s="22">
        <v>0</v>
      </c>
      <c r="H206" s="24">
        <f t="shared" si="16"/>
        <v>0</v>
      </c>
      <c r="I206" s="24">
        <f t="shared" si="17"/>
        <v>0</v>
      </c>
      <c r="J206" s="24">
        <f t="shared" si="18"/>
        <v>0</v>
      </c>
      <c r="K206" s="25">
        <f t="shared" si="15"/>
        <v>0</v>
      </c>
      <c r="L206" s="21"/>
      <c r="M206" s="12">
        <v>134.91</v>
      </c>
      <c r="N206" s="12">
        <v>117.31304347826087</v>
      </c>
      <c r="O206" s="12">
        <v>69.48</v>
      </c>
      <c r="P206" s="9">
        <v>9</v>
      </c>
      <c r="Q206" s="12">
        <v>47.833043478260848</v>
      </c>
      <c r="R206" s="12">
        <v>14.99</v>
      </c>
      <c r="S206" s="12">
        <v>13.034782608695652</v>
      </c>
      <c r="T206" s="12">
        <v>7.7200000000000006</v>
      </c>
      <c r="U206" s="16">
        <v>40.773849232821867</v>
      </c>
      <c r="V206" s="72">
        <f>IFERROR(LOOKUP($C206,Actuals!$C$4:$C$79,Actuals!G$4:G$79),0)</f>
        <v>0</v>
      </c>
      <c r="W206" s="72">
        <f>IFERROR(LOOKUP($C206,Actuals!$C$4:$C$79,Actuals!H$4:H$79),0)</f>
        <v>0</v>
      </c>
      <c r="X206" s="72">
        <f>IFERROR(LOOKUP($C206,Actuals!$C$4:$C$79,Actuals!I$4:I$79),0)</f>
        <v>1043.4782608695652</v>
      </c>
      <c r="Y206" s="72">
        <f>IFERROR(LOOKUP($C206,Actuals!$C$4:$C$79,Actuals!J$4:J$79),0)</f>
        <v>20</v>
      </c>
    </row>
    <row r="207" spans="1:25" ht="16.5" customHeight="1" x14ac:dyDescent="0.35">
      <c r="A207" s="3" t="s">
        <v>14</v>
      </c>
      <c r="B207" s="4">
        <v>102</v>
      </c>
      <c r="C207" s="5">
        <v>67245</v>
      </c>
      <c r="D207" s="3" t="s">
        <v>204</v>
      </c>
      <c r="E207" s="6">
        <v>26.99</v>
      </c>
      <c r="F207" s="21">
        <v>7.8</v>
      </c>
      <c r="G207" s="22">
        <v>0</v>
      </c>
      <c r="H207" s="24">
        <f t="shared" si="16"/>
        <v>0</v>
      </c>
      <c r="I207" s="24">
        <f t="shared" si="17"/>
        <v>0</v>
      </c>
      <c r="J207" s="24">
        <f t="shared" si="18"/>
        <v>0</v>
      </c>
      <c r="K207" s="25">
        <f t="shared" si="15"/>
        <v>0</v>
      </c>
      <c r="L207" s="21"/>
      <c r="M207" s="12">
        <v>124.88999999999999</v>
      </c>
      <c r="N207" s="12">
        <v>108.6</v>
      </c>
      <c r="O207" s="12">
        <v>77.28</v>
      </c>
      <c r="P207" s="9">
        <v>6</v>
      </c>
      <c r="Q207" s="12">
        <v>31.319999999999979</v>
      </c>
      <c r="R207" s="12">
        <v>20.814999999999998</v>
      </c>
      <c r="S207" s="12">
        <v>18.099999999999998</v>
      </c>
      <c r="T207" s="12">
        <v>12.88</v>
      </c>
      <c r="U207" s="16">
        <v>28.839779005524846</v>
      </c>
      <c r="V207" s="72">
        <f>IFERROR(LOOKUP($C207,Actuals!$C$4:$C$79,Actuals!G$4:G$79),0)</f>
        <v>0</v>
      </c>
      <c r="W207" s="72">
        <f>IFERROR(LOOKUP($C207,Actuals!$C$4:$C$79,Actuals!H$4:H$79),0)</f>
        <v>0</v>
      </c>
      <c r="X207" s="72">
        <f>IFERROR(LOOKUP($C207,Actuals!$C$4:$C$79,Actuals!I$4:I$79),0)</f>
        <v>1043.4782608695652</v>
      </c>
      <c r="Y207" s="72">
        <f>IFERROR(LOOKUP($C207,Actuals!$C$4:$C$79,Actuals!J$4:J$79),0)</f>
        <v>20</v>
      </c>
    </row>
    <row r="208" spans="1:25" ht="16.5" customHeight="1" x14ac:dyDescent="0.35">
      <c r="A208" s="3" t="s">
        <v>14</v>
      </c>
      <c r="B208" s="4">
        <v>102</v>
      </c>
      <c r="C208" s="5">
        <v>67246</v>
      </c>
      <c r="D208" s="3" t="s">
        <v>94</v>
      </c>
      <c r="E208" s="6">
        <v>26.99</v>
      </c>
      <c r="F208" s="21">
        <v>7.8</v>
      </c>
      <c r="G208" s="22">
        <v>0</v>
      </c>
      <c r="H208" s="24">
        <f t="shared" si="16"/>
        <v>0</v>
      </c>
      <c r="I208" s="24">
        <f t="shared" si="17"/>
        <v>0</v>
      </c>
      <c r="J208" s="24">
        <f t="shared" si="18"/>
        <v>0</v>
      </c>
      <c r="K208" s="25">
        <f t="shared" si="15"/>
        <v>0</v>
      </c>
      <c r="L208" s="21"/>
      <c r="M208" s="12">
        <v>120</v>
      </c>
      <c r="N208" s="12">
        <v>104.34782608695653</v>
      </c>
      <c r="O208" s="12">
        <v>61.38000000000001</v>
      </c>
      <c r="P208" s="9">
        <v>6</v>
      </c>
      <c r="Q208" s="12">
        <v>42.967826086956507</v>
      </c>
      <c r="R208" s="12">
        <v>20</v>
      </c>
      <c r="S208" s="12">
        <v>17.39130434782609</v>
      </c>
      <c r="T208" s="12">
        <v>10.230000000000002</v>
      </c>
      <c r="U208" s="16">
        <v>41.177499999999988</v>
      </c>
      <c r="V208" s="72">
        <f>IFERROR(LOOKUP($C208,Actuals!$C$4:$C$79,Actuals!G$4:G$79),0)</f>
        <v>0</v>
      </c>
      <c r="W208" s="72">
        <f>IFERROR(LOOKUP($C208,Actuals!$C$4:$C$79,Actuals!H$4:H$79),0)</f>
        <v>0</v>
      </c>
      <c r="X208" s="72">
        <f>IFERROR(LOOKUP($C208,Actuals!$C$4:$C$79,Actuals!I$4:I$79),0)</f>
        <v>1043.4782608695652</v>
      </c>
      <c r="Y208" s="72">
        <f>IFERROR(LOOKUP($C208,Actuals!$C$4:$C$79,Actuals!J$4:J$79),0)</f>
        <v>20</v>
      </c>
    </row>
    <row r="209" spans="1:25" ht="16.5" customHeight="1" x14ac:dyDescent="0.35">
      <c r="A209" s="3" t="s">
        <v>14</v>
      </c>
      <c r="B209" s="4">
        <v>102</v>
      </c>
      <c r="C209" s="5">
        <v>67247</v>
      </c>
      <c r="D209" s="3" t="s">
        <v>205</v>
      </c>
      <c r="E209" s="6">
        <v>15.99</v>
      </c>
      <c r="F209" s="21">
        <v>8.0500000000000007</v>
      </c>
      <c r="G209" s="22">
        <v>0</v>
      </c>
      <c r="H209" s="24">
        <f t="shared" si="16"/>
        <v>0</v>
      </c>
      <c r="I209" s="24">
        <f t="shared" si="17"/>
        <v>0</v>
      </c>
      <c r="J209" s="24">
        <f t="shared" si="18"/>
        <v>0</v>
      </c>
      <c r="K209" s="25">
        <f t="shared" si="15"/>
        <v>0</v>
      </c>
      <c r="L209" s="21"/>
      <c r="M209" s="12">
        <v>119.25</v>
      </c>
      <c r="N209" s="12">
        <v>103.69565217391303</v>
      </c>
      <c r="O209" s="12">
        <v>235.76</v>
      </c>
      <c r="P209" s="9">
        <v>8</v>
      </c>
      <c r="Q209" s="12">
        <v>-132.06434782608696</v>
      </c>
      <c r="R209" s="12">
        <v>14.90625</v>
      </c>
      <c r="S209" s="12">
        <v>12.961956521739129</v>
      </c>
      <c r="T209" s="12">
        <v>29.47</v>
      </c>
      <c r="U209" s="16">
        <v>-99.99</v>
      </c>
      <c r="V209" s="72">
        <f>IFERROR(LOOKUP($C209,Actuals!$C$4:$C$79,Actuals!G$4:G$79),0)</f>
        <v>0</v>
      </c>
      <c r="W209" s="72">
        <f>IFERROR(LOOKUP($C209,Actuals!$C$4:$C$79,Actuals!H$4:H$79),0)</f>
        <v>0</v>
      </c>
      <c r="X209" s="72">
        <f>IFERROR(LOOKUP($C209,Actuals!$C$4:$C$79,Actuals!I$4:I$79),0)</f>
        <v>1043.4782608695652</v>
      </c>
      <c r="Y209" s="72">
        <f>IFERROR(LOOKUP($C209,Actuals!$C$4:$C$79,Actuals!J$4:J$79),0)</f>
        <v>20</v>
      </c>
    </row>
    <row r="210" spans="1:25" ht="16.5" customHeight="1" x14ac:dyDescent="0.35">
      <c r="A210" s="3" t="s">
        <v>14</v>
      </c>
      <c r="B210" s="4">
        <v>102</v>
      </c>
      <c r="C210" s="5">
        <v>67301</v>
      </c>
      <c r="D210" s="3" t="s">
        <v>206</v>
      </c>
      <c r="E210" s="6">
        <v>15.99</v>
      </c>
      <c r="F210" s="21">
        <v>9.99</v>
      </c>
      <c r="G210" s="22">
        <v>0</v>
      </c>
      <c r="H210" s="24">
        <f t="shared" si="16"/>
        <v>0</v>
      </c>
      <c r="I210" s="24">
        <f t="shared" si="17"/>
        <v>0</v>
      </c>
      <c r="J210" s="24">
        <f t="shared" si="18"/>
        <v>0</v>
      </c>
      <c r="K210" s="25">
        <f t="shared" si="15"/>
        <v>0</v>
      </c>
      <c r="L210" s="21"/>
      <c r="M210" s="12">
        <v>101.97</v>
      </c>
      <c r="N210" s="12">
        <v>88.669565217391309</v>
      </c>
      <c r="O210" s="12">
        <v>52.256399999999999</v>
      </c>
      <c r="P210" s="9">
        <v>3</v>
      </c>
      <c r="Q210" s="12">
        <v>36.413165217391295</v>
      </c>
      <c r="R210" s="12">
        <v>33.99</v>
      </c>
      <c r="S210" s="12">
        <v>29.556521739130435</v>
      </c>
      <c r="T210" s="12">
        <v>17.418800000000001</v>
      </c>
      <c r="U210" s="16">
        <v>41.066137099146808</v>
      </c>
      <c r="V210" s="72">
        <f>IFERROR(LOOKUP($C210,Actuals!$C$4:$C$79,Actuals!G$4:G$79),0)</f>
        <v>0</v>
      </c>
      <c r="W210" s="72">
        <f>IFERROR(LOOKUP($C210,Actuals!$C$4:$C$79,Actuals!H$4:H$79),0)</f>
        <v>0</v>
      </c>
      <c r="X210" s="72">
        <f>IFERROR(LOOKUP($C210,Actuals!$C$4:$C$79,Actuals!I$4:I$79),0)</f>
        <v>1043.4782608695652</v>
      </c>
      <c r="Y210" s="72">
        <f>IFERROR(LOOKUP($C210,Actuals!$C$4:$C$79,Actuals!J$4:J$79),0)</f>
        <v>20</v>
      </c>
    </row>
    <row r="211" spans="1:25" ht="16.5" customHeight="1" x14ac:dyDescent="0.35">
      <c r="A211" s="3" t="s">
        <v>14</v>
      </c>
      <c r="B211" s="4">
        <v>103</v>
      </c>
      <c r="C211" s="5">
        <v>33990</v>
      </c>
      <c r="D211" s="3" t="s">
        <v>207</v>
      </c>
      <c r="E211" s="6">
        <v>21.99</v>
      </c>
      <c r="F211" s="21">
        <v>11.11</v>
      </c>
      <c r="G211" s="22">
        <v>0</v>
      </c>
      <c r="H211" s="24">
        <f t="shared" si="16"/>
        <v>0</v>
      </c>
      <c r="I211" s="24">
        <f t="shared" si="17"/>
        <v>0</v>
      </c>
      <c r="J211" s="24">
        <f t="shared" si="18"/>
        <v>0</v>
      </c>
      <c r="K211" s="25">
        <f t="shared" si="15"/>
        <v>0</v>
      </c>
      <c r="L211" s="21"/>
      <c r="M211" s="12">
        <v>97.93</v>
      </c>
      <c r="N211" s="12">
        <v>85.156521739130426</v>
      </c>
      <c r="O211" s="12">
        <v>63.980000000000004</v>
      </c>
      <c r="P211" s="9">
        <v>7</v>
      </c>
      <c r="Q211" s="12">
        <v>21.176521739130436</v>
      </c>
      <c r="R211" s="12">
        <v>13.99</v>
      </c>
      <c r="S211" s="12">
        <v>12.165217391304347</v>
      </c>
      <c r="T211" s="12">
        <v>9.14</v>
      </c>
      <c r="U211" s="16">
        <v>24.867762687634023</v>
      </c>
      <c r="V211" s="72">
        <f>IFERROR(LOOKUP($C211,Actuals!$C$4:$C$79,Actuals!G$4:G$79),0)</f>
        <v>140.7913043478261</v>
      </c>
      <c r="W211" s="72">
        <f>IFERROR(LOOKUP($C211,Actuals!$C$4:$C$79,Actuals!H$4:H$79),0)</f>
        <v>9</v>
      </c>
      <c r="X211" s="72">
        <f>IFERROR(LOOKUP($C211,Actuals!$C$4:$C$79,Actuals!I$4:I$79),0)</f>
        <v>0</v>
      </c>
      <c r="Y211" s="72">
        <f>IFERROR(LOOKUP($C211,Actuals!$C$4:$C$79,Actuals!J$4:J$79),0)</f>
        <v>0</v>
      </c>
    </row>
    <row r="212" spans="1:25" ht="16.5" customHeight="1" x14ac:dyDescent="0.35">
      <c r="A212" s="3" t="s">
        <v>14</v>
      </c>
      <c r="B212" s="4">
        <v>103</v>
      </c>
      <c r="C212" s="5">
        <v>34142</v>
      </c>
      <c r="D212" s="3" t="s">
        <v>208</v>
      </c>
      <c r="E212" s="6">
        <v>70.989999999999995</v>
      </c>
      <c r="F212" s="21">
        <v>18.7</v>
      </c>
      <c r="G212" s="22">
        <v>0</v>
      </c>
      <c r="H212" s="24">
        <f t="shared" si="16"/>
        <v>0</v>
      </c>
      <c r="I212" s="24">
        <f t="shared" si="17"/>
        <v>0</v>
      </c>
      <c r="J212" s="24">
        <f t="shared" si="18"/>
        <v>0</v>
      </c>
      <c r="K212" s="25">
        <f t="shared" si="15"/>
        <v>0</v>
      </c>
      <c r="L212" s="21"/>
      <c r="M212" s="12">
        <v>96</v>
      </c>
      <c r="N212" s="12">
        <v>83.478260869565219</v>
      </c>
      <c r="O212" s="12">
        <v>54.239999999999995</v>
      </c>
      <c r="P212" s="9">
        <v>24</v>
      </c>
      <c r="Q212" s="12">
        <v>29.238260869565224</v>
      </c>
      <c r="R212" s="12">
        <v>4</v>
      </c>
      <c r="S212" s="12">
        <v>3.4782608695652173</v>
      </c>
      <c r="T212" s="12">
        <v>2.2599999999999998</v>
      </c>
      <c r="U212" s="16">
        <v>35.025000000000006</v>
      </c>
      <c r="V212" s="72">
        <f>IFERROR(LOOKUP($C212,Actuals!$C$4:$C$79,Actuals!G$4:G$79),0)</f>
        <v>229.56521739130434</v>
      </c>
      <c r="W212" s="72">
        <f>IFERROR(LOOKUP($C212,Actuals!$C$4:$C$79,Actuals!H$4:H$79),0)</f>
        <v>80</v>
      </c>
      <c r="X212" s="72">
        <f>IFERROR(LOOKUP($C212,Actuals!$C$4:$C$79,Actuals!I$4:I$79),0)</f>
        <v>0</v>
      </c>
      <c r="Y212" s="72">
        <f>IFERROR(LOOKUP($C212,Actuals!$C$4:$C$79,Actuals!J$4:J$79),0)</f>
        <v>0</v>
      </c>
    </row>
    <row r="213" spans="1:25" ht="16.5" customHeight="1" x14ac:dyDescent="0.35">
      <c r="A213" s="3" t="s">
        <v>14</v>
      </c>
      <c r="B213" s="4">
        <v>103</v>
      </c>
      <c r="C213" s="5">
        <v>34101</v>
      </c>
      <c r="D213" s="3" t="s">
        <v>209</v>
      </c>
      <c r="E213" s="6">
        <v>216.99</v>
      </c>
      <c r="F213" s="21">
        <v>54</v>
      </c>
      <c r="G213" s="22">
        <v>0</v>
      </c>
      <c r="H213" s="24">
        <f t="shared" si="16"/>
        <v>0</v>
      </c>
      <c r="I213" s="24">
        <f t="shared" si="17"/>
        <v>0</v>
      </c>
      <c r="J213" s="24">
        <f t="shared" si="18"/>
        <v>0</v>
      </c>
      <c r="K213" s="25">
        <f t="shared" si="15"/>
        <v>0</v>
      </c>
      <c r="L213" s="21"/>
      <c r="M213" s="12">
        <v>95.98</v>
      </c>
      <c r="N213" s="12">
        <v>83.460869565217394</v>
      </c>
      <c r="O213" s="12">
        <v>20.88</v>
      </c>
      <c r="P213" s="9">
        <v>2</v>
      </c>
      <c r="Q213" s="12">
        <v>62.580869565217398</v>
      </c>
      <c r="R213" s="12">
        <v>47.99</v>
      </c>
      <c r="S213" s="12">
        <v>41.730434782608697</v>
      </c>
      <c r="T213" s="12">
        <v>10.44</v>
      </c>
      <c r="U213" s="16">
        <v>74.982287976661809</v>
      </c>
      <c r="V213" s="72">
        <f>IFERROR(LOOKUP($C213,Actuals!$C$4:$C$79,Actuals!G$4:G$79),0)</f>
        <v>30.373913043478261</v>
      </c>
      <c r="W213" s="72">
        <f>IFERROR(LOOKUP($C213,Actuals!$C$4:$C$79,Actuals!H$4:H$79),0)</f>
        <v>7</v>
      </c>
      <c r="X213" s="72">
        <f>IFERROR(LOOKUP($C213,Actuals!$C$4:$C$79,Actuals!I$4:I$79),0)</f>
        <v>8.6782608695652179</v>
      </c>
      <c r="Y213" s="72">
        <f>IFERROR(LOOKUP($C213,Actuals!$C$4:$C$79,Actuals!J$4:J$79),0)</f>
        <v>2</v>
      </c>
    </row>
    <row r="214" spans="1:25" ht="16.5" customHeight="1" x14ac:dyDescent="0.35">
      <c r="A214" s="3" t="s">
        <v>14</v>
      </c>
      <c r="B214" s="4">
        <v>103</v>
      </c>
      <c r="C214" s="5">
        <v>33040</v>
      </c>
      <c r="D214" s="3" t="s">
        <v>210</v>
      </c>
      <c r="E214" s="6">
        <v>30</v>
      </c>
      <c r="F214" s="21">
        <v>18.260000000000002</v>
      </c>
      <c r="G214" s="22">
        <v>0</v>
      </c>
      <c r="H214" s="24">
        <f t="shared" si="16"/>
        <v>0</v>
      </c>
      <c r="I214" s="24">
        <f t="shared" si="17"/>
        <v>0</v>
      </c>
      <c r="J214" s="24">
        <f t="shared" si="18"/>
        <v>0</v>
      </c>
      <c r="K214" s="25">
        <f t="shared" ref="K214:K245" si="19">IFERROR(J214/H214*100,0)</f>
        <v>0</v>
      </c>
      <c r="L214" s="21"/>
      <c r="M214" s="12">
        <v>95.84</v>
      </c>
      <c r="N214" s="12">
        <v>83.339130434782604</v>
      </c>
      <c r="O214" s="12">
        <v>52.96</v>
      </c>
      <c r="P214" s="9">
        <v>16</v>
      </c>
      <c r="Q214" s="12">
        <v>30.379130434782617</v>
      </c>
      <c r="R214" s="12">
        <v>5.99</v>
      </c>
      <c r="S214" s="12">
        <v>5.2086956521739127</v>
      </c>
      <c r="T214" s="12">
        <v>3.31</v>
      </c>
      <c r="U214" s="16">
        <v>36.45242070116862</v>
      </c>
      <c r="V214" s="72">
        <f>IFERROR(LOOKUP($C214,Actuals!$C$4:$C$79,Actuals!G$4:G$79),0)</f>
        <v>140.7913043478261</v>
      </c>
      <c r="W214" s="72">
        <f>IFERROR(LOOKUP($C214,Actuals!$C$4:$C$79,Actuals!H$4:H$79),0)</f>
        <v>9</v>
      </c>
      <c r="X214" s="72">
        <f>IFERROR(LOOKUP($C214,Actuals!$C$4:$C$79,Actuals!I$4:I$79),0)</f>
        <v>0</v>
      </c>
      <c r="Y214" s="72">
        <f>IFERROR(LOOKUP($C214,Actuals!$C$4:$C$79,Actuals!J$4:J$79),0)</f>
        <v>0</v>
      </c>
    </row>
    <row r="215" spans="1:25" ht="16.5" customHeight="1" x14ac:dyDescent="0.35">
      <c r="A215" s="3" t="s">
        <v>14</v>
      </c>
      <c r="B215" s="4">
        <v>103</v>
      </c>
      <c r="C215" s="5">
        <v>34100</v>
      </c>
      <c r="D215" s="3" t="s">
        <v>211</v>
      </c>
      <c r="E215" s="6">
        <v>402.99</v>
      </c>
      <c r="F215" s="21">
        <v>210</v>
      </c>
      <c r="G215" s="22">
        <v>0</v>
      </c>
      <c r="H215" s="24">
        <f t="shared" si="16"/>
        <v>0</v>
      </c>
      <c r="I215" s="24">
        <f t="shared" si="17"/>
        <v>0</v>
      </c>
      <c r="J215" s="24">
        <f t="shared" si="18"/>
        <v>0</v>
      </c>
      <c r="K215" s="25">
        <f t="shared" si="19"/>
        <v>0</v>
      </c>
      <c r="L215" s="21"/>
      <c r="M215" s="12">
        <v>94.81</v>
      </c>
      <c r="N215" s="12">
        <v>82.443478260869568</v>
      </c>
      <c r="O215" s="12">
        <v>56.43</v>
      </c>
      <c r="P215" s="9">
        <v>19</v>
      </c>
      <c r="Q215" s="12">
        <v>26.013478260869569</v>
      </c>
      <c r="R215" s="12">
        <v>4.99</v>
      </c>
      <c r="S215" s="12">
        <v>4.339130434782609</v>
      </c>
      <c r="T215" s="12">
        <v>2.97</v>
      </c>
      <c r="U215" s="16">
        <v>31.553106212424854</v>
      </c>
      <c r="V215" s="72">
        <f>IFERROR(LOOKUP($C215,Actuals!$C$4:$C$79,Actuals!G$4:G$79),0)</f>
        <v>30.373913043478261</v>
      </c>
      <c r="W215" s="72">
        <f>IFERROR(LOOKUP($C215,Actuals!$C$4:$C$79,Actuals!H$4:H$79),0)</f>
        <v>7</v>
      </c>
      <c r="X215" s="72">
        <f>IFERROR(LOOKUP($C215,Actuals!$C$4:$C$79,Actuals!I$4:I$79),0)</f>
        <v>8.6782608695652179</v>
      </c>
      <c r="Y215" s="72">
        <f>IFERROR(LOOKUP($C215,Actuals!$C$4:$C$79,Actuals!J$4:J$79),0)</f>
        <v>2</v>
      </c>
    </row>
    <row r="216" spans="1:25" ht="16.5" customHeight="1" x14ac:dyDescent="0.35">
      <c r="A216" s="3" t="s">
        <v>14</v>
      </c>
      <c r="B216" s="4">
        <v>103</v>
      </c>
      <c r="C216" s="5">
        <v>33989</v>
      </c>
      <c r="D216" s="3" t="s">
        <v>212</v>
      </c>
      <c r="E216" s="6">
        <v>30</v>
      </c>
      <c r="F216" s="21">
        <v>20.81</v>
      </c>
      <c r="G216" s="22">
        <v>0</v>
      </c>
      <c r="H216" s="24">
        <f t="shared" si="16"/>
        <v>0</v>
      </c>
      <c r="I216" s="24">
        <f t="shared" si="17"/>
        <v>0</v>
      </c>
      <c r="J216" s="24">
        <f t="shared" si="18"/>
        <v>0</v>
      </c>
      <c r="K216" s="25">
        <f t="shared" si="19"/>
        <v>0</v>
      </c>
      <c r="L216" s="21"/>
      <c r="M216" s="12">
        <v>92.97</v>
      </c>
      <c r="N216" s="12">
        <v>80.84347826086956</v>
      </c>
      <c r="O216" s="12">
        <v>37.200000000000003</v>
      </c>
      <c r="P216" s="9">
        <v>3</v>
      </c>
      <c r="Q216" s="12">
        <v>43.643478260869557</v>
      </c>
      <c r="R216" s="12">
        <v>30.99</v>
      </c>
      <c r="S216" s="12">
        <v>26.947826086956521</v>
      </c>
      <c r="T216" s="12">
        <v>12.4</v>
      </c>
      <c r="U216" s="16">
        <v>53.985156502097439</v>
      </c>
      <c r="V216" s="72">
        <f>IFERROR(LOOKUP($C216,Actuals!$C$4:$C$79,Actuals!G$4:G$79),0)</f>
        <v>140.7913043478261</v>
      </c>
      <c r="W216" s="72">
        <f>IFERROR(LOOKUP($C216,Actuals!$C$4:$C$79,Actuals!H$4:H$79),0)</f>
        <v>9</v>
      </c>
      <c r="X216" s="72">
        <f>IFERROR(LOOKUP($C216,Actuals!$C$4:$C$79,Actuals!I$4:I$79),0)</f>
        <v>0</v>
      </c>
      <c r="Y216" s="72">
        <f>IFERROR(LOOKUP($C216,Actuals!$C$4:$C$79,Actuals!J$4:J$79),0)</f>
        <v>0</v>
      </c>
    </row>
    <row r="217" spans="1:25" ht="16.5" customHeight="1" x14ac:dyDescent="0.35">
      <c r="A217" s="3" t="s">
        <v>14</v>
      </c>
      <c r="B217" s="4">
        <v>103</v>
      </c>
      <c r="C217" s="5">
        <v>34087</v>
      </c>
      <c r="D217" s="3" t="s">
        <v>213</v>
      </c>
      <c r="E217" s="6">
        <v>99.99</v>
      </c>
      <c r="F217" s="21">
        <v>54.67</v>
      </c>
      <c r="G217" s="22">
        <v>0</v>
      </c>
      <c r="H217" s="24">
        <f t="shared" si="16"/>
        <v>0</v>
      </c>
      <c r="I217" s="24">
        <f t="shared" si="17"/>
        <v>0</v>
      </c>
      <c r="J217" s="24">
        <f t="shared" si="18"/>
        <v>0</v>
      </c>
      <c r="K217" s="25">
        <f t="shared" si="19"/>
        <v>0</v>
      </c>
      <c r="L217" s="21"/>
      <c r="M217" s="12">
        <v>84.13</v>
      </c>
      <c r="N217" s="12">
        <v>73.15652173913044</v>
      </c>
      <c r="O217" s="12">
        <v>43.299372192</v>
      </c>
      <c r="P217" s="9">
        <v>0.38</v>
      </c>
      <c r="Q217" s="12">
        <v>29.857149547130426</v>
      </c>
      <c r="R217" s="12">
        <v>221.39473684210526</v>
      </c>
      <c r="S217" s="12">
        <v>192.51716247139589</v>
      </c>
      <c r="T217" s="12">
        <v>113.94571629473684</v>
      </c>
      <c r="U217" s="16">
        <v>40.812696991798404</v>
      </c>
      <c r="V217" s="72">
        <f>IFERROR(LOOKUP($C217,Actuals!$C$4:$C$79,Actuals!G$4:G$79),0)</f>
        <v>5.2695652173913041</v>
      </c>
      <c r="W217" s="72">
        <f>IFERROR(LOOKUP($C217,Actuals!$C$4:$C$79,Actuals!H$4:H$79),0)</f>
        <v>0.20200000000000001</v>
      </c>
      <c r="X217" s="72">
        <f>IFERROR(LOOKUP($C217,Actuals!$C$4:$C$79,Actuals!I$4:I$79),0)</f>
        <v>0</v>
      </c>
      <c r="Y217" s="72">
        <f>IFERROR(LOOKUP($C217,Actuals!$C$4:$C$79,Actuals!J$4:J$79),0)</f>
        <v>0</v>
      </c>
    </row>
    <row r="218" spans="1:25" ht="16.5" customHeight="1" x14ac:dyDescent="0.35">
      <c r="A218" s="3" t="s">
        <v>14</v>
      </c>
      <c r="B218" s="4">
        <v>103</v>
      </c>
      <c r="C218" s="5">
        <v>33042</v>
      </c>
      <c r="D218" s="3" t="s">
        <v>214</v>
      </c>
      <c r="E218" s="6">
        <v>20</v>
      </c>
      <c r="F218" s="21">
        <v>10.23</v>
      </c>
      <c r="G218" s="22">
        <v>0</v>
      </c>
      <c r="H218" s="24">
        <f t="shared" si="16"/>
        <v>0</v>
      </c>
      <c r="I218" s="24">
        <f t="shared" si="17"/>
        <v>0</v>
      </c>
      <c r="J218" s="24">
        <f t="shared" si="18"/>
        <v>0</v>
      </c>
      <c r="K218" s="25">
        <f t="shared" si="19"/>
        <v>0</v>
      </c>
      <c r="L218" s="21"/>
      <c r="M218" s="12">
        <v>79.989999999999995</v>
      </c>
      <c r="N218" s="12">
        <v>69.556521739130432</v>
      </c>
      <c r="O218" s="12">
        <v>44.62</v>
      </c>
      <c r="P218" s="9">
        <v>1</v>
      </c>
      <c r="Q218" s="12">
        <v>24.936521739130434</v>
      </c>
      <c r="R218" s="12">
        <v>79.989999999999995</v>
      </c>
      <c r="S218" s="12">
        <v>69.556521739130432</v>
      </c>
      <c r="T218" s="12">
        <v>44.62</v>
      </c>
      <c r="U218" s="16">
        <v>35.850731341417678</v>
      </c>
      <c r="V218" s="72">
        <f>IFERROR(LOOKUP($C218,Actuals!$C$4:$C$79,Actuals!G$4:G$79),0)</f>
        <v>140.7913043478261</v>
      </c>
      <c r="W218" s="72">
        <f>IFERROR(LOOKUP($C218,Actuals!$C$4:$C$79,Actuals!H$4:H$79),0)</f>
        <v>9</v>
      </c>
      <c r="X218" s="72">
        <f>IFERROR(LOOKUP($C218,Actuals!$C$4:$C$79,Actuals!I$4:I$79),0)</f>
        <v>0</v>
      </c>
      <c r="Y218" s="72">
        <f>IFERROR(LOOKUP($C218,Actuals!$C$4:$C$79,Actuals!J$4:J$79),0)</f>
        <v>0</v>
      </c>
    </row>
    <row r="219" spans="1:25" ht="16.5" customHeight="1" x14ac:dyDescent="0.35">
      <c r="A219" s="3" t="s">
        <v>14</v>
      </c>
      <c r="B219" s="4">
        <v>103</v>
      </c>
      <c r="C219" s="5">
        <v>34134</v>
      </c>
      <c r="D219" s="3" t="s">
        <v>215</v>
      </c>
      <c r="E219" s="6">
        <v>313.99</v>
      </c>
      <c r="F219" s="21">
        <v>163.47229999999999</v>
      </c>
      <c r="G219" s="22">
        <v>0</v>
      </c>
      <c r="H219" s="24">
        <f t="shared" si="16"/>
        <v>0</v>
      </c>
      <c r="I219" s="24">
        <f t="shared" si="17"/>
        <v>0</v>
      </c>
      <c r="J219" s="24">
        <f t="shared" si="18"/>
        <v>0</v>
      </c>
      <c r="K219" s="25">
        <f t="shared" si="19"/>
        <v>0</v>
      </c>
      <c r="L219" s="21"/>
      <c r="M219" s="12">
        <v>75</v>
      </c>
      <c r="N219" s="12">
        <v>65.217391304347828</v>
      </c>
      <c r="O219" s="12">
        <v>34.950000000000003</v>
      </c>
      <c r="P219" s="9">
        <v>5</v>
      </c>
      <c r="Q219" s="12">
        <v>30.267391304347825</v>
      </c>
      <c r="R219" s="12">
        <v>15</v>
      </c>
      <c r="S219" s="12">
        <v>13.043478260869566</v>
      </c>
      <c r="T219" s="12">
        <v>6.99</v>
      </c>
      <c r="U219" s="16">
        <v>46.41</v>
      </c>
      <c r="V219" s="72">
        <f>IFERROR(LOOKUP($C219,Actuals!$C$4:$C$79,Actuals!G$4:G$79),0)</f>
        <v>229.56521739130434</v>
      </c>
      <c r="W219" s="72">
        <f>IFERROR(LOOKUP($C219,Actuals!$C$4:$C$79,Actuals!H$4:H$79),0)</f>
        <v>80</v>
      </c>
      <c r="X219" s="72">
        <f>IFERROR(LOOKUP($C219,Actuals!$C$4:$C$79,Actuals!I$4:I$79),0)</f>
        <v>0</v>
      </c>
      <c r="Y219" s="72">
        <f>IFERROR(LOOKUP($C219,Actuals!$C$4:$C$79,Actuals!J$4:J$79),0)</f>
        <v>0</v>
      </c>
    </row>
    <row r="220" spans="1:25" ht="16.5" customHeight="1" x14ac:dyDescent="0.35">
      <c r="A220" s="3" t="s">
        <v>14</v>
      </c>
      <c r="B220" s="4">
        <v>103</v>
      </c>
      <c r="C220" s="5">
        <v>33047</v>
      </c>
      <c r="D220" s="3" t="s">
        <v>216</v>
      </c>
      <c r="E220" s="6">
        <v>15</v>
      </c>
      <c r="F220" s="21">
        <v>6.99</v>
      </c>
      <c r="G220" s="22">
        <v>0</v>
      </c>
      <c r="H220" s="24">
        <f t="shared" si="16"/>
        <v>0</v>
      </c>
      <c r="I220" s="24">
        <f t="shared" si="17"/>
        <v>0</v>
      </c>
      <c r="J220" s="24">
        <f t="shared" si="18"/>
        <v>0</v>
      </c>
      <c r="K220" s="25">
        <f t="shared" si="19"/>
        <v>0</v>
      </c>
      <c r="L220" s="21"/>
      <c r="M220" s="12">
        <v>75</v>
      </c>
      <c r="N220" s="12">
        <v>65.217391304347828</v>
      </c>
      <c r="O220" s="12">
        <v>34.14</v>
      </c>
      <c r="P220" s="9">
        <v>6</v>
      </c>
      <c r="Q220" s="12">
        <v>31.077391304347827</v>
      </c>
      <c r="R220" s="12">
        <v>12.5</v>
      </c>
      <c r="S220" s="12">
        <v>10.869565217391305</v>
      </c>
      <c r="T220" s="12">
        <v>5.69</v>
      </c>
      <c r="U220" s="16">
        <v>47.652000000000001</v>
      </c>
      <c r="V220" s="72">
        <f>IFERROR(LOOKUP($C220,Actuals!$C$4:$C$79,Actuals!G$4:G$79),0)</f>
        <v>140.7913043478261</v>
      </c>
      <c r="W220" s="72">
        <f>IFERROR(LOOKUP($C220,Actuals!$C$4:$C$79,Actuals!H$4:H$79),0)</f>
        <v>9</v>
      </c>
      <c r="X220" s="72">
        <f>IFERROR(LOOKUP($C220,Actuals!$C$4:$C$79,Actuals!I$4:I$79),0)</f>
        <v>0</v>
      </c>
      <c r="Y220" s="72">
        <f>IFERROR(LOOKUP($C220,Actuals!$C$4:$C$79,Actuals!J$4:J$79),0)</f>
        <v>0</v>
      </c>
    </row>
    <row r="221" spans="1:25" ht="16.5" customHeight="1" x14ac:dyDescent="0.35">
      <c r="A221" s="3" t="s">
        <v>14</v>
      </c>
      <c r="B221" s="4">
        <v>103</v>
      </c>
      <c r="C221" s="5">
        <v>33988</v>
      </c>
      <c r="D221" s="3" t="s">
        <v>217</v>
      </c>
      <c r="E221" s="6">
        <v>15</v>
      </c>
      <c r="F221" s="21">
        <v>9.1300000000000008</v>
      </c>
      <c r="G221" s="22">
        <v>0</v>
      </c>
      <c r="H221" s="24">
        <f t="shared" si="16"/>
        <v>0</v>
      </c>
      <c r="I221" s="24">
        <f t="shared" si="17"/>
        <v>0</v>
      </c>
      <c r="J221" s="24">
        <f t="shared" si="18"/>
        <v>0</v>
      </c>
      <c r="K221" s="25">
        <f t="shared" si="19"/>
        <v>0</v>
      </c>
      <c r="L221" s="21"/>
      <c r="M221" s="12">
        <v>71.94</v>
      </c>
      <c r="N221" s="12">
        <v>62.556521739130432</v>
      </c>
      <c r="O221" s="12">
        <v>45.599999999999994</v>
      </c>
      <c r="P221" s="9">
        <v>6</v>
      </c>
      <c r="Q221" s="12">
        <v>16.956521739130437</v>
      </c>
      <c r="R221" s="12">
        <v>11.99</v>
      </c>
      <c r="S221" s="12">
        <v>10.426086956521738</v>
      </c>
      <c r="T221" s="12">
        <v>7.5999999999999988</v>
      </c>
      <c r="U221" s="16">
        <v>27.105921601334448</v>
      </c>
      <c r="V221" s="72">
        <f>IFERROR(LOOKUP($C221,Actuals!$C$4:$C$79,Actuals!G$4:G$79),0)</f>
        <v>140.7913043478261</v>
      </c>
      <c r="W221" s="72">
        <f>IFERROR(LOOKUP($C221,Actuals!$C$4:$C$79,Actuals!H$4:H$79),0)</f>
        <v>9</v>
      </c>
      <c r="X221" s="72">
        <f>IFERROR(LOOKUP($C221,Actuals!$C$4:$C$79,Actuals!I$4:I$79),0)</f>
        <v>0</v>
      </c>
      <c r="Y221" s="72">
        <f>IFERROR(LOOKUP($C221,Actuals!$C$4:$C$79,Actuals!J$4:J$79),0)</f>
        <v>0</v>
      </c>
    </row>
    <row r="222" spans="1:25" ht="16.5" customHeight="1" x14ac:dyDescent="0.35">
      <c r="A222" s="3" t="s">
        <v>14</v>
      </c>
      <c r="B222" s="4">
        <v>103</v>
      </c>
      <c r="C222" s="5">
        <v>34136</v>
      </c>
      <c r="D222" s="3" t="s">
        <v>218</v>
      </c>
      <c r="E222" s="6">
        <v>112.99</v>
      </c>
      <c r="F222" s="21">
        <v>45</v>
      </c>
      <c r="G222" s="22">
        <v>0</v>
      </c>
      <c r="H222" s="24">
        <f t="shared" si="16"/>
        <v>0</v>
      </c>
      <c r="I222" s="24">
        <f t="shared" si="17"/>
        <v>0</v>
      </c>
      <c r="J222" s="24">
        <f t="shared" si="18"/>
        <v>0</v>
      </c>
      <c r="K222" s="25">
        <f t="shared" si="19"/>
        <v>0</v>
      </c>
      <c r="L222" s="21"/>
      <c r="M222" s="12">
        <v>71.88</v>
      </c>
      <c r="N222" s="12">
        <v>62.504347826086956</v>
      </c>
      <c r="O222" s="12">
        <v>37.200000000000003</v>
      </c>
      <c r="P222" s="9">
        <v>12</v>
      </c>
      <c r="Q222" s="12">
        <v>25.304347826086946</v>
      </c>
      <c r="R222" s="12">
        <v>5.9899999999999993</v>
      </c>
      <c r="S222" s="12">
        <v>5.2086956521739127</v>
      </c>
      <c r="T222" s="12">
        <v>3.1</v>
      </c>
      <c r="U222" s="16">
        <v>40.484140233722862</v>
      </c>
      <c r="V222" s="72">
        <f>IFERROR(LOOKUP($C222,Actuals!$C$4:$C$79,Actuals!G$4:G$79),0)</f>
        <v>229.56521739130434</v>
      </c>
      <c r="W222" s="72">
        <f>IFERROR(LOOKUP($C222,Actuals!$C$4:$C$79,Actuals!H$4:H$79),0)</f>
        <v>80</v>
      </c>
      <c r="X222" s="72">
        <f>IFERROR(LOOKUP($C222,Actuals!$C$4:$C$79,Actuals!I$4:I$79),0)</f>
        <v>0</v>
      </c>
      <c r="Y222" s="72">
        <f>IFERROR(LOOKUP($C222,Actuals!$C$4:$C$79,Actuals!J$4:J$79),0)</f>
        <v>0</v>
      </c>
    </row>
    <row r="223" spans="1:25" ht="16.5" customHeight="1" x14ac:dyDescent="0.35">
      <c r="A223" s="3" t="s">
        <v>14</v>
      </c>
      <c r="B223" s="4">
        <v>103</v>
      </c>
      <c r="C223" s="5">
        <v>33044</v>
      </c>
      <c r="D223" s="3" t="s">
        <v>219</v>
      </c>
      <c r="E223" s="6">
        <v>15</v>
      </c>
      <c r="F223" s="21">
        <v>10.23</v>
      </c>
      <c r="G223" s="22">
        <v>0</v>
      </c>
      <c r="H223" s="24">
        <f t="shared" si="16"/>
        <v>0</v>
      </c>
      <c r="I223" s="24">
        <f t="shared" si="17"/>
        <v>0</v>
      </c>
      <c r="J223" s="24">
        <f t="shared" si="18"/>
        <v>0</v>
      </c>
      <c r="K223" s="25">
        <f t="shared" si="19"/>
        <v>0</v>
      </c>
      <c r="L223" s="21"/>
      <c r="M223" s="12">
        <v>60</v>
      </c>
      <c r="N223" s="12">
        <v>52.173913043478258</v>
      </c>
      <c r="O223" s="12">
        <v>37.68</v>
      </c>
      <c r="P223" s="9">
        <v>6</v>
      </c>
      <c r="Q223" s="12">
        <v>14.493913043478258</v>
      </c>
      <c r="R223" s="12">
        <v>10</v>
      </c>
      <c r="S223" s="12">
        <v>8.695652173913043</v>
      </c>
      <c r="T223" s="12">
        <v>6.28</v>
      </c>
      <c r="U223" s="16">
        <v>27.779999999999998</v>
      </c>
      <c r="V223" s="72">
        <f>IFERROR(LOOKUP($C223,Actuals!$C$4:$C$79,Actuals!G$4:G$79),0)</f>
        <v>140.7913043478261</v>
      </c>
      <c r="W223" s="72">
        <f>IFERROR(LOOKUP($C223,Actuals!$C$4:$C$79,Actuals!H$4:H$79),0)</f>
        <v>9</v>
      </c>
      <c r="X223" s="72">
        <f>IFERROR(LOOKUP($C223,Actuals!$C$4:$C$79,Actuals!I$4:I$79),0)</f>
        <v>0</v>
      </c>
      <c r="Y223" s="72">
        <f>IFERROR(LOOKUP($C223,Actuals!$C$4:$C$79,Actuals!J$4:J$79),0)</f>
        <v>0</v>
      </c>
    </row>
    <row r="224" spans="1:25" ht="16.5" customHeight="1" x14ac:dyDescent="0.35">
      <c r="A224" s="3" t="s">
        <v>14</v>
      </c>
      <c r="B224" s="4">
        <v>103</v>
      </c>
      <c r="C224" s="5">
        <v>33048</v>
      </c>
      <c r="D224" s="3" t="s">
        <v>220</v>
      </c>
      <c r="E224" s="6">
        <v>15</v>
      </c>
      <c r="F224" s="21">
        <v>7.77</v>
      </c>
      <c r="G224" s="22">
        <v>0</v>
      </c>
      <c r="H224" s="24">
        <f t="shared" si="16"/>
        <v>0</v>
      </c>
      <c r="I224" s="24">
        <f t="shared" si="17"/>
        <v>0</v>
      </c>
      <c r="J224" s="24">
        <f t="shared" si="18"/>
        <v>0</v>
      </c>
      <c r="K224" s="25">
        <f t="shared" si="19"/>
        <v>0</v>
      </c>
      <c r="L224" s="21"/>
      <c r="M224" s="12">
        <v>55.11</v>
      </c>
      <c r="N224" s="12">
        <v>47.92173913043478</v>
      </c>
      <c r="O224" s="12">
        <v>28.558732800000001</v>
      </c>
      <c r="P224" s="9">
        <v>0.49399999999999999</v>
      </c>
      <c r="Q224" s="12">
        <v>19.363006330434779</v>
      </c>
      <c r="R224" s="12">
        <v>111.55870445344129</v>
      </c>
      <c r="S224" s="12">
        <v>97.007569089948944</v>
      </c>
      <c r="T224" s="12">
        <v>57.811200000000007</v>
      </c>
      <c r="U224" s="16">
        <v>40.405475013609134</v>
      </c>
      <c r="V224" s="72">
        <f>IFERROR(LOOKUP($C224,Actuals!$C$4:$C$79,Actuals!G$4:G$79),0)</f>
        <v>140.7913043478261</v>
      </c>
      <c r="W224" s="72">
        <f>IFERROR(LOOKUP($C224,Actuals!$C$4:$C$79,Actuals!H$4:H$79),0)</f>
        <v>9</v>
      </c>
      <c r="X224" s="72">
        <f>IFERROR(LOOKUP($C224,Actuals!$C$4:$C$79,Actuals!I$4:I$79),0)</f>
        <v>0</v>
      </c>
      <c r="Y224" s="72">
        <f>IFERROR(LOOKUP($C224,Actuals!$C$4:$C$79,Actuals!J$4:J$79),0)</f>
        <v>0</v>
      </c>
    </row>
    <row r="225" spans="1:25" ht="16.5" customHeight="1" x14ac:dyDescent="0.35">
      <c r="A225" s="3" t="s">
        <v>14</v>
      </c>
      <c r="B225" s="4">
        <v>103</v>
      </c>
      <c r="C225" s="5">
        <v>33051</v>
      </c>
      <c r="D225" s="3" t="s">
        <v>221</v>
      </c>
      <c r="E225" s="6">
        <v>10</v>
      </c>
      <c r="F225" s="21">
        <v>5.04</v>
      </c>
      <c r="G225" s="22">
        <v>0</v>
      </c>
      <c r="H225" s="24">
        <f t="shared" si="16"/>
        <v>0</v>
      </c>
      <c r="I225" s="24">
        <f t="shared" si="17"/>
        <v>0</v>
      </c>
      <c r="J225" s="24">
        <f t="shared" si="18"/>
        <v>0</v>
      </c>
      <c r="K225" s="25">
        <f t="shared" si="19"/>
        <v>0</v>
      </c>
      <c r="L225" s="21"/>
      <c r="M225" s="12">
        <v>53.910000000000004</v>
      </c>
      <c r="N225" s="12">
        <v>46.878260869565224</v>
      </c>
      <c r="O225" s="12">
        <v>27.900000000000006</v>
      </c>
      <c r="P225" s="9">
        <v>9</v>
      </c>
      <c r="Q225" s="12">
        <v>18.978260869565212</v>
      </c>
      <c r="R225" s="12">
        <v>5.99</v>
      </c>
      <c r="S225" s="12">
        <v>5.2086956521739136</v>
      </c>
      <c r="T225" s="12">
        <v>3.1000000000000005</v>
      </c>
      <c r="U225" s="16">
        <v>40.484140233722862</v>
      </c>
      <c r="V225" s="72">
        <f>IFERROR(LOOKUP($C225,Actuals!$C$4:$C$79,Actuals!G$4:G$79),0)</f>
        <v>140.7913043478261</v>
      </c>
      <c r="W225" s="72">
        <f>IFERROR(LOOKUP($C225,Actuals!$C$4:$C$79,Actuals!H$4:H$79),0)</f>
        <v>9</v>
      </c>
      <c r="X225" s="72">
        <f>IFERROR(LOOKUP($C225,Actuals!$C$4:$C$79,Actuals!I$4:I$79),0)</f>
        <v>0</v>
      </c>
      <c r="Y225" s="72">
        <f>IFERROR(LOOKUP($C225,Actuals!$C$4:$C$79,Actuals!J$4:J$79),0)</f>
        <v>0</v>
      </c>
    </row>
    <row r="226" spans="1:25" ht="16.5" customHeight="1" x14ac:dyDescent="0.35">
      <c r="A226" s="3" t="s">
        <v>14</v>
      </c>
      <c r="B226" s="4">
        <v>103</v>
      </c>
      <c r="C226" s="5">
        <v>33041</v>
      </c>
      <c r="D226" s="3" t="s">
        <v>222</v>
      </c>
      <c r="E226" s="6">
        <v>10</v>
      </c>
      <c r="F226" s="21">
        <v>1.5</v>
      </c>
      <c r="G226" s="22">
        <v>0</v>
      </c>
      <c r="H226" s="24">
        <f t="shared" si="16"/>
        <v>0</v>
      </c>
      <c r="I226" s="24">
        <f t="shared" si="17"/>
        <v>0</v>
      </c>
      <c r="J226" s="24">
        <f t="shared" si="18"/>
        <v>0</v>
      </c>
      <c r="K226" s="25">
        <f t="shared" si="19"/>
        <v>0</v>
      </c>
      <c r="L226" s="21"/>
      <c r="M226" s="12">
        <v>39.99</v>
      </c>
      <c r="N226" s="12">
        <v>34.77391304347826</v>
      </c>
      <c r="O226" s="12">
        <v>29.01</v>
      </c>
      <c r="P226" s="9">
        <v>1</v>
      </c>
      <c r="Q226" s="12">
        <v>5.7639130434782579</v>
      </c>
      <c r="R226" s="12">
        <v>39.99</v>
      </c>
      <c r="S226" s="12">
        <v>34.77391304347826</v>
      </c>
      <c r="T226" s="12">
        <v>29.01</v>
      </c>
      <c r="U226" s="16">
        <v>16.57539384846211</v>
      </c>
      <c r="V226" s="72">
        <f>IFERROR(LOOKUP($C226,Actuals!$C$4:$C$79,Actuals!G$4:G$79),0)</f>
        <v>140.7913043478261</v>
      </c>
      <c r="W226" s="72">
        <f>IFERROR(LOOKUP($C226,Actuals!$C$4:$C$79,Actuals!H$4:H$79),0)</f>
        <v>9</v>
      </c>
      <c r="X226" s="72">
        <f>IFERROR(LOOKUP($C226,Actuals!$C$4:$C$79,Actuals!I$4:I$79),0)</f>
        <v>0</v>
      </c>
      <c r="Y226" s="72">
        <f>IFERROR(LOOKUP($C226,Actuals!$C$4:$C$79,Actuals!J$4:J$79),0)</f>
        <v>0</v>
      </c>
    </row>
    <row r="227" spans="1:25" ht="16.5" customHeight="1" x14ac:dyDescent="0.35">
      <c r="A227" s="3" t="s">
        <v>14</v>
      </c>
      <c r="B227" s="4">
        <v>103</v>
      </c>
      <c r="C227" s="5">
        <v>33043</v>
      </c>
      <c r="D227" s="3" t="s">
        <v>223</v>
      </c>
      <c r="E227" s="6">
        <v>15</v>
      </c>
      <c r="F227" s="21">
        <v>4.26</v>
      </c>
      <c r="G227" s="22">
        <v>0</v>
      </c>
      <c r="H227" s="24">
        <f t="shared" si="16"/>
        <v>0</v>
      </c>
      <c r="I227" s="24">
        <f t="shared" si="17"/>
        <v>0</v>
      </c>
      <c r="J227" s="24">
        <f t="shared" si="18"/>
        <v>0</v>
      </c>
      <c r="K227" s="25">
        <f t="shared" si="19"/>
        <v>0</v>
      </c>
      <c r="L227" s="21"/>
      <c r="M227" s="12">
        <v>35</v>
      </c>
      <c r="N227" s="12">
        <v>30.434782608695652</v>
      </c>
      <c r="O227" s="12">
        <v>18.060000000000002</v>
      </c>
      <c r="P227" s="9">
        <v>14</v>
      </c>
      <c r="Q227" s="12">
        <v>12.374782608695654</v>
      </c>
      <c r="R227" s="12">
        <v>2.5</v>
      </c>
      <c r="S227" s="12">
        <v>2.1739130434782608</v>
      </c>
      <c r="T227" s="12">
        <v>1.2900000000000003</v>
      </c>
      <c r="U227" s="16">
        <v>40.660000000000004</v>
      </c>
      <c r="V227" s="72">
        <f>IFERROR(LOOKUP($C227,Actuals!$C$4:$C$79,Actuals!G$4:G$79),0)</f>
        <v>140.7913043478261</v>
      </c>
      <c r="W227" s="72">
        <f>IFERROR(LOOKUP($C227,Actuals!$C$4:$C$79,Actuals!H$4:H$79),0)</f>
        <v>9</v>
      </c>
      <c r="X227" s="72">
        <f>IFERROR(LOOKUP($C227,Actuals!$C$4:$C$79,Actuals!I$4:I$79),0)</f>
        <v>0</v>
      </c>
      <c r="Y227" s="72">
        <f>IFERROR(LOOKUP($C227,Actuals!$C$4:$C$79,Actuals!J$4:J$79),0)</f>
        <v>0</v>
      </c>
    </row>
    <row r="228" spans="1:25" ht="16.5" customHeight="1" x14ac:dyDescent="0.35">
      <c r="A228" s="3" t="s">
        <v>14</v>
      </c>
      <c r="B228" s="4">
        <v>103</v>
      </c>
      <c r="C228" s="5">
        <v>33045</v>
      </c>
      <c r="D228" s="3" t="s">
        <v>224</v>
      </c>
      <c r="E228" s="6">
        <v>10</v>
      </c>
      <c r="F228" s="21">
        <v>2.5</v>
      </c>
      <c r="G228" s="22">
        <v>0</v>
      </c>
      <c r="H228" s="24">
        <f t="shared" si="16"/>
        <v>0</v>
      </c>
      <c r="I228" s="24">
        <f t="shared" si="17"/>
        <v>0</v>
      </c>
      <c r="J228" s="24">
        <f t="shared" si="18"/>
        <v>0</v>
      </c>
      <c r="K228" s="25">
        <f t="shared" si="19"/>
        <v>0</v>
      </c>
      <c r="L228" s="21"/>
      <c r="M228" s="12">
        <v>29.99</v>
      </c>
      <c r="N228" s="12">
        <v>29.99</v>
      </c>
      <c r="O228" s="12">
        <v>28.95</v>
      </c>
      <c r="P228" s="9">
        <v>1</v>
      </c>
      <c r="Q228" s="12">
        <v>1.0399999999999991</v>
      </c>
      <c r="R228" s="12">
        <v>29.99</v>
      </c>
      <c r="S228" s="12">
        <v>29.99</v>
      </c>
      <c r="T228" s="12">
        <v>28.95</v>
      </c>
      <c r="U228" s="16">
        <v>3.4678226075358429</v>
      </c>
      <c r="V228" s="72">
        <f>IFERROR(LOOKUP($C228,Actuals!$C$4:$C$79,Actuals!G$4:G$79),0)</f>
        <v>140.7913043478261</v>
      </c>
      <c r="W228" s="72">
        <f>IFERROR(LOOKUP($C228,Actuals!$C$4:$C$79,Actuals!H$4:H$79),0)</f>
        <v>9</v>
      </c>
      <c r="X228" s="72">
        <f>IFERROR(LOOKUP($C228,Actuals!$C$4:$C$79,Actuals!I$4:I$79),0)</f>
        <v>0</v>
      </c>
      <c r="Y228" s="72">
        <f>IFERROR(LOOKUP($C228,Actuals!$C$4:$C$79,Actuals!J$4:J$79),0)</f>
        <v>0</v>
      </c>
    </row>
    <row r="229" spans="1:25" ht="16.5" customHeight="1" x14ac:dyDescent="0.35">
      <c r="A229" s="3" t="s">
        <v>14</v>
      </c>
      <c r="B229" s="4">
        <v>103</v>
      </c>
      <c r="C229" s="5">
        <v>33046</v>
      </c>
      <c r="D229" s="3" t="s">
        <v>225</v>
      </c>
      <c r="E229" s="6">
        <v>10</v>
      </c>
      <c r="F229" s="21">
        <v>3.39</v>
      </c>
      <c r="G229" s="22">
        <v>0</v>
      </c>
      <c r="H229" s="24">
        <f t="shared" si="16"/>
        <v>0</v>
      </c>
      <c r="I229" s="24">
        <f t="shared" si="17"/>
        <v>0</v>
      </c>
      <c r="J229" s="24">
        <f t="shared" si="18"/>
        <v>0</v>
      </c>
      <c r="K229" s="25">
        <f t="shared" si="19"/>
        <v>0</v>
      </c>
      <c r="L229" s="21"/>
      <c r="M229" s="12">
        <v>15</v>
      </c>
      <c r="N229" s="12">
        <v>13.043478260869565</v>
      </c>
      <c r="O229" s="12">
        <v>10.23</v>
      </c>
      <c r="P229" s="9">
        <v>1</v>
      </c>
      <c r="Q229" s="12">
        <v>2.8134782608695641</v>
      </c>
      <c r="R229" s="12">
        <v>15</v>
      </c>
      <c r="S229" s="12">
        <v>13.043478260869565</v>
      </c>
      <c r="T229" s="12">
        <v>10.23</v>
      </c>
      <c r="U229" s="16">
        <v>21.569999999999993</v>
      </c>
      <c r="V229" s="72">
        <f>IFERROR(LOOKUP($C229,Actuals!$C$4:$C$79,Actuals!G$4:G$79),0)</f>
        <v>140.7913043478261</v>
      </c>
      <c r="W229" s="72">
        <f>IFERROR(LOOKUP($C229,Actuals!$C$4:$C$79,Actuals!H$4:H$79),0)</f>
        <v>9</v>
      </c>
      <c r="X229" s="72">
        <f>IFERROR(LOOKUP($C229,Actuals!$C$4:$C$79,Actuals!I$4:I$79),0)</f>
        <v>0</v>
      </c>
      <c r="Y229" s="72">
        <f>IFERROR(LOOKUP($C229,Actuals!$C$4:$C$79,Actuals!J$4:J$79),0)</f>
        <v>0</v>
      </c>
    </row>
    <row r="230" spans="1:25" ht="16.5" customHeight="1" x14ac:dyDescent="0.35">
      <c r="A230" s="3" t="s">
        <v>14</v>
      </c>
      <c r="B230" s="4">
        <v>103</v>
      </c>
      <c r="C230" s="5">
        <v>33049</v>
      </c>
      <c r="D230" s="3" t="s">
        <v>226</v>
      </c>
      <c r="E230" s="6">
        <v>10</v>
      </c>
      <c r="F230" s="21">
        <v>2.3199999999999998</v>
      </c>
      <c r="G230" s="22">
        <v>0</v>
      </c>
      <c r="H230" s="24">
        <f t="shared" si="16"/>
        <v>0</v>
      </c>
      <c r="I230" s="24">
        <f t="shared" si="17"/>
        <v>0</v>
      </c>
      <c r="J230" s="24">
        <f t="shared" si="18"/>
        <v>0</v>
      </c>
      <c r="K230" s="25">
        <f t="shared" si="19"/>
        <v>0</v>
      </c>
      <c r="L230" s="21"/>
      <c r="M230" s="12">
        <v>15</v>
      </c>
      <c r="N230" s="12">
        <v>13.043478260869565</v>
      </c>
      <c r="O230" s="12">
        <v>7.77</v>
      </c>
      <c r="P230" s="9">
        <v>1</v>
      </c>
      <c r="Q230" s="12">
        <v>5.2734782608695649</v>
      </c>
      <c r="R230" s="12">
        <v>15</v>
      </c>
      <c r="S230" s="12">
        <v>13.043478260869565</v>
      </c>
      <c r="T230" s="12">
        <v>7.77</v>
      </c>
      <c r="U230" s="16">
        <v>40.43</v>
      </c>
      <c r="V230" s="72">
        <f>IFERROR(LOOKUP($C230,Actuals!$C$4:$C$79,Actuals!G$4:G$79),0)</f>
        <v>140.7913043478261</v>
      </c>
      <c r="W230" s="72">
        <f>IFERROR(LOOKUP($C230,Actuals!$C$4:$C$79,Actuals!H$4:H$79),0)</f>
        <v>9</v>
      </c>
      <c r="X230" s="72">
        <f>IFERROR(LOOKUP($C230,Actuals!$C$4:$C$79,Actuals!I$4:I$79),0)</f>
        <v>0</v>
      </c>
      <c r="Y230" s="72">
        <f>IFERROR(LOOKUP($C230,Actuals!$C$4:$C$79,Actuals!J$4:J$79),0)</f>
        <v>0</v>
      </c>
    </row>
    <row r="231" spans="1:25" ht="16.5" customHeight="1" x14ac:dyDescent="0.35">
      <c r="A231" s="3" t="s">
        <v>14</v>
      </c>
      <c r="B231" s="4">
        <v>103</v>
      </c>
      <c r="C231" s="5">
        <v>33050</v>
      </c>
      <c r="D231" s="3" t="s">
        <v>227</v>
      </c>
      <c r="E231" s="6">
        <v>10</v>
      </c>
      <c r="F231" s="21">
        <v>4.5599999999999996</v>
      </c>
      <c r="G231" s="22">
        <v>0</v>
      </c>
      <c r="H231" s="24">
        <f t="shared" si="16"/>
        <v>0</v>
      </c>
      <c r="I231" s="24">
        <f t="shared" si="17"/>
        <v>0</v>
      </c>
      <c r="J231" s="24">
        <f t="shared" si="18"/>
        <v>0</v>
      </c>
      <c r="K231" s="25">
        <f t="shared" si="19"/>
        <v>0</v>
      </c>
      <c r="L231" s="21"/>
      <c r="M231" s="12">
        <v>10.98</v>
      </c>
      <c r="N231" s="12">
        <v>9.5478260869565226</v>
      </c>
      <c r="O231" s="12">
        <v>5.5768000000000004</v>
      </c>
      <c r="P231" s="9">
        <v>2</v>
      </c>
      <c r="Q231" s="12">
        <v>3.9710260869565221</v>
      </c>
      <c r="R231" s="12">
        <v>5.49</v>
      </c>
      <c r="S231" s="12">
        <v>4.7739130434782613</v>
      </c>
      <c r="T231" s="12">
        <v>2.7884000000000002</v>
      </c>
      <c r="U231" s="16">
        <v>41.590892531876136</v>
      </c>
      <c r="V231" s="72">
        <f>IFERROR(LOOKUP($C231,Actuals!$C$4:$C$79,Actuals!G$4:G$79),0)</f>
        <v>140.7913043478261</v>
      </c>
      <c r="W231" s="72">
        <f>IFERROR(LOOKUP($C231,Actuals!$C$4:$C$79,Actuals!H$4:H$79),0)</f>
        <v>9</v>
      </c>
      <c r="X231" s="72">
        <f>IFERROR(LOOKUP($C231,Actuals!$C$4:$C$79,Actuals!I$4:I$79),0)</f>
        <v>0</v>
      </c>
      <c r="Y231" s="72">
        <f>IFERROR(LOOKUP($C231,Actuals!$C$4:$C$79,Actuals!J$4:J$79),0)</f>
        <v>0</v>
      </c>
    </row>
    <row r="232" spans="1:25" ht="16.5" customHeight="1" x14ac:dyDescent="0.35">
      <c r="A232" s="3" t="s">
        <v>14</v>
      </c>
      <c r="B232" s="4">
        <v>103</v>
      </c>
      <c r="C232" s="5">
        <v>34076</v>
      </c>
      <c r="D232" s="3" t="s">
        <v>228</v>
      </c>
      <c r="E232" s="6">
        <v>114.99</v>
      </c>
      <c r="F232" s="21">
        <v>20.95</v>
      </c>
      <c r="G232" s="22">
        <v>0</v>
      </c>
      <c r="H232" s="24">
        <f t="shared" si="16"/>
        <v>0</v>
      </c>
      <c r="I232" s="24">
        <f t="shared" si="17"/>
        <v>0</v>
      </c>
      <c r="J232" s="24">
        <f t="shared" si="18"/>
        <v>0</v>
      </c>
      <c r="K232" s="25">
        <f t="shared" si="19"/>
        <v>0</v>
      </c>
      <c r="L232" s="21"/>
      <c r="M232" s="12">
        <v>10</v>
      </c>
      <c r="N232" s="12">
        <v>8.695652173913043</v>
      </c>
      <c r="O232" s="12">
        <v>5.04</v>
      </c>
      <c r="P232" s="9">
        <v>1</v>
      </c>
      <c r="Q232" s="12">
        <v>3.655652173913043</v>
      </c>
      <c r="R232" s="12">
        <v>10</v>
      </c>
      <c r="S232" s="12">
        <v>8.695652173913043</v>
      </c>
      <c r="T232" s="12">
        <v>5.04</v>
      </c>
      <c r="U232" s="16">
        <v>42.039999999999992</v>
      </c>
      <c r="V232" s="72">
        <f>IFERROR(LOOKUP($C232,Actuals!$C$4:$C$79,Actuals!G$4:G$79),0)</f>
        <v>169.43478260869566</v>
      </c>
      <c r="W232" s="72">
        <f>IFERROR(LOOKUP($C232,Actuals!$C$4:$C$79,Actuals!H$4:H$79),0)</f>
        <v>15</v>
      </c>
      <c r="X232" s="72">
        <f>IFERROR(LOOKUP($C232,Actuals!$C$4:$C$79,Actuals!I$4:I$79),0)</f>
        <v>101.66086956521738</v>
      </c>
      <c r="Y232" s="72">
        <f>IFERROR(LOOKUP($C232,Actuals!$C$4:$C$79,Actuals!J$4:J$79),0)</f>
        <v>9</v>
      </c>
    </row>
    <row r="233" spans="1:25" ht="16.5" customHeight="1" x14ac:dyDescent="0.35">
      <c r="A233" s="3" t="s">
        <v>14</v>
      </c>
      <c r="B233" s="4">
        <v>103</v>
      </c>
      <c r="C233" s="5">
        <v>34094</v>
      </c>
      <c r="D233" s="3" t="s">
        <v>229</v>
      </c>
      <c r="E233" s="6">
        <v>282.99</v>
      </c>
      <c r="F233" s="21">
        <v>57</v>
      </c>
      <c r="G233" s="22">
        <v>0</v>
      </c>
      <c r="H233" s="24">
        <f t="shared" si="16"/>
        <v>0</v>
      </c>
      <c r="I233" s="24">
        <f t="shared" si="17"/>
        <v>0</v>
      </c>
      <c r="J233" s="24">
        <f t="shared" si="18"/>
        <v>0</v>
      </c>
      <c r="K233" s="25">
        <f t="shared" si="19"/>
        <v>0</v>
      </c>
      <c r="L233" s="21"/>
      <c r="M233" s="12">
        <v>7.99</v>
      </c>
      <c r="N233" s="12">
        <v>6.947826086956522</v>
      </c>
      <c r="O233" s="12">
        <v>5.54</v>
      </c>
      <c r="P233" s="9">
        <v>1</v>
      </c>
      <c r="Q233" s="12">
        <v>1.4078260869565229</v>
      </c>
      <c r="R233" s="12">
        <v>7.99</v>
      </c>
      <c r="S233" s="12">
        <v>6.947826086956522</v>
      </c>
      <c r="T233" s="12">
        <v>5.54</v>
      </c>
      <c r="U233" s="16">
        <v>20.262828535669598</v>
      </c>
      <c r="V233" s="72">
        <f>IFERROR(LOOKUP($C233,Actuals!$C$4:$C$79,Actuals!G$4:G$79),0)</f>
        <v>30.373913043478261</v>
      </c>
      <c r="W233" s="72">
        <f>IFERROR(LOOKUP($C233,Actuals!$C$4:$C$79,Actuals!H$4:H$79),0)</f>
        <v>7</v>
      </c>
      <c r="X233" s="72">
        <f>IFERROR(LOOKUP($C233,Actuals!$C$4:$C$79,Actuals!I$4:I$79),0)</f>
        <v>8.6782608695652179</v>
      </c>
      <c r="Y233" s="72">
        <f>IFERROR(LOOKUP($C233,Actuals!$C$4:$C$79,Actuals!J$4:J$79),0)</f>
        <v>2</v>
      </c>
    </row>
    <row r="234" spans="1:25" ht="16.5" customHeight="1" x14ac:dyDescent="0.35">
      <c r="A234" s="3" t="s">
        <v>14</v>
      </c>
      <c r="B234" s="4">
        <v>103</v>
      </c>
      <c r="C234" s="5">
        <v>34135</v>
      </c>
      <c r="D234" s="3" t="s">
        <v>230</v>
      </c>
      <c r="E234" s="6">
        <v>189.99</v>
      </c>
      <c r="F234" s="21">
        <v>61</v>
      </c>
      <c r="G234" s="22">
        <v>0</v>
      </c>
      <c r="H234" s="24">
        <f t="shared" si="16"/>
        <v>0</v>
      </c>
      <c r="I234" s="24">
        <f t="shared" si="17"/>
        <v>0</v>
      </c>
      <c r="J234" s="24">
        <f t="shared" si="18"/>
        <v>0</v>
      </c>
      <c r="K234" s="25">
        <f t="shared" si="19"/>
        <v>0</v>
      </c>
      <c r="L234" s="21"/>
      <c r="M234" s="12">
        <v>0</v>
      </c>
      <c r="N234" s="12">
        <v>0</v>
      </c>
      <c r="O234" s="12">
        <v>0</v>
      </c>
      <c r="P234" s="9">
        <v>0</v>
      </c>
      <c r="Q234" s="12">
        <v>0</v>
      </c>
      <c r="R234" s="12">
        <v>0</v>
      </c>
      <c r="S234" s="12">
        <v>0</v>
      </c>
      <c r="T234" s="12">
        <v>0</v>
      </c>
      <c r="U234" s="16">
        <v>0</v>
      </c>
      <c r="V234" s="72">
        <f>IFERROR(LOOKUP($C234,Actuals!$C$4:$C$79,Actuals!G$4:G$79),0)</f>
        <v>229.56521739130434</v>
      </c>
      <c r="W234" s="72">
        <f>IFERROR(LOOKUP($C234,Actuals!$C$4:$C$79,Actuals!H$4:H$79),0)</f>
        <v>80</v>
      </c>
      <c r="X234" s="72">
        <f>IFERROR(LOOKUP($C234,Actuals!$C$4:$C$79,Actuals!I$4:I$79),0)</f>
        <v>0</v>
      </c>
      <c r="Y234" s="72">
        <f>IFERROR(LOOKUP($C234,Actuals!$C$4:$C$79,Actuals!J$4:J$79),0)</f>
        <v>0</v>
      </c>
    </row>
    <row r="235" spans="1:25" ht="16.5" customHeight="1" x14ac:dyDescent="0.35">
      <c r="A235" s="3" t="s">
        <v>14</v>
      </c>
      <c r="B235" s="4">
        <v>104</v>
      </c>
      <c r="C235" s="5">
        <v>34095</v>
      </c>
      <c r="D235" s="3" t="s">
        <v>235</v>
      </c>
      <c r="E235" s="6">
        <v>29.99</v>
      </c>
      <c r="F235" s="21">
        <v>12.52</v>
      </c>
      <c r="G235" s="22">
        <v>15</v>
      </c>
      <c r="H235" s="24">
        <f t="shared" si="16"/>
        <v>449.84999999999997</v>
      </c>
      <c r="I235" s="24">
        <f t="shared" si="17"/>
        <v>187.79999999999998</v>
      </c>
      <c r="J235" s="24">
        <f t="shared" si="18"/>
        <v>262.04999999999995</v>
      </c>
      <c r="K235" s="25">
        <f>J235/H235*100</f>
        <v>58.252750916972317</v>
      </c>
      <c r="L235" s="21"/>
      <c r="M235" s="12">
        <v>0</v>
      </c>
      <c r="N235" s="12">
        <v>0</v>
      </c>
      <c r="O235" s="12">
        <v>0</v>
      </c>
      <c r="P235" s="9">
        <v>0</v>
      </c>
      <c r="Q235" s="12">
        <v>0</v>
      </c>
      <c r="R235" s="12">
        <v>0</v>
      </c>
      <c r="S235" s="12">
        <v>0</v>
      </c>
      <c r="T235" s="12">
        <v>0</v>
      </c>
      <c r="U235" s="16">
        <v>0</v>
      </c>
      <c r="V235" s="72">
        <f>IFERROR(LOOKUP($C235,Actuals!$C$4:$C$79,Actuals!G$4:G$79),0)</f>
        <v>30.373913043478261</v>
      </c>
      <c r="W235" s="72">
        <f>IFERROR(LOOKUP($C235,Actuals!$C$4:$C$79,Actuals!H$4:H$79),0)</f>
        <v>7</v>
      </c>
      <c r="X235" s="72">
        <f>IFERROR(LOOKUP($C235,Actuals!$C$4:$C$79,Actuals!I$4:I$79),0)</f>
        <v>8.6782608695652179</v>
      </c>
      <c r="Y235" s="72">
        <f>IFERROR(LOOKUP($C235,Actuals!$C$4:$C$79,Actuals!J$4:J$79),0)</f>
        <v>2</v>
      </c>
    </row>
    <row r="236" spans="1:25" ht="16.5" customHeight="1" x14ac:dyDescent="0.35">
      <c r="A236" s="3" t="s">
        <v>14</v>
      </c>
      <c r="B236" s="4">
        <v>104</v>
      </c>
      <c r="C236" s="5">
        <v>34083</v>
      </c>
      <c r="D236" s="23" t="s">
        <v>233</v>
      </c>
      <c r="E236" s="21">
        <v>49.99</v>
      </c>
      <c r="F236" s="21">
        <v>13.76</v>
      </c>
      <c r="G236" s="22">
        <v>10</v>
      </c>
      <c r="H236" s="24">
        <f t="shared" si="16"/>
        <v>499.90000000000003</v>
      </c>
      <c r="I236" s="24">
        <f t="shared" si="17"/>
        <v>137.6</v>
      </c>
      <c r="J236" s="24">
        <f t="shared" si="18"/>
        <v>362.30000000000007</v>
      </c>
      <c r="K236" s="25">
        <f t="shared" ref="K236:K246" si="20">IFERROR(J236/H236*100,0)</f>
        <v>72.474494898979799</v>
      </c>
      <c r="L236" s="21"/>
      <c r="M236" s="12">
        <v>0</v>
      </c>
      <c r="N236" s="12">
        <v>0</v>
      </c>
      <c r="O236" s="12">
        <v>0</v>
      </c>
      <c r="P236" s="9">
        <v>0</v>
      </c>
      <c r="Q236" s="12">
        <v>0</v>
      </c>
      <c r="R236" s="12">
        <v>0</v>
      </c>
      <c r="S236" s="12">
        <v>0</v>
      </c>
      <c r="T236" s="12">
        <v>0</v>
      </c>
      <c r="U236" s="16">
        <v>0</v>
      </c>
      <c r="V236" s="72">
        <f>IFERROR(LOOKUP($C236,Actuals!$C$4:$C$79,Actuals!G$4:G$79),0)</f>
        <v>43.469565217391306</v>
      </c>
      <c r="W236" s="72">
        <f>IFERROR(LOOKUP($C236,Actuals!$C$4:$C$79,Actuals!H$4:H$79),0)</f>
        <v>1</v>
      </c>
      <c r="X236" s="72">
        <f>IFERROR(LOOKUP($C236,Actuals!$C$4:$C$79,Actuals!I$4:I$79),0)</f>
        <v>130.40869565217392</v>
      </c>
      <c r="Y236" s="72">
        <f>IFERROR(LOOKUP($C236,Actuals!$C$4:$C$79,Actuals!J$4:J$79),0)</f>
        <v>3</v>
      </c>
    </row>
    <row r="237" spans="1:25" ht="16.5" customHeight="1" x14ac:dyDescent="0.35">
      <c r="A237" s="3" t="s">
        <v>14</v>
      </c>
      <c r="B237" s="4">
        <v>104</v>
      </c>
      <c r="C237" s="5">
        <v>34082</v>
      </c>
      <c r="D237" s="3" t="s">
        <v>237</v>
      </c>
      <c r="E237" s="6">
        <v>49.99</v>
      </c>
      <c r="F237" s="21">
        <v>24.65</v>
      </c>
      <c r="G237" s="22">
        <v>5</v>
      </c>
      <c r="H237" s="24">
        <f t="shared" si="16"/>
        <v>249.95000000000002</v>
      </c>
      <c r="I237" s="24">
        <f t="shared" si="17"/>
        <v>123.25</v>
      </c>
      <c r="J237" s="24">
        <f t="shared" si="18"/>
        <v>126.70000000000002</v>
      </c>
      <c r="K237" s="25">
        <f t="shared" si="20"/>
        <v>50.690138027605528</v>
      </c>
      <c r="L237" s="21"/>
      <c r="M237" s="12">
        <v>0</v>
      </c>
      <c r="N237" s="12">
        <v>0</v>
      </c>
      <c r="O237" s="12">
        <v>0</v>
      </c>
      <c r="P237" s="9">
        <v>0</v>
      </c>
      <c r="Q237" s="12">
        <v>0</v>
      </c>
      <c r="R237" s="12">
        <v>0</v>
      </c>
      <c r="S237" s="12">
        <v>0</v>
      </c>
      <c r="T237" s="12">
        <v>0</v>
      </c>
      <c r="U237" s="16">
        <v>0</v>
      </c>
      <c r="V237" s="72">
        <f>IFERROR(LOOKUP($C237,Actuals!$C$4:$C$79,Actuals!G$4:G$79),0)</f>
        <v>0</v>
      </c>
      <c r="W237" s="72">
        <f>IFERROR(LOOKUP($C237,Actuals!$C$4:$C$79,Actuals!H$4:H$79),0)</f>
        <v>0</v>
      </c>
      <c r="X237" s="72">
        <f>IFERROR(LOOKUP($C237,Actuals!$C$4:$C$79,Actuals!I$4:I$79),0)</f>
        <v>43.469565217391306</v>
      </c>
      <c r="Y237" s="72">
        <f>IFERROR(LOOKUP($C237,Actuals!$C$4:$C$79,Actuals!J$4:J$79),0)</f>
        <v>1</v>
      </c>
    </row>
    <row r="238" spans="1:25" ht="16.5" customHeight="1" x14ac:dyDescent="0.35">
      <c r="A238" s="3" t="s">
        <v>14</v>
      </c>
      <c r="B238" s="4">
        <v>104</v>
      </c>
      <c r="C238" s="5">
        <v>34079</v>
      </c>
      <c r="D238" s="3" t="s">
        <v>236</v>
      </c>
      <c r="E238" s="6">
        <v>49.99</v>
      </c>
      <c r="F238" s="21">
        <v>25.03</v>
      </c>
      <c r="G238" s="22">
        <v>3</v>
      </c>
      <c r="H238" s="24">
        <f t="shared" si="16"/>
        <v>149.97</v>
      </c>
      <c r="I238" s="24">
        <f t="shared" si="17"/>
        <v>75.09</v>
      </c>
      <c r="J238" s="24">
        <f t="shared" si="18"/>
        <v>74.88</v>
      </c>
      <c r="K238" s="25">
        <f t="shared" si="20"/>
        <v>49.929985997199438</v>
      </c>
      <c r="L238" s="21"/>
      <c r="M238" s="12">
        <v>0</v>
      </c>
      <c r="N238" s="12">
        <v>0</v>
      </c>
      <c r="O238" s="12">
        <v>0</v>
      </c>
      <c r="P238" s="9">
        <v>0</v>
      </c>
      <c r="Q238" s="12">
        <v>0</v>
      </c>
      <c r="R238" s="12">
        <v>0</v>
      </c>
      <c r="S238" s="12">
        <v>0</v>
      </c>
      <c r="T238" s="12">
        <v>0</v>
      </c>
      <c r="U238" s="16">
        <v>0</v>
      </c>
      <c r="V238" s="72">
        <f>IFERROR(LOOKUP($C238,Actuals!$C$4:$C$79,Actuals!G$4:G$79),0)</f>
        <v>169.43478260869566</v>
      </c>
      <c r="W238" s="72">
        <f>IFERROR(LOOKUP($C238,Actuals!$C$4:$C$79,Actuals!H$4:H$79),0)</f>
        <v>15</v>
      </c>
      <c r="X238" s="72">
        <f>IFERROR(LOOKUP($C238,Actuals!$C$4:$C$79,Actuals!I$4:I$79),0)</f>
        <v>101.66086956521738</v>
      </c>
      <c r="Y238" s="72">
        <f>IFERROR(LOOKUP($C238,Actuals!$C$4:$C$79,Actuals!J$4:J$79),0)</f>
        <v>9</v>
      </c>
    </row>
    <row r="239" spans="1:25" ht="16.5" customHeight="1" x14ac:dyDescent="0.35">
      <c r="A239" s="3" t="s">
        <v>14</v>
      </c>
      <c r="B239" s="4">
        <v>104</v>
      </c>
      <c r="C239" s="5">
        <v>34118</v>
      </c>
      <c r="D239" s="3" t="s">
        <v>231</v>
      </c>
      <c r="E239" s="6">
        <v>29.99</v>
      </c>
      <c r="F239" s="21">
        <v>7.38</v>
      </c>
      <c r="G239" s="22">
        <v>0</v>
      </c>
      <c r="H239" s="24">
        <f t="shared" si="16"/>
        <v>0</v>
      </c>
      <c r="I239" s="24">
        <f t="shared" si="17"/>
        <v>0</v>
      </c>
      <c r="J239" s="24">
        <f t="shared" si="18"/>
        <v>0</v>
      </c>
      <c r="K239" s="25">
        <f t="shared" si="20"/>
        <v>0</v>
      </c>
      <c r="L239" s="21"/>
      <c r="M239" s="12">
        <v>0</v>
      </c>
      <c r="N239" s="12">
        <v>0</v>
      </c>
      <c r="O239" s="12">
        <v>0</v>
      </c>
      <c r="P239" s="9">
        <v>0</v>
      </c>
      <c r="Q239" s="12">
        <v>0</v>
      </c>
      <c r="R239" s="12">
        <v>0</v>
      </c>
      <c r="S239" s="12">
        <v>0</v>
      </c>
      <c r="T239" s="12">
        <v>0</v>
      </c>
      <c r="U239" s="16">
        <v>0</v>
      </c>
      <c r="V239" s="72">
        <f>IFERROR(LOOKUP($C239,Actuals!$C$4:$C$79,Actuals!G$4:G$79),0)</f>
        <v>0</v>
      </c>
      <c r="W239" s="72">
        <f>IFERROR(LOOKUP($C239,Actuals!$C$4:$C$79,Actuals!H$4:H$79),0)</f>
        <v>0</v>
      </c>
      <c r="X239" s="72">
        <f>IFERROR(LOOKUP($C239,Actuals!$C$4:$C$79,Actuals!I$4:I$79),0)</f>
        <v>130.39130434782606</v>
      </c>
      <c r="Y239" s="72">
        <f>IFERROR(LOOKUP($C239,Actuals!$C$4:$C$79,Actuals!J$4:J$79),0)</f>
        <v>5</v>
      </c>
    </row>
    <row r="240" spans="1:25" ht="16.5" customHeight="1" x14ac:dyDescent="0.35">
      <c r="A240" s="3" t="s">
        <v>14</v>
      </c>
      <c r="B240" s="4">
        <v>104</v>
      </c>
      <c r="C240" s="5">
        <v>34081</v>
      </c>
      <c r="D240" s="3" t="s">
        <v>232</v>
      </c>
      <c r="E240" s="6">
        <v>29.99</v>
      </c>
      <c r="F240" s="21">
        <v>14.34</v>
      </c>
      <c r="G240" s="22">
        <v>0</v>
      </c>
      <c r="H240" s="24">
        <f t="shared" si="16"/>
        <v>0</v>
      </c>
      <c r="I240" s="24">
        <f t="shared" si="17"/>
        <v>0</v>
      </c>
      <c r="J240" s="24">
        <f t="shared" si="18"/>
        <v>0</v>
      </c>
      <c r="K240" s="25">
        <f t="shared" si="20"/>
        <v>0</v>
      </c>
      <c r="L240" s="21"/>
      <c r="M240" s="12">
        <v>0</v>
      </c>
      <c r="N240" s="12">
        <v>0</v>
      </c>
      <c r="O240" s="12">
        <v>0</v>
      </c>
      <c r="P240" s="9">
        <v>0</v>
      </c>
      <c r="Q240" s="12">
        <v>0</v>
      </c>
      <c r="R240" s="12">
        <v>0</v>
      </c>
      <c r="S240" s="12">
        <v>0</v>
      </c>
      <c r="T240" s="12">
        <v>0</v>
      </c>
      <c r="U240" s="16">
        <v>0</v>
      </c>
      <c r="V240" s="72">
        <f>IFERROR(LOOKUP($C240,Actuals!$C$4:$C$79,Actuals!G$4:G$79),0)</f>
        <v>0</v>
      </c>
      <c r="W240" s="72">
        <f>IFERROR(LOOKUP($C240,Actuals!$C$4:$C$79,Actuals!H$4:H$79),0)</f>
        <v>0</v>
      </c>
      <c r="X240" s="72">
        <f>IFERROR(LOOKUP($C240,Actuals!$C$4:$C$79,Actuals!I$4:I$79),0)</f>
        <v>43.469565217391306</v>
      </c>
      <c r="Y240" s="72">
        <f>IFERROR(LOOKUP($C240,Actuals!$C$4:$C$79,Actuals!J$4:J$79),0)</f>
        <v>1</v>
      </c>
    </row>
    <row r="241" spans="1:25" ht="16.5" customHeight="1" x14ac:dyDescent="0.35">
      <c r="A241" s="3" t="s">
        <v>14</v>
      </c>
      <c r="B241" s="4">
        <v>104</v>
      </c>
      <c r="C241" s="5">
        <v>34080</v>
      </c>
      <c r="D241" s="3" t="s">
        <v>234</v>
      </c>
      <c r="E241" s="6">
        <v>49.99</v>
      </c>
      <c r="F241" s="21">
        <v>28.67</v>
      </c>
      <c r="G241" s="22">
        <v>0</v>
      </c>
      <c r="H241" s="24">
        <f t="shared" si="16"/>
        <v>0</v>
      </c>
      <c r="I241" s="24">
        <f t="shared" si="17"/>
        <v>0</v>
      </c>
      <c r="J241" s="24">
        <f t="shared" si="18"/>
        <v>0</v>
      </c>
      <c r="K241" s="25">
        <f t="shared" si="20"/>
        <v>0</v>
      </c>
      <c r="L241" s="21"/>
      <c r="M241" s="12">
        <v>0</v>
      </c>
      <c r="N241" s="12">
        <v>0</v>
      </c>
      <c r="O241" s="12">
        <v>0</v>
      </c>
      <c r="P241" s="9">
        <v>0</v>
      </c>
      <c r="Q241" s="12">
        <v>0</v>
      </c>
      <c r="R241" s="12">
        <v>0</v>
      </c>
      <c r="S241" s="12">
        <v>0</v>
      </c>
      <c r="T241" s="12">
        <v>0</v>
      </c>
      <c r="U241" s="16">
        <v>0</v>
      </c>
      <c r="V241" s="72">
        <f>IFERROR(LOOKUP($C241,Actuals!$C$4:$C$79,Actuals!G$4:G$79),0)</f>
        <v>0</v>
      </c>
      <c r="W241" s="72">
        <f>IFERROR(LOOKUP($C241,Actuals!$C$4:$C$79,Actuals!H$4:H$79),0)</f>
        <v>0</v>
      </c>
      <c r="X241" s="72">
        <f>IFERROR(LOOKUP($C241,Actuals!$C$4:$C$79,Actuals!I$4:I$79),0)</f>
        <v>43.469565217391306</v>
      </c>
      <c r="Y241" s="72">
        <f>IFERROR(LOOKUP($C241,Actuals!$C$4:$C$79,Actuals!J$4:J$79),0)</f>
        <v>1</v>
      </c>
    </row>
    <row r="242" spans="1:25" ht="16.5" customHeight="1" x14ac:dyDescent="0.35">
      <c r="A242" s="3" t="s">
        <v>14</v>
      </c>
      <c r="B242" s="4">
        <v>104</v>
      </c>
      <c r="C242" s="5">
        <v>43309</v>
      </c>
      <c r="D242" s="3" t="s">
        <v>238</v>
      </c>
      <c r="E242" s="6">
        <v>13.99</v>
      </c>
      <c r="F242" s="21">
        <v>6.67</v>
      </c>
      <c r="G242" s="22">
        <v>0</v>
      </c>
      <c r="H242" s="24">
        <f t="shared" si="16"/>
        <v>0</v>
      </c>
      <c r="I242" s="24">
        <f t="shared" si="17"/>
        <v>0</v>
      </c>
      <c r="J242" s="24">
        <f t="shared" si="18"/>
        <v>0</v>
      </c>
      <c r="K242" s="25">
        <f t="shared" si="20"/>
        <v>0</v>
      </c>
      <c r="L242" s="21"/>
      <c r="M242" s="12">
        <v>0</v>
      </c>
      <c r="N242" s="12">
        <v>0</v>
      </c>
      <c r="O242" s="12">
        <v>0</v>
      </c>
      <c r="P242" s="9">
        <v>0</v>
      </c>
      <c r="Q242" s="12">
        <v>0</v>
      </c>
      <c r="R242" s="12">
        <v>0</v>
      </c>
      <c r="S242" s="12">
        <v>0</v>
      </c>
      <c r="T242" s="12">
        <v>0</v>
      </c>
      <c r="U242" s="16">
        <v>0</v>
      </c>
      <c r="V242" s="72">
        <f>IFERROR(LOOKUP($C242,Actuals!$C$4:$C$79,Actuals!G$4:G$79),0)</f>
        <v>48.660869565217389</v>
      </c>
      <c r="W242" s="72">
        <f>IFERROR(LOOKUP($C242,Actuals!$C$4:$C$79,Actuals!H$4:H$79),0)</f>
        <v>4</v>
      </c>
      <c r="X242" s="72">
        <f>IFERROR(LOOKUP($C242,Actuals!$C$4:$C$79,Actuals!I$4:I$79),0)</f>
        <v>12.165217391304347</v>
      </c>
      <c r="Y242" s="72">
        <f>IFERROR(LOOKUP($C242,Actuals!$C$4:$C$79,Actuals!J$4:J$79),0)</f>
        <v>1</v>
      </c>
    </row>
    <row r="243" spans="1:25" ht="16.5" customHeight="1" x14ac:dyDescent="0.35">
      <c r="A243" s="3" t="s">
        <v>14</v>
      </c>
      <c r="B243" s="4">
        <v>104</v>
      </c>
      <c r="C243" s="5">
        <v>40732</v>
      </c>
      <c r="D243" s="3" t="s">
        <v>239</v>
      </c>
      <c r="E243" s="6">
        <v>15</v>
      </c>
      <c r="F243" s="21">
        <v>7.38</v>
      </c>
      <c r="G243" s="22">
        <v>0</v>
      </c>
      <c r="H243" s="24">
        <f t="shared" si="16"/>
        <v>0</v>
      </c>
      <c r="I243" s="24">
        <f t="shared" si="17"/>
        <v>0</v>
      </c>
      <c r="J243" s="24">
        <f t="shared" si="18"/>
        <v>0</v>
      </c>
      <c r="K243" s="25">
        <f t="shared" si="20"/>
        <v>0</v>
      </c>
      <c r="L243" s="21"/>
      <c r="M243" s="12">
        <v>0</v>
      </c>
      <c r="N243" s="12">
        <v>0</v>
      </c>
      <c r="O243" s="12">
        <v>0</v>
      </c>
      <c r="P243" s="9">
        <v>0</v>
      </c>
      <c r="Q243" s="12">
        <v>0</v>
      </c>
      <c r="R243" s="12">
        <v>0</v>
      </c>
      <c r="S243" s="12">
        <v>0</v>
      </c>
      <c r="T243" s="12">
        <v>0</v>
      </c>
      <c r="U243" s="16">
        <v>0</v>
      </c>
      <c r="V243" s="72">
        <f>IFERROR(LOOKUP($C243,Actuals!$C$4:$C$79,Actuals!G$4:G$79),0)</f>
        <v>17.373913043478261</v>
      </c>
      <c r="W243" s="72">
        <f>IFERROR(LOOKUP($C243,Actuals!$C$4:$C$79,Actuals!H$4:H$79),0)</f>
        <v>2</v>
      </c>
      <c r="X243" s="72">
        <f>IFERROR(LOOKUP($C243,Actuals!$C$4:$C$79,Actuals!I$4:I$79),0)</f>
        <v>86.869565217391312</v>
      </c>
      <c r="Y243" s="72">
        <f>IFERROR(LOOKUP($C243,Actuals!$C$4:$C$79,Actuals!J$4:J$79),0)</f>
        <v>10</v>
      </c>
    </row>
    <row r="244" spans="1:25" ht="16.5" customHeight="1" x14ac:dyDescent="0.35">
      <c r="A244" s="3" t="s">
        <v>14</v>
      </c>
      <c r="B244" s="4">
        <v>104</v>
      </c>
      <c r="C244" s="5">
        <v>34075</v>
      </c>
      <c r="D244" s="3" t="s">
        <v>240</v>
      </c>
      <c r="E244" s="6">
        <v>69.989999999999995</v>
      </c>
      <c r="F244" s="21">
        <v>36.1</v>
      </c>
      <c r="G244" s="22">
        <v>0</v>
      </c>
      <c r="H244" s="24">
        <f t="shared" si="16"/>
        <v>0</v>
      </c>
      <c r="I244" s="24">
        <f t="shared" si="17"/>
        <v>0</v>
      </c>
      <c r="J244" s="24">
        <f t="shared" si="18"/>
        <v>0</v>
      </c>
      <c r="K244" s="25">
        <f t="shared" si="20"/>
        <v>0</v>
      </c>
      <c r="L244" s="21"/>
      <c r="M244" s="12">
        <v>0</v>
      </c>
      <c r="N244" s="12">
        <v>0</v>
      </c>
      <c r="O244" s="12">
        <v>0</v>
      </c>
      <c r="P244" s="9">
        <v>0</v>
      </c>
      <c r="Q244" s="12">
        <v>0</v>
      </c>
      <c r="R244" s="12">
        <v>0</v>
      </c>
      <c r="S244" s="12">
        <v>0</v>
      </c>
      <c r="T244" s="12">
        <v>0</v>
      </c>
      <c r="U244" s="16">
        <v>0</v>
      </c>
      <c r="V244" s="72">
        <f>IFERROR(LOOKUP($C244,Actuals!$C$4:$C$79,Actuals!G$4:G$79),0)</f>
        <v>169.43478260869566</v>
      </c>
      <c r="W244" s="72">
        <f>IFERROR(LOOKUP($C244,Actuals!$C$4:$C$79,Actuals!H$4:H$79),0)</f>
        <v>15</v>
      </c>
      <c r="X244" s="72">
        <f>IFERROR(LOOKUP($C244,Actuals!$C$4:$C$79,Actuals!I$4:I$79),0)</f>
        <v>101.66086956521738</v>
      </c>
      <c r="Y244" s="72">
        <f>IFERROR(LOOKUP($C244,Actuals!$C$4:$C$79,Actuals!J$4:J$79),0)</f>
        <v>9</v>
      </c>
    </row>
    <row r="245" spans="1:25" ht="16.5" customHeight="1" x14ac:dyDescent="0.35">
      <c r="A245" s="3" t="s">
        <v>14</v>
      </c>
      <c r="B245" s="4">
        <v>104</v>
      </c>
      <c r="C245" s="5">
        <v>56805</v>
      </c>
      <c r="D245" s="3" t="s">
        <v>241</v>
      </c>
      <c r="E245" s="6">
        <v>15</v>
      </c>
      <c r="F245" s="21">
        <v>29.47</v>
      </c>
      <c r="G245" s="22">
        <v>0</v>
      </c>
      <c r="H245" s="24">
        <f t="shared" si="16"/>
        <v>0</v>
      </c>
      <c r="I245" s="24">
        <f t="shared" si="17"/>
        <v>0</v>
      </c>
      <c r="J245" s="24">
        <f t="shared" si="18"/>
        <v>0</v>
      </c>
      <c r="K245" s="25">
        <f t="shared" si="20"/>
        <v>0</v>
      </c>
      <c r="L245" s="21"/>
      <c r="M245" s="12">
        <v>0</v>
      </c>
      <c r="N245" s="12">
        <v>0</v>
      </c>
      <c r="O245" s="12">
        <v>0</v>
      </c>
      <c r="P245" s="9">
        <v>0</v>
      </c>
      <c r="Q245" s="12">
        <v>0</v>
      </c>
      <c r="R245" s="12">
        <v>0</v>
      </c>
      <c r="S245" s="12">
        <v>0</v>
      </c>
      <c r="T245" s="12">
        <v>0</v>
      </c>
      <c r="U245" s="16">
        <v>0</v>
      </c>
      <c r="V245" s="72">
        <f>IFERROR(LOOKUP($C245,Actuals!$C$4:$C$79,Actuals!G$4:G$79),0)</f>
        <v>83.408695652173918</v>
      </c>
      <c r="W245" s="72">
        <f>IFERROR(LOOKUP($C245,Actuals!$C$4:$C$79,Actuals!H$4:H$79),0)</f>
        <v>8</v>
      </c>
      <c r="X245" s="72">
        <f>IFERROR(LOOKUP($C245,Actuals!$C$4:$C$79,Actuals!I$4:I$79),0)</f>
        <v>52.130434782608695</v>
      </c>
      <c r="Y245" s="72">
        <f>IFERROR(LOOKUP($C245,Actuals!$C$4:$C$79,Actuals!J$4:J$79),0)</f>
        <v>5</v>
      </c>
    </row>
    <row r="246" spans="1:25" ht="16.5" customHeight="1" x14ac:dyDescent="0.35">
      <c r="A246" s="3" t="s">
        <v>14</v>
      </c>
      <c r="B246" s="4">
        <v>104</v>
      </c>
      <c r="C246" s="5">
        <v>58452</v>
      </c>
      <c r="D246" s="3" t="s">
        <v>242</v>
      </c>
      <c r="E246" s="6">
        <v>120</v>
      </c>
      <c r="F246" s="21">
        <v>58.51</v>
      </c>
      <c r="G246" s="22">
        <v>0</v>
      </c>
      <c r="H246" s="24">
        <f t="shared" si="16"/>
        <v>0</v>
      </c>
      <c r="I246" s="24">
        <f t="shared" si="17"/>
        <v>0</v>
      </c>
      <c r="J246" s="24">
        <f t="shared" si="18"/>
        <v>0</v>
      </c>
      <c r="K246" s="25">
        <f t="shared" si="20"/>
        <v>0</v>
      </c>
      <c r="L246" s="21"/>
      <c r="M246" s="12">
        <v>0</v>
      </c>
      <c r="N246" s="12">
        <v>0</v>
      </c>
      <c r="O246" s="12">
        <v>0</v>
      </c>
      <c r="P246" s="9">
        <v>0</v>
      </c>
      <c r="Q246" s="12">
        <v>0</v>
      </c>
      <c r="R246" s="12">
        <v>0</v>
      </c>
      <c r="S246" s="12">
        <v>0</v>
      </c>
      <c r="T246" s="12">
        <v>0</v>
      </c>
      <c r="U246" s="16">
        <v>0</v>
      </c>
      <c r="V246" s="72">
        <f>IFERROR(LOOKUP($C246,Actuals!$C$4:$C$79,Actuals!G$4:G$79),0)</f>
        <v>14.77391304347826</v>
      </c>
      <c r="W246" s="72">
        <f>IFERROR(LOOKUP($C246,Actuals!$C$4:$C$79,Actuals!H$4:H$79),0)</f>
        <v>1</v>
      </c>
      <c r="X246" s="72">
        <f>IFERROR(LOOKUP($C246,Actuals!$C$4:$C$79,Actuals!I$4:I$79),0)</f>
        <v>0</v>
      </c>
      <c r="Y246" s="72">
        <f>IFERROR(LOOKUP($C246,Actuals!$C$4:$C$79,Actuals!J$4:J$79),0)</f>
        <v>0</v>
      </c>
    </row>
    <row r="247" spans="1:25" ht="16.5" customHeight="1" x14ac:dyDescent="0.35">
      <c r="A247" s="3" t="s">
        <v>14</v>
      </c>
      <c r="B247" s="4">
        <v>106</v>
      </c>
      <c r="C247" s="5">
        <v>54018</v>
      </c>
      <c r="D247" s="3" t="s">
        <v>243</v>
      </c>
      <c r="E247" s="6">
        <v>18.989999999999998</v>
      </c>
      <c r="F247" s="21">
        <v>9.83</v>
      </c>
      <c r="G247" s="22">
        <v>93</v>
      </c>
      <c r="H247" s="24">
        <f t="shared" si="16"/>
        <v>1766.07</v>
      </c>
      <c r="I247" s="24">
        <f t="shared" si="17"/>
        <v>914.19</v>
      </c>
      <c r="J247" s="24">
        <f t="shared" si="18"/>
        <v>851.87999999999988</v>
      </c>
      <c r="K247" s="25">
        <f>J247/H247*100</f>
        <v>48.235913638757232</v>
      </c>
      <c r="L247" s="21"/>
      <c r="M247" s="12">
        <v>0</v>
      </c>
      <c r="N247" s="12">
        <v>0</v>
      </c>
      <c r="O247" s="12">
        <v>0</v>
      </c>
      <c r="P247" s="9">
        <v>0</v>
      </c>
      <c r="Q247" s="12">
        <v>0</v>
      </c>
      <c r="R247" s="12">
        <v>0</v>
      </c>
      <c r="S247" s="12">
        <v>0</v>
      </c>
      <c r="T247" s="12">
        <v>0</v>
      </c>
      <c r="U247" s="16">
        <v>0</v>
      </c>
      <c r="V247" s="72">
        <f>IFERROR(LOOKUP($C247,Actuals!$C$4:$C$79,Actuals!G$4:G$79),0)</f>
        <v>132.10434782608695</v>
      </c>
      <c r="W247" s="72">
        <f>IFERROR(LOOKUP($C247,Actuals!$C$4:$C$79,Actuals!H$4:H$79),0)</f>
        <v>8</v>
      </c>
      <c r="X247" s="72">
        <f>IFERROR(LOOKUP($C247,Actuals!$C$4:$C$79,Actuals!I$4:I$79),0)</f>
        <v>49.539130434782606</v>
      </c>
      <c r="Y247" s="72">
        <f>IFERROR(LOOKUP($C247,Actuals!$C$4:$C$79,Actuals!J$4:J$79),0)</f>
        <v>3</v>
      </c>
    </row>
    <row r="248" spans="1:25" ht="16.5" customHeight="1" x14ac:dyDescent="0.35">
      <c r="A248" s="3" t="s">
        <v>14</v>
      </c>
      <c r="B248" s="4">
        <v>106</v>
      </c>
      <c r="C248" s="5">
        <v>34028</v>
      </c>
      <c r="D248" s="3" t="s">
        <v>244</v>
      </c>
      <c r="E248" s="6">
        <v>26.99</v>
      </c>
      <c r="F248" s="21">
        <v>15.3</v>
      </c>
      <c r="G248" s="22">
        <v>0</v>
      </c>
      <c r="H248" s="24">
        <f t="shared" si="16"/>
        <v>0</v>
      </c>
      <c r="I248" s="24">
        <f t="shared" si="17"/>
        <v>0</v>
      </c>
      <c r="J248" s="24">
        <f t="shared" si="18"/>
        <v>0</v>
      </c>
      <c r="K248" s="25">
        <f t="shared" ref="K248:K256" si="21">IFERROR(J248/H248*100,0)</f>
        <v>0</v>
      </c>
      <c r="L248" s="21"/>
      <c r="M248" s="12">
        <v>0</v>
      </c>
      <c r="N248" s="12">
        <v>0</v>
      </c>
      <c r="O248" s="12">
        <v>0</v>
      </c>
      <c r="P248" s="9">
        <v>0</v>
      </c>
      <c r="Q248" s="12">
        <v>0</v>
      </c>
      <c r="R248" s="12">
        <v>0</v>
      </c>
      <c r="S248" s="12">
        <v>0</v>
      </c>
      <c r="T248" s="12">
        <v>0</v>
      </c>
      <c r="U248" s="16">
        <v>0</v>
      </c>
      <c r="V248" s="72">
        <f>IFERROR(LOOKUP($C248,Actuals!$C$4:$C$79,Actuals!G$4:G$79),0)</f>
        <v>165.17391304347825</v>
      </c>
      <c r="W248" s="72">
        <f>IFERROR(LOOKUP($C248,Actuals!$C$4:$C$79,Actuals!H$4:H$79),0)</f>
        <v>5</v>
      </c>
      <c r="X248" s="72">
        <f>IFERROR(LOOKUP($C248,Actuals!$C$4:$C$79,Actuals!I$4:I$79),0)</f>
        <v>33.03478260869565</v>
      </c>
      <c r="Y248" s="72">
        <f>IFERROR(LOOKUP($C248,Actuals!$C$4:$C$79,Actuals!J$4:J$79),0)</f>
        <v>1</v>
      </c>
    </row>
    <row r="249" spans="1:25" ht="16.5" customHeight="1" x14ac:dyDescent="0.35">
      <c r="A249" s="3" t="s">
        <v>14</v>
      </c>
      <c r="B249" s="4">
        <v>106</v>
      </c>
      <c r="C249" s="5">
        <v>34027</v>
      </c>
      <c r="D249" s="3" t="s">
        <v>245</v>
      </c>
      <c r="E249" s="6">
        <v>27.99</v>
      </c>
      <c r="F249" s="21">
        <v>15.41</v>
      </c>
      <c r="G249" s="22">
        <v>0</v>
      </c>
      <c r="H249" s="24">
        <f t="shared" si="16"/>
        <v>0</v>
      </c>
      <c r="I249" s="24">
        <f t="shared" si="17"/>
        <v>0</v>
      </c>
      <c r="J249" s="24">
        <f t="shared" si="18"/>
        <v>0</v>
      </c>
      <c r="K249" s="25">
        <f t="shared" si="21"/>
        <v>0</v>
      </c>
      <c r="L249" s="21"/>
      <c r="M249" s="12">
        <v>0</v>
      </c>
      <c r="N249" s="12">
        <v>0</v>
      </c>
      <c r="O249" s="12">
        <v>0</v>
      </c>
      <c r="P249" s="9">
        <v>0</v>
      </c>
      <c r="Q249" s="12">
        <v>0</v>
      </c>
      <c r="R249" s="12">
        <v>0</v>
      </c>
      <c r="S249" s="12">
        <v>0</v>
      </c>
      <c r="T249" s="12">
        <v>0</v>
      </c>
      <c r="U249" s="16">
        <v>0</v>
      </c>
      <c r="V249" s="72">
        <f>IFERROR(LOOKUP($C249,Actuals!$C$4:$C$79,Actuals!G$4:G$79),0)</f>
        <v>165.17391304347825</v>
      </c>
      <c r="W249" s="72">
        <f>IFERROR(LOOKUP($C249,Actuals!$C$4:$C$79,Actuals!H$4:H$79),0)</f>
        <v>5</v>
      </c>
      <c r="X249" s="72">
        <f>IFERROR(LOOKUP($C249,Actuals!$C$4:$C$79,Actuals!I$4:I$79),0)</f>
        <v>33.03478260869565</v>
      </c>
      <c r="Y249" s="72">
        <f>IFERROR(LOOKUP($C249,Actuals!$C$4:$C$79,Actuals!J$4:J$79),0)</f>
        <v>1</v>
      </c>
    </row>
    <row r="250" spans="1:25" ht="16.5" customHeight="1" x14ac:dyDescent="0.35">
      <c r="A250" s="3" t="s">
        <v>14</v>
      </c>
      <c r="B250" s="4">
        <v>106</v>
      </c>
      <c r="C250" s="5">
        <v>42296</v>
      </c>
      <c r="D250" s="3" t="s">
        <v>246</v>
      </c>
      <c r="E250" s="6">
        <v>4.99</v>
      </c>
      <c r="F250" s="21">
        <v>2.97</v>
      </c>
      <c r="G250" s="22">
        <v>0</v>
      </c>
      <c r="H250" s="24">
        <f t="shared" si="16"/>
        <v>0</v>
      </c>
      <c r="I250" s="24">
        <f t="shared" si="17"/>
        <v>0</v>
      </c>
      <c r="J250" s="24">
        <f t="shared" si="18"/>
        <v>0</v>
      </c>
      <c r="K250" s="25">
        <f t="shared" si="21"/>
        <v>0</v>
      </c>
      <c r="L250" s="21"/>
      <c r="M250" s="12">
        <v>0</v>
      </c>
      <c r="N250" s="12">
        <v>0</v>
      </c>
      <c r="O250" s="12">
        <v>0</v>
      </c>
      <c r="P250" s="9">
        <v>0</v>
      </c>
      <c r="Q250" s="12">
        <v>0</v>
      </c>
      <c r="R250" s="12">
        <v>0</v>
      </c>
      <c r="S250" s="12">
        <v>0</v>
      </c>
      <c r="T250" s="12">
        <v>0</v>
      </c>
      <c r="U250" s="16">
        <v>0</v>
      </c>
      <c r="V250" s="72">
        <f>IFERROR(LOOKUP($C250,Actuals!$C$4:$C$79,Actuals!G$4:G$79),0)</f>
        <v>17.373913043478261</v>
      </c>
      <c r="W250" s="72">
        <f>IFERROR(LOOKUP($C250,Actuals!$C$4:$C$79,Actuals!H$4:H$79),0)</f>
        <v>2</v>
      </c>
      <c r="X250" s="72">
        <f>IFERROR(LOOKUP($C250,Actuals!$C$4:$C$79,Actuals!I$4:I$79),0)</f>
        <v>86.869565217391312</v>
      </c>
      <c r="Y250" s="72">
        <f>IFERROR(LOOKUP($C250,Actuals!$C$4:$C$79,Actuals!J$4:J$79),0)</f>
        <v>10</v>
      </c>
    </row>
    <row r="251" spans="1:25" ht="16.5" customHeight="1" x14ac:dyDescent="0.35">
      <c r="A251" s="3" t="s">
        <v>14</v>
      </c>
      <c r="B251" s="4">
        <v>106</v>
      </c>
      <c r="C251" s="5">
        <v>54019</v>
      </c>
      <c r="D251" s="3" t="s">
        <v>247</v>
      </c>
      <c r="E251" s="6">
        <v>23.99</v>
      </c>
      <c r="F251" s="21">
        <v>10.37</v>
      </c>
      <c r="G251" s="22">
        <v>0</v>
      </c>
      <c r="H251" s="24">
        <f t="shared" si="16"/>
        <v>0</v>
      </c>
      <c r="I251" s="24">
        <f t="shared" si="17"/>
        <v>0</v>
      </c>
      <c r="J251" s="24">
        <f t="shared" si="18"/>
        <v>0</v>
      </c>
      <c r="K251" s="25">
        <f t="shared" si="21"/>
        <v>0</v>
      </c>
      <c r="L251" s="21"/>
      <c r="M251" s="12">
        <v>0</v>
      </c>
      <c r="N251" s="12">
        <v>0</v>
      </c>
      <c r="O251" s="12">
        <v>0</v>
      </c>
      <c r="P251" s="9">
        <v>0</v>
      </c>
      <c r="Q251" s="12">
        <v>0</v>
      </c>
      <c r="R251" s="12">
        <v>0</v>
      </c>
      <c r="S251" s="12">
        <v>0</v>
      </c>
      <c r="T251" s="12">
        <v>0</v>
      </c>
      <c r="U251" s="16">
        <v>0</v>
      </c>
      <c r="V251" s="72">
        <f>IFERROR(LOOKUP($C251,Actuals!$C$4:$C$79,Actuals!G$4:G$79),0)</f>
        <v>132.10434782608695</v>
      </c>
      <c r="W251" s="72">
        <f>IFERROR(LOOKUP($C251,Actuals!$C$4:$C$79,Actuals!H$4:H$79),0)</f>
        <v>8</v>
      </c>
      <c r="X251" s="72">
        <f>IFERROR(LOOKUP($C251,Actuals!$C$4:$C$79,Actuals!I$4:I$79),0)</f>
        <v>49.539130434782606</v>
      </c>
      <c r="Y251" s="72">
        <f>IFERROR(LOOKUP($C251,Actuals!$C$4:$C$79,Actuals!J$4:J$79),0)</f>
        <v>3</v>
      </c>
    </row>
    <row r="252" spans="1:25" ht="16.5" customHeight="1" x14ac:dyDescent="0.35">
      <c r="A252" s="3" t="s">
        <v>14</v>
      </c>
      <c r="B252" s="4">
        <v>107</v>
      </c>
      <c r="C252" s="5">
        <v>64416</v>
      </c>
      <c r="D252" s="3" t="s">
        <v>248</v>
      </c>
      <c r="E252" s="6">
        <v>49.99</v>
      </c>
      <c r="F252" s="21">
        <v>32.549999999999997</v>
      </c>
      <c r="G252" s="22">
        <v>0</v>
      </c>
      <c r="H252" s="24">
        <f t="shared" si="16"/>
        <v>0</v>
      </c>
      <c r="I252" s="24">
        <f t="shared" si="17"/>
        <v>0</v>
      </c>
      <c r="J252" s="24">
        <f t="shared" si="18"/>
        <v>0</v>
      </c>
      <c r="K252" s="25">
        <f t="shared" si="21"/>
        <v>0</v>
      </c>
      <c r="L252" s="21"/>
      <c r="M252" s="12">
        <v>0</v>
      </c>
      <c r="N252" s="12">
        <v>0</v>
      </c>
      <c r="O252" s="12">
        <v>0</v>
      </c>
      <c r="P252" s="9">
        <v>0</v>
      </c>
      <c r="Q252" s="12">
        <v>0</v>
      </c>
      <c r="R252" s="12">
        <v>0</v>
      </c>
      <c r="S252" s="12">
        <v>0</v>
      </c>
      <c r="T252" s="12">
        <v>0</v>
      </c>
      <c r="U252" s="16">
        <v>0</v>
      </c>
      <c r="V252" s="72">
        <f>IFERROR(LOOKUP($C252,Actuals!$C$4:$C$79,Actuals!G$4:G$79),0)</f>
        <v>0</v>
      </c>
      <c r="W252" s="72">
        <f>IFERROR(LOOKUP($C252,Actuals!$C$4:$C$79,Actuals!H$4:H$79),0)</f>
        <v>0</v>
      </c>
      <c r="X252" s="72">
        <f>IFERROR(LOOKUP($C252,Actuals!$C$4:$C$79,Actuals!I$4:I$79),0)</f>
        <v>1043.4782608695652</v>
      </c>
      <c r="Y252" s="72">
        <f>IFERROR(LOOKUP($C252,Actuals!$C$4:$C$79,Actuals!J$4:J$79),0)</f>
        <v>20</v>
      </c>
    </row>
    <row r="253" spans="1:25" ht="16.5" customHeight="1" x14ac:dyDescent="0.35">
      <c r="A253" s="3" t="s">
        <v>14</v>
      </c>
      <c r="B253" s="4">
        <v>109</v>
      </c>
      <c r="C253" s="5">
        <v>62614</v>
      </c>
      <c r="D253" s="3" t="s">
        <v>249</v>
      </c>
      <c r="E253" s="6">
        <v>7.99</v>
      </c>
      <c r="F253" s="21">
        <v>5.54</v>
      </c>
      <c r="G253" s="22">
        <v>0</v>
      </c>
      <c r="H253" s="24">
        <f t="shared" si="16"/>
        <v>0</v>
      </c>
      <c r="I253" s="24">
        <f t="shared" si="17"/>
        <v>0</v>
      </c>
      <c r="J253" s="24">
        <f t="shared" si="18"/>
        <v>0</v>
      </c>
      <c r="K253" s="25">
        <f t="shared" si="21"/>
        <v>0</v>
      </c>
      <c r="L253" s="21"/>
      <c r="M253" s="12">
        <v>0</v>
      </c>
      <c r="N253" s="12">
        <v>0</v>
      </c>
      <c r="O253" s="12">
        <v>0</v>
      </c>
      <c r="P253" s="9">
        <v>0</v>
      </c>
      <c r="Q253" s="12">
        <v>0</v>
      </c>
      <c r="R253" s="12">
        <v>0</v>
      </c>
      <c r="S253" s="12">
        <v>0</v>
      </c>
      <c r="T253" s="12">
        <v>0</v>
      </c>
      <c r="U253" s="16">
        <v>0</v>
      </c>
      <c r="V253" s="72">
        <f>IFERROR(LOOKUP($C253,Actuals!$C$4:$C$79,Actuals!G$4:G$79),0)</f>
        <v>0</v>
      </c>
      <c r="W253" s="72">
        <f>IFERROR(LOOKUP($C253,Actuals!$C$4:$C$79,Actuals!H$4:H$79),0)</f>
        <v>0</v>
      </c>
      <c r="X253" s="72">
        <f>IFERROR(LOOKUP($C253,Actuals!$C$4:$C$79,Actuals!I$4:I$79),0)</f>
        <v>6217.391304347826</v>
      </c>
      <c r="Y253" s="72">
        <f>IFERROR(LOOKUP($C253,Actuals!$C$4:$C$79,Actuals!J$4:J$79),0)</f>
        <v>130</v>
      </c>
    </row>
    <row r="254" spans="1:25" ht="16.5" customHeight="1" x14ac:dyDescent="0.35">
      <c r="A254" s="3" t="s">
        <v>19</v>
      </c>
      <c r="B254" s="4">
        <v>109</v>
      </c>
      <c r="C254" s="5">
        <v>48604</v>
      </c>
      <c r="D254" s="3" t="s">
        <v>250</v>
      </c>
      <c r="E254" s="6">
        <v>189.99</v>
      </c>
      <c r="F254" s="21">
        <v>107.69199999999999</v>
      </c>
      <c r="G254" s="22">
        <v>0</v>
      </c>
      <c r="H254" s="24">
        <f t="shared" si="16"/>
        <v>0</v>
      </c>
      <c r="I254" s="24">
        <f t="shared" si="17"/>
        <v>0</v>
      </c>
      <c r="J254" s="24">
        <f t="shared" si="18"/>
        <v>0</v>
      </c>
      <c r="K254" s="25">
        <f t="shared" si="21"/>
        <v>0</v>
      </c>
      <c r="L254" s="21"/>
      <c r="M254" s="12">
        <v>0</v>
      </c>
      <c r="N254" s="12">
        <v>0</v>
      </c>
      <c r="O254" s="12">
        <v>0</v>
      </c>
      <c r="P254" s="9">
        <v>0</v>
      </c>
      <c r="Q254" s="12">
        <v>0</v>
      </c>
      <c r="R254" s="12">
        <v>0</v>
      </c>
      <c r="S254" s="12">
        <v>0</v>
      </c>
      <c r="T254" s="12">
        <v>0</v>
      </c>
      <c r="U254" s="16">
        <v>0</v>
      </c>
      <c r="V254" s="72">
        <f>IFERROR(LOOKUP($C254,Actuals!$C$4:$C$79,Actuals!G$4:G$79),0)</f>
        <v>48.660869565217389</v>
      </c>
      <c r="W254" s="72">
        <f>IFERROR(LOOKUP($C254,Actuals!$C$4:$C$79,Actuals!H$4:H$79),0)</f>
        <v>4</v>
      </c>
      <c r="X254" s="72">
        <f>IFERROR(LOOKUP($C254,Actuals!$C$4:$C$79,Actuals!I$4:I$79),0)</f>
        <v>12.165217391304347</v>
      </c>
      <c r="Y254" s="72">
        <f>IFERROR(LOOKUP($C254,Actuals!$C$4:$C$79,Actuals!J$4:J$79),0)</f>
        <v>1</v>
      </c>
    </row>
    <row r="255" spans="1:25" ht="16.5" customHeight="1" x14ac:dyDescent="0.35">
      <c r="A255" s="3" t="s">
        <v>14</v>
      </c>
      <c r="B255" s="4">
        <v>112</v>
      </c>
      <c r="C255" s="5">
        <v>61978</v>
      </c>
      <c r="D255" s="3" t="s">
        <v>251</v>
      </c>
      <c r="E255" s="6">
        <v>199.99</v>
      </c>
      <c r="F255" s="21">
        <v>126.16</v>
      </c>
      <c r="G255" s="22">
        <v>0</v>
      </c>
      <c r="H255" s="24">
        <f t="shared" si="16"/>
        <v>0</v>
      </c>
      <c r="I255" s="24">
        <f t="shared" si="17"/>
        <v>0</v>
      </c>
      <c r="J255" s="24">
        <f t="shared" si="18"/>
        <v>0</v>
      </c>
      <c r="K255" s="25">
        <f t="shared" si="21"/>
        <v>0</v>
      </c>
      <c r="L255" s="21"/>
      <c r="M255" s="12">
        <v>0</v>
      </c>
      <c r="N255" s="12">
        <v>0</v>
      </c>
      <c r="O255" s="12">
        <v>0</v>
      </c>
      <c r="P255" s="9">
        <v>0</v>
      </c>
      <c r="Q255" s="12">
        <v>0</v>
      </c>
      <c r="R255" s="12">
        <v>0</v>
      </c>
      <c r="S255" s="12">
        <v>0</v>
      </c>
      <c r="T255" s="12">
        <v>0</v>
      </c>
      <c r="U255" s="16">
        <v>0</v>
      </c>
      <c r="V255" s="72">
        <f>IFERROR(LOOKUP($C255,Actuals!$C$4:$C$79,Actuals!G$4:G$79),0)</f>
        <v>25.208695652173912</v>
      </c>
      <c r="W255" s="72">
        <f>IFERROR(LOOKUP($C255,Actuals!$C$4:$C$79,Actuals!H$4:H$79),0)</f>
        <v>1</v>
      </c>
      <c r="X255" s="72">
        <f>IFERROR(LOOKUP($C255,Actuals!$C$4:$C$79,Actuals!I$4:I$79),0)</f>
        <v>25.208695652173912</v>
      </c>
      <c r="Y255" s="72">
        <f>IFERROR(LOOKUP($C255,Actuals!$C$4:$C$79,Actuals!J$4:J$79),0)</f>
        <v>1</v>
      </c>
    </row>
    <row r="256" spans="1:25" ht="16.5" customHeight="1" x14ac:dyDescent="0.35">
      <c r="A256" s="3" t="s">
        <v>14</v>
      </c>
      <c r="B256" s="4">
        <v>113</v>
      </c>
      <c r="C256" s="5">
        <v>46072</v>
      </c>
      <c r="D256" s="3" t="s">
        <v>252</v>
      </c>
      <c r="E256" s="6">
        <v>44.99</v>
      </c>
      <c r="F256" s="21">
        <v>26.64</v>
      </c>
      <c r="G256" s="22">
        <v>0</v>
      </c>
      <c r="H256" s="24">
        <f t="shared" si="16"/>
        <v>0</v>
      </c>
      <c r="I256" s="24">
        <f t="shared" si="17"/>
        <v>0</v>
      </c>
      <c r="J256" s="24">
        <f t="shared" si="18"/>
        <v>0</v>
      </c>
      <c r="K256" s="25">
        <f t="shared" si="21"/>
        <v>0</v>
      </c>
      <c r="L256" s="21"/>
      <c r="M256" s="12">
        <v>0</v>
      </c>
      <c r="N256" s="12">
        <v>0</v>
      </c>
      <c r="O256" s="12">
        <v>0</v>
      </c>
      <c r="P256" s="9">
        <v>0</v>
      </c>
      <c r="Q256" s="12">
        <v>0</v>
      </c>
      <c r="R256" s="12">
        <v>0</v>
      </c>
      <c r="S256" s="12">
        <v>0</v>
      </c>
      <c r="T256" s="12">
        <v>0</v>
      </c>
      <c r="U256" s="16">
        <v>0</v>
      </c>
      <c r="V256" s="72">
        <f>IFERROR(LOOKUP($C256,Actuals!$C$4:$C$79,Actuals!G$4:G$79),0)</f>
        <v>48.660869565217389</v>
      </c>
      <c r="W256" s="72">
        <f>IFERROR(LOOKUP($C256,Actuals!$C$4:$C$79,Actuals!H$4:H$79),0)</f>
        <v>4</v>
      </c>
      <c r="X256" s="72">
        <f>IFERROR(LOOKUP($C256,Actuals!$C$4:$C$79,Actuals!I$4:I$79),0)</f>
        <v>12.165217391304347</v>
      </c>
      <c r="Y256" s="72">
        <f>IFERROR(LOOKUP($C256,Actuals!$C$4:$C$79,Actuals!J$4:J$79),0)</f>
        <v>1</v>
      </c>
    </row>
    <row r="257" spans="1:25" ht="16.5" customHeight="1" x14ac:dyDescent="0.35">
      <c r="A257" s="3" t="s">
        <v>14</v>
      </c>
      <c r="B257" s="4">
        <v>117</v>
      </c>
      <c r="C257" s="5">
        <v>34034</v>
      </c>
      <c r="D257" s="3" t="s">
        <v>253</v>
      </c>
      <c r="E257" s="6">
        <v>19.989999999999998</v>
      </c>
      <c r="F257" s="21">
        <v>8.43</v>
      </c>
      <c r="G257" s="22">
        <v>24</v>
      </c>
      <c r="H257" s="24">
        <f t="shared" si="16"/>
        <v>479.76</v>
      </c>
      <c r="I257" s="24">
        <f t="shared" si="17"/>
        <v>202.32</v>
      </c>
      <c r="J257" s="24">
        <f t="shared" si="18"/>
        <v>277.44</v>
      </c>
      <c r="K257" s="25">
        <f>J257/H257*100</f>
        <v>57.82891445722862</v>
      </c>
      <c r="L257" s="21"/>
      <c r="M257" s="12">
        <v>0</v>
      </c>
      <c r="N257" s="12">
        <v>0</v>
      </c>
      <c r="O257" s="12">
        <v>0</v>
      </c>
      <c r="P257" s="9">
        <v>0</v>
      </c>
      <c r="Q257" s="12">
        <v>0</v>
      </c>
      <c r="R257" s="12">
        <v>0</v>
      </c>
      <c r="S257" s="12">
        <v>0</v>
      </c>
      <c r="T257" s="12">
        <v>0</v>
      </c>
      <c r="U257" s="16">
        <v>0</v>
      </c>
      <c r="V257" s="72">
        <f>IFERROR(LOOKUP($C257,Actuals!$C$4:$C$79,Actuals!G$4:G$79),0)</f>
        <v>104.34782608695652</v>
      </c>
      <c r="W257" s="72">
        <f>IFERROR(LOOKUP($C257,Actuals!$C$4:$C$79,Actuals!H$4:H$79),0)</f>
        <v>1</v>
      </c>
      <c r="X257" s="72">
        <f>IFERROR(LOOKUP($C257,Actuals!$C$4:$C$79,Actuals!I$4:I$79),0)</f>
        <v>104.34782608695652</v>
      </c>
      <c r="Y257" s="72">
        <f>IFERROR(LOOKUP($C257,Actuals!$C$4:$C$79,Actuals!J$4:J$79),0)</f>
        <v>1</v>
      </c>
    </row>
    <row r="258" spans="1:25" ht="16.5" customHeight="1" x14ac:dyDescent="0.35">
      <c r="A258" s="3" t="s">
        <v>14</v>
      </c>
      <c r="B258" s="4">
        <v>117</v>
      </c>
      <c r="C258" s="5">
        <v>41620</v>
      </c>
      <c r="D258" s="3" t="s">
        <v>255</v>
      </c>
      <c r="E258" s="6">
        <v>15.99</v>
      </c>
      <c r="F258" s="21">
        <v>8.11</v>
      </c>
      <c r="G258" s="22">
        <v>6</v>
      </c>
      <c r="H258" s="24">
        <f t="shared" si="16"/>
        <v>95.94</v>
      </c>
      <c r="I258" s="24">
        <f t="shared" si="17"/>
        <v>48.66</v>
      </c>
      <c r="J258" s="24">
        <f t="shared" si="18"/>
        <v>47.28</v>
      </c>
      <c r="K258" s="25">
        <f t="shared" ref="K258:K293" si="22">IFERROR(J258/H258*100,0)</f>
        <v>49.280800500312701</v>
      </c>
      <c r="L258" s="21"/>
      <c r="M258" s="12">
        <v>0</v>
      </c>
      <c r="N258" s="12">
        <v>0</v>
      </c>
      <c r="O258" s="12">
        <v>0</v>
      </c>
      <c r="P258" s="9">
        <v>0</v>
      </c>
      <c r="Q258" s="12">
        <v>0</v>
      </c>
      <c r="R258" s="12">
        <v>0</v>
      </c>
      <c r="S258" s="12">
        <v>0</v>
      </c>
      <c r="T258" s="12">
        <v>0</v>
      </c>
      <c r="U258" s="16">
        <v>0</v>
      </c>
      <c r="V258" s="72">
        <f>IFERROR(LOOKUP($C258,Actuals!$C$4:$C$79,Actuals!G$4:G$79),0)</f>
        <v>17.373913043478261</v>
      </c>
      <c r="W258" s="72">
        <f>IFERROR(LOOKUP($C258,Actuals!$C$4:$C$79,Actuals!H$4:H$79),0)</f>
        <v>2</v>
      </c>
      <c r="X258" s="72">
        <f>IFERROR(LOOKUP($C258,Actuals!$C$4:$C$79,Actuals!I$4:I$79),0)</f>
        <v>86.869565217391312</v>
      </c>
      <c r="Y258" s="72">
        <f>IFERROR(LOOKUP($C258,Actuals!$C$4:$C$79,Actuals!J$4:J$79),0)</f>
        <v>10</v>
      </c>
    </row>
    <row r="259" spans="1:25" ht="16.5" customHeight="1" x14ac:dyDescent="0.35">
      <c r="A259" s="3" t="s">
        <v>14</v>
      </c>
      <c r="B259" s="4">
        <v>117</v>
      </c>
      <c r="C259" s="5">
        <v>61814</v>
      </c>
      <c r="D259" s="3" t="s">
        <v>254</v>
      </c>
      <c r="E259" s="6">
        <v>10</v>
      </c>
      <c r="F259" s="21">
        <v>3.39</v>
      </c>
      <c r="G259" s="22">
        <v>0</v>
      </c>
      <c r="H259" s="24">
        <f t="shared" si="16"/>
        <v>0</v>
      </c>
      <c r="I259" s="24">
        <f t="shared" si="17"/>
        <v>0</v>
      </c>
      <c r="J259" s="24">
        <f t="shared" si="18"/>
        <v>0</v>
      </c>
      <c r="K259" s="25">
        <f t="shared" si="22"/>
        <v>0</v>
      </c>
      <c r="L259" s="21"/>
      <c r="M259" s="12">
        <v>0</v>
      </c>
      <c r="N259" s="12">
        <v>0</v>
      </c>
      <c r="O259" s="12">
        <v>0</v>
      </c>
      <c r="P259" s="9">
        <v>0</v>
      </c>
      <c r="Q259" s="12">
        <v>0</v>
      </c>
      <c r="R259" s="12">
        <v>0</v>
      </c>
      <c r="S259" s="12">
        <v>0</v>
      </c>
      <c r="T259" s="12">
        <v>0</v>
      </c>
      <c r="U259" s="16">
        <v>0</v>
      </c>
      <c r="V259" s="72">
        <f>IFERROR(LOOKUP($C259,Actuals!$C$4:$C$79,Actuals!G$4:G$79),0)</f>
        <v>0</v>
      </c>
      <c r="W259" s="72">
        <f>IFERROR(LOOKUP($C259,Actuals!$C$4:$C$79,Actuals!H$4:H$79),0)</f>
        <v>0</v>
      </c>
      <c r="X259" s="72">
        <f>IFERROR(LOOKUP($C259,Actuals!$C$4:$C$79,Actuals!I$4:I$79),0)</f>
        <v>10.417391304347827</v>
      </c>
      <c r="Y259" s="72">
        <f>IFERROR(LOOKUP($C259,Actuals!$C$4:$C$79,Actuals!J$4:J$79),0)</f>
        <v>2</v>
      </c>
    </row>
    <row r="260" spans="1:25" ht="16.5" customHeight="1" x14ac:dyDescent="0.35">
      <c r="A260" s="3" t="s">
        <v>14</v>
      </c>
      <c r="B260" s="4">
        <v>118</v>
      </c>
      <c r="C260" s="5">
        <v>34033</v>
      </c>
      <c r="D260" s="3" t="s">
        <v>256</v>
      </c>
      <c r="E260" s="6">
        <v>120</v>
      </c>
      <c r="F260" s="21">
        <v>64.849999999999994</v>
      </c>
      <c r="G260" s="22">
        <v>0</v>
      </c>
      <c r="H260" s="24">
        <f t="shared" ref="H260:H323" si="23">E260*G260</f>
        <v>0</v>
      </c>
      <c r="I260" s="24">
        <f t="shared" ref="I260:I293" si="24">F260*G260</f>
        <v>0</v>
      </c>
      <c r="J260" s="24">
        <f t="shared" ref="J260:J323" si="25">H260-I260</f>
        <v>0</v>
      </c>
      <c r="K260" s="25">
        <f t="shared" si="22"/>
        <v>0</v>
      </c>
      <c r="L260" s="21"/>
      <c r="M260" s="12">
        <v>0</v>
      </c>
      <c r="N260" s="12">
        <v>0</v>
      </c>
      <c r="O260" s="12">
        <v>0</v>
      </c>
      <c r="P260" s="9">
        <v>0</v>
      </c>
      <c r="Q260" s="12">
        <v>0</v>
      </c>
      <c r="R260" s="12">
        <v>0</v>
      </c>
      <c r="S260" s="12">
        <v>0</v>
      </c>
      <c r="T260" s="12">
        <v>0</v>
      </c>
      <c r="U260" s="16">
        <v>0</v>
      </c>
      <c r="V260" s="72">
        <f>IFERROR(LOOKUP($C260,Actuals!$C$4:$C$79,Actuals!G$4:G$79),0)</f>
        <v>104.34782608695652</v>
      </c>
      <c r="W260" s="72">
        <f>IFERROR(LOOKUP($C260,Actuals!$C$4:$C$79,Actuals!H$4:H$79),0)</f>
        <v>1</v>
      </c>
      <c r="X260" s="72">
        <f>IFERROR(LOOKUP($C260,Actuals!$C$4:$C$79,Actuals!I$4:I$79),0)</f>
        <v>104.34782608695652</v>
      </c>
      <c r="Y260" s="72">
        <f>IFERROR(LOOKUP($C260,Actuals!$C$4:$C$79,Actuals!J$4:J$79),0)</f>
        <v>1</v>
      </c>
    </row>
    <row r="261" spans="1:25" ht="16.5" customHeight="1" x14ac:dyDescent="0.35">
      <c r="A261" s="3" t="s">
        <v>14</v>
      </c>
      <c r="B261" s="4">
        <v>118</v>
      </c>
      <c r="C261" s="5">
        <v>40305</v>
      </c>
      <c r="D261" s="3" t="s">
        <v>257</v>
      </c>
      <c r="E261" s="6">
        <v>9.99</v>
      </c>
      <c r="F261" s="21">
        <v>4.53</v>
      </c>
      <c r="G261" s="22">
        <v>0</v>
      </c>
      <c r="H261" s="24">
        <f t="shared" si="23"/>
        <v>0</v>
      </c>
      <c r="I261" s="24">
        <f t="shared" si="24"/>
        <v>0</v>
      </c>
      <c r="J261" s="24">
        <f t="shared" si="25"/>
        <v>0</v>
      </c>
      <c r="K261" s="25">
        <f t="shared" si="22"/>
        <v>0</v>
      </c>
      <c r="L261" s="21"/>
      <c r="M261" s="12">
        <v>0</v>
      </c>
      <c r="N261" s="12">
        <v>0</v>
      </c>
      <c r="O261" s="12">
        <v>0</v>
      </c>
      <c r="P261" s="9">
        <v>0</v>
      </c>
      <c r="Q261" s="12">
        <v>0</v>
      </c>
      <c r="R261" s="12">
        <v>0</v>
      </c>
      <c r="S261" s="12">
        <v>0</v>
      </c>
      <c r="T261" s="12">
        <v>0</v>
      </c>
      <c r="U261" s="16">
        <v>0</v>
      </c>
      <c r="V261" s="72">
        <f>IFERROR(LOOKUP($C261,Actuals!$C$4:$C$79,Actuals!G$4:G$79),0)</f>
        <v>17.373913043478261</v>
      </c>
      <c r="W261" s="72">
        <f>IFERROR(LOOKUP($C261,Actuals!$C$4:$C$79,Actuals!H$4:H$79),0)</f>
        <v>2</v>
      </c>
      <c r="X261" s="72">
        <f>IFERROR(LOOKUP($C261,Actuals!$C$4:$C$79,Actuals!I$4:I$79),0)</f>
        <v>86.869565217391312</v>
      </c>
      <c r="Y261" s="72">
        <f>IFERROR(LOOKUP($C261,Actuals!$C$4:$C$79,Actuals!J$4:J$79),0)</f>
        <v>10</v>
      </c>
    </row>
    <row r="262" spans="1:25" ht="16.5" customHeight="1" x14ac:dyDescent="0.35">
      <c r="A262" s="3" t="s">
        <v>14</v>
      </c>
      <c r="B262" s="4">
        <v>118</v>
      </c>
      <c r="C262" s="5">
        <v>34014</v>
      </c>
      <c r="D262" s="3" t="s">
        <v>258</v>
      </c>
      <c r="E262" s="6">
        <v>100</v>
      </c>
      <c r="F262" s="21">
        <v>52.03</v>
      </c>
      <c r="G262" s="22">
        <v>0</v>
      </c>
      <c r="H262" s="24">
        <f t="shared" si="23"/>
        <v>0</v>
      </c>
      <c r="I262" s="24">
        <f t="shared" si="24"/>
        <v>0</v>
      </c>
      <c r="J262" s="24">
        <f t="shared" si="25"/>
        <v>0</v>
      </c>
      <c r="K262" s="25">
        <f t="shared" si="22"/>
        <v>0</v>
      </c>
      <c r="L262" s="21"/>
      <c r="M262" s="12">
        <v>0</v>
      </c>
      <c r="N262" s="12">
        <v>0</v>
      </c>
      <c r="O262" s="12">
        <v>0</v>
      </c>
      <c r="P262" s="9">
        <v>0</v>
      </c>
      <c r="Q262" s="12">
        <v>0</v>
      </c>
      <c r="R262" s="12">
        <v>0</v>
      </c>
      <c r="S262" s="12">
        <v>0</v>
      </c>
      <c r="T262" s="12">
        <v>0</v>
      </c>
      <c r="U262" s="16">
        <v>0</v>
      </c>
      <c r="V262" s="72">
        <f>IFERROR(LOOKUP($C262,Actuals!$C$4:$C$79,Actuals!G$4:G$79),0)</f>
        <v>86.956521739130437</v>
      </c>
      <c r="W262" s="72">
        <f>IFERROR(LOOKUP($C262,Actuals!$C$4:$C$79,Actuals!H$4:H$79),0)</f>
        <v>1</v>
      </c>
      <c r="X262" s="72">
        <f>IFERROR(LOOKUP($C262,Actuals!$C$4:$C$79,Actuals!I$4:I$79),0)</f>
        <v>0</v>
      </c>
      <c r="Y262" s="72">
        <f>IFERROR(LOOKUP($C262,Actuals!$C$4:$C$79,Actuals!J$4:J$79),0)</f>
        <v>0</v>
      </c>
    </row>
    <row r="263" spans="1:25" ht="16.5" customHeight="1" x14ac:dyDescent="0.35">
      <c r="A263" s="3" t="s">
        <v>14</v>
      </c>
      <c r="B263" s="4">
        <v>118</v>
      </c>
      <c r="C263" s="5">
        <v>34054</v>
      </c>
      <c r="D263" s="3" t="s">
        <v>259</v>
      </c>
      <c r="E263" s="6">
        <v>100</v>
      </c>
      <c r="F263" s="21">
        <v>54.36</v>
      </c>
      <c r="G263" s="22">
        <v>0</v>
      </c>
      <c r="H263" s="24">
        <f t="shared" si="23"/>
        <v>0</v>
      </c>
      <c r="I263" s="24">
        <f t="shared" si="24"/>
        <v>0</v>
      </c>
      <c r="J263" s="24">
        <f t="shared" si="25"/>
        <v>0</v>
      </c>
      <c r="K263" s="25">
        <f t="shared" si="22"/>
        <v>0</v>
      </c>
      <c r="L263" s="21"/>
      <c r="M263" s="12">
        <v>0</v>
      </c>
      <c r="N263" s="12">
        <v>0</v>
      </c>
      <c r="O263" s="12">
        <v>0</v>
      </c>
      <c r="P263" s="9">
        <v>0</v>
      </c>
      <c r="Q263" s="12">
        <v>0</v>
      </c>
      <c r="R263" s="12">
        <v>0</v>
      </c>
      <c r="S263" s="12">
        <v>0</v>
      </c>
      <c r="T263" s="12">
        <v>0</v>
      </c>
      <c r="U263" s="16">
        <v>0</v>
      </c>
      <c r="V263" s="72">
        <f>IFERROR(LOOKUP($C263,Actuals!$C$4:$C$79,Actuals!G$4:G$79),0)</f>
        <v>41.713043478260872</v>
      </c>
      <c r="W263" s="72">
        <f>IFERROR(LOOKUP($C263,Actuals!$C$4:$C$79,Actuals!H$4:H$79),0)</f>
        <v>3</v>
      </c>
      <c r="X263" s="72">
        <f>IFERROR(LOOKUP($C263,Actuals!$C$4:$C$79,Actuals!I$4:I$79),0)</f>
        <v>55.617391304347827</v>
      </c>
      <c r="Y263" s="72">
        <f>IFERROR(LOOKUP($C263,Actuals!$C$4:$C$79,Actuals!J$4:J$79),0)</f>
        <v>4</v>
      </c>
    </row>
    <row r="264" spans="1:25" ht="16.5" customHeight="1" x14ac:dyDescent="0.35">
      <c r="A264" s="3" t="s">
        <v>14</v>
      </c>
      <c r="B264" s="4">
        <v>118</v>
      </c>
      <c r="C264" s="5">
        <v>40809</v>
      </c>
      <c r="D264" s="3" t="s">
        <v>260</v>
      </c>
      <c r="E264" s="6">
        <v>15.99</v>
      </c>
      <c r="F264" s="21">
        <v>6.5</v>
      </c>
      <c r="G264" s="22">
        <v>0</v>
      </c>
      <c r="H264" s="24">
        <f t="shared" si="23"/>
        <v>0</v>
      </c>
      <c r="I264" s="24">
        <f t="shared" si="24"/>
        <v>0</v>
      </c>
      <c r="J264" s="24">
        <f t="shared" si="25"/>
        <v>0</v>
      </c>
      <c r="K264" s="25">
        <f t="shared" si="22"/>
        <v>0</v>
      </c>
      <c r="L264" s="21"/>
      <c r="M264" s="12">
        <v>0</v>
      </c>
      <c r="N264" s="12">
        <v>0</v>
      </c>
      <c r="O264" s="12">
        <v>0</v>
      </c>
      <c r="P264" s="9">
        <v>0</v>
      </c>
      <c r="Q264" s="12">
        <v>0</v>
      </c>
      <c r="R264" s="12">
        <v>0</v>
      </c>
      <c r="S264" s="12">
        <v>0</v>
      </c>
      <c r="T264" s="12">
        <v>0</v>
      </c>
      <c r="U264" s="16">
        <v>0</v>
      </c>
      <c r="V264" s="72">
        <f>IFERROR(LOOKUP($C264,Actuals!$C$4:$C$79,Actuals!G$4:G$79),0)</f>
        <v>17.373913043478261</v>
      </c>
      <c r="W264" s="72">
        <f>IFERROR(LOOKUP($C264,Actuals!$C$4:$C$79,Actuals!H$4:H$79),0)</f>
        <v>2</v>
      </c>
      <c r="X264" s="72">
        <f>IFERROR(LOOKUP($C264,Actuals!$C$4:$C$79,Actuals!I$4:I$79),0)</f>
        <v>86.869565217391312</v>
      </c>
      <c r="Y264" s="72">
        <f>IFERROR(LOOKUP($C264,Actuals!$C$4:$C$79,Actuals!J$4:J$79),0)</f>
        <v>10</v>
      </c>
    </row>
    <row r="265" spans="1:25" ht="16.5" customHeight="1" x14ac:dyDescent="0.35">
      <c r="A265" s="3" t="s">
        <v>14</v>
      </c>
      <c r="B265" s="4">
        <v>118</v>
      </c>
      <c r="C265" s="5">
        <v>34025</v>
      </c>
      <c r="D265" s="3" t="s">
        <v>261</v>
      </c>
      <c r="E265" s="6">
        <v>120</v>
      </c>
      <c r="F265" s="21">
        <v>62.39</v>
      </c>
      <c r="G265" s="22">
        <v>0</v>
      </c>
      <c r="H265" s="24">
        <f t="shared" si="23"/>
        <v>0</v>
      </c>
      <c r="I265" s="24">
        <f t="shared" si="24"/>
        <v>0</v>
      </c>
      <c r="J265" s="24">
        <f t="shared" si="25"/>
        <v>0</v>
      </c>
      <c r="K265" s="25">
        <f t="shared" si="22"/>
        <v>0</v>
      </c>
      <c r="L265" s="21"/>
      <c r="M265" s="12">
        <v>0</v>
      </c>
      <c r="N265" s="12">
        <v>0</v>
      </c>
      <c r="O265" s="12">
        <v>0</v>
      </c>
      <c r="P265" s="9">
        <v>0</v>
      </c>
      <c r="Q265" s="12">
        <v>0</v>
      </c>
      <c r="R265" s="12">
        <v>0</v>
      </c>
      <c r="S265" s="12">
        <v>0</v>
      </c>
      <c r="T265" s="12">
        <v>0</v>
      </c>
      <c r="U265" s="16">
        <v>0</v>
      </c>
      <c r="V265" s="72">
        <f>IFERROR(LOOKUP($C265,Actuals!$C$4:$C$79,Actuals!G$4:G$79),0)</f>
        <v>165.17391304347825</v>
      </c>
      <c r="W265" s="72">
        <f>IFERROR(LOOKUP($C265,Actuals!$C$4:$C$79,Actuals!H$4:H$79),0)</f>
        <v>5</v>
      </c>
      <c r="X265" s="72">
        <f>IFERROR(LOOKUP($C265,Actuals!$C$4:$C$79,Actuals!I$4:I$79),0)</f>
        <v>33.03478260869565</v>
      </c>
      <c r="Y265" s="72">
        <f>IFERROR(LOOKUP($C265,Actuals!$C$4:$C$79,Actuals!J$4:J$79),0)</f>
        <v>1</v>
      </c>
    </row>
    <row r="266" spans="1:25" ht="16.5" customHeight="1" x14ac:dyDescent="0.35">
      <c r="A266" s="3" t="s">
        <v>14</v>
      </c>
      <c r="B266" s="4">
        <v>118</v>
      </c>
      <c r="C266" s="5">
        <v>34040</v>
      </c>
      <c r="D266" s="3" t="s">
        <v>262</v>
      </c>
      <c r="E266" s="6">
        <v>80</v>
      </c>
      <c r="F266" s="21">
        <v>36.909999999999997</v>
      </c>
      <c r="G266" s="22">
        <v>0</v>
      </c>
      <c r="H266" s="24">
        <f t="shared" si="23"/>
        <v>0</v>
      </c>
      <c r="I266" s="24">
        <f t="shared" si="24"/>
        <v>0</v>
      </c>
      <c r="J266" s="24">
        <f t="shared" si="25"/>
        <v>0</v>
      </c>
      <c r="K266" s="25">
        <f t="shared" si="22"/>
        <v>0</v>
      </c>
      <c r="L266" s="21"/>
      <c r="M266" s="12">
        <v>0</v>
      </c>
      <c r="N266" s="12">
        <v>0</v>
      </c>
      <c r="O266" s="12">
        <v>0</v>
      </c>
      <c r="P266" s="9">
        <v>0</v>
      </c>
      <c r="Q266" s="12">
        <v>0</v>
      </c>
      <c r="R266" s="12">
        <v>0</v>
      </c>
      <c r="S266" s="12">
        <v>0</v>
      </c>
      <c r="T266" s="12">
        <v>0</v>
      </c>
      <c r="U266" s="16">
        <v>0</v>
      </c>
      <c r="V266" s="72">
        <f>IFERROR(LOOKUP($C266,Actuals!$C$4:$C$79,Actuals!G$4:G$79),0)</f>
        <v>104.34782608695652</v>
      </c>
      <c r="W266" s="72">
        <f>IFERROR(LOOKUP($C266,Actuals!$C$4:$C$79,Actuals!H$4:H$79),0)</f>
        <v>1</v>
      </c>
      <c r="X266" s="72">
        <f>IFERROR(LOOKUP($C266,Actuals!$C$4:$C$79,Actuals!I$4:I$79),0)</f>
        <v>104.34782608695652</v>
      </c>
      <c r="Y266" s="72">
        <f>IFERROR(LOOKUP($C266,Actuals!$C$4:$C$79,Actuals!J$4:J$79),0)</f>
        <v>1</v>
      </c>
    </row>
    <row r="267" spans="1:25" ht="16.5" customHeight="1" x14ac:dyDescent="0.35">
      <c r="A267" s="3" t="s">
        <v>14</v>
      </c>
      <c r="B267" s="4">
        <v>118</v>
      </c>
      <c r="C267" s="5">
        <v>33021</v>
      </c>
      <c r="D267" s="3" t="s">
        <v>263</v>
      </c>
      <c r="E267" s="6">
        <v>130</v>
      </c>
      <c r="F267" s="21">
        <v>64.900000000000006</v>
      </c>
      <c r="G267" s="22">
        <v>0</v>
      </c>
      <c r="H267" s="24">
        <f t="shared" si="23"/>
        <v>0</v>
      </c>
      <c r="I267" s="24">
        <f t="shared" si="24"/>
        <v>0</v>
      </c>
      <c r="J267" s="24">
        <f t="shared" si="25"/>
        <v>0</v>
      </c>
      <c r="K267" s="25">
        <f t="shared" si="22"/>
        <v>0</v>
      </c>
      <c r="L267" s="21"/>
      <c r="M267" s="12">
        <v>0</v>
      </c>
      <c r="N267" s="12">
        <v>0</v>
      </c>
      <c r="O267" s="12">
        <v>0</v>
      </c>
      <c r="P267" s="9">
        <v>0</v>
      </c>
      <c r="Q267" s="12">
        <v>0</v>
      </c>
      <c r="R267" s="12">
        <v>0</v>
      </c>
      <c r="S267" s="12">
        <v>0</v>
      </c>
      <c r="T267" s="12">
        <v>0</v>
      </c>
      <c r="U267" s="16">
        <v>0</v>
      </c>
      <c r="V267" s="72">
        <f>IFERROR(LOOKUP($C267,Actuals!$C$4:$C$79,Actuals!G$4:G$79),0)</f>
        <v>0</v>
      </c>
      <c r="W267" s="72">
        <f>IFERROR(LOOKUP($C267,Actuals!$C$4:$C$79,Actuals!H$4:H$79),0)</f>
        <v>0</v>
      </c>
      <c r="X267" s="72">
        <f>IFERROR(LOOKUP($C267,Actuals!$C$4:$C$79,Actuals!I$4:I$79),0)</f>
        <v>26.069565217391304</v>
      </c>
      <c r="Y267" s="72">
        <f>IFERROR(LOOKUP($C267,Actuals!$C$4:$C$79,Actuals!J$4:J$79),0)</f>
        <v>2</v>
      </c>
    </row>
    <row r="268" spans="1:25" ht="16.5" customHeight="1" x14ac:dyDescent="0.35">
      <c r="A268" s="3" t="s">
        <v>14</v>
      </c>
      <c r="B268" s="4">
        <v>118</v>
      </c>
      <c r="C268" s="5">
        <v>33991</v>
      </c>
      <c r="D268" s="3" t="s">
        <v>264</v>
      </c>
      <c r="E268" s="6">
        <v>100</v>
      </c>
      <c r="F268" s="21">
        <v>51.82</v>
      </c>
      <c r="G268" s="22">
        <v>0</v>
      </c>
      <c r="H268" s="24">
        <f t="shared" si="23"/>
        <v>0</v>
      </c>
      <c r="I268" s="24">
        <f t="shared" si="24"/>
        <v>0</v>
      </c>
      <c r="J268" s="24">
        <f t="shared" si="25"/>
        <v>0</v>
      </c>
      <c r="K268" s="25">
        <f t="shared" si="22"/>
        <v>0</v>
      </c>
      <c r="L268" s="21"/>
      <c r="M268" s="12">
        <v>0</v>
      </c>
      <c r="N268" s="12">
        <v>0</v>
      </c>
      <c r="O268" s="12">
        <v>0</v>
      </c>
      <c r="P268" s="9">
        <v>0</v>
      </c>
      <c r="Q268" s="12">
        <v>0</v>
      </c>
      <c r="R268" s="12">
        <v>0</v>
      </c>
      <c r="S268" s="12">
        <v>0</v>
      </c>
      <c r="T268" s="12">
        <v>0</v>
      </c>
      <c r="U268" s="16">
        <v>0</v>
      </c>
      <c r="V268" s="72">
        <f>IFERROR(LOOKUP($C268,Actuals!$C$4:$C$79,Actuals!G$4:G$79),0)</f>
        <v>140.7913043478261</v>
      </c>
      <c r="W268" s="72">
        <f>IFERROR(LOOKUP($C268,Actuals!$C$4:$C$79,Actuals!H$4:H$79),0)</f>
        <v>9</v>
      </c>
      <c r="X268" s="72">
        <f>IFERROR(LOOKUP($C268,Actuals!$C$4:$C$79,Actuals!I$4:I$79),0)</f>
        <v>0</v>
      </c>
      <c r="Y268" s="72">
        <f>IFERROR(LOOKUP($C268,Actuals!$C$4:$C$79,Actuals!J$4:J$79),0)</f>
        <v>0</v>
      </c>
    </row>
    <row r="269" spans="1:25" ht="16.5" customHeight="1" x14ac:dyDescent="0.35">
      <c r="A269" s="3" t="s">
        <v>14</v>
      </c>
      <c r="B269" s="4">
        <v>119</v>
      </c>
      <c r="C269" s="5">
        <v>34105</v>
      </c>
      <c r="D269" s="3" t="s">
        <v>265</v>
      </c>
      <c r="E269" s="6">
        <v>79.989999999999995</v>
      </c>
      <c r="F269" s="21">
        <v>54.64</v>
      </c>
      <c r="G269" s="22">
        <v>0</v>
      </c>
      <c r="H269" s="24">
        <f t="shared" si="23"/>
        <v>0</v>
      </c>
      <c r="I269" s="24">
        <f t="shared" si="24"/>
        <v>0</v>
      </c>
      <c r="J269" s="24">
        <f t="shared" si="25"/>
        <v>0</v>
      </c>
      <c r="K269" s="25">
        <f t="shared" si="22"/>
        <v>0</v>
      </c>
      <c r="L269" s="21"/>
      <c r="M269" s="12">
        <v>0</v>
      </c>
      <c r="N269" s="12">
        <v>0</v>
      </c>
      <c r="O269" s="12">
        <v>0</v>
      </c>
      <c r="P269" s="9">
        <v>0</v>
      </c>
      <c r="Q269" s="12">
        <v>0</v>
      </c>
      <c r="R269" s="12">
        <v>0</v>
      </c>
      <c r="S269" s="12">
        <v>0</v>
      </c>
      <c r="T269" s="12">
        <v>0</v>
      </c>
      <c r="U269" s="16">
        <v>0</v>
      </c>
      <c r="V269" s="72">
        <f>IFERROR(LOOKUP($C269,Actuals!$C$4:$C$79,Actuals!G$4:G$79),0)</f>
        <v>69.556521739130432</v>
      </c>
      <c r="W269" s="72">
        <f>IFERROR(LOOKUP($C269,Actuals!$C$4:$C$79,Actuals!H$4:H$79),0)</f>
        <v>1</v>
      </c>
      <c r="X269" s="72">
        <f>IFERROR(LOOKUP($C269,Actuals!$C$4:$C$79,Actuals!I$4:I$79),0)</f>
        <v>0</v>
      </c>
      <c r="Y269" s="72">
        <f>IFERROR(LOOKUP($C269,Actuals!$C$4:$C$79,Actuals!J$4:J$79),0)</f>
        <v>0</v>
      </c>
    </row>
    <row r="270" spans="1:25" ht="16.5" customHeight="1" x14ac:dyDescent="0.35">
      <c r="A270" s="3" t="s">
        <v>14</v>
      </c>
      <c r="B270" s="4">
        <v>119</v>
      </c>
      <c r="C270" s="5">
        <v>34003</v>
      </c>
      <c r="D270" s="3" t="s">
        <v>266</v>
      </c>
      <c r="E270" s="6">
        <v>120</v>
      </c>
      <c r="F270" s="21">
        <v>62.47</v>
      </c>
      <c r="G270" s="22">
        <v>0</v>
      </c>
      <c r="H270" s="24">
        <f t="shared" si="23"/>
        <v>0</v>
      </c>
      <c r="I270" s="24">
        <f t="shared" si="24"/>
        <v>0</v>
      </c>
      <c r="J270" s="24">
        <f t="shared" si="25"/>
        <v>0</v>
      </c>
      <c r="K270" s="25">
        <f t="shared" si="22"/>
        <v>0</v>
      </c>
      <c r="L270" s="21"/>
      <c r="M270" s="12">
        <v>0</v>
      </c>
      <c r="N270" s="12">
        <v>0</v>
      </c>
      <c r="O270" s="12">
        <v>0</v>
      </c>
      <c r="P270" s="9">
        <v>0</v>
      </c>
      <c r="Q270" s="12">
        <v>0</v>
      </c>
      <c r="R270" s="12">
        <v>0</v>
      </c>
      <c r="S270" s="12">
        <v>0</v>
      </c>
      <c r="T270" s="12">
        <v>0</v>
      </c>
      <c r="U270" s="16">
        <v>0</v>
      </c>
      <c r="V270" s="72">
        <f>IFERROR(LOOKUP($C270,Actuals!$C$4:$C$79,Actuals!G$4:G$79),0)</f>
        <v>39.104347826086958</v>
      </c>
      <c r="W270" s="72">
        <f>IFERROR(LOOKUP($C270,Actuals!$C$4:$C$79,Actuals!H$4:H$79),0)</f>
        <v>3</v>
      </c>
      <c r="X270" s="72">
        <f>IFERROR(LOOKUP($C270,Actuals!$C$4:$C$79,Actuals!I$4:I$79),0)</f>
        <v>52.139130434782608</v>
      </c>
      <c r="Y270" s="72">
        <f>IFERROR(LOOKUP($C270,Actuals!$C$4:$C$79,Actuals!J$4:J$79),0)</f>
        <v>4</v>
      </c>
    </row>
    <row r="271" spans="1:25" ht="16.5" customHeight="1" x14ac:dyDescent="0.35">
      <c r="A271" s="3" t="s">
        <v>14</v>
      </c>
      <c r="B271" s="4">
        <v>119</v>
      </c>
      <c r="C271" s="5">
        <v>34140</v>
      </c>
      <c r="D271" s="3" t="s">
        <v>267</v>
      </c>
      <c r="E271" s="6">
        <v>385</v>
      </c>
      <c r="F271" s="21">
        <v>201.52</v>
      </c>
      <c r="G271" s="22">
        <v>0</v>
      </c>
      <c r="H271" s="24">
        <f t="shared" si="23"/>
        <v>0</v>
      </c>
      <c r="I271" s="24">
        <f t="shared" si="24"/>
        <v>0</v>
      </c>
      <c r="J271" s="24">
        <f t="shared" si="25"/>
        <v>0</v>
      </c>
      <c r="K271" s="25">
        <f t="shared" si="22"/>
        <v>0</v>
      </c>
      <c r="L271" s="21"/>
      <c r="M271" s="12">
        <v>0</v>
      </c>
      <c r="N271" s="12">
        <v>0</v>
      </c>
      <c r="O271" s="12">
        <v>0</v>
      </c>
      <c r="P271" s="9">
        <v>0</v>
      </c>
      <c r="Q271" s="12">
        <v>0</v>
      </c>
      <c r="R271" s="12">
        <v>0</v>
      </c>
      <c r="S271" s="12">
        <v>0</v>
      </c>
      <c r="T271" s="12">
        <v>0</v>
      </c>
      <c r="U271" s="16">
        <v>0</v>
      </c>
      <c r="V271" s="72">
        <f>IFERROR(LOOKUP($C271,Actuals!$C$4:$C$79,Actuals!G$4:G$79),0)</f>
        <v>229.56521739130434</v>
      </c>
      <c r="W271" s="72">
        <f>IFERROR(LOOKUP($C271,Actuals!$C$4:$C$79,Actuals!H$4:H$79),0)</f>
        <v>80</v>
      </c>
      <c r="X271" s="72">
        <f>IFERROR(LOOKUP($C271,Actuals!$C$4:$C$79,Actuals!I$4:I$79),0)</f>
        <v>0</v>
      </c>
      <c r="Y271" s="72">
        <f>IFERROR(LOOKUP($C271,Actuals!$C$4:$C$79,Actuals!J$4:J$79),0)</f>
        <v>0</v>
      </c>
    </row>
    <row r="272" spans="1:25" ht="16.5" customHeight="1" x14ac:dyDescent="0.35">
      <c r="A272" s="3" t="s">
        <v>14</v>
      </c>
      <c r="B272" s="4">
        <v>119</v>
      </c>
      <c r="C272" s="5">
        <v>62620</v>
      </c>
      <c r="D272" s="3" t="s">
        <v>268</v>
      </c>
      <c r="E272" s="6">
        <v>65.989999999999995</v>
      </c>
      <c r="F272" s="21">
        <v>46.29</v>
      </c>
      <c r="G272" s="22">
        <v>0</v>
      </c>
      <c r="H272" s="24">
        <f t="shared" si="23"/>
        <v>0</v>
      </c>
      <c r="I272" s="24">
        <f t="shared" si="24"/>
        <v>0</v>
      </c>
      <c r="J272" s="24">
        <f t="shared" si="25"/>
        <v>0</v>
      </c>
      <c r="K272" s="25">
        <f t="shared" si="22"/>
        <v>0</v>
      </c>
      <c r="L272" s="21"/>
      <c r="M272" s="12">
        <v>0</v>
      </c>
      <c r="N272" s="12">
        <v>0</v>
      </c>
      <c r="O272" s="12">
        <v>0</v>
      </c>
      <c r="P272" s="9">
        <v>0</v>
      </c>
      <c r="Q272" s="12">
        <v>0</v>
      </c>
      <c r="R272" s="12">
        <v>0</v>
      </c>
      <c r="S272" s="12">
        <v>0</v>
      </c>
      <c r="T272" s="12">
        <v>0</v>
      </c>
      <c r="U272" s="16">
        <v>0</v>
      </c>
      <c r="V272" s="72">
        <f>IFERROR(LOOKUP($C272,Actuals!$C$4:$C$79,Actuals!G$4:G$79),0)</f>
        <v>0</v>
      </c>
      <c r="W272" s="72">
        <f>IFERROR(LOOKUP($C272,Actuals!$C$4:$C$79,Actuals!H$4:H$79),0)</f>
        <v>0</v>
      </c>
      <c r="X272" s="72">
        <f>IFERROR(LOOKUP($C272,Actuals!$C$4:$C$79,Actuals!I$4:I$79),0)</f>
        <v>6217.391304347826</v>
      </c>
      <c r="Y272" s="72">
        <f>IFERROR(LOOKUP($C272,Actuals!$C$4:$C$79,Actuals!J$4:J$79),0)</f>
        <v>130</v>
      </c>
    </row>
    <row r="273" spans="1:25" ht="16.5" customHeight="1" x14ac:dyDescent="0.35">
      <c r="A273" s="3" t="s">
        <v>14</v>
      </c>
      <c r="B273" s="4">
        <v>119</v>
      </c>
      <c r="C273" s="5">
        <v>60694</v>
      </c>
      <c r="D273" s="3" t="s">
        <v>269</v>
      </c>
      <c r="E273" s="6">
        <v>160</v>
      </c>
      <c r="F273" s="21">
        <v>106.8</v>
      </c>
      <c r="G273" s="22">
        <v>0</v>
      </c>
      <c r="H273" s="24">
        <f t="shared" si="23"/>
        <v>0</v>
      </c>
      <c r="I273" s="24">
        <f t="shared" si="24"/>
        <v>0</v>
      </c>
      <c r="J273" s="24">
        <f t="shared" si="25"/>
        <v>0</v>
      </c>
      <c r="K273" s="25">
        <f t="shared" si="22"/>
        <v>0</v>
      </c>
      <c r="L273" s="21"/>
      <c r="M273" s="12">
        <v>0</v>
      </c>
      <c r="N273" s="12">
        <v>0</v>
      </c>
      <c r="O273" s="12">
        <v>0</v>
      </c>
      <c r="P273" s="9">
        <v>0</v>
      </c>
      <c r="Q273" s="12">
        <v>0</v>
      </c>
      <c r="R273" s="12">
        <v>0</v>
      </c>
      <c r="S273" s="12">
        <v>0</v>
      </c>
      <c r="T273" s="12">
        <v>0</v>
      </c>
      <c r="U273" s="16">
        <v>0</v>
      </c>
      <c r="V273" s="72">
        <f>IFERROR(LOOKUP($C273,Actuals!$C$4:$C$79,Actuals!G$4:G$79),0)</f>
        <v>0</v>
      </c>
      <c r="W273" s="72">
        <f>IFERROR(LOOKUP($C273,Actuals!$C$4:$C$79,Actuals!H$4:H$79),0)</f>
        <v>0</v>
      </c>
      <c r="X273" s="72">
        <f>IFERROR(LOOKUP($C273,Actuals!$C$4:$C$79,Actuals!I$4:I$79),0)</f>
        <v>10.417391304347827</v>
      </c>
      <c r="Y273" s="72">
        <f>IFERROR(LOOKUP($C273,Actuals!$C$4:$C$79,Actuals!J$4:J$79),0)</f>
        <v>2</v>
      </c>
    </row>
    <row r="274" spans="1:25" ht="16.5" customHeight="1" x14ac:dyDescent="0.35">
      <c r="A274" s="3" t="s">
        <v>14</v>
      </c>
      <c r="B274" s="4">
        <v>119</v>
      </c>
      <c r="C274" s="5">
        <v>62457</v>
      </c>
      <c r="D274" s="3" t="s">
        <v>270</v>
      </c>
      <c r="E274" s="6">
        <v>100</v>
      </c>
      <c r="F274" s="21">
        <v>53.89</v>
      </c>
      <c r="G274" s="22">
        <v>0</v>
      </c>
      <c r="H274" s="24">
        <f t="shared" si="23"/>
        <v>0</v>
      </c>
      <c r="I274" s="24">
        <f t="shared" si="24"/>
        <v>0</v>
      </c>
      <c r="J274" s="24">
        <f t="shared" si="25"/>
        <v>0</v>
      </c>
      <c r="K274" s="25">
        <f t="shared" si="22"/>
        <v>0</v>
      </c>
      <c r="L274" s="21"/>
      <c r="M274" s="12">
        <v>0</v>
      </c>
      <c r="N274" s="12">
        <v>0</v>
      </c>
      <c r="O274" s="12">
        <v>0</v>
      </c>
      <c r="P274" s="9">
        <v>0</v>
      </c>
      <c r="Q274" s="12">
        <v>0</v>
      </c>
      <c r="R274" s="12">
        <v>0</v>
      </c>
      <c r="S274" s="12">
        <v>0</v>
      </c>
      <c r="T274" s="12">
        <v>0</v>
      </c>
      <c r="U274" s="16">
        <v>0</v>
      </c>
      <c r="V274" s="72">
        <f>IFERROR(LOOKUP($C274,Actuals!$C$4:$C$79,Actuals!G$4:G$79),0)</f>
        <v>25.208695652173912</v>
      </c>
      <c r="W274" s="72">
        <f>IFERROR(LOOKUP($C274,Actuals!$C$4:$C$79,Actuals!H$4:H$79),0)</f>
        <v>1</v>
      </c>
      <c r="X274" s="72">
        <f>IFERROR(LOOKUP($C274,Actuals!$C$4:$C$79,Actuals!I$4:I$79),0)</f>
        <v>25.208695652173912</v>
      </c>
      <c r="Y274" s="72">
        <f>IFERROR(LOOKUP($C274,Actuals!$C$4:$C$79,Actuals!J$4:J$79),0)</f>
        <v>1</v>
      </c>
    </row>
    <row r="275" spans="1:25" ht="16.5" customHeight="1" x14ac:dyDescent="0.35">
      <c r="A275" s="3" t="s">
        <v>14</v>
      </c>
      <c r="B275" s="4">
        <v>119</v>
      </c>
      <c r="C275" s="5">
        <v>64633</v>
      </c>
      <c r="D275" s="3" t="s">
        <v>271</v>
      </c>
      <c r="E275" s="6">
        <v>8.99</v>
      </c>
      <c r="F275" s="21">
        <v>3.8</v>
      </c>
      <c r="G275" s="22">
        <v>0</v>
      </c>
      <c r="H275" s="24">
        <f t="shared" si="23"/>
        <v>0</v>
      </c>
      <c r="I275" s="24">
        <f t="shared" si="24"/>
        <v>0</v>
      </c>
      <c r="J275" s="24">
        <f t="shared" si="25"/>
        <v>0</v>
      </c>
      <c r="K275" s="25">
        <f t="shared" si="22"/>
        <v>0</v>
      </c>
      <c r="L275" s="21"/>
      <c r="M275" s="12">
        <v>0</v>
      </c>
      <c r="N275" s="12">
        <v>0</v>
      </c>
      <c r="O275" s="12">
        <v>0</v>
      </c>
      <c r="P275" s="9">
        <v>0</v>
      </c>
      <c r="Q275" s="12">
        <v>0</v>
      </c>
      <c r="R275" s="12">
        <v>0</v>
      </c>
      <c r="S275" s="12">
        <v>0</v>
      </c>
      <c r="T275" s="12">
        <v>0</v>
      </c>
      <c r="U275" s="16">
        <v>0</v>
      </c>
      <c r="V275" s="72">
        <f>IFERROR(LOOKUP($C275,Actuals!$C$4:$C$79,Actuals!G$4:G$79),0)</f>
        <v>0</v>
      </c>
      <c r="W275" s="72">
        <f>IFERROR(LOOKUP($C275,Actuals!$C$4:$C$79,Actuals!H$4:H$79),0)</f>
        <v>0</v>
      </c>
      <c r="X275" s="72">
        <f>IFERROR(LOOKUP($C275,Actuals!$C$4:$C$79,Actuals!I$4:I$79),0)</f>
        <v>1043.4782608695652</v>
      </c>
      <c r="Y275" s="72">
        <f>IFERROR(LOOKUP($C275,Actuals!$C$4:$C$79,Actuals!J$4:J$79),0)</f>
        <v>20</v>
      </c>
    </row>
    <row r="276" spans="1:25" ht="16.5" customHeight="1" x14ac:dyDescent="0.35">
      <c r="A276" s="3" t="s">
        <v>14</v>
      </c>
      <c r="B276" s="4">
        <v>119</v>
      </c>
      <c r="C276" s="5">
        <v>33038</v>
      </c>
      <c r="D276" s="3" t="s">
        <v>272</v>
      </c>
      <c r="E276" s="6">
        <v>35.99</v>
      </c>
      <c r="F276" s="21">
        <v>18</v>
      </c>
      <c r="G276" s="22">
        <v>0</v>
      </c>
      <c r="H276" s="24">
        <f t="shared" si="23"/>
        <v>0</v>
      </c>
      <c r="I276" s="24">
        <f t="shared" si="24"/>
        <v>0</v>
      </c>
      <c r="J276" s="24">
        <f t="shared" si="25"/>
        <v>0</v>
      </c>
      <c r="K276" s="25">
        <f t="shared" si="22"/>
        <v>0</v>
      </c>
      <c r="L276" s="21"/>
      <c r="M276" s="12">
        <v>0</v>
      </c>
      <c r="N276" s="12">
        <v>0</v>
      </c>
      <c r="O276" s="12">
        <v>0</v>
      </c>
      <c r="P276" s="9">
        <v>0</v>
      </c>
      <c r="Q276" s="12">
        <v>0</v>
      </c>
      <c r="R276" s="12">
        <v>0</v>
      </c>
      <c r="S276" s="12">
        <v>0</v>
      </c>
      <c r="T276" s="12">
        <v>0</v>
      </c>
      <c r="U276" s="16">
        <v>0</v>
      </c>
      <c r="V276" s="72">
        <f>IFERROR(LOOKUP($C276,Actuals!$C$4:$C$79,Actuals!G$4:G$79),0)</f>
        <v>140.7913043478261</v>
      </c>
      <c r="W276" s="72">
        <f>IFERROR(LOOKUP($C276,Actuals!$C$4:$C$79,Actuals!H$4:H$79),0)</f>
        <v>9</v>
      </c>
      <c r="X276" s="72">
        <f>IFERROR(LOOKUP($C276,Actuals!$C$4:$C$79,Actuals!I$4:I$79),0)</f>
        <v>0</v>
      </c>
      <c r="Y276" s="72">
        <f>IFERROR(LOOKUP($C276,Actuals!$C$4:$C$79,Actuals!J$4:J$79),0)</f>
        <v>0</v>
      </c>
    </row>
    <row r="277" spans="1:25" ht="16.5" customHeight="1" x14ac:dyDescent="0.35">
      <c r="A277" s="3" t="s">
        <v>14</v>
      </c>
      <c r="B277" s="4">
        <v>119</v>
      </c>
      <c r="C277" s="5">
        <v>32130</v>
      </c>
      <c r="D277" s="3" t="s">
        <v>273</v>
      </c>
      <c r="E277" s="6">
        <v>140</v>
      </c>
      <c r="F277" s="21">
        <v>92.6</v>
      </c>
      <c r="G277" s="22">
        <v>0</v>
      </c>
      <c r="H277" s="24">
        <f t="shared" si="23"/>
        <v>0</v>
      </c>
      <c r="I277" s="24">
        <f t="shared" si="24"/>
        <v>0</v>
      </c>
      <c r="J277" s="24">
        <f t="shared" si="25"/>
        <v>0</v>
      </c>
      <c r="K277" s="25">
        <f t="shared" si="22"/>
        <v>0</v>
      </c>
      <c r="L277" s="21"/>
      <c r="M277" s="12">
        <v>0</v>
      </c>
      <c r="N277" s="12">
        <v>0</v>
      </c>
      <c r="O277" s="12">
        <v>0</v>
      </c>
      <c r="P277" s="9">
        <v>0</v>
      </c>
      <c r="Q277" s="12">
        <v>0</v>
      </c>
      <c r="R277" s="12">
        <v>0</v>
      </c>
      <c r="S277" s="12">
        <v>0</v>
      </c>
      <c r="T277" s="12">
        <v>0</v>
      </c>
      <c r="U277" s="16">
        <v>0</v>
      </c>
      <c r="V277" s="72">
        <f>IFERROR(LOOKUP($C277,Actuals!$C$4:$C$79,Actuals!G$4:G$79),0)</f>
        <v>125.11304347826086</v>
      </c>
      <c r="W277" s="72">
        <f>IFERROR(LOOKUP($C277,Actuals!$C$4:$C$79,Actuals!H$4:H$79),0)</f>
        <v>12</v>
      </c>
      <c r="X277" s="72">
        <f>IFERROR(LOOKUP($C277,Actuals!$C$4:$C$79,Actuals!I$4:I$79),0)</f>
        <v>93.834782608695647</v>
      </c>
      <c r="Y277" s="72">
        <f>IFERROR(LOOKUP($C277,Actuals!$C$4:$C$79,Actuals!J$4:J$79),0)</f>
        <v>9</v>
      </c>
    </row>
    <row r="278" spans="1:25" ht="16.5" customHeight="1" x14ac:dyDescent="0.35">
      <c r="A278" s="3" t="s">
        <v>14</v>
      </c>
      <c r="B278" s="4">
        <v>119</v>
      </c>
      <c r="C278" s="5">
        <v>33037</v>
      </c>
      <c r="D278" s="3" t="s">
        <v>274</v>
      </c>
      <c r="E278" s="6">
        <v>59.99</v>
      </c>
      <c r="F278" s="21">
        <v>23.44</v>
      </c>
      <c r="G278" s="22">
        <v>0</v>
      </c>
      <c r="H278" s="24">
        <f t="shared" si="23"/>
        <v>0</v>
      </c>
      <c r="I278" s="24">
        <f t="shared" si="24"/>
        <v>0</v>
      </c>
      <c r="J278" s="24">
        <f t="shared" si="25"/>
        <v>0</v>
      </c>
      <c r="K278" s="25">
        <f t="shared" si="22"/>
        <v>0</v>
      </c>
      <c r="L278" s="21"/>
      <c r="M278" s="12">
        <v>0</v>
      </c>
      <c r="N278" s="12">
        <v>0</v>
      </c>
      <c r="O278" s="12">
        <v>0</v>
      </c>
      <c r="P278" s="9">
        <v>0</v>
      </c>
      <c r="Q278" s="12">
        <v>0</v>
      </c>
      <c r="R278" s="12">
        <v>0</v>
      </c>
      <c r="S278" s="12">
        <v>0</v>
      </c>
      <c r="T278" s="12">
        <v>0</v>
      </c>
      <c r="U278" s="16">
        <v>0</v>
      </c>
      <c r="V278" s="72">
        <f>IFERROR(LOOKUP($C278,Actuals!$C$4:$C$79,Actuals!G$4:G$79),0)</f>
        <v>140.7913043478261</v>
      </c>
      <c r="W278" s="72">
        <f>IFERROR(LOOKUP($C278,Actuals!$C$4:$C$79,Actuals!H$4:H$79),0)</f>
        <v>9</v>
      </c>
      <c r="X278" s="72">
        <f>IFERROR(LOOKUP($C278,Actuals!$C$4:$C$79,Actuals!I$4:I$79),0)</f>
        <v>0</v>
      </c>
      <c r="Y278" s="72">
        <f>IFERROR(LOOKUP($C278,Actuals!$C$4:$C$79,Actuals!J$4:J$79),0)</f>
        <v>0</v>
      </c>
    </row>
    <row r="279" spans="1:25" ht="16.5" customHeight="1" x14ac:dyDescent="0.35">
      <c r="A279" s="3" t="s">
        <v>14</v>
      </c>
      <c r="B279" s="4">
        <v>119</v>
      </c>
      <c r="C279" s="5">
        <v>63798</v>
      </c>
      <c r="D279" s="3" t="s">
        <v>275</v>
      </c>
      <c r="E279" s="6">
        <v>79.989999999999995</v>
      </c>
      <c r="F279" s="21">
        <v>42.68</v>
      </c>
      <c r="G279" s="22">
        <v>0</v>
      </c>
      <c r="H279" s="24">
        <f t="shared" si="23"/>
        <v>0</v>
      </c>
      <c r="I279" s="24">
        <f t="shared" si="24"/>
        <v>0</v>
      </c>
      <c r="J279" s="24">
        <f t="shared" si="25"/>
        <v>0</v>
      </c>
      <c r="K279" s="25">
        <f t="shared" si="22"/>
        <v>0</v>
      </c>
      <c r="L279" s="21"/>
      <c r="M279" s="12">
        <v>0</v>
      </c>
      <c r="N279" s="12">
        <v>0</v>
      </c>
      <c r="O279" s="12">
        <v>0</v>
      </c>
      <c r="P279" s="9">
        <v>0</v>
      </c>
      <c r="Q279" s="12">
        <v>0</v>
      </c>
      <c r="R279" s="12">
        <v>0</v>
      </c>
      <c r="S279" s="12">
        <v>0</v>
      </c>
      <c r="T279" s="12">
        <v>0</v>
      </c>
      <c r="U279" s="16">
        <v>0</v>
      </c>
      <c r="V279" s="72">
        <f>IFERROR(LOOKUP($C279,Actuals!$C$4:$C$79,Actuals!G$4:G$79),0)</f>
        <v>0</v>
      </c>
      <c r="W279" s="72">
        <f>IFERROR(LOOKUP($C279,Actuals!$C$4:$C$79,Actuals!H$4:H$79),0)</f>
        <v>0</v>
      </c>
      <c r="X279" s="72">
        <f>IFERROR(LOOKUP($C279,Actuals!$C$4:$C$79,Actuals!I$4:I$79),0)</f>
        <v>1043.4782608695652</v>
      </c>
      <c r="Y279" s="72">
        <f>IFERROR(LOOKUP($C279,Actuals!$C$4:$C$79,Actuals!J$4:J$79),0)</f>
        <v>20</v>
      </c>
    </row>
    <row r="280" spans="1:25" ht="16.5" customHeight="1" x14ac:dyDescent="0.35">
      <c r="A280" s="3" t="s">
        <v>14</v>
      </c>
      <c r="B280" s="4">
        <v>119</v>
      </c>
      <c r="C280" s="5">
        <v>64635</v>
      </c>
      <c r="D280" s="3" t="s">
        <v>276</v>
      </c>
      <c r="E280" s="6">
        <v>160</v>
      </c>
      <c r="F280" s="21">
        <v>72.88</v>
      </c>
      <c r="G280" s="22">
        <v>0</v>
      </c>
      <c r="H280" s="24">
        <f t="shared" si="23"/>
        <v>0</v>
      </c>
      <c r="I280" s="24">
        <f t="shared" si="24"/>
        <v>0</v>
      </c>
      <c r="J280" s="24">
        <f t="shared" si="25"/>
        <v>0</v>
      </c>
      <c r="K280" s="25">
        <f t="shared" si="22"/>
        <v>0</v>
      </c>
      <c r="L280" s="21"/>
      <c r="M280" s="12">
        <v>0</v>
      </c>
      <c r="N280" s="12">
        <v>0</v>
      </c>
      <c r="O280" s="12">
        <v>0</v>
      </c>
      <c r="P280" s="9">
        <v>0</v>
      </c>
      <c r="Q280" s="12">
        <v>0</v>
      </c>
      <c r="R280" s="12">
        <v>0</v>
      </c>
      <c r="S280" s="12">
        <v>0</v>
      </c>
      <c r="T280" s="12">
        <v>0</v>
      </c>
      <c r="U280" s="16">
        <v>0</v>
      </c>
      <c r="V280" s="72">
        <f>IFERROR(LOOKUP($C280,Actuals!$C$4:$C$79,Actuals!G$4:G$79),0)</f>
        <v>0</v>
      </c>
      <c r="W280" s="72">
        <f>IFERROR(LOOKUP($C280,Actuals!$C$4:$C$79,Actuals!H$4:H$79),0)</f>
        <v>0</v>
      </c>
      <c r="X280" s="72">
        <f>IFERROR(LOOKUP($C280,Actuals!$C$4:$C$79,Actuals!I$4:I$79),0)</f>
        <v>1043.4782608695652</v>
      </c>
      <c r="Y280" s="72">
        <f>IFERROR(LOOKUP($C280,Actuals!$C$4:$C$79,Actuals!J$4:J$79),0)</f>
        <v>20</v>
      </c>
    </row>
    <row r="281" spans="1:25" ht="16.5" customHeight="1" x14ac:dyDescent="0.35">
      <c r="A281" s="3" t="s">
        <v>14</v>
      </c>
      <c r="B281" s="4">
        <v>119</v>
      </c>
      <c r="C281" s="5">
        <v>33017</v>
      </c>
      <c r="D281" s="3" t="s">
        <v>277</v>
      </c>
      <c r="E281" s="6">
        <v>69.989999999999995</v>
      </c>
      <c r="F281" s="21">
        <v>32.450000000000003</v>
      </c>
      <c r="G281" s="22">
        <v>0</v>
      </c>
      <c r="H281" s="24">
        <f t="shared" si="23"/>
        <v>0</v>
      </c>
      <c r="I281" s="24">
        <f t="shared" si="24"/>
        <v>0</v>
      </c>
      <c r="J281" s="24">
        <f t="shared" si="25"/>
        <v>0</v>
      </c>
      <c r="K281" s="25">
        <f t="shared" si="22"/>
        <v>0</v>
      </c>
      <c r="L281" s="21"/>
      <c r="M281" s="12">
        <v>0</v>
      </c>
      <c r="N281" s="12">
        <v>0</v>
      </c>
      <c r="O281" s="12">
        <v>0</v>
      </c>
      <c r="P281" s="9">
        <v>0</v>
      </c>
      <c r="Q281" s="12">
        <v>0</v>
      </c>
      <c r="R281" s="12">
        <v>0</v>
      </c>
      <c r="S281" s="12">
        <v>0</v>
      </c>
      <c r="T281" s="12">
        <v>0</v>
      </c>
      <c r="U281" s="16">
        <v>0</v>
      </c>
      <c r="V281" s="72">
        <f>IFERROR(LOOKUP($C281,Actuals!$C$4:$C$79,Actuals!G$4:G$79),0)</f>
        <v>0</v>
      </c>
      <c r="W281" s="72">
        <f>IFERROR(LOOKUP($C281,Actuals!$C$4:$C$79,Actuals!H$4:H$79),0)</f>
        <v>0</v>
      </c>
      <c r="X281" s="72">
        <f>IFERROR(LOOKUP($C281,Actuals!$C$4:$C$79,Actuals!I$4:I$79),0)</f>
        <v>15.626086956521739</v>
      </c>
      <c r="Y281" s="72">
        <f>IFERROR(LOOKUP($C281,Actuals!$C$4:$C$79,Actuals!J$4:J$79),0)</f>
        <v>3</v>
      </c>
    </row>
    <row r="282" spans="1:25" ht="16.5" customHeight="1" x14ac:dyDescent="0.35">
      <c r="A282" s="3" t="s">
        <v>14</v>
      </c>
      <c r="B282" s="4">
        <v>119</v>
      </c>
      <c r="C282" s="5">
        <v>64632</v>
      </c>
      <c r="D282" s="3" t="s">
        <v>278</v>
      </c>
      <c r="E282" s="6">
        <v>140</v>
      </c>
      <c r="F282" s="21">
        <v>62.14</v>
      </c>
      <c r="G282" s="22">
        <v>0</v>
      </c>
      <c r="H282" s="24">
        <f t="shared" si="23"/>
        <v>0</v>
      </c>
      <c r="I282" s="24">
        <f t="shared" si="24"/>
        <v>0</v>
      </c>
      <c r="J282" s="24">
        <f t="shared" si="25"/>
        <v>0</v>
      </c>
      <c r="K282" s="25">
        <f t="shared" si="22"/>
        <v>0</v>
      </c>
      <c r="L282" s="21"/>
      <c r="M282" s="12">
        <v>0</v>
      </c>
      <c r="N282" s="12">
        <v>0</v>
      </c>
      <c r="O282" s="12">
        <v>0</v>
      </c>
      <c r="P282" s="9">
        <v>0</v>
      </c>
      <c r="Q282" s="12">
        <v>0</v>
      </c>
      <c r="R282" s="12">
        <v>0</v>
      </c>
      <c r="S282" s="12">
        <v>0</v>
      </c>
      <c r="T282" s="12">
        <v>0</v>
      </c>
      <c r="U282" s="16">
        <v>0</v>
      </c>
      <c r="V282" s="72">
        <f>IFERROR(LOOKUP($C282,Actuals!$C$4:$C$79,Actuals!G$4:G$79),0)</f>
        <v>0</v>
      </c>
      <c r="W282" s="72">
        <f>IFERROR(LOOKUP($C282,Actuals!$C$4:$C$79,Actuals!H$4:H$79),0)</f>
        <v>0</v>
      </c>
      <c r="X282" s="72">
        <f>IFERROR(LOOKUP($C282,Actuals!$C$4:$C$79,Actuals!I$4:I$79),0)</f>
        <v>1043.4782608695652</v>
      </c>
      <c r="Y282" s="72">
        <f>IFERROR(LOOKUP($C282,Actuals!$C$4:$C$79,Actuals!J$4:J$79),0)</f>
        <v>20</v>
      </c>
    </row>
    <row r="283" spans="1:25" ht="16.5" customHeight="1" x14ac:dyDescent="0.35">
      <c r="A283" s="3" t="s">
        <v>14</v>
      </c>
      <c r="B283" s="4">
        <v>119</v>
      </c>
      <c r="C283" s="5">
        <v>65238</v>
      </c>
      <c r="D283" s="3" t="s">
        <v>279</v>
      </c>
      <c r="E283" s="6">
        <v>120</v>
      </c>
      <c r="F283" s="21">
        <v>82.1</v>
      </c>
      <c r="G283" s="22">
        <v>0</v>
      </c>
      <c r="H283" s="24">
        <f t="shared" si="23"/>
        <v>0</v>
      </c>
      <c r="I283" s="24">
        <f t="shared" si="24"/>
        <v>0</v>
      </c>
      <c r="J283" s="24">
        <f t="shared" si="25"/>
        <v>0</v>
      </c>
      <c r="K283" s="25">
        <f t="shared" si="22"/>
        <v>0</v>
      </c>
      <c r="L283" s="21"/>
      <c r="M283" s="12">
        <v>0</v>
      </c>
      <c r="N283" s="12">
        <v>0</v>
      </c>
      <c r="O283" s="12">
        <v>0</v>
      </c>
      <c r="P283" s="9">
        <v>0</v>
      </c>
      <c r="Q283" s="12">
        <v>0</v>
      </c>
      <c r="R283" s="12">
        <v>0</v>
      </c>
      <c r="S283" s="12">
        <v>0</v>
      </c>
      <c r="T283" s="12">
        <v>0</v>
      </c>
      <c r="U283" s="16">
        <v>0</v>
      </c>
      <c r="V283" s="72">
        <f>IFERROR(LOOKUP($C283,Actuals!$C$4:$C$79,Actuals!G$4:G$79),0)</f>
        <v>0</v>
      </c>
      <c r="W283" s="72">
        <f>IFERROR(LOOKUP($C283,Actuals!$C$4:$C$79,Actuals!H$4:H$79),0)</f>
        <v>0</v>
      </c>
      <c r="X283" s="72">
        <f>IFERROR(LOOKUP($C283,Actuals!$C$4:$C$79,Actuals!I$4:I$79),0)</f>
        <v>1043.4782608695652</v>
      </c>
      <c r="Y283" s="72">
        <f>IFERROR(LOOKUP($C283,Actuals!$C$4:$C$79,Actuals!J$4:J$79),0)</f>
        <v>20</v>
      </c>
    </row>
    <row r="284" spans="1:25" ht="16.5" customHeight="1" x14ac:dyDescent="0.35">
      <c r="A284" s="3" t="s">
        <v>14</v>
      </c>
      <c r="B284" s="4">
        <v>119</v>
      </c>
      <c r="C284" s="5">
        <v>65239</v>
      </c>
      <c r="D284" s="3" t="s">
        <v>280</v>
      </c>
      <c r="E284" s="6">
        <v>70</v>
      </c>
      <c r="F284" s="21">
        <v>48.14</v>
      </c>
      <c r="G284" s="22">
        <v>0</v>
      </c>
      <c r="H284" s="24">
        <f t="shared" si="23"/>
        <v>0</v>
      </c>
      <c r="I284" s="24">
        <f t="shared" si="24"/>
        <v>0</v>
      </c>
      <c r="J284" s="24">
        <f t="shared" si="25"/>
        <v>0</v>
      </c>
      <c r="K284" s="25">
        <f t="shared" si="22"/>
        <v>0</v>
      </c>
      <c r="L284" s="21"/>
      <c r="M284" s="12">
        <v>0</v>
      </c>
      <c r="N284" s="12">
        <v>0</v>
      </c>
      <c r="O284" s="12">
        <v>0</v>
      </c>
      <c r="P284" s="9">
        <v>0</v>
      </c>
      <c r="Q284" s="12">
        <v>0</v>
      </c>
      <c r="R284" s="12">
        <v>0</v>
      </c>
      <c r="S284" s="12">
        <v>0</v>
      </c>
      <c r="T284" s="12">
        <v>0</v>
      </c>
      <c r="U284" s="16">
        <v>0</v>
      </c>
      <c r="V284" s="72">
        <f>IFERROR(LOOKUP($C284,Actuals!$C$4:$C$79,Actuals!G$4:G$79),0)</f>
        <v>0</v>
      </c>
      <c r="W284" s="72">
        <f>IFERROR(LOOKUP($C284,Actuals!$C$4:$C$79,Actuals!H$4:H$79),0)</f>
        <v>0</v>
      </c>
      <c r="X284" s="72">
        <f>IFERROR(LOOKUP($C284,Actuals!$C$4:$C$79,Actuals!I$4:I$79),0)</f>
        <v>1043.4782608695652</v>
      </c>
      <c r="Y284" s="72">
        <f>IFERROR(LOOKUP($C284,Actuals!$C$4:$C$79,Actuals!J$4:J$79),0)</f>
        <v>20</v>
      </c>
    </row>
    <row r="285" spans="1:25" ht="16.5" customHeight="1" x14ac:dyDescent="0.35">
      <c r="A285" s="3" t="s">
        <v>14</v>
      </c>
      <c r="B285" s="4">
        <v>120</v>
      </c>
      <c r="C285" s="5">
        <v>62585</v>
      </c>
      <c r="D285" s="3" t="s">
        <v>281</v>
      </c>
      <c r="E285" s="6">
        <v>55</v>
      </c>
      <c r="F285" s="21">
        <v>33.18</v>
      </c>
      <c r="G285" s="22">
        <v>0</v>
      </c>
      <c r="H285" s="24">
        <f t="shared" si="23"/>
        <v>0</v>
      </c>
      <c r="I285" s="24">
        <f t="shared" si="24"/>
        <v>0</v>
      </c>
      <c r="J285" s="24">
        <f t="shared" si="25"/>
        <v>0</v>
      </c>
      <c r="K285" s="25">
        <f t="shared" si="22"/>
        <v>0</v>
      </c>
      <c r="L285" s="21"/>
      <c r="M285" s="12">
        <v>0</v>
      </c>
      <c r="N285" s="12">
        <v>0</v>
      </c>
      <c r="O285" s="12">
        <v>0</v>
      </c>
      <c r="P285" s="9">
        <v>0</v>
      </c>
      <c r="Q285" s="12">
        <v>0</v>
      </c>
      <c r="R285" s="12">
        <v>0</v>
      </c>
      <c r="S285" s="12">
        <v>0</v>
      </c>
      <c r="T285" s="12">
        <v>0</v>
      </c>
      <c r="U285" s="16">
        <v>0</v>
      </c>
      <c r="V285" s="72">
        <f>IFERROR(LOOKUP($C285,Actuals!$C$4:$C$79,Actuals!G$4:G$79),0)</f>
        <v>0</v>
      </c>
      <c r="W285" s="72">
        <f>IFERROR(LOOKUP($C285,Actuals!$C$4:$C$79,Actuals!H$4:H$79),0)</f>
        <v>0</v>
      </c>
      <c r="X285" s="72">
        <f>IFERROR(LOOKUP($C285,Actuals!$C$4:$C$79,Actuals!I$4:I$79),0)</f>
        <v>6217.391304347826</v>
      </c>
      <c r="Y285" s="72">
        <f>IFERROR(LOOKUP($C285,Actuals!$C$4:$C$79,Actuals!J$4:J$79),0)</f>
        <v>130</v>
      </c>
    </row>
    <row r="286" spans="1:25" ht="16.5" customHeight="1" x14ac:dyDescent="0.35">
      <c r="A286" s="3" t="s">
        <v>14</v>
      </c>
      <c r="B286" s="4">
        <v>120</v>
      </c>
      <c r="C286" s="5">
        <v>62629</v>
      </c>
      <c r="D286" s="3" t="s">
        <v>282</v>
      </c>
      <c r="E286" s="6">
        <v>60</v>
      </c>
      <c r="F286" s="21">
        <v>33.18</v>
      </c>
      <c r="G286" s="22">
        <v>0</v>
      </c>
      <c r="H286" s="24">
        <f t="shared" si="23"/>
        <v>0</v>
      </c>
      <c r="I286" s="24">
        <f t="shared" si="24"/>
        <v>0</v>
      </c>
      <c r="J286" s="24">
        <f t="shared" si="25"/>
        <v>0</v>
      </c>
      <c r="K286" s="25">
        <f t="shared" si="22"/>
        <v>0</v>
      </c>
      <c r="L286" s="21"/>
      <c r="M286" s="12">
        <v>0</v>
      </c>
      <c r="N286" s="12">
        <v>0</v>
      </c>
      <c r="O286" s="12">
        <v>0</v>
      </c>
      <c r="P286" s="9">
        <v>0</v>
      </c>
      <c r="Q286" s="12">
        <v>0</v>
      </c>
      <c r="R286" s="12">
        <v>0</v>
      </c>
      <c r="S286" s="12">
        <v>0</v>
      </c>
      <c r="T286" s="12">
        <v>0</v>
      </c>
      <c r="U286" s="16">
        <v>0</v>
      </c>
      <c r="V286" s="72">
        <f>IFERROR(LOOKUP($C286,Actuals!$C$4:$C$79,Actuals!G$4:G$79),0)</f>
        <v>0</v>
      </c>
      <c r="W286" s="72">
        <f>IFERROR(LOOKUP($C286,Actuals!$C$4:$C$79,Actuals!H$4:H$79),0)</f>
        <v>0</v>
      </c>
      <c r="X286" s="72">
        <f>IFERROR(LOOKUP($C286,Actuals!$C$4:$C$79,Actuals!I$4:I$79),0)</f>
        <v>1043.4782608695652</v>
      </c>
      <c r="Y286" s="72">
        <f>IFERROR(LOOKUP($C286,Actuals!$C$4:$C$79,Actuals!J$4:J$79),0)</f>
        <v>20</v>
      </c>
    </row>
    <row r="287" spans="1:25" ht="16.5" customHeight="1" x14ac:dyDescent="0.35">
      <c r="A287" s="3" t="s">
        <v>14</v>
      </c>
      <c r="B287" s="4">
        <v>120</v>
      </c>
      <c r="C287" s="5">
        <v>34124</v>
      </c>
      <c r="D287" s="3" t="s">
        <v>283</v>
      </c>
      <c r="E287" s="6">
        <v>29.99</v>
      </c>
      <c r="F287" s="21">
        <v>12.33</v>
      </c>
      <c r="G287" s="22">
        <v>0</v>
      </c>
      <c r="H287" s="24">
        <f t="shared" si="23"/>
        <v>0</v>
      </c>
      <c r="I287" s="24">
        <f t="shared" si="24"/>
        <v>0</v>
      </c>
      <c r="J287" s="24">
        <f t="shared" si="25"/>
        <v>0</v>
      </c>
      <c r="K287" s="25">
        <f t="shared" si="22"/>
        <v>0</v>
      </c>
      <c r="L287" s="21"/>
      <c r="M287" s="12">
        <v>0</v>
      </c>
      <c r="N287" s="12">
        <v>0</v>
      </c>
      <c r="O287" s="12">
        <v>0</v>
      </c>
      <c r="P287" s="9">
        <v>0</v>
      </c>
      <c r="Q287" s="12">
        <v>0</v>
      </c>
      <c r="R287" s="12">
        <v>0</v>
      </c>
      <c r="S287" s="12">
        <v>0</v>
      </c>
      <c r="T287" s="12">
        <v>0</v>
      </c>
      <c r="U287" s="16">
        <v>0</v>
      </c>
      <c r="V287" s="72">
        <f>IFERROR(LOOKUP($C287,Actuals!$C$4:$C$79,Actuals!G$4:G$79),0)</f>
        <v>229.56521739130434</v>
      </c>
      <c r="W287" s="72">
        <f>IFERROR(LOOKUP($C287,Actuals!$C$4:$C$79,Actuals!H$4:H$79),0)</f>
        <v>80</v>
      </c>
      <c r="X287" s="72">
        <f>IFERROR(LOOKUP($C287,Actuals!$C$4:$C$79,Actuals!I$4:I$79),0)</f>
        <v>0</v>
      </c>
      <c r="Y287" s="72">
        <f>IFERROR(LOOKUP($C287,Actuals!$C$4:$C$79,Actuals!J$4:J$79),0)</f>
        <v>0</v>
      </c>
    </row>
    <row r="288" spans="1:25" ht="16.5" customHeight="1" x14ac:dyDescent="0.35">
      <c r="A288" s="3" t="s">
        <v>14</v>
      </c>
      <c r="B288" s="4">
        <v>120</v>
      </c>
      <c r="C288" s="5">
        <v>64763</v>
      </c>
      <c r="D288" s="3" t="s">
        <v>284</v>
      </c>
      <c r="E288" s="6">
        <v>38</v>
      </c>
      <c r="F288" s="21">
        <v>18.920000000000002</v>
      </c>
      <c r="G288" s="22">
        <v>0</v>
      </c>
      <c r="H288" s="24">
        <f t="shared" si="23"/>
        <v>0</v>
      </c>
      <c r="I288" s="24">
        <f t="shared" si="24"/>
        <v>0</v>
      </c>
      <c r="J288" s="24">
        <f t="shared" si="25"/>
        <v>0</v>
      </c>
      <c r="K288" s="25">
        <f t="shared" si="22"/>
        <v>0</v>
      </c>
      <c r="L288" s="21"/>
      <c r="M288" s="12">
        <v>0</v>
      </c>
      <c r="N288" s="12">
        <v>0</v>
      </c>
      <c r="O288" s="12">
        <v>0</v>
      </c>
      <c r="P288" s="9">
        <v>0</v>
      </c>
      <c r="Q288" s="12">
        <v>0</v>
      </c>
      <c r="R288" s="12">
        <v>0</v>
      </c>
      <c r="S288" s="12">
        <v>0</v>
      </c>
      <c r="T288" s="12">
        <v>0</v>
      </c>
      <c r="U288" s="16">
        <v>0</v>
      </c>
      <c r="V288" s="72">
        <f>IFERROR(LOOKUP($C288,Actuals!$C$4:$C$79,Actuals!G$4:G$79),0)</f>
        <v>0</v>
      </c>
      <c r="W288" s="72">
        <f>IFERROR(LOOKUP($C288,Actuals!$C$4:$C$79,Actuals!H$4:H$79),0)</f>
        <v>0</v>
      </c>
      <c r="X288" s="72">
        <f>IFERROR(LOOKUP($C288,Actuals!$C$4:$C$79,Actuals!I$4:I$79),0)</f>
        <v>1043.4782608695652</v>
      </c>
      <c r="Y288" s="72">
        <f>IFERROR(LOOKUP($C288,Actuals!$C$4:$C$79,Actuals!J$4:J$79),0)</f>
        <v>20</v>
      </c>
    </row>
    <row r="289" spans="1:25" ht="16.5" customHeight="1" x14ac:dyDescent="0.35">
      <c r="A289" s="3" t="s">
        <v>14</v>
      </c>
      <c r="B289" s="4">
        <v>120</v>
      </c>
      <c r="C289" s="5">
        <v>64762</v>
      </c>
      <c r="D289" s="3" t="s">
        <v>285</v>
      </c>
      <c r="E289" s="6">
        <v>69.989999999999995</v>
      </c>
      <c r="F289" s="21">
        <v>37.380000000000003</v>
      </c>
      <c r="G289" s="22">
        <v>0</v>
      </c>
      <c r="H289" s="24">
        <f t="shared" si="23"/>
        <v>0</v>
      </c>
      <c r="I289" s="24">
        <f t="shared" si="24"/>
        <v>0</v>
      </c>
      <c r="J289" s="24">
        <f t="shared" si="25"/>
        <v>0</v>
      </c>
      <c r="K289" s="25">
        <f t="shared" si="22"/>
        <v>0</v>
      </c>
      <c r="L289" s="21"/>
      <c r="M289" s="12">
        <v>0</v>
      </c>
      <c r="N289" s="12">
        <v>0</v>
      </c>
      <c r="O289" s="12">
        <v>0</v>
      </c>
      <c r="P289" s="9">
        <v>0</v>
      </c>
      <c r="Q289" s="12">
        <v>0</v>
      </c>
      <c r="R289" s="12">
        <v>0</v>
      </c>
      <c r="S289" s="12">
        <v>0</v>
      </c>
      <c r="T289" s="12">
        <v>0</v>
      </c>
      <c r="U289" s="16">
        <v>0</v>
      </c>
      <c r="V289" s="72">
        <f>IFERROR(LOOKUP($C289,Actuals!$C$4:$C$79,Actuals!G$4:G$79),0)</f>
        <v>0</v>
      </c>
      <c r="W289" s="72">
        <f>IFERROR(LOOKUP($C289,Actuals!$C$4:$C$79,Actuals!H$4:H$79),0)</f>
        <v>0</v>
      </c>
      <c r="X289" s="72">
        <f>IFERROR(LOOKUP($C289,Actuals!$C$4:$C$79,Actuals!I$4:I$79),0)</f>
        <v>1043.4782608695652</v>
      </c>
      <c r="Y289" s="72">
        <f>IFERROR(LOOKUP($C289,Actuals!$C$4:$C$79,Actuals!J$4:J$79),0)</f>
        <v>20</v>
      </c>
    </row>
    <row r="290" spans="1:25" ht="16.5" customHeight="1" x14ac:dyDescent="0.35">
      <c r="A290" s="3" t="s">
        <v>14</v>
      </c>
      <c r="B290" s="4">
        <v>120</v>
      </c>
      <c r="C290" s="5">
        <v>64761</v>
      </c>
      <c r="D290" s="3" t="s">
        <v>286</v>
      </c>
      <c r="E290" s="6">
        <v>69.989999999999995</v>
      </c>
      <c r="F290" s="21">
        <v>42.18</v>
      </c>
      <c r="G290" s="22">
        <v>0</v>
      </c>
      <c r="H290" s="24">
        <f t="shared" si="23"/>
        <v>0</v>
      </c>
      <c r="I290" s="24">
        <f t="shared" si="24"/>
        <v>0</v>
      </c>
      <c r="J290" s="24">
        <f t="shared" si="25"/>
        <v>0</v>
      </c>
      <c r="K290" s="25">
        <f t="shared" si="22"/>
        <v>0</v>
      </c>
      <c r="L290" s="21"/>
      <c r="M290" s="12">
        <v>0</v>
      </c>
      <c r="N290" s="12">
        <v>0</v>
      </c>
      <c r="O290" s="12">
        <v>0</v>
      </c>
      <c r="P290" s="9">
        <v>0</v>
      </c>
      <c r="Q290" s="12">
        <v>0</v>
      </c>
      <c r="R290" s="12">
        <v>0</v>
      </c>
      <c r="S290" s="12">
        <v>0</v>
      </c>
      <c r="T290" s="12">
        <v>0</v>
      </c>
      <c r="U290" s="16">
        <v>0</v>
      </c>
      <c r="V290" s="72">
        <f>IFERROR(LOOKUP($C290,Actuals!$C$4:$C$79,Actuals!G$4:G$79),0)</f>
        <v>0</v>
      </c>
      <c r="W290" s="72">
        <f>IFERROR(LOOKUP($C290,Actuals!$C$4:$C$79,Actuals!H$4:H$79),0)</f>
        <v>0</v>
      </c>
      <c r="X290" s="72">
        <f>IFERROR(LOOKUP($C290,Actuals!$C$4:$C$79,Actuals!I$4:I$79),0)</f>
        <v>1043.4782608695652</v>
      </c>
      <c r="Y290" s="72">
        <f>IFERROR(LOOKUP($C290,Actuals!$C$4:$C$79,Actuals!J$4:J$79),0)</f>
        <v>20</v>
      </c>
    </row>
    <row r="291" spans="1:25" ht="16.5" customHeight="1" x14ac:dyDescent="0.35">
      <c r="A291" s="3" t="s">
        <v>19</v>
      </c>
      <c r="B291" s="4">
        <v>1138</v>
      </c>
      <c r="C291" s="5">
        <v>57870</v>
      </c>
      <c r="D291" s="3" t="s">
        <v>287</v>
      </c>
      <c r="E291" s="6">
        <v>0</v>
      </c>
      <c r="F291" s="21">
        <v>120.14</v>
      </c>
      <c r="G291" s="22">
        <v>0</v>
      </c>
      <c r="H291" s="24">
        <f t="shared" si="23"/>
        <v>0</v>
      </c>
      <c r="I291" s="24">
        <f t="shared" si="24"/>
        <v>0</v>
      </c>
      <c r="J291" s="24">
        <f t="shared" si="25"/>
        <v>0</v>
      </c>
      <c r="K291" s="25">
        <f t="shared" si="22"/>
        <v>0</v>
      </c>
      <c r="L291" s="21"/>
      <c r="M291" s="12">
        <v>0</v>
      </c>
      <c r="N291" s="12">
        <v>0</v>
      </c>
      <c r="O291" s="12">
        <v>0</v>
      </c>
      <c r="P291" s="9">
        <v>0</v>
      </c>
      <c r="Q291" s="12">
        <v>0</v>
      </c>
      <c r="R291" s="12">
        <v>0</v>
      </c>
      <c r="S291" s="12">
        <v>0</v>
      </c>
      <c r="T291" s="12">
        <v>0</v>
      </c>
      <c r="U291" s="16">
        <v>0</v>
      </c>
      <c r="V291" s="72">
        <f>IFERROR(LOOKUP($C291,Actuals!$C$4:$C$79,Actuals!G$4:G$79),0)</f>
        <v>225.15652173913043</v>
      </c>
      <c r="W291" s="72">
        <f>IFERROR(LOOKUP($C291,Actuals!$C$4:$C$79,Actuals!H$4:H$79),0)</f>
        <v>7</v>
      </c>
      <c r="X291" s="72">
        <f>IFERROR(LOOKUP($C291,Actuals!$C$4:$C$79,Actuals!I$4:I$79),0)</f>
        <v>32.165217391304353</v>
      </c>
      <c r="Y291" s="72">
        <f>IFERROR(LOOKUP($C291,Actuals!$C$4:$C$79,Actuals!J$4:J$79),0)</f>
        <v>1</v>
      </c>
    </row>
    <row r="292" spans="1:25" ht="16.5" customHeight="1" x14ac:dyDescent="0.35">
      <c r="A292" s="3" t="s">
        <v>107</v>
      </c>
      <c r="B292" s="4">
        <v>1821</v>
      </c>
      <c r="C292" s="5">
        <v>33999</v>
      </c>
      <c r="D292" s="3" t="s">
        <v>288</v>
      </c>
      <c r="E292" s="6">
        <v>19.989999999999998</v>
      </c>
      <c r="F292" s="21">
        <v>17.149999999999999</v>
      </c>
      <c r="G292" s="22">
        <v>0</v>
      </c>
      <c r="H292" s="24">
        <f t="shared" si="23"/>
        <v>0</v>
      </c>
      <c r="I292" s="24">
        <f t="shared" si="24"/>
        <v>0</v>
      </c>
      <c r="J292" s="24">
        <f t="shared" si="25"/>
        <v>0</v>
      </c>
      <c r="K292" s="25">
        <f t="shared" si="22"/>
        <v>0</v>
      </c>
      <c r="L292" s="21"/>
      <c r="M292" s="12">
        <v>0</v>
      </c>
      <c r="N292" s="12">
        <v>0</v>
      </c>
      <c r="O292" s="12">
        <v>0</v>
      </c>
      <c r="P292" s="9">
        <v>0</v>
      </c>
      <c r="Q292" s="12">
        <v>0</v>
      </c>
      <c r="R292" s="12">
        <v>0</v>
      </c>
      <c r="S292" s="12">
        <v>0</v>
      </c>
      <c r="T292" s="12">
        <v>0</v>
      </c>
      <c r="U292" s="16">
        <v>0</v>
      </c>
      <c r="V292" s="72">
        <f>IFERROR(LOOKUP($C292,Actuals!$C$4:$C$79,Actuals!G$4:G$79),0)</f>
        <v>39.104347826086958</v>
      </c>
      <c r="W292" s="72">
        <f>IFERROR(LOOKUP($C292,Actuals!$C$4:$C$79,Actuals!H$4:H$79),0)</f>
        <v>3</v>
      </c>
      <c r="X292" s="72">
        <f>IFERROR(LOOKUP($C292,Actuals!$C$4:$C$79,Actuals!I$4:I$79),0)</f>
        <v>52.139130434782608</v>
      </c>
      <c r="Y292" s="72">
        <f>IFERROR(LOOKUP($C292,Actuals!$C$4:$C$79,Actuals!J$4:J$79),0)</f>
        <v>4</v>
      </c>
    </row>
    <row r="293" spans="1:25" ht="16.5" customHeight="1" x14ac:dyDescent="0.35">
      <c r="A293" s="3" t="s">
        <v>107</v>
      </c>
      <c r="B293" s="4">
        <v>1821</v>
      </c>
      <c r="C293" s="5">
        <v>40827</v>
      </c>
      <c r="D293" s="3" t="s">
        <v>289</v>
      </c>
      <c r="E293" s="6">
        <v>29.99</v>
      </c>
      <c r="F293" s="21">
        <v>29.25</v>
      </c>
      <c r="G293" s="22">
        <v>0</v>
      </c>
      <c r="H293" s="24">
        <f t="shared" si="23"/>
        <v>0</v>
      </c>
      <c r="I293" s="24">
        <f t="shared" si="24"/>
        <v>0</v>
      </c>
      <c r="J293" s="24">
        <f t="shared" si="25"/>
        <v>0</v>
      </c>
      <c r="K293" s="25">
        <f t="shared" si="22"/>
        <v>0</v>
      </c>
      <c r="L293" s="21"/>
      <c r="M293" s="12">
        <v>0</v>
      </c>
      <c r="N293" s="12">
        <v>0</v>
      </c>
      <c r="O293" s="12">
        <v>0</v>
      </c>
      <c r="P293" s="9">
        <v>0</v>
      </c>
      <c r="Q293" s="12">
        <v>0</v>
      </c>
      <c r="R293" s="12">
        <v>0</v>
      </c>
      <c r="S293" s="12">
        <v>0</v>
      </c>
      <c r="T293" s="12">
        <v>0</v>
      </c>
      <c r="U293" s="16">
        <v>0</v>
      </c>
      <c r="V293" s="72">
        <f>IFERROR(LOOKUP($C293,Actuals!$C$4:$C$79,Actuals!G$4:G$79),0)</f>
        <v>17.373913043478261</v>
      </c>
      <c r="W293" s="72">
        <f>IFERROR(LOOKUP($C293,Actuals!$C$4:$C$79,Actuals!H$4:H$79),0)</f>
        <v>2</v>
      </c>
      <c r="X293" s="72">
        <f>IFERROR(LOOKUP($C293,Actuals!$C$4:$C$79,Actuals!I$4:I$79),0)</f>
        <v>86.869565217391312</v>
      </c>
      <c r="Y293" s="72">
        <f>IFERROR(LOOKUP($C293,Actuals!$C$4:$C$79,Actuals!J$4:J$79),0)</f>
        <v>10</v>
      </c>
    </row>
    <row r="294" spans="1:25" ht="16.5" customHeight="1" x14ac:dyDescent="0.35">
      <c r="A294" s="30"/>
      <c r="B294" s="30"/>
      <c r="C294" s="30"/>
      <c r="D294" s="30" t="s">
        <v>290</v>
      </c>
      <c r="E294" s="30" t="s">
        <v>297</v>
      </c>
      <c r="F294" s="31" t="s">
        <v>297</v>
      </c>
      <c r="G294" s="31">
        <v>2630.6666666666702</v>
      </c>
      <c r="H294" s="31">
        <f>SUM(H4:H293)</f>
        <v>44255.073333333326</v>
      </c>
      <c r="I294" s="31">
        <v>22034.8913333333</v>
      </c>
      <c r="J294" s="32">
        <f t="shared" ref="J294" si="26">H294-I294</f>
        <v>22220.182000000026</v>
      </c>
      <c r="K294" s="33">
        <f t="shared" ref="K294" si="27">IFERROR(J294/H294*100,0)</f>
        <v>50.209343983311364</v>
      </c>
      <c r="L294" s="31"/>
      <c r="M294" s="34">
        <v>3321626.3000000012</v>
      </c>
      <c r="N294" s="34">
        <v>2902367.2452173927</v>
      </c>
      <c r="O294" s="34">
        <v>1612127.6353549915</v>
      </c>
      <c r="P294" s="35">
        <v>242139.42</v>
      </c>
      <c r="Q294" s="34">
        <v>1290239.6098624012</v>
      </c>
      <c r="R294" s="36"/>
      <c r="S294" s="36"/>
      <c r="T294" s="36"/>
      <c r="U294" s="37">
        <v>44.454733011079021</v>
      </c>
    </row>
    <row r="295" spans="1:25" ht="12.75" hidden="1" customHeight="1" x14ac:dyDescent="0.35">
      <c r="D295" s="1" t="s">
        <v>290</v>
      </c>
      <c r="M295" s="13">
        <v>3321626.3000000012</v>
      </c>
      <c r="N295" s="13">
        <v>2902367.2452173927</v>
      </c>
      <c r="O295" s="13">
        <v>1612127.6353549915</v>
      </c>
      <c r="P295" s="10">
        <v>242139.42</v>
      </c>
      <c r="Q295" s="13">
        <v>1290239.6098624012</v>
      </c>
      <c r="U295" s="17">
        <v>44.454733011079021</v>
      </c>
    </row>
  </sheetData>
  <sortState xmlns:xlrd2="http://schemas.microsoft.com/office/spreadsheetml/2017/richdata2" ref="A4:K293">
    <sortCondition ref="B4:B293"/>
    <sortCondition descending="1" ref="G4:G293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B5A17-7EB7-4474-B24C-91558E5E8119}">
  <sheetPr codeName="Sheet2"/>
  <dimension ref="A1:J81"/>
  <sheetViews>
    <sheetView workbookViewId="0">
      <pane xSplit="6" topLeftCell="G1" activePane="topRight" state="frozenSplit"/>
      <selection pane="topRight" activeCell="D12" sqref="D12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" customWidth="1"/>
    <col min="7" max="10" width="12.69921875" style="14" customWidth="1"/>
    <col min="11" max="256" width="10.69921875" style="1"/>
    <col min="257" max="257" width="21.5" style="1" customWidth="1"/>
    <col min="258" max="258" width="6.796875" style="1" customWidth="1"/>
    <col min="259" max="259" width="9.796875" style="1" customWidth="1"/>
    <col min="260" max="260" width="28.19921875" style="1" customWidth="1"/>
    <col min="261" max="262" width="8.19921875" style="1" customWidth="1"/>
    <col min="263" max="266" width="12.69921875" style="1" customWidth="1"/>
    <col min="267" max="512" width="10.69921875" style="1"/>
    <col min="513" max="513" width="21.5" style="1" customWidth="1"/>
    <col min="514" max="514" width="6.796875" style="1" customWidth="1"/>
    <col min="515" max="515" width="9.796875" style="1" customWidth="1"/>
    <col min="516" max="516" width="28.19921875" style="1" customWidth="1"/>
    <col min="517" max="518" width="8.19921875" style="1" customWidth="1"/>
    <col min="519" max="522" width="12.69921875" style="1" customWidth="1"/>
    <col min="523" max="768" width="10.69921875" style="1"/>
    <col min="769" max="769" width="21.5" style="1" customWidth="1"/>
    <col min="770" max="770" width="6.796875" style="1" customWidth="1"/>
    <col min="771" max="771" width="9.796875" style="1" customWidth="1"/>
    <col min="772" max="772" width="28.19921875" style="1" customWidth="1"/>
    <col min="773" max="774" width="8.19921875" style="1" customWidth="1"/>
    <col min="775" max="778" width="12.69921875" style="1" customWidth="1"/>
    <col min="779" max="1024" width="10.69921875" style="1"/>
    <col min="1025" max="1025" width="21.5" style="1" customWidth="1"/>
    <col min="1026" max="1026" width="6.796875" style="1" customWidth="1"/>
    <col min="1027" max="1027" width="9.796875" style="1" customWidth="1"/>
    <col min="1028" max="1028" width="28.19921875" style="1" customWidth="1"/>
    <col min="1029" max="1030" width="8.19921875" style="1" customWidth="1"/>
    <col min="1031" max="1034" width="12.69921875" style="1" customWidth="1"/>
    <col min="1035" max="1280" width="10.69921875" style="1"/>
    <col min="1281" max="1281" width="21.5" style="1" customWidth="1"/>
    <col min="1282" max="1282" width="6.796875" style="1" customWidth="1"/>
    <col min="1283" max="1283" width="9.796875" style="1" customWidth="1"/>
    <col min="1284" max="1284" width="28.19921875" style="1" customWidth="1"/>
    <col min="1285" max="1286" width="8.19921875" style="1" customWidth="1"/>
    <col min="1287" max="1290" width="12.69921875" style="1" customWidth="1"/>
    <col min="1291" max="1536" width="10.69921875" style="1"/>
    <col min="1537" max="1537" width="21.5" style="1" customWidth="1"/>
    <col min="1538" max="1538" width="6.796875" style="1" customWidth="1"/>
    <col min="1539" max="1539" width="9.796875" style="1" customWidth="1"/>
    <col min="1540" max="1540" width="28.19921875" style="1" customWidth="1"/>
    <col min="1541" max="1542" width="8.19921875" style="1" customWidth="1"/>
    <col min="1543" max="1546" width="12.69921875" style="1" customWidth="1"/>
    <col min="1547" max="1792" width="10.69921875" style="1"/>
    <col min="1793" max="1793" width="21.5" style="1" customWidth="1"/>
    <col min="1794" max="1794" width="6.796875" style="1" customWidth="1"/>
    <col min="1795" max="1795" width="9.796875" style="1" customWidth="1"/>
    <col min="1796" max="1796" width="28.19921875" style="1" customWidth="1"/>
    <col min="1797" max="1798" width="8.19921875" style="1" customWidth="1"/>
    <col min="1799" max="1802" width="12.69921875" style="1" customWidth="1"/>
    <col min="1803" max="2048" width="10.69921875" style="1"/>
    <col min="2049" max="2049" width="21.5" style="1" customWidth="1"/>
    <col min="2050" max="2050" width="6.796875" style="1" customWidth="1"/>
    <col min="2051" max="2051" width="9.796875" style="1" customWidth="1"/>
    <col min="2052" max="2052" width="28.19921875" style="1" customWidth="1"/>
    <col min="2053" max="2054" width="8.19921875" style="1" customWidth="1"/>
    <col min="2055" max="2058" width="12.69921875" style="1" customWidth="1"/>
    <col min="2059" max="2304" width="10.69921875" style="1"/>
    <col min="2305" max="2305" width="21.5" style="1" customWidth="1"/>
    <col min="2306" max="2306" width="6.796875" style="1" customWidth="1"/>
    <col min="2307" max="2307" width="9.796875" style="1" customWidth="1"/>
    <col min="2308" max="2308" width="28.19921875" style="1" customWidth="1"/>
    <col min="2309" max="2310" width="8.19921875" style="1" customWidth="1"/>
    <col min="2311" max="2314" width="12.69921875" style="1" customWidth="1"/>
    <col min="2315" max="2560" width="10.69921875" style="1"/>
    <col min="2561" max="2561" width="21.5" style="1" customWidth="1"/>
    <col min="2562" max="2562" width="6.796875" style="1" customWidth="1"/>
    <col min="2563" max="2563" width="9.796875" style="1" customWidth="1"/>
    <col min="2564" max="2564" width="28.19921875" style="1" customWidth="1"/>
    <col min="2565" max="2566" width="8.19921875" style="1" customWidth="1"/>
    <col min="2567" max="2570" width="12.69921875" style="1" customWidth="1"/>
    <col min="2571" max="2816" width="10.69921875" style="1"/>
    <col min="2817" max="2817" width="21.5" style="1" customWidth="1"/>
    <col min="2818" max="2818" width="6.796875" style="1" customWidth="1"/>
    <col min="2819" max="2819" width="9.796875" style="1" customWidth="1"/>
    <col min="2820" max="2820" width="28.19921875" style="1" customWidth="1"/>
    <col min="2821" max="2822" width="8.19921875" style="1" customWidth="1"/>
    <col min="2823" max="2826" width="12.69921875" style="1" customWidth="1"/>
    <col min="2827" max="3072" width="10.69921875" style="1"/>
    <col min="3073" max="3073" width="21.5" style="1" customWidth="1"/>
    <col min="3074" max="3074" width="6.796875" style="1" customWidth="1"/>
    <col min="3075" max="3075" width="9.796875" style="1" customWidth="1"/>
    <col min="3076" max="3076" width="28.19921875" style="1" customWidth="1"/>
    <col min="3077" max="3078" width="8.19921875" style="1" customWidth="1"/>
    <col min="3079" max="3082" width="12.69921875" style="1" customWidth="1"/>
    <col min="3083" max="3328" width="10.69921875" style="1"/>
    <col min="3329" max="3329" width="21.5" style="1" customWidth="1"/>
    <col min="3330" max="3330" width="6.796875" style="1" customWidth="1"/>
    <col min="3331" max="3331" width="9.796875" style="1" customWidth="1"/>
    <col min="3332" max="3332" width="28.19921875" style="1" customWidth="1"/>
    <col min="3333" max="3334" width="8.19921875" style="1" customWidth="1"/>
    <col min="3335" max="3338" width="12.69921875" style="1" customWidth="1"/>
    <col min="3339" max="3584" width="10.69921875" style="1"/>
    <col min="3585" max="3585" width="21.5" style="1" customWidth="1"/>
    <col min="3586" max="3586" width="6.796875" style="1" customWidth="1"/>
    <col min="3587" max="3587" width="9.796875" style="1" customWidth="1"/>
    <col min="3588" max="3588" width="28.19921875" style="1" customWidth="1"/>
    <col min="3589" max="3590" width="8.19921875" style="1" customWidth="1"/>
    <col min="3591" max="3594" width="12.69921875" style="1" customWidth="1"/>
    <col min="3595" max="3840" width="10.69921875" style="1"/>
    <col min="3841" max="3841" width="21.5" style="1" customWidth="1"/>
    <col min="3842" max="3842" width="6.796875" style="1" customWidth="1"/>
    <col min="3843" max="3843" width="9.796875" style="1" customWidth="1"/>
    <col min="3844" max="3844" width="28.19921875" style="1" customWidth="1"/>
    <col min="3845" max="3846" width="8.19921875" style="1" customWidth="1"/>
    <col min="3847" max="3850" width="12.69921875" style="1" customWidth="1"/>
    <col min="3851" max="4096" width="10.69921875" style="1"/>
    <col min="4097" max="4097" width="21.5" style="1" customWidth="1"/>
    <col min="4098" max="4098" width="6.796875" style="1" customWidth="1"/>
    <col min="4099" max="4099" width="9.796875" style="1" customWidth="1"/>
    <col min="4100" max="4100" width="28.19921875" style="1" customWidth="1"/>
    <col min="4101" max="4102" width="8.19921875" style="1" customWidth="1"/>
    <col min="4103" max="4106" width="12.69921875" style="1" customWidth="1"/>
    <col min="4107" max="4352" width="10.69921875" style="1"/>
    <col min="4353" max="4353" width="21.5" style="1" customWidth="1"/>
    <col min="4354" max="4354" width="6.796875" style="1" customWidth="1"/>
    <col min="4355" max="4355" width="9.796875" style="1" customWidth="1"/>
    <col min="4356" max="4356" width="28.19921875" style="1" customWidth="1"/>
    <col min="4357" max="4358" width="8.19921875" style="1" customWidth="1"/>
    <col min="4359" max="4362" width="12.69921875" style="1" customWidth="1"/>
    <col min="4363" max="4608" width="10.69921875" style="1"/>
    <col min="4609" max="4609" width="21.5" style="1" customWidth="1"/>
    <col min="4610" max="4610" width="6.796875" style="1" customWidth="1"/>
    <col min="4611" max="4611" width="9.796875" style="1" customWidth="1"/>
    <col min="4612" max="4612" width="28.19921875" style="1" customWidth="1"/>
    <col min="4613" max="4614" width="8.19921875" style="1" customWidth="1"/>
    <col min="4615" max="4618" width="12.69921875" style="1" customWidth="1"/>
    <col min="4619" max="4864" width="10.69921875" style="1"/>
    <col min="4865" max="4865" width="21.5" style="1" customWidth="1"/>
    <col min="4866" max="4866" width="6.796875" style="1" customWidth="1"/>
    <col min="4867" max="4867" width="9.796875" style="1" customWidth="1"/>
    <col min="4868" max="4868" width="28.19921875" style="1" customWidth="1"/>
    <col min="4869" max="4870" width="8.19921875" style="1" customWidth="1"/>
    <col min="4871" max="4874" width="12.69921875" style="1" customWidth="1"/>
    <col min="4875" max="5120" width="10.69921875" style="1"/>
    <col min="5121" max="5121" width="21.5" style="1" customWidth="1"/>
    <col min="5122" max="5122" width="6.796875" style="1" customWidth="1"/>
    <col min="5123" max="5123" width="9.796875" style="1" customWidth="1"/>
    <col min="5124" max="5124" width="28.19921875" style="1" customWidth="1"/>
    <col min="5125" max="5126" width="8.19921875" style="1" customWidth="1"/>
    <col min="5127" max="5130" width="12.69921875" style="1" customWidth="1"/>
    <col min="5131" max="5376" width="10.69921875" style="1"/>
    <col min="5377" max="5377" width="21.5" style="1" customWidth="1"/>
    <col min="5378" max="5378" width="6.796875" style="1" customWidth="1"/>
    <col min="5379" max="5379" width="9.796875" style="1" customWidth="1"/>
    <col min="5380" max="5380" width="28.19921875" style="1" customWidth="1"/>
    <col min="5381" max="5382" width="8.19921875" style="1" customWidth="1"/>
    <col min="5383" max="5386" width="12.69921875" style="1" customWidth="1"/>
    <col min="5387" max="5632" width="10.69921875" style="1"/>
    <col min="5633" max="5633" width="21.5" style="1" customWidth="1"/>
    <col min="5634" max="5634" width="6.796875" style="1" customWidth="1"/>
    <col min="5635" max="5635" width="9.796875" style="1" customWidth="1"/>
    <col min="5636" max="5636" width="28.19921875" style="1" customWidth="1"/>
    <col min="5637" max="5638" width="8.19921875" style="1" customWidth="1"/>
    <col min="5639" max="5642" width="12.69921875" style="1" customWidth="1"/>
    <col min="5643" max="5888" width="10.69921875" style="1"/>
    <col min="5889" max="5889" width="21.5" style="1" customWidth="1"/>
    <col min="5890" max="5890" width="6.796875" style="1" customWidth="1"/>
    <col min="5891" max="5891" width="9.796875" style="1" customWidth="1"/>
    <col min="5892" max="5892" width="28.19921875" style="1" customWidth="1"/>
    <col min="5893" max="5894" width="8.19921875" style="1" customWidth="1"/>
    <col min="5895" max="5898" width="12.69921875" style="1" customWidth="1"/>
    <col min="5899" max="6144" width="10.69921875" style="1"/>
    <col min="6145" max="6145" width="21.5" style="1" customWidth="1"/>
    <col min="6146" max="6146" width="6.796875" style="1" customWidth="1"/>
    <col min="6147" max="6147" width="9.796875" style="1" customWidth="1"/>
    <col min="6148" max="6148" width="28.19921875" style="1" customWidth="1"/>
    <col min="6149" max="6150" width="8.19921875" style="1" customWidth="1"/>
    <col min="6151" max="6154" width="12.69921875" style="1" customWidth="1"/>
    <col min="6155" max="6400" width="10.69921875" style="1"/>
    <col min="6401" max="6401" width="21.5" style="1" customWidth="1"/>
    <col min="6402" max="6402" width="6.796875" style="1" customWidth="1"/>
    <col min="6403" max="6403" width="9.796875" style="1" customWidth="1"/>
    <col min="6404" max="6404" width="28.19921875" style="1" customWidth="1"/>
    <col min="6405" max="6406" width="8.19921875" style="1" customWidth="1"/>
    <col min="6407" max="6410" width="12.69921875" style="1" customWidth="1"/>
    <col min="6411" max="6656" width="10.69921875" style="1"/>
    <col min="6657" max="6657" width="21.5" style="1" customWidth="1"/>
    <col min="6658" max="6658" width="6.796875" style="1" customWidth="1"/>
    <col min="6659" max="6659" width="9.796875" style="1" customWidth="1"/>
    <col min="6660" max="6660" width="28.19921875" style="1" customWidth="1"/>
    <col min="6661" max="6662" width="8.19921875" style="1" customWidth="1"/>
    <col min="6663" max="6666" width="12.69921875" style="1" customWidth="1"/>
    <col min="6667" max="6912" width="10.69921875" style="1"/>
    <col min="6913" max="6913" width="21.5" style="1" customWidth="1"/>
    <col min="6914" max="6914" width="6.796875" style="1" customWidth="1"/>
    <col min="6915" max="6915" width="9.796875" style="1" customWidth="1"/>
    <col min="6916" max="6916" width="28.19921875" style="1" customWidth="1"/>
    <col min="6917" max="6918" width="8.19921875" style="1" customWidth="1"/>
    <col min="6919" max="6922" width="12.69921875" style="1" customWidth="1"/>
    <col min="6923" max="7168" width="10.69921875" style="1"/>
    <col min="7169" max="7169" width="21.5" style="1" customWidth="1"/>
    <col min="7170" max="7170" width="6.796875" style="1" customWidth="1"/>
    <col min="7171" max="7171" width="9.796875" style="1" customWidth="1"/>
    <col min="7172" max="7172" width="28.19921875" style="1" customWidth="1"/>
    <col min="7173" max="7174" width="8.19921875" style="1" customWidth="1"/>
    <col min="7175" max="7178" width="12.69921875" style="1" customWidth="1"/>
    <col min="7179" max="7424" width="10.69921875" style="1"/>
    <col min="7425" max="7425" width="21.5" style="1" customWidth="1"/>
    <col min="7426" max="7426" width="6.796875" style="1" customWidth="1"/>
    <col min="7427" max="7427" width="9.796875" style="1" customWidth="1"/>
    <col min="7428" max="7428" width="28.19921875" style="1" customWidth="1"/>
    <col min="7429" max="7430" width="8.19921875" style="1" customWidth="1"/>
    <col min="7431" max="7434" width="12.69921875" style="1" customWidth="1"/>
    <col min="7435" max="7680" width="10.69921875" style="1"/>
    <col min="7681" max="7681" width="21.5" style="1" customWidth="1"/>
    <col min="7682" max="7682" width="6.796875" style="1" customWidth="1"/>
    <col min="7683" max="7683" width="9.796875" style="1" customWidth="1"/>
    <col min="7684" max="7684" width="28.19921875" style="1" customWidth="1"/>
    <col min="7685" max="7686" width="8.19921875" style="1" customWidth="1"/>
    <col min="7687" max="7690" width="12.69921875" style="1" customWidth="1"/>
    <col min="7691" max="7936" width="10.69921875" style="1"/>
    <col min="7937" max="7937" width="21.5" style="1" customWidth="1"/>
    <col min="7938" max="7938" width="6.796875" style="1" customWidth="1"/>
    <col min="7939" max="7939" width="9.796875" style="1" customWidth="1"/>
    <col min="7940" max="7940" width="28.19921875" style="1" customWidth="1"/>
    <col min="7941" max="7942" width="8.19921875" style="1" customWidth="1"/>
    <col min="7943" max="7946" width="12.69921875" style="1" customWidth="1"/>
    <col min="7947" max="8192" width="10.69921875" style="1"/>
    <col min="8193" max="8193" width="21.5" style="1" customWidth="1"/>
    <col min="8194" max="8194" width="6.796875" style="1" customWidth="1"/>
    <col min="8195" max="8195" width="9.796875" style="1" customWidth="1"/>
    <col min="8196" max="8196" width="28.19921875" style="1" customWidth="1"/>
    <col min="8197" max="8198" width="8.19921875" style="1" customWidth="1"/>
    <col min="8199" max="8202" width="12.69921875" style="1" customWidth="1"/>
    <col min="8203" max="8448" width="10.69921875" style="1"/>
    <col min="8449" max="8449" width="21.5" style="1" customWidth="1"/>
    <col min="8450" max="8450" width="6.796875" style="1" customWidth="1"/>
    <col min="8451" max="8451" width="9.796875" style="1" customWidth="1"/>
    <col min="8452" max="8452" width="28.19921875" style="1" customWidth="1"/>
    <col min="8453" max="8454" width="8.19921875" style="1" customWidth="1"/>
    <col min="8455" max="8458" width="12.69921875" style="1" customWidth="1"/>
    <col min="8459" max="8704" width="10.69921875" style="1"/>
    <col min="8705" max="8705" width="21.5" style="1" customWidth="1"/>
    <col min="8706" max="8706" width="6.796875" style="1" customWidth="1"/>
    <col min="8707" max="8707" width="9.796875" style="1" customWidth="1"/>
    <col min="8708" max="8708" width="28.19921875" style="1" customWidth="1"/>
    <col min="8709" max="8710" width="8.19921875" style="1" customWidth="1"/>
    <col min="8711" max="8714" width="12.69921875" style="1" customWidth="1"/>
    <col min="8715" max="8960" width="10.69921875" style="1"/>
    <col min="8961" max="8961" width="21.5" style="1" customWidth="1"/>
    <col min="8962" max="8962" width="6.796875" style="1" customWidth="1"/>
    <col min="8963" max="8963" width="9.796875" style="1" customWidth="1"/>
    <col min="8964" max="8964" width="28.19921875" style="1" customWidth="1"/>
    <col min="8965" max="8966" width="8.19921875" style="1" customWidth="1"/>
    <col min="8967" max="8970" width="12.69921875" style="1" customWidth="1"/>
    <col min="8971" max="9216" width="10.69921875" style="1"/>
    <col min="9217" max="9217" width="21.5" style="1" customWidth="1"/>
    <col min="9218" max="9218" width="6.796875" style="1" customWidth="1"/>
    <col min="9219" max="9219" width="9.796875" style="1" customWidth="1"/>
    <col min="9220" max="9220" width="28.19921875" style="1" customWidth="1"/>
    <col min="9221" max="9222" width="8.19921875" style="1" customWidth="1"/>
    <col min="9223" max="9226" width="12.69921875" style="1" customWidth="1"/>
    <col min="9227" max="9472" width="10.69921875" style="1"/>
    <col min="9473" max="9473" width="21.5" style="1" customWidth="1"/>
    <col min="9474" max="9474" width="6.796875" style="1" customWidth="1"/>
    <col min="9475" max="9475" width="9.796875" style="1" customWidth="1"/>
    <col min="9476" max="9476" width="28.19921875" style="1" customWidth="1"/>
    <col min="9477" max="9478" width="8.19921875" style="1" customWidth="1"/>
    <col min="9479" max="9482" width="12.69921875" style="1" customWidth="1"/>
    <col min="9483" max="9728" width="10.69921875" style="1"/>
    <col min="9729" max="9729" width="21.5" style="1" customWidth="1"/>
    <col min="9730" max="9730" width="6.796875" style="1" customWidth="1"/>
    <col min="9731" max="9731" width="9.796875" style="1" customWidth="1"/>
    <col min="9732" max="9732" width="28.19921875" style="1" customWidth="1"/>
    <col min="9733" max="9734" width="8.19921875" style="1" customWidth="1"/>
    <col min="9735" max="9738" width="12.69921875" style="1" customWidth="1"/>
    <col min="9739" max="9984" width="10.69921875" style="1"/>
    <col min="9985" max="9985" width="21.5" style="1" customWidth="1"/>
    <col min="9986" max="9986" width="6.796875" style="1" customWidth="1"/>
    <col min="9987" max="9987" width="9.796875" style="1" customWidth="1"/>
    <col min="9988" max="9988" width="28.19921875" style="1" customWidth="1"/>
    <col min="9989" max="9990" width="8.19921875" style="1" customWidth="1"/>
    <col min="9991" max="9994" width="12.69921875" style="1" customWidth="1"/>
    <col min="9995" max="10240" width="10.69921875" style="1"/>
    <col min="10241" max="10241" width="21.5" style="1" customWidth="1"/>
    <col min="10242" max="10242" width="6.796875" style="1" customWidth="1"/>
    <col min="10243" max="10243" width="9.796875" style="1" customWidth="1"/>
    <col min="10244" max="10244" width="28.19921875" style="1" customWidth="1"/>
    <col min="10245" max="10246" width="8.19921875" style="1" customWidth="1"/>
    <col min="10247" max="10250" width="12.69921875" style="1" customWidth="1"/>
    <col min="10251" max="10496" width="10.69921875" style="1"/>
    <col min="10497" max="10497" width="21.5" style="1" customWidth="1"/>
    <col min="10498" max="10498" width="6.796875" style="1" customWidth="1"/>
    <col min="10499" max="10499" width="9.796875" style="1" customWidth="1"/>
    <col min="10500" max="10500" width="28.19921875" style="1" customWidth="1"/>
    <col min="10501" max="10502" width="8.19921875" style="1" customWidth="1"/>
    <col min="10503" max="10506" width="12.69921875" style="1" customWidth="1"/>
    <col min="10507" max="10752" width="10.69921875" style="1"/>
    <col min="10753" max="10753" width="21.5" style="1" customWidth="1"/>
    <col min="10754" max="10754" width="6.796875" style="1" customWidth="1"/>
    <col min="10755" max="10755" width="9.796875" style="1" customWidth="1"/>
    <col min="10756" max="10756" width="28.19921875" style="1" customWidth="1"/>
    <col min="10757" max="10758" width="8.19921875" style="1" customWidth="1"/>
    <col min="10759" max="10762" width="12.69921875" style="1" customWidth="1"/>
    <col min="10763" max="11008" width="10.69921875" style="1"/>
    <col min="11009" max="11009" width="21.5" style="1" customWidth="1"/>
    <col min="11010" max="11010" width="6.796875" style="1" customWidth="1"/>
    <col min="11011" max="11011" width="9.796875" style="1" customWidth="1"/>
    <col min="11012" max="11012" width="28.19921875" style="1" customWidth="1"/>
    <col min="11013" max="11014" width="8.19921875" style="1" customWidth="1"/>
    <col min="11015" max="11018" width="12.69921875" style="1" customWidth="1"/>
    <col min="11019" max="11264" width="10.69921875" style="1"/>
    <col min="11265" max="11265" width="21.5" style="1" customWidth="1"/>
    <col min="11266" max="11266" width="6.796875" style="1" customWidth="1"/>
    <col min="11267" max="11267" width="9.796875" style="1" customWidth="1"/>
    <col min="11268" max="11268" width="28.19921875" style="1" customWidth="1"/>
    <col min="11269" max="11270" width="8.19921875" style="1" customWidth="1"/>
    <col min="11271" max="11274" width="12.69921875" style="1" customWidth="1"/>
    <col min="11275" max="11520" width="10.69921875" style="1"/>
    <col min="11521" max="11521" width="21.5" style="1" customWidth="1"/>
    <col min="11522" max="11522" width="6.796875" style="1" customWidth="1"/>
    <col min="11523" max="11523" width="9.796875" style="1" customWidth="1"/>
    <col min="11524" max="11524" width="28.19921875" style="1" customWidth="1"/>
    <col min="11525" max="11526" width="8.19921875" style="1" customWidth="1"/>
    <col min="11527" max="11530" width="12.69921875" style="1" customWidth="1"/>
    <col min="11531" max="11776" width="10.69921875" style="1"/>
    <col min="11777" max="11777" width="21.5" style="1" customWidth="1"/>
    <col min="11778" max="11778" width="6.796875" style="1" customWidth="1"/>
    <col min="11779" max="11779" width="9.796875" style="1" customWidth="1"/>
    <col min="11780" max="11780" width="28.19921875" style="1" customWidth="1"/>
    <col min="11781" max="11782" width="8.19921875" style="1" customWidth="1"/>
    <col min="11783" max="11786" width="12.69921875" style="1" customWidth="1"/>
    <col min="11787" max="12032" width="10.69921875" style="1"/>
    <col min="12033" max="12033" width="21.5" style="1" customWidth="1"/>
    <col min="12034" max="12034" width="6.796875" style="1" customWidth="1"/>
    <col min="12035" max="12035" width="9.796875" style="1" customWidth="1"/>
    <col min="12036" max="12036" width="28.19921875" style="1" customWidth="1"/>
    <col min="12037" max="12038" width="8.19921875" style="1" customWidth="1"/>
    <col min="12039" max="12042" width="12.69921875" style="1" customWidth="1"/>
    <col min="12043" max="12288" width="10.69921875" style="1"/>
    <col min="12289" max="12289" width="21.5" style="1" customWidth="1"/>
    <col min="12290" max="12290" width="6.796875" style="1" customWidth="1"/>
    <col min="12291" max="12291" width="9.796875" style="1" customWidth="1"/>
    <col min="12292" max="12292" width="28.19921875" style="1" customWidth="1"/>
    <col min="12293" max="12294" width="8.19921875" style="1" customWidth="1"/>
    <col min="12295" max="12298" width="12.69921875" style="1" customWidth="1"/>
    <col min="12299" max="12544" width="10.69921875" style="1"/>
    <col min="12545" max="12545" width="21.5" style="1" customWidth="1"/>
    <col min="12546" max="12546" width="6.796875" style="1" customWidth="1"/>
    <col min="12547" max="12547" width="9.796875" style="1" customWidth="1"/>
    <col min="12548" max="12548" width="28.19921875" style="1" customWidth="1"/>
    <col min="12549" max="12550" width="8.19921875" style="1" customWidth="1"/>
    <col min="12551" max="12554" width="12.69921875" style="1" customWidth="1"/>
    <col min="12555" max="12800" width="10.69921875" style="1"/>
    <col min="12801" max="12801" width="21.5" style="1" customWidth="1"/>
    <col min="12802" max="12802" width="6.796875" style="1" customWidth="1"/>
    <col min="12803" max="12803" width="9.796875" style="1" customWidth="1"/>
    <col min="12804" max="12804" width="28.19921875" style="1" customWidth="1"/>
    <col min="12805" max="12806" width="8.19921875" style="1" customWidth="1"/>
    <col min="12807" max="12810" width="12.69921875" style="1" customWidth="1"/>
    <col min="12811" max="13056" width="10.69921875" style="1"/>
    <col min="13057" max="13057" width="21.5" style="1" customWidth="1"/>
    <col min="13058" max="13058" width="6.796875" style="1" customWidth="1"/>
    <col min="13059" max="13059" width="9.796875" style="1" customWidth="1"/>
    <col min="13060" max="13060" width="28.19921875" style="1" customWidth="1"/>
    <col min="13061" max="13062" width="8.19921875" style="1" customWidth="1"/>
    <col min="13063" max="13066" width="12.69921875" style="1" customWidth="1"/>
    <col min="13067" max="13312" width="10.69921875" style="1"/>
    <col min="13313" max="13313" width="21.5" style="1" customWidth="1"/>
    <col min="13314" max="13314" width="6.796875" style="1" customWidth="1"/>
    <col min="13315" max="13315" width="9.796875" style="1" customWidth="1"/>
    <col min="13316" max="13316" width="28.19921875" style="1" customWidth="1"/>
    <col min="13317" max="13318" width="8.19921875" style="1" customWidth="1"/>
    <col min="13319" max="13322" width="12.69921875" style="1" customWidth="1"/>
    <col min="13323" max="13568" width="10.69921875" style="1"/>
    <col min="13569" max="13569" width="21.5" style="1" customWidth="1"/>
    <col min="13570" max="13570" width="6.796875" style="1" customWidth="1"/>
    <col min="13571" max="13571" width="9.796875" style="1" customWidth="1"/>
    <col min="13572" max="13572" width="28.19921875" style="1" customWidth="1"/>
    <col min="13573" max="13574" width="8.19921875" style="1" customWidth="1"/>
    <col min="13575" max="13578" width="12.69921875" style="1" customWidth="1"/>
    <col min="13579" max="13824" width="10.69921875" style="1"/>
    <col min="13825" max="13825" width="21.5" style="1" customWidth="1"/>
    <col min="13826" max="13826" width="6.796875" style="1" customWidth="1"/>
    <col min="13827" max="13827" width="9.796875" style="1" customWidth="1"/>
    <col min="13828" max="13828" width="28.19921875" style="1" customWidth="1"/>
    <col min="13829" max="13830" width="8.19921875" style="1" customWidth="1"/>
    <col min="13831" max="13834" width="12.69921875" style="1" customWidth="1"/>
    <col min="13835" max="14080" width="10.69921875" style="1"/>
    <col min="14081" max="14081" width="21.5" style="1" customWidth="1"/>
    <col min="14082" max="14082" width="6.796875" style="1" customWidth="1"/>
    <col min="14083" max="14083" width="9.796875" style="1" customWidth="1"/>
    <col min="14084" max="14084" width="28.19921875" style="1" customWidth="1"/>
    <col min="14085" max="14086" width="8.19921875" style="1" customWidth="1"/>
    <col min="14087" max="14090" width="12.69921875" style="1" customWidth="1"/>
    <col min="14091" max="14336" width="10.69921875" style="1"/>
    <col min="14337" max="14337" width="21.5" style="1" customWidth="1"/>
    <col min="14338" max="14338" width="6.796875" style="1" customWidth="1"/>
    <col min="14339" max="14339" width="9.796875" style="1" customWidth="1"/>
    <col min="14340" max="14340" width="28.19921875" style="1" customWidth="1"/>
    <col min="14341" max="14342" width="8.19921875" style="1" customWidth="1"/>
    <col min="14343" max="14346" width="12.69921875" style="1" customWidth="1"/>
    <col min="14347" max="14592" width="10.69921875" style="1"/>
    <col min="14593" max="14593" width="21.5" style="1" customWidth="1"/>
    <col min="14594" max="14594" width="6.796875" style="1" customWidth="1"/>
    <col min="14595" max="14595" width="9.796875" style="1" customWidth="1"/>
    <col min="14596" max="14596" width="28.19921875" style="1" customWidth="1"/>
    <col min="14597" max="14598" width="8.19921875" style="1" customWidth="1"/>
    <col min="14599" max="14602" width="12.69921875" style="1" customWidth="1"/>
    <col min="14603" max="14848" width="10.69921875" style="1"/>
    <col min="14849" max="14849" width="21.5" style="1" customWidth="1"/>
    <col min="14850" max="14850" width="6.796875" style="1" customWidth="1"/>
    <col min="14851" max="14851" width="9.796875" style="1" customWidth="1"/>
    <col min="14852" max="14852" width="28.19921875" style="1" customWidth="1"/>
    <col min="14853" max="14854" width="8.19921875" style="1" customWidth="1"/>
    <col min="14855" max="14858" width="12.69921875" style="1" customWidth="1"/>
    <col min="14859" max="15104" width="10.69921875" style="1"/>
    <col min="15105" max="15105" width="21.5" style="1" customWidth="1"/>
    <col min="15106" max="15106" width="6.796875" style="1" customWidth="1"/>
    <col min="15107" max="15107" width="9.796875" style="1" customWidth="1"/>
    <col min="15108" max="15108" width="28.19921875" style="1" customWidth="1"/>
    <col min="15109" max="15110" width="8.19921875" style="1" customWidth="1"/>
    <col min="15111" max="15114" width="12.69921875" style="1" customWidth="1"/>
    <col min="15115" max="15360" width="10.69921875" style="1"/>
    <col min="15361" max="15361" width="21.5" style="1" customWidth="1"/>
    <col min="15362" max="15362" width="6.796875" style="1" customWidth="1"/>
    <col min="15363" max="15363" width="9.796875" style="1" customWidth="1"/>
    <col min="15364" max="15364" width="28.19921875" style="1" customWidth="1"/>
    <col min="15365" max="15366" width="8.19921875" style="1" customWidth="1"/>
    <col min="15367" max="15370" width="12.69921875" style="1" customWidth="1"/>
    <col min="15371" max="15616" width="10.69921875" style="1"/>
    <col min="15617" max="15617" width="21.5" style="1" customWidth="1"/>
    <col min="15618" max="15618" width="6.796875" style="1" customWidth="1"/>
    <col min="15619" max="15619" width="9.796875" style="1" customWidth="1"/>
    <col min="15620" max="15620" width="28.19921875" style="1" customWidth="1"/>
    <col min="15621" max="15622" width="8.19921875" style="1" customWidth="1"/>
    <col min="15623" max="15626" width="12.69921875" style="1" customWidth="1"/>
    <col min="15627" max="15872" width="10.69921875" style="1"/>
    <col min="15873" max="15873" width="21.5" style="1" customWidth="1"/>
    <col min="15874" max="15874" width="6.796875" style="1" customWidth="1"/>
    <col min="15875" max="15875" width="9.796875" style="1" customWidth="1"/>
    <col min="15876" max="15876" width="28.19921875" style="1" customWidth="1"/>
    <col min="15877" max="15878" width="8.19921875" style="1" customWidth="1"/>
    <col min="15879" max="15882" width="12.69921875" style="1" customWidth="1"/>
    <col min="15883" max="16128" width="10.69921875" style="1"/>
    <col min="16129" max="16129" width="21.5" style="1" customWidth="1"/>
    <col min="16130" max="16130" width="6.796875" style="1" customWidth="1"/>
    <col min="16131" max="16131" width="9.796875" style="1" customWidth="1"/>
    <col min="16132" max="16132" width="28.19921875" style="1" customWidth="1"/>
    <col min="16133" max="16134" width="8.19921875" style="1" customWidth="1"/>
    <col min="16135" max="16138" width="12.69921875" style="1" customWidth="1"/>
    <col min="16139" max="16384" width="10.69921875" style="1"/>
  </cols>
  <sheetData>
    <row r="1" spans="1:10" ht="16.5" customHeight="1" x14ac:dyDescent="0.35">
      <c r="A1" s="70"/>
      <c r="B1" s="70"/>
      <c r="C1" s="70"/>
      <c r="D1" s="70"/>
      <c r="E1" s="70"/>
      <c r="F1" s="70"/>
      <c r="G1" s="71" t="s">
        <v>314</v>
      </c>
      <c r="H1" s="71" t="s">
        <v>315</v>
      </c>
      <c r="I1" s="71" t="s">
        <v>316</v>
      </c>
      <c r="J1" s="71" t="s">
        <v>315</v>
      </c>
    </row>
    <row r="2" spans="1:10" ht="16.5" customHeight="1" x14ac:dyDescent="0.35">
      <c r="A2" s="70"/>
      <c r="B2" s="70"/>
      <c r="C2" s="70"/>
      <c r="D2" s="70"/>
      <c r="E2" s="70"/>
      <c r="F2" s="70"/>
      <c r="G2" s="71" t="s">
        <v>317</v>
      </c>
      <c r="H2" s="71" t="s">
        <v>315</v>
      </c>
      <c r="I2" s="71" t="s">
        <v>318</v>
      </c>
      <c r="J2" s="71" t="s">
        <v>315</v>
      </c>
    </row>
    <row r="3" spans="1:10" ht="33" customHeight="1" x14ac:dyDescent="0.35">
      <c r="A3" s="2" t="s">
        <v>0</v>
      </c>
      <c r="B3" s="2" t="s">
        <v>311</v>
      </c>
      <c r="C3" s="2" t="s">
        <v>1</v>
      </c>
      <c r="D3" s="2" t="s">
        <v>2</v>
      </c>
      <c r="E3" s="2" t="s">
        <v>3</v>
      </c>
      <c r="F3" s="2" t="s">
        <v>4</v>
      </c>
      <c r="G3" s="11" t="s">
        <v>6</v>
      </c>
      <c r="H3" s="11" t="s">
        <v>8</v>
      </c>
      <c r="I3" s="11" t="s">
        <v>6</v>
      </c>
      <c r="J3" s="11" t="s">
        <v>8</v>
      </c>
    </row>
    <row r="4" spans="1:10" ht="16.5" customHeight="1" x14ac:dyDescent="0.35">
      <c r="A4" s="3" t="s">
        <v>14</v>
      </c>
      <c r="B4" s="4">
        <v>101</v>
      </c>
      <c r="C4" s="5">
        <v>32067</v>
      </c>
      <c r="D4" s="3" t="s">
        <v>29</v>
      </c>
      <c r="E4" s="6">
        <v>34.99</v>
      </c>
      <c r="F4" s="7">
        <v>15.91</v>
      </c>
      <c r="G4" s="72">
        <v>0</v>
      </c>
      <c r="H4" s="72">
        <v>0</v>
      </c>
      <c r="I4" s="72">
        <v>121.70434782608696</v>
      </c>
      <c r="J4" s="72">
        <v>4</v>
      </c>
    </row>
    <row r="5" spans="1:10" ht="16.5" customHeight="1" x14ac:dyDescent="0.35">
      <c r="A5" s="3" t="s">
        <v>14</v>
      </c>
      <c r="B5" s="4">
        <v>102</v>
      </c>
      <c r="C5" s="5">
        <v>32127</v>
      </c>
      <c r="D5" s="3" t="s">
        <v>92</v>
      </c>
      <c r="E5" s="6">
        <v>11.99</v>
      </c>
      <c r="F5" s="7">
        <v>6.02</v>
      </c>
      <c r="G5" s="72">
        <v>125.11304347826086</v>
      </c>
      <c r="H5" s="72">
        <v>12</v>
      </c>
      <c r="I5" s="72">
        <v>93.834782608695647</v>
      </c>
      <c r="J5" s="72">
        <v>9</v>
      </c>
    </row>
    <row r="6" spans="1:10" ht="16.5" customHeight="1" x14ac:dyDescent="0.35">
      <c r="A6" s="3" t="s">
        <v>14</v>
      </c>
      <c r="B6" s="4">
        <v>102</v>
      </c>
      <c r="C6" s="5">
        <v>32152</v>
      </c>
      <c r="D6" s="3" t="s">
        <v>100</v>
      </c>
      <c r="E6" s="6">
        <v>12.99</v>
      </c>
      <c r="F6" s="7">
        <v>6.77</v>
      </c>
      <c r="G6" s="72">
        <v>67.77391304347826</v>
      </c>
      <c r="H6" s="72">
        <v>6</v>
      </c>
      <c r="I6" s="72">
        <v>22.591304347826089</v>
      </c>
      <c r="J6" s="72">
        <v>2</v>
      </c>
    </row>
    <row r="7" spans="1:10" ht="16.5" customHeight="1" x14ac:dyDescent="0.35">
      <c r="A7" s="3" t="s">
        <v>14</v>
      </c>
      <c r="B7" s="4">
        <v>102</v>
      </c>
      <c r="C7" s="5">
        <v>32153</v>
      </c>
      <c r="D7" s="3" t="s">
        <v>102</v>
      </c>
      <c r="E7" s="6">
        <v>8.99</v>
      </c>
      <c r="F7" s="7">
        <v>4.5599999999999996</v>
      </c>
      <c r="G7" s="72">
        <v>46.904347826086955</v>
      </c>
      <c r="H7" s="72">
        <v>6</v>
      </c>
      <c r="I7" s="72">
        <v>62.539130434782606</v>
      </c>
      <c r="J7" s="72">
        <v>8</v>
      </c>
    </row>
    <row r="8" spans="1:10" ht="16.5" customHeight="1" x14ac:dyDescent="0.35">
      <c r="A8" s="3" t="s">
        <v>14</v>
      </c>
      <c r="B8" s="4">
        <v>102</v>
      </c>
      <c r="C8" s="5">
        <v>32855</v>
      </c>
      <c r="D8" s="3" t="s">
        <v>110</v>
      </c>
      <c r="E8" s="6">
        <v>17.989999999999998</v>
      </c>
      <c r="F8" s="7">
        <v>9.14</v>
      </c>
      <c r="G8" s="72">
        <v>46.930434782608693</v>
      </c>
      <c r="H8" s="72">
        <v>3</v>
      </c>
      <c r="I8" s="72">
        <v>31.286956521739128</v>
      </c>
      <c r="J8" s="72">
        <v>2</v>
      </c>
    </row>
    <row r="9" spans="1:10" ht="16.5" customHeight="1" x14ac:dyDescent="0.35">
      <c r="A9" s="3" t="s">
        <v>14</v>
      </c>
      <c r="B9" s="4">
        <v>102</v>
      </c>
      <c r="C9" s="5">
        <v>32857</v>
      </c>
      <c r="D9" s="3" t="s">
        <v>127</v>
      </c>
      <c r="E9" s="6">
        <v>130</v>
      </c>
      <c r="F9" s="7">
        <v>68.680000000000007</v>
      </c>
      <c r="G9" s="72">
        <v>113.04347826086956</v>
      </c>
      <c r="H9" s="72">
        <v>1</v>
      </c>
      <c r="I9" s="72">
        <v>0</v>
      </c>
      <c r="J9" s="72">
        <v>0</v>
      </c>
    </row>
    <row r="10" spans="1:10" ht="16.5" customHeight="1" x14ac:dyDescent="0.35">
      <c r="A10" s="3" t="s">
        <v>19</v>
      </c>
      <c r="B10" s="4">
        <v>101</v>
      </c>
      <c r="C10" s="5">
        <v>32858</v>
      </c>
      <c r="D10" s="3" t="s">
        <v>34</v>
      </c>
      <c r="E10" s="6">
        <v>3.8</v>
      </c>
      <c r="F10" s="7">
        <v>1.8574000000000002</v>
      </c>
      <c r="G10" s="72">
        <v>19.826086956521738</v>
      </c>
      <c r="H10" s="72">
        <v>6</v>
      </c>
      <c r="I10" s="72">
        <v>102.43478260869566</v>
      </c>
      <c r="J10" s="72">
        <v>31</v>
      </c>
    </row>
    <row r="11" spans="1:10" ht="16.5" customHeight="1" x14ac:dyDescent="0.35">
      <c r="A11" s="3" t="s">
        <v>35</v>
      </c>
      <c r="B11" s="4">
        <v>101</v>
      </c>
      <c r="C11" s="5">
        <v>32858</v>
      </c>
      <c r="D11" s="3" t="s">
        <v>34</v>
      </c>
      <c r="E11" s="6">
        <v>3.8</v>
      </c>
      <c r="F11" s="7">
        <v>2.0770666666666666</v>
      </c>
      <c r="G11" s="72">
        <v>19.826086956521738</v>
      </c>
      <c r="H11" s="72">
        <v>6</v>
      </c>
      <c r="I11" s="72">
        <v>102.43478260869566</v>
      </c>
      <c r="J11" s="72">
        <v>31</v>
      </c>
    </row>
    <row r="12" spans="1:10" ht="16.5" customHeight="1" x14ac:dyDescent="0.35">
      <c r="A12" s="3" t="s">
        <v>19</v>
      </c>
      <c r="B12" s="4">
        <v>101</v>
      </c>
      <c r="C12" s="5">
        <v>32859</v>
      </c>
      <c r="D12" s="3" t="s">
        <v>20</v>
      </c>
      <c r="E12" s="6">
        <v>20.99</v>
      </c>
      <c r="F12" s="7">
        <v>11.1</v>
      </c>
      <c r="G12" s="72">
        <v>146.01739130434785</v>
      </c>
      <c r="H12" s="72">
        <v>8</v>
      </c>
      <c r="I12" s="72">
        <v>200.77391304347827</v>
      </c>
      <c r="J12" s="72">
        <v>11</v>
      </c>
    </row>
    <row r="13" spans="1:10" ht="16.5" customHeight="1" x14ac:dyDescent="0.35">
      <c r="A13" s="3" t="s">
        <v>14</v>
      </c>
      <c r="B13" s="4">
        <v>101</v>
      </c>
      <c r="C13" s="5">
        <v>32859</v>
      </c>
      <c r="D13" s="3" t="s">
        <v>20</v>
      </c>
      <c r="E13" s="6">
        <v>20.99</v>
      </c>
      <c r="F13" s="7">
        <v>7.46</v>
      </c>
      <c r="G13" s="72">
        <v>146.01739130434785</v>
      </c>
      <c r="H13" s="72">
        <v>8</v>
      </c>
      <c r="I13" s="72">
        <v>200.77391304347827</v>
      </c>
      <c r="J13" s="72">
        <v>11</v>
      </c>
    </row>
    <row r="14" spans="1:10" ht="16.5" customHeight="1" x14ac:dyDescent="0.35">
      <c r="A14" s="3" t="s">
        <v>14</v>
      </c>
      <c r="B14" s="4">
        <v>101</v>
      </c>
      <c r="C14" s="5">
        <v>32860</v>
      </c>
      <c r="D14" s="3" t="s">
        <v>16</v>
      </c>
      <c r="E14" s="6">
        <v>20.99</v>
      </c>
      <c r="F14" s="7">
        <v>11.1</v>
      </c>
      <c r="G14" s="72">
        <v>365.04347826086956</v>
      </c>
      <c r="H14" s="72">
        <v>20</v>
      </c>
      <c r="I14" s="72">
        <v>200.77391304347825</v>
      </c>
      <c r="J14" s="72">
        <v>11</v>
      </c>
    </row>
    <row r="15" spans="1:10" ht="16.5" customHeight="1" x14ac:dyDescent="0.35">
      <c r="A15" s="3" t="s">
        <v>107</v>
      </c>
      <c r="B15" s="4">
        <v>102</v>
      </c>
      <c r="C15" s="5">
        <v>32863</v>
      </c>
      <c r="D15" s="3" t="s">
        <v>109</v>
      </c>
      <c r="E15" s="6">
        <v>17.989999999999998</v>
      </c>
      <c r="F15" s="7">
        <v>9.4</v>
      </c>
      <c r="G15" s="72">
        <v>78.217391304347828</v>
      </c>
      <c r="H15" s="72">
        <v>5</v>
      </c>
      <c r="I15" s="72">
        <v>62.573913043478257</v>
      </c>
      <c r="J15" s="72">
        <v>4</v>
      </c>
    </row>
    <row r="16" spans="1:10" ht="16.5" customHeight="1" x14ac:dyDescent="0.35">
      <c r="A16" s="3" t="s">
        <v>107</v>
      </c>
      <c r="B16" s="4">
        <v>102</v>
      </c>
      <c r="C16" s="5">
        <v>32864</v>
      </c>
      <c r="D16" s="3" t="s">
        <v>108</v>
      </c>
      <c r="E16" s="6">
        <v>9.99</v>
      </c>
      <c r="F16" s="7">
        <v>5</v>
      </c>
      <c r="G16" s="72">
        <v>0</v>
      </c>
      <c r="H16" s="72">
        <v>0</v>
      </c>
      <c r="I16" s="72">
        <v>34.747826086956522</v>
      </c>
      <c r="J16" s="72">
        <v>4</v>
      </c>
    </row>
    <row r="17" spans="1:10" ht="16.5" customHeight="1" x14ac:dyDescent="0.35">
      <c r="A17" s="3" t="s">
        <v>14</v>
      </c>
      <c r="B17" s="4">
        <v>102</v>
      </c>
      <c r="C17" s="5">
        <v>32872</v>
      </c>
      <c r="D17" s="3" t="s">
        <v>98</v>
      </c>
      <c r="E17" s="6">
        <v>29.99</v>
      </c>
      <c r="F17" s="7">
        <v>11.79</v>
      </c>
      <c r="G17" s="72">
        <v>69.547826086956519</v>
      </c>
      <c r="H17" s="72">
        <v>2</v>
      </c>
      <c r="I17" s="72">
        <v>0</v>
      </c>
      <c r="J17" s="72">
        <v>0</v>
      </c>
    </row>
    <row r="18" spans="1:10" ht="16.5" customHeight="1" x14ac:dyDescent="0.35">
      <c r="A18" s="3" t="s">
        <v>14</v>
      </c>
      <c r="B18" s="4">
        <v>102</v>
      </c>
      <c r="C18" s="5">
        <v>33013</v>
      </c>
      <c r="D18" s="3" t="s">
        <v>148</v>
      </c>
      <c r="E18" s="6">
        <v>5.99</v>
      </c>
      <c r="F18" s="7">
        <v>3.1</v>
      </c>
      <c r="G18" s="72">
        <v>0</v>
      </c>
      <c r="H18" s="72">
        <v>0</v>
      </c>
      <c r="I18" s="72">
        <v>15.626086956521739</v>
      </c>
      <c r="J18" s="72">
        <v>3</v>
      </c>
    </row>
    <row r="19" spans="1:10" ht="16.5" customHeight="1" x14ac:dyDescent="0.35">
      <c r="A19" s="3" t="s">
        <v>14</v>
      </c>
      <c r="B19" s="4">
        <v>102</v>
      </c>
      <c r="C19" s="5">
        <v>33019</v>
      </c>
      <c r="D19" s="3" t="s">
        <v>112</v>
      </c>
      <c r="E19" s="6">
        <v>14.99</v>
      </c>
      <c r="F19" s="7">
        <v>5.5</v>
      </c>
      <c r="G19" s="72">
        <v>0</v>
      </c>
      <c r="H19" s="72">
        <v>0</v>
      </c>
      <c r="I19" s="72">
        <v>26.069565217391304</v>
      </c>
      <c r="J19" s="72">
        <v>2</v>
      </c>
    </row>
    <row r="20" spans="1:10" ht="16.5" customHeight="1" x14ac:dyDescent="0.35">
      <c r="A20" s="3" t="s">
        <v>14</v>
      </c>
      <c r="B20" s="4">
        <v>102</v>
      </c>
      <c r="C20" s="5">
        <v>33031</v>
      </c>
      <c r="D20" s="3" t="s">
        <v>97</v>
      </c>
      <c r="E20" s="6">
        <v>17.989999999999998</v>
      </c>
      <c r="F20" s="7">
        <v>9.1199999999999992</v>
      </c>
      <c r="G20" s="72">
        <v>140.7913043478261</v>
      </c>
      <c r="H20" s="72">
        <v>9</v>
      </c>
      <c r="I20" s="72">
        <v>0</v>
      </c>
      <c r="J20" s="72">
        <v>0</v>
      </c>
    </row>
    <row r="21" spans="1:10" ht="16.5" customHeight="1" x14ac:dyDescent="0.35">
      <c r="A21" s="3" t="s">
        <v>14</v>
      </c>
      <c r="B21" s="4">
        <v>102</v>
      </c>
      <c r="C21" s="5">
        <v>33995</v>
      </c>
      <c r="D21" s="3" t="s">
        <v>91</v>
      </c>
      <c r="E21" s="6">
        <v>15.99</v>
      </c>
      <c r="F21" s="7">
        <v>8.2200000000000006</v>
      </c>
      <c r="G21" s="72">
        <v>278.08695652173913</v>
      </c>
      <c r="H21" s="72">
        <v>20</v>
      </c>
      <c r="I21" s="72">
        <v>97.330434782608705</v>
      </c>
      <c r="J21" s="72">
        <v>7</v>
      </c>
    </row>
    <row r="22" spans="1:10" ht="16.5" customHeight="1" x14ac:dyDescent="0.35">
      <c r="A22" s="3" t="s">
        <v>14</v>
      </c>
      <c r="B22" s="4">
        <v>101</v>
      </c>
      <c r="C22" s="5">
        <v>33997</v>
      </c>
      <c r="D22" s="3" t="s">
        <v>39</v>
      </c>
      <c r="E22" s="6">
        <v>14.99</v>
      </c>
      <c r="F22" s="7">
        <v>7.62</v>
      </c>
      <c r="G22" s="72">
        <v>39.104347826086958</v>
      </c>
      <c r="H22" s="72">
        <v>3</v>
      </c>
      <c r="I22" s="72">
        <v>52.139130434782608</v>
      </c>
      <c r="J22" s="72">
        <v>4</v>
      </c>
    </row>
    <row r="23" spans="1:10" ht="16.5" customHeight="1" x14ac:dyDescent="0.35">
      <c r="A23" s="3" t="s">
        <v>14</v>
      </c>
      <c r="B23" s="4">
        <v>101</v>
      </c>
      <c r="C23" s="5">
        <v>34004</v>
      </c>
      <c r="D23" s="3" t="s">
        <v>50</v>
      </c>
      <c r="E23" s="6">
        <v>1</v>
      </c>
      <c r="F23" s="7">
        <v>0.65</v>
      </c>
      <c r="G23" s="72">
        <v>30.434782608695652</v>
      </c>
      <c r="H23" s="72">
        <v>35</v>
      </c>
      <c r="I23" s="72">
        <v>6.9565217391304346</v>
      </c>
      <c r="J23" s="72">
        <v>8</v>
      </c>
    </row>
    <row r="24" spans="1:10" ht="16.5" customHeight="1" x14ac:dyDescent="0.35">
      <c r="A24" s="3" t="s">
        <v>14</v>
      </c>
      <c r="B24" s="4">
        <v>102</v>
      </c>
      <c r="C24" s="5">
        <v>34008</v>
      </c>
      <c r="D24" s="3" t="s">
        <v>104</v>
      </c>
      <c r="E24" s="6">
        <v>5.99</v>
      </c>
      <c r="F24" s="7">
        <v>4.32</v>
      </c>
      <c r="G24" s="72">
        <v>72.921739130434787</v>
      </c>
      <c r="H24" s="72">
        <v>14</v>
      </c>
      <c r="I24" s="72">
        <v>67.713043478260872</v>
      </c>
      <c r="J24" s="72">
        <v>13</v>
      </c>
    </row>
    <row r="25" spans="1:10" ht="16.5" customHeight="1" x14ac:dyDescent="0.35">
      <c r="A25" s="3" t="s">
        <v>14</v>
      </c>
      <c r="B25" s="4">
        <v>118</v>
      </c>
      <c r="C25" s="5">
        <v>34014</v>
      </c>
      <c r="D25" s="3" t="s">
        <v>258</v>
      </c>
      <c r="E25" s="6">
        <v>100</v>
      </c>
      <c r="F25" s="7">
        <v>52.03</v>
      </c>
      <c r="G25" s="72">
        <v>86.956521739130437</v>
      </c>
      <c r="H25" s="72">
        <v>1</v>
      </c>
      <c r="I25" s="72">
        <v>0</v>
      </c>
      <c r="J25" s="72">
        <v>0</v>
      </c>
    </row>
    <row r="26" spans="1:10" ht="16.5" customHeight="1" x14ac:dyDescent="0.35">
      <c r="A26" s="3" t="s">
        <v>19</v>
      </c>
      <c r="B26" s="4">
        <v>102</v>
      </c>
      <c r="C26" s="5">
        <v>34015</v>
      </c>
      <c r="D26" s="3" t="s">
        <v>106</v>
      </c>
      <c r="E26" s="6">
        <v>29.99</v>
      </c>
      <c r="F26" s="7">
        <v>3.1788888888888889</v>
      </c>
      <c r="G26" s="72">
        <v>78.234782608695653</v>
      </c>
      <c r="H26" s="72">
        <v>3</v>
      </c>
      <c r="I26" s="72">
        <v>26.078260869565216</v>
      </c>
      <c r="J26" s="72">
        <v>1</v>
      </c>
    </row>
    <row r="27" spans="1:10" ht="16.5" customHeight="1" x14ac:dyDescent="0.35">
      <c r="A27" s="3" t="s">
        <v>14</v>
      </c>
      <c r="B27" s="4">
        <v>101</v>
      </c>
      <c r="C27" s="5">
        <v>34022</v>
      </c>
      <c r="D27" s="3" t="s">
        <v>54</v>
      </c>
      <c r="E27" s="6">
        <v>5.99</v>
      </c>
      <c r="F27" s="7">
        <v>2.72</v>
      </c>
      <c r="G27" s="72">
        <v>26.043478260869563</v>
      </c>
      <c r="H27" s="72">
        <v>5</v>
      </c>
      <c r="I27" s="72">
        <v>0</v>
      </c>
      <c r="J27" s="72">
        <v>0</v>
      </c>
    </row>
    <row r="28" spans="1:10" ht="16.5" customHeight="1" x14ac:dyDescent="0.35">
      <c r="A28" s="3" t="s">
        <v>14</v>
      </c>
      <c r="B28" s="4">
        <v>101</v>
      </c>
      <c r="C28" s="5">
        <v>34023</v>
      </c>
      <c r="D28" s="3" t="s">
        <v>48</v>
      </c>
      <c r="E28" s="6">
        <v>6.99</v>
      </c>
      <c r="F28" s="7">
        <v>2.85</v>
      </c>
      <c r="G28" s="72">
        <v>30.39130434782609</v>
      </c>
      <c r="H28" s="72">
        <v>5</v>
      </c>
      <c r="I28" s="72">
        <v>24.31304347826087</v>
      </c>
      <c r="J28" s="72">
        <v>4</v>
      </c>
    </row>
    <row r="29" spans="1:10" ht="16.5" customHeight="1" x14ac:dyDescent="0.35">
      <c r="A29" s="3" t="s">
        <v>14</v>
      </c>
      <c r="B29" s="4">
        <v>101</v>
      </c>
      <c r="C29" s="5">
        <v>34024</v>
      </c>
      <c r="D29" s="3" t="s">
        <v>23</v>
      </c>
      <c r="E29" s="6">
        <v>37.99</v>
      </c>
      <c r="F29" s="7">
        <v>16.5</v>
      </c>
      <c r="G29" s="72">
        <v>165.17391304347825</v>
      </c>
      <c r="H29" s="72">
        <v>5</v>
      </c>
      <c r="I29" s="72">
        <v>33.03478260869565</v>
      </c>
      <c r="J29" s="72">
        <v>1</v>
      </c>
    </row>
    <row r="30" spans="1:10" ht="16.5" customHeight="1" x14ac:dyDescent="0.35">
      <c r="A30" s="3" t="s">
        <v>14</v>
      </c>
      <c r="B30" s="4">
        <v>118</v>
      </c>
      <c r="C30" s="5">
        <v>34033</v>
      </c>
      <c r="D30" s="3" t="s">
        <v>256</v>
      </c>
      <c r="E30" s="6">
        <v>120</v>
      </c>
      <c r="F30" s="7">
        <v>64.849999999999994</v>
      </c>
      <c r="G30" s="72">
        <v>104.34782608695652</v>
      </c>
      <c r="H30" s="72">
        <v>1</v>
      </c>
      <c r="I30" s="72">
        <v>104.34782608695652</v>
      </c>
      <c r="J30" s="72">
        <v>1</v>
      </c>
    </row>
    <row r="31" spans="1:10" ht="16.5" customHeight="1" x14ac:dyDescent="0.35">
      <c r="A31" s="3" t="s">
        <v>14</v>
      </c>
      <c r="B31" s="4">
        <v>101</v>
      </c>
      <c r="C31" s="5">
        <v>34041</v>
      </c>
      <c r="D31" s="3" t="s">
        <v>43</v>
      </c>
      <c r="E31" s="6">
        <v>6.99</v>
      </c>
      <c r="F31" s="7">
        <v>3.15</v>
      </c>
      <c r="G31" s="72">
        <v>66.860869565217399</v>
      </c>
      <c r="H31" s="72">
        <v>11</v>
      </c>
      <c r="I31" s="72">
        <v>42.547826086956519</v>
      </c>
      <c r="J31" s="72">
        <v>7</v>
      </c>
    </row>
    <row r="32" spans="1:10" ht="16.5" customHeight="1" x14ac:dyDescent="0.35">
      <c r="A32" s="3" t="s">
        <v>14</v>
      </c>
      <c r="B32" s="4">
        <v>101</v>
      </c>
      <c r="C32" s="5">
        <v>34042</v>
      </c>
      <c r="D32" s="3" t="s">
        <v>31</v>
      </c>
      <c r="E32" s="6">
        <v>9.5</v>
      </c>
      <c r="F32" s="7">
        <v>4.1500000000000004</v>
      </c>
      <c r="G32" s="72">
        <v>49.565217391304344</v>
      </c>
      <c r="H32" s="72">
        <v>6</v>
      </c>
      <c r="I32" s="72">
        <v>90.869565217391312</v>
      </c>
      <c r="J32" s="72">
        <v>11</v>
      </c>
    </row>
    <row r="33" spans="1:10" ht="16.5" customHeight="1" x14ac:dyDescent="0.35">
      <c r="A33" s="3" t="s">
        <v>14</v>
      </c>
      <c r="B33" s="4">
        <v>101</v>
      </c>
      <c r="C33" s="5">
        <v>34046</v>
      </c>
      <c r="D33" s="3" t="s">
        <v>37</v>
      </c>
      <c r="E33" s="6">
        <v>19.989999999999998</v>
      </c>
      <c r="F33" s="7">
        <v>12.2</v>
      </c>
      <c r="G33" s="72">
        <v>86.913043478260875</v>
      </c>
      <c r="H33" s="72">
        <v>5</v>
      </c>
      <c r="I33" s="72">
        <v>69.530434782608694</v>
      </c>
      <c r="J33" s="72">
        <v>4</v>
      </c>
    </row>
    <row r="34" spans="1:10" ht="16.5" customHeight="1" x14ac:dyDescent="0.35">
      <c r="A34" s="3" t="s">
        <v>14</v>
      </c>
      <c r="B34" s="4">
        <v>101</v>
      </c>
      <c r="C34" s="5">
        <v>34053</v>
      </c>
      <c r="D34" s="3" t="s">
        <v>57</v>
      </c>
      <c r="E34" s="6">
        <v>15.99</v>
      </c>
      <c r="F34" s="7">
        <v>6.74</v>
      </c>
      <c r="G34" s="72">
        <v>41.713043478260872</v>
      </c>
      <c r="H34" s="72">
        <v>3</v>
      </c>
      <c r="I34" s="72">
        <v>55.617391304347827</v>
      </c>
      <c r="J34" s="72">
        <v>4</v>
      </c>
    </row>
    <row r="35" spans="1:10" ht="16.5" customHeight="1" x14ac:dyDescent="0.35">
      <c r="A35" s="3" t="s">
        <v>14</v>
      </c>
      <c r="B35" s="4">
        <v>101</v>
      </c>
      <c r="C35" s="5">
        <v>34068</v>
      </c>
      <c r="D35" s="3" t="s">
        <v>74</v>
      </c>
      <c r="E35" s="6">
        <v>1.5</v>
      </c>
      <c r="F35" s="7">
        <v>0.59</v>
      </c>
      <c r="G35" s="72">
        <v>20.869565217391305</v>
      </c>
      <c r="H35" s="72">
        <v>16</v>
      </c>
      <c r="I35" s="72">
        <v>0</v>
      </c>
      <c r="J35" s="72">
        <v>0</v>
      </c>
    </row>
    <row r="36" spans="1:10" ht="16.5" customHeight="1" x14ac:dyDescent="0.35">
      <c r="A36" s="3" t="s">
        <v>14</v>
      </c>
      <c r="B36" s="4">
        <v>101</v>
      </c>
      <c r="C36" s="5">
        <v>34070</v>
      </c>
      <c r="D36" s="3" t="s">
        <v>26</v>
      </c>
      <c r="E36" s="6">
        <v>12.99</v>
      </c>
      <c r="F36" s="7">
        <v>6.81</v>
      </c>
      <c r="G36" s="72">
        <v>169.43478260869566</v>
      </c>
      <c r="H36" s="72">
        <v>15</v>
      </c>
      <c r="I36" s="72">
        <v>101.66086956521738</v>
      </c>
      <c r="J36" s="72">
        <v>9</v>
      </c>
    </row>
    <row r="37" spans="1:10" ht="16.5" customHeight="1" x14ac:dyDescent="0.35">
      <c r="A37" s="3" t="s">
        <v>14</v>
      </c>
      <c r="B37" s="4">
        <v>104</v>
      </c>
      <c r="C37" s="5">
        <v>34080</v>
      </c>
      <c r="D37" s="3" t="s">
        <v>234</v>
      </c>
      <c r="E37" s="6">
        <v>49.99</v>
      </c>
      <c r="F37" s="7">
        <v>28.67</v>
      </c>
      <c r="G37" s="72">
        <v>0</v>
      </c>
      <c r="H37" s="72">
        <v>0</v>
      </c>
      <c r="I37" s="72">
        <v>43.469565217391306</v>
      </c>
      <c r="J37" s="72">
        <v>1</v>
      </c>
    </row>
    <row r="38" spans="1:10" ht="16.5" customHeight="1" x14ac:dyDescent="0.35">
      <c r="A38" s="3" t="s">
        <v>14</v>
      </c>
      <c r="B38" s="4">
        <v>104</v>
      </c>
      <c r="C38" s="5">
        <v>34083</v>
      </c>
      <c r="D38" s="3" t="s">
        <v>233</v>
      </c>
      <c r="E38" s="6">
        <v>49.99</v>
      </c>
      <c r="F38" s="7">
        <v>13.76</v>
      </c>
      <c r="G38" s="72">
        <v>43.469565217391306</v>
      </c>
      <c r="H38" s="72">
        <v>1</v>
      </c>
      <c r="I38" s="72">
        <v>130.40869565217392</v>
      </c>
      <c r="J38" s="72">
        <v>3</v>
      </c>
    </row>
    <row r="39" spans="1:10" ht="16.5" customHeight="1" x14ac:dyDescent="0.35">
      <c r="A39" s="3" t="s">
        <v>14</v>
      </c>
      <c r="B39" s="4">
        <v>101</v>
      </c>
      <c r="C39" s="5">
        <v>34086</v>
      </c>
      <c r="D39" s="3" t="s">
        <v>60</v>
      </c>
      <c r="E39" s="6">
        <v>29.99</v>
      </c>
      <c r="F39" s="7">
        <v>10</v>
      </c>
      <c r="G39" s="72">
        <v>5.2695652173913041</v>
      </c>
      <c r="H39" s="72">
        <v>0.20200000000000001</v>
      </c>
      <c r="I39" s="72">
        <v>0</v>
      </c>
      <c r="J39" s="72">
        <v>0</v>
      </c>
    </row>
    <row r="40" spans="1:10" ht="16.5" customHeight="1" x14ac:dyDescent="0.35">
      <c r="A40" s="3" t="s">
        <v>14</v>
      </c>
      <c r="B40" s="4">
        <v>101</v>
      </c>
      <c r="C40" s="5">
        <v>34088</v>
      </c>
      <c r="D40" s="3" t="s">
        <v>44</v>
      </c>
      <c r="E40" s="6">
        <v>1.5</v>
      </c>
      <c r="F40" s="7">
        <v>0.68</v>
      </c>
      <c r="G40" s="72">
        <v>0</v>
      </c>
      <c r="H40" s="72">
        <v>0</v>
      </c>
      <c r="I40" s="72">
        <v>117.39130434782609</v>
      </c>
      <c r="J40" s="72">
        <v>90</v>
      </c>
    </row>
    <row r="41" spans="1:10" ht="16.5" customHeight="1" x14ac:dyDescent="0.35">
      <c r="A41" s="3" t="s">
        <v>14</v>
      </c>
      <c r="B41" s="4">
        <v>101</v>
      </c>
      <c r="C41" s="5">
        <v>34091</v>
      </c>
      <c r="D41" s="3" t="s">
        <v>28</v>
      </c>
      <c r="E41" s="6">
        <v>17.989999999999998</v>
      </c>
      <c r="F41" s="7">
        <v>12.24</v>
      </c>
      <c r="G41" s="72">
        <v>86.913043478260875</v>
      </c>
      <c r="H41" s="72">
        <v>5</v>
      </c>
      <c r="I41" s="72">
        <v>86.913043478260875</v>
      </c>
      <c r="J41" s="72">
        <v>5</v>
      </c>
    </row>
    <row r="42" spans="1:10" ht="16.5" customHeight="1" x14ac:dyDescent="0.35">
      <c r="A42" s="3" t="s">
        <v>14</v>
      </c>
      <c r="B42" s="4">
        <v>101</v>
      </c>
      <c r="C42" s="5">
        <v>34092</v>
      </c>
      <c r="D42" s="3" t="s">
        <v>47</v>
      </c>
      <c r="E42" s="6">
        <v>4.99</v>
      </c>
      <c r="F42" s="7">
        <v>2.52</v>
      </c>
      <c r="G42" s="72">
        <v>30.373913043478261</v>
      </c>
      <c r="H42" s="72">
        <v>7</v>
      </c>
      <c r="I42" s="72">
        <v>8.6782608695652179</v>
      </c>
      <c r="J42" s="72">
        <v>2</v>
      </c>
    </row>
    <row r="43" spans="1:10" ht="16.5" customHeight="1" x14ac:dyDescent="0.35">
      <c r="A43" s="3" t="s">
        <v>14</v>
      </c>
      <c r="B43" s="4">
        <v>102</v>
      </c>
      <c r="C43" s="5">
        <v>34102</v>
      </c>
      <c r="D43" s="3" t="s">
        <v>129</v>
      </c>
      <c r="E43" s="6">
        <v>9.99</v>
      </c>
      <c r="F43" s="7">
        <v>4.99</v>
      </c>
      <c r="G43" s="72">
        <v>0</v>
      </c>
      <c r="H43" s="72">
        <v>0</v>
      </c>
      <c r="I43" s="72">
        <v>43.434782608695656</v>
      </c>
      <c r="J43" s="72">
        <v>5</v>
      </c>
    </row>
    <row r="44" spans="1:10" ht="16.5" customHeight="1" x14ac:dyDescent="0.35">
      <c r="A44" s="3" t="s">
        <v>14</v>
      </c>
      <c r="B44" s="4">
        <v>119</v>
      </c>
      <c r="C44" s="5">
        <v>34105</v>
      </c>
      <c r="D44" s="3" t="s">
        <v>265</v>
      </c>
      <c r="E44" s="6">
        <v>79.989999999999995</v>
      </c>
      <c r="F44" s="7">
        <v>54.64</v>
      </c>
      <c r="G44" s="72">
        <v>69.556521739130432</v>
      </c>
      <c r="H44" s="72">
        <v>1</v>
      </c>
      <c r="I44" s="72">
        <v>0</v>
      </c>
      <c r="J44" s="72">
        <v>0</v>
      </c>
    </row>
    <row r="45" spans="1:10" ht="16.5" customHeight="1" x14ac:dyDescent="0.35">
      <c r="A45" s="3" t="s">
        <v>14</v>
      </c>
      <c r="B45" s="4">
        <v>104</v>
      </c>
      <c r="C45" s="5">
        <v>34118</v>
      </c>
      <c r="D45" s="3" t="s">
        <v>231</v>
      </c>
      <c r="E45" s="6">
        <v>29.99</v>
      </c>
      <c r="F45" s="7">
        <v>7.38</v>
      </c>
      <c r="G45" s="72">
        <v>0</v>
      </c>
      <c r="H45" s="72">
        <v>0</v>
      </c>
      <c r="I45" s="72">
        <v>130.39130434782606</v>
      </c>
      <c r="J45" s="72">
        <v>5</v>
      </c>
    </row>
    <row r="46" spans="1:10" ht="16.5" customHeight="1" x14ac:dyDescent="0.35">
      <c r="A46" s="3" t="s">
        <v>14</v>
      </c>
      <c r="B46" s="4">
        <v>101</v>
      </c>
      <c r="C46" s="5">
        <v>34119</v>
      </c>
      <c r="D46" s="3" t="s">
        <v>36</v>
      </c>
      <c r="E46" s="6">
        <v>3.3</v>
      </c>
      <c r="F46" s="7">
        <v>1.85</v>
      </c>
      <c r="G46" s="72">
        <v>229.56521739130434</v>
      </c>
      <c r="H46" s="72">
        <v>80</v>
      </c>
      <c r="I46" s="72">
        <v>0</v>
      </c>
      <c r="J46" s="72">
        <v>0</v>
      </c>
    </row>
    <row r="47" spans="1:10" ht="16.5" customHeight="1" x14ac:dyDescent="0.35">
      <c r="A47" s="3" t="s">
        <v>19</v>
      </c>
      <c r="B47" s="4">
        <v>101</v>
      </c>
      <c r="C47" s="5">
        <v>34687</v>
      </c>
      <c r="D47" s="3" t="s">
        <v>40</v>
      </c>
      <c r="E47" s="6">
        <v>3.8</v>
      </c>
      <c r="F47" s="7">
        <v>1.9687999999999999</v>
      </c>
      <c r="G47" s="72">
        <v>19.826086956521738</v>
      </c>
      <c r="H47" s="72">
        <v>6</v>
      </c>
      <c r="I47" s="72">
        <v>3.3043478260869565</v>
      </c>
      <c r="J47" s="72">
        <v>1</v>
      </c>
    </row>
    <row r="48" spans="1:10" ht="16.5" customHeight="1" x14ac:dyDescent="0.35">
      <c r="A48" s="3" t="s">
        <v>35</v>
      </c>
      <c r="B48" s="4">
        <v>101</v>
      </c>
      <c r="C48" s="5">
        <v>34687</v>
      </c>
      <c r="D48" s="3" t="s">
        <v>40</v>
      </c>
      <c r="E48" s="6">
        <v>3.8</v>
      </c>
      <c r="F48" s="7">
        <v>2.0770666666666666</v>
      </c>
      <c r="G48" s="72">
        <v>19.826086956521738</v>
      </c>
      <c r="H48" s="72">
        <v>6</v>
      </c>
      <c r="I48" s="72">
        <v>3.3043478260869565</v>
      </c>
      <c r="J48" s="72">
        <v>1</v>
      </c>
    </row>
    <row r="49" spans="1:10" ht="16.5" customHeight="1" x14ac:dyDescent="0.35">
      <c r="A49" s="3" t="s">
        <v>14</v>
      </c>
      <c r="B49" s="4">
        <v>101</v>
      </c>
      <c r="C49" s="5">
        <v>34690</v>
      </c>
      <c r="D49" s="3" t="s">
        <v>18</v>
      </c>
      <c r="E49" s="6">
        <v>16.989999999999998</v>
      </c>
      <c r="F49" s="7">
        <v>7.7</v>
      </c>
      <c r="G49" s="72">
        <v>457.99130434782614</v>
      </c>
      <c r="H49" s="72">
        <v>31</v>
      </c>
      <c r="I49" s="72">
        <v>398.89565217391305</v>
      </c>
      <c r="J49" s="72">
        <v>27</v>
      </c>
    </row>
    <row r="50" spans="1:10" ht="16.5" customHeight="1" x14ac:dyDescent="0.35">
      <c r="A50" s="3" t="s">
        <v>14</v>
      </c>
      <c r="B50" s="4">
        <v>102</v>
      </c>
      <c r="C50" s="5">
        <v>38977</v>
      </c>
      <c r="D50" s="3" t="s">
        <v>95</v>
      </c>
      <c r="E50" s="6">
        <v>18.989999999999998</v>
      </c>
      <c r="F50" s="7">
        <v>9.6999999999999993</v>
      </c>
      <c r="G50" s="72">
        <v>132.10434782608695</v>
      </c>
      <c r="H50" s="72">
        <v>8</v>
      </c>
      <c r="I50" s="72">
        <v>132.10434782608695</v>
      </c>
      <c r="J50" s="72">
        <v>8</v>
      </c>
    </row>
    <row r="51" spans="1:10" ht="16.5" customHeight="1" x14ac:dyDescent="0.35">
      <c r="A51" s="3" t="s">
        <v>14</v>
      </c>
      <c r="B51" s="4">
        <v>102</v>
      </c>
      <c r="C51" s="5">
        <v>39422</v>
      </c>
      <c r="D51" s="3" t="s">
        <v>120</v>
      </c>
      <c r="E51" s="6">
        <v>15.99</v>
      </c>
      <c r="F51" s="7">
        <v>8.3000000000000007</v>
      </c>
      <c r="G51" s="72">
        <v>13.904347826086957</v>
      </c>
      <c r="H51" s="72">
        <v>1</v>
      </c>
      <c r="I51" s="72">
        <v>13.904347826086957</v>
      </c>
      <c r="J51" s="72">
        <v>1</v>
      </c>
    </row>
    <row r="52" spans="1:10" ht="16.5" customHeight="1" x14ac:dyDescent="0.35">
      <c r="A52" s="3" t="s">
        <v>14</v>
      </c>
      <c r="B52" s="4">
        <v>118</v>
      </c>
      <c r="C52" s="5">
        <v>40305</v>
      </c>
      <c r="D52" s="3" t="s">
        <v>257</v>
      </c>
      <c r="E52" s="6">
        <v>9.99</v>
      </c>
      <c r="F52" s="7">
        <v>4.53</v>
      </c>
      <c r="G52" s="72">
        <v>17.373913043478261</v>
      </c>
      <c r="H52" s="72">
        <v>2</v>
      </c>
      <c r="I52" s="72">
        <v>86.869565217391312</v>
      </c>
      <c r="J52" s="72">
        <v>10</v>
      </c>
    </row>
    <row r="53" spans="1:10" ht="16.5" customHeight="1" x14ac:dyDescent="0.35">
      <c r="A53" s="3" t="s">
        <v>14</v>
      </c>
      <c r="B53" s="4">
        <v>101</v>
      </c>
      <c r="C53" s="5">
        <v>42401</v>
      </c>
      <c r="D53" s="3" t="s">
        <v>38</v>
      </c>
      <c r="E53" s="6">
        <v>14.99</v>
      </c>
      <c r="F53" s="7">
        <v>6.62</v>
      </c>
      <c r="G53" s="72">
        <v>0</v>
      </c>
      <c r="H53" s="72">
        <v>0</v>
      </c>
      <c r="I53" s="72">
        <v>130.34782608695653</v>
      </c>
      <c r="J53" s="72">
        <v>10</v>
      </c>
    </row>
    <row r="54" spans="1:10" ht="16.5" customHeight="1" x14ac:dyDescent="0.35">
      <c r="A54" s="3" t="s">
        <v>19</v>
      </c>
      <c r="B54" s="4">
        <v>102</v>
      </c>
      <c r="C54" s="5">
        <v>42797</v>
      </c>
      <c r="D54" s="3" t="s">
        <v>99</v>
      </c>
      <c r="E54" s="6">
        <v>11.99</v>
      </c>
      <c r="F54" s="7">
        <v>4.84</v>
      </c>
      <c r="G54" s="72">
        <v>125.11304347826086</v>
      </c>
      <c r="H54" s="72">
        <v>12</v>
      </c>
      <c r="I54" s="72">
        <v>72.982608695652175</v>
      </c>
      <c r="J54" s="72">
        <v>7</v>
      </c>
    </row>
    <row r="55" spans="1:10" ht="16.5" customHeight="1" x14ac:dyDescent="0.35">
      <c r="A55" s="3" t="s">
        <v>14</v>
      </c>
      <c r="B55" s="4">
        <v>102</v>
      </c>
      <c r="C55" s="5">
        <v>42797</v>
      </c>
      <c r="D55" s="3" t="s">
        <v>99</v>
      </c>
      <c r="E55" s="6">
        <v>11.99</v>
      </c>
      <c r="F55" s="7">
        <v>5.12</v>
      </c>
      <c r="G55" s="72">
        <v>125.11304347826086</v>
      </c>
      <c r="H55" s="72">
        <v>12</v>
      </c>
      <c r="I55" s="72">
        <v>72.982608695652175</v>
      </c>
      <c r="J55" s="72">
        <v>7</v>
      </c>
    </row>
    <row r="56" spans="1:10" ht="16.5" customHeight="1" x14ac:dyDescent="0.35">
      <c r="A56" s="3" t="s">
        <v>14</v>
      </c>
      <c r="B56" s="4">
        <v>102</v>
      </c>
      <c r="C56" s="5">
        <v>42990</v>
      </c>
      <c r="D56" s="3" t="s">
        <v>93</v>
      </c>
      <c r="E56" s="6">
        <v>19.989999999999998</v>
      </c>
      <c r="F56" s="7">
        <v>10.85</v>
      </c>
      <c r="G56" s="72">
        <v>121.67826086956522</v>
      </c>
      <c r="H56" s="72">
        <v>7</v>
      </c>
      <c r="I56" s="72">
        <v>173.82608695652175</v>
      </c>
      <c r="J56" s="72">
        <v>10</v>
      </c>
    </row>
    <row r="57" spans="1:10" ht="16.5" customHeight="1" x14ac:dyDescent="0.35">
      <c r="A57" s="3" t="s">
        <v>14</v>
      </c>
      <c r="B57" s="4">
        <v>104</v>
      </c>
      <c r="C57" s="5">
        <v>43309</v>
      </c>
      <c r="D57" s="3" t="s">
        <v>238</v>
      </c>
      <c r="E57" s="6">
        <v>13.99</v>
      </c>
      <c r="F57" s="7">
        <v>6.67</v>
      </c>
      <c r="G57" s="72">
        <v>48.660869565217389</v>
      </c>
      <c r="H57" s="72">
        <v>4</v>
      </c>
      <c r="I57" s="72">
        <v>12.165217391304347</v>
      </c>
      <c r="J57" s="72">
        <v>1</v>
      </c>
    </row>
    <row r="58" spans="1:10" ht="16.5" customHeight="1" x14ac:dyDescent="0.35">
      <c r="A58" s="3" t="s">
        <v>19</v>
      </c>
      <c r="B58" s="4">
        <v>102</v>
      </c>
      <c r="C58" s="5">
        <v>48620</v>
      </c>
      <c r="D58" s="3" t="s">
        <v>153</v>
      </c>
      <c r="E58" s="6">
        <v>37.99</v>
      </c>
      <c r="F58" s="7">
        <v>16.841833333333334</v>
      </c>
      <c r="G58" s="72">
        <v>0</v>
      </c>
      <c r="H58" s="72">
        <v>0</v>
      </c>
      <c r="I58" s="72">
        <v>33.03478260869565</v>
      </c>
      <c r="J58" s="72">
        <v>1</v>
      </c>
    </row>
    <row r="59" spans="1:10" ht="16.5" customHeight="1" x14ac:dyDescent="0.35">
      <c r="A59" s="3" t="s">
        <v>35</v>
      </c>
      <c r="B59" s="4">
        <v>102</v>
      </c>
      <c r="C59" s="5">
        <v>48620</v>
      </c>
      <c r="D59" s="3" t="s">
        <v>153</v>
      </c>
      <c r="E59" s="6">
        <v>37.99</v>
      </c>
      <c r="F59" s="7">
        <v>19.462499999999999</v>
      </c>
      <c r="G59" s="72">
        <v>0</v>
      </c>
      <c r="H59" s="72">
        <v>0</v>
      </c>
      <c r="I59" s="72">
        <v>33.03478260869565</v>
      </c>
      <c r="J59" s="72">
        <v>1</v>
      </c>
    </row>
    <row r="60" spans="1:10" ht="16.5" customHeight="1" x14ac:dyDescent="0.35">
      <c r="A60" s="3" t="s">
        <v>19</v>
      </c>
      <c r="B60" s="4">
        <v>101</v>
      </c>
      <c r="C60" s="5">
        <v>50037</v>
      </c>
      <c r="D60" s="3" t="s">
        <v>22</v>
      </c>
      <c r="E60" s="6">
        <v>25.99</v>
      </c>
      <c r="F60" s="7">
        <v>13.4</v>
      </c>
      <c r="G60" s="72">
        <v>158.20000000000002</v>
      </c>
      <c r="H60" s="72">
        <v>7</v>
      </c>
      <c r="I60" s="72">
        <v>158.20000000000002</v>
      </c>
      <c r="J60" s="72">
        <v>7</v>
      </c>
    </row>
    <row r="61" spans="1:10" ht="16.5" customHeight="1" x14ac:dyDescent="0.35">
      <c r="A61" s="3" t="s">
        <v>19</v>
      </c>
      <c r="B61" s="4">
        <v>101</v>
      </c>
      <c r="C61" s="5">
        <v>51680</v>
      </c>
      <c r="D61" s="3" t="s">
        <v>33</v>
      </c>
      <c r="E61" s="6">
        <v>21.99</v>
      </c>
      <c r="F61" s="7">
        <v>12.14</v>
      </c>
      <c r="G61" s="72">
        <v>57.365217391304348</v>
      </c>
      <c r="H61" s="72">
        <v>3</v>
      </c>
      <c r="I61" s="72">
        <v>19.121739130434783</v>
      </c>
      <c r="J61" s="72">
        <v>1</v>
      </c>
    </row>
    <row r="62" spans="1:10" ht="16.5" customHeight="1" x14ac:dyDescent="0.35">
      <c r="A62" s="3" t="s">
        <v>14</v>
      </c>
      <c r="B62" s="4">
        <v>102</v>
      </c>
      <c r="C62" s="5">
        <v>52943</v>
      </c>
      <c r="D62" s="3" t="s">
        <v>90</v>
      </c>
      <c r="E62" s="6">
        <v>31.99</v>
      </c>
      <c r="F62" s="7">
        <v>15.17</v>
      </c>
      <c r="G62" s="72">
        <v>194.04347826086956</v>
      </c>
      <c r="H62" s="72">
        <v>6.976</v>
      </c>
      <c r="I62" s="72">
        <v>133.09565217391304</v>
      </c>
      <c r="J62" s="72">
        <v>4.7850000000000001</v>
      </c>
    </row>
    <row r="63" spans="1:10" ht="16.5" customHeight="1" x14ac:dyDescent="0.35">
      <c r="A63" s="3" t="s">
        <v>14</v>
      </c>
      <c r="B63" s="4">
        <v>106</v>
      </c>
      <c r="C63" s="5">
        <v>54018</v>
      </c>
      <c r="D63" s="3" t="s">
        <v>243</v>
      </c>
      <c r="E63" s="6">
        <v>18.989999999999998</v>
      </c>
      <c r="F63" s="7">
        <v>9.83</v>
      </c>
      <c r="G63" s="72">
        <v>132.10434782608695</v>
      </c>
      <c r="H63" s="72">
        <v>8</v>
      </c>
      <c r="I63" s="72">
        <v>49.539130434782606</v>
      </c>
      <c r="J63" s="72">
        <v>3</v>
      </c>
    </row>
    <row r="64" spans="1:10" ht="16.5" customHeight="1" x14ac:dyDescent="0.35">
      <c r="A64" s="3" t="s">
        <v>107</v>
      </c>
      <c r="B64" s="4">
        <v>102</v>
      </c>
      <c r="C64" s="5">
        <v>55095</v>
      </c>
      <c r="D64" s="3" t="s">
        <v>116</v>
      </c>
      <c r="E64" s="6">
        <v>5</v>
      </c>
      <c r="F64" s="7">
        <v>1.38</v>
      </c>
      <c r="G64" s="72">
        <v>0</v>
      </c>
      <c r="H64" s="72">
        <v>0</v>
      </c>
      <c r="I64" s="72">
        <v>30.434782608695652</v>
      </c>
      <c r="J64" s="72">
        <v>7</v>
      </c>
    </row>
    <row r="65" spans="1:10" ht="16.5" customHeight="1" x14ac:dyDescent="0.35">
      <c r="A65" s="3" t="s">
        <v>14</v>
      </c>
      <c r="B65" s="4">
        <v>102</v>
      </c>
      <c r="C65" s="5">
        <v>55481</v>
      </c>
      <c r="D65" s="3" t="s">
        <v>105</v>
      </c>
      <c r="E65" s="6">
        <v>11.99</v>
      </c>
      <c r="F65" s="7">
        <v>5.0999999999999996</v>
      </c>
      <c r="G65" s="72">
        <v>83.408695652173918</v>
      </c>
      <c r="H65" s="72">
        <v>8</v>
      </c>
      <c r="I65" s="72">
        <v>52.130434782608695</v>
      </c>
      <c r="J65" s="72">
        <v>5</v>
      </c>
    </row>
    <row r="66" spans="1:10" ht="16.5" customHeight="1" x14ac:dyDescent="0.35">
      <c r="A66" s="3" t="s">
        <v>14</v>
      </c>
      <c r="B66" s="4">
        <v>101</v>
      </c>
      <c r="C66" s="5">
        <v>57073</v>
      </c>
      <c r="D66" s="3" t="s">
        <v>21</v>
      </c>
      <c r="E66" s="6">
        <v>36.99</v>
      </c>
      <c r="F66" s="7">
        <v>16.05</v>
      </c>
      <c r="G66" s="72">
        <v>225.15652173913043</v>
      </c>
      <c r="H66" s="72">
        <v>7</v>
      </c>
      <c r="I66" s="72">
        <v>32.165217391304353</v>
      </c>
      <c r="J66" s="72">
        <v>1</v>
      </c>
    </row>
    <row r="67" spans="1:10" ht="16.5" customHeight="1" x14ac:dyDescent="0.35">
      <c r="A67" s="3" t="s">
        <v>107</v>
      </c>
      <c r="B67" s="4">
        <v>102</v>
      </c>
      <c r="C67" s="5">
        <v>58147</v>
      </c>
      <c r="D67" s="3" t="s">
        <v>146</v>
      </c>
      <c r="E67" s="6">
        <v>16.989999999999998</v>
      </c>
      <c r="F67" s="7">
        <v>7.99</v>
      </c>
      <c r="G67" s="72">
        <v>14.77391304347826</v>
      </c>
      <c r="H67" s="72">
        <v>1</v>
      </c>
      <c r="I67" s="72">
        <v>0</v>
      </c>
      <c r="J67" s="72">
        <v>0</v>
      </c>
    </row>
    <row r="68" spans="1:10" ht="16.5" customHeight="1" x14ac:dyDescent="0.35">
      <c r="A68" s="3" t="s">
        <v>14</v>
      </c>
      <c r="B68" s="4">
        <v>101</v>
      </c>
      <c r="C68" s="5">
        <v>58512</v>
      </c>
      <c r="D68" s="3" t="s">
        <v>30</v>
      </c>
      <c r="E68" s="6">
        <v>26.99</v>
      </c>
      <c r="F68" s="7">
        <v>10.66</v>
      </c>
      <c r="G68" s="72">
        <v>70.408695652173918</v>
      </c>
      <c r="H68" s="72">
        <v>3</v>
      </c>
      <c r="I68" s="72">
        <v>70.408695652173918</v>
      </c>
      <c r="J68" s="72">
        <v>3</v>
      </c>
    </row>
    <row r="69" spans="1:10" ht="16.5" customHeight="1" x14ac:dyDescent="0.35">
      <c r="A69" s="3" t="s">
        <v>14</v>
      </c>
      <c r="B69" s="4">
        <v>101</v>
      </c>
      <c r="C69" s="5">
        <v>58767</v>
      </c>
      <c r="D69" s="3" t="s">
        <v>27</v>
      </c>
      <c r="E69" s="6">
        <v>19.989999999999998</v>
      </c>
      <c r="F69" s="7">
        <v>7.04</v>
      </c>
      <c r="G69" s="72">
        <v>121.67826086956522</v>
      </c>
      <c r="H69" s="72">
        <v>7</v>
      </c>
      <c r="I69" s="72">
        <v>52.14782608695652</v>
      </c>
      <c r="J69" s="72">
        <v>3</v>
      </c>
    </row>
    <row r="70" spans="1:10" ht="16.5" customHeight="1" x14ac:dyDescent="0.35">
      <c r="A70" s="3" t="s">
        <v>14</v>
      </c>
      <c r="B70" s="4">
        <v>101</v>
      </c>
      <c r="C70" s="5">
        <v>59381</v>
      </c>
      <c r="D70" s="3" t="s">
        <v>15</v>
      </c>
      <c r="E70" s="6">
        <v>13.99</v>
      </c>
      <c r="F70" s="7">
        <v>7.36</v>
      </c>
      <c r="G70" s="72">
        <v>1216.5217391304348</v>
      </c>
      <c r="H70" s="72">
        <v>100</v>
      </c>
      <c r="I70" s="72">
        <v>1094.8695652173913</v>
      </c>
      <c r="J70" s="72">
        <v>90</v>
      </c>
    </row>
    <row r="71" spans="1:10" ht="16.5" customHeight="1" x14ac:dyDescent="0.35">
      <c r="A71" s="3" t="s">
        <v>14</v>
      </c>
      <c r="B71" s="4">
        <v>101</v>
      </c>
      <c r="C71" s="5">
        <v>59425</v>
      </c>
      <c r="D71" s="3" t="s">
        <v>17</v>
      </c>
      <c r="E71" s="6">
        <v>10.99</v>
      </c>
      <c r="F71" s="7">
        <v>6.3</v>
      </c>
      <c r="G71" s="72">
        <v>659.4</v>
      </c>
      <c r="H71" s="72">
        <v>60</v>
      </c>
      <c r="I71" s="72">
        <v>0</v>
      </c>
      <c r="J71" s="72">
        <v>0</v>
      </c>
    </row>
    <row r="72" spans="1:10" ht="16.5" customHeight="1" x14ac:dyDescent="0.35">
      <c r="A72" s="3" t="s">
        <v>14</v>
      </c>
      <c r="B72" s="4">
        <v>102</v>
      </c>
      <c r="C72" s="5">
        <v>59477</v>
      </c>
      <c r="D72" s="3" t="s">
        <v>159</v>
      </c>
      <c r="E72" s="6">
        <v>5.99</v>
      </c>
      <c r="F72" s="7">
        <v>3.1</v>
      </c>
      <c r="G72" s="72">
        <v>0</v>
      </c>
      <c r="H72" s="72">
        <v>0</v>
      </c>
      <c r="I72" s="72">
        <v>10.417391304347827</v>
      </c>
      <c r="J72" s="72">
        <v>2</v>
      </c>
    </row>
    <row r="73" spans="1:10" ht="16.5" customHeight="1" x14ac:dyDescent="0.35">
      <c r="A73" s="3" t="s">
        <v>14</v>
      </c>
      <c r="B73" s="4">
        <v>102</v>
      </c>
      <c r="C73" s="5">
        <v>61937</v>
      </c>
      <c r="D73" s="3" t="s">
        <v>122</v>
      </c>
      <c r="E73" s="6">
        <v>10</v>
      </c>
      <c r="F73" s="7">
        <v>2.67</v>
      </c>
      <c r="G73" s="72">
        <v>104.34782608695652</v>
      </c>
      <c r="H73" s="72">
        <v>12</v>
      </c>
      <c r="I73" s="72">
        <v>0</v>
      </c>
      <c r="J73" s="72">
        <v>0</v>
      </c>
    </row>
    <row r="74" spans="1:10" ht="16.5" customHeight="1" x14ac:dyDescent="0.35">
      <c r="A74" s="3" t="s">
        <v>14</v>
      </c>
      <c r="B74" s="4">
        <v>102</v>
      </c>
      <c r="C74" s="5">
        <v>61938</v>
      </c>
      <c r="D74" s="3" t="s">
        <v>124</v>
      </c>
      <c r="E74" s="6">
        <v>10</v>
      </c>
      <c r="F74" s="7">
        <v>3.43</v>
      </c>
      <c r="G74" s="72">
        <v>26.086956521739129</v>
      </c>
      <c r="H74" s="72">
        <v>3</v>
      </c>
      <c r="I74" s="72">
        <v>0</v>
      </c>
      <c r="J74" s="72">
        <v>0</v>
      </c>
    </row>
    <row r="75" spans="1:10" ht="16.5" customHeight="1" x14ac:dyDescent="0.35">
      <c r="A75" s="3" t="s">
        <v>14</v>
      </c>
      <c r="B75" s="4">
        <v>102</v>
      </c>
      <c r="C75" s="5">
        <v>61939</v>
      </c>
      <c r="D75" s="3" t="s">
        <v>101</v>
      </c>
      <c r="E75" s="6">
        <v>10</v>
      </c>
      <c r="F75" s="7">
        <v>5.09</v>
      </c>
      <c r="G75" s="72">
        <v>0</v>
      </c>
      <c r="H75" s="72">
        <v>0</v>
      </c>
      <c r="I75" s="72">
        <v>147.82608695652175</v>
      </c>
      <c r="J75" s="72">
        <v>17</v>
      </c>
    </row>
    <row r="76" spans="1:10" ht="16.5" customHeight="1" x14ac:dyDescent="0.35">
      <c r="A76" s="3" t="s">
        <v>14</v>
      </c>
      <c r="B76" s="4">
        <v>101</v>
      </c>
      <c r="C76" s="5">
        <v>61947</v>
      </c>
      <c r="D76" s="3" t="s">
        <v>42</v>
      </c>
      <c r="E76" s="6">
        <v>28.99</v>
      </c>
      <c r="F76" s="7">
        <v>8.93</v>
      </c>
      <c r="G76" s="72">
        <v>25.208695652173912</v>
      </c>
      <c r="H76" s="72">
        <v>1</v>
      </c>
      <c r="I76" s="72">
        <v>25.208695652173912</v>
      </c>
      <c r="J76" s="72">
        <v>1</v>
      </c>
    </row>
    <row r="77" spans="1:10" ht="16.5" customHeight="1" x14ac:dyDescent="0.35">
      <c r="A77" s="3" t="s">
        <v>14</v>
      </c>
      <c r="B77" s="4">
        <v>120</v>
      </c>
      <c r="C77" s="5">
        <v>62585</v>
      </c>
      <c r="D77" s="3" t="s">
        <v>281</v>
      </c>
      <c r="E77" s="6">
        <v>55</v>
      </c>
      <c r="F77" s="7">
        <v>33.18</v>
      </c>
      <c r="G77" s="72">
        <v>0</v>
      </c>
      <c r="H77" s="72">
        <v>0</v>
      </c>
      <c r="I77" s="72">
        <v>6217.391304347826</v>
      </c>
      <c r="J77" s="72">
        <v>130</v>
      </c>
    </row>
    <row r="78" spans="1:10" ht="16.5" customHeight="1" x14ac:dyDescent="0.35">
      <c r="A78" s="3" t="s">
        <v>14</v>
      </c>
      <c r="B78" s="4">
        <v>101</v>
      </c>
      <c r="C78" s="5">
        <v>62622</v>
      </c>
      <c r="D78" s="3" t="s">
        <v>70</v>
      </c>
      <c r="E78" s="6">
        <v>26.99</v>
      </c>
      <c r="F78" s="7">
        <v>14.15</v>
      </c>
      <c r="G78" s="72">
        <v>70.408695652173918</v>
      </c>
      <c r="H78" s="72">
        <v>3</v>
      </c>
      <c r="I78" s="72">
        <v>0</v>
      </c>
      <c r="J78" s="72">
        <v>0</v>
      </c>
    </row>
    <row r="79" spans="1:10" ht="16.5" customHeight="1" x14ac:dyDescent="0.35">
      <c r="A79" s="3" t="s">
        <v>14</v>
      </c>
      <c r="B79" s="4">
        <v>120</v>
      </c>
      <c r="C79" s="5">
        <v>62629</v>
      </c>
      <c r="D79" s="3" t="s">
        <v>282</v>
      </c>
      <c r="E79" s="6">
        <v>60</v>
      </c>
      <c r="F79" s="7">
        <v>33.18</v>
      </c>
      <c r="G79" s="72">
        <v>0</v>
      </c>
      <c r="H79" s="72">
        <v>0</v>
      </c>
      <c r="I79" s="72">
        <v>1043.4782608695652</v>
      </c>
      <c r="J79" s="72">
        <v>20</v>
      </c>
    </row>
    <row r="80" spans="1:10" ht="16.5" customHeight="1" x14ac:dyDescent="0.35">
      <c r="A80" s="73"/>
      <c r="B80" s="73"/>
      <c r="C80" s="73"/>
      <c r="D80" s="73" t="s">
        <v>290</v>
      </c>
      <c r="E80" s="73"/>
      <c r="F80" s="73"/>
      <c r="G80" s="74">
        <v>7127.1739130434808</v>
      </c>
      <c r="H80" s="74">
        <v>621.178</v>
      </c>
      <c r="I80" s="74">
        <v>12501.652173913046</v>
      </c>
      <c r="J80" s="74">
        <v>646.78499999999997</v>
      </c>
    </row>
    <row r="81" spans="1:10" ht="12.75" hidden="1" customHeight="1" x14ac:dyDescent="0.35">
      <c r="A81" s="1" t="s">
        <v>14</v>
      </c>
      <c r="B81">
        <v>101</v>
      </c>
      <c r="C81">
        <v>32067</v>
      </c>
      <c r="D81" s="1" t="s">
        <v>29</v>
      </c>
      <c r="E81">
        <v>34.99</v>
      </c>
      <c r="F81">
        <v>15.91</v>
      </c>
      <c r="G81" s="13">
        <v>0</v>
      </c>
      <c r="H81" s="14" t="s">
        <v>319</v>
      </c>
      <c r="I81" s="13">
        <v>121.70434782608696</v>
      </c>
      <c r="J81" s="14" t="s">
        <v>320</v>
      </c>
    </row>
  </sheetData>
  <sortState xmlns:xlrd2="http://schemas.microsoft.com/office/spreadsheetml/2017/richdata2" ref="A4:J79">
    <sortCondition ref="C4:C79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4E6-C32D-4D23-99F0-60AE5F91BE98}">
  <dimension ref="A1:O141"/>
  <sheetViews>
    <sheetView tabSelected="1" topLeftCell="J1" workbookViewId="0">
      <selection activeCell="K84" sqref="K84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199218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  <col min="12" max="12" width="19.8984375" bestFit="1" customWidth="1"/>
    <col min="13" max="13" width="19.09765625" bestFit="1" customWidth="1"/>
    <col min="14" max="14" width="30.796875" bestFit="1" customWidth="1"/>
    <col min="15" max="15" width="29.19921875" bestFit="1" customWidth="1"/>
  </cols>
  <sheetData>
    <row r="1" spans="1:15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  <c r="L1" t="s">
        <v>336</v>
      </c>
      <c r="M1" t="s">
        <v>337</v>
      </c>
      <c r="N1" t="s">
        <v>338</v>
      </c>
      <c r="O1" t="s">
        <v>339</v>
      </c>
    </row>
    <row r="2" spans="1:15" x14ac:dyDescent="0.35">
      <c r="A2" s="77" t="s">
        <v>14</v>
      </c>
      <c r="B2">
        <v>101</v>
      </c>
      <c r="C2">
        <v>59381</v>
      </c>
      <c r="D2" s="77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  <c r="L2" s="78">
        <v>42181</v>
      </c>
      <c r="M2" s="77" t="s">
        <v>317</v>
      </c>
      <c r="N2">
        <v>1216.5217391304348</v>
      </c>
      <c r="O2">
        <v>100</v>
      </c>
    </row>
    <row r="3" spans="1:15" x14ac:dyDescent="0.35">
      <c r="A3" s="77" t="s">
        <v>14</v>
      </c>
      <c r="B3">
        <v>101</v>
      </c>
      <c r="C3">
        <v>59381</v>
      </c>
      <c r="D3" s="77" t="s">
        <v>15</v>
      </c>
      <c r="E3">
        <v>13.99</v>
      </c>
      <c r="F3">
        <v>7.36</v>
      </c>
      <c r="G3">
        <v>780</v>
      </c>
      <c r="H3">
        <v>10912.2</v>
      </c>
      <c r="I3">
        <v>5740.8</v>
      </c>
      <c r="J3">
        <v>5171.4000000000005</v>
      </c>
      <c r="K3">
        <v>47.390993566833458</v>
      </c>
      <c r="L3" s="78">
        <v>42547</v>
      </c>
      <c r="M3" s="77" t="s">
        <v>318</v>
      </c>
      <c r="N3">
        <v>1094.8695652173913</v>
      </c>
      <c r="O3">
        <v>90</v>
      </c>
    </row>
    <row r="4" spans="1:15" x14ac:dyDescent="0.35">
      <c r="A4" s="77" t="s">
        <v>14</v>
      </c>
      <c r="B4">
        <v>101</v>
      </c>
      <c r="C4">
        <v>32067</v>
      </c>
      <c r="D4" s="77" t="s">
        <v>29</v>
      </c>
      <c r="E4">
        <v>34.99</v>
      </c>
      <c r="F4">
        <v>15.91</v>
      </c>
      <c r="G4">
        <v>8</v>
      </c>
      <c r="H4">
        <v>279.92</v>
      </c>
      <c r="I4">
        <v>127.28</v>
      </c>
      <c r="J4">
        <v>152.64000000000001</v>
      </c>
      <c r="K4">
        <v>54.529865675907409</v>
      </c>
      <c r="L4" s="78">
        <v>42547</v>
      </c>
      <c r="M4" s="77" t="s">
        <v>318</v>
      </c>
      <c r="N4">
        <v>121.70434782608696</v>
      </c>
      <c r="O4">
        <v>4</v>
      </c>
    </row>
    <row r="5" spans="1:15" x14ac:dyDescent="0.35">
      <c r="A5" s="77" t="s">
        <v>14</v>
      </c>
      <c r="B5">
        <v>101</v>
      </c>
      <c r="C5">
        <v>59425</v>
      </c>
      <c r="D5" s="77" t="s">
        <v>17</v>
      </c>
      <c r="E5">
        <v>10.99</v>
      </c>
      <c r="F5">
        <v>6.3</v>
      </c>
      <c r="G5">
        <v>240</v>
      </c>
      <c r="H5">
        <v>2637.6</v>
      </c>
      <c r="I5">
        <v>1512</v>
      </c>
      <c r="J5">
        <v>1125.5999999999999</v>
      </c>
      <c r="K5">
        <v>42.675159235668787</v>
      </c>
      <c r="L5" s="78">
        <v>42181</v>
      </c>
      <c r="M5" s="77" t="s">
        <v>317</v>
      </c>
      <c r="N5">
        <v>659.4</v>
      </c>
      <c r="O5">
        <v>60</v>
      </c>
    </row>
    <row r="6" spans="1:15" x14ac:dyDescent="0.35">
      <c r="A6" s="77" t="s">
        <v>14</v>
      </c>
      <c r="B6">
        <v>102</v>
      </c>
      <c r="C6">
        <v>32127</v>
      </c>
      <c r="D6" s="77" t="s">
        <v>92</v>
      </c>
      <c r="E6">
        <v>11.99</v>
      </c>
      <c r="F6">
        <v>6.02</v>
      </c>
      <c r="G6">
        <v>32</v>
      </c>
      <c r="H6">
        <v>383.68</v>
      </c>
      <c r="I6">
        <v>192.64</v>
      </c>
      <c r="J6">
        <v>191.04000000000002</v>
      </c>
      <c r="K6">
        <v>49.791492910758976</v>
      </c>
      <c r="L6" s="78">
        <v>42181</v>
      </c>
      <c r="M6" s="77" t="s">
        <v>317</v>
      </c>
      <c r="N6">
        <v>125.11304347826086</v>
      </c>
      <c r="O6">
        <v>12</v>
      </c>
    </row>
    <row r="7" spans="1:15" x14ac:dyDescent="0.35">
      <c r="A7" s="77" t="s">
        <v>14</v>
      </c>
      <c r="B7">
        <v>102</v>
      </c>
      <c r="C7">
        <v>32127</v>
      </c>
      <c r="D7" s="77" t="s">
        <v>92</v>
      </c>
      <c r="E7">
        <v>11.99</v>
      </c>
      <c r="F7">
        <v>6.02</v>
      </c>
      <c r="G7">
        <v>32</v>
      </c>
      <c r="H7">
        <v>383.68</v>
      </c>
      <c r="I7">
        <v>192.64</v>
      </c>
      <c r="J7">
        <v>191.04000000000002</v>
      </c>
      <c r="K7">
        <v>49.791492910758976</v>
      </c>
      <c r="L7" s="78">
        <v>42547</v>
      </c>
      <c r="M7" s="77" t="s">
        <v>318</v>
      </c>
      <c r="N7">
        <v>93.834782608695647</v>
      </c>
      <c r="O7">
        <v>9</v>
      </c>
    </row>
    <row r="8" spans="1:15" x14ac:dyDescent="0.35">
      <c r="A8" s="77" t="s">
        <v>14</v>
      </c>
      <c r="B8">
        <v>101</v>
      </c>
      <c r="C8">
        <v>34690</v>
      </c>
      <c r="D8" s="77" t="s">
        <v>18</v>
      </c>
      <c r="E8">
        <v>16.989999999999998</v>
      </c>
      <c r="F8">
        <v>7.7</v>
      </c>
      <c r="G8">
        <v>184</v>
      </c>
      <c r="H8">
        <v>3126.16</v>
      </c>
      <c r="I8">
        <v>1416.8</v>
      </c>
      <c r="J8">
        <v>1709.36</v>
      </c>
      <c r="K8">
        <v>54.679223072395523</v>
      </c>
      <c r="L8" s="78">
        <v>42181</v>
      </c>
      <c r="M8" s="77" t="s">
        <v>317</v>
      </c>
      <c r="N8">
        <v>457.99130434782614</v>
      </c>
      <c r="O8">
        <v>31</v>
      </c>
    </row>
    <row r="9" spans="1:15" x14ac:dyDescent="0.35">
      <c r="A9" s="77" t="s">
        <v>14</v>
      </c>
      <c r="B9">
        <v>101</v>
      </c>
      <c r="C9">
        <v>34690</v>
      </c>
      <c r="D9" s="77" t="s">
        <v>18</v>
      </c>
      <c r="E9">
        <v>16.989999999999998</v>
      </c>
      <c r="F9">
        <v>7.7</v>
      </c>
      <c r="G9">
        <v>184</v>
      </c>
      <c r="H9">
        <v>3126.16</v>
      </c>
      <c r="I9">
        <v>1416.8</v>
      </c>
      <c r="J9">
        <v>1709.36</v>
      </c>
      <c r="K9">
        <v>54.679223072395523</v>
      </c>
      <c r="L9" s="78">
        <v>42547</v>
      </c>
      <c r="M9" s="77" t="s">
        <v>318</v>
      </c>
      <c r="N9">
        <v>398.89565217391305</v>
      </c>
      <c r="O9">
        <v>27</v>
      </c>
    </row>
    <row r="10" spans="1:15" x14ac:dyDescent="0.35">
      <c r="A10" s="77" t="s">
        <v>14</v>
      </c>
      <c r="B10">
        <v>102</v>
      </c>
      <c r="C10">
        <v>32152</v>
      </c>
      <c r="D10" s="77" t="s">
        <v>100</v>
      </c>
      <c r="E10">
        <v>12.99</v>
      </c>
      <c r="F10">
        <v>6.77</v>
      </c>
      <c r="G10">
        <v>6</v>
      </c>
      <c r="H10">
        <v>77.94</v>
      </c>
      <c r="I10">
        <v>40.619999999999997</v>
      </c>
      <c r="J10">
        <v>37.32</v>
      </c>
      <c r="K10">
        <v>47.882986913010015</v>
      </c>
      <c r="L10" s="78">
        <v>42181</v>
      </c>
      <c r="M10" s="77" t="s">
        <v>317</v>
      </c>
      <c r="N10">
        <v>67.77391304347826</v>
      </c>
      <c r="O10">
        <v>6</v>
      </c>
    </row>
    <row r="11" spans="1:15" x14ac:dyDescent="0.35">
      <c r="A11" s="77" t="s">
        <v>14</v>
      </c>
      <c r="B11">
        <v>102</v>
      </c>
      <c r="C11">
        <v>32152</v>
      </c>
      <c r="D11" s="77" t="s">
        <v>100</v>
      </c>
      <c r="E11">
        <v>12.99</v>
      </c>
      <c r="F11">
        <v>6.77</v>
      </c>
      <c r="G11">
        <v>6</v>
      </c>
      <c r="H11">
        <v>77.94</v>
      </c>
      <c r="I11">
        <v>40.619999999999997</v>
      </c>
      <c r="J11">
        <v>37.32</v>
      </c>
      <c r="K11">
        <v>47.882986913010015</v>
      </c>
      <c r="L11" s="78">
        <v>42547</v>
      </c>
      <c r="M11" s="77" t="s">
        <v>318</v>
      </c>
      <c r="N11">
        <v>22.591304347826089</v>
      </c>
      <c r="O11">
        <v>2</v>
      </c>
    </row>
    <row r="12" spans="1:15" x14ac:dyDescent="0.35">
      <c r="A12" s="77" t="s">
        <v>19</v>
      </c>
      <c r="B12">
        <v>101</v>
      </c>
      <c r="C12">
        <v>32859</v>
      </c>
      <c r="D12" s="77" t="s">
        <v>20</v>
      </c>
      <c r="E12">
        <v>20.99</v>
      </c>
      <c r="F12">
        <v>11.1</v>
      </c>
      <c r="G12">
        <v>104.666666666667</v>
      </c>
      <c r="H12">
        <v>2196.9533333333402</v>
      </c>
      <c r="I12">
        <v>1161.8000000000036</v>
      </c>
      <c r="J12">
        <v>1035.1533333333366</v>
      </c>
      <c r="K12">
        <v>47.117675083373037</v>
      </c>
      <c r="L12" s="78">
        <v>42181</v>
      </c>
      <c r="M12" s="77" t="s">
        <v>317</v>
      </c>
      <c r="N12">
        <v>146.01739130434785</v>
      </c>
      <c r="O12">
        <v>8</v>
      </c>
    </row>
    <row r="13" spans="1:15" x14ac:dyDescent="0.35">
      <c r="A13" s="77" t="s">
        <v>19</v>
      </c>
      <c r="B13">
        <v>101</v>
      </c>
      <c r="C13">
        <v>32859</v>
      </c>
      <c r="D13" s="77" t="s">
        <v>20</v>
      </c>
      <c r="E13">
        <v>20.99</v>
      </c>
      <c r="F13">
        <v>11.1</v>
      </c>
      <c r="G13">
        <v>104.666666666667</v>
      </c>
      <c r="H13">
        <v>2196.9533333333402</v>
      </c>
      <c r="I13">
        <v>1161.8000000000036</v>
      </c>
      <c r="J13">
        <v>1035.1533333333366</v>
      </c>
      <c r="K13">
        <v>47.117675083373037</v>
      </c>
      <c r="L13" s="78">
        <v>42547</v>
      </c>
      <c r="M13" s="77" t="s">
        <v>318</v>
      </c>
      <c r="N13">
        <v>200.77391304347827</v>
      </c>
      <c r="O13">
        <v>11</v>
      </c>
    </row>
    <row r="14" spans="1:15" x14ac:dyDescent="0.35">
      <c r="A14" s="77" t="s">
        <v>19</v>
      </c>
      <c r="B14">
        <v>101</v>
      </c>
      <c r="C14">
        <v>32859</v>
      </c>
      <c r="D14" s="77" t="s">
        <v>20</v>
      </c>
      <c r="E14">
        <v>20.99</v>
      </c>
      <c r="F14">
        <v>11.1</v>
      </c>
      <c r="G14">
        <v>104.666666666667</v>
      </c>
      <c r="H14">
        <v>2196.9533333333402</v>
      </c>
      <c r="I14">
        <v>1161.8000000000036</v>
      </c>
      <c r="J14">
        <v>1035.1533333333366</v>
      </c>
      <c r="K14">
        <v>47.117675083373037</v>
      </c>
      <c r="L14" s="78">
        <v>42181</v>
      </c>
      <c r="M14" s="77" t="s">
        <v>317</v>
      </c>
      <c r="N14">
        <v>146.01739130434785</v>
      </c>
      <c r="O14">
        <v>8</v>
      </c>
    </row>
    <row r="15" spans="1:15" x14ac:dyDescent="0.35">
      <c r="A15" s="77" t="s">
        <v>19</v>
      </c>
      <c r="B15">
        <v>101</v>
      </c>
      <c r="C15">
        <v>32859</v>
      </c>
      <c r="D15" s="77" t="s">
        <v>20</v>
      </c>
      <c r="E15">
        <v>20.99</v>
      </c>
      <c r="F15">
        <v>11.1</v>
      </c>
      <c r="G15">
        <v>104.666666666667</v>
      </c>
      <c r="H15">
        <v>2196.9533333333402</v>
      </c>
      <c r="I15">
        <v>1161.8000000000036</v>
      </c>
      <c r="J15">
        <v>1035.1533333333366</v>
      </c>
      <c r="K15">
        <v>47.117675083373037</v>
      </c>
      <c r="L15" s="78">
        <v>42547</v>
      </c>
      <c r="M15" s="77" t="s">
        <v>318</v>
      </c>
      <c r="N15">
        <v>200.77391304347827</v>
      </c>
      <c r="O15">
        <v>11</v>
      </c>
    </row>
    <row r="16" spans="1:15" x14ac:dyDescent="0.35">
      <c r="A16" s="77" t="s">
        <v>14</v>
      </c>
      <c r="B16">
        <v>101</v>
      </c>
      <c r="C16">
        <v>32859</v>
      </c>
      <c r="D16" s="77" t="s">
        <v>20</v>
      </c>
      <c r="E16">
        <v>20.99</v>
      </c>
      <c r="F16">
        <v>7.46</v>
      </c>
      <c r="G16">
        <v>0</v>
      </c>
      <c r="H16">
        <v>0</v>
      </c>
      <c r="I16">
        <v>0</v>
      </c>
      <c r="J16">
        <v>0</v>
      </c>
      <c r="K16">
        <v>0</v>
      </c>
      <c r="L16" s="78">
        <v>42181</v>
      </c>
      <c r="M16" s="77" t="s">
        <v>317</v>
      </c>
      <c r="N16">
        <v>146.01739130434785</v>
      </c>
      <c r="O16">
        <v>8</v>
      </c>
    </row>
    <row r="17" spans="1:15" x14ac:dyDescent="0.35">
      <c r="A17" s="77" t="s">
        <v>14</v>
      </c>
      <c r="B17">
        <v>101</v>
      </c>
      <c r="C17">
        <v>32859</v>
      </c>
      <c r="D17" s="77" t="s">
        <v>20</v>
      </c>
      <c r="E17">
        <v>20.99</v>
      </c>
      <c r="F17">
        <v>7.46</v>
      </c>
      <c r="G17">
        <v>0</v>
      </c>
      <c r="H17">
        <v>0</v>
      </c>
      <c r="I17">
        <v>0</v>
      </c>
      <c r="J17">
        <v>0</v>
      </c>
      <c r="K17">
        <v>0</v>
      </c>
      <c r="L17" s="78">
        <v>42547</v>
      </c>
      <c r="M17" s="77" t="s">
        <v>318</v>
      </c>
      <c r="N17">
        <v>200.77391304347827</v>
      </c>
      <c r="O17">
        <v>11</v>
      </c>
    </row>
    <row r="18" spans="1:15" x14ac:dyDescent="0.35">
      <c r="A18" s="77" t="s">
        <v>14</v>
      </c>
      <c r="B18">
        <v>101</v>
      </c>
      <c r="C18">
        <v>32859</v>
      </c>
      <c r="D18" s="77" t="s">
        <v>20</v>
      </c>
      <c r="E18">
        <v>20.99</v>
      </c>
      <c r="F18">
        <v>7.46</v>
      </c>
      <c r="G18">
        <v>0</v>
      </c>
      <c r="H18">
        <v>0</v>
      </c>
      <c r="I18">
        <v>0</v>
      </c>
      <c r="J18">
        <v>0</v>
      </c>
      <c r="K18">
        <v>0</v>
      </c>
      <c r="L18" s="78">
        <v>42181</v>
      </c>
      <c r="M18" s="77" t="s">
        <v>317</v>
      </c>
      <c r="N18">
        <v>146.01739130434785</v>
      </c>
      <c r="O18">
        <v>8</v>
      </c>
    </row>
    <row r="19" spans="1:15" x14ac:dyDescent="0.35">
      <c r="A19" s="77" t="s">
        <v>14</v>
      </c>
      <c r="B19">
        <v>101</v>
      </c>
      <c r="C19">
        <v>32859</v>
      </c>
      <c r="D19" s="77" t="s">
        <v>20</v>
      </c>
      <c r="E19">
        <v>20.99</v>
      </c>
      <c r="F19">
        <v>7.46</v>
      </c>
      <c r="G19">
        <v>0</v>
      </c>
      <c r="H19">
        <v>0</v>
      </c>
      <c r="I19">
        <v>0</v>
      </c>
      <c r="J19">
        <v>0</v>
      </c>
      <c r="K19">
        <v>0</v>
      </c>
      <c r="L19" s="78">
        <v>42547</v>
      </c>
      <c r="M19" s="77" t="s">
        <v>318</v>
      </c>
      <c r="N19">
        <v>200.77391304347827</v>
      </c>
      <c r="O19">
        <v>11</v>
      </c>
    </row>
    <row r="20" spans="1:15" x14ac:dyDescent="0.35">
      <c r="A20" s="77" t="s">
        <v>14</v>
      </c>
      <c r="B20">
        <v>101</v>
      </c>
      <c r="C20">
        <v>34070</v>
      </c>
      <c r="D20" s="77" t="s">
        <v>26</v>
      </c>
      <c r="E20">
        <v>12.99</v>
      </c>
      <c r="F20">
        <v>6.81</v>
      </c>
      <c r="G20">
        <v>86</v>
      </c>
      <c r="H20">
        <v>1117.1400000000001</v>
      </c>
      <c r="I20">
        <v>585.66</v>
      </c>
      <c r="J20">
        <v>531.48000000000013</v>
      </c>
      <c r="K20">
        <v>47.575057736720559</v>
      </c>
      <c r="L20" s="78">
        <v>42181</v>
      </c>
      <c r="M20" s="77" t="s">
        <v>317</v>
      </c>
      <c r="N20">
        <v>169.43478260869566</v>
      </c>
      <c r="O20">
        <v>15</v>
      </c>
    </row>
    <row r="21" spans="1:15" x14ac:dyDescent="0.35">
      <c r="A21" s="77" t="s">
        <v>14</v>
      </c>
      <c r="B21">
        <v>101</v>
      </c>
      <c r="C21">
        <v>34070</v>
      </c>
      <c r="D21" s="77" t="s">
        <v>26</v>
      </c>
      <c r="E21">
        <v>12.99</v>
      </c>
      <c r="F21">
        <v>6.81</v>
      </c>
      <c r="G21">
        <v>86</v>
      </c>
      <c r="H21">
        <v>1117.1400000000001</v>
      </c>
      <c r="I21">
        <v>585.66</v>
      </c>
      <c r="J21">
        <v>531.48000000000013</v>
      </c>
      <c r="K21">
        <v>47.575057736720559</v>
      </c>
      <c r="L21" s="78">
        <v>42547</v>
      </c>
      <c r="M21" s="77" t="s">
        <v>318</v>
      </c>
      <c r="N21">
        <v>101.66086956521738</v>
      </c>
      <c r="O21">
        <v>9</v>
      </c>
    </row>
    <row r="22" spans="1:15" x14ac:dyDescent="0.35">
      <c r="A22" s="77" t="s">
        <v>14</v>
      </c>
      <c r="B22">
        <v>102</v>
      </c>
      <c r="C22">
        <v>32153</v>
      </c>
      <c r="D22" s="77" t="s">
        <v>102</v>
      </c>
      <c r="E22">
        <v>8.99</v>
      </c>
      <c r="F22">
        <v>4.5599999999999996</v>
      </c>
      <c r="G22">
        <v>0</v>
      </c>
      <c r="H22">
        <v>0</v>
      </c>
      <c r="I22">
        <v>0</v>
      </c>
      <c r="J22">
        <v>0</v>
      </c>
      <c r="K22">
        <v>0</v>
      </c>
      <c r="L22" s="78">
        <v>42181</v>
      </c>
      <c r="M22" s="77" t="s">
        <v>317</v>
      </c>
      <c r="N22">
        <v>46.904347826086955</v>
      </c>
      <c r="O22">
        <v>6</v>
      </c>
    </row>
    <row r="23" spans="1:15" x14ac:dyDescent="0.35">
      <c r="A23" s="77" t="s">
        <v>14</v>
      </c>
      <c r="B23">
        <v>102</v>
      </c>
      <c r="C23">
        <v>32153</v>
      </c>
      <c r="D23" s="77" t="s">
        <v>102</v>
      </c>
      <c r="E23">
        <v>8.99</v>
      </c>
      <c r="F23">
        <v>4.5599999999999996</v>
      </c>
      <c r="G23">
        <v>0</v>
      </c>
      <c r="H23">
        <v>0</v>
      </c>
      <c r="I23">
        <v>0</v>
      </c>
      <c r="J23">
        <v>0</v>
      </c>
      <c r="K23">
        <v>0</v>
      </c>
      <c r="L23" s="78">
        <v>42547</v>
      </c>
      <c r="M23" s="77" t="s">
        <v>318</v>
      </c>
      <c r="N23">
        <v>62.539130434782606</v>
      </c>
      <c r="O23">
        <v>8</v>
      </c>
    </row>
    <row r="24" spans="1:15" x14ac:dyDescent="0.35">
      <c r="A24" s="77" t="s">
        <v>14</v>
      </c>
      <c r="B24">
        <v>101</v>
      </c>
      <c r="C24">
        <v>34041</v>
      </c>
      <c r="D24" s="77" t="s">
        <v>43</v>
      </c>
      <c r="E24">
        <v>6.99</v>
      </c>
      <c r="F24">
        <v>3.15</v>
      </c>
      <c r="G24">
        <v>70</v>
      </c>
      <c r="H24">
        <v>489.3</v>
      </c>
      <c r="I24">
        <v>220.5</v>
      </c>
      <c r="J24">
        <v>268.8</v>
      </c>
      <c r="K24">
        <v>54.935622317596568</v>
      </c>
      <c r="L24" s="78">
        <v>42181</v>
      </c>
      <c r="M24" s="77" t="s">
        <v>317</v>
      </c>
      <c r="N24">
        <v>66.860869565217399</v>
      </c>
      <c r="O24">
        <v>11</v>
      </c>
    </row>
    <row r="25" spans="1:15" x14ac:dyDescent="0.35">
      <c r="A25" s="77" t="s">
        <v>14</v>
      </c>
      <c r="B25">
        <v>101</v>
      </c>
      <c r="C25">
        <v>34041</v>
      </c>
      <c r="D25" s="77" t="s">
        <v>43</v>
      </c>
      <c r="E25">
        <v>6.99</v>
      </c>
      <c r="F25">
        <v>3.15</v>
      </c>
      <c r="G25">
        <v>70</v>
      </c>
      <c r="H25">
        <v>489.3</v>
      </c>
      <c r="I25">
        <v>220.5</v>
      </c>
      <c r="J25">
        <v>268.8</v>
      </c>
      <c r="K25">
        <v>54.935622317596568</v>
      </c>
      <c r="L25" s="78">
        <v>42547</v>
      </c>
      <c r="M25" s="77" t="s">
        <v>318</v>
      </c>
      <c r="N25">
        <v>42.547826086956519</v>
      </c>
      <c r="O25">
        <v>7</v>
      </c>
    </row>
    <row r="26" spans="1:15" x14ac:dyDescent="0.35">
      <c r="A26" s="77" t="s">
        <v>19</v>
      </c>
      <c r="B26">
        <v>101</v>
      </c>
      <c r="C26">
        <v>50037</v>
      </c>
      <c r="D26" s="77" t="s">
        <v>22</v>
      </c>
      <c r="E26">
        <v>25.99</v>
      </c>
      <c r="F26">
        <v>13.4</v>
      </c>
      <c r="G26">
        <v>65</v>
      </c>
      <c r="H26">
        <v>1689.35</v>
      </c>
      <c r="I26">
        <v>871</v>
      </c>
      <c r="J26">
        <v>818.34999999999991</v>
      </c>
      <c r="K26">
        <v>48.441708349365136</v>
      </c>
      <c r="L26" s="78">
        <v>42181</v>
      </c>
      <c r="M26" s="77" t="s">
        <v>317</v>
      </c>
      <c r="N26">
        <v>158.20000000000002</v>
      </c>
      <c r="O26">
        <v>7</v>
      </c>
    </row>
    <row r="27" spans="1:15" x14ac:dyDescent="0.35">
      <c r="A27" s="77" t="s">
        <v>19</v>
      </c>
      <c r="B27">
        <v>101</v>
      </c>
      <c r="C27">
        <v>50037</v>
      </c>
      <c r="D27" s="77" t="s">
        <v>22</v>
      </c>
      <c r="E27">
        <v>25.99</v>
      </c>
      <c r="F27">
        <v>13.4</v>
      </c>
      <c r="G27">
        <v>65</v>
      </c>
      <c r="H27">
        <v>1689.35</v>
      </c>
      <c r="I27">
        <v>871</v>
      </c>
      <c r="J27">
        <v>818.34999999999991</v>
      </c>
      <c r="K27">
        <v>48.441708349365136</v>
      </c>
      <c r="L27" s="78">
        <v>42547</v>
      </c>
      <c r="M27" s="77" t="s">
        <v>318</v>
      </c>
      <c r="N27">
        <v>158.20000000000002</v>
      </c>
      <c r="O27">
        <v>7</v>
      </c>
    </row>
    <row r="28" spans="1:15" x14ac:dyDescent="0.35">
      <c r="A28" s="77" t="s">
        <v>14</v>
      </c>
      <c r="B28">
        <v>102</v>
      </c>
      <c r="C28">
        <v>32855</v>
      </c>
      <c r="D28" s="77" t="s">
        <v>110</v>
      </c>
      <c r="E28">
        <v>17.989999999999998</v>
      </c>
      <c r="F28">
        <v>9.14</v>
      </c>
      <c r="G28">
        <v>6</v>
      </c>
      <c r="H28">
        <v>107.94</v>
      </c>
      <c r="I28">
        <v>54.84</v>
      </c>
      <c r="J28">
        <v>53.099999999999994</v>
      </c>
      <c r="K28">
        <v>49.193996664813781</v>
      </c>
      <c r="L28" s="78">
        <v>42181</v>
      </c>
      <c r="M28" s="77" t="s">
        <v>317</v>
      </c>
      <c r="N28">
        <v>46.930434782608693</v>
      </c>
      <c r="O28">
        <v>3</v>
      </c>
    </row>
    <row r="29" spans="1:15" x14ac:dyDescent="0.35">
      <c r="A29" s="77" t="s">
        <v>14</v>
      </c>
      <c r="B29">
        <v>102</v>
      </c>
      <c r="C29">
        <v>32855</v>
      </c>
      <c r="D29" s="77" t="s">
        <v>110</v>
      </c>
      <c r="E29">
        <v>17.989999999999998</v>
      </c>
      <c r="F29">
        <v>9.14</v>
      </c>
      <c r="G29">
        <v>6</v>
      </c>
      <c r="H29">
        <v>107.94</v>
      </c>
      <c r="I29">
        <v>54.84</v>
      </c>
      <c r="J29">
        <v>53.099999999999994</v>
      </c>
      <c r="K29">
        <v>49.193996664813781</v>
      </c>
      <c r="L29" s="78">
        <v>42547</v>
      </c>
      <c r="M29" s="77" t="s">
        <v>318</v>
      </c>
      <c r="N29">
        <v>31.286956521739128</v>
      </c>
      <c r="O29">
        <v>2</v>
      </c>
    </row>
    <row r="30" spans="1:15" x14ac:dyDescent="0.35">
      <c r="A30" s="77" t="s">
        <v>14</v>
      </c>
      <c r="B30">
        <v>101</v>
      </c>
      <c r="C30">
        <v>34046</v>
      </c>
      <c r="D30" s="77" t="s">
        <v>37</v>
      </c>
      <c r="E30">
        <v>19.989999999999998</v>
      </c>
      <c r="F30">
        <v>12.2</v>
      </c>
      <c r="G30">
        <v>50</v>
      </c>
      <c r="H30">
        <v>999.49999999999989</v>
      </c>
      <c r="I30">
        <v>610</v>
      </c>
      <c r="J30">
        <v>389.49999999999989</v>
      </c>
      <c r="K30">
        <v>38.969484742371179</v>
      </c>
      <c r="L30" s="78">
        <v>42181</v>
      </c>
      <c r="M30" s="77" t="s">
        <v>317</v>
      </c>
      <c r="N30">
        <v>86.913043478260875</v>
      </c>
      <c r="O30">
        <v>5</v>
      </c>
    </row>
    <row r="31" spans="1:15" x14ac:dyDescent="0.35">
      <c r="A31" s="77" t="s">
        <v>14</v>
      </c>
      <c r="B31">
        <v>101</v>
      </c>
      <c r="C31">
        <v>34046</v>
      </c>
      <c r="D31" s="77" t="s">
        <v>37</v>
      </c>
      <c r="E31">
        <v>19.989999999999998</v>
      </c>
      <c r="F31">
        <v>12.2</v>
      </c>
      <c r="G31">
        <v>50</v>
      </c>
      <c r="H31">
        <v>999.49999999999989</v>
      </c>
      <c r="I31">
        <v>610</v>
      </c>
      <c r="J31">
        <v>389.49999999999989</v>
      </c>
      <c r="K31">
        <v>38.969484742371179</v>
      </c>
      <c r="L31" s="78">
        <v>42547</v>
      </c>
      <c r="M31" s="77" t="s">
        <v>318</v>
      </c>
      <c r="N31">
        <v>69.530434782608694</v>
      </c>
      <c r="O31">
        <v>4</v>
      </c>
    </row>
    <row r="32" spans="1:15" x14ac:dyDescent="0.35">
      <c r="A32" s="77" t="s">
        <v>14</v>
      </c>
      <c r="B32">
        <v>101</v>
      </c>
      <c r="C32">
        <v>34042</v>
      </c>
      <c r="D32" s="77" t="s">
        <v>31</v>
      </c>
      <c r="E32">
        <v>9.5</v>
      </c>
      <c r="F32">
        <v>4.1500000000000004</v>
      </c>
      <c r="G32">
        <v>48</v>
      </c>
      <c r="H32">
        <v>456</v>
      </c>
      <c r="I32">
        <v>199.20000000000002</v>
      </c>
      <c r="J32">
        <v>256.79999999999995</v>
      </c>
      <c r="K32">
        <v>56.315789473684198</v>
      </c>
      <c r="L32" s="78">
        <v>42181</v>
      </c>
      <c r="M32" s="77" t="s">
        <v>317</v>
      </c>
      <c r="N32">
        <v>49.565217391304344</v>
      </c>
      <c r="O32">
        <v>6</v>
      </c>
    </row>
    <row r="33" spans="1:15" x14ac:dyDescent="0.35">
      <c r="A33" s="77" t="s">
        <v>14</v>
      </c>
      <c r="B33">
        <v>101</v>
      </c>
      <c r="C33">
        <v>34042</v>
      </c>
      <c r="D33" s="77" t="s">
        <v>31</v>
      </c>
      <c r="E33">
        <v>9.5</v>
      </c>
      <c r="F33">
        <v>4.1500000000000004</v>
      </c>
      <c r="G33">
        <v>48</v>
      </c>
      <c r="H33">
        <v>456</v>
      </c>
      <c r="I33">
        <v>199.20000000000002</v>
      </c>
      <c r="J33">
        <v>256.79999999999995</v>
      </c>
      <c r="K33">
        <v>56.315789473684198</v>
      </c>
      <c r="L33" s="78">
        <v>42547</v>
      </c>
      <c r="M33" s="77" t="s">
        <v>318</v>
      </c>
      <c r="N33">
        <v>90.869565217391312</v>
      </c>
      <c r="O33">
        <v>11</v>
      </c>
    </row>
    <row r="34" spans="1:15" x14ac:dyDescent="0.35">
      <c r="A34" s="77" t="s">
        <v>14</v>
      </c>
      <c r="B34">
        <v>102</v>
      </c>
      <c r="C34">
        <v>32857</v>
      </c>
      <c r="D34" s="77" t="s">
        <v>127</v>
      </c>
      <c r="E34">
        <v>130</v>
      </c>
      <c r="F34">
        <v>68.680000000000007</v>
      </c>
      <c r="G34">
        <v>0</v>
      </c>
      <c r="H34">
        <v>0</v>
      </c>
      <c r="I34">
        <v>0</v>
      </c>
      <c r="J34">
        <v>0</v>
      </c>
      <c r="K34">
        <v>0</v>
      </c>
      <c r="L34" s="78">
        <v>42181</v>
      </c>
      <c r="M34" s="77" t="s">
        <v>317</v>
      </c>
      <c r="N34">
        <v>113.04347826086956</v>
      </c>
      <c r="O34">
        <v>1</v>
      </c>
    </row>
    <row r="35" spans="1:15" x14ac:dyDescent="0.35">
      <c r="A35" s="77" t="s">
        <v>14</v>
      </c>
      <c r="B35">
        <v>101</v>
      </c>
      <c r="C35">
        <v>34091</v>
      </c>
      <c r="D35" s="77" t="s">
        <v>28</v>
      </c>
      <c r="E35">
        <v>19.989999999999998</v>
      </c>
      <c r="F35">
        <v>12.24</v>
      </c>
      <c r="G35">
        <v>40</v>
      </c>
      <c r="H35">
        <v>799.59999999999991</v>
      </c>
      <c r="I35">
        <v>489.6</v>
      </c>
      <c r="J35">
        <v>309.99999999999989</v>
      </c>
      <c r="K35">
        <v>38.769384692346165</v>
      </c>
      <c r="L35" s="78">
        <v>42181</v>
      </c>
      <c r="M35" s="77" t="s">
        <v>317</v>
      </c>
      <c r="N35">
        <v>86.913043478260875</v>
      </c>
      <c r="O35">
        <v>5</v>
      </c>
    </row>
    <row r="36" spans="1:15" x14ac:dyDescent="0.35">
      <c r="A36" s="77" t="s">
        <v>14</v>
      </c>
      <c r="B36">
        <v>101</v>
      </c>
      <c r="C36">
        <v>34091</v>
      </c>
      <c r="D36" s="77" t="s">
        <v>28</v>
      </c>
      <c r="E36">
        <v>19.989999999999998</v>
      </c>
      <c r="F36">
        <v>12.24</v>
      </c>
      <c r="G36">
        <v>40</v>
      </c>
      <c r="H36">
        <v>799.59999999999991</v>
      </c>
      <c r="I36">
        <v>489.6</v>
      </c>
      <c r="J36">
        <v>309.99999999999989</v>
      </c>
      <c r="K36">
        <v>38.769384692346165</v>
      </c>
      <c r="L36" s="78">
        <v>42547</v>
      </c>
      <c r="M36" s="77" t="s">
        <v>318</v>
      </c>
      <c r="N36">
        <v>86.913043478260875</v>
      </c>
      <c r="O36">
        <v>5</v>
      </c>
    </row>
    <row r="37" spans="1:15" x14ac:dyDescent="0.35">
      <c r="A37" s="77" t="s">
        <v>19</v>
      </c>
      <c r="B37">
        <v>101</v>
      </c>
      <c r="C37">
        <v>32858</v>
      </c>
      <c r="D37" s="77" t="s">
        <v>34</v>
      </c>
      <c r="E37">
        <v>3.8</v>
      </c>
      <c r="F37">
        <v>1.8573999999999999</v>
      </c>
      <c r="G37">
        <v>0</v>
      </c>
      <c r="H37">
        <v>0</v>
      </c>
      <c r="I37">
        <v>0</v>
      </c>
      <c r="J37">
        <v>0</v>
      </c>
      <c r="K37">
        <v>0</v>
      </c>
      <c r="L37" s="78">
        <v>42181</v>
      </c>
      <c r="M37" s="77" t="s">
        <v>317</v>
      </c>
      <c r="N37">
        <v>19.826086956521738</v>
      </c>
      <c r="O37">
        <v>6</v>
      </c>
    </row>
    <row r="38" spans="1:15" x14ac:dyDescent="0.35">
      <c r="A38" s="77" t="s">
        <v>19</v>
      </c>
      <c r="B38">
        <v>101</v>
      </c>
      <c r="C38">
        <v>32858</v>
      </c>
      <c r="D38" s="77" t="s">
        <v>34</v>
      </c>
      <c r="E38">
        <v>3.8</v>
      </c>
      <c r="F38">
        <v>1.8573999999999999</v>
      </c>
      <c r="G38">
        <v>0</v>
      </c>
      <c r="H38">
        <v>0</v>
      </c>
      <c r="I38">
        <v>0</v>
      </c>
      <c r="J38">
        <v>0</v>
      </c>
      <c r="K38">
        <v>0</v>
      </c>
      <c r="L38" s="78">
        <v>42547</v>
      </c>
      <c r="M38" s="77" t="s">
        <v>318</v>
      </c>
      <c r="N38">
        <v>102.43478260869566</v>
      </c>
      <c r="O38">
        <v>31</v>
      </c>
    </row>
    <row r="39" spans="1:15" x14ac:dyDescent="0.35">
      <c r="A39" s="77" t="s">
        <v>19</v>
      </c>
      <c r="B39">
        <v>101</v>
      </c>
      <c r="C39">
        <v>32858</v>
      </c>
      <c r="D39" s="77" t="s">
        <v>34</v>
      </c>
      <c r="E39">
        <v>3.8</v>
      </c>
      <c r="F39">
        <v>1.8573999999999999</v>
      </c>
      <c r="G39">
        <v>0</v>
      </c>
      <c r="H39">
        <v>0</v>
      </c>
      <c r="I39">
        <v>0</v>
      </c>
      <c r="J39">
        <v>0</v>
      </c>
      <c r="K39">
        <v>0</v>
      </c>
      <c r="L39" s="78">
        <v>42181</v>
      </c>
      <c r="M39" s="77" t="s">
        <v>317</v>
      </c>
      <c r="N39">
        <v>19.826086956521738</v>
      </c>
      <c r="O39">
        <v>6</v>
      </c>
    </row>
    <row r="40" spans="1:15" x14ac:dyDescent="0.35">
      <c r="A40" s="77" t="s">
        <v>19</v>
      </c>
      <c r="B40">
        <v>101</v>
      </c>
      <c r="C40">
        <v>32858</v>
      </c>
      <c r="D40" s="77" t="s">
        <v>34</v>
      </c>
      <c r="E40">
        <v>3.8</v>
      </c>
      <c r="F40">
        <v>1.8573999999999999</v>
      </c>
      <c r="G40">
        <v>0</v>
      </c>
      <c r="H40">
        <v>0</v>
      </c>
      <c r="I40">
        <v>0</v>
      </c>
      <c r="J40">
        <v>0</v>
      </c>
      <c r="K40">
        <v>0</v>
      </c>
      <c r="L40" s="78">
        <v>42547</v>
      </c>
      <c r="M40" s="77" t="s">
        <v>318</v>
      </c>
      <c r="N40">
        <v>102.43478260869566</v>
      </c>
      <c r="O40">
        <v>31</v>
      </c>
    </row>
    <row r="41" spans="1:15" x14ac:dyDescent="0.35">
      <c r="A41" s="77" t="s">
        <v>35</v>
      </c>
      <c r="B41">
        <v>101</v>
      </c>
      <c r="C41">
        <v>32858</v>
      </c>
      <c r="D41" s="77" t="s">
        <v>34</v>
      </c>
      <c r="E41">
        <v>3.8</v>
      </c>
      <c r="F41">
        <v>2.0770666666666702</v>
      </c>
      <c r="G41">
        <v>0</v>
      </c>
      <c r="H41">
        <v>0</v>
      </c>
      <c r="I41">
        <v>0</v>
      </c>
      <c r="J41">
        <v>0</v>
      </c>
      <c r="K41">
        <v>0</v>
      </c>
      <c r="L41" s="78">
        <v>42181</v>
      </c>
      <c r="M41" s="77" t="s">
        <v>317</v>
      </c>
      <c r="N41">
        <v>19.826086956521738</v>
      </c>
      <c r="O41">
        <v>6</v>
      </c>
    </row>
    <row r="42" spans="1:15" x14ac:dyDescent="0.35">
      <c r="A42" s="77" t="s">
        <v>35</v>
      </c>
      <c r="B42">
        <v>101</v>
      </c>
      <c r="C42">
        <v>32858</v>
      </c>
      <c r="D42" s="77" t="s">
        <v>34</v>
      </c>
      <c r="E42">
        <v>3.8</v>
      </c>
      <c r="F42">
        <v>2.0770666666666702</v>
      </c>
      <c r="G42">
        <v>0</v>
      </c>
      <c r="H42">
        <v>0</v>
      </c>
      <c r="I42">
        <v>0</v>
      </c>
      <c r="J42">
        <v>0</v>
      </c>
      <c r="K42">
        <v>0</v>
      </c>
      <c r="L42" s="78">
        <v>42547</v>
      </c>
      <c r="M42" s="77" t="s">
        <v>318</v>
      </c>
      <c r="N42">
        <v>102.43478260869566</v>
      </c>
      <c r="O42">
        <v>31</v>
      </c>
    </row>
    <row r="43" spans="1:15" x14ac:dyDescent="0.35">
      <c r="A43" s="77" t="s">
        <v>35</v>
      </c>
      <c r="B43">
        <v>101</v>
      </c>
      <c r="C43">
        <v>32858</v>
      </c>
      <c r="D43" s="77" t="s">
        <v>34</v>
      </c>
      <c r="E43">
        <v>3.8</v>
      </c>
      <c r="F43">
        <v>2.0770666666666702</v>
      </c>
      <c r="G43">
        <v>0</v>
      </c>
      <c r="H43">
        <v>0</v>
      </c>
      <c r="I43">
        <v>0</v>
      </c>
      <c r="J43">
        <v>0</v>
      </c>
      <c r="K43">
        <v>0</v>
      </c>
      <c r="L43" s="78">
        <v>42181</v>
      </c>
      <c r="M43" s="77" t="s">
        <v>317</v>
      </c>
      <c r="N43">
        <v>19.826086956521738</v>
      </c>
      <c r="O43">
        <v>6</v>
      </c>
    </row>
    <row r="44" spans="1:15" x14ac:dyDescent="0.35">
      <c r="A44" s="77" t="s">
        <v>35</v>
      </c>
      <c r="B44">
        <v>101</v>
      </c>
      <c r="C44">
        <v>32858</v>
      </c>
      <c r="D44" s="77" t="s">
        <v>34</v>
      </c>
      <c r="E44">
        <v>3.8</v>
      </c>
      <c r="F44">
        <v>2.0770666666666702</v>
      </c>
      <c r="G44">
        <v>0</v>
      </c>
      <c r="H44">
        <v>0</v>
      </c>
      <c r="I44">
        <v>0</v>
      </c>
      <c r="J44">
        <v>0</v>
      </c>
      <c r="K44">
        <v>0</v>
      </c>
      <c r="L44" s="78">
        <v>42547</v>
      </c>
      <c r="M44" s="77" t="s">
        <v>318</v>
      </c>
      <c r="N44">
        <v>102.43478260869566</v>
      </c>
      <c r="O44">
        <v>31</v>
      </c>
    </row>
    <row r="45" spans="1:15" x14ac:dyDescent="0.35">
      <c r="A45" s="77" t="s">
        <v>14</v>
      </c>
      <c r="B45">
        <v>101</v>
      </c>
      <c r="C45">
        <v>57073</v>
      </c>
      <c r="D45" s="77" t="s">
        <v>21</v>
      </c>
      <c r="E45">
        <v>36.99</v>
      </c>
      <c r="F45">
        <v>16.05</v>
      </c>
      <c r="G45">
        <v>36</v>
      </c>
      <c r="H45">
        <v>1331.64</v>
      </c>
      <c r="I45">
        <v>577.80000000000007</v>
      </c>
      <c r="J45">
        <v>753.84</v>
      </c>
      <c r="K45">
        <v>56.609894566098937</v>
      </c>
      <c r="L45" s="78">
        <v>42181</v>
      </c>
      <c r="M45" s="77" t="s">
        <v>317</v>
      </c>
      <c r="N45">
        <v>225.15652173913043</v>
      </c>
      <c r="O45">
        <v>7</v>
      </c>
    </row>
    <row r="46" spans="1:15" x14ac:dyDescent="0.35">
      <c r="A46" s="77" t="s">
        <v>14</v>
      </c>
      <c r="B46">
        <v>101</v>
      </c>
      <c r="C46">
        <v>57073</v>
      </c>
      <c r="D46" s="77" t="s">
        <v>21</v>
      </c>
      <c r="E46">
        <v>36.99</v>
      </c>
      <c r="F46">
        <v>16.05</v>
      </c>
      <c r="G46">
        <v>36</v>
      </c>
      <c r="H46">
        <v>1331.64</v>
      </c>
      <c r="I46">
        <v>577.80000000000007</v>
      </c>
      <c r="J46">
        <v>753.84</v>
      </c>
      <c r="K46">
        <v>56.609894566098937</v>
      </c>
      <c r="L46" s="78">
        <v>42547</v>
      </c>
      <c r="M46" s="77" t="s">
        <v>318</v>
      </c>
      <c r="N46">
        <v>32.165217391304353</v>
      </c>
      <c r="O46">
        <v>1</v>
      </c>
    </row>
    <row r="47" spans="1:15" x14ac:dyDescent="0.35">
      <c r="A47" s="77" t="s">
        <v>14</v>
      </c>
      <c r="B47">
        <v>101</v>
      </c>
      <c r="C47">
        <v>34024</v>
      </c>
      <c r="D47" s="77" t="s">
        <v>23</v>
      </c>
      <c r="E47">
        <v>37.99</v>
      </c>
      <c r="F47">
        <v>16.5</v>
      </c>
      <c r="G47">
        <v>36</v>
      </c>
      <c r="H47">
        <v>1367.64</v>
      </c>
      <c r="I47">
        <v>594</v>
      </c>
      <c r="J47">
        <v>773.6400000000001</v>
      </c>
      <c r="K47">
        <v>56.567517767833642</v>
      </c>
      <c r="L47" s="78">
        <v>42181</v>
      </c>
      <c r="M47" s="77" t="s">
        <v>317</v>
      </c>
      <c r="N47">
        <v>165.17391304347825</v>
      </c>
      <c r="O47">
        <v>5</v>
      </c>
    </row>
    <row r="48" spans="1:15" x14ac:dyDescent="0.35">
      <c r="A48" s="77" t="s">
        <v>14</v>
      </c>
      <c r="B48">
        <v>101</v>
      </c>
      <c r="C48">
        <v>34024</v>
      </c>
      <c r="D48" s="77" t="s">
        <v>23</v>
      </c>
      <c r="E48">
        <v>37.99</v>
      </c>
      <c r="F48">
        <v>16.5</v>
      </c>
      <c r="G48">
        <v>36</v>
      </c>
      <c r="H48">
        <v>1367.64</v>
      </c>
      <c r="I48">
        <v>594</v>
      </c>
      <c r="J48">
        <v>773.6400000000001</v>
      </c>
      <c r="K48">
        <v>56.567517767833642</v>
      </c>
      <c r="L48" s="78">
        <v>42547</v>
      </c>
      <c r="M48" s="77" t="s">
        <v>318</v>
      </c>
      <c r="N48">
        <v>33.03478260869565</v>
      </c>
      <c r="O48">
        <v>1</v>
      </c>
    </row>
    <row r="49" spans="1:15" x14ac:dyDescent="0.35">
      <c r="A49" s="77" t="s">
        <v>19</v>
      </c>
      <c r="B49">
        <v>101</v>
      </c>
      <c r="C49">
        <v>51680</v>
      </c>
      <c r="D49" s="77" t="s">
        <v>33</v>
      </c>
      <c r="E49">
        <v>21.99</v>
      </c>
      <c r="F49">
        <v>12.14</v>
      </c>
      <c r="G49">
        <v>34</v>
      </c>
      <c r="H49">
        <v>747.66</v>
      </c>
      <c r="I49">
        <v>412.76</v>
      </c>
      <c r="J49">
        <v>334.9</v>
      </c>
      <c r="K49">
        <v>44.793087767166895</v>
      </c>
      <c r="L49" s="78">
        <v>42181</v>
      </c>
      <c r="M49" s="77" t="s">
        <v>317</v>
      </c>
      <c r="N49">
        <v>57.365217391304348</v>
      </c>
      <c r="O49">
        <v>3</v>
      </c>
    </row>
    <row r="50" spans="1:15" x14ac:dyDescent="0.35">
      <c r="A50" s="77" t="s">
        <v>19</v>
      </c>
      <c r="B50">
        <v>101</v>
      </c>
      <c r="C50">
        <v>51680</v>
      </c>
      <c r="D50" s="77" t="s">
        <v>33</v>
      </c>
      <c r="E50">
        <v>21.99</v>
      </c>
      <c r="F50">
        <v>12.14</v>
      </c>
      <c r="G50">
        <v>34</v>
      </c>
      <c r="H50">
        <v>747.66</v>
      </c>
      <c r="I50">
        <v>412.76</v>
      </c>
      <c r="J50">
        <v>334.9</v>
      </c>
      <c r="K50">
        <v>44.793087767166895</v>
      </c>
      <c r="L50" s="78">
        <v>42547</v>
      </c>
      <c r="M50" s="77" t="s">
        <v>318</v>
      </c>
      <c r="N50">
        <v>19.121739130434783</v>
      </c>
      <c r="O50">
        <v>1</v>
      </c>
    </row>
    <row r="51" spans="1:15" x14ac:dyDescent="0.35">
      <c r="A51" s="77" t="s">
        <v>14</v>
      </c>
      <c r="B51">
        <v>101</v>
      </c>
      <c r="C51">
        <v>33997</v>
      </c>
      <c r="D51" s="77" t="s">
        <v>39</v>
      </c>
      <c r="E51">
        <v>14.99</v>
      </c>
      <c r="F51">
        <v>7.62</v>
      </c>
      <c r="G51">
        <v>30</v>
      </c>
      <c r="H51">
        <v>449.7</v>
      </c>
      <c r="I51">
        <v>228.6</v>
      </c>
      <c r="J51">
        <v>221.1</v>
      </c>
      <c r="K51">
        <v>49.166110740493664</v>
      </c>
      <c r="L51" s="78">
        <v>42181</v>
      </c>
      <c r="M51" s="77" t="s">
        <v>317</v>
      </c>
      <c r="N51">
        <v>39.104347826086958</v>
      </c>
      <c r="O51">
        <v>3</v>
      </c>
    </row>
    <row r="52" spans="1:15" x14ac:dyDescent="0.35">
      <c r="A52" s="77" t="s">
        <v>14</v>
      </c>
      <c r="B52">
        <v>101</v>
      </c>
      <c r="C52">
        <v>33997</v>
      </c>
      <c r="D52" s="77" t="s">
        <v>39</v>
      </c>
      <c r="E52">
        <v>14.99</v>
      </c>
      <c r="F52">
        <v>7.62</v>
      </c>
      <c r="G52">
        <v>30</v>
      </c>
      <c r="H52">
        <v>449.7</v>
      </c>
      <c r="I52">
        <v>228.6</v>
      </c>
      <c r="J52">
        <v>221.1</v>
      </c>
      <c r="K52">
        <v>49.166110740493664</v>
      </c>
      <c r="L52" s="78">
        <v>42547</v>
      </c>
      <c r="M52" s="77" t="s">
        <v>318</v>
      </c>
      <c r="N52">
        <v>52.139130434782608</v>
      </c>
      <c r="O52">
        <v>4</v>
      </c>
    </row>
    <row r="53" spans="1:15" x14ac:dyDescent="0.35">
      <c r="A53" s="77" t="s">
        <v>14</v>
      </c>
      <c r="B53">
        <v>101</v>
      </c>
      <c r="C53">
        <v>34023</v>
      </c>
      <c r="D53" s="77" t="s">
        <v>48</v>
      </c>
      <c r="E53">
        <v>6.99</v>
      </c>
      <c r="F53">
        <v>2.85</v>
      </c>
      <c r="G53">
        <v>28</v>
      </c>
      <c r="H53">
        <v>195.72</v>
      </c>
      <c r="I53">
        <v>79.8</v>
      </c>
      <c r="J53">
        <v>115.92</v>
      </c>
      <c r="K53">
        <v>59.227467811158796</v>
      </c>
      <c r="L53" s="78">
        <v>42181</v>
      </c>
      <c r="M53" s="77" t="s">
        <v>317</v>
      </c>
      <c r="N53">
        <v>30.39130434782609</v>
      </c>
      <c r="O53">
        <v>5</v>
      </c>
    </row>
    <row r="54" spans="1:15" x14ac:dyDescent="0.35">
      <c r="A54" s="77" t="s">
        <v>14</v>
      </c>
      <c r="B54">
        <v>101</v>
      </c>
      <c r="C54">
        <v>34023</v>
      </c>
      <c r="D54" s="77" t="s">
        <v>48</v>
      </c>
      <c r="E54">
        <v>6.99</v>
      </c>
      <c r="F54">
        <v>2.85</v>
      </c>
      <c r="G54">
        <v>28</v>
      </c>
      <c r="H54">
        <v>195.72</v>
      </c>
      <c r="I54">
        <v>79.8</v>
      </c>
      <c r="J54">
        <v>115.92</v>
      </c>
      <c r="K54">
        <v>59.227467811158796</v>
      </c>
      <c r="L54" s="78">
        <v>42547</v>
      </c>
      <c r="M54" s="77" t="s">
        <v>318</v>
      </c>
      <c r="N54">
        <v>24.31304347826087</v>
      </c>
      <c r="O54">
        <v>4</v>
      </c>
    </row>
    <row r="55" spans="1:15" x14ac:dyDescent="0.35">
      <c r="A55" s="77" t="s">
        <v>14</v>
      </c>
      <c r="B55">
        <v>101</v>
      </c>
      <c r="C55">
        <v>34022</v>
      </c>
      <c r="D55" s="77" t="s">
        <v>54</v>
      </c>
      <c r="E55">
        <v>5.99</v>
      </c>
      <c r="F55">
        <v>2.72</v>
      </c>
      <c r="G55">
        <v>24</v>
      </c>
      <c r="H55">
        <v>143.76</v>
      </c>
      <c r="I55">
        <v>65.28</v>
      </c>
      <c r="J55">
        <v>78.47999999999999</v>
      </c>
      <c r="K55">
        <v>54.590984974958253</v>
      </c>
      <c r="L55" s="78">
        <v>42181</v>
      </c>
      <c r="M55" s="77" t="s">
        <v>317</v>
      </c>
      <c r="N55">
        <v>26.043478260869563</v>
      </c>
      <c r="O55">
        <v>5</v>
      </c>
    </row>
    <row r="56" spans="1:15" x14ac:dyDescent="0.35">
      <c r="A56" s="77" t="s">
        <v>14</v>
      </c>
      <c r="B56">
        <v>101</v>
      </c>
      <c r="C56">
        <v>32860</v>
      </c>
      <c r="D56" s="77" t="s">
        <v>16</v>
      </c>
      <c r="E56">
        <v>20.99</v>
      </c>
      <c r="F56">
        <v>11.1</v>
      </c>
      <c r="G56">
        <v>0</v>
      </c>
      <c r="H56">
        <v>0</v>
      </c>
      <c r="I56">
        <v>0</v>
      </c>
      <c r="J56">
        <v>0</v>
      </c>
      <c r="K56">
        <v>0</v>
      </c>
      <c r="L56" s="78">
        <v>42181</v>
      </c>
      <c r="M56" s="77" t="s">
        <v>317</v>
      </c>
      <c r="N56">
        <v>365.04347826086956</v>
      </c>
      <c r="O56">
        <v>20</v>
      </c>
    </row>
    <row r="57" spans="1:15" x14ac:dyDescent="0.35">
      <c r="A57" s="77" t="s">
        <v>14</v>
      </c>
      <c r="B57">
        <v>101</v>
      </c>
      <c r="C57">
        <v>32860</v>
      </c>
      <c r="D57" s="77" t="s">
        <v>16</v>
      </c>
      <c r="E57">
        <v>20.99</v>
      </c>
      <c r="F57">
        <v>11.1</v>
      </c>
      <c r="G57">
        <v>0</v>
      </c>
      <c r="H57">
        <v>0</v>
      </c>
      <c r="I57">
        <v>0</v>
      </c>
      <c r="J57">
        <v>0</v>
      </c>
      <c r="K57">
        <v>0</v>
      </c>
      <c r="L57" s="78">
        <v>42547</v>
      </c>
      <c r="M57" s="77" t="s">
        <v>318</v>
      </c>
      <c r="N57">
        <v>200.77391304347825</v>
      </c>
      <c r="O57">
        <v>11</v>
      </c>
    </row>
    <row r="58" spans="1:15" x14ac:dyDescent="0.35">
      <c r="A58" s="77" t="s">
        <v>14</v>
      </c>
      <c r="B58">
        <v>101</v>
      </c>
      <c r="C58">
        <v>61947</v>
      </c>
      <c r="D58" s="77" t="s">
        <v>42</v>
      </c>
      <c r="E58">
        <v>28.99</v>
      </c>
      <c r="F58">
        <v>8.93</v>
      </c>
      <c r="G58">
        <v>8</v>
      </c>
      <c r="H58">
        <v>231.92</v>
      </c>
      <c r="I58">
        <v>71.44</v>
      </c>
      <c r="J58">
        <v>160.47999999999999</v>
      </c>
      <c r="K58">
        <v>69.196274577440491</v>
      </c>
      <c r="L58" s="78">
        <v>42181</v>
      </c>
      <c r="M58" s="77" t="s">
        <v>317</v>
      </c>
      <c r="N58">
        <v>25.208695652173912</v>
      </c>
      <c r="O58">
        <v>1</v>
      </c>
    </row>
    <row r="59" spans="1:15" x14ac:dyDescent="0.35">
      <c r="A59" s="77" t="s">
        <v>14</v>
      </c>
      <c r="B59">
        <v>101</v>
      </c>
      <c r="C59">
        <v>61947</v>
      </c>
      <c r="D59" s="77" t="s">
        <v>42</v>
      </c>
      <c r="E59">
        <v>28.99</v>
      </c>
      <c r="F59">
        <v>8.93</v>
      </c>
      <c r="G59">
        <v>8</v>
      </c>
      <c r="H59">
        <v>231.92</v>
      </c>
      <c r="I59">
        <v>71.44</v>
      </c>
      <c r="J59">
        <v>160.47999999999999</v>
      </c>
      <c r="K59">
        <v>69.196274577440491</v>
      </c>
      <c r="L59" s="78">
        <v>42547</v>
      </c>
      <c r="M59" s="77" t="s">
        <v>318</v>
      </c>
      <c r="N59">
        <v>25.208695652173912</v>
      </c>
      <c r="O59">
        <v>1</v>
      </c>
    </row>
    <row r="60" spans="1:15" x14ac:dyDescent="0.35">
      <c r="A60" s="77" t="s">
        <v>107</v>
      </c>
      <c r="B60">
        <v>102</v>
      </c>
      <c r="C60">
        <v>32863</v>
      </c>
      <c r="D60" s="77" t="s">
        <v>109</v>
      </c>
      <c r="E60">
        <v>17.989999999999998</v>
      </c>
      <c r="F60">
        <v>9.4</v>
      </c>
      <c r="G60">
        <v>0</v>
      </c>
      <c r="H60">
        <v>0</v>
      </c>
      <c r="I60">
        <v>0</v>
      </c>
      <c r="J60">
        <v>0</v>
      </c>
      <c r="K60">
        <v>0</v>
      </c>
      <c r="L60" s="78">
        <v>42181</v>
      </c>
      <c r="M60" s="77" t="s">
        <v>317</v>
      </c>
      <c r="N60">
        <v>78.217391304347828</v>
      </c>
      <c r="O60">
        <v>5</v>
      </c>
    </row>
    <row r="61" spans="1:15" x14ac:dyDescent="0.35">
      <c r="A61" s="77" t="s">
        <v>107</v>
      </c>
      <c r="B61">
        <v>102</v>
      </c>
      <c r="C61">
        <v>32863</v>
      </c>
      <c r="D61" s="77" t="s">
        <v>109</v>
      </c>
      <c r="E61">
        <v>17.989999999999998</v>
      </c>
      <c r="F61">
        <v>9.4</v>
      </c>
      <c r="G61">
        <v>0</v>
      </c>
      <c r="H61">
        <v>0</v>
      </c>
      <c r="I61">
        <v>0</v>
      </c>
      <c r="J61">
        <v>0</v>
      </c>
      <c r="K61">
        <v>0</v>
      </c>
      <c r="L61" s="78">
        <v>42547</v>
      </c>
      <c r="M61" s="77" t="s">
        <v>318</v>
      </c>
      <c r="N61">
        <v>62.573913043478257</v>
      </c>
      <c r="O61">
        <v>4</v>
      </c>
    </row>
    <row r="62" spans="1:15" x14ac:dyDescent="0.35">
      <c r="A62" s="77" t="s">
        <v>14</v>
      </c>
      <c r="B62">
        <v>101</v>
      </c>
      <c r="C62">
        <v>34053</v>
      </c>
      <c r="D62" s="77" t="s">
        <v>57</v>
      </c>
      <c r="E62">
        <v>15.99</v>
      </c>
      <c r="F62">
        <v>6.74</v>
      </c>
      <c r="G62">
        <v>6</v>
      </c>
      <c r="H62">
        <v>95.94</v>
      </c>
      <c r="I62">
        <v>40.44</v>
      </c>
      <c r="J62">
        <v>55.5</v>
      </c>
      <c r="K62">
        <v>57.848655409631021</v>
      </c>
      <c r="L62" s="78">
        <v>42181</v>
      </c>
      <c r="M62" s="77" t="s">
        <v>317</v>
      </c>
      <c r="N62">
        <v>41.713043478260872</v>
      </c>
      <c r="O62">
        <v>3</v>
      </c>
    </row>
    <row r="63" spans="1:15" x14ac:dyDescent="0.35">
      <c r="A63" s="77" t="s">
        <v>14</v>
      </c>
      <c r="B63">
        <v>101</v>
      </c>
      <c r="C63">
        <v>34053</v>
      </c>
      <c r="D63" s="77" t="s">
        <v>57</v>
      </c>
      <c r="E63">
        <v>15.99</v>
      </c>
      <c r="F63">
        <v>6.74</v>
      </c>
      <c r="G63">
        <v>6</v>
      </c>
      <c r="H63">
        <v>95.94</v>
      </c>
      <c r="I63">
        <v>40.44</v>
      </c>
      <c r="J63">
        <v>55.5</v>
      </c>
      <c r="K63">
        <v>57.848655409631021</v>
      </c>
      <c r="L63" s="78">
        <v>42547</v>
      </c>
      <c r="M63" s="77" t="s">
        <v>318</v>
      </c>
      <c r="N63">
        <v>55.617391304347827</v>
      </c>
      <c r="O63">
        <v>4</v>
      </c>
    </row>
    <row r="64" spans="1:15" x14ac:dyDescent="0.35">
      <c r="A64" s="77" t="s">
        <v>107</v>
      </c>
      <c r="B64">
        <v>102</v>
      </c>
      <c r="C64">
        <v>32864</v>
      </c>
      <c r="D64" s="77" t="s">
        <v>108</v>
      </c>
      <c r="E64">
        <v>9.99</v>
      </c>
      <c r="F64">
        <v>5</v>
      </c>
      <c r="G64">
        <v>0</v>
      </c>
      <c r="H64">
        <v>0</v>
      </c>
      <c r="I64">
        <v>0</v>
      </c>
      <c r="J64">
        <v>0</v>
      </c>
      <c r="K64">
        <v>0</v>
      </c>
      <c r="L64" s="78">
        <v>42547</v>
      </c>
      <c r="M64" s="77" t="s">
        <v>318</v>
      </c>
      <c r="N64">
        <v>34.747826086956522</v>
      </c>
      <c r="O64">
        <v>4</v>
      </c>
    </row>
    <row r="65" spans="1:15" x14ac:dyDescent="0.35">
      <c r="A65" s="77" t="s">
        <v>14</v>
      </c>
      <c r="B65">
        <v>102</v>
      </c>
      <c r="C65">
        <v>32872</v>
      </c>
      <c r="D65" s="77" t="s">
        <v>98</v>
      </c>
      <c r="E65">
        <v>39.99</v>
      </c>
      <c r="F65">
        <v>11.79</v>
      </c>
      <c r="G65">
        <v>8</v>
      </c>
      <c r="H65">
        <v>319.92</v>
      </c>
      <c r="I65">
        <v>94.32</v>
      </c>
      <c r="J65">
        <v>225.60000000000002</v>
      </c>
      <c r="K65">
        <v>70.517629407351848</v>
      </c>
      <c r="L65" s="78">
        <v>42181</v>
      </c>
      <c r="M65" s="77" t="s">
        <v>317</v>
      </c>
      <c r="N65">
        <v>69.547826086956519</v>
      </c>
      <c r="O65">
        <v>2</v>
      </c>
    </row>
    <row r="66" spans="1:15" x14ac:dyDescent="0.35">
      <c r="A66" s="77" t="s">
        <v>14</v>
      </c>
      <c r="B66">
        <v>102</v>
      </c>
      <c r="C66">
        <v>33019</v>
      </c>
      <c r="D66" s="77" t="s">
        <v>112</v>
      </c>
      <c r="E66">
        <v>14.99</v>
      </c>
      <c r="F66">
        <v>5.5</v>
      </c>
      <c r="G66">
        <v>0</v>
      </c>
      <c r="H66">
        <v>0</v>
      </c>
      <c r="I66">
        <v>0</v>
      </c>
      <c r="J66">
        <v>0</v>
      </c>
      <c r="K66">
        <v>0</v>
      </c>
      <c r="L66" s="78">
        <v>42547</v>
      </c>
      <c r="M66" s="77" t="s">
        <v>318</v>
      </c>
      <c r="N66">
        <v>26.069565217391304</v>
      </c>
      <c r="O66">
        <v>2</v>
      </c>
    </row>
    <row r="67" spans="1:15" x14ac:dyDescent="0.35">
      <c r="A67" s="77" t="s">
        <v>14</v>
      </c>
      <c r="B67">
        <v>102</v>
      </c>
      <c r="C67">
        <v>33031</v>
      </c>
      <c r="D67" s="77" t="s">
        <v>97</v>
      </c>
      <c r="E67">
        <v>17.989999999999998</v>
      </c>
      <c r="F67">
        <v>9.1199999999999992</v>
      </c>
      <c r="G67">
        <v>8</v>
      </c>
      <c r="H67">
        <v>143.91999999999999</v>
      </c>
      <c r="I67">
        <v>72.959999999999994</v>
      </c>
      <c r="J67">
        <v>70.959999999999994</v>
      </c>
      <c r="K67">
        <v>49.305169538632576</v>
      </c>
      <c r="L67" s="78">
        <v>42181</v>
      </c>
      <c r="M67" s="77" t="s">
        <v>317</v>
      </c>
      <c r="N67">
        <v>140.7913043478261</v>
      </c>
      <c r="O67">
        <v>9</v>
      </c>
    </row>
    <row r="68" spans="1:15" x14ac:dyDescent="0.35">
      <c r="A68" s="77" t="s">
        <v>14</v>
      </c>
      <c r="B68">
        <v>101</v>
      </c>
      <c r="C68">
        <v>58767</v>
      </c>
      <c r="D68" s="77" t="s">
        <v>27</v>
      </c>
      <c r="E68">
        <v>19.989999999999998</v>
      </c>
      <c r="F68">
        <v>7.04</v>
      </c>
      <c r="G68">
        <v>0</v>
      </c>
      <c r="H68">
        <v>0</v>
      </c>
      <c r="I68">
        <v>0</v>
      </c>
      <c r="J68">
        <v>0</v>
      </c>
      <c r="K68">
        <v>0</v>
      </c>
      <c r="L68" s="78">
        <v>42181</v>
      </c>
      <c r="M68" s="77" t="s">
        <v>317</v>
      </c>
      <c r="N68">
        <v>121.67826086956522</v>
      </c>
      <c r="O68">
        <v>7</v>
      </c>
    </row>
    <row r="69" spans="1:15" x14ac:dyDescent="0.35">
      <c r="A69" s="77" t="s">
        <v>14</v>
      </c>
      <c r="B69">
        <v>101</v>
      </c>
      <c r="C69">
        <v>58767</v>
      </c>
      <c r="D69" s="77" t="s">
        <v>27</v>
      </c>
      <c r="E69">
        <v>19.989999999999998</v>
      </c>
      <c r="F69">
        <v>7.04</v>
      </c>
      <c r="G69">
        <v>0</v>
      </c>
      <c r="H69">
        <v>0</v>
      </c>
      <c r="I69">
        <v>0</v>
      </c>
      <c r="J69">
        <v>0</v>
      </c>
      <c r="K69">
        <v>0</v>
      </c>
      <c r="L69" s="78">
        <v>42547</v>
      </c>
      <c r="M69" s="77" t="s">
        <v>318</v>
      </c>
      <c r="N69">
        <v>52.14782608695652</v>
      </c>
      <c r="O69">
        <v>3</v>
      </c>
    </row>
    <row r="70" spans="1:15" x14ac:dyDescent="0.35">
      <c r="A70" s="77" t="s">
        <v>14</v>
      </c>
      <c r="B70">
        <v>102</v>
      </c>
      <c r="C70">
        <v>33995</v>
      </c>
      <c r="D70" s="77" t="s">
        <v>91</v>
      </c>
      <c r="E70">
        <v>15.99</v>
      </c>
      <c r="F70">
        <v>8.2200000000000006</v>
      </c>
      <c r="G70">
        <v>16</v>
      </c>
      <c r="H70">
        <v>255.84</v>
      </c>
      <c r="I70">
        <v>131.52000000000001</v>
      </c>
      <c r="J70">
        <v>124.32</v>
      </c>
      <c r="K70">
        <v>48.592870544090054</v>
      </c>
      <c r="L70" s="78">
        <v>42181</v>
      </c>
      <c r="M70" s="77" t="s">
        <v>317</v>
      </c>
      <c r="N70">
        <v>278.08695652173913</v>
      </c>
      <c r="O70">
        <v>20</v>
      </c>
    </row>
    <row r="71" spans="1:15" x14ac:dyDescent="0.35">
      <c r="A71" s="77" t="s">
        <v>14</v>
      </c>
      <c r="B71">
        <v>102</v>
      </c>
      <c r="C71">
        <v>33995</v>
      </c>
      <c r="D71" s="77" t="s">
        <v>91</v>
      </c>
      <c r="E71">
        <v>15.99</v>
      </c>
      <c r="F71">
        <v>8.2200000000000006</v>
      </c>
      <c r="G71">
        <v>16</v>
      </c>
      <c r="H71">
        <v>255.84</v>
      </c>
      <c r="I71">
        <v>131.52000000000001</v>
      </c>
      <c r="J71">
        <v>124.32</v>
      </c>
      <c r="K71">
        <v>48.592870544090054</v>
      </c>
      <c r="L71" s="78">
        <v>42547</v>
      </c>
      <c r="M71" s="77" t="s">
        <v>318</v>
      </c>
      <c r="N71">
        <v>97.330434782608705</v>
      </c>
      <c r="O71">
        <v>7</v>
      </c>
    </row>
    <row r="72" spans="1:15" x14ac:dyDescent="0.35">
      <c r="A72" s="77" t="s">
        <v>14</v>
      </c>
      <c r="B72">
        <v>101</v>
      </c>
      <c r="C72">
        <v>58512</v>
      </c>
      <c r="D72" s="77" t="s">
        <v>30</v>
      </c>
      <c r="E72">
        <v>26.99</v>
      </c>
      <c r="F72">
        <v>10.66</v>
      </c>
      <c r="G72">
        <v>0</v>
      </c>
      <c r="H72">
        <v>0</v>
      </c>
      <c r="I72">
        <v>0</v>
      </c>
      <c r="J72">
        <v>0</v>
      </c>
      <c r="K72">
        <v>0</v>
      </c>
      <c r="L72" s="78">
        <v>42181</v>
      </c>
      <c r="M72" s="77" t="s">
        <v>317</v>
      </c>
      <c r="N72">
        <v>70.408695652173918</v>
      </c>
      <c r="O72">
        <v>3</v>
      </c>
    </row>
    <row r="73" spans="1:15" x14ac:dyDescent="0.35">
      <c r="A73" s="77" t="s">
        <v>14</v>
      </c>
      <c r="B73">
        <v>101</v>
      </c>
      <c r="C73">
        <v>58512</v>
      </c>
      <c r="D73" s="77" t="s">
        <v>30</v>
      </c>
      <c r="E73">
        <v>26.99</v>
      </c>
      <c r="F73">
        <v>10.66</v>
      </c>
      <c r="G73">
        <v>0</v>
      </c>
      <c r="H73">
        <v>0</v>
      </c>
      <c r="I73">
        <v>0</v>
      </c>
      <c r="J73">
        <v>0</v>
      </c>
      <c r="K73">
        <v>0</v>
      </c>
      <c r="L73" s="78">
        <v>42547</v>
      </c>
      <c r="M73" s="77" t="s">
        <v>318</v>
      </c>
      <c r="N73">
        <v>70.408695652173918</v>
      </c>
      <c r="O73">
        <v>3</v>
      </c>
    </row>
    <row r="74" spans="1:15" x14ac:dyDescent="0.35">
      <c r="A74" s="77" t="s">
        <v>14</v>
      </c>
      <c r="B74">
        <v>101</v>
      </c>
      <c r="C74">
        <v>34004</v>
      </c>
      <c r="D74" s="77" t="s">
        <v>50</v>
      </c>
      <c r="E74">
        <v>1</v>
      </c>
      <c r="F74">
        <v>0.65</v>
      </c>
      <c r="G74">
        <v>0</v>
      </c>
      <c r="H74">
        <v>0</v>
      </c>
      <c r="I74">
        <v>0</v>
      </c>
      <c r="J74">
        <v>0</v>
      </c>
      <c r="K74">
        <v>0</v>
      </c>
      <c r="L74" s="78">
        <v>42181</v>
      </c>
      <c r="M74" s="77" t="s">
        <v>317</v>
      </c>
      <c r="N74">
        <v>30.434782608695652</v>
      </c>
      <c r="O74">
        <v>35</v>
      </c>
    </row>
    <row r="75" spans="1:15" x14ac:dyDescent="0.35">
      <c r="A75" s="77" t="s">
        <v>14</v>
      </c>
      <c r="B75">
        <v>101</v>
      </c>
      <c r="C75">
        <v>34004</v>
      </c>
      <c r="D75" s="77" t="s">
        <v>50</v>
      </c>
      <c r="E75">
        <v>1</v>
      </c>
      <c r="F75">
        <v>0.65</v>
      </c>
      <c r="G75">
        <v>0</v>
      </c>
      <c r="H75">
        <v>0</v>
      </c>
      <c r="I75">
        <v>0</v>
      </c>
      <c r="J75">
        <v>0</v>
      </c>
      <c r="K75">
        <v>0</v>
      </c>
      <c r="L75" s="78">
        <v>42547</v>
      </c>
      <c r="M75" s="77" t="s">
        <v>318</v>
      </c>
      <c r="N75">
        <v>6.9565217391304346</v>
      </c>
      <c r="O75">
        <v>8</v>
      </c>
    </row>
    <row r="76" spans="1:15" x14ac:dyDescent="0.35">
      <c r="A76" s="77" t="s">
        <v>14</v>
      </c>
      <c r="B76">
        <v>101</v>
      </c>
      <c r="C76">
        <v>34119</v>
      </c>
      <c r="D76" s="77" t="s">
        <v>36</v>
      </c>
      <c r="E76">
        <v>3.3</v>
      </c>
      <c r="F76">
        <v>1.85</v>
      </c>
      <c r="G76">
        <v>0</v>
      </c>
      <c r="H76">
        <v>0</v>
      </c>
      <c r="I76">
        <v>0</v>
      </c>
      <c r="J76">
        <v>0</v>
      </c>
      <c r="K76">
        <v>0</v>
      </c>
      <c r="L76" s="78">
        <v>42181</v>
      </c>
      <c r="M76" s="77" t="s">
        <v>317</v>
      </c>
      <c r="N76">
        <v>229.56521739130434</v>
      </c>
      <c r="O76">
        <v>80</v>
      </c>
    </row>
    <row r="77" spans="1:15" x14ac:dyDescent="0.35">
      <c r="A77" s="77" t="s">
        <v>14</v>
      </c>
      <c r="B77">
        <v>101</v>
      </c>
      <c r="C77">
        <v>42401</v>
      </c>
      <c r="D77" s="77" t="s">
        <v>38</v>
      </c>
      <c r="E77">
        <v>14.99</v>
      </c>
      <c r="F77">
        <v>6.62</v>
      </c>
      <c r="G77">
        <v>0</v>
      </c>
      <c r="H77">
        <v>0</v>
      </c>
      <c r="I77">
        <v>0</v>
      </c>
      <c r="J77">
        <v>0</v>
      </c>
      <c r="K77">
        <v>0</v>
      </c>
      <c r="L77" s="78">
        <v>42547</v>
      </c>
      <c r="M77" s="77" t="s">
        <v>318</v>
      </c>
      <c r="N77">
        <v>130.34782608695653</v>
      </c>
      <c r="O77">
        <v>10</v>
      </c>
    </row>
    <row r="78" spans="1:15" x14ac:dyDescent="0.35">
      <c r="A78" s="77" t="s">
        <v>14</v>
      </c>
      <c r="B78">
        <v>102</v>
      </c>
      <c r="C78">
        <v>34008</v>
      </c>
      <c r="D78" s="77" t="s">
        <v>104</v>
      </c>
      <c r="E78">
        <v>5.99</v>
      </c>
      <c r="F78">
        <v>4.32</v>
      </c>
      <c r="G78">
        <v>12</v>
      </c>
      <c r="H78">
        <v>71.88</v>
      </c>
      <c r="I78">
        <v>51.84</v>
      </c>
      <c r="J78">
        <v>20.039999999999992</v>
      </c>
      <c r="K78">
        <v>27.879799666110173</v>
      </c>
      <c r="L78" s="78">
        <v>42181</v>
      </c>
      <c r="M78" s="77" t="s">
        <v>317</v>
      </c>
      <c r="N78">
        <v>72.921739130434787</v>
      </c>
      <c r="O78">
        <v>14</v>
      </c>
    </row>
    <row r="79" spans="1:15" x14ac:dyDescent="0.35">
      <c r="A79" s="77" t="s">
        <v>14</v>
      </c>
      <c r="B79">
        <v>102</v>
      </c>
      <c r="C79">
        <v>34008</v>
      </c>
      <c r="D79" s="77" t="s">
        <v>104</v>
      </c>
      <c r="E79">
        <v>5.99</v>
      </c>
      <c r="F79">
        <v>4.32</v>
      </c>
      <c r="G79">
        <v>12</v>
      </c>
      <c r="H79">
        <v>71.88</v>
      </c>
      <c r="I79">
        <v>51.84</v>
      </c>
      <c r="J79">
        <v>20.039999999999992</v>
      </c>
      <c r="K79">
        <v>27.879799666110173</v>
      </c>
      <c r="L79" s="78">
        <v>42547</v>
      </c>
      <c r="M79" s="77" t="s">
        <v>318</v>
      </c>
      <c r="N79">
        <v>67.713043478260872</v>
      </c>
      <c r="O79">
        <v>13</v>
      </c>
    </row>
    <row r="80" spans="1:15" x14ac:dyDescent="0.35">
      <c r="A80" s="77" t="s">
        <v>19</v>
      </c>
      <c r="B80">
        <v>101</v>
      </c>
      <c r="C80">
        <v>34687</v>
      </c>
      <c r="D80" s="77" t="s">
        <v>40</v>
      </c>
      <c r="E80">
        <v>3.8</v>
      </c>
      <c r="F80">
        <v>1.9688000000000001</v>
      </c>
      <c r="G80">
        <v>0</v>
      </c>
      <c r="H80">
        <v>0</v>
      </c>
      <c r="I80">
        <v>0</v>
      </c>
      <c r="J80">
        <v>0</v>
      </c>
      <c r="K80">
        <v>0</v>
      </c>
      <c r="L80" s="78">
        <v>42181</v>
      </c>
      <c r="M80" s="77" t="s">
        <v>317</v>
      </c>
      <c r="N80">
        <v>19.826086956521738</v>
      </c>
      <c r="O80">
        <v>6</v>
      </c>
    </row>
    <row r="81" spans="1:15" x14ac:dyDescent="0.35">
      <c r="A81" s="77" t="s">
        <v>19</v>
      </c>
      <c r="B81">
        <v>101</v>
      </c>
      <c r="C81">
        <v>34687</v>
      </c>
      <c r="D81" s="77" t="s">
        <v>40</v>
      </c>
      <c r="E81">
        <v>3.8</v>
      </c>
      <c r="F81">
        <v>1.9688000000000001</v>
      </c>
      <c r="G81">
        <v>0</v>
      </c>
      <c r="H81">
        <v>0</v>
      </c>
      <c r="I81">
        <v>0</v>
      </c>
      <c r="J81">
        <v>0</v>
      </c>
      <c r="K81">
        <v>0</v>
      </c>
      <c r="L81" s="78">
        <v>42547</v>
      </c>
      <c r="M81" s="77" t="s">
        <v>318</v>
      </c>
      <c r="N81">
        <v>3.3043478260869565</v>
      </c>
      <c r="O81">
        <v>1</v>
      </c>
    </row>
    <row r="82" spans="1:15" x14ac:dyDescent="0.35">
      <c r="A82" s="77" t="s">
        <v>19</v>
      </c>
      <c r="B82">
        <v>101</v>
      </c>
      <c r="C82">
        <v>34687</v>
      </c>
      <c r="D82" s="77" t="s">
        <v>40</v>
      </c>
      <c r="E82">
        <v>3.8</v>
      </c>
      <c r="F82">
        <v>1.9688000000000001</v>
      </c>
      <c r="G82">
        <v>0</v>
      </c>
      <c r="H82">
        <v>0</v>
      </c>
      <c r="I82">
        <v>0</v>
      </c>
      <c r="J82">
        <v>0</v>
      </c>
      <c r="K82">
        <v>0</v>
      </c>
      <c r="L82" s="78">
        <v>42181</v>
      </c>
      <c r="M82" s="77" t="s">
        <v>317</v>
      </c>
      <c r="N82">
        <v>19.826086956521738</v>
      </c>
      <c r="O82">
        <v>6</v>
      </c>
    </row>
    <row r="83" spans="1:15" x14ac:dyDescent="0.35">
      <c r="A83" s="77" t="s">
        <v>19</v>
      </c>
      <c r="B83">
        <v>101</v>
      </c>
      <c r="C83">
        <v>34687</v>
      </c>
      <c r="D83" s="77" t="s">
        <v>40</v>
      </c>
      <c r="E83">
        <v>3.8</v>
      </c>
      <c r="F83">
        <v>1.9688000000000001</v>
      </c>
      <c r="G83">
        <v>0</v>
      </c>
      <c r="H83">
        <v>0</v>
      </c>
      <c r="I83">
        <v>0</v>
      </c>
      <c r="J83">
        <v>0</v>
      </c>
      <c r="K83">
        <v>0</v>
      </c>
      <c r="L83" s="78">
        <v>42547</v>
      </c>
      <c r="M83" s="77" t="s">
        <v>318</v>
      </c>
      <c r="N83">
        <v>3.3043478260869565</v>
      </c>
      <c r="O83">
        <v>1</v>
      </c>
    </row>
    <row r="84" spans="1:15" x14ac:dyDescent="0.35">
      <c r="A84" s="77" t="s">
        <v>35</v>
      </c>
      <c r="B84">
        <v>101</v>
      </c>
      <c r="C84">
        <v>34687</v>
      </c>
      <c r="D84" s="77" t="s">
        <v>40</v>
      </c>
      <c r="E84">
        <v>3.8</v>
      </c>
      <c r="F84">
        <v>2.0770666666666702</v>
      </c>
      <c r="G84">
        <v>0</v>
      </c>
      <c r="H84">
        <v>0</v>
      </c>
      <c r="I84">
        <v>0</v>
      </c>
      <c r="J84">
        <v>0</v>
      </c>
      <c r="K84">
        <v>0</v>
      </c>
      <c r="L84" s="78">
        <v>42181</v>
      </c>
      <c r="M84" s="77" t="s">
        <v>317</v>
      </c>
      <c r="N84">
        <v>19.826086956521738</v>
      </c>
      <c r="O84">
        <v>6</v>
      </c>
    </row>
    <row r="85" spans="1:15" x14ac:dyDescent="0.35">
      <c r="A85" s="77" t="s">
        <v>35</v>
      </c>
      <c r="B85">
        <v>101</v>
      </c>
      <c r="C85">
        <v>34687</v>
      </c>
      <c r="D85" s="77" t="s">
        <v>40</v>
      </c>
      <c r="E85">
        <v>3.8</v>
      </c>
      <c r="F85">
        <v>2.0770666666666702</v>
      </c>
      <c r="G85">
        <v>0</v>
      </c>
      <c r="H85">
        <v>0</v>
      </c>
      <c r="I85">
        <v>0</v>
      </c>
      <c r="J85">
        <v>0</v>
      </c>
      <c r="K85">
        <v>0</v>
      </c>
      <c r="L85" s="78">
        <v>42547</v>
      </c>
      <c r="M85" s="77" t="s">
        <v>318</v>
      </c>
      <c r="N85">
        <v>3.3043478260869565</v>
      </c>
      <c r="O85">
        <v>1</v>
      </c>
    </row>
    <row r="86" spans="1:15" x14ac:dyDescent="0.35">
      <c r="A86" s="77" t="s">
        <v>35</v>
      </c>
      <c r="B86">
        <v>101</v>
      </c>
      <c r="C86">
        <v>34687</v>
      </c>
      <c r="D86" s="77" t="s">
        <v>40</v>
      </c>
      <c r="E86">
        <v>3.8</v>
      </c>
      <c r="F86">
        <v>2.0770666666666702</v>
      </c>
      <c r="G86">
        <v>0</v>
      </c>
      <c r="H86">
        <v>0</v>
      </c>
      <c r="I86">
        <v>0</v>
      </c>
      <c r="J86">
        <v>0</v>
      </c>
      <c r="K86">
        <v>0</v>
      </c>
      <c r="L86" s="78">
        <v>42181</v>
      </c>
      <c r="M86" s="77" t="s">
        <v>317</v>
      </c>
      <c r="N86">
        <v>19.826086956521738</v>
      </c>
      <c r="O86">
        <v>6</v>
      </c>
    </row>
    <row r="87" spans="1:15" x14ac:dyDescent="0.35">
      <c r="A87" s="77" t="s">
        <v>35</v>
      </c>
      <c r="B87">
        <v>101</v>
      </c>
      <c r="C87">
        <v>34687</v>
      </c>
      <c r="D87" s="77" t="s">
        <v>40</v>
      </c>
      <c r="E87">
        <v>3.8</v>
      </c>
      <c r="F87">
        <v>2.0770666666666702</v>
      </c>
      <c r="G87">
        <v>0</v>
      </c>
      <c r="H87">
        <v>0</v>
      </c>
      <c r="I87">
        <v>0</v>
      </c>
      <c r="J87">
        <v>0</v>
      </c>
      <c r="K87">
        <v>0</v>
      </c>
      <c r="L87" s="78">
        <v>42547</v>
      </c>
      <c r="M87" s="77" t="s">
        <v>318</v>
      </c>
      <c r="N87">
        <v>3.3043478260869565</v>
      </c>
      <c r="O87">
        <v>1</v>
      </c>
    </row>
    <row r="88" spans="1:15" x14ac:dyDescent="0.35">
      <c r="A88" s="77" t="s">
        <v>19</v>
      </c>
      <c r="B88">
        <v>102</v>
      </c>
      <c r="C88">
        <v>34015</v>
      </c>
      <c r="D88" s="77" t="s">
        <v>106</v>
      </c>
      <c r="E88">
        <v>29.99</v>
      </c>
      <c r="F88">
        <v>3.1788888888888902</v>
      </c>
      <c r="G88">
        <v>6</v>
      </c>
      <c r="H88">
        <v>179.94</v>
      </c>
      <c r="I88">
        <v>19.073333333333341</v>
      </c>
      <c r="J88">
        <v>160.86666666666665</v>
      </c>
      <c r="K88">
        <v>89.400170427179418</v>
      </c>
      <c r="L88" s="78">
        <v>42181</v>
      </c>
      <c r="M88" s="77" t="s">
        <v>317</v>
      </c>
      <c r="N88">
        <v>78.234782608695653</v>
      </c>
      <c r="O88">
        <v>3</v>
      </c>
    </row>
    <row r="89" spans="1:15" x14ac:dyDescent="0.35">
      <c r="A89" s="77" t="s">
        <v>19</v>
      </c>
      <c r="B89">
        <v>102</v>
      </c>
      <c r="C89">
        <v>34015</v>
      </c>
      <c r="D89" s="77" t="s">
        <v>106</v>
      </c>
      <c r="E89">
        <v>29.99</v>
      </c>
      <c r="F89">
        <v>3.1788888888888902</v>
      </c>
      <c r="G89">
        <v>6</v>
      </c>
      <c r="H89">
        <v>179.94</v>
      </c>
      <c r="I89">
        <v>19.073333333333341</v>
      </c>
      <c r="J89">
        <v>160.86666666666665</v>
      </c>
      <c r="K89">
        <v>89.400170427179418</v>
      </c>
      <c r="L89" s="78">
        <v>42547</v>
      </c>
      <c r="M89" s="77" t="s">
        <v>318</v>
      </c>
      <c r="N89">
        <v>26.078260869565216</v>
      </c>
      <c r="O89">
        <v>1</v>
      </c>
    </row>
    <row r="90" spans="1:15" x14ac:dyDescent="0.35">
      <c r="A90" s="77" t="s">
        <v>14</v>
      </c>
      <c r="B90">
        <v>101</v>
      </c>
      <c r="C90">
        <v>34088</v>
      </c>
      <c r="D90" s="77" t="s">
        <v>44</v>
      </c>
      <c r="E90">
        <v>1.5</v>
      </c>
      <c r="F90">
        <v>0.68</v>
      </c>
      <c r="G90">
        <v>0</v>
      </c>
      <c r="H90">
        <v>0</v>
      </c>
      <c r="I90">
        <v>0</v>
      </c>
      <c r="J90">
        <v>0</v>
      </c>
      <c r="K90">
        <v>0</v>
      </c>
      <c r="L90" s="78">
        <v>42547</v>
      </c>
      <c r="M90" s="77" t="s">
        <v>318</v>
      </c>
      <c r="N90">
        <v>117.39130434782609</v>
      </c>
      <c r="O90">
        <v>90</v>
      </c>
    </row>
    <row r="91" spans="1:15" x14ac:dyDescent="0.35">
      <c r="A91" s="77" t="s">
        <v>14</v>
      </c>
      <c r="B91">
        <v>101</v>
      </c>
      <c r="C91">
        <v>34092</v>
      </c>
      <c r="D91" s="77" t="s">
        <v>47</v>
      </c>
      <c r="E91">
        <v>4.99</v>
      </c>
      <c r="F91">
        <v>2.52</v>
      </c>
      <c r="G91">
        <v>0</v>
      </c>
      <c r="H91">
        <v>0</v>
      </c>
      <c r="I91">
        <v>0</v>
      </c>
      <c r="J91">
        <v>0</v>
      </c>
      <c r="K91">
        <v>0</v>
      </c>
      <c r="L91" s="78">
        <v>42181</v>
      </c>
      <c r="M91" s="77" t="s">
        <v>317</v>
      </c>
      <c r="N91">
        <v>30.373913043478261</v>
      </c>
      <c r="O91">
        <v>7</v>
      </c>
    </row>
    <row r="92" spans="1:15" x14ac:dyDescent="0.35">
      <c r="A92" s="77" t="s">
        <v>14</v>
      </c>
      <c r="B92">
        <v>101</v>
      </c>
      <c r="C92">
        <v>34092</v>
      </c>
      <c r="D92" s="77" t="s">
        <v>47</v>
      </c>
      <c r="E92">
        <v>4.99</v>
      </c>
      <c r="F92">
        <v>2.52</v>
      </c>
      <c r="G92">
        <v>0</v>
      </c>
      <c r="H92">
        <v>0</v>
      </c>
      <c r="I92">
        <v>0</v>
      </c>
      <c r="J92">
        <v>0</v>
      </c>
      <c r="K92">
        <v>0</v>
      </c>
      <c r="L92" s="78">
        <v>42547</v>
      </c>
      <c r="M92" s="77" t="s">
        <v>318</v>
      </c>
      <c r="N92">
        <v>8.6782608695652179</v>
      </c>
      <c r="O92">
        <v>2</v>
      </c>
    </row>
    <row r="93" spans="1:15" x14ac:dyDescent="0.35">
      <c r="A93" s="77" t="s">
        <v>14</v>
      </c>
      <c r="B93">
        <v>101</v>
      </c>
      <c r="C93">
        <v>34086</v>
      </c>
      <c r="D93" s="77" t="s">
        <v>60</v>
      </c>
      <c r="E93">
        <v>29.99</v>
      </c>
      <c r="F93">
        <v>10</v>
      </c>
      <c r="G93">
        <v>0</v>
      </c>
      <c r="H93">
        <v>0</v>
      </c>
      <c r="I93">
        <v>0</v>
      </c>
      <c r="J93">
        <v>0</v>
      </c>
      <c r="K93">
        <v>0</v>
      </c>
      <c r="L93" s="78">
        <v>42181</v>
      </c>
      <c r="M93" s="77" t="s">
        <v>317</v>
      </c>
      <c r="N93">
        <v>5.2695652173913041</v>
      </c>
      <c r="O93">
        <v>0.20200000000000001</v>
      </c>
    </row>
    <row r="94" spans="1:15" x14ac:dyDescent="0.35">
      <c r="A94" s="77" t="s">
        <v>14</v>
      </c>
      <c r="B94">
        <v>101</v>
      </c>
      <c r="C94">
        <v>34068</v>
      </c>
      <c r="D94" s="77" t="s">
        <v>74</v>
      </c>
      <c r="E94">
        <v>1.5</v>
      </c>
      <c r="F94">
        <v>0.59</v>
      </c>
      <c r="G94">
        <v>0</v>
      </c>
      <c r="H94">
        <v>0</v>
      </c>
      <c r="I94">
        <v>0</v>
      </c>
      <c r="J94">
        <v>0</v>
      </c>
      <c r="K94">
        <v>0</v>
      </c>
      <c r="L94" s="78">
        <v>42181</v>
      </c>
      <c r="M94" s="77" t="s">
        <v>317</v>
      </c>
      <c r="N94">
        <v>20.869565217391305</v>
      </c>
      <c r="O94">
        <v>16</v>
      </c>
    </row>
    <row r="95" spans="1:15" x14ac:dyDescent="0.35">
      <c r="A95" s="77" t="s">
        <v>14</v>
      </c>
      <c r="B95">
        <v>101</v>
      </c>
      <c r="C95">
        <v>62622</v>
      </c>
      <c r="D95" s="77" t="s">
        <v>70</v>
      </c>
      <c r="E95">
        <v>26.99</v>
      </c>
      <c r="F95">
        <v>14.15</v>
      </c>
      <c r="G95">
        <v>0</v>
      </c>
      <c r="H95">
        <v>0</v>
      </c>
      <c r="I95">
        <v>0</v>
      </c>
      <c r="J95">
        <v>0</v>
      </c>
      <c r="K95">
        <v>0</v>
      </c>
      <c r="L95" s="78">
        <v>42181</v>
      </c>
      <c r="M95" s="77" t="s">
        <v>317</v>
      </c>
      <c r="N95">
        <v>70.408695652173918</v>
      </c>
      <c r="O95">
        <v>3</v>
      </c>
    </row>
    <row r="96" spans="1:15" x14ac:dyDescent="0.35">
      <c r="A96" s="77" t="s">
        <v>14</v>
      </c>
      <c r="B96">
        <v>102</v>
      </c>
      <c r="C96">
        <v>34102</v>
      </c>
      <c r="D96" s="77" t="s">
        <v>129</v>
      </c>
      <c r="E96">
        <v>9.99</v>
      </c>
      <c r="F96">
        <v>4.99</v>
      </c>
      <c r="G96">
        <v>0</v>
      </c>
      <c r="H96">
        <v>0</v>
      </c>
      <c r="I96">
        <v>0</v>
      </c>
      <c r="J96">
        <v>0</v>
      </c>
      <c r="K96">
        <v>0</v>
      </c>
      <c r="L96" s="78">
        <v>42547</v>
      </c>
      <c r="M96" s="77" t="s">
        <v>318</v>
      </c>
      <c r="N96">
        <v>43.434782608695656</v>
      </c>
      <c r="O96">
        <v>5</v>
      </c>
    </row>
    <row r="97" spans="1:15" x14ac:dyDescent="0.35">
      <c r="A97" s="77" t="s">
        <v>14</v>
      </c>
      <c r="B97">
        <v>102</v>
      </c>
      <c r="C97">
        <v>38977</v>
      </c>
      <c r="D97" s="77" t="s">
        <v>95</v>
      </c>
      <c r="E97">
        <v>18.989999999999998</v>
      </c>
      <c r="F97">
        <v>9.6999999999999993</v>
      </c>
      <c r="G97">
        <v>0</v>
      </c>
      <c r="H97">
        <v>0</v>
      </c>
      <c r="I97">
        <v>0</v>
      </c>
      <c r="J97">
        <v>0</v>
      </c>
      <c r="K97">
        <v>0</v>
      </c>
      <c r="L97" s="78">
        <v>42181</v>
      </c>
      <c r="M97" s="77" t="s">
        <v>317</v>
      </c>
      <c r="N97">
        <v>132.10434782608695</v>
      </c>
      <c r="O97">
        <v>8</v>
      </c>
    </row>
    <row r="98" spans="1:15" x14ac:dyDescent="0.35">
      <c r="A98" s="77" t="s">
        <v>14</v>
      </c>
      <c r="B98">
        <v>102</v>
      </c>
      <c r="C98">
        <v>38977</v>
      </c>
      <c r="D98" s="77" t="s">
        <v>95</v>
      </c>
      <c r="E98">
        <v>18.989999999999998</v>
      </c>
      <c r="F98">
        <v>9.6999999999999993</v>
      </c>
      <c r="G98">
        <v>0</v>
      </c>
      <c r="H98">
        <v>0</v>
      </c>
      <c r="I98">
        <v>0</v>
      </c>
      <c r="J98">
        <v>0</v>
      </c>
      <c r="K98">
        <v>0</v>
      </c>
      <c r="L98" s="78">
        <v>42547</v>
      </c>
      <c r="M98" s="77" t="s">
        <v>318</v>
      </c>
      <c r="N98">
        <v>132.10434782608695</v>
      </c>
      <c r="O98">
        <v>8</v>
      </c>
    </row>
    <row r="99" spans="1:15" x14ac:dyDescent="0.35">
      <c r="A99" s="77" t="s">
        <v>14</v>
      </c>
      <c r="B99">
        <v>102</v>
      </c>
      <c r="C99">
        <v>52943</v>
      </c>
      <c r="D99" s="77" t="s">
        <v>90</v>
      </c>
      <c r="E99">
        <v>31.99</v>
      </c>
      <c r="F99">
        <v>15.17</v>
      </c>
      <c r="G99">
        <v>213</v>
      </c>
      <c r="H99">
        <v>6813.87</v>
      </c>
      <c r="I99">
        <v>3231.21</v>
      </c>
      <c r="J99">
        <v>3582.66</v>
      </c>
      <c r="K99">
        <v>52.578930915911229</v>
      </c>
      <c r="L99" s="78">
        <v>42181</v>
      </c>
      <c r="M99" s="77" t="s">
        <v>317</v>
      </c>
      <c r="N99">
        <v>194.04347826086956</v>
      </c>
      <c r="O99">
        <v>6.976</v>
      </c>
    </row>
    <row r="100" spans="1:15" x14ac:dyDescent="0.35">
      <c r="A100" s="77" t="s">
        <v>14</v>
      </c>
      <c r="B100">
        <v>102</v>
      </c>
      <c r="C100">
        <v>52943</v>
      </c>
      <c r="D100" s="77" t="s">
        <v>90</v>
      </c>
      <c r="E100">
        <v>31.99</v>
      </c>
      <c r="F100">
        <v>15.17</v>
      </c>
      <c r="G100">
        <v>213</v>
      </c>
      <c r="H100">
        <v>6813.87</v>
      </c>
      <c r="I100">
        <v>3231.21</v>
      </c>
      <c r="J100">
        <v>3582.66</v>
      </c>
      <c r="K100">
        <v>52.578930915911229</v>
      </c>
      <c r="L100" s="78">
        <v>42547</v>
      </c>
      <c r="M100" s="77" t="s">
        <v>318</v>
      </c>
      <c r="N100">
        <v>133.09565217391304</v>
      </c>
      <c r="O100">
        <v>4.7850000000000001</v>
      </c>
    </row>
    <row r="101" spans="1:15" x14ac:dyDescent="0.35">
      <c r="A101" s="77" t="s">
        <v>14</v>
      </c>
      <c r="B101">
        <v>102</v>
      </c>
      <c r="C101">
        <v>39422</v>
      </c>
      <c r="D101" s="77" t="s">
        <v>120</v>
      </c>
      <c r="E101">
        <v>15.99</v>
      </c>
      <c r="F101">
        <v>8.3000000000000007</v>
      </c>
      <c r="G101">
        <v>6</v>
      </c>
      <c r="H101">
        <v>95.94</v>
      </c>
      <c r="I101">
        <v>49.800000000000004</v>
      </c>
      <c r="J101">
        <v>46.139999999999993</v>
      </c>
      <c r="K101">
        <v>48.092557848655403</v>
      </c>
      <c r="L101" s="78">
        <v>42181</v>
      </c>
      <c r="M101" s="77" t="s">
        <v>317</v>
      </c>
      <c r="N101">
        <v>13.904347826086957</v>
      </c>
      <c r="O101">
        <v>1</v>
      </c>
    </row>
    <row r="102" spans="1:15" x14ac:dyDescent="0.35">
      <c r="A102" s="77" t="s">
        <v>14</v>
      </c>
      <c r="B102">
        <v>102</v>
      </c>
      <c r="C102">
        <v>39422</v>
      </c>
      <c r="D102" s="77" t="s">
        <v>120</v>
      </c>
      <c r="E102">
        <v>15.99</v>
      </c>
      <c r="F102">
        <v>8.3000000000000007</v>
      </c>
      <c r="G102">
        <v>6</v>
      </c>
      <c r="H102">
        <v>95.94</v>
      </c>
      <c r="I102">
        <v>49.800000000000004</v>
      </c>
      <c r="J102">
        <v>46.139999999999993</v>
      </c>
      <c r="K102">
        <v>48.092557848655403</v>
      </c>
      <c r="L102" s="78">
        <v>42547</v>
      </c>
      <c r="M102" s="77" t="s">
        <v>318</v>
      </c>
      <c r="N102">
        <v>13.904347826086957</v>
      </c>
      <c r="O102">
        <v>1</v>
      </c>
    </row>
    <row r="103" spans="1:15" x14ac:dyDescent="0.35">
      <c r="A103" s="77" t="s">
        <v>14</v>
      </c>
      <c r="B103">
        <v>102</v>
      </c>
      <c r="C103">
        <v>61939</v>
      </c>
      <c r="D103" s="77" t="s">
        <v>101</v>
      </c>
      <c r="E103">
        <v>10</v>
      </c>
      <c r="F103">
        <v>5.09</v>
      </c>
      <c r="G103">
        <v>24</v>
      </c>
      <c r="H103">
        <v>240</v>
      </c>
      <c r="I103">
        <v>122.16</v>
      </c>
      <c r="J103">
        <v>117.84</v>
      </c>
      <c r="K103">
        <v>49.1</v>
      </c>
      <c r="L103" s="78">
        <v>42547</v>
      </c>
      <c r="M103" s="77" t="s">
        <v>318</v>
      </c>
      <c r="N103">
        <v>147.82608695652175</v>
      </c>
      <c r="O103">
        <v>17</v>
      </c>
    </row>
    <row r="104" spans="1:15" x14ac:dyDescent="0.35">
      <c r="A104" s="77" t="s">
        <v>14</v>
      </c>
      <c r="B104">
        <v>102</v>
      </c>
      <c r="C104">
        <v>42990</v>
      </c>
      <c r="D104" s="77" t="s">
        <v>93</v>
      </c>
      <c r="E104">
        <v>19.989999999999998</v>
      </c>
      <c r="F104">
        <v>10.85</v>
      </c>
      <c r="G104">
        <v>16</v>
      </c>
      <c r="H104">
        <v>319.83999999999997</v>
      </c>
      <c r="I104">
        <v>173.6</v>
      </c>
      <c r="J104">
        <v>146.23999999999998</v>
      </c>
      <c r="K104">
        <v>45.722861430715355</v>
      </c>
      <c r="L104" s="78">
        <v>42181</v>
      </c>
      <c r="M104" s="77" t="s">
        <v>317</v>
      </c>
      <c r="N104">
        <v>121.67826086956522</v>
      </c>
      <c r="O104">
        <v>7</v>
      </c>
    </row>
    <row r="105" spans="1:15" x14ac:dyDescent="0.35">
      <c r="A105" s="77" t="s">
        <v>14</v>
      </c>
      <c r="B105">
        <v>102</v>
      </c>
      <c r="C105">
        <v>42990</v>
      </c>
      <c r="D105" s="77" t="s">
        <v>93</v>
      </c>
      <c r="E105">
        <v>19.989999999999998</v>
      </c>
      <c r="F105">
        <v>10.85</v>
      </c>
      <c r="G105">
        <v>16</v>
      </c>
      <c r="H105">
        <v>319.83999999999997</v>
      </c>
      <c r="I105">
        <v>173.6</v>
      </c>
      <c r="J105">
        <v>146.23999999999998</v>
      </c>
      <c r="K105">
        <v>45.722861430715355</v>
      </c>
      <c r="L105" s="78">
        <v>42547</v>
      </c>
      <c r="M105" s="77" t="s">
        <v>318</v>
      </c>
      <c r="N105">
        <v>173.82608695652175</v>
      </c>
      <c r="O105">
        <v>10</v>
      </c>
    </row>
    <row r="106" spans="1:15" x14ac:dyDescent="0.35">
      <c r="A106" s="77" t="s">
        <v>14</v>
      </c>
      <c r="B106">
        <v>102</v>
      </c>
      <c r="C106">
        <v>42797</v>
      </c>
      <c r="D106" s="77" t="s">
        <v>99</v>
      </c>
      <c r="E106">
        <v>11.99</v>
      </c>
      <c r="F106">
        <v>5.12</v>
      </c>
      <c r="G106">
        <v>10</v>
      </c>
      <c r="H106">
        <v>119.9</v>
      </c>
      <c r="I106">
        <v>51.2</v>
      </c>
      <c r="J106">
        <v>68.7</v>
      </c>
      <c r="K106">
        <v>57.2977481234362</v>
      </c>
      <c r="L106" s="78">
        <v>42181</v>
      </c>
      <c r="M106" s="77" t="s">
        <v>317</v>
      </c>
      <c r="N106">
        <v>125.11304347826086</v>
      </c>
      <c r="O106">
        <v>12</v>
      </c>
    </row>
    <row r="107" spans="1:15" x14ac:dyDescent="0.35">
      <c r="A107" s="77" t="s">
        <v>14</v>
      </c>
      <c r="B107">
        <v>102</v>
      </c>
      <c r="C107">
        <v>42797</v>
      </c>
      <c r="D107" s="77" t="s">
        <v>99</v>
      </c>
      <c r="E107">
        <v>11.99</v>
      </c>
      <c r="F107">
        <v>5.12</v>
      </c>
      <c r="G107">
        <v>10</v>
      </c>
      <c r="H107">
        <v>119.9</v>
      </c>
      <c r="I107">
        <v>51.2</v>
      </c>
      <c r="J107">
        <v>68.7</v>
      </c>
      <c r="K107">
        <v>57.2977481234362</v>
      </c>
      <c r="L107" s="78">
        <v>42547</v>
      </c>
      <c r="M107" s="77" t="s">
        <v>318</v>
      </c>
      <c r="N107">
        <v>72.982608695652175</v>
      </c>
      <c r="O107">
        <v>7</v>
      </c>
    </row>
    <row r="108" spans="1:15" x14ac:dyDescent="0.35">
      <c r="A108" s="77" t="s">
        <v>14</v>
      </c>
      <c r="B108">
        <v>102</v>
      </c>
      <c r="C108">
        <v>42797</v>
      </c>
      <c r="D108" s="77" t="s">
        <v>99</v>
      </c>
      <c r="E108">
        <v>11.99</v>
      </c>
      <c r="F108">
        <v>5.12</v>
      </c>
      <c r="G108">
        <v>10</v>
      </c>
      <c r="H108">
        <v>119.9</v>
      </c>
      <c r="I108">
        <v>51.2</v>
      </c>
      <c r="J108">
        <v>68.7</v>
      </c>
      <c r="K108">
        <v>57.2977481234362</v>
      </c>
      <c r="L108" s="78">
        <v>42181</v>
      </c>
      <c r="M108" s="77" t="s">
        <v>317</v>
      </c>
      <c r="N108">
        <v>125.11304347826086</v>
      </c>
      <c r="O108">
        <v>12</v>
      </c>
    </row>
    <row r="109" spans="1:15" x14ac:dyDescent="0.35">
      <c r="A109" s="77" t="s">
        <v>14</v>
      </c>
      <c r="B109">
        <v>102</v>
      </c>
      <c r="C109">
        <v>42797</v>
      </c>
      <c r="D109" s="77" t="s">
        <v>99</v>
      </c>
      <c r="E109">
        <v>11.99</v>
      </c>
      <c r="F109">
        <v>5.12</v>
      </c>
      <c r="G109">
        <v>10</v>
      </c>
      <c r="H109">
        <v>119.9</v>
      </c>
      <c r="I109">
        <v>51.2</v>
      </c>
      <c r="J109">
        <v>68.7</v>
      </c>
      <c r="K109">
        <v>57.2977481234362</v>
      </c>
      <c r="L109" s="78">
        <v>42547</v>
      </c>
      <c r="M109" s="77" t="s">
        <v>318</v>
      </c>
      <c r="N109">
        <v>72.982608695652175</v>
      </c>
      <c r="O109">
        <v>7</v>
      </c>
    </row>
    <row r="110" spans="1:15" x14ac:dyDescent="0.35">
      <c r="A110" s="77" t="s">
        <v>19</v>
      </c>
      <c r="B110">
        <v>102</v>
      </c>
      <c r="C110">
        <v>42797</v>
      </c>
      <c r="D110" s="77" t="s">
        <v>99</v>
      </c>
      <c r="E110">
        <v>11.99</v>
      </c>
      <c r="F110">
        <v>4.84</v>
      </c>
      <c r="G110">
        <v>0</v>
      </c>
      <c r="H110">
        <v>0</v>
      </c>
      <c r="I110">
        <v>0</v>
      </c>
      <c r="J110">
        <v>0</v>
      </c>
      <c r="K110">
        <v>0</v>
      </c>
      <c r="L110" s="78">
        <v>42181</v>
      </c>
      <c r="M110" s="77" t="s">
        <v>317</v>
      </c>
      <c r="N110">
        <v>125.11304347826086</v>
      </c>
      <c r="O110">
        <v>12</v>
      </c>
    </row>
    <row r="111" spans="1:15" x14ac:dyDescent="0.35">
      <c r="A111" s="77" t="s">
        <v>19</v>
      </c>
      <c r="B111">
        <v>102</v>
      </c>
      <c r="C111">
        <v>42797</v>
      </c>
      <c r="D111" s="77" t="s">
        <v>99</v>
      </c>
      <c r="E111">
        <v>11.99</v>
      </c>
      <c r="F111">
        <v>4.84</v>
      </c>
      <c r="G111">
        <v>0</v>
      </c>
      <c r="H111">
        <v>0</v>
      </c>
      <c r="I111">
        <v>0</v>
      </c>
      <c r="J111">
        <v>0</v>
      </c>
      <c r="K111">
        <v>0</v>
      </c>
      <c r="L111" s="78">
        <v>42547</v>
      </c>
      <c r="M111" s="77" t="s">
        <v>318</v>
      </c>
      <c r="N111">
        <v>72.982608695652175</v>
      </c>
      <c r="O111">
        <v>7</v>
      </c>
    </row>
    <row r="112" spans="1:15" x14ac:dyDescent="0.35">
      <c r="A112" s="77" t="s">
        <v>19</v>
      </c>
      <c r="B112">
        <v>102</v>
      </c>
      <c r="C112">
        <v>42797</v>
      </c>
      <c r="D112" s="77" t="s">
        <v>99</v>
      </c>
      <c r="E112">
        <v>11.99</v>
      </c>
      <c r="F112">
        <v>4.84</v>
      </c>
      <c r="G112">
        <v>0</v>
      </c>
      <c r="H112">
        <v>0</v>
      </c>
      <c r="I112">
        <v>0</v>
      </c>
      <c r="J112">
        <v>0</v>
      </c>
      <c r="K112">
        <v>0</v>
      </c>
      <c r="L112" s="78">
        <v>42181</v>
      </c>
      <c r="M112" s="77" t="s">
        <v>317</v>
      </c>
      <c r="N112">
        <v>125.11304347826086</v>
      </c>
      <c r="O112">
        <v>12</v>
      </c>
    </row>
    <row r="113" spans="1:15" x14ac:dyDescent="0.35">
      <c r="A113" s="77" t="s">
        <v>19</v>
      </c>
      <c r="B113">
        <v>102</v>
      </c>
      <c r="C113">
        <v>42797</v>
      </c>
      <c r="D113" s="77" t="s">
        <v>99</v>
      </c>
      <c r="E113">
        <v>11.99</v>
      </c>
      <c r="F113">
        <v>4.84</v>
      </c>
      <c r="G113">
        <v>0</v>
      </c>
      <c r="H113">
        <v>0</v>
      </c>
      <c r="I113">
        <v>0</v>
      </c>
      <c r="J113">
        <v>0</v>
      </c>
      <c r="K113">
        <v>0</v>
      </c>
      <c r="L113" s="78">
        <v>42547</v>
      </c>
      <c r="M113" s="77" t="s">
        <v>318</v>
      </c>
      <c r="N113">
        <v>72.982608695652175</v>
      </c>
      <c r="O113">
        <v>7</v>
      </c>
    </row>
    <row r="114" spans="1:15" x14ac:dyDescent="0.35">
      <c r="A114" s="77" t="s">
        <v>14</v>
      </c>
      <c r="B114">
        <v>102</v>
      </c>
      <c r="C114">
        <v>61938</v>
      </c>
      <c r="D114" s="77" t="s">
        <v>124</v>
      </c>
      <c r="E114">
        <v>10</v>
      </c>
      <c r="F114">
        <v>3.43</v>
      </c>
      <c r="G114">
        <v>12</v>
      </c>
      <c r="H114">
        <v>120</v>
      </c>
      <c r="I114">
        <v>41.160000000000004</v>
      </c>
      <c r="J114">
        <v>78.84</v>
      </c>
      <c r="K114">
        <v>65.7</v>
      </c>
      <c r="L114" s="78">
        <v>42181</v>
      </c>
      <c r="M114" s="77" t="s">
        <v>317</v>
      </c>
      <c r="N114">
        <v>26.086956521739129</v>
      </c>
      <c r="O114">
        <v>3</v>
      </c>
    </row>
    <row r="115" spans="1:15" x14ac:dyDescent="0.35">
      <c r="A115" s="77" t="s">
        <v>14</v>
      </c>
      <c r="B115">
        <v>102</v>
      </c>
      <c r="C115">
        <v>61937</v>
      </c>
      <c r="D115" s="77" t="s">
        <v>122</v>
      </c>
      <c r="E115">
        <v>10</v>
      </c>
      <c r="F115">
        <v>2.67</v>
      </c>
      <c r="G115">
        <v>10</v>
      </c>
      <c r="H115">
        <v>100</v>
      </c>
      <c r="I115">
        <v>26.7</v>
      </c>
      <c r="J115">
        <v>73.3</v>
      </c>
      <c r="K115">
        <v>73.3</v>
      </c>
      <c r="L115" s="78">
        <v>42181</v>
      </c>
      <c r="M115" s="77" t="s">
        <v>317</v>
      </c>
      <c r="N115">
        <v>104.34782608695652</v>
      </c>
      <c r="O115">
        <v>12</v>
      </c>
    </row>
    <row r="116" spans="1:15" x14ac:dyDescent="0.35">
      <c r="A116" s="77" t="s">
        <v>14</v>
      </c>
      <c r="B116">
        <v>102</v>
      </c>
      <c r="C116">
        <v>55481</v>
      </c>
      <c r="D116" s="77" t="s">
        <v>105</v>
      </c>
      <c r="E116">
        <v>11.99</v>
      </c>
      <c r="F116">
        <v>5.0999999999999996</v>
      </c>
      <c r="G116">
        <v>6</v>
      </c>
      <c r="H116">
        <v>71.94</v>
      </c>
      <c r="I116">
        <v>30.599999999999998</v>
      </c>
      <c r="J116">
        <v>41.34</v>
      </c>
      <c r="K116">
        <v>57.46455379482903</v>
      </c>
      <c r="L116" s="78">
        <v>42181</v>
      </c>
      <c r="M116" s="77" t="s">
        <v>317</v>
      </c>
      <c r="N116">
        <v>83.408695652173918</v>
      </c>
      <c r="O116">
        <v>8</v>
      </c>
    </row>
    <row r="117" spans="1:15" x14ac:dyDescent="0.35">
      <c r="A117" s="77" t="s">
        <v>14</v>
      </c>
      <c r="B117">
        <v>102</v>
      </c>
      <c r="C117">
        <v>55481</v>
      </c>
      <c r="D117" s="77" t="s">
        <v>105</v>
      </c>
      <c r="E117">
        <v>11.99</v>
      </c>
      <c r="F117">
        <v>5.0999999999999996</v>
      </c>
      <c r="G117">
        <v>6</v>
      </c>
      <c r="H117">
        <v>71.94</v>
      </c>
      <c r="I117">
        <v>30.599999999999998</v>
      </c>
      <c r="J117">
        <v>41.34</v>
      </c>
      <c r="K117">
        <v>57.46455379482903</v>
      </c>
      <c r="L117" s="78">
        <v>42547</v>
      </c>
      <c r="M117" s="77" t="s">
        <v>318</v>
      </c>
      <c r="N117">
        <v>52.130434782608695</v>
      </c>
      <c r="O117">
        <v>5</v>
      </c>
    </row>
    <row r="118" spans="1:15" x14ac:dyDescent="0.35">
      <c r="A118" s="77" t="s">
        <v>107</v>
      </c>
      <c r="B118">
        <v>102</v>
      </c>
      <c r="C118">
        <v>55095</v>
      </c>
      <c r="D118" s="77" t="s">
        <v>116</v>
      </c>
      <c r="E118">
        <v>5</v>
      </c>
      <c r="F118">
        <v>1.38</v>
      </c>
      <c r="G118">
        <v>0</v>
      </c>
      <c r="H118">
        <v>0</v>
      </c>
      <c r="I118">
        <v>0</v>
      </c>
      <c r="J118">
        <v>0</v>
      </c>
      <c r="K118">
        <v>0</v>
      </c>
      <c r="L118" s="78">
        <v>42547</v>
      </c>
      <c r="M118" s="77" t="s">
        <v>318</v>
      </c>
      <c r="N118">
        <v>30.434782608695652</v>
      </c>
      <c r="O118">
        <v>7</v>
      </c>
    </row>
    <row r="119" spans="1:15" x14ac:dyDescent="0.35">
      <c r="A119" s="77" t="s">
        <v>107</v>
      </c>
      <c r="B119">
        <v>102</v>
      </c>
      <c r="C119">
        <v>58147</v>
      </c>
      <c r="D119" s="77" t="s">
        <v>146</v>
      </c>
      <c r="E119">
        <v>16.989999999999998</v>
      </c>
      <c r="F119">
        <v>7.99</v>
      </c>
      <c r="G119">
        <v>0</v>
      </c>
      <c r="H119">
        <v>0</v>
      </c>
      <c r="I119">
        <v>0</v>
      </c>
      <c r="J119">
        <v>0</v>
      </c>
      <c r="K119">
        <v>0</v>
      </c>
      <c r="L119" s="78">
        <v>42181</v>
      </c>
      <c r="M119" s="77" t="s">
        <v>317</v>
      </c>
      <c r="N119">
        <v>14.77391304347826</v>
      </c>
      <c r="O119">
        <v>1</v>
      </c>
    </row>
    <row r="120" spans="1:15" x14ac:dyDescent="0.35">
      <c r="A120" s="77" t="s">
        <v>14</v>
      </c>
      <c r="B120">
        <v>102</v>
      </c>
      <c r="C120">
        <v>33013</v>
      </c>
      <c r="D120" s="77" t="s">
        <v>148</v>
      </c>
      <c r="E120">
        <v>5.99</v>
      </c>
      <c r="F120">
        <v>3.1</v>
      </c>
      <c r="G120">
        <v>0</v>
      </c>
      <c r="H120">
        <v>0</v>
      </c>
      <c r="I120">
        <v>0</v>
      </c>
      <c r="J120">
        <v>0</v>
      </c>
      <c r="K120">
        <v>0</v>
      </c>
      <c r="L120" s="78">
        <v>42547</v>
      </c>
      <c r="M120" s="77" t="s">
        <v>318</v>
      </c>
      <c r="N120">
        <v>15.626086956521739</v>
      </c>
      <c r="O120">
        <v>3</v>
      </c>
    </row>
    <row r="121" spans="1:15" x14ac:dyDescent="0.35">
      <c r="A121" s="77" t="s">
        <v>19</v>
      </c>
      <c r="B121">
        <v>102</v>
      </c>
      <c r="C121">
        <v>48620</v>
      </c>
      <c r="D121" s="77" t="s">
        <v>153</v>
      </c>
      <c r="E121">
        <v>37.99</v>
      </c>
      <c r="F121">
        <v>16.841833333333302</v>
      </c>
      <c r="G121">
        <v>0</v>
      </c>
      <c r="H121">
        <v>0</v>
      </c>
      <c r="I121">
        <v>0</v>
      </c>
      <c r="J121">
        <v>0</v>
      </c>
      <c r="K121">
        <v>0</v>
      </c>
      <c r="L121" s="78">
        <v>42547</v>
      </c>
      <c r="M121" s="77" t="s">
        <v>318</v>
      </c>
      <c r="N121">
        <v>33.03478260869565</v>
      </c>
      <c r="O121">
        <v>1</v>
      </c>
    </row>
    <row r="122" spans="1:15" x14ac:dyDescent="0.35">
      <c r="A122" s="77" t="s">
        <v>19</v>
      </c>
      <c r="B122">
        <v>102</v>
      </c>
      <c r="C122">
        <v>48620</v>
      </c>
      <c r="D122" s="77" t="s">
        <v>153</v>
      </c>
      <c r="E122">
        <v>37.99</v>
      </c>
      <c r="F122">
        <v>16.841833333333302</v>
      </c>
      <c r="G122">
        <v>0</v>
      </c>
      <c r="H122">
        <v>0</v>
      </c>
      <c r="I122">
        <v>0</v>
      </c>
      <c r="J122">
        <v>0</v>
      </c>
      <c r="K122">
        <v>0</v>
      </c>
      <c r="L122" s="78">
        <v>42547</v>
      </c>
      <c r="M122" s="77" t="s">
        <v>318</v>
      </c>
      <c r="N122">
        <v>33.03478260869565</v>
      </c>
      <c r="O122">
        <v>1</v>
      </c>
    </row>
    <row r="123" spans="1:15" x14ac:dyDescent="0.35">
      <c r="A123" s="77" t="s">
        <v>35</v>
      </c>
      <c r="B123">
        <v>102</v>
      </c>
      <c r="C123">
        <v>48620</v>
      </c>
      <c r="D123" s="77" t="s">
        <v>153</v>
      </c>
      <c r="E123">
        <v>37.99</v>
      </c>
      <c r="F123">
        <v>19.462499999999999</v>
      </c>
      <c r="G123">
        <v>0</v>
      </c>
      <c r="H123">
        <v>0</v>
      </c>
      <c r="I123">
        <v>0</v>
      </c>
      <c r="J123">
        <v>0</v>
      </c>
      <c r="K123">
        <v>0</v>
      </c>
      <c r="L123" s="78">
        <v>42547</v>
      </c>
      <c r="M123" s="77" t="s">
        <v>318</v>
      </c>
      <c r="N123">
        <v>33.03478260869565</v>
      </c>
      <c r="O123">
        <v>1</v>
      </c>
    </row>
    <row r="124" spans="1:15" x14ac:dyDescent="0.35">
      <c r="A124" s="77" t="s">
        <v>35</v>
      </c>
      <c r="B124">
        <v>102</v>
      </c>
      <c r="C124">
        <v>48620</v>
      </c>
      <c r="D124" s="77" t="s">
        <v>153</v>
      </c>
      <c r="E124">
        <v>37.99</v>
      </c>
      <c r="F124">
        <v>19.462499999999999</v>
      </c>
      <c r="G124">
        <v>0</v>
      </c>
      <c r="H124">
        <v>0</v>
      </c>
      <c r="I124">
        <v>0</v>
      </c>
      <c r="J124">
        <v>0</v>
      </c>
      <c r="K124">
        <v>0</v>
      </c>
      <c r="L124" s="78">
        <v>42547</v>
      </c>
      <c r="M124" s="77" t="s">
        <v>318</v>
      </c>
      <c r="N124">
        <v>33.03478260869565</v>
      </c>
      <c r="O124">
        <v>1</v>
      </c>
    </row>
    <row r="125" spans="1:15" x14ac:dyDescent="0.35">
      <c r="A125" s="77" t="s">
        <v>14</v>
      </c>
      <c r="B125">
        <v>102</v>
      </c>
      <c r="C125">
        <v>59477</v>
      </c>
      <c r="D125" s="77" t="s">
        <v>159</v>
      </c>
      <c r="E125">
        <v>5.99</v>
      </c>
      <c r="F125">
        <v>3.1</v>
      </c>
      <c r="G125">
        <v>0</v>
      </c>
      <c r="H125">
        <v>0</v>
      </c>
      <c r="I125">
        <v>0</v>
      </c>
      <c r="J125">
        <v>0</v>
      </c>
      <c r="K125">
        <v>0</v>
      </c>
      <c r="L125" s="78">
        <v>42547</v>
      </c>
      <c r="M125" s="77" t="s">
        <v>318</v>
      </c>
      <c r="N125">
        <v>10.417391304347827</v>
      </c>
      <c r="O125">
        <v>2</v>
      </c>
    </row>
    <row r="126" spans="1:15" x14ac:dyDescent="0.35">
      <c r="A126" s="77" t="s">
        <v>14</v>
      </c>
      <c r="B126">
        <v>104</v>
      </c>
      <c r="C126">
        <v>34083</v>
      </c>
      <c r="D126" s="77" t="s">
        <v>233</v>
      </c>
      <c r="E126">
        <v>49.99</v>
      </c>
      <c r="F126">
        <v>13.76</v>
      </c>
      <c r="G126">
        <v>10</v>
      </c>
      <c r="H126">
        <v>499.90000000000003</v>
      </c>
      <c r="I126">
        <v>137.6</v>
      </c>
      <c r="J126">
        <v>362.30000000000007</v>
      </c>
      <c r="K126">
        <v>72.474494898979799</v>
      </c>
      <c r="L126" s="78">
        <v>42181</v>
      </c>
      <c r="M126" s="77" t="s">
        <v>317</v>
      </c>
      <c r="N126">
        <v>43.469565217391306</v>
      </c>
      <c r="O126">
        <v>1</v>
      </c>
    </row>
    <row r="127" spans="1:15" x14ac:dyDescent="0.35">
      <c r="A127" s="77" t="s">
        <v>14</v>
      </c>
      <c r="B127">
        <v>104</v>
      </c>
      <c r="C127">
        <v>34083</v>
      </c>
      <c r="D127" s="77" t="s">
        <v>233</v>
      </c>
      <c r="E127">
        <v>49.99</v>
      </c>
      <c r="F127">
        <v>13.76</v>
      </c>
      <c r="G127">
        <v>10</v>
      </c>
      <c r="H127">
        <v>499.90000000000003</v>
      </c>
      <c r="I127">
        <v>137.6</v>
      </c>
      <c r="J127">
        <v>362.30000000000007</v>
      </c>
      <c r="K127">
        <v>72.474494898979799</v>
      </c>
      <c r="L127" s="78">
        <v>42547</v>
      </c>
      <c r="M127" s="77" t="s">
        <v>318</v>
      </c>
      <c r="N127">
        <v>130.40869565217392</v>
      </c>
      <c r="O127">
        <v>3</v>
      </c>
    </row>
    <row r="128" spans="1:15" x14ac:dyDescent="0.35">
      <c r="A128" s="77" t="s">
        <v>14</v>
      </c>
      <c r="B128">
        <v>104</v>
      </c>
      <c r="C128">
        <v>34118</v>
      </c>
      <c r="D128" s="77" t="s">
        <v>231</v>
      </c>
      <c r="E128">
        <v>29.99</v>
      </c>
      <c r="F128">
        <v>7.38</v>
      </c>
      <c r="G128">
        <v>0</v>
      </c>
      <c r="H128">
        <v>0</v>
      </c>
      <c r="I128">
        <v>0</v>
      </c>
      <c r="J128">
        <v>0</v>
      </c>
      <c r="K128">
        <v>0</v>
      </c>
      <c r="L128" s="78">
        <v>42547</v>
      </c>
      <c r="M128" s="77" t="s">
        <v>318</v>
      </c>
      <c r="N128">
        <v>130.39130434782606</v>
      </c>
      <c r="O128">
        <v>5</v>
      </c>
    </row>
    <row r="129" spans="1:15" x14ac:dyDescent="0.35">
      <c r="A129" s="77" t="s">
        <v>14</v>
      </c>
      <c r="B129">
        <v>104</v>
      </c>
      <c r="C129">
        <v>34080</v>
      </c>
      <c r="D129" s="77" t="s">
        <v>234</v>
      </c>
      <c r="E129">
        <v>49.99</v>
      </c>
      <c r="F129">
        <v>28.67</v>
      </c>
      <c r="G129">
        <v>0</v>
      </c>
      <c r="H129">
        <v>0</v>
      </c>
      <c r="I129">
        <v>0</v>
      </c>
      <c r="J129">
        <v>0</v>
      </c>
      <c r="K129">
        <v>0</v>
      </c>
      <c r="L129" s="78">
        <v>42547</v>
      </c>
      <c r="M129" s="77" t="s">
        <v>318</v>
      </c>
      <c r="N129">
        <v>43.469565217391306</v>
      </c>
      <c r="O129">
        <v>1</v>
      </c>
    </row>
    <row r="130" spans="1:15" x14ac:dyDescent="0.35">
      <c r="A130" s="77" t="s">
        <v>14</v>
      </c>
      <c r="B130">
        <v>104</v>
      </c>
      <c r="C130">
        <v>43309</v>
      </c>
      <c r="D130" s="77" t="s">
        <v>238</v>
      </c>
      <c r="E130">
        <v>13.99</v>
      </c>
      <c r="F130">
        <v>6.67</v>
      </c>
      <c r="G130">
        <v>0</v>
      </c>
      <c r="H130">
        <v>0</v>
      </c>
      <c r="I130">
        <v>0</v>
      </c>
      <c r="J130">
        <v>0</v>
      </c>
      <c r="K130">
        <v>0</v>
      </c>
      <c r="L130" s="78">
        <v>42181</v>
      </c>
      <c r="M130" s="77" t="s">
        <v>317</v>
      </c>
      <c r="N130">
        <v>48.660869565217389</v>
      </c>
      <c r="O130">
        <v>4</v>
      </c>
    </row>
    <row r="131" spans="1:15" x14ac:dyDescent="0.35">
      <c r="A131" s="77" t="s">
        <v>14</v>
      </c>
      <c r="B131">
        <v>104</v>
      </c>
      <c r="C131">
        <v>43309</v>
      </c>
      <c r="D131" s="77" t="s">
        <v>238</v>
      </c>
      <c r="E131">
        <v>13.99</v>
      </c>
      <c r="F131">
        <v>6.67</v>
      </c>
      <c r="G131">
        <v>0</v>
      </c>
      <c r="H131">
        <v>0</v>
      </c>
      <c r="I131">
        <v>0</v>
      </c>
      <c r="J131">
        <v>0</v>
      </c>
      <c r="K131">
        <v>0</v>
      </c>
      <c r="L131" s="78">
        <v>42547</v>
      </c>
      <c r="M131" s="77" t="s">
        <v>318</v>
      </c>
      <c r="N131">
        <v>12.165217391304347</v>
      </c>
      <c r="O131">
        <v>1</v>
      </c>
    </row>
    <row r="132" spans="1:15" x14ac:dyDescent="0.35">
      <c r="A132" s="77" t="s">
        <v>14</v>
      </c>
      <c r="B132">
        <v>106</v>
      </c>
      <c r="C132">
        <v>54018</v>
      </c>
      <c r="D132" s="77" t="s">
        <v>243</v>
      </c>
      <c r="E132">
        <v>18.989999999999998</v>
      </c>
      <c r="F132">
        <v>9.83</v>
      </c>
      <c r="G132">
        <v>93</v>
      </c>
      <c r="H132">
        <v>1766.07</v>
      </c>
      <c r="I132">
        <v>914.19</v>
      </c>
      <c r="J132">
        <v>851.87999999999988</v>
      </c>
      <c r="K132">
        <v>48.235913638757232</v>
      </c>
      <c r="L132" s="78">
        <v>42181</v>
      </c>
      <c r="M132" s="77" t="s">
        <v>317</v>
      </c>
      <c r="N132">
        <v>132.10434782608695</v>
      </c>
      <c r="O132">
        <v>8</v>
      </c>
    </row>
    <row r="133" spans="1:15" x14ac:dyDescent="0.35">
      <c r="A133" s="77" t="s">
        <v>14</v>
      </c>
      <c r="B133">
        <v>106</v>
      </c>
      <c r="C133">
        <v>54018</v>
      </c>
      <c r="D133" s="77" t="s">
        <v>243</v>
      </c>
      <c r="E133">
        <v>18.989999999999998</v>
      </c>
      <c r="F133">
        <v>9.83</v>
      </c>
      <c r="G133">
        <v>93</v>
      </c>
      <c r="H133">
        <v>1766.07</v>
      </c>
      <c r="I133">
        <v>914.19</v>
      </c>
      <c r="J133">
        <v>851.87999999999988</v>
      </c>
      <c r="K133">
        <v>48.235913638757232</v>
      </c>
      <c r="L133" s="78">
        <v>42547</v>
      </c>
      <c r="M133" s="77" t="s">
        <v>318</v>
      </c>
      <c r="N133">
        <v>49.539130434782606</v>
      </c>
      <c r="O133">
        <v>3</v>
      </c>
    </row>
    <row r="134" spans="1:15" x14ac:dyDescent="0.35">
      <c r="A134" s="77" t="s">
        <v>14</v>
      </c>
      <c r="B134">
        <v>118</v>
      </c>
      <c r="C134">
        <v>34033</v>
      </c>
      <c r="D134" s="77" t="s">
        <v>256</v>
      </c>
      <c r="E134">
        <v>120</v>
      </c>
      <c r="F134">
        <v>64.849999999999994</v>
      </c>
      <c r="G134">
        <v>0</v>
      </c>
      <c r="H134">
        <v>0</v>
      </c>
      <c r="I134">
        <v>0</v>
      </c>
      <c r="J134">
        <v>0</v>
      </c>
      <c r="K134">
        <v>0</v>
      </c>
      <c r="L134" s="78">
        <v>42181</v>
      </c>
      <c r="M134" s="77" t="s">
        <v>317</v>
      </c>
      <c r="N134">
        <v>104.34782608695652</v>
      </c>
      <c r="O134">
        <v>1</v>
      </c>
    </row>
    <row r="135" spans="1:15" x14ac:dyDescent="0.35">
      <c r="A135" s="77" t="s">
        <v>14</v>
      </c>
      <c r="B135">
        <v>118</v>
      </c>
      <c r="C135">
        <v>34033</v>
      </c>
      <c r="D135" s="77" t="s">
        <v>256</v>
      </c>
      <c r="E135">
        <v>120</v>
      </c>
      <c r="F135">
        <v>64.849999999999994</v>
      </c>
      <c r="G135">
        <v>0</v>
      </c>
      <c r="H135">
        <v>0</v>
      </c>
      <c r="I135">
        <v>0</v>
      </c>
      <c r="J135">
        <v>0</v>
      </c>
      <c r="K135">
        <v>0</v>
      </c>
      <c r="L135" s="78">
        <v>42547</v>
      </c>
      <c r="M135" s="77" t="s">
        <v>318</v>
      </c>
      <c r="N135">
        <v>104.34782608695652</v>
      </c>
      <c r="O135">
        <v>1</v>
      </c>
    </row>
    <row r="136" spans="1:15" x14ac:dyDescent="0.35">
      <c r="A136" s="77" t="s">
        <v>14</v>
      </c>
      <c r="B136">
        <v>118</v>
      </c>
      <c r="C136">
        <v>40305</v>
      </c>
      <c r="D136" s="77" t="s">
        <v>257</v>
      </c>
      <c r="E136">
        <v>9.99</v>
      </c>
      <c r="F136">
        <v>4.53</v>
      </c>
      <c r="G136">
        <v>0</v>
      </c>
      <c r="H136">
        <v>0</v>
      </c>
      <c r="I136">
        <v>0</v>
      </c>
      <c r="J136">
        <v>0</v>
      </c>
      <c r="K136">
        <v>0</v>
      </c>
      <c r="L136" s="78">
        <v>42181</v>
      </c>
      <c r="M136" s="77" t="s">
        <v>317</v>
      </c>
      <c r="N136">
        <v>17.373913043478261</v>
      </c>
      <c r="O136">
        <v>2</v>
      </c>
    </row>
    <row r="137" spans="1:15" x14ac:dyDescent="0.35">
      <c r="A137" s="77" t="s">
        <v>14</v>
      </c>
      <c r="B137">
        <v>118</v>
      </c>
      <c r="C137">
        <v>40305</v>
      </c>
      <c r="D137" s="77" t="s">
        <v>257</v>
      </c>
      <c r="E137">
        <v>9.99</v>
      </c>
      <c r="F137">
        <v>4.53</v>
      </c>
      <c r="G137">
        <v>0</v>
      </c>
      <c r="H137">
        <v>0</v>
      </c>
      <c r="I137">
        <v>0</v>
      </c>
      <c r="J137">
        <v>0</v>
      </c>
      <c r="K137">
        <v>0</v>
      </c>
      <c r="L137" s="78">
        <v>42547</v>
      </c>
      <c r="M137" s="77" t="s">
        <v>318</v>
      </c>
      <c r="N137">
        <v>86.869565217391312</v>
      </c>
      <c r="O137">
        <v>10</v>
      </c>
    </row>
    <row r="138" spans="1:15" x14ac:dyDescent="0.35">
      <c r="A138" s="77" t="s">
        <v>14</v>
      </c>
      <c r="B138">
        <v>118</v>
      </c>
      <c r="C138">
        <v>34014</v>
      </c>
      <c r="D138" s="77" t="s">
        <v>258</v>
      </c>
      <c r="E138">
        <v>100</v>
      </c>
      <c r="F138">
        <v>52.03</v>
      </c>
      <c r="G138">
        <v>0</v>
      </c>
      <c r="H138">
        <v>0</v>
      </c>
      <c r="I138">
        <v>0</v>
      </c>
      <c r="J138">
        <v>0</v>
      </c>
      <c r="K138">
        <v>0</v>
      </c>
      <c r="L138" s="78">
        <v>42181</v>
      </c>
      <c r="M138" s="77" t="s">
        <v>317</v>
      </c>
      <c r="N138">
        <v>86.956521739130437</v>
      </c>
      <c r="O138">
        <v>1</v>
      </c>
    </row>
    <row r="139" spans="1:15" x14ac:dyDescent="0.35">
      <c r="A139" s="77" t="s">
        <v>14</v>
      </c>
      <c r="B139">
        <v>119</v>
      </c>
      <c r="C139">
        <v>34105</v>
      </c>
      <c r="D139" s="77" t="s">
        <v>265</v>
      </c>
      <c r="E139">
        <v>79.989999999999995</v>
      </c>
      <c r="F139">
        <v>54.64</v>
      </c>
      <c r="G139">
        <v>0</v>
      </c>
      <c r="H139">
        <v>0</v>
      </c>
      <c r="I139">
        <v>0</v>
      </c>
      <c r="J139">
        <v>0</v>
      </c>
      <c r="K139">
        <v>0</v>
      </c>
      <c r="L139" s="78">
        <v>42181</v>
      </c>
      <c r="M139" s="77" t="s">
        <v>317</v>
      </c>
      <c r="N139">
        <v>69.556521739130432</v>
      </c>
      <c r="O139">
        <v>1</v>
      </c>
    </row>
    <row r="140" spans="1:15" x14ac:dyDescent="0.35">
      <c r="A140" s="77" t="s">
        <v>14</v>
      </c>
      <c r="B140">
        <v>120</v>
      </c>
      <c r="C140">
        <v>62585</v>
      </c>
      <c r="D140" s="77" t="s">
        <v>281</v>
      </c>
      <c r="E140">
        <v>55</v>
      </c>
      <c r="F140">
        <v>33.18</v>
      </c>
      <c r="G140">
        <v>0</v>
      </c>
      <c r="H140">
        <v>0</v>
      </c>
      <c r="I140">
        <v>0</v>
      </c>
      <c r="J140">
        <v>0</v>
      </c>
      <c r="K140">
        <v>0</v>
      </c>
      <c r="L140" s="78">
        <v>42547</v>
      </c>
      <c r="M140" s="77" t="s">
        <v>318</v>
      </c>
      <c r="N140">
        <v>6217.391304347826</v>
      </c>
      <c r="O140">
        <v>130</v>
      </c>
    </row>
    <row r="141" spans="1:15" x14ac:dyDescent="0.35">
      <c r="A141" s="77" t="s">
        <v>14</v>
      </c>
      <c r="B141">
        <v>120</v>
      </c>
      <c r="C141">
        <v>62629</v>
      </c>
      <c r="D141" s="77" t="s">
        <v>282</v>
      </c>
      <c r="E141">
        <v>60</v>
      </c>
      <c r="F141">
        <v>33.18</v>
      </c>
      <c r="G141">
        <v>0</v>
      </c>
      <c r="H141">
        <v>0</v>
      </c>
      <c r="I141">
        <v>0</v>
      </c>
      <c r="J141">
        <v>0</v>
      </c>
      <c r="K141">
        <v>0</v>
      </c>
      <c r="L141" s="78">
        <v>42547</v>
      </c>
      <c r="M141" s="77" t="s">
        <v>318</v>
      </c>
      <c r="N141">
        <v>1043.4782608695652</v>
      </c>
      <c r="O141">
        <v>20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64412-5B7B-439A-988D-1FD121994A5E}">
  <dimension ref="A1:K77"/>
  <sheetViews>
    <sheetView workbookViewId="0">
      <selection sqref="A1:K77"/>
    </sheetView>
  </sheetViews>
  <sheetFormatPr defaultRowHeight="13" x14ac:dyDescent="0.35"/>
  <cols>
    <col min="1" max="1" width="36.5" bestFit="1" customWidth="1"/>
    <col min="2" max="2" width="20.09765625" bestFit="1" customWidth="1"/>
    <col min="3" max="3" width="16.5" bestFit="1" customWidth="1"/>
    <col min="4" max="4" width="41.8984375" bestFit="1" customWidth="1"/>
    <col min="5" max="5" width="6.19921875" bestFit="1" customWidth="1"/>
    <col min="6" max="6" width="11.8984375" bestFit="1" customWidth="1"/>
    <col min="7" max="7" width="13.09765625" bestFit="1" customWidth="1"/>
    <col min="8" max="8" width="17.3984375" bestFit="1" customWidth="1"/>
    <col min="9" max="9" width="22.69921875" bestFit="1" customWidth="1"/>
    <col min="10" max="10" width="15" bestFit="1" customWidth="1"/>
    <col min="11" max="11" width="16.69921875" bestFit="1" customWidth="1"/>
  </cols>
  <sheetData>
    <row r="1" spans="1:11" x14ac:dyDescent="0.35">
      <c r="A1" t="s">
        <v>0</v>
      </c>
      <c r="B1" t="s">
        <v>291</v>
      </c>
      <c r="C1" t="s">
        <v>1</v>
      </c>
      <c r="D1" t="s">
        <v>2</v>
      </c>
      <c r="E1" t="s">
        <v>3</v>
      </c>
      <c r="F1" t="s">
        <v>4</v>
      </c>
      <c r="G1" t="s">
        <v>292</v>
      </c>
      <c r="H1" t="s">
        <v>293</v>
      </c>
      <c r="I1" t="s">
        <v>294</v>
      </c>
      <c r="J1" t="s">
        <v>295</v>
      </c>
      <c r="K1" t="s">
        <v>296</v>
      </c>
    </row>
    <row r="2" spans="1:11" x14ac:dyDescent="0.35">
      <c r="A2" s="77" t="s">
        <v>14</v>
      </c>
      <c r="B2">
        <v>101</v>
      </c>
      <c r="C2">
        <v>59381</v>
      </c>
      <c r="D2" s="77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</row>
    <row r="3" spans="1:11" x14ac:dyDescent="0.35">
      <c r="A3" s="77" t="s">
        <v>14</v>
      </c>
      <c r="B3">
        <v>101</v>
      </c>
      <c r="C3">
        <v>59425</v>
      </c>
      <c r="D3" s="77" t="s">
        <v>17</v>
      </c>
      <c r="E3">
        <v>10.99</v>
      </c>
      <c r="F3">
        <v>6.3</v>
      </c>
      <c r="G3">
        <v>240</v>
      </c>
      <c r="H3">
        <v>2637.6</v>
      </c>
      <c r="I3">
        <v>1512</v>
      </c>
      <c r="J3">
        <v>1125.5999999999999</v>
      </c>
      <c r="K3">
        <v>42.675159235668787</v>
      </c>
    </row>
    <row r="4" spans="1:11" x14ac:dyDescent="0.35">
      <c r="A4" s="77" t="s">
        <v>14</v>
      </c>
      <c r="B4">
        <v>101</v>
      </c>
      <c r="C4">
        <v>34690</v>
      </c>
      <c r="D4" s="77" t="s">
        <v>18</v>
      </c>
      <c r="E4">
        <v>16.989999999999998</v>
      </c>
      <c r="F4">
        <v>7.7</v>
      </c>
      <c r="G4">
        <v>184</v>
      </c>
      <c r="H4">
        <v>3126.16</v>
      </c>
      <c r="I4">
        <v>1416.8</v>
      </c>
      <c r="J4">
        <v>1709.36</v>
      </c>
      <c r="K4">
        <v>54.679223072395523</v>
      </c>
    </row>
    <row r="5" spans="1:11" x14ac:dyDescent="0.35">
      <c r="A5" s="77" t="s">
        <v>19</v>
      </c>
      <c r="B5">
        <v>101</v>
      </c>
      <c r="C5">
        <v>32859</v>
      </c>
      <c r="D5" s="77" t="s">
        <v>20</v>
      </c>
      <c r="E5">
        <v>20.99</v>
      </c>
      <c r="F5">
        <v>11.1</v>
      </c>
      <c r="G5">
        <v>104.666666666667</v>
      </c>
      <c r="H5">
        <v>2196.9533333333402</v>
      </c>
      <c r="I5">
        <v>1161.8000000000036</v>
      </c>
      <c r="J5">
        <v>1035.1533333333366</v>
      </c>
      <c r="K5">
        <v>47.117675083373037</v>
      </c>
    </row>
    <row r="6" spans="1:11" x14ac:dyDescent="0.35">
      <c r="A6" s="77" t="s">
        <v>14</v>
      </c>
      <c r="B6">
        <v>101</v>
      </c>
      <c r="C6">
        <v>34070</v>
      </c>
      <c r="D6" s="77" t="s">
        <v>26</v>
      </c>
      <c r="E6">
        <v>12.99</v>
      </c>
      <c r="F6">
        <v>6.81</v>
      </c>
      <c r="G6">
        <v>86</v>
      </c>
      <c r="H6">
        <v>1117.1400000000001</v>
      </c>
      <c r="I6">
        <v>585.66</v>
      </c>
      <c r="J6">
        <v>531.48000000000013</v>
      </c>
      <c r="K6">
        <v>47.575057736720559</v>
      </c>
    </row>
    <row r="7" spans="1:11" x14ac:dyDescent="0.35">
      <c r="A7" s="77" t="s">
        <v>14</v>
      </c>
      <c r="B7">
        <v>101</v>
      </c>
      <c r="C7">
        <v>34041</v>
      </c>
      <c r="D7" s="77" t="s">
        <v>43</v>
      </c>
      <c r="E7">
        <v>6.99</v>
      </c>
      <c r="F7">
        <v>3.15</v>
      </c>
      <c r="G7">
        <v>70</v>
      </c>
      <c r="H7">
        <v>489.3</v>
      </c>
      <c r="I7">
        <v>220.5</v>
      </c>
      <c r="J7">
        <v>268.8</v>
      </c>
      <c r="K7">
        <v>54.935622317596568</v>
      </c>
    </row>
    <row r="8" spans="1:11" x14ac:dyDescent="0.35">
      <c r="A8" s="77" t="s">
        <v>19</v>
      </c>
      <c r="B8">
        <v>101</v>
      </c>
      <c r="C8">
        <v>50037</v>
      </c>
      <c r="D8" s="77" t="s">
        <v>22</v>
      </c>
      <c r="E8">
        <v>25.99</v>
      </c>
      <c r="F8">
        <v>13.4</v>
      </c>
      <c r="G8">
        <v>65</v>
      </c>
      <c r="H8">
        <v>1689.35</v>
      </c>
      <c r="I8">
        <v>871</v>
      </c>
      <c r="J8">
        <v>818.34999999999991</v>
      </c>
      <c r="K8">
        <v>48.441708349365136</v>
      </c>
    </row>
    <row r="9" spans="1:11" x14ac:dyDescent="0.35">
      <c r="A9" s="77" t="s">
        <v>14</v>
      </c>
      <c r="B9">
        <v>101</v>
      </c>
      <c r="C9">
        <v>34046</v>
      </c>
      <c r="D9" s="77" t="s">
        <v>37</v>
      </c>
      <c r="E9">
        <v>19.989999999999998</v>
      </c>
      <c r="F9">
        <v>12.2</v>
      </c>
      <c r="G9">
        <v>50</v>
      </c>
      <c r="H9">
        <v>999.49999999999989</v>
      </c>
      <c r="I9">
        <v>610</v>
      </c>
      <c r="J9">
        <v>389.49999999999989</v>
      </c>
      <c r="K9">
        <v>38.969484742371179</v>
      </c>
    </row>
    <row r="10" spans="1:11" x14ac:dyDescent="0.35">
      <c r="A10" s="77" t="s">
        <v>14</v>
      </c>
      <c r="B10">
        <v>101</v>
      </c>
      <c r="C10">
        <v>34042</v>
      </c>
      <c r="D10" s="77" t="s">
        <v>31</v>
      </c>
      <c r="E10">
        <v>9.5</v>
      </c>
      <c r="F10">
        <v>4.1500000000000004</v>
      </c>
      <c r="G10">
        <v>48</v>
      </c>
      <c r="H10">
        <v>456</v>
      </c>
      <c r="I10">
        <v>199.20000000000002</v>
      </c>
      <c r="J10">
        <v>256.79999999999995</v>
      </c>
      <c r="K10">
        <v>56.315789473684198</v>
      </c>
    </row>
    <row r="11" spans="1:11" x14ac:dyDescent="0.35">
      <c r="A11" s="77" t="s">
        <v>14</v>
      </c>
      <c r="B11">
        <v>101</v>
      </c>
      <c r="C11">
        <v>34091</v>
      </c>
      <c r="D11" s="77" t="s">
        <v>28</v>
      </c>
      <c r="E11">
        <v>19.989999999999998</v>
      </c>
      <c r="F11">
        <v>12.24</v>
      </c>
      <c r="G11">
        <v>40</v>
      </c>
      <c r="H11">
        <v>799.59999999999991</v>
      </c>
      <c r="I11">
        <v>489.6</v>
      </c>
      <c r="J11">
        <v>309.99999999999989</v>
      </c>
      <c r="K11">
        <v>38.769384692346165</v>
      </c>
    </row>
    <row r="12" spans="1:11" x14ac:dyDescent="0.35">
      <c r="A12" s="77" t="s">
        <v>14</v>
      </c>
      <c r="B12">
        <v>101</v>
      </c>
      <c r="C12">
        <v>57073</v>
      </c>
      <c r="D12" s="77" t="s">
        <v>21</v>
      </c>
      <c r="E12">
        <v>36.99</v>
      </c>
      <c r="F12">
        <v>16.05</v>
      </c>
      <c r="G12">
        <v>36</v>
      </c>
      <c r="H12">
        <v>1331.64</v>
      </c>
      <c r="I12">
        <v>577.80000000000007</v>
      </c>
      <c r="J12">
        <v>753.84</v>
      </c>
      <c r="K12">
        <v>56.609894566098937</v>
      </c>
    </row>
    <row r="13" spans="1:11" x14ac:dyDescent="0.35">
      <c r="A13" s="77" t="s">
        <v>14</v>
      </c>
      <c r="B13">
        <v>101</v>
      </c>
      <c r="C13">
        <v>34024</v>
      </c>
      <c r="D13" s="77" t="s">
        <v>23</v>
      </c>
      <c r="E13">
        <v>37.99</v>
      </c>
      <c r="F13">
        <v>16.5</v>
      </c>
      <c r="G13">
        <v>36</v>
      </c>
      <c r="H13">
        <v>1367.64</v>
      </c>
      <c r="I13">
        <v>594</v>
      </c>
      <c r="J13">
        <v>773.6400000000001</v>
      </c>
      <c r="K13">
        <v>56.567517767833642</v>
      </c>
    </row>
    <row r="14" spans="1:11" x14ac:dyDescent="0.35">
      <c r="A14" s="77" t="s">
        <v>19</v>
      </c>
      <c r="B14">
        <v>101</v>
      </c>
      <c r="C14">
        <v>51680</v>
      </c>
      <c r="D14" s="77" t="s">
        <v>33</v>
      </c>
      <c r="E14">
        <v>21.99</v>
      </c>
      <c r="F14">
        <v>12.14</v>
      </c>
      <c r="G14">
        <v>34</v>
      </c>
      <c r="H14">
        <v>747.66</v>
      </c>
      <c r="I14">
        <v>412.76</v>
      </c>
      <c r="J14">
        <v>334.9</v>
      </c>
      <c r="K14">
        <v>44.793087767166895</v>
      </c>
    </row>
    <row r="15" spans="1:11" x14ac:dyDescent="0.35">
      <c r="A15" s="77" t="s">
        <v>14</v>
      </c>
      <c r="B15">
        <v>101</v>
      </c>
      <c r="C15">
        <v>33997</v>
      </c>
      <c r="D15" s="77" t="s">
        <v>39</v>
      </c>
      <c r="E15">
        <v>14.99</v>
      </c>
      <c r="F15">
        <v>7.62</v>
      </c>
      <c r="G15">
        <v>30</v>
      </c>
      <c r="H15">
        <v>449.7</v>
      </c>
      <c r="I15">
        <v>228.6</v>
      </c>
      <c r="J15">
        <v>221.1</v>
      </c>
      <c r="K15">
        <v>49.166110740493664</v>
      </c>
    </row>
    <row r="16" spans="1:11" x14ac:dyDescent="0.35">
      <c r="A16" s="77" t="s">
        <v>14</v>
      </c>
      <c r="B16">
        <v>101</v>
      </c>
      <c r="C16">
        <v>34023</v>
      </c>
      <c r="D16" s="77" t="s">
        <v>48</v>
      </c>
      <c r="E16">
        <v>6.99</v>
      </c>
      <c r="F16">
        <v>2.85</v>
      </c>
      <c r="G16">
        <v>28</v>
      </c>
      <c r="H16">
        <v>195.72</v>
      </c>
      <c r="I16">
        <v>79.8</v>
      </c>
      <c r="J16">
        <v>115.92</v>
      </c>
      <c r="K16">
        <v>59.227467811158796</v>
      </c>
    </row>
    <row r="17" spans="1:11" x14ac:dyDescent="0.35">
      <c r="A17" s="77" t="s">
        <v>14</v>
      </c>
      <c r="B17">
        <v>101</v>
      </c>
      <c r="C17">
        <v>34022</v>
      </c>
      <c r="D17" s="77" t="s">
        <v>54</v>
      </c>
      <c r="E17">
        <v>5.99</v>
      </c>
      <c r="F17">
        <v>2.72</v>
      </c>
      <c r="G17">
        <v>24</v>
      </c>
      <c r="H17">
        <v>143.76</v>
      </c>
      <c r="I17">
        <v>65.28</v>
      </c>
      <c r="J17">
        <v>78.47999999999999</v>
      </c>
      <c r="K17">
        <v>54.590984974958253</v>
      </c>
    </row>
    <row r="18" spans="1:11" x14ac:dyDescent="0.35">
      <c r="A18" s="77" t="s">
        <v>14</v>
      </c>
      <c r="B18">
        <v>101</v>
      </c>
      <c r="C18">
        <v>32067</v>
      </c>
      <c r="D18" s="77" t="s">
        <v>29</v>
      </c>
      <c r="E18">
        <v>34.99</v>
      </c>
      <c r="F18">
        <v>15.91</v>
      </c>
      <c r="G18">
        <v>8</v>
      </c>
      <c r="H18">
        <v>279.92</v>
      </c>
      <c r="I18">
        <v>127.28</v>
      </c>
      <c r="J18">
        <v>152.64000000000001</v>
      </c>
      <c r="K18">
        <v>54.529865675907409</v>
      </c>
    </row>
    <row r="19" spans="1:11" x14ac:dyDescent="0.35">
      <c r="A19" s="77" t="s">
        <v>14</v>
      </c>
      <c r="B19">
        <v>101</v>
      </c>
      <c r="C19">
        <v>61947</v>
      </c>
      <c r="D19" s="77" t="s">
        <v>42</v>
      </c>
      <c r="E19">
        <v>28.99</v>
      </c>
      <c r="F19">
        <v>8.93</v>
      </c>
      <c r="G19">
        <v>8</v>
      </c>
      <c r="H19">
        <v>231.92</v>
      </c>
      <c r="I19">
        <v>71.44</v>
      </c>
      <c r="J19">
        <v>160.47999999999999</v>
      </c>
      <c r="K19">
        <v>69.196274577440491</v>
      </c>
    </row>
    <row r="20" spans="1:11" x14ac:dyDescent="0.35">
      <c r="A20" s="77" t="s">
        <v>14</v>
      </c>
      <c r="B20">
        <v>101</v>
      </c>
      <c r="C20">
        <v>34053</v>
      </c>
      <c r="D20" s="77" t="s">
        <v>57</v>
      </c>
      <c r="E20">
        <v>15.99</v>
      </c>
      <c r="F20">
        <v>6.74</v>
      </c>
      <c r="G20">
        <v>6</v>
      </c>
      <c r="H20">
        <v>95.94</v>
      </c>
      <c r="I20">
        <v>40.44</v>
      </c>
      <c r="J20">
        <v>55.5</v>
      </c>
      <c r="K20">
        <v>57.848655409631021</v>
      </c>
    </row>
    <row r="21" spans="1:11" x14ac:dyDescent="0.35">
      <c r="A21" s="77" t="s">
        <v>14</v>
      </c>
      <c r="B21">
        <v>101</v>
      </c>
      <c r="C21">
        <v>32860</v>
      </c>
      <c r="D21" s="77" t="s">
        <v>16</v>
      </c>
      <c r="E21">
        <v>20.99</v>
      </c>
      <c r="F21">
        <v>11.1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35">
      <c r="A22" s="77" t="s">
        <v>14</v>
      </c>
      <c r="B22">
        <v>101</v>
      </c>
      <c r="C22">
        <v>32859</v>
      </c>
      <c r="D22" s="77" t="s">
        <v>20</v>
      </c>
      <c r="E22">
        <v>20.99</v>
      </c>
      <c r="F22">
        <v>7.46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35">
      <c r="A23" s="77" t="s">
        <v>14</v>
      </c>
      <c r="B23">
        <v>101</v>
      </c>
      <c r="C23">
        <v>58767</v>
      </c>
      <c r="D23" s="77" t="s">
        <v>27</v>
      </c>
      <c r="E23">
        <v>19.989999999999998</v>
      </c>
      <c r="F23">
        <v>7.04</v>
      </c>
      <c r="G23">
        <v>0</v>
      </c>
      <c r="H23">
        <v>0</v>
      </c>
      <c r="I23">
        <v>0</v>
      </c>
      <c r="J23">
        <v>0</v>
      </c>
      <c r="K23">
        <v>0</v>
      </c>
    </row>
    <row r="24" spans="1:11" x14ac:dyDescent="0.35">
      <c r="A24" s="77" t="s">
        <v>14</v>
      </c>
      <c r="B24">
        <v>101</v>
      </c>
      <c r="C24">
        <v>58512</v>
      </c>
      <c r="D24" s="77" t="s">
        <v>30</v>
      </c>
      <c r="E24">
        <v>26.99</v>
      </c>
      <c r="F24">
        <v>10.66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 x14ac:dyDescent="0.35">
      <c r="A25" s="77" t="s">
        <v>19</v>
      </c>
      <c r="B25">
        <v>101</v>
      </c>
      <c r="C25">
        <v>32858</v>
      </c>
      <c r="D25" s="77" t="s">
        <v>34</v>
      </c>
      <c r="E25">
        <v>3.8</v>
      </c>
      <c r="F25">
        <v>1.8573999999999999</v>
      </c>
      <c r="G25">
        <v>0</v>
      </c>
      <c r="H25">
        <v>0</v>
      </c>
      <c r="I25">
        <v>0</v>
      </c>
      <c r="J25">
        <v>0</v>
      </c>
      <c r="K25">
        <v>0</v>
      </c>
    </row>
    <row r="26" spans="1:11" x14ac:dyDescent="0.35">
      <c r="A26" s="77" t="s">
        <v>35</v>
      </c>
      <c r="B26">
        <v>101</v>
      </c>
      <c r="C26">
        <v>32858</v>
      </c>
      <c r="D26" s="77" t="s">
        <v>34</v>
      </c>
      <c r="E26">
        <v>3.8</v>
      </c>
      <c r="F26">
        <v>2.0770666666666702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35">
      <c r="A27" s="77" t="s">
        <v>14</v>
      </c>
      <c r="B27">
        <v>101</v>
      </c>
      <c r="C27">
        <v>34119</v>
      </c>
      <c r="D27" s="77" t="s">
        <v>36</v>
      </c>
      <c r="E27">
        <v>3.3</v>
      </c>
      <c r="F27">
        <v>1.85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35">
      <c r="A28" s="77" t="s">
        <v>14</v>
      </c>
      <c r="B28">
        <v>101</v>
      </c>
      <c r="C28">
        <v>42401</v>
      </c>
      <c r="D28" s="77" t="s">
        <v>38</v>
      </c>
      <c r="E28">
        <v>14.99</v>
      </c>
      <c r="F28">
        <v>6.62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35">
      <c r="A29" s="77" t="s">
        <v>19</v>
      </c>
      <c r="B29">
        <v>101</v>
      </c>
      <c r="C29">
        <v>34687</v>
      </c>
      <c r="D29" s="77" t="s">
        <v>40</v>
      </c>
      <c r="E29">
        <v>3.8</v>
      </c>
      <c r="F29">
        <v>1.9688000000000001</v>
      </c>
      <c r="G29">
        <v>0</v>
      </c>
      <c r="H29">
        <v>0</v>
      </c>
      <c r="I29">
        <v>0</v>
      </c>
      <c r="J29">
        <v>0</v>
      </c>
      <c r="K29">
        <v>0</v>
      </c>
    </row>
    <row r="30" spans="1:11" x14ac:dyDescent="0.35">
      <c r="A30" s="77" t="s">
        <v>35</v>
      </c>
      <c r="B30">
        <v>101</v>
      </c>
      <c r="C30">
        <v>34687</v>
      </c>
      <c r="D30" s="77" t="s">
        <v>40</v>
      </c>
      <c r="E30">
        <v>3.8</v>
      </c>
      <c r="F30">
        <v>2.0770666666666702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35">
      <c r="A31" s="77" t="s">
        <v>14</v>
      </c>
      <c r="B31">
        <v>101</v>
      </c>
      <c r="C31">
        <v>34088</v>
      </c>
      <c r="D31" s="77" t="s">
        <v>44</v>
      </c>
      <c r="E31">
        <v>1.5</v>
      </c>
      <c r="F31">
        <v>0.68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1:11" x14ac:dyDescent="0.35">
      <c r="A32" s="77" t="s">
        <v>14</v>
      </c>
      <c r="B32">
        <v>101</v>
      </c>
      <c r="C32">
        <v>34092</v>
      </c>
      <c r="D32" s="77" t="s">
        <v>47</v>
      </c>
      <c r="E32">
        <v>4.99</v>
      </c>
      <c r="F32">
        <v>2.52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35">
      <c r="A33" s="77" t="s">
        <v>14</v>
      </c>
      <c r="B33">
        <v>101</v>
      </c>
      <c r="C33">
        <v>34004</v>
      </c>
      <c r="D33" s="77" t="s">
        <v>50</v>
      </c>
      <c r="E33">
        <v>1</v>
      </c>
      <c r="F33">
        <v>0.65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 x14ac:dyDescent="0.35">
      <c r="A34" s="77" t="s">
        <v>14</v>
      </c>
      <c r="B34">
        <v>101</v>
      </c>
      <c r="C34">
        <v>34086</v>
      </c>
      <c r="D34" s="77" t="s">
        <v>60</v>
      </c>
      <c r="E34">
        <v>29.99</v>
      </c>
      <c r="F34">
        <v>10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 x14ac:dyDescent="0.35">
      <c r="A35" s="77" t="s">
        <v>14</v>
      </c>
      <c r="B35">
        <v>101</v>
      </c>
      <c r="C35">
        <v>62622</v>
      </c>
      <c r="D35" s="77" t="s">
        <v>70</v>
      </c>
      <c r="E35">
        <v>26.99</v>
      </c>
      <c r="F35">
        <v>14.15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 x14ac:dyDescent="0.35">
      <c r="A36" s="77" t="s">
        <v>14</v>
      </c>
      <c r="B36">
        <v>101</v>
      </c>
      <c r="C36">
        <v>34068</v>
      </c>
      <c r="D36" s="77" t="s">
        <v>74</v>
      </c>
      <c r="E36">
        <v>1.5</v>
      </c>
      <c r="F36">
        <v>0.59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 x14ac:dyDescent="0.35">
      <c r="A37" s="77" t="s">
        <v>14</v>
      </c>
      <c r="B37">
        <v>102</v>
      </c>
      <c r="C37">
        <v>52943</v>
      </c>
      <c r="D37" s="77" t="s">
        <v>90</v>
      </c>
      <c r="E37">
        <v>31.99</v>
      </c>
      <c r="F37">
        <v>15.17</v>
      </c>
      <c r="G37">
        <v>213</v>
      </c>
      <c r="H37">
        <v>6813.87</v>
      </c>
      <c r="I37">
        <v>3231.21</v>
      </c>
      <c r="J37">
        <v>3582.66</v>
      </c>
      <c r="K37">
        <v>52.578930915911229</v>
      </c>
    </row>
    <row r="38" spans="1:11" x14ac:dyDescent="0.35">
      <c r="A38" s="77" t="s">
        <v>14</v>
      </c>
      <c r="B38">
        <v>102</v>
      </c>
      <c r="C38">
        <v>32127</v>
      </c>
      <c r="D38" s="77" t="s">
        <v>92</v>
      </c>
      <c r="E38">
        <v>11.99</v>
      </c>
      <c r="F38">
        <v>6.02</v>
      </c>
      <c r="G38">
        <v>32</v>
      </c>
      <c r="H38">
        <v>383.68</v>
      </c>
      <c r="I38">
        <v>192.64</v>
      </c>
      <c r="J38">
        <v>191.04000000000002</v>
      </c>
      <c r="K38">
        <v>49.791492910758976</v>
      </c>
    </row>
    <row r="39" spans="1:11" x14ac:dyDescent="0.35">
      <c r="A39" s="77" t="s">
        <v>14</v>
      </c>
      <c r="B39">
        <v>102</v>
      </c>
      <c r="C39">
        <v>61939</v>
      </c>
      <c r="D39" s="77" t="s">
        <v>101</v>
      </c>
      <c r="E39">
        <v>10</v>
      </c>
      <c r="F39">
        <v>5.09</v>
      </c>
      <c r="G39">
        <v>24</v>
      </c>
      <c r="H39">
        <v>240</v>
      </c>
      <c r="I39">
        <v>122.16</v>
      </c>
      <c r="J39">
        <v>117.84</v>
      </c>
      <c r="K39">
        <v>49.1</v>
      </c>
    </row>
    <row r="40" spans="1:11" x14ac:dyDescent="0.35">
      <c r="A40" s="77" t="s">
        <v>14</v>
      </c>
      <c r="B40">
        <v>102</v>
      </c>
      <c r="C40">
        <v>33995</v>
      </c>
      <c r="D40" s="77" t="s">
        <v>91</v>
      </c>
      <c r="E40">
        <v>15.99</v>
      </c>
      <c r="F40">
        <v>8.2200000000000006</v>
      </c>
      <c r="G40">
        <v>16</v>
      </c>
      <c r="H40">
        <v>255.84</v>
      </c>
      <c r="I40">
        <v>131.52000000000001</v>
      </c>
      <c r="J40">
        <v>124.32</v>
      </c>
      <c r="K40">
        <v>48.592870544090054</v>
      </c>
    </row>
    <row r="41" spans="1:11" x14ac:dyDescent="0.35">
      <c r="A41" s="77" t="s">
        <v>14</v>
      </c>
      <c r="B41">
        <v>102</v>
      </c>
      <c r="C41">
        <v>42990</v>
      </c>
      <c r="D41" s="77" t="s">
        <v>93</v>
      </c>
      <c r="E41">
        <v>19.989999999999998</v>
      </c>
      <c r="F41">
        <v>10.85</v>
      </c>
      <c r="G41">
        <v>16</v>
      </c>
      <c r="H41">
        <v>319.83999999999997</v>
      </c>
      <c r="I41">
        <v>173.6</v>
      </c>
      <c r="J41">
        <v>146.23999999999998</v>
      </c>
      <c r="K41">
        <v>45.722861430715355</v>
      </c>
    </row>
    <row r="42" spans="1:11" x14ac:dyDescent="0.35">
      <c r="A42" s="77" t="s">
        <v>14</v>
      </c>
      <c r="B42">
        <v>102</v>
      </c>
      <c r="C42">
        <v>34008</v>
      </c>
      <c r="D42" s="77" t="s">
        <v>104</v>
      </c>
      <c r="E42">
        <v>5.99</v>
      </c>
      <c r="F42">
        <v>4.32</v>
      </c>
      <c r="G42">
        <v>12</v>
      </c>
      <c r="H42">
        <v>71.88</v>
      </c>
      <c r="I42">
        <v>51.84</v>
      </c>
      <c r="J42">
        <v>20.039999999999992</v>
      </c>
      <c r="K42">
        <v>27.879799666110173</v>
      </c>
    </row>
    <row r="43" spans="1:11" x14ac:dyDescent="0.35">
      <c r="A43" s="77" t="s">
        <v>14</v>
      </c>
      <c r="B43">
        <v>102</v>
      </c>
      <c r="C43">
        <v>61938</v>
      </c>
      <c r="D43" s="77" t="s">
        <v>124</v>
      </c>
      <c r="E43">
        <v>10</v>
      </c>
      <c r="F43">
        <v>3.43</v>
      </c>
      <c r="G43">
        <v>12</v>
      </c>
      <c r="H43">
        <v>120</v>
      </c>
      <c r="I43">
        <v>41.160000000000004</v>
      </c>
      <c r="J43">
        <v>78.84</v>
      </c>
      <c r="K43">
        <v>65.7</v>
      </c>
    </row>
    <row r="44" spans="1:11" x14ac:dyDescent="0.35">
      <c r="A44" s="77" t="s">
        <v>14</v>
      </c>
      <c r="B44">
        <v>102</v>
      </c>
      <c r="C44">
        <v>42797</v>
      </c>
      <c r="D44" s="77" t="s">
        <v>99</v>
      </c>
      <c r="E44">
        <v>11.99</v>
      </c>
      <c r="F44">
        <v>5.12</v>
      </c>
      <c r="G44">
        <v>10</v>
      </c>
      <c r="H44">
        <v>119.9</v>
      </c>
      <c r="I44">
        <v>51.2</v>
      </c>
      <c r="J44">
        <v>68.7</v>
      </c>
      <c r="K44">
        <v>57.2977481234362</v>
      </c>
    </row>
    <row r="45" spans="1:11" x14ac:dyDescent="0.35">
      <c r="A45" s="77" t="s">
        <v>14</v>
      </c>
      <c r="B45">
        <v>102</v>
      </c>
      <c r="C45">
        <v>61937</v>
      </c>
      <c r="D45" s="77" t="s">
        <v>122</v>
      </c>
      <c r="E45">
        <v>10</v>
      </c>
      <c r="F45">
        <v>2.67</v>
      </c>
      <c r="G45">
        <v>10</v>
      </c>
      <c r="H45">
        <v>100</v>
      </c>
      <c r="I45">
        <v>26.7</v>
      </c>
      <c r="J45">
        <v>73.3</v>
      </c>
      <c r="K45">
        <v>73.3</v>
      </c>
    </row>
    <row r="46" spans="1:11" x14ac:dyDescent="0.35">
      <c r="A46" s="77" t="s">
        <v>14</v>
      </c>
      <c r="B46">
        <v>102</v>
      </c>
      <c r="C46">
        <v>33031</v>
      </c>
      <c r="D46" s="77" t="s">
        <v>97</v>
      </c>
      <c r="E46">
        <v>17.989999999999998</v>
      </c>
      <c r="F46">
        <v>9.1199999999999992</v>
      </c>
      <c r="G46">
        <v>8</v>
      </c>
      <c r="H46">
        <v>143.91999999999999</v>
      </c>
      <c r="I46">
        <v>72.959999999999994</v>
      </c>
      <c r="J46">
        <v>70.959999999999994</v>
      </c>
      <c r="K46">
        <v>49.305169538632576</v>
      </c>
    </row>
    <row r="47" spans="1:11" x14ac:dyDescent="0.35">
      <c r="A47" s="77" t="s">
        <v>14</v>
      </c>
      <c r="B47">
        <v>102</v>
      </c>
      <c r="C47">
        <v>32872</v>
      </c>
      <c r="D47" s="77" t="s">
        <v>98</v>
      </c>
      <c r="E47">
        <v>39.99</v>
      </c>
      <c r="F47">
        <v>11.79</v>
      </c>
      <c r="G47">
        <v>8</v>
      </c>
      <c r="H47">
        <v>319.92</v>
      </c>
      <c r="I47">
        <v>94.32</v>
      </c>
      <c r="J47">
        <v>225.60000000000002</v>
      </c>
      <c r="K47">
        <v>70.517629407351848</v>
      </c>
    </row>
    <row r="48" spans="1:11" x14ac:dyDescent="0.35">
      <c r="A48" s="77" t="s">
        <v>14</v>
      </c>
      <c r="B48">
        <v>102</v>
      </c>
      <c r="C48">
        <v>32152</v>
      </c>
      <c r="D48" s="77" t="s">
        <v>100</v>
      </c>
      <c r="E48">
        <v>12.99</v>
      </c>
      <c r="F48">
        <v>6.77</v>
      </c>
      <c r="G48">
        <v>6</v>
      </c>
      <c r="H48">
        <v>77.94</v>
      </c>
      <c r="I48">
        <v>40.619999999999997</v>
      </c>
      <c r="J48">
        <v>37.32</v>
      </c>
      <c r="K48">
        <v>47.882986913010015</v>
      </c>
    </row>
    <row r="49" spans="1:11" x14ac:dyDescent="0.35">
      <c r="A49" s="77" t="s">
        <v>14</v>
      </c>
      <c r="B49">
        <v>102</v>
      </c>
      <c r="C49">
        <v>55481</v>
      </c>
      <c r="D49" s="77" t="s">
        <v>105</v>
      </c>
      <c r="E49">
        <v>11.99</v>
      </c>
      <c r="F49">
        <v>5.0999999999999996</v>
      </c>
      <c r="G49">
        <v>6</v>
      </c>
      <c r="H49">
        <v>71.94</v>
      </c>
      <c r="I49">
        <v>30.599999999999998</v>
      </c>
      <c r="J49">
        <v>41.34</v>
      </c>
      <c r="K49">
        <v>57.46455379482903</v>
      </c>
    </row>
    <row r="50" spans="1:11" x14ac:dyDescent="0.35">
      <c r="A50" s="77" t="s">
        <v>19</v>
      </c>
      <c r="B50">
        <v>102</v>
      </c>
      <c r="C50">
        <v>34015</v>
      </c>
      <c r="D50" s="77" t="s">
        <v>106</v>
      </c>
      <c r="E50">
        <v>29.99</v>
      </c>
      <c r="F50">
        <v>3.1788888888888902</v>
      </c>
      <c r="G50">
        <v>6</v>
      </c>
      <c r="H50">
        <v>179.94</v>
      </c>
      <c r="I50">
        <v>19.073333333333341</v>
      </c>
      <c r="J50">
        <v>160.86666666666665</v>
      </c>
      <c r="K50">
        <v>89.400170427179418</v>
      </c>
    </row>
    <row r="51" spans="1:11" x14ac:dyDescent="0.35">
      <c r="A51" s="77" t="s">
        <v>14</v>
      </c>
      <c r="B51">
        <v>102</v>
      </c>
      <c r="C51">
        <v>32855</v>
      </c>
      <c r="D51" s="77" t="s">
        <v>110</v>
      </c>
      <c r="E51">
        <v>17.989999999999998</v>
      </c>
      <c r="F51">
        <v>9.14</v>
      </c>
      <c r="G51">
        <v>6</v>
      </c>
      <c r="H51">
        <v>107.94</v>
      </c>
      <c r="I51">
        <v>54.84</v>
      </c>
      <c r="J51">
        <v>53.099999999999994</v>
      </c>
      <c r="K51">
        <v>49.193996664813781</v>
      </c>
    </row>
    <row r="52" spans="1:11" x14ac:dyDescent="0.35">
      <c r="A52" s="77" t="s">
        <v>14</v>
      </c>
      <c r="B52">
        <v>102</v>
      </c>
      <c r="C52">
        <v>39422</v>
      </c>
      <c r="D52" s="77" t="s">
        <v>120</v>
      </c>
      <c r="E52">
        <v>15.99</v>
      </c>
      <c r="F52">
        <v>8.3000000000000007</v>
      </c>
      <c r="G52">
        <v>6</v>
      </c>
      <c r="H52">
        <v>95.94</v>
      </c>
      <c r="I52">
        <v>49.800000000000004</v>
      </c>
      <c r="J52">
        <v>46.139999999999993</v>
      </c>
      <c r="K52">
        <v>48.092557848655403</v>
      </c>
    </row>
    <row r="53" spans="1:11" x14ac:dyDescent="0.35">
      <c r="A53" s="77" t="s">
        <v>14</v>
      </c>
      <c r="B53">
        <v>102</v>
      </c>
      <c r="C53">
        <v>38977</v>
      </c>
      <c r="D53" s="77" t="s">
        <v>95</v>
      </c>
      <c r="E53">
        <v>18.989999999999998</v>
      </c>
      <c r="F53">
        <v>9.6999999999999993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35">
      <c r="A54" s="77" t="s">
        <v>19</v>
      </c>
      <c r="B54">
        <v>102</v>
      </c>
      <c r="C54">
        <v>42797</v>
      </c>
      <c r="D54" s="77" t="s">
        <v>99</v>
      </c>
      <c r="E54">
        <v>11.99</v>
      </c>
      <c r="F54">
        <v>4.84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35">
      <c r="A55" s="77" t="s">
        <v>14</v>
      </c>
      <c r="B55">
        <v>102</v>
      </c>
      <c r="C55">
        <v>32153</v>
      </c>
      <c r="D55" s="77" t="s">
        <v>102</v>
      </c>
      <c r="E55">
        <v>8.99</v>
      </c>
      <c r="F55">
        <v>4.5599999999999996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1:11" x14ac:dyDescent="0.35">
      <c r="A56" s="77" t="s">
        <v>107</v>
      </c>
      <c r="B56">
        <v>102</v>
      </c>
      <c r="C56">
        <v>32864</v>
      </c>
      <c r="D56" s="77" t="s">
        <v>108</v>
      </c>
      <c r="E56">
        <v>9.99</v>
      </c>
      <c r="F56">
        <v>5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1:11" x14ac:dyDescent="0.35">
      <c r="A57" s="77" t="s">
        <v>107</v>
      </c>
      <c r="B57">
        <v>102</v>
      </c>
      <c r="C57">
        <v>32863</v>
      </c>
      <c r="D57" s="77" t="s">
        <v>109</v>
      </c>
      <c r="E57">
        <v>17.989999999999998</v>
      </c>
      <c r="F57">
        <v>9.4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1:11" x14ac:dyDescent="0.35">
      <c r="A58" s="77" t="s">
        <v>14</v>
      </c>
      <c r="B58">
        <v>102</v>
      </c>
      <c r="C58">
        <v>33019</v>
      </c>
      <c r="D58" s="77" t="s">
        <v>112</v>
      </c>
      <c r="E58">
        <v>14.99</v>
      </c>
      <c r="F58">
        <v>5.5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1:11" x14ac:dyDescent="0.35">
      <c r="A59" s="77" t="s">
        <v>107</v>
      </c>
      <c r="B59">
        <v>102</v>
      </c>
      <c r="C59">
        <v>55095</v>
      </c>
      <c r="D59" s="77" t="s">
        <v>116</v>
      </c>
      <c r="E59">
        <v>5</v>
      </c>
      <c r="F59">
        <v>1.38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1:11" x14ac:dyDescent="0.35">
      <c r="A60" s="77" t="s">
        <v>14</v>
      </c>
      <c r="B60">
        <v>102</v>
      </c>
      <c r="C60">
        <v>32857</v>
      </c>
      <c r="D60" s="77" t="s">
        <v>127</v>
      </c>
      <c r="E60">
        <v>130</v>
      </c>
      <c r="F60">
        <v>68.680000000000007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1:11" x14ac:dyDescent="0.35">
      <c r="A61" s="77" t="s">
        <v>14</v>
      </c>
      <c r="B61">
        <v>102</v>
      </c>
      <c r="C61">
        <v>34102</v>
      </c>
      <c r="D61" s="77" t="s">
        <v>129</v>
      </c>
      <c r="E61">
        <v>9.99</v>
      </c>
      <c r="F61">
        <v>4.99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1:11" x14ac:dyDescent="0.35">
      <c r="A62" s="77" t="s">
        <v>107</v>
      </c>
      <c r="B62">
        <v>102</v>
      </c>
      <c r="C62">
        <v>58147</v>
      </c>
      <c r="D62" s="77" t="s">
        <v>146</v>
      </c>
      <c r="E62">
        <v>16.989999999999998</v>
      </c>
      <c r="F62">
        <v>7.99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1:11" x14ac:dyDescent="0.35">
      <c r="A63" s="77" t="s">
        <v>14</v>
      </c>
      <c r="B63">
        <v>102</v>
      </c>
      <c r="C63">
        <v>33013</v>
      </c>
      <c r="D63" s="77" t="s">
        <v>148</v>
      </c>
      <c r="E63">
        <v>5.99</v>
      </c>
      <c r="F63">
        <v>3.1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1:11" x14ac:dyDescent="0.35">
      <c r="A64" s="77" t="s">
        <v>19</v>
      </c>
      <c r="B64">
        <v>102</v>
      </c>
      <c r="C64">
        <v>48620</v>
      </c>
      <c r="D64" s="77" t="s">
        <v>153</v>
      </c>
      <c r="E64">
        <v>37.99</v>
      </c>
      <c r="F64">
        <v>16.841833333333302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1:11" x14ac:dyDescent="0.35">
      <c r="A65" s="77" t="s">
        <v>35</v>
      </c>
      <c r="B65">
        <v>102</v>
      </c>
      <c r="C65">
        <v>48620</v>
      </c>
      <c r="D65" s="77" t="s">
        <v>153</v>
      </c>
      <c r="E65">
        <v>37.99</v>
      </c>
      <c r="F65">
        <v>19.462499999999999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1:11" x14ac:dyDescent="0.35">
      <c r="A66" s="77" t="s">
        <v>14</v>
      </c>
      <c r="B66">
        <v>102</v>
      </c>
      <c r="C66">
        <v>59477</v>
      </c>
      <c r="D66" s="77" t="s">
        <v>159</v>
      </c>
      <c r="E66">
        <v>5.99</v>
      </c>
      <c r="F66">
        <v>3.1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1:11" x14ac:dyDescent="0.35">
      <c r="A67" s="77" t="s">
        <v>14</v>
      </c>
      <c r="B67">
        <v>104</v>
      </c>
      <c r="C67">
        <v>34083</v>
      </c>
      <c r="D67" s="77" t="s">
        <v>233</v>
      </c>
      <c r="E67">
        <v>49.99</v>
      </c>
      <c r="F67">
        <v>13.76</v>
      </c>
      <c r="G67">
        <v>10</v>
      </c>
      <c r="H67">
        <v>499.90000000000003</v>
      </c>
      <c r="I67">
        <v>137.6</v>
      </c>
      <c r="J67">
        <v>362.30000000000007</v>
      </c>
      <c r="K67">
        <v>72.474494898979799</v>
      </c>
    </row>
    <row r="68" spans="1:11" x14ac:dyDescent="0.35">
      <c r="A68" s="77" t="s">
        <v>14</v>
      </c>
      <c r="B68">
        <v>104</v>
      </c>
      <c r="C68">
        <v>34118</v>
      </c>
      <c r="D68" s="77" t="s">
        <v>231</v>
      </c>
      <c r="E68">
        <v>29.99</v>
      </c>
      <c r="F68">
        <v>7.38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1:11" x14ac:dyDescent="0.35">
      <c r="A69" s="77" t="s">
        <v>14</v>
      </c>
      <c r="B69">
        <v>104</v>
      </c>
      <c r="C69">
        <v>34080</v>
      </c>
      <c r="D69" s="77" t="s">
        <v>234</v>
      </c>
      <c r="E69">
        <v>49.99</v>
      </c>
      <c r="F69">
        <v>28.67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 x14ac:dyDescent="0.35">
      <c r="A70" s="77" t="s">
        <v>14</v>
      </c>
      <c r="B70">
        <v>104</v>
      </c>
      <c r="C70">
        <v>43309</v>
      </c>
      <c r="D70" s="77" t="s">
        <v>238</v>
      </c>
      <c r="E70">
        <v>13.99</v>
      </c>
      <c r="F70">
        <v>6.67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 x14ac:dyDescent="0.35">
      <c r="A71" s="77" t="s">
        <v>14</v>
      </c>
      <c r="B71">
        <v>106</v>
      </c>
      <c r="C71">
        <v>54018</v>
      </c>
      <c r="D71" s="77" t="s">
        <v>243</v>
      </c>
      <c r="E71">
        <v>18.989999999999998</v>
      </c>
      <c r="F71">
        <v>9.83</v>
      </c>
      <c r="G71">
        <v>93</v>
      </c>
      <c r="H71">
        <v>1766.07</v>
      </c>
      <c r="I71">
        <v>914.19</v>
      </c>
      <c r="J71">
        <v>851.87999999999988</v>
      </c>
      <c r="K71">
        <v>48.235913638757232</v>
      </c>
    </row>
    <row r="72" spans="1:11" x14ac:dyDescent="0.35">
      <c r="A72" s="77" t="s">
        <v>14</v>
      </c>
      <c r="B72">
        <v>118</v>
      </c>
      <c r="C72">
        <v>34033</v>
      </c>
      <c r="D72" s="77" t="s">
        <v>256</v>
      </c>
      <c r="E72">
        <v>120</v>
      </c>
      <c r="F72">
        <v>64.849999999999994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 x14ac:dyDescent="0.35">
      <c r="A73" s="77" t="s">
        <v>14</v>
      </c>
      <c r="B73">
        <v>118</v>
      </c>
      <c r="C73">
        <v>40305</v>
      </c>
      <c r="D73" s="77" t="s">
        <v>257</v>
      </c>
      <c r="E73">
        <v>9.99</v>
      </c>
      <c r="F73">
        <v>4.53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 x14ac:dyDescent="0.35">
      <c r="A74" s="77" t="s">
        <v>14</v>
      </c>
      <c r="B74">
        <v>118</v>
      </c>
      <c r="C74">
        <v>34014</v>
      </c>
      <c r="D74" s="77" t="s">
        <v>258</v>
      </c>
      <c r="E74">
        <v>100</v>
      </c>
      <c r="F74">
        <v>52.03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 x14ac:dyDescent="0.35">
      <c r="A75" s="77" t="s">
        <v>14</v>
      </c>
      <c r="B75">
        <v>119</v>
      </c>
      <c r="C75">
        <v>34105</v>
      </c>
      <c r="D75" s="77" t="s">
        <v>265</v>
      </c>
      <c r="E75">
        <v>79.989999999999995</v>
      </c>
      <c r="F75">
        <v>54.64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 x14ac:dyDescent="0.35">
      <c r="A76" s="77" t="s">
        <v>14</v>
      </c>
      <c r="B76">
        <v>120</v>
      </c>
      <c r="C76">
        <v>62585</v>
      </c>
      <c r="D76" s="77" t="s">
        <v>281</v>
      </c>
      <c r="E76">
        <v>55</v>
      </c>
      <c r="F76">
        <v>33.18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1:11" x14ac:dyDescent="0.35">
      <c r="A77" s="77" t="s">
        <v>14</v>
      </c>
      <c r="B77">
        <v>120</v>
      </c>
      <c r="C77">
        <v>62629</v>
      </c>
      <c r="D77" s="77" t="s">
        <v>282</v>
      </c>
      <c r="E77">
        <v>60</v>
      </c>
      <c r="F77">
        <v>33.18</v>
      </c>
      <c r="G77">
        <v>0</v>
      </c>
      <c r="H77">
        <v>0</v>
      </c>
      <c r="I77">
        <v>0</v>
      </c>
      <c r="J77">
        <v>0</v>
      </c>
      <c r="K77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1897-667D-4639-A729-7CA3ED7801FA}">
  <dimension ref="A1:J123"/>
  <sheetViews>
    <sheetView topLeftCell="C1" workbookViewId="0">
      <selection sqref="A1:J123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19921875" bestFit="1" customWidth="1"/>
    <col min="6" max="6" width="11.8984375" bestFit="1" customWidth="1"/>
    <col min="7" max="7" width="9.8984375" bestFit="1" customWidth="1"/>
    <col min="8" max="8" width="8.19921875" bestFit="1" customWidth="1"/>
    <col min="9" max="9" width="18.59765625" bestFit="1" customWidth="1"/>
    <col min="10" max="10" width="17" bestFit="1" customWidth="1"/>
  </cols>
  <sheetData>
    <row r="1" spans="1:10" x14ac:dyDescent="0.35">
      <c r="A1" t="s">
        <v>0</v>
      </c>
      <c r="B1" t="s">
        <v>311</v>
      </c>
      <c r="C1" t="s">
        <v>1</v>
      </c>
      <c r="D1" t="s">
        <v>2</v>
      </c>
      <c r="E1" t="s">
        <v>3</v>
      </c>
      <c r="F1" t="s">
        <v>4</v>
      </c>
      <c r="G1" t="s">
        <v>321</v>
      </c>
      <c r="H1" t="s">
        <v>322</v>
      </c>
      <c r="I1" t="s">
        <v>6</v>
      </c>
      <c r="J1" t="s">
        <v>8</v>
      </c>
    </row>
    <row r="2" spans="1:10" x14ac:dyDescent="0.35">
      <c r="A2" s="77" t="s">
        <v>14</v>
      </c>
      <c r="B2">
        <v>101</v>
      </c>
      <c r="C2">
        <v>32067</v>
      </c>
      <c r="D2" s="77" t="s">
        <v>29</v>
      </c>
      <c r="E2">
        <v>34.99</v>
      </c>
      <c r="F2">
        <v>15.91</v>
      </c>
      <c r="G2" s="78">
        <v>42547</v>
      </c>
      <c r="H2" s="77" t="s">
        <v>318</v>
      </c>
      <c r="I2">
        <v>121.70434782608696</v>
      </c>
      <c r="J2">
        <v>4</v>
      </c>
    </row>
    <row r="3" spans="1:10" x14ac:dyDescent="0.35">
      <c r="A3" s="77" t="s">
        <v>14</v>
      </c>
      <c r="B3">
        <v>102</v>
      </c>
      <c r="C3">
        <v>32127</v>
      </c>
      <c r="D3" s="77" t="s">
        <v>92</v>
      </c>
      <c r="E3">
        <v>11.99</v>
      </c>
      <c r="F3">
        <v>6.02</v>
      </c>
      <c r="G3" s="78">
        <v>42181</v>
      </c>
      <c r="H3" s="77" t="s">
        <v>317</v>
      </c>
      <c r="I3">
        <v>125.11304347826086</v>
      </c>
      <c r="J3">
        <v>12</v>
      </c>
    </row>
    <row r="4" spans="1:10" x14ac:dyDescent="0.35">
      <c r="A4" s="77" t="s">
        <v>14</v>
      </c>
      <c r="B4">
        <v>102</v>
      </c>
      <c r="C4">
        <v>32127</v>
      </c>
      <c r="D4" s="77" t="s">
        <v>92</v>
      </c>
      <c r="E4">
        <v>11.99</v>
      </c>
      <c r="F4">
        <v>6.02</v>
      </c>
      <c r="G4" s="78">
        <v>42547</v>
      </c>
      <c r="H4" s="77" t="s">
        <v>318</v>
      </c>
      <c r="I4">
        <v>93.834782608695647</v>
      </c>
      <c r="J4">
        <v>9</v>
      </c>
    </row>
    <row r="5" spans="1:10" x14ac:dyDescent="0.35">
      <c r="A5" s="77" t="s">
        <v>14</v>
      </c>
      <c r="B5">
        <v>102</v>
      </c>
      <c r="C5">
        <v>32152</v>
      </c>
      <c r="D5" s="77" t="s">
        <v>100</v>
      </c>
      <c r="E5">
        <v>12.99</v>
      </c>
      <c r="F5">
        <v>6.77</v>
      </c>
      <c r="G5" s="78">
        <v>42181</v>
      </c>
      <c r="H5" s="77" t="s">
        <v>317</v>
      </c>
      <c r="I5">
        <v>67.77391304347826</v>
      </c>
      <c r="J5">
        <v>6</v>
      </c>
    </row>
    <row r="6" spans="1:10" x14ac:dyDescent="0.35">
      <c r="A6" s="77" t="s">
        <v>14</v>
      </c>
      <c r="B6">
        <v>102</v>
      </c>
      <c r="C6">
        <v>32152</v>
      </c>
      <c r="D6" s="77" t="s">
        <v>100</v>
      </c>
      <c r="E6">
        <v>12.99</v>
      </c>
      <c r="F6">
        <v>6.77</v>
      </c>
      <c r="G6" s="78">
        <v>42547</v>
      </c>
      <c r="H6" s="77" t="s">
        <v>318</v>
      </c>
      <c r="I6">
        <v>22.591304347826089</v>
      </c>
      <c r="J6">
        <v>2</v>
      </c>
    </row>
    <row r="7" spans="1:10" x14ac:dyDescent="0.35">
      <c r="A7" s="77" t="s">
        <v>14</v>
      </c>
      <c r="B7">
        <v>102</v>
      </c>
      <c r="C7">
        <v>32153</v>
      </c>
      <c r="D7" s="77" t="s">
        <v>102</v>
      </c>
      <c r="E7">
        <v>8.99</v>
      </c>
      <c r="F7">
        <v>4.5599999999999996</v>
      </c>
      <c r="G7" s="78">
        <v>42181</v>
      </c>
      <c r="H7" s="77" t="s">
        <v>317</v>
      </c>
      <c r="I7">
        <v>46.904347826086955</v>
      </c>
      <c r="J7">
        <v>6</v>
      </c>
    </row>
    <row r="8" spans="1:10" x14ac:dyDescent="0.35">
      <c r="A8" s="77" t="s">
        <v>14</v>
      </c>
      <c r="B8">
        <v>102</v>
      </c>
      <c r="C8">
        <v>32153</v>
      </c>
      <c r="D8" s="77" t="s">
        <v>102</v>
      </c>
      <c r="E8">
        <v>8.99</v>
      </c>
      <c r="F8">
        <v>4.5599999999999996</v>
      </c>
      <c r="G8" s="78">
        <v>42547</v>
      </c>
      <c r="H8" s="77" t="s">
        <v>318</v>
      </c>
      <c r="I8">
        <v>62.539130434782606</v>
      </c>
      <c r="J8">
        <v>8</v>
      </c>
    </row>
    <row r="9" spans="1:10" x14ac:dyDescent="0.35">
      <c r="A9" s="77" t="s">
        <v>14</v>
      </c>
      <c r="B9">
        <v>102</v>
      </c>
      <c r="C9">
        <v>32855</v>
      </c>
      <c r="D9" s="77" t="s">
        <v>110</v>
      </c>
      <c r="E9">
        <v>17.989999999999998</v>
      </c>
      <c r="F9">
        <v>9.14</v>
      </c>
      <c r="G9" s="78">
        <v>42181</v>
      </c>
      <c r="H9" s="77" t="s">
        <v>317</v>
      </c>
      <c r="I9">
        <v>46.930434782608693</v>
      </c>
      <c r="J9">
        <v>3</v>
      </c>
    </row>
    <row r="10" spans="1:10" x14ac:dyDescent="0.35">
      <c r="A10" s="77" t="s">
        <v>14</v>
      </c>
      <c r="B10">
        <v>102</v>
      </c>
      <c r="C10">
        <v>32855</v>
      </c>
      <c r="D10" s="77" t="s">
        <v>110</v>
      </c>
      <c r="E10">
        <v>17.989999999999998</v>
      </c>
      <c r="F10">
        <v>9.14</v>
      </c>
      <c r="G10" s="78">
        <v>42547</v>
      </c>
      <c r="H10" s="77" t="s">
        <v>318</v>
      </c>
      <c r="I10">
        <v>31.286956521739128</v>
      </c>
      <c r="J10">
        <v>2</v>
      </c>
    </row>
    <row r="11" spans="1:10" x14ac:dyDescent="0.35">
      <c r="A11" s="77" t="s">
        <v>14</v>
      </c>
      <c r="B11">
        <v>102</v>
      </c>
      <c r="C11">
        <v>32857</v>
      </c>
      <c r="D11" s="77" t="s">
        <v>127</v>
      </c>
      <c r="E11">
        <v>130</v>
      </c>
      <c r="F11">
        <v>68.680000000000007</v>
      </c>
      <c r="G11" s="78">
        <v>42181</v>
      </c>
      <c r="H11" s="77" t="s">
        <v>317</v>
      </c>
      <c r="I11">
        <v>113.04347826086956</v>
      </c>
      <c r="J11">
        <v>1</v>
      </c>
    </row>
    <row r="12" spans="1:10" x14ac:dyDescent="0.35">
      <c r="A12" s="77" t="s">
        <v>19</v>
      </c>
      <c r="B12">
        <v>101</v>
      </c>
      <c r="C12">
        <v>32858</v>
      </c>
      <c r="D12" s="77" t="s">
        <v>34</v>
      </c>
      <c r="E12">
        <v>3.8</v>
      </c>
      <c r="F12">
        <v>1.8574000000000002</v>
      </c>
      <c r="G12" s="78">
        <v>42181</v>
      </c>
      <c r="H12" s="77" t="s">
        <v>317</v>
      </c>
      <c r="I12">
        <v>19.826086956521738</v>
      </c>
      <c r="J12">
        <v>6</v>
      </c>
    </row>
    <row r="13" spans="1:10" x14ac:dyDescent="0.35">
      <c r="A13" s="77" t="s">
        <v>19</v>
      </c>
      <c r="B13">
        <v>101</v>
      </c>
      <c r="C13">
        <v>32858</v>
      </c>
      <c r="D13" s="77" t="s">
        <v>34</v>
      </c>
      <c r="E13">
        <v>3.8</v>
      </c>
      <c r="F13">
        <v>1.8574000000000002</v>
      </c>
      <c r="G13" s="78">
        <v>42547</v>
      </c>
      <c r="H13" s="77" t="s">
        <v>318</v>
      </c>
      <c r="I13">
        <v>102.43478260869566</v>
      </c>
      <c r="J13">
        <v>31</v>
      </c>
    </row>
    <row r="14" spans="1:10" x14ac:dyDescent="0.35">
      <c r="A14" s="77" t="s">
        <v>35</v>
      </c>
      <c r="B14">
        <v>101</v>
      </c>
      <c r="C14">
        <v>32858</v>
      </c>
      <c r="D14" s="77" t="s">
        <v>34</v>
      </c>
      <c r="E14">
        <v>3.8</v>
      </c>
      <c r="F14">
        <v>2.0770666666666666</v>
      </c>
      <c r="G14" s="78">
        <v>42181</v>
      </c>
      <c r="H14" s="77" t="s">
        <v>317</v>
      </c>
      <c r="I14">
        <v>19.826086956521738</v>
      </c>
      <c r="J14">
        <v>6</v>
      </c>
    </row>
    <row r="15" spans="1:10" x14ac:dyDescent="0.35">
      <c r="A15" s="77" t="s">
        <v>35</v>
      </c>
      <c r="B15">
        <v>101</v>
      </c>
      <c r="C15">
        <v>32858</v>
      </c>
      <c r="D15" s="77" t="s">
        <v>34</v>
      </c>
      <c r="E15">
        <v>3.8</v>
      </c>
      <c r="F15">
        <v>2.0770666666666666</v>
      </c>
      <c r="G15" s="78">
        <v>42547</v>
      </c>
      <c r="H15" s="77" t="s">
        <v>318</v>
      </c>
      <c r="I15">
        <v>102.43478260869566</v>
      </c>
      <c r="J15">
        <v>31</v>
      </c>
    </row>
    <row r="16" spans="1:10" x14ac:dyDescent="0.35">
      <c r="A16" s="77" t="s">
        <v>19</v>
      </c>
      <c r="B16">
        <v>101</v>
      </c>
      <c r="C16">
        <v>32859</v>
      </c>
      <c r="D16" s="77" t="s">
        <v>20</v>
      </c>
      <c r="E16">
        <v>20.99</v>
      </c>
      <c r="F16">
        <v>11.1</v>
      </c>
      <c r="G16" s="78">
        <v>42181</v>
      </c>
      <c r="H16" s="77" t="s">
        <v>317</v>
      </c>
      <c r="I16">
        <v>146.01739130434785</v>
      </c>
      <c r="J16">
        <v>8</v>
      </c>
    </row>
    <row r="17" spans="1:10" x14ac:dyDescent="0.35">
      <c r="A17" s="77" t="s">
        <v>19</v>
      </c>
      <c r="B17">
        <v>101</v>
      </c>
      <c r="C17">
        <v>32859</v>
      </c>
      <c r="D17" s="77" t="s">
        <v>20</v>
      </c>
      <c r="E17">
        <v>20.99</v>
      </c>
      <c r="F17">
        <v>11.1</v>
      </c>
      <c r="G17" s="78">
        <v>42547</v>
      </c>
      <c r="H17" s="77" t="s">
        <v>318</v>
      </c>
      <c r="I17">
        <v>200.77391304347827</v>
      </c>
      <c r="J17">
        <v>11</v>
      </c>
    </row>
    <row r="18" spans="1:10" x14ac:dyDescent="0.35">
      <c r="A18" s="77" t="s">
        <v>14</v>
      </c>
      <c r="B18">
        <v>101</v>
      </c>
      <c r="C18">
        <v>32859</v>
      </c>
      <c r="D18" s="77" t="s">
        <v>20</v>
      </c>
      <c r="E18">
        <v>20.99</v>
      </c>
      <c r="F18">
        <v>7.46</v>
      </c>
      <c r="G18" s="78">
        <v>42181</v>
      </c>
      <c r="H18" s="77" t="s">
        <v>317</v>
      </c>
      <c r="I18">
        <v>146.01739130434785</v>
      </c>
      <c r="J18">
        <v>8</v>
      </c>
    </row>
    <row r="19" spans="1:10" x14ac:dyDescent="0.35">
      <c r="A19" s="77" t="s">
        <v>14</v>
      </c>
      <c r="B19">
        <v>101</v>
      </c>
      <c r="C19">
        <v>32859</v>
      </c>
      <c r="D19" s="77" t="s">
        <v>20</v>
      </c>
      <c r="E19">
        <v>20.99</v>
      </c>
      <c r="F19">
        <v>7.46</v>
      </c>
      <c r="G19" s="78">
        <v>42547</v>
      </c>
      <c r="H19" s="77" t="s">
        <v>318</v>
      </c>
      <c r="I19">
        <v>200.77391304347827</v>
      </c>
      <c r="J19">
        <v>11</v>
      </c>
    </row>
    <row r="20" spans="1:10" x14ac:dyDescent="0.35">
      <c r="A20" s="77" t="s">
        <v>14</v>
      </c>
      <c r="B20">
        <v>101</v>
      </c>
      <c r="C20">
        <v>32860</v>
      </c>
      <c r="D20" s="77" t="s">
        <v>16</v>
      </c>
      <c r="E20">
        <v>20.99</v>
      </c>
      <c r="F20">
        <v>11.1</v>
      </c>
      <c r="G20" s="78">
        <v>42181</v>
      </c>
      <c r="H20" s="77" t="s">
        <v>317</v>
      </c>
      <c r="I20">
        <v>365.04347826086956</v>
      </c>
      <c r="J20">
        <v>20</v>
      </c>
    </row>
    <row r="21" spans="1:10" x14ac:dyDescent="0.35">
      <c r="A21" s="77" t="s">
        <v>14</v>
      </c>
      <c r="B21">
        <v>101</v>
      </c>
      <c r="C21">
        <v>32860</v>
      </c>
      <c r="D21" s="77" t="s">
        <v>16</v>
      </c>
      <c r="E21">
        <v>20.99</v>
      </c>
      <c r="F21">
        <v>11.1</v>
      </c>
      <c r="G21" s="78">
        <v>42547</v>
      </c>
      <c r="H21" s="77" t="s">
        <v>318</v>
      </c>
      <c r="I21">
        <v>200.77391304347825</v>
      </c>
      <c r="J21">
        <v>11</v>
      </c>
    </row>
    <row r="22" spans="1:10" x14ac:dyDescent="0.35">
      <c r="A22" s="77" t="s">
        <v>107</v>
      </c>
      <c r="B22">
        <v>102</v>
      </c>
      <c r="C22">
        <v>32863</v>
      </c>
      <c r="D22" s="77" t="s">
        <v>109</v>
      </c>
      <c r="E22">
        <v>17.989999999999998</v>
      </c>
      <c r="F22">
        <v>9.4</v>
      </c>
      <c r="G22" s="78">
        <v>42181</v>
      </c>
      <c r="H22" s="77" t="s">
        <v>317</v>
      </c>
      <c r="I22">
        <v>78.217391304347828</v>
      </c>
      <c r="J22">
        <v>5</v>
      </c>
    </row>
    <row r="23" spans="1:10" x14ac:dyDescent="0.35">
      <c r="A23" s="77" t="s">
        <v>107</v>
      </c>
      <c r="B23">
        <v>102</v>
      </c>
      <c r="C23">
        <v>32863</v>
      </c>
      <c r="D23" s="77" t="s">
        <v>109</v>
      </c>
      <c r="E23">
        <v>17.989999999999998</v>
      </c>
      <c r="F23">
        <v>9.4</v>
      </c>
      <c r="G23" s="78">
        <v>42547</v>
      </c>
      <c r="H23" s="77" t="s">
        <v>318</v>
      </c>
      <c r="I23">
        <v>62.573913043478257</v>
      </c>
      <c r="J23">
        <v>4</v>
      </c>
    </row>
    <row r="24" spans="1:10" x14ac:dyDescent="0.35">
      <c r="A24" s="77" t="s">
        <v>107</v>
      </c>
      <c r="B24">
        <v>102</v>
      </c>
      <c r="C24">
        <v>32864</v>
      </c>
      <c r="D24" s="77" t="s">
        <v>108</v>
      </c>
      <c r="E24">
        <v>9.99</v>
      </c>
      <c r="F24">
        <v>5</v>
      </c>
      <c r="G24" s="78">
        <v>42547</v>
      </c>
      <c r="H24" s="77" t="s">
        <v>318</v>
      </c>
      <c r="I24">
        <v>34.747826086956522</v>
      </c>
      <c r="J24">
        <v>4</v>
      </c>
    </row>
    <row r="25" spans="1:10" x14ac:dyDescent="0.35">
      <c r="A25" s="77" t="s">
        <v>14</v>
      </c>
      <c r="B25">
        <v>102</v>
      </c>
      <c r="C25">
        <v>32872</v>
      </c>
      <c r="D25" s="77" t="s">
        <v>98</v>
      </c>
      <c r="E25">
        <v>29.99</v>
      </c>
      <c r="F25">
        <v>11.79</v>
      </c>
      <c r="G25" s="78">
        <v>42181</v>
      </c>
      <c r="H25" s="77" t="s">
        <v>317</v>
      </c>
      <c r="I25">
        <v>69.547826086956519</v>
      </c>
      <c r="J25">
        <v>2</v>
      </c>
    </row>
    <row r="26" spans="1:10" x14ac:dyDescent="0.35">
      <c r="A26" s="77" t="s">
        <v>14</v>
      </c>
      <c r="B26">
        <v>102</v>
      </c>
      <c r="C26">
        <v>33013</v>
      </c>
      <c r="D26" s="77" t="s">
        <v>148</v>
      </c>
      <c r="E26">
        <v>5.99</v>
      </c>
      <c r="F26">
        <v>3.1</v>
      </c>
      <c r="G26" s="78">
        <v>42547</v>
      </c>
      <c r="H26" s="77" t="s">
        <v>318</v>
      </c>
      <c r="I26">
        <v>15.626086956521739</v>
      </c>
      <c r="J26">
        <v>3</v>
      </c>
    </row>
    <row r="27" spans="1:10" x14ac:dyDescent="0.35">
      <c r="A27" s="77" t="s">
        <v>14</v>
      </c>
      <c r="B27">
        <v>102</v>
      </c>
      <c r="C27">
        <v>33019</v>
      </c>
      <c r="D27" s="77" t="s">
        <v>112</v>
      </c>
      <c r="E27">
        <v>14.99</v>
      </c>
      <c r="F27">
        <v>5.5</v>
      </c>
      <c r="G27" s="78">
        <v>42547</v>
      </c>
      <c r="H27" s="77" t="s">
        <v>318</v>
      </c>
      <c r="I27">
        <v>26.069565217391304</v>
      </c>
      <c r="J27">
        <v>2</v>
      </c>
    </row>
    <row r="28" spans="1:10" x14ac:dyDescent="0.35">
      <c r="A28" s="77" t="s">
        <v>14</v>
      </c>
      <c r="B28">
        <v>102</v>
      </c>
      <c r="C28">
        <v>33031</v>
      </c>
      <c r="D28" s="77" t="s">
        <v>97</v>
      </c>
      <c r="E28">
        <v>17.989999999999998</v>
      </c>
      <c r="F28">
        <v>9.1199999999999992</v>
      </c>
      <c r="G28" s="78">
        <v>42181</v>
      </c>
      <c r="H28" s="77" t="s">
        <v>317</v>
      </c>
      <c r="I28">
        <v>140.7913043478261</v>
      </c>
      <c r="J28">
        <v>9</v>
      </c>
    </row>
    <row r="29" spans="1:10" x14ac:dyDescent="0.35">
      <c r="A29" s="77" t="s">
        <v>14</v>
      </c>
      <c r="B29">
        <v>102</v>
      </c>
      <c r="C29">
        <v>33995</v>
      </c>
      <c r="D29" s="77" t="s">
        <v>91</v>
      </c>
      <c r="E29">
        <v>15.99</v>
      </c>
      <c r="F29">
        <v>8.2200000000000006</v>
      </c>
      <c r="G29" s="78">
        <v>42181</v>
      </c>
      <c r="H29" s="77" t="s">
        <v>317</v>
      </c>
      <c r="I29">
        <v>278.08695652173913</v>
      </c>
      <c r="J29">
        <v>20</v>
      </c>
    </row>
    <row r="30" spans="1:10" x14ac:dyDescent="0.35">
      <c r="A30" s="77" t="s">
        <v>14</v>
      </c>
      <c r="B30">
        <v>102</v>
      </c>
      <c r="C30">
        <v>33995</v>
      </c>
      <c r="D30" s="77" t="s">
        <v>91</v>
      </c>
      <c r="E30">
        <v>15.99</v>
      </c>
      <c r="F30">
        <v>8.2200000000000006</v>
      </c>
      <c r="G30" s="78">
        <v>42547</v>
      </c>
      <c r="H30" s="77" t="s">
        <v>318</v>
      </c>
      <c r="I30">
        <v>97.330434782608705</v>
      </c>
      <c r="J30">
        <v>7</v>
      </c>
    </row>
    <row r="31" spans="1:10" x14ac:dyDescent="0.35">
      <c r="A31" s="77" t="s">
        <v>14</v>
      </c>
      <c r="B31">
        <v>101</v>
      </c>
      <c r="C31">
        <v>33997</v>
      </c>
      <c r="D31" s="77" t="s">
        <v>39</v>
      </c>
      <c r="E31">
        <v>14.99</v>
      </c>
      <c r="F31">
        <v>7.62</v>
      </c>
      <c r="G31" s="78">
        <v>42181</v>
      </c>
      <c r="H31" s="77" t="s">
        <v>317</v>
      </c>
      <c r="I31">
        <v>39.104347826086958</v>
      </c>
      <c r="J31">
        <v>3</v>
      </c>
    </row>
    <row r="32" spans="1:10" x14ac:dyDescent="0.35">
      <c r="A32" s="77" t="s">
        <v>14</v>
      </c>
      <c r="B32">
        <v>101</v>
      </c>
      <c r="C32">
        <v>33997</v>
      </c>
      <c r="D32" s="77" t="s">
        <v>39</v>
      </c>
      <c r="E32">
        <v>14.99</v>
      </c>
      <c r="F32">
        <v>7.62</v>
      </c>
      <c r="G32" s="78">
        <v>42547</v>
      </c>
      <c r="H32" s="77" t="s">
        <v>318</v>
      </c>
      <c r="I32">
        <v>52.139130434782608</v>
      </c>
      <c r="J32">
        <v>4</v>
      </c>
    </row>
    <row r="33" spans="1:10" x14ac:dyDescent="0.35">
      <c r="A33" s="77" t="s">
        <v>14</v>
      </c>
      <c r="B33">
        <v>101</v>
      </c>
      <c r="C33">
        <v>34004</v>
      </c>
      <c r="D33" s="77" t="s">
        <v>50</v>
      </c>
      <c r="E33">
        <v>1</v>
      </c>
      <c r="F33">
        <v>0.65</v>
      </c>
      <c r="G33" s="78">
        <v>42181</v>
      </c>
      <c r="H33" s="77" t="s">
        <v>317</v>
      </c>
      <c r="I33">
        <v>30.434782608695652</v>
      </c>
      <c r="J33">
        <v>35</v>
      </c>
    </row>
    <row r="34" spans="1:10" x14ac:dyDescent="0.35">
      <c r="A34" s="77" t="s">
        <v>14</v>
      </c>
      <c r="B34">
        <v>101</v>
      </c>
      <c r="C34">
        <v>34004</v>
      </c>
      <c r="D34" s="77" t="s">
        <v>50</v>
      </c>
      <c r="E34">
        <v>1</v>
      </c>
      <c r="F34">
        <v>0.65</v>
      </c>
      <c r="G34" s="78">
        <v>42547</v>
      </c>
      <c r="H34" s="77" t="s">
        <v>318</v>
      </c>
      <c r="I34">
        <v>6.9565217391304346</v>
      </c>
      <c r="J34">
        <v>8</v>
      </c>
    </row>
    <row r="35" spans="1:10" x14ac:dyDescent="0.35">
      <c r="A35" s="77" t="s">
        <v>14</v>
      </c>
      <c r="B35">
        <v>102</v>
      </c>
      <c r="C35">
        <v>34008</v>
      </c>
      <c r="D35" s="77" t="s">
        <v>104</v>
      </c>
      <c r="E35">
        <v>5.99</v>
      </c>
      <c r="F35">
        <v>4.32</v>
      </c>
      <c r="G35" s="78">
        <v>42181</v>
      </c>
      <c r="H35" s="77" t="s">
        <v>317</v>
      </c>
      <c r="I35">
        <v>72.921739130434787</v>
      </c>
      <c r="J35">
        <v>14</v>
      </c>
    </row>
    <row r="36" spans="1:10" x14ac:dyDescent="0.35">
      <c r="A36" s="77" t="s">
        <v>14</v>
      </c>
      <c r="B36">
        <v>102</v>
      </c>
      <c r="C36">
        <v>34008</v>
      </c>
      <c r="D36" s="77" t="s">
        <v>104</v>
      </c>
      <c r="E36">
        <v>5.99</v>
      </c>
      <c r="F36">
        <v>4.32</v>
      </c>
      <c r="G36" s="78">
        <v>42547</v>
      </c>
      <c r="H36" s="77" t="s">
        <v>318</v>
      </c>
      <c r="I36">
        <v>67.713043478260872</v>
      </c>
      <c r="J36">
        <v>13</v>
      </c>
    </row>
    <row r="37" spans="1:10" x14ac:dyDescent="0.35">
      <c r="A37" s="77" t="s">
        <v>14</v>
      </c>
      <c r="B37">
        <v>118</v>
      </c>
      <c r="C37">
        <v>34014</v>
      </c>
      <c r="D37" s="77" t="s">
        <v>258</v>
      </c>
      <c r="E37">
        <v>100</v>
      </c>
      <c r="F37">
        <v>52.03</v>
      </c>
      <c r="G37" s="78">
        <v>42181</v>
      </c>
      <c r="H37" s="77" t="s">
        <v>317</v>
      </c>
      <c r="I37">
        <v>86.956521739130437</v>
      </c>
      <c r="J37">
        <v>1</v>
      </c>
    </row>
    <row r="38" spans="1:10" x14ac:dyDescent="0.35">
      <c r="A38" s="77" t="s">
        <v>19</v>
      </c>
      <c r="B38">
        <v>102</v>
      </c>
      <c r="C38">
        <v>34015</v>
      </c>
      <c r="D38" s="77" t="s">
        <v>106</v>
      </c>
      <c r="E38">
        <v>29.99</v>
      </c>
      <c r="F38">
        <v>3.1788888888888889</v>
      </c>
      <c r="G38" s="78">
        <v>42181</v>
      </c>
      <c r="H38" s="77" t="s">
        <v>317</v>
      </c>
      <c r="I38">
        <v>78.234782608695653</v>
      </c>
      <c r="J38">
        <v>3</v>
      </c>
    </row>
    <row r="39" spans="1:10" x14ac:dyDescent="0.35">
      <c r="A39" s="77" t="s">
        <v>19</v>
      </c>
      <c r="B39">
        <v>102</v>
      </c>
      <c r="C39">
        <v>34015</v>
      </c>
      <c r="D39" s="77" t="s">
        <v>106</v>
      </c>
      <c r="E39">
        <v>29.99</v>
      </c>
      <c r="F39">
        <v>3.1788888888888889</v>
      </c>
      <c r="G39" s="78">
        <v>42547</v>
      </c>
      <c r="H39" s="77" t="s">
        <v>318</v>
      </c>
      <c r="I39">
        <v>26.078260869565216</v>
      </c>
      <c r="J39">
        <v>1</v>
      </c>
    </row>
    <row r="40" spans="1:10" x14ac:dyDescent="0.35">
      <c r="A40" s="77" t="s">
        <v>14</v>
      </c>
      <c r="B40">
        <v>101</v>
      </c>
      <c r="C40">
        <v>34022</v>
      </c>
      <c r="D40" s="77" t="s">
        <v>54</v>
      </c>
      <c r="E40">
        <v>5.99</v>
      </c>
      <c r="F40">
        <v>2.72</v>
      </c>
      <c r="G40" s="78">
        <v>42181</v>
      </c>
      <c r="H40" s="77" t="s">
        <v>317</v>
      </c>
      <c r="I40">
        <v>26.043478260869563</v>
      </c>
      <c r="J40">
        <v>5</v>
      </c>
    </row>
    <row r="41" spans="1:10" x14ac:dyDescent="0.35">
      <c r="A41" s="77" t="s">
        <v>14</v>
      </c>
      <c r="B41">
        <v>101</v>
      </c>
      <c r="C41">
        <v>34023</v>
      </c>
      <c r="D41" s="77" t="s">
        <v>48</v>
      </c>
      <c r="E41">
        <v>6.99</v>
      </c>
      <c r="F41">
        <v>2.85</v>
      </c>
      <c r="G41" s="78">
        <v>42181</v>
      </c>
      <c r="H41" s="77" t="s">
        <v>317</v>
      </c>
      <c r="I41">
        <v>30.39130434782609</v>
      </c>
      <c r="J41">
        <v>5</v>
      </c>
    </row>
    <row r="42" spans="1:10" x14ac:dyDescent="0.35">
      <c r="A42" s="77" t="s">
        <v>14</v>
      </c>
      <c r="B42">
        <v>101</v>
      </c>
      <c r="C42">
        <v>34023</v>
      </c>
      <c r="D42" s="77" t="s">
        <v>48</v>
      </c>
      <c r="E42">
        <v>6.99</v>
      </c>
      <c r="F42">
        <v>2.85</v>
      </c>
      <c r="G42" s="78">
        <v>42547</v>
      </c>
      <c r="H42" s="77" t="s">
        <v>318</v>
      </c>
      <c r="I42">
        <v>24.31304347826087</v>
      </c>
      <c r="J42">
        <v>4</v>
      </c>
    </row>
    <row r="43" spans="1:10" x14ac:dyDescent="0.35">
      <c r="A43" s="77" t="s">
        <v>14</v>
      </c>
      <c r="B43">
        <v>101</v>
      </c>
      <c r="C43">
        <v>34024</v>
      </c>
      <c r="D43" s="77" t="s">
        <v>23</v>
      </c>
      <c r="E43">
        <v>37.99</v>
      </c>
      <c r="F43">
        <v>16.5</v>
      </c>
      <c r="G43" s="78">
        <v>42181</v>
      </c>
      <c r="H43" s="77" t="s">
        <v>317</v>
      </c>
      <c r="I43">
        <v>165.17391304347825</v>
      </c>
      <c r="J43">
        <v>5</v>
      </c>
    </row>
    <row r="44" spans="1:10" x14ac:dyDescent="0.35">
      <c r="A44" s="77" t="s">
        <v>14</v>
      </c>
      <c r="B44">
        <v>101</v>
      </c>
      <c r="C44">
        <v>34024</v>
      </c>
      <c r="D44" s="77" t="s">
        <v>23</v>
      </c>
      <c r="E44">
        <v>37.99</v>
      </c>
      <c r="F44">
        <v>16.5</v>
      </c>
      <c r="G44" s="78">
        <v>42547</v>
      </c>
      <c r="H44" s="77" t="s">
        <v>318</v>
      </c>
      <c r="I44">
        <v>33.03478260869565</v>
      </c>
      <c r="J44">
        <v>1</v>
      </c>
    </row>
    <row r="45" spans="1:10" x14ac:dyDescent="0.35">
      <c r="A45" s="77" t="s">
        <v>14</v>
      </c>
      <c r="B45">
        <v>118</v>
      </c>
      <c r="C45">
        <v>34033</v>
      </c>
      <c r="D45" s="77" t="s">
        <v>256</v>
      </c>
      <c r="E45">
        <v>120</v>
      </c>
      <c r="F45">
        <v>64.849999999999994</v>
      </c>
      <c r="G45" s="78">
        <v>42181</v>
      </c>
      <c r="H45" s="77" t="s">
        <v>317</v>
      </c>
      <c r="I45">
        <v>104.34782608695652</v>
      </c>
      <c r="J45">
        <v>1</v>
      </c>
    </row>
    <row r="46" spans="1:10" x14ac:dyDescent="0.35">
      <c r="A46" s="77" t="s">
        <v>14</v>
      </c>
      <c r="B46">
        <v>118</v>
      </c>
      <c r="C46">
        <v>34033</v>
      </c>
      <c r="D46" s="77" t="s">
        <v>256</v>
      </c>
      <c r="E46">
        <v>120</v>
      </c>
      <c r="F46">
        <v>64.849999999999994</v>
      </c>
      <c r="G46" s="78">
        <v>42547</v>
      </c>
      <c r="H46" s="77" t="s">
        <v>318</v>
      </c>
      <c r="I46">
        <v>104.34782608695652</v>
      </c>
      <c r="J46">
        <v>1</v>
      </c>
    </row>
    <row r="47" spans="1:10" x14ac:dyDescent="0.35">
      <c r="A47" s="77" t="s">
        <v>14</v>
      </c>
      <c r="B47">
        <v>101</v>
      </c>
      <c r="C47">
        <v>34041</v>
      </c>
      <c r="D47" s="77" t="s">
        <v>43</v>
      </c>
      <c r="E47">
        <v>6.99</v>
      </c>
      <c r="F47">
        <v>3.15</v>
      </c>
      <c r="G47" s="78">
        <v>42181</v>
      </c>
      <c r="H47" s="77" t="s">
        <v>317</v>
      </c>
      <c r="I47">
        <v>66.860869565217399</v>
      </c>
      <c r="J47">
        <v>11</v>
      </c>
    </row>
    <row r="48" spans="1:10" x14ac:dyDescent="0.35">
      <c r="A48" s="77" t="s">
        <v>14</v>
      </c>
      <c r="B48">
        <v>101</v>
      </c>
      <c r="C48">
        <v>34041</v>
      </c>
      <c r="D48" s="77" t="s">
        <v>43</v>
      </c>
      <c r="E48">
        <v>6.99</v>
      </c>
      <c r="F48">
        <v>3.15</v>
      </c>
      <c r="G48" s="78">
        <v>42547</v>
      </c>
      <c r="H48" s="77" t="s">
        <v>318</v>
      </c>
      <c r="I48">
        <v>42.547826086956519</v>
      </c>
      <c r="J48">
        <v>7</v>
      </c>
    </row>
    <row r="49" spans="1:10" x14ac:dyDescent="0.35">
      <c r="A49" s="77" t="s">
        <v>14</v>
      </c>
      <c r="B49">
        <v>101</v>
      </c>
      <c r="C49">
        <v>34042</v>
      </c>
      <c r="D49" s="77" t="s">
        <v>31</v>
      </c>
      <c r="E49">
        <v>9.5</v>
      </c>
      <c r="F49">
        <v>4.1500000000000004</v>
      </c>
      <c r="G49" s="78">
        <v>42181</v>
      </c>
      <c r="H49" s="77" t="s">
        <v>317</v>
      </c>
      <c r="I49">
        <v>49.565217391304344</v>
      </c>
      <c r="J49">
        <v>6</v>
      </c>
    </row>
    <row r="50" spans="1:10" x14ac:dyDescent="0.35">
      <c r="A50" s="77" t="s">
        <v>14</v>
      </c>
      <c r="B50">
        <v>101</v>
      </c>
      <c r="C50">
        <v>34042</v>
      </c>
      <c r="D50" s="77" t="s">
        <v>31</v>
      </c>
      <c r="E50">
        <v>9.5</v>
      </c>
      <c r="F50">
        <v>4.1500000000000004</v>
      </c>
      <c r="G50" s="78">
        <v>42547</v>
      </c>
      <c r="H50" s="77" t="s">
        <v>318</v>
      </c>
      <c r="I50">
        <v>90.869565217391312</v>
      </c>
      <c r="J50">
        <v>11</v>
      </c>
    </row>
    <row r="51" spans="1:10" x14ac:dyDescent="0.35">
      <c r="A51" s="77" t="s">
        <v>14</v>
      </c>
      <c r="B51">
        <v>101</v>
      </c>
      <c r="C51">
        <v>34046</v>
      </c>
      <c r="D51" s="77" t="s">
        <v>37</v>
      </c>
      <c r="E51">
        <v>19.989999999999998</v>
      </c>
      <c r="F51">
        <v>12.2</v>
      </c>
      <c r="G51" s="78">
        <v>42181</v>
      </c>
      <c r="H51" s="77" t="s">
        <v>317</v>
      </c>
      <c r="I51">
        <v>86.913043478260875</v>
      </c>
      <c r="J51">
        <v>5</v>
      </c>
    </row>
    <row r="52" spans="1:10" x14ac:dyDescent="0.35">
      <c r="A52" s="77" t="s">
        <v>14</v>
      </c>
      <c r="B52">
        <v>101</v>
      </c>
      <c r="C52">
        <v>34046</v>
      </c>
      <c r="D52" s="77" t="s">
        <v>37</v>
      </c>
      <c r="E52">
        <v>19.989999999999998</v>
      </c>
      <c r="F52">
        <v>12.2</v>
      </c>
      <c r="G52" s="78">
        <v>42547</v>
      </c>
      <c r="H52" s="77" t="s">
        <v>318</v>
      </c>
      <c r="I52">
        <v>69.530434782608694</v>
      </c>
      <c r="J52">
        <v>4</v>
      </c>
    </row>
    <row r="53" spans="1:10" x14ac:dyDescent="0.35">
      <c r="A53" s="77" t="s">
        <v>14</v>
      </c>
      <c r="B53">
        <v>101</v>
      </c>
      <c r="C53">
        <v>34053</v>
      </c>
      <c r="D53" s="77" t="s">
        <v>57</v>
      </c>
      <c r="E53">
        <v>15.99</v>
      </c>
      <c r="F53">
        <v>6.74</v>
      </c>
      <c r="G53" s="78">
        <v>42181</v>
      </c>
      <c r="H53" s="77" t="s">
        <v>317</v>
      </c>
      <c r="I53">
        <v>41.713043478260872</v>
      </c>
      <c r="J53">
        <v>3</v>
      </c>
    </row>
    <row r="54" spans="1:10" x14ac:dyDescent="0.35">
      <c r="A54" s="77" t="s">
        <v>14</v>
      </c>
      <c r="B54">
        <v>101</v>
      </c>
      <c r="C54">
        <v>34053</v>
      </c>
      <c r="D54" s="77" t="s">
        <v>57</v>
      </c>
      <c r="E54">
        <v>15.99</v>
      </c>
      <c r="F54">
        <v>6.74</v>
      </c>
      <c r="G54" s="78">
        <v>42547</v>
      </c>
      <c r="H54" s="77" t="s">
        <v>318</v>
      </c>
      <c r="I54">
        <v>55.617391304347827</v>
      </c>
      <c r="J54">
        <v>4</v>
      </c>
    </row>
    <row r="55" spans="1:10" x14ac:dyDescent="0.35">
      <c r="A55" s="77" t="s">
        <v>14</v>
      </c>
      <c r="B55">
        <v>101</v>
      </c>
      <c r="C55">
        <v>34068</v>
      </c>
      <c r="D55" s="77" t="s">
        <v>74</v>
      </c>
      <c r="E55">
        <v>1.5</v>
      </c>
      <c r="F55">
        <v>0.59</v>
      </c>
      <c r="G55" s="78">
        <v>42181</v>
      </c>
      <c r="H55" s="77" t="s">
        <v>317</v>
      </c>
      <c r="I55">
        <v>20.869565217391305</v>
      </c>
      <c r="J55">
        <v>16</v>
      </c>
    </row>
    <row r="56" spans="1:10" x14ac:dyDescent="0.35">
      <c r="A56" s="77" t="s">
        <v>14</v>
      </c>
      <c r="B56">
        <v>101</v>
      </c>
      <c r="C56">
        <v>34070</v>
      </c>
      <c r="D56" s="77" t="s">
        <v>26</v>
      </c>
      <c r="E56">
        <v>12.99</v>
      </c>
      <c r="F56">
        <v>6.81</v>
      </c>
      <c r="G56" s="78">
        <v>42181</v>
      </c>
      <c r="H56" s="77" t="s">
        <v>317</v>
      </c>
      <c r="I56">
        <v>169.43478260869566</v>
      </c>
      <c r="J56">
        <v>15</v>
      </c>
    </row>
    <row r="57" spans="1:10" x14ac:dyDescent="0.35">
      <c r="A57" s="77" t="s">
        <v>14</v>
      </c>
      <c r="B57">
        <v>101</v>
      </c>
      <c r="C57">
        <v>34070</v>
      </c>
      <c r="D57" s="77" t="s">
        <v>26</v>
      </c>
      <c r="E57">
        <v>12.99</v>
      </c>
      <c r="F57">
        <v>6.81</v>
      </c>
      <c r="G57" s="78">
        <v>42547</v>
      </c>
      <c r="H57" s="77" t="s">
        <v>318</v>
      </c>
      <c r="I57">
        <v>101.66086956521738</v>
      </c>
      <c r="J57">
        <v>9</v>
      </c>
    </row>
    <row r="58" spans="1:10" x14ac:dyDescent="0.35">
      <c r="A58" s="77" t="s">
        <v>14</v>
      </c>
      <c r="B58">
        <v>104</v>
      </c>
      <c r="C58">
        <v>34080</v>
      </c>
      <c r="D58" s="77" t="s">
        <v>234</v>
      </c>
      <c r="E58">
        <v>49.99</v>
      </c>
      <c r="F58">
        <v>28.67</v>
      </c>
      <c r="G58" s="78">
        <v>42547</v>
      </c>
      <c r="H58" s="77" t="s">
        <v>318</v>
      </c>
      <c r="I58">
        <v>43.469565217391306</v>
      </c>
      <c r="J58">
        <v>1</v>
      </c>
    </row>
    <row r="59" spans="1:10" x14ac:dyDescent="0.35">
      <c r="A59" s="77" t="s">
        <v>14</v>
      </c>
      <c r="B59">
        <v>104</v>
      </c>
      <c r="C59">
        <v>34083</v>
      </c>
      <c r="D59" s="77" t="s">
        <v>233</v>
      </c>
      <c r="E59">
        <v>49.99</v>
      </c>
      <c r="F59">
        <v>13.76</v>
      </c>
      <c r="G59" s="78">
        <v>42181</v>
      </c>
      <c r="H59" s="77" t="s">
        <v>317</v>
      </c>
      <c r="I59">
        <v>43.469565217391306</v>
      </c>
      <c r="J59">
        <v>1</v>
      </c>
    </row>
    <row r="60" spans="1:10" x14ac:dyDescent="0.35">
      <c r="A60" s="77" t="s">
        <v>14</v>
      </c>
      <c r="B60">
        <v>104</v>
      </c>
      <c r="C60">
        <v>34083</v>
      </c>
      <c r="D60" s="77" t="s">
        <v>233</v>
      </c>
      <c r="E60">
        <v>49.99</v>
      </c>
      <c r="F60">
        <v>13.76</v>
      </c>
      <c r="G60" s="78">
        <v>42547</v>
      </c>
      <c r="H60" s="77" t="s">
        <v>318</v>
      </c>
      <c r="I60">
        <v>130.40869565217392</v>
      </c>
      <c r="J60">
        <v>3</v>
      </c>
    </row>
    <row r="61" spans="1:10" x14ac:dyDescent="0.35">
      <c r="A61" s="77" t="s">
        <v>14</v>
      </c>
      <c r="B61">
        <v>101</v>
      </c>
      <c r="C61">
        <v>34086</v>
      </c>
      <c r="D61" s="77" t="s">
        <v>60</v>
      </c>
      <c r="E61">
        <v>29.99</v>
      </c>
      <c r="F61">
        <v>10</v>
      </c>
      <c r="G61" s="78">
        <v>42181</v>
      </c>
      <c r="H61" s="77" t="s">
        <v>317</v>
      </c>
      <c r="I61">
        <v>5.2695652173913041</v>
      </c>
      <c r="J61">
        <v>0.20200000000000001</v>
      </c>
    </row>
    <row r="62" spans="1:10" x14ac:dyDescent="0.35">
      <c r="A62" s="77" t="s">
        <v>14</v>
      </c>
      <c r="B62">
        <v>101</v>
      </c>
      <c r="C62">
        <v>34088</v>
      </c>
      <c r="D62" s="77" t="s">
        <v>44</v>
      </c>
      <c r="E62">
        <v>1.5</v>
      </c>
      <c r="F62">
        <v>0.68</v>
      </c>
      <c r="G62" s="78">
        <v>42547</v>
      </c>
      <c r="H62" s="77" t="s">
        <v>318</v>
      </c>
      <c r="I62">
        <v>117.39130434782609</v>
      </c>
      <c r="J62">
        <v>90</v>
      </c>
    </row>
    <row r="63" spans="1:10" x14ac:dyDescent="0.35">
      <c r="A63" s="77" t="s">
        <v>14</v>
      </c>
      <c r="B63">
        <v>101</v>
      </c>
      <c r="C63">
        <v>34091</v>
      </c>
      <c r="D63" s="77" t="s">
        <v>28</v>
      </c>
      <c r="E63">
        <v>17.989999999999998</v>
      </c>
      <c r="F63">
        <v>12.24</v>
      </c>
      <c r="G63" s="78">
        <v>42181</v>
      </c>
      <c r="H63" s="77" t="s">
        <v>317</v>
      </c>
      <c r="I63">
        <v>86.913043478260875</v>
      </c>
      <c r="J63">
        <v>5</v>
      </c>
    </row>
    <row r="64" spans="1:10" x14ac:dyDescent="0.35">
      <c r="A64" s="77" t="s">
        <v>14</v>
      </c>
      <c r="B64">
        <v>101</v>
      </c>
      <c r="C64">
        <v>34091</v>
      </c>
      <c r="D64" s="77" t="s">
        <v>28</v>
      </c>
      <c r="E64">
        <v>17.989999999999998</v>
      </c>
      <c r="F64">
        <v>12.24</v>
      </c>
      <c r="G64" s="78">
        <v>42547</v>
      </c>
      <c r="H64" s="77" t="s">
        <v>318</v>
      </c>
      <c r="I64">
        <v>86.913043478260875</v>
      </c>
      <c r="J64">
        <v>5</v>
      </c>
    </row>
    <row r="65" spans="1:10" x14ac:dyDescent="0.35">
      <c r="A65" s="77" t="s">
        <v>14</v>
      </c>
      <c r="B65">
        <v>101</v>
      </c>
      <c r="C65">
        <v>34092</v>
      </c>
      <c r="D65" s="77" t="s">
        <v>47</v>
      </c>
      <c r="E65">
        <v>4.99</v>
      </c>
      <c r="F65">
        <v>2.52</v>
      </c>
      <c r="G65" s="78">
        <v>42181</v>
      </c>
      <c r="H65" s="77" t="s">
        <v>317</v>
      </c>
      <c r="I65">
        <v>30.373913043478261</v>
      </c>
      <c r="J65">
        <v>7</v>
      </c>
    </row>
    <row r="66" spans="1:10" x14ac:dyDescent="0.35">
      <c r="A66" s="77" t="s">
        <v>14</v>
      </c>
      <c r="B66">
        <v>101</v>
      </c>
      <c r="C66">
        <v>34092</v>
      </c>
      <c r="D66" s="77" t="s">
        <v>47</v>
      </c>
      <c r="E66">
        <v>4.99</v>
      </c>
      <c r="F66">
        <v>2.52</v>
      </c>
      <c r="G66" s="78">
        <v>42547</v>
      </c>
      <c r="H66" s="77" t="s">
        <v>318</v>
      </c>
      <c r="I66">
        <v>8.6782608695652179</v>
      </c>
      <c r="J66">
        <v>2</v>
      </c>
    </row>
    <row r="67" spans="1:10" x14ac:dyDescent="0.35">
      <c r="A67" s="77" t="s">
        <v>14</v>
      </c>
      <c r="B67">
        <v>102</v>
      </c>
      <c r="C67">
        <v>34102</v>
      </c>
      <c r="D67" s="77" t="s">
        <v>129</v>
      </c>
      <c r="E67">
        <v>9.99</v>
      </c>
      <c r="F67">
        <v>4.99</v>
      </c>
      <c r="G67" s="78">
        <v>42547</v>
      </c>
      <c r="H67" s="77" t="s">
        <v>318</v>
      </c>
      <c r="I67">
        <v>43.434782608695656</v>
      </c>
      <c r="J67">
        <v>5</v>
      </c>
    </row>
    <row r="68" spans="1:10" x14ac:dyDescent="0.35">
      <c r="A68" s="77" t="s">
        <v>14</v>
      </c>
      <c r="B68">
        <v>119</v>
      </c>
      <c r="C68">
        <v>34105</v>
      </c>
      <c r="D68" s="77" t="s">
        <v>265</v>
      </c>
      <c r="E68">
        <v>79.989999999999995</v>
      </c>
      <c r="F68">
        <v>54.64</v>
      </c>
      <c r="G68" s="78">
        <v>42181</v>
      </c>
      <c r="H68" s="77" t="s">
        <v>317</v>
      </c>
      <c r="I68">
        <v>69.556521739130432</v>
      </c>
      <c r="J68">
        <v>1</v>
      </c>
    </row>
    <row r="69" spans="1:10" x14ac:dyDescent="0.35">
      <c r="A69" s="77" t="s">
        <v>14</v>
      </c>
      <c r="B69">
        <v>104</v>
      </c>
      <c r="C69">
        <v>34118</v>
      </c>
      <c r="D69" s="77" t="s">
        <v>231</v>
      </c>
      <c r="E69">
        <v>29.99</v>
      </c>
      <c r="F69">
        <v>7.38</v>
      </c>
      <c r="G69" s="78">
        <v>42547</v>
      </c>
      <c r="H69" s="77" t="s">
        <v>318</v>
      </c>
      <c r="I69">
        <v>130.39130434782606</v>
      </c>
      <c r="J69">
        <v>5</v>
      </c>
    </row>
    <row r="70" spans="1:10" x14ac:dyDescent="0.35">
      <c r="A70" s="77" t="s">
        <v>14</v>
      </c>
      <c r="B70">
        <v>101</v>
      </c>
      <c r="C70">
        <v>34119</v>
      </c>
      <c r="D70" s="77" t="s">
        <v>36</v>
      </c>
      <c r="E70">
        <v>3.3</v>
      </c>
      <c r="F70">
        <v>1.85</v>
      </c>
      <c r="G70" s="78">
        <v>42181</v>
      </c>
      <c r="H70" s="77" t="s">
        <v>317</v>
      </c>
      <c r="I70">
        <v>229.56521739130434</v>
      </c>
      <c r="J70">
        <v>80</v>
      </c>
    </row>
    <row r="71" spans="1:10" x14ac:dyDescent="0.35">
      <c r="A71" s="77" t="s">
        <v>19</v>
      </c>
      <c r="B71">
        <v>101</v>
      </c>
      <c r="C71">
        <v>34687</v>
      </c>
      <c r="D71" s="77" t="s">
        <v>40</v>
      </c>
      <c r="E71">
        <v>3.8</v>
      </c>
      <c r="F71">
        <v>1.9687999999999999</v>
      </c>
      <c r="G71" s="78">
        <v>42181</v>
      </c>
      <c r="H71" s="77" t="s">
        <v>317</v>
      </c>
      <c r="I71">
        <v>19.826086956521738</v>
      </c>
      <c r="J71">
        <v>6</v>
      </c>
    </row>
    <row r="72" spans="1:10" x14ac:dyDescent="0.35">
      <c r="A72" s="77" t="s">
        <v>19</v>
      </c>
      <c r="B72">
        <v>101</v>
      </c>
      <c r="C72">
        <v>34687</v>
      </c>
      <c r="D72" s="77" t="s">
        <v>40</v>
      </c>
      <c r="E72">
        <v>3.8</v>
      </c>
      <c r="F72">
        <v>1.9687999999999999</v>
      </c>
      <c r="G72" s="78">
        <v>42547</v>
      </c>
      <c r="H72" s="77" t="s">
        <v>318</v>
      </c>
      <c r="I72">
        <v>3.3043478260869565</v>
      </c>
      <c r="J72">
        <v>1</v>
      </c>
    </row>
    <row r="73" spans="1:10" x14ac:dyDescent="0.35">
      <c r="A73" s="77" t="s">
        <v>35</v>
      </c>
      <c r="B73">
        <v>101</v>
      </c>
      <c r="C73">
        <v>34687</v>
      </c>
      <c r="D73" s="77" t="s">
        <v>40</v>
      </c>
      <c r="E73">
        <v>3.8</v>
      </c>
      <c r="F73">
        <v>2.0770666666666666</v>
      </c>
      <c r="G73" s="78">
        <v>42181</v>
      </c>
      <c r="H73" s="77" t="s">
        <v>317</v>
      </c>
      <c r="I73">
        <v>19.826086956521738</v>
      </c>
      <c r="J73">
        <v>6</v>
      </c>
    </row>
    <row r="74" spans="1:10" x14ac:dyDescent="0.35">
      <c r="A74" s="77" t="s">
        <v>35</v>
      </c>
      <c r="B74">
        <v>101</v>
      </c>
      <c r="C74">
        <v>34687</v>
      </c>
      <c r="D74" s="77" t="s">
        <v>40</v>
      </c>
      <c r="E74">
        <v>3.8</v>
      </c>
      <c r="F74">
        <v>2.0770666666666666</v>
      </c>
      <c r="G74" s="78">
        <v>42547</v>
      </c>
      <c r="H74" s="77" t="s">
        <v>318</v>
      </c>
      <c r="I74">
        <v>3.3043478260869565</v>
      </c>
      <c r="J74">
        <v>1</v>
      </c>
    </row>
    <row r="75" spans="1:10" x14ac:dyDescent="0.35">
      <c r="A75" s="77" t="s">
        <v>14</v>
      </c>
      <c r="B75">
        <v>101</v>
      </c>
      <c r="C75">
        <v>34690</v>
      </c>
      <c r="D75" s="77" t="s">
        <v>18</v>
      </c>
      <c r="E75">
        <v>16.989999999999998</v>
      </c>
      <c r="F75">
        <v>7.7</v>
      </c>
      <c r="G75" s="78">
        <v>42181</v>
      </c>
      <c r="H75" s="77" t="s">
        <v>317</v>
      </c>
      <c r="I75">
        <v>457.99130434782614</v>
      </c>
      <c r="J75">
        <v>31</v>
      </c>
    </row>
    <row r="76" spans="1:10" x14ac:dyDescent="0.35">
      <c r="A76" s="77" t="s">
        <v>14</v>
      </c>
      <c r="B76">
        <v>101</v>
      </c>
      <c r="C76">
        <v>34690</v>
      </c>
      <c r="D76" s="77" t="s">
        <v>18</v>
      </c>
      <c r="E76">
        <v>16.989999999999998</v>
      </c>
      <c r="F76">
        <v>7.7</v>
      </c>
      <c r="G76" s="78">
        <v>42547</v>
      </c>
      <c r="H76" s="77" t="s">
        <v>318</v>
      </c>
      <c r="I76">
        <v>398.89565217391305</v>
      </c>
      <c r="J76">
        <v>27</v>
      </c>
    </row>
    <row r="77" spans="1:10" x14ac:dyDescent="0.35">
      <c r="A77" s="77" t="s">
        <v>14</v>
      </c>
      <c r="B77">
        <v>102</v>
      </c>
      <c r="C77">
        <v>38977</v>
      </c>
      <c r="D77" s="77" t="s">
        <v>95</v>
      </c>
      <c r="E77">
        <v>18.989999999999998</v>
      </c>
      <c r="F77">
        <v>9.6999999999999993</v>
      </c>
      <c r="G77" s="78">
        <v>42181</v>
      </c>
      <c r="H77" s="77" t="s">
        <v>317</v>
      </c>
      <c r="I77">
        <v>132.10434782608695</v>
      </c>
      <c r="J77">
        <v>8</v>
      </c>
    </row>
    <row r="78" spans="1:10" x14ac:dyDescent="0.35">
      <c r="A78" s="77" t="s">
        <v>14</v>
      </c>
      <c r="B78">
        <v>102</v>
      </c>
      <c r="C78">
        <v>38977</v>
      </c>
      <c r="D78" s="77" t="s">
        <v>95</v>
      </c>
      <c r="E78">
        <v>18.989999999999998</v>
      </c>
      <c r="F78">
        <v>9.6999999999999993</v>
      </c>
      <c r="G78" s="78">
        <v>42547</v>
      </c>
      <c r="H78" s="77" t="s">
        <v>318</v>
      </c>
      <c r="I78">
        <v>132.10434782608695</v>
      </c>
      <c r="J78">
        <v>8</v>
      </c>
    </row>
    <row r="79" spans="1:10" x14ac:dyDescent="0.35">
      <c r="A79" s="77" t="s">
        <v>14</v>
      </c>
      <c r="B79">
        <v>102</v>
      </c>
      <c r="C79">
        <v>39422</v>
      </c>
      <c r="D79" s="77" t="s">
        <v>120</v>
      </c>
      <c r="E79">
        <v>15.99</v>
      </c>
      <c r="F79">
        <v>8.3000000000000007</v>
      </c>
      <c r="G79" s="78">
        <v>42181</v>
      </c>
      <c r="H79" s="77" t="s">
        <v>317</v>
      </c>
      <c r="I79">
        <v>13.904347826086957</v>
      </c>
      <c r="J79">
        <v>1</v>
      </c>
    </row>
    <row r="80" spans="1:10" x14ac:dyDescent="0.35">
      <c r="A80" s="77" t="s">
        <v>14</v>
      </c>
      <c r="B80">
        <v>102</v>
      </c>
      <c r="C80">
        <v>39422</v>
      </c>
      <c r="D80" s="77" t="s">
        <v>120</v>
      </c>
      <c r="E80">
        <v>15.99</v>
      </c>
      <c r="F80">
        <v>8.3000000000000007</v>
      </c>
      <c r="G80" s="78">
        <v>42547</v>
      </c>
      <c r="H80" s="77" t="s">
        <v>318</v>
      </c>
      <c r="I80">
        <v>13.904347826086957</v>
      </c>
      <c r="J80">
        <v>1</v>
      </c>
    </row>
    <row r="81" spans="1:10" x14ac:dyDescent="0.35">
      <c r="A81" s="77" t="s">
        <v>14</v>
      </c>
      <c r="B81">
        <v>118</v>
      </c>
      <c r="C81">
        <v>40305</v>
      </c>
      <c r="D81" s="77" t="s">
        <v>257</v>
      </c>
      <c r="E81">
        <v>9.99</v>
      </c>
      <c r="F81">
        <v>4.53</v>
      </c>
      <c r="G81" s="78">
        <v>42181</v>
      </c>
      <c r="H81" s="77" t="s">
        <v>317</v>
      </c>
      <c r="I81">
        <v>17.373913043478261</v>
      </c>
      <c r="J81">
        <v>2</v>
      </c>
    </row>
    <row r="82" spans="1:10" x14ac:dyDescent="0.35">
      <c r="A82" s="77" t="s">
        <v>14</v>
      </c>
      <c r="B82">
        <v>118</v>
      </c>
      <c r="C82">
        <v>40305</v>
      </c>
      <c r="D82" s="77" t="s">
        <v>257</v>
      </c>
      <c r="E82">
        <v>9.99</v>
      </c>
      <c r="F82">
        <v>4.53</v>
      </c>
      <c r="G82" s="78">
        <v>42547</v>
      </c>
      <c r="H82" s="77" t="s">
        <v>318</v>
      </c>
      <c r="I82">
        <v>86.869565217391312</v>
      </c>
      <c r="J82">
        <v>10</v>
      </c>
    </row>
    <row r="83" spans="1:10" x14ac:dyDescent="0.35">
      <c r="A83" s="77" t="s">
        <v>14</v>
      </c>
      <c r="B83">
        <v>101</v>
      </c>
      <c r="C83">
        <v>42401</v>
      </c>
      <c r="D83" s="77" t="s">
        <v>38</v>
      </c>
      <c r="E83">
        <v>14.99</v>
      </c>
      <c r="F83">
        <v>6.62</v>
      </c>
      <c r="G83" s="78">
        <v>42547</v>
      </c>
      <c r="H83" s="77" t="s">
        <v>318</v>
      </c>
      <c r="I83">
        <v>130.34782608695653</v>
      </c>
      <c r="J83">
        <v>10</v>
      </c>
    </row>
    <row r="84" spans="1:10" x14ac:dyDescent="0.35">
      <c r="A84" s="77" t="s">
        <v>19</v>
      </c>
      <c r="B84">
        <v>102</v>
      </c>
      <c r="C84">
        <v>42797</v>
      </c>
      <c r="D84" s="77" t="s">
        <v>99</v>
      </c>
      <c r="E84">
        <v>11.99</v>
      </c>
      <c r="F84">
        <v>4.84</v>
      </c>
      <c r="G84" s="78">
        <v>42181</v>
      </c>
      <c r="H84" s="77" t="s">
        <v>317</v>
      </c>
      <c r="I84">
        <v>125.11304347826086</v>
      </c>
      <c r="J84">
        <v>12</v>
      </c>
    </row>
    <row r="85" spans="1:10" x14ac:dyDescent="0.35">
      <c r="A85" s="77" t="s">
        <v>19</v>
      </c>
      <c r="B85">
        <v>102</v>
      </c>
      <c r="C85">
        <v>42797</v>
      </c>
      <c r="D85" s="77" t="s">
        <v>99</v>
      </c>
      <c r="E85">
        <v>11.99</v>
      </c>
      <c r="F85">
        <v>4.84</v>
      </c>
      <c r="G85" s="78">
        <v>42547</v>
      </c>
      <c r="H85" s="77" t="s">
        <v>318</v>
      </c>
      <c r="I85">
        <v>72.982608695652175</v>
      </c>
      <c r="J85">
        <v>7</v>
      </c>
    </row>
    <row r="86" spans="1:10" x14ac:dyDescent="0.35">
      <c r="A86" s="77" t="s">
        <v>14</v>
      </c>
      <c r="B86">
        <v>102</v>
      </c>
      <c r="C86">
        <v>42797</v>
      </c>
      <c r="D86" s="77" t="s">
        <v>99</v>
      </c>
      <c r="E86">
        <v>11.99</v>
      </c>
      <c r="F86">
        <v>5.12</v>
      </c>
      <c r="G86" s="78">
        <v>42181</v>
      </c>
      <c r="H86" s="77" t="s">
        <v>317</v>
      </c>
      <c r="I86">
        <v>125.11304347826086</v>
      </c>
      <c r="J86">
        <v>12</v>
      </c>
    </row>
    <row r="87" spans="1:10" x14ac:dyDescent="0.35">
      <c r="A87" s="77" t="s">
        <v>14</v>
      </c>
      <c r="B87">
        <v>102</v>
      </c>
      <c r="C87">
        <v>42797</v>
      </c>
      <c r="D87" s="77" t="s">
        <v>99</v>
      </c>
      <c r="E87">
        <v>11.99</v>
      </c>
      <c r="F87">
        <v>5.12</v>
      </c>
      <c r="G87" s="78">
        <v>42547</v>
      </c>
      <c r="H87" s="77" t="s">
        <v>318</v>
      </c>
      <c r="I87">
        <v>72.982608695652175</v>
      </c>
      <c r="J87">
        <v>7</v>
      </c>
    </row>
    <row r="88" spans="1:10" x14ac:dyDescent="0.35">
      <c r="A88" s="77" t="s">
        <v>14</v>
      </c>
      <c r="B88">
        <v>102</v>
      </c>
      <c r="C88">
        <v>42990</v>
      </c>
      <c r="D88" s="77" t="s">
        <v>93</v>
      </c>
      <c r="E88">
        <v>19.989999999999998</v>
      </c>
      <c r="F88">
        <v>10.85</v>
      </c>
      <c r="G88" s="78">
        <v>42181</v>
      </c>
      <c r="H88" s="77" t="s">
        <v>317</v>
      </c>
      <c r="I88">
        <v>121.67826086956522</v>
      </c>
      <c r="J88">
        <v>7</v>
      </c>
    </row>
    <row r="89" spans="1:10" x14ac:dyDescent="0.35">
      <c r="A89" s="77" t="s">
        <v>14</v>
      </c>
      <c r="B89">
        <v>102</v>
      </c>
      <c r="C89">
        <v>42990</v>
      </c>
      <c r="D89" s="77" t="s">
        <v>93</v>
      </c>
      <c r="E89">
        <v>19.989999999999998</v>
      </c>
      <c r="F89">
        <v>10.85</v>
      </c>
      <c r="G89" s="78">
        <v>42547</v>
      </c>
      <c r="H89" s="77" t="s">
        <v>318</v>
      </c>
      <c r="I89">
        <v>173.82608695652175</v>
      </c>
      <c r="J89">
        <v>10</v>
      </c>
    </row>
    <row r="90" spans="1:10" x14ac:dyDescent="0.35">
      <c r="A90" s="77" t="s">
        <v>14</v>
      </c>
      <c r="B90">
        <v>104</v>
      </c>
      <c r="C90">
        <v>43309</v>
      </c>
      <c r="D90" s="77" t="s">
        <v>238</v>
      </c>
      <c r="E90">
        <v>13.99</v>
      </c>
      <c r="F90">
        <v>6.67</v>
      </c>
      <c r="G90" s="78">
        <v>42181</v>
      </c>
      <c r="H90" s="77" t="s">
        <v>317</v>
      </c>
      <c r="I90">
        <v>48.660869565217389</v>
      </c>
      <c r="J90">
        <v>4</v>
      </c>
    </row>
    <row r="91" spans="1:10" x14ac:dyDescent="0.35">
      <c r="A91" s="77" t="s">
        <v>14</v>
      </c>
      <c r="B91">
        <v>104</v>
      </c>
      <c r="C91">
        <v>43309</v>
      </c>
      <c r="D91" s="77" t="s">
        <v>238</v>
      </c>
      <c r="E91">
        <v>13.99</v>
      </c>
      <c r="F91">
        <v>6.67</v>
      </c>
      <c r="G91" s="78">
        <v>42547</v>
      </c>
      <c r="H91" s="77" t="s">
        <v>318</v>
      </c>
      <c r="I91">
        <v>12.165217391304347</v>
      </c>
      <c r="J91">
        <v>1</v>
      </c>
    </row>
    <row r="92" spans="1:10" x14ac:dyDescent="0.35">
      <c r="A92" s="77" t="s">
        <v>19</v>
      </c>
      <c r="B92">
        <v>102</v>
      </c>
      <c r="C92">
        <v>48620</v>
      </c>
      <c r="D92" s="77" t="s">
        <v>153</v>
      </c>
      <c r="E92">
        <v>37.99</v>
      </c>
      <c r="F92">
        <v>16.841833333333334</v>
      </c>
      <c r="G92" s="78">
        <v>42547</v>
      </c>
      <c r="H92" s="77" t="s">
        <v>318</v>
      </c>
      <c r="I92">
        <v>33.03478260869565</v>
      </c>
      <c r="J92">
        <v>1</v>
      </c>
    </row>
    <row r="93" spans="1:10" x14ac:dyDescent="0.35">
      <c r="A93" s="77" t="s">
        <v>35</v>
      </c>
      <c r="B93">
        <v>102</v>
      </c>
      <c r="C93">
        <v>48620</v>
      </c>
      <c r="D93" s="77" t="s">
        <v>153</v>
      </c>
      <c r="E93">
        <v>37.99</v>
      </c>
      <c r="F93">
        <v>19.462499999999999</v>
      </c>
      <c r="G93" s="78">
        <v>42547</v>
      </c>
      <c r="H93" s="77" t="s">
        <v>318</v>
      </c>
      <c r="I93">
        <v>33.03478260869565</v>
      </c>
      <c r="J93">
        <v>1</v>
      </c>
    </row>
    <row r="94" spans="1:10" x14ac:dyDescent="0.35">
      <c r="A94" s="77" t="s">
        <v>19</v>
      </c>
      <c r="B94">
        <v>101</v>
      </c>
      <c r="C94">
        <v>50037</v>
      </c>
      <c r="D94" s="77" t="s">
        <v>22</v>
      </c>
      <c r="E94">
        <v>25.99</v>
      </c>
      <c r="F94">
        <v>13.4</v>
      </c>
      <c r="G94" s="78">
        <v>42181</v>
      </c>
      <c r="H94" s="77" t="s">
        <v>317</v>
      </c>
      <c r="I94">
        <v>158.20000000000002</v>
      </c>
      <c r="J94">
        <v>7</v>
      </c>
    </row>
    <row r="95" spans="1:10" x14ac:dyDescent="0.35">
      <c r="A95" s="77" t="s">
        <v>19</v>
      </c>
      <c r="B95">
        <v>101</v>
      </c>
      <c r="C95">
        <v>50037</v>
      </c>
      <c r="D95" s="77" t="s">
        <v>22</v>
      </c>
      <c r="E95">
        <v>25.99</v>
      </c>
      <c r="F95">
        <v>13.4</v>
      </c>
      <c r="G95" s="78">
        <v>42547</v>
      </c>
      <c r="H95" s="77" t="s">
        <v>318</v>
      </c>
      <c r="I95">
        <v>158.20000000000002</v>
      </c>
      <c r="J95">
        <v>7</v>
      </c>
    </row>
    <row r="96" spans="1:10" x14ac:dyDescent="0.35">
      <c r="A96" s="77" t="s">
        <v>19</v>
      </c>
      <c r="B96">
        <v>101</v>
      </c>
      <c r="C96">
        <v>51680</v>
      </c>
      <c r="D96" s="77" t="s">
        <v>33</v>
      </c>
      <c r="E96">
        <v>21.99</v>
      </c>
      <c r="F96">
        <v>12.14</v>
      </c>
      <c r="G96" s="78">
        <v>42181</v>
      </c>
      <c r="H96" s="77" t="s">
        <v>317</v>
      </c>
      <c r="I96">
        <v>57.365217391304348</v>
      </c>
      <c r="J96">
        <v>3</v>
      </c>
    </row>
    <row r="97" spans="1:10" x14ac:dyDescent="0.35">
      <c r="A97" s="77" t="s">
        <v>19</v>
      </c>
      <c r="B97">
        <v>101</v>
      </c>
      <c r="C97">
        <v>51680</v>
      </c>
      <c r="D97" s="77" t="s">
        <v>33</v>
      </c>
      <c r="E97">
        <v>21.99</v>
      </c>
      <c r="F97">
        <v>12.14</v>
      </c>
      <c r="G97" s="78">
        <v>42547</v>
      </c>
      <c r="H97" s="77" t="s">
        <v>318</v>
      </c>
      <c r="I97">
        <v>19.121739130434783</v>
      </c>
      <c r="J97">
        <v>1</v>
      </c>
    </row>
    <row r="98" spans="1:10" x14ac:dyDescent="0.35">
      <c r="A98" s="77" t="s">
        <v>14</v>
      </c>
      <c r="B98">
        <v>102</v>
      </c>
      <c r="C98">
        <v>52943</v>
      </c>
      <c r="D98" s="77" t="s">
        <v>90</v>
      </c>
      <c r="E98">
        <v>31.99</v>
      </c>
      <c r="F98">
        <v>15.17</v>
      </c>
      <c r="G98" s="78">
        <v>42181</v>
      </c>
      <c r="H98" s="77" t="s">
        <v>317</v>
      </c>
      <c r="I98">
        <v>194.04347826086956</v>
      </c>
      <c r="J98">
        <v>6.976</v>
      </c>
    </row>
    <row r="99" spans="1:10" x14ac:dyDescent="0.35">
      <c r="A99" s="77" t="s">
        <v>14</v>
      </c>
      <c r="B99">
        <v>102</v>
      </c>
      <c r="C99">
        <v>52943</v>
      </c>
      <c r="D99" s="77" t="s">
        <v>90</v>
      </c>
      <c r="E99">
        <v>31.99</v>
      </c>
      <c r="F99">
        <v>15.17</v>
      </c>
      <c r="G99" s="78">
        <v>42547</v>
      </c>
      <c r="H99" s="77" t="s">
        <v>318</v>
      </c>
      <c r="I99">
        <v>133.09565217391304</v>
      </c>
      <c r="J99">
        <v>4.7850000000000001</v>
      </c>
    </row>
    <row r="100" spans="1:10" x14ac:dyDescent="0.35">
      <c r="A100" s="77" t="s">
        <v>14</v>
      </c>
      <c r="B100">
        <v>106</v>
      </c>
      <c r="C100">
        <v>54018</v>
      </c>
      <c r="D100" s="77" t="s">
        <v>243</v>
      </c>
      <c r="E100">
        <v>18.989999999999998</v>
      </c>
      <c r="F100">
        <v>9.83</v>
      </c>
      <c r="G100" s="78">
        <v>42181</v>
      </c>
      <c r="H100" s="77" t="s">
        <v>317</v>
      </c>
      <c r="I100">
        <v>132.10434782608695</v>
      </c>
      <c r="J100">
        <v>8</v>
      </c>
    </row>
    <row r="101" spans="1:10" x14ac:dyDescent="0.35">
      <c r="A101" s="77" t="s">
        <v>14</v>
      </c>
      <c r="B101">
        <v>106</v>
      </c>
      <c r="C101">
        <v>54018</v>
      </c>
      <c r="D101" s="77" t="s">
        <v>243</v>
      </c>
      <c r="E101">
        <v>18.989999999999998</v>
      </c>
      <c r="F101">
        <v>9.83</v>
      </c>
      <c r="G101" s="78">
        <v>42547</v>
      </c>
      <c r="H101" s="77" t="s">
        <v>318</v>
      </c>
      <c r="I101">
        <v>49.539130434782606</v>
      </c>
      <c r="J101">
        <v>3</v>
      </c>
    </row>
    <row r="102" spans="1:10" x14ac:dyDescent="0.35">
      <c r="A102" s="77" t="s">
        <v>107</v>
      </c>
      <c r="B102">
        <v>102</v>
      </c>
      <c r="C102">
        <v>55095</v>
      </c>
      <c r="D102" s="77" t="s">
        <v>116</v>
      </c>
      <c r="E102">
        <v>5</v>
      </c>
      <c r="F102">
        <v>1.38</v>
      </c>
      <c r="G102" s="78">
        <v>42547</v>
      </c>
      <c r="H102" s="77" t="s">
        <v>318</v>
      </c>
      <c r="I102">
        <v>30.434782608695652</v>
      </c>
      <c r="J102">
        <v>7</v>
      </c>
    </row>
    <row r="103" spans="1:10" x14ac:dyDescent="0.35">
      <c r="A103" s="77" t="s">
        <v>14</v>
      </c>
      <c r="B103">
        <v>102</v>
      </c>
      <c r="C103">
        <v>55481</v>
      </c>
      <c r="D103" s="77" t="s">
        <v>105</v>
      </c>
      <c r="E103">
        <v>11.99</v>
      </c>
      <c r="F103">
        <v>5.0999999999999996</v>
      </c>
      <c r="G103" s="78">
        <v>42181</v>
      </c>
      <c r="H103" s="77" t="s">
        <v>317</v>
      </c>
      <c r="I103">
        <v>83.408695652173918</v>
      </c>
      <c r="J103">
        <v>8</v>
      </c>
    </row>
    <row r="104" spans="1:10" x14ac:dyDescent="0.35">
      <c r="A104" s="77" t="s">
        <v>14</v>
      </c>
      <c r="B104">
        <v>102</v>
      </c>
      <c r="C104">
        <v>55481</v>
      </c>
      <c r="D104" s="77" t="s">
        <v>105</v>
      </c>
      <c r="E104">
        <v>11.99</v>
      </c>
      <c r="F104">
        <v>5.0999999999999996</v>
      </c>
      <c r="G104" s="78">
        <v>42547</v>
      </c>
      <c r="H104" s="77" t="s">
        <v>318</v>
      </c>
      <c r="I104">
        <v>52.130434782608695</v>
      </c>
      <c r="J104">
        <v>5</v>
      </c>
    </row>
    <row r="105" spans="1:10" x14ac:dyDescent="0.35">
      <c r="A105" s="77" t="s">
        <v>14</v>
      </c>
      <c r="B105">
        <v>101</v>
      </c>
      <c r="C105">
        <v>57073</v>
      </c>
      <c r="D105" s="77" t="s">
        <v>21</v>
      </c>
      <c r="E105">
        <v>36.99</v>
      </c>
      <c r="F105">
        <v>16.05</v>
      </c>
      <c r="G105" s="78">
        <v>42181</v>
      </c>
      <c r="H105" s="77" t="s">
        <v>317</v>
      </c>
      <c r="I105">
        <v>225.15652173913043</v>
      </c>
      <c r="J105">
        <v>7</v>
      </c>
    </row>
    <row r="106" spans="1:10" x14ac:dyDescent="0.35">
      <c r="A106" s="77" t="s">
        <v>14</v>
      </c>
      <c r="B106">
        <v>101</v>
      </c>
      <c r="C106">
        <v>57073</v>
      </c>
      <c r="D106" s="77" t="s">
        <v>21</v>
      </c>
      <c r="E106">
        <v>36.99</v>
      </c>
      <c r="F106">
        <v>16.05</v>
      </c>
      <c r="G106" s="78">
        <v>42547</v>
      </c>
      <c r="H106" s="77" t="s">
        <v>318</v>
      </c>
      <c r="I106">
        <v>32.165217391304353</v>
      </c>
      <c r="J106">
        <v>1</v>
      </c>
    </row>
    <row r="107" spans="1:10" x14ac:dyDescent="0.35">
      <c r="A107" s="77" t="s">
        <v>107</v>
      </c>
      <c r="B107">
        <v>102</v>
      </c>
      <c r="C107">
        <v>58147</v>
      </c>
      <c r="D107" s="77" t="s">
        <v>146</v>
      </c>
      <c r="E107">
        <v>16.989999999999998</v>
      </c>
      <c r="F107">
        <v>7.99</v>
      </c>
      <c r="G107" s="78">
        <v>42181</v>
      </c>
      <c r="H107" s="77" t="s">
        <v>317</v>
      </c>
      <c r="I107">
        <v>14.77391304347826</v>
      </c>
      <c r="J107">
        <v>1</v>
      </c>
    </row>
    <row r="108" spans="1:10" x14ac:dyDescent="0.35">
      <c r="A108" s="77" t="s">
        <v>14</v>
      </c>
      <c r="B108">
        <v>101</v>
      </c>
      <c r="C108">
        <v>58512</v>
      </c>
      <c r="D108" s="77" t="s">
        <v>30</v>
      </c>
      <c r="E108">
        <v>26.99</v>
      </c>
      <c r="F108">
        <v>10.66</v>
      </c>
      <c r="G108" s="78">
        <v>42181</v>
      </c>
      <c r="H108" s="77" t="s">
        <v>317</v>
      </c>
      <c r="I108">
        <v>70.408695652173918</v>
      </c>
      <c r="J108">
        <v>3</v>
      </c>
    </row>
    <row r="109" spans="1:10" x14ac:dyDescent="0.35">
      <c r="A109" s="77" t="s">
        <v>14</v>
      </c>
      <c r="B109">
        <v>101</v>
      </c>
      <c r="C109">
        <v>58512</v>
      </c>
      <c r="D109" s="77" t="s">
        <v>30</v>
      </c>
      <c r="E109">
        <v>26.99</v>
      </c>
      <c r="F109">
        <v>10.66</v>
      </c>
      <c r="G109" s="78">
        <v>42547</v>
      </c>
      <c r="H109" s="77" t="s">
        <v>318</v>
      </c>
      <c r="I109">
        <v>70.408695652173918</v>
      </c>
      <c r="J109">
        <v>3</v>
      </c>
    </row>
    <row r="110" spans="1:10" x14ac:dyDescent="0.35">
      <c r="A110" s="77" t="s">
        <v>14</v>
      </c>
      <c r="B110">
        <v>101</v>
      </c>
      <c r="C110">
        <v>58767</v>
      </c>
      <c r="D110" s="77" t="s">
        <v>27</v>
      </c>
      <c r="E110">
        <v>19.989999999999998</v>
      </c>
      <c r="F110">
        <v>7.04</v>
      </c>
      <c r="G110" s="78">
        <v>42181</v>
      </c>
      <c r="H110" s="77" t="s">
        <v>317</v>
      </c>
      <c r="I110">
        <v>121.67826086956522</v>
      </c>
      <c r="J110">
        <v>7</v>
      </c>
    </row>
    <row r="111" spans="1:10" x14ac:dyDescent="0.35">
      <c r="A111" s="77" t="s">
        <v>14</v>
      </c>
      <c r="B111">
        <v>101</v>
      </c>
      <c r="C111">
        <v>58767</v>
      </c>
      <c r="D111" s="77" t="s">
        <v>27</v>
      </c>
      <c r="E111">
        <v>19.989999999999998</v>
      </c>
      <c r="F111">
        <v>7.04</v>
      </c>
      <c r="G111" s="78">
        <v>42547</v>
      </c>
      <c r="H111" s="77" t="s">
        <v>318</v>
      </c>
      <c r="I111">
        <v>52.14782608695652</v>
      </c>
      <c r="J111">
        <v>3</v>
      </c>
    </row>
    <row r="112" spans="1:10" x14ac:dyDescent="0.35">
      <c r="A112" s="77" t="s">
        <v>14</v>
      </c>
      <c r="B112">
        <v>101</v>
      </c>
      <c r="C112">
        <v>59381</v>
      </c>
      <c r="D112" s="77" t="s">
        <v>15</v>
      </c>
      <c r="E112">
        <v>13.99</v>
      </c>
      <c r="F112">
        <v>7.36</v>
      </c>
      <c r="G112" s="78">
        <v>42181</v>
      </c>
      <c r="H112" s="77" t="s">
        <v>317</v>
      </c>
      <c r="I112">
        <v>1216.5217391304348</v>
      </c>
      <c r="J112">
        <v>100</v>
      </c>
    </row>
    <row r="113" spans="1:10" x14ac:dyDescent="0.35">
      <c r="A113" s="77" t="s">
        <v>14</v>
      </c>
      <c r="B113">
        <v>101</v>
      </c>
      <c r="C113">
        <v>59381</v>
      </c>
      <c r="D113" s="77" t="s">
        <v>15</v>
      </c>
      <c r="E113">
        <v>13.99</v>
      </c>
      <c r="F113">
        <v>7.36</v>
      </c>
      <c r="G113" s="78">
        <v>42547</v>
      </c>
      <c r="H113" s="77" t="s">
        <v>318</v>
      </c>
      <c r="I113">
        <v>1094.8695652173913</v>
      </c>
      <c r="J113">
        <v>90</v>
      </c>
    </row>
    <row r="114" spans="1:10" x14ac:dyDescent="0.35">
      <c r="A114" s="77" t="s">
        <v>14</v>
      </c>
      <c r="B114">
        <v>101</v>
      </c>
      <c r="C114">
        <v>59425</v>
      </c>
      <c r="D114" s="77" t="s">
        <v>17</v>
      </c>
      <c r="E114">
        <v>10.99</v>
      </c>
      <c r="F114">
        <v>6.3</v>
      </c>
      <c r="G114" s="78">
        <v>42181</v>
      </c>
      <c r="H114" s="77" t="s">
        <v>317</v>
      </c>
      <c r="I114">
        <v>659.4</v>
      </c>
      <c r="J114">
        <v>60</v>
      </c>
    </row>
    <row r="115" spans="1:10" x14ac:dyDescent="0.35">
      <c r="A115" s="77" t="s">
        <v>14</v>
      </c>
      <c r="B115">
        <v>102</v>
      </c>
      <c r="C115">
        <v>59477</v>
      </c>
      <c r="D115" s="77" t="s">
        <v>159</v>
      </c>
      <c r="E115">
        <v>5.99</v>
      </c>
      <c r="F115">
        <v>3.1</v>
      </c>
      <c r="G115" s="78">
        <v>42547</v>
      </c>
      <c r="H115" s="77" t="s">
        <v>318</v>
      </c>
      <c r="I115">
        <v>10.417391304347827</v>
      </c>
      <c r="J115">
        <v>2</v>
      </c>
    </row>
    <row r="116" spans="1:10" x14ac:dyDescent="0.35">
      <c r="A116" s="77" t="s">
        <v>14</v>
      </c>
      <c r="B116">
        <v>102</v>
      </c>
      <c r="C116">
        <v>61937</v>
      </c>
      <c r="D116" s="77" t="s">
        <v>122</v>
      </c>
      <c r="E116">
        <v>10</v>
      </c>
      <c r="F116">
        <v>2.67</v>
      </c>
      <c r="G116" s="78">
        <v>42181</v>
      </c>
      <c r="H116" s="77" t="s">
        <v>317</v>
      </c>
      <c r="I116">
        <v>104.34782608695652</v>
      </c>
      <c r="J116">
        <v>12</v>
      </c>
    </row>
    <row r="117" spans="1:10" x14ac:dyDescent="0.35">
      <c r="A117" s="77" t="s">
        <v>14</v>
      </c>
      <c r="B117">
        <v>102</v>
      </c>
      <c r="C117">
        <v>61938</v>
      </c>
      <c r="D117" s="77" t="s">
        <v>124</v>
      </c>
      <c r="E117">
        <v>10</v>
      </c>
      <c r="F117">
        <v>3.43</v>
      </c>
      <c r="G117" s="78">
        <v>42181</v>
      </c>
      <c r="H117" s="77" t="s">
        <v>317</v>
      </c>
      <c r="I117">
        <v>26.086956521739129</v>
      </c>
      <c r="J117">
        <v>3</v>
      </c>
    </row>
    <row r="118" spans="1:10" x14ac:dyDescent="0.35">
      <c r="A118" s="77" t="s">
        <v>14</v>
      </c>
      <c r="B118">
        <v>102</v>
      </c>
      <c r="C118">
        <v>61939</v>
      </c>
      <c r="D118" s="77" t="s">
        <v>101</v>
      </c>
      <c r="E118">
        <v>10</v>
      </c>
      <c r="F118">
        <v>5.09</v>
      </c>
      <c r="G118" s="78">
        <v>42547</v>
      </c>
      <c r="H118" s="77" t="s">
        <v>318</v>
      </c>
      <c r="I118">
        <v>147.82608695652175</v>
      </c>
      <c r="J118">
        <v>17</v>
      </c>
    </row>
    <row r="119" spans="1:10" x14ac:dyDescent="0.35">
      <c r="A119" s="77" t="s">
        <v>14</v>
      </c>
      <c r="B119">
        <v>101</v>
      </c>
      <c r="C119">
        <v>61947</v>
      </c>
      <c r="D119" s="77" t="s">
        <v>42</v>
      </c>
      <c r="E119">
        <v>28.99</v>
      </c>
      <c r="F119">
        <v>8.93</v>
      </c>
      <c r="G119" s="78">
        <v>42181</v>
      </c>
      <c r="H119" s="77" t="s">
        <v>317</v>
      </c>
      <c r="I119">
        <v>25.208695652173912</v>
      </c>
      <c r="J119">
        <v>1</v>
      </c>
    </row>
    <row r="120" spans="1:10" x14ac:dyDescent="0.35">
      <c r="A120" s="77" t="s">
        <v>14</v>
      </c>
      <c r="B120">
        <v>101</v>
      </c>
      <c r="C120">
        <v>61947</v>
      </c>
      <c r="D120" s="77" t="s">
        <v>42</v>
      </c>
      <c r="E120">
        <v>28.99</v>
      </c>
      <c r="F120">
        <v>8.93</v>
      </c>
      <c r="G120" s="78">
        <v>42547</v>
      </c>
      <c r="H120" s="77" t="s">
        <v>318</v>
      </c>
      <c r="I120">
        <v>25.208695652173912</v>
      </c>
      <c r="J120">
        <v>1</v>
      </c>
    </row>
    <row r="121" spans="1:10" x14ac:dyDescent="0.35">
      <c r="A121" s="77" t="s">
        <v>14</v>
      </c>
      <c r="B121">
        <v>120</v>
      </c>
      <c r="C121">
        <v>62585</v>
      </c>
      <c r="D121" s="77" t="s">
        <v>281</v>
      </c>
      <c r="E121">
        <v>55</v>
      </c>
      <c r="F121">
        <v>33.18</v>
      </c>
      <c r="G121" s="78">
        <v>42547</v>
      </c>
      <c r="H121" s="77" t="s">
        <v>318</v>
      </c>
      <c r="I121">
        <v>6217.391304347826</v>
      </c>
      <c r="J121">
        <v>130</v>
      </c>
    </row>
    <row r="122" spans="1:10" x14ac:dyDescent="0.35">
      <c r="A122" s="77" t="s">
        <v>14</v>
      </c>
      <c r="B122">
        <v>101</v>
      </c>
      <c r="C122">
        <v>62622</v>
      </c>
      <c r="D122" s="77" t="s">
        <v>70</v>
      </c>
      <c r="E122">
        <v>26.99</v>
      </c>
      <c r="F122">
        <v>14.15</v>
      </c>
      <c r="G122" s="78">
        <v>42181</v>
      </c>
      <c r="H122" s="77" t="s">
        <v>317</v>
      </c>
      <c r="I122">
        <v>70.408695652173918</v>
      </c>
      <c r="J122">
        <v>3</v>
      </c>
    </row>
    <row r="123" spans="1:10" x14ac:dyDescent="0.35">
      <c r="A123" s="77" t="s">
        <v>14</v>
      </c>
      <c r="B123">
        <v>120</v>
      </c>
      <c r="C123">
        <v>62629</v>
      </c>
      <c r="D123" s="77" t="s">
        <v>282</v>
      </c>
      <c r="E123">
        <v>60</v>
      </c>
      <c r="F123">
        <v>33.18</v>
      </c>
      <c r="G123" s="78">
        <v>42547</v>
      </c>
      <c r="H123" s="77" t="s">
        <v>318</v>
      </c>
      <c r="I123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34C9D-1D37-4C66-B835-607516317BE7}">
  <dimension ref="A1:J123"/>
  <sheetViews>
    <sheetView workbookViewId="0">
      <selection sqref="A1:J123"/>
    </sheetView>
  </sheetViews>
  <sheetFormatPr defaultRowHeight="13" x14ac:dyDescent="0.35"/>
  <cols>
    <col min="1" max="1" width="36.5" bestFit="1" customWidth="1"/>
    <col min="2" max="2" width="18.296875" customWidth="1"/>
    <col min="3" max="3" width="16" customWidth="1"/>
    <col min="4" max="4" width="41.8984375" bestFit="1" customWidth="1"/>
    <col min="5" max="5" width="5.8984375" bestFit="1" customWidth="1"/>
    <col min="6" max="6" width="11.8984375" bestFit="1" customWidth="1"/>
    <col min="7" max="7" width="7.8984375" bestFit="1" customWidth="1"/>
    <col min="8" max="8" width="8.19921875" bestFit="1" customWidth="1"/>
    <col min="9" max="9" width="18.09765625" customWidth="1"/>
    <col min="10" max="10" width="16.5" customWidth="1"/>
  </cols>
  <sheetData>
    <row r="1" spans="1:10" x14ac:dyDescent="0.35">
      <c r="A1" s="76" t="s">
        <v>0</v>
      </c>
      <c r="B1" s="76" t="s">
        <v>311</v>
      </c>
      <c r="C1" s="76" t="s">
        <v>1</v>
      </c>
      <c r="D1" s="76" t="s">
        <v>2</v>
      </c>
      <c r="E1" s="76" t="s">
        <v>3</v>
      </c>
      <c r="F1" s="76" t="s">
        <v>4</v>
      </c>
      <c r="G1" s="76" t="s">
        <v>321</v>
      </c>
      <c r="H1" s="76" t="s">
        <v>322</v>
      </c>
      <c r="I1" s="76" t="s">
        <v>6</v>
      </c>
      <c r="J1" s="76" t="s">
        <v>8</v>
      </c>
    </row>
    <row r="2" spans="1:10" x14ac:dyDescent="0.35">
      <c r="A2" t="s">
        <v>14</v>
      </c>
      <c r="B2">
        <v>101</v>
      </c>
      <c r="C2">
        <v>32067</v>
      </c>
      <c r="D2" t="s">
        <v>29</v>
      </c>
      <c r="E2">
        <v>34.99</v>
      </c>
      <c r="F2">
        <v>15.91</v>
      </c>
      <c r="G2" t="s">
        <v>316</v>
      </c>
      <c r="H2" t="s">
        <v>318</v>
      </c>
      <c r="I2" s="13">
        <v>121.70434782608696</v>
      </c>
      <c r="J2">
        <v>4</v>
      </c>
    </row>
    <row r="3" spans="1:10" x14ac:dyDescent="0.35">
      <c r="A3" t="s">
        <v>14</v>
      </c>
      <c r="B3">
        <v>102</v>
      </c>
      <c r="C3">
        <v>32127</v>
      </c>
      <c r="D3" t="s">
        <v>92</v>
      </c>
      <c r="E3">
        <v>11.99</v>
      </c>
      <c r="F3">
        <v>6.02</v>
      </c>
      <c r="G3" t="s">
        <v>314</v>
      </c>
      <c r="H3" t="s">
        <v>317</v>
      </c>
      <c r="I3" s="13">
        <v>125.11304347826086</v>
      </c>
      <c r="J3">
        <v>12</v>
      </c>
    </row>
    <row r="4" spans="1:10" x14ac:dyDescent="0.35">
      <c r="A4" t="s">
        <v>14</v>
      </c>
      <c r="B4">
        <v>102</v>
      </c>
      <c r="C4">
        <v>32127</v>
      </c>
      <c r="D4" t="s">
        <v>92</v>
      </c>
      <c r="E4">
        <v>11.99</v>
      </c>
      <c r="F4">
        <v>6.02</v>
      </c>
      <c r="G4" t="s">
        <v>316</v>
      </c>
      <c r="H4" t="s">
        <v>318</v>
      </c>
      <c r="I4" s="13">
        <v>93.834782608695647</v>
      </c>
      <c r="J4">
        <v>9</v>
      </c>
    </row>
    <row r="5" spans="1:10" x14ac:dyDescent="0.35">
      <c r="A5" t="s">
        <v>14</v>
      </c>
      <c r="B5">
        <v>102</v>
      </c>
      <c r="C5">
        <v>32152</v>
      </c>
      <c r="D5" t="s">
        <v>100</v>
      </c>
      <c r="E5">
        <v>12.99</v>
      </c>
      <c r="F5">
        <v>6.77</v>
      </c>
      <c r="G5" t="s">
        <v>314</v>
      </c>
      <c r="H5" t="s">
        <v>317</v>
      </c>
      <c r="I5" s="13">
        <v>67.77391304347826</v>
      </c>
      <c r="J5">
        <v>6</v>
      </c>
    </row>
    <row r="6" spans="1:10" x14ac:dyDescent="0.35">
      <c r="A6" t="s">
        <v>14</v>
      </c>
      <c r="B6">
        <v>102</v>
      </c>
      <c r="C6">
        <v>32152</v>
      </c>
      <c r="D6" t="s">
        <v>100</v>
      </c>
      <c r="E6">
        <v>12.99</v>
      </c>
      <c r="F6">
        <v>6.77</v>
      </c>
      <c r="G6" t="s">
        <v>316</v>
      </c>
      <c r="H6" t="s">
        <v>318</v>
      </c>
      <c r="I6" s="13">
        <v>22.591304347826089</v>
      </c>
      <c r="J6">
        <v>2</v>
      </c>
    </row>
    <row r="7" spans="1:10" x14ac:dyDescent="0.35">
      <c r="A7" t="s">
        <v>14</v>
      </c>
      <c r="B7">
        <v>102</v>
      </c>
      <c r="C7">
        <v>32153</v>
      </c>
      <c r="D7" t="s">
        <v>102</v>
      </c>
      <c r="E7">
        <v>8.99</v>
      </c>
      <c r="F7">
        <v>4.5599999999999996</v>
      </c>
      <c r="G7" t="s">
        <v>314</v>
      </c>
      <c r="H7" t="s">
        <v>317</v>
      </c>
      <c r="I7" s="13">
        <v>46.904347826086955</v>
      </c>
      <c r="J7">
        <v>6</v>
      </c>
    </row>
    <row r="8" spans="1:10" x14ac:dyDescent="0.35">
      <c r="A8" t="s">
        <v>14</v>
      </c>
      <c r="B8">
        <v>102</v>
      </c>
      <c r="C8">
        <v>32153</v>
      </c>
      <c r="D8" t="s">
        <v>102</v>
      </c>
      <c r="E8">
        <v>8.99</v>
      </c>
      <c r="F8">
        <v>4.5599999999999996</v>
      </c>
      <c r="G8" t="s">
        <v>316</v>
      </c>
      <c r="H8" t="s">
        <v>318</v>
      </c>
      <c r="I8" s="13">
        <v>62.539130434782606</v>
      </c>
      <c r="J8">
        <v>8</v>
      </c>
    </row>
    <row r="9" spans="1:10" x14ac:dyDescent="0.35">
      <c r="A9" t="s">
        <v>14</v>
      </c>
      <c r="B9">
        <v>102</v>
      </c>
      <c r="C9">
        <v>32855</v>
      </c>
      <c r="D9" t="s">
        <v>110</v>
      </c>
      <c r="E9">
        <v>17.989999999999998</v>
      </c>
      <c r="F9">
        <v>9.14</v>
      </c>
      <c r="G9" t="s">
        <v>314</v>
      </c>
      <c r="H9" t="s">
        <v>317</v>
      </c>
      <c r="I9" s="13">
        <v>46.930434782608693</v>
      </c>
      <c r="J9">
        <v>3</v>
      </c>
    </row>
    <row r="10" spans="1:10" x14ac:dyDescent="0.35">
      <c r="A10" t="s">
        <v>14</v>
      </c>
      <c r="B10">
        <v>102</v>
      </c>
      <c r="C10">
        <v>32855</v>
      </c>
      <c r="D10" t="s">
        <v>110</v>
      </c>
      <c r="E10">
        <v>17.989999999999998</v>
      </c>
      <c r="F10">
        <v>9.14</v>
      </c>
      <c r="G10" t="s">
        <v>316</v>
      </c>
      <c r="H10" t="s">
        <v>318</v>
      </c>
      <c r="I10" s="13">
        <v>31.286956521739128</v>
      </c>
      <c r="J10">
        <v>2</v>
      </c>
    </row>
    <row r="11" spans="1:10" x14ac:dyDescent="0.35">
      <c r="A11" t="s">
        <v>14</v>
      </c>
      <c r="B11">
        <v>102</v>
      </c>
      <c r="C11">
        <v>32857</v>
      </c>
      <c r="D11" t="s">
        <v>127</v>
      </c>
      <c r="E11">
        <v>130</v>
      </c>
      <c r="F11">
        <v>68.680000000000007</v>
      </c>
      <c r="G11" t="s">
        <v>314</v>
      </c>
      <c r="H11" t="s">
        <v>317</v>
      </c>
      <c r="I11" s="13">
        <v>113.04347826086956</v>
      </c>
      <c r="J11">
        <v>1</v>
      </c>
    </row>
    <row r="12" spans="1:10" x14ac:dyDescent="0.35">
      <c r="A12" t="s">
        <v>19</v>
      </c>
      <c r="B12">
        <v>101</v>
      </c>
      <c r="C12">
        <v>32858</v>
      </c>
      <c r="D12" t="s">
        <v>34</v>
      </c>
      <c r="E12">
        <v>3.8</v>
      </c>
      <c r="F12">
        <v>1.8574000000000002</v>
      </c>
      <c r="G12" t="s">
        <v>314</v>
      </c>
      <c r="H12" t="s">
        <v>317</v>
      </c>
      <c r="I12" s="13">
        <v>19.826086956521738</v>
      </c>
      <c r="J12">
        <v>6</v>
      </c>
    </row>
    <row r="13" spans="1:10" x14ac:dyDescent="0.35">
      <c r="A13" t="s">
        <v>19</v>
      </c>
      <c r="B13">
        <v>101</v>
      </c>
      <c r="C13">
        <v>32858</v>
      </c>
      <c r="D13" t="s">
        <v>34</v>
      </c>
      <c r="E13">
        <v>3.8</v>
      </c>
      <c r="F13">
        <v>1.8574000000000002</v>
      </c>
      <c r="G13" t="s">
        <v>316</v>
      </c>
      <c r="H13" t="s">
        <v>318</v>
      </c>
      <c r="I13" s="13">
        <v>102.43478260869566</v>
      </c>
      <c r="J13">
        <v>31</v>
      </c>
    </row>
    <row r="14" spans="1:10" x14ac:dyDescent="0.35">
      <c r="A14" t="s">
        <v>35</v>
      </c>
      <c r="B14">
        <v>101</v>
      </c>
      <c r="C14">
        <v>32858</v>
      </c>
      <c r="D14" t="s">
        <v>34</v>
      </c>
      <c r="E14">
        <v>3.8</v>
      </c>
      <c r="F14">
        <v>2.0770666666666666</v>
      </c>
      <c r="G14" t="s">
        <v>314</v>
      </c>
      <c r="H14" t="s">
        <v>317</v>
      </c>
      <c r="I14" s="13">
        <v>19.826086956521738</v>
      </c>
      <c r="J14">
        <v>6</v>
      </c>
    </row>
    <row r="15" spans="1:10" x14ac:dyDescent="0.35">
      <c r="A15" t="s">
        <v>35</v>
      </c>
      <c r="B15">
        <v>101</v>
      </c>
      <c r="C15">
        <v>32858</v>
      </c>
      <c r="D15" t="s">
        <v>34</v>
      </c>
      <c r="E15">
        <v>3.8</v>
      </c>
      <c r="F15">
        <v>2.0770666666666666</v>
      </c>
      <c r="G15" t="s">
        <v>316</v>
      </c>
      <c r="H15" t="s">
        <v>318</v>
      </c>
      <c r="I15" s="13">
        <v>102.43478260869566</v>
      </c>
      <c r="J15">
        <v>31</v>
      </c>
    </row>
    <row r="16" spans="1:10" x14ac:dyDescent="0.35">
      <c r="A16" t="s">
        <v>19</v>
      </c>
      <c r="B16">
        <v>101</v>
      </c>
      <c r="C16">
        <v>32859</v>
      </c>
      <c r="D16" t="s">
        <v>20</v>
      </c>
      <c r="E16">
        <v>20.99</v>
      </c>
      <c r="F16">
        <v>11.1</v>
      </c>
      <c r="G16" t="s">
        <v>314</v>
      </c>
      <c r="H16" t="s">
        <v>317</v>
      </c>
      <c r="I16" s="13">
        <v>146.01739130434785</v>
      </c>
      <c r="J16">
        <v>8</v>
      </c>
    </row>
    <row r="17" spans="1:10" x14ac:dyDescent="0.35">
      <c r="A17" t="s">
        <v>19</v>
      </c>
      <c r="B17">
        <v>101</v>
      </c>
      <c r="C17">
        <v>32859</v>
      </c>
      <c r="D17" t="s">
        <v>20</v>
      </c>
      <c r="E17">
        <v>20.99</v>
      </c>
      <c r="F17">
        <v>11.1</v>
      </c>
      <c r="G17" t="s">
        <v>316</v>
      </c>
      <c r="H17" t="s">
        <v>318</v>
      </c>
      <c r="I17" s="13">
        <v>200.77391304347827</v>
      </c>
      <c r="J17">
        <v>11</v>
      </c>
    </row>
    <row r="18" spans="1:10" x14ac:dyDescent="0.35">
      <c r="A18" t="s">
        <v>14</v>
      </c>
      <c r="B18">
        <v>101</v>
      </c>
      <c r="C18">
        <v>32859</v>
      </c>
      <c r="D18" t="s">
        <v>20</v>
      </c>
      <c r="E18">
        <v>20.99</v>
      </c>
      <c r="F18">
        <v>7.46</v>
      </c>
      <c r="G18" t="s">
        <v>314</v>
      </c>
      <c r="H18" t="s">
        <v>317</v>
      </c>
      <c r="I18" s="13">
        <v>146.01739130434785</v>
      </c>
      <c r="J18">
        <v>8</v>
      </c>
    </row>
    <row r="19" spans="1:10" x14ac:dyDescent="0.35">
      <c r="A19" t="s">
        <v>14</v>
      </c>
      <c r="B19">
        <v>101</v>
      </c>
      <c r="C19">
        <v>32859</v>
      </c>
      <c r="D19" t="s">
        <v>20</v>
      </c>
      <c r="E19">
        <v>20.99</v>
      </c>
      <c r="F19">
        <v>7.46</v>
      </c>
      <c r="G19" t="s">
        <v>316</v>
      </c>
      <c r="H19" t="s">
        <v>318</v>
      </c>
      <c r="I19" s="13">
        <v>200.77391304347827</v>
      </c>
      <c r="J19">
        <v>11</v>
      </c>
    </row>
    <row r="20" spans="1:10" x14ac:dyDescent="0.35">
      <c r="A20" t="s">
        <v>14</v>
      </c>
      <c r="B20">
        <v>101</v>
      </c>
      <c r="C20">
        <v>32860</v>
      </c>
      <c r="D20" t="s">
        <v>16</v>
      </c>
      <c r="E20">
        <v>20.99</v>
      </c>
      <c r="F20">
        <v>11.1</v>
      </c>
      <c r="G20" t="s">
        <v>314</v>
      </c>
      <c r="H20" t="s">
        <v>317</v>
      </c>
      <c r="I20" s="13">
        <v>365.04347826086956</v>
      </c>
      <c r="J20">
        <v>20</v>
      </c>
    </row>
    <row r="21" spans="1:10" x14ac:dyDescent="0.35">
      <c r="A21" t="s">
        <v>14</v>
      </c>
      <c r="B21">
        <v>101</v>
      </c>
      <c r="C21">
        <v>32860</v>
      </c>
      <c r="D21" t="s">
        <v>16</v>
      </c>
      <c r="E21">
        <v>20.99</v>
      </c>
      <c r="F21">
        <v>11.1</v>
      </c>
      <c r="G21" t="s">
        <v>316</v>
      </c>
      <c r="H21" t="s">
        <v>318</v>
      </c>
      <c r="I21" s="13">
        <v>200.77391304347825</v>
      </c>
      <c r="J21">
        <v>11</v>
      </c>
    </row>
    <row r="22" spans="1:10" x14ac:dyDescent="0.35">
      <c r="A22" t="s">
        <v>107</v>
      </c>
      <c r="B22">
        <v>102</v>
      </c>
      <c r="C22">
        <v>32863</v>
      </c>
      <c r="D22" t="s">
        <v>109</v>
      </c>
      <c r="E22">
        <v>17.989999999999998</v>
      </c>
      <c r="F22">
        <v>9.4</v>
      </c>
      <c r="G22" t="s">
        <v>314</v>
      </c>
      <c r="H22" t="s">
        <v>317</v>
      </c>
      <c r="I22" s="13">
        <v>78.217391304347828</v>
      </c>
      <c r="J22">
        <v>5</v>
      </c>
    </row>
    <row r="23" spans="1:10" x14ac:dyDescent="0.35">
      <c r="A23" t="s">
        <v>107</v>
      </c>
      <c r="B23">
        <v>102</v>
      </c>
      <c r="C23">
        <v>32863</v>
      </c>
      <c r="D23" t="s">
        <v>109</v>
      </c>
      <c r="E23">
        <v>17.989999999999998</v>
      </c>
      <c r="F23">
        <v>9.4</v>
      </c>
      <c r="G23" t="s">
        <v>316</v>
      </c>
      <c r="H23" t="s">
        <v>318</v>
      </c>
      <c r="I23" s="13">
        <v>62.573913043478257</v>
      </c>
      <c r="J23">
        <v>4</v>
      </c>
    </row>
    <row r="24" spans="1:10" x14ac:dyDescent="0.35">
      <c r="A24" t="s">
        <v>107</v>
      </c>
      <c r="B24">
        <v>102</v>
      </c>
      <c r="C24">
        <v>32864</v>
      </c>
      <c r="D24" t="s">
        <v>108</v>
      </c>
      <c r="E24">
        <v>9.99</v>
      </c>
      <c r="F24">
        <v>5</v>
      </c>
      <c r="G24" t="s">
        <v>316</v>
      </c>
      <c r="H24" t="s">
        <v>318</v>
      </c>
      <c r="I24" s="13">
        <v>34.747826086956522</v>
      </c>
      <c r="J24">
        <v>4</v>
      </c>
    </row>
    <row r="25" spans="1:10" x14ac:dyDescent="0.35">
      <c r="A25" t="s">
        <v>14</v>
      </c>
      <c r="B25">
        <v>102</v>
      </c>
      <c r="C25">
        <v>32872</v>
      </c>
      <c r="D25" t="s">
        <v>98</v>
      </c>
      <c r="E25">
        <v>29.99</v>
      </c>
      <c r="F25">
        <v>11.79</v>
      </c>
      <c r="G25" t="s">
        <v>314</v>
      </c>
      <c r="H25" t="s">
        <v>317</v>
      </c>
      <c r="I25" s="13">
        <v>69.547826086956519</v>
      </c>
      <c r="J25">
        <v>2</v>
      </c>
    </row>
    <row r="26" spans="1:10" x14ac:dyDescent="0.35">
      <c r="A26" t="s">
        <v>14</v>
      </c>
      <c r="B26">
        <v>102</v>
      </c>
      <c r="C26">
        <v>33013</v>
      </c>
      <c r="D26" t="s">
        <v>148</v>
      </c>
      <c r="E26">
        <v>5.99</v>
      </c>
      <c r="F26">
        <v>3.1</v>
      </c>
      <c r="G26" t="s">
        <v>316</v>
      </c>
      <c r="H26" t="s">
        <v>318</v>
      </c>
      <c r="I26" s="13">
        <v>15.626086956521739</v>
      </c>
      <c r="J26">
        <v>3</v>
      </c>
    </row>
    <row r="27" spans="1:10" x14ac:dyDescent="0.35">
      <c r="A27" t="s">
        <v>14</v>
      </c>
      <c r="B27">
        <v>102</v>
      </c>
      <c r="C27">
        <v>33019</v>
      </c>
      <c r="D27" t="s">
        <v>112</v>
      </c>
      <c r="E27">
        <v>14.99</v>
      </c>
      <c r="F27">
        <v>5.5</v>
      </c>
      <c r="G27" t="s">
        <v>316</v>
      </c>
      <c r="H27" t="s">
        <v>318</v>
      </c>
      <c r="I27" s="13">
        <v>26.069565217391304</v>
      </c>
      <c r="J27">
        <v>2</v>
      </c>
    </row>
    <row r="28" spans="1:10" x14ac:dyDescent="0.35">
      <c r="A28" t="s">
        <v>14</v>
      </c>
      <c r="B28">
        <v>102</v>
      </c>
      <c r="C28">
        <v>33031</v>
      </c>
      <c r="D28" t="s">
        <v>97</v>
      </c>
      <c r="E28">
        <v>17.989999999999998</v>
      </c>
      <c r="F28">
        <v>9.1199999999999992</v>
      </c>
      <c r="G28" t="s">
        <v>314</v>
      </c>
      <c r="H28" t="s">
        <v>317</v>
      </c>
      <c r="I28" s="13">
        <v>140.7913043478261</v>
      </c>
      <c r="J28">
        <v>9</v>
      </c>
    </row>
    <row r="29" spans="1:10" x14ac:dyDescent="0.35">
      <c r="A29" t="s">
        <v>14</v>
      </c>
      <c r="B29">
        <v>102</v>
      </c>
      <c r="C29">
        <v>33995</v>
      </c>
      <c r="D29" t="s">
        <v>91</v>
      </c>
      <c r="E29">
        <v>15.99</v>
      </c>
      <c r="F29">
        <v>8.2200000000000006</v>
      </c>
      <c r="G29" t="s">
        <v>314</v>
      </c>
      <c r="H29" t="s">
        <v>317</v>
      </c>
      <c r="I29" s="13">
        <v>278.08695652173913</v>
      </c>
      <c r="J29">
        <v>20</v>
      </c>
    </row>
    <row r="30" spans="1:10" x14ac:dyDescent="0.35">
      <c r="A30" t="s">
        <v>14</v>
      </c>
      <c r="B30">
        <v>102</v>
      </c>
      <c r="C30">
        <v>33995</v>
      </c>
      <c r="D30" t="s">
        <v>91</v>
      </c>
      <c r="E30">
        <v>15.99</v>
      </c>
      <c r="F30">
        <v>8.2200000000000006</v>
      </c>
      <c r="G30" t="s">
        <v>316</v>
      </c>
      <c r="H30" t="s">
        <v>318</v>
      </c>
      <c r="I30" s="13">
        <v>97.330434782608705</v>
      </c>
      <c r="J30">
        <v>7</v>
      </c>
    </row>
    <row r="31" spans="1:10" x14ac:dyDescent="0.35">
      <c r="A31" t="s">
        <v>14</v>
      </c>
      <c r="B31">
        <v>101</v>
      </c>
      <c r="C31">
        <v>33997</v>
      </c>
      <c r="D31" t="s">
        <v>39</v>
      </c>
      <c r="E31">
        <v>14.99</v>
      </c>
      <c r="F31">
        <v>7.62</v>
      </c>
      <c r="G31" t="s">
        <v>314</v>
      </c>
      <c r="H31" t="s">
        <v>317</v>
      </c>
      <c r="I31" s="13">
        <v>39.104347826086958</v>
      </c>
      <c r="J31">
        <v>3</v>
      </c>
    </row>
    <row r="32" spans="1:10" x14ac:dyDescent="0.35">
      <c r="A32" t="s">
        <v>14</v>
      </c>
      <c r="B32">
        <v>101</v>
      </c>
      <c r="C32">
        <v>33997</v>
      </c>
      <c r="D32" t="s">
        <v>39</v>
      </c>
      <c r="E32">
        <v>14.99</v>
      </c>
      <c r="F32">
        <v>7.62</v>
      </c>
      <c r="G32" t="s">
        <v>316</v>
      </c>
      <c r="H32" t="s">
        <v>318</v>
      </c>
      <c r="I32" s="13">
        <v>52.139130434782608</v>
      </c>
      <c r="J32">
        <v>4</v>
      </c>
    </row>
    <row r="33" spans="1:10" x14ac:dyDescent="0.35">
      <c r="A33" t="s">
        <v>14</v>
      </c>
      <c r="B33">
        <v>101</v>
      </c>
      <c r="C33">
        <v>34004</v>
      </c>
      <c r="D33" t="s">
        <v>50</v>
      </c>
      <c r="E33">
        <v>1</v>
      </c>
      <c r="F33">
        <v>0.65</v>
      </c>
      <c r="G33" t="s">
        <v>314</v>
      </c>
      <c r="H33" t="s">
        <v>317</v>
      </c>
      <c r="I33" s="13">
        <v>30.434782608695652</v>
      </c>
      <c r="J33">
        <v>35</v>
      </c>
    </row>
    <row r="34" spans="1:10" x14ac:dyDescent="0.35">
      <c r="A34" t="s">
        <v>14</v>
      </c>
      <c r="B34">
        <v>101</v>
      </c>
      <c r="C34">
        <v>34004</v>
      </c>
      <c r="D34" t="s">
        <v>50</v>
      </c>
      <c r="E34">
        <v>1</v>
      </c>
      <c r="F34">
        <v>0.65</v>
      </c>
      <c r="G34" t="s">
        <v>316</v>
      </c>
      <c r="H34" t="s">
        <v>318</v>
      </c>
      <c r="I34" s="13">
        <v>6.9565217391304346</v>
      </c>
      <c r="J34">
        <v>8</v>
      </c>
    </row>
    <row r="35" spans="1:10" x14ac:dyDescent="0.35">
      <c r="A35" t="s">
        <v>14</v>
      </c>
      <c r="B35">
        <v>102</v>
      </c>
      <c r="C35">
        <v>34008</v>
      </c>
      <c r="D35" t="s">
        <v>104</v>
      </c>
      <c r="E35">
        <v>5.99</v>
      </c>
      <c r="F35">
        <v>4.32</v>
      </c>
      <c r="G35" t="s">
        <v>314</v>
      </c>
      <c r="H35" t="s">
        <v>317</v>
      </c>
      <c r="I35" s="13">
        <v>72.921739130434787</v>
      </c>
      <c r="J35">
        <v>14</v>
      </c>
    </row>
    <row r="36" spans="1:10" x14ac:dyDescent="0.35">
      <c r="A36" t="s">
        <v>14</v>
      </c>
      <c r="B36">
        <v>102</v>
      </c>
      <c r="C36">
        <v>34008</v>
      </c>
      <c r="D36" t="s">
        <v>104</v>
      </c>
      <c r="E36">
        <v>5.99</v>
      </c>
      <c r="F36">
        <v>4.32</v>
      </c>
      <c r="G36" t="s">
        <v>316</v>
      </c>
      <c r="H36" t="s">
        <v>318</v>
      </c>
      <c r="I36" s="13">
        <v>67.713043478260872</v>
      </c>
      <c r="J36">
        <v>13</v>
      </c>
    </row>
    <row r="37" spans="1:10" x14ac:dyDescent="0.35">
      <c r="A37" t="s">
        <v>14</v>
      </c>
      <c r="B37">
        <v>118</v>
      </c>
      <c r="C37">
        <v>34014</v>
      </c>
      <c r="D37" t="s">
        <v>258</v>
      </c>
      <c r="E37">
        <v>100</v>
      </c>
      <c r="F37">
        <v>52.03</v>
      </c>
      <c r="G37" t="s">
        <v>314</v>
      </c>
      <c r="H37" t="s">
        <v>317</v>
      </c>
      <c r="I37" s="13">
        <v>86.956521739130437</v>
      </c>
      <c r="J37">
        <v>1</v>
      </c>
    </row>
    <row r="38" spans="1:10" x14ac:dyDescent="0.35">
      <c r="A38" t="s">
        <v>19</v>
      </c>
      <c r="B38">
        <v>102</v>
      </c>
      <c r="C38">
        <v>34015</v>
      </c>
      <c r="D38" t="s">
        <v>106</v>
      </c>
      <c r="E38">
        <v>29.99</v>
      </c>
      <c r="F38">
        <v>3.1788888888888889</v>
      </c>
      <c r="G38" t="s">
        <v>314</v>
      </c>
      <c r="H38" t="s">
        <v>317</v>
      </c>
      <c r="I38" s="13">
        <v>78.234782608695653</v>
      </c>
      <c r="J38">
        <v>3</v>
      </c>
    </row>
    <row r="39" spans="1:10" x14ac:dyDescent="0.35">
      <c r="A39" t="s">
        <v>19</v>
      </c>
      <c r="B39">
        <v>102</v>
      </c>
      <c r="C39">
        <v>34015</v>
      </c>
      <c r="D39" t="s">
        <v>106</v>
      </c>
      <c r="E39">
        <v>29.99</v>
      </c>
      <c r="F39">
        <v>3.1788888888888889</v>
      </c>
      <c r="G39" t="s">
        <v>316</v>
      </c>
      <c r="H39" t="s">
        <v>318</v>
      </c>
      <c r="I39" s="13">
        <v>26.078260869565216</v>
      </c>
      <c r="J39">
        <v>1</v>
      </c>
    </row>
    <row r="40" spans="1:10" x14ac:dyDescent="0.35">
      <c r="A40" t="s">
        <v>14</v>
      </c>
      <c r="B40">
        <v>101</v>
      </c>
      <c r="C40">
        <v>34022</v>
      </c>
      <c r="D40" t="s">
        <v>54</v>
      </c>
      <c r="E40">
        <v>5.99</v>
      </c>
      <c r="F40">
        <v>2.72</v>
      </c>
      <c r="G40" t="s">
        <v>314</v>
      </c>
      <c r="H40" t="s">
        <v>317</v>
      </c>
      <c r="I40" s="13">
        <v>26.043478260869563</v>
      </c>
      <c r="J40">
        <v>5</v>
      </c>
    </row>
    <row r="41" spans="1:10" x14ac:dyDescent="0.35">
      <c r="A41" t="s">
        <v>14</v>
      </c>
      <c r="B41">
        <v>101</v>
      </c>
      <c r="C41">
        <v>34023</v>
      </c>
      <c r="D41" t="s">
        <v>48</v>
      </c>
      <c r="E41">
        <v>6.99</v>
      </c>
      <c r="F41">
        <v>2.85</v>
      </c>
      <c r="G41" t="s">
        <v>314</v>
      </c>
      <c r="H41" t="s">
        <v>317</v>
      </c>
      <c r="I41" s="13">
        <v>30.39130434782609</v>
      </c>
      <c r="J41">
        <v>5</v>
      </c>
    </row>
    <row r="42" spans="1:10" x14ac:dyDescent="0.35">
      <c r="A42" t="s">
        <v>14</v>
      </c>
      <c r="B42">
        <v>101</v>
      </c>
      <c r="C42">
        <v>34023</v>
      </c>
      <c r="D42" t="s">
        <v>48</v>
      </c>
      <c r="E42">
        <v>6.99</v>
      </c>
      <c r="F42">
        <v>2.85</v>
      </c>
      <c r="G42" t="s">
        <v>316</v>
      </c>
      <c r="H42" t="s">
        <v>318</v>
      </c>
      <c r="I42" s="13">
        <v>24.31304347826087</v>
      </c>
      <c r="J42">
        <v>4</v>
      </c>
    </row>
    <row r="43" spans="1:10" x14ac:dyDescent="0.35">
      <c r="A43" t="s">
        <v>14</v>
      </c>
      <c r="B43">
        <v>101</v>
      </c>
      <c r="C43">
        <v>34024</v>
      </c>
      <c r="D43" t="s">
        <v>23</v>
      </c>
      <c r="E43">
        <v>37.99</v>
      </c>
      <c r="F43">
        <v>16.5</v>
      </c>
      <c r="G43" t="s">
        <v>314</v>
      </c>
      <c r="H43" t="s">
        <v>317</v>
      </c>
      <c r="I43" s="13">
        <v>165.17391304347825</v>
      </c>
      <c r="J43">
        <v>5</v>
      </c>
    </row>
    <row r="44" spans="1:10" x14ac:dyDescent="0.35">
      <c r="A44" t="s">
        <v>14</v>
      </c>
      <c r="B44">
        <v>101</v>
      </c>
      <c r="C44">
        <v>34024</v>
      </c>
      <c r="D44" t="s">
        <v>23</v>
      </c>
      <c r="E44">
        <v>37.99</v>
      </c>
      <c r="F44">
        <v>16.5</v>
      </c>
      <c r="G44" t="s">
        <v>316</v>
      </c>
      <c r="H44" t="s">
        <v>318</v>
      </c>
      <c r="I44" s="13">
        <v>33.03478260869565</v>
      </c>
      <c r="J44">
        <v>1</v>
      </c>
    </row>
    <row r="45" spans="1:10" x14ac:dyDescent="0.35">
      <c r="A45" t="s">
        <v>14</v>
      </c>
      <c r="B45">
        <v>118</v>
      </c>
      <c r="C45">
        <v>34033</v>
      </c>
      <c r="D45" t="s">
        <v>256</v>
      </c>
      <c r="E45">
        <v>120</v>
      </c>
      <c r="F45">
        <v>64.849999999999994</v>
      </c>
      <c r="G45" t="s">
        <v>314</v>
      </c>
      <c r="H45" t="s">
        <v>317</v>
      </c>
      <c r="I45" s="13">
        <v>104.34782608695652</v>
      </c>
      <c r="J45">
        <v>1</v>
      </c>
    </row>
    <row r="46" spans="1:10" x14ac:dyDescent="0.35">
      <c r="A46" t="s">
        <v>14</v>
      </c>
      <c r="B46">
        <v>118</v>
      </c>
      <c r="C46">
        <v>34033</v>
      </c>
      <c r="D46" t="s">
        <v>256</v>
      </c>
      <c r="E46">
        <v>120</v>
      </c>
      <c r="F46">
        <v>64.849999999999994</v>
      </c>
      <c r="G46" t="s">
        <v>316</v>
      </c>
      <c r="H46" t="s">
        <v>318</v>
      </c>
      <c r="I46" s="13">
        <v>104.34782608695652</v>
      </c>
      <c r="J46">
        <v>1</v>
      </c>
    </row>
    <row r="47" spans="1:10" x14ac:dyDescent="0.35">
      <c r="A47" t="s">
        <v>14</v>
      </c>
      <c r="B47">
        <v>101</v>
      </c>
      <c r="C47">
        <v>34041</v>
      </c>
      <c r="D47" t="s">
        <v>43</v>
      </c>
      <c r="E47">
        <v>6.99</v>
      </c>
      <c r="F47">
        <v>3.15</v>
      </c>
      <c r="G47" t="s">
        <v>314</v>
      </c>
      <c r="H47" t="s">
        <v>317</v>
      </c>
      <c r="I47" s="13">
        <v>66.860869565217399</v>
      </c>
      <c r="J47">
        <v>11</v>
      </c>
    </row>
    <row r="48" spans="1:10" x14ac:dyDescent="0.35">
      <c r="A48" t="s">
        <v>14</v>
      </c>
      <c r="B48">
        <v>101</v>
      </c>
      <c r="C48">
        <v>34041</v>
      </c>
      <c r="D48" t="s">
        <v>43</v>
      </c>
      <c r="E48">
        <v>6.99</v>
      </c>
      <c r="F48">
        <v>3.15</v>
      </c>
      <c r="G48" t="s">
        <v>316</v>
      </c>
      <c r="H48" t="s">
        <v>318</v>
      </c>
      <c r="I48" s="13">
        <v>42.547826086956519</v>
      </c>
      <c r="J48">
        <v>7</v>
      </c>
    </row>
    <row r="49" spans="1:10" x14ac:dyDescent="0.35">
      <c r="A49" t="s">
        <v>14</v>
      </c>
      <c r="B49">
        <v>101</v>
      </c>
      <c r="C49">
        <v>34042</v>
      </c>
      <c r="D49" t="s">
        <v>31</v>
      </c>
      <c r="E49">
        <v>9.5</v>
      </c>
      <c r="F49">
        <v>4.1500000000000004</v>
      </c>
      <c r="G49" t="s">
        <v>314</v>
      </c>
      <c r="H49" t="s">
        <v>317</v>
      </c>
      <c r="I49" s="13">
        <v>49.565217391304344</v>
      </c>
      <c r="J49">
        <v>6</v>
      </c>
    </row>
    <row r="50" spans="1:10" x14ac:dyDescent="0.35">
      <c r="A50" t="s">
        <v>14</v>
      </c>
      <c r="B50">
        <v>101</v>
      </c>
      <c r="C50">
        <v>34042</v>
      </c>
      <c r="D50" t="s">
        <v>31</v>
      </c>
      <c r="E50">
        <v>9.5</v>
      </c>
      <c r="F50">
        <v>4.1500000000000004</v>
      </c>
      <c r="G50" t="s">
        <v>316</v>
      </c>
      <c r="H50" t="s">
        <v>318</v>
      </c>
      <c r="I50" s="13">
        <v>90.869565217391312</v>
      </c>
      <c r="J50">
        <v>11</v>
      </c>
    </row>
    <row r="51" spans="1:10" x14ac:dyDescent="0.35">
      <c r="A51" t="s">
        <v>14</v>
      </c>
      <c r="B51">
        <v>101</v>
      </c>
      <c r="C51">
        <v>34046</v>
      </c>
      <c r="D51" t="s">
        <v>37</v>
      </c>
      <c r="E51">
        <v>19.989999999999998</v>
      </c>
      <c r="F51">
        <v>12.2</v>
      </c>
      <c r="G51" t="s">
        <v>314</v>
      </c>
      <c r="H51" t="s">
        <v>317</v>
      </c>
      <c r="I51" s="13">
        <v>86.913043478260875</v>
      </c>
      <c r="J51">
        <v>5</v>
      </c>
    </row>
    <row r="52" spans="1:10" x14ac:dyDescent="0.35">
      <c r="A52" t="s">
        <v>14</v>
      </c>
      <c r="B52">
        <v>101</v>
      </c>
      <c r="C52">
        <v>34046</v>
      </c>
      <c r="D52" t="s">
        <v>37</v>
      </c>
      <c r="E52">
        <v>19.989999999999998</v>
      </c>
      <c r="F52">
        <v>12.2</v>
      </c>
      <c r="G52" t="s">
        <v>316</v>
      </c>
      <c r="H52" t="s">
        <v>318</v>
      </c>
      <c r="I52" s="13">
        <v>69.530434782608694</v>
      </c>
      <c r="J52">
        <v>4</v>
      </c>
    </row>
    <row r="53" spans="1:10" x14ac:dyDescent="0.35">
      <c r="A53" t="s">
        <v>14</v>
      </c>
      <c r="B53">
        <v>101</v>
      </c>
      <c r="C53">
        <v>34053</v>
      </c>
      <c r="D53" t="s">
        <v>57</v>
      </c>
      <c r="E53">
        <v>15.99</v>
      </c>
      <c r="F53">
        <v>6.74</v>
      </c>
      <c r="G53" t="s">
        <v>314</v>
      </c>
      <c r="H53" t="s">
        <v>317</v>
      </c>
      <c r="I53" s="13">
        <v>41.713043478260872</v>
      </c>
      <c r="J53">
        <v>3</v>
      </c>
    </row>
    <row r="54" spans="1:10" x14ac:dyDescent="0.35">
      <c r="A54" t="s">
        <v>14</v>
      </c>
      <c r="B54">
        <v>101</v>
      </c>
      <c r="C54">
        <v>34053</v>
      </c>
      <c r="D54" t="s">
        <v>57</v>
      </c>
      <c r="E54">
        <v>15.99</v>
      </c>
      <c r="F54">
        <v>6.74</v>
      </c>
      <c r="G54" t="s">
        <v>316</v>
      </c>
      <c r="H54" t="s">
        <v>318</v>
      </c>
      <c r="I54" s="13">
        <v>55.617391304347827</v>
      </c>
      <c r="J54">
        <v>4</v>
      </c>
    </row>
    <row r="55" spans="1:10" x14ac:dyDescent="0.35">
      <c r="A55" t="s">
        <v>14</v>
      </c>
      <c r="B55">
        <v>101</v>
      </c>
      <c r="C55">
        <v>34068</v>
      </c>
      <c r="D55" t="s">
        <v>74</v>
      </c>
      <c r="E55">
        <v>1.5</v>
      </c>
      <c r="F55">
        <v>0.59</v>
      </c>
      <c r="G55" t="s">
        <v>314</v>
      </c>
      <c r="H55" t="s">
        <v>317</v>
      </c>
      <c r="I55" s="13">
        <v>20.869565217391305</v>
      </c>
      <c r="J55">
        <v>16</v>
      </c>
    </row>
    <row r="56" spans="1:10" x14ac:dyDescent="0.35">
      <c r="A56" t="s">
        <v>14</v>
      </c>
      <c r="B56">
        <v>101</v>
      </c>
      <c r="C56">
        <v>34070</v>
      </c>
      <c r="D56" t="s">
        <v>26</v>
      </c>
      <c r="E56">
        <v>12.99</v>
      </c>
      <c r="F56">
        <v>6.81</v>
      </c>
      <c r="G56" t="s">
        <v>314</v>
      </c>
      <c r="H56" t="s">
        <v>317</v>
      </c>
      <c r="I56" s="13">
        <v>169.43478260869566</v>
      </c>
      <c r="J56">
        <v>15</v>
      </c>
    </row>
    <row r="57" spans="1:10" x14ac:dyDescent="0.35">
      <c r="A57" t="s">
        <v>14</v>
      </c>
      <c r="B57">
        <v>101</v>
      </c>
      <c r="C57">
        <v>34070</v>
      </c>
      <c r="D57" t="s">
        <v>26</v>
      </c>
      <c r="E57">
        <v>12.99</v>
      </c>
      <c r="F57">
        <v>6.81</v>
      </c>
      <c r="G57" t="s">
        <v>316</v>
      </c>
      <c r="H57" t="s">
        <v>318</v>
      </c>
      <c r="I57" s="13">
        <v>101.66086956521738</v>
      </c>
      <c r="J57">
        <v>9</v>
      </c>
    </row>
    <row r="58" spans="1:10" x14ac:dyDescent="0.35">
      <c r="A58" t="s">
        <v>14</v>
      </c>
      <c r="B58">
        <v>104</v>
      </c>
      <c r="C58">
        <v>34080</v>
      </c>
      <c r="D58" t="s">
        <v>234</v>
      </c>
      <c r="E58">
        <v>49.99</v>
      </c>
      <c r="F58">
        <v>28.67</v>
      </c>
      <c r="G58" t="s">
        <v>316</v>
      </c>
      <c r="H58" t="s">
        <v>318</v>
      </c>
      <c r="I58" s="13">
        <v>43.469565217391306</v>
      </c>
      <c r="J58">
        <v>1</v>
      </c>
    </row>
    <row r="59" spans="1:10" x14ac:dyDescent="0.35">
      <c r="A59" t="s">
        <v>14</v>
      </c>
      <c r="B59">
        <v>104</v>
      </c>
      <c r="C59">
        <v>34083</v>
      </c>
      <c r="D59" t="s">
        <v>233</v>
      </c>
      <c r="E59">
        <v>49.99</v>
      </c>
      <c r="F59">
        <v>13.76</v>
      </c>
      <c r="G59" t="s">
        <v>314</v>
      </c>
      <c r="H59" t="s">
        <v>317</v>
      </c>
      <c r="I59" s="13">
        <v>43.469565217391306</v>
      </c>
      <c r="J59">
        <v>1</v>
      </c>
    </row>
    <row r="60" spans="1:10" x14ac:dyDescent="0.35">
      <c r="A60" t="s">
        <v>14</v>
      </c>
      <c r="B60">
        <v>104</v>
      </c>
      <c r="C60">
        <v>34083</v>
      </c>
      <c r="D60" t="s">
        <v>233</v>
      </c>
      <c r="E60">
        <v>49.99</v>
      </c>
      <c r="F60">
        <v>13.76</v>
      </c>
      <c r="G60" t="s">
        <v>316</v>
      </c>
      <c r="H60" t="s">
        <v>318</v>
      </c>
      <c r="I60" s="13">
        <v>130.40869565217392</v>
      </c>
      <c r="J60">
        <v>3</v>
      </c>
    </row>
    <row r="61" spans="1:10" x14ac:dyDescent="0.35">
      <c r="A61" t="s">
        <v>14</v>
      </c>
      <c r="B61">
        <v>101</v>
      </c>
      <c r="C61">
        <v>34086</v>
      </c>
      <c r="D61" t="s">
        <v>60</v>
      </c>
      <c r="E61">
        <v>29.99</v>
      </c>
      <c r="F61">
        <v>10</v>
      </c>
      <c r="G61" t="s">
        <v>314</v>
      </c>
      <c r="H61" t="s">
        <v>317</v>
      </c>
      <c r="I61" s="13">
        <v>5.2695652173913041</v>
      </c>
      <c r="J61">
        <v>0.20200000000000001</v>
      </c>
    </row>
    <row r="62" spans="1:10" x14ac:dyDescent="0.35">
      <c r="A62" t="s">
        <v>14</v>
      </c>
      <c r="B62">
        <v>101</v>
      </c>
      <c r="C62">
        <v>34088</v>
      </c>
      <c r="D62" t="s">
        <v>44</v>
      </c>
      <c r="E62">
        <v>1.5</v>
      </c>
      <c r="F62">
        <v>0.68</v>
      </c>
      <c r="G62" t="s">
        <v>316</v>
      </c>
      <c r="H62" t="s">
        <v>318</v>
      </c>
      <c r="I62" s="13">
        <v>117.39130434782609</v>
      </c>
      <c r="J62">
        <v>90</v>
      </c>
    </row>
    <row r="63" spans="1:10" x14ac:dyDescent="0.35">
      <c r="A63" t="s">
        <v>14</v>
      </c>
      <c r="B63">
        <v>101</v>
      </c>
      <c r="C63">
        <v>34091</v>
      </c>
      <c r="D63" t="s">
        <v>28</v>
      </c>
      <c r="E63">
        <v>17.989999999999998</v>
      </c>
      <c r="F63">
        <v>12.24</v>
      </c>
      <c r="G63" t="s">
        <v>314</v>
      </c>
      <c r="H63" t="s">
        <v>317</v>
      </c>
      <c r="I63" s="13">
        <v>86.913043478260875</v>
      </c>
      <c r="J63">
        <v>5</v>
      </c>
    </row>
    <row r="64" spans="1:10" x14ac:dyDescent="0.35">
      <c r="A64" t="s">
        <v>14</v>
      </c>
      <c r="B64">
        <v>101</v>
      </c>
      <c r="C64">
        <v>34091</v>
      </c>
      <c r="D64" t="s">
        <v>28</v>
      </c>
      <c r="E64">
        <v>17.989999999999998</v>
      </c>
      <c r="F64">
        <v>12.24</v>
      </c>
      <c r="G64" t="s">
        <v>316</v>
      </c>
      <c r="H64" t="s">
        <v>318</v>
      </c>
      <c r="I64" s="13">
        <v>86.913043478260875</v>
      </c>
      <c r="J64">
        <v>5</v>
      </c>
    </row>
    <row r="65" spans="1:10" x14ac:dyDescent="0.35">
      <c r="A65" t="s">
        <v>14</v>
      </c>
      <c r="B65">
        <v>101</v>
      </c>
      <c r="C65">
        <v>34092</v>
      </c>
      <c r="D65" t="s">
        <v>47</v>
      </c>
      <c r="E65">
        <v>4.99</v>
      </c>
      <c r="F65">
        <v>2.52</v>
      </c>
      <c r="G65" t="s">
        <v>314</v>
      </c>
      <c r="H65" t="s">
        <v>317</v>
      </c>
      <c r="I65" s="13">
        <v>30.373913043478261</v>
      </c>
      <c r="J65">
        <v>7</v>
      </c>
    </row>
    <row r="66" spans="1:10" x14ac:dyDescent="0.35">
      <c r="A66" t="s">
        <v>14</v>
      </c>
      <c r="B66">
        <v>101</v>
      </c>
      <c r="C66">
        <v>34092</v>
      </c>
      <c r="D66" t="s">
        <v>47</v>
      </c>
      <c r="E66">
        <v>4.99</v>
      </c>
      <c r="F66">
        <v>2.52</v>
      </c>
      <c r="G66" t="s">
        <v>316</v>
      </c>
      <c r="H66" t="s">
        <v>318</v>
      </c>
      <c r="I66" s="13">
        <v>8.6782608695652179</v>
      </c>
      <c r="J66">
        <v>2</v>
      </c>
    </row>
    <row r="67" spans="1:10" x14ac:dyDescent="0.35">
      <c r="A67" t="s">
        <v>14</v>
      </c>
      <c r="B67">
        <v>102</v>
      </c>
      <c r="C67">
        <v>34102</v>
      </c>
      <c r="D67" t="s">
        <v>129</v>
      </c>
      <c r="E67">
        <v>9.99</v>
      </c>
      <c r="F67">
        <v>4.99</v>
      </c>
      <c r="G67" t="s">
        <v>316</v>
      </c>
      <c r="H67" t="s">
        <v>318</v>
      </c>
      <c r="I67" s="13">
        <v>43.434782608695656</v>
      </c>
      <c r="J67">
        <v>5</v>
      </c>
    </row>
    <row r="68" spans="1:10" x14ac:dyDescent="0.35">
      <c r="A68" t="s">
        <v>14</v>
      </c>
      <c r="B68">
        <v>119</v>
      </c>
      <c r="C68">
        <v>34105</v>
      </c>
      <c r="D68" t="s">
        <v>265</v>
      </c>
      <c r="E68">
        <v>79.989999999999995</v>
      </c>
      <c r="F68">
        <v>54.64</v>
      </c>
      <c r="G68" t="s">
        <v>314</v>
      </c>
      <c r="H68" t="s">
        <v>317</v>
      </c>
      <c r="I68" s="13">
        <v>69.556521739130432</v>
      </c>
      <c r="J68">
        <v>1</v>
      </c>
    </row>
    <row r="69" spans="1:10" x14ac:dyDescent="0.35">
      <c r="A69" t="s">
        <v>14</v>
      </c>
      <c r="B69">
        <v>104</v>
      </c>
      <c r="C69">
        <v>34118</v>
      </c>
      <c r="D69" t="s">
        <v>231</v>
      </c>
      <c r="E69">
        <v>29.99</v>
      </c>
      <c r="F69">
        <v>7.38</v>
      </c>
      <c r="G69" t="s">
        <v>316</v>
      </c>
      <c r="H69" t="s">
        <v>318</v>
      </c>
      <c r="I69" s="13">
        <v>130.39130434782606</v>
      </c>
      <c r="J69">
        <v>5</v>
      </c>
    </row>
    <row r="70" spans="1:10" x14ac:dyDescent="0.35">
      <c r="A70" t="s">
        <v>14</v>
      </c>
      <c r="B70">
        <v>101</v>
      </c>
      <c r="C70">
        <v>34119</v>
      </c>
      <c r="D70" t="s">
        <v>36</v>
      </c>
      <c r="E70">
        <v>3.3</v>
      </c>
      <c r="F70">
        <v>1.85</v>
      </c>
      <c r="G70" t="s">
        <v>314</v>
      </c>
      <c r="H70" t="s">
        <v>317</v>
      </c>
      <c r="I70" s="13">
        <v>229.56521739130434</v>
      </c>
      <c r="J70">
        <v>80</v>
      </c>
    </row>
    <row r="71" spans="1:10" x14ac:dyDescent="0.35">
      <c r="A71" t="s">
        <v>19</v>
      </c>
      <c r="B71">
        <v>101</v>
      </c>
      <c r="C71">
        <v>34687</v>
      </c>
      <c r="D71" t="s">
        <v>40</v>
      </c>
      <c r="E71">
        <v>3.8</v>
      </c>
      <c r="F71">
        <v>1.9687999999999999</v>
      </c>
      <c r="G71" t="s">
        <v>314</v>
      </c>
      <c r="H71" t="s">
        <v>317</v>
      </c>
      <c r="I71" s="13">
        <v>19.826086956521738</v>
      </c>
      <c r="J71">
        <v>6</v>
      </c>
    </row>
    <row r="72" spans="1:10" x14ac:dyDescent="0.35">
      <c r="A72" t="s">
        <v>19</v>
      </c>
      <c r="B72">
        <v>101</v>
      </c>
      <c r="C72">
        <v>34687</v>
      </c>
      <c r="D72" t="s">
        <v>40</v>
      </c>
      <c r="E72">
        <v>3.8</v>
      </c>
      <c r="F72">
        <v>1.9687999999999999</v>
      </c>
      <c r="G72" t="s">
        <v>316</v>
      </c>
      <c r="H72" t="s">
        <v>318</v>
      </c>
      <c r="I72" s="13">
        <v>3.3043478260869565</v>
      </c>
      <c r="J72">
        <v>1</v>
      </c>
    </row>
    <row r="73" spans="1:10" x14ac:dyDescent="0.35">
      <c r="A73" t="s">
        <v>35</v>
      </c>
      <c r="B73">
        <v>101</v>
      </c>
      <c r="C73">
        <v>34687</v>
      </c>
      <c r="D73" t="s">
        <v>40</v>
      </c>
      <c r="E73">
        <v>3.8</v>
      </c>
      <c r="F73">
        <v>2.0770666666666666</v>
      </c>
      <c r="G73" t="s">
        <v>314</v>
      </c>
      <c r="H73" t="s">
        <v>317</v>
      </c>
      <c r="I73" s="13">
        <v>19.826086956521738</v>
      </c>
      <c r="J73">
        <v>6</v>
      </c>
    </row>
    <row r="74" spans="1:10" x14ac:dyDescent="0.35">
      <c r="A74" t="s">
        <v>35</v>
      </c>
      <c r="B74">
        <v>101</v>
      </c>
      <c r="C74">
        <v>34687</v>
      </c>
      <c r="D74" t="s">
        <v>40</v>
      </c>
      <c r="E74">
        <v>3.8</v>
      </c>
      <c r="F74">
        <v>2.0770666666666666</v>
      </c>
      <c r="G74" t="s">
        <v>316</v>
      </c>
      <c r="H74" t="s">
        <v>318</v>
      </c>
      <c r="I74" s="13">
        <v>3.3043478260869565</v>
      </c>
      <c r="J74">
        <v>1</v>
      </c>
    </row>
    <row r="75" spans="1:10" x14ac:dyDescent="0.35">
      <c r="A75" t="s">
        <v>14</v>
      </c>
      <c r="B75">
        <v>101</v>
      </c>
      <c r="C75">
        <v>34690</v>
      </c>
      <c r="D75" t="s">
        <v>18</v>
      </c>
      <c r="E75">
        <v>16.989999999999998</v>
      </c>
      <c r="F75">
        <v>7.7</v>
      </c>
      <c r="G75" t="s">
        <v>314</v>
      </c>
      <c r="H75" t="s">
        <v>317</v>
      </c>
      <c r="I75" s="13">
        <v>457.99130434782614</v>
      </c>
      <c r="J75">
        <v>31</v>
      </c>
    </row>
    <row r="76" spans="1:10" x14ac:dyDescent="0.35">
      <c r="A76" t="s">
        <v>14</v>
      </c>
      <c r="B76">
        <v>101</v>
      </c>
      <c r="C76">
        <v>34690</v>
      </c>
      <c r="D76" t="s">
        <v>18</v>
      </c>
      <c r="E76">
        <v>16.989999999999998</v>
      </c>
      <c r="F76">
        <v>7.7</v>
      </c>
      <c r="G76" t="s">
        <v>316</v>
      </c>
      <c r="H76" t="s">
        <v>318</v>
      </c>
      <c r="I76" s="13">
        <v>398.89565217391305</v>
      </c>
      <c r="J76">
        <v>27</v>
      </c>
    </row>
    <row r="77" spans="1:10" x14ac:dyDescent="0.35">
      <c r="A77" t="s">
        <v>14</v>
      </c>
      <c r="B77">
        <v>102</v>
      </c>
      <c r="C77">
        <v>38977</v>
      </c>
      <c r="D77" t="s">
        <v>95</v>
      </c>
      <c r="E77">
        <v>18.989999999999998</v>
      </c>
      <c r="F77">
        <v>9.6999999999999993</v>
      </c>
      <c r="G77" t="s">
        <v>314</v>
      </c>
      <c r="H77" t="s">
        <v>317</v>
      </c>
      <c r="I77" s="13">
        <v>132.10434782608695</v>
      </c>
      <c r="J77">
        <v>8</v>
      </c>
    </row>
    <row r="78" spans="1:10" x14ac:dyDescent="0.35">
      <c r="A78" t="s">
        <v>14</v>
      </c>
      <c r="B78">
        <v>102</v>
      </c>
      <c r="C78">
        <v>38977</v>
      </c>
      <c r="D78" t="s">
        <v>95</v>
      </c>
      <c r="E78">
        <v>18.989999999999998</v>
      </c>
      <c r="F78">
        <v>9.6999999999999993</v>
      </c>
      <c r="G78" t="s">
        <v>316</v>
      </c>
      <c r="H78" t="s">
        <v>318</v>
      </c>
      <c r="I78" s="13">
        <v>132.10434782608695</v>
      </c>
      <c r="J78">
        <v>8</v>
      </c>
    </row>
    <row r="79" spans="1:10" x14ac:dyDescent="0.35">
      <c r="A79" t="s">
        <v>14</v>
      </c>
      <c r="B79">
        <v>102</v>
      </c>
      <c r="C79">
        <v>39422</v>
      </c>
      <c r="D79" t="s">
        <v>120</v>
      </c>
      <c r="E79">
        <v>15.99</v>
      </c>
      <c r="F79">
        <v>8.3000000000000007</v>
      </c>
      <c r="G79" t="s">
        <v>314</v>
      </c>
      <c r="H79" t="s">
        <v>317</v>
      </c>
      <c r="I79" s="13">
        <v>13.904347826086957</v>
      </c>
      <c r="J79">
        <v>1</v>
      </c>
    </row>
    <row r="80" spans="1:10" x14ac:dyDescent="0.35">
      <c r="A80" t="s">
        <v>14</v>
      </c>
      <c r="B80">
        <v>102</v>
      </c>
      <c r="C80">
        <v>39422</v>
      </c>
      <c r="D80" t="s">
        <v>120</v>
      </c>
      <c r="E80">
        <v>15.99</v>
      </c>
      <c r="F80">
        <v>8.3000000000000007</v>
      </c>
      <c r="G80" t="s">
        <v>316</v>
      </c>
      <c r="H80" t="s">
        <v>318</v>
      </c>
      <c r="I80" s="13">
        <v>13.904347826086957</v>
      </c>
      <c r="J80">
        <v>1</v>
      </c>
    </row>
    <row r="81" spans="1:10" x14ac:dyDescent="0.35">
      <c r="A81" t="s">
        <v>14</v>
      </c>
      <c r="B81">
        <v>118</v>
      </c>
      <c r="C81">
        <v>40305</v>
      </c>
      <c r="D81" t="s">
        <v>257</v>
      </c>
      <c r="E81">
        <v>9.99</v>
      </c>
      <c r="F81">
        <v>4.53</v>
      </c>
      <c r="G81" t="s">
        <v>314</v>
      </c>
      <c r="H81" t="s">
        <v>317</v>
      </c>
      <c r="I81" s="13">
        <v>17.373913043478261</v>
      </c>
      <c r="J81">
        <v>2</v>
      </c>
    </row>
    <row r="82" spans="1:10" x14ac:dyDescent="0.35">
      <c r="A82" t="s">
        <v>14</v>
      </c>
      <c r="B82">
        <v>118</v>
      </c>
      <c r="C82">
        <v>40305</v>
      </c>
      <c r="D82" t="s">
        <v>257</v>
      </c>
      <c r="E82">
        <v>9.99</v>
      </c>
      <c r="F82">
        <v>4.53</v>
      </c>
      <c r="G82" t="s">
        <v>316</v>
      </c>
      <c r="H82" t="s">
        <v>318</v>
      </c>
      <c r="I82" s="13">
        <v>86.869565217391312</v>
      </c>
      <c r="J82">
        <v>10</v>
      </c>
    </row>
    <row r="83" spans="1:10" x14ac:dyDescent="0.35">
      <c r="A83" t="s">
        <v>14</v>
      </c>
      <c r="B83">
        <v>101</v>
      </c>
      <c r="C83">
        <v>42401</v>
      </c>
      <c r="D83" t="s">
        <v>38</v>
      </c>
      <c r="E83">
        <v>14.99</v>
      </c>
      <c r="F83">
        <v>6.62</v>
      </c>
      <c r="G83" t="s">
        <v>316</v>
      </c>
      <c r="H83" t="s">
        <v>318</v>
      </c>
      <c r="I83" s="13">
        <v>130.34782608695653</v>
      </c>
      <c r="J83">
        <v>10</v>
      </c>
    </row>
    <row r="84" spans="1:10" x14ac:dyDescent="0.35">
      <c r="A84" t="s">
        <v>19</v>
      </c>
      <c r="B84">
        <v>102</v>
      </c>
      <c r="C84">
        <v>42797</v>
      </c>
      <c r="D84" t="s">
        <v>99</v>
      </c>
      <c r="E84">
        <v>11.99</v>
      </c>
      <c r="F84">
        <v>4.84</v>
      </c>
      <c r="G84" t="s">
        <v>314</v>
      </c>
      <c r="H84" t="s">
        <v>317</v>
      </c>
      <c r="I84" s="13">
        <v>125.11304347826086</v>
      </c>
      <c r="J84">
        <v>12</v>
      </c>
    </row>
    <row r="85" spans="1:10" x14ac:dyDescent="0.35">
      <c r="A85" t="s">
        <v>19</v>
      </c>
      <c r="B85">
        <v>102</v>
      </c>
      <c r="C85">
        <v>42797</v>
      </c>
      <c r="D85" t="s">
        <v>99</v>
      </c>
      <c r="E85">
        <v>11.99</v>
      </c>
      <c r="F85">
        <v>4.84</v>
      </c>
      <c r="G85" t="s">
        <v>316</v>
      </c>
      <c r="H85" t="s">
        <v>318</v>
      </c>
      <c r="I85" s="13">
        <v>72.982608695652175</v>
      </c>
      <c r="J85">
        <v>7</v>
      </c>
    </row>
    <row r="86" spans="1:10" x14ac:dyDescent="0.35">
      <c r="A86" t="s">
        <v>14</v>
      </c>
      <c r="B86">
        <v>102</v>
      </c>
      <c r="C86">
        <v>42797</v>
      </c>
      <c r="D86" t="s">
        <v>99</v>
      </c>
      <c r="E86">
        <v>11.99</v>
      </c>
      <c r="F86">
        <v>5.12</v>
      </c>
      <c r="G86" t="s">
        <v>314</v>
      </c>
      <c r="H86" t="s">
        <v>317</v>
      </c>
      <c r="I86" s="13">
        <v>125.11304347826086</v>
      </c>
      <c r="J86">
        <v>12</v>
      </c>
    </row>
    <row r="87" spans="1:10" x14ac:dyDescent="0.35">
      <c r="A87" t="s">
        <v>14</v>
      </c>
      <c r="B87">
        <v>102</v>
      </c>
      <c r="C87">
        <v>42797</v>
      </c>
      <c r="D87" t="s">
        <v>99</v>
      </c>
      <c r="E87">
        <v>11.99</v>
      </c>
      <c r="F87">
        <v>5.12</v>
      </c>
      <c r="G87" t="s">
        <v>316</v>
      </c>
      <c r="H87" t="s">
        <v>318</v>
      </c>
      <c r="I87" s="13">
        <v>72.982608695652175</v>
      </c>
      <c r="J87">
        <v>7</v>
      </c>
    </row>
    <row r="88" spans="1:10" x14ac:dyDescent="0.35">
      <c r="A88" t="s">
        <v>14</v>
      </c>
      <c r="B88">
        <v>102</v>
      </c>
      <c r="C88">
        <v>42990</v>
      </c>
      <c r="D88" t="s">
        <v>93</v>
      </c>
      <c r="E88">
        <v>19.989999999999998</v>
      </c>
      <c r="F88">
        <v>10.85</v>
      </c>
      <c r="G88" t="s">
        <v>314</v>
      </c>
      <c r="H88" t="s">
        <v>317</v>
      </c>
      <c r="I88" s="13">
        <v>121.67826086956522</v>
      </c>
      <c r="J88">
        <v>7</v>
      </c>
    </row>
    <row r="89" spans="1:10" x14ac:dyDescent="0.35">
      <c r="A89" t="s">
        <v>14</v>
      </c>
      <c r="B89">
        <v>102</v>
      </c>
      <c r="C89">
        <v>42990</v>
      </c>
      <c r="D89" t="s">
        <v>93</v>
      </c>
      <c r="E89">
        <v>19.989999999999998</v>
      </c>
      <c r="F89">
        <v>10.85</v>
      </c>
      <c r="G89" t="s">
        <v>316</v>
      </c>
      <c r="H89" t="s">
        <v>318</v>
      </c>
      <c r="I89" s="13">
        <v>173.82608695652175</v>
      </c>
      <c r="J89">
        <v>10</v>
      </c>
    </row>
    <row r="90" spans="1:10" x14ac:dyDescent="0.35">
      <c r="A90" t="s">
        <v>14</v>
      </c>
      <c r="B90">
        <v>104</v>
      </c>
      <c r="C90">
        <v>43309</v>
      </c>
      <c r="D90" t="s">
        <v>238</v>
      </c>
      <c r="E90">
        <v>13.99</v>
      </c>
      <c r="F90">
        <v>6.67</v>
      </c>
      <c r="G90" t="s">
        <v>314</v>
      </c>
      <c r="H90" t="s">
        <v>317</v>
      </c>
      <c r="I90" s="13">
        <v>48.660869565217389</v>
      </c>
      <c r="J90">
        <v>4</v>
      </c>
    </row>
    <row r="91" spans="1:10" x14ac:dyDescent="0.35">
      <c r="A91" t="s">
        <v>14</v>
      </c>
      <c r="B91">
        <v>104</v>
      </c>
      <c r="C91">
        <v>43309</v>
      </c>
      <c r="D91" t="s">
        <v>238</v>
      </c>
      <c r="E91">
        <v>13.99</v>
      </c>
      <c r="F91">
        <v>6.67</v>
      </c>
      <c r="G91" t="s">
        <v>316</v>
      </c>
      <c r="H91" t="s">
        <v>318</v>
      </c>
      <c r="I91" s="13">
        <v>12.165217391304347</v>
      </c>
      <c r="J91">
        <v>1</v>
      </c>
    </row>
    <row r="92" spans="1:10" x14ac:dyDescent="0.35">
      <c r="A92" t="s">
        <v>19</v>
      </c>
      <c r="B92">
        <v>102</v>
      </c>
      <c r="C92">
        <v>48620</v>
      </c>
      <c r="D92" t="s">
        <v>153</v>
      </c>
      <c r="E92">
        <v>37.99</v>
      </c>
      <c r="F92">
        <v>16.841833333333334</v>
      </c>
      <c r="G92" t="s">
        <v>316</v>
      </c>
      <c r="H92" t="s">
        <v>318</v>
      </c>
      <c r="I92" s="13">
        <v>33.03478260869565</v>
      </c>
      <c r="J92">
        <v>1</v>
      </c>
    </row>
    <row r="93" spans="1:10" x14ac:dyDescent="0.35">
      <c r="A93" t="s">
        <v>35</v>
      </c>
      <c r="B93">
        <v>102</v>
      </c>
      <c r="C93">
        <v>48620</v>
      </c>
      <c r="D93" t="s">
        <v>153</v>
      </c>
      <c r="E93">
        <v>37.99</v>
      </c>
      <c r="F93">
        <v>19.462499999999999</v>
      </c>
      <c r="G93" t="s">
        <v>316</v>
      </c>
      <c r="H93" t="s">
        <v>318</v>
      </c>
      <c r="I93" s="13">
        <v>33.03478260869565</v>
      </c>
      <c r="J93">
        <v>1</v>
      </c>
    </row>
    <row r="94" spans="1:10" x14ac:dyDescent="0.35">
      <c r="A94" t="s">
        <v>19</v>
      </c>
      <c r="B94">
        <v>101</v>
      </c>
      <c r="C94">
        <v>50037</v>
      </c>
      <c r="D94" t="s">
        <v>22</v>
      </c>
      <c r="E94">
        <v>25.99</v>
      </c>
      <c r="F94">
        <v>13.4</v>
      </c>
      <c r="G94" t="s">
        <v>314</v>
      </c>
      <c r="H94" t="s">
        <v>317</v>
      </c>
      <c r="I94" s="13">
        <v>158.20000000000002</v>
      </c>
      <c r="J94">
        <v>7</v>
      </c>
    </row>
    <row r="95" spans="1:10" x14ac:dyDescent="0.35">
      <c r="A95" t="s">
        <v>19</v>
      </c>
      <c r="B95">
        <v>101</v>
      </c>
      <c r="C95">
        <v>50037</v>
      </c>
      <c r="D95" t="s">
        <v>22</v>
      </c>
      <c r="E95">
        <v>25.99</v>
      </c>
      <c r="F95">
        <v>13.4</v>
      </c>
      <c r="G95" t="s">
        <v>316</v>
      </c>
      <c r="H95" t="s">
        <v>318</v>
      </c>
      <c r="I95" s="13">
        <v>158.20000000000002</v>
      </c>
      <c r="J95">
        <v>7</v>
      </c>
    </row>
    <row r="96" spans="1:10" x14ac:dyDescent="0.35">
      <c r="A96" t="s">
        <v>19</v>
      </c>
      <c r="B96">
        <v>101</v>
      </c>
      <c r="C96">
        <v>51680</v>
      </c>
      <c r="D96" t="s">
        <v>33</v>
      </c>
      <c r="E96">
        <v>21.99</v>
      </c>
      <c r="F96">
        <v>12.14</v>
      </c>
      <c r="G96" t="s">
        <v>314</v>
      </c>
      <c r="H96" t="s">
        <v>317</v>
      </c>
      <c r="I96" s="13">
        <v>57.365217391304348</v>
      </c>
      <c r="J96">
        <v>3</v>
      </c>
    </row>
    <row r="97" spans="1:10" x14ac:dyDescent="0.35">
      <c r="A97" t="s">
        <v>19</v>
      </c>
      <c r="B97">
        <v>101</v>
      </c>
      <c r="C97">
        <v>51680</v>
      </c>
      <c r="D97" t="s">
        <v>33</v>
      </c>
      <c r="E97">
        <v>21.99</v>
      </c>
      <c r="F97">
        <v>12.14</v>
      </c>
      <c r="G97" t="s">
        <v>316</v>
      </c>
      <c r="H97" t="s">
        <v>318</v>
      </c>
      <c r="I97" s="13">
        <v>19.121739130434783</v>
      </c>
      <c r="J97">
        <v>1</v>
      </c>
    </row>
    <row r="98" spans="1:10" x14ac:dyDescent="0.35">
      <c r="A98" t="s">
        <v>14</v>
      </c>
      <c r="B98">
        <v>102</v>
      </c>
      <c r="C98">
        <v>52943</v>
      </c>
      <c r="D98" t="s">
        <v>90</v>
      </c>
      <c r="E98">
        <v>31.99</v>
      </c>
      <c r="F98">
        <v>15.17</v>
      </c>
      <c r="G98" t="s">
        <v>314</v>
      </c>
      <c r="H98" t="s">
        <v>317</v>
      </c>
      <c r="I98" s="13">
        <v>194.04347826086956</v>
      </c>
      <c r="J98">
        <v>6.976</v>
      </c>
    </row>
    <row r="99" spans="1:10" x14ac:dyDescent="0.35">
      <c r="A99" t="s">
        <v>14</v>
      </c>
      <c r="B99">
        <v>102</v>
      </c>
      <c r="C99">
        <v>52943</v>
      </c>
      <c r="D99" t="s">
        <v>90</v>
      </c>
      <c r="E99">
        <v>31.99</v>
      </c>
      <c r="F99">
        <v>15.17</v>
      </c>
      <c r="G99" t="s">
        <v>316</v>
      </c>
      <c r="H99" t="s">
        <v>318</v>
      </c>
      <c r="I99" s="13">
        <v>133.09565217391304</v>
      </c>
      <c r="J99">
        <v>4.7850000000000001</v>
      </c>
    </row>
    <row r="100" spans="1:10" x14ac:dyDescent="0.35">
      <c r="A100" t="s">
        <v>14</v>
      </c>
      <c r="B100">
        <v>106</v>
      </c>
      <c r="C100">
        <v>54018</v>
      </c>
      <c r="D100" t="s">
        <v>243</v>
      </c>
      <c r="E100">
        <v>18.989999999999998</v>
      </c>
      <c r="F100">
        <v>9.83</v>
      </c>
      <c r="G100" t="s">
        <v>314</v>
      </c>
      <c r="H100" t="s">
        <v>317</v>
      </c>
      <c r="I100" s="13">
        <v>132.10434782608695</v>
      </c>
      <c r="J100">
        <v>8</v>
      </c>
    </row>
    <row r="101" spans="1:10" x14ac:dyDescent="0.35">
      <c r="A101" t="s">
        <v>14</v>
      </c>
      <c r="B101">
        <v>106</v>
      </c>
      <c r="C101">
        <v>54018</v>
      </c>
      <c r="D101" t="s">
        <v>243</v>
      </c>
      <c r="E101">
        <v>18.989999999999998</v>
      </c>
      <c r="F101">
        <v>9.83</v>
      </c>
      <c r="G101" t="s">
        <v>316</v>
      </c>
      <c r="H101" t="s">
        <v>318</v>
      </c>
      <c r="I101" s="13">
        <v>49.539130434782606</v>
      </c>
      <c r="J101">
        <v>3</v>
      </c>
    </row>
    <row r="102" spans="1:10" x14ac:dyDescent="0.35">
      <c r="A102" t="s">
        <v>107</v>
      </c>
      <c r="B102">
        <v>102</v>
      </c>
      <c r="C102">
        <v>55095</v>
      </c>
      <c r="D102" t="s">
        <v>116</v>
      </c>
      <c r="E102">
        <v>5</v>
      </c>
      <c r="F102">
        <v>1.38</v>
      </c>
      <c r="G102" t="s">
        <v>316</v>
      </c>
      <c r="H102" t="s">
        <v>318</v>
      </c>
      <c r="I102" s="13">
        <v>30.434782608695652</v>
      </c>
      <c r="J102">
        <v>7</v>
      </c>
    </row>
    <row r="103" spans="1:10" x14ac:dyDescent="0.35">
      <c r="A103" t="s">
        <v>14</v>
      </c>
      <c r="B103">
        <v>102</v>
      </c>
      <c r="C103">
        <v>55481</v>
      </c>
      <c r="D103" t="s">
        <v>105</v>
      </c>
      <c r="E103">
        <v>11.99</v>
      </c>
      <c r="F103">
        <v>5.0999999999999996</v>
      </c>
      <c r="G103" t="s">
        <v>314</v>
      </c>
      <c r="H103" t="s">
        <v>317</v>
      </c>
      <c r="I103" s="13">
        <v>83.408695652173918</v>
      </c>
      <c r="J103">
        <v>8</v>
      </c>
    </row>
    <row r="104" spans="1:10" x14ac:dyDescent="0.35">
      <c r="A104" t="s">
        <v>14</v>
      </c>
      <c r="B104">
        <v>102</v>
      </c>
      <c r="C104">
        <v>55481</v>
      </c>
      <c r="D104" t="s">
        <v>105</v>
      </c>
      <c r="E104">
        <v>11.99</v>
      </c>
      <c r="F104">
        <v>5.0999999999999996</v>
      </c>
      <c r="G104" t="s">
        <v>316</v>
      </c>
      <c r="H104" t="s">
        <v>318</v>
      </c>
      <c r="I104" s="13">
        <v>52.130434782608695</v>
      </c>
      <c r="J104">
        <v>5</v>
      </c>
    </row>
    <row r="105" spans="1:10" x14ac:dyDescent="0.35">
      <c r="A105" t="s">
        <v>14</v>
      </c>
      <c r="B105">
        <v>101</v>
      </c>
      <c r="C105">
        <v>57073</v>
      </c>
      <c r="D105" t="s">
        <v>21</v>
      </c>
      <c r="E105">
        <v>36.99</v>
      </c>
      <c r="F105">
        <v>16.05</v>
      </c>
      <c r="G105" t="s">
        <v>314</v>
      </c>
      <c r="H105" t="s">
        <v>317</v>
      </c>
      <c r="I105" s="13">
        <v>225.15652173913043</v>
      </c>
      <c r="J105">
        <v>7</v>
      </c>
    </row>
    <row r="106" spans="1:10" x14ac:dyDescent="0.35">
      <c r="A106" t="s">
        <v>14</v>
      </c>
      <c r="B106">
        <v>101</v>
      </c>
      <c r="C106">
        <v>57073</v>
      </c>
      <c r="D106" t="s">
        <v>21</v>
      </c>
      <c r="E106">
        <v>36.99</v>
      </c>
      <c r="F106">
        <v>16.05</v>
      </c>
      <c r="G106" t="s">
        <v>316</v>
      </c>
      <c r="H106" t="s">
        <v>318</v>
      </c>
      <c r="I106" s="13">
        <v>32.165217391304353</v>
      </c>
      <c r="J106">
        <v>1</v>
      </c>
    </row>
    <row r="107" spans="1:10" x14ac:dyDescent="0.35">
      <c r="A107" t="s">
        <v>107</v>
      </c>
      <c r="B107">
        <v>102</v>
      </c>
      <c r="C107">
        <v>58147</v>
      </c>
      <c r="D107" t="s">
        <v>146</v>
      </c>
      <c r="E107">
        <v>16.989999999999998</v>
      </c>
      <c r="F107">
        <v>7.99</v>
      </c>
      <c r="G107" t="s">
        <v>314</v>
      </c>
      <c r="H107" t="s">
        <v>317</v>
      </c>
      <c r="I107" s="13">
        <v>14.77391304347826</v>
      </c>
      <c r="J107">
        <v>1</v>
      </c>
    </row>
    <row r="108" spans="1:10" x14ac:dyDescent="0.35">
      <c r="A108" t="s">
        <v>14</v>
      </c>
      <c r="B108">
        <v>101</v>
      </c>
      <c r="C108">
        <v>58512</v>
      </c>
      <c r="D108" t="s">
        <v>30</v>
      </c>
      <c r="E108">
        <v>26.99</v>
      </c>
      <c r="F108">
        <v>10.66</v>
      </c>
      <c r="G108" t="s">
        <v>314</v>
      </c>
      <c r="H108" t="s">
        <v>317</v>
      </c>
      <c r="I108" s="13">
        <v>70.408695652173918</v>
      </c>
      <c r="J108">
        <v>3</v>
      </c>
    </row>
    <row r="109" spans="1:10" x14ac:dyDescent="0.35">
      <c r="A109" t="s">
        <v>14</v>
      </c>
      <c r="B109">
        <v>101</v>
      </c>
      <c r="C109">
        <v>58512</v>
      </c>
      <c r="D109" t="s">
        <v>30</v>
      </c>
      <c r="E109">
        <v>26.99</v>
      </c>
      <c r="F109">
        <v>10.66</v>
      </c>
      <c r="G109" t="s">
        <v>316</v>
      </c>
      <c r="H109" t="s">
        <v>318</v>
      </c>
      <c r="I109" s="13">
        <v>70.408695652173918</v>
      </c>
      <c r="J109">
        <v>3</v>
      </c>
    </row>
    <row r="110" spans="1:10" x14ac:dyDescent="0.35">
      <c r="A110" t="s">
        <v>14</v>
      </c>
      <c r="B110">
        <v>101</v>
      </c>
      <c r="C110">
        <v>58767</v>
      </c>
      <c r="D110" t="s">
        <v>27</v>
      </c>
      <c r="E110">
        <v>19.989999999999998</v>
      </c>
      <c r="F110">
        <v>7.04</v>
      </c>
      <c r="G110" t="s">
        <v>314</v>
      </c>
      <c r="H110" t="s">
        <v>317</v>
      </c>
      <c r="I110" s="13">
        <v>121.67826086956522</v>
      </c>
      <c r="J110">
        <v>7</v>
      </c>
    </row>
    <row r="111" spans="1:10" x14ac:dyDescent="0.35">
      <c r="A111" t="s">
        <v>14</v>
      </c>
      <c r="B111">
        <v>101</v>
      </c>
      <c r="C111">
        <v>58767</v>
      </c>
      <c r="D111" t="s">
        <v>27</v>
      </c>
      <c r="E111">
        <v>19.989999999999998</v>
      </c>
      <c r="F111">
        <v>7.04</v>
      </c>
      <c r="G111" t="s">
        <v>316</v>
      </c>
      <c r="H111" t="s">
        <v>318</v>
      </c>
      <c r="I111" s="13">
        <v>52.14782608695652</v>
      </c>
      <c r="J111">
        <v>3</v>
      </c>
    </row>
    <row r="112" spans="1:10" x14ac:dyDescent="0.35">
      <c r="A112" t="s">
        <v>14</v>
      </c>
      <c r="B112">
        <v>101</v>
      </c>
      <c r="C112">
        <v>59381</v>
      </c>
      <c r="D112" t="s">
        <v>15</v>
      </c>
      <c r="E112">
        <v>13.99</v>
      </c>
      <c r="F112">
        <v>7.36</v>
      </c>
      <c r="G112" t="s">
        <v>314</v>
      </c>
      <c r="H112" t="s">
        <v>317</v>
      </c>
      <c r="I112" s="13">
        <v>1216.5217391304348</v>
      </c>
      <c r="J112">
        <v>100</v>
      </c>
    </row>
    <row r="113" spans="1:10" x14ac:dyDescent="0.35">
      <c r="A113" t="s">
        <v>14</v>
      </c>
      <c r="B113">
        <v>101</v>
      </c>
      <c r="C113">
        <v>59381</v>
      </c>
      <c r="D113" t="s">
        <v>15</v>
      </c>
      <c r="E113">
        <v>13.99</v>
      </c>
      <c r="F113">
        <v>7.36</v>
      </c>
      <c r="G113" t="s">
        <v>316</v>
      </c>
      <c r="H113" t="s">
        <v>318</v>
      </c>
      <c r="I113" s="13">
        <v>1094.8695652173913</v>
      </c>
      <c r="J113">
        <v>90</v>
      </c>
    </row>
    <row r="114" spans="1:10" x14ac:dyDescent="0.35">
      <c r="A114" t="s">
        <v>14</v>
      </c>
      <c r="B114">
        <v>101</v>
      </c>
      <c r="C114">
        <v>59425</v>
      </c>
      <c r="D114" t="s">
        <v>17</v>
      </c>
      <c r="E114">
        <v>10.99</v>
      </c>
      <c r="F114">
        <v>6.3</v>
      </c>
      <c r="G114" t="s">
        <v>314</v>
      </c>
      <c r="H114" t="s">
        <v>317</v>
      </c>
      <c r="I114" s="13">
        <v>659.4</v>
      </c>
      <c r="J114">
        <v>60</v>
      </c>
    </row>
    <row r="115" spans="1:10" x14ac:dyDescent="0.35">
      <c r="A115" t="s">
        <v>14</v>
      </c>
      <c r="B115">
        <v>102</v>
      </c>
      <c r="C115">
        <v>59477</v>
      </c>
      <c r="D115" t="s">
        <v>159</v>
      </c>
      <c r="E115">
        <v>5.99</v>
      </c>
      <c r="F115">
        <v>3.1</v>
      </c>
      <c r="G115" t="s">
        <v>316</v>
      </c>
      <c r="H115" t="s">
        <v>318</v>
      </c>
      <c r="I115" s="13">
        <v>10.417391304347827</v>
      </c>
      <c r="J115">
        <v>2</v>
      </c>
    </row>
    <row r="116" spans="1:10" x14ac:dyDescent="0.35">
      <c r="A116" t="s">
        <v>14</v>
      </c>
      <c r="B116">
        <v>102</v>
      </c>
      <c r="C116">
        <v>61937</v>
      </c>
      <c r="D116" t="s">
        <v>122</v>
      </c>
      <c r="E116">
        <v>10</v>
      </c>
      <c r="F116">
        <v>2.67</v>
      </c>
      <c r="G116" t="s">
        <v>314</v>
      </c>
      <c r="H116" t="s">
        <v>317</v>
      </c>
      <c r="I116" s="13">
        <v>104.34782608695652</v>
      </c>
      <c r="J116">
        <v>12</v>
      </c>
    </row>
    <row r="117" spans="1:10" x14ac:dyDescent="0.35">
      <c r="A117" t="s">
        <v>14</v>
      </c>
      <c r="B117">
        <v>102</v>
      </c>
      <c r="C117">
        <v>61938</v>
      </c>
      <c r="D117" t="s">
        <v>124</v>
      </c>
      <c r="E117">
        <v>10</v>
      </c>
      <c r="F117">
        <v>3.43</v>
      </c>
      <c r="G117" t="s">
        <v>314</v>
      </c>
      <c r="H117" t="s">
        <v>317</v>
      </c>
      <c r="I117" s="13">
        <v>26.086956521739129</v>
      </c>
      <c r="J117">
        <v>3</v>
      </c>
    </row>
    <row r="118" spans="1:10" x14ac:dyDescent="0.35">
      <c r="A118" t="s">
        <v>14</v>
      </c>
      <c r="B118">
        <v>102</v>
      </c>
      <c r="C118">
        <v>61939</v>
      </c>
      <c r="D118" t="s">
        <v>101</v>
      </c>
      <c r="E118">
        <v>10</v>
      </c>
      <c r="F118">
        <v>5.09</v>
      </c>
      <c r="G118" t="s">
        <v>316</v>
      </c>
      <c r="H118" t="s">
        <v>318</v>
      </c>
      <c r="I118" s="13">
        <v>147.82608695652175</v>
      </c>
      <c r="J118">
        <v>17</v>
      </c>
    </row>
    <row r="119" spans="1:10" x14ac:dyDescent="0.35">
      <c r="A119" t="s">
        <v>14</v>
      </c>
      <c r="B119">
        <v>101</v>
      </c>
      <c r="C119">
        <v>61947</v>
      </c>
      <c r="D119" t="s">
        <v>42</v>
      </c>
      <c r="E119">
        <v>28.99</v>
      </c>
      <c r="F119">
        <v>8.93</v>
      </c>
      <c r="G119" t="s">
        <v>314</v>
      </c>
      <c r="H119" t="s">
        <v>317</v>
      </c>
      <c r="I119" s="13">
        <v>25.208695652173912</v>
      </c>
      <c r="J119">
        <v>1</v>
      </c>
    </row>
    <row r="120" spans="1:10" x14ac:dyDescent="0.35">
      <c r="A120" t="s">
        <v>14</v>
      </c>
      <c r="B120">
        <v>101</v>
      </c>
      <c r="C120">
        <v>61947</v>
      </c>
      <c r="D120" t="s">
        <v>42</v>
      </c>
      <c r="E120">
        <v>28.99</v>
      </c>
      <c r="F120">
        <v>8.93</v>
      </c>
      <c r="G120" t="s">
        <v>316</v>
      </c>
      <c r="H120" t="s">
        <v>318</v>
      </c>
      <c r="I120" s="13">
        <v>25.208695652173912</v>
      </c>
      <c r="J120">
        <v>1</v>
      </c>
    </row>
    <row r="121" spans="1:10" x14ac:dyDescent="0.35">
      <c r="A121" t="s">
        <v>14</v>
      </c>
      <c r="B121">
        <v>120</v>
      </c>
      <c r="C121">
        <v>62585</v>
      </c>
      <c r="D121" t="s">
        <v>281</v>
      </c>
      <c r="E121">
        <v>55</v>
      </c>
      <c r="F121">
        <v>33.18</v>
      </c>
      <c r="G121" t="s">
        <v>316</v>
      </c>
      <c r="H121" t="s">
        <v>318</v>
      </c>
      <c r="I121" s="13">
        <v>6217.391304347826</v>
      </c>
      <c r="J121">
        <v>130</v>
      </c>
    </row>
    <row r="122" spans="1:10" x14ac:dyDescent="0.35">
      <c r="A122" t="s">
        <v>14</v>
      </c>
      <c r="B122">
        <v>101</v>
      </c>
      <c r="C122">
        <v>62622</v>
      </c>
      <c r="D122" t="s">
        <v>70</v>
      </c>
      <c r="E122">
        <v>26.99</v>
      </c>
      <c r="F122">
        <v>14.15</v>
      </c>
      <c r="G122" t="s">
        <v>314</v>
      </c>
      <c r="H122" t="s">
        <v>317</v>
      </c>
      <c r="I122" s="13">
        <v>70.408695652173918</v>
      </c>
      <c r="J122">
        <v>3</v>
      </c>
    </row>
    <row r="123" spans="1:10" x14ac:dyDescent="0.35">
      <c r="A123" t="s">
        <v>14</v>
      </c>
      <c r="B123">
        <v>120</v>
      </c>
      <c r="C123">
        <v>62629</v>
      </c>
      <c r="D123" t="s">
        <v>282</v>
      </c>
      <c r="E123">
        <v>60</v>
      </c>
      <c r="F123">
        <v>33.18</v>
      </c>
      <c r="G123" t="s">
        <v>316</v>
      </c>
      <c r="H123" t="s">
        <v>318</v>
      </c>
      <c r="I123" s="13">
        <v>1043.4782608695652</v>
      </c>
      <c r="J123">
        <v>20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sqref="A1:J1"/>
    </sheetView>
  </sheetViews>
  <sheetFormatPr defaultRowHeight="13" x14ac:dyDescent="0.35"/>
  <cols>
    <col min="1" max="1" width="12.69921875" customWidth="1"/>
    <col min="2" max="2" width="9.3984375" customWidth="1"/>
    <col min="3" max="3" width="38.3984375" bestFit="1" customWidth="1"/>
    <col min="4" max="4" width="6.09765625" bestFit="1" customWidth="1"/>
    <col min="5" max="5" width="9.59765625" customWidth="1"/>
    <col min="6" max="6" width="7.09765625" customWidth="1"/>
    <col min="7" max="7" width="10.59765625" bestFit="1" customWidth="1"/>
    <col min="8" max="8" width="10.796875" bestFit="1" customWidth="1"/>
    <col min="9" max="9" width="10.59765625" bestFit="1" customWidth="1"/>
    <col min="10" max="10" width="7.59765625" customWidth="1"/>
    <col min="11" max="11" width="7.8984375" customWidth="1"/>
  </cols>
  <sheetData>
    <row r="1" spans="1:11" ht="30" customHeight="1" x14ac:dyDescent="0.35">
      <c r="A1" s="39" t="s">
        <v>310</v>
      </c>
      <c r="B1" s="39"/>
      <c r="C1" s="39"/>
      <c r="D1" s="39"/>
      <c r="E1" s="39"/>
      <c r="F1" s="39"/>
      <c r="G1" s="39"/>
      <c r="H1" s="39"/>
      <c r="I1" s="39"/>
      <c r="J1" s="39"/>
    </row>
    <row r="2" spans="1:11" ht="10" customHeight="1" x14ac:dyDescent="0.35">
      <c r="A2" s="40"/>
      <c r="B2" s="40"/>
      <c r="C2" s="40"/>
      <c r="D2" s="41" t="s">
        <v>304</v>
      </c>
      <c r="E2" s="40"/>
      <c r="F2" s="40"/>
      <c r="G2" s="40"/>
      <c r="H2" s="40"/>
      <c r="I2" s="40"/>
      <c r="J2" s="40"/>
    </row>
    <row r="3" spans="1:11" s="38" customFormat="1" ht="38.5" customHeight="1" x14ac:dyDescent="0.35">
      <c r="A3" s="42" t="s">
        <v>311</v>
      </c>
      <c r="B3" s="42" t="s">
        <v>1</v>
      </c>
      <c r="C3" s="42" t="s">
        <v>2</v>
      </c>
      <c r="D3" s="42" t="s">
        <v>306</v>
      </c>
      <c r="E3" s="42" t="s">
        <v>312</v>
      </c>
      <c r="F3" s="42" t="s">
        <v>305</v>
      </c>
      <c r="G3" s="42" t="s">
        <v>307</v>
      </c>
      <c r="H3" s="42" t="s">
        <v>308</v>
      </c>
      <c r="I3" s="42" t="s">
        <v>309</v>
      </c>
      <c r="J3" s="42" t="s">
        <v>313</v>
      </c>
      <c r="K3"/>
    </row>
    <row r="4" spans="1:11" s="50" customFormat="1" ht="17" customHeight="1" x14ac:dyDescent="0.35">
      <c r="A4" s="43">
        <v>101</v>
      </c>
      <c r="B4" s="44">
        <v>59381</v>
      </c>
      <c r="C4" s="45" t="s">
        <v>15</v>
      </c>
      <c r="D4" s="46">
        <v>780</v>
      </c>
      <c r="E4" s="47">
        <v>13.99</v>
      </c>
      <c r="F4" s="47">
        <v>7.36</v>
      </c>
      <c r="G4" s="48">
        <v>10912.2</v>
      </c>
      <c r="H4" s="48">
        <v>5740.8</v>
      </c>
      <c r="I4" s="48">
        <v>5171.4000000000005</v>
      </c>
      <c r="J4" s="49">
        <v>0.47390993566833456</v>
      </c>
    </row>
    <row r="5" spans="1:11" s="50" customFormat="1" ht="17" customHeight="1" x14ac:dyDescent="0.35">
      <c r="A5" s="51"/>
      <c r="B5" s="52">
        <v>59425</v>
      </c>
      <c r="C5" s="51" t="s">
        <v>17</v>
      </c>
      <c r="D5" s="53">
        <v>240</v>
      </c>
      <c r="E5" s="54">
        <v>10.99</v>
      </c>
      <c r="F5" s="54">
        <v>6.3</v>
      </c>
      <c r="G5" s="55">
        <v>2637.6</v>
      </c>
      <c r="H5" s="55">
        <v>1512</v>
      </c>
      <c r="I5" s="55">
        <v>1125.5999999999999</v>
      </c>
      <c r="J5" s="56">
        <v>0.42675159235668786</v>
      </c>
    </row>
    <row r="6" spans="1:11" s="50" customFormat="1" ht="17" customHeight="1" x14ac:dyDescent="0.35">
      <c r="A6" s="45"/>
      <c r="B6" s="44">
        <v>34690</v>
      </c>
      <c r="C6" s="45" t="s">
        <v>18</v>
      </c>
      <c r="D6" s="46">
        <v>184</v>
      </c>
      <c r="E6" s="47">
        <v>16.989999999999998</v>
      </c>
      <c r="F6" s="47">
        <v>7.7</v>
      </c>
      <c r="G6" s="48">
        <v>3126.16</v>
      </c>
      <c r="H6" s="48">
        <v>1416.8</v>
      </c>
      <c r="I6" s="48">
        <v>1709.36</v>
      </c>
      <c r="J6" s="49">
        <v>0.54679223072395522</v>
      </c>
    </row>
    <row r="7" spans="1:11" s="50" customFormat="1" ht="17" customHeight="1" x14ac:dyDescent="0.35">
      <c r="A7" s="51"/>
      <c r="B7" s="52">
        <v>34141</v>
      </c>
      <c r="C7" s="51" t="s">
        <v>24</v>
      </c>
      <c r="D7" s="53">
        <v>144</v>
      </c>
      <c r="E7" s="54">
        <v>5</v>
      </c>
      <c r="F7" s="54">
        <v>3.3388749999999998</v>
      </c>
      <c r="G7" s="55">
        <v>720</v>
      </c>
      <c r="H7" s="55">
        <v>480.798</v>
      </c>
      <c r="I7" s="55">
        <v>239.202</v>
      </c>
      <c r="J7" s="56">
        <v>0.33222499999999999</v>
      </c>
    </row>
    <row r="8" spans="1:11" s="50" customFormat="1" ht="17" customHeight="1" x14ac:dyDescent="0.35">
      <c r="A8" s="45"/>
      <c r="B8" s="44">
        <v>32859</v>
      </c>
      <c r="C8" s="45" t="s">
        <v>20</v>
      </c>
      <c r="D8" s="46">
        <v>104.666666666667</v>
      </c>
      <c r="E8" s="47">
        <v>41.98</v>
      </c>
      <c r="F8" s="47">
        <v>18.559999999999999</v>
      </c>
      <c r="G8" s="48">
        <v>2196.9533333333402</v>
      </c>
      <c r="H8" s="48">
        <v>1161.8000000000036</v>
      </c>
      <c r="I8" s="48">
        <v>1035.1533333333366</v>
      </c>
      <c r="J8" s="49">
        <v>0.47117675083373034</v>
      </c>
    </row>
    <row r="9" spans="1:11" s="50" customFormat="1" ht="17" customHeight="1" x14ac:dyDescent="0.35">
      <c r="A9" s="51"/>
      <c r="B9" s="52">
        <v>34070</v>
      </c>
      <c r="C9" s="51" t="s">
        <v>26</v>
      </c>
      <c r="D9" s="53">
        <v>86</v>
      </c>
      <c r="E9" s="54">
        <v>12.99</v>
      </c>
      <c r="F9" s="54">
        <v>6.81</v>
      </c>
      <c r="G9" s="55">
        <v>1117.1400000000001</v>
      </c>
      <c r="H9" s="55">
        <v>585.66</v>
      </c>
      <c r="I9" s="55">
        <v>531.48000000000013</v>
      </c>
      <c r="J9" s="56">
        <v>0.47575057736720561</v>
      </c>
    </row>
    <row r="10" spans="1:11" s="50" customFormat="1" ht="17" customHeight="1" x14ac:dyDescent="0.35">
      <c r="A10" s="45"/>
      <c r="B10" s="44">
        <v>34041</v>
      </c>
      <c r="C10" s="45" t="s">
        <v>43</v>
      </c>
      <c r="D10" s="46">
        <v>70</v>
      </c>
      <c r="E10" s="47">
        <v>6.99</v>
      </c>
      <c r="F10" s="47">
        <v>3.15</v>
      </c>
      <c r="G10" s="48">
        <v>489.3</v>
      </c>
      <c r="H10" s="48">
        <v>220.5</v>
      </c>
      <c r="I10" s="48">
        <v>268.8</v>
      </c>
      <c r="J10" s="49">
        <v>0.54935622317596566</v>
      </c>
    </row>
    <row r="11" spans="1:11" s="50" customFormat="1" ht="17" customHeight="1" x14ac:dyDescent="0.35">
      <c r="A11" s="51"/>
      <c r="B11" s="52">
        <v>50037</v>
      </c>
      <c r="C11" s="51" t="s">
        <v>22</v>
      </c>
      <c r="D11" s="53">
        <v>65</v>
      </c>
      <c r="E11" s="54">
        <v>25.99</v>
      </c>
      <c r="F11" s="54">
        <v>13.4</v>
      </c>
      <c r="G11" s="55">
        <v>1689.35</v>
      </c>
      <c r="H11" s="55">
        <v>871</v>
      </c>
      <c r="I11" s="55">
        <v>818.34999999999991</v>
      </c>
      <c r="J11" s="56">
        <v>0.48441708349365137</v>
      </c>
    </row>
    <row r="12" spans="1:11" s="50" customFormat="1" ht="17" customHeight="1" x14ac:dyDescent="0.35">
      <c r="A12" s="45"/>
      <c r="B12" s="44">
        <v>34046</v>
      </c>
      <c r="C12" s="45" t="s">
        <v>37</v>
      </c>
      <c r="D12" s="46">
        <v>50</v>
      </c>
      <c r="E12" s="47">
        <v>19.989999999999998</v>
      </c>
      <c r="F12" s="47">
        <v>12.2</v>
      </c>
      <c r="G12" s="48">
        <v>999.49999999999989</v>
      </c>
      <c r="H12" s="48">
        <v>610</v>
      </c>
      <c r="I12" s="48">
        <v>389.49999999999989</v>
      </c>
      <c r="J12" s="49">
        <v>0.3896948474237118</v>
      </c>
    </row>
    <row r="13" spans="1:11" s="50" customFormat="1" ht="17" customHeight="1" x14ac:dyDescent="0.35">
      <c r="A13" s="51"/>
      <c r="B13" s="52">
        <v>34042</v>
      </c>
      <c r="C13" s="51" t="s">
        <v>31</v>
      </c>
      <c r="D13" s="53">
        <v>48</v>
      </c>
      <c r="E13" s="54">
        <v>9.5</v>
      </c>
      <c r="F13" s="54">
        <v>4.1500000000000004</v>
      </c>
      <c r="G13" s="55">
        <v>456</v>
      </c>
      <c r="H13" s="55">
        <v>199.20000000000002</v>
      </c>
      <c r="I13" s="55">
        <v>256.79999999999995</v>
      </c>
      <c r="J13" s="56">
        <v>0.56315789473684197</v>
      </c>
    </row>
    <row r="14" spans="1:11" s="50" customFormat="1" ht="17" customHeight="1" x14ac:dyDescent="0.35">
      <c r="A14" s="45"/>
      <c r="B14" s="44">
        <v>34091</v>
      </c>
      <c r="C14" s="45" t="s">
        <v>28</v>
      </c>
      <c r="D14" s="46">
        <v>40</v>
      </c>
      <c r="E14" s="47">
        <v>19.989999999999998</v>
      </c>
      <c r="F14" s="47">
        <v>12.24</v>
      </c>
      <c r="G14" s="48">
        <v>799.59999999999991</v>
      </c>
      <c r="H14" s="48">
        <v>489.6</v>
      </c>
      <c r="I14" s="48">
        <v>309.99999999999989</v>
      </c>
      <c r="J14" s="49">
        <v>0.38769384692346165</v>
      </c>
    </row>
    <row r="15" spans="1:11" s="50" customFormat="1" ht="17" customHeight="1" x14ac:dyDescent="0.35">
      <c r="A15" s="51"/>
      <c r="B15" s="52">
        <v>34024</v>
      </c>
      <c r="C15" s="51" t="s">
        <v>23</v>
      </c>
      <c r="D15" s="53">
        <v>36</v>
      </c>
      <c r="E15" s="54">
        <v>37.99</v>
      </c>
      <c r="F15" s="54">
        <v>16.5</v>
      </c>
      <c r="G15" s="55">
        <v>1367.64</v>
      </c>
      <c r="H15" s="55">
        <v>594</v>
      </c>
      <c r="I15" s="55">
        <v>773.6400000000001</v>
      </c>
      <c r="J15" s="56">
        <v>0.56567517767833642</v>
      </c>
    </row>
    <row r="16" spans="1:11" s="50" customFormat="1" ht="17" customHeight="1" x14ac:dyDescent="0.35">
      <c r="A16" s="45"/>
      <c r="B16" s="44">
        <v>57073</v>
      </c>
      <c r="C16" s="45" t="s">
        <v>21</v>
      </c>
      <c r="D16" s="46">
        <v>36</v>
      </c>
      <c r="E16" s="47">
        <v>36.99</v>
      </c>
      <c r="F16" s="47">
        <v>16.05</v>
      </c>
      <c r="G16" s="48">
        <v>1331.64</v>
      </c>
      <c r="H16" s="48">
        <v>577.80000000000007</v>
      </c>
      <c r="I16" s="48">
        <v>753.84</v>
      </c>
      <c r="J16" s="49">
        <v>0.56609894566098939</v>
      </c>
    </row>
    <row r="17" spans="1:10" s="50" customFormat="1" ht="17" customHeight="1" x14ac:dyDescent="0.35">
      <c r="A17" s="51"/>
      <c r="B17" s="52">
        <v>41464</v>
      </c>
      <c r="C17" s="51" t="s">
        <v>45</v>
      </c>
      <c r="D17" s="53">
        <v>36</v>
      </c>
      <c r="E17" s="54">
        <v>16.989999999999998</v>
      </c>
      <c r="F17" s="54">
        <v>7.73</v>
      </c>
      <c r="G17" s="55">
        <v>611.64</v>
      </c>
      <c r="H17" s="55">
        <v>278.28000000000003</v>
      </c>
      <c r="I17" s="55">
        <v>333.35999999999996</v>
      </c>
      <c r="J17" s="56">
        <v>0.54502648616833427</v>
      </c>
    </row>
    <row r="18" spans="1:10" s="50" customFormat="1" ht="17" customHeight="1" x14ac:dyDescent="0.35">
      <c r="A18" s="45"/>
      <c r="B18" s="44">
        <v>51680</v>
      </c>
      <c r="C18" s="45" t="s">
        <v>33</v>
      </c>
      <c r="D18" s="46">
        <v>34</v>
      </c>
      <c r="E18" s="47">
        <v>21.99</v>
      </c>
      <c r="F18" s="47">
        <v>12.14</v>
      </c>
      <c r="G18" s="48">
        <v>747.66</v>
      </c>
      <c r="H18" s="48">
        <v>412.76</v>
      </c>
      <c r="I18" s="48">
        <v>334.9</v>
      </c>
      <c r="J18" s="49">
        <v>0.44793087767166895</v>
      </c>
    </row>
    <row r="19" spans="1:10" s="50" customFormat="1" ht="17" customHeight="1" x14ac:dyDescent="0.35">
      <c r="A19" s="51"/>
      <c r="B19" s="52">
        <v>33997</v>
      </c>
      <c r="C19" s="51" t="s">
        <v>39</v>
      </c>
      <c r="D19" s="53">
        <v>30</v>
      </c>
      <c r="E19" s="54">
        <v>14.99</v>
      </c>
      <c r="F19" s="54">
        <v>7.62</v>
      </c>
      <c r="G19" s="55">
        <v>449.7</v>
      </c>
      <c r="H19" s="55">
        <v>228.6</v>
      </c>
      <c r="I19" s="55">
        <v>221.1</v>
      </c>
      <c r="J19" s="56">
        <v>0.49166110740493663</v>
      </c>
    </row>
    <row r="20" spans="1:10" s="50" customFormat="1" ht="17" customHeight="1" x14ac:dyDescent="0.35">
      <c r="A20" s="45"/>
      <c r="B20" s="44">
        <v>34023</v>
      </c>
      <c r="C20" s="45" t="s">
        <v>48</v>
      </c>
      <c r="D20" s="46">
        <v>28</v>
      </c>
      <c r="E20" s="47">
        <v>6.99</v>
      </c>
      <c r="F20" s="47">
        <v>2.85</v>
      </c>
      <c r="G20" s="48">
        <v>195.72</v>
      </c>
      <c r="H20" s="48">
        <v>79.8</v>
      </c>
      <c r="I20" s="48">
        <v>115.92</v>
      </c>
      <c r="J20" s="49">
        <v>0.59227467811158796</v>
      </c>
    </row>
    <row r="21" spans="1:10" s="50" customFormat="1" ht="17" customHeight="1" x14ac:dyDescent="0.35">
      <c r="A21" s="51"/>
      <c r="B21" s="52">
        <v>34022</v>
      </c>
      <c r="C21" s="51" t="s">
        <v>54</v>
      </c>
      <c r="D21" s="53">
        <v>24</v>
      </c>
      <c r="E21" s="54">
        <v>5.99</v>
      </c>
      <c r="F21" s="54">
        <v>2.72</v>
      </c>
      <c r="G21" s="55">
        <v>143.76</v>
      </c>
      <c r="H21" s="55">
        <v>65.28</v>
      </c>
      <c r="I21" s="55">
        <v>78.47999999999999</v>
      </c>
      <c r="J21" s="56">
        <v>0.54590984974958257</v>
      </c>
    </row>
    <row r="22" spans="1:10" s="50" customFormat="1" ht="17" customHeight="1" x14ac:dyDescent="0.35">
      <c r="A22" s="45"/>
      <c r="B22" s="44">
        <v>61947</v>
      </c>
      <c r="C22" s="45" t="s">
        <v>42</v>
      </c>
      <c r="D22" s="46">
        <v>8</v>
      </c>
      <c r="E22" s="47">
        <v>28.99</v>
      </c>
      <c r="F22" s="47">
        <v>8.93</v>
      </c>
      <c r="G22" s="48">
        <v>231.92</v>
      </c>
      <c r="H22" s="48">
        <v>71.44</v>
      </c>
      <c r="I22" s="48">
        <v>160.47999999999999</v>
      </c>
      <c r="J22" s="49">
        <v>0.69196274577440497</v>
      </c>
    </row>
    <row r="23" spans="1:10" s="50" customFormat="1" ht="17" customHeight="1" x14ac:dyDescent="0.35">
      <c r="A23" s="51"/>
      <c r="B23" s="52">
        <v>32067</v>
      </c>
      <c r="C23" s="51" t="s">
        <v>29</v>
      </c>
      <c r="D23" s="53">
        <v>8</v>
      </c>
      <c r="E23" s="54">
        <v>34.99</v>
      </c>
      <c r="F23" s="54">
        <v>15.91</v>
      </c>
      <c r="G23" s="55">
        <v>279.92</v>
      </c>
      <c r="H23" s="55">
        <v>127.28</v>
      </c>
      <c r="I23" s="55">
        <v>152.64000000000001</v>
      </c>
      <c r="J23" s="56">
        <v>0.54529865675907407</v>
      </c>
    </row>
    <row r="24" spans="1:10" s="50" customFormat="1" ht="17" customHeight="1" x14ac:dyDescent="0.35">
      <c r="A24" s="45"/>
      <c r="B24" s="44">
        <v>34053</v>
      </c>
      <c r="C24" s="45" t="s">
        <v>57</v>
      </c>
      <c r="D24" s="46">
        <v>6</v>
      </c>
      <c r="E24" s="47">
        <v>15.99</v>
      </c>
      <c r="F24" s="47">
        <v>6.74</v>
      </c>
      <c r="G24" s="48">
        <v>95.94</v>
      </c>
      <c r="H24" s="48">
        <v>40.44</v>
      </c>
      <c r="I24" s="48">
        <v>55.5</v>
      </c>
      <c r="J24" s="49">
        <v>0.57848655409631022</v>
      </c>
    </row>
    <row r="25" spans="1:10" s="50" customFormat="1" ht="17" customHeight="1" x14ac:dyDescent="0.35">
      <c r="A25" s="51"/>
      <c r="B25" s="52">
        <v>32062</v>
      </c>
      <c r="C25" s="51" t="s">
        <v>51</v>
      </c>
      <c r="D25" s="53">
        <v>6</v>
      </c>
      <c r="E25" s="54">
        <v>24.99</v>
      </c>
      <c r="F25" s="54">
        <v>9.68</v>
      </c>
      <c r="G25" s="55">
        <v>149.94</v>
      </c>
      <c r="H25" s="55">
        <v>58.08</v>
      </c>
      <c r="I25" s="55">
        <v>91.86</v>
      </c>
      <c r="J25" s="56">
        <v>0.61264505802320934</v>
      </c>
    </row>
    <row r="26" spans="1:10" s="50" customFormat="1" ht="17" customHeight="1" x14ac:dyDescent="0.35">
      <c r="A26" s="45"/>
      <c r="B26" s="44">
        <v>32063</v>
      </c>
      <c r="C26" s="45" t="s">
        <v>52</v>
      </c>
      <c r="D26" s="46">
        <v>6</v>
      </c>
      <c r="E26" s="47">
        <v>19.989999999999998</v>
      </c>
      <c r="F26" s="47">
        <v>8.5</v>
      </c>
      <c r="G26" s="48">
        <v>119.94</v>
      </c>
      <c r="H26" s="48">
        <v>51</v>
      </c>
      <c r="I26" s="48">
        <v>68.94</v>
      </c>
      <c r="J26" s="49">
        <v>0.57478739369684839</v>
      </c>
    </row>
    <row r="27" spans="1:10" s="50" customFormat="1" ht="17" customHeight="1" x14ac:dyDescent="0.35">
      <c r="A27" s="51"/>
      <c r="B27" s="52">
        <v>34011</v>
      </c>
      <c r="C27" s="51" t="s">
        <v>66</v>
      </c>
      <c r="D27" s="53">
        <v>6</v>
      </c>
      <c r="E27" s="54">
        <v>19.989999999999998</v>
      </c>
      <c r="F27" s="54">
        <v>2.63</v>
      </c>
      <c r="G27" s="55">
        <v>119.94</v>
      </c>
      <c r="H27" s="55">
        <v>15.78</v>
      </c>
      <c r="I27" s="55">
        <v>104.16</v>
      </c>
      <c r="J27" s="56">
        <v>0.86843421710855428</v>
      </c>
    </row>
    <row r="28" spans="1:10" s="50" customFormat="1" ht="17" customHeight="1" x14ac:dyDescent="0.35">
      <c r="A28" s="57" t="s">
        <v>299</v>
      </c>
      <c r="B28" s="58"/>
      <c r="C28" s="58"/>
      <c r="D28" s="59">
        <v>2075.666666666667</v>
      </c>
      <c r="E28" s="60">
        <v>471.27000000000015</v>
      </c>
      <c r="F28" s="60">
        <v>213.20887500000003</v>
      </c>
      <c r="G28" s="61">
        <v>30989.163333333338</v>
      </c>
      <c r="H28" s="61">
        <v>15888.698000000002</v>
      </c>
      <c r="I28" s="61">
        <v>15100.465333333339</v>
      </c>
      <c r="J28" s="62">
        <v>0.48728212410596433</v>
      </c>
    </row>
    <row r="29" spans="1:10" s="50" customFormat="1" ht="17" customHeight="1" x14ac:dyDescent="0.35">
      <c r="A29" s="43">
        <v>102</v>
      </c>
      <c r="B29" s="44">
        <v>52943</v>
      </c>
      <c r="C29" s="45" t="s">
        <v>90</v>
      </c>
      <c r="D29" s="46">
        <v>213</v>
      </c>
      <c r="E29" s="47">
        <v>31.99</v>
      </c>
      <c r="F29" s="47">
        <v>15.17</v>
      </c>
      <c r="G29" s="48">
        <v>6813.87</v>
      </c>
      <c r="H29" s="48">
        <v>3231.21</v>
      </c>
      <c r="I29" s="48">
        <v>3582.66</v>
      </c>
      <c r="J29" s="49">
        <v>0.52578930915911226</v>
      </c>
    </row>
    <row r="30" spans="1:10" s="50" customFormat="1" ht="17" customHeight="1" x14ac:dyDescent="0.35">
      <c r="A30" s="51"/>
      <c r="B30" s="52">
        <v>32127</v>
      </c>
      <c r="C30" s="51" t="s">
        <v>92</v>
      </c>
      <c r="D30" s="53">
        <v>32</v>
      </c>
      <c r="E30" s="54">
        <v>11.99</v>
      </c>
      <c r="F30" s="54">
        <v>6.02</v>
      </c>
      <c r="G30" s="55">
        <v>383.68</v>
      </c>
      <c r="H30" s="55">
        <v>192.64</v>
      </c>
      <c r="I30" s="55">
        <v>191.04000000000002</v>
      </c>
      <c r="J30" s="56">
        <v>0.49791492910758972</v>
      </c>
    </row>
    <row r="31" spans="1:10" s="50" customFormat="1" ht="17" customHeight="1" x14ac:dyDescent="0.35">
      <c r="A31" s="45"/>
      <c r="B31" s="44">
        <v>61939</v>
      </c>
      <c r="C31" s="45" t="s">
        <v>101</v>
      </c>
      <c r="D31" s="46">
        <v>24</v>
      </c>
      <c r="E31" s="47">
        <v>10</v>
      </c>
      <c r="F31" s="47">
        <v>5.09</v>
      </c>
      <c r="G31" s="48">
        <v>240</v>
      </c>
      <c r="H31" s="48">
        <v>122.16</v>
      </c>
      <c r="I31" s="48">
        <v>117.84</v>
      </c>
      <c r="J31" s="49">
        <v>0.49099999999999999</v>
      </c>
    </row>
    <row r="32" spans="1:10" s="50" customFormat="1" ht="17" customHeight="1" x14ac:dyDescent="0.35">
      <c r="A32" s="51"/>
      <c r="B32" s="52">
        <v>33995</v>
      </c>
      <c r="C32" s="51" t="s">
        <v>91</v>
      </c>
      <c r="D32" s="53">
        <v>16</v>
      </c>
      <c r="E32" s="54">
        <v>15.99</v>
      </c>
      <c r="F32" s="54">
        <v>8.2200000000000006</v>
      </c>
      <c r="G32" s="55">
        <v>255.84</v>
      </c>
      <c r="H32" s="55">
        <v>131.52000000000001</v>
      </c>
      <c r="I32" s="55">
        <v>124.32</v>
      </c>
      <c r="J32" s="56">
        <v>0.48592870544090055</v>
      </c>
    </row>
    <row r="33" spans="1:10" s="50" customFormat="1" ht="17" customHeight="1" x14ac:dyDescent="0.35">
      <c r="A33" s="45"/>
      <c r="B33" s="44">
        <v>42990</v>
      </c>
      <c r="C33" s="45" t="s">
        <v>93</v>
      </c>
      <c r="D33" s="46">
        <v>16</v>
      </c>
      <c r="E33" s="47">
        <v>19.989999999999998</v>
      </c>
      <c r="F33" s="47">
        <v>10.85</v>
      </c>
      <c r="G33" s="48">
        <v>319.83999999999997</v>
      </c>
      <c r="H33" s="48">
        <v>173.6</v>
      </c>
      <c r="I33" s="48">
        <v>146.23999999999998</v>
      </c>
      <c r="J33" s="49">
        <v>0.45722861430715356</v>
      </c>
    </row>
    <row r="34" spans="1:10" s="50" customFormat="1" ht="17" customHeight="1" x14ac:dyDescent="0.35">
      <c r="A34" s="51"/>
      <c r="B34" s="52">
        <v>61938</v>
      </c>
      <c r="C34" s="51" t="s">
        <v>124</v>
      </c>
      <c r="D34" s="53">
        <v>12</v>
      </c>
      <c r="E34" s="54">
        <v>10</v>
      </c>
      <c r="F34" s="54">
        <v>3.43</v>
      </c>
      <c r="G34" s="55">
        <v>120</v>
      </c>
      <c r="H34" s="55">
        <v>41.160000000000004</v>
      </c>
      <c r="I34" s="55">
        <v>78.84</v>
      </c>
      <c r="J34" s="56">
        <v>0.65700000000000003</v>
      </c>
    </row>
    <row r="35" spans="1:10" s="50" customFormat="1" ht="17" customHeight="1" x14ac:dyDescent="0.35">
      <c r="A35" s="45"/>
      <c r="B35" s="44">
        <v>34008</v>
      </c>
      <c r="C35" s="45" t="s">
        <v>104</v>
      </c>
      <c r="D35" s="46">
        <v>12</v>
      </c>
      <c r="E35" s="47">
        <v>5.99</v>
      </c>
      <c r="F35" s="47">
        <v>4.32</v>
      </c>
      <c r="G35" s="48">
        <v>71.88</v>
      </c>
      <c r="H35" s="48">
        <v>51.84</v>
      </c>
      <c r="I35" s="48">
        <v>20.039999999999992</v>
      </c>
      <c r="J35" s="49">
        <v>0.27879799666110172</v>
      </c>
    </row>
    <row r="36" spans="1:10" s="50" customFormat="1" ht="17" customHeight="1" x14ac:dyDescent="0.35">
      <c r="A36" s="51"/>
      <c r="B36" s="52">
        <v>61937</v>
      </c>
      <c r="C36" s="51" t="s">
        <v>122</v>
      </c>
      <c r="D36" s="53">
        <v>10</v>
      </c>
      <c r="E36" s="54">
        <v>10</v>
      </c>
      <c r="F36" s="54">
        <v>2.67</v>
      </c>
      <c r="G36" s="55">
        <v>100</v>
      </c>
      <c r="H36" s="55">
        <v>26.7</v>
      </c>
      <c r="I36" s="55">
        <v>73.3</v>
      </c>
      <c r="J36" s="56">
        <v>0.73299999999999998</v>
      </c>
    </row>
    <row r="37" spans="1:10" s="50" customFormat="1" ht="17" customHeight="1" x14ac:dyDescent="0.35">
      <c r="A37" s="45"/>
      <c r="B37" s="44">
        <v>42797</v>
      </c>
      <c r="C37" s="45" t="s">
        <v>99</v>
      </c>
      <c r="D37" s="46">
        <v>10</v>
      </c>
      <c r="E37" s="47">
        <v>23.98</v>
      </c>
      <c r="F37" s="47">
        <v>9.9600000000000009</v>
      </c>
      <c r="G37" s="48">
        <v>119.9</v>
      </c>
      <c r="H37" s="48">
        <v>51.2</v>
      </c>
      <c r="I37" s="48">
        <v>68.7</v>
      </c>
      <c r="J37" s="49">
        <v>0.57297748123436198</v>
      </c>
    </row>
    <row r="38" spans="1:10" s="50" customFormat="1" ht="17" customHeight="1" x14ac:dyDescent="0.35">
      <c r="A38" s="51"/>
      <c r="B38" s="52">
        <v>32131</v>
      </c>
      <c r="C38" s="51" t="s">
        <v>94</v>
      </c>
      <c r="D38" s="53">
        <v>8</v>
      </c>
      <c r="E38" s="54">
        <v>18.989999999999998</v>
      </c>
      <c r="F38" s="54">
        <v>9.1300000000000008</v>
      </c>
      <c r="G38" s="55">
        <v>151.91999999999999</v>
      </c>
      <c r="H38" s="55">
        <v>73.040000000000006</v>
      </c>
      <c r="I38" s="55">
        <v>78.879999999999981</v>
      </c>
      <c r="J38" s="56">
        <v>0.51922064244339117</v>
      </c>
    </row>
    <row r="39" spans="1:10" s="50" customFormat="1" ht="17" customHeight="1" x14ac:dyDescent="0.35">
      <c r="A39" s="45"/>
      <c r="B39" s="44">
        <v>33031</v>
      </c>
      <c r="C39" s="45" t="s">
        <v>97</v>
      </c>
      <c r="D39" s="46">
        <v>8</v>
      </c>
      <c r="E39" s="47">
        <v>17.989999999999998</v>
      </c>
      <c r="F39" s="47">
        <v>9.1199999999999992</v>
      </c>
      <c r="G39" s="48">
        <v>143.91999999999999</v>
      </c>
      <c r="H39" s="48">
        <v>72.959999999999994</v>
      </c>
      <c r="I39" s="48">
        <v>70.959999999999994</v>
      </c>
      <c r="J39" s="49">
        <v>0.49305169538632576</v>
      </c>
    </row>
    <row r="40" spans="1:10" s="50" customFormat="1" ht="17" customHeight="1" x14ac:dyDescent="0.35">
      <c r="A40" s="51"/>
      <c r="B40" s="52">
        <v>32872</v>
      </c>
      <c r="C40" s="51" t="s">
        <v>98</v>
      </c>
      <c r="D40" s="53">
        <v>8</v>
      </c>
      <c r="E40" s="54">
        <v>39.99</v>
      </c>
      <c r="F40" s="54">
        <v>11.79</v>
      </c>
      <c r="G40" s="55">
        <v>319.92</v>
      </c>
      <c r="H40" s="55">
        <v>94.32</v>
      </c>
      <c r="I40" s="55">
        <v>225.60000000000002</v>
      </c>
      <c r="J40" s="56">
        <v>0.70517629407351845</v>
      </c>
    </row>
    <row r="41" spans="1:10" s="50" customFormat="1" ht="17" customHeight="1" x14ac:dyDescent="0.35">
      <c r="A41" s="45"/>
      <c r="B41" s="44">
        <v>32152</v>
      </c>
      <c r="C41" s="45" t="s">
        <v>100</v>
      </c>
      <c r="D41" s="46">
        <v>6</v>
      </c>
      <c r="E41" s="47">
        <v>12.99</v>
      </c>
      <c r="F41" s="47">
        <v>6.77</v>
      </c>
      <c r="G41" s="48">
        <v>77.94</v>
      </c>
      <c r="H41" s="48">
        <v>40.619999999999997</v>
      </c>
      <c r="I41" s="48">
        <v>37.32</v>
      </c>
      <c r="J41" s="49">
        <v>0.47882986913010012</v>
      </c>
    </row>
    <row r="42" spans="1:10" s="50" customFormat="1" ht="17" customHeight="1" x14ac:dyDescent="0.35">
      <c r="A42" s="51"/>
      <c r="B42" s="52">
        <v>32855</v>
      </c>
      <c r="C42" s="51" t="s">
        <v>110</v>
      </c>
      <c r="D42" s="53">
        <v>6</v>
      </c>
      <c r="E42" s="54">
        <v>17.989999999999998</v>
      </c>
      <c r="F42" s="54">
        <v>9.14</v>
      </c>
      <c r="G42" s="55">
        <v>107.94</v>
      </c>
      <c r="H42" s="55">
        <v>54.84</v>
      </c>
      <c r="I42" s="55">
        <v>53.099999999999994</v>
      </c>
      <c r="J42" s="56">
        <v>0.49193996664813783</v>
      </c>
    </row>
    <row r="43" spans="1:10" s="50" customFormat="1" ht="17" customHeight="1" x14ac:dyDescent="0.35">
      <c r="A43" s="45"/>
      <c r="B43" s="44">
        <v>39422</v>
      </c>
      <c r="C43" s="45" t="s">
        <v>120</v>
      </c>
      <c r="D43" s="46">
        <v>6</v>
      </c>
      <c r="E43" s="47">
        <v>15.99</v>
      </c>
      <c r="F43" s="47">
        <v>8.3000000000000007</v>
      </c>
      <c r="G43" s="48">
        <v>95.94</v>
      </c>
      <c r="H43" s="48">
        <v>49.800000000000004</v>
      </c>
      <c r="I43" s="48">
        <v>46.139999999999993</v>
      </c>
      <c r="J43" s="49">
        <v>0.48092557848655404</v>
      </c>
    </row>
    <row r="44" spans="1:10" s="50" customFormat="1" ht="17" customHeight="1" x14ac:dyDescent="0.35">
      <c r="A44" s="51"/>
      <c r="B44" s="52">
        <v>55481</v>
      </c>
      <c r="C44" s="51" t="s">
        <v>105</v>
      </c>
      <c r="D44" s="53">
        <v>6</v>
      </c>
      <c r="E44" s="54">
        <v>11.99</v>
      </c>
      <c r="F44" s="54">
        <v>5.0999999999999996</v>
      </c>
      <c r="G44" s="55">
        <v>71.94</v>
      </c>
      <c r="H44" s="55">
        <v>30.599999999999998</v>
      </c>
      <c r="I44" s="55">
        <v>41.34</v>
      </c>
      <c r="J44" s="56">
        <v>0.57464553794829032</v>
      </c>
    </row>
    <row r="45" spans="1:10" s="50" customFormat="1" ht="17" customHeight="1" x14ac:dyDescent="0.35">
      <c r="A45" s="45"/>
      <c r="B45" s="44">
        <v>34015</v>
      </c>
      <c r="C45" s="45" t="s">
        <v>106</v>
      </c>
      <c r="D45" s="46">
        <v>6</v>
      </c>
      <c r="E45" s="47">
        <v>29.99</v>
      </c>
      <c r="F45" s="47">
        <v>3.1788888888888902</v>
      </c>
      <c r="G45" s="48">
        <v>179.94</v>
      </c>
      <c r="H45" s="48">
        <v>19.073333333333341</v>
      </c>
      <c r="I45" s="48">
        <v>160.86666666666665</v>
      </c>
      <c r="J45" s="49">
        <v>0.89400170427179415</v>
      </c>
    </row>
    <row r="46" spans="1:10" s="50" customFormat="1" ht="17" customHeight="1" x14ac:dyDescent="0.35">
      <c r="A46" s="57" t="s">
        <v>300</v>
      </c>
      <c r="B46" s="58"/>
      <c r="C46" s="58"/>
      <c r="D46" s="59">
        <v>399</v>
      </c>
      <c r="E46" s="60">
        <v>305.85000000000002</v>
      </c>
      <c r="F46" s="60">
        <v>128.25888888888889</v>
      </c>
      <c r="G46" s="61">
        <v>9574.4700000000012</v>
      </c>
      <c r="H46" s="61">
        <v>4457.2833333333338</v>
      </c>
      <c r="I46" s="61">
        <v>5117.1866666666674</v>
      </c>
      <c r="J46" s="62">
        <v>0.53446161162619621</v>
      </c>
    </row>
    <row r="47" spans="1:10" s="50" customFormat="1" ht="17" customHeight="1" x14ac:dyDescent="0.35">
      <c r="A47" s="63">
        <v>104</v>
      </c>
      <c r="B47" s="52">
        <v>34095</v>
      </c>
      <c r="C47" s="51" t="s">
        <v>235</v>
      </c>
      <c r="D47" s="53">
        <v>15</v>
      </c>
      <c r="E47" s="54">
        <v>29.99</v>
      </c>
      <c r="F47" s="54">
        <v>12.52</v>
      </c>
      <c r="G47" s="55">
        <v>449.84999999999997</v>
      </c>
      <c r="H47" s="55">
        <v>187.79999999999998</v>
      </c>
      <c r="I47" s="55">
        <v>262.04999999999995</v>
      </c>
      <c r="J47" s="56">
        <v>0.58252750916972318</v>
      </c>
    </row>
    <row r="48" spans="1:10" s="50" customFormat="1" ht="17" customHeight="1" x14ac:dyDescent="0.35">
      <c r="A48" s="45"/>
      <c r="B48" s="44">
        <v>34083</v>
      </c>
      <c r="C48" s="45" t="s">
        <v>233</v>
      </c>
      <c r="D48" s="46">
        <v>10</v>
      </c>
      <c r="E48" s="47">
        <v>49.99</v>
      </c>
      <c r="F48" s="47">
        <v>13.76</v>
      </c>
      <c r="G48" s="48">
        <v>499.90000000000003</v>
      </c>
      <c r="H48" s="48">
        <v>137.6</v>
      </c>
      <c r="I48" s="48">
        <v>362.30000000000007</v>
      </c>
      <c r="J48" s="49">
        <v>0.72474494898979802</v>
      </c>
    </row>
    <row r="49" spans="1:10" s="50" customFormat="1" ht="17" customHeight="1" x14ac:dyDescent="0.35">
      <c r="A49" s="51"/>
      <c r="B49" s="52">
        <v>34082</v>
      </c>
      <c r="C49" s="51" t="s">
        <v>237</v>
      </c>
      <c r="D49" s="53">
        <v>5</v>
      </c>
      <c r="E49" s="54">
        <v>49.99</v>
      </c>
      <c r="F49" s="54">
        <v>24.65</v>
      </c>
      <c r="G49" s="55">
        <v>249.95000000000002</v>
      </c>
      <c r="H49" s="55">
        <v>123.25</v>
      </c>
      <c r="I49" s="55">
        <v>126.70000000000002</v>
      </c>
      <c r="J49" s="56">
        <v>0.50690138027605525</v>
      </c>
    </row>
    <row r="50" spans="1:10" s="50" customFormat="1" ht="17" customHeight="1" x14ac:dyDescent="0.35">
      <c r="A50" s="45"/>
      <c r="B50" s="44">
        <v>34079</v>
      </c>
      <c r="C50" s="45" t="s">
        <v>236</v>
      </c>
      <c r="D50" s="46">
        <v>3</v>
      </c>
      <c r="E50" s="47">
        <v>49.99</v>
      </c>
      <c r="F50" s="47">
        <v>25.03</v>
      </c>
      <c r="G50" s="48">
        <v>149.97</v>
      </c>
      <c r="H50" s="48">
        <v>75.09</v>
      </c>
      <c r="I50" s="48">
        <v>74.88</v>
      </c>
      <c r="J50" s="49">
        <v>0.49929985997199439</v>
      </c>
    </row>
    <row r="51" spans="1:10" s="50" customFormat="1" ht="17" customHeight="1" x14ac:dyDescent="0.35">
      <c r="A51" s="57" t="s">
        <v>301</v>
      </c>
      <c r="B51" s="58"/>
      <c r="C51" s="58"/>
      <c r="D51" s="59">
        <v>33</v>
      </c>
      <c r="E51" s="60">
        <v>179.96</v>
      </c>
      <c r="F51" s="60">
        <v>75.959999999999994</v>
      </c>
      <c r="G51" s="61">
        <v>1349.67</v>
      </c>
      <c r="H51" s="61">
        <v>523.74</v>
      </c>
      <c r="I51" s="61">
        <v>825.93000000000006</v>
      </c>
      <c r="J51" s="62">
        <v>0.61194958767698771</v>
      </c>
    </row>
    <row r="52" spans="1:10" s="50" customFormat="1" ht="17" customHeight="1" x14ac:dyDescent="0.35">
      <c r="A52" s="63">
        <v>106</v>
      </c>
      <c r="B52" s="52">
        <v>54018</v>
      </c>
      <c r="C52" s="51" t="s">
        <v>243</v>
      </c>
      <c r="D52" s="53">
        <v>93</v>
      </c>
      <c r="E52" s="54">
        <v>18.989999999999998</v>
      </c>
      <c r="F52" s="54">
        <v>9.83</v>
      </c>
      <c r="G52" s="55">
        <v>1766.07</v>
      </c>
      <c r="H52" s="55">
        <v>914.19</v>
      </c>
      <c r="I52" s="55">
        <v>851.87999999999988</v>
      </c>
      <c r="J52" s="56">
        <v>0.48235913638757233</v>
      </c>
    </row>
    <row r="53" spans="1:10" s="50" customFormat="1" ht="17" customHeight="1" x14ac:dyDescent="0.35">
      <c r="A53" s="57" t="s">
        <v>302</v>
      </c>
      <c r="B53" s="58"/>
      <c r="C53" s="58"/>
      <c r="D53" s="59">
        <v>93</v>
      </c>
      <c r="E53" s="60">
        <v>18.989999999999998</v>
      </c>
      <c r="F53" s="60">
        <v>9.83</v>
      </c>
      <c r="G53" s="61">
        <v>1766.07</v>
      </c>
      <c r="H53" s="61">
        <v>914.19</v>
      </c>
      <c r="I53" s="61">
        <v>851.87999999999988</v>
      </c>
      <c r="J53" s="62">
        <v>0.48235913638757233</v>
      </c>
    </row>
    <row r="54" spans="1:10" s="50" customFormat="1" ht="17" customHeight="1" x14ac:dyDescent="0.35">
      <c r="A54" s="43">
        <v>117</v>
      </c>
      <c r="B54" s="44">
        <v>34034</v>
      </c>
      <c r="C54" s="45" t="s">
        <v>253</v>
      </c>
      <c r="D54" s="46">
        <v>24</v>
      </c>
      <c r="E54" s="47">
        <v>19.989999999999998</v>
      </c>
      <c r="F54" s="47">
        <v>8.43</v>
      </c>
      <c r="G54" s="48">
        <v>479.76</v>
      </c>
      <c r="H54" s="48">
        <v>202.32</v>
      </c>
      <c r="I54" s="48">
        <v>277.44</v>
      </c>
      <c r="J54" s="49">
        <v>0.5782891445722862</v>
      </c>
    </row>
    <row r="55" spans="1:10" s="50" customFormat="1" ht="17" customHeight="1" x14ac:dyDescent="0.35">
      <c r="A55" s="51"/>
      <c r="B55" s="52">
        <v>41620</v>
      </c>
      <c r="C55" s="51" t="s">
        <v>255</v>
      </c>
      <c r="D55" s="53">
        <v>6</v>
      </c>
      <c r="E55" s="54">
        <v>15.99</v>
      </c>
      <c r="F55" s="54">
        <v>8.11</v>
      </c>
      <c r="G55" s="55">
        <v>95.94</v>
      </c>
      <c r="H55" s="55">
        <v>48.66</v>
      </c>
      <c r="I55" s="55">
        <v>47.28</v>
      </c>
      <c r="J55" s="56">
        <v>0.49280800500312699</v>
      </c>
    </row>
    <row r="56" spans="1:10" s="50" customFormat="1" ht="17" customHeight="1" x14ac:dyDescent="0.35">
      <c r="A56" s="57" t="s">
        <v>303</v>
      </c>
      <c r="B56" s="58"/>
      <c r="C56" s="58"/>
      <c r="D56" s="59">
        <v>30</v>
      </c>
      <c r="E56" s="60">
        <v>35.979999999999997</v>
      </c>
      <c r="F56" s="60">
        <v>16.54</v>
      </c>
      <c r="G56" s="61">
        <v>575.70000000000005</v>
      </c>
      <c r="H56" s="61">
        <v>250.98</v>
      </c>
      <c r="I56" s="61">
        <v>324.72000000000003</v>
      </c>
      <c r="J56" s="62">
        <v>0.56404377279833251</v>
      </c>
    </row>
    <row r="57" spans="1:10" s="50" customFormat="1" ht="17" customHeight="1" x14ac:dyDescent="0.35">
      <c r="A57" s="64" t="s">
        <v>298</v>
      </c>
      <c r="B57" s="65"/>
      <c r="C57" s="65"/>
      <c r="D57" s="66">
        <v>2630.666666666667</v>
      </c>
      <c r="E57" s="67">
        <v>1012.0500000000003</v>
      </c>
      <c r="F57" s="67">
        <v>443.79776388888899</v>
      </c>
      <c r="G57" s="68">
        <v>44255.073333333334</v>
      </c>
      <c r="H57" s="68">
        <v>22034.891333333329</v>
      </c>
      <c r="I57" s="68">
        <v>22220.182000000004</v>
      </c>
      <c r="J57" s="69">
        <v>0.50209343983311305</v>
      </c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836E-8E45-4433-B201-8079AB47EA25}">
  <sheetPr codeName="Sheet5"/>
  <dimension ref="A1"/>
  <sheetViews>
    <sheetView workbookViewId="0"/>
  </sheetViews>
  <sheetFormatPr defaultRowHeight="13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725C-D2FD-491E-9638-8A6C6C48199F}">
  <dimension ref="A1"/>
  <sheetViews>
    <sheetView workbookViewId="0"/>
  </sheetViews>
  <sheetFormatPr defaultRowHeight="13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Bake_prod</vt:lpstr>
      <vt:lpstr>All bakery products</vt:lpstr>
      <vt:lpstr>Actuals</vt:lpstr>
      <vt:lpstr>Merged data (2)</vt:lpstr>
      <vt:lpstr>Merged data</vt:lpstr>
      <vt:lpstr>Actuals data</vt:lpstr>
      <vt:lpstr>Actuals Unpivoted</vt:lpstr>
      <vt:lpstr>Pivot Production plan</vt:lpstr>
      <vt:lpstr>Macro Instructions</vt:lpstr>
      <vt:lpstr>Sheet3</vt:lpstr>
      <vt:lpstr>Bake_prod</vt:lpstr>
      <vt:lpstr>'Pivot Production plan'!Print_Area</vt:lpstr>
      <vt:lpstr>'Pivot Production plan'!Print_Titles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2026-06-17T10:35:19Z</cp:lastPrinted>
  <dcterms:created xsi:type="dcterms:W3CDTF">2026-06-16T15:56:46Z</dcterms:created>
  <dcterms:modified xsi:type="dcterms:W3CDTF">2026-06-17T16:04:24Z</dcterms:modified>
</cp:coreProperties>
</file>
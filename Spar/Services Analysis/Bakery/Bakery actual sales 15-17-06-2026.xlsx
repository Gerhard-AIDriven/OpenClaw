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13_ncr:80000009_{EA5BBF3C-FFDB-401A-A548-DB9BBB09FF00}" xr6:coauthVersionLast="47" xr6:coauthVersionMax="47" xr10:uidLastSave="{00000000-0000-0000-0000-000000000000}"/>
  <bookViews>
    <workbookView xWindow="-110" yWindow="-110" windowWidth="19420" windowHeight="10300" xr2:uid="{5935B6B6-3BDA-407D-8ADB-6883168E6327}"/>
  </bookViews>
  <sheets>
    <sheet name="Sheet1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1" l="1" a="1"/>
  <c r="R19" i="1" s="1"/>
  <c r="R18" i="1" a="1"/>
  <c r="R18" i="1" s="1"/>
  <c r="R17" i="1" a="1"/>
  <c r="R17" i="1" s="1"/>
  <c r="R16" i="1" a="1"/>
  <c r="R16" i="1" s="1"/>
  <c r="R15" i="1" a="1"/>
  <c r="R15" i="1" s="1"/>
  <c r="R14" i="1" a="1"/>
  <c r="R14" i="1" s="1"/>
  <c r="R13" i="1" a="1"/>
  <c r="R13" i="1" s="1"/>
  <c r="R12" i="1" a="1"/>
  <c r="R12" i="1" s="1"/>
  <c r="R11" i="1" a="1"/>
  <c r="R11" i="1" s="1"/>
  <c r="R10" i="1" a="1"/>
  <c r="R10" i="1" s="1"/>
  <c r="R9" i="1" a="1"/>
  <c r="R9" i="1" s="1"/>
  <c r="R8" i="1" a="1"/>
  <c r="R8" i="1" s="1"/>
  <c r="R7" i="1" a="1"/>
  <c r="R7" i="1" s="1"/>
  <c r="R6" i="1" a="1"/>
  <c r="R6" i="1" s="1"/>
  <c r="R5" i="1" a="1"/>
  <c r="R5" i="1" s="1"/>
  <c r="R4" i="1" a="1"/>
  <c r="R4" i="1" s="1"/>
  <c r="R3" i="1" a="1"/>
  <c r="R3" i="1" s="1"/>
  <c r="Q19" i="1" a="1"/>
  <c r="Q19" i="1" s="1"/>
  <c r="P19" i="1"/>
  <c r="O19" i="1"/>
  <c r="Q18" i="1" a="1"/>
  <c r="Q18" i="1" s="1"/>
  <c r="P18" i="1"/>
  <c r="O18" i="1"/>
  <c r="Q17" i="1" a="1"/>
  <c r="Q17" i="1" s="1"/>
  <c r="P17" i="1"/>
  <c r="O17" i="1"/>
  <c r="Q16" i="1" a="1"/>
  <c r="Q16" i="1" s="1"/>
  <c r="P16" i="1"/>
  <c r="O16" i="1"/>
  <c r="Q15" i="1" a="1"/>
  <c r="Q15" i="1" s="1"/>
  <c r="P15" i="1"/>
  <c r="O15" i="1"/>
  <c r="Q14" i="1" a="1"/>
  <c r="Q14" i="1" s="1"/>
  <c r="P14" i="1"/>
  <c r="O14" i="1"/>
  <c r="Q13" i="1" a="1"/>
  <c r="Q13" i="1" s="1"/>
  <c r="P13" i="1"/>
  <c r="O13" i="1"/>
  <c r="Q12" i="1" a="1"/>
  <c r="Q12" i="1" s="1"/>
  <c r="P12" i="1"/>
  <c r="O12" i="1"/>
  <c r="Q11" i="1" a="1"/>
  <c r="Q11" i="1" s="1"/>
  <c r="P11" i="1"/>
  <c r="O11" i="1"/>
  <c r="Q10" i="1" a="1"/>
  <c r="Q10" i="1" s="1"/>
  <c r="P10" i="1"/>
  <c r="O10" i="1"/>
  <c r="Q9" i="1" a="1"/>
  <c r="Q9" i="1" s="1"/>
  <c r="P9" i="1"/>
  <c r="O9" i="1"/>
  <c r="Q8" i="1" a="1"/>
  <c r="Q8" i="1" s="1"/>
  <c r="P8" i="1"/>
  <c r="O8" i="1"/>
  <c r="Q7" i="1" a="1"/>
  <c r="Q7" i="1" s="1"/>
  <c r="P7" i="1"/>
  <c r="O7" i="1"/>
  <c r="Q6" i="1" a="1"/>
  <c r="Q6" i="1" s="1"/>
  <c r="P6" i="1"/>
  <c r="O6" i="1"/>
  <c r="Q5" i="1" a="1"/>
  <c r="Q5" i="1" s="1"/>
  <c r="P5" i="1"/>
  <c r="O5" i="1"/>
  <c r="Q4" i="1" a="1"/>
  <c r="Q4" i="1" s="1"/>
  <c r="P4" i="1"/>
  <c r="O4" i="1"/>
  <c r="Q3" i="1" a="1"/>
  <c r="Q3" i="1" s="1"/>
  <c r="P3" i="1"/>
  <c r="O3" i="1"/>
  <c r="G29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<sst xmlns="http://schemas.openxmlformats.org/spreadsheetml/2006/main" count="608" uniqueCount="296">
  <si>
    <t>15/06/26</t>
  </si>
  <si>
    <t xml:space="preserve"> </t>
  </si>
  <si>
    <t>16/06/26</t>
  </si>
  <si>
    <t>17/06/26</t>
  </si>
  <si>
    <t>Supplier Name</t>
  </si>
  <si>
    <t>Sub-Department</t>
  </si>
  <si>
    <t>Product Code</t>
  </si>
  <si>
    <t>Product Description</t>
  </si>
  <si>
    <t>SP</t>
  </si>
  <si>
    <t>List Cost</t>
  </si>
  <si>
    <t>&lt; Sales excl. VAT</t>
  </si>
  <si>
    <t>Sales Quantity</t>
  </si>
  <si>
    <t>Sales excl. VAT</t>
  </si>
  <si>
    <t>BAKERY PRODUCTS</t>
  </si>
  <si>
    <t>WHITE BREAD STD</t>
  </si>
  <si>
    <t>BROWN BREAD STD</t>
  </si>
  <si>
    <t>OUMA BROOD</t>
  </si>
  <si>
    <t>HOTDOG ROLLS 6'S</t>
  </si>
  <si>
    <t>DOUGHNUT IMITATION CREAM</t>
  </si>
  <si>
    <t>HAMBURGER BUNS BULK</t>
  </si>
  <si>
    <t>FOCACCIA  CHICKEN MAYO</t>
  </si>
  <si>
    <t>SAGO PUDDING</t>
  </si>
  <si>
    <t>WHITE BREAD DOUGH</t>
  </si>
  <si>
    <t>FOCACCIA</t>
  </si>
  <si>
    <t>GOOSEBUMPS DISTR.(BREAD STOP)</t>
  </si>
  <si>
    <t>CHEESE BUNS 6'S</t>
  </si>
  <si>
    <t>HAMBURGER BUNS 6'S</t>
  </si>
  <si>
    <t>SLICE MILK TART</t>
  </si>
  <si>
    <t>BREAKFAST ROLL</t>
  </si>
  <si>
    <t>CARAMEL DOUGHNUT</t>
  </si>
  <si>
    <t>GANASH TOPPED  RING DOUGHNUT</t>
  </si>
  <si>
    <t>SMALL MALVA PUDDING</t>
  </si>
  <si>
    <t>TOMATO,ONION &amp; CHEESE SQUARE</t>
  </si>
  <si>
    <t>MALVA PUDDING MED</t>
  </si>
  <si>
    <t>BACON AVO &amp; FETA PIZZA</t>
  </si>
  <si>
    <t>CUSTARD BUNS 3'S</t>
  </si>
  <si>
    <t>HAWAIAN PIZZA</t>
  </si>
  <si>
    <t>CHICKEN MUSHROOM &amp; PEPPERDEW PIZZA</t>
  </si>
  <si>
    <t>CHEESE &amp; GARLIC ROLLS 6'S</t>
  </si>
  <si>
    <t>MOSBOLLE</t>
  </si>
  <si>
    <t>BEESTING ROLL</t>
  </si>
  <si>
    <t>CHOCOLATE ECLAIRS WITH IMM CREAM</t>
  </si>
  <si>
    <t>ROSSOUW D</t>
  </si>
  <si>
    <t>KOEKSISTERS MEDIUM</t>
  </si>
  <si>
    <t>C/TAIL ECLAIR</t>
  </si>
  <si>
    <t>SEEDED HAMBURGER ROLLS 6'S</t>
  </si>
  <si>
    <t>MEDITERRANEAN SQUARE</t>
  </si>
  <si>
    <t>DESSERT TOPPING VANILLA CAKE</t>
  </si>
  <si>
    <t>MEDIUM MILKTART</t>
  </si>
  <si>
    <t>DOUGHNUT CUSTARD</t>
  </si>
  <si>
    <t>MINI LOAF</t>
  </si>
  <si>
    <t>CONEY ROLL 6'S</t>
  </si>
  <si>
    <t>MINI OUMA BROOD</t>
  </si>
  <si>
    <t>BISCUITS 250G</t>
  </si>
  <si>
    <t>ECLAIRS CARAMEL</t>
  </si>
  <si>
    <t>DOUGHNUT RING C/TAIL</t>
  </si>
  <si>
    <t>BISCUIT GINGER 1KG</t>
  </si>
  <si>
    <t>RAISIN BREAD</t>
  </si>
  <si>
    <t>FRENCH LOAF</t>
  </si>
  <si>
    <t>BREAD SLICES</t>
  </si>
  <si>
    <t>DUMPIE WHITE BREAD</t>
  </si>
  <si>
    <t>CHEESE BUNS</t>
  </si>
  <si>
    <t>SCHOOL BUN 8'S</t>
  </si>
  <si>
    <t>DUMPIE BROWN BREAD</t>
  </si>
  <si>
    <t>CUSTARD DELIGHT</t>
  </si>
  <si>
    <t>VETKOEK COCKTAIL</t>
  </si>
  <si>
    <t>VECTOR LOG.(PTY)LTD GOOSEBUMPS</t>
  </si>
  <si>
    <t>HOTDOG ROLLS</t>
  </si>
  <si>
    <t>HAMBURGER BUNS</t>
  </si>
  <si>
    <t>PIZZA SLICE</t>
  </si>
  <si>
    <t>SCOTCH PANCAKS</t>
  </si>
  <si>
    <t>CREAM HORN</t>
  </si>
  <si>
    <t>BREAD CRUMBS</t>
  </si>
  <si>
    <t>CARAMEL &amp; CUSTARD DANISH</t>
  </si>
  <si>
    <t>VANIILA CAKE SLICE</t>
  </si>
  <si>
    <t>CARROT CAKE SLICE</t>
  </si>
  <si>
    <t>CHOC MOUSSE SLICE</t>
  </si>
  <si>
    <t>MOIST CHOC LOAF</t>
  </si>
  <si>
    <t>MOIST VANILLA LOAF</t>
  </si>
  <si>
    <t>MOIST VANILLA PUDDING</t>
  </si>
  <si>
    <t>MOIST CHOC PUDDING</t>
  </si>
  <si>
    <t xml:space="preserve"> C/TAIL BUNS</t>
  </si>
  <si>
    <t>MINI CUPCAKE VANILLA</t>
  </si>
  <si>
    <t>MINI CUPCAKE CARAMEL</t>
  </si>
  <si>
    <t>MINI CUPCAKE CHOC</t>
  </si>
  <si>
    <t>GB SOURDOUGH CIABATTA LOAF</t>
  </si>
  <si>
    <t>APPLE DANISH</t>
  </si>
  <si>
    <t>BLACK FOREST DANISH</t>
  </si>
  <si>
    <t xml:space="preserve"> ROUND DOUGHNUT</t>
  </si>
  <si>
    <t>CINNAMON BUN 6'S</t>
  </si>
  <si>
    <t>COCANUT SLICE</t>
  </si>
  <si>
    <t>ALTAS MILKTART MEDIUM</t>
  </si>
  <si>
    <t>CREMORA TART</t>
  </si>
  <si>
    <t xml:space="preserve"> CRUNCHIE BISCUITS 500G</t>
  </si>
  <si>
    <t xml:space="preserve"> CRUNCHIE BISCUITS 1KG</t>
  </si>
  <si>
    <t>BULK CRUNCHIE BISCUITS</t>
  </si>
  <si>
    <t>MIST CHOC CAKE</t>
  </si>
  <si>
    <t>C/T MILKTARTLET</t>
  </si>
  <si>
    <t>BLACK FOREST CAKE</t>
  </si>
  <si>
    <t>MINI SWISSROLLS 5'S</t>
  </si>
  <si>
    <t>WHITE CHOC CANACHE</t>
  </si>
  <si>
    <t>CHAKALAKA BREAD</t>
  </si>
  <si>
    <t>MINI CAKE</t>
  </si>
  <si>
    <t>C/TAIL-RING DOUGHNUT 3'S</t>
  </si>
  <si>
    <t>MEATY SQUARE</t>
  </si>
  <si>
    <t>BULK CHOC CHIP BISCUITS</t>
  </si>
  <si>
    <t>BROWN HAMBURGER ROLLS 6'S</t>
  </si>
  <si>
    <t>PEANUT BUTTER BARS</t>
  </si>
  <si>
    <t>SEEDED HOTDOG ROLLS 6'S</t>
  </si>
  <si>
    <t>BUDGET CAKE</t>
  </si>
  <si>
    <t>BEANTREE BISC CHOC</t>
  </si>
  <si>
    <t>BULK BISCUITS 1KG</t>
  </si>
  <si>
    <t>BREAD &amp; BUTTER PUDDING</t>
  </si>
  <si>
    <t>OREO  CAKE</t>
  </si>
  <si>
    <t>MADEIRA LOAF MINI</t>
  </si>
  <si>
    <t>ROCKY ROAD TREAT</t>
  </si>
  <si>
    <t>GATUE CAKES</t>
  </si>
  <si>
    <t>LARGE CRUNCHIE BISCUIT</t>
  </si>
  <si>
    <t>LARGE MELTING MOMENT BISCUIT</t>
  </si>
  <si>
    <t>ROCK BUN 2'S</t>
  </si>
  <si>
    <t>SCONE 2'S</t>
  </si>
  <si>
    <t>CHOCOLATE BREAD TWIST</t>
  </si>
  <si>
    <t>GARLIC TWIST</t>
  </si>
  <si>
    <t>MADEIRA COCANUT SLICE</t>
  </si>
  <si>
    <t>MADEIRA LOAF VINALLA</t>
  </si>
  <si>
    <t>MADEIRA LOAF CHOC</t>
  </si>
  <si>
    <t>MINI SWISS ROLL RED VELVET</t>
  </si>
  <si>
    <t>MINI SWIS ROLL CHOC FILLING</t>
  </si>
  <si>
    <t>MINI SWIS ROLL VANILLACARMEL</t>
  </si>
  <si>
    <t>HOT CROSS BUN LOAF</t>
  </si>
  <si>
    <t>SEEDED HAMBURGER ROLL</t>
  </si>
  <si>
    <t>MINI MUFFIN CARROT</t>
  </si>
  <si>
    <t>WHITE BREAD STD BULK</t>
  </si>
  <si>
    <t>ROUND CAKE ASST.</t>
  </si>
  <si>
    <t>MINI MUFFIN CHOC CHIP</t>
  </si>
  <si>
    <t>MINI MUFFIN CARAMEL</t>
  </si>
  <si>
    <t>MINI MUFFIN LEM &amp; POPPY SEED</t>
  </si>
  <si>
    <t>MINI MUFFIN BRAN</t>
  </si>
  <si>
    <t>MINI MUFFIN BANANA</t>
  </si>
  <si>
    <t>MINI MUFFIN B/BERRY</t>
  </si>
  <si>
    <t>C/TAIL SEEDED BUNS</t>
  </si>
  <si>
    <t>MELTING MOMENTS</t>
  </si>
  <si>
    <t xml:space="preserve"> BULK C/T RING DOUGHNUT</t>
  </si>
  <si>
    <t>TROLLEY COVERS</t>
  </si>
  <si>
    <t>GATSBY ROLL</t>
  </si>
  <si>
    <t>FOCACCIA CHAKALAKA</t>
  </si>
  <si>
    <t>LUXURY COOKIES</t>
  </si>
  <si>
    <t>GB BAVARIAN WHIP</t>
  </si>
  <si>
    <t>FOCACCIA SLICE</t>
  </si>
  <si>
    <t>SAVOURY ROLL</t>
  </si>
  <si>
    <t>CAPE MELAY DOUGHNUT</t>
  </si>
  <si>
    <t>JUMBO  CROISSANT</t>
  </si>
  <si>
    <t>PIZZA BOAT MEATY</t>
  </si>
  <si>
    <t xml:space="preserve"> MINI GATSBY</t>
  </si>
  <si>
    <t>BABY FOCACCIA</t>
  </si>
  <si>
    <t>PEPPERMINT CRUSH CUP</t>
  </si>
  <si>
    <t>CHAKALAKA ROLL</t>
  </si>
  <si>
    <t>SUNNYSEED BREAD</t>
  </si>
  <si>
    <t>MADEIRA LOAF</t>
  </si>
  <si>
    <t>PARTY WHEEL 30'S</t>
  </si>
  <si>
    <t>KOEKSISTERS MED  3'S</t>
  </si>
  <si>
    <t xml:space="preserve"> CHOCOLATE SLICE</t>
  </si>
  <si>
    <t>AP RED VELVET SLICE</t>
  </si>
  <si>
    <t>ASS DELIGHTS</t>
  </si>
  <si>
    <t>RED VELVET CAKE</t>
  </si>
  <si>
    <t>B COPENHAGEN</t>
  </si>
  <si>
    <t>B CHELSEA BUN</t>
  </si>
  <si>
    <t>JELLY CREAM TART MEDIUM</t>
  </si>
  <si>
    <t>KOEKSISTERS SMALL 6'S</t>
  </si>
  <si>
    <t>GB ECLAIR JUMBO</t>
  </si>
  <si>
    <t>CHEESE CAKE SLICED</t>
  </si>
  <si>
    <t>GB DIP -WHITE</t>
  </si>
  <si>
    <t>CHELSEA BUN</t>
  </si>
  <si>
    <t>CHOCOLATE SWISS ROLL</t>
  </si>
  <si>
    <t>PIEMANS MINI PIES ASSORTED</t>
  </si>
  <si>
    <t>CINNAMON BUN</t>
  </si>
  <si>
    <t>C/TAIL APPLE DANISH</t>
  </si>
  <si>
    <t>BANANA BREAD MINI</t>
  </si>
  <si>
    <t>GARLIC BUNS SINGLE</t>
  </si>
  <si>
    <t xml:space="preserve"> JUMBO MUFFIN ALL BRAN</t>
  </si>
  <si>
    <t>OUPA BROOD</t>
  </si>
  <si>
    <t>MACCOY PIES MARK DOWN</t>
  </si>
  <si>
    <t>SOUR DOUGH PIZZA SLICE</t>
  </si>
  <si>
    <t>MARKDOWN GINGER BISCUITS 500G</t>
  </si>
  <si>
    <t>GB TART BASE MINI SWEET</t>
  </si>
  <si>
    <t>JELLY CREAM TART SMALL</t>
  </si>
  <si>
    <t>DOUGHNUT IMITAT CREAM 2'S</t>
  </si>
  <si>
    <t>GB ECLAIR C/TAIL</t>
  </si>
  <si>
    <t>PARTY WHEEL 15'S</t>
  </si>
  <si>
    <t>GB TART BASE LARGE-SWEET</t>
  </si>
  <si>
    <t>GB WONDER WHIP VANILLA</t>
  </si>
  <si>
    <t>GB PRE-FRIED RING DOUGHNUT</t>
  </si>
  <si>
    <t>GB C/TAIL PRE-FRIED RING DOUGHNUT</t>
  </si>
  <si>
    <t>GB C/TAIL PRE-FRIED LONG DOUGHNUT</t>
  </si>
  <si>
    <t>GB PRE-FRIED LONG DOUGHNUT</t>
  </si>
  <si>
    <t>YEAST</t>
  </si>
  <si>
    <t>WHAMMY BURGER BUNS</t>
  </si>
  <si>
    <t>VERJAARSDAGKOEK GROOT</t>
  </si>
  <si>
    <t>VANILLA SPONGE</t>
  </si>
  <si>
    <t>SADE :SONNEBLOM</t>
  </si>
  <si>
    <t>SADE :SESAME</t>
  </si>
  <si>
    <t>SADE : POPPY</t>
  </si>
  <si>
    <t>PORTUGUESE ROLL</t>
  </si>
  <si>
    <t>KELLOGGS BISCUIT 500G</t>
  </si>
  <si>
    <t>JAM SWISS ROLL</t>
  </si>
  <si>
    <t>HOTDOG ROLLS BULK</t>
  </si>
  <si>
    <t>HERTZOGGIES</t>
  </si>
  <si>
    <t>GINGER BISCUITS 500G</t>
  </si>
  <si>
    <t>CONEY ROLL</t>
  </si>
  <si>
    <t>DOUGHNUT C/TAIL C/MEL</t>
  </si>
  <si>
    <t>CROISSANT IMMATATION CREAM LARGE</t>
  </si>
  <si>
    <t>COCONUT</t>
  </si>
  <si>
    <t>COCOA POWDER</t>
  </si>
  <si>
    <t>CHOC CHIP BISCUITS 500G</t>
  </si>
  <si>
    <t>CHERRIES</t>
  </si>
  <si>
    <t>C/TAIL PEPPERMINT TERT</t>
  </si>
  <si>
    <t>C/TAIL LEMON MERINGUE 6'S</t>
  </si>
  <si>
    <t>BULK C/TAIL BUNS</t>
  </si>
  <si>
    <t>IMMATATION CREAM</t>
  </si>
  <si>
    <t>BISCUIT KELLOGG 1KG</t>
  </si>
  <si>
    <t>BISCUIT COCNUT 500G</t>
  </si>
  <si>
    <t>BISCUIT COCONUT 1KG</t>
  </si>
  <si>
    <t>BISCUIT CHOC CHIP 1KG</t>
  </si>
  <si>
    <t>BAKING POWDER</t>
  </si>
  <si>
    <t>BAKERS MIX</t>
  </si>
  <si>
    <t>YOGHURT &amp; MUESLI</t>
  </si>
  <si>
    <t>SWISS JAM ROLL</t>
  </si>
  <si>
    <t>SUITABLE FOR TOAST</t>
  </si>
  <si>
    <t>REGINA PIZZA</t>
  </si>
  <si>
    <t>POTBREAD</t>
  </si>
  <si>
    <t>MULTI SEED SANDWICH WEDGE</t>
  </si>
  <si>
    <t>MARGHERITA PIZZA</t>
  </si>
  <si>
    <t>LAMINGTON WITH IMMITATION CREAM</t>
  </si>
  <si>
    <t>IMMITATION CREAMY BUNS 6'S</t>
  </si>
  <si>
    <t>HOT CROSS BUNS 6'S</t>
  </si>
  <si>
    <t>GARLIC LOAF</t>
  </si>
  <si>
    <t>GARLIC BUNS 6'S</t>
  </si>
  <si>
    <t>FOUR SEASONS PIZZA</t>
  </si>
  <si>
    <t>CUSTARD BUNS 6'S</t>
  </si>
  <si>
    <t>CHEESE LOAF</t>
  </si>
  <si>
    <t>BRUINBROODDEEG</t>
  </si>
  <si>
    <t>BOX CAKE WITH ICING</t>
  </si>
  <si>
    <t>AMAZING PIES MARK DOWN</t>
  </si>
  <si>
    <t>VEGETARIAN PIZZA</t>
  </si>
  <si>
    <t>FRUIT TRIFLE</t>
  </si>
  <si>
    <t>TOPPING SALAMI</t>
  </si>
  <si>
    <t>TOPPING PINEAPPLE</t>
  </si>
  <si>
    <t>TOPPING PEPPERDEW</t>
  </si>
  <si>
    <t>TOPPING AVO</t>
  </si>
  <si>
    <t>TOPPING OLIVES</t>
  </si>
  <si>
    <t>TOPPING MUSHROOM</t>
  </si>
  <si>
    <t>TOPPING HAM</t>
  </si>
  <si>
    <t>TOPPING GREEN PEPPER</t>
  </si>
  <si>
    <t>TOPPING GARLIC</t>
  </si>
  <si>
    <t>TOPPING FETA</t>
  </si>
  <si>
    <t>TOPPING CHICKEN MAYO</t>
  </si>
  <si>
    <t>TOPPING CHEESE</t>
  </si>
  <si>
    <t>TOPPING BANANA</t>
  </si>
  <si>
    <t>TOPPING BACON</t>
  </si>
  <si>
    <t>YOGHURT TART</t>
  </si>
  <si>
    <t>LEMON MERAINGUE TART</t>
  </si>
  <si>
    <t>TEMPTING TREATS PLATTER</t>
  </si>
  <si>
    <t>SLICE TIRAMISU</t>
  </si>
  <si>
    <t>SEED LOAF</t>
  </si>
  <si>
    <t>SCONES GEVUL</t>
  </si>
  <si>
    <t>SCONES 6'S</t>
  </si>
  <si>
    <t>SALAMI FETA &amp; OLIVE PIZZA</t>
  </si>
  <si>
    <t>POEDING ASSORTED</t>
  </si>
  <si>
    <t>PEPPERMINT TERT</t>
  </si>
  <si>
    <t>MINI MUFFIN CAPPUCINO</t>
  </si>
  <si>
    <t>MALVA PUDDING FAMILY</t>
  </si>
  <si>
    <t>LEMON MEGANGUE TARTLETTE</t>
  </si>
  <si>
    <t>LEMINGTON C/TAIL IMMATATION CREAM</t>
  </si>
  <si>
    <t>LEMINGTON C/TAIL</t>
  </si>
  <si>
    <t>KOEKSISTERS SMALL</t>
  </si>
  <si>
    <t>JAM DOUGHNUT</t>
  </si>
  <si>
    <t>FILLED C/TAIL DOUGHNUT</t>
  </si>
  <si>
    <t>DOUGHNUT COCONUT</t>
  </si>
  <si>
    <t>DOUGHNUT C/TAIL IMMITATION CREAM</t>
  </si>
  <si>
    <t>DOUGHNUT CINNAMON &amp; SUGAR 4S</t>
  </si>
  <si>
    <t>CARROT CAKE</t>
  </si>
  <si>
    <t>CAKE SLICE ASSORTED</t>
  </si>
  <si>
    <t>C/T AILRING DOUGHNUT</t>
  </si>
  <si>
    <t>C/TAIL MILKTARTS 6'S</t>
  </si>
  <si>
    <t>BANANA BREAD</t>
  </si>
  <si>
    <t>ASSORTED LARGE CUPCAKE</t>
  </si>
  <si>
    <t>ARTISAN CHEESE &amp; ONION BREAD</t>
  </si>
  <si>
    <t>ARTISAN FETA &amp; SPINACH LOAF</t>
  </si>
  <si>
    <t>Total (Overall)</t>
  </si>
  <si>
    <t>621.178</t>
  </si>
  <si>
    <t>646.785</t>
  </si>
  <si>
    <t>576.666</t>
  </si>
  <si>
    <t>Duplicate Product Code</t>
  </si>
  <si>
    <t>Count</t>
  </si>
  <si>
    <t>Suppliers</t>
  </si>
  <si>
    <t>Higher Cost?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</si>
</sst>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\-###0"/>
  </numFmts>
  <fonts count="2" x14ac:knownFonts="1">
    <font>
      <sz val="9"/>
      <name val="MS Sans Serif"/>
    </font>
    <font>
      <b/>
      <sz val="9"/>
      <color rgb="FFFFFFFF"/>
      <name val="MS Sans Serif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21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49" fontId="0" fillId="3" borderId="0" xfId="0" applyNumberFormat="1" applyFill="1" applyAlignment="1">
      <alignment horizontal="left" vertical="top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49" fontId="0" fillId="4" borderId="0" xfId="0" applyNumberFormat="1" applyFill="1" applyAlignment="1">
      <alignment horizontal="left" vertical="top"/>
      <protection locked="0"/>
    </xf>
    <xf numFmtId="4" fontId="0" fillId="3" borderId="0" xfId="0" applyNumberFormat="1" applyFill="1" applyAlignment="1">
      <alignment horizontal="right" vertical="top"/>
      <protection locked="0"/>
    </xf>
    <xf numFmtId="4" fontId="0" fillId="0" borderId="0" xfId="0" applyNumberFormat="1" applyAlignment="1">
      <alignment horizontal="right" vertical="top"/>
      <protection locked="0"/>
    </xf>
    <xf numFmtId="4" fontId="0" fillId="4" borderId="0" xfId="0" applyNumberFormat="1" applyFill="1" applyAlignment="1">
      <alignment horizontal="left" vertical="top"/>
      <protection locked="0"/>
    </xf>
    <xf numFmtId="4" fontId="0" fillId="4" borderId="0" xfId="0" applyNumberFormat="1" applyFill="1" applyAlignment="1">
      <alignment horizontal="right" vertical="top"/>
      <protection locked="0"/>
    </xf>
    <xf numFmtId="4" fontId="0" fillId="0" borderId="0" xfId="0" applyNumberFormat="1" applyAlignment="1">
      <alignment horizontal="left" vertical="top"/>
      <protection locked="0"/>
    </xf>
    <xf numFmtId="0" fontId="1" fillId="5" borderId="0" xfId="0" applyFont="1" applyFill="1" applyAlignment="1">
      <alignment horizontal="left" vertical="top"/>
      <protection locked="0"/>
    </xf>
    <xf numFmtId="0" fontId="1" fillId="5" borderId="1" xfId="0" applyFont="1" applyFill="1" applyBorder="1" applyAlignment="1">
      <alignment horizontal="left" vertical="top"/>
      <protection locked="0"/>
    </xf>
    <xf numFmtId="0" fontId="0" fillId="0" borderId="1" xfId="0" applyBorder="1" applyAlignment="1">
      <alignment horizontal="left" vertical="top"/>
      <protection locked="0"/>
    </xf>
    <xf numFmtId="49" fontId="0" fillId="6" borderId="0" xfId="0" applyNumberFormat="1" applyFill="1" applyAlignment="1">
      <alignment horizontal="left" vertical="top"/>
      <protection locked="0"/>
    </xf>
    <xf numFmtId="164" fontId="0" fillId="6" borderId="0" xfId="0" applyNumberFormat="1" applyFill="1" applyAlignment="1">
      <alignment horizontal="right" vertical="top"/>
      <protection locked="0"/>
    </xf>
    <xf numFmtId="1" fontId="0" fillId="6" borderId="0" xfId="0" applyNumberFormat="1" applyFill="1" applyAlignment="1">
      <alignment horizontal="right" vertical="top"/>
      <protection locked="0"/>
    </xf>
    <xf numFmtId="4" fontId="0" fillId="6" borderId="0" xfId="0" applyNumberFormat="1" applyFill="1" applyAlignment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404A-702C-4E47-A7BC-0F6C7725C401}">
  <dimension ref="A1:R295"/>
  <sheetViews>
    <sheetView tabSelected="1" workbookViewId="0">
      <pane xSplit="6" topLeftCell="G1" activePane="topRight" state="frozenSplit"/>
      <selection pane="topRight" activeCell="E11" sqref="E11"/>
    </sheetView>
  </sheetViews>
  <sheetFormatPr defaultColWidth="10.69921875" defaultRowHeight="16.5" customHeight="1" x14ac:dyDescent="0.35"/>
  <cols>
    <col min="1" max="1" width="21.5" style="2" customWidth="1"/>
    <col min="2" max="2" width="6.796875" style="2" customWidth="1"/>
    <col min="3" max="3" width="9.796875" style="2" customWidth="1"/>
    <col min="4" max="4" width="28.19921875" style="2" customWidth="1"/>
    <col min="5" max="6" width="8.19921875" style="2" customWidth="1"/>
    <col min="7" max="12" width="12.69921875" style="2" customWidth="1"/>
    <col min="13" max="13" width="10.69921875" style="1"/>
    <col min="14" max="14" width="23.5" style="1" bestFit="1" customWidth="1"/>
    <col min="15" max="15" width="6.59765625" style="1" bestFit="1" customWidth="1"/>
    <col min="16" max="16" width="37.8984375" style="1" bestFit="1" customWidth="1"/>
    <col min="17" max="17" width="71.3984375" style="1" bestFit="1" customWidth="1"/>
    <col min="18" max="18" width="13.296875" style="1" bestFit="1" customWidth="1"/>
    <col min="19" max="16384" width="10.69921875" style="1"/>
  </cols>
  <sheetData>
    <row r="1" spans="1:18" s="2" customFormat="1" ht="16.5" customHeight="1" x14ac:dyDescent="0.35">
      <c r="A1" s="3"/>
      <c r="B1" s="3"/>
      <c r="C1" s="3"/>
      <c r="D1" s="3"/>
      <c r="E1" s="3"/>
      <c r="F1" s="3"/>
      <c r="G1" s="3" t="s">
        <v>0</v>
      </c>
      <c r="H1" s="3" t="s">
        <v>1</v>
      </c>
      <c r="I1" s="3" t="s">
        <v>2</v>
      </c>
      <c r="J1" s="3" t="s">
        <v>1</v>
      </c>
      <c r="K1" s="3" t="s">
        <v>3</v>
      </c>
      <c r="L1" s="3" t="s">
        <v>1</v>
      </c>
    </row>
    <row r="2" spans="1:18" s="2" customFormat="1" ht="33" customHeight="1" x14ac:dyDescent="0.3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11</v>
      </c>
      <c r="K2" s="4" t="s">
        <v>12</v>
      </c>
      <c r="L2" s="4" t="s">
        <v>11</v>
      </c>
      <c r="N2" s="15" t="s">
        <v>292</v>
      </c>
      <c r="O2" s="15" t="s">
        <v>293</v>
      </c>
      <c r="P2" s="15" t="s">
        <v>7</v>
      </c>
      <c r="Q2" s="15" t="s">
        <v>294</v>
      </c>
      <c r="R2" s="14" t="s">
        <v>295</v>
      </c>
    </row>
    <row r="3" spans="1:18" s="2" customFormat="1" ht="16.5" customHeight="1" x14ac:dyDescent="0.35">
      <c r="A3" s="5" t="s">
        <v>13</v>
      </c>
      <c r="B3" s="6">
        <v>101</v>
      </c>
      <c r="C3" s="7">
        <v>59381</v>
      </c>
      <c r="D3" s="5" t="s">
        <v>14</v>
      </c>
      <c r="E3" s="9">
        <v>13.99</v>
      </c>
      <c r="F3" s="9">
        <v>7.36</v>
      </c>
      <c r="G3" s="10">
        <v>1216.5217391304348</v>
      </c>
      <c r="H3" s="10">
        <v>100</v>
      </c>
      <c r="I3" s="10">
        <v>1094.8695652173913</v>
      </c>
      <c r="J3" s="10">
        <v>90</v>
      </c>
      <c r="K3" s="10">
        <v>1094.8608695652174</v>
      </c>
      <c r="L3" s="10">
        <v>91</v>
      </c>
      <c r="N3" s="16">
        <v>32858</v>
      </c>
      <c r="O3" s="16">
        <f>COUNTIF(C:C,N3)</f>
        <v>2</v>
      </c>
      <c r="P3" s="16" t="str">
        <f>IFERROR(VLOOKUP(N3,C:D,2,FALSE),"")</f>
        <v>HAMBURGER BUNS</v>
      </c>
      <c r="Q3" s="16" t="str" cm="1">
        <f t="array" ref="Q3">_xlfn.TEXTJOIN(", ",TRUE,IF(C3:C292=N3,A3:A292,""))</f>
        <v>VECTOR LOG.(PTY)LTD GOOSEBUMPS, GOOSEBUMPS DISTR.(BREAD STOP)</v>
      </c>
      <c r="R3" s="2" t="str" cm="1">
        <f t="array" ref="R3">IF(_xlfn.MAXIFS(F:F,C:C,N3)=_xlfn.MINIFS(F:F,C:C,N3),"Same Cost","Row "&amp;MATCH(1,(C$3:C$292=N3)*(F$3:F$292=_xlfn.MAXIFS(F:F,C:C,N3)),0)+2)</f>
        <v>Row 57</v>
      </c>
    </row>
    <row r="4" spans="1:18" s="2" customFormat="1" ht="16.5" customHeight="1" x14ac:dyDescent="0.35">
      <c r="A4" s="5" t="s">
        <v>13</v>
      </c>
      <c r="B4" s="6">
        <v>101</v>
      </c>
      <c r="C4" s="7">
        <v>59425</v>
      </c>
      <c r="D4" s="5" t="s">
        <v>15</v>
      </c>
      <c r="E4" s="9">
        <v>10.99</v>
      </c>
      <c r="F4" s="9">
        <v>6.3</v>
      </c>
      <c r="G4" s="10">
        <v>659.4</v>
      </c>
      <c r="H4" s="10">
        <v>60</v>
      </c>
      <c r="I4" s="10">
        <v>0</v>
      </c>
      <c r="J4" s="10">
        <v>0</v>
      </c>
      <c r="K4" s="10">
        <v>259.36</v>
      </c>
      <c r="L4" s="10">
        <v>24</v>
      </c>
      <c r="N4" s="16">
        <v>32859</v>
      </c>
      <c r="O4" s="16">
        <f>COUNTIF(C:C,N4)</f>
        <v>2</v>
      </c>
      <c r="P4" s="16" t="str">
        <f>IFERROR(VLOOKUP(N4,C:D,2,FALSE),"")</f>
        <v>HAMBURGER BUNS 6'S</v>
      </c>
      <c r="Q4" s="16" t="str" cm="1">
        <f t="array" ref="Q4">_xlfn.TEXTJOIN(", ",TRUE,IF(C3:C292=N4,A3:A292,""))</f>
        <v>BAKERY PRODUCTS, GOOSEBUMPS DISTR.(BREAD STOP)</v>
      </c>
      <c r="R4" s="2" t="str" cm="1">
        <f t="array" ref="R4">IF(_xlfn.MAXIFS(F:F,C:C,N4)=_xlfn.MINIFS(F:F,C:C,N4),"Same Cost","Row "&amp;MATCH(1,(C$3:C$292=N4)*(F$3:F$292=_xlfn.MAXIFS(F:F,C:C,N4)),0)+2)</f>
        <v>Row 15</v>
      </c>
    </row>
    <row r="5" spans="1:18" s="2" customFormat="1" ht="16.5" customHeight="1" x14ac:dyDescent="0.35">
      <c r="A5" s="5" t="s">
        <v>13</v>
      </c>
      <c r="B5" s="6">
        <v>101</v>
      </c>
      <c r="C5" s="7">
        <v>34690</v>
      </c>
      <c r="D5" s="5" t="s">
        <v>16</v>
      </c>
      <c r="E5" s="9">
        <v>16.989999999999998</v>
      </c>
      <c r="F5" s="9">
        <v>7.7</v>
      </c>
      <c r="G5" s="10">
        <v>457.99130434782614</v>
      </c>
      <c r="H5" s="10">
        <v>31</v>
      </c>
      <c r="I5" s="10">
        <v>398.89565217391305</v>
      </c>
      <c r="J5" s="10">
        <v>27</v>
      </c>
      <c r="K5" s="10">
        <v>484.58260869565214</v>
      </c>
      <c r="L5" s="10">
        <v>33</v>
      </c>
      <c r="N5" s="16">
        <v>33032</v>
      </c>
      <c r="O5" s="16">
        <f>COUNTIF(C:C,N5)</f>
        <v>2</v>
      </c>
      <c r="P5" s="16" t="str">
        <f>IFERROR(VLOOKUP(N5,C:D,2,FALSE),"")</f>
        <v>SLICE TIRAMISU</v>
      </c>
      <c r="Q5" s="16" t="str" cm="1">
        <f t="array" ref="Q5">_xlfn.TEXTJOIN(", ",TRUE,IF(C3:C292=N5,A3:A292,""))</f>
        <v>VECTOR LOG.(PTY)LTD GOOSEBUMPS, GOOSEBUMPS DISTR.(BREAD STOP)</v>
      </c>
      <c r="R5" s="2" t="str" cm="1">
        <f t="array" ref="R5">IF(_xlfn.MAXIFS(F:F,C:C,N5)=_xlfn.MINIFS(F:F,C:C,N5),"Same Cost","Row "&amp;MATCH(1,(C$3:C$292=N5)*(F$3:F$292=_xlfn.MAXIFS(F:F,C:C,N5)),0)+2)</f>
        <v>Row 265</v>
      </c>
    </row>
    <row r="6" spans="1:18" s="2" customFormat="1" ht="16.5" customHeight="1" x14ac:dyDescent="0.35">
      <c r="A6" s="5" t="s">
        <v>13</v>
      </c>
      <c r="B6" s="6">
        <v>101</v>
      </c>
      <c r="C6" s="7">
        <v>32860</v>
      </c>
      <c r="D6" s="5" t="s">
        <v>17</v>
      </c>
      <c r="E6" s="9">
        <v>20.99</v>
      </c>
      <c r="F6" s="9">
        <v>11.1</v>
      </c>
      <c r="G6" s="10">
        <v>365.04347826086956</v>
      </c>
      <c r="H6" s="10">
        <v>20</v>
      </c>
      <c r="I6" s="10">
        <v>200.77391304347825</v>
      </c>
      <c r="J6" s="10">
        <v>11</v>
      </c>
      <c r="K6" s="10">
        <v>199.8608695652174</v>
      </c>
      <c r="L6" s="10">
        <v>11</v>
      </c>
      <c r="N6" s="16">
        <v>34687</v>
      </c>
      <c r="O6" s="16">
        <f>COUNTIF(C:C,N6)</f>
        <v>2</v>
      </c>
      <c r="P6" s="16" t="str">
        <f>IFERROR(VLOOKUP(N6,C:D,2,FALSE),"")</f>
        <v>HOTDOG ROLLS</v>
      </c>
      <c r="Q6" s="16" t="str" cm="1">
        <f t="array" ref="Q6">_xlfn.TEXTJOIN(", ",TRUE,IF(C3:C292=N6,A3:A292,""))</f>
        <v>VECTOR LOG.(PTY)LTD GOOSEBUMPS, GOOSEBUMPS DISTR.(BREAD STOP)</v>
      </c>
      <c r="R6" s="2" t="str" cm="1">
        <f t="array" ref="R6">IF(_xlfn.MAXIFS(F:F,C:C,N6)=_xlfn.MINIFS(F:F,C:C,N6),"Same Cost","Row "&amp;MATCH(1,(C$3:C$292=N6)*(F$3:F$292=_xlfn.MAXIFS(F:F,C:C,N6)),0)+2)</f>
        <v>Row 55</v>
      </c>
    </row>
    <row r="7" spans="1:18" s="2" customFormat="1" ht="16.5" customHeight="1" x14ac:dyDescent="0.35">
      <c r="A7" s="5" t="s">
        <v>13</v>
      </c>
      <c r="B7" s="6">
        <v>102</v>
      </c>
      <c r="C7" s="7">
        <v>33995</v>
      </c>
      <c r="D7" s="5" t="s">
        <v>18</v>
      </c>
      <c r="E7" s="9">
        <v>15.99</v>
      </c>
      <c r="F7" s="9">
        <v>8.2200000000000006</v>
      </c>
      <c r="G7" s="10">
        <v>278.08695652173913</v>
      </c>
      <c r="H7" s="10">
        <v>20</v>
      </c>
      <c r="I7" s="10">
        <v>97.330434782608705</v>
      </c>
      <c r="J7" s="10">
        <v>7</v>
      </c>
      <c r="K7" s="10">
        <v>97.330434782608705</v>
      </c>
      <c r="L7" s="10">
        <v>7</v>
      </c>
      <c r="N7" s="16">
        <v>38815</v>
      </c>
      <c r="O7" s="16">
        <f>COUNTIF(C:C,N7)</f>
        <v>2</v>
      </c>
      <c r="P7" s="16" t="str">
        <f>IFERROR(VLOOKUP(N7,C:D,2,FALSE),"")</f>
        <v>GB PRE-FRIED LONG DOUGHNUT</v>
      </c>
      <c r="Q7" s="16" t="str" cm="1">
        <f t="array" ref="Q7">_xlfn.TEXTJOIN(", ",TRUE,IF(C3:C292=N7,A3:A292,""))</f>
        <v>VECTOR LOG.(PTY)LTD GOOSEBUMPS, GOOSEBUMPS DISTR.(BREAD STOP)</v>
      </c>
      <c r="R7" s="2" t="str" cm="1">
        <f t="array" ref="R7">IF(_xlfn.MAXIFS(F:F,C:C,N7)=_xlfn.MINIFS(F:F,C:C,N7),"Same Cost","Row "&amp;MATCH(1,(C$3:C$292=N7)*(F$3:F$292=_xlfn.MAXIFS(F:F,C:C,N7)),0)+2)</f>
        <v>Row 195</v>
      </c>
    </row>
    <row r="8" spans="1:18" s="2" customFormat="1" ht="16.5" customHeight="1" x14ac:dyDescent="0.35">
      <c r="A8" s="5" t="s">
        <v>13</v>
      </c>
      <c r="B8" s="6">
        <v>101</v>
      </c>
      <c r="C8" s="7">
        <v>34119</v>
      </c>
      <c r="D8" s="5" t="s">
        <v>19</v>
      </c>
      <c r="E8" s="9">
        <v>3.3</v>
      </c>
      <c r="F8" s="9">
        <v>1.85</v>
      </c>
      <c r="G8" s="10">
        <v>229.56521739130434</v>
      </c>
      <c r="H8" s="10">
        <v>80</v>
      </c>
      <c r="I8" s="10">
        <v>0</v>
      </c>
      <c r="J8" s="10">
        <v>0</v>
      </c>
      <c r="K8" s="10">
        <v>0</v>
      </c>
      <c r="L8" s="10">
        <v>0</v>
      </c>
      <c r="N8" s="16">
        <v>38816</v>
      </c>
      <c r="O8" s="16">
        <f>COUNTIF(C:C,N8)</f>
        <v>2</v>
      </c>
      <c r="P8" s="16" t="str">
        <f>IFERROR(VLOOKUP(N8,C:D,2,FALSE),"")</f>
        <v>GB C/TAIL PRE-FRIED LONG DOUGHNUT</v>
      </c>
      <c r="Q8" s="16" t="str" cm="1">
        <f t="array" ref="Q8">_xlfn.TEXTJOIN(", ",TRUE,IF(C3:C292=N8,A3:A292,""))</f>
        <v>VECTOR LOG.(PTY)LTD GOOSEBUMPS, GOOSEBUMPS DISTR.(BREAD STOP)</v>
      </c>
      <c r="R8" s="2" t="str" cm="1">
        <f t="array" ref="R8">IF(_xlfn.MAXIFS(F:F,C:C,N8)=_xlfn.MINIFS(F:F,C:C,N8),"Same Cost","Row "&amp;MATCH(1,(C$3:C$292=N8)*(F$3:F$292=_xlfn.MAXIFS(F:F,C:C,N8)),0)+2)</f>
        <v>Row 193</v>
      </c>
    </row>
    <row r="9" spans="1:18" s="2" customFormat="1" ht="16.5" customHeight="1" x14ac:dyDescent="0.35">
      <c r="A9" s="5" t="s">
        <v>13</v>
      </c>
      <c r="B9" s="6">
        <v>101</v>
      </c>
      <c r="C9" s="7">
        <v>57073</v>
      </c>
      <c r="D9" s="5" t="s">
        <v>20</v>
      </c>
      <c r="E9" s="9">
        <v>36.99</v>
      </c>
      <c r="F9" s="9">
        <v>16.05</v>
      </c>
      <c r="G9" s="10">
        <v>225.15652173913043</v>
      </c>
      <c r="H9" s="10">
        <v>7</v>
      </c>
      <c r="I9" s="10">
        <v>32.165217391304353</v>
      </c>
      <c r="J9" s="10">
        <v>1</v>
      </c>
      <c r="K9" s="10">
        <v>0</v>
      </c>
      <c r="L9" s="10">
        <v>0</v>
      </c>
      <c r="N9" s="16">
        <v>38908</v>
      </c>
      <c r="O9" s="16">
        <f>COUNTIF(C:C,N9)</f>
        <v>2</v>
      </c>
      <c r="P9" s="16" t="str">
        <f>IFERROR(VLOOKUP(N9,C:D,2,FALSE),"")</f>
        <v>GB C/TAIL PRE-FRIED RING DOUGHNUT</v>
      </c>
      <c r="Q9" s="16" t="str" cm="1">
        <f t="array" ref="Q9">_xlfn.TEXTJOIN(", ",TRUE,IF(C3:C292=N9,A3:A292,""))</f>
        <v>VECTOR LOG.(PTY)LTD GOOSEBUMPS, GOOSEBUMPS DISTR.(BREAD STOP)</v>
      </c>
      <c r="R9" s="2" t="str" cm="1">
        <f t="array" ref="R9">IF(_xlfn.MAXIFS(F:F,C:C,N9)=_xlfn.MINIFS(F:F,C:C,N9),"Same Cost","Row "&amp;MATCH(1,(C$3:C$292=N9)*(F$3:F$292=_xlfn.MAXIFS(F:F,C:C,N9)),0)+2)</f>
        <v>Row 191</v>
      </c>
    </row>
    <row r="10" spans="1:18" s="2" customFormat="1" ht="16.5" customHeight="1" x14ac:dyDescent="0.35">
      <c r="A10" s="5" t="s">
        <v>13</v>
      </c>
      <c r="B10" s="6">
        <v>102</v>
      </c>
      <c r="C10" s="7">
        <v>52943</v>
      </c>
      <c r="D10" s="5" t="s">
        <v>21</v>
      </c>
      <c r="E10" s="9">
        <v>31.99</v>
      </c>
      <c r="F10" s="9">
        <v>15.17</v>
      </c>
      <c r="G10" s="10">
        <v>194.04347826086956</v>
      </c>
      <c r="H10" s="10">
        <v>6.976</v>
      </c>
      <c r="I10" s="10">
        <v>133.09565217391304</v>
      </c>
      <c r="J10" s="10">
        <v>4.7850000000000001</v>
      </c>
      <c r="K10" s="10">
        <v>359.66956521739132</v>
      </c>
      <c r="L10" s="10">
        <v>13.128</v>
      </c>
      <c r="N10" s="16">
        <v>38983</v>
      </c>
      <c r="O10" s="16">
        <f>COUNTIF(C:C,N10)</f>
        <v>2</v>
      </c>
      <c r="P10" s="16" t="str">
        <f>IFERROR(VLOOKUP(N10,C:D,2,FALSE),"")</f>
        <v>GB PRE-FRIED RING DOUGHNUT</v>
      </c>
      <c r="Q10" s="16" t="str" cm="1">
        <f t="array" ref="Q10">_xlfn.TEXTJOIN(", ",TRUE,IF(C3:C292=N10,A3:A292,""))</f>
        <v>VECTOR LOG.(PTY)LTD GOOSEBUMPS, GOOSEBUMPS DISTR.(BREAD STOP)</v>
      </c>
      <c r="R10" s="2" t="str" cm="1">
        <f t="array" ref="R10">IF(_xlfn.MAXIFS(F:F,C:C,N10)=_xlfn.MINIFS(F:F,C:C,N10),"Same Cost","Row "&amp;MATCH(1,(C$3:C$292=N10)*(F$3:F$292=_xlfn.MAXIFS(F:F,C:C,N10)),0)+2)</f>
        <v>Row 189</v>
      </c>
    </row>
    <row r="11" spans="1:18" s="2" customFormat="1" ht="16.5" customHeight="1" x14ac:dyDescent="0.35">
      <c r="A11" s="5" t="s">
        <v>13</v>
      </c>
      <c r="B11" s="6">
        <v>101</v>
      </c>
      <c r="C11" s="7">
        <v>34070</v>
      </c>
      <c r="D11" s="5" t="s">
        <v>22</v>
      </c>
      <c r="E11" s="9">
        <v>12.99</v>
      </c>
      <c r="F11" s="9">
        <v>6.81</v>
      </c>
      <c r="G11" s="10">
        <v>169.43478260869566</v>
      </c>
      <c r="H11" s="10">
        <v>15</v>
      </c>
      <c r="I11" s="10">
        <v>101.66086956521738</v>
      </c>
      <c r="J11" s="10">
        <v>9</v>
      </c>
      <c r="K11" s="10">
        <v>111.26086956521739</v>
      </c>
      <c r="L11" s="10">
        <v>10</v>
      </c>
      <c r="N11" s="16">
        <v>39025</v>
      </c>
      <c r="O11" s="16">
        <f>COUNTIF(C:C,N11)</f>
        <v>2</v>
      </c>
      <c r="P11" s="16" t="str">
        <f>IFERROR(VLOOKUP(N11,C:D,2,FALSE),"")</f>
        <v>GB WONDER WHIP VANILLA</v>
      </c>
      <c r="Q11" s="16" t="str" cm="1">
        <f t="array" ref="Q11">_xlfn.TEXTJOIN(", ",TRUE,IF(C3:C292=N11,A3:A292,""))</f>
        <v>VECTOR LOG.(PTY)LTD GOOSEBUMPS, GOOSEBUMPS DISTR.(BREAD STOP)</v>
      </c>
      <c r="R11" s="2" t="str" cm="1">
        <f t="array" ref="R11">IF(_xlfn.MAXIFS(F:F,C:C,N11)=_xlfn.MINIFS(F:F,C:C,N11),"Same Cost","Row "&amp;MATCH(1,(C$3:C$292=N11)*(F$3:F$292=_xlfn.MAXIFS(F:F,C:C,N11)),0)+2)</f>
        <v>Row 187</v>
      </c>
    </row>
    <row r="12" spans="1:18" s="2" customFormat="1" ht="16.5" customHeight="1" x14ac:dyDescent="0.35">
      <c r="A12" s="5" t="s">
        <v>13</v>
      </c>
      <c r="B12" s="6">
        <v>101</v>
      </c>
      <c r="C12" s="7">
        <v>34024</v>
      </c>
      <c r="D12" s="5" t="s">
        <v>23</v>
      </c>
      <c r="E12" s="9">
        <v>37.99</v>
      </c>
      <c r="F12" s="9">
        <v>16.5</v>
      </c>
      <c r="G12" s="10">
        <v>165.17391304347825</v>
      </c>
      <c r="H12" s="10">
        <v>5</v>
      </c>
      <c r="I12" s="10">
        <v>33.03478260869565</v>
      </c>
      <c r="J12" s="10">
        <v>1</v>
      </c>
      <c r="K12" s="10">
        <v>165.17391304347825</v>
      </c>
      <c r="L12" s="10">
        <v>5</v>
      </c>
      <c r="N12" s="16">
        <v>39421</v>
      </c>
      <c r="O12" s="16">
        <f>COUNTIF(C:C,N12)</f>
        <v>2</v>
      </c>
      <c r="P12" s="16" t="str">
        <f>IFERROR(VLOOKUP(N12,C:D,2,FALSE),"")</f>
        <v>GB TART BASE LARGE-SWEET</v>
      </c>
      <c r="Q12" s="16" t="str" cm="1">
        <f t="array" ref="Q12">_xlfn.TEXTJOIN(", ",TRUE,IF(C3:C292=N12,A3:A292,""))</f>
        <v>VECTOR LOG.(PTY)LTD GOOSEBUMPS, GOOSEBUMPS DISTR.(BREAD STOP)</v>
      </c>
      <c r="R12" s="2" t="str" cm="1">
        <f t="array" ref="R12">IF(_xlfn.MAXIFS(F:F,C:C,N12)=_xlfn.MINIFS(F:F,C:C,N12),"Same Cost","Row "&amp;MATCH(1,(C$3:C$292=N12)*(F$3:F$292=_xlfn.MAXIFS(F:F,C:C,N12)),0)+2)</f>
        <v>Row 185</v>
      </c>
    </row>
    <row r="13" spans="1:18" s="2" customFormat="1" ht="16.5" customHeight="1" x14ac:dyDescent="0.35">
      <c r="A13" s="5" t="s">
        <v>24</v>
      </c>
      <c r="B13" s="6">
        <v>101</v>
      </c>
      <c r="C13" s="7">
        <v>50037</v>
      </c>
      <c r="D13" s="5" t="s">
        <v>25</v>
      </c>
      <c r="E13" s="9">
        <v>25.99</v>
      </c>
      <c r="F13" s="9">
        <v>13.4</v>
      </c>
      <c r="G13" s="10">
        <v>158.20000000000002</v>
      </c>
      <c r="H13" s="10">
        <v>7</v>
      </c>
      <c r="I13" s="10">
        <v>158.20000000000002</v>
      </c>
      <c r="J13" s="10">
        <v>7</v>
      </c>
      <c r="K13" s="10">
        <v>178.53913043478261</v>
      </c>
      <c r="L13" s="10">
        <v>8</v>
      </c>
      <c r="N13" s="16">
        <v>39963</v>
      </c>
      <c r="O13" s="16">
        <f>COUNTIF(C:C,N13)</f>
        <v>2</v>
      </c>
      <c r="P13" s="16" t="str">
        <f>IFERROR(VLOOKUP(N13,C:D,2,FALSE),"")</f>
        <v>GB ECLAIR C/TAIL</v>
      </c>
      <c r="Q13" s="16" t="str" cm="1">
        <f t="array" ref="Q13">_xlfn.TEXTJOIN(", ",TRUE,IF(C3:C292=N13,A3:A292,""))</f>
        <v>VECTOR LOG.(PTY)LTD GOOSEBUMPS, GOOSEBUMPS DISTR.(BREAD STOP)</v>
      </c>
      <c r="R13" s="2" t="str" cm="1">
        <f t="array" ref="R13">IF(_xlfn.MAXIFS(F:F,C:C,N13)=_xlfn.MINIFS(F:F,C:C,N13),"Same Cost","Row "&amp;MATCH(1,(C$3:C$292=N13)*(F$3:F$292=_xlfn.MAXIFS(F:F,C:C,N13)),0)+2)</f>
        <v>Row 182</v>
      </c>
    </row>
    <row r="14" spans="1:18" s="2" customFormat="1" ht="16.5" customHeight="1" x14ac:dyDescent="0.35">
      <c r="A14" s="5" t="s">
        <v>13</v>
      </c>
      <c r="B14" s="6">
        <v>101</v>
      </c>
      <c r="C14" s="7">
        <v>32859</v>
      </c>
      <c r="D14" s="5" t="s">
        <v>26</v>
      </c>
      <c r="E14" s="9">
        <v>20.99</v>
      </c>
      <c r="F14" s="9">
        <v>7.46</v>
      </c>
      <c r="G14" s="10">
        <v>146.01739130434785</v>
      </c>
      <c r="H14" s="10">
        <v>8</v>
      </c>
      <c r="I14" s="10">
        <v>200.77391304347827</v>
      </c>
      <c r="J14" s="10">
        <v>11</v>
      </c>
      <c r="K14" s="10">
        <v>177.97391304347826</v>
      </c>
      <c r="L14" s="10">
        <v>10</v>
      </c>
      <c r="N14" s="16">
        <v>40158</v>
      </c>
      <c r="O14" s="16">
        <f>COUNTIF(C:C,N14)</f>
        <v>2</v>
      </c>
      <c r="P14" s="16" t="str">
        <f>IFERROR(VLOOKUP(N14,C:D,2,FALSE),"")</f>
        <v>JELLY CREAM TART SMALL</v>
      </c>
      <c r="Q14" s="16" t="str" cm="1">
        <f t="array" ref="Q14">_xlfn.TEXTJOIN(", ",TRUE,IF(C3:C292=N14,A3:A292,""))</f>
        <v>BAKERY PRODUCTS, GOOSEBUMPS DISTR.(BREAD STOP)</v>
      </c>
      <c r="R14" s="2" t="str" cm="1">
        <f t="array" ref="R14">IF(_xlfn.MAXIFS(F:F,C:C,N14)=_xlfn.MINIFS(F:F,C:C,N14),"Same Cost","Row "&amp;MATCH(1,(C$3:C$292=N14)*(F$3:F$292=_xlfn.MAXIFS(F:F,C:C,N14)),0)+2)</f>
        <v>Same Cost</v>
      </c>
    </row>
    <row r="15" spans="1:18" s="2" customFormat="1" ht="16.5" customHeight="1" x14ac:dyDescent="0.35">
      <c r="A15" s="17" t="s">
        <v>24</v>
      </c>
      <c r="B15" s="18">
        <v>101</v>
      </c>
      <c r="C15" s="19">
        <v>32859</v>
      </c>
      <c r="D15" s="17" t="s">
        <v>26</v>
      </c>
      <c r="E15" s="20">
        <v>20.99</v>
      </c>
      <c r="F15" s="20">
        <v>11.1</v>
      </c>
      <c r="G15" s="20">
        <v>146.01739130434785</v>
      </c>
      <c r="H15" s="20">
        <v>8</v>
      </c>
      <c r="I15" s="20">
        <v>200.77391304347827</v>
      </c>
      <c r="J15" s="20">
        <v>11</v>
      </c>
      <c r="K15" s="20">
        <v>177.97391304347826</v>
      </c>
      <c r="L15" s="20">
        <v>10</v>
      </c>
      <c r="N15" s="16">
        <v>40364</v>
      </c>
      <c r="O15" s="16">
        <f>COUNTIF(C:C,N15)</f>
        <v>2</v>
      </c>
      <c r="P15" s="16" t="str">
        <f>IFERROR(VLOOKUP(N15,C:D,2,FALSE),"")</f>
        <v>GB TART BASE MINI SWEET</v>
      </c>
      <c r="Q15" s="16" t="str" cm="1">
        <f t="array" ref="Q15">_xlfn.TEXTJOIN(", ",TRUE,IF(C3:C292=N15,A3:A292,""))</f>
        <v>VECTOR LOG.(PTY)LTD GOOSEBUMPS, GOOSEBUMPS DISTR.(BREAD STOP)</v>
      </c>
      <c r="R15" s="2" t="str" cm="1">
        <f t="array" ref="R15">IF(_xlfn.MAXIFS(F:F,C:C,N15)=_xlfn.MINIFS(F:F,C:C,N15),"Same Cost","Row "&amp;MATCH(1,(C$3:C$292=N15)*(F$3:F$292=_xlfn.MAXIFS(F:F,C:C,N15)),0)+2)</f>
        <v>Row 177</v>
      </c>
    </row>
    <row r="16" spans="1:18" s="2" customFormat="1" ht="16.5" customHeight="1" x14ac:dyDescent="0.35">
      <c r="A16" s="5" t="s">
        <v>13</v>
      </c>
      <c r="B16" s="6">
        <v>102</v>
      </c>
      <c r="C16" s="7">
        <v>33031</v>
      </c>
      <c r="D16" s="5" t="s">
        <v>27</v>
      </c>
      <c r="E16" s="9">
        <v>17.989999999999998</v>
      </c>
      <c r="F16" s="9">
        <v>9.1199999999999992</v>
      </c>
      <c r="G16" s="10">
        <v>140.7913043478261</v>
      </c>
      <c r="H16" s="10">
        <v>9</v>
      </c>
      <c r="I16" s="10">
        <v>0</v>
      </c>
      <c r="J16" s="10">
        <v>0</v>
      </c>
      <c r="K16" s="10">
        <v>0</v>
      </c>
      <c r="L16" s="10">
        <v>0</v>
      </c>
      <c r="N16" s="16">
        <v>42797</v>
      </c>
      <c r="O16" s="16">
        <f>COUNTIF(C:C,N16)</f>
        <v>2</v>
      </c>
      <c r="P16" s="16" t="str">
        <f>IFERROR(VLOOKUP(N16,C:D,2,FALSE),"")</f>
        <v>GANASH TOPPED  RING DOUGHNUT</v>
      </c>
      <c r="Q16" s="16" t="str" cm="1">
        <f t="array" ref="Q16">_xlfn.TEXTJOIN(", ",TRUE,IF(C3:C292=N16,A3:A292,""))</f>
        <v>BAKERY PRODUCTS, GOOSEBUMPS DISTR.(BREAD STOP)</v>
      </c>
      <c r="R16" s="2" t="str" cm="1">
        <f t="array" ref="R16">IF(_xlfn.MAXIFS(F:F,C:C,N16)=_xlfn.MINIFS(F:F,C:C,N16),"Same Cost","Row "&amp;MATCH(1,(C$3:C$292=N16)*(F$3:F$292=_xlfn.MAXIFS(F:F,C:C,N16)),0)+2)</f>
        <v>Row 19</v>
      </c>
    </row>
    <row r="17" spans="1:18" s="2" customFormat="1" ht="16.5" customHeight="1" x14ac:dyDescent="0.35">
      <c r="A17" s="5" t="s">
        <v>13</v>
      </c>
      <c r="B17" s="6">
        <v>106</v>
      </c>
      <c r="C17" s="7">
        <v>54018</v>
      </c>
      <c r="D17" s="5" t="s">
        <v>28</v>
      </c>
      <c r="E17" s="9">
        <v>18.989999999999998</v>
      </c>
      <c r="F17" s="9">
        <v>9.83</v>
      </c>
      <c r="G17" s="10">
        <v>132.10434782608695</v>
      </c>
      <c r="H17" s="10">
        <v>8</v>
      </c>
      <c r="I17" s="10">
        <v>49.539130434782606</v>
      </c>
      <c r="J17" s="10">
        <v>3</v>
      </c>
      <c r="K17" s="10">
        <v>99.078260869565213</v>
      </c>
      <c r="L17" s="10">
        <v>6</v>
      </c>
      <c r="N17" s="16">
        <v>48620</v>
      </c>
      <c r="O17" s="16">
        <f>COUNTIF(C:C,N17)</f>
        <v>2</v>
      </c>
      <c r="P17" s="16" t="str">
        <f>IFERROR(VLOOKUP(N17,C:D,2,FALSE),"")</f>
        <v>CHEESE CAKE SLICED</v>
      </c>
      <c r="Q17" s="16" t="str" cm="1">
        <f t="array" ref="Q17">_xlfn.TEXTJOIN(", ",TRUE,IF(C3:C292=N17,A3:A292,""))</f>
        <v>VECTOR LOG.(PTY)LTD GOOSEBUMPS, GOOSEBUMPS DISTR.(BREAD STOP)</v>
      </c>
      <c r="R17" s="2" t="str" cm="1">
        <f t="array" ref="R17">IF(_xlfn.MAXIFS(F:F,C:C,N17)=_xlfn.MINIFS(F:F,C:C,N17),"Same Cost","Row "&amp;MATCH(1,(C$3:C$292=N17)*(F$3:F$292=_xlfn.MAXIFS(F:F,C:C,N17)),0)+2)</f>
        <v>Row 162</v>
      </c>
    </row>
    <row r="18" spans="1:18" s="2" customFormat="1" ht="16.5" customHeight="1" x14ac:dyDescent="0.35">
      <c r="A18" s="5" t="s">
        <v>13</v>
      </c>
      <c r="B18" s="6">
        <v>102</v>
      </c>
      <c r="C18" s="7">
        <v>38977</v>
      </c>
      <c r="D18" s="5" t="s">
        <v>29</v>
      </c>
      <c r="E18" s="9">
        <v>18.989999999999998</v>
      </c>
      <c r="F18" s="9">
        <v>9.6999999999999993</v>
      </c>
      <c r="G18" s="10">
        <v>132.10434782608695</v>
      </c>
      <c r="H18" s="10">
        <v>8</v>
      </c>
      <c r="I18" s="10">
        <v>132.10434782608695</v>
      </c>
      <c r="J18" s="10">
        <v>8</v>
      </c>
      <c r="K18" s="10">
        <v>132.10434782608695</v>
      </c>
      <c r="L18" s="10">
        <v>8</v>
      </c>
      <c r="N18" s="16">
        <v>48683</v>
      </c>
      <c r="O18" s="16">
        <f>COUNTIF(C:C,N18)</f>
        <v>2</v>
      </c>
      <c r="P18" s="16" t="str">
        <f>IFERROR(VLOOKUP(N18,C:D,2,FALSE),"")</f>
        <v>GB ECLAIR JUMBO</v>
      </c>
      <c r="Q18" s="16" t="str" cm="1">
        <f t="array" ref="Q18">_xlfn.TEXTJOIN(", ",TRUE,IF(C3:C292=N18,A3:A292,""))</f>
        <v>VECTOR LOG.(PTY)LTD GOOSEBUMPS, GOOSEBUMPS DISTR.(BREAD STOP)</v>
      </c>
      <c r="R18" s="2" t="str" cm="1">
        <f t="array" ref="R18">IF(_xlfn.MAXIFS(F:F,C:C,N18)=_xlfn.MINIFS(F:F,C:C,N18),"Same Cost","Row "&amp;MATCH(1,(C$3:C$292=N18)*(F$3:F$292=_xlfn.MAXIFS(F:F,C:C,N18)),0)+2)</f>
        <v>Row 160</v>
      </c>
    </row>
    <row r="19" spans="1:18" s="2" customFormat="1" ht="16.5" customHeight="1" x14ac:dyDescent="0.35">
      <c r="A19" s="17" t="s">
        <v>13</v>
      </c>
      <c r="B19" s="18">
        <v>102</v>
      </c>
      <c r="C19" s="19">
        <v>42797</v>
      </c>
      <c r="D19" s="17" t="s">
        <v>30</v>
      </c>
      <c r="E19" s="20">
        <v>11.99</v>
      </c>
      <c r="F19" s="20">
        <v>5.12</v>
      </c>
      <c r="G19" s="20">
        <v>125.11304347826086</v>
      </c>
      <c r="H19" s="20">
        <v>12</v>
      </c>
      <c r="I19" s="20">
        <v>72.982608695652175</v>
      </c>
      <c r="J19" s="20">
        <v>7</v>
      </c>
      <c r="K19" s="20">
        <v>83.408695652173918</v>
      </c>
      <c r="L19" s="20">
        <v>8</v>
      </c>
      <c r="N19" s="16">
        <v>54652</v>
      </c>
      <c r="O19" s="16">
        <f>COUNTIF(C:C,N19)</f>
        <v>2</v>
      </c>
      <c r="P19" s="16" t="str">
        <f>IFERROR(VLOOKUP(N19,C:D,2,FALSE),"")</f>
        <v>JUMBO  CROISSANT</v>
      </c>
      <c r="Q19" s="16" t="str" cm="1">
        <f t="array" ref="Q19">_xlfn.TEXTJOIN(", ",TRUE,IF(C3:C292=N19,A3:A292,""))</f>
        <v>VECTOR LOG.(PTY)LTD GOOSEBUMPS, GOOSEBUMPS DISTR.(BREAD STOP)</v>
      </c>
      <c r="R19" s="2" t="str" cm="1">
        <f t="array" ref="R19">IF(_xlfn.MAXIFS(F:F,C:C,N19)=_xlfn.MINIFS(F:F,C:C,N19),"Same Cost","Row "&amp;MATCH(1,(C$3:C$292=N19)*(F$3:F$292=_xlfn.MAXIFS(F:F,C:C,N19)),0)+2)</f>
        <v>Row 141</v>
      </c>
    </row>
    <row r="20" spans="1:18" s="2" customFormat="1" ht="16.5" customHeight="1" x14ac:dyDescent="0.35">
      <c r="A20" s="5" t="s">
        <v>24</v>
      </c>
      <c r="B20" s="6">
        <v>102</v>
      </c>
      <c r="C20" s="7">
        <v>42797</v>
      </c>
      <c r="D20" s="5" t="s">
        <v>30</v>
      </c>
      <c r="E20" s="9">
        <v>11.99</v>
      </c>
      <c r="F20" s="9">
        <v>4.84</v>
      </c>
      <c r="G20" s="10">
        <v>125.11304347826086</v>
      </c>
      <c r="H20" s="10">
        <v>12</v>
      </c>
      <c r="I20" s="10">
        <v>72.982608695652175</v>
      </c>
      <c r="J20" s="10">
        <v>7</v>
      </c>
      <c r="K20" s="10">
        <v>83.408695652173918</v>
      </c>
      <c r="L20" s="10">
        <v>8</v>
      </c>
    </row>
    <row r="21" spans="1:18" s="2" customFormat="1" ht="16.5" customHeight="1" x14ac:dyDescent="0.35">
      <c r="A21" s="5" t="s">
        <v>13</v>
      </c>
      <c r="B21" s="6">
        <v>102</v>
      </c>
      <c r="C21" s="7">
        <v>32127</v>
      </c>
      <c r="D21" s="5" t="s">
        <v>31</v>
      </c>
      <c r="E21" s="9">
        <v>11.99</v>
      </c>
      <c r="F21" s="9">
        <v>6.02</v>
      </c>
      <c r="G21" s="10">
        <v>125.11304347826086</v>
      </c>
      <c r="H21" s="10">
        <v>12</v>
      </c>
      <c r="I21" s="10">
        <v>93.834782608695647</v>
      </c>
      <c r="J21" s="10">
        <v>9</v>
      </c>
      <c r="K21" s="10">
        <v>83.408695652173918</v>
      </c>
      <c r="L21" s="10">
        <v>8</v>
      </c>
    </row>
    <row r="22" spans="1:18" s="2" customFormat="1" ht="16.5" customHeight="1" x14ac:dyDescent="0.35">
      <c r="A22" s="5" t="s">
        <v>13</v>
      </c>
      <c r="B22" s="6">
        <v>101</v>
      </c>
      <c r="C22" s="7">
        <v>58767</v>
      </c>
      <c r="D22" s="5" t="s">
        <v>32</v>
      </c>
      <c r="E22" s="9">
        <v>19.989999999999998</v>
      </c>
      <c r="F22" s="9">
        <v>7.04</v>
      </c>
      <c r="G22" s="10">
        <v>121.67826086956522</v>
      </c>
      <c r="H22" s="10">
        <v>7</v>
      </c>
      <c r="I22" s="10">
        <v>52.14782608695652</v>
      </c>
      <c r="J22" s="10">
        <v>3</v>
      </c>
      <c r="K22" s="10">
        <v>34.765217391304347</v>
      </c>
      <c r="L22" s="10">
        <v>2</v>
      </c>
    </row>
    <row r="23" spans="1:18" s="2" customFormat="1" ht="16.5" customHeight="1" x14ac:dyDescent="0.35">
      <c r="A23" s="5" t="s">
        <v>13</v>
      </c>
      <c r="B23" s="6">
        <v>102</v>
      </c>
      <c r="C23" s="7">
        <v>42990</v>
      </c>
      <c r="D23" s="5" t="s">
        <v>33</v>
      </c>
      <c r="E23" s="9">
        <v>19.989999999999998</v>
      </c>
      <c r="F23" s="9">
        <v>10.85</v>
      </c>
      <c r="G23" s="10">
        <v>121.67826086956522</v>
      </c>
      <c r="H23" s="10">
        <v>7</v>
      </c>
      <c r="I23" s="10">
        <v>173.82608695652175</v>
      </c>
      <c r="J23" s="10">
        <v>10</v>
      </c>
      <c r="K23" s="10">
        <v>86.043478260869563</v>
      </c>
      <c r="L23" s="10">
        <v>5</v>
      </c>
    </row>
    <row r="24" spans="1:18" s="2" customFormat="1" ht="16.5" customHeight="1" x14ac:dyDescent="0.35">
      <c r="A24" s="5" t="s">
        <v>13</v>
      </c>
      <c r="B24" s="6">
        <v>102</v>
      </c>
      <c r="C24" s="7">
        <v>32857</v>
      </c>
      <c r="D24" s="5" t="s">
        <v>34</v>
      </c>
      <c r="E24" s="9">
        <v>130</v>
      </c>
      <c r="F24" s="9">
        <v>68.680000000000007</v>
      </c>
      <c r="G24" s="10">
        <v>113.04347826086956</v>
      </c>
      <c r="H24" s="10">
        <v>1</v>
      </c>
      <c r="I24" s="10">
        <v>0</v>
      </c>
      <c r="J24" s="10">
        <v>0</v>
      </c>
      <c r="K24" s="10">
        <v>113.04347826086956</v>
      </c>
      <c r="L24" s="10">
        <v>1</v>
      </c>
    </row>
    <row r="25" spans="1:18" s="2" customFormat="1" ht="16.5" customHeight="1" x14ac:dyDescent="0.35">
      <c r="A25" s="5" t="s">
        <v>13</v>
      </c>
      <c r="B25" s="6">
        <v>102</v>
      </c>
      <c r="C25" s="7">
        <v>61937</v>
      </c>
      <c r="D25" s="5" t="s">
        <v>35</v>
      </c>
      <c r="E25" s="9">
        <v>10</v>
      </c>
      <c r="F25" s="9">
        <v>2.67</v>
      </c>
      <c r="G25" s="10">
        <v>104.34782608695652</v>
      </c>
      <c r="H25" s="10">
        <v>12</v>
      </c>
      <c r="I25" s="10">
        <v>0</v>
      </c>
      <c r="J25" s="10">
        <v>0</v>
      </c>
      <c r="K25" s="10">
        <v>0</v>
      </c>
      <c r="L25" s="10">
        <v>0</v>
      </c>
    </row>
    <row r="26" spans="1:18" s="2" customFormat="1" ht="16.5" customHeight="1" x14ac:dyDescent="0.35">
      <c r="A26" s="5" t="s">
        <v>13</v>
      </c>
      <c r="B26" s="6">
        <v>118</v>
      </c>
      <c r="C26" s="7">
        <v>34033</v>
      </c>
      <c r="D26" s="5" t="s">
        <v>36</v>
      </c>
      <c r="E26" s="9">
        <v>120</v>
      </c>
      <c r="F26" s="9">
        <v>64.849999999999994</v>
      </c>
      <c r="G26" s="10">
        <v>104.34782608695652</v>
      </c>
      <c r="H26" s="10">
        <v>1</v>
      </c>
      <c r="I26" s="10">
        <v>104.34782608695652</v>
      </c>
      <c r="J26" s="10">
        <v>1</v>
      </c>
      <c r="K26" s="10">
        <v>0</v>
      </c>
      <c r="L26" s="10">
        <v>0</v>
      </c>
    </row>
    <row r="27" spans="1:18" s="2" customFormat="1" ht="16.5" customHeight="1" x14ac:dyDescent="0.35">
      <c r="A27" s="5" t="s">
        <v>13</v>
      </c>
      <c r="B27" s="6">
        <v>118</v>
      </c>
      <c r="C27" s="7">
        <v>34014</v>
      </c>
      <c r="D27" s="5" t="s">
        <v>37</v>
      </c>
      <c r="E27" s="9">
        <v>100</v>
      </c>
      <c r="F27" s="9">
        <v>52.03</v>
      </c>
      <c r="G27" s="10">
        <v>86.956521739130437</v>
      </c>
      <c r="H27" s="10">
        <v>1</v>
      </c>
      <c r="I27" s="10">
        <v>0</v>
      </c>
      <c r="J27" s="10">
        <v>0</v>
      </c>
      <c r="K27" s="10">
        <v>0</v>
      </c>
      <c r="L27" s="10">
        <v>0</v>
      </c>
    </row>
    <row r="28" spans="1:18" s="2" customFormat="1" ht="16.5" customHeight="1" x14ac:dyDescent="0.35">
      <c r="A28" s="5" t="s">
        <v>13</v>
      </c>
      <c r="B28" s="6">
        <v>101</v>
      </c>
      <c r="C28" s="7">
        <v>34091</v>
      </c>
      <c r="D28" s="5" t="s">
        <v>38</v>
      </c>
      <c r="E28" s="9">
        <v>17.989999999999998</v>
      </c>
      <c r="F28" s="9">
        <v>12.24</v>
      </c>
      <c r="G28" s="10">
        <v>86.913043478260875</v>
      </c>
      <c r="H28" s="10">
        <v>5</v>
      </c>
      <c r="I28" s="10">
        <v>86.913043478260875</v>
      </c>
      <c r="J28" s="10">
        <v>5</v>
      </c>
      <c r="K28" s="10">
        <v>198.66956521739129</v>
      </c>
      <c r="L28" s="10">
        <v>13</v>
      </c>
    </row>
    <row r="29" spans="1:18" s="2" customFormat="1" ht="16.5" customHeight="1" x14ac:dyDescent="0.35">
      <c r="A29" s="5" t="s">
        <v>13</v>
      </c>
      <c r="B29" s="6">
        <v>101</v>
      </c>
      <c r="C29" s="7">
        <v>34046</v>
      </c>
      <c r="D29" s="5" t="s">
        <v>39</v>
      </c>
      <c r="E29" s="9">
        <v>19.989999999999998</v>
      </c>
      <c r="F29" s="9">
        <v>12.2</v>
      </c>
      <c r="G29" s="10">
        <v>86.913043478260875</v>
      </c>
      <c r="H29" s="10">
        <v>5</v>
      </c>
      <c r="I29" s="10">
        <v>69.530434782608694</v>
      </c>
      <c r="J29" s="10">
        <v>4</v>
      </c>
      <c r="K29" s="10">
        <v>0</v>
      </c>
      <c r="L29" s="10">
        <v>0</v>
      </c>
    </row>
    <row r="30" spans="1:18" s="2" customFormat="1" ht="16.5" customHeight="1" x14ac:dyDescent="0.35">
      <c r="A30" s="5" t="s">
        <v>13</v>
      </c>
      <c r="B30" s="6">
        <v>102</v>
      </c>
      <c r="C30" s="7">
        <v>55481</v>
      </c>
      <c r="D30" s="5" t="s">
        <v>40</v>
      </c>
      <c r="E30" s="9">
        <v>11.99</v>
      </c>
      <c r="F30" s="9">
        <v>5.0999999999999996</v>
      </c>
      <c r="G30" s="10">
        <v>83.408695652173918</v>
      </c>
      <c r="H30" s="10">
        <v>8</v>
      </c>
      <c r="I30" s="10">
        <v>52.130434782608695</v>
      </c>
      <c r="J30" s="10">
        <v>5</v>
      </c>
      <c r="K30" s="10">
        <v>10.42608695652174</v>
      </c>
      <c r="L30" s="10">
        <v>1</v>
      </c>
    </row>
    <row r="31" spans="1:18" s="2" customFormat="1" ht="16.5" customHeight="1" x14ac:dyDescent="0.35">
      <c r="A31" s="5" t="s">
        <v>24</v>
      </c>
      <c r="B31" s="6">
        <v>102</v>
      </c>
      <c r="C31" s="7">
        <v>34015</v>
      </c>
      <c r="D31" s="5" t="s">
        <v>41</v>
      </c>
      <c r="E31" s="9">
        <v>29.99</v>
      </c>
      <c r="F31" s="9">
        <v>3.1788888888888889</v>
      </c>
      <c r="G31" s="10">
        <v>78.234782608695653</v>
      </c>
      <c r="H31" s="10">
        <v>3</v>
      </c>
      <c r="I31" s="10">
        <v>26.078260869565216</v>
      </c>
      <c r="J31" s="10">
        <v>1</v>
      </c>
      <c r="K31" s="10">
        <v>208.62608695652173</v>
      </c>
      <c r="L31" s="10">
        <v>8</v>
      </c>
    </row>
    <row r="32" spans="1:18" s="2" customFormat="1" ht="16.5" customHeight="1" x14ac:dyDescent="0.35">
      <c r="A32" s="5" t="s">
        <v>42</v>
      </c>
      <c r="B32" s="6">
        <v>102</v>
      </c>
      <c r="C32" s="7">
        <v>32863</v>
      </c>
      <c r="D32" s="5" t="s">
        <v>43</v>
      </c>
      <c r="E32" s="9">
        <v>17.989999999999998</v>
      </c>
      <c r="F32" s="9">
        <v>9.4</v>
      </c>
      <c r="G32" s="10">
        <v>78.217391304347828</v>
      </c>
      <c r="H32" s="10">
        <v>5</v>
      </c>
      <c r="I32" s="10">
        <v>62.573913043478257</v>
      </c>
      <c r="J32" s="10">
        <v>4</v>
      </c>
      <c r="K32" s="10">
        <v>15.643478260869564</v>
      </c>
      <c r="L32" s="10">
        <v>1</v>
      </c>
    </row>
    <row r="33" spans="1:12" s="2" customFormat="1" ht="16.5" customHeight="1" x14ac:dyDescent="0.35">
      <c r="A33" s="5" t="s">
        <v>13</v>
      </c>
      <c r="B33" s="6">
        <v>102</v>
      </c>
      <c r="C33" s="7">
        <v>34008</v>
      </c>
      <c r="D33" s="5" t="s">
        <v>44</v>
      </c>
      <c r="E33" s="9">
        <v>5.99</v>
      </c>
      <c r="F33" s="9">
        <v>4.32</v>
      </c>
      <c r="G33" s="10">
        <v>72.921739130434787</v>
      </c>
      <c r="H33" s="10">
        <v>14</v>
      </c>
      <c r="I33" s="10">
        <v>67.713043478260872</v>
      </c>
      <c r="J33" s="10">
        <v>13</v>
      </c>
      <c r="K33" s="10">
        <v>83.339130434782618</v>
      </c>
      <c r="L33" s="10">
        <v>16</v>
      </c>
    </row>
    <row r="34" spans="1:12" s="2" customFormat="1" ht="16.5" customHeight="1" x14ac:dyDescent="0.35">
      <c r="A34" s="5" t="s">
        <v>13</v>
      </c>
      <c r="B34" s="6">
        <v>101</v>
      </c>
      <c r="C34" s="7">
        <v>62622</v>
      </c>
      <c r="D34" s="5" t="s">
        <v>45</v>
      </c>
      <c r="E34" s="9">
        <v>26.99</v>
      </c>
      <c r="F34" s="9">
        <v>14.15</v>
      </c>
      <c r="G34" s="10">
        <v>70.408695652173918</v>
      </c>
      <c r="H34" s="10">
        <v>3</v>
      </c>
      <c r="I34" s="10">
        <v>0</v>
      </c>
      <c r="J34" s="10">
        <v>0</v>
      </c>
      <c r="K34" s="10">
        <v>91.530434782608694</v>
      </c>
      <c r="L34" s="10">
        <v>4</v>
      </c>
    </row>
    <row r="35" spans="1:12" s="2" customFormat="1" ht="16.5" customHeight="1" x14ac:dyDescent="0.35">
      <c r="A35" s="5" t="s">
        <v>13</v>
      </c>
      <c r="B35" s="6">
        <v>101</v>
      </c>
      <c r="C35" s="7">
        <v>58512</v>
      </c>
      <c r="D35" s="5" t="s">
        <v>46</v>
      </c>
      <c r="E35" s="9">
        <v>26.99</v>
      </c>
      <c r="F35" s="9">
        <v>10.66</v>
      </c>
      <c r="G35" s="10">
        <v>70.408695652173918</v>
      </c>
      <c r="H35" s="10">
        <v>3</v>
      </c>
      <c r="I35" s="10">
        <v>70.408695652173918</v>
      </c>
      <c r="J35" s="10">
        <v>3</v>
      </c>
      <c r="K35" s="10">
        <v>70.408695652173918</v>
      </c>
      <c r="L35" s="10">
        <v>3</v>
      </c>
    </row>
    <row r="36" spans="1:12" s="2" customFormat="1" ht="16.5" customHeight="1" x14ac:dyDescent="0.35">
      <c r="A36" s="5" t="s">
        <v>13</v>
      </c>
      <c r="B36" s="6">
        <v>119</v>
      </c>
      <c r="C36" s="7">
        <v>34105</v>
      </c>
      <c r="D36" s="5" t="s">
        <v>47</v>
      </c>
      <c r="E36" s="9">
        <v>79.989999999999995</v>
      </c>
      <c r="F36" s="9">
        <v>54.64</v>
      </c>
      <c r="G36" s="10">
        <v>69.556521739130432</v>
      </c>
      <c r="H36" s="10">
        <v>1</v>
      </c>
      <c r="I36" s="10">
        <v>0</v>
      </c>
      <c r="J36" s="10">
        <v>0</v>
      </c>
      <c r="K36" s="10">
        <v>208.66956521739129</v>
      </c>
      <c r="L36" s="10">
        <v>3</v>
      </c>
    </row>
    <row r="37" spans="1:12" s="2" customFormat="1" ht="16.5" customHeight="1" x14ac:dyDescent="0.35">
      <c r="A37" s="5" t="s">
        <v>13</v>
      </c>
      <c r="B37" s="6">
        <v>102</v>
      </c>
      <c r="C37" s="7">
        <v>32872</v>
      </c>
      <c r="D37" s="5" t="s">
        <v>48</v>
      </c>
      <c r="E37" s="9">
        <v>29.99</v>
      </c>
      <c r="F37" s="9">
        <v>11.79</v>
      </c>
      <c r="G37" s="10">
        <v>69.547826086956519</v>
      </c>
      <c r="H37" s="10">
        <v>2</v>
      </c>
      <c r="I37" s="10">
        <v>0</v>
      </c>
      <c r="J37" s="10">
        <v>0</v>
      </c>
      <c r="K37" s="10">
        <v>206.01739130434783</v>
      </c>
      <c r="L37" s="10">
        <v>8</v>
      </c>
    </row>
    <row r="38" spans="1:12" s="2" customFormat="1" ht="16.5" customHeight="1" x14ac:dyDescent="0.35">
      <c r="A38" s="5" t="s">
        <v>13</v>
      </c>
      <c r="B38" s="6">
        <v>102</v>
      </c>
      <c r="C38" s="7">
        <v>32152</v>
      </c>
      <c r="D38" s="5" t="s">
        <v>49</v>
      </c>
      <c r="E38" s="9">
        <v>12.99</v>
      </c>
      <c r="F38" s="9">
        <v>6.77</v>
      </c>
      <c r="G38" s="10">
        <v>67.77391304347826</v>
      </c>
      <c r="H38" s="10">
        <v>6</v>
      </c>
      <c r="I38" s="10">
        <v>22.591304347826089</v>
      </c>
      <c r="J38" s="10">
        <v>2</v>
      </c>
      <c r="K38" s="10">
        <v>56.478260869565219</v>
      </c>
      <c r="L38" s="10">
        <v>5</v>
      </c>
    </row>
    <row r="39" spans="1:12" s="2" customFormat="1" ht="16.5" customHeight="1" x14ac:dyDescent="0.35">
      <c r="A39" s="5" t="s">
        <v>13</v>
      </c>
      <c r="B39" s="6">
        <v>101</v>
      </c>
      <c r="C39" s="7">
        <v>34041</v>
      </c>
      <c r="D39" s="5" t="s">
        <v>50</v>
      </c>
      <c r="E39" s="9">
        <v>6.99</v>
      </c>
      <c r="F39" s="9">
        <v>3.15</v>
      </c>
      <c r="G39" s="10">
        <v>66.860869565217399</v>
      </c>
      <c r="H39" s="10">
        <v>11</v>
      </c>
      <c r="I39" s="10">
        <v>42.547826086956519</v>
      </c>
      <c r="J39" s="10">
        <v>7</v>
      </c>
      <c r="K39" s="10">
        <v>48.017391304347825</v>
      </c>
      <c r="L39" s="10">
        <v>8</v>
      </c>
    </row>
    <row r="40" spans="1:12" s="2" customFormat="1" ht="16.5" customHeight="1" x14ac:dyDescent="0.35">
      <c r="A40" s="5" t="s">
        <v>24</v>
      </c>
      <c r="B40" s="6">
        <v>101</v>
      </c>
      <c r="C40" s="7">
        <v>51680</v>
      </c>
      <c r="D40" s="5" t="s">
        <v>51</v>
      </c>
      <c r="E40" s="9">
        <v>21.99</v>
      </c>
      <c r="F40" s="9">
        <v>12.14</v>
      </c>
      <c r="G40" s="10">
        <v>57.365217391304348</v>
      </c>
      <c r="H40" s="10">
        <v>3</v>
      </c>
      <c r="I40" s="10">
        <v>19.121739130434783</v>
      </c>
      <c r="J40" s="10">
        <v>1</v>
      </c>
      <c r="K40" s="10">
        <v>19.121739130434783</v>
      </c>
      <c r="L40" s="10">
        <v>1</v>
      </c>
    </row>
    <row r="41" spans="1:12" s="2" customFormat="1" ht="16.5" customHeight="1" x14ac:dyDescent="0.35">
      <c r="A41" s="5" t="s">
        <v>13</v>
      </c>
      <c r="B41" s="6">
        <v>101</v>
      </c>
      <c r="C41" s="7">
        <v>34042</v>
      </c>
      <c r="D41" s="5" t="s">
        <v>52</v>
      </c>
      <c r="E41" s="9">
        <v>9.5</v>
      </c>
      <c r="F41" s="9">
        <v>4.1500000000000004</v>
      </c>
      <c r="G41" s="10">
        <v>49.565217391304344</v>
      </c>
      <c r="H41" s="10">
        <v>6</v>
      </c>
      <c r="I41" s="10">
        <v>90.869565217391312</v>
      </c>
      <c r="J41" s="10">
        <v>11</v>
      </c>
      <c r="K41" s="10">
        <v>97.052173913043475</v>
      </c>
      <c r="L41" s="10">
        <v>12</v>
      </c>
    </row>
    <row r="42" spans="1:12" s="2" customFormat="1" ht="16.5" customHeight="1" x14ac:dyDescent="0.35">
      <c r="A42" s="5" t="s">
        <v>13</v>
      </c>
      <c r="B42" s="6">
        <v>104</v>
      </c>
      <c r="C42" s="7">
        <v>43309</v>
      </c>
      <c r="D42" s="5" t="s">
        <v>53</v>
      </c>
      <c r="E42" s="9">
        <v>13.99</v>
      </c>
      <c r="F42" s="9">
        <v>6.67</v>
      </c>
      <c r="G42" s="10">
        <v>48.660869565217389</v>
      </c>
      <c r="H42" s="10">
        <v>4</v>
      </c>
      <c r="I42" s="10">
        <v>12.165217391304347</v>
      </c>
      <c r="J42" s="10">
        <v>1</v>
      </c>
      <c r="K42" s="10">
        <v>24.330434782608695</v>
      </c>
      <c r="L42" s="10">
        <v>2</v>
      </c>
    </row>
    <row r="43" spans="1:12" s="2" customFormat="1" ht="16.5" customHeight="1" x14ac:dyDescent="0.35">
      <c r="A43" s="5" t="s">
        <v>13</v>
      </c>
      <c r="B43" s="6">
        <v>102</v>
      </c>
      <c r="C43" s="7">
        <v>32855</v>
      </c>
      <c r="D43" s="5" t="s">
        <v>54</v>
      </c>
      <c r="E43" s="9">
        <v>17.989999999999998</v>
      </c>
      <c r="F43" s="9">
        <v>9.14</v>
      </c>
      <c r="G43" s="10">
        <v>46.930434782608693</v>
      </c>
      <c r="H43" s="10">
        <v>3</v>
      </c>
      <c r="I43" s="10">
        <v>31.286956521739128</v>
      </c>
      <c r="J43" s="10">
        <v>2</v>
      </c>
      <c r="K43" s="10">
        <v>46.930434782608693</v>
      </c>
      <c r="L43" s="10">
        <v>3</v>
      </c>
    </row>
    <row r="44" spans="1:12" s="2" customFormat="1" ht="16.5" customHeight="1" x14ac:dyDescent="0.35">
      <c r="A44" s="5" t="s">
        <v>13</v>
      </c>
      <c r="B44" s="6">
        <v>102</v>
      </c>
      <c r="C44" s="7">
        <v>32153</v>
      </c>
      <c r="D44" s="5" t="s">
        <v>55</v>
      </c>
      <c r="E44" s="9">
        <v>8.99</v>
      </c>
      <c r="F44" s="9">
        <v>4.5599999999999996</v>
      </c>
      <c r="G44" s="10">
        <v>46.904347826086955</v>
      </c>
      <c r="H44" s="10">
        <v>6</v>
      </c>
      <c r="I44" s="10">
        <v>62.539130434782606</v>
      </c>
      <c r="J44" s="10">
        <v>8</v>
      </c>
      <c r="K44" s="10">
        <v>39.086956521739133</v>
      </c>
      <c r="L44" s="10">
        <v>5</v>
      </c>
    </row>
    <row r="45" spans="1:12" s="2" customFormat="1" ht="16.5" customHeight="1" x14ac:dyDescent="0.35">
      <c r="A45" s="5" t="s">
        <v>13</v>
      </c>
      <c r="B45" s="6">
        <v>104</v>
      </c>
      <c r="C45" s="7">
        <v>34083</v>
      </c>
      <c r="D45" s="5" t="s">
        <v>56</v>
      </c>
      <c r="E45" s="9">
        <v>49.99</v>
      </c>
      <c r="F45" s="9">
        <v>13.76</v>
      </c>
      <c r="G45" s="10">
        <v>43.469565217391306</v>
      </c>
      <c r="H45" s="10">
        <v>1</v>
      </c>
      <c r="I45" s="10">
        <v>130.40869565217392</v>
      </c>
      <c r="J45" s="10">
        <v>3</v>
      </c>
      <c r="K45" s="10">
        <v>130.40869565217392</v>
      </c>
      <c r="L45" s="10">
        <v>3</v>
      </c>
    </row>
    <row r="46" spans="1:12" s="2" customFormat="1" ht="16.5" customHeight="1" x14ac:dyDescent="0.35">
      <c r="A46" s="5" t="s">
        <v>13</v>
      </c>
      <c r="B46" s="6">
        <v>101</v>
      </c>
      <c r="C46" s="7">
        <v>34053</v>
      </c>
      <c r="D46" s="5" t="s">
        <v>57</v>
      </c>
      <c r="E46" s="9">
        <v>15.99</v>
      </c>
      <c r="F46" s="9">
        <v>6.74</v>
      </c>
      <c r="G46" s="10">
        <v>41.713043478260872</v>
      </c>
      <c r="H46" s="10">
        <v>3</v>
      </c>
      <c r="I46" s="10">
        <v>55.617391304347827</v>
      </c>
      <c r="J46" s="10">
        <v>4</v>
      </c>
      <c r="K46" s="10">
        <v>0</v>
      </c>
      <c r="L46" s="10">
        <v>0</v>
      </c>
    </row>
    <row r="47" spans="1:12" s="2" customFormat="1" ht="16.5" customHeight="1" x14ac:dyDescent="0.35">
      <c r="A47" s="5" t="s">
        <v>13</v>
      </c>
      <c r="B47" s="6">
        <v>101</v>
      </c>
      <c r="C47" s="7">
        <v>33997</v>
      </c>
      <c r="D47" s="5" t="s">
        <v>58</v>
      </c>
      <c r="E47" s="9">
        <v>14.99</v>
      </c>
      <c r="F47" s="9">
        <v>7.62</v>
      </c>
      <c r="G47" s="10">
        <v>39.104347826086958</v>
      </c>
      <c r="H47" s="10">
        <v>3</v>
      </c>
      <c r="I47" s="10">
        <v>52.139130434782608</v>
      </c>
      <c r="J47" s="10">
        <v>4</v>
      </c>
      <c r="K47" s="10">
        <v>39.104347826086958</v>
      </c>
      <c r="L47" s="10">
        <v>3</v>
      </c>
    </row>
    <row r="48" spans="1:12" s="2" customFormat="1" ht="16.5" customHeight="1" x14ac:dyDescent="0.35">
      <c r="A48" s="5" t="s">
        <v>13</v>
      </c>
      <c r="B48" s="6">
        <v>101</v>
      </c>
      <c r="C48" s="7">
        <v>34004</v>
      </c>
      <c r="D48" s="5" t="s">
        <v>59</v>
      </c>
      <c r="E48" s="9">
        <v>1</v>
      </c>
      <c r="F48" s="9">
        <v>0.65</v>
      </c>
      <c r="G48" s="10">
        <v>30.434782608695652</v>
      </c>
      <c r="H48" s="10">
        <v>35</v>
      </c>
      <c r="I48" s="10">
        <v>6.9565217391304346</v>
      </c>
      <c r="J48" s="10">
        <v>8</v>
      </c>
      <c r="K48" s="10">
        <v>13.043478260869565</v>
      </c>
      <c r="L48" s="10">
        <v>15</v>
      </c>
    </row>
    <row r="49" spans="1:12" s="2" customFormat="1" ht="16.5" customHeight="1" x14ac:dyDescent="0.35">
      <c r="A49" s="5" t="s">
        <v>13</v>
      </c>
      <c r="B49" s="6">
        <v>101</v>
      </c>
      <c r="C49" s="7">
        <v>34023</v>
      </c>
      <c r="D49" s="5" t="s">
        <v>60</v>
      </c>
      <c r="E49" s="9">
        <v>6.99</v>
      </c>
      <c r="F49" s="9">
        <v>2.85</v>
      </c>
      <c r="G49" s="10">
        <v>30.39130434782609</v>
      </c>
      <c r="H49" s="10">
        <v>5</v>
      </c>
      <c r="I49" s="10">
        <v>24.31304347826087</v>
      </c>
      <c r="J49" s="10">
        <v>4</v>
      </c>
      <c r="K49" s="10">
        <v>24.008695652173913</v>
      </c>
      <c r="L49" s="10">
        <v>4</v>
      </c>
    </row>
    <row r="50" spans="1:12" s="2" customFormat="1" ht="16.5" customHeight="1" x14ac:dyDescent="0.35">
      <c r="A50" s="5" t="s">
        <v>13</v>
      </c>
      <c r="B50" s="6">
        <v>101</v>
      </c>
      <c r="C50" s="7">
        <v>34092</v>
      </c>
      <c r="D50" s="5" t="s">
        <v>61</v>
      </c>
      <c r="E50" s="9">
        <v>4.99</v>
      </c>
      <c r="F50" s="9">
        <v>2.52</v>
      </c>
      <c r="G50" s="10">
        <v>30.373913043478261</v>
      </c>
      <c r="H50" s="10">
        <v>7</v>
      </c>
      <c r="I50" s="10">
        <v>8.6782608695652179</v>
      </c>
      <c r="J50" s="10">
        <v>2</v>
      </c>
      <c r="K50" s="10">
        <v>0</v>
      </c>
      <c r="L50" s="10">
        <v>0</v>
      </c>
    </row>
    <row r="51" spans="1:12" s="2" customFormat="1" ht="16.5" customHeight="1" x14ac:dyDescent="0.35">
      <c r="A51" s="5" t="s">
        <v>13</v>
      </c>
      <c r="B51" s="6">
        <v>102</v>
      </c>
      <c r="C51" s="7">
        <v>61938</v>
      </c>
      <c r="D51" s="5" t="s">
        <v>62</v>
      </c>
      <c r="E51" s="9">
        <v>10</v>
      </c>
      <c r="F51" s="9">
        <v>3.43</v>
      </c>
      <c r="G51" s="10">
        <v>26.086956521739129</v>
      </c>
      <c r="H51" s="10">
        <v>3</v>
      </c>
      <c r="I51" s="10">
        <v>0</v>
      </c>
      <c r="J51" s="10">
        <v>0</v>
      </c>
      <c r="K51" s="10">
        <v>8.695652173913043</v>
      </c>
      <c r="L51" s="10">
        <v>1</v>
      </c>
    </row>
    <row r="52" spans="1:12" s="2" customFormat="1" ht="16.5" customHeight="1" x14ac:dyDescent="0.35">
      <c r="A52" s="5" t="s">
        <v>13</v>
      </c>
      <c r="B52" s="6">
        <v>101</v>
      </c>
      <c r="C52" s="7">
        <v>34022</v>
      </c>
      <c r="D52" s="5" t="s">
        <v>63</v>
      </c>
      <c r="E52" s="9">
        <v>5.99</v>
      </c>
      <c r="F52" s="9">
        <v>2.72</v>
      </c>
      <c r="G52" s="10">
        <v>26.043478260869563</v>
      </c>
      <c r="H52" s="10">
        <v>5</v>
      </c>
      <c r="I52" s="10">
        <v>0</v>
      </c>
      <c r="J52" s="10">
        <v>0</v>
      </c>
      <c r="K52" s="10">
        <v>10.417391304347827</v>
      </c>
      <c r="L52" s="10">
        <v>2</v>
      </c>
    </row>
    <row r="53" spans="1:12" s="2" customFormat="1" ht="16.5" customHeight="1" x14ac:dyDescent="0.35">
      <c r="A53" s="5" t="s">
        <v>13</v>
      </c>
      <c r="B53" s="6">
        <v>101</v>
      </c>
      <c r="C53" s="7">
        <v>61947</v>
      </c>
      <c r="D53" s="5" t="s">
        <v>64</v>
      </c>
      <c r="E53" s="9">
        <v>28.99</v>
      </c>
      <c r="F53" s="9">
        <v>8.93</v>
      </c>
      <c r="G53" s="10">
        <v>25.208695652173912</v>
      </c>
      <c r="H53" s="10">
        <v>1</v>
      </c>
      <c r="I53" s="10">
        <v>25.208695652173912</v>
      </c>
      <c r="J53" s="10">
        <v>1</v>
      </c>
      <c r="K53" s="10">
        <v>75.626086956521732</v>
      </c>
      <c r="L53" s="10">
        <v>3</v>
      </c>
    </row>
    <row r="54" spans="1:12" s="2" customFormat="1" ht="16.5" customHeight="1" x14ac:dyDescent="0.35">
      <c r="A54" s="5" t="s">
        <v>13</v>
      </c>
      <c r="B54" s="6">
        <v>101</v>
      </c>
      <c r="C54" s="7">
        <v>34068</v>
      </c>
      <c r="D54" s="5" t="s">
        <v>65</v>
      </c>
      <c r="E54" s="9">
        <v>1.5</v>
      </c>
      <c r="F54" s="9">
        <v>0.59</v>
      </c>
      <c r="G54" s="10">
        <v>20.869565217391305</v>
      </c>
      <c r="H54" s="10">
        <v>16</v>
      </c>
      <c r="I54" s="10">
        <v>0</v>
      </c>
      <c r="J54" s="10">
        <v>0</v>
      </c>
      <c r="K54" s="10">
        <v>0</v>
      </c>
      <c r="L54" s="10">
        <v>0</v>
      </c>
    </row>
    <row r="55" spans="1:12" s="2" customFormat="1" ht="16.5" customHeight="1" x14ac:dyDescent="0.35">
      <c r="A55" s="17" t="s">
        <v>66</v>
      </c>
      <c r="B55" s="18">
        <v>101</v>
      </c>
      <c r="C55" s="19">
        <v>34687</v>
      </c>
      <c r="D55" s="17" t="s">
        <v>67</v>
      </c>
      <c r="E55" s="20">
        <v>3.8</v>
      </c>
      <c r="F55" s="20">
        <v>2.0770666666666666</v>
      </c>
      <c r="G55" s="20">
        <v>19.826086956521738</v>
      </c>
      <c r="H55" s="20">
        <v>6</v>
      </c>
      <c r="I55" s="20">
        <v>3.3043478260869565</v>
      </c>
      <c r="J55" s="20">
        <v>1</v>
      </c>
      <c r="K55" s="20">
        <v>23.130434782608695</v>
      </c>
      <c r="L55" s="20">
        <v>7</v>
      </c>
    </row>
    <row r="56" spans="1:12" s="2" customFormat="1" ht="16.5" customHeight="1" x14ac:dyDescent="0.35">
      <c r="A56" s="5" t="s">
        <v>24</v>
      </c>
      <c r="B56" s="6">
        <v>101</v>
      </c>
      <c r="C56" s="7">
        <v>34687</v>
      </c>
      <c r="D56" s="5" t="s">
        <v>67</v>
      </c>
      <c r="E56" s="9">
        <v>3.8</v>
      </c>
      <c r="F56" s="9">
        <v>1.9687999999999999</v>
      </c>
      <c r="G56" s="10">
        <v>19.826086956521738</v>
      </c>
      <c r="H56" s="10">
        <v>6</v>
      </c>
      <c r="I56" s="10">
        <v>3.3043478260869565</v>
      </c>
      <c r="J56" s="10">
        <v>1</v>
      </c>
      <c r="K56" s="10">
        <v>23.130434782608695</v>
      </c>
      <c r="L56" s="10">
        <v>7</v>
      </c>
    </row>
    <row r="57" spans="1:12" s="2" customFormat="1" ht="16.5" customHeight="1" x14ac:dyDescent="0.35">
      <c r="A57" s="17" t="s">
        <v>66</v>
      </c>
      <c r="B57" s="18">
        <v>101</v>
      </c>
      <c r="C57" s="19">
        <v>32858</v>
      </c>
      <c r="D57" s="17" t="s">
        <v>68</v>
      </c>
      <c r="E57" s="20">
        <v>3.8</v>
      </c>
      <c r="F57" s="20">
        <v>2.0770666666666666</v>
      </c>
      <c r="G57" s="20">
        <v>19.826086956521738</v>
      </c>
      <c r="H57" s="20">
        <v>6</v>
      </c>
      <c r="I57" s="20">
        <v>102.43478260869566</v>
      </c>
      <c r="J57" s="20">
        <v>31</v>
      </c>
      <c r="K57" s="20">
        <v>194.46086956521739</v>
      </c>
      <c r="L57" s="20">
        <v>59</v>
      </c>
    </row>
    <row r="58" spans="1:12" s="2" customFormat="1" ht="16.5" customHeight="1" x14ac:dyDescent="0.35">
      <c r="A58" s="5" t="s">
        <v>24</v>
      </c>
      <c r="B58" s="6">
        <v>101</v>
      </c>
      <c r="C58" s="7">
        <v>32858</v>
      </c>
      <c r="D58" s="5" t="s">
        <v>68</v>
      </c>
      <c r="E58" s="9">
        <v>3.8</v>
      </c>
      <c r="F58" s="9">
        <v>1.8574000000000002</v>
      </c>
      <c r="G58" s="10">
        <v>19.826086956521738</v>
      </c>
      <c r="H58" s="10">
        <v>6</v>
      </c>
      <c r="I58" s="10">
        <v>102.43478260869566</v>
      </c>
      <c r="J58" s="10">
        <v>31</v>
      </c>
      <c r="K58" s="10">
        <v>194.46086956521739</v>
      </c>
      <c r="L58" s="10">
        <v>59</v>
      </c>
    </row>
    <row r="59" spans="1:12" s="2" customFormat="1" ht="16.5" customHeight="1" x14ac:dyDescent="0.35">
      <c r="A59" s="5" t="s">
        <v>13</v>
      </c>
      <c r="B59" s="6">
        <v>118</v>
      </c>
      <c r="C59" s="7">
        <v>40305</v>
      </c>
      <c r="D59" s="5" t="s">
        <v>69</v>
      </c>
      <c r="E59" s="9">
        <v>9.99</v>
      </c>
      <c r="F59" s="9">
        <v>4.53</v>
      </c>
      <c r="G59" s="10">
        <v>17.373913043478261</v>
      </c>
      <c r="H59" s="10">
        <v>2</v>
      </c>
      <c r="I59" s="10">
        <v>86.869565217391312</v>
      </c>
      <c r="J59" s="10">
        <v>10</v>
      </c>
      <c r="K59" s="10">
        <v>8.6869565217391305</v>
      </c>
      <c r="L59" s="10">
        <v>1</v>
      </c>
    </row>
    <row r="60" spans="1:12" s="2" customFormat="1" ht="16.5" customHeight="1" x14ac:dyDescent="0.35">
      <c r="A60" s="5" t="s">
        <v>42</v>
      </c>
      <c r="B60" s="6">
        <v>102</v>
      </c>
      <c r="C60" s="7">
        <v>58147</v>
      </c>
      <c r="D60" s="5" t="s">
        <v>70</v>
      </c>
      <c r="E60" s="9">
        <v>16.989999999999998</v>
      </c>
      <c r="F60" s="9">
        <v>7.99</v>
      </c>
      <c r="G60" s="10">
        <v>14.77391304347826</v>
      </c>
      <c r="H60" s="10">
        <v>1</v>
      </c>
      <c r="I60" s="10">
        <v>0</v>
      </c>
      <c r="J60" s="10">
        <v>0</v>
      </c>
      <c r="K60" s="10">
        <v>0</v>
      </c>
      <c r="L60" s="10">
        <v>0</v>
      </c>
    </row>
    <row r="61" spans="1:12" s="2" customFormat="1" ht="16.5" customHeight="1" x14ac:dyDescent="0.35">
      <c r="A61" s="5" t="s">
        <v>13</v>
      </c>
      <c r="B61" s="6">
        <v>102</v>
      </c>
      <c r="C61" s="7">
        <v>39422</v>
      </c>
      <c r="D61" s="5" t="s">
        <v>71</v>
      </c>
      <c r="E61" s="9">
        <v>15.99</v>
      </c>
      <c r="F61" s="9">
        <v>8.3000000000000007</v>
      </c>
      <c r="G61" s="10">
        <v>13.904347826086957</v>
      </c>
      <c r="H61" s="10">
        <v>1</v>
      </c>
      <c r="I61" s="10">
        <v>13.904347826086957</v>
      </c>
      <c r="J61" s="10">
        <v>1</v>
      </c>
      <c r="K61" s="10">
        <v>0</v>
      </c>
      <c r="L61" s="10">
        <v>0</v>
      </c>
    </row>
    <row r="62" spans="1:12" s="2" customFormat="1" ht="16.5" customHeight="1" x14ac:dyDescent="0.35">
      <c r="A62" s="5" t="s">
        <v>13</v>
      </c>
      <c r="B62" s="6">
        <v>101</v>
      </c>
      <c r="C62" s="7">
        <v>34086</v>
      </c>
      <c r="D62" s="5" t="s">
        <v>72</v>
      </c>
      <c r="E62" s="9">
        <v>29.99</v>
      </c>
      <c r="F62" s="9">
        <v>10</v>
      </c>
      <c r="G62" s="10">
        <v>5.2695652173913041</v>
      </c>
      <c r="H62" s="10">
        <v>0.20200000000000001</v>
      </c>
      <c r="I62" s="10">
        <v>0</v>
      </c>
      <c r="J62" s="10">
        <v>0</v>
      </c>
      <c r="K62" s="10">
        <v>9.5739130434782602</v>
      </c>
      <c r="L62" s="10">
        <v>0.376</v>
      </c>
    </row>
    <row r="63" spans="1:12" s="2" customFormat="1" ht="16.5" customHeight="1" x14ac:dyDescent="0.35">
      <c r="A63" s="5" t="s">
        <v>13</v>
      </c>
      <c r="B63" s="6">
        <v>102</v>
      </c>
      <c r="C63" s="7">
        <v>67301</v>
      </c>
      <c r="D63" s="5" t="s">
        <v>73</v>
      </c>
      <c r="E63" s="9">
        <v>15.99</v>
      </c>
      <c r="F63" s="9">
        <v>9.99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</row>
    <row r="64" spans="1:12" s="2" customFormat="1" ht="16.5" customHeight="1" x14ac:dyDescent="0.35">
      <c r="A64" s="5" t="s">
        <v>13</v>
      </c>
      <c r="B64" s="6">
        <v>102</v>
      </c>
      <c r="C64" s="7">
        <v>67247</v>
      </c>
      <c r="D64" s="5" t="s">
        <v>74</v>
      </c>
      <c r="E64" s="9">
        <v>15.99</v>
      </c>
      <c r="F64" s="9">
        <v>8.0500000000000007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5" spans="1:12" s="2" customFormat="1" ht="16.5" customHeight="1" x14ac:dyDescent="0.35">
      <c r="A65" s="5" t="s">
        <v>13</v>
      </c>
      <c r="B65" s="6">
        <v>102</v>
      </c>
      <c r="C65" s="7">
        <v>67246</v>
      </c>
      <c r="D65" s="5" t="s">
        <v>75</v>
      </c>
      <c r="E65" s="9">
        <v>26.99</v>
      </c>
      <c r="F65" s="9">
        <v>7.8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</row>
    <row r="66" spans="1:12" s="2" customFormat="1" ht="16.5" customHeight="1" x14ac:dyDescent="0.35">
      <c r="A66" s="5" t="s">
        <v>13</v>
      </c>
      <c r="B66" s="6">
        <v>102</v>
      </c>
      <c r="C66" s="7">
        <v>67245</v>
      </c>
      <c r="D66" s="5" t="s">
        <v>76</v>
      </c>
      <c r="E66" s="9">
        <v>26.99</v>
      </c>
      <c r="F66" s="9">
        <v>7.8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</row>
    <row r="67" spans="1:12" s="2" customFormat="1" ht="16.5" customHeight="1" x14ac:dyDescent="0.35">
      <c r="A67" s="5" t="s">
        <v>13</v>
      </c>
      <c r="B67" s="6">
        <v>102</v>
      </c>
      <c r="C67" s="7">
        <v>67244</v>
      </c>
      <c r="D67" s="5" t="s">
        <v>77</v>
      </c>
      <c r="E67" s="9">
        <v>35.99</v>
      </c>
      <c r="F67" s="9">
        <v>12.5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</row>
    <row r="68" spans="1:12" s="2" customFormat="1" ht="16.5" customHeight="1" x14ac:dyDescent="0.35">
      <c r="A68" s="5" t="s">
        <v>13</v>
      </c>
      <c r="B68" s="6">
        <v>102</v>
      </c>
      <c r="C68" s="7">
        <v>67243</v>
      </c>
      <c r="D68" s="5" t="s">
        <v>78</v>
      </c>
      <c r="E68" s="9">
        <v>30.99</v>
      </c>
      <c r="F68" s="9">
        <v>9.5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</row>
    <row r="69" spans="1:12" s="2" customFormat="1" ht="16.5" customHeight="1" x14ac:dyDescent="0.35">
      <c r="A69" s="5" t="s">
        <v>13</v>
      </c>
      <c r="B69" s="6">
        <v>102</v>
      </c>
      <c r="C69" s="7">
        <v>67242</v>
      </c>
      <c r="D69" s="5" t="s">
        <v>79</v>
      </c>
      <c r="E69" s="9">
        <v>13.99</v>
      </c>
      <c r="F69" s="9">
        <v>3.8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</row>
    <row r="70" spans="1:12" s="2" customFormat="1" ht="16.5" customHeight="1" x14ac:dyDescent="0.35">
      <c r="A70" s="5" t="s">
        <v>13</v>
      </c>
      <c r="B70" s="6">
        <v>102</v>
      </c>
      <c r="C70" s="7">
        <v>67241</v>
      </c>
      <c r="D70" s="5" t="s">
        <v>80</v>
      </c>
      <c r="E70" s="9">
        <v>15.99</v>
      </c>
      <c r="F70" s="9">
        <v>6.2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</row>
    <row r="71" spans="1:12" s="2" customFormat="1" ht="16.5" customHeight="1" x14ac:dyDescent="0.35">
      <c r="A71" s="5" t="s">
        <v>13</v>
      </c>
      <c r="B71" s="6">
        <v>101</v>
      </c>
      <c r="C71" s="7">
        <v>67140</v>
      </c>
      <c r="D71" s="5" t="s">
        <v>81</v>
      </c>
      <c r="E71" s="9">
        <v>2</v>
      </c>
      <c r="F71" s="9">
        <v>0.68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</row>
    <row r="72" spans="1:12" s="2" customFormat="1" ht="16.5" customHeight="1" x14ac:dyDescent="0.35">
      <c r="A72" s="5" t="s">
        <v>13</v>
      </c>
      <c r="B72" s="6">
        <v>102</v>
      </c>
      <c r="C72" s="7">
        <v>66952</v>
      </c>
      <c r="D72" s="5" t="s">
        <v>82</v>
      </c>
      <c r="E72" s="9">
        <v>29.99</v>
      </c>
      <c r="F72" s="9">
        <v>28.95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</row>
    <row r="73" spans="1:12" s="2" customFormat="1" ht="16.5" customHeight="1" x14ac:dyDescent="0.35">
      <c r="A73" s="5" t="s">
        <v>13</v>
      </c>
      <c r="B73" s="6">
        <v>102</v>
      </c>
      <c r="C73" s="7">
        <v>66951</v>
      </c>
      <c r="D73" s="5" t="s">
        <v>83</v>
      </c>
      <c r="E73" s="9">
        <v>29.99</v>
      </c>
      <c r="F73" s="9">
        <v>28.95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</row>
    <row r="74" spans="1:12" s="2" customFormat="1" ht="16.5" customHeight="1" x14ac:dyDescent="0.35">
      <c r="A74" s="5" t="s">
        <v>13</v>
      </c>
      <c r="B74" s="6">
        <v>102</v>
      </c>
      <c r="C74" s="7">
        <v>66950</v>
      </c>
      <c r="D74" s="5" t="s">
        <v>84</v>
      </c>
      <c r="E74" s="9">
        <v>29.99</v>
      </c>
      <c r="F74" s="9">
        <v>28.95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</row>
    <row r="75" spans="1:12" s="2" customFormat="1" ht="16.5" customHeight="1" x14ac:dyDescent="0.35">
      <c r="A75" s="5" t="s">
        <v>66</v>
      </c>
      <c r="B75" s="6">
        <v>101</v>
      </c>
      <c r="C75" s="7">
        <v>66806</v>
      </c>
      <c r="D75" s="5" t="s">
        <v>85</v>
      </c>
      <c r="E75" s="9">
        <v>33.99</v>
      </c>
      <c r="F75" s="9">
        <v>17.418749999999999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</row>
    <row r="76" spans="1:12" s="2" customFormat="1" ht="16.5" customHeight="1" x14ac:dyDescent="0.35">
      <c r="A76" s="5" t="s">
        <v>13</v>
      </c>
      <c r="B76" s="6">
        <v>102</v>
      </c>
      <c r="C76" s="7">
        <v>66435</v>
      </c>
      <c r="D76" s="5" t="s">
        <v>86</v>
      </c>
      <c r="E76" s="9">
        <v>11.99</v>
      </c>
      <c r="F76" s="9">
        <v>7.6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</row>
    <row r="77" spans="1:12" s="2" customFormat="1" ht="16.5" customHeight="1" x14ac:dyDescent="0.35">
      <c r="A77" s="5" t="s">
        <v>13</v>
      </c>
      <c r="B77" s="6">
        <v>102</v>
      </c>
      <c r="C77" s="7">
        <v>66434</v>
      </c>
      <c r="D77" s="5" t="s">
        <v>87</v>
      </c>
      <c r="E77" s="9">
        <v>13.99</v>
      </c>
      <c r="F77" s="9">
        <v>9.14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</row>
    <row r="78" spans="1:12" s="2" customFormat="1" ht="16.5" customHeight="1" x14ac:dyDescent="0.35">
      <c r="A78" s="5" t="s">
        <v>66</v>
      </c>
      <c r="B78" s="6">
        <v>102</v>
      </c>
      <c r="C78" s="7">
        <v>66308</v>
      </c>
      <c r="D78" s="5" t="s">
        <v>88</v>
      </c>
      <c r="E78" s="9">
        <v>10.85</v>
      </c>
      <c r="F78" s="9">
        <v>5.6590000000000007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s="2" customFormat="1" ht="16.5" customHeight="1" x14ac:dyDescent="0.35">
      <c r="A79" s="5" t="s">
        <v>13</v>
      </c>
      <c r="B79" s="6">
        <v>101</v>
      </c>
      <c r="C79" s="7">
        <v>65681</v>
      </c>
      <c r="D79" s="5" t="s">
        <v>89</v>
      </c>
      <c r="E79" s="9">
        <v>29.99</v>
      </c>
      <c r="F79" s="9">
        <v>16.03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</row>
    <row r="80" spans="1:12" s="2" customFormat="1" ht="16.5" customHeight="1" x14ac:dyDescent="0.35">
      <c r="A80" s="5" t="s">
        <v>13</v>
      </c>
      <c r="B80" s="6">
        <v>102</v>
      </c>
      <c r="C80" s="7">
        <v>65506</v>
      </c>
      <c r="D80" s="5" t="s">
        <v>90</v>
      </c>
      <c r="E80" s="9">
        <v>14.99</v>
      </c>
      <c r="F80" s="9">
        <v>7.72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s="2" customFormat="1" ht="16.5" customHeight="1" x14ac:dyDescent="0.35">
      <c r="A81" s="5" t="s">
        <v>13</v>
      </c>
      <c r="B81" s="6">
        <v>119</v>
      </c>
      <c r="C81" s="7">
        <v>65239</v>
      </c>
      <c r="D81" s="5" t="s">
        <v>91</v>
      </c>
      <c r="E81" s="9">
        <v>70</v>
      </c>
      <c r="F81" s="9">
        <v>48.14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</row>
    <row r="82" spans="1:12" s="2" customFormat="1" ht="16.5" customHeight="1" x14ac:dyDescent="0.35">
      <c r="A82" s="5" t="s">
        <v>13</v>
      </c>
      <c r="B82" s="6">
        <v>119</v>
      </c>
      <c r="C82" s="7">
        <v>65238</v>
      </c>
      <c r="D82" s="5" t="s">
        <v>92</v>
      </c>
      <c r="E82" s="9">
        <v>120</v>
      </c>
      <c r="F82" s="9">
        <v>82.1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2" customFormat="1" ht="16.5" customHeight="1" x14ac:dyDescent="0.35">
      <c r="A83" s="5" t="s">
        <v>13</v>
      </c>
      <c r="B83" s="6">
        <v>120</v>
      </c>
      <c r="C83" s="7">
        <v>64763</v>
      </c>
      <c r="D83" s="5" t="s">
        <v>93</v>
      </c>
      <c r="E83" s="9">
        <v>38</v>
      </c>
      <c r="F83" s="9">
        <v>18.920000000000002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</row>
    <row r="84" spans="1:12" s="2" customFormat="1" ht="16.5" customHeight="1" x14ac:dyDescent="0.35">
      <c r="A84" s="5" t="s">
        <v>13</v>
      </c>
      <c r="B84" s="6">
        <v>120</v>
      </c>
      <c r="C84" s="7">
        <v>64762</v>
      </c>
      <c r="D84" s="5" t="s">
        <v>94</v>
      </c>
      <c r="E84" s="9">
        <v>69.989999999999995</v>
      </c>
      <c r="F84" s="9">
        <v>37.380000000000003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</row>
    <row r="85" spans="1:12" s="2" customFormat="1" ht="16.5" customHeight="1" x14ac:dyDescent="0.35">
      <c r="A85" s="5" t="s">
        <v>13</v>
      </c>
      <c r="B85" s="6">
        <v>120</v>
      </c>
      <c r="C85" s="7">
        <v>64761</v>
      </c>
      <c r="D85" s="5" t="s">
        <v>95</v>
      </c>
      <c r="E85" s="9">
        <v>69.989999999999995</v>
      </c>
      <c r="F85" s="9">
        <v>42.18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</row>
    <row r="86" spans="1:12" s="2" customFormat="1" ht="16.5" customHeight="1" x14ac:dyDescent="0.35">
      <c r="A86" s="5" t="s">
        <v>13</v>
      </c>
      <c r="B86" s="6">
        <v>119</v>
      </c>
      <c r="C86" s="7">
        <v>64635</v>
      </c>
      <c r="D86" s="5" t="s">
        <v>96</v>
      </c>
      <c r="E86" s="9">
        <v>160</v>
      </c>
      <c r="F86" s="9">
        <v>72.88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</row>
    <row r="87" spans="1:12" s="2" customFormat="1" ht="16.5" customHeight="1" x14ac:dyDescent="0.35">
      <c r="A87" s="5" t="s">
        <v>13</v>
      </c>
      <c r="B87" s="6">
        <v>119</v>
      </c>
      <c r="C87" s="7">
        <v>64633</v>
      </c>
      <c r="D87" s="5" t="s">
        <v>97</v>
      </c>
      <c r="E87" s="9">
        <v>8.99</v>
      </c>
      <c r="F87" s="9">
        <v>3.8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</row>
    <row r="88" spans="1:12" s="2" customFormat="1" ht="16.5" customHeight="1" x14ac:dyDescent="0.35">
      <c r="A88" s="5" t="s">
        <v>13</v>
      </c>
      <c r="B88" s="6">
        <v>119</v>
      </c>
      <c r="C88" s="7">
        <v>64632</v>
      </c>
      <c r="D88" s="5" t="s">
        <v>98</v>
      </c>
      <c r="E88" s="9">
        <v>140</v>
      </c>
      <c r="F88" s="9">
        <v>62.14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</row>
    <row r="89" spans="1:12" s="2" customFormat="1" ht="16.5" customHeight="1" x14ac:dyDescent="0.35">
      <c r="A89" s="5" t="s">
        <v>13</v>
      </c>
      <c r="B89" s="6">
        <v>107</v>
      </c>
      <c r="C89" s="7">
        <v>64416</v>
      </c>
      <c r="D89" s="5" t="s">
        <v>99</v>
      </c>
      <c r="E89" s="9">
        <v>49.99</v>
      </c>
      <c r="F89" s="9">
        <v>32.549999999999997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</row>
    <row r="90" spans="1:12" s="2" customFormat="1" ht="16.5" customHeight="1" x14ac:dyDescent="0.35">
      <c r="A90" s="5" t="s">
        <v>66</v>
      </c>
      <c r="B90" s="6">
        <v>102</v>
      </c>
      <c r="C90" s="7">
        <v>63898</v>
      </c>
      <c r="D90" s="5" t="s">
        <v>100</v>
      </c>
      <c r="E90" s="9">
        <v>330.99</v>
      </c>
      <c r="F90" s="9">
        <v>179.16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</row>
    <row r="91" spans="1:12" s="2" customFormat="1" ht="16.5" customHeight="1" x14ac:dyDescent="0.35">
      <c r="A91" s="5" t="s">
        <v>13</v>
      </c>
      <c r="B91" s="6">
        <v>101</v>
      </c>
      <c r="C91" s="7">
        <v>63800</v>
      </c>
      <c r="D91" s="5" t="s">
        <v>101</v>
      </c>
      <c r="E91" s="9">
        <v>23.99</v>
      </c>
      <c r="F91" s="9">
        <v>11.87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 s="2" customFormat="1" ht="16.5" customHeight="1" x14ac:dyDescent="0.35">
      <c r="A92" s="5" t="s">
        <v>13</v>
      </c>
      <c r="B92" s="6">
        <v>119</v>
      </c>
      <c r="C92" s="7">
        <v>63798</v>
      </c>
      <c r="D92" s="5" t="s">
        <v>102</v>
      </c>
      <c r="E92" s="9">
        <v>79.989999999999995</v>
      </c>
      <c r="F92" s="9">
        <v>42.68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</row>
    <row r="93" spans="1:12" s="2" customFormat="1" ht="16.5" customHeight="1" x14ac:dyDescent="0.35">
      <c r="A93" s="5" t="s">
        <v>13</v>
      </c>
      <c r="B93" s="6">
        <v>102</v>
      </c>
      <c r="C93" s="7">
        <v>63394</v>
      </c>
      <c r="D93" s="5" t="s">
        <v>103</v>
      </c>
      <c r="E93" s="9">
        <v>26.97</v>
      </c>
      <c r="F93" s="9">
        <v>13.68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</row>
    <row r="94" spans="1:12" s="2" customFormat="1" ht="16.5" customHeight="1" x14ac:dyDescent="0.35">
      <c r="A94" s="5" t="s">
        <v>13</v>
      </c>
      <c r="B94" s="6">
        <v>101</v>
      </c>
      <c r="C94" s="7">
        <v>62788</v>
      </c>
      <c r="D94" s="5" t="s">
        <v>104</v>
      </c>
      <c r="E94" s="9">
        <v>26.99</v>
      </c>
      <c r="F94" s="9">
        <v>10.66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</row>
    <row r="95" spans="1:12" s="2" customFormat="1" ht="16.5" customHeight="1" x14ac:dyDescent="0.35">
      <c r="A95" s="5" t="s">
        <v>13</v>
      </c>
      <c r="B95" s="6">
        <v>120</v>
      </c>
      <c r="C95" s="7">
        <v>62629</v>
      </c>
      <c r="D95" s="5" t="s">
        <v>105</v>
      </c>
      <c r="E95" s="9">
        <v>60</v>
      </c>
      <c r="F95" s="9">
        <v>33.18</v>
      </c>
      <c r="G95" s="10">
        <v>0</v>
      </c>
      <c r="H95" s="10">
        <v>0</v>
      </c>
      <c r="I95" s="10">
        <v>1043.4782608695652</v>
      </c>
      <c r="J95" s="10">
        <v>20</v>
      </c>
      <c r="K95" s="10">
        <v>0</v>
      </c>
      <c r="L95" s="10">
        <v>0</v>
      </c>
    </row>
    <row r="96" spans="1:12" s="2" customFormat="1" ht="16.5" customHeight="1" x14ac:dyDescent="0.35">
      <c r="A96" s="5" t="s">
        <v>13</v>
      </c>
      <c r="B96" s="6">
        <v>101</v>
      </c>
      <c r="C96" s="7">
        <v>62627</v>
      </c>
      <c r="D96" s="5" t="s">
        <v>106</v>
      </c>
      <c r="E96" s="9">
        <v>20.99</v>
      </c>
      <c r="F96" s="9">
        <v>12.88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</row>
    <row r="97" spans="1:12" s="2" customFormat="1" ht="16.5" customHeight="1" x14ac:dyDescent="0.35">
      <c r="A97" s="5" t="s">
        <v>13</v>
      </c>
      <c r="B97" s="6">
        <v>102</v>
      </c>
      <c r="C97" s="7">
        <v>62623</v>
      </c>
      <c r="D97" s="5" t="s">
        <v>107</v>
      </c>
      <c r="E97" s="9">
        <v>15.99</v>
      </c>
      <c r="F97" s="9">
        <v>8.31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</row>
    <row r="98" spans="1:12" s="2" customFormat="1" ht="16.5" customHeight="1" x14ac:dyDescent="0.35">
      <c r="A98" s="5" t="s">
        <v>13</v>
      </c>
      <c r="B98" s="6">
        <v>101</v>
      </c>
      <c r="C98" s="7">
        <v>62621</v>
      </c>
      <c r="D98" s="5" t="s">
        <v>108</v>
      </c>
      <c r="E98" s="9">
        <v>26.99</v>
      </c>
      <c r="F98" s="9">
        <v>14.15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</row>
    <row r="99" spans="1:12" s="2" customFormat="1" ht="16.5" customHeight="1" x14ac:dyDescent="0.35">
      <c r="A99" s="5" t="s">
        <v>13</v>
      </c>
      <c r="B99" s="6">
        <v>119</v>
      </c>
      <c r="C99" s="7">
        <v>62620</v>
      </c>
      <c r="D99" s="5" t="s">
        <v>109</v>
      </c>
      <c r="E99" s="9">
        <v>65.989999999999995</v>
      </c>
      <c r="F99" s="9">
        <v>46.29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</row>
    <row r="100" spans="1:12" s="2" customFormat="1" ht="16.5" customHeight="1" x14ac:dyDescent="0.35">
      <c r="A100" s="5" t="s">
        <v>13</v>
      </c>
      <c r="B100" s="6">
        <v>109</v>
      </c>
      <c r="C100" s="7">
        <v>62614</v>
      </c>
      <c r="D100" s="5" t="s">
        <v>110</v>
      </c>
      <c r="E100" s="9">
        <v>7.99</v>
      </c>
      <c r="F100" s="9">
        <v>5.54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</row>
    <row r="101" spans="1:12" s="2" customFormat="1" ht="16.5" customHeight="1" x14ac:dyDescent="0.35">
      <c r="A101" s="5" t="s">
        <v>13</v>
      </c>
      <c r="B101" s="6">
        <v>120</v>
      </c>
      <c r="C101" s="7">
        <v>62585</v>
      </c>
      <c r="D101" s="5" t="s">
        <v>111</v>
      </c>
      <c r="E101" s="9">
        <v>60</v>
      </c>
      <c r="F101" s="9">
        <v>26.17</v>
      </c>
      <c r="G101" s="10">
        <v>0</v>
      </c>
      <c r="H101" s="10">
        <v>0</v>
      </c>
      <c r="I101" s="10">
        <v>6217.391304347826</v>
      </c>
      <c r="J101" s="10">
        <v>130</v>
      </c>
      <c r="K101" s="10">
        <v>0</v>
      </c>
      <c r="L101" s="10">
        <v>0</v>
      </c>
    </row>
    <row r="102" spans="1:12" s="2" customFormat="1" ht="16.5" customHeight="1" x14ac:dyDescent="0.35">
      <c r="A102" s="5" t="s">
        <v>13</v>
      </c>
      <c r="B102" s="6">
        <v>102</v>
      </c>
      <c r="C102" s="7">
        <v>62499</v>
      </c>
      <c r="D102" s="5" t="s">
        <v>112</v>
      </c>
      <c r="E102" s="9">
        <v>12.99</v>
      </c>
      <c r="F102" s="9">
        <v>6.69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</row>
    <row r="103" spans="1:12" s="2" customFormat="1" ht="16.5" customHeight="1" x14ac:dyDescent="0.35">
      <c r="A103" s="5" t="s">
        <v>13</v>
      </c>
      <c r="B103" s="6">
        <v>119</v>
      </c>
      <c r="C103" s="7">
        <v>62457</v>
      </c>
      <c r="D103" s="5" t="s">
        <v>113</v>
      </c>
      <c r="E103" s="9">
        <v>100</v>
      </c>
      <c r="F103" s="9">
        <v>53.89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</row>
    <row r="104" spans="1:12" s="2" customFormat="1" ht="16.5" customHeight="1" x14ac:dyDescent="0.35">
      <c r="A104" s="5" t="s">
        <v>13</v>
      </c>
      <c r="B104" s="6">
        <v>101</v>
      </c>
      <c r="C104" s="7">
        <v>62390</v>
      </c>
      <c r="D104" s="5" t="s">
        <v>114</v>
      </c>
      <c r="E104" s="9">
        <v>19.989999999999998</v>
      </c>
      <c r="F104" s="9">
        <v>7.43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</row>
    <row r="105" spans="1:12" s="2" customFormat="1" ht="16.5" customHeight="1" x14ac:dyDescent="0.35">
      <c r="A105" s="5" t="s">
        <v>13</v>
      </c>
      <c r="B105" s="6">
        <v>102</v>
      </c>
      <c r="C105" s="7">
        <v>62290</v>
      </c>
      <c r="D105" s="5" t="s">
        <v>115</v>
      </c>
      <c r="E105" s="9">
        <v>10</v>
      </c>
      <c r="F105" s="9">
        <v>3.77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</row>
    <row r="106" spans="1:12" s="2" customFormat="1" ht="16.5" customHeight="1" x14ac:dyDescent="0.35">
      <c r="A106" s="5" t="s">
        <v>13</v>
      </c>
      <c r="B106" s="6">
        <v>112</v>
      </c>
      <c r="C106" s="7">
        <v>61978</v>
      </c>
      <c r="D106" s="5" t="s">
        <v>116</v>
      </c>
      <c r="E106" s="9">
        <v>199.99</v>
      </c>
      <c r="F106" s="9">
        <v>126.16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</row>
    <row r="107" spans="1:12" s="2" customFormat="1" ht="16.5" customHeight="1" x14ac:dyDescent="0.35">
      <c r="A107" s="5" t="s">
        <v>13</v>
      </c>
      <c r="B107" s="6">
        <v>101</v>
      </c>
      <c r="C107" s="7">
        <v>61950</v>
      </c>
      <c r="D107" s="5" t="s">
        <v>117</v>
      </c>
      <c r="E107" s="9">
        <v>10</v>
      </c>
      <c r="F107" s="9">
        <v>6.19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</row>
    <row r="108" spans="1:12" s="2" customFormat="1" ht="16.5" customHeight="1" x14ac:dyDescent="0.35">
      <c r="A108" s="5" t="s">
        <v>13</v>
      </c>
      <c r="B108" s="6">
        <v>101</v>
      </c>
      <c r="C108" s="7">
        <v>61949</v>
      </c>
      <c r="D108" s="5" t="s">
        <v>118</v>
      </c>
      <c r="E108" s="9">
        <v>10</v>
      </c>
      <c r="F108" s="9">
        <v>6.28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</row>
    <row r="109" spans="1:12" s="2" customFormat="1" ht="16.5" customHeight="1" x14ac:dyDescent="0.35">
      <c r="A109" s="5" t="s">
        <v>13</v>
      </c>
      <c r="B109" s="6">
        <v>102</v>
      </c>
      <c r="C109" s="7">
        <v>61943</v>
      </c>
      <c r="D109" s="5" t="s">
        <v>119</v>
      </c>
      <c r="E109" s="9">
        <v>10</v>
      </c>
      <c r="F109" s="9">
        <v>3.71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</row>
    <row r="110" spans="1:12" s="2" customFormat="1" ht="16.5" customHeight="1" x14ac:dyDescent="0.35">
      <c r="A110" s="5" t="s">
        <v>13</v>
      </c>
      <c r="B110" s="6">
        <v>102</v>
      </c>
      <c r="C110" s="7">
        <v>61942</v>
      </c>
      <c r="D110" s="5" t="s">
        <v>120</v>
      </c>
      <c r="E110" s="9">
        <v>10</v>
      </c>
      <c r="F110" s="9">
        <v>3.73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</row>
    <row r="111" spans="1:12" s="2" customFormat="1" ht="16.5" customHeight="1" x14ac:dyDescent="0.35">
      <c r="A111" s="5" t="s">
        <v>13</v>
      </c>
      <c r="B111" s="6">
        <v>102</v>
      </c>
      <c r="C111" s="7">
        <v>61941</v>
      </c>
      <c r="D111" s="5" t="s">
        <v>121</v>
      </c>
      <c r="E111" s="9">
        <v>10</v>
      </c>
      <c r="F111" s="9">
        <v>3.4432999999999998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</row>
    <row r="112" spans="1:12" s="2" customFormat="1" ht="16.5" customHeight="1" x14ac:dyDescent="0.35">
      <c r="A112" s="5" t="s">
        <v>13</v>
      </c>
      <c r="B112" s="6">
        <v>102</v>
      </c>
      <c r="C112" s="7">
        <v>61940</v>
      </c>
      <c r="D112" s="5" t="s">
        <v>122</v>
      </c>
      <c r="E112" s="9">
        <v>10</v>
      </c>
      <c r="F112" s="9">
        <v>3.28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</row>
    <row r="113" spans="1:12" s="2" customFormat="1" ht="16.5" customHeight="1" x14ac:dyDescent="0.35">
      <c r="A113" s="5" t="s">
        <v>13</v>
      </c>
      <c r="B113" s="6">
        <v>102</v>
      </c>
      <c r="C113" s="7">
        <v>61939</v>
      </c>
      <c r="D113" s="5" t="s">
        <v>123</v>
      </c>
      <c r="E113" s="9">
        <v>10</v>
      </c>
      <c r="F113" s="9">
        <v>5.09</v>
      </c>
      <c r="G113" s="10">
        <v>0</v>
      </c>
      <c r="H113" s="10">
        <v>0</v>
      </c>
      <c r="I113" s="10">
        <v>147.82608695652175</v>
      </c>
      <c r="J113" s="10">
        <v>17</v>
      </c>
      <c r="K113" s="10">
        <v>164.78260869565219</v>
      </c>
      <c r="L113" s="10">
        <v>19</v>
      </c>
    </row>
    <row r="114" spans="1:12" s="2" customFormat="1" ht="16.5" customHeight="1" x14ac:dyDescent="0.35">
      <c r="A114" s="5" t="s">
        <v>24</v>
      </c>
      <c r="B114" s="6">
        <v>102</v>
      </c>
      <c r="C114" s="7">
        <v>61929</v>
      </c>
      <c r="D114" s="5" t="s">
        <v>124</v>
      </c>
      <c r="E114" s="9">
        <v>79.989999999999995</v>
      </c>
      <c r="F114" s="9">
        <v>44.62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</row>
    <row r="115" spans="1:12" s="2" customFormat="1" ht="16.5" customHeight="1" x14ac:dyDescent="0.35">
      <c r="A115" s="5" t="s">
        <v>24</v>
      </c>
      <c r="B115" s="6">
        <v>102</v>
      </c>
      <c r="C115" s="7">
        <v>61928</v>
      </c>
      <c r="D115" s="5" t="s">
        <v>125</v>
      </c>
      <c r="E115" s="9">
        <v>79.989999999999995</v>
      </c>
      <c r="F115" s="9">
        <v>44.62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</row>
    <row r="116" spans="1:12" s="2" customFormat="1" ht="16.5" customHeight="1" x14ac:dyDescent="0.35">
      <c r="A116" s="5" t="s">
        <v>24</v>
      </c>
      <c r="B116" s="6">
        <v>102</v>
      </c>
      <c r="C116" s="7">
        <v>61926</v>
      </c>
      <c r="D116" s="5" t="s">
        <v>126</v>
      </c>
      <c r="E116" s="9">
        <v>79.989999999999995</v>
      </c>
      <c r="F116" s="9">
        <v>41.475000000000001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</row>
    <row r="117" spans="1:12" s="2" customFormat="1" ht="16.5" customHeight="1" x14ac:dyDescent="0.35">
      <c r="A117" s="5" t="s">
        <v>24</v>
      </c>
      <c r="B117" s="6">
        <v>102</v>
      </c>
      <c r="C117" s="7">
        <v>61925</v>
      </c>
      <c r="D117" s="5" t="s">
        <v>127</v>
      </c>
      <c r="E117" s="9">
        <v>79.989999999999995</v>
      </c>
      <c r="F117" s="9">
        <v>41.475000000000001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</row>
    <row r="118" spans="1:12" s="2" customFormat="1" ht="16.5" customHeight="1" x14ac:dyDescent="0.35">
      <c r="A118" s="5" t="s">
        <v>24</v>
      </c>
      <c r="B118" s="6">
        <v>102</v>
      </c>
      <c r="C118" s="7">
        <v>61923</v>
      </c>
      <c r="D118" s="5" t="s">
        <v>128</v>
      </c>
      <c r="E118" s="9">
        <v>79.989999999999995</v>
      </c>
      <c r="F118" s="9">
        <v>41.475000000000001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</row>
    <row r="119" spans="1:12" s="2" customFormat="1" ht="16.5" customHeight="1" x14ac:dyDescent="0.35">
      <c r="A119" s="5" t="s">
        <v>13</v>
      </c>
      <c r="B119" s="6">
        <v>117</v>
      </c>
      <c r="C119" s="7">
        <v>61814</v>
      </c>
      <c r="D119" s="5" t="s">
        <v>129</v>
      </c>
      <c r="E119" s="9">
        <v>10</v>
      </c>
      <c r="F119" s="9">
        <v>3.39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</row>
    <row r="120" spans="1:12" s="2" customFormat="1" ht="16.5" customHeight="1" x14ac:dyDescent="0.35">
      <c r="A120" s="5" t="s">
        <v>13</v>
      </c>
      <c r="B120" s="6">
        <v>101</v>
      </c>
      <c r="C120" s="7">
        <v>61018</v>
      </c>
      <c r="D120" s="5" t="s">
        <v>130</v>
      </c>
      <c r="E120" s="9">
        <v>4</v>
      </c>
      <c r="F120" s="9">
        <v>2.2599999999999998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</row>
    <row r="121" spans="1:12" s="2" customFormat="1" ht="16.5" customHeight="1" x14ac:dyDescent="0.35">
      <c r="A121" s="5" t="s">
        <v>13</v>
      </c>
      <c r="B121" s="6">
        <v>102</v>
      </c>
      <c r="C121" s="7">
        <v>61014</v>
      </c>
      <c r="D121" s="5" t="s">
        <v>131</v>
      </c>
      <c r="E121" s="9">
        <v>5.99</v>
      </c>
      <c r="F121" s="9">
        <v>3.1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</row>
    <row r="122" spans="1:12" s="2" customFormat="1" ht="16.5" customHeight="1" x14ac:dyDescent="0.35">
      <c r="A122" s="5" t="s">
        <v>13</v>
      </c>
      <c r="B122" s="6">
        <v>101</v>
      </c>
      <c r="C122" s="7">
        <v>60832</v>
      </c>
      <c r="D122" s="5" t="s">
        <v>132</v>
      </c>
      <c r="E122" s="9">
        <v>10</v>
      </c>
      <c r="F122" s="9">
        <v>7.36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</row>
    <row r="123" spans="1:12" s="2" customFormat="1" ht="16.5" customHeight="1" x14ac:dyDescent="0.35">
      <c r="A123" s="5" t="s">
        <v>13</v>
      </c>
      <c r="B123" s="6">
        <v>119</v>
      </c>
      <c r="C123" s="7">
        <v>60694</v>
      </c>
      <c r="D123" s="5" t="s">
        <v>133</v>
      </c>
      <c r="E123" s="9">
        <v>160</v>
      </c>
      <c r="F123" s="9">
        <v>106.8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</row>
    <row r="124" spans="1:12" s="2" customFormat="1" ht="16.5" customHeight="1" x14ac:dyDescent="0.35">
      <c r="A124" s="5" t="s">
        <v>13</v>
      </c>
      <c r="B124" s="6">
        <v>102</v>
      </c>
      <c r="C124" s="7">
        <v>59477</v>
      </c>
      <c r="D124" s="5" t="s">
        <v>134</v>
      </c>
      <c r="E124" s="9">
        <v>5.99</v>
      </c>
      <c r="F124" s="9">
        <v>3.1</v>
      </c>
      <c r="G124" s="10">
        <v>0</v>
      </c>
      <c r="H124" s="10">
        <v>0</v>
      </c>
      <c r="I124" s="10">
        <v>10.417391304347827</v>
      </c>
      <c r="J124" s="10">
        <v>2</v>
      </c>
      <c r="K124" s="10">
        <v>20.834782608695654</v>
      </c>
      <c r="L124" s="10">
        <v>4</v>
      </c>
    </row>
    <row r="125" spans="1:12" s="2" customFormat="1" ht="16.5" customHeight="1" x14ac:dyDescent="0.35">
      <c r="A125" s="5" t="s">
        <v>13</v>
      </c>
      <c r="B125" s="6">
        <v>102</v>
      </c>
      <c r="C125" s="7">
        <v>59223</v>
      </c>
      <c r="D125" s="5" t="s">
        <v>135</v>
      </c>
      <c r="E125" s="9">
        <v>5.99</v>
      </c>
      <c r="F125" s="9">
        <v>3.1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</row>
    <row r="126" spans="1:12" s="2" customFormat="1" ht="16.5" customHeight="1" x14ac:dyDescent="0.35">
      <c r="A126" s="5" t="s">
        <v>13</v>
      </c>
      <c r="B126" s="6">
        <v>102</v>
      </c>
      <c r="C126" s="7">
        <v>59222</v>
      </c>
      <c r="D126" s="5" t="s">
        <v>136</v>
      </c>
      <c r="E126" s="9">
        <v>5.99</v>
      </c>
      <c r="F126" s="9">
        <v>3.1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</row>
    <row r="127" spans="1:12" s="2" customFormat="1" ht="16.5" customHeight="1" x14ac:dyDescent="0.35">
      <c r="A127" s="5" t="s">
        <v>13</v>
      </c>
      <c r="B127" s="6">
        <v>102</v>
      </c>
      <c r="C127" s="7">
        <v>59221</v>
      </c>
      <c r="D127" s="5" t="s">
        <v>137</v>
      </c>
      <c r="E127" s="9">
        <v>5.99</v>
      </c>
      <c r="F127" s="9">
        <v>3.1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</row>
    <row r="128" spans="1:12" s="2" customFormat="1" ht="16.5" customHeight="1" x14ac:dyDescent="0.35">
      <c r="A128" s="5" t="s">
        <v>13</v>
      </c>
      <c r="B128" s="6">
        <v>102</v>
      </c>
      <c r="C128" s="7">
        <v>59220</v>
      </c>
      <c r="D128" s="5" t="s">
        <v>138</v>
      </c>
      <c r="E128" s="9">
        <v>5.99</v>
      </c>
      <c r="F128" s="9">
        <v>3.1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</row>
    <row r="129" spans="1:12" s="2" customFormat="1" ht="16.5" customHeight="1" x14ac:dyDescent="0.35">
      <c r="A129" s="5" t="s">
        <v>13</v>
      </c>
      <c r="B129" s="6">
        <v>102</v>
      </c>
      <c r="C129" s="7">
        <v>59058</v>
      </c>
      <c r="D129" s="5" t="s">
        <v>139</v>
      </c>
      <c r="E129" s="9">
        <v>5.99</v>
      </c>
      <c r="F129" s="9">
        <v>3.1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</row>
    <row r="130" spans="1:12" s="2" customFormat="1" ht="16.5" customHeight="1" x14ac:dyDescent="0.35">
      <c r="A130" s="5" t="s">
        <v>13</v>
      </c>
      <c r="B130" s="6">
        <v>101</v>
      </c>
      <c r="C130" s="7">
        <v>58763</v>
      </c>
      <c r="D130" s="5" t="s">
        <v>140</v>
      </c>
      <c r="E130" s="9">
        <v>3.2</v>
      </c>
      <c r="F130" s="9">
        <v>1.62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</row>
    <row r="131" spans="1:12" s="2" customFormat="1" ht="16.5" customHeight="1" x14ac:dyDescent="0.35">
      <c r="A131" s="5" t="s">
        <v>13</v>
      </c>
      <c r="B131" s="6">
        <v>104</v>
      </c>
      <c r="C131" s="7">
        <v>58452</v>
      </c>
      <c r="D131" s="5" t="s">
        <v>141</v>
      </c>
      <c r="E131" s="9">
        <v>120</v>
      </c>
      <c r="F131" s="9">
        <v>58.51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</row>
    <row r="132" spans="1:12" s="2" customFormat="1" ht="16.5" customHeight="1" x14ac:dyDescent="0.35">
      <c r="A132" s="5" t="s">
        <v>13</v>
      </c>
      <c r="B132" s="6">
        <v>102</v>
      </c>
      <c r="C132" s="7">
        <v>58045</v>
      </c>
      <c r="D132" s="5" t="s">
        <v>142</v>
      </c>
      <c r="E132" s="9">
        <v>2.5</v>
      </c>
      <c r="F132" s="9">
        <v>1.29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</row>
    <row r="133" spans="1:12" s="2" customFormat="1" ht="16.5" customHeight="1" x14ac:dyDescent="0.35">
      <c r="A133" s="5" t="s">
        <v>24</v>
      </c>
      <c r="B133" s="6">
        <v>1138</v>
      </c>
      <c r="C133" s="7">
        <v>57870</v>
      </c>
      <c r="D133" s="5" t="s">
        <v>143</v>
      </c>
      <c r="E133" s="9">
        <v>0</v>
      </c>
      <c r="F133" s="9">
        <v>120.14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</row>
    <row r="134" spans="1:12" s="2" customFormat="1" ht="16.5" customHeight="1" x14ac:dyDescent="0.35">
      <c r="A134" s="5" t="s">
        <v>13</v>
      </c>
      <c r="B134" s="6">
        <v>101</v>
      </c>
      <c r="C134" s="7">
        <v>57167</v>
      </c>
      <c r="D134" s="5" t="s">
        <v>144</v>
      </c>
      <c r="E134" s="9">
        <v>16.989999999999998</v>
      </c>
      <c r="F134" s="9">
        <v>7.4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</row>
    <row r="135" spans="1:12" s="2" customFormat="1" ht="16.5" customHeight="1" x14ac:dyDescent="0.35">
      <c r="A135" s="5" t="s">
        <v>13</v>
      </c>
      <c r="B135" s="6">
        <v>101</v>
      </c>
      <c r="C135" s="7">
        <v>57071</v>
      </c>
      <c r="D135" s="5" t="s">
        <v>145</v>
      </c>
      <c r="E135" s="9">
        <v>29.99</v>
      </c>
      <c r="F135" s="9">
        <v>12.66</v>
      </c>
      <c r="G135" s="10">
        <v>0</v>
      </c>
      <c r="H135" s="10">
        <v>0</v>
      </c>
      <c r="I135" s="10">
        <v>0</v>
      </c>
      <c r="J135" s="10">
        <v>0</v>
      </c>
      <c r="K135" s="10">
        <v>26.078260869565216</v>
      </c>
      <c r="L135" s="10">
        <v>1</v>
      </c>
    </row>
    <row r="136" spans="1:12" s="2" customFormat="1" ht="16.5" customHeight="1" x14ac:dyDescent="0.35">
      <c r="A136" s="5" t="s">
        <v>13</v>
      </c>
      <c r="B136" s="6">
        <v>104</v>
      </c>
      <c r="C136" s="7">
        <v>56805</v>
      </c>
      <c r="D136" s="5" t="s">
        <v>146</v>
      </c>
      <c r="E136" s="9">
        <v>15</v>
      </c>
      <c r="F136" s="9">
        <v>29.47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</row>
    <row r="137" spans="1:12" s="2" customFormat="1" ht="16.5" customHeight="1" x14ac:dyDescent="0.35">
      <c r="A137" s="5" t="s">
        <v>24</v>
      </c>
      <c r="B137" s="6">
        <v>102</v>
      </c>
      <c r="C137" s="7">
        <v>56514</v>
      </c>
      <c r="D137" s="5" t="s">
        <v>147</v>
      </c>
      <c r="E137" s="9">
        <v>269.99</v>
      </c>
      <c r="F137" s="9">
        <v>141.47833333333332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</row>
    <row r="138" spans="1:12" s="2" customFormat="1" ht="16.5" customHeight="1" x14ac:dyDescent="0.35">
      <c r="A138" s="5" t="s">
        <v>13</v>
      </c>
      <c r="B138" s="6">
        <v>101</v>
      </c>
      <c r="C138" s="7">
        <v>56350</v>
      </c>
      <c r="D138" s="5" t="s">
        <v>148</v>
      </c>
      <c r="E138" s="9">
        <v>4.99</v>
      </c>
      <c r="F138" s="9">
        <v>2.61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</row>
    <row r="139" spans="1:12" s="2" customFormat="1" ht="16.5" customHeight="1" x14ac:dyDescent="0.35">
      <c r="A139" s="5" t="s">
        <v>13</v>
      </c>
      <c r="B139" s="6">
        <v>102</v>
      </c>
      <c r="C139" s="7">
        <v>55482</v>
      </c>
      <c r="D139" s="5" t="s">
        <v>149</v>
      </c>
      <c r="E139" s="9">
        <v>13.99</v>
      </c>
      <c r="F139" s="9">
        <v>5.44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</row>
    <row r="140" spans="1:12" s="2" customFormat="1" ht="16.5" customHeight="1" x14ac:dyDescent="0.35">
      <c r="A140" s="5" t="s">
        <v>42</v>
      </c>
      <c r="B140" s="6">
        <v>102</v>
      </c>
      <c r="C140" s="7">
        <v>55095</v>
      </c>
      <c r="D140" s="5" t="s">
        <v>150</v>
      </c>
      <c r="E140" s="9">
        <v>5</v>
      </c>
      <c r="F140" s="9">
        <v>1.38</v>
      </c>
      <c r="G140" s="10">
        <v>0</v>
      </c>
      <c r="H140" s="10">
        <v>0</v>
      </c>
      <c r="I140" s="10">
        <v>30.434782608695652</v>
      </c>
      <c r="J140" s="10">
        <v>7</v>
      </c>
      <c r="K140" s="10">
        <v>99.565217391304344</v>
      </c>
      <c r="L140" s="10">
        <v>23</v>
      </c>
    </row>
    <row r="141" spans="1:12" s="2" customFormat="1" ht="16.5" customHeight="1" x14ac:dyDescent="0.35">
      <c r="A141" s="17" t="s">
        <v>66</v>
      </c>
      <c r="B141" s="18">
        <v>102</v>
      </c>
      <c r="C141" s="19">
        <v>54652</v>
      </c>
      <c r="D141" s="17" t="s">
        <v>151</v>
      </c>
      <c r="E141" s="20">
        <v>21.99</v>
      </c>
      <c r="F141" s="20">
        <v>10.989749999999999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</row>
    <row r="142" spans="1:12" s="2" customFormat="1" ht="16.5" customHeight="1" x14ac:dyDescent="0.35">
      <c r="A142" s="5" t="s">
        <v>24</v>
      </c>
      <c r="B142" s="6">
        <v>102</v>
      </c>
      <c r="C142" s="7">
        <v>54652</v>
      </c>
      <c r="D142" s="5" t="s">
        <v>151</v>
      </c>
      <c r="E142" s="9">
        <v>21.99</v>
      </c>
      <c r="F142" s="9">
        <v>8.2398750000000014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</row>
    <row r="143" spans="1:12" s="2" customFormat="1" ht="16.5" customHeight="1" x14ac:dyDescent="0.35">
      <c r="A143" s="5" t="s">
        <v>13</v>
      </c>
      <c r="B143" s="6">
        <v>101</v>
      </c>
      <c r="C143" s="7">
        <v>54617</v>
      </c>
      <c r="D143" s="5" t="s">
        <v>152</v>
      </c>
      <c r="E143" s="9">
        <v>30.99</v>
      </c>
      <c r="F143" s="9">
        <v>12.4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</row>
    <row r="144" spans="1:12" s="2" customFormat="1" ht="16.5" customHeight="1" x14ac:dyDescent="0.35">
      <c r="A144" s="5" t="s">
        <v>13</v>
      </c>
      <c r="B144" s="6">
        <v>101</v>
      </c>
      <c r="C144" s="7">
        <v>54547</v>
      </c>
      <c r="D144" s="5" t="s">
        <v>153</v>
      </c>
      <c r="E144" s="9">
        <v>9.99</v>
      </c>
      <c r="F144" s="9">
        <v>3.23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</row>
    <row r="145" spans="1:12" s="2" customFormat="1" ht="16.5" customHeight="1" x14ac:dyDescent="0.35">
      <c r="A145" s="5" t="s">
        <v>13</v>
      </c>
      <c r="B145" s="6">
        <v>101</v>
      </c>
      <c r="C145" s="7">
        <v>54546</v>
      </c>
      <c r="D145" s="5" t="s">
        <v>154</v>
      </c>
      <c r="E145" s="9">
        <v>5.99</v>
      </c>
      <c r="F145" s="9">
        <v>2.5299999999999998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</row>
    <row r="146" spans="1:12" s="2" customFormat="1" ht="16.5" customHeight="1" x14ac:dyDescent="0.35">
      <c r="A146" s="5" t="s">
        <v>13</v>
      </c>
      <c r="B146" s="6">
        <v>102</v>
      </c>
      <c r="C146" s="7">
        <v>54430</v>
      </c>
      <c r="D146" s="5" t="s">
        <v>155</v>
      </c>
      <c r="E146" s="9">
        <v>21.99</v>
      </c>
      <c r="F146" s="9">
        <v>9.9600000000000009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</row>
    <row r="147" spans="1:12" s="2" customFormat="1" ht="16.5" customHeight="1" x14ac:dyDescent="0.35">
      <c r="A147" s="5" t="s">
        <v>13</v>
      </c>
      <c r="B147" s="6">
        <v>101</v>
      </c>
      <c r="C147" s="7">
        <v>54228</v>
      </c>
      <c r="D147" s="5" t="s">
        <v>156</v>
      </c>
      <c r="E147" s="9">
        <v>13.99</v>
      </c>
      <c r="F147" s="9">
        <v>7.37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</row>
    <row r="148" spans="1:12" s="2" customFormat="1" ht="16.5" customHeight="1" x14ac:dyDescent="0.35">
      <c r="A148" s="5" t="s">
        <v>13</v>
      </c>
      <c r="B148" s="6">
        <v>106</v>
      </c>
      <c r="C148" s="7">
        <v>54019</v>
      </c>
      <c r="D148" s="5" t="s">
        <v>157</v>
      </c>
      <c r="E148" s="9">
        <v>23.99</v>
      </c>
      <c r="F148" s="9">
        <v>10.37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</row>
    <row r="149" spans="1:12" s="2" customFormat="1" ht="16.5" customHeight="1" x14ac:dyDescent="0.35">
      <c r="A149" s="5" t="s">
        <v>13</v>
      </c>
      <c r="B149" s="6">
        <v>101</v>
      </c>
      <c r="C149" s="7">
        <v>53528</v>
      </c>
      <c r="D149" s="5" t="s">
        <v>158</v>
      </c>
      <c r="E149" s="9">
        <v>28.99</v>
      </c>
      <c r="F149" s="9">
        <v>14.86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</row>
    <row r="150" spans="1:12" s="2" customFormat="1" ht="16.5" customHeight="1" x14ac:dyDescent="0.35">
      <c r="A150" s="5" t="s">
        <v>13</v>
      </c>
      <c r="B150" s="6">
        <v>101</v>
      </c>
      <c r="C150" s="7">
        <v>53497</v>
      </c>
      <c r="D150" s="5" t="s">
        <v>159</v>
      </c>
      <c r="E150" s="9">
        <v>79.989999999999995</v>
      </c>
      <c r="F150" s="9">
        <v>32.200000000000003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</row>
    <row r="151" spans="1:12" s="2" customFormat="1" ht="16.5" customHeight="1" x14ac:dyDescent="0.35">
      <c r="A151" s="5" t="s">
        <v>42</v>
      </c>
      <c r="B151" s="6">
        <v>102</v>
      </c>
      <c r="C151" s="7">
        <v>53410</v>
      </c>
      <c r="D151" s="5" t="s">
        <v>160</v>
      </c>
      <c r="E151" s="9">
        <v>52</v>
      </c>
      <c r="F151" s="9">
        <v>28.2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</row>
    <row r="152" spans="1:12" s="2" customFormat="1" ht="16.5" customHeight="1" x14ac:dyDescent="0.35">
      <c r="A152" s="5" t="s">
        <v>13</v>
      </c>
      <c r="B152" s="6">
        <v>102</v>
      </c>
      <c r="C152" s="7">
        <v>53226</v>
      </c>
      <c r="D152" s="5" t="s">
        <v>161</v>
      </c>
      <c r="E152" s="9">
        <v>15.99</v>
      </c>
      <c r="F152" s="9">
        <v>5.13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</row>
    <row r="153" spans="1:12" s="2" customFormat="1" ht="16.5" customHeight="1" x14ac:dyDescent="0.35">
      <c r="A153" s="5" t="s">
        <v>13</v>
      </c>
      <c r="B153" s="6">
        <v>102</v>
      </c>
      <c r="C153" s="7">
        <v>53225</v>
      </c>
      <c r="D153" s="5" t="s">
        <v>162</v>
      </c>
      <c r="E153" s="9">
        <v>17.989999999999998</v>
      </c>
      <c r="F153" s="9">
        <v>10.039999999999999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</row>
    <row r="154" spans="1:12" s="2" customFormat="1" ht="16.5" customHeight="1" x14ac:dyDescent="0.35">
      <c r="A154" s="5" t="s">
        <v>13</v>
      </c>
      <c r="B154" s="6">
        <v>102</v>
      </c>
      <c r="C154" s="7">
        <v>53212</v>
      </c>
      <c r="D154" s="5" t="s">
        <v>163</v>
      </c>
      <c r="E154" s="9">
        <v>29.99</v>
      </c>
      <c r="F154" s="9">
        <v>15.38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</row>
    <row r="155" spans="1:12" s="2" customFormat="1" ht="16.5" customHeight="1" x14ac:dyDescent="0.35">
      <c r="A155" s="5" t="s">
        <v>13</v>
      </c>
      <c r="B155" s="6">
        <v>102</v>
      </c>
      <c r="C155" s="7">
        <v>53210</v>
      </c>
      <c r="D155" s="5" t="s">
        <v>164</v>
      </c>
      <c r="E155" s="9">
        <v>100</v>
      </c>
      <c r="F155" s="9">
        <v>22.26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</row>
    <row r="156" spans="1:12" s="2" customFormat="1" ht="16.5" customHeight="1" x14ac:dyDescent="0.35">
      <c r="A156" s="5" t="s">
        <v>13</v>
      </c>
      <c r="B156" s="6">
        <v>102</v>
      </c>
      <c r="C156" s="7">
        <v>53141</v>
      </c>
      <c r="D156" s="5" t="s">
        <v>165</v>
      </c>
      <c r="E156" s="9">
        <v>9.99</v>
      </c>
      <c r="F156" s="9">
        <v>3.26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</row>
    <row r="157" spans="1:12" s="2" customFormat="1" ht="16.5" customHeight="1" x14ac:dyDescent="0.35">
      <c r="A157" s="5" t="s">
        <v>13</v>
      </c>
      <c r="B157" s="6">
        <v>102</v>
      </c>
      <c r="C157" s="7">
        <v>53119</v>
      </c>
      <c r="D157" s="5" t="s">
        <v>166</v>
      </c>
      <c r="E157" s="9">
        <v>4.99</v>
      </c>
      <c r="F157" s="9">
        <v>1.29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</row>
    <row r="158" spans="1:12" s="2" customFormat="1" ht="16.5" customHeight="1" x14ac:dyDescent="0.35">
      <c r="A158" s="5" t="s">
        <v>13</v>
      </c>
      <c r="B158" s="6">
        <v>102</v>
      </c>
      <c r="C158" s="7">
        <v>50682</v>
      </c>
      <c r="D158" s="5" t="s">
        <v>167</v>
      </c>
      <c r="E158" s="9">
        <v>15.99</v>
      </c>
      <c r="F158" s="9">
        <v>7.86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</row>
    <row r="159" spans="1:12" s="2" customFormat="1" ht="16.5" customHeight="1" x14ac:dyDescent="0.35">
      <c r="A159" s="5" t="s">
        <v>42</v>
      </c>
      <c r="B159" s="6">
        <v>102</v>
      </c>
      <c r="C159" s="7">
        <v>48861</v>
      </c>
      <c r="D159" s="5" t="s">
        <v>168</v>
      </c>
      <c r="E159" s="9">
        <v>50</v>
      </c>
      <c r="F159" s="9">
        <v>30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</row>
    <row r="160" spans="1:12" s="2" customFormat="1" ht="16.5" customHeight="1" x14ac:dyDescent="0.35">
      <c r="A160" s="17" t="s">
        <v>66</v>
      </c>
      <c r="B160" s="18">
        <v>102</v>
      </c>
      <c r="C160" s="19">
        <v>48683</v>
      </c>
      <c r="D160" s="17" t="s">
        <v>169</v>
      </c>
      <c r="E160" s="20">
        <v>11.99</v>
      </c>
      <c r="F160" s="20">
        <v>6.6272857142857147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</row>
    <row r="161" spans="1:12" s="2" customFormat="1" ht="16.5" customHeight="1" x14ac:dyDescent="0.35">
      <c r="A161" s="5" t="s">
        <v>24</v>
      </c>
      <c r="B161" s="6">
        <v>102</v>
      </c>
      <c r="C161" s="7">
        <v>48683</v>
      </c>
      <c r="D161" s="5" t="s">
        <v>169</v>
      </c>
      <c r="E161" s="9">
        <v>11.99</v>
      </c>
      <c r="F161" s="9">
        <v>6.2521428571428572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</row>
    <row r="162" spans="1:12" s="2" customFormat="1" ht="16.5" customHeight="1" x14ac:dyDescent="0.35">
      <c r="A162" s="17" t="s">
        <v>66</v>
      </c>
      <c r="B162" s="18">
        <v>102</v>
      </c>
      <c r="C162" s="19">
        <v>48620</v>
      </c>
      <c r="D162" s="17" t="s">
        <v>170</v>
      </c>
      <c r="E162" s="20">
        <v>37.99</v>
      </c>
      <c r="F162" s="20">
        <v>19.462499999999999</v>
      </c>
      <c r="G162" s="20">
        <v>0</v>
      </c>
      <c r="H162" s="20">
        <v>0</v>
      </c>
      <c r="I162" s="20">
        <v>33.03478260869565</v>
      </c>
      <c r="J162" s="20">
        <v>1</v>
      </c>
      <c r="K162" s="20">
        <v>66.0695652173913</v>
      </c>
      <c r="L162" s="20">
        <v>2</v>
      </c>
    </row>
    <row r="163" spans="1:12" s="2" customFormat="1" ht="16.5" customHeight="1" x14ac:dyDescent="0.35">
      <c r="A163" s="5" t="s">
        <v>24</v>
      </c>
      <c r="B163" s="6">
        <v>102</v>
      </c>
      <c r="C163" s="7">
        <v>48620</v>
      </c>
      <c r="D163" s="5" t="s">
        <v>170</v>
      </c>
      <c r="E163" s="9">
        <v>37.99</v>
      </c>
      <c r="F163" s="9">
        <v>16.841833333333334</v>
      </c>
      <c r="G163" s="10">
        <v>0</v>
      </c>
      <c r="H163" s="10">
        <v>0</v>
      </c>
      <c r="I163" s="10">
        <v>33.03478260869565</v>
      </c>
      <c r="J163" s="10">
        <v>1</v>
      </c>
      <c r="K163" s="10">
        <v>66.0695652173913</v>
      </c>
      <c r="L163" s="10">
        <v>2</v>
      </c>
    </row>
    <row r="164" spans="1:12" s="2" customFormat="1" ht="16.5" customHeight="1" x14ac:dyDescent="0.35">
      <c r="A164" s="5" t="s">
        <v>24</v>
      </c>
      <c r="B164" s="6">
        <v>109</v>
      </c>
      <c r="C164" s="7">
        <v>48604</v>
      </c>
      <c r="D164" s="5" t="s">
        <v>171</v>
      </c>
      <c r="E164" s="9">
        <v>189.99</v>
      </c>
      <c r="F164" s="9">
        <v>107.69200000000001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</row>
    <row r="165" spans="1:12" s="2" customFormat="1" ht="16.5" customHeight="1" x14ac:dyDescent="0.35">
      <c r="A165" s="5" t="s">
        <v>24</v>
      </c>
      <c r="B165" s="6">
        <v>102</v>
      </c>
      <c r="C165" s="7">
        <v>46909</v>
      </c>
      <c r="D165" s="5" t="s">
        <v>172</v>
      </c>
      <c r="E165" s="9">
        <v>10.99</v>
      </c>
      <c r="F165" s="9">
        <v>5.7054999999999998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</row>
    <row r="166" spans="1:12" s="2" customFormat="1" ht="16.5" customHeight="1" x14ac:dyDescent="0.35">
      <c r="A166" s="5" t="s">
        <v>13</v>
      </c>
      <c r="B166" s="6">
        <v>102</v>
      </c>
      <c r="C166" s="7">
        <v>46797</v>
      </c>
      <c r="D166" s="5" t="s">
        <v>173</v>
      </c>
      <c r="E166" s="9">
        <v>39.99</v>
      </c>
      <c r="F166" s="9">
        <v>25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</row>
    <row r="167" spans="1:12" s="2" customFormat="1" ht="16.5" customHeight="1" x14ac:dyDescent="0.35">
      <c r="A167" s="5" t="s">
        <v>13</v>
      </c>
      <c r="B167" s="6">
        <v>113</v>
      </c>
      <c r="C167" s="7">
        <v>46072</v>
      </c>
      <c r="D167" s="5" t="s">
        <v>174</v>
      </c>
      <c r="E167" s="9">
        <v>44.99</v>
      </c>
      <c r="F167" s="9">
        <v>26.64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</row>
    <row r="168" spans="1:12" s="2" customFormat="1" ht="16.5" customHeight="1" x14ac:dyDescent="0.35">
      <c r="A168" s="5" t="s">
        <v>24</v>
      </c>
      <c r="B168" s="6">
        <v>101</v>
      </c>
      <c r="C168" s="7">
        <v>43420</v>
      </c>
      <c r="D168" s="5" t="s">
        <v>175</v>
      </c>
      <c r="E168" s="9">
        <v>13.99</v>
      </c>
      <c r="F168" s="9">
        <v>8.3665000000000003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</row>
    <row r="169" spans="1:12" s="2" customFormat="1" ht="16.5" customHeight="1" x14ac:dyDescent="0.35">
      <c r="A169" s="5" t="s">
        <v>24</v>
      </c>
      <c r="B169" s="6">
        <v>102</v>
      </c>
      <c r="C169" s="7">
        <v>42674</v>
      </c>
      <c r="D169" s="5" t="s">
        <v>176</v>
      </c>
      <c r="E169" s="9">
        <v>5.49</v>
      </c>
      <c r="F169" s="9">
        <v>2.788416666666667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</row>
    <row r="170" spans="1:12" s="2" customFormat="1" ht="16.5" customHeight="1" x14ac:dyDescent="0.35">
      <c r="A170" s="5" t="s">
        <v>13</v>
      </c>
      <c r="B170" s="6">
        <v>101</v>
      </c>
      <c r="C170" s="7">
        <v>42401</v>
      </c>
      <c r="D170" s="5" t="s">
        <v>177</v>
      </c>
      <c r="E170" s="9">
        <v>14.99</v>
      </c>
      <c r="F170" s="9">
        <v>6.62</v>
      </c>
      <c r="G170" s="10">
        <v>0</v>
      </c>
      <c r="H170" s="10">
        <v>0</v>
      </c>
      <c r="I170" s="10">
        <v>130.34782608695653</v>
      </c>
      <c r="J170" s="10">
        <v>10</v>
      </c>
      <c r="K170" s="10">
        <v>37.799999999999997</v>
      </c>
      <c r="L170" s="10">
        <v>3</v>
      </c>
    </row>
    <row r="171" spans="1:12" s="2" customFormat="1" ht="16.5" customHeight="1" x14ac:dyDescent="0.35">
      <c r="A171" s="5" t="s">
        <v>13</v>
      </c>
      <c r="B171" s="6">
        <v>106</v>
      </c>
      <c r="C171" s="7">
        <v>42296</v>
      </c>
      <c r="D171" s="5" t="s">
        <v>178</v>
      </c>
      <c r="E171" s="9">
        <v>4.99</v>
      </c>
      <c r="F171" s="9">
        <v>2.97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</row>
    <row r="172" spans="1:12" s="2" customFormat="1" ht="16.5" customHeight="1" x14ac:dyDescent="0.35">
      <c r="A172" s="5" t="s">
        <v>13</v>
      </c>
      <c r="B172" s="6">
        <v>117</v>
      </c>
      <c r="C172" s="7">
        <v>41620</v>
      </c>
      <c r="D172" s="5" t="s">
        <v>179</v>
      </c>
      <c r="E172" s="9">
        <v>15.99</v>
      </c>
      <c r="F172" s="9">
        <v>8.11</v>
      </c>
      <c r="G172" s="10">
        <v>0</v>
      </c>
      <c r="H172" s="10">
        <v>0</v>
      </c>
      <c r="I172" s="10">
        <v>0</v>
      </c>
      <c r="J172" s="10">
        <v>0</v>
      </c>
      <c r="K172" s="10">
        <v>13.904347826086957</v>
      </c>
      <c r="L172" s="10">
        <v>1</v>
      </c>
    </row>
    <row r="173" spans="1:12" s="2" customFormat="1" ht="16.5" customHeight="1" x14ac:dyDescent="0.35">
      <c r="A173" s="5" t="s">
        <v>13</v>
      </c>
      <c r="B173" s="6">
        <v>101</v>
      </c>
      <c r="C173" s="7">
        <v>41464</v>
      </c>
      <c r="D173" s="5" t="s">
        <v>180</v>
      </c>
      <c r="E173" s="9">
        <v>16.989999999999998</v>
      </c>
      <c r="F173" s="9">
        <v>7.73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</row>
    <row r="174" spans="1:12" s="2" customFormat="1" ht="16.5" customHeight="1" x14ac:dyDescent="0.35">
      <c r="A174" s="5" t="s">
        <v>42</v>
      </c>
      <c r="B174" s="6">
        <v>1821</v>
      </c>
      <c r="C174" s="7">
        <v>40827</v>
      </c>
      <c r="D174" s="5" t="s">
        <v>181</v>
      </c>
      <c r="E174" s="9">
        <v>29.99</v>
      </c>
      <c r="F174" s="9">
        <v>29.25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</row>
    <row r="175" spans="1:12" s="2" customFormat="1" ht="16.5" customHeight="1" x14ac:dyDescent="0.35">
      <c r="A175" s="5" t="s">
        <v>13</v>
      </c>
      <c r="B175" s="6">
        <v>118</v>
      </c>
      <c r="C175" s="7">
        <v>40809</v>
      </c>
      <c r="D175" s="5" t="s">
        <v>182</v>
      </c>
      <c r="E175" s="9">
        <v>15.99</v>
      </c>
      <c r="F175" s="9">
        <v>6.5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</row>
    <row r="176" spans="1:12" s="2" customFormat="1" ht="16.5" customHeight="1" x14ac:dyDescent="0.35">
      <c r="A176" s="5" t="s">
        <v>13</v>
      </c>
      <c r="B176" s="6">
        <v>104</v>
      </c>
      <c r="C176" s="7">
        <v>40732</v>
      </c>
      <c r="D176" s="5" t="s">
        <v>183</v>
      </c>
      <c r="E176" s="9">
        <v>15</v>
      </c>
      <c r="F176" s="9">
        <v>7.38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</row>
    <row r="177" spans="1:12" s="2" customFormat="1" ht="16.5" customHeight="1" x14ac:dyDescent="0.35">
      <c r="A177" s="17" t="s">
        <v>66</v>
      </c>
      <c r="B177" s="18">
        <v>102</v>
      </c>
      <c r="C177" s="19">
        <v>40364</v>
      </c>
      <c r="D177" s="17" t="s">
        <v>184</v>
      </c>
      <c r="E177" s="20">
        <v>4.99</v>
      </c>
      <c r="F177" s="20">
        <v>2.8072500000000002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</row>
    <row r="178" spans="1:12" s="2" customFormat="1" ht="16.5" customHeight="1" x14ac:dyDescent="0.35">
      <c r="A178" s="5" t="s">
        <v>24</v>
      </c>
      <c r="B178" s="6">
        <v>102</v>
      </c>
      <c r="C178" s="7">
        <v>40364</v>
      </c>
      <c r="D178" s="5" t="s">
        <v>184</v>
      </c>
      <c r="E178" s="9">
        <v>4.99</v>
      </c>
      <c r="F178" s="9">
        <v>2.5465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</row>
    <row r="179" spans="1:12" s="2" customFormat="1" ht="16.5" customHeight="1" x14ac:dyDescent="0.35">
      <c r="A179" s="17" t="s">
        <v>13</v>
      </c>
      <c r="B179" s="18">
        <v>101</v>
      </c>
      <c r="C179" s="19">
        <v>40158</v>
      </c>
      <c r="D179" s="17" t="s">
        <v>185</v>
      </c>
      <c r="E179" s="20">
        <v>11.99</v>
      </c>
      <c r="F179" s="20">
        <v>6.05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</row>
    <row r="180" spans="1:12" s="2" customFormat="1" ht="16.5" customHeight="1" x14ac:dyDescent="0.35">
      <c r="A180" s="5" t="s">
        <v>24</v>
      </c>
      <c r="B180" s="6">
        <v>101</v>
      </c>
      <c r="C180" s="7">
        <v>40158</v>
      </c>
      <c r="D180" s="5" t="s">
        <v>185</v>
      </c>
      <c r="E180" s="9">
        <v>11.99</v>
      </c>
      <c r="F180" s="9">
        <v>6.05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</row>
    <row r="181" spans="1:12" s="2" customFormat="1" ht="16.5" customHeight="1" x14ac:dyDescent="0.35">
      <c r="A181" s="5" t="s">
        <v>13</v>
      </c>
      <c r="B181" s="6">
        <v>102</v>
      </c>
      <c r="C181" s="7">
        <v>40065</v>
      </c>
      <c r="D181" s="5" t="s">
        <v>186</v>
      </c>
      <c r="E181" s="9">
        <v>27.99</v>
      </c>
      <c r="F181" s="9">
        <v>15.7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</row>
    <row r="182" spans="1:12" s="2" customFormat="1" ht="16.5" customHeight="1" x14ac:dyDescent="0.35">
      <c r="A182" s="17" t="s">
        <v>66</v>
      </c>
      <c r="B182" s="18">
        <v>102</v>
      </c>
      <c r="C182" s="19">
        <v>39963</v>
      </c>
      <c r="D182" s="17" t="s">
        <v>187</v>
      </c>
      <c r="E182" s="20">
        <v>5.4</v>
      </c>
      <c r="F182" s="20">
        <v>2.9407999999999999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</row>
    <row r="183" spans="1:12" s="2" customFormat="1" ht="16.5" customHeight="1" x14ac:dyDescent="0.35">
      <c r="A183" s="5" t="s">
        <v>24</v>
      </c>
      <c r="B183" s="6">
        <v>102</v>
      </c>
      <c r="C183" s="7">
        <v>39963</v>
      </c>
      <c r="D183" s="5" t="s">
        <v>187</v>
      </c>
      <c r="E183" s="9">
        <v>5.4</v>
      </c>
      <c r="F183" s="9">
        <v>2.6173000000000002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</row>
    <row r="184" spans="1:12" s="2" customFormat="1" ht="16.5" customHeight="1" x14ac:dyDescent="0.35">
      <c r="A184" s="5" t="s">
        <v>13</v>
      </c>
      <c r="B184" s="6">
        <v>101</v>
      </c>
      <c r="C184" s="7">
        <v>39750</v>
      </c>
      <c r="D184" s="5" t="s">
        <v>188</v>
      </c>
      <c r="E184" s="9">
        <v>39.99</v>
      </c>
      <c r="F184" s="9">
        <v>16.100000000000001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</row>
    <row r="185" spans="1:12" s="2" customFormat="1" ht="16.5" customHeight="1" x14ac:dyDescent="0.35">
      <c r="A185" s="17" t="s">
        <v>66</v>
      </c>
      <c r="B185" s="18">
        <v>102</v>
      </c>
      <c r="C185" s="19">
        <v>39421</v>
      </c>
      <c r="D185" s="17" t="s">
        <v>189</v>
      </c>
      <c r="E185" s="20">
        <v>28.99</v>
      </c>
      <c r="F185" s="20">
        <v>15.703250000000001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</row>
    <row r="186" spans="1:12" s="2" customFormat="1" ht="16.5" customHeight="1" x14ac:dyDescent="0.35">
      <c r="A186" s="5" t="s">
        <v>24</v>
      </c>
      <c r="B186" s="6">
        <v>102</v>
      </c>
      <c r="C186" s="7">
        <v>39421</v>
      </c>
      <c r="D186" s="5" t="s">
        <v>189</v>
      </c>
      <c r="E186" s="9">
        <v>28.99</v>
      </c>
      <c r="F186" s="9">
        <v>14.814500000000001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</row>
    <row r="187" spans="1:12" s="2" customFormat="1" ht="16.5" customHeight="1" x14ac:dyDescent="0.35">
      <c r="A187" s="17" t="s">
        <v>66</v>
      </c>
      <c r="B187" s="18">
        <v>102</v>
      </c>
      <c r="C187" s="19">
        <v>39025</v>
      </c>
      <c r="D187" s="17" t="s">
        <v>190</v>
      </c>
      <c r="E187" s="20">
        <v>330.99</v>
      </c>
      <c r="F187" s="20">
        <v>182.6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</row>
    <row r="188" spans="1:12" s="2" customFormat="1" ht="16.5" customHeight="1" x14ac:dyDescent="0.35">
      <c r="A188" s="5" t="s">
        <v>24</v>
      </c>
      <c r="B188" s="6">
        <v>102</v>
      </c>
      <c r="C188" s="7">
        <v>39025</v>
      </c>
      <c r="D188" s="5" t="s">
        <v>190</v>
      </c>
      <c r="E188" s="9">
        <v>330.99</v>
      </c>
      <c r="F188" s="9">
        <v>172.26333333333332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</row>
    <row r="189" spans="1:12" s="2" customFormat="1" ht="16.5" customHeight="1" x14ac:dyDescent="0.35">
      <c r="A189" s="17" t="s">
        <v>66</v>
      </c>
      <c r="B189" s="18">
        <v>102</v>
      </c>
      <c r="C189" s="19">
        <v>38983</v>
      </c>
      <c r="D189" s="17" t="s">
        <v>191</v>
      </c>
      <c r="E189" s="20">
        <v>10.85</v>
      </c>
      <c r="F189" s="20">
        <v>5.9985000000000008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</row>
    <row r="190" spans="1:12" s="2" customFormat="1" ht="16.5" customHeight="1" x14ac:dyDescent="0.35">
      <c r="A190" s="5" t="s">
        <v>24</v>
      </c>
      <c r="B190" s="6">
        <v>102</v>
      </c>
      <c r="C190" s="7">
        <v>38983</v>
      </c>
      <c r="D190" s="5" t="s">
        <v>191</v>
      </c>
      <c r="E190" s="9">
        <v>10.85</v>
      </c>
      <c r="F190" s="9">
        <v>5.6590000000000007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</row>
    <row r="191" spans="1:12" s="2" customFormat="1" ht="16.5" customHeight="1" x14ac:dyDescent="0.35">
      <c r="A191" s="17" t="s">
        <v>66</v>
      </c>
      <c r="B191" s="18">
        <v>102</v>
      </c>
      <c r="C191" s="19">
        <v>38908</v>
      </c>
      <c r="D191" s="17" t="s">
        <v>192</v>
      </c>
      <c r="E191" s="20">
        <v>7.99</v>
      </c>
      <c r="F191" s="20">
        <v>4.3630833333333339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</row>
    <row r="192" spans="1:12" s="2" customFormat="1" ht="16.5" customHeight="1" x14ac:dyDescent="0.35">
      <c r="A192" s="5" t="s">
        <v>24</v>
      </c>
      <c r="B192" s="6">
        <v>102</v>
      </c>
      <c r="C192" s="7">
        <v>38908</v>
      </c>
      <c r="D192" s="5" t="s">
        <v>192</v>
      </c>
      <c r="E192" s="9">
        <v>7.99</v>
      </c>
      <c r="F192" s="9">
        <v>4.1161666666666665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</row>
    <row r="193" spans="1:12" s="2" customFormat="1" ht="16.5" customHeight="1" x14ac:dyDescent="0.35">
      <c r="A193" s="17" t="s">
        <v>66</v>
      </c>
      <c r="B193" s="18">
        <v>102</v>
      </c>
      <c r="C193" s="19">
        <v>38816</v>
      </c>
      <c r="D193" s="17" t="s">
        <v>193</v>
      </c>
      <c r="E193" s="20">
        <v>7.99</v>
      </c>
      <c r="F193" s="20">
        <v>4.1160000000000005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</row>
    <row r="194" spans="1:12" s="2" customFormat="1" ht="16.5" customHeight="1" x14ac:dyDescent="0.35">
      <c r="A194" s="5" t="s">
        <v>24</v>
      </c>
      <c r="B194" s="6">
        <v>102</v>
      </c>
      <c r="C194" s="7">
        <v>38816</v>
      </c>
      <c r="D194" s="5" t="s">
        <v>193</v>
      </c>
      <c r="E194" s="9">
        <v>7.99</v>
      </c>
      <c r="F194" s="9">
        <v>3.6635833333333334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</row>
    <row r="195" spans="1:12" s="2" customFormat="1" ht="16.5" customHeight="1" x14ac:dyDescent="0.35">
      <c r="A195" s="17" t="s">
        <v>66</v>
      </c>
      <c r="B195" s="18">
        <v>102</v>
      </c>
      <c r="C195" s="19">
        <v>38815</v>
      </c>
      <c r="D195" s="17" t="s">
        <v>194</v>
      </c>
      <c r="E195" s="20">
        <v>10.85</v>
      </c>
      <c r="F195" s="20">
        <v>5.9985000000000008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</row>
    <row r="196" spans="1:12" s="2" customFormat="1" ht="16.5" customHeight="1" x14ac:dyDescent="0.35">
      <c r="A196" s="5" t="s">
        <v>24</v>
      </c>
      <c r="B196" s="6">
        <v>102</v>
      </c>
      <c r="C196" s="7">
        <v>38815</v>
      </c>
      <c r="D196" s="5" t="s">
        <v>194</v>
      </c>
      <c r="E196" s="9">
        <v>10.85</v>
      </c>
      <c r="F196" s="9">
        <v>5.2888333333333328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</row>
    <row r="197" spans="1:12" s="2" customFormat="1" ht="16.5" customHeight="1" x14ac:dyDescent="0.35">
      <c r="A197" s="5" t="s">
        <v>13</v>
      </c>
      <c r="B197" s="6">
        <v>103</v>
      </c>
      <c r="C197" s="7">
        <v>34142</v>
      </c>
      <c r="D197" s="5" t="s">
        <v>195</v>
      </c>
      <c r="E197" s="9">
        <v>70.989999999999995</v>
      </c>
      <c r="F197" s="9">
        <v>18.7</v>
      </c>
      <c r="G197" s="10">
        <v>0</v>
      </c>
      <c r="H197" s="10">
        <v>0</v>
      </c>
      <c r="I197" s="10">
        <v>0</v>
      </c>
      <c r="J197" s="10">
        <v>0</v>
      </c>
      <c r="K197" s="10">
        <v>10</v>
      </c>
      <c r="L197" s="10">
        <v>0.16200000000000001</v>
      </c>
    </row>
    <row r="198" spans="1:12" s="2" customFormat="1" ht="16.5" customHeight="1" x14ac:dyDescent="0.35">
      <c r="A198" s="5" t="s">
        <v>24</v>
      </c>
      <c r="B198" s="6">
        <v>101</v>
      </c>
      <c r="C198" s="7">
        <v>34141</v>
      </c>
      <c r="D198" s="5" t="s">
        <v>196</v>
      </c>
      <c r="E198" s="9">
        <v>5</v>
      </c>
      <c r="F198" s="9">
        <v>3.3388750000000003</v>
      </c>
      <c r="G198" s="10">
        <v>0</v>
      </c>
      <c r="H198" s="10">
        <v>0</v>
      </c>
      <c r="I198" s="10">
        <v>0</v>
      </c>
      <c r="J198" s="10">
        <v>0</v>
      </c>
      <c r="K198" s="10">
        <v>165.21739130434781</v>
      </c>
      <c r="L198" s="10">
        <v>40</v>
      </c>
    </row>
    <row r="199" spans="1:12" s="2" customFormat="1" ht="16.5" customHeight="1" x14ac:dyDescent="0.35">
      <c r="A199" s="5" t="s">
        <v>13</v>
      </c>
      <c r="B199" s="6">
        <v>119</v>
      </c>
      <c r="C199" s="7">
        <v>34140</v>
      </c>
      <c r="D199" s="5" t="s">
        <v>197</v>
      </c>
      <c r="E199" s="9">
        <v>385</v>
      </c>
      <c r="F199" s="9">
        <v>201.52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</row>
    <row r="200" spans="1:12" s="2" customFormat="1" ht="16.5" customHeight="1" x14ac:dyDescent="0.35">
      <c r="A200" s="5" t="s">
        <v>13</v>
      </c>
      <c r="B200" s="6">
        <v>102</v>
      </c>
      <c r="C200" s="7">
        <v>34139</v>
      </c>
      <c r="D200" s="5" t="s">
        <v>198</v>
      </c>
      <c r="E200" s="9">
        <v>49.99</v>
      </c>
      <c r="F200" s="9">
        <v>26.72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</row>
    <row r="201" spans="1:12" s="2" customFormat="1" ht="16.5" customHeight="1" x14ac:dyDescent="0.35">
      <c r="A201" s="5" t="s">
        <v>13</v>
      </c>
      <c r="B201" s="6">
        <v>103</v>
      </c>
      <c r="C201" s="7">
        <v>34136</v>
      </c>
      <c r="D201" s="5" t="s">
        <v>199</v>
      </c>
      <c r="E201" s="9">
        <v>112.99</v>
      </c>
      <c r="F201" s="9">
        <v>45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</row>
    <row r="202" spans="1:12" s="2" customFormat="1" ht="16.5" customHeight="1" x14ac:dyDescent="0.35">
      <c r="A202" s="5" t="s">
        <v>13</v>
      </c>
      <c r="B202" s="6">
        <v>103</v>
      </c>
      <c r="C202" s="7">
        <v>34135</v>
      </c>
      <c r="D202" s="5" t="s">
        <v>200</v>
      </c>
      <c r="E202" s="9">
        <v>189.99</v>
      </c>
      <c r="F202" s="9">
        <v>61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</row>
    <row r="203" spans="1:12" s="2" customFormat="1" ht="16.5" customHeight="1" x14ac:dyDescent="0.35">
      <c r="A203" s="5" t="s">
        <v>13</v>
      </c>
      <c r="B203" s="6">
        <v>103</v>
      </c>
      <c r="C203" s="7">
        <v>34134</v>
      </c>
      <c r="D203" s="5" t="s">
        <v>201</v>
      </c>
      <c r="E203" s="9">
        <v>313.99</v>
      </c>
      <c r="F203" s="9">
        <v>163.47229999999999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</row>
    <row r="204" spans="1:12" s="2" customFormat="1" ht="16.5" customHeight="1" x14ac:dyDescent="0.35">
      <c r="A204" s="5" t="s">
        <v>24</v>
      </c>
      <c r="B204" s="6">
        <v>101</v>
      </c>
      <c r="C204" s="7">
        <v>34132</v>
      </c>
      <c r="D204" s="5" t="s">
        <v>202</v>
      </c>
      <c r="E204" s="9">
        <v>3.99</v>
      </c>
      <c r="F204" s="9">
        <v>2.1095999999999999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</row>
    <row r="205" spans="1:12" s="2" customFormat="1" ht="16.5" customHeight="1" x14ac:dyDescent="0.35">
      <c r="A205" s="5" t="s">
        <v>13</v>
      </c>
      <c r="B205" s="6">
        <v>120</v>
      </c>
      <c r="C205" s="7">
        <v>34124</v>
      </c>
      <c r="D205" s="5" t="s">
        <v>203</v>
      </c>
      <c r="E205" s="9">
        <v>29.99</v>
      </c>
      <c r="F205" s="9">
        <v>12.33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</row>
    <row r="206" spans="1:12" s="2" customFormat="1" ht="16.5" customHeight="1" x14ac:dyDescent="0.35">
      <c r="A206" s="5" t="s">
        <v>13</v>
      </c>
      <c r="B206" s="6">
        <v>102</v>
      </c>
      <c r="C206" s="7">
        <v>34122</v>
      </c>
      <c r="D206" s="5" t="s">
        <v>204</v>
      </c>
      <c r="E206" s="9">
        <v>25.99</v>
      </c>
      <c r="F206" s="9">
        <v>13.19</v>
      </c>
      <c r="G206" s="10">
        <v>0</v>
      </c>
      <c r="H206" s="10">
        <v>0</v>
      </c>
      <c r="I206" s="10">
        <v>0</v>
      </c>
      <c r="J206" s="10">
        <v>0</v>
      </c>
      <c r="K206" s="10">
        <v>21.469565217391306</v>
      </c>
      <c r="L206" s="10">
        <v>1</v>
      </c>
    </row>
    <row r="207" spans="1:12" s="2" customFormat="1" ht="16.5" customHeight="1" x14ac:dyDescent="0.35">
      <c r="A207" s="5" t="s">
        <v>13</v>
      </c>
      <c r="B207" s="6">
        <v>101</v>
      </c>
      <c r="C207" s="7">
        <v>34121</v>
      </c>
      <c r="D207" s="5" t="s">
        <v>205</v>
      </c>
      <c r="E207" s="9">
        <v>3.3</v>
      </c>
      <c r="F207" s="9">
        <v>1.85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</row>
    <row r="208" spans="1:12" s="2" customFormat="1" ht="16.5" customHeight="1" x14ac:dyDescent="0.35">
      <c r="A208" s="5" t="s">
        <v>13</v>
      </c>
      <c r="B208" s="6">
        <v>102</v>
      </c>
      <c r="C208" s="7">
        <v>34120</v>
      </c>
      <c r="D208" s="5" t="s">
        <v>206</v>
      </c>
      <c r="E208" s="9">
        <v>8.99</v>
      </c>
      <c r="F208" s="9">
        <v>4.99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</row>
    <row r="209" spans="1:12" s="2" customFormat="1" ht="16.5" customHeight="1" x14ac:dyDescent="0.35">
      <c r="A209" s="5" t="s">
        <v>13</v>
      </c>
      <c r="B209" s="6">
        <v>104</v>
      </c>
      <c r="C209" s="7">
        <v>34118</v>
      </c>
      <c r="D209" s="5" t="s">
        <v>207</v>
      </c>
      <c r="E209" s="9">
        <v>29.99</v>
      </c>
      <c r="F209" s="9">
        <v>7.38</v>
      </c>
      <c r="G209" s="10">
        <v>0</v>
      </c>
      <c r="H209" s="10">
        <v>0</v>
      </c>
      <c r="I209" s="10">
        <v>130.39130434782606</v>
      </c>
      <c r="J209" s="10">
        <v>5</v>
      </c>
      <c r="K209" s="10">
        <v>204.71304347826086</v>
      </c>
      <c r="L209" s="10">
        <v>8</v>
      </c>
    </row>
    <row r="210" spans="1:12" s="2" customFormat="1" ht="16.5" customHeight="1" x14ac:dyDescent="0.35">
      <c r="A210" s="5" t="s">
        <v>24</v>
      </c>
      <c r="B210" s="6">
        <v>101</v>
      </c>
      <c r="C210" s="7">
        <v>34113</v>
      </c>
      <c r="D210" s="5" t="s">
        <v>208</v>
      </c>
      <c r="E210" s="9">
        <v>3.99</v>
      </c>
      <c r="F210" s="9">
        <v>2.1386000000000003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</row>
    <row r="211" spans="1:12" s="2" customFormat="1" ht="16.5" customHeight="1" x14ac:dyDescent="0.35">
      <c r="A211" s="5" t="s">
        <v>13</v>
      </c>
      <c r="B211" s="6">
        <v>102</v>
      </c>
      <c r="C211" s="7">
        <v>34106</v>
      </c>
      <c r="D211" s="5" t="s">
        <v>209</v>
      </c>
      <c r="E211" s="9">
        <v>11.99</v>
      </c>
      <c r="F211" s="9">
        <v>6.35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</row>
    <row r="212" spans="1:12" s="2" customFormat="1" ht="16.5" customHeight="1" x14ac:dyDescent="0.35">
      <c r="A212" s="5" t="s">
        <v>13</v>
      </c>
      <c r="B212" s="6">
        <v>102</v>
      </c>
      <c r="C212" s="7">
        <v>34102</v>
      </c>
      <c r="D212" s="5" t="s">
        <v>210</v>
      </c>
      <c r="E212" s="9">
        <v>9.99</v>
      </c>
      <c r="F212" s="9">
        <v>4.99</v>
      </c>
      <c r="G212" s="10">
        <v>0</v>
      </c>
      <c r="H212" s="10">
        <v>0</v>
      </c>
      <c r="I212" s="10">
        <v>43.434782608695656</v>
      </c>
      <c r="J212" s="10">
        <v>5</v>
      </c>
      <c r="K212" s="10">
        <v>26.060869565217391</v>
      </c>
      <c r="L212" s="10">
        <v>3</v>
      </c>
    </row>
    <row r="213" spans="1:12" s="2" customFormat="1" ht="16.5" customHeight="1" x14ac:dyDescent="0.35">
      <c r="A213" s="5" t="s">
        <v>13</v>
      </c>
      <c r="B213" s="6">
        <v>103</v>
      </c>
      <c r="C213" s="7">
        <v>34101</v>
      </c>
      <c r="D213" s="5" t="s">
        <v>211</v>
      </c>
      <c r="E213" s="9">
        <v>216.99</v>
      </c>
      <c r="F213" s="9">
        <v>54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</row>
    <row r="214" spans="1:12" s="2" customFormat="1" ht="16.5" customHeight="1" x14ac:dyDescent="0.35">
      <c r="A214" s="5" t="s">
        <v>13</v>
      </c>
      <c r="B214" s="6">
        <v>103</v>
      </c>
      <c r="C214" s="7">
        <v>34100</v>
      </c>
      <c r="D214" s="5" t="s">
        <v>212</v>
      </c>
      <c r="E214" s="9">
        <v>402.99</v>
      </c>
      <c r="F214" s="9">
        <v>210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</row>
    <row r="215" spans="1:12" s="2" customFormat="1" ht="16.5" customHeight="1" x14ac:dyDescent="0.35">
      <c r="A215" s="5" t="s">
        <v>13</v>
      </c>
      <c r="B215" s="6">
        <v>104</v>
      </c>
      <c r="C215" s="7">
        <v>34095</v>
      </c>
      <c r="D215" s="5" t="s">
        <v>213</v>
      </c>
      <c r="E215" s="9">
        <v>29.99</v>
      </c>
      <c r="F215" s="9">
        <v>12.52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</row>
    <row r="216" spans="1:12" s="2" customFormat="1" ht="16.5" customHeight="1" x14ac:dyDescent="0.35">
      <c r="A216" s="5" t="s">
        <v>13</v>
      </c>
      <c r="B216" s="6">
        <v>103</v>
      </c>
      <c r="C216" s="7">
        <v>34094</v>
      </c>
      <c r="D216" s="5" t="s">
        <v>214</v>
      </c>
      <c r="E216" s="9">
        <v>302.99</v>
      </c>
      <c r="F216" s="9">
        <v>57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</row>
    <row r="217" spans="1:12" s="2" customFormat="1" ht="16.5" customHeight="1" x14ac:dyDescent="0.35">
      <c r="A217" s="5" t="s">
        <v>13</v>
      </c>
      <c r="B217" s="6">
        <v>102</v>
      </c>
      <c r="C217" s="7">
        <v>34090</v>
      </c>
      <c r="D217" s="5" t="s">
        <v>215</v>
      </c>
      <c r="E217" s="9">
        <v>3.99</v>
      </c>
      <c r="F217" s="9">
        <v>1.3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</row>
    <row r="218" spans="1:12" s="2" customFormat="1" ht="16.5" customHeight="1" x14ac:dyDescent="0.35">
      <c r="A218" s="5" t="s">
        <v>13</v>
      </c>
      <c r="B218" s="6">
        <v>102</v>
      </c>
      <c r="C218" s="7">
        <v>34089</v>
      </c>
      <c r="D218" s="5" t="s">
        <v>216</v>
      </c>
      <c r="E218" s="9">
        <v>39.99</v>
      </c>
      <c r="F218" s="9">
        <v>29.01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</row>
    <row r="219" spans="1:12" s="2" customFormat="1" ht="16.5" customHeight="1" x14ac:dyDescent="0.35">
      <c r="A219" s="5" t="s">
        <v>13</v>
      </c>
      <c r="B219" s="6">
        <v>101</v>
      </c>
      <c r="C219" s="7">
        <v>34088</v>
      </c>
      <c r="D219" s="5" t="s">
        <v>217</v>
      </c>
      <c r="E219" s="9">
        <v>1.5</v>
      </c>
      <c r="F219" s="9">
        <v>0.68</v>
      </c>
      <c r="G219" s="10">
        <v>0</v>
      </c>
      <c r="H219" s="10">
        <v>0</v>
      </c>
      <c r="I219" s="10">
        <v>117.39130434782609</v>
      </c>
      <c r="J219" s="10">
        <v>90</v>
      </c>
      <c r="K219" s="10">
        <v>0</v>
      </c>
      <c r="L219" s="10">
        <v>0</v>
      </c>
    </row>
    <row r="220" spans="1:12" s="2" customFormat="1" ht="16.5" customHeight="1" x14ac:dyDescent="0.35">
      <c r="A220" s="5" t="s">
        <v>13</v>
      </c>
      <c r="B220" s="6">
        <v>103</v>
      </c>
      <c r="C220" s="7">
        <v>34087</v>
      </c>
      <c r="D220" s="5" t="s">
        <v>218</v>
      </c>
      <c r="E220" s="9">
        <v>99.99</v>
      </c>
      <c r="F220" s="9">
        <v>54.67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</row>
    <row r="221" spans="1:12" s="2" customFormat="1" ht="16.5" customHeight="1" x14ac:dyDescent="0.35">
      <c r="A221" s="5" t="s">
        <v>13</v>
      </c>
      <c r="B221" s="6">
        <v>104</v>
      </c>
      <c r="C221" s="7">
        <v>34082</v>
      </c>
      <c r="D221" s="5" t="s">
        <v>219</v>
      </c>
      <c r="E221" s="9">
        <v>55</v>
      </c>
      <c r="F221" s="9">
        <v>25.03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</row>
    <row r="222" spans="1:12" s="2" customFormat="1" ht="16.5" customHeight="1" x14ac:dyDescent="0.35">
      <c r="A222" s="5" t="s">
        <v>13</v>
      </c>
      <c r="B222" s="6">
        <v>104</v>
      </c>
      <c r="C222" s="7">
        <v>34081</v>
      </c>
      <c r="D222" s="5" t="s">
        <v>220</v>
      </c>
      <c r="E222" s="9">
        <v>29.99</v>
      </c>
      <c r="F222" s="9">
        <v>14.34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</row>
    <row r="223" spans="1:12" s="2" customFormat="1" ht="16.5" customHeight="1" x14ac:dyDescent="0.35">
      <c r="A223" s="5" t="s">
        <v>13</v>
      </c>
      <c r="B223" s="6">
        <v>104</v>
      </c>
      <c r="C223" s="7">
        <v>34080</v>
      </c>
      <c r="D223" s="5" t="s">
        <v>221</v>
      </c>
      <c r="E223" s="9">
        <v>49.99</v>
      </c>
      <c r="F223" s="9">
        <v>28.67</v>
      </c>
      <c r="G223" s="10">
        <v>0</v>
      </c>
      <c r="H223" s="10">
        <v>0</v>
      </c>
      <c r="I223" s="10">
        <v>43.469565217391306</v>
      </c>
      <c r="J223" s="10">
        <v>1</v>
      </c>
      <c r="K223" s="10">
        <v>0</v>
      </c>
      <c r="L223" s="10">
        <v>0</v>
      </c>
    </row>
    <row r="224" spans="1:12" s="2" customFormat="1" ht="16.5" customHeight="1" x14ac:dyDescent="0.35">
      <c r="A224" s="5" t="s">
        <v>13</v>
      </c>
      <c r="B224" s="6">
        <v>104</v>
      </c>
      <c r="C224" s="7">
        <v>34079</v>
      </c>
      <c r="D224" s="5" t="s">
        <v>222</v>
      </c>
      <c r="E224" s="9">
        <v>60</v>
      </c>
      <c r="F224" s="9">
        <v>29.14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</row>
    <row r="225" spans="1:12" s="2" customFormat="1" ht="16.5" customHeight="1" x14ac:dyDescent="0.35">
      <c r="A225" s="5" t="s">
        <v>13</v>
      </c>
      <c r="B225" s="6">
        <v>103</v>
      </c>
      <c r="C225" s="7">
        <v>34076</v>
      </c>
      <c r="D225" s="5" t="s">
        <v>223</v>
      </c>
      <c r="E225" s="9">
        <v>114.99</v>
      </c>
      <c r="F225" s="9">
        <v>20.95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</row>
    <row r="226" spans="1:12" s="2" customFormat="1" ht="16.5" customHeight="1" x14ac:dyDescent="0.35">
      <c r="A226" s="5" t="s">
        <v>13</v>
      </c>
      <c r="B226" s="6">
        <v>104</v>
      </c>
      <c r="C226" s="7">
        <v>34075</v>
      </c>
      <c r="D226" s="5" t="s">
        <v>224</v>
      </c>
      <c r="E226" s="9">
        <v>69.989999999999995</v>
      </c>
      <c r="F226" s="9">
        <v>36.1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</row>
    <row r="227" spans="1:12" s="2" customFormat="1" ht="16.5" customHeight="1" x14ac:dyDescent="0.35">
      <c r="A227" s="5" t="s">
        <v>13</v>
      </c>
      <c r="B227" s="6">
        <v>102</v>
      </c>
      <c r="C227" s="7">
        <v>34074</v>
      </c>
      <c r="D227" s="5" t="s">
        <v>225</v>
      </c>
      <c r="E227" s="9">
        <v>21.99</v>
      </c>
      <c r="F227" s="9">
        <v>12.33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</row>
    <row r="228" spans="1:12" s="2" customFormat="1" ht="16.5" customHeight="1" x14ac:dyDescent="0.35">
      <c r="A228" s="5" t="s">
        <v>13</v>
      </c>
      <c r="B228" s="6">
        <v>102</v>
      </c>
      <c r="C228" s="7">
        <v>34061</v>
      </c>
      <c r="D228" s="5" t="s">
        <v>226</v>
      </c>
      <c r="E228" s="9">
        <v>39.99</v>
      </c>
      <c r="F228" s="9">
        <v>17.68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</row>
    <row r="229" spans="1:12" s="2" customFormat="1" ht="16.5" customHeight="1" x14ac:dyDescent="0.35">
      <c r="A229" s="5" t="s">
        <v>13</v>
      </c>
      <c r="B229" s="6">
        <v>101</v>
      </c>
      <c r="C229" s="7">
        <v>34059</v>
      </c>
      <c r="D229" s="5" t="s">
        <v>227</v>
      </c>
      <c r="E229" s="9">
        <v>6.99</v>
      </c>
      <c r="F229" s="9">
        <v>3.8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</row>
    <row r="230" spans="1:12" s="2" customFormat="1" ht="16.5" customHeight="1" x14ac:dyDescent="0.35">
      <c r="A230" s="5" t="s">
        <v>13</v>
      </c>
      <c r="B230" s="6">
        <v>118</v>
      </c>
      <c r="C230" s="7">
        <v>34054</v>
      </c>
      <c r="D230" s="5" t="s">
        <v>228</v>
      </c>
      <c r="E230" s="9">
        <v>100</v>
      </c>
      <c r="F230" s="9">
        <v>54.36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</row>
    <row r="231" spans="1:12" s="2" customFormat="1" ht="16.5" customHeight="1" x14ac:dyDescent="0.35">
      <c r="A231" s="5" t="s">
        <v>13</v>
      </c>
      <c r="B231" s="6">
        <v>101</v>
      </c>
      <c r="C231" s="7">
        <v>34052</v>
      </c>
      <c r="D231" s="5" t="s">
        <v>229</v>
      </c>
      <c r="E231" s="9">
        <v>24.99</v>
      </c>
      <c r="F231" s="9">
        <v>8.1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</row>
    <row r="232" spans="1:12" s="2" customFormat="1" ht="16.5" customHeight="1" x14ac:dyDescent="0.35">
      <c r="A232" s="5" t="s">
        <v>24</v>
      </c>
      <c r="B232" s="6">
        <v>101</v>
      </c>
      <c r="C232" s="7">
        <v>34047</v>
      </c>
      <c r="D232" s="5" t="s">
        <v>230</v>
      </c>
      <c r="E232" s="9">
        <v>3.99</v>
      </c>
      <c r="F232" s="9">
        <v>2.120625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</row>
    <row r="233" spans="1:12" s="2" customFormat="1" ht="16.5" customHeight="1" x14ac:dyDescent="0.35">
      <c r="A233" s="5" t="s">
        <v>13</v>
      </c>
      <c r="B233" s="6">
        <v>118</v>
      </c>
      <c r="C233" s="7">
        <v>34040</v>
      </c>
      <c r="D233" s="5" t="s">
        <v>231</v>
      </c>
      <c r="E233" s="9">
        <v>80</v>
      </c>
      <c r="F233" s="9">
        <v>36.909999999999997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</row>
    <row r="234" spans="1:12" s="2" customFormat="1" ht="16.5" customHeight="1" x14ac:dyDescent="0.35">
      <c r="A234" s="5" t="s">
        <v>13</v>
      </c>
      <c r="B234" s="6">
        <v>102</v>
      </c>
      <c r="C234" s="7">
        <v>34039</v>
      </c>
      <c r="D234" s="5" t="s">
        <v>232</v>
      </c>
      <c r="E234" s="9">
        <v>11.99</v>
      </c>
      <c r="F234" s="9">
        <v>5.62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</row>
    <row r="235" spans="1:12" s="2" customFormat="1" ht="16.5" customHeight="1" x14ac:dyDescent="0.35">
      <c r="A235" s="5" t="s">
        <v>13</v>
      </c>
      <c r="B235" s="6">
        <v>102</v>
      </c>
      <c r="C235" s="7">
        <v>34037</v>
      </c>
      <c r="D235" s="5" t="s">
        <v>233</v>
      </c>
      <c r="E235" s="9">
        <v>29.99</v>
      </c>
      <c r="F235" s="9">
        <v>16.43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</row>
    <row r="236" spans="1:12" s="2" customFormat="1" ht="16.5" customHeight="1" x14ac:dyDescent="0.35">
      <c r="A236" s="5" t="s">
        <v>13</v>
      </c>
      <c r="B236" s="6">
        <v>117</v>
      </c>
      <c r="C236" s="7">
        <v>34034</v>
      </c>
      <c r="D236" s="5" t="s">
        <v>234</v>
      </c>
      <c r="E236" s="9">
        <v>19.989999999999998</v>
      </c>
      <c r="F236" s="9">
        <v>8.43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</row>
    <row r="237" spans="1:12" s="2" customFormat="1" ht="16.5" customHeight="1" x14ac:dyDescent="0.35">
      <c r="A237" s="5" t="s">
        <v>13</v>
      </c>
      <c r="B237" s="6">
        <v>106</v>
      </c>
      <c r="C237" s="7">
        <v>34028</v>
      </c>
      <c r="D237" s="5" t="s">
        <v>235</v>
      </c>
      <c r="E237" s="9">
        <v>26.99</v>
      </c>
      <c r="F237" s="9">
        <v>15.3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</row>
    <row r="238" spans="1:12" s="2" customFormat="1" ht="16.5" customHeight="1" x14ac:dyDescent="0.35">
      <c r="A238" s="5" t="s">
        <v>13</v>
      </c>
      <c r="B238" s="6">
        <v>106</v>
      </c>
      <c r="C238" s="7">
        <v>34027</v>
      </c>
      <c r="D238" s="5" t="s">
        <v>236</v>
      </c>
      <c r="E238" s="9">
        <v>27.99</v>
      </c>
      <c r="F238" s="9">
        <v>15.41</v>
      </c>
      <c r="G238" s="10">
        <v>0</v>
      </c>
      <c r="H238" s="10">
        <v>0</v>
      </c>
      <c r="I238" s="10">
        <v>0</v>
      </c>
      <c r="J238" s="10">
        <v>0</v>
      </c>
      <c r="K238" s="10">
        <v>24.339130434782607</v>
      </c>
      <c r="L238" s="10">
        <v>1</v>
      </c>
    </row>
    <row r="239" spans="1:12" s="2" customFormat="1" ht="16.5" customHeight="1" x14ac:dyDescent="0.35">
      <c r="A239" s="5" t="s">
        <v>13</v>
      </c>
      <c r="B239" s="6">
        <v>118</v>
      </c>
      <c r="C239" s="7">
        <v>34025</v>
      </c>
      <c r="D239" s="5" t="s">
        <v>237</v>
      </c>
      <c r="E239" s="9">
        <v>120</v>
      </c>
      <c r="F239" s="9">
        <v>62.39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</row>
    <row r="240" spans="1:12" s="2" customFormat="1" ht="16.5" customHeight="1" x14ac:dyDescent="0.35">
      <c r="A240" s="5" t="s">
        <v>13</v>
      </c>
      <c r="B240" s="6">
        <v>102</v>
      </c>
      <c r="C240" s="7">
        <v>34021</v>
      </c>
      <c r="D240" s="5" t="s">
        <v>238</v>
      </c>
      <c r="E240" s="9">
        <v>32.99</v>
      </c>
      <c r="F240" s="9">
        <v>15.39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</row>
    <row r="241" spans="1:12" s="2" customFormat="1" ht="16.5" customHeight="1" x14ac:dyDescent="0.35">
      <c r="A241" s="5" t="s">
        <v>13</v>
      </c>
      <c r="B241" s="6">
        <v>101</v>
      </c>
      <c r="C241" s="7">
        <v>34019</v>
      </c>
      <c r="D241" s="5" t="s">
        <v>208</v>
      </c>
      <c r="E241" s="9">
        <v>5.99</v>
      </c>
      <c r="F241" s="9">
        <v>3.12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</row>
    <row r="242" spans="1:12" s="2" customFormat="1" ht="16.5" customHeight="1" x14ac:dyDescent="0.35">
      <c r="A242" s="5" t="s">
        <v>13</v>
      </c>
      <c r="B242" s="6">
        <v>101</v>
      </c>
      <c r="C242" s="7">
        <v>34011</v>
      </c>
      <c r="D242" s="5" t="s">
        <v>239</v>
      </c>
      <c r="E242" s="9">
        <v>19.989999999999998</v>
      </c>
      <c r="F242" s="9">
        <v>2.63</v>
      </c>
      <c r="G242" s="10">
        <v>0</v>
      </c>
      <c r="H242" s="10">
        <v>0</v>
      </c>
      <c r="I242" s="10">
        <v>0</v>
      </c>
      <c r="J242" s="10">
        <v>0</v>
      </c>
      <c r="K242" s="10">
        <v>17.382608695652173</v>
      </c>
      <c r="L242" s="10">
        <v>1</v>
      </c>
    </row>
    <row r="243" spans="1:12" s="2" customFormat="1" ht="16.5" customHeight="1" x14ac:dyDescent="0.35">
      <c r="A243" s="5" t="s">
        <v>13</v>
      </c>
      <c r="B243" s="6">
        <v>101</v>
      </c>
      <c r="C243" s="7">
        <v>34006</v>
      </c>
      <c r="D243" s="5" t="s">
        <v>240</v>
      </c>
      <c r="E243" s="9">
        <v>10.99</v>
      </c>
      <c r="F243" s="9">
        <v>6.3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</row>
    <row r="244" spans="1:12" s="2" customFormat="1" ht="16.5" customHeight="1" x14ac:dyDescent="0.35">
      <c r="A244" s="5" t="s">
        <v>13</v>
      </c>
      <c r="B244" s="6">
        <v>119</v>
      </c>
      <c r="C244" s="7">
        <v>34003</v>
      </c>
      <c r="D244" s="5" t="s">
        <v>241</v>
      </c>
      <c r="E244" s="9">
        <v>120</v>
      </c>
      <c r="F244" s="9">
        <v>62.47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</row>
    <row r="245" spans="1:12" s="2" customFormat="1" ht="16.5" customHeight="1" x14ac:dyDescent="0.35">
      <c r="A245" s="5" t="s">
        <v>42</v>
      </c>
      <c r="B245" s="6">
        <v>1821</v>
      </c>
      <c r="C245" s="7">
        <v>33999</v>
      </c>
      <c r="D245" s="5" t="s">
        <v>242</v>
      </c>
      <c r="E245" s="9">
        <v>19.989999999999998</v>
      </c>
      <c r="F245" s="9">
        <v>17.149999999999999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</row>
    <row r="246" spans="1:12" s="2" customFormat="1" ht="16.5" customHeight="1" x14ac:dyDescent="0.35">
      <c r="A246" s="5" t="s">
        <v>13</v>
      </c>
      <c r="B246" s="6">
        <v>118</v>
      </c>
      <c r="C246" s="7">
        <v>33991</v>
      </c>
      <c r="D246" s="5" t="s">
        <v>243</v>
      </c>
      <c r="E246" s="9">
        <v>100</v>
      </c>
      <c r="F246" s="9">
        <v>51.82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</row>
    <row r="247" spans="1:12" s="2" customFormat="1" ht="16.5" customHeight="1" x14ac:dyDescent="0.35">
      <c r="A247" s="5" t="s">
        <v>13</v>
      </c>
      <c r="B247" s="6">
        <v>103</v>
      </c>
      <c r="C247" s="7">
        <v>33990</v>
      </c>
      <c r="D247" s="5" t="s">
        <v>244</v>
      </c>
      <c r="E247" s="9">
        <v>21.99</v>
      </c>
      <c r="F247" s="9">
        <v>11.11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</row>
    <row r="248" spans="1:12" s="2" customFormat="1" ht="16.5" customHeight="1" x14ac:dyDescent="0.35">
      <c r="A248" s="5" t="s">
        <v>13</v>
      </c>
      <c r="B248" s="6">
        <v>103</v>
      </c>
      <c r="C248" s="7">
        <v>33989</v>
      </c>
      <c r="D248" s="5" t="s">
        <v>245</v>
      </c>
      <c r="E248" s="9">
        <v>30</v>
      </c>
      <c r="F248" s="9">
        <v>20.81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</row>
    <row r="249" spans="1:12" s="2" customFormat="1" ht="16.5" customHeight="1" x14ac:dyDescent="0.35">
      <c r="A249" s="5" t="s">
        <v>13</v>
      </c>
      <c r="B249" s="6">
        <v>103</v>
      </c>
      <c r="C249" s="7">
        <v>33988</v>
      </c>
      <c r="D249" s="5" t="s">
        <v>246</v>
      </c>
      <c r="E249" s="9">
        <v>15</v>
      </c>
      <c r="F249" s="9">
        <v>9.1300000000000008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</row>
    <row r="250" spans="1:12" s="2" customFormat="1" ht="16.5" customHeight="1" x14ac:dyDescent="0.35">
      <c r="A250" s="5" t="s">
        <v>13</v>
      </c>
      <c r="B250" s="6">
        <v>103</v>
      </c>
      <c r="C250" s="7">
        <v>33051</v>
      </c>
      <c r="D250" s="5" t="s">
        <v>247</v>
      </c>
      <c r="E250" s="9">
        <v>10</v>
      </c>
      <c r="F250" s="9">
        <v>5.04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</row>
    <row r="251" spans="1:12" s="2" customFormat="1" ht="16.5" customHeight="1" x14ac:dyDescent="0.35">
      <c r="A251" s="5" t="s">
        <v>13</v>
      </c>
      <c r="B251" s="6">
        <v>103</v>
      </c>
      <c r="C251" s="7">
        <v>33050</v>
      </c>
      <c r="D251" s="5" t="s">
        <v>248</v>
      </c>
      <c r="E251" s="9">
        <v>10</v>
      </c>
      <c r="F251" s="9">
        <v>4.5599999999999996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</row>
    <row r="252" spans="1:12" s="2" customFormat="1" ht="16.5" customHeight="1" x14ac:dyDescent="0.35">
      <c r="A252" s="5" t="s">
        <v>13</v>
      </c>
      <c r="B252" s="6">
        <v>103</v>
      </c>
      <c r="C252" s="7">
        <v>33049</v>
      </c>
      <c r="D252" s="5" t="s">
        <v>249</v>
      </c>
      <c r="E252" s="9">
        <v>10</v>
      </c>
      <c r="F252" s="9">
        <v>2.3199999999999998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</row>
    <row r="253" spans="1:12" s="2" customFormat="1" ht="16.5" customHeight="1" x14ac:dyDescent="0.35">
      <c r="A253" s="5" t="s">
        <v>13</v>
      </c>
      <c r="B253" s="6">
        <v>103</v>
      </c>
      <c r="C253" s="7">
        <v>33048</v>
      </c>
      <c r="D253" s="5" t="s">
        <v>250</v>
      </c>
      <c r="E253" s="9">
        <v>15</v>
      </c>
      <c r="F253" s="9">
        <v>7.77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</row>
    <row r="254" spans="1:12" s="2" customFormat="1" ht="16.5" customHeight="1" x14ac:dyDescent="0.35">
      <c r="A254" s="5" t="s">
        <v>13</v>
      </c>
      <c r="B254" s="6">
        <v>103</v>
      </c>
      <c r="C254" s="7">
        <v>33047</v>
      </c>
      <c r="D254" s="5" t="s">
        <v>251</v>
      </c>
      <c r="E254" s="9">
        <v>15</v>
      </c>
      <c r="F254" s="9">
        <v>6.99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</row>
    <row r="255" spans="1:12" s="2" customFormat="1" ht="16.5" customHeight="1" x14ac:dyDescent="0.35">
      <c r="A255" s="5" t="s">
        <v>13</v>
      </c>
      <c r="B255" s="6">
        <v>103</v>
      </c>
      <c r="C255" s="7">
        <v>33046</v>
      </c>
      <c r="D255" s="5" t="s">
        <v>252</v>
      </c>
      <c r="E255" s="9">
        <v>10</v>
      </c>
      <c r="F255" s="9">
        <v>3.39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</row>
    <row r="256" spans="1:12" s="2" customFormat="1" ht="16.5" customHeight="1" x14ac:dyDescent="0.35">
      <c r="A256" s="5" t="s">
        <v>13</v>
      </c>
      <c r="B256" s="6">
        <v>103</v>
      </c>
      <c r="C256" s="7">
        <v>33045</v>
      </c>
      <c r="D256" s="5" t="s">
        <v>253</v>
      </c>
      <c r="E256" s="9">
        <v>10</v>
      </c>
      <c r="F256" s="9">
        <v>2.5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</row>
    <row r="257" spans="1:12" s="2" customFormat="1" ht="16.5" customHeight="1" x14ac:dyDescent="0.35">
      <c r="A257" s="5" t="s">
        <v>13</v>
      </c>
      <c r="B257" s="6">
        <v>103</v>
      </c>
      <c r="C257" s="7">
        <v>33044</v>
      </c>
      <c r="D257" s="5" t="s">
        <v>254</v>
      </c>
      <c r="E257" s="9">
        <v>15</v>
      </c>
      <c r="F257" s="9">
        <v>10.23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</row>
    <row r="258" spans="1:12" s="2" customFormat="1" ht="16.5" customHeight="1" x14ac:dyDescent="0.35">
      <c r="A258" s="5" t="s">
        <v>13</v>
      </c>
      <c r="B258" s="6">
        <v>103</v>
      </c>
      <c r="C258" s="7">
        <v>33043</v>
      </c>
      <c r="D258" s="5" t="s">
        <v>255</v>
      </c>
      <c r="E258" s="9">
        <v>15</v>
      </c>
      <c r="F258" s="9">
        <v>4.26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</row>
    <row r="259" spans="1:12" s="2" customFormat="1" ht="16.5" customHeight="1" x14ac:dyDescent="0.35">
      <c r="A259" s="5" t="s">
        <v>13</v>
      </c>
      <c r="B259" s="6">
        <v>103</v>
      </c>
      <c r="C259" s="7">
        <v>33042</v>
      </c>
      <c r="D259" s="5" t="s">
        <v>256</v>
      </c>
      <c r="E259" s="9">
        <v>20</v>
      </c>
      <c r="F259" s="9">
        <v>10.23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</row>
    <row r="260" spans="1:12" s="2" customFormat="1" ht="16.5" customHeight="1" x14ac:dyDescent="0.35">
      <c r="A260" s="5" t="s">
        <v>13</v>
      </c>
      <c r="B260" s="6">
        <v>103</v>
      </c>
      <c r="C260" s="7">
        <v>33041</v>
      </c>
      <c r="D260" s="5" t="s">
        <v>257</v>
      </c>
      <c r="E260" s="9">
        <v>10</v>
      </c>
      <c r="F260" s="9">
        <v>1.5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</row>
    <row r="261" spans="1:12" s="2" customFormat="1" ht="16.5" customHeight="1" x14ac:dyDescent="0.35">
      <c r="A261" s="5" t="s">
        <v>13</v>
      </c>
      <c r="B261" s="6">
        <v>103</v>
      </c>
      <c r="C261" s="7">
        <v>33040</v>
      </c>
      <c r="D261" s="5" t="s">
        <v>258</v>
      </c>
      <c r="E261" s="9">
        <v>30</v>
      </c>
      <c r="F261" s="9">
        <v>18.260000000000002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</row>
    <row r="262" spans="1:12" s="2" customFormat="1" ht="16.5" customHeight="1" x14ac:dyDescent="0.35">
      <c r="A262" s="5" t="s">
        <v>13</v>
      </c>
      <c r="B262" s="6">
        <v>119</v>
      </c>
      <c r="C262" s="7">
        <v>33038</v>
      </c>
      <c r="D262" s="5" t="s">
        <v>259</v>
      </c>
      <c r="E262" s="9">
        <v>35.99</v>
      </c>
      <c r="F262" s="9">
        <v>18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</row>
    <row r="263" spans="1:12" s="2" customFormat="1" ht="16.5" customHeight="1" x14ac:dyDescent="0.35">
      <c r="A263" s="5" t="s">
        <v>13</v>
      </c>
      <c r="B263" s="6">
        <v>119</v>
      </c>
      <c r="C263" s="7">
        <v>33037</v>
      </c>
      <c r="D263" s="5" t="s">
        <v>260</v>
      </c>
      <c r="E263" s="9">
        <v>59.99</v>
      </c>
      <c r="F263" s="9">
        <v>23.44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</row>
    <row r="264" spans="1:12" s="2" customFormat="1" ht="16.5" customHeight="1" x14ac:dyDescent="0.35">
      <c r="A264" s="5" t="s">
        <v>13</v>
      </c>
      <c r="B264" s="6">
        <v>102</v>
      </c>
      <c r="C264" s="7">
        <v>33036</v>
      </c>
      <c r="D264" s="5" t="s">
        <v>261</v>
      </c>
      <c r="E264" s="9">
        <v>400</v>
      </c>
      <c r="F264" s="9">
        <v>204.01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</row>
    <row r="265" spans="1:12" s="2" customFormat="1" ht="16.5" customHeight="1" x14ac:dyDescent="0.35">
      <c r="A265" s="17" t="s">
        <v>66</v>
      </c>
      <c r="B265" s="18">
        <v>102</v>
      </c>
      <c r="C265" s="19">
        <v>33032</v>
      </c>
      <c r="D265" s="17" t="s">
        <v>262</v>
      </c>
      <c r="E265" s="20">
        <v>28.99</v>
      </c>
      <c r="F265" s="20">
        <v>14.612666666666666</v>
      </c>
      <c r="G265" s="20">
        <v>0</v>
      </c>
      <c r="H265" s="20">
        <v>0</v>
      </c>
      <c r="I265" s="20">
        <v>0</v>
      </c>
      <c r="J265" s="20">
        <v>0</v>
      </c>
      <c r="K265" s="20">
        <v>25.208695652173912</v>
      </c>
      <c r="L265" s="20">
        <v>1</v>
      </c>
    </row>
    <row r="266" spans="1:12" s="2" customFormat="1" ht="16.5" customHeight="1" x14ac:dyDescent="0.35">
      <c r="A266" s="5" t="s">
        <v>24</v>
      </c>
      <c r="B266" s="6">
        <v>102</v>
      </c>
      <c r="C266" s="7">
        <v>33032</v>
      </c>
      <c r="D266" s="5" t="s">
        <v>262</v>
      </c>
      <c r="E266" s="9">
        <v>28.99</v>
      </c>
      <c r="F266" s="9">
        <v>12.413</v>
      </c>
      <c r="G266" s="10">
        <v>0</v>
      </c>
      <c r="H266" s="10">
        <v>0</v>
      </c>
      <c r="I266" s="10">
        <v>0</v>
      </c>
      <c r="J266" s="10">
        <v>0</v>
      </c>
      <c r="K266" s="10">
        <v>25.208695652173912</v>
      </c>
      <c r="L266" s="10">
        <v>1</v>
      </c>
    </row>
    <row r="267" spans="1:12" s="2" customFormat="1" ht="16.5" customHeight="1" x14ac:dyDescent="0.35">
      <c r="A267" s="5" t="s">
        <v>13</v>
      </c>
      <c r="B267" s="6">
        <v>101</v>
      </c>
      <c r="C267" s="7">
        <v>33027</v>
      </c>
      <c r="D267" s="5" t="s">
        <v>263</v>
      </c>
      <c r="E267" s="9">
        <v>19.989999999999998</v>
      </c>
      <c r="F267" s="9">
        <v>7.94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</row>
    <row r="268" spans="1:12" s="2" customFormat="1" ht="16.5" customHeight="1" x14ac:dyDescent="0.35">
      <c r="A268" s="5" t="s">
        <v>13</v>
      </c>
      <c r="B268" s="6">
        <v>102</v>
      </c>
      <c r="C268" s="7">
        <v>33025</v>
      </c>
      <c r="D268" s="5" t="s">
        <v>264</v>
      </c>
      <c r="E268" s="9">
        <v>5.99</v>
      </c>
      <c r="F268" s="9">
        <v>2.95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</row>
    <row r="269" spans="1:12" s="2" customFormat="1" ht="16.5" customHeight="1" x14ac:dyDescent="0.35">
      <c r="A269" s="5" t="s">
        <v>13</v>
      </c>
      <c r="B269" s="6">
        <v>102</v>
      </c>
      <c r="C269" s="7">
        <v>33023</v>
      </c>
      <c r="D269" s="5" t="s">
        <v>265</v>
      </c>
      <c r="E269" s="9">
        <v>19.989999999999998</v>
      </c>
      <c r="F269" s="9">
        <v>10.23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</row>
    <row r="270" spans="1:12" s="2" customFormat="1" ht="16.5" customHeight="1" x14ac:dyDescent="0.35">
      <c r="A270" s="5" t="s">
        <v>13</v>
      </c>
      <c r="B270" s="6">
        <v>118</v>
      </c>
      <c r="C270" s="7">
        <v>33021</v>
      </c>
      <c r="D270" s="5" t="s">
        <v>266</v>
      </c>
      <c r="E270" s="9">
        <v>130</v>
      </c>
      <c r="F270" s="9">
        <v>64.900000000000006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</row>
    <row r="271" spans="1:12" s="2" customFormat="1" ht="16.5" customHeight="1" x14ac:dyDescent="0.35">
      <c r="A271" s="5" t="s">
        <v>13</v>
      </c>
      <c r="B271" s="6">
        <v>102</v>
      </c>
      <c r="C271" s="7">
        <v>33019</v>
      </c>
      <c r="D271" s="5" t="s">
        <v>267</v>
      </c>
      <c r="E271" s="9">
        <v>14.99</v>
      </c>
      <c r="F271" s="9">
        <v>5.5</v>
      </c>
      <c r="G271" s="10">
        <v>0</v>
      </c>
      <c r="H271" s="10">
        <v>0</v>
      </c>
      <c r="I271" s="10">
        <v>26.069565217391304</v>
      </c>
      <c r="J271" s="10">
        <v>2</v>
      </c>
      <c r="K271" s="10">
        <v>13.034782608695652</v>
      </c>
      <c r="L271" s="10">
        <v>1</v>
      </c>
    </row>
    <row r="272" spans="1:12" s="2" customFormat="1" ht="16.5" customHeight="1" x14ac:dyDescent="0.35">
      <c r="A272" s="5" t="s">
        <v>13</v>
      </c>
      <c r="B272" s="6">
        <v>119</v>
      </c>
      <c r="C272" s="7">
        <v>33017</v>
      </c>
      <c r="D272" s="5" t="s">
        <v>268</v>
      </c>
      <c r="E272" s="9">
        <v>69.989999999999995</v>
      </c>
      <c r="F272" s="9">
        <v>32.450000000000003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</row>
    <row r="273" spans="1:12" s="2" customFormat="1" ht="16.5" customHeight="1" x14ac:dyDescent="0.35">
      <c r="A273" s="5" t="s">
        <v>13</v>
      </c>
      <c r="B273" s="6">
        <v>102</v>
      </c>
      <c r="C273" s="7">
        <v>33013</v>
      </c>
      <c r="D273" s="5" t="s">
        <v>269</v>
      </c>
      <c r="E273" s="9">
        <v>5.99</v>
      </c>
      <c r="F273" s="9">
        <v>3.1</v>
      </c>
      <c r="G273" s="10">
        <v>0</v>
      </c>
      <c r="H273" s="10">
        <v>0</v>
      </c>
      <c r="I273" s="10">
        <v>15.626086956521739</v>
      </c>
      <c r="J273" s="10">
        <v>3</v>
      </c>
      <c r="K273" s="10">
        <v>0</v>
      </c>
      <c r="L273" s="10">
        <v>0</v>
      </c>
    </row>
    <row r="274" spans="1:12" s="2" customFormat="1" ht="16.5" customHeight="1" x14ac:dyDescent="0.35">
      <c r="A274" s="5" t="s">
        <v>13</v>
      </c>
      <c r="B274" s="6">
        <v>102</v>
      </c>
      <c r="C274" s="7">
        <v>33012</v>
      </c>
      <c r="D274" s="5" t="s">
        <v>270</v>
      </c>
      <c r="E274" s="9">
        <v>47.99</v>
      </c>
      <c r="F274" s="9">
        <v>27.08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</row>
    <row r="275" spans="1:12" s="2" customFormat="1" ht="16.5" customHeight="1" x14ac:dyDescent="0.35">
      <c r="A275" s="5" t="s">
        <v>13</v>
      </c>
      <c r="B275" s="6">
        <v>101</v>
      </c>
      <c r="C275" s="7">
        <v>32871</v>
      </c>
      <c r="D275" s="5" t="s">
        <v>271</v>
      </c>
      <c r="E275" s="9">
        <v>8.99</v>
      </c>
      <c r="F275" s="9">
        <v>5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</row>
    <row r="276" spans="1:12" s="2" customFormat="1" ht="16.5" customHeight="1" x14ac:dyDescent="0.35">
      <c r="A276" s="5" t="s">
        <v>13</v>
      </c>
      <c r="B276" s="6">
        <v>102</v>
      </c>
      <c r="C276" s="7">
        <v>32869</v>
      </c>
      <c r="D276" s="5" t="s">
        <v>272</v>
      </c>
      <c r="E276" s="9">
        <v>3.5</v>
      </c>
      <c r="F276" s="9">
        <v>2.12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</row>
    <row r="277" spans="1:12" s="2" customFormat="1" ht="16.5" customHeight="1" x14ac:dyDescent="0.35">
      <c r="A277" s="5" t="s">
        <v>13</v>
      </c>
      <c r="B277" s="6">
        <v>102</v>
      </c>
      <c r="C277" s="7">
        <v>32868</v>
      </c>
      <c r="D277" s="5" t="s">
        <v>273</v>
      </c>
      <c r="E277" s="9">
        <v>5.99</v>
      </c>
      <c r="F277" s="9">
        <v>3.31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</row>
    <row r="278" spans="1:12" s="2" customFormat="1" ht="16.5" customHeight="1" x14ac:dyDescent="0.35">
      <c r="A278" s="5" t="s">
        <v>42</v>
      </c>
      <c r="B278" s="6">
        <v>102</v>
      </c>
      <c r="C278" s="7">
        <v>32864</v>
      </c>
      <c r="D278" s="5" t="s">
        <v>274</v>
      </c>
      <c r="E278" s="9">
        <v>9.99</v>
      </c>
      <c r="F278" s="9">
        <v>5</v>
      </c>
      <c r="G278" s="10">
        <v>0</v>
      </c>
      <c r="H278" s="10">
        <v>0</v>
      </c>
      <c r="I278" s="10">
        <v>34.747826086956522</v>
      </c>
      <c r="J278" s="10">
        <v>4</v>
      </c>
      <c r="K278" s="10">
        <v>43.434782608695656</v>
      </c>
      <c r="L278" s="10">
        <v>5</v>
      </c>
    </row>
    <row r="279" spans="1:12" s="2" customFormat="1" ht="16.5" customHeight="1" x14ac:dyDescent="0.35">
      <c r="A279" s="5" t="s">
        <v>13</v>
      </c>
      <c r="B279" s="6">
        <v>101</v>
      </c>
      <c r="C279" s="7">
        <v>32862</v>
      </c>
      <c r="D279" s="5" t="s">
        <v>275</v>
      </c>
      <c r="E279" s="9">
        <v>9.99</v>
      </c>
      <c r="F279" s="9">
        <v>5.14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</row>
    <row r="280" spans="1:12" s="2" customFormat="1" ht="16.5" customHeight="1" x14ac:dyDescent="0.35">
      <c r="A280" s="5" t="s">
        <v>13</v>
      </c>
      <c r="B280" s="6">
        <v>102</v>
      </c>
      <c r="C280" s="7">
        <v>32155</v>
      </c>
      <c r="D280" s="5" t="s">
        <v>276</v>
      </c>
      <c r="E280" s="9">
        <v>11.99</v>
      </c>
      <c r="F280" s="9">
        <v>5.87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</row>
    <row r="281" spans="1:12" s="2" customFormat="1" ht="16.5" customHeight="1" x14ac:dyDescent="0.35">
      <c r="A281" s="5" t="s">
        <v>13</v>
      </c>
      <c r="B281" s="6">
        <v>102</v>
      </c>
      <c r="C281" s="7">
        <v>32151</v>
      </c>
      <c r="D281" s="5" t="s">
        <v>277</v>
      </c>
      <c r="E281" s="9">
        <v>12.99</v>
      </c>
      <c r="F281" s="9">
        <v>6.88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</row>
    <row r="282" spans="1:12" s="2" customFormat="1" ht="16.5" customHeight="1" x14ac:dyDescent="0.35">
      <c r="A282" s="5" t="s">
        <v>13</v>
      </c>
      <c r="B282" s="6">
        <v>102</v>
      </c>
      <c r="C282" s="7">
        <v>32150</v>
      </c>
      <c r="D282" s="5" t="s">
        <v>278</v>
      </c>
      <c r="E282" s="9">
        <v>8.99</v>
      </c>
      <c r="F282" s="9">
        <v>4.53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</row>
    <row r="283" spans="1:12" s="2" customFormat="1" ht="16.5" customHeight="1" x14ac:dyDescent="0.35">
      <c r="A283" s="5" t="s">
        <v>13</v>
      </c>
      <c r="B283" s="6">
        <v>102</v>
      </c>
      <c r="C283" s="7">
        <v>32149</v>
      </c>
      <c r="D283" s="5" t="s">
        <v>279</v>
      </c>
      <c r="E283" s="9">
        <v>24.99</v>
      </c>
      <c r="F283" s="9">
        <v>13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</row>
    <row r="284" spans="1:12" s="2" customFormat="1" ht="16.5" customHeight="1" x14ac:dyDescent="0.35">
      <c r="A284" s="5" t="s">
        <v>13</v>
      </c>
      <c r="B284" s="6">
        <v>102</v>
      </c>
      <c r="C284" s="7">
        <v>32131</v>
      </c>
      <c r="D284" s="5" t="s">
        <v>75</v>
      </c>
      <c r="E284" s="9">
        <v>18.989999999999998</v>
      </c>
      <c r="F284" s="9">
        <v>9.1300000000000008</v>
      </c>
      <c r="G284" s="10">
        <v>0</v>
      </c>
      <c r="H284" s="10">
        <v>0</v>
      </c>
      <c r="I284" s="10">
        <v>0</v>
      </c>
      <c r="J284" s="10">
        <v>0</v>
      </c>
      <c r="K284" s="10">
        <v>115.5913043478261</v>
      </c>
      <c r="L284" s="10">
        <v>7</v>
      </c>
    </row>
    <row r="285" spans="1:12" s="2" customFormat="1" ht="16.5" customHeight="1" x14ac:dyDescent="0.35">
      <c r="A285" s="5" t="s">
        <v>13</v>
      </c>
      <c r="B285" s="6">
        <v>119</v>
      </c>
      <c r="C285" s="7">
        <v>32130</v>
      </c>
      <c r="D285" s="5" t="s">
        <v>280</v>
      </c>
      <c r="E285" s="9">
        <v>140</v>
      </c>
      <c r="F285" s="9">
        <v>92.6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</row>
    <row r="286" spans="1:12" s="2" customFormat="1" ht="16.5" customHeight="1" x14ac:dyDescent="0.35">
      <c r="A286" s="5" t="s">
        <v>13</v>
      </c>
      <c r="B286" s="6">
        <v>102</v>
      </c>
      <c r="C286" s="7">
        <v>32128</v>
      </c>
      <c r="D286" s="5" t="s">
        <v>281</v>
      </c>
      <c r="E286" s="9">
        <v>18.989999999999998</v>
      </c>
      <c r="F286" s="9">
        <v>11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</row>
    <row r="287" spans="1:12" s="2" customFormat="1" ht="16.5" customHeight="1" x14ac:dyDescent="0.35">
      <c r="A287" s="5" t="s">
        <v>13</v>
      </c>
      <c r="B287" s="6">
        <v>102</v>
      </c>
      <c r="C287" s="7">
        <v>32125</v>
      </c>
      <c r="D287" s="5" t="s">
        <v>282</v>
      </c>
      <c r="E287" s="9">
        <v>3</v>
      </c>
      <c r="F287" s="9">
        <v>1.29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</row>
    <row r="288" spans="1:12" s="2" customFormat="1" ht="16.5" customHeight="1" x14ac:dyDescent="0.35">
      <c r="A288" s="5" t="s">
        <v>13</v>
      </c>
      <c r="B288" s="6">
        <v>102</v>
      </c>
      <c r="C288" s="7">
        <v>32124</v>
      </c>
      <c r="D288" s="5" t="s">
        <v>283</v>
      </c>
      <c r="E288" s="9">
        <v>47.99</v>
      </c>
      <c r="F288" s="9">
        <v>10.44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</row>
    <row r="289" spans="1:12" s="2" customFormat="1" ht="16.5" customHeight="1" x14ac:dyDescent="0.35">
      <c r="A289" s="5" t="s">
        <v>13</v>
      </c>
      <c r="B289" s="6">
        <v>101</v>
      </c>
      <c r="C289" s="7">
        <v>32067</v>
      </c>
      <c r="D289" s="5" t="s">
        <v>284</v>
      </c>
      <c r="E289" s="9">
        <v>34.99</v>
      </c>
      <c r="F289" s="9">
        <v>15.91</v>
      </c>
      <c r="G289" s="10">
        <v>0</v>
      </c>
      <c r="H289" s="10">
        <v>0</v>
      </c>
      <c r="I289" s="10">
        <v>121.70434782608696</v>
      </c>
      <c r="J289" s="10">
        <v>4</v>
      </c>
      <c r="K289" s="10">
        <v>117.13913043478261</v>
      </c>
      <c r="L289" s="10">
        <v>4</v>
      </c>
    </row>
    <row r="290" spans="1:12" s="2" customFormat="1" ht="16.5" customHeight="1" x14ac:dyDescent="0.35">
      <c r="A290" s="5" t="s">
        <v>13</v>
      </c>
      <c r="B290" s="6">
        <v>102</v>
      </c>
      <c r="C290" s="7">
        <v>32066</v>
      </c>
      <c r="D290" s="5" t="s">
        <v>285</v>
      </c>
      <c r="E290" s="9">
        <v>10</v>
      </c>
      <c r="F290" s="9">
        <v>4.5</v>
      </c>
      <c r="G290" s="10">
        <v>0</v>
      </c>
      <c r="H290" s="10">
        <v>0</v>
      </c>
      <c r="I290" s="10">
        <v>0</v>
      </c>
      <c r="J290" s="10">
        <v>0</v>
      </c>
      <c r="K290" s="10">
        <v>52.173913043478258</v>
      </c>
      <c r="L290" s="10">
        <v>6</v>
      </c>
    </row>
    <row r="291" spans="1:12" s="2" customFormat="1" ht="16.5" customHeight="1" x14ac:dyDescent="0.35">
      <c r="A291" s="5" t="s">
        <v>13</v>
      </c>
      <c r="B291" s="6">
        <v>101</v>
      </c>
      <c r="C291" s="7">
        <v>32063</v>
      </c>
      <c r="D291" s="5" t="s">
        <v>286</v>
      </c>
      <c r="E291" s="9">
        <v>19.989999999999998</v>
      </c>
      <c r="F291" s="9">
        <v>8.5</v>
      </c>
      <c r="G291" s="10">
        <v>0</v>
      </c>
      <c r="H291" s="10">
        <v>0</v>
      </c>
      <c r="I291" s="10">
        <v>0</v>
      </c>
      <c r="J291" s="10">
        <v>0</v>
      </c>
      <c r="K291" s="10">
        <v>34.765217391304347</v>
      </c>
      <c r="L291" s="10">
        <v>2</v>
      </c>
    </row>
    <row r="292" spans="1:12" s="2" customFormat="1" ht="16.5" customHeight="1" x14ac:dyDescent="0.35">
      <c r="A292" s="5" t="s">
        <v>13</v>
      </c>
      <c r="B292" s="6">
        <v>101</v>
      </c>
      <c r="C292" s="7">
        <v>32062</v>
      </c>
      <c r="D292" s="5" t="s">
        <v>287</v>
      </c>
      <c r="E292" s="9">
        <v>24.99</v>
      </c>
      <c r="F292" s="9">
        <v>9.68</v>
      </c>
      <c r="G292" s="10">
        <v>0</v>
      </c>
      <c r="H292" s="10">
        <v>0</v>
      </c>
      <c r="I292" s="10">
        <v>0</v>
      </c>
      <c r="J292" s="10">
        <v>0</v>
      </c>
      <c r="K292" s="10">
        <v>43.460869565217386</v>
      </c>
      <c r="L292" s="10">
        <v>2</v>
      </c>
    </row>
    <row r="293" spans="1:12" s="2" customFormat="1" ht="16.5" customHeight="1" x14ac:dyDescent="0.35">
      <c r="A293" s="8"/>
      <c r="B293" s="8"/>
      <c r="C293" s="8"/>
      <c r="D293" s="8" t="s">
        <v>288</v>
      </c>
      <c r="E293" s="11"/>
      <c r="F293" s="11"/>
      <c r="G293" s="12">
        <v>7127.1739130434808</v>
      </c>
      <c r="H293" s="12">
        <v>621.178</v>
      </c>
      <c r="I293" s="12">
        <v>12501.652173913046</v>
      </c>
      <c r="J293" s="12">
        <v>646.78499999999997</v>
      </c>
      <c r="K293" s="12">
        <v>7064.9947826086955</v>
      </c>
      <c r="L293" s="12">
        <v>576.66600000000005</v>
      </c>
    </row>
    <row r="294" spans="1:12" s="2" customFormat="1" ht="12.75" hidden="1" customHeight="1" x14ac:dyDescent="0.35">
      <c r="D294" s="2" t="s">
        <v>288</v>
      </c>
      <c r="G294">
        <v>7127.1739130434808</v>
      </c>
      <c r="H294" s="2" t="s">
        <v>289</v>
      </c>
      <c r="I294">
        <v>12501.652173913046</v>
      </c>
      <c r="J294" s="2" t="s">
        <v>290</v>
      </c>
      <c r="K294">
        <v>7064.9947826086955</v>
      </c>
      <c r="L294" s="2" t="s">
        <v>291</v>
      </c>
    </row>
    <row r="295" spans="1:12" ht="16.5" customHeight="1" x14ac:dyDescent="0.35">
      <c r="G295" s="13">
        <f>SUM(G3:G292)</f>
        <v>7437.9565217391337</v>
      </c>
    </row>
  </sheetData>
  <sheetCalcPr fullCalcOnLoad="1"/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2026-06-18T14:08:39Z</dcterms:created>
  <dcterms:modified xsi:type="dcterms:W3CDTF">2026-06-18T14:20:32Z</dcterms:modified>
</cp:coreProperties>
</file>
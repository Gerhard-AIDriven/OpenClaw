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tim\.openclaw\workspace\Spar\Services Analysis\Bakery\"/>
    </mc:Choice>
  </mc:AlternateContent>
  <xr:revisionPtr revIDLastSave="0" documentId="8_{43625BDD-B9CB-4E90-9D8C-6FDDB7F61684}" xr6:coauthVersionLast="47" xr6:coauthVersionMax="47" xr10:uidLastSave="{00000000-0000-0000-0000-000000000000}"/>
  <bookViews>
    <workbookView xWindow="-110" yWindow="-110" windowWidth="19420" windowHeight="10300" xr2:uid="{3E92E791-8294-4A15-A5AD-1EB5DED229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5" i="1" l="1"/>
  <c r="E24" i="1"/>
  <c r="E36" i="1"/>
  <c r="D27" i="1"/>
  <c r="E27" i="1" s="1"/>
  <c r="A24" i="1"/>
</calcChain>
</file>

<file path=xl/sharedStrings.xml><?xml version="1.0" encoding="utf-8"?>
<sst xmlns="http://schemas.openxmlformats.org/spreadsheetml/2006/main" count="86" uniqueCount="55">
  <si>
    <t>Ingredients</t>
  </si>
  <si>
    <t>Unit</t>
  </si>
  <si>
    <t>Cost per unit</t>
  </si>
  <si>
    <t>Date:</t>
  </si>
  <si>
    <t>Signed</t>
  </si>
  <si>
    <t>Spar Sugar</t>
  </si>
  <si>
    <t>QTY (in units)</t>
  </si>
  <si>
    <t>Malva Pudding (Small ) 250g</t>
  </si>
  <si>
    <t>Name:</t>
  </si>
  <si>
    <t>Gerhard Stimie</t>
  </si>
  <si>
    <t>Kg</t>
  </si>
  <si>
    <t>Spar jam apricot</t>
  </si>
  <si>
    <t>Eggs (0.60g)</t>
  </si>
  <si>
    <t>Each</t>
  </si>
  <si>
    <t>Bicarbonate of Soda</t>
  </si>
  <si>
    <t>Milk</t>
  </si>
  <si>
    <t>Liter</t>
  </si>
  <si>
    <t>Vinegar</t>
  </si>
  <si>
    <t>Syrup</t>
  </si>
  <si>
    <t>Water</t>
  </si>
  <si>
    <t>Vanilla Essence</t>
  </si>
  <si>
    <t>Bakels Delight cream</t>
  </si>
  <si>
    <t>Golden Syrup</t>
  </si>
  <si>
    <t>Prod weight</t>
  </si>
  <si>
    <t>Cost per product unit</t>
  </si>
  <si>
    <t>Final GP%</t>
  </si>
  <si>
    <t>Final Selling Price (Input)</t>
  </si>
  <si>
    <t>Product Unit</t>
  </si>
  <si>
    <t xml:space="preserve">Signed off </t>
  </si>
  <si>
    <t>Date</t>
  </si>
  <si>
    <t>Sigma updated</t>
  </si>
  <si>
    <t>(Attach revised barcode label)</t>
  </si>
  <si>
    <t>Product Code</t>
  </si>
  <si>
    <t>Ingredient costing</t>
  </si>
  <si>
    <t>Cost Ex Vat</t>
  </si>
  <si>
    <t>Description</t>
  </si>
  <si>
    <t>Item</t>
  </si>
  <si>
    <t xml:space="preserve">Product </t>
  </si>
  <si>
    <t>+ Packaging</t>
  </si>
  <si>
    <t>+ VAT</t>
  </si>
  <si>
    <t>+ GP = Total cost Vat Incl</t>
  </si>
  <si>
    <t>Product:</t>
  </si>
  <si>
    <t>Total cost per batch:</t>
  </si>
  <si>
    <t>Malva Pudding (Medium) 500g</t>
  </si>
  <si>
    <t>Product Code:</t>
  </si>
  <si>
    <t xml:space="preserve">EAN </t>
  </si>
  <si>
    <t>Spar Cake Flour</t>
  </si>
  <si>
    <t>Spar Iodated med salt</t>
  </si>
  <si>
    <t>Spar Sugar (Brown) Poly</t>
  </si>
  <si>
    <t>Spar Custard Vanilla</t>
  </si>
  <si>
    <t>EAN</t>
  </si>
  <si>
    <t>Prod Code:</t>
  </si>
  <si>
    <t xml:space="preserve">Batch Yield </t>
  </si>
  <si>
    <t>Product Yield</t>
  </si>
  <si>
    <t>Mastermarg Margarine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</si>
</sst>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#,##0.000"/>
    <numFmt numFmtId="166" formatCode="0.0%"/>
  </numFmts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0" borderId="0" xfId="0" applyAlignment="1">
      <alignment wrapText="1"/>
    </xf>
    <xf numFmtId="165" fontId="0" fillId="0" borderId="0" xfId="0" applyNumberFormat="1"/>
    <xf numFmtId="4" fontId="0" fillId="0" borderId="0" xfId="0" applyNumberFormat="1"/>
    <xf numFmtId="9" fontId="0" fillId="0" borderId="0" xfId="0" applyNumberFormat="1"/>
    <xf numFmtId="0" fontId="0" fillId="0" borderId="0" xfId="0" applyNumberFormat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/>
    <xf numFmtId="165" fontId="0" fillId="0" borderId="2" xfId="0" applyNumberFormat="1" applyBorder="1"/>
    <xf numFmtId="4" fontId="0" fillId="0" borderId="2" xfId="0" applyNumberFormat="1" applyBorder="1"/>
    <xf numFmtId="0" fontId="0" fillId="0" borderId="6" xfId="0" applyBorder="1" applyAlignment="1">
      <alignment wrapText="1"/>
    </xf>
    <xf numFmtId="0" fontId="0" fillId="0" borderId="6" xfId="0" applyBorder="1"/>
    <xf numFmtId="4" fontId="0" fillId="0" borderId="7" xfId="0" applyNumberFormat="1" applyBorder="1"/>
    <xf numFmtId="166" fontId="0" fillId="0" borderId="10" xfId="0" applyNumberFormat="1" applyBorder="1"/>
    <xf numFmtId="0" fontId="0" fillId="0" borderId="3" xfId="0" applyBorder="1" applyAlignment="1"/>
    <xf numFmtId="0" fontId="0" fillId="0" borderId="4" xfId="0" applyBorder="1" applyAlignment="1"/>
    <xf numFmtId="0" fontId="0" fillId="0" borderId="12" xfId="0" applyBorder="1"/>
    <xf numFmtId="165" fontId="0" fillId="0" borderId="13" xfId="0" applyNumberFormat="1" applyBorder="1"/>
    <xf numFmtId="4" fontId="0" fillId="0" borderId="13" xfId="0" applyNumberFormat="1" applyBorder="1"/>
    <xf numFmtId="4" fontId="0" fillId="0" borderId="14" xfId="0" applyNumberFormat="1" applyBorder="1"/>
    <xf numFmtId="0" fontId="0" fillId="0" borderId="17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13" xfId="0" applyBorder="1"/>
    <xf numFmtId="0" fontId="0" fillId="0" borderId="3" xfId="0" applyBorder="1"/>
    <xf numFmtId="165" fontId="0" fillId="0" borderId="4" xfId="0" applyNumberFormat="1" applyBorder="1"/>
    <xf numFmtId="4" fontId="0" fillId="0" borderId="4" xfId="0" applyNumberFormat="1" applyBorder="1"/>
    <xf numFmtId="4" fontId="0" fillId="0" borderId="5" xfId="0" applyNumberFormat="1" applyBorder="1"/>
    <xf numFmtId="0" fontId="0" fillId="0" borderId="23" xfId="0" applyBorder="1"/>
    <xf numFmtId="4" fontId="0" fillId="0" borderId="1" xfId="0" applyNumberFormat="1" applyBorder="1"/>
    <xf numFmtId="0" fontId="1" fillId="0" borderId="2" xfId="0" applyFont="1" applyBorder="1"/>
    <xf numFmtId="0" fontId="0" fillId="0" borderId="1" xfId="0" applyBorder="1"/>
    <xf numFmtId="0" fontId="0" fillId="0" borderId="27" xfId="0" applyBorder="1"/>
    <xf numFmtId="0" fontId="0" fillId="0" borderId="28" xfId="0" applyBorder="1"/>
    <xf numFmtId="165" fontId="0" fillId="0" borderId="28" xfId="0" applyNumberFormat="1" applyBorder="1"/>
    <xf numFmtId="4" fontId="0" fillId="0" borderId="28" xfId="0" applyNumberFormat="1" applyBorder="1"/>
    <xf numFmtId="0" fontId="0" fillId="0" borderId="15" xfId="0" applyBorder="1" applyAlignment="1">
      <alignment horizontal="center" wrapText="1"/>
    </xf>
    <xf numFmtId="0" fontId="0" fillId="0" borderId="30" xfId="0" applyBorder="1" applyAlignment="1">
      <alignment wrapText="1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9" fontId="0" fillId="0" borderId="2" xfId="0" applyNumberFormat="1" applyBorder="1" applyAlignment="1"/>
    <xf numFmtId="0" fontId="0" fillId="0" borderId="2" xfId="0" quotePrefix="1" applyBorder="1" applyAlignment="1">
      <alignment horizontal="left"/>
    </xf>
    <xf numFmtId="0" fontId="0" fillId="0" borderId="28" xfId="0" applyBorder="1" applyAlignment="1">
      <alignment horizontal="left"/>
    </xf>
    <xf numFmtId="9" fontId="0" fillId="0" borderId="28" xfId="0" applyNumberFormat="1" applyBorder="1" applyAlignment="1"/>
    <xf numFmtId="0" fontId="0" fillId="0" borderId="3" xfId="0" quotePrefix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/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0" xfId="0" applyBorder="1" applyAlignment="1">
      <alignment horizontal="left"/>
    </xf>
    <xf numFmtId="166" fontId="0" fillId="0" borderId="0" xfId="0" applyNumberFormat="1" applyBorder="1"/>
    <xf numFmtId="0" fontId="0" fillId="0" borderId="32" xfId="0" applyBorder="1" applyAlignment="1">
      <alignment wrapText="1"/>
    </xf>
    <xf numFmtId="164" fontId="0" fillId="0" borderId="4" xfId="0" applyNumberFormat="1" applyBorder="1" applyAlignment="1">
      <alignment horizontal="left"/>
    </xf>
    <xf numFmtId="0" fontId="0" fillId="0" borderId="18" xfId="0" applyNumberFormat="1" applyBorder="1" applyAlignment="1">
      <alignment wrapText="1"/>
    </xf>
    <xf numFmtId="0" fontId="0" fillId="0" borderId="6" xfId="0" quotePrefix="1" applyBorder="1" applyAlignment="1">
      <alignment horizontal="left"/>
    </xf>
    <xf numFmtId="0" fontId="0" fillId="0" borderId="27" xfId="0" quotePrefix="1" applyBorder="1" applyAlignment="1">
      <alignment horizontal="left"/>
    </xf>
    <xf numFmtId="0" fontId="0" fillId="0" borderId="33" xfId="0" applyBorder="1" applyAlignment="1">
      <alignment wrapText="1"/>
    </xf>
    <xf numFmtId="165" fontId="0" fillId="0" borderId="34" xfId="0" applyNumberFormat="1" applyBorder="1" applyAlignment="1">
      <alignment wrapText="1"/>
    </xf>
    <xf numFmtId="4" fontId="0" fillId="0" borderId="34" xfId="0" applyNumberFormat="1" applyBorder="1" applyAlignment="1">
      <alignment wrapText="1"/>
    </xf>
    <xf numFmtId="0" fontId="0" fillId="0" borderId="35" xfId="0" applyBorder="1" applyAlignment="1">
      <alignment wrapText="1"/>
    </xf>
    <xf numFmtId="0" fontId="0" fillId="0" borderId="18" xfId="0" applyBorder="1" applyAlignment="1"/>
    <xf numFmtId="1" fontId="0" fillId="0" borderId="18" xfId="0" applyNumberFormat="1" applyBorder="1" applyAlignment="1">
      <alignment horizontal="left"/>
    </xf>
    <xf numFmtId="1" fontId="0" fillId="0" borderId="19" xfId="0" applyNumberFormat="1" applyBorder="1" applyAlignment="1">
      <alignment horizontal="left"/>
    </xf>
    <xf numFmtId="165" fontId="0" fillId="0" borderId="0" xfId="0" applyNumberFormat="1" applyBorder="1"/>
    <xf numFmtId="0" fontId="0" fillId="0" borderId="9" xfId="0" applyBorder="1" applyAlignment="1">
      <alignment horizontal="left"/>
    </xf>
    <xf numFmtId="0" fontId="0" fillId="0" borderId="16" xfId="0" applyBorder="1" applyAlignment="1">
      <alignment horizontal="left"/>
    </xf>
    <xf numFmtId="165" fontId="0" fillId="0" borderId="2" xfId="0" applyNumberFormat="1" applyBorder="1" applyAlignment="1">
      <alignment horizontal="left"/>
    </xf>
    <xf numFmtId="0" fontId="0" fillId="0" borderId="16" xfId="0" applyBorder="1" applyAlignment="1">
      <alignment horizontal="center" wrapText="1"/>
    </xf>
    <xf numFmtId="0" fontId="0" fillId="0" borderId="17" xfId="0" applyNumberFormat="1" applyBorder="1" applyAlignment="1">
      <alignment wrapText="1"/>
    </xf>
    <xf numFmtId="0" fontId="0" fillId="0" borderId="4" xfId="0" applyBorder="1" applyAlignment="1">
      <alignment horizontal="left"/>
    </xf>
    <xf numFmtId="0" fontId="0" fillId="0" borderId="7" xfId="0" applyBorder="1" applyAlignment="1"/>
    <xf numFmtId="0" fontId="0" fillId="0" borderId="8" xfId="0" applyBorder="1" applyAlignment="1"/>
    <xf numFmtId="4" fontId="0" fillId="0" borderId="34" xfId="0" applyNumberFormat="1" applyBorder="1"/>
    <xf numFmtId="0" fontId="0" fillId="0" borderId="34" xfId="0" applyBorder="1" applyAlignment="1"/>
    <xf numFmtId="4" fontId="0" fillId="0" borderId="23" xfId="0" applyNumberFormat="1" applyBorder="1"/>
    <xf numFmtId="0" fontId="0" fillId="0" borderId="35" xfId="0" applyBorder="1" applyAlignment="1"/>
    <xf numFmtId="0" fontId="2" fillId="0" borderId="2" xfId="0" applyFont="1" applyBorder="1" applyAlignment="1">
      <alignment horizontal="left" wrapText="1"/>
    </xf>
    <xf numFmtId="0" fontId="0" fillId="0" borderId="26" xfId="0" applyBorder="1" applyAlignment="1">
      <alignment horizontal="left"/>
    </xf>
    <xf numFmtId="0" fontId="0" fillId="0" borderId="12" xfId="0" quotePrefix="1" applyBorder="1" applyAlignment="1">
      <alignment horizontal="left"/>
    </xf>
    <xf numFmtId="0" fontId="0" fillId="0" borderId="13" xfId="0" quotePrefix="1" applyBorder="1" applyAlignment="1">
      <alignment horizontal="left"/>
    </xf>
    <xf numFmtId="0" fontId="0" fillId="0" borderId="33" xfId="0" applyBorder="1"/>
    <xf numFmtId="0" fontId="0" fillId="0" borderId="34" xfId="0" applyBorder="1"/>
    <xf numFmtId="165" fontId="0" fillId="0" borderId="34" xfId="0" applyNumberFormat="1" applyBorder="1"/>
    <xf numFmtId="4" fontId="0" fillId="0" borderId="35" xfId="0" applyNumberFormat="1" applyBorder="1"/>
    <xf numFmtId="4" fontId="0" fillId="0" borderId="29" xfId="0" applyNumberFormat="1" applyBorder="1"/>
    <xf numFmtId="0" fontId="0" fillId="0" borderId="27" xfId="0" applyBorder="1" applyAlignment="1">
      <alignment horizontal="right"/>
    </xf>
    <xf numFmtId="0" fontId="0" fillId="0" borderId="28" xfId="0" applyBorder="1" applyAlignment="1">
      <alignment horizontal="right"/>
    </xf>
    <xf numFmtId="1" fontId="0" fillId="0" borderId="4" xfId="0" applyNumberFormat="1" applyBorder="1" applyAlignment="1"/>
    <xf numFmtId="1" fontId="0" fillId="0" borderId="4" xfId="0" applyNumberFormat="1" applyBorder="1" applyAlignment="1">
      <alignment horizontal="left"/>
    </xf>
    <xf numFmtId="1" fontId="0" fillId="0" borderId="5" xfId="0" applyNumberFormat="1" applyBorder="1" applyAlignment="1">
      <alignment horizontal="left"/>
    </xf>
    <xf numFmtId="1" fontId="0" fillId="0" borderId="9" xfId="0" applyNumberFormat="1" applyBorder="1" applyAlignment="1"/>
    <xf numFmtId="1" fontId="0" fillId="0" borderId="9" xfId="0" applyNumberFormat="1" applyBorder="1" applyAlignment="1">
      <alignment horizontal="left"/>
    </xf>
    <xf numFmtId="1" fontId="0" fillId="0" borderId="10" xfId="0" applyNumberFormat="1" applyBorder="1" applyAlignment="1">
      <alignment horizontal="left"/>
    </xf>
    <xf numFmtId="0" fontId="2" fillId="0" borderId="31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0" fillId="0" borderId="31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left" vertical="center"/>
    </xf>
    <xf numFmtId="1" fontId="2" fillId="0" borderId="4" xfId="0" applyNumberFormat="1" applyFont="1" applyBorder="1" applyAlignment="1">
      <alignment horizontal="left" vertical="center"/>
    </xf>
    <xf numFmtId="1" fontId="2" fillId="0" borderId="8" xfId="0" applyNumberFormat="1" applyFont="1" applyBorder="1" applyAlignment="1">
      <alignment horizontal="left" vertical="center"/>
    </xf>
    <xf numFmtId="1" fontId="2" fillId="0" borderId="9" xfId="0" applyNumberFormat="1" applyFont="1" applyBorder="1" applyAlignment="1">
      <alignment horizontal="left" vertical="center"/>
    </xf>
    <xf numFmtId="0" fontId="0" fillId="0" borderId="11" xfId="0" applyBorder="1" applyAlignment="1">
      <alignment horizontal="left"/>
    </xf>
    <xf numFmtId="0" fontId="0" fillId="0" borderId="11" xfId="0" applyBorder="1"/>
    <xf numFmtId="4" fontId="0" fillId="0" borderId="0" xfId="0" applyNumberFormat="1" applyBorder="1"/>
    <xf numFmtId="0" fontId="0" fillId="0" borderId="25" xfId="0" applyBorder="1" applyAlignment="1">
      <alignment wrapText="1"/>
    </xf>
    <xf numFmtId="165" fontId="0" fillId="0" borderId="2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54C8B-3E9E-48CB-A46B-487AC3E4BAFC}">
  <sheetPr>
    <pageSetUpPr fitToPage="1"/>
  </sheetPr>
  <dimension ref="A1:L45"/>
  <sheetViews>
    <sheetView tabSelected="1" workbookViewId="0">
      <selection activeCell="F36" sqref="F36:F41"/>
    </sheetView>
  </sheetViews>
  <sheetFormatPr defaultRowHeight="14.5" x14ac:dyDescent="0.35"/>
  <cols>
    <col min="1" max="1" width="9.90625" customWidth="1"/>
    <col min="2" max="2" width="31" customWidth="1"/>
    <col min="3" max="3" width="5.54296875" bestFit="1" customWidth="1"/>
    <col min="4" max="4" width="12.36328125" style="2" bestFit="1" customWidth="1"/>
    <col min="5" max="5" width="13.6328125" style="3" customWidth="1"/>
    <col min="6" max="6" width="15.1796875" style="3" customWidth="1"/>
  </cols>
  <sheetData>
    <row r="1" spans="1:6" x14ac:dyDescent="0.35">
      <c r="A1" s="14" t="s">
        <v>8</v>
      </c>
      <c r="B1" s="68" t="s">
        <v>9</v>
      </c>
      <c r="C1" s="15" t="s">
        <v>3</v>
      </c>
      <c r="D1" s="51"/>
      <c r="E1" s="25" t="s">
        <v>4</v>
      </c>
      <c r="F1" s="26"/>
    </row>
    <row r="2" spans="1:6" x14ac:dyDescent="0.35">
      <c r="A2" s="10" t="s">
        <v>41</v>
      </c>
      <c r="B2" s="75" t="s">
        <v>7</v>
      </c>
      <c r="C2" s="75"/>
      <c r="D2" s="6" t="s">
        <v>27</v>
      </c>
      <c r="E2" s="65">
        <v>0.25</v>
      </c>
      <c r="F2" s="69" t="s">
        <v>10</v>
      </c>
    </row>
    <row r="3" spans="1:6" ht="15" thickBot="1" x14ac:dyDescent="0.4">
      <c r="A3" s="70" t="s">
        <v>51</v>
      </c>
      <c r="B3" s="63">
        <v>32127</v>
      </c>
      <c r="C3" s="71" t="s">
        <v>50</v>
      </c>
      <c r="D3" s="72">
        <v>212226</v>
      </c>
      <c r="E3" s="73"/>
      <c r="F3" s="74"/>
    </row>
    <row r="4" spans="1:6" ht="15" thickBot="1" x14ac:dyDescent="0.4">
      <c r="A4" s="37" t="s">
        <v>0</v>
      </c>
      <c r="B4" s="38"/>
      <c r="C4" s="35" t="s">
        <v>33</v>
      </c>
      <c r="D4" s="35"/>
      <c r="E4" s="35"/>
      <c r="F4" s="66"/>
    </row>
    <row r="5" spans="1:6" s="5" customFormat="1" ht="29.25" customHeight="1" thickBot="1" x14ac:dyDescent="0.4">
      <c r="A5" s="67" t="s">
        <v>32</v>
      </c>
      <c r="B5" s="52" t="s">
        <v>35</v>
      </c>
      <c r="C5" s="52" t="s">
        <v>1</v>
      </c>
      <c r="D5" s="52" t="s">
        <v>6</v>
      </c>
      <c r="E5" s="52" t="s">
        <v>2</v>
      </c>
      <c r="F5" s="21" t="s">
        <v>34</v>
      </c>
    </row>
    <row r="6" spans="1:6" ht="14.5" customHeight="1" x14ac:dyDescent="0.35">
      <c r="A6" s="23">
        <v>8858</v>
      </c>
      <c r="B6" s="45" t="s">
        <v>5</v>
      </c>
      <c r="C6" s="45" t="s">
        <v>10</v>
      </c>
      <c r="D6" s="24">
        <v>0.8</v>
      </c>
      <c r="E6" s="25"/>
      <c r="F6" s="26"/>
    </row>
    <row r="7" spans="1:6" ht="14.5" customHeight="1" x14ac:dyDescent="0.35">
      <c r="A7" s="11">
        <v>3079</v>
      </c>
      <c r="B7" s="7" t="s">
        <v>11</v>
      </c>
      <c r="C7" s="7" t="s">
        <v>10</v>
      </c>
      <c r="D7" s="8">
        <v>0.08</v>
      </c>
      <c r="E7" s="9"/>
      <c r="F7" s="12"/>
    </row>
    <row r="8" spans="1:6" ht="14.5" customHeight="1" x14ac:dyDescent="0.35">
      <c r="A8" s="11">
        <v>15657</v>
      </c>
      <c r="B8" s="7" t="s">
        <v>12</v>
      </c>
      <c r="C8" s="7" t="s">
        <v>13</v>
      </c>
      <c r="D8" s="8">
        <v>8</v>
      </c>
      <c r="E8" s="9"/>
      <c r="F8" s="12"/>
    </row>
    <row r="9" spans="1:6" ht="14.5" customHeight="1" x14ac:dyDescent="0.35">
      <c r="A9" s="11">
        <v>8558</v>
      </c>
      <c r="B9" s="7" t="s">
        <v>46</v>
      </c>
      <c r="C9" s="7" t="s">
        <v>10</v>
      </c>
      <c r="D9" s="8">
        <v>0.6</v>
      </c>
      <c r="E9" s="9"/>
      <c r="F9" s="12"/>
    </row>
    <row r="10" spans="1:6" ht="14.5" customHeight="1" x14ac:dyDescent="0.35">
      <c r="A10" s="11">
        <v>42955</v>
      </c>
      <c r="B10" s="7" t="s">
        <v>14</v>
      </c>
      <c r="C10" s="7" t="s">
        <v>10</v>
      </c>
      <c r="D10" s="8">
        <v>8.0000000000000002E-3</v>
      </c>
      <c r="E10" s="9"/>
      <c r="F10" s="12"/>
    </row>
    <row r="11" spans="1:6" ht="14.5" customHeight="1" x14ac:dyDescent="0.35">
      <c r="A11" s="11">
        <v>7049</v>
      </c>
      <c r="B11" s="7" t="s">
        <v>47</v>
      </c>
      <c r="C11" s="7" t="s">
        <v>10</v>
      </c>
      <c r="D11" s="8">
        <v>4.0000000000000001E-3</v>
      </c>
      <c r="E11" s="9"/>
      <c r="F11" s="12"/>
    </row>
    <row r="12" spans="1:6" ht="14.5" customHeight="1" x14ac:dyDescent="0.35">
      <c r="A12" s="11">
        <v>11785</v>
      </c>
      <c r="B12" s="7" t="s">
        <v>15</v>
      </c>
      <c r="C12" s="7" t="s">
        <v>16</v>
      </c>
      <c r="D12" s="8">
        <v>0.4</v>
      </c>
      <c r="E12" s="9"/>
      <c r="F12" s="12"/>
    </row>
    <row r="13" spans="1:6" ht="14.5" customHeight="1" x14ac:dyDescent="0.35">
      <c r="A13" s="11">
        <v>6708</v>
      </c>
      <c r="B13" s="7" t="s">
        <v>17</v>
      </c>
      <c r="C13" s="7" t="s">
        <v>16</v>
      </c>
      <c r="D13" s="8">
        <v>0.02</v>
      </c>
      <c r="E13" s="9"/>
      <c r="F13" s="12"/>
    </row>
    <row r="14" spans="1:6" ht="14.5" customHeight="1" x14ac:dyDescent="0.35">
      <c r="A14" s="11"/>
      <c r="B14" s="29" t="s">
        <v>18</v>
      </c>
      <c r="C14" s="7"/>
      <c r="D14" s="8"/>
      <c r="E14" s="9"/>
      <c r="F14" s="12"/>
    </row>
    <row r="15" spans="1:6" ht="14.5" customHeight="1" x14ac:dyDescent="0.35">
      <c r="A15" s="11"/>
      <c r="B15" s="7" t="s">
        <v>19</v>
      </c>
      <c r="C15" s="7" t="s">
        <v>16</v>
      </c>
      <c r="D15" s="8">
        <v>0.4</v>
      </c>
      <c r="E15" s="9"/>
      <c r="F15" s="12"/>
    </row>
    <row r="16" spans="1:6" ht="14.5" customHeight="1" x14ac:dyDescent="0.35">
      <c r="A16" s="11">
        <v>49033</v>
      </c>
      <c r="B16" s="7" t="s">
        <v>20</v>
      </c>
      <c r="C16" s="7" t="s">
        <v>16</v>
      </c>
      <c r="D16" s="8">
        <v>0.08</v>
      </c>
      <c r="E16" s="9"/>
      <c r="F16" s="12"/>
    </row>
    <row r="17" spans="1:12" ht="14.5" customHeight="1" x14ac:dyDescent="0.35">
      <c r="A17" s="11">
        <v>38911</v>
      </c>
      <c r="B17" s="7" t="s">
        <v>21</v>
      </c>
      <c r="C17" s="7" t="s">
        <v>16</v>
      </c>
      <c r="D17" s="8">
        <v>0.8</v>
      </c>
      <c r="E17" s="9"/>
      <c r="F17" s="12"/>
    </row>
    <row r="18" spans="1:12" ht="14.5" customHeight="1" x14ac:dyDescent="0.35">
      <c r="A18" s="11">
        <v>38912</v>
      </c>
      <c r="B18" s="7" t="s">
        <v>22</v>
      </c>
      <c r="C18" s="7" t="s">
        <v>10</v>
      </c>
      <c r="D18" s="8">
        <v>0.16</v>
      </c>
      <c r="E18" s="9"/>
      <c r="F18" s="12"/>
    </row>
    <row r="19" spans="1:12" ht="14.5" customHeight="1" x14ac:dyDescent="0.35">
      <c r="A19" s="11">
        <v>39222</v>
      </c>
      <c r="B19" s="7" t="s">
        <v>54</v>
      </c>
      <c r="C19" s="7" t="s">
        <v>10</v>
      </c>
      <c r="D19" s="8">
        <v>0.4</v>
      </c>
      <c r="E19" s="9"/>
      <c r="F19" s="12"/>
    </row>
    <row r="20" spans="1:12" ht="14.5" customHeight="1" x14ac:dyDescent="0.35">
      <c r="A20" s="11">
        <v>8867</v>
      </c>
      <c r="B20" s="7" t="s">
        <v>48</v>
      </c>
      <c r="C20" s="7" t="s">
        <v>10</v>
      </c>
      <c r="D20" s="8">
        <v>0.6</v>
      </c>
      <c r="E20" s="9"/>
      <c r="F20" s="12"/>
    </row>
    <row r="21" spans="1:12" ht="14.5" customHeight="1" x14ac:dyDescent="0.35">
      <c r="A21" s="11"/>
      <c r="B21" s="7"/>
      <c r="C21" s="7"/>
      <c r="D21" s="8"/>
      <c r="E21" s="9"/>
      <c r="F21" s="12"/>
    </row>
    <row r="22" spans="1:12" ht="14.5" customHeight="1" x14ac:dyDescent="0.35">
      <c r="A22" s="31">
        <v>5359</v>
      </c>
      <c r="B22" s="32" t="s">
        <v>49</v>
      </c>
      <c r="C22" s="32" t="s">
        <v>10</v>
      </c>
      <c r="D22" s="33">
        <v>3.2</v>
      </c>
      <c r="E22" s="34"/>
      <c r="F22" s="83"/>
    </row>
    <row r="23" spans="1:12" ht="15" customHeight="1" thickBot="1" x14ac:dyDescent="0.4">
      <c r="A23" s="84" t="s">
        <v>42</v>
      </c>
      <c r="B23" s="85"/>
      <c r="C23" s="85"/>
      <c r="D23" s="85"/>
      <c r="E23" s="85"/>
      <c r="F23" s="83"/>
    </row>
    <row r="24" spans="1:12" x14ac:dyDescent="0.35">
      <c r="A24" s="102" t="str">
        <f>B2</f>
        <v>Malva Pudding (Small ) 250g</v>
      </c>
      <c r="B24" s="103"/>
      <c r="C24" s="103"/>
      <c r="D24" s="86" t="s">
        <v>44</v>
      </c>
      <c r="E24" s="87">
        <f>B3</f>
        <v>32127</v>
      </c>
      <c r="F24" s="88"/>
    </row>
    <row r="25" spans="1:12" ht="15" thickBot="1" x14ac:dyDescent="0.4">
      <c r="A25" s="104"/>
      <c r="B25" s="105"/>
      <c r="C25" s="105"/>
      <c r="D25" s="89" t="s">
        <v>50</v>
      </c>
      <c r="E25" s="90">
        <f>D3</f>
        <v>212226</v>
      </c>
      <c r="F25" s="91"/>
    </row>
    <row r="26" spans="1:12" s="1" customFormat="1" ht="29.5" thickBot="1" x14ac:dyDescent="0.4">
      <c r="A26" s="55" t="s">
        <v>36</v>
      </c>
      <c r="B26" s="50" t="s">
        <v>1</v>
      </c>
      <c r="C26" s="56" t="s">
        <v>52</v>
      </c>
      <c r="D26" s="57" t="s">
        <v>23</v>
      </c>
      <c r="E26" s="57" t="s">
        <v>53</v>
      </c>
      <c r="F26" s="58" t="s">
        <v>24</v>
      </c>
      <c r="L26" s="1">
        <v>76</v>
      </c>
    </row>
    <row r="27" spans="1:12" x14ac:dyDescent="0.35">
      <c r="A27" s="16" t="s">
        <v>37</v>
      </c>
      <c r="B27" s="22" t="s">
        <v>10</v>
      </c>
      <c r="C27" s="17">
        <v>8</v>
      </c>
      <c r="D27" s="18">
        <f>E2</f>
        <v>0.25</v>
      </c>
      <c r="E27" s="18">
        <f>C27/$D$27</f>
        <v>32</v>
      </c>
      <c r="F27" s="19"/>
      <c r="G27" s="3"/>
    </row>
    <row r="28" spans="1:12" x14ac:dyDescent="0.35">
      <c r="A28" s="53" t="s">
        <v>38</v>
      </c>
      <c r="B28" s="40"/>
      <c r="C28" s="40"/>
      <c r="D28" s="40"/>
      <c r="E28" s="9"/>
      <c r="F28" s="19"/>
      <c r="G28" s="3"/>
    </row>
    <row r="29" spans="1:12" x14ac:dyDescent="0.35">
      <c r="A29" s="53" t="s">
        <v>39</v>
      </c>
      <c r="B29" s="40"/>
      <c r="C29" s="40"/>
      <c r="D29" s="40"/>
      <c r="E29" s="39">
        <v>0.15</v>
      </c>
      <c r="F29" s="12"/>
      <c r="G29" s="3"/>
    </row>
    <row r="30" spans="1:12" ht="15" thickBot="1" x14ac:dyDescent="0.4">
      <c r="A30" s="54" t="s">
        <v>40</v>
      </c>
      <c r="B30" s="41"/>
      <c r="C30" s="41"/>
      <c r="D30" s="41"/>
      <c r="E30" s="42">
        <v>0.45</v>
      </c>
      <c r="F30" s="83"/>
      <c r="G30" s="3"/>
    </row>
    <row r="31" spans="1:12" x14ac:dyDescent="0.35">
      <c r="A31" s="43" t="s">
        <v>26</v>
      </c>
      <c r="B31" s="44"/>
      <c r="C31" s="44"/>
      <c r="D31" s="44"/>
      <c r="E31" s="44"/>
      <c r="F31" s="26"/>
      <c r="G31" s="3"/>
    </row>
    <row r="32" spans="1:12" ht="15" thickBot="1" x14ac:dyDescent="0.4">
      <c r="A32" s="46" t="s">
        <v>25</v>
      </c>
      <c r="B32" s="47"/>
      <c r="C32" s="47"/>
      <c r="D32" s="47"/>
      <c r="E32" s="47"/>
      <c r="F32" s="13"/>
      <c r="G32" s="4"/>
    </row>
    <row r="33" spans="1:7" ht="15" thickBot="1" x14ac:dyDescent="0.4">
      <c r="A33" s="92" t="s">
        <v>43</v>
      </c>
      <c r="B33" s="93"/>
      <c r="C33" s="93"/>
      <c r="D33" s="59" t="s">
        <v>44</v>
      </c>
      <c r="E33" s="76">
        <v>58826</v>
      </c>
      <c r="F33" s="64"/>
      <c r="G33" s="4"/>
    </row>
    <row r="34" spans="1:7" ht="15" thickBot="1" x14ac:dyDescent="0.4">
      <c r="A34" s="94"/>
      <c r="B34" s="95"/>
      <c r="C34" s="95"/>
      <c r="D34" s="59" t="s">
        <v>45</v>
      </c>
      <c r="E34" s="60">
        <v>600963873652</v>
      </c>
      <c r="F34" s="61"/>
      <c r="G34" s="4"/>
    </row>
    <row r="35" spans="1:7" ht="29.5" thickBot="1" x14ac:dyDescent="0.4">
      <c r="A35" s="20" t="s">
        <v>36</v>
      </c>
      <c r="B35" s="36" t="s">
        <v>1</v>
      </c>
      <c r="C35" s="56" t="s">
        <v>52</v>
      </c>
      <c r="D35" s="57" t="s">
        <v>23</v>
      </c>
      <c r="E35" s="57" t="s">
        <v>53</v>
      </c>
      <c r="F35" s="58" t="s">
        <v>24</v>
      </c>
      <c r="G35" s="4"/>
    </row>
    <row r="36" spans="1:7" ht="15" thickBot="1" x14ac:dyDescent="0.4">
      <c r="A36" s="79" t="s">
        <v>37</v>
      </c>
      <c r="B36" s="80" t="s">
        <v>10</v>
      </c>
      <c r="C36" s="81">
        <v>8</v>
      </c>
      <c r="D36" s="71">
        <v>0.5</v>
      </c>
      <c r="E36" s="71">
        <f>C27/D36</f>
        <v>16</v>
      </c>
      <c r="F36" s="82"/>
      <c r="G36" s="4"/>
    </row>
    <row r="37" spans="1:7" x14ac:dyDescent="0.35">
      <c r="A37" s="77" t="s">
        <v>38</v>
      </c>
      <c r="B37" s="78"/>
      <c r="C37" s="78"/>
      <c r="D37" s="78"/>
      <c r="E37" s="18">
        <v>1.18</v>
      </c>
      <c r="F37" s="19"/>
      <c r="G37" s="4"/>
    </row>
    <row r="38" spans="1:7" x14ac:dyDescent="0.35">
      <c r="A38" s="53" t="s">
        <v>39</v>
      </c>
      <c r="B38" s="40"/>
      <c r="C38" s="40"/>
      <c r="D38" s="40"/>
      <c r="E38" s="39">
        <v>0.15</v>
      </c>
      <c r="F38" s="12"/>
      <c r="G38" s="4"/>
    </row>
    <row r="39" spans="1:7" ht="15" thickBot="1" x14ac:dyDescent="0.4">
      <c r="A39" s="54" t="s">
        <v>40</v>
      </c>
      <c r="B39" s="41"/>
      <c r="C39" s="41"/>
      <c r="D39" s="41"/>
      <c r="E39" s="42">
        <v>0.45</v>
      </c>
      <c r="F39" s="83"/>
      <c r="G39" s="4"/>
    </row>
    <row r="40" spans="1:7" x14ac:dyDescent="0.35">
      <c r="A40" s="43" t="s">
        <v>26</v>
      </c>
      <c r="B40" s="44"/>
      <c r="C40" s="44"/>
      <c r="D40" s="44"/>
      <c r="E40" s="44"/>
      <c r="F40" s="26"/>
      <c r="G40" s="4"/>
    </row>
    <row r="41" spans="1:7" ht="15" thickBot="1" x14ac:dyDescent="0.4">
      <c r="A41" s="46" t="s">
        <v>25</v>
      </c>
      <c r="B41" s="47"/>
      <c r="C41" s="47"/>
      <c r="D41" s="47"/>
      <c r="E41" s="47"/>
      <c r="F41" s="13"/>
      <c r="G41" s="4"/>
    </row>
    <row r="42" spans="1:7" ht="14.5" customHeight="1" x14ac:dyDescent="0.35">
      <c r="A42" s="106"/>
      <c r="B42" s="48"/>
      <c r="C42" s="48"/>
      <c r="D42" s="48"/>
      <c r="E42" s="96" t="s">
        <v>31</v>
      </c>
      <c r="F42" s="97"/>
      <c r="G42" s="4"/>
    </row>
    <row r="43" spans="1:7" x14ac:dyDescent="0.35">
      <c r="A43" s="107" t="s">
        <v>28</v>
      </c>
      <c r="B43" s="30"/>
      <c r="C43" s="108" t="s">
        <v>29</v>
      </c>
      <c r="D43" s="28"/>
      <c r="E43" s="98"/>
      <c r="F43" s="99"/>
    </row>
    <row r="44" spans="1:7" x14ac:dyDescent="0.35">
      <c r="A44" s="106"/>
      <c r="B44" s="49"/>
      <c r="C44" s="49"/>
      <c r="D44" s="62"/>
      <c r="E44" s="98"/>
      <c r="F44" s="99"/>
    </row>
    <row r="45" spans="1:7" ht="28.5" customHeight="1" thickBot="1" x14ac:dyDescent="0.4">
      <c r="A45" s="109" t="s">
        <v>30</v>
      </c>
      <c r="B45" s="27"/>
      <c r="C45" s="27" t="s">
        <v>29</v>
      </c>
      <c r="D45" s="110"/>
      <c r="E45" s="100"/>
      <c r="F45" s="101"/>
    </row>
  </sheetData>
  <mergeCells count="21">
    <mergeCell ref="E42:F45"/>
    <mergeCell ref="B2:C2"/>
    <mergeCell ref="E33:F33"/>
    <mergeCell ref="A33:C34"/>
    <mergeCell ref="E24:F24"/>
    <mergeCell ref="E25:F25"/>
    <mergeCell ref="A24:C25"/>
    <mergeCell ref="A31:E31"/>
    <mergeCell ref="A32:E32"/>
    <mergeCell ref="A23:E23"/>
    <mergeCell ref="A28:D28"/>
    <mergeCell ref="A29:D29"/>
    <mergeCell ref="A37:D37"/>
    <mergeCell ref="A38:D38"/>
    <mergeCell ref="A39:D39"/>
    <mergeCell ref="A40:E40"/>
    <mergeCell ref="A41:E41"/>
    <mergeCell ref="E34:F34"/>
    <mergeCell ref="A4:B4"/>
    <mergeCell ref="C4:F4"/>
    <mergeCell ref="A30:D30"/>
  </mergeCells>
  <dataValidations count="1">
    <dataValidation type="list" allowBlank="1" showInputMessage="1" showErrorMessage="1" sqref="B27 C6:C22 B36 F2" xr:uid="{564F12C6-4125-4258-A0D3-9C223602ED79}">
      <formula1>"Kg, Liter, Each"</formula1>
    </dataValidation>
  </dataValidations>
  <pageMargins left="0.7" right="0.7" top="0.75" bottom="0.75" header="0.3" footer="0.3"/>
  <pageSetup paperSize="9" scale="97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@ Bonnievale</dc:creator>
  <cp:lastModifiedBy>Gerhard Stimie</cp:lastModifiedBy>
  <cp:lastPrinted>2026-06-24T08:36:42Z</cp:lastPrinted>
  <dcterms:created xsi:type="dcterms:W3CDTF">2026-06-23T11:26:02Z</dcterms:created>
  <dcterms:modified xsi:type="dcterms:W3CDTF">2026-06-24T08:41:08Z</dcterms:modified>
</cp:coreProperties>
</file>
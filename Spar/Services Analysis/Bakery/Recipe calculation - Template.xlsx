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8_{A6BA9E7D-EB54-47A5-BBCF-878CFFDAB7FF}" xr6:coauthVersionLast="47" xr6:coauthVersionMax="47" xr10:uidLastSave="{00000000-0000-0000-0000-000000000000}"/>
  <bookViews>
    <workbookView xWindow="-110" yWindow="-110" windowWidth="19420" windowHeight="10300" xr2:uid="{3E92E791-8294-4A15-A5AD-1EB5DED22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" i="1" l="1"/>
  <c r="E24" i="1"/>
  <c r="E20" i="1"/>
  <c r="F20" i="1" s="1"/>
  <c r="E13" i="1"/>
  <c r="F13" i="1" s="1"/>
  <c r="E8" i="1"/>
  <c r="F8" i="1" s="1"/>
  <c r="E7" i="1"/>
  <c r="F7" i="1" s="1"/>
  <c r="E36" i="1"/>
  <c r="D27" i="1"/>
  <c r="E27" i="1" s="1"/>
  <c r="A24" i="1"/>
  <c r="F31" i="1"/>
  <c r="F16" i="1"/>
  <c r="F22" i="1"/>
  <c r="F19" i="1"/>
  <c r="F18" i="1"/>
  <c r="F17" i="1"/>
  <c r="F15" i="1"/>
  <c r="F9" i="1"/>
  <c r="F10" i="1"/>
  <c r="F11" i="1"/>
  <c r="F12" i="1"/>
  <c r="F6" i="1"/>
  <c r="F23" i="1" l="1"/>
  <c r="F27" i="1" l="1"/>
  <c r="F28" i="1" s="1"/>
  <c r="F29" i="1" s="1"/>
  <c r="F30" i="1" s="1"/>
  <c r="F36" i="1"/>
  <c r="F39" i="1" l="1"/>
  <c r="F37" i="1"/>
  <c r="F38" i="1" s="1"/>
  <c r="F41" i="1"/>
  <c r="F32" i="1"/>
</calcChain>
</file>

<file path=xl/sharedStrings.xml><?xml version="1.0" encoding="utf-8"?>
<sst xmlns="http://schemas.openxmlformats.org/spreadsheetml/2006/main" count="87" uniqueCount="56">
  <si>
    <t>Ingredients</t>
  </si>
  <si>
    <t>Unit</t>
  </si>
  <si>
    <t>Cost per unit</t>
  </si>
  <si>
    <t>Date:</t>
  </si>
  <si>
    <t>Signed</t>
  </si>
  <si>
    <t>Spar Sugar</t>
  </si>
  <si>
    <t>QTY (in units)</t>
  </si>
  <si>
    <t>Malva Pudding (Small ) 250g</t>
  </si>
  <si>
    <t>Name:</t>
  </si>
  <si>
    <t>Gerhard Stimie</t>
  </si>
  <si>
    <t>Kg</t>
  </si>
  <si>
    <t>Spar jam apricot</t>
  </si>
  <si>
    <t>Eggs (0.60g)</t>
  </si>
  <si>
    <t>Each</t>
  </si>
  <si>
    <t>Bicarbonate of Soda</t>
  </si>
  <si>
    <t>Milk</t>
  </si>
  <si>
    <t>Liter</t>
  </si>
  <si>
    <t>Vinegar</t>
  </si>
  <si>
    <t>Syrup</t>
  </si>
  <si>
    <t>Water</t>
  </si>
  <si>
    <t>Vanilla Essence</t>
  </si>
  <si>
    <t>Bakels Delight cream</t>
  </si>
  <si>
    <t>Golden Syrup</t>
  </si>
  <si>
    <t>Prod weight</t>
  </si>
  <si>
    <t>Cost per product unit</t>
  </si>
  <si>
    <t>Final GP%</t>
  </si>
  <si>
    <t>Final Selling Price (Input)</t>
  </si>
  <si>
    <t>Product Unit</t>
  </si>
  <si>
    <t xml:space="preserve">Signed off </t>
  </si>
  <si>
    <t>Date</t>
  </si>
  <si>
    <t>Sigma updated</t>
  </si>
  <si>
    <t>(Attach revised barcode label)</t>
  </si>
  <si>
    <t>Product Code</t>
  </si>
  <si>
    <t>Ingredient costing</t>
  </si>
  <si>
    <t>Cost Ex Vat</t>
  </si>
  <si>
    <t>Description</t>
  </si>
  <si>
    <t>Item</t>
  </si>
  <si>
    <t xml:space="preserve">Product </t>
  </si>
  <si>
    <t>+ Packaging</t>
  </si>
  <si>
    <t>+ VAT</t>
  </si>
  <si>
    <t>+ GP = Total cost Vat Incl</t>
  </si>
  <si>
    <t>Product:</t>
  </si>
  <si>
    <t>Total cost per batch:</t>
  </si>
  <si>
    <t>Malva Pudding (Medium) 500g</t>
  </si>
  <si>
    <t>Product Code:</t>
  </si>
  <si>
    <t xml:space="preserve">EAN </t>
  </si>
  <si>
    <t>Spar Cake Flour</t>
  </si>
  <si>
    <t>Spar Iodated med salt</t>
  </si>
  <si>
    <t>Spar Sugar (Brown) Poly</t>
  </si>
  <si>
    <t>Spar Custard Vanilla</t>
  </si>
  <si>
    <t>EAN</t>
  </si>
  <si>
    <t>24/06/2026</t>
  </si>
  <si>
    <t>Prod Code:</t>
  </si>
  <si>
    <t xml:space="preserve">Batch Yield </t>
  </si>
  <si>
    <t>Product Yield</t>
  </si>
  <si>
    <t>Mastermarg Margarine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</si>
</sst>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165" fontId="0" fillId="0" borderId="2" xfId="0" applyNumberFormat="1" applyBorder="1"/>
    <xf numFmtId="4" fontId="0" fillId="0" borderId="2" xfId="0" applyNumberFormat="1" applyBorder="1"/>
    <xf numFmtId="0" fontId="0" fillId="0" borderId="6" xfId="0" applyBorder="1" applyAlignment="1">
      <alignment wrapText="1"/>
    </xf>
    <xf numFmtId="0" fontId="0" fillId="0" borderId="6" xfId="0" applyBorder="1"/>
    <xf numFmtId="4" fontId="0" fillId="0" borderId="7" xfId="0" applyNumberFormat="1" applyBorder="1"/>
    <xf numFmtId="166" fontId="0" fillId="0" borderId="10" xfId="0" applyNumberFormat="1" applyBorder="1"/>
    <xf numFmtId="0" fontId="0" fillId="0" borderId="3" xfId="0" applyBorder="1" applyAlignment="1"/>
    <xf numFmtId="0" fontId="0" fillId="0" borderId="4" xfId="0" applyBorder="1" applyAlignment="1"/>
    <xf numFmtId="0" fontId="0" fillId="0" borderId="12" xfId="0" applyBorder="1"/>
    <xf numFmtId="165" fontId="0" fillId="0" borderId="13" xfId="0" applyNumberFormat="1" applyBorder="1"/>
    <xf numFmtId="4" fontId="0" fillId="0" borderId="13" xfId="0" applyNumberFormat="1" applyBorder="1"/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3" xfId="0" applyBorder="1"/>
    <xf numFmtId="0" fontId="0" fillId="0" borderId="3" xfId="0" applyBorder="1"/>
    <xf numFmtId="165" fontId="0" fillId="0" borderId="4" xfId="0" applyNumberFormat="1" applyBorder="1"/>
    <xf numFmtId="4" fontId="0" fillId="0" borderId="4" xfId="0" applyNumberFormat="1" applyBorder="1"/>
    <xf numFmtId="4" fontId="0" fillId="0" borderId="5" xfId="0" applyNumberFormat="1" applyBorder="1"/>
    <xf numFmtId="0" fontId="0" fillId="0" borderId="0" xfId="0" applyBorder="1"/>
    <xf numFmtId="4" fontId="0" fillId="0" borderId="1" xfId="0" applyNumberFormat="1" applyBorder="1"/>
    <xf numFmtId="0" fontId="1" fillId="0" borderId="2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26" xfId="0" applyBorder="1"/>
    <xf numFmtId="0" fontId="0" fillId="0" borderId="27" xfId="0" applyBorder="1"/>
    <xf numFmtId="165" fontId="0" fillId="0" borderId="27" xfId="0" applyNumberFormat="1" applyBorder="1"/>
    <xf numFmtId="4" fontId="0" fillId="0" borderId="27" xfId="0" applyNumberFormat="1" applyBorder="1"/>
    <xf numFmtId="0" fontId="0" fillId="0" borderId="14" xfId="0" applyBorder="1" applyAlignment="1">
      <alignment horizontal="center" wrapText="1"/>
    </xf>
    <xf numFmtId="0" fontId="0" fillId="0" borderId="29" xfId="0" applyBorder="1" applyAlignment="1">
      <alignment wrapText="1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2" xfId="0" applyNumberFormat="1" applyBorder="1" applyAlignment="1"/>
    <xf numFmtId="0" fontId="0" fillId="0" borderId="2" xfId="0" quotePrefix="1" applyBorder="1" applyAlignment="1">
      <alignment horizontal="left"/>
    </xf>
    <xf numFmtId="0" fontId="0" fillId="0" borderId="27" xfId="0" applyBorder="1" applyAlignment="1">
      <alignment horizontal="left"/>
    </xf>
    <xf numFmtId="9" fontId="0" fillId="0" borderId="27" xfId="0" applyNumberFormat="1" applyBorder="1" applyAlignment="1"/>
    <xf numFmtId="0" fontId="0" fillId="0" borderId="3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66" fontId="0" fillId="0" borderId="9" xfId="0" applyNumberFormat="1" applyBorder="1"/>
    <xf numFmtId="0" fontId="0" fillId="0" borderId="0" xfId="0" applyBorder="1" applyAlignment="1">
      <alignment horizontal="left"/>
    </xf>
    <xf numFmtId="166" fontId="0" fillId="0" borderId="0" xfId="0" applyNumberFormat="1" applyBorder="1"/>
    <xf numFmtId="0" fontId="0" fillId="0" borderId="31" xfId="0" applyBorder="1" applyAlignment="1">
      <alignment wrapText="1"/>
    </xf>
    <xf numFmtId="164" fontId="0" fillId="0" borderId="4" xfId="0" applyNumberFormat="1" applyBorder="1" applyAlignment="1">
      <alignment horizontal="left"/>
    </xf>
    <xf numFmtId="0" fontId="0" fillId="0" borderId="17" xfId="0" applyNumberFormat="1" applyBorder="1" applyAlignment="1">
      <alignment wrapText="1"/>
    </xf>
    <xf numFmtId="0" fontId="0" fillId="0" borderId="6" xfId="0" quotePrefix="1" applyBorder="1" applyAlignment="1">
      <alignment horizontal="left"/>
    </xf>
    <xf numFmtId="0" fontId="0" fillId="0" borderId="26" xfId="0" quotePrefix="1" applyBorder="1" applyAlignment="1">
      <alignment horizontal="left"/>
    </xf>
    <xf numFmtId="0" fontId="0" fillId="0" borderId="32" xfId="0" applyBorder="1" applyAlignment="1">
      <alignment wrapText="1"/>
    </xf>
    <xf numFmtId="165" fontId="0" fillId="0" borderId="33" xfId="0" applyNumberFormat="1" applyBorder="1" applyAlignment="1">
      <alignment wrapText="1"/>
    </xf>
    <xf numFmtId="4" fontId="0" fillId="0" borderId="33" xfId="0" applyNumberFormat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17" xfId="0" applyBorder="1" applyAlignment="1"/>
    <xf numFmtId="1" fontId="0" fillId="0" borderId="17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left"/>
    </xf>
    <xf numFmtId="165" fontId="0" fillId="0" borderId="2" xfId="0" applyNumberFormat="1" applyBorder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NumberFormat="1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7" xfId="0" applyBorder="1" applyAlignment="1"/>
    <xf numFmtId="0" fontId="0" fillId="0" borderId="8" xfId="0" applyBorder="1" applyAlignment="1"/>
    <xf numFmtId="4" fontId="0" fillId="0" borderId="33" xfId="0" applyNumberFormat="1" applyBorder="1"/>
    <xf numFmtId="0" fontId="0" fillId="0" borderId="33" xfId="0" applyBorder="1" applyAlignment="1"/>
    <xf numFmtId="4" fontId="0" fillId="0" borderId="22" xfId="0" applyNumberFormat="1" applyBorder="1"/>
    <xf numFmtId="0" fontId="0" fillId="0" borderId="34" xfId="0" applyBorder="1" applyAlignment="1"/>
    <xf numFmtId="0" fontId="2" fillId="0" borderId="2" xfId="0" applyFont="1" applyBorder="1" applyAlignment="1">
      <alignment horizontal="left" wrapText="1"/>
    </xf>
    <xf numFmtId="0" fontId="0" fillId="0" borderId="25" xfId="0" applyBorder="1" applyAlignment="1">
      <alignment horizontal="left"/>
    </xf>
    <xf numFmtId="0" fontId="0" fillId="0" borderId="12" xfId="0" quotePrefix="1" applyBorder="1" applyAlignment="1">
      <alignment horizontal="left"/>
    </xf>
    <xf numFmtId="0" fontId="0" fillId="0" borderId="13" xfId="0" quotePrefix="1" applyBorder="1" applyAlignment="1">
      <alignment horizontal="left"/>
    </xf>
    <xf numFmtId="0" fontId="0" fillId="0" borderId="32" xfId="0" applyBorder="1"/>
    <xf numFmtId="0" fontId="0" fillId="0" borderId="33" xfId="0" applyBorder="1"/>
    <xf numFmtId="165" fontId="0" fillId="0" borderId="33" xfId="0" applyNumberFormat="1" applyBorder="1"/>
    <xf numFmtId="4" fontId="0" fillId="0" borderId="34" xfId="0" applyNumberFormat="1" applyBorder="1"/>
    <xf numFmtId="4" fontId="0" fillId="0" borderId="28" xfId="0" applyNumberFormat="1" applyBorder="1"/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1" fontId="2" fillId="0" borderId="3" xfId="0" applyNumberFormat="1" applyFont="1" applyBorder="1" applyAlignment="1"/>
    <xf numFmtId="1" fontId="2" fillId="0" borderId="4" xfId="0" applyNumberFormat="1" applyFont="1" applyBorder="1" applyAlignment="1"/>
    <xf numFmtId="1" fontId="0" fillId="0" borderId="4" xfId="0" applyNumberFormat="1" applyBorder="1" applyAlignment="1"/>
    <xf numFmtId="1" fontId="0" fillId="0" borderId="4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" fontId="2" fillId="0" borderId="8" xfId="0" applyNumberFormat="1" applyFont="1" applyBorder="1" applyAlignment="1"/>
    <xf numFmtId="1" fontId="2" fillId="0" borderId="9" xfId="0" applyNumberFormat="1" applyFont="1" applyBorder="1" applyAlignment="1"/>
    <xf numFmtId="1" fontId="0" fillId="0" borderId="9" xfId="0" applyNumberFormat="1" applyBorder="1" applyAlignment="1"/>
    <xf numFmtId="1" fontId="0" fillId="0" borderId="9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2" fillId="0" borderId="30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0" fillId="0" borderId="3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4C8B-3E9E-48CB-A46B-487AC3E4BAFC}">
  <sheetPr>
    <pageSetUpPr fitToPage="1"/>
  </sheetPr>
  <dimension ref="A1:L45"/>
  <sheetViews>
    <sheetView tabSelected="1" topLeftCell="A5" workbookViewId="0">
      <selection activeCell="F49" sqref="F49"/>
    </sheetView>
  </sheetViews>
  <sheetFormatPr defaultRowHeight="14.5" x14ac:dyDescent="0.35"/>
  <cols>
    <col min="1" max="1" width="9.90625" customWidth="1"/>
    <col min="2" max="2" width="31" customWidth="1"/>
    <col min="3" max="3" width="5.54296875" bestFit="1" customWidth="1"/>
    <col min="4" max="4" width="12.36328125" style="2" bestFit="1" customWidth="1"/>
    <col min="5" max="5" width="13.6328125" style="3" customWidth="1"/>
    <col min="6" max="6" width="15.1796875" style="3" customWidth="1"/>
  </cols>
  <sheetData>
    <row r="1" spans="1:6" x14ac:dyDescent="0.35">
      <c r="A1" s="14" t="s">
        <v>8</v>
      </c>
      <c r="B1" s="68" t="s">
        <v>9</v>
      </c>
      <c r="C1" s="15" t="s">
        <v>3</v>
      </c>
      <c r="D1" s="52" t="s">
        <v>51</v>
      </c>
      <c r="E1" s="24" t="s">
        <v>4</v>
      </c>
      <c r="F1" s="25"/>
    </row>
    <row r="2" spans="1:6" x14ac:dyDescent="0.35">
      <c r="A2" s="10" t="s">
        <v>41</v>
      </c>
      <c r="B2" s="75" t="s">
        <v>7</v>
      </c>
      <c r="C2" s="75"/>
      <c r="D2" s="6" t="s">
        <v>27</v>
      </c>
      <c r="E2" s="65">
        <v>0.25</v>
      </c>
      <c r="F2" s="69" t="s">
        <v>10</v>
      </c>
    </row>
    <row r="3" spans="1:6" ht="15" thickBot="1" x14ac:dyDescent="0.4">
      <c r="A3" s="70" t="s">
        <v>52</v>
      </c>
      <c r="B3" s="63">
        <v>32127</v>
      </c>
      <c r="C3" s="71" t="s">
        <v>50</v>
      </c>
      <c r="D3" s="72">
        <v>212226</v>
      </c>
      <c r="E3" s="73"/>
      <c r="F3" s="74"/>
    </row>
    <row r="4" spans="1:6" ht="15" thickBot="1" x14ac:dyDescent="0.4">
      <c r="A4" s="37" t="s">
        <v>0</v>
      </c>
      <c r="B4" s="38"/>
      <c r="C4" s="35" t="s">
        <v>33</v>
      </c>
      <c r="D4" s="35"/>
      <c r="E4" s="35"/>
      <c r="F4" s="66"/>
    </row>
    <row r="5" spans="1:6" s="5" customFormat="1" ht="29.25" customHeight="1" thickBot="1" x14ac:dyDescent="0.4">
      <c r="A5" s="67" t="s">
        <v>32</v>
      </c>
      <c r="B5" s="53" t="s">
        <v>35</v>
      </c>
      <c r="C5" s="53" t="s">
        <v>1</v>
      </c>
      <c r="D5" s="53" t="s">
        <v>6</v>
      </c>
      <c r="E5" s="53" t="s">
        <v>2</v>
      </c>
      <c r="F5" s="20" t="s">
        <v>34</v>
      </c>
    </row>
    <row r="6" spans="1:6" ht="14.5" customHeight="1" x14ac:dyDescent="0.35">
      <c r="A6" s="22">
        <v>8858</v>
      </c>
      <c r="B6" s="45" t="s">
        <v>5</v>
      </c>
      <c r="C6" s="45" t="s">
        <v>10</v>
      </c>
      <c r="D6" s="23">
        <v>0.8</v>
      </c>
      <c r="E6" s="24">
        <v>22.16</v>
      </c>
      <c r="F6" s="25">
        <f>E6*D6</f>
        <v>17.728000000000002</v>
      </c>
    </row>
    <row r="7" spans="1:6" ht="14.5" customHeight="1" x14ac:dyDescent="0.35">
      <c r="A7" s="11">
        <v>3079</v>
      </c>
      <c r="B7" s="7" t="s">
        <v>11</v>
      </c>
      <c r="C7" s="7" t="s">
        <v>10</v>
      </c>
      <c r="D7" s="8">
        <v>0.08</v>
      </c>
      <c r="E7" s="9">
        <f>35.56/0.9</f>
        <v>39.511111111111113</v>
      </c>
      <c r="F7" s="12">
        <f t="shared" ref="F7:F13" si="0">E7*D7</f>
        <v>3.1608888888888891</v>
      </c>
    </row>
    <row r="8" spans="1:6" ht="14.5" customHeight="1" x14ac:dyDescent="0.35">
      <c r="A8" s="11">
        <v>15657</v>
      </c>
      <c r="B8" s="7" t="s">
        <v>12</v>
      </c>
      <c r="C8" s="7" t="s">
        <v>13</v>
      </c>
      <c r="D8" s="8">
        <v>8</v>
      </c>
      <c r="E8" s="9">
        <f>61.25/30</f>
        <v>2.0416666666666665</v>
      </c>
      <c r="F8" s="12">
        <f t="shared" si="0"/>
        <v>16.333333333333332</v>
      </c>
    </row>
    <row r="9" spans="1:6" ht="14.5" customHeight="1" x14ac:dyDescent="0.35">
      <c r="A9" s="11">
        <v>8558</v>
      </c>
      <c r="B9" s="7" t="s">
        <v>46</v>
      </c>
      <c r="C9" s="7" t="s">
        <v>10</v>
      </c>
      <c r="D9" s="8">
        <v>0.6</v>
      </c>
      <c r="E9" s="9">
        <v>11.24</v>
      </c>
      <c r="F9" s="12">
        <f t="shared" si="0"/>
        <v>6.7439999999999998</v>
      </c>
    </row>
    <row r="10" spans="1:6" ht="14.5" customHeight="1" x14ac:dyDescent="0.35">
      <c r="A10" s="11">
        <v>42955</v>
      </c>
      <c r="B10" s="7" t="s">
        <v>14</v>
      </c>
      <c r="C10" s="7" t="s">
        <v>10</v>
      </c>
      <c r="D10" s="8">
        <v>8.0000000000000002E-3</v>
      </c>
      <c r="E10" s="9">
        <v>27.93</v>
      </c>
      <c r="F10" s="12">
        <f t="shared" si="0"/>
        <v>0.22344</v>
      </c>
    </row>
    <row r="11" spans="1:6" ht="14.5" customHeight="1" x14ac:dyDescent="0.35">
      <c r="A11" s="11">
        <v>7049</v>
      </c>
      <c r="B11" s="7" t="s">
        <v>47</v>
      </c>
      <c r="C11" s="7" t="s">
        <v>10</v>
      </c>
      <c r="D11" s="8">
        <v>4.0000000000000001E-3</v>
      </c>
      <c r="E11" s="9">
        <v>9.83</v>
      </c>
      <c r="F11" s="12">
        <f t="shared" si="0"/>
        <v>3.9320000000000001E-2</v>
      </c>
    </row>
    <row r="12" spans="1:6" ht="14.5" customHeight="1" x14ac:dyDescent="0.35">
      <c r="A12" s="11">
        <v>11785</v>
      </c>
      <c r="B12" s="7" t="s">
        <v>15</v>
      </c>
      <c r="C12" s="7" t="s">
        <v>16</v>
      </c>
      <c r="D12" s="8">
        <v>0.4</v>
      </c>
      <c r="E12" s="9">
        <v>15.81</v>
      </c>
      <c r="F12" s="12">
        <f t="shared" si="0"/>
        <v>6.3240000000000007</v>
      </c>
    </row>
    <row r="13" spans="1:6" ht="14.5" customHeight="1" x14ac:dyDescent="0.35">
      <c r="A13" s="11">
        <v>6708</v>
      </c>
      <c r="B13" s="7" t="s">
        <v>17</v>
      </c>
      <c r="C13" s="7" t="s">
        <v>16</v>
      </c>
      <c r="D13" s="8">
        <v>0.02</v>
      </c>
      <c r="E13" s="9">
        <f>24.19/2</f>
        <v>12.095000000000001</v>
      </c>
      <c r="F13" s="12">
        <f t="shared" si="0"/>
        <v>0.24190000000000003</v>
      </c>
    </row>
    <row r="14" spans="1:6" ht="14.5" customHeight="1" x14ac:dyDescent="0.35">
      <c r="A14" s="11"/>
      <c r="B14" s="28" t="s">
        <v>18</v>
      </c>
      <c r="C14" s="7"/>
      <c r="D14" s="8"/>
      <c r="E14" s="9"/>
      <c r="F14" s="12"/>
    </row>
    <row r="15" spans="1:6" ht="14.5" customHeight="1" x14ac:dyDescent="0.35">
      <c r="A15" s="11"/>
      <c r="B15" s="7" t="s">
        <v>19</v>
      </c>
      <c r="C15" s="7" t="s">
        <v>16</v>
      </c>
      <c r="D15" s="8">
        <v>0.4</v>
      </c>
      <c r="E15" s="9">
        <v>0.5</v>
      </c>
      <c r="F15" s="12">
        <f t="shared" ref="F15:F22" si="1">E15*D15</f>
        <v>0.2</v>
      </c>
    </row>
    <row r="16" spans="1:6" ht="14.5" customHeight="1" x14ac:dyDescent="0.35">
      <c r="A16" s="11">
        <v>49033</v>
      </c>
      <c r="B16" s="7" t="s">
        <v>20</v>
      </c>
      <c r="C16" s="7" t="s">
        <v>16</v>
      </c>
      <c r="D16" s="8">
        <v>0.08</v>
      </c>
      <c r="E16" s="9">
        <v>112.98</v>
      </c>
      <c r="F16" s="12">
        <f t="shared" si="1"/>
        <v>9.0384000000000011</v>
      </c>
    </row>
    <row r="17" spans="1:12" ht="14.5" customHeight="1" x14ac:dyDescent="0.35">
      <c r="A17" s="11">
        <v>38911</v>
      </c>
      <c r="B17" s="7" t="s">
        <v>21</v>
      </c>
      <c r="C17" s="7" t="s">
        <v>16</v>
      </c>
      <c r="D17" s="8">
        <v>0.8</v>
      </c>
      <c r="E17" s="9">
        <v>72.180000000000007</v>
      </c>
      <c r="F17" s="12">
        <f t="shared" si="1"/>
        <v>57.744000000000007</v>
      </c>
    </row>
    <row r="18" spans="1:12" ht="14.5" customHeight="1" x14ac:dyDescent="0.35">
      <c r="A18" s="11">
        <v>38912</v>
      </c>
      <c r="B18" s="7" t="s">
        <v>22</v>
      </c>
      <c r="C18" s="7" t="s">
        <v>10</v>
      </c>
      <c r="D18" s="8">
        <v>0.16</v>
      </c>
      <c r="E18" s="9">
        <v>57.39</v>
      </c>
      <c r="F18" s="12">
        <f t="shared" si="1"/>
        <v>9.1823999999999995</v>
      </c>
    </row>
    <row r="19" spans="1:12" ht="14.5" customHeight="1" x14ac:dyDescent="0.35">
      <c r="A19" s="11">
        <v>39222</v>
      </c>
      <c r="B19" s="7" t="s">
        <v>55</v>
      </c>
      <c r="C19" s="7" t="s">
        <v>10</v>
      </c>
      <c r="D19" s="8">
        <v>0.4</v>
      </c>
      <c r="E19" s="9">
        <v>48.6</v>
      </c>
      <c r="F19" s="12">
        <f t="shared" si="1"/>
        <v>19.440000000000001</v>
      </c>
    </row>
    <row r="20" spans="1:12" ht="14.5" customHeight="1" x14ac:dyDescent="0.35">
      <c r="A20" s="11">
        <v>8867</v>
      </c>
      <c r="B20" s="7" t="s">
        <v>48</v>
      </c>
      <c r="C20" s="7" t="s">
        <v>10</v>
      </c>
      <c r="D20" s="8">
        <v>0.6</v>
      </c>
      <c r="E20" s="9">
        <f>39.9/2</f>
        <v>19.95</v>
      </c>
      <c r="F20" s="12">
        <f t="shared" si="1"/>
        <v>11.969999999999999</v>
      </c>
    </row>
    <row r="21" spans="1:12" ht="14.5" customHeight="1" x14ac:dyDescent="0.35">
      <c r="A21" s="11"/>
      <c r="B21" s="7"/>
      <c r="C21" s="7"/>
      <c r="D21" s="8"/>
      <c r="E21" s="9"/>
      <c r="F21" s="12"/>
    </row>
    <row r="22" spans="1:12" ht="14.5" customHeight="1" x14ac:dyDescent="0.35">
      <c r="A22" s="31">
        <v>5359</v>
      </c>
      <c r="B22" s="32" t="s">
        <v>49</v>
      </c>
      <c r="C22" s="32" t="s">
        <v>10</v>
      </c>
      <c r="D22" s="33">
        <v>3.2</v>
      </c>
      <c r="E22" s="34">
        <v>23.8</v>
      </c>
      <c r="F22" s="83">
        <f t="shared" si="1"/>
        <v>76.160000000000011</v>
      </c>
    </row>
    <row r="23" spans="1:12" ht="15" customHeight="1" thickBot="1" x14ac:dyDescent="0.4">
      <c r="A23" s="84" t="s">
        <v>42</v>
      </c>
      <c r="B23" s="85"/>
      <c r="C23" s="85"/>
      <c r="D23" s="85"/>
      <c r="E23" s="85"/>
      <c r="F23" s="83">
        <f>SUM(F6:F22)</f>
        <v>234.52968222222222</v>
      </c>
    </row>
    <row r="24" spans="1:12" x14ac:dyDescent="0.35">
      <c r="A24" s="86" t="str">
        <f>B2</f>
        <v>Malva Pudding (Small ) 250g</v>
      </c>
      <c r="B24" s="87"/>
      <c r="C24" s="87"/>
      <c r="D24" s="88" t="s">
        <v>44</v>
      </c>
      <c r="E24" s="89">
        <f>B3</f>
        <v>32127</v>
      </c>
      <c r="F24" s="90"/>
    </row>
    <row r="25" spans="1:12" ht="15" thickBot="1" x14ac:dyDescent="0.4">
      <c r="A25" s="91"/>
      <c r="B25" s="92"/>
      <c r="C25" s="92"/>
      <c r="D25" s="93" t="s">
        <v>50</v>
      </c>
      <c r="E25" s="94">
        <f>D3</f>
        <v>212226</v>
      </c>
      <c r="F25" s="95"/>
    </row>
    <row r="26" spans="1:12" s="1" customFormat="1" ht="29.5" thickBot="1" x14ac:dyDescent="0.4">
      <c r="A26" s="56" t="s">
        <v>36</v>
      </c>
      <c r="B26" s="51" t="s">
        <v>1</v>
      </c>
      <c r="C26" s="57" t="s">
        <v>53</v>
      </c>
      <c r="D26" s="58" t="s">
        <v>23</v>
      </c>
      <c r="E26" s="58" t="s">
        <v>54</v>
      </c>
      <c r="F26" s="59" t="s">
        <v>24</v>
      </c>
      <c r="L26" s="1">
        <v>76</v>
      </c>
    </row>
    <row r="27" spans="1:12" x14ac:dyDescent="0.35">
      <c r="A27" s="16" t="s">
        <v>37</v>
      </c>
      <c r="B27" s="21" t="s">
        <v>10</v>
      </c>
      <c r="C27" s="17">
        <v>8</v>
      </c>
      <c r="D27" s="18">
        <f>E2</f>
        <v>0.25</v>
      </c>
      <c r="E27" s="18">
        <f>C27/$D$27</f>
        <v>32</v>
      </c>
      <c r="F27" s="18">
        <f>$F$23/E27</f>
        <v>7.3290525694444444</v>
      </c>
      <c r="G27" s="3"/>
    </row>
    <row r="28" spans="1:12" x14ac:dyDescent="0.35">
      <c r="A28" s="54" t="s">
        <v>38</v>
      </c>
      <c r="B28" s="40"/>
      <c r="C28" s="40"/>
      <c r="D28" s="40"/>
      <c r="E28" s="9">
        <v>1.18</v>
      </c>
      <c r="F28" s="18">
        <f>F27+E28</f>
        <v>8.5090525694444441</v>
      </c>
      <c r="G28" s="3"/>
    </row>
    <row r="29" spans="1:12" x14ac:dyDescent="0.35">
      <c r="A29" s="54" t="s">
        <v>39</v>
      </c>
      <c r="B29" s="40"/>
      <c r="C29" s="40"/>
      <c r="D29" s="40"/>
      <c r="E29" s="39">
        <v>0.15</v>
      </c>
      <c r="F29" s="9">
        <f>F28*(1+E29)</f>
        <v>9.7854104548611094</v>
      </c>
      <c r="G29" s="3"/>
    </row>
    <row r="30" spans="1:12" ht="15" thickBot="1" x14ac:dyDescent="0.4">
      <c r="A30" s="55" t="s">
        <v>40</v>
      </c>
      <c r="B30" s="41"/>
      <c r="C30" s="41"/>
      <c r="D30" s="41"/>
      <c r="E30" s="42">
        <v>0.45</v>
      </c>
      <c r="F30" s="34">
        <f>F29/(1-E30)</f>
        <v>17.791655372474743</v>
      </c>
      <c r="G30" s="3"/>
    </row>
    <row r="31" spans="1:12" x14ac:dyDescent="0.35">
      <c r="A31" s="43" t="s">
        <v>26</v>
      </c>
      <c r="B31" s="44"/>
      <c r="C31" s="44"/>
      <c r="D31" s="44"/>
      <c r="E31" s="44"/>
      <c r="F31" s="24">
        <f>17.99</f>
        <v>17.989999999999998</v>
      </c>
      <c r="G31" s="3"/>
    </row>
    <row r="32" spans="1:12" ht="15" thickBot="1" x14ac:dyDescent="0.4">
      <c r="A32" s="46" t="s">
        <v>25</v>
      </c>
      <c r="B32" s="47"/>
      <c r="C32" s="47"/>
      <c r="D32" s="47"/>
      <c r="E32" s="47"/>
      <c r="F32" s="48">
        <f>(F31-F29)/F31</f>
        <v>0.45606389911833739</v>
      </c>
      <c r="G32" s="4"/>
    </row>
    <row r="33" spans="1:7" ht="15" thickBot="1" x14ac:dyDescent="0.4">
      <c r="A33" s="96" t="s">
        <v>43</v>
      </c>
      <c r="B33" s="97"/>
      <c r="C33" s="97"/>
      <c r="D33" s="60" t="s">
        <v>44</v>
      </c>
      <c r="E33" s="76">
        <v>58826</v>
      </c>
      <c r="F33" s="64"/>
      <c r="G33" s="4"/>
    </row>
    <row r="34" spans="1:7" ht="15" thickBot="1" x14ac:dyDescent="0.4">
      <c r="A34" s="98"/>
      <c r="B34" s="99"/>
      <c r="C34" s="99"/>
      <c r="D34" s="60" t="s">
        <v>45</v>
      </c>
      <c r="E34" s="61">
        <v>600963873652</v>
      </c>
      <c r="F34" s="62"/>
      <c r="G34" s="4"/>
    </row>
    <row r="35" spans="1:7" ht="29.5" thickBot="1" x14ac:dyDescent="0.4">
      <c r="A35" s="19" t="s">
        <v>36</v>
      </c>
      <c r="B35" s="36" t="s">
        <v>1</v>
      </c>
      <c r="C35" s="57" t="s">
        <v>53</v>
      </c>
      <c r="D35" s="58" t="s">
        <v>23</v>
      </c>
      <c r="E35" s="58" t="s">
        <v>54</v>
      </c>
      <c r="F35" s="59" t="s">
        <v>24</v>
      </c>
      <c r="G35" s="4"/>
    </row>
    <row r="36" spans="1:7" ht="15" thickBot="1" x14ac:dyDescent="0.4">
      <c r="A36" s="79" t="s">
        <v>37</v>
      </c>
      <c r="B36" s="80" t="s">
        <v>10</v>
      </c>
      <c r="C36" s="81">
        <v>8</v>
      </c>
      <c r="D36" s="71">
        <v>0.5</v>
      </c>
      <c r="E36" s="71">
        <f>C27/D36</f>
        <v>16</v>
      </c>
      <c r="F36" s="82">
        <f>$F$23/E36</f>
        <v>14.658105138888889</v>
      </c>
      <c r="G36" s="4"/>
    </row>
    <row r="37" spans="1:7" x14ac:dyDescent="0.35">
      <c r="A37" s="77" t="s">
        <v>38</v>
      </c>
      <c r="B37" s="78"/>
      <c r="C37" s="78"/>
      <c r="D37" s="78"/>
      <c r="E37" s="18">
        <v>1.18</v>
      </c>
      <c r="F37" s="18">
        <f>F36+E37</f>
        <v>15.838105138888888</v>
      </c>
      <c r="G37" s="4"/>
    </row>
    <row r="38" spans="1:7" x14ac:dyDescent="0.35">
      <c r="A38" s="54" t="s">
        <v>39</v>
      </c>
      <c r="B38" s="40"/>
      <c r="C38" s="40"/>
      <c r="D38" s="40"/>
      <c r="E38" s="39">
        <v>0.15</v>
      </c>
      <c r="F38" s="9">
        <f>F37*(1+E38)</f>
        <v>18.213820909722219</v>
      </c>
      <c r="G38" s="4"/>
    </row>
    <row r="39" spans="1:7" ht="15" thickBot="1" x14ac:dyDescent="0.4">
      <c r="A39" s="55" t="s">
        <v>40</v>
      </c>
      <c r="B39" s="41"/>
      <c r="C39" s="41"/>
      <c r="D39" s="41"/>
      <c r="E39" s="42">
        <v>0.45</v>
      </c>
      <c r="F39" s="34">
        <f>F38/(1-E39)</f>
        <v>33.116038017676757</v>
      </c>
      <c r="G39" s="4"/>
    </row>
    <row r="40" spans="1:7" x14ac:dyDescent="0.35">
      <c r="A40" s="43" t="s">
        <v>26</v>
      </c>
      <c r="B40" s="44"/>
      <c r="C40" s="44"/>
      <c r="D40" s="44"/>
      <c r="E40" s="44"/>
      <c r="F40" s="25">
        <v>32.99</v>
      </c>
      <c r="G40" s="4"/>
    </row>
    <row r="41" spans="1:7" ht="15" thickBot="1" x14ac:dyDescent="0.4">
      <c r="A41" s="46" t="s">
        <v>25</v>
      </c>
      <c r="B41" s="47"/>
      <c r="C41" s="47"/>
      <c r="D41" s="47"/>
      <c r="E41" s="47"/>
      <c r="F41" s="13">
        <f>(F40-F38)/F40</f>
        <v>0.44789872962345506</v>
      </c>
      <c r="G41" s="4"/>
    </row>
    <row r="42" spans="1:7" ht="14.5" customHeight="1" x14ac:dyDescent="0.35">
      <c r="A42" s="49"/>
      <c r="B42" s="49"/>
      <c r="C42" s="49"/>
      <c r="D42" s="49"/>
      <c r="E42" s="100" t="s">
        <v>31</v>
      </c>
      <c r="F42" s="101"/>
      <c r="G42" s="4"/>
    </row>
    <row r="43" spans="1:7" x14ac:dyDescent="0.35">
      <c r="A43" t="s">
        <v>28</v>
      </c>
      <c r="B43" s="29"/>
      <c r="C43" s="3" t="s">
        <v>29</v>
      </c>
      <c r="D43" s="27"/>
      <c r="E43" s="102"/>
      <c r="F43" s="103"/>
    </row>
    <row r="44" spans="1:7" x14ac:dyDescent="0.35">
      <c r="A44" s="49"/>
      <c r="B44" s="50"/>
      <c r="C44" s="50"/>
      <c r="E44" s="102"/>
      <c r="F44" s="103"/>
    </row>
    <row r="45" spans="1:7" ht="28.5" customHeight="1" thickBot="1" x14ac:dyDescent="0.4">
      <c r="A45" s="1" t="s">
        <v>30</v>
      </c>
      <c r="B45" s="29"/>
      <c r="C45" s="26" t="s">
        <v>29</v>
      </c>
      <c r="D45" s="30"/>
      <c r="E45" s="104"/>
      <c r="F45" s="105"/>
    </row>
  </sheetData>
  <mergeCells count="21">
    <mergeCell ref="E42:F45"/>
    <mergeCell ref="B2:C2"/>
    <mergeCell ref="E33:F33"/>
    <mergeCell ref="A33:C34"/>
    <mergeCell ref="E24:F24"/>
    <mergeCell ref="E25:F25"/>
    <mergeCell ref="A24:C25"/>
    <mergeCell ref="A31:E31"/>
    <mergeCell ref="A32:E32"/>
    <mergeCell ref="A23:E23"/>
    <mergeCell ref="A28:D28"/>
    <mergeCell ref="A29:D29"/>
    <mergeCell ref="A37:D37"/>
    <mergeCell ref="A38:D38"/>
    <mergeCell ref="A39:D39"/>
    <mergeCell ref="A40:E40"/>
    <mergeCell ref="A41:E41"/>
    <mergeCell ref="E34:F34"/>
    <mergeCell ref="A4:B4"/>
    <mergeCell ref="C4:F4"/>
    <mergeCell ref="A30:D30"/>
  </mergeCells>
  <dataValidations count="1">
    <dataValidation type="list" allowBlank="1" showInputMessage="1" showErrorMessage="1" sqref="B27 C6:C22 B36 F2" xr:uid="{564F12C6-4125-4258-A0D3-9C223602ED79}">
      <formula1>"Kg, Liter, Each"</formula1>
    </dataValidation>
  </dataValidations>
  <pageMargins left="0.7" right="0.7" top="0.75" bottom="0.75" header="0.3" footer="0.3"/>
  <pageSetup paperSize="9" scale="9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@ Bonnievale</dc:creator>
  <cp:lastModifiedBy>Gerhard Stimie</cp:lastModifiedBy>
  <cp:lastPrinted>2026-06-24T08:36:42Z</cp:lastPrinted>
  <dcterms:created xsi:type="dcterms:W3CDTF">2026-06-23T11:26:02Z</dcterms:created>
  <dcterms:modified xsi:type="dcterms:W3CDTF">2026-06-24T08:37:06Z</dcterms:modified>
</cp:coreProperties>
</file>
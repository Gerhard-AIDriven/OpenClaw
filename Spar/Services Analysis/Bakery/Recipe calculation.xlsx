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Services Analysis\Bakery\"/>
    </mc:Choice>
  </mc:AlternateContent>
  <xr:revisionPtr revIDLastSave="0" documentId="13_ncr:1_{111FBE67-9986-4D5D-BE6B-F9920B0B0E97}" xr6:coauthVersionLast="47" xr6:coauthVersionMax="47" xr10:uidLastSave="{00000000-0000-0000-0000-000000000000}"/>
  <bookViews>
    <workbookView xWindow="-110" yWindow="-110" windowWidth="19420" windowHeight="10300" xr2:uid="{3E92E791-8294-4A15-A5AD-1EB5DED229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0" i="1" l="1"/>
  <c r="F20" i="1" s="1"/>
  <c r="E13" i="1"/>
  <c r="F13" i="1" s="1"/>
  <c r="E8" i="1"/>
  <c r="F8" i="1" s="1"/>
  <c r="E7" i="1"/>
  <c r="F7" i="1" s="1"/>
  <c r="H24" i="1"/>
  <c r="F24" i="1"/>
  <c r="E34" i="1"/>
  <c r="F35" i="1"/>
  <c r="D26" i="1"/>
  <c r="E26" i="1" s="1"/>
  <c r="A24" i="1"/>
  <c r="F30" i="1"/>
  <c r="F27" i="1"/>
  <c r="F16" i="1"/>
  <c r="F22" i="1"/>
  <c r="F19" i="1"/>
  <c r="F18" i="1"/>
  <c r="F17" i="1"/>
  <c r="F15" i="1"/>
  <c r="F9" i="1"/>
  <c r="F10" i="1"/>
  <c r="F11" i="1"/>
  <c r="F12" i="1"/>
  <c r="F6" i="1"/>
  <c r="F23" i="1" l="1"/>
  <c r="F26" i="1" l="1"/>
  <c r="F28" i="1" s="1"/>
  <c r="H34" i="1"/>
  <c r="F34" i="1"/>
  <c r="F36" i="1" s="1"/>
  <c r="F37" i="1" s="1"/>
  <c r="H26" i="1"/>
  <c r="F39" i="1" l="1"/>
  <c r="F29" i="1"/>
  <c r="F31" i="1"/>
</calcChain>
</file>

<file path=xl/sharedStrings.xml><?xml version="1.0" encoding="utf-8"?>
<sst xmlns="http://schemas.openxmlformats.org/spreadsheetml/2006/main" count="92" uniqueCount="59">
  <si>
    <t>Ingredients</t>
  </si>
  <si>
    <t>Unit</t>
  </si>
  <si>
    <t>Cost per unit</t>
  </si>
  <si>
    <t>Method/Notes</t>
  </si>
  <si>
    <t>Date:</t>
  </si>
  <si>
    <t>Signed</t>
  </si>
  <si>
    <t>Spar Sugar</t>
  </si>
  <si>
    <t>QTY (in units)</t>
  </si>
  <si>
    <t>Malva Pudding (Small ) 250g</t>
  </si>
  <si>
    <t>Name:</t>
  </si>
  <si>
    <t>Gerhard Stimie</t>
  </si>
  <si>
    <t>Kg</t>
  </si>
  <si>
    <t>Spar jam apricot</t>
  </si>
  <si>
    <t>Eggs (0.60g)</t>
  </si>
  <si>
    <t>Each</t>
  </si>
  <si>
    <t>Bicarbonate of Soda</t>
  </si>
  <si>
    <t>Milk</t>
  </si>
  <si>
    <t>Liter</t>
  </si>
  <si>
    <t>Vinegar</t>
  </si>
  <si>
    <t>Syrup</t>
  </si>
  <si>
    <t>Water</t>
  </si>
  <si>
    <t>Vanilla Essence</t>
  </si>
  <si>
    <t>Bakels Delight cream</t>
  </si>
  <si>
    <t>Golden Syrup</t>
  </si>
  <si>
    <t>Prod weight</t>
  </si>
  <si>
    <t>Cost per product unit</t>
  </si>
  <si>
    <t>Final GP%</t>
  </si>
  <si>
    <t>Yield (Batch Qty)</t>
  </si>
  <si>
    <t>Yield (no of product)</t>
  </si>
  <si>
    <t>Final Selling Price (Input)</t>
  </si>
  <si>
    <t>Signature</t>
  </si>
  <si>
    <t>Change</t>
  </si>
  <si>
    <t>New Value</t>
  </si>
  <si>
    <t>Product Unit</t>
  </si>
  <si>
    <t xml:space="preserve">Signed off </t>
  </si>
  <si>
    <t>Date</t>
  </si>
  <si>
    <t>Sigma updated</t>
  </si>
  <si>
    <t>(Attach revised barcode label)</t>
  </si>
  <si>
    <t>Product Code</t>
  </si>
  <si>
    <t>Ingredient costing</t>
  </si>
  <si>
    <t>Cost Ex Vat</t>
  </si>
  <si>
    <t>Description</t>
  </si>
  <si>
    <t>Item</t>
  </si>
  <si>
    <t xml:space="preserve">Product </t>
  </si>
  <si>
    <t>+ Packaging</t>
  </si>
  <si>
    <t>+ VAT</t>
  </si>
  <si>
    <t>+ GP = Total cost Vat Incl</t>
  </si>
  <si>
    <t>Product:</t>
  </si>
  <si>
    <t>Total cost per batch:</t>
  </si>
  <si>
    <t>Malva Pudding (Medium) 500g</t>
  </si>
  <si>
    <t>Product code:</t>
  </si>
  <si>
    <t>EAN Code</t>
  </si>
  <si>
    <t>Product Code:</t>
  </si>
  <si>
    <t xml:space="preserve">EAN </t>
  </si>
  <si>
    <t>Spar Cake Flour</t>
  </si>
  <si>
    <t>Spar Iodated med salt</t>
  </si>
  <si>
    <t>Masternard Margarine</t>
  </si>
  <si>
    <t>Spar Sugar (Brown) Poly</t>
  </si>
  <si>
    <t>Spar Custard Vanilla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</si>
</sst>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#,##0.000"/>
    <numFmt numFmtId="166" formatCode="0.0%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0" xfId="0" applyAlignment="1">
      <alignment wrapText="1"/>
    </xf>
    <xf numFmtId="165" fontId="0" fillId="0" borderId="0" xfId="0" applyNumberFormat="1"/>
    <xf numFmtId="4" fontId="0" fillId="0" borderId="0" xfId="0" applyNumberFormat="1"/>
    <xf numFmtId="9" fontId="0" fillId="0" borderId="0" xfId="0" applyNumberFormat="1"/>
    <xf numFmtId="0" fontId="0" fillId="0" borderId="0" xfId="0" applyNumberFormat="1" applyAlignment="1">
      <alignment wrapText="1"/>
    </xf>
    <xf numFmtId="0" fontId="0" fillId="0" borderId="2" xfId="0" applyBorder="1" applyAlignment="1">
      <alignment horizontal="center"/>
    </xf>
    <xf numFmtId="0" fontId="0" fillId="0" borderId="2" xfId="0" applyBorder="1"/>
    <xf numFmtId="165" fontId="0" fillId="0" borderId="2" xfId="0" applyNumberFormat="1" applyBorder="1"/>
    <xf numFmtId="4" fontId="0" fillId="0" borderId="2" xfId="0" applyNumberForma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10" xfId="0" applyBorder="1"/>
    <xf numFmtId="165" fontId="0" fillId="0" borderId="10" xfId="0" applyNumberFormat="1" applyBorder="1"/>
    <xf numFmtId="166" fontId="0" fillId="0" borderId="11" xfId="0" applyNumberFormat="1" applyBorder="1"/>
    <xf numFmtId="0" fontId="0" fillId="0" borderId="4" xfId="0" applyBorder="1" applyAlignment="1"/>
    <xf numFmtId="0" fontId="0" fillId="0" borderId="12" xfId="0" applyBorder="1"/>
    <xf numFmtId="165" fontId="0" fillId="0" borderId="13" xfId="0" applyNumberFormat="1" applyBorder="1"/>
    <xf numFmtId="4" fontId="0" fillId="0" borderId="13" xfId="0" applyNumberFormat="1" applyBorder="1"/>
    <xf numFmtId="0" fontId="0" fillId="0" borderId="18" xfId="0" applyBorder="1" applyAlignment="1">
      <alignment wrapText="1"/>
    </xf>
    <xf numFmtId="165" fontId="0" fillId="0" borderId="19" xfId="0" applyNumberFormat="1" applyBorder="1" applyAlignment="1">
      <alignment wrapText="1"/>
    </xf>
    <xf numFmtId="4" fontId="0" fillId="0" borderId="19" xfId="0" applyNumberForma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13" xfId="0" applyBorder="1"/>
    <xf numFmtId="4" fontId="0" fillId="0" borderId="5" xfId="0" applyNumberFormat="1" applyBorder="1"/>
    <xf numFmtId="4" fontId="0" fillId="0" borderId="6" xfId="0" applyNumberFormat="1" applyBorder="1"/>
    <xf numFmtId="0" fontId="0" fillId="0" borderId="6" xfId="0" applyBorder="1"/>
    <xf numFmtId="0" fontId="0" fillId="0" borderId="8" xfId="0" applyBorder="1"/>
    <xf numFmtId="0" fontId="0" fillId="0" borderId="11" xfId="0" applyBorder="1"/>
    <xf numFmtId="4" fontId="0" fillId="0" borderId="1" xfId="0" applyNumberFormat="1" applyBorder="1"/>
    <xf numFmtId="0" fontId="0" fillId="0" borderId="14" xfId="0" applyBorder="1"/>
    <xf numFmtId="0" fontId="0" fillId="0" borderId="15" xfId="0" applyBorder="1"/>
    <xf numFmtId="0" fontId="0" fillId="0" borderId="15" xfId="0" applyBorder="1" applyAlignment="1"/>
    <xf numFmtId="0" fontId="0" fillId="0" borderId="16" xfId="0" applyBorder="1" applyAlignment="1"/>
    <xf numFmtId="0" fontId="0" fillId="0" borderId="2" xfId="0" applyNumberFormat="1" applyBorder="1" applyAlignment="1">
      <alignment horizontal="center" wrapText="1"/>
    </xf>
    <xf numFmtId="0" fontId="1" fillId="0" borderId="2" xfId="0" applyFont="1" applyBorder="1"/>
    <xf numFmtId="0" fontId="0" fillId="0" borderId="13" xfId="0" applyNumberForma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wrapText="1"/>
    </xf>
    <xf numFmtId="0" fontId="0" fillId="0" borderId="10" xfId="0" applyBorder="1" applyAlignment="1">
      <alignment horizontal="left" wrapText="1"/>
    </xf>
    <xf numFmtId="0" fontId="0" fillId="0" borderId="10" xfId="0" applyBorder="1" applyAlignment="1">
      <alignment wrapText="1"/>
    </xf>
    <xf numFmtId="0" fontId="0" fillId="0" borderId="8" xfId="0" applyNumberFormat="1" applyBorder="1" applyAlignment="1">
      <alignment horizontal="center" wrapText="1"/>
    </xf>
    <xf numFmtId="0" fontId="0" fillId="0" borderId="31" xfId="0" applyBorder="1" applyAlignment="1">
      <alignment wrapText="1"/>
    </xf>
    <xf numFmtId="0" fontId="0" fillId="0" borderId="3" xfId="0" applyBorder="1"/>
    <xf numFmtId="0" fontId="0" fillId="0" borderId="1" xfId="0" applyBorder="1"/>
    <xf numFmtId="4" fontId="0" fillId="0" borderId="33" xfId="0" applyNumberFormat="1" applyBorder="1"/>
    <xf numFmtId="0" fontId="0" fillId="0" borderId="16" xfId="0" applyBorder="1" applyAlignment="1">
      <alignment horizontal="center" wrapText="1"/>
    </xf>
    <xf numFmtId="0" fontId="0" fillId="0" borderId="21" xfId="0" applyNumberFormat="1" applyBorder="1" applyAlignment="1">
      <alignment horizontal="center" wrapText="1"/>
    </xf>
    <xf numFmtId="0" fontId="0" fillId="0" borderId="22" xfId="0" applyNumberFormat="1" applyBorder="1" applyAlignment="1">
      <alignment horizontal="center" wrapText="1"/>
    </xf>
    <xf numFmtId="0" fontId="0" fillId="0" borderId="35" xfId="0" applyBorder="1" applyAlignment="1">
      <alignment wrapText="1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9" fontId="0" fillId="0" borderId="2" xfId="0" applyNumberFormat="1" applyBorder="1" applyAlignment="1"/>
    <xf numFmtId="0" fontId="0" fillId="0" borderId="2" xfId="0" quotePrefix="1" applyBorder="1" applyAlignment="1">
      <alignment horizontal="left"/>
    </xf>
    <xf numFmtId="0" fontId="0" fillId="0" borderId="26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3" xfId="0" applyBorder="1" applyAlignment="1">
      <alignment horizontal="left"/>
    </xf>
    <xf numFmtId="9" fontId="0" fillId="0" borderId="33" xfId="0" applyNumberFormat="1" applyBorder="1" applyAlignment="1"/>
    <xf numFmtId="0" fontId="0" fillId="0" borderId="4" xfId="0" quotePrefix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166" fontId="0" fillId="0" borderId="10" xfId="0" applyNumberFormat="1" applyBorder="1"/>
    <xf numFmtId="0" fontId="0" fillId="0" borderId="0" xfId="0" applyBorder="1" applyAlignment="1">
      <alignment horizontal="left"/>
    </xf>
    <xf numFmtId="166" fontId="0" fillId="0" borderId="0" xfId="0" applyNumberFormat="1" applyBorder="1"/>
    <xf numFmtId="0" fontId="0" fillId="0" borderId="41" xfId="0" applyBorder="1" applyAlignment="1">
      <alignment wrapText="1"/>
    </xf>
    <xf numFmtId="164" fontId="0" fillId="0" borderId="5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7" xfId="0" applyBorder="1" applyAlignment="1"/>
    <xf numFmtId="0" fontId="0" fillId="0" borderId="11" xfId="0" applyBorder="1" applyAlignment="1">
      <alignment horizontal="left"/>
    </xf>
    <xf numFmtId="0" fontId="0" fillId="0" borderId="14" xfId="0" applyNumberFormat="1" applyBorder="1" applyAlignment="1">
      <alignment horizontal="center" wrapText="1"/>
    </xf>
    <xf numFmtId="0" fontId="0" fillId="0" borderId="19" xfId="0" applyNumberFormat="1" applyBorder="1" applyAlignment="1">
      <alignment wrapText="1"/>
    </xf>
    <xf numFmtId="0" fontId="0" fillId="0" borderId="23" xfId="0" applyNumberFormat="1" applyBorder="1" applyAlignment="1">
      <alignment horizontal="center" wrapText="1"/>
    </xf>
    <xf numFmtId="0" fontId="0" fillId="0" borderId="24" xfId="0" applyNumberFormat="1" applyBorder="1" applyAlignment="1">
      <alignment horizontal="center" wrapText="1"/>
    </xf>
    <xf numFmtId="4" fontId="0" fillId="0" borderId="42" xfId="0" applyNumberFormat="1" applyBorder="1"/>
    <xf numFmtId="166" fontId="0" fillId="0" borderId="40" xfId="0" applyNumberFormat="1" applyBorder="1"/>
    <xf numFmtId="0" fontId="0" fillId="0" borderId="44" xfId="0" applyNumberFormat="1" applyBorder="1" applyAlignment="1">
      <alignment wrapText="1"/>
    </xf>
    <xf numFmtId="0" fontId="0" fillId="0" borderId="45" xfId="0" applyNumberFormat="1" applyBorder="1" applyAlignment="1">
      <alignment wrapText="1"/>
    </xf>
    <xf numFmtId="0" fontId="0" fillId="0" borderId="39" xfId="0" applyNumberFormat="1" applyBorder="1" applyAlignment="1">
      <alignment horizontal="center" wrapText="1"/>
    </xf>
    <xf numFmtId="0" fontId="0" fillId="0" borderId="30" xfId="0" applyNumberFormat="1" applyBorder="1" applyAlignment="1">
      <alignment horizontal="center" wrapText="1"/>
    </xf>
    <xf numFmtId="0" fontId="0" fillId="0" borderId="7" xfId="0" quotePrefix="1" applyBorder="1" applyAlignment="1">
      <alignment horizontal="left"/>
    </xf>
    <xf numFmtId="0" fontId="0" fillId="0" borderId="32" xfId="0" quotePrefix="1" applyBorder="1" applyAlignment="1">
      <alignment horizontal="left"/>
    </xf>
    <xf numFmtId="0" fontId="0" fillId="0" borderId="34" xfId="0" applyBorder="1"/>
    <xf numFmtId="0" fontId="0" fillId="0" borderId="2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5" xfId="0" applyBorder="1" applyAlignment="1"/>
    <xf numFmtId="0" fontId="0" fillId="0" borderId="27" xfId="0" applyBorder="1" applyAlignment="1"/>
    <xf numFmtId="0" fontId="0" fillId="0" borderId="42" xfId="0" applyBorder="1" applyAlignment="1"/>
    <xf numFmtId="0" fontId="0" fillId="0" borderId="17" xfId="0" applyBorder="1" applyAlignment="1"/>
    <xf numFmtId="0" fontId="0" fillId="0" borderId="39" xfId="0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22" xfId="0" applyBorder="1" applyAlignment="1">
      <alignment horizontal="right"/>
    </xf>
    <xf numFmtId="4" fontId="0" fillId="0" borderId="38" xfId="0" applyNumberFormat="1" applyBorder="1"/>
    <xf numFmtId="0" fontId="0" fillId="0" borderId="36" xfId="0" applyNumberFormat="1" applyBorder="1" applyAlignment="1">
      <alignment horizontal="center" wrapText="1"/>
    </xf>
    <xf numFmtId="0" fontId="0" fillId="0" borderId="37" xfId="0" applyNumberFormat="1" applyBorder="1" applyAlignment="1">
      <alignment horizontal="center" wrapText="1"/>
    </xf>
    <xf numFmtId="0" fontId="0" fillId="0" borderId="44" xfId="0" applyBorder="1" applyAlignment="1">
      <alignment wrapText="1"/>
    </xf>
    <xf numFmtId="165" fontId="0" fillId="0" borderId="45" xfId="0" applyNumberFormat="1" applyBorder="1" applyAlignment="1">
      <alignment wrapText="1"/>
    </xf>
    <xf numFmtId="4" fontId="0" fillId="0" borderId="45" xfId="0" applyNumberFormat="1" applyBorder="1" applyAlignment="1">
      <alignment wrapText="1"/>
    </xf>
    <xf numFmtId="0" fontId="0" fillId="0" borderId="46" xfId="0" applyBorder="1" applyAlignment="1">
      <alignment wrapText="1"/>
    </xf>
    <xf numFmtId="0" fontId="0" fillId="0" borderId="30" xfId="0" applyBorder="1"/>
    <xf numFmtId="0" fontId="0" fillId="0" borderId="43" xfId="0" applyBorder="1" applyAlignment="1">
      <alignment wrapText="1"/>
    </xf>
    <xf numFmtId="0" fontId="0" fillId="0" borderId="47" xfId="0" applyBorder="1"/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19" xfId="0" applyBorder="1" applyAlignment="1"/>
    <xf numFmtId="0" fontId="0" fillId="0" borderId="20" xfId="0" applyBorder="1" applyAlignment="1">
      <alignment horizontal="left"/>
    </xf>
    <xf numFmtId="1" fontId="0" fillId="0" borderId="19" xfId="0" applyNumberFormat="1" applyBorder="1" applyAlignment="1">
      <alignment horizontal="left"/>
    </xf>
    <xf numFmtId="1" fontId="0" fillId="0" borderId="20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4C8B-3E9E-48CB-A46B-487AC3E4BAFC}">
  <dimension ref="A1:O41"/>
  <sheetViews>
    <sheetView tabSelected="1" topLeftCell="A24" workbookViewId="0">
      <selection activeCell="O25" sqref="O25"/>
    </sheetView>
  </sheetViews>
  <sheetFormatPr defaultRowHeight="14.5" x14ac:dyDescent="0.35"/>
  <cols>
    <col min="2" max="2" width="19.90625" bestFit="1" customWidth="1"/>
    <col min="3" max="3" width="6.453125" customWidth="1"/>
    <col min="4" max="4" width="7.1796875" style="2" customWidth="1"/>
    <col min="5" max="5" width="8" style="3" customWidth="1"/>
    <col min="6" max="6" width="11.08984375" style="3" customWidth="1"/>
    <col min="7" max="7" width="7.7265625" customWidth="1"/>
    <col min="9" max="9" width="8.6328125" customWidth="1"/>
  </cols>
  <sheetData>
    <row r="1" spans="1:9" ht="17.5" customHeight="1" x14ac:dyDescent="0.35">
      <c r="A1" s="16" t="s">
        <v>4</v>
      </c>
      <c r="B1" s="68">
        <v>46196</v>
      </c>
      <c r="C1" s="88" t="s">
        <v>50</v>
      </c>
      <c r="D1" s="89"/>
      <c r="E1" s="90">
        <v>32127</v>
      </c>
      <c r="F1" s="25" t="s">
        <v>51</v>
      </c>
      <c r="G1" s="10">
        <v>212226</v>
      </c>
      <c r="H1" s="10"/>
      <c r="I1" s="11"/>
    </row>
    <row r="2" spans="1:9" ht="17" customHeight="1" x14ac:dyDescent="0.35">
      <c r="A2" s="71" t="s">
        <v>9</v>
      </c>
      <c r="B2" s="69" t="s">
        <v>10</v>
      </c>
      <c r="C2" s="55"/>
      <c r="D2" s="70"/>
      <c r="E2" s="56"/>
      <c r="F2" s="9" t="s">
        <v>5</v>
      </c>
      <c r="G2" s="6"/>
      <c r="H2" s="6"/>
      <c r="I2" s="38"/>
    </row>
    <row r="3" spans="1:9" ht="15" thickBot="1" x14ac:dyDescent="0.4">
      <c r="A3" s="39" t="s">
        <v>47</v>
      </c>
      <c r="B3" s="40" t="s">
        <v>8</v>
      </c>
      <c r="C3" s="40"/>
      <c r="D3" s="40"/>
      <c r="E3" s="40"/>
      <c r="F3" s="41" t="s">
        <v>33</v>
      </c>
      <c r="G3" s="14">
        <v>0.25</v>
      </c>
      <c r="H3" s="63" t="s">
        <v>11</v>
      </c>
      <c r="I3" s="72"/>
    </row>
    <row r="4" spans="1:9" ht="15" thickBot="1" x14ac:dyDescent="0.4">
      <c r="A4" s="51" t="s">
        <v>0</v>
      </c>
      <c r="B4" s="52"/>
      <c r="C4" s="47" t="s">
        <v>39</v>
      </c>
      <c r="D4" s="47"/>
      <c r="E4" s="47"/>
      <c r="F4" s="47"/>
      <c r="G4" s="81" t="s">
        <v>3</v>
      </c>
      <c r="H4" s="48"/>
      <c r="I4" s="49"/>
    </row>
    <row r="5" spans="1:9" s="5" customFormat="1" ht="29.25" customHeight="1" thickBot="1" x14ac:dyDescent="0.4">
      <c r="A5" s="79" t="s">
        <v>38</v>
      </c>
      <c r="B5" s="80" t="s">
        <v>41</v>
      </c>
      <c r="C5" s="74" t="s">
        <v>1</v>
      </c>
      <c r="D5" s="74" t="s">
        <v>7</v>
      </c>
      <c r="E5" s="74" t="s">
        <v>2</v>
      </c>
      <c r="F5" s="43" t="s">
        <v>40</v>
      </c>
      <c r="G5" s="82"/>
      <c r="H5" s="75"/>
      <c r="I5" s="76"/>
    </row>
    <row r="6" spans="1:9" ht="14.5" customHeight="1" x14ac:dyDescent="0.35">
      <c r="A6" s="17">
        <v>8858</v>
      </c>
      <c r="B6" s="24" t="s">
        <v>6</v>
      </c>
      <c r="C6" s="24" t="s">
        <v>11</v>
      </c>
      <c r="D6" s="18">
        <v>0.8</v>
      </c>
      <c r="E6" s="19">
        <v>22.16</v>
      </c>
      <c r="F6" s="19">
        <f>E6*D6</f>
        <v>17.728000000000002</v>
      </c>
      <c r="G6" s="37"/>
      <c r="H6" s="37"/>
      <c r="I6" s="73"/>
    </row>
    <row r="7" spans="1:9" ht="14.5" customHeight="1" x14ac:dyDescent="0.35">
      <c r="A7" s="12">
        <v>3079</v>
      </c>
      <c r="B7" s="7" t="s">
        <v>12</v>
      </c>
      <c r="C7" s="7" t="s">
        <v>11</v>
      </c>
      <c r="D7" s="8">
        <v>0.08</v>
      </c>
      <c r="E7" s="9">
        <f>35.56/0.9</f>
        <v>39.511111111111113</v>
      </c>
      <c r="F7" s="9">
        <f t="shared" ref="F7:F13" si="0">E7*D7</f>
        <v>3.1608888888888891</v>
      </c>
      <c r="G7" s="35"/>
      <c r="H7" s="35"/>
      <c r="I7" s="42"/>
    </row>
    <row r="8" spans="1:9" ht="14.5" customHeight="1" x14ac:dyDescent="0.35">
      <c r="A8" s="12">
        <v>15657</v>
      </c>
      <c r="B8" s="7" t="s">
        <v>13</v>
      </c>
      <c r="C8" s="7" t="s">
        <v>14</v>
      </c>
      <c r="D8" s="8">
        <v>8</v>
      </c>
      <c r="E8" s="9">
        <f>61.25/30</f>
        <v>2.0416666666666665</v>
      </c>
      <c r="F8" s="9">
        <f t="shared" si="0"/>
        <v>16.333333333333332</v>
      </c>
      <c r="G8" s="35"/>
      <c r="H8" s="35"/>
      <c r="I8" s="42"/>
    </row>
    <row r="9" spans="1:9" ht="14.5" customHeight="1" x14ac:dyDescent="0.35">
      <c r="A9" s="12">
        <v>8558</v>
      </c>
      <c r="B9" s="7" t="s">
        <v>54</v>
      </c>
      <c r="C9" s="7" t="s">
        <v>11</v>
      </c>
      <c r="D9" s="8">
        <v>0.6</v>
      </c>
      <c r="E9" s="9">
        <v>11.24</v>
      </c>
      <c r="F9" s="9">
        <f t="shared" si="0"/>
        <v>6.7439999999999998</v>
      </c>
      <c r="G9" s="35"/>
      <c r="H9" s="35"/>
      <c r="I9" s="42"/>
    </row>
    <row r="10" spans="1:9" ht="14.5" customHeight="1" x14ac:dyDescent="0.35">
      <c r="A10" s="12">
        <v>42955</v>
      </c>
      <c r="B10" s="7" t="s">
        <v>15</v>
      </c>
      <c r="C10" s="7" t="s">
        <v>11</v>
      </c>
      <c r="D10" s="8">
        <v>8.0000000000000002E-3</v>
      </c>
      <c r="E10" s="9">
        <v>27.93</v>
      </c>
      <c r="F10" s="9">
        <f t="shared" si="0"/>
        <v>0.22344</v>
      </c>
      <c r="G10" s="35"/>
      <c r="H10" s="35"/>
      <c r="I10" s="42"/>
    </row>
    <row r="11" spans="1:9" ht="14.5" customHeight="1" x14ac:dyDescent="0.35">
      <c r="A11" s="12">
        <v>7049</v>
      </c>
      <c r="B11" s="7" t="s">
        <v>55</v>
      </c>
      <c r="C11" s="7" t="s">
        <v>11</v>
      </c>
      <c r="D11" s="8">
        <v>4.0000000000000001E-3</v>
      </c>
      <c r="E11" s="9">
        <v>9.83</v>
      </c>
      <c r="F11" s="9">
        <f t="shared" si="0"/>
        <v>3.9320000000000001E-2</v>
      </c>
      <c r="G11" s="35"/>
      <c r="H11" s="35"/>
      <c r="I11" s="42"/>
    </row>
    <row r="12" spans="1:9" ht="14.5" customHeight="1" x14ac:dyDescent="0.35">
      <c r="A12" s="12">
        <v>11785</v>
      </c>
      <c r="B12" s="7" t="s">
        <v>16</v>
      </c>
      <c r="C12" s="7" t="s">
        <v>17</v>
      </c>
      <c r="D12" s="8">
        <v>0.4</v>
      </c>
      <c r="E12" s="9">
        <v>15.81</v>
      </c>
      <c r="F12" s="9">
        <f t="shared" si="0"/>
        <v>6.3240000000000007</v>
      </c>
      <c r="G12" s="35"/>
      <c r="H12" s="35"/>
      <c r="I12" s="42"/>
    </row>
    <row r="13" spans="1:9" ht="14.5" customHeight="1" x14ac:dyDescent="0.35">
      <c r="A13" s="12">
        <v>6708</v>
      </c>
      <c r="B13" s="7" t="s">
        <v>18</v>
      </c>
      <c r="C13" s="7" t="s">
        <v>17</v>
      </c>
      <c r="D13" s="8">
        <v>0.02</v>
      </c>
      <c r="E13" s="9">
        <f>24.19/2</f>
        <v>12.095000000000001</v>
      </c>
      <c r="F13" s="9">
        <f t="shared" si="0"/>
        <v>0.24190000000000003</v>
      </c>
      <c r="G13" s="35"/>
      <c r="H13" s="35"/>
      <c r="I13" s="42"/>
    </row>
    <row r="14" spans="1:9" ht="14.5" customHeight="1" x14ac:dyDescent="0.35">
      <c r="A14" s="12"/>
      <c r="B14" s="36" t="s">
        <v>19</v>
      </c>
      <c r="C14" s="7"/>
      <c r="D14" s="8"/>
      <c r="E14" s="9"/>
      <c r="F14" s="9"/>
      <c r="G14" s="35"/>
      <c r="H14" s="35"/>
      <c r="I14" s="42"/>
    </row>
    <row r="15" spans="1:9" ht="14.5" customHeight="1" x14ac:dyDescent="0.35">
      <c r="A15" s="12"/>
      <c r="B15" s="7" t="s">
        <v>20</v>
      </c>
      <c r="C15" s="7" t="s">
        <v>17</v>
      </c>
      <c r="D15" s="8">
        <v>0.4</v>
      </c>
      <c r="E15" s="9">
        <v>0.5</v>
      </c>
      <c r="F15" s="9">
        <f t="shared" ref="F15:F22" si="1">E15*D15</f>
        <v>0.2</v>
      </c>
      <c r="G15" s="35"/>
      <c r="H15" s="35"/>
      <c r="I15" s="42"/>
    </row>
    <row r="16" spans="1:9" ht="14.5" customHeight="1" x14ac:dyDescent="0.35">
      <c r="A16" s="12">
        <v>49033</v>
      </c>
      <c r="B16" s="7" t="s">
        <v>21</v>
      </c>
      <c r="C16" s="7" t="s">
        <v>17</v>
      </c>
      <c r="D16" s="8">
        <v>0.08</v>
      </c>
      <c r="E16" s="9">
        <v>112.98</v>
      </c>
      <c r="F16" s="9">
        <f t="shared" si="1"/>
        <v>9.0384000000000011</v>
      </c>
      <c r="G16" s="35"/>
      <c r="H16" s="35"/>
      <c r="I16" s="42"/>
    </row>
    <row r="17" spans="1:15" ht="14.5" customHeight="1" x14ac:dyDescent="0.35">
      <c r="A17" s="12">
        <v>38911</v>
      </c>
      <c r="B17" s="7" t="s">
        <v>22</v>
      </c>
      <c r="C17" s="7" t="s">
        <v>17</v>
      </c>
      <c r="D17" s="8">
        <v>0.8</v>
      </c>
      <c r="E17" s="9">
        <v>72.180000000000007</v>
      </c>
      <c r="F17" s="9">
        <f t="shared" si="1"/>
        <v>57.744000000000007</v>
      </c>
      <c r="G17" s="35"/>
      <c r="H17" s="35"/>
      <c r="I17" s="42"/>
    </row>
    <row r="18" spans="1:15" ht="14.5" customHeight="1" x14ac:dyDescent="0.35">
      <c r="A18" s="12">
        <v>38912</v>
      </c>
      <c r="B18" s="7" t="s">
        <v>23</v>
      </c>
      <c r="C18" s="7" t="s">
        <v>11</v>
      </c>
      <c r="D18" s="8">
        <v>0.16</v>
      </c>
      <c r="E18" s="9">
        <v>57.39</v>
      </c>
      <c r="F18" s="9">
        <f t="shared" si="1"/>
        <v>9.1823999999999995</v>
      </c>
      <c r="G18" s="35"/>
      <c r="H18" s="35"/>
      <c r="I18" s="42"/>
    </row>
    <row r="19" spans="1:15" ht="14.5" customHeight="1" x14ac:dyDescent="0.35">
      <c r="A19" s="12">
        <v>39222</v>
      </c>
      <c r="B19" s="7" t="s">
        <v>56</v>
      </c>
      <c r="C19" s="7" t="s">
        <v>11</v>
      </c>
      <c r="D19" s="8">
        <v>0.4</v>
      </c>
      <c r="E19" s="9">
        <v>48.6</v>
      </c>
      <c r="F19" s="9">
        <f t="shared" si="1"/>
        <v>19.440000000000001</v>
      </c>
      <c r="G19" s="35"/>
      <c r="H19" s="35"/>
      <c r="I19" s="42"/>
    </row>
    <row r="20" spans="1:15" ht="14.5" customHeight="1" x14ac:dyDescent="0.35">
      <c r="A20" s="12">
        <v>8867</v>
      </c>
      <c r="B20" s="7" t="s">
        <v>57</v>
      </c>
      <c r="C20" s="7" t="s">
        <v>11</v>
      </c>
      <c r="D20" s="8">
        <v>0.6</v>
      </c>
      <c r="E20" s="9">
        <f>39.9/2</f>
        <v>19.95</v>
      </c>
      <c r="F20" s="9">
        <f t="shared" si="1"/>
        <v>11.969999999999999</v>
      </c>
      <c r="G20" s="35"/>
      <c r="H20" s="35"/>
      <c r="I20" s="42"/>
    </row>
    <row r="21" spans="1:15" ht="14.5" customHeight="1" x14ac:dyDescent="0.35">
      <c r="A21" s="12"/>
      <c r="B21" s="7"/>
      <c r="C21" s="7"/>
      <c r="D21" s="8"/>
      <c r="E21" s="9"/>
      <c r="F21" s="9"/>
      <c r="G21" s="35"/>
      <c r="H21" s="35"/>
      <c r="I21" s="42"/>
    </row>
    <row r="22" spans="1:15" ht="14.5" customHeight="1" thickBot="1" x14ac:dyDescent="0.4">
      <c r="A22" s="12">
        <v>5359</v>
      </c>
      <c r="B22" s="7" t="s">
        <v>58</v>
      </c>
      <c r="C22" s="7" t="s">
        <v>11</v>
      </c>
      <c r="D22" s="8">
        <v>3.2</v>
      </c>
      <c r="E22" s="9">
        <v>23.8</v>
      </c>
      <c r="F22" s="9">
        <f t="shared" si="1"/>
        <v>76.160000000000011</v>
      </c>
      <c r="G22" s="35"/>
      <c r="H22" s="35"/>
      <c r="I22" s="42"/>
    </row>
    <row r="23" spans="1:15" ht="15" customHeight="1" thickBot="1" x14ac:dyDescent="0.4">
      <c r="A23" s="92" t="s">
        <v>48</v>
      </c>
      <c r="B23" s="93"/>
      <c r="C23" s="93"/>
      <c r="D23" s="93"/>
      <c r="E23" s="94"/>
      <c r="F23" s="95">
        <f>SUM(F6:F22)</f>
        <v>234.52968222222222</v>
      </c>
      <c r="G23" s="96"/>
      <c r="H23" s="96"/>
      <c r="I23" s="97"/>
    </row>
    <row r="24" spans="1:15" ht="15" thickBot="1" x14ac:dyDescent="0.4">
      <c r="A24" s="105" t="str">
        <f>B3</f>
        <v>Malva Pudding (Small ) 250g</v>
      </c>
      <c r="B24" s="106"/>
      <c r="C24" s="106"/>
      <c r="D24" s="107" t="s">
        <v>52</v>
      </c>
      <c r="E24" s="107"/>
      <c r="F24" s="107">
        <f>E1</f>
        <v>32127</v>
      </c>
      <c r="G24" s="107" t="s">
        <v>53</v>
      </c>
      <c r="H24" s="106">
        <f>G1</f>
        <v>212226</v>
      </c>
      <c r="I24" s="108"/>
    </row>
    <row r="25" spans="1:15" s="1" customFormat="1" ht="49.5" customHeight="1" thickBot="1" x14ac:dyDescent="0.4">
      <c r="A25" s="98" t="s">
        <v>42</v>
      </c>
      <c r="B25" s="67" t="s">
        <v>1</v>
      </c>
      <c r="C25" s="99" t="s">
        <v>27</v>
      </c>
      <c r="D25" s="100" t="s">
        <v>24</v>
      </c>
      <c r="E25" s="100" t="s">
        <v>28</v>
      </c>
      <c r="F25" s="101" t="s">
        <v>25</v>
      </c>
      <c r="G25" s="102" t="s">
        <v>31</v>
      </c>
      <c r="H25" s="103" t="s">
        <v>32</v>
      </c>
      <c r="I25" s="104" t="s">
        <v>30</v>
      </c>
      <c r="O25" s="1">
        <v>76</v>
      </c>
    </row>
    <row r="26" spans="1:15" x14ac:dyDescent="0.35">
      <c r="A26" s="17" t="s">
        <v>43</v>
      </c>
      <c r="B26" s="24" t="s">
        <v>11</v>
      </c>
      <c r="C26" s="18">
        <v>8</v>
      </c>
      <c r="D26" s="19">
        <f>G3</f>
        <v>0.25</v>
      </c>
      <c r="E26" s="19">
        <f>C26/$D$26</f>
        <v>32</v>
      </c>
      <c r="F26" s="19">
        <f>$F$23/E26</f>
        <v>7.3290525694444444</v>
      </c>
      <c r="G26" s="19"/>
      <c r="H26" s="19" t="str">
        <f>IFERROR($F$23/G26,"")</f>
        <v/>
      </c>
      <c r="I26" s="31"/>
      <c r="J26" s="3"/>
    </row>
    <row r="27" spans="1:15" x14ac:dyDescent="0.35">
      <c r="A27" s="83" t="s">
        <v>44</v>
      </c>
      <c r="B27" s="54"/>
      <c r="C27" s="54"/>
      <c r="D27" s="54"/>
      <c r="E27" s="9">
        <v>1.18</v>
      </c>
      <c r="F27" s="9">
        <f>E27</f>
        <v>1.18</v>
      </c>
      <c r="G27" s="9"/>
      <c r="H27" s="9"/>
      <c r="I27" s="28"/>
      <c r="J27" s="3"/>
    </row>
    <row r="28" spans="1:15" x14ac:dyDescent="0.35">
      <c r="A28" s="83" t="s">
        <v>45</v>
      </c>
      <c r="B28" s="54"/>
      <c r="C28" s="54"/>
      <c r="D28" s="54"/>
      <c r="E28" s="53">
        <v>0.15</v>
      </c>
      <c r="F28" s="9">
        <f>(F26+F27)*(1+E28)</f>
        <v>9.7854104548611094</v>
      </c>
      <c r="G28" s="9"/>
      <c r="H28" s="9"/>
      <c r="I28" s="28"/>
      <c r="J28" s="3"/>
    </row>
    <row r="29" spans="1:15" ht="15" thickBot="1" x14ac:dyDescent="0.4">
      <c r="A29" s="84" t="s">
        <v>46</v>
      </c>
      <c r="B29" s="57"/>
      <c r="C29" s="57"/>
      <c r="D29" s="57"/>
      <c r="E29" s="58">
        <v>0.45</v>
      </c>
      <c r="F29" s="46">
        <f>F28/(1-E29)</f>
        <v>17.791655372474743</v>
      </c>
      <c r="G29" s="46"/>
      <c r="H29" s="46"/>
      <c r="I29" s="85"/>
      <c r="J29" s="3"/>
    </row>
    <row r="30" spans="1:15" x14ac:dyDescent="0.35">
      <c r="A30" s="59" t="s">
        <v>29</v>
      </c>
      <c r="B30" s="60"/>
      <c r="C30" s="60"/>
      <c r="D30" s="60"/>
      <c r="E30" s="60"/>
      <c r="F30" s="25">
        <f>17.99</f>
        <v>17.989999999999998</v>
      </c>
      <c r="G30" s="25"/>
      <c r="H30" s="61"/>
      <c r="I30" s="27"/>
      <c r="J30" s="3"/>
    </row>
    <row r="31" spans="1:15" ht="15" thickBot="1" x14ac:dyDescent="0.4">
      <c r="A31" s="62" t="s">
        <v>26</v>
      </c>
      <c r="B31" s="63"/>
      <c r="C31" s="63"/>
      <c r="D31" s="63"/>
      <c r="E31" s="63"/>
      <c r="F31" s="64">
        <f>(F30-F28)/F30</f>
        <v>0.45606389911833739</v>
      </c>
      <c r="G31" s="64"/>
      <c r="H31" s="13"/>
      <c r="I31" s="29"/>
      <c r="J31" s="4"/>
    </row>
    <row r="32" spans="1:15" ht="15" thickBot="1" x14ac:dyDescent="0.4">
      <c r="A32" s="33" t="s">
        <v>49</v>
      </c>
      <c r="B32" s="34"/>
      <c r="C32" s="91"/>
      <c r="D32" s="107" t="s">
        <v>52</v>
      </c>
      <c r="E32" s="107"/>
      <c r="F32" s="107">
        <v>58826</v>
      </c>
      <c r="G32" s="107" t="s">
        <v>53</v>
      </c>
      <c r="H32" s="109">
        <v>600963873652</v>
      </c>
      <c r="I32" s="110"/>
      <c r="J32" s="4"/>
    </row>
    <row r="33" spans="1:10" ht="44" thickBot="1" x14ac:dyDescent="0.4">
      <c r="A33" s="20" t="s">
        <v>42</v>
      </c>
      <c r="B33" s="50" t="s">
        <v>1</v>
      </c>
      <c r="C33" s="21" t="s">
        <v>27</v>
      </c>
      <c r="D33" s="22" t="s">
        <v>24</v>
      </c>
      <c r="E33" s="22" t="s">
        <v>28</v>
      </c>
      <c r="F33" s="23" t="s">
        <v>25</v>
      </c>
      <c r="G33" s="32" t="s">
        <v>31</v>
      </c>
      <c r="H33" s="43" t="s">
        <v>32</v>
      </c>
      <c r="I33" s="44" t="s">
        <v>30</v>
      </c>
      <c r="J33" s="4"/>
    </row>
    <row r="34" spans="1:10" x14ac:dyDescent="0.35">
      <c r="A34" s="17" t="s">
        <v>43</v>
      </c>
      <c r="B34" s="24" t="s">
        <v>11</v>
      </c>
      <c r="C34" s="18">
        <v>8</v>
      </c>
      <c r="D34" s="19">
        <v>0.5</v>
      </c>
      <c r="E34" s="19">
        <f>C26/D34</f>
        <v>16</v>
      </c>
      <c r="F34" s="19">
        <f>$F$23/E34</f>
        <v>14.658105138888889</v>
      </c>
      <c r="G34" s="19"/>
      <c r="H34" s="19" t="str">
        <f>IFERROR($F$23/G34,"")</f>
        <v/>
      </c>
      <c r="I34" s="31"/>
      <c r="J34" s="4"/>
    </row>
    <row r="35" spans="1:10" x14ac:dyDescent="0.35">
      <c r="A35" s="83" t="s">
        <v>44</v>
      </c>
      <c r="B35" s="54"/>
      <c r="C35" s="54"/>
      <c r="D35" s="54"/>
      <c r="E35" s="9">
        <v>1.18</v>
      </c>
      <c r="F35" s="9">
        <f>E35</f>
        <v>1.18</v>
      </c>
      <c r="G35" s="9"/>
      <c r="H35" s="9"/>
      <c r="I35" s="28"/>
      <c r="J35" s="4"/>
    </row>
    <row r="36" spans="1:10" x14ac:dyDescent="0.35">
      <c r="A36" s="83" t="s">
        <v>45</v>
      </c>
      <c r="B36" s="54"/>
      <c r="C36" s="54"/>
      <c r="D36" s="54"/>
      <c r="E36" s="53">
        <v>0.15</v>
      </c>
      <c r="F36" s="9">
        <f>(F34+F35)*(1+E36)</f>
        <v>18.213820909722219</v>
      </c>
      <c r="G36" s="9"/>
      <c r="H36" s="9"/>
      <c r="I36" s="28"/>
      <c r="J36" s="4"/>
    </row>
    <row r="37" spans="1:10" ht="15" thickBot="1" x14ac:dyDescent="0.4">
      <c r="A37" s="84" t="s">
        <v>46</v>
      </c>
      <c r="B37" s="57"/>
      <c r="C37" s="57"/>
      <c r="D37" s="57"/>
      <c r="E37" s="58">
        <v>0.45</v>
      </c>
      <c r="F37" s="46">
        <f>F36/(1-E37)</f>
        <v>33.116038017676757</v>
      </c>
      <c r="G37" s="46"/>
      <c r="H37" s="46"/>
      <c r="I37" s="85"/>
      <c r="J37" s="4"/>
    </row>
    <row r="38" spans="1:10" x14ac:dyDescent="0.35">
      <c r="A38" s="59" t="s">
        <v>29</v>
      </c>
      <c r="B38" s="60"/>
      <c r="C38" s="60"/>
      <c r="D38" s="60"/>
      <c r="E38" s="60"/>
      <c r="F38" s="26">
        <v>32.99</v>
      </c>
      <c r="G38" s="77"/>
      <c r="H38" s="61"/>
      <c r="I38" s="27"/>
      <c r="J38" s="4"/>
    </row>
    <row r="39" spans="1:10" ht="15" thickBot="1" x14ac:dyDescent="0.4">
      <c r="A39" s="62" t="s">
        <v>26</v>
      </c>
      <c r="B39" s="63"/>
      <c r="C39" s="63"/>
      <c r="D39" s="63"/>
      <c r="E39" s="63"/>
      <c r="F39" s="15">
        <f>(F38-F36)/F38</f>
        <v>0.44789872962345506</v>
      </c>
      <c r="G39" s="78"/>
      <c r="H39" s="13"/>
      <c r="I39" s="29"/>
      <c r="J39" s="4"/>
    </row>
    <row r="40" spans="1:10" x14ac:dyDescent="0.35">
      <c r="A40" s="65"/>
      <c r="B40" s="65"/>
      <c r="C40" s="65"/>
      <c r="D40" s="65"/>
      <c r="E40" s="65"/>
      <c r="F40" s="66"/>
      <c r="G40" s="66"/>
      <c r="H40" s="86" t="s">
        <v>37</v>
      </c>
      <c r="I40" s="86"/>
      <c r="J40" s="4"/>
    </row>
    <row r="41" spans="1:10" x14ac:dyDescent="0.35">
      <c r="A41" t="s">
        <v>34</v>
      </c>
      <c r="B41" s="45"/>
      <c r="C41" s="3" t="s">
        <v>35</v>
      </c>
      <c r="D41" s="30"/>
      <c r="E41" t="s">
        <v>36</v>
      </c>
      <c r="F41"/>
      <c r="G41" s="45"/>
      <c r="H41" s="87"/>
      <c r="I41" s="87"/>
    </row>
  </sheetData>
  <mergeCells count="41">
    <mergeCell ref="A30:E30"/>
    <mergeCell ref="A31:E31"/>
    <mergeCell ref="H3:I3"/>
    <mergeCell ref="A23:E23"/>
    <mergeCell ref="A27:D27"/>
    <mergeCell ref="A28:D28"/>
    <mergeCell ref="B3:E3"/>
    <mergeCell ref="A24:C24"/>
    <mergeCell ref="H24:I24"/>
    <mergeCell ref="A35:D35"/>
    <mergeCell ref="A36:D36"/>
    <mergeCell ref="A37:D37"/>
    <mergeCell ref="A38:E38"/>
    <mergeCell ref="A39:E39"/>
    <mergeCell ref="H40:I41"/>
    <mergeCell ref="H32:I32"/>
    <mergeCell ref="G17:I17"/>
    <mergeCell ref="G18:I18"/>
    <mergeCell ref="G19:I19"/>
    <mergeCell ref="G20:I20"/>
    <mergeCell ref="G21:I21"/>
    <mergeCell ref="C2:E2"/>
    <mergeCell ref="G1:I1"/>
    <mergeCell ref="G2:I2"/>
    <mergeCell ref="G6:I6"/>
    <mergeCell ref="A4:B4"/>
    <mergeCell ref="G4:I5"/>
    <mergeCell ref="C4:F4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22:I22"/>
    <mergeCell ref="G23:I23"/>
    <mergeCell ref="A29:D29"/>
  </mergeCells>
  <dataValidations count="1">
    <dataValidation type="list" allowBlank="1" showInputMessage="1" showErrorMessage="1" sqref="B26 C6:C22 H3 B34" xr:uid="{564F12C6-4125-4258-A0D3-9C223602ED79}">
      <formula1>"Kg, Liter, Each"</formula1>
    </dataValidation>
  </dataValidations>
  <pageMargins left="0.7" right="0.7" top="0.75" bottom="0.75" header="0.3" footer="0.3"/>
  <pageSetup paperSize="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@ Bonnievale</dc:creator>
  <cp:lastModifiedBy>Gerhard Stimie</cp:lastModifiedBy>
  <cp:lastPrinted>2026-06-24T07:40:26Z</cp:lastPrinted>
  <dcterms:created xsi:type="dcterms:W3CDTF">2026-06-23T11:26:02Z</dcterms:created>
  <dcterms:modified xsi:type="dcterms:W3CDTF">2026-06-24T07:59:01Z</dcterms:modified>
</cp:coreProperties>
</file>
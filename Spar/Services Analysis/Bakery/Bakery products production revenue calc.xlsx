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D546DFF9-8C09-4B56-931D-1860202953B4}" xr6:coauthVersionLast="47" xr6:coauthVersionMax="47" xr10:uidLastSave="{00000000-0000-0000-0000-000000000000}"/>
  <bookViews>
    <workbookView xWindow="-110" yWindow="-110" windowWidth="19420" windowHeight="10300" xr2:uid="{4DE36543-D7F5-4DA5-897D-73739FCC13A7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2" i="1" l="1"/>
  <c r="G222" i="1"/>
  <c r="I222" i="1" s="1"/>
  <c r="J222" i="1" s="1"/>
  <c r="H221" i="1"/>
  <c r="G221" i="1"/>
  <c r="I221" i="1" s="1"/>
  <c r="J221" i="1" s="1"/>
  <c r="H220" i="1"/>
  <c r="G220" i="1"/>
  <c r="I220" i="1" s="1"/>
  <c r="J220" i="1" s="1"/>
  <c r="I219" i="1"/>
  <c r="J219" i="1" s="1"/>
  <c r="H219" i="1"/>
  <c r="G219" i="1"/>
  <c r="H218" i="1"/>
  <c r="G218" i="1"/>
  <c r="I218" i="1" s="1"/>
  <c r="J218" i="1" s="1"/>
  <c r="H217" i="1"/>
  <c r="G217" i="1"/>
  <c r="I217" i="1" s="1"/>
  <c r="J217" i="1" s="1"/>
  <c r="H216" i="1"/>
  <c r="G216" i="1"/>
  <c r="I216" i="1" s="1"/>
  <c r="J216" i="1" s="1"/>
  <c r="H215" i="1"/>
  <c r="G215" i="1"/>
  <c r="I215" i="1" s="1"/>
  <c r="J215" i="1" s="1"/>
  <c r="H214" i="1"/>
  <c r="G214" i="1"/>
  <c r="I214" i="1" s="1"/>
  <c r="J214" i="1" s="1"/>
  <c r="H213" i="1"/>
  <c r="I213" i="1" s="1"/>
  <c r="J213" i="1" s="1"/>
  <c r="G213" i="1"/>
  <c r="H212" i="1"/>
  <c r="G212" i="1"/>
  <c r="I212" i="1" s="1"/>
  <c r="J212" i="1" s="1"/>
  <c r="H211" i="1"/>
  <c r="G211" i="1"/>
  <c r="I211" i="1" s="1"/>
  <c r="J211" i="1" s="1"/>
  <c r="H210" i="1"/>
  <c r="G210" i="1"/>
  <c r="I210" i="1" s="1"/>
  <c r="J210" i="1" s="1"/>
  <c r="H209" i="1"/>
  <c r="G209" i="1"/>
  <c r="I209" i="1" s="1"/>
  <c r="J209" i="1" s="1"/>
  <c r="H208" i="1"/>
  <c r="G208" i="1"/>
  <c r="I208" i="1" s="1"/>
  <c r="J208" i="1" s="1"/>
  <c r="H207" i="1"/>
  <c r="G207" i="1"/>
  <c r="I207" i="1" s="1"/>
  <c r="J207" i="1" s="1"/>
  <c r="H206" i="1"/>
  <c r="G206" i="1"/>
  <c r="I206" i="1" s="1"/>
  <c r="J206" i="1" s="1"/>
  <c r="H205" i="1"/>
  <c r="G205" i="1"/>
  <c r="I205" i="1" s="1"/>
  <c r="J205" i="1" s="1"/>
  <c r="H204" i="1"/>
  <c r="G204" i="1"/>
  <c r="I204" i="1" s="1"/>
  <c r="J204" i="1" s="1"/>
  <c r="I203" i="1"/>
  <c r="J203" i="1" s="1"/>
  <c r="H203" i="1"/>
  <c r="G203" i="1"/>
  <c r="H202" i="1"/>
  <c r="G202" i="1"/>
  <c r="I202" i="1" s="1"/>
  <c r="J202" i="1" s="1"/>
  <c r="H201" i="1"/>
  <c r="G201" i="1"/>
  <c r="I201" i="1" s="1"/>
  <c r="J201" i="1" s="1"/>
  <c r="H200" i="1"/>
  <c r="G200" i="1"/>
  <c r="I200" i="1" s="1"/>
  <c r="J200" i="1" s="1"/>
  <c r="H199" i="1"/>
  <c r="G199" i="1"/>
  <c r="I199" i="1" s="1"/>
  <c r="J199" i="1" s="1"/>
  <c r="H198" i="1"/>
  <c r="G198" i="1"/>
  <c r="I198" i="1" s="1"/>
  <c r="J198" i="1" s="1"/>
  <c r="H197" i="1"/>
  <c r="I197" i="1" s="1"/>
  <c r="J197" i="1" s="1"/>
  <c r="G197" i="1"/>
  <c r="H196" i="1"/>
  <c r="G196" i="1"/>
  <c r="I196" i="1" s="1"/>
  <c r="J196" i="1" s="1"/>
  <c r="H195" i="1"/>
  <c r="G195" i="1"/>
  <c r="I195" i="1" s="1"/>
  <c r="J195" i="1" s="1"/>
  <c r="H194" i="1"/>
  <c r="G194" i="1"/>
  <c r="I194" i="1" s="1"/>
  <c r="J194" i="1" s="1"/>
  <c r="H193" i="1"/>
  <c r="G193" i="1"/>
  <c r="I193" i="1" s="1"/>
  <c r="J193" i="1" s="1"/>
  <c r="H192" i="1"/>
  <c r="G192" i="1"/>
  <c r="I192" i="1" s="1"/>
  <c r="J192" i="1" s="1"/>
  <c r="H191" i="1"/>
  <c r="G191" i="1"/>
  <c r="I191" i="1" s="1"/>
  <c r="J191" i="1" s="1"/>
  <c r="H190" i="1"/>
  <c r="G190" i="1"/>
  <c r="I190" i="1" s="1"/>
  <c r="J190" i="1" s="1"/>
  <c r="H189" i="1"/>
  <c r="G189" i="1"/>
  <c r="I189" i="1" s="1"/>
  <c r="J189" i="1" s="1"/>
  <c r="H188" i="1"/>
  <c r="G188" i="1"/>
  <c r="I188" i="1" s="1"/>
  <c r="J188" i="1" s="1"/>
  <c r="I187" i="1"/>
  <c r="J187" i="1" s="1"/>
  <c r="H187" i="1"/>
  <c r="G187" i="1"/>
  <c r="H186" i="1"/>
  <c r="G186" i="1"/>
  <c r="I186" i="1" s="1"/>
  <c r="J186" i="1" s="1"/>
  <c r="H185" i="1"/>
  <c r="G185" i="1"/>
  <c r="I185" i="1" s="1"/>
  <c r="J185" i="1" s="1"/>
  <c r="H184" i="1"/>
  <c r="G184" i="1"/>
  <c r="I184" i="1" s="1"/>
  <c r="J184" i="1" s="1"/>
  <c r="H183" i="1"/>
  <c r="G183" i="1"/>
  <c r="I183" i="1" s="1"/>
  <c r="J183" i="1" s="1"/>
  <c r="H182" i="1"/>
  <c r="G182" i="1"/>
  <c r="I182" i="1" s="1"/>
  <c r="J182" i="1" s="1"/>
  <c r="H181" i="1"/>
  <c r="I181" i="1" s="1"/>
  <c r="J181" i="1" s="1"/>
  <c r="G181" i="1"/>
  <c r="H180" i="1"/>
  <c r="G180" i="1"/>
  <c r="I180" i="1" s="1"/>
  <c r="J180" i="1" s="1"/>
  <c r="H179" i="1"/>
  <c r="G179" i="1"/>
  <c r="I179" i="1" s="1"/>
  <c r="J179" i="1" s="1"/>
  <c r="H178" i="1"/>
  <c r="G178" i="1"/>
  <c r="I178" i="1" s="1"/>
  <c r="J178" i="1" s="1"/>
  <c r="H177" i="1"/>
  <c r="G177" i="1"/>
  <c r="I177" i="1" s="1"/>
  <c r="J177" i="1" s="1"/>
  <c r="H176" i="1"/>
  <c r="G176" i="1"/>
  <c r="I176" i="1" s="1"/>
  <c r="J176" i="1" s="1"/>
  <c r="H175" i="1"/>
  <c r="G175" i="1"/>
  <c r="I175" i="1" s="1"/>
  <c r="J175" i="1" s="1"/>
  <c r="H174" i="1"/>
  <c r="G174" i="1"/>
  <c r="I174" i="1" s="1"/>
  <c r="J174" i="1" s="1"/>
  <c r="H173" i="1"/>
  <c r="G173" i="1"/>
  <c r="I173" i="1" s="1"/>
  <c r="J173" i="1" s="1"/>
  <c r="H172" i="1"/>
  <c r="G172" i="1"/>
  <c r="I172" i="1" s="1"/>
  <c r="J172" i="1" s="1"/>
  <c r="I171" i="1"/>
  <c r="J171" i="1" s="1"/>
  <c r="H171" i="1"/>
  <c r="G171" i="1"/>
  <c r="H170" i="1"/>
  <c r="G170" i="1"/>
  <c r="I170" i="1" s="1"/>
  <c r="J170" i="1" s="1"/>
  <c r="H169" i="1"/>
  <c r="G169" i="1"/>
  <c r="I169" i="1" s="1"/>
  <c r="J169" i="1" s="1"/>
  <c r="H168" i="1"/>
  <c r="G168" i="1"/>
  <c r="I168" i="1" s="1"/>
  <c r="J168" i="1" s="1"/>
  <c r="H167" i="1"/>
  <c r="G167" i="1"/>
  <c r="I167" i="1" s="1"/>
  <c r="J167" i="1" s="1"/>
  <c r="H166" i="1"/>
  <c r="G166" i="1"/>
  <c r="I166" i="1" s="1"/>
  <c r="J166" i="1" s="1"/>
  <c r="H165" i="1"/>
  <c r="I165" i="1" s="1"/>
  <c r="J165" i="1" s="1"/>
  <c r="G165" i="1"/>
  <c r="H164" i="1"/>
  <c r="G164" i="1"/>
  <c r="I164" i="1" s="1"/>
  <c r="J164" i="1" s="1"/>
  <c r="H163" i="1"/>
  <c r="G163" i="1"/>
  <c r="I163" i="1" s="1"/>
  <c r="J163" i="1" s="1"/>
  <c r="H162" i="1"/>
  <c r="G162" i="1"/>
  <c r="I162" i="1" s="1"/>
  <c r="J162" i="1" s="1"/>
  <c r="H161" i="1"/>
  <c r="G161" i="1"/>
  <c r="I161" i="1" s="1"/>
  <c r="J161" i="1" s="1"/>
  <c r="H160" i="1"/>
  <c r="G160" i="1"/>
  <c r="I160" i="1" s="1"/>
  <c r="J160" i="1" s="1"/>
  <c r="H159" i="1"/>
  <c r="G159" i="1"/>
  <c r="I159" i="1" s="1"/>
  <c r="J159" i="1" s="1"/>
  <c r="H158" i="1"/>
  <c r="G158" i="1"/>
  <c r="I158" i="1" s="1"/>
  <c r="J158" i="1" s="1"/>
  <c r="H157" i="1"/>
  <c r="G157" i="1"/>
  <c r="I157" i="1" s="1"/>
  <c r="J157" i="1" s="1"/>
  <c r="H156" i="1"/>
  <c r="G156" i="1"/>
  <c r="I156" i="1" s="1"/>
  <c r="J156" i="1" s="1"/>
  <c r="I155" i="1"/>
  <c r="J155" i="1" s="1"/>
  <c r="H155" i="1"/>
  <c r="G155" i="1"/>
  <c r="H154" i="1"/>
  <c r="G154" i="1"/>
  <c r="I154" i="1" s="1"/>
  <c r="J154" i="1" s="1"/>
  <c r="H153" i="1"/>
  <c r="G153" i="1"/>
  <c r="I153" i="1" s="1"/>
  <c r="J153" i="1" s="1"/>
  <c r="H152" i="1"/>
  <c r="G152" i="1"/>
  <c r="I152" i="1" s="1"/>
  <c r="J152" i="1" s="1"/>
  <c r="H151" i="1"/>
  <c r="G151" i="1"/>
  <c r="I151" i="1" s="1"/>
  <c r="J151" i="1" s="1"/>
  <c r="H150" i="1"/>
  <c r="G150" i="1"/>
  <c r="I150" i="1" s="1"/>
  <c r="J150" i="1" s="1"/>
  <c r="H149" i="1"/>
  <c r="I149" i="1" s="1"/>
  <c r="J149" i="1" s="1"/>
  <c r="G149" i="1"/>
  <c r="H148" i="1"/>
  <c r="G148" i="1"/>
  <c r="I148" i="1" s="1"/>
  <c r="J148" i="1" s="1"/>
  <c r="H147" i="1"/>
  <c r="G147" i="1"/>
  <c r="I147" i="1" s="1"/>
  <c r="J147" i="1" s="1"/>
  <c r="H146" i="1"/>
  <c r="G146" i="1"/>
  <c r="I146" i="1" s="1"/>
  <c r="J146" i="1" s="1"/>
  <c r="H145" i="1"/>
  <c r="G145" i="1"/>
  <c r="I145" i="1" s="1"/>
  <c r="J145" i="1" s="1"/>
  <c r="H144" i="1"/>
  <c r="G144" i="1"/>
  <c r="I144" i="1" s="1"/>
  <c r="J144" i="1" s="1"/>
  <c r="H143" i="1"/>
  <c r="G143" i="1"/>
  <c r="I143" i="1" s="1"/>
  <c r="J143" i="1" s="1"/>
  <c r="H142" i="1"/>
  <c r="G142" i="1"/>
  <c r="I142" i="1" s="1"/>
  <c r="J142" i="1" s="1"/>
  <c r="H141" i="1"/>
  <c r="G141" i="1"/>
  <c r="I141" i="1" s="1"/>
  <c r="J141" i="1" s="1"/>
  <c r="H140" i="1"/>
  <c r="G140" i="1"/>
  <c r="I140" i="1" s="1"/>
  <c r="J140" i="1" s="1"/>
  <c r="I139" i="1"/>
  <c r="J139" i="1" s="1"/>
  <c r="H139" i="1"/>
  <c r="G139" i="1"/>
  <c r="H138" i="1"/>
  <c r="G138" i="1"/>
  <c r="I138" i="1" s="1"/>
  <c r="J138" i="1" s="1"/>
  <c r="H137" i="1"/>
  <c r="G137" i="1"/>
  <c r="I137" i="1" s="1"/>
  <c r="J137" i="1" s="1"/>
  <c r="H136" i="1"/>
  <c r="G136" i="1"/>
  <c r="I136" i="1" s="1"/>
  <c r="J136" i="1" s="1"/>
  <c r="H135" i="1"/>
  <c r="G135" i="1"/>
  <c r="I135" i="1" s="1"/>
  <c r="J135" i="1" s="1"/>
  <c r="H134" i="1"/>
  <c r="G134" i="1"/>
  <c r="I134" i="1" s="1"/>
  <c r="J134" i="1" s="1"/>
  <c r="H133" i="1"/>
  <c r="I133" i="1" s="1"/>
  <c r="J133" i="1" s="1"/>
  <c r="G133" i="1"/>
  <c r="H132" i="1"/>
  <c r="G132" i="1"/>
  <c r="I132" i="1" s="1"/>
  <c r="J132" i="1" s="1"/>
  <c r="H131" i="1"/>
  <c r="G131" i="1"/>
  <c r="I131" i="1" s="1"/>
  <c r="J131" i="1" s="1"/>
  <c r="H130" i="1"/>
  <c r="G130" i="1"/>
  <c r="I130" i="1" s="1"/>
  <c r="J130" i="1" s="1"/>
  <c r="H129" i="1"/>
  <c r="G129" i="1"/>
  <c r="I129" i="1" s="1"/>
  <c r="J129" i="1" s="1"/>
  <c r="H128" i="1"/>
  <c r="G128" i="1"/>
  <c r="I128" i="1" s="1"/>
  <c r="J128" i="1" s="1"/>
  <c r="J127" i="1"/>
  <c r="I127" i="1"/>
  <c r="H127" i="1"/>
  <c r="G127" i="1"/>
  <c r="H126" i="1"/>
  <c r="G126" i="1"/>
  <c r="I126" i="1" s="1"/>
  <c r="J126" i="1" s="1"/>
  <c r="H125" i="1"/>
  <c r="I125" i="1" s="1"/>
  <c r="J125" i="1" s="1"/>
  <c r="G125" i="1"/>
  <c r="H124" i="1"/>
  <c r="G124" i="1"/>
  <c r="I124" i="1" s="1"/>
  <c r="J124" i="1" s="1"/>
  <c r="H123" i="1"/>
  <c r="G123" i="1"/>
  <c r="I123" i="1" s="1"/>
  <c r="J123" i="1" s="1"/>
  <c r="H122" i="1"/>
  <c r="G122" i="1"/>
  <c r="I122" i="1" s="1"/>
  <c r="J122" i="1" s="1"/>
  <c r="H121" i="1"/>
  <c r="G121" i="1"/>
  <c r="I121" i="1" s="1"/>
  <c r="J121" i="1" s="1"/>
  <c r="H120" i="1"/>
  <c r="G120" i="1"/>
  <c r="I120" i="1" s="1"/>
  <c r="J120" i="1" s="1"/>
  <c r="J119" i="1"/>
  <c r="I119" i="1"/>
  <c r="H119" i="1"/>
  <c r="G119" i="1"/>
  <c r="H118" i="1"/>
  <c r="G118" i="1"/>
  <c r="I118" i="1" s="1"/>
  <c r="J118" i="1" s="1"/>
  <c r="H117" i="1"/>
  <c r="I117" i="1" s="1"/>
  <c r="J117" i="1" s="1"/>
  <c r="G117" i="1"/>
  <c r="H116" i="1"/>
  <c r="G116" i="1"/>
  <c r="I116" i="1" s="1"/>
  <c r="J116" i="1" s="1"/>
  <c r="H115" i="1"/>
  <c r="G115" i="1"/>
  <c r="I115" i="1" s="1"/>
  <c r="J115" i="1" s="1"/>
  <c r="H114" i="1"/>
  <c r="G114" i="1"/>
  <c r="I114" i="1" s="1"/>
  <c r="J114" i="1" s="1"/>
  <c r="H113" i="1"/>
  <c r="G113" i="1"/>
  <c r="I113" i="1" s="1"/>
  <c r="J113" i="1" s="1"/>
  <c r="H112" i="1"/>
  <c r="G112" i="1"/>
  <c r="I112" i="1" s="1"/>
  <c r="J112" i="1" s="1"/>
  <c r="J111" i="1"/>
  <c r="I111" i="1"/>
  <c r="H111" i="1"/>
  <c r="G111" i="1"/>
  <c r="H110" i="1"/>
  <c r="G110" i="1"/>
  <c r="I110" i="1" s="1"/>
  <c r="J110" i="1" s="1"/>
  <c r="H109" i="1"/>
  <c r="I109" i="1" s="1"/>
  <c r="J109" i="1" s="1"/>
  <c r="G109" i="1"/>
  <c r="H108" i="1"/>
  <c r="G108" i="1"/>
  <c r="I108" i="1" s="1"/>
  <c r="J108" i="1" s="1"/>
  <c r="H107" i="1"/>
  <c r="G107" i="1"/>
  <c r="I107" i="1" s="1"/>
  <c r="J107" i="1" s="1"/>
  <c r="H106" i="1"/>
  <c r="G106" i="1"/>
  <c r="I106" i="1" s="1"/>
  <c r="J106" i="1" s="1"/>
  <c r="H105" i="1"/>
  <c r="G105" i="1"/>
  <c r="I105" i="1" s="1"/>
  <c r="J105" i="1" s="1"/>
  <c r="H104" i="1"/>
  <c r="G104" i="1"/>
  <c r="I104" i="1" s="1"/>
  <c r="J104" i="1" s="1"/>
  <c r="J103" i="1"/>
  <c r="I103" i="1"/>
  <c r="H103" i="1"/>
  <c r="G103" i="1"/>
  <c r="H102" i="1"/>
  <c r="G102" i="1"/>
  <c r="H101" i="1"/>
  <c r="I101" i="1" s="1"/>
  <c r="J101" i="1" s="1"/>
  <c r="G101" i="1"/>
  <c r="H100" i="1"/>
  <c r="G100" i="1"/>
  <c r="I100" i="1" s="1"/>
  <c r="J100" i="1" s="1"/>
  <c r="H99" i="1"/>
  <c r="G99" i="1"/>
  <c r="I99" i="1" s="1"/>
  <c r="J99" i="1" s="1"/>
  <c r="H98" i="1"/>
  <c r="G98" i="1"/>
  <c r="H97" i="1"/>
  <c r="G97" i="1"/>
  <c r="I97" i="1" s="1"/>
  <c r="J97" i="1" s="1"/>
  <c r="H96" i="1"/>
  <c r="G96" i="1"/>
  <c r="I96" i="1" s="1"/>
  <c r="J96" i="1" s="1"/>
  <c r="J95" i="1"/>
  <c r="I95" i="1"/>
  <c r="H95" i="1"/>
  <c r="G95" i="1"/>
  <c r="H94" i="1"/>
  <c r="G94" i="1"/>
  <c r="H93" i="1"/>
  <c r="I93" i="1" s="1"/>
  <c r="J93" i="1" s="1"/>
  <c r="G93" i="1"/>
  <c r="H92" i="1"/>
  <c r="G92" i="1"/>
  <c r="I92" i="1" s="1"/>
  <c r="J92" i="1" s="1"/>
  <c r="H91" i="1"/>
  <c r="G91" i="1"/>
  <c r="I91" i="1" s="1"/>
  <c r="J91" i="1" s="1"/>
  <c r="H90" i="1"/>
  <c r="G90" i="1"/>
  <c r="H89" i="1"/>
  <c r="G89" i="1"/>
  <c r="I89" i="1" s="1"/>
  <c r="J89" i="1" s="1"/>
  <c r="H88" i="1"/>
  <c r="G88" i="1"/>
  <c r="I88" i="1" s="1"/>
  <c r="J88" i="1" s="1"/>
  <c r="H87" i="1"/>
  <c r="G87" i="1"/>
  <c r="I87" i="1" s="1"/>
  <c r="J87" i="1" s="1"/>
  <c r="H86" i="1"/>
  <c r="G86" i="1"/>
  <c r="I86" i="1" s="1"/>
  <c r="J86" i="1" s="1"/>
  <c r="J85" i="1"/>
  <c r="I85" i="1"/>
  <c r="H85" i="1"/>
  <c r="G85" i="1"/>
  <c r="H84" i="1"/>
  <c r="G84" i="1"/>
  <c r="I84" i="1" s="1"/>
  <c r="J84" i="1" s="1"/>
  <c r="I83" i="1"/>
  <c r="J83" i="1" s="1"/>
  <c r="H83" i="1"/>
  <c r="G83" i="1"/>
  <c r="H82" i="1"/>
  <c r="G82" i="1"/>
  <c r="I82" i="1" s="1"/>
  <c r="J82" i="1" s="1"/>
  <c r="H81" i="1"/>
  <c r="I81" i="1" s="1"/>
  <c r="J81" i="1" s="1"/>
  <c r="G81" i="1"/>
  <c r="H80" i="1"/>
  <c r="G80" i="1"/>
  <c r="I80" i="1" s="1"/>
  <c r="J80" i="1" s="1"/>
  <c r="H79" i="1"/>
  <c r="G79" i="1"/>
  <c r="I79" i="1" s="1"/>
  <c r="J79" i="1" s="1"/>
  <c r="I78" i="1"/>
  <c r="J78" i="1" s="1"/>
  <c r="H78" i="1"/>
  <c r="G78" i="1"/>
  <c r="H77" i="1"/>
  <c r="G77" i="1"/>
  <c r="I77" i="1" s="1"/>
  <c r="J77" i="1" s="1"/>
  <c r="I76" i="1"/>
  <c r="J76" i="1" s="1"/>
  <c r="H76" i="1"/>
  <c r="G76" i="1"/>
  <c r="H75" i="1"/>
  <c r="G75" i="1"/>
  <c r="I75" i="1" s="1"/>
  <c r="J75" i="1" s="1"/>
  <c r="H74" i="1"/>
  <c r="I74" i="1" s="1"/>
  <c r="J74" i="1" s="1"/>
  <c r="G74" i="1"/>
  <c r="H73" i="1"/>
  <c r="G73" i="1"/>
  <c r="I73" i="1" s="1"/>
  <c r="J73" i="1" s="1"/>
  <c r="H72" i="1"/>
  <c r="G72" i="1"/>
  <c r="I72" i="1" s="1"/>
  <c r="J72" i="1" s="1"/>
  <c r="H71" i="1"/>
  <c r="G71" i="1"/>
  <c r="I71" i="1" s="1"/>
  <c r="J71" i="1" s="1"/>
  <c r="H70" i="1"/>
  <c r="G70" i="1"/>
  <c r="I70" i="1" s="1"/>
  <c r="J70" i="1" s="1"/>
  <c r="J69" i="1"/>
  <c r="I69" i="1"/>
  <c r="H69" i="1"/>
  <c r="G69" i="1"/>
  <c r="H68" i="1"/>
  <c r="G68" i="1"/>
  <c r="I68" i="1" s="1"/>
  <c r="J68" i="1" s="1"/>
  <c r="I67" i="1"/>
  <c r="J67" i="1" s="1"/>
  <c r="H67" i="1"/>
  <c r="G67" i="1"/>
  <c r="H66" i="1"/>
  <c r="G66" i="1"/>
  <c r="I66" i="1" s="1"/>
  <c r="J66" i="1" s="1"/>
  <c r="H65" i="1"/>
  <c r="I65" i="1" s="1"/>
  <c r="J65" i="1" s="1"/>
  <c r="G65" i="1"/>
  <c r="H64" i="1"/>
  <c r="G64" i="1"/>
  <c r="I64" i="1" s="1"/>
  <c r="J64" i="1" s="1"/>
  <c r="H63" i="1"/>
  <c r="G63" i="1"/>
  <c r="I63" i="1" s="1"/>
  <c r="J63" i="1" s="1"/>
  <c r="I62" i="1"/>
  <c r="J62" i="1" s="1"/>
  <c r="H62" i="1"/>
  <c r="G62" i="1"/>
  <c r="H61" i="1"/>
  <c r="G61" i="1"/>
  <c r="I61" i="1" s="1"/>
  <c r="J61" i="1" s="1"/>
  <c r="I60" i="1"/>
  <c r="J60" i="1" s="1"/>
  <c r="H60" i="1"/>
  <c r="G60" i="1"/>
  <c r="H59" i="1"/>
  <c r="G59" i="1"/>
  <c r="I59" i="1" s="1"/>
  <c r="J59" i="1" s="1"/>
  <c r="H58" i="1"/>
  <c r="I58" i="1" s="1"/>
  <c r="J58" i="1" s="1"/>
  <c r="G58" i="1"/>
  <c r="H57" i="1"/>
  <c r="G57" i="1"/>
  <c r="I57" i="1" s="1"/>
  <c r="J57" i="1" s="1"/>
  <c r="H56" i="1"/>
  <c r="G56" i="1"/>
  <c r="I56" i="1" s="1"/>
  <c r="J56" i="1" s="1"/>
  <c r="H55" i="1"/>
  <c r="G55" i="1"/>
  <c r="I55" i="1" s="1"/>
  <c r="J55" i="1" s="1"/>
  <c r="H54" i="1"/>
  <c r="G54" i="1"/>
  <c r="I54" i="1" s="1"/>
  <c r="J54" i="1" s="1"/>
  <c r="J53" i="1"/>
  <c r="I53" i="1"/>
  <c r="H53" i="1"/>
  <c r="G53" i="1"/>
  <c r="H52" i="1"/>
  <c r="G52" i="1"/>
  <c r="I52" i="1" s="1"/>
  <c r="J52" i="1" s="1"/>
  <c r="G223" i="1"/>
  <c r="I223" i="1" s="1"/>
  <c r="J223" i="1" s="1"/>
  <c r="H223" i="1"/>
  <c r="G224" i="1"/>
  <c r="H224" i="1"/>
  <c r="I224" i="1" s="1"/>
  <c r="J224" i="1" s="1"/>
  <c r="G225" i="1"/>
  <c r="I225" i="1" s="1"/>
  <c r="J225" i="1" s="1"/>
  <c r="H225" i="1"/>
  <c r="G226" i="1"/>
  <c r="H226" i="1"/>
  <c r="I226" i="1" s="1"/>
  <c r="J226" i="1" s="1"/>
  <c r="G227" i="1"/>
  <c r="I227" i="1" s="1"/>
  <c r="J227" i="1" s="1"/>
  <c r="H227" i="1"/>
  <c r="G228" i="1"/>
  <c r="H228" i="1"/>
  <c r="I228" i="1" s="1"/>
  <c r="J228" i="1" s="1"/>
  <c r="G229" i="1"/>
  <c r="I229" i="1" s="1"/>
  <c r="J229" i="1" s="1"/>
  <c r="H229" i="1"/>
  <c r="G230" i="1"/>
  <c r="H230" i="1"/>
  <c r="I230" i="1" s="1"/>
  <c r="J230" i="1" s="1"/>
  <c r="G231" i="1"/>
  <c r="I231" i="1" s="1"/>
  <c r="J231" i="1" s="1"/>
  <c r="H23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G51" i="1"/>
  <c r="I51" i="1" s="1"/>
  <c r="H51" i="1"/>
  <c r="F232" i="1"/>
  <c r="S232" i="1"/>
  <c r="O232" i="1"/>
  <c r="N232" i="1"/>
  <c r="M232" i="1"/>
  <c r="L232" i="1"/>
  <c r="K232" i="1"/>
  <c r="H37" i="1"/>
  <c r="G37" i="1"/>
  <c r="I37" i="1" s="1"/>
  <c r="H5" i="1"/>
  <c r="G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I39" i="1" s="1"/>
  <c r="H40" i="1"/>
  <c r="H41" i="1"/>
  <c r="H42" i="1"/>
  <c r="H43" i="1"/>
  <c r="H44" i="1"/>
  <c r="H45" i="1"/>
  <c r="H46" i="1"/>
  <c r="H47" i="1"/>
  <c r="H48" i="1"/>
  <c r="H49" i="1"/>
  <c r="H50" i="1"/>
  <c r="I25" i="1"/>
  <c r="H2" i="1"/>
  <c r="G3" i="1"/>
  <c r="G4" i="1"/>
  <c r="G6" i="1"/>
  <c r="G7" i="1"/>
  <c r="I7" i="1" s="1"/>
  <c r="G8" i="1"/>
  <c r="G9" i="1"/>
  <c r="G10" i="1"/>
  <c r="I10" i="1" s="1"/>
  <c r="G11" i="1"/>
  <c r="G12" i="1"/>
  <c r="G13" i="1"/>
  <c r="G14" i="1"/>
  <c r="G15" i="1"/>
  <c r="G16" i="1"/>
  <c r="G17" i="1"/>
  <c r="G18" i="1"/>
  <c r="I18" i="1" s="1"/>
  <c r="G19" i="1"/>
  <c r="G20" i="1"/>
  <c r="G21" i="1"/>
  <c r="G22" i="1"/>
  <c r="G23" i="1"/>
  <c r="I23" i="1" s="1"/>
  <c r="G24" i="1"/>
  <c r="I24" i="1" s="1"/>
  <c r="G25" i="1"/>
  <c r="G26" i="1"/>
  <c r="I26" i="1" s="1"/>
  <c r="G27" i="1"/>
  <c r="G28" i="1"/>
  <c r="G29" i="1"/>
  <c r="G30" i="1"/>
  <c r="G31" i="1"/>
  <c r="I31" i="1" s="1"/>
  <c r="G32" i="1"/>
  <c r="I32" i="1" s="1"/>
  <c r="G33" i="1"/>
  <c r="I33" i="1" s="1"/>
  <c r="G34" i="1"/>
  <c r="G35" i="1"/>
  <c r="G36" i="1"/>
  <c r="G38" i="1"/>
  <c r="G39" i="1"/>
  <c r="G40" i="1"/>
  <c r="G41" i="1"/>
  <c r="G42" i="1"/>
  <c r="G43" i="1"/>
  <c r="I43" i="1" s="1"/>
  <c r="G44" i="1"/>
  <c r="G45" i="1"/>
  <c r="G46" i="1"/>
  <c r="G47" i="1"/>
  <c r="G48" i="1"/>
  <c r="I48" i="1" s="1"/>
  <c r="G49" i="1"/>
  <c r="G50" i="1"/>
  <c r="G2" i="1"/>
  <c r="I8" i="1"/>
  <c r="I12" i="1"/>
  <c r="I15" i="1"/>
  <c r="I40" i="1"/>
  <c r="I94" i="1" l="1"/>
  <c r="J94" i="1" s="1"/>
  <c r="I102" i="1"/>
  <c r="J102" i="1" s="1"/>
  <c r="I90" i="1"/>
  <c r="J90" i="1" s="1"/>
  <c r="I98" i="1"/>
  <c r="J98" i="1" s="1"/>
  <c r="I36" i="1"/>
  <c r="I3" i="1"/>
  <c r="I5" i="1"/>
  <c r="I20" i="1"/>
  <c r="I6" i="1"/>
  <c r="I49" i="1"/>
  <c r="I41" i="1"/>
  <c r="I16" i="1"/>
  <c r="I45" i="1"/>
  <c r="I28" i="1"/>
  <c r="I34" i="1"/>
  <c r="I22" i="1"/>
  <c r="I46" i="1"/>
  <c r="I38" i="1"/>
  <c r="I29" i="1"/>
  <c r="I21" i="1"/>
  <c r="I13" i="1"/>
  <c r="I4" i="1"/>
  <c r="H232" i="1"/>
  <c r="I42" i="1"/>
  <c r="I17" i="1"/>
  <c r="I47" i="1"/>
  <c r="I30" i="1"/>
  <c r="I14" i="1"/>
  <c r="I11" i="1"/>
  <c r="I50" i="1"/>
  <c r="I9" i="1"/>
  <c r="I35" i="1"/>
  <c r="I44" i="1"/>
  <c r="I27" i="1"/>
  <c r="I19" i="1"/>
  <c r="G232" i="1"/>
  <c r="G233" i="1" s="1"/>
  <c r="I2" i="1"/>
  <c r="I232" i="1" l="1"/>
  <c r="J232" i="1" s="1"/>
</calcChain>
</file>

<file path=xl/sharedStrings.xml><?xml version="1.0" encoding="utf-8"?>
<sst xmlns="http://schemas.openxmlformats.org/spreadsheetml/2006/main" count="252" uniqueCount="250">
  <si>
    <t>&gt; Sub-Department</t>
  </si>
  <si>
    <t>Product Code</t>
  </si>
  <si>
    <t>Product Description</t>
  </si>
  <si>
    <t>SP</t>
  </si>
  <si>
    <t>List Cost</t>
  </si>
  <si>
    <t>Sales incl. VAT</t>
  </si>
  <si>
    <t>Sales excl. VAT</t>
  </si>
  <si>
    <t>Sales at CP</t>
  </si>
  <si>
    <t>Sales Quantity</t>
  </si>
  <si>
    <t>Gross Profit</t>
  </si>
  <si>
    <t>Ø SP (Incl. VAT)</t>
  </si>
  <si>
    <t>Ø SP (Excl. VAT)</t>
  </si>
  <si>
    <t>Ø CP</t>
  </si>
  <si>
    <t>GP %</t>
  </si>
  <si>
    <t>WHITE BREAD STD</t>
  </si>
  <si>
    <t>HOTDOG ROLLS 6'S</t>
  </si>
  <si>
    <t>BROWN BREAD STD</t>
  </si>
  <si>
    <t>OUMA BROOD</t>
  </si>
  <si>
    <t>HAMBURGER BUNS 6'S</t>
  </si>
  <si>
    <t>FOCACCIA  CHICKEN MAYO</t>
  </si>
  <si>
    <t>FOCACCIA</t>
  </si>
  <si>
    <t>HOTDOG ROLLS BULK</t>
  </si>
  <si>
    <t>WHITE BREAD DOUGH</t>
  </si>
  <si>
    <t>TOMATO,ONION &amp; CHEESE SQUARE</t>
  </si>
  <si>
    <t>CHEESE &amp; GARLIC ROLLS 6'S</t>
  </si>
  <si>
    <t>BANANA BREAD</t>
  </si>
  <si>
    <t>MEDITERRANEAN SQUARE</t>
  </si>
  <si>
    <t>MINI OUMA BROOD</t>
  </si>
  <si>
    <t>GATSBY ROLL</t>
  </si>
  <si>
    <t>HAMBURGER BUNS BULK</t>
  </si>
  <si>
    <t>MOSBOLLE</t>
  </si>
  <si>
    <t>BANANA BREAD MINI</t>
  </si>
  <si>
    <t>FRENCH LOAF</t>
  </si>
  <si>
    <t>WHITE BREAD STD BULK</t>
  </si>
  <si>
    <t>CUSTARD DELIGHT</t>
  </si>
  <si>
    <t>MINI LOAF</t>
  </si>
  <si>
    <t>BULK C/TAIL BUNS</t>
  </si>
  <si>
    <t>OUPA BROOD</t>
  </si>
  <si>
    <t>MEATY SQUARE</t>
  </si>
  <si>
    <t>CHEESE BUNS</t>
  </si>
  <si>
    <t>DUMPIE WHITE BREAD</t>
  </si>
  <si>
    <t xml:space="preserve"> MINI GATSBY</t>
  </si>
  <si>
    <t>BREAD SLICES</t>
  </si>
  <si>
    <t>ARTISAN FETA &amp; SPINACH LOAF</t>
  </si>
  <si>
    <t>ARTISAN CHEESE &amp; ONION BREAD</t>
  </si>
  <si>
    <t>FOCACCIA CHAKALAKA</t>
  </si>
  <si>
    <t>DUMPIE BROWN BREAD</t>
  </si>
  <si>
    <t>RAISIN BREAD</t>
  </si>
  <si>
    <t>JELLY CREAM TART SMALL</t>
  </si>
  <si>
    <t>MADEIRA LOAF</t>
  </si>
  <si>
    <t>BREAD CRUMBS</t>
  </si>
  <si>
    <t>PARTY WHEEL 30'S</t>
  </si>
  <si>
    <t>CHAKALAKA ROLL</t>
  </si>
  <si>
    <t>BRUINBROODDEEG</t>
  </si>
  <si>
    <t>SUITABLE FOR TOAST</t>
  </si>
  <si>
    <t>CINNAMON BUN 6'S</t>
  </si>
  <si>
    <t>CHEESE LOAF</t>
  </si>
  <si>
    <t>MADEIRA LOAF MINI</t>
  </si>
  <si>
    <t>JAM DOUGHNUT</t>
  </si>
  <si>
    <t>FOCACCIA SLICE</t>
  </si>
  <si>
    <t>SEEDED HAMBURGER ROLLS 6'S</t>
  </si>
  <si>
    <t>POTBREAD</t>
  </si>
  <si>
    <t>LARGE CRUNCHIE BISCUIT</t>
  </si>
  <si>
    <t>LEMON MEGANGUE TARTLETTE</t>
  </si>
  <si>
    <t>VETKOEK COCKTAIL</t>
  </si>
  <si>
    <t>BABY FOCACCIA</t>
  </si>
  <si>
    <t>PARTY WHEEL 15'S</t>
  </si>
  <si>
    <t>C/TAIL SEEDED BUNS</t>
  </si>
  <si>
    <t>SEEDED HOTDOG ROLLS 6'S</t>
  </si>
  <si>
    <t>BROWN HAMBURGER ROLLS 6'S</t>
  </si>
  <si>
    <t>SEEDED HAMBURGER ROLL</t>
  </si>
  <si>
    <t>PIZZA BOAT MEATY</t>
  </si>
  <si>
    <t>LARGE MELTING MOMENT BISCUIT</t>
  </si>
  <si>
    <t>SEED LOAF</t>
  </si>
  <si>
    <t>CRISPY ROLL</t>
  </si>
  <si>
    <t>CHAKALAKA BREAD</t>
  </si>
  <si>
    <t xml:space="preserve"> C/TAIL BUNS</t>
  </si>
  <si>
    <t>SAGO PUDDING</t>
  </si>
  <si>
    <t>DOUGHNUT IMITATION CREAM</t>
  </si>
  <si>
    <t>SMALL MALVA PUDDING</t>
  </si>
  <si>
    <t>MALVA PUDDING MED</t>
  </si>
  <si>
    <t>CARROT CAKE SLICE</t>
  </si>
  <si>
    <t>CARAMEL DOUGHNUT</t>
  </si>
  <si>
    <t>CAKE SLICE ASSORTED</t>
  </si>
  <si>
    <t>SLICE MILK TART</t>
  </si>
  <si>
    <t>MEDIUM MILKTART</t>
  </si>
  <si>
    <t>GANASH TOPPED  RING DOUGHNUT</t>
  </si>
  <si>
    <t>DOUGHNUT CUSTARD</t>
  </si>
  <si>
    <t>MADEIRA COCANUT SLICE</t>
  </si>
  <si>
    <t>DOUGHNUT RING C/TAIL</t>
  </si>
  <si>
    <t>DOUGHNUT IMITAT CREAM 2'S</t>
  </si>
  <si>
    <t>C/TAIL ECLAIR</t>
  </si>
  <si>
    <t>BEESTING ROLL</t>
  </si>
  <si>
    <t>ECLAIRS CARAMEL</t>
  </si>
  <si>
    <t>POEDING ASSORTED</t>
  </si>
  <si>
    <t>SCONES 6'S</t>
  </si>
  <si>
    <t>ASSORTED LARGE CUPCAKE</t>
  </si>
  <si>
    <t>LAMINGTON WITH IMMITATION CREAM</t>
  </si>
  <si>
    <t>GARLIC TWIST</t>
  </si>
  <si>
    <t>DOUGHNUT CINNAMON &amp; SUGAR 4S</t>
  </si>
  <si>
    <t>TEMPTING TREATS PLATTER</t>
  </si>
  <si>
    <t>CREAM HORN</t>
  </si>
  <si>
    <t>SCONES GEVUL</t>
  </si>
  <si>
    <t>CUSTARD BUNS 3'S</t>
  </si>
  <si>
    <t>SCONE 2'S</t>
  </si>
  <si>
    <t>SCHOOL BUN 8'S</t>
  </si>
  <si>
    <t>ASS DELIGHTS</t>
  </si>
  <si>
    <t>BACON AVO &amp; FETA PIZZA</t>
  </si>
  <si>
    <t>DOUGHNUT C/TAIL IMMITATION CREAM</t>
  </si>
  <si>
    <t>CROISSANT IMMATATION CREAM LARGE</t>
  </si>
  <si>
    <t xml:space="preserve"> CHOCOLATE SLICE</t>
  </si>
  <si>
    <t>DOUGHNUT C/TAIL C/MEL</t>
  </si>
  <si>
    <t>JELLY CREAM TART MEDIUM</t>
  </si>
  <si>
    <t>PEPPERMINT CRUSH CUP</t>
  </si>
  <si>
    <t>HERTZOGGIES</t>
  </si>
  <si>
    <t>MINI MUFFIN B/BERRY</t>
  </si>
  <si>
    <t>AP RED VELVET SLICE</t>
  </si>
  <si>
    <t>B COPENHAGEN</t>
  </si>
  <si>
    <t>C/TAIL-RING DOUGHNUT 3'S</t>
  </si>
  <si>
    <t>LEMINGTON C/TAIL IMMATATION CREAM</t>
  </si>
  <si>
    <t>YOGHURT &amp; MUESLI</t>
  </si>
  <si>
    <t>VANILLA SPONGE</t>
  </si>
  <si>
    <t>BREAD &amp; BUTTER PUDDING</t>
  </si>
  <si>
    <t>CHOCOLATE BREAD TWIST</t>
  </si>
  <si>
    <t>C/TAIL PEPPERMINT TERT</t>
  </si>
  <si>
    <t>SAVOURY ROLL</t>
  </si>
  <si>
    <t>B CHELSEA BUN</t>
  </si>
  <si>
    <t>MINI MUFFIN CAPPUCINO</t>
  </si>
  <si>
    <t>MALVA PUDDING FAMILY</t>
  </si>
  <si>
    <t>SWISS JAM ROLL</t>
  </si>
  <si>
    <t>ROCKY ROAD TREAT</t>
  </si>
  <si>
    <t>ROCK BUN 2'S</t>
  </si>
  <si>
    <t>MINI CUPCAKE VANILLA</t>
  </si>
  <si>
    <t>RED VELVET CAKE</t>
  </si>
  <si>
    <t>IMMITATION CREAMY BUNS 6'S</t>
  </si>
  <si>
    <t>MINI MUFFIN BRAN</t>
  </si>
  <si>
    <t>MINI MUFFIN CHOC CHIP</t>
  </si>
  <si>
    <t>CHOCOLATE SWISS ROLL</t>
  </si>
  <si>
    <t>C/T AILRING DOUGHNUT</t>
  </si>
  <si>
    <t>MINI MUFFIN BANANA</t>
  </si>
  <si>
    <t>DOUGHNUT COCONUT</t>
  </si>
  <si>
    <t>PEANUT BUTTER BARS</t>
  </si>
  <si>
    <t>MINI CUPCAKE CARAMEL</t>
  </si>
  <si>
    <t>JAM SWISS ROLL</t>
  </si>
  <si>
    <t>CUSTARD BUNS 6'S</t>
  </si>
  <si>
    <t>MINI MUFFIN CARROT</t>
  </si>
  <si>
    <t>FILLED C/TAIL DOUGHNUT</t>
  </si>
  <si>
    <t>COCANUT SLICE</t>
  </si>
  <si>
    <t>BLACK FOREST DANISH</t>
  </si>
  <si>
    <t>C/TAIL MILKTARTS 6'S</t>
  </si>
  <si>
    <t>LEMINGTON C/TAIL</t>
  </si>
  <si>
    <t>APPLE DANISH</t>
  </si>
  <si>
    <t>MINI MUFFIN LEM &amp; POPPY SEED</t>
  </si>
  <si>
    <t>MINI MUFFIN CARAMEL</t>
  </si>
  <si>
    <t>C/TAIL LEMON MERINGUE 6'S</t>
  </si>
  <si>
    <t xml:space="preserve"> BULK C/T RING DOUGHNUT</t>
  </si>
  <si>
    <t>MINI CUPCAKE CHOC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</si>
  <si>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</si>
  <si>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</si>
  <si>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</si>
  <si>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</si>
  <si>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</si>
  <si>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</si>
  <si>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</si>
  <si>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FRUIT TRIFLE</t>
  </si>
  <si>
    <t>YEAST</t>
  </si>
  <si>
    <t>COCONUT</t>
  </si>
  <si>
    <t>TOPPING BACON</t>
  </si>
  <si>
    <t>COCOA POWDER</t>
  </si>
  <si>
    <t>TOPPING SALAMI</t>
  </si>
  <si>
    <t>IMMATATION CREAM</t>
  </si>
  <si>
    <t>TOPPING CHEESE</t>
  </si>
  <si>
    <t>SADE : POPPY</t>
  </si>
  <si>
    <t>TOPPING HAM</t>
  </si>
  <si>
    <t>TOPPING PINEAPPLE</t>
  </si>
  <si>
    <t>SADE :SONNEBLOM</t>
  </si>
  <si>
    <t>TOPPING FETA</t>
  </si>
  <si>
    <t>TOPPING MUSHROOM</t>
  </si>
  <si>
    <t>TOPPING PEPPERDEW</t>
  </si>
  <si>
    <t>TOPPING BANANA</t>
  </si>
  <si>
    <t>TOPPING CHICKEN MAYO</t>
  </si>
  <si>
    <t>TOPPING GARLIC</t>
  </si>
  <si>
    <t>TOPPING GREEN PEPPER</t>
  </si>
  <si>
    <t>TOPPING OLIVES</t>
  </si>
  <si>
    <t>TOPPING AVO</t>
  </si>
  <si>
    <t>BAKING POWDER</t>
  </si>
  <si>
    <t>CHERRIES</t>
  </si>
  <si>
    <t>SADE :SESAME</t>
  </si>
  <si>
    <t>GINGER BISCUITS 500G</t>
  </si>
  <si>
    <t>BISCUIT COCNUT 500G</t>
  </si>
  <si>
    <t>BISCUIT GINGER 1KG</t>
  </si>
  <si>
    <t>BISCUIT COCONUT 1KG</t>
  </si>
  <si>
    <t>CHOC CHIP BISCUITS 500G</t>
  </si>
  <si>
    <t>BISCUIT CHOC CHIP 1KG</t>
  </si>
  <si>
    <t>BISCUIT KELLOGG 1KG</t>
  </si>
  <si>
    <t>BISCUITS 250G</t>
  </si>
  <si>
    <t>MARKDOWN GINGER BISCUITS 500G</t>
  </si>
  <si>
    <t>BAKERS MIX</t>
  </si>
  <si>
    <t>LUXURY COOKIES</t>
  </si>
  <si>
    <t>MELTING MOMENTS</t>
  </si>
  <si>
    <t>BREAKFAST ROLL</t>
  </si>
  <si>
    <t>GARLIC LOAF</t>
  </si>
  <si>
    <t>GARLIC BUNS 6'S</t>
  </si>
  <si>
    <t>GARLIC BUNS SINGLE</t>
  </si>
  <si>
    <t>SUNNYSEED BREAD</t>
  </si>
  <si>
    <t>MINI SWISSROLLS 5'S</t>
  </si>
  <si>
    <t>BEANTREE BISC CHOC</t>
  </si>
  <si>
    <t>GATUE CAKES</t>
  </si>
  <si>
    <t>PIEMANS MINI PIES ASSORTED</t>
  </si>
  <si>
    <t>HOT CROSS BUNS 6'S</t>
  </si>
  <si>
    <t>HOT CROSS BUN LOAF</t>
  </si>
  <si>
    <t xml:space="preserve"> JUMBO MUFFIN ALL BRAN</t>
  </si>
  <si>
    <t>HAWAIAN PIZZA</t>
  </si>
  <si>
    <t>PIZZA SLICE</t>
  </si>
  <si>
    <t>CHICKEN MUSHROOM &amp; PEPPERDEW PIZZA</t>
  </si>
  <si>
    <t>REGINA PIZZA</t>
  </si>
  <si>
    <t>SOUR DOUGH PIZZA SLICE</t>
  </si>
  <si>
    <t>FOUR SEASONS PIZZA</t>
  </si>
  <si>
    <t>MARGHERITA PIZZA</t>
  </si>
  <si>
    <t>SALAMI FETA &amp; OLIVE PIZZA</t>
  </si>
  <si>
    <t>VEGETARIAN PIZZA</t>
  </si>
  <si>
    <t>DESSERT TOPPING VANILLA CAKE</t>
  </si>
  <si>
    <t>BOX CAKE WITH ICING</t>
  </si>
  <si>
    <t>VERJAARSDAGKOEK GROOT</t>
  </si>
  <si>
    <t>BUDGET CAKE</t>
  </si>
  <si>
    <t>ROUND CAKE ASST.</t>
  </si>
  <si>
    <t>OREO  CAKE</t>
  </si>
  <si>
    <t>C/T MILKTARTLET</t>
  </si>
  <si>
    <t>YOGHURT TART</t>
  </si>
  <si>
    <t>CARROT CAKE</t>
  </si>
  <si>
    <t>LEMON MERAINGUE TART</t>
  </si>
  <si>
    <t>MINI CAKE</t>
  </si>
  <si>
    <t>MIST CHOC CAKE</t>
  </si>
  <si>
    <t>PEPPERMINT TERT</t>
  </si>
  <si>
    <t>BLACK FOREST CAKE</t>
  </si>
  <si>
    <t>CREMORA TART</t>
  </si>
  <si>
    <t>ALTAS MILKTART MEDIUM</t>
  </si>
  <si>
    <t>BULK BISCUITS 1KG</t>
  </si>
  <si>
    <t>BULK CHOC CHIP BISCUITS</t>
  </si>
  <si>
    <t>KELLOGGS BISCUIT 500G</t>
  </si>
  <si>
    <t xml:space="preserve"> CRUNCHIE BISCUITS 500G</t>
  </si>
  <si>
    <t xml:space="preserve"> CRUNCHIE BISCUITS 1KG</t>
  </si>
  <si>
    <t>BULK CRUNCHIE BISCUITS</t>
  </si>
  <si>
    <t>Total (Overall)</t>
  </si>
  <si>
    <t>Total prod</t>
  </si>
  <si>
    <t>Potential Sales</t>
  </si>
  <si>
    <t>Potential GP</t>
  </si>
  <si>
    <t>CP of potential sales</t>
  </si>
  <si>
    <t>Potential GP%</t>
  </si>
  <si>
    <t>Choc Eclairs?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</si>
</sst>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#,##0.00_ ;\-#,##0.00\ "/>
    <numFmt numFmtId="167" formatCode="#,##0_ ;\-#,##0\ "/>
  </numFmts>
  <fonts count="3" x14ac:knownFonts="1">
    <font>
      <sz val="9"/>
      <name val="MS Sans Serif"/>
    </font>
    <font>
      <sz val="9"/>
      <color indexed="10"/>
      <name val="MS Sans Serif"/>
    </font>
    <font>
      <sz val="9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0">
      <alignment vertical="top" wrapText="1"/>
      <protection locked="0"/>
    </xf>
    <xf numFmtId="43" fontId="2" fillId="0" borderId="0" applyFont="0" applyFill="0" applyBorder="0" applyAlignment="0" applyProtection="0">
      <alignment vertical="top" wrapText="1"/>
      <protection locked="0"/>
    </xf>
  </cellStyleXfs>
  <cellXfs count="32">
    <xf numFmtId="0" fontId="0" fillId="0" borderId="0" xfId="0" applyAlignment="1">
      <alignment vertical="top"/>
      <protection locked="0"/>
    </xf>
    <xf numFmtId="0" fontId="0" fillId="0" borderId="0" xfId="0" applyNumberFormat="1" applyAlignment="1">
      <alignment horizontal="left" vertical="top"/>
      <protection locked="0"/>
    </xf>
    <xf numFmtId="0" fontId="0" fillId="3" borderId="0" xfId="0" applyNumberFormat="1" applyFill="1" applyAlignment="1">
      <alignment horizontal="left" vertical="top" wrapText="1"/>
      <protection locked="0"/>
    </xf>
    <xf numFmtId="0" fontId="0" fillId="4" borderId="0" xfId="0" applyNumberFormat="1" applyFill="1" applyAlignment="1">
      <alignment horizontal="right" vertical="top"/>
      <protection locked="0"/>
    </xf>
    <xf numFmtId="0" fontId="0" fillId="4" borderId="0" xfId="0" applyNumberFormat="1" applyFill="1" applyAlignment="1">
      <alignment horizontal="left" vertical="top"/>
      <protection locked="0"/>
    </xf>
    <xf numFmtId="0" fontId="0" fillId="0" borderId="0" xfId="0" applyNumberFormat="1" applyFont="1" applyAlignment="1">
      <alignment horizontal="left" vertical="top"/>
      <protection locked="0"/>
    </xf>
    <xf numFmtId="4" fontId="0" fillId="4" borderId="0" xfId="0" applyNumberFormat="1" applyFill="1" applyAlignment="1">
      <alignment horizontal="right"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1" fillId="2" borderId="0" xfId="0" applyNumberFormat="1" applyFont="1" applyFill="1" applyAlignment="1">
      <alignment horizontal="right" vertical="top"/>
      <protection locked="0"/>
    </xf>
    <xf numFmtId="4" fontId="0" fillId="3" borderId="0" xfId="0" applyNumberFormat="1" applyFill="1" applyAlignment="1">
      <alignment horizontal="right" vertical="top" wrapText="1"/>
      <protection locked="0"/>
    </xf>
    <xf numFmtId="4" fontId="0" fillId="0" borderId="0" xfId="0" applyNumberFormat="1" applyAlignment="1">
      <alignment horizontal="right" vertical="top"/>
      <protection locked="0"/>
    </xf>
    <xf numFmtId="3" fontId="0" fillId="3" borderId="0" xfId="0" applyNumberFormat="1" applyFill="1" applyAlignment="1">
      <alignment horizontal="right" vertical="top" wrapText="1"/>
      <protection locked="0"/>
    </xf>
    <xf numFmtId="3" fontId="0" fillId="0" borderId="0" xfId="0" applyNumberFormat="1" applyFill="1" applyAlignment="1">
      <alignment horizontal="right" vertical="top"/>
      <protection locked="0"/>
    </xf>
    <xf numFmtId="3" fontId="0" fillId="0" borderId="0" xfId="0" applyNumberFormat="1" applyAlignment="1">
      <alignment horizontal="right" vertical="top"/>
      <protection locked="0"/>
    </xf>
    <xf numFmtId="166" fontId="0" fillId="3" borderId="0" xfId="1" applyNumberFormat="1" applyFont="1" applyFill="1" applyAlignment="1">
      <alignment horizontal="right" vertical="top" wrapText="1"/>
      <protection locked="0"/>
    </xf>
    <xf numFmtId="166" fontId="0" fillId="0" borderId="0" xfId="1" applyNumberFormat="1" applyFont="1" applyFill="1" applyAlignment="1">
      <alignment horizontal="right" vertical="top"/>
      <protection locked="0"/>
    </xf>
    <xf numFmtId="166" fontId="0" fillId="2" borderId="0" xfId="1" applyNumberFormat="1" applyFont="1" applyFill="1" applyAlignment="1">
      <alignment horizontal="right" vertical="top"/>
      <protection locked="0"/>
    </xf>
    <xf numFmtId="166" fontId="0" fillId="0" borderId="0" xfId="1" applyNumberFormat="1" applyFont="1" applyAlignment="1">
      <alignment horizontal="right" vertical="top"/>
      <protection locked="0"/>
    </xf>
    <xf numFmtId="10" fontId="0" fillId="0" borderId="0" xfId="1" applyNumberFormat="1" applyFont="1" applyFill="1" applyAlignment="1">
      <alignment horizontal="right" vertical="top"/>
      <protection locked="0"/>
    </xf>
    <xf numFmtId="0" fontId="0" fillId="5" borderId="0" xfId="0" applyNumberFormat="1" applyFill="1" applyAlignment="1">
      <alignment horizontal="right" vertical="top"/>
      <protection locked="0"/>
    </xf>
    <xf numFmtId="0" fontId="0" fillId="5" borderId="0" xfId="0" applyNumberFormat="1" applyFill="1" applyAlignment="1">
      <alignment horizontal="left" vertical="top"/>
      <protection locked="0"/>
    </xf>
    <xf numFmtId="4" fontId="0" fillId="5" borderId="0" xfId="0" applyNumberFormat="1" applyFill="1" applyAlignment="1">
      <alignment horizontal="right" vertical="top"/>
      <protection locked="0"/>
    </xf>
    <xf numFmtId="3" fontId="0" fillId="5" borderId="0" xfId="0" applyNumberFormat="1" applyFill="1" applyAlignment="1">
      <alignment horizontal="right" vertical="top"/>
      <protection locked="0"/>
    </xf>
    <xf numFmtId="166" fontId="0" fillId="5" borderId="0" xfId="1" applyNumberFormat="1" applyFont="1" applyFill="1" applyAlignment="1">
      <alignment horizontal="right" vertical="top"/>
      <protection locked="0"/>
    </xf>
    <xf numFmtId="10" fontId="0" fillId="5" borderId="0" xfId="1" applyNumberFormat="1" applyFont="1" applyFill="1" applyAlignment="1">
      <alignment horizontal="right" vertical="top"/>
      <protection locked="0"/>
    </xf>
    <xf numFmtId="4" fontId="1" fillId="5" borderId="0" xfId="0" applyNumberFormat="1" applyFont="1" applyFill="1" applyAlignment="1">
      <alignment horizontal="right" vertical="top"/>
      <protection locked="0"/>
    </xf>
    <xf numFmtId="166" fontId="0" fillId="6" borderId="0" xfId="1" applyNumberFormat="1" applyFont="1" applyFill="1" applyAlignment="1">
      <alignment horizontal="right" vertical="top"/>
      <protection locked="0"/>
    </xf>
    <xf numFmtId="10" fontId="0" fillId="6" borderId="0" xfId="1" applyNumberFormat="1" applyFont="1" applyFill="1" applyAlignment="1">
      <alignment horizontal="right" vertical="top"/>
      <protection locked="0"/>
    </xf>
    <xf numFmtId="0" fontId="0" fillId="6" borderId="0" xfId="0" applyNumberFormat="1" applyFill="1" applyAlignment="1">
      <alignment horizontal="left" vertical="top"/>
      <protection locked="0"/>
    </xf>
    <xf numFmtId="4" fontId="0" fillId="6" borderId="0" xfId="0" applyNumberFormat="1" applyFill="1" applyAlignment="1">
      <alignment horizontal="right" vertical="top"/>
      <protection locked="0"/>
    </xf>
    <xf numFmtId="4" fontId="0" fillId="2" borderId="0" xfId="0" applyNumberFormat="1" applyFont="1" applyFill="1" applyAlignment="1">
      <alignment horizontal="right" vertical="top"/>
      <protection locked="0"/>
    </xf>
    <xf numFmtId="167" fontId="0" fillId="6" borderId="0" xfId="1" applyNumberFormat="1" applyFont="1" applyFill="1" applyAlignment="1">
      <alignment horizontal="right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0220-4E39-479B-8678-BD4806458EA7}">
  <dimension ref="A1:S235"/>
  <sheetViews>
    <sheetView tabSelected="1" workbookViewId="0">
      <pane ySplit="1" topLeftCell="A2" activePane="bottomLeft" state="frozen"/>
      <selection pane="bottomLeft" activeCell="T219" sqref="T219"/>
    </sheetView>
  </sheetViews>
  <sheetFormatPr defaultColWidth="10.69921875" defaultRowHeight="16.5" customHeight="1" x14ac:dyDescent="0.35"/>
  <cols>
    <col min="1" max="1" width="6.796875" style="1" customWidth="1"/>
    <col min="2" max="2" width="9.796875" style="1" customWidth="1"/>
    <col min="3" max="3" width="28.19921875" style="1" customWidth="1"/>
    <col min="4" max="5" width="8.19921875" style="10" customWidth="1"/>
    <col min="6" max="6" width="8.19921875" style="13" customWidth="1"/>
    <col min="7" max="10" width="10.09765625" style="17" customWidth="1"/>
    <col min="11" max="19" width="12.69921875" style="10" hidden="1" customWidth="1"/>
    <col min="20" max="16384" width="10.69921875" style="5"/>
  </cols>
  <sheetData>
    <row r="1" spans="1:19" s="1" customFormat="1" ht="47" customHeight="1" x14ac:dyDescent="0.35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11" t="s">
        <v>244</v>
      </c>
      <c r="G1" s="14" t="s">
        <v>245</v>
      </c>
      <c r="H1" s="14" t="s">
        <v>247</v>
      </c>
      <c r="I1" s="14" t="s">
        <v>246</v>
      </c>
      <c r="J1" s="14" t="s">
        <v>248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</row>
    <row r="2" spans="1:19" s="1" customFormat="1" ht="16.5" customHeight="1" x14ac:dyDescent="0.35">
      <c r="A2" s="19">
        <v>101</v>
      </c>
      <c r="B2" s="19">
        <v>59381</v>
      </c>
      <c r="C2" s="20" t="s">
        <v>14</v>
      </c>
      <c r="D2" s="21">
        <v>13.99</v>
      </c>
      <c r="E2" s="21">
        <v>7.36</v>
      </c>
      <c r="F2" s="22">
        <v>780</v>
      </c>
      <c r="G2" s="23">
        <f>F2*D2</f>
        <v>10912.2</v>
      </c>
      <c r="H2" s="23">
        <f>E2*F2</f>
        <v>5740.8</v>
      </c>
      <c r="I2" s="23">
        <f>G2-H2</f>
        <v>5171.4000000000005</v>
      </c>
      <c r="J2" s="24">
        <f t="shared" ref="J2:J49" si="0">IFERROR(I2/G2,0)</f>
        <v>0.47390993566833456</v>
      </c>
      <c r="K2" s="7">
        <v>454440.52</v>
      </c>
      <c r="L2" s="7">
        <v>395165.66956521739</v>
      </c>
      <c r="M2" s="7">
        <v>239885.73999999996</v>
      </c>
      <c r="N2" s="7">
        <v>35200</v>
      </c>
      <c r="O2" s="7">
        <v>155279.92956521743</v>
      </c>
      <c r="P2" s="7">
        <v>12.910242045454545</v>
      </c>
      <c r="Q2" s="7">
        <v>11.226297430830039</v>
      </c>
      <c r="R2" s="7">
        <v>6.8149357954545442</v>
      </c>
      <c r="S2" s="7">
        <v>39.294893641966624</v>
      </c>
    </row>
    <row r="3" spans="1:19" s="1" customFormat="1" ht="16.5" customHeight="1" x14ac:dyDescent="0.35">
      <c r="A3" s="19">
        <v>101</v>
      </c>
      <c r="B3" s="19">
        <v>34119</v>
      </c>
      <c r="C3" s="20" t="s">
        <v>29</v>
      </c>
      <c r="D3" s="21">
        <v>3.3</v>
      </c>
      <c r="E3" s="21">
        <v>1.85</v>
      </c>
      <c r="F3" s="22">
        <v>700</v>
      </c>
      <c r="G3" s="23">
        <f>F3*D3</f>
        <v>2310</v>
      </c>
      <c r="H3" s="23">
        <f>E3*F3</f>
        <v>1295</v>
      </c>
      <c r="I3" s="23">
        <f>G3-H3</f>
        <v>1015</v>
      </c>
      <c r="J3" s="24">
        <f t="shared" si="0"/>
        <v>0.43939393939393939</v>
      </c>
      <c r="K3" s="7">
        <v>19817.16</v>
      </c>
      <c r="L3" s="7">
        <v>17232.313043478262</v>
      </c>
      <c r="M3" s="7">
        <v>11157.35</v>
      </c>
      <c r="N3" s="7">
        <v>6031</v>
      </c>
      <c r="O3" s="7">
        <v>6074.9630434782612</v>
      </c>
      <c r="P3" s="7">
        <v>3.2858829381528767</v>
      </c>
      <c r="Q3" s="7">
        <v>2.8572895114372843</v>
      </c>
      <c r="R3" s="7">
        <v>1.85</v>
      </c>
      <c r="S3" s="7">
        <v>35.25332338236155</v>
      </c>
    </row>
    <row r="4" spans="1:19" s="1" customFormat="1" ht="16.5" customHeight="1" x14ac:dyDescent="0.35">
      <c r="A4" s="19">
        <v>101</v>
      </c>
      <c r="B4" s="19">
        <v>34121</v>
      </c>
      <c r="C4" s="20" t="s">
        <v>21</v>
      </c>
      <c r="D4" s="21">
        <v>3.3</v>
      </c>
      <c r="E4" s="21">
        <v>1.85</v>
      </c>
      <c r="F4" s="22">
        <v>628</v>
      </c>
      <c r="G4" s="23">
        <f>F4*D4</f>
        <v>2072.4</v>
      </c>
      <c r="H4" s="23">
        <f>E4*F4</f>
        <v>1161.8</v>
      </c>
      <c r="I4" s="23">
        <f>G4-H4</f>
        <v>910.60000000000014</v>
      </c>
      <c r="J4" s="24">
        <f t="shared" si="0"/>
        <v>0.43939393939393945</v>
      </c>
      <c r="K4" s="7">
        <v>54060.76</v>
      </c>
      <c r="L4" s="7">
        <v>47009.35652173913</v>
      </c>
      <c r="M4" s="7">
        <v>30950.5</v>
      </c>
      <c r="N4" s="7">
        <v>16730</v>
      </c>
      <c r="O4" s="7">
        <v>16058.85652173913</v>
      </c>
      <c r="P4" s="7">
        <v>3.2313664076509268</v>
      </c>
      <c r="Q4" s="7">
        <v>2.8098838327399358</v>
      </c>
      <c r="R4" s="7">
        <v>1.85</v>
      </c>
      <c r="S4" s="7">
        <v>34.160979238915615</v>
      </c>
    </row>
    <row r="5" spans="1:19" s="1" customFormat="1" ht="16.5" customHeight="1" x14ac:dyDescent="0.35">
      <c r="A5" s="19">
        <v>101</v>
      </c>
      <c r="B5" s="19">
        <v>34092</v>
      </c>
      <c r="C5" s="20" t="s">
        <v>39</v>
      </c>
      <c r="D5" s="21">
        <v>4.99</v>
      </c>
      <c r="E5" s="21">
        <v>2.52</v>
      </c>
      <c r="F5" s="22">
        <v>390</v>
      </c>
      <c r="G5" s="23">
        <f>F5*D5</f>
        <v>1946.1000000000001</v>
      </c>
      <c r="H5" s="23">
        <f>E5*F5</f>
        <v>982.8</v>
      </c>
      <c r="I5" s="23">
        <f>G5-H5</f>
        <v>963.30000000000018</v>
      </c>
      <c r="J5" s="24">
        <f t="shared" si="0"/>
        <v>0.49498997995991989</v>
      </c>
      <c r="K5" s="7">
        <v>9639.1500000000033</v>
      </c>
      <c r="L5" s="7">
        <v>8381.8695652173938</v>
      </c>
      <c r="M5" s="7">
        <v>4876.2</v>
      </c>
      <c r="N5" s="7">
        <v>1935</v>
      </c>
      <c r="O5" s="7">
        <v>3505.6695652173939</v>
      </c>
      <c r="P5" s="7">
        <v>4.9814728682170557</v>
      </c>
      <c r="Q5" s="7">
        <v>4.331715537580048</v>
      </c>
      <c r="R5" s="7">
        <v>2.52</v>
      </c>
      <c r="S5" s="7">
        <v>41.824434727128448</v>
      </c>
    </row>
    <row r="6" spans="1:19" s="1" customFormat="1" ht="16.5" customHeight="1" x14ac:dyDescent="0.35">
      <c r="A6" s="19">
        <v>101</v>
      </c>
      <c r="B6" s="19">
        <v>59425</v>
      </c>
      <c r="C6" s="20" t="s">
        <v>16</v>
      </c>
      <c r="D6" s="21">
        <v>10.99</v>
      </c>
      <c r="E6" s="21">
        <v>6.3</v>
      </c>
      <c r="F6" s="22">
        <v>240</v>
      </c>
      <c r="G6" s="23">
        <f>F6*D6</f>
        <v>2637.6</v>
      </c>
      <c r="H6" s="23">
        <f>E6*F6</f>
        <v>1512</v>
      </c>
      <c r="I6" s="23">
        <f>G6-H6</f>
        <v>1125.5999999999999</v>
      </c>
      <c r="J6" s="24">
        <f t="shared" si="0"/>
        <v>0.42675159235668786</v>
      </c>
      <c r="K6" s="7">
        <v>106203.17000000001</v>
      </c>
      <c r="L6" s="7">
        <v>106203.17000000001</v>
      </c>
      <c r="M6" s="7">
        <v>62059.759999999987</v>
      </c>
      <c r="N6" s="7">
        <v>9844</v>
      </c>
      <c r="O6" s="7">
        <v>44143.41000000004</v>
      </c>
      <c r="P6" s="7">
        <v>10.788619463632671</v>
      </c>
      <c r="Q6" s="7">
        <v>10.788619463632671</v>
      </c>
      <c r="R6" s="7">
        <v>6.3043234457537576</v>
      </c>
      <c r="S6" s="7">
        <v>41.565058745421659</v>
      </c>
    </row>
    <row r="7" spans="1:19" s="1" customFormat="1" ht="16.5" customHeight="1" x14ac:dyDescent="0.35">
      <c r="A7" s="3">
        <v>102</v>
      </c>
      <c r="B7" s="3">
        <v>52943</v>
      </c>
      <c r="C7" s="4" t="s">
        <v>77</v>
      </c>
      <c r="D7" s="6">
        <v>31.99</v>
      </c>
      <c r="E7" s="6">
        <v>15.17</v>
      </c>
      <c r="F7" s="12">
        <v>213</v>
      </c>
      <c r="G7" s="15">
        <f>F7*D7</f>
        <v>6813.87</v>
      </c>
      <c r="H7" s="15">
        <f>E7*F7</f>
        <v>3231.21</v>
      </c>
      <c r="I7" s="15">
        <f>G7-H7</f>
        <v>3582.66</v>
      </c>
      <c r="J7" s="18">
        <f t="shared" si="0"/>
        <v>0.52578930915911226</v>
      </c>
      <c r="K7" s="7">
        <v>95456.190000000017</v>
      </c>
      <c r="L7" s="7">
        <v>83005.382608695669</v>
      </c>
      <c r="M7" s="7">
        <v>45238.604040000006</v>
      </c>
      <c r="N7" s="7">
        <v>2985.3040000000001</v>
      </c>
      <c r="O7" s="7">
        <v>37766.778568695663</v>
      </c>
      <c r="P7" s="7">
        <v>31.975366662825632</v>
      </c>
      <c r="Q7" s="7">
        <v>27.804666663326639</v>
      </c>
      <c r="R7" s="7">
        <v>15.153767937871656</v>
      </c>
      <c r="S7" s="7">
        <v>45.499192199060118</v>
      </c>
    </row>
    <row r="8" spans="1:19" s="1" customFormat="1" ht="16.5" customHeight="1" x14ac:dyDescent="0.35">
      <c r="A8" s="19">
        <v>101</v>
      </c>
      <c r="B8" s="19">
        <v>34690</v>
      </c>
      <c r="C8" s="20" t="s">
        <v>17</v>
      </c>
      <c r="D8" s="21">
        <v>16.989999999999998</v>
      </c>
      <c r="E8" s="21">
        <v>7.7</v>
      </c>
      <c r="F8" s="22">
        <v>184</v>
      </c>
      <c r="G8" s="23">
        <f>F8*D8</f>
        <v>3126.16</v>
      </c>
      <c r="H8" s="21">
        <f>E8*F8</f>
        <v>1416.8</v>
      </c>
      <c r="I8" s="23">
        <f>G8-H8</f>
        <v>1709.36</v>
      </c>
      <c r="J8" s="24">
        <f t="shared" si="0"/>
        <v>0.54679223072395522</v>
      </c>
      <c r="K8" s="25">
        <v>119705.7</v>
      </c>
      <c r="L8" s="25">
        <v>104091.91304347827</v>
      </c>
      <c r="M8" s="25">
        <v>0</v>
      </c>
      <c r="N8" s="25">
        <v>7213</v>
      </c>
      <c r="O8" s="25">
        <v>104091.91304347826</v>
      </c>
      <c r="P8" s="25">
        <v>16.595826979065574</v>
      </c>
      <c r="Q8" s="25">
        <v>14.431153894839634</v>
      </c>
      <c r="R8" s="25">
        <v>0</v>
      </c>
      <c r="S8" s="25">
        <v>100</v>
      </c>
    </row>
    <row r="9" spans="1:19" s="1" customFormat="1" ht="16.5" customHeight="1" x14ac:dyDescent="0.35">
      <c r="A9" s="3">
        <v>106</v>
      </c>
      <c r="B9" s="3">
        <v>54018</v>
      </c>
      <c r="C9" s="4" t="s">
        <v>200</v>
      </c>
      <c r="D9" s="6">
        <v>18.989999999999998</v>
      </c>
      <c r="E9" s="6">
        <v>9.83</v>
      </c>
      <c r="F9" s="12">
        <v>93</v>
      </c>
      <c r="G9" s="15">
        <f>F9*D9</f>
        <v>1766.07</v>
      </c>
      <c r="H9" s="15">
        <f>E9*F9</f>
        <v>914.19</v>
      </c>
      <c r="I9" s="15">
        <f>G9-H9</f>
        <v>851.87999999999988</v>
      </c>
      <c r="J9" s="18">
        <f t="shared" si="0"/>
        <v>0.48235913638757233</v>
      </c>
      <c r="K9" s="7">
        <v>69066</v>
      </c>
      <c r="L9" s="7">
        <v>60057.391304347824</v>
      </c>
      <c r="M9" s="7">
        <v>35830.349999999991</v>
      </c>
      <c r="N9" s="7">
        <v>3645</v>
      </c>
      <c r="O9" s="7">
        <v>24227.041304347833</v>
      </c>
      <c r="P9" s="7">
        <v>18.94814814814815</v>
      </c>
      <c r="Q9" s="7">
        <v>16.476650563607084</v>
      </c>
      <c r="R9" s="7">
        <v>9.8299999999999983</v>
      </c>
      <c r="S9" s="7">
        <v>40.339816262705256</v>
      </c>
    </row>
    <row r="10" spans="1:19" s="1" customFormat="1" ht="16.5" customHeight="1" x14ac:dyDescent="0.35">
      <c r="A10" s="3">
        <v>101</v>
      </c>
      <c r="B10" s="3">
        <v>34070</v>
      </c>
      <c r="C10" s="4" t="s">
        <v>22</v>
      </c>
      <c r="D10" s="6">
        <v>12.99</v>
      </c>
      <c r="E10" s="6">
        <v>6.81</v>
      </c>
      <c r="F10" s="12">
        <v>86</v>
      </c>
      <c r="G10" s="15">
        <f>F10*D10</f>
        <v>1117.1400000000001</v>
      </c>
      <c r="H10" s="15">
        <f>E10*F10</f>
        <v>585.66</v>
      </c>
      <c r="I10" s="15">
        <f>G10-H10</f>
        <v>531.48000000000013</v>
      </c>
      <c r="J10" s="18">
        <f t="shared" si="0"/>
        <v>0.47575057736720561</v>
      </c>
      <c r="K10" s="7">
        <v>43273.899999999994</v>
      </c>
      <c r="L10" s="7">
        <v>37629.47826086956</v>
      </c>
      <c r="M10" s="7">
        <v>22899.3</v>
      </c>
      <c r="N10" s="7">
        <v>3360</v>
      </c>
      <c r="O10" s="7">
        <v>14730.178260869561</v>
      </c>
      <c r="P10" s="7">
        <v>12.879136904761904</v>
      </c>
      <c r="Q10" s="7">
        <v>11.199249482401655</v>
      </c>
      <c r="R10" s="7">
        <v>6.8152678571428567</v>
      </c>
      <c r="S10" s="7">
        <v>39.145316229875277</v>
      </c>
    </row>
    <row r="11" spans="1:19" s="1" customFormat="1" ht="16.5" customHeight="1" x14ac:dyDescent="0.35">
      <c r="A11" s="3">
        <v>101</v>
      </c>
      <c r="B11" s="3">
        <v>34041</v>
      </c>
      <c r="C11" s="4" t="s">
        <v>35</v>
      </c>
      <c r="D11" s="6">
        <v>6.99</v>
      </c>
      <c r="E11" s="6">
        <v>3.15</v>
      </c>
      <c r="F11" s="12">
        <v>70</v>
      </c>
      <c r="G11" s="15">
        <f>F11*D11</f>
        <v>489.3</v>
      </c>
      <c r="H11" s="15">
        <f>E11*F11</f>
        <v>220.5</v>
      </c>
      <c r="I11" s="15">
        <f>G11-H11</f>
        <v>268.8</v>
      </c>
      <c r="J11" s="18">
        <f t="shared" si="0"/>
        <v>0.54935622317596566</v>
      </c>
      <c r="K11" s="7">
        <v>15397.9</v>
      </c>
      <c r="L11" s="7">
        <v>13389.478260869564</v>
      </c>
      <c r="M11" s="7">
        <v>6945.7499999999991</v>
      </c>
      <c r="N11" s="7">
        <v>2205</v>
      </c>
      <c r="O11" s="7">
        <v>6443.728260869565</v>
      </c>
      <c r="P11" s="7">
        <v>6.9831746031746027</v>
      </c>
      <c r="Q11" s="7">
        <v>6.0723257418909586</v>
      </c>
      <c r="R11" s="7">
        <v>3.1499999999999995</v>
      </c>
      <c r="S11" s="7">
        <v>48.125312542619454</v>
      </c>
    </row>
    <row r="12" spans="1:19" s="1" customFormat="1" ht="16.5" customHeight="1" x14ac:dyDescent="0.35">
      <c r="A12" s="3">
        <v>101</v>
      </c>
      <c r="B12" s="3">
        <v>34046</v>
      </c>
      <c r="C12" s="4" t="s">
        <v>30</v>
      </c>
      <c r="D12" s="6">
        <v>19.989999999999998</v>
      </c>
      <c r="E12" s="6">
        <v>12.2</v>
      </c>
      <c r="F12" s="12">
        <v>50</v>
      </c>
      <c r="G12" s="15">
        <f>F12*D12</f>
        <v>999.49999999999989</v>
      </c>
      <c r="H12" s="15">
        <f>E12*F12</f>
        <v>610</v>
      </c>
      <c r="I12" s="15">
        <f>G12-H12</f>
        <v>389.49999999999989</v>
      </c>
      <c r="J12" s="18">
        <f t="shared" si="0"/>
        <v>0.3896948474237118</v>
      </c>
      <c r="K12" s="7">
        <v>19201.350000000006</v>
      </c>
      <c r="L12" s="7">
        <v>16696.826086956524</v>
      </c>
      <c r="M12" s="7">
        <v>11772.999999999998</v>
      </c>
      <c r="N12" s="7">
        <v>965</v>
      </c>
      <c r="O12" s="7">
        <v>4923.8260869565293</v>
      </c>
      <c r="P12" s="7">
        <v>19.897772020725395</v>
      </c>
      <c r="Q12" s="7">
        <v>17.302410452804686</v>
      </c>
      <c r="R12" s="7">
        <v>12.199999999999998</v>
      </c>
      <c r="S12" s="7">
        <v>29.489593179646256</v>
      </c>
    </row>
    <row r="13" spans="1:19" s="1" customFormat="1" ht="16.5" customHeight="1" x14ac:dyDescent="0.35">
      <c r="A13" s="3">
        <v>101</v>
      </c>
      <c r="B13" s="3">
        <v>34042</v>
      </c>
      <c r="C13" s="4" t="s">
        <v>27</v>
      </c>
      <c r="D13" s="6">
        <v>9.5</v>
      </c>
      <c r="E13" s="6">
        <v>4.1500000000000004</v>
      </c>
      <c r="F13" s="12">
        <v>48</v>
      </c>
      <c r="G13" s="15">
        <f>F13*D13</f>
        <v>456</v>
      </c>
      <c r="H13" s="15">
        <f>E13*F13</f>
        <v>199.20000000000002</v>
      </c>
      <c r="I13" s="15">
        <f>G13-H13</f>
        <v>256.79999999999995</v>
      </c>
      <c r="J13" s="18">
        <f t="shared" si="0"/>
        <v>0.56315789473684197</v>
      </c>
      <c r="K13" s="7">
        <v>24134.15</v>
      </c>
      <c r="L13" s="7">
        <v>20986.217391304344</v>
      </c>
      <c r="M13" s="7">
        <v>10644.800000000003</v>
      </c>
      <c r="N13" s="7">
        <v>2558</v>
      </c>
      <c r="O13" s="7">
        <v>10341.417391304345</v>
      </c>
      <c r="P13" s="7">
        <v>9.4347732603596572</v>
      </c>
      <c r="Q13" s="7">
        <v>8.2041506611823074</v>
      </c>
      <c r="R13" s="7">
        <v>4.1613760750586408</v>
      </c>
      <c r="S13" s="7">
        <v>49.277186062073852</v>
      </c>
    </row>
    <row r="14" spans="1:19" s="1" customFormat="1" ht="16.5" customHeight="1" x14ac:dyDescent="0.35">
      <c r="A14" s="3">
        <v>101</v>
      </c>
      <c r="B14" s="3">
        <v>34091</v>
      </c>
      <c r="C14" s="4" t="s">
        <v>24</v>
      </c>
      <c r="D14" s="6">
        <v>19.989999999999998</v>
      </c>
      <c r="E14" s="6">
        <v>12.24</v>
      </c>
      <c r="F14" s="12">
        <v>40</v>
      </c>
      <c r="G14" s="15">
        <f>F14*D14</f>
        <v>799.59999999999991</v>
      </c>
      <c r="H14" s="15">
        <f>E14*F14</f>
        <v>489.6</v>
      </c>
      <c r="I14" s="15">
        <f>G14-H14</f>
        <v>309.99999999999989</v>
      </c>
      <c r="J14" s="18">
        <f t="shared" si="0"/>
        <v>0.38769384692346165</v>
      </c>
      <c r="K14" s="7">
        <v>30559.729999999996</v>
      </c>
      <c r="L14" s="7">
        <v>26573.678260869568</v>
      </c>
      <c r="M14" s="7">
        <v>18564</v>
      </c>
      <c r="N14" s="7">
        <v>1547</v>
      </c>
      <c r="O14" s="7">
        <v>8009.6782608695576</v>
      </c>
      <c r="P14" s="7">
        <v>19.754188752424042</v>
      </c>
      <c r="Q14" s="7">
        <v>17.177555436890476</v>
      </c>
      <c r="R14" s="7">
        <v>12</v>
      </c>
      <c r="S14" s="7">
        <v>30.14139850057574</v>
      </c>
    </row>
    <row r="15" spans="1:19" s="1" customFormat="1" ht="16.5" customHeight="1" x14ac:dyDescent="0.35">
      <c r="A15" s="3">
        <v>101</v>
      </c>
      <c r="B15" s="3">
        <v>58767</v>
      </c>
      <c r="C15" s="4" t="s">
        <v>23</v>
      </c>
      <c r="D15" s="6">
        <v>19.989999999999998</v>
      </c>
      <c r="E15" s="6">
        <v>7.04</v>
      </c>
      <c r="F15" s="12">
        <v>40</v>
      </c>
      <c r="G15" s="15">
        <f>F15*D15</f>
        <v>799.59999999999991</v>
      </c>
      <c r="H15" s="15">
        <f>E15*F15</f>
        <v>281.60000000000002</v>
      </c>
      <c r="I15" s="15">
        <f>G15-H15</f>
        <v>517.99999999999989</v>
      </c>
      <c r="J15" s="18">
        <f t="shared" si="0"/>
        <v>0.64782391195597788</v>
      </c>
      <c r="K15" s="7">
        <v>37227.340000000011</v>
      </c>
      <c r="L15" s="7">
        <v>32371.599999999995</v>
      </c>
      <c r="M15" s="7">
        <v>13136.640000000001</v>
      </c>
      <c r="N15" s="7">
        <v>1866</v>
      </c>
      <c r="O15" s="7">
        <v>19234.960000000014</v>
      </c>
      <c r="P15" s="7">
        <v>19.95034297963559</v>
      </c>
      <c r="Q15" s="7">
        <v>17.348124330117898</v>
      </c>
      <c r="R15" s="7">
        <v>7.0400000000000009</v>
      </c>
      <c r="S15" s="7">
        <v>59.419244028716548</v>
      </c>
    </row>
    <row r="16" spans="1:19" s="1" customFormat="1" ht="16.5" customHeight="1" x14ac:dyDescent="0.35">
      <c r="A16" s="3">
        <v>102</v>
      </c>
      <c r="B16" s="3">
        <v>32127</v>
      </c>
      <c r="C16" s="4" t="s">
        <v>79</v>
      </c>
      <c r="D16" s="6">
        <v>11.99</v>
      </c>
      <c r="E16" s="6">
        <v>6.02</v>
      </c>
      <c r="F16" s="12">
        <v>32</v>
      </c>
      <c r="G16" s="15">
        <f>F16*D16</f>
        <v>383.68</v>
      </c>
      <c r="H16" s="15">
        <f>E16*F16</f>
        <v>192.64</v>
      </c>
      <c r="I16" s="15">
        <f>G16-H16</f>
        <v>191.04000000000002</v>
      </c>
      <c r="J16" s="18">
        <f t="shared" si="0"/>
        <v>0.49791492910758972</v>
      </c>
      <c r="K16" s="7">
        <v>74663.489999999991</v>
      </c>
      <c r="L16" s="7">
        <v>64924.773913043493</v>
      </c>
      <c r="M16" s="7">
        <v>37510.619999999995</v>
      </c>
      <c r="N16" s="7">
        <v>6231</v>
      </c>
      <c r="O16" s="7">
        <v>27414.153913043483</v>
      </c>
      <c r="P16" s="7">
        <v>11.982585459797784</v>
      </c>
      <c r="Q16" s="7">
        <v>10.419639530258946</v>
      </c>
      <c r="R16" s="7">
        <v>6.02</v>
      </c>
      <c r="S16" s="7">
        <v>42.224488836511668</v>
      </c>
    </row>
    <row r="17" spans="1:19" s="1" customFormat="1" ht="16.5" customHeight="1" x14ac:dyDescent="0.35">
      <c r="A17" s="3">
        <v>101</v>
      </c>
      <c r="B17" s="3">
        <v>33997</v>
      </c>
      <c r="C17" s="4" t="s">
        <v>32</v>
      </c>
      <c r="D17" s="6">
        <v>14.99</v>
      </c>
      <c r="E17" s="6">
        <v>7.62</v>
      </c>
      <c r="F17" s="12">
        <v>30</v>
      </c>
      <c r="G17" s="15">
        <f>F17*D17</f>
        <v>449.7</v>
      </c>
      <c r="H17" s="15">
        <f>E17*F17</f>
        <v>228.6</v>
      </c>
      <c r="I17" s="15">
        <f>G17-H17</f>
        <v>221.1</v>
      </c>
      <c r="J17" s="18">
        <f t="shared" si="0"/>
        <v>0.49166110740493663</v>
      </c>
      <c r="K17" s="7">
        <v>18732.740000000005</v>
      </c>
      <c r="L17" s="7">
        <v>16289.339130434788</v>
      </c>
      <c r="M17" s="7">
        <v>0</v>
      </c>
      <c r="N17" s="7">
        <v>1271</v>
      </c>
      <c r="O17" s="7">
        <v>16289.339130434786</v>
      </c>
      <c r="P17" s="7">
        <v>14.738583792289539</v>
      </c>
      <c r="Q17" s="7">
        <v>12.816159819382209</v>
      </c>
      <c r="R17" s="7">
        <v>0</v>
      </c>
      <c r="S17" s="7">
        <v>100</v>
      </c>
    </row>
    <row r="18" spans="1:19" s="1" customFormat="1" ht="16.5" customHeight="1" x14ac:dyDescent="0.35">
      <c r="A18" s="3">
        <v>104</v>
      </c>
      <c r="B18" s="3">
        <v>34083</v>
      </c>
      <c r="C18" s="4" t="s">
        <v>190</v>
      </c>
      <c r="D18" s="6">
        <v>49.99</v>
      </c>
      <c r="E18" s="6">
        <v>13.76</v>
      </c>
      <c r="F18" s="12">
        <v>30</v>
      </c>
      <c r="G18" s="15">
        <f>F18*D18</f>
        <v>1499.7</v>
      </c>
      <c r="H18" s="15">
        <f>E18*F18</f>
        <v>412.8</v>
      </c>
      <c r="I18" s="15">
        <f>G18-H18</f>
        <v>1086.9000000000001</v>
      </c>
      <c r="J18" s="18">
        <f t="shared" si="0"/>
        <v>0.72474494898979802</v>
      </c>
      <c r="K18" s="7">
        <v>20648.34</v>
      </c>
      <c r="L18" s="7">
        <v>17955.078260869566</v>
      </c>
      <c r="M18" s="7">
        <v>5724.1599999999989</v>
      </c>
      <c r="N18" s="7">
        <v>416</v>
      </c>
      <c r="O18" s="7">
        <v>12230.918260869563</v>
      </c>
      <c r="P18" s="7">
        <v>49.635432692307695</v>
      </c>
      <c r="Q18" s="7">
        <v>43.161245819397998</v>
      </c>
      <c r="R18" s="7">
        <v>13.759999999999998</v>
      </c>
      <c r="S18" s="7">
        <v>68.119548593252532</v>
      </c>
    </row>
    <row r="19" spans="1:19" s="1" customFormat="1" ht="16.5" customHeight="1" x14ac:dyDescent="0.35">
      <c r="A19" s="3">
        <v>104</v>
      </c>
      <c r="B19" s="3">
        <v>34118</v>
      </c>
      <c r="C19" s="4" t="s">
        <v>188</v>
      </c>
      <c r="D19" s="6">
        <v>29.99</v>
      </c>
      <c r="E19" s="6">
        <v>7.38</v>
      </c>
      <c r="F19" s="12">
        <v>30</v>
      </c>
      <c r="G19" s="15">
        <f>F19*D19</f>
        <v>899.69999999999993</v>
      </c>
      <c r="H19" s="15">
        <f>E19*F19</f>
        <v>221.4</v>
      </c>
      <c r="I19" s="15">
        <f>G19-H19</f>
        <v>678.3</v>
      </c>
      <c r="J19" s="18">
        <f t="shared" si="0"/>
        <v>0.75391797265755256</v>
      </c>
      <c r="K19" s="7">
        <v>43047.56</v>
      </c>
      <c r="L19" s="7">
        <v>37432.66086956521</v>
      </c>
      <c r="M19" s="7">
        <v>10656.719999999998</v>
      </c>
      <c r="N19" s="7">
        <v>1444</v>
      </c>
      <c r="O19" s="7">
        <v>26775.94086956522</v>
      </c>
      <c r="P19" s="7">
        <v>29.811329639889195</v>
      </c>
      <c r="Q19" s="7">
        <v>25.922895339034078</v>
      </c>
      <c r="R19" s="7">
        <v>7.3799999999999981</v>
      </c>
      <c r="S19" s="7">
        <v>71.530957852198824</v>
      </c>
    </row>
    <row r="20" spans="1:19" s="1" customFormat="1" ht="16.5" customHeight="1" x14ac:dyDescent="0.35">
      <c r="A20" s="3">
        <v>101</v>
      </c>
      <c r="B20" s="3">
        <v>58512</v>
      </c>
      <c r="C20" s="4" t="s">
        <v>26</v>
      </c>
      <c r="D20" s="6">
        <v>26.99</v>
      </c>
      <c r="E20" s="6">
        <v>10.66</v>
      </c>
      <c r="F20" s="12">
        <v>30</v>
      </c>
      <c r="G20" s="15">
        <f>F20*D20</f>
        <v>809.69999999999993</v>
      </c>
      <c r="H20" s="15">
        <f>E20*F20</f>
        <v>319.8</v>
      </c>
      <c r="I20" s="15">
        <f>G20-H20</f>
        <v>489.89999999999992</v>
      </c>
      <c r="J20" s="18">
        <f t="shared" si="0"/>
        <v>0.60503890329751753</v>
      </c>
      <c r="K20" s="7">
        <v>26632.370000000003</v>
      </c>
      <c r="L20" s="7">
        <v>23158.582608695655</v>
      </c>
      <c r="M20" s="7">
        <v>10532.080000000002</v>
      </c>
      <c r="N20" s="7">
        <v>988</v>
      </c>
      <c r="O20" s="7">
        <v>12626.502608695653</v>
      </c>
      <c r="P20" s="7">
        <v>26.955840080971662</v>
      </c>
      <c r="Q20" s="7">
        <v>23.439860939975357</v>
      </c>
      <c r="R20" s="7">
        <v>10.660000000000002</v>
      </c>
      <c r="S20" s="7">
        <v>54.521914497282822</v>
      </c>
    </row>
    <row r="21" spans="1:19" s="1" customFormat="1" ht="16.5" customHeight="1" x14ac:dyDescent="0.35">
      <c r="A21" s="3">
        <v>101</v>
      </c>
      <c r="B21" s="3">
        <v>34023</v>
      </c>
      <c r="C21" s="4" t="s">
        <v>40</v>
      </c>
      <c r="D21" s="6">
        <v>6.99</v>
      </c>
      <c r="E21" s="6">
        <v>2.85</v>
      </c>
      <c r="F21" s="12">
        <v>28</v>
      </c>
      <c r="G21" s="15">
        <f>F21*D21</f>
        <v>195.72</v>
      </c>
      <c r="H21" s="15">
        <f>E21*F21</f>
        <v>79.8</v>
      </c>
      <c r="I21" s="15">
        <f>G21-H21</f>
        <v>115.92</v>
      </c>
      <c r="J21" s="18">
        <f t="shared" si="0"/>
        <v>0.59227467811158796</v>
      </c>
      <c r="K21" s="7">
        <v>9170.1700000000019</v>
      </c>
      <c r="L21" s="7">
        <v>7974.0608695652199</v>
      </c>
      <c r="M21" s="7">
        <v>3742.0499999999993</v>
      </c>
      <c r="N21" s="7">
        <v>1313</v>
      </c>
      <c r="O21" s="7">
        <v>4232.0108695652207</v>
      </c>
      <c r="P21" s="7">
        <v>6.9841355674028955</v>
      </c>
      <c r="Q21" s="7">
        <v>6.0731613629590404</v>
      </c>
      <c r="R21" s="7">
        <v>2.8499999999999996</v>
      </c>
      <c r="S21" s="7">
        <v>53.072216763702329</v>
      </c>
    </row>
    <row r="22" spans="1:19" s="1" customFormat="1" ht="16.5" customHeight="1" x14ac:dyDescent="0.35">
      <c r="A22" s="3">
        <v>101</v>
      </c>
      <c r="B22" s="3">
        <v>34022</v>
      </c>
      <c r="C22" s="4" t="s">
        <v>46</v>
      </c>
      <c r="D22" s="6">
        <v>5.99</v>
      </c>
      <c r="E22" s="6">
        <v>2.72</v>
      </c>
      <c r="F22" s="12">
        <v>24</v>
      </c>
      <c r="G22" s="15">
        <f>F22*D22</f>
        <v>143.76</v>
      </c>
      <c r="H22" s="15">
        <f>E22*F22</f>
        <v>65.28</v>
      </c>
      <c r="I22" s="15">
        <f>G22-H22</f>
        <v>78.47999999999999</v>
      </c>
      <c r="J22" s="18">
        <f t="shared" si="0"/>
        <v>0.54590984974958257</v>
      </c>
      <c r="K22" s="7">
        <v>4281.33</v>
      </c>
      <c r="L22" s="7">
        <v>3722.8956521739133</v>
      </c>
      <c r="M22" s="7">
        <v>1950.2399999999996</v>
      </c>
      <c r="N22" s="7">
        <v>717</v>
      </c>
      <c r="O22" s="7">
        <v>1772.6556521739133</v>
      </c>
      <c r="P22" s="7">
        <v>5.9711715481171543</v>
      </c>
      <c r="Q22" s="7">
        <v>5.1923230853192655</v>
      </c>
      <c r="R22" s="7">
        <v>2.7199999999999993</v>
      </c>
      <c r="S22" s="7">
        <v>47.614970114427067</v>
      </c>
    </row>
    <row r="23" spans="1:19" s="1" customFormat="1" ht="16.5" customHeight="1" x14ac:dyDescent="0.35">
      <c r="A23" s="3">
        <v>117</v>
      </c>
      <c r="B23" s="3">
        <v>34034</v>
      </c>
      <c r="C23" s="4" t="s">
        <v>209</v>
      </c>
      <c r="D23" s="6">
        <v>19.989999999999998</v>
      </c>
      <c r="E23" s="6">
        <v>8.43</v>
      </c>
      <c r="F23" s="12">
        <v>24</v>
      </c>
      <c r="G23" s="15">
        <f>F23*D23</f>
        <v>479.76</v>
      </c>
      <c r="H23" s="15">
        <f>E23*F23</f>
        <v>202.32</v>
      </c>
      <c r="I23" s="15">
        <f>G23-H23</f>
        <v>277.44</v>
      </c>
      <c r="J23" s="18">
        <f t="shared" si="0"/>
        <v>0.5782891445722862</v>
      </c>
      <c r="K23" s="7">
        <v>34032.75</v>
      </c>
      <c r="L23" s="7">
        <v>29593.695652173916</v>
      </c>
      <c r="M23" s="7">
        <v>13707.18</v>
      </c>
      <c r="N23" s="7">
        <v>1626</v>
      </c>
      <c r="O23" s="7">
        <v>15886.515652173915</v>
      </c>
      <c r="P23" s="7">
        <v>20.930350553505534</v>
      </c>
      <c r="Q23" s="7">
        <v>18.200304829135248</v>
      </c>
      <c r="R23" s="7">
        <v>8.43</v>
      </c>
      <c r="S23" s="7">
        <v>53.682094453137054</v>
      </c>
    </row>
    <row r="24" spans="1:19" s="1" customFormat="1" ht="16.5" customHeight="1" x14ac:dyDescent="0.35">
      <c r="A24" s="3">
        <v>102</v>
      </c>
      <c r="B24" s="3">
        <v>61939</v>
      </c>
      <c r="C24" s="4" t="s">
        <v>88</v>
      </c>
      <c r="D24" s="6">
        <v>10</v>
      </c>
      <c r="E24" s="6">
        <v>5.09</v>
      </c>
      <c r="F24" s="12">
        <v>24</v>
      </c>
      <c r="G24" s="15">
        <f>F24*D24</f>
        <v>240</v>
      </c>
      <c r="H24" s="15">
        <f>E24*F24</f>
        <v>122.16</v>
      </c>
      <c r="I24" s="15">
        <f>G24-H24</f>
        <v>117.84</v>
      </c>
      <c r="J24" s="18">
        <f t="shared" si="0"/>
        <v>0.49099999999999999</v>
      </c>
      <c r="K24" s="7">
        <v>29918.5</v>
      </c>
      <c r="L24" s="7">
        <v>26016.086956521744</v>
      </c>
      <c r="M24" s="7">
        <v>15259.82</v>
      </c>
      <c r="N24" s="7">
        <v>2998</v>
      </c>
      <c r="O24" s="7">
        <v>10756.26695652174</v>
      </c>
      <c r="P24" s="7">
        <v>9.9794863242161433</v>
      </c>
      <c r="Q24" s="7">
        <v>8.6778141949705621</v>
      </c>
      <c r="R24" s="7">
        <v>5.09</v>
      </c>
      <c r="S24" s="7">
        <v>41.344676370807363</v>
      </c>
    </row>
    <row r="25" spans="1:19" s="1" customFormat="1" ht="16.5" customHeight="1" x14ac:dyDescent="0.35">
      <c r="A25" s="3">
        <v>104</v>
      </c>
      <c r="B25" s="3">
        <v>34081</v>
      </c>
      <c r="C25" s="4" t="s">
        <v>189</v>
      </c>
      <c r="D25" s="6">
        <v>29.99</v>
      </c>
      <c r="E25" s="6">
        <v>14.34</v>
      </c>
      <c r="F25" s="12">
        <v>20</v>
      </c>
      <c r="G25" s="15">
        <f>F25*D25</f>
        <v>599.79999999999995</v>
      </c>
      <c r="H25" s="15">
        <f>E25*F25</f>
        <v>286.8</v>
      </c>
      <c r="I25" s="15">
        <f>G25-H25</f>
        <v>312.99999999999994</v>
      </c>
      <c r="J25" s="18">
        <f t="shared" si="0"/>
        <v>0.52184061353784594</v>
      </c>
      <c r="K25" s="7">
        <v>29958.480000000003</v>
      </c>
      <c r="L25" s="7">
        <v>26050.852173913048</v>
      </c>
      <c r="M25" s="7">
        <v>14368.679999999997</v>
      </c>
      <c r="N25" s="7">
        <v>1002</v>
      </c>
      <c r="O25" s="7">
        <v>11682.172173913048</v>
      </c>
      <c r="P25" s="7">
        <v>29.898682634730541</v>
      </c>
      <c r="Q25" s="7">
        <v>25.998854464983083</v>
      </c>
      <c r="R25" s="7">
        <v>14.339999999999996</v>
      </c>
      <c r="S25" s="7">
        <v>44.843723713619667</v>
      </c>
    </row>
    <row r="26" spans="1:19" s="1" customFormat="1" ht="16.5" customHeight="1" x14ac:dyDescent="0.35">
      <c r="A26" s="3">
        <v>120</v>
      </c>
      <c r="B26" s="3">
        <v>34124</v>
      </c>
      <c r="C26" s="4" t="s">
        <v>239</v>
      </c>
      <c r="D26" s="6">
        <v>29.99</v>
      </c>
      <c r="E26" s="6">
        <v>12.33</v>
      </c>
      <c r="F26" s="12">
        <v>20</v>
      </c>
      <c r="G26" s="15">
        <f>F26*D26</f>
        <v>599.79999999999995</v>
      </c>
      <c r="H26" s="15">
        <f>E26*F26</f>
        <v>246.6</v>
      </c>
      <c r="I26" s="15">
        <f>G26-H26</f>
        <v>353.19999999999993</v>
      </c>
      <c r="J26" s="18">
        <f t="shared" si="0"/>
        <v>0.58886295431810598</v>
      </c>
      <c r="K26" s="7">
        <v>9206.9199999999983</v>
      </c>
      <c r="L26" s="7">
        <v>8006.0173913043491</v>
      </c>
      <c r="M26" s="7">
        <v>3797.64</v>
      </c>
      <c r="N26" s="7">
        <v>308</v>
      </c>
      <c r="O26" s="7">
        <v>4208.377391304346</v>
      </c>
      <c r="P26" s="7">
        <v>29.892597402597396</v>
      </c>
      <c r="Q26" s="7">
        <v>25.993562958780355</v>
      </c>
      <c r="R26" s="7">
        <v>12.33</v>
      </c>
      <c r="S26" s="7">
        <v>52.565179234749507</v>
      </c>
    </row>
    <row r="27" spans="1:19" s="1" customFormat="1" ht="16.5" customHeight="1" x14ac:dyDescent="0.35">
      <c r="A27" s="3">
        <v>102</v>
      </c>
      <c r="B27" s="3">
        <v>32150</v>
      </c>
      <c r="C27" s="4" t="s">
        <v>108</v>
      </c>
      <c r="D27" s="6">
        <v>8.99</v>
      </c>
      <c r="E27" s="6">
        <v>4.53</v>
      </c>
      <c r="F27" s="12">
        <v>16</v>
      </c>
      <c r="G27" s="15">
        <f>F27*D27</f>
        <v>143.84</v>
      </c>
      <c r="H27" s="15">
        <f>E27*F27</f>
        <v>72.48</v>
      </c>
      <c r="I27" s="15">
        <f>G27-H27</f>
        <v>71.36</v>
      </c>
      <c r="J27" s="18">
        <f t="shared" si="0"/>
        <v>0.49610678531701891</v>
      </c>
      <c r="K27" s="7">
        <v>2963.55</v>
      </c>
      <c r="L27" s="7">
        <v>2577</v>
      </c>
      <c r="M27" s="7">
        <v>1494.8999999999999</v>
      </c>
      <c r="N27" s="7">
        <v>330</v>
      </c>
      <c r="O27" s="7">
        <v>1082.1000000000006</v>
      </c>
      <c r="P27" s="7">
        <v>8.9804545454545455</v>
      </c>
      <c r="Q27" s="7">
        <v>7.8090909090909095</v>
      </c>
      <c r="R27" s="7">
        <v>4.5299999999999994</v>
      </c>
      <c r="S27" s="7">
        <v>41.990686845168817</v>
      </c>
    </row>
    <row r="28" spans="1:19" s="1" customFormat="1" ht="16.5" customHeight="1" x14ac:dyDescent="0.35">
      <c r="A28" s="3">
        <v>102</v>
      </c>
      <c r="B28" s="3">
        <v>33995</v>
      </c>
      <c r="C28" s="4" t="s">
        <v>78</v>
      </c>
      <c r="D28" s="6">
        <v>15.99</v>
      </c>
      <c r="E28" s="6">
        <v>8.2200000000000006</v>
      </c>
      <c r="F28" s="12">
        <v>16</v>
      </c>
      <c r="G28" s="15">
        <f>F28*D28</f>
        <v>255.84</v>
      </c>
      <c r="H28" s="15">
        <f>E28*F28</f>
        <v>131.52000000000001</v>
      </c>
      <c r="I28" s="15">
        <f>G28-H28</f>
        <v>124.32</v>
      </c>
      <c r="J28" s="18">
        <f t="shared" si="0"/>
        <v>0.48592870544090055</v>
      </c>
      <c r="K28" s="7">
        <v>76174.740000000005</v>
      </c>
      <c r="L28" s="7">
        <v>66238.904347826101</v>
      </c>
      <c r="M28" s="7">
        <v>39192.959999999999</v>
      </c>
      <c r="N28" s="7">
        <v>4768</v>
      </c>
      <c r="O28" s="7">
        <v>27045.944347826087</v>
      </c>
      <c r="P28" s="7">
        <v>15.976245805369128</v>
      </c>
      <c r="Q28" s="7">
        <v>13.892387656842722</v>
      </c>
      <c r="R28" s="7">
        <v>8.2200000000000006</v>
      </c>
      <c r="S28" s="7">
        <v>40.830905363116436</v>
      </c>
    </row>
    <row r="29" spans="1:19" s="1" customFormat="1" ht="16.5" customHeight="1" x14ac:dyDescent="0.35">
      <c r="A29" s="3">
        <v>102</v>
      </c>
      <c r="B29" s="3">
        <v>42990</v>
      </c>
      <c r="C29" s="4" t="s">
        <v>80</v>
      </c>
      <c r="D29" s="6">
        <v>19.989999999999998</v>
      </c>
      <c r="E29" s="6">
        <v>10.85</v>
      </c>
      <c r="F29" s="12">
        <v>16</v>
      </c>
      <c r="G29" s="15">
        <f>F29*D29</f>
        <v>319.83999999999997</v>
      </c>
      <c r="H29" s="15">
        <f>E29*F29</f>
        <v>173.6</v>
      </c>
      <c r="I29" s="15">
        <f>G29-H29</f>
        <v>146.23999999999998</v>
      </c>
      <c r="J29" s="18">
        <f t="shared" si="0"/>
        <v>0.45722861430715356</v>
      </c>
      <c r="K29" s="7">
        <v>69580.39999999998</v>
      </c>
      <c r="L29" s="7">
        <v>60504.695652173898</v>
      </c>
      <c r="M29" s="7">
        <v>38029.25</v>
      </c>
      <c r="N29" s="7">
        <v>3505</v>
      </c>
      <c r="O29" s="7">
        <v>22475.44565217389</v>
      </c>
      <c r="P29" s="7">
        <v>19.851754636233945</v>
      </c>
      <c r="Q29" s="7">
        <v>17.262395335855604</v>
      </c>
      <c r="R29" s="7">
        <v>10.85</v>
      </c>
      <c r="S29" s="7">
        <v>37.146613845278239</v>
      </c>
    </row>
    <row r="30" spans="1:19" s="1" customFormat="1" ht="16.5" customHeight="1" x14ac:dyDescent="0.35">
      <c r="A30" s="3">
        <v>104</v>
      </c>
      <c r="B30" s="3">
        <v>34095</v>
      </c>
      <c r="C30" s="4" t="s">
        <v>192</v>
      </c>
      <c r="D30" s="6">
        <v>29.99</v>
      </c>
      <c r="E30" s="6">
        <v>12.52</v>
      </c>
      <c r="F30" s="12">
        <v>15</v>
      </c>
      <c r="G30" s="15">
        <f>F30*D30</f>
        <v>449.84999999999997</v>
      </c>
      <c r="H30" s="15">
        <f>E30*F30</f>
        <v>187.79999999999998</v>
      </c>
      <c r="I30" s="15">
        <f>G30-H30</f>
        <v>262.04999999999995</v>
      </c>
      <c r="J30" s="18">
        <f t="shared" si="0"/>
        <v>0.58252750916972318</v>
      </c>
      <c r="K30" s="7">
        <v>11775.560000000001</v>
      </c>
      <c r="L30" s="7">
        <v>10239.617391304349</v>
      </c>
      <c r="M30" s="7">
        <v>4932.8799999999992</v>
      </c>
      <c r="N30" s="7">
        <v>394</v>
      </c>
      <c r="O30" s="7">
        <v>5306.7373913043484</v>
      </c>
      <c r="P30" s="7">
        <v>29.887208121827413</v>
      </c>
      <c r="Q30" s="7">
        <v>25.988876627676014</v>
      </c>
      <c r="R30" s="7">
        <v>12.519999999999998</v>
      </c>
      <c r="S30" s="7">
        <v>51.825543753333179</v>
      </c>
    </row>
    <row r="31" spans="1:19" s="1" customFormat="1" ht="16.5" customHeight="1" x14ac:dyDescent="0.35">
      <c r="A31" s="3">
        <v>102</v>
      </c>
      <c r="B31" s="3">
        <v>32153</v>
      </c>
      <c r="C31" s="4" t="s">
        <v>89</v>
      </c>
      <c r="D31" s="6">
        <v>8.99</v>
      </c>
      <c r="E31" s="6">
        <v>4.5599999999999996</v>
      </c>
      <c r="F31" s="12">
        <v>12</v>
      </c>
      <c r="G31" s="15">
        <f>F31*D31</f>
        <v>107.88</v>
      </c>
      <c r="H31" s="15">
        <f>E31*F31</f>
        <v>54.72</v>
      </c>
      <c r="I31" s="15">
        <f>G31-H31</f>
        <v>53.16</v>
      </c>
      <c r="J31" s="18">
        <f t="shared" si="0"/>
        <v>0.49276974416017799</v>
      </c>
      <c r="K31" s="7">
        <v>29021.47</v>
      </c>
      <c r="L31" s="7">
        <v>25236.060869565223</v>
      </c>
      <c r="M31" s="7">
        <v>14751.599999999997</v>
      </c>
      <c r="N31" s="7">
        <v>3235</v>
      </c>
      <c r="O31" s="7">
        <v>10484.460869565222</v>
      </c>
      <c r="P31" s="7">
        <v>8.9710880989180843</v>
      </c>
      <c r="Q31" s="7">
        <v>7.8009461729722478</v>
      </c>
      <c r="R31" s="7">
        <v>4.5599999999999987</v>
      </c>
      <c r="S31" s="7">
        <v>41.545552310065631</v>
      </c>
    </row>
    <row r="32" spans="1:19" s="1" customFormat="1" ht="16.5" customHeight="1" x14ac:dyDescent="0.35">
      <c r="A32" s="3">
        <v>102</v>
      </c>
      <c r="B32" s="3">
        <v>34008</v>
      </c>
      <c r="C32" s="4" t="s">
        <v>91</v>
      </c>
      <c r="D32" s="6">
        <v>5.99</v>
      </c>
      <c r="E32" s="6">
        <v>4.32</v>
      </c>
      <c r="F32" s="12">
        <v>12</v>
      </c>
      <c r="G32" s="15">
        <f>F32*D32</f>
        <v>71.88</v>
      </c>
      <c r="H32" s="15">
        <f>E32*F32</f>
        <v>51.84</v>
      </c>
      <c r="I32" s="15">
        <f>G32-H32</f>
        <v>20.039999999999992</v>
      </c>
      <c r="J32" s="18">
        <f t="shared" si="0"/>
        <v>0.27879799666110172</v>
      </c>
      <c r="K32" s="7">
        <v>25419.74</v>
      </c>
      <c r="L32" s="7">
        <v>22104.121739130438</v>
      </c>
      <c r="M32" s="7">
        <v>18360.000000000004</v>
      </c>
      <c r="N32" s="7">
        <v>4250</v>
      </c>
      <c r="O32" s="7">
        <v>3744.1217391304344</v>
      </c>
      <c r="P32" s="7">
        <v>5.9811152941176475</v>
      </c>
      <c r="Q32" s="7">
        <v>5.200969820971868</v>
      </c>
      <c r="R32" s="7">
        <v>4.3200000000000012</v>
      </c>
      <c r="S32" s="7">
        <v>16.938568215095824</v>
      </c>
    </row>
    <row r="33" spans="1:19" s="1" customFormat="1" ht="16.5" customHeight="1" x14ac:dyDescent="0.35">
      <c r="A33" s="3">
        <v>101</v>
      </c>
      <c r="B33" s="3">
        <v>42401</v>
      </c>
      <c r="C33" s="4" t="s">
        <v>31</v>
      </c>
      <c r="D33" s="6">
        <v>14.99</v>
      </c>
      <c r="E33" s="6">
        <v>6.62</v>
      </c>
      <c r="F33" s="12">
        <v>12</v>
      </c>
      <c r="G33" s="15">
        <f>F33*D33</f>
        <v>179.88</v>
      </c>
      <c r="H33" s="15">
        <f>E33*F33</f>
        <v>79.44</v>
      </c>
      <c r="I33" s="15">
        <f>G33-H33</f>
        <v>100.44</v>
      </c>
      <c r="J33" s="18">
        <f t="shared" si="0"/>
        <v>0.55837224816544362</v>
      </c>
      <c r="K33" s="7">
        <v>18856.399999999998</v>
      </c>
      <c r="L33" s="7">
        <v>16396.869565217392</v>
      </c>
      <c r="M33" s="7">
        <v>8672.2000000000007</v>
      </c>
      <c r="N33" s="7">
        <v>1310</v>
      </c>
      <c r="O33" s="7">
        <v>7724.6695652173876</v>
      </c>
      <c r="P33" s="7">
        <v>14.394198473282442</v>
      </c>
      <c r="Q33" s="7">
        <v>12.516694324593429</v>
      </c>
      <c r="R33" s="7">
        <v>6.620000000000001</v>
      </c>
      <c r="S33" s="7">
        <v>47.110636176576634</v>
      </c>
    </row>
    <row r="34" spans="1:19" s="1" customFormat="1" ht="16.5" customHeight="1" x14ac:dyDescent="0.35">
      <c r="A34" s="3">
        <v>102</v>
      </c>
      <c r="B34" s="3">
        <v>61937</v>
      </c>
      <c r="C34" s="4" t="s">
        <v>103</v>
      </c>
      <c r="D34" s="6">
        <v>10</v>
      </c>
      <c r="E34" s="6">
        <v>2.67</v>
      </c>
      <c r="F34" s="12">
        <v>10</v>
      </c>
      <c r="G34" s="15">
        <f>F34*D34</f>
        <v>100</v>
      </c>
      <c r="H34" s="15">
        <f>E34*F34</f>
        <v>26.7</v>
      </c>
      <c r="I34" s="15">
        <f>G34-H34</f>
        <v>73.3</v>
      </c>
      <c r="J34" s="18">
        <f t="shared" si="0"/>
        <v>0.73299999999999998</v>
      </c>
      <c r="K34" s="7">
        <v>4003.5</v>
      </c>
      <c r="L34" s="7">
        <v>3481.304347826087</v>
      </c>
      <c r="M34" s="7">
        <v>1070.6699999999998</v>
      </c>
      <c r="N34" s="7">
        <v>401</v>
      </c>
      <c r="O34" s="7">
        <v>2410.6343478260878</v>
      </c>
      <c r="P34" s="7">
        <v>9.9837905236907734</v>
      </c>
      <c r="Q34" s="7">
        <v>8.6815569771224119</v>
      </c>
      <c r="R34" s="7">
        <v>2.6699999999999995</v>
      </c>
      <c r="S34" s="7">
        <v>69.245147995503956</v>
      </c>
    </row>
    <row r="35" spans="1:19" s="1" customFormat="1" ht="16.5" customHeight="1" x14ac:dyDescent="0.35">
      <c r="A35" s="3">
        <v>102</v>
      </c>
      <c r="B35" s="3">
        <v>33031</v>
      </c>
      <c r="C35" s="4" t="s">
        <v>84</v>
      </c>
      <c r="D35" s="6">
        <v>17.989999999999998</v>
      </c>
      <c r="E35" s="6">
        <v>9.1199999999999992</v>
      </c>
      <c r="F35" s="12">
        <v>8</v>
      </c>
      <c r="G35" s="15">
        <f>F35*D35</f>
        <v>143.91999999999999</v>
      </c>
      <c r="H35" s="15">
        <f>E35*F35</f>
        <v>72.959999999999994</v>
      </c>
      <c r="I35" s="15">
        <f>G35-H35</f>
        <v>70.959999999999994</v>
      </c>
      <c r="J35" s="18">
        <f t="shared" si="0"/>
        <v>0.49305169538632576</v>
      </c>
      <c r="K35" s="7">
        <v>34637.33</v>
      </c>
      <c r="L35" s="7">
        <v>30119.417391304345</v>
      </c>
      <c r="M35" s="7">
        <v>17468.530000000002</v>
      </c>
      <c r="N35" s="7">
        <v>1937</v>
      </c>
      <c r="O35" s="7">
        <v>12650.887391304346</v>
      </c>
      <c r="P35" s="7">
        <v>17.881946308724832</v>
      </c>
      <c r="Q35" s="7">
        <v>15.54951852932594</v>
      </c>
      <c r="R35" s="7">
        <v>9.0183427981414575</v>
      </c>
      <c r="S35" s="7">
        <v>42.002430614599909</v>
      </c>
    </row>
    <row r="36" spans="1:19" s="1" customFormat="1" ht="16.5" customHeight="1" x14ac:dyDescent="0.35">
      <c r="A36" s="3">
        <v>102</v>
      </c>
      <c r="B36" s="3">
        <v>38977</v>
      </c>
      <c r="C36" s="4" t="s">
        <v>82</v>
      </c>
      <c r="D36" s="6">
        <v>18.989999999999998</v>
      </c>
      <c r="E36" s="6">
        <v>9.6999999999999993</v>
      </c>
      <c r="F36" s="12">
        <v>8</v>
      </c>
      <c r="G36" s="15">
        <f>F36*D36</f>
        <v>151.91999999999999</v>
      </c>
      <c r="H36" s="15">
        <f>E36*F36</f>
        <v>77.599999999999994</v>
      </c>
      <c r="I36" s="15">
        <f>G36-H36</f>
        <v>74.319999999999993</v>
      </c>
      <c r="J36" s="18">
        <f t="shared" si="0"/>
        <v>0.48920484465508163</v>
      </c>
      <c r="K36" s="7">
        <v>58982.93</v>
      </c>
      <c r="L36" s="7">
        <v>51289.504347826078</v>
      </c>
      <c r="M36" s="7">
        <v>30147.600000000002</v>
      </c>
      <c r="N36" s="7">
        <v>3108</v>
      </c>
      <c r="O36" s="7">
        <v>21141.904347826083</v>
      </c>
      <c r="P36" s="7">
        <v>18.977776705276707</v>
      </c>
      <c r="Q36" s="7">
        <v>16.502414526327566</v>
      </c>
      <c r="R36" s="7">
        <v>9.7000000000000011</v>
      </c>
      <c r="S36" s="7">
        <v>41.220722673492141</v>
      </c>
    </row>
    <row r="37" spans="1:19" s="1" customFormat="1" ht="16.5" customHeight="1" x14ac:dyDescent="0.35">
      <c r="A37" s="3">
        <v>102</v>
      </c>
      <c r="B37" s="3">
        <v>32131</v>
      </c>
      <c r="C37" s="4" t="s">
        <v>81</v>
      </c>
      <c r="D37" s="6">
        <v>18.989999999999998</v>
      </c>
      <c r="E37" s="6">
        <v>9.1300000000000008</v>
      </c>
      <c r="F37" s="12">
        <v>8</v>
      </c>
      <c r="G37" s="15">
        <f>F37*D37</f>
        <v>151.91999999999999</v>
      </c>
      <c r="H37" s="15">
        <f>E37*F37</f>
        <v>73.040000000000006</v>
      </c>
      <c r="I37" s="15">
        <f>G37-H37</f>
        <v>78.879999999999981</v>
      </c>
      <c r="J37" s="18">
        <f t="shared" si="0"/>
        <v>0.51922064244339117</v>
      </c>
      <c r="K37" s="7">
        <v>62399.23000000001</v>
      </c>
      <c r="L37" s="7">
        <v>54260.200000000004</v>
      </c>
      <c r="M37" s="7">
        <v>30028.57</v>
      </c>
      <c r="N37" s="7">
        <v>3289</v>
      </c>
      <c r="O37" s="7">
        <v>24231.630000000012</v>
      </c>
      <c r="P37" s="7">
        <v>18.972097902097904</v>
      </c>
      <c r="Q37" s="7">
        <v>16.497476436606874</v>
      </c>
      <c r="R37" s="7">
        <v>9.1300000000000008</v>
      </c>
      <c r="S37" s="7">
        <v>44.658202513075892</v>
      </c>
    </row>
    <row r="38" spans="1:19" s="1" customFormat="1" ht="16.5" customHeight="1" x14ac:dyDescent="0.35">
      <c r="A38" s="3">
        <v>101</v>
      </c>
      <c r="B38" s="3">
        <v>32062</v>
      </c>
      <c r="C38" s="4" t="s">
        <v>43</v>
      </c>
      <c r="D38" s="6">
        <v>24.99</v>
      </c>
      <c r="E38" s="6">
        <v>9.68</v>
      </c>
      <c r="F38" s="12">
        <v>6</v>
      </c>
      <c r="G38" s="15">
        <f>F38*D38</f>
        <v>149.94</v>
      </c>
      <c r="H38" s="15">
        <f>E38*F38</f>
        <v>58.08</v>
      </c>
      <c r="I38" s="15">
        <f>G38-H38</f>
        <v>91.86</v>
      </c>
      <c r="J38" s="18">
        <f t="shared" si="0"/>
        <v>0.61264505802320934</v>
      </c>
      <c r="K38" s="7">
        <v>6057.57</v>
      </c>
      <c r="L38" s="7">
        <v>5267.452173913045</v>
      </c>
      <c r="M38" s="7">
        <v>2352.2400000000007</v>
      </c>
      <c r="N38" s="7">
        <v>243</v>
      </c>
      <c r="O38" s="7">
        <v>2915.2121739130425</v>
      </c>
      <c r="P38" s="7">
        <v>24.928271604938271</v>
      </c>
      <c r="Q38" s="7">
        <v>21.676757917337635</v>
      </c>
      <c r="R38" s="7">
        <v>9.6800000000000033</v>
      </c>
      <c r="S38" s="7">
        <v>55.343875514438942</v>
      </c>
    </row>
    <row r="39" spans="1:19" s="1" customFormat="1" ht="16.5" customHeight="1" x14ac:dyDescent="0.35">
      <c r="A39" s="3">
        <v>101</v>
      </c>
      <c r="B39" s="3">
        <v>32063</v>
      </c>
      <c r="C39" s="4" t="s">
        <v>44</v>
      </c>
      <c r="D39" s="6">
        <v>19.989999999999998</v>
      </c>
      <c r="E39" s="6">
        <v>8.5</v>
      </c>
      <c r="F39" s="12">
        <v>6</v>
      </c>
      <c r="G39" s="15">
        <f>F39*D39</f>
        <v>119.94</v>
      </c>
      <c r="H39" s="15">
        <f>E39*F39</f>
        <v>51</v>
      </c>
      <c r="I39" s="15">
        <f>G39-H39</f>
        <v>68.94</v>
      </c>
      <c r="J39" s="18">
        <f t="shared" si="0"/>
        <v>0.57478739369684839</v>
      </c>
      <c r="K39" s="7">
        <v>5508.24</v>
      </c>
      <c r="L39" s="7">
        <v>4789.7739130434793</v>
      </c>
      <c r="M39" s="7">
        <v>2346</v>
      </c>
      <c r="N39" s="7">
        <v>276</v>
      </c>
      <c r="O39" s="7">
        <v>2443.7739130434775</v>
      </c>
      <c r="P39" s="7">
        <v>19.957391304347826</v>
      </c>
      <c r="Q39" s="7">
        <v>17.354253308128548</v>
      </c>
      <c r="R39" s="7">
        <v>8.5</v>
      </c>
      <c r="S39" s="7">
        <v>51.020652694871671</v>
      </c>
    </row>
    <row r="40" spans="1:19" s="1" customFormat="1" ht="16.5" customHeight="1" x14ac:dyDescent="0.35">
      <c r="A40" s="3">
        <v>101</v>
      </c>
      <c r="B40" s="3">
        <v>34011</v>
      </c>
      <c r="C40" s="4" t="s">
        <v>56</v>
      </c>
      <c r="D40" s="6">
        <v>19.989999999999998</v>
      </c>
      <c r="E40" s="6">
        <v>2.63</v>
      </c>
      <c r="F40" s="12">
        <v>6</v>
      </c>
      <c r="G40" s="15">
        <f>F40*D40</f>
        <v>119.94</v>
      </c>
      <c r="H40" s="15">
        <f>E40*F40</f>
        <v>15.78</v>
      </c>
      <c r="I40" s="15">
        <f>G40-H40</f>
        <v>104.16</v>
      </c>
      <c r="J40" s="18">
        <f t="shared" si="0"/>
        <v>0.86843421710855428</v>
      </c>
      <c r="K40" s="7">
        <v>757.61999999999989</v>
      </c>
      <c r="L40" s="7">
        <v>658.79999999999984</v>
      </c>
      <c r="M40" s="7">
        <v>99.939999999999984</v>
      </c>
      <c r="N40" s="7">
        <v>38</v>
      </c>
      <c r="O40" s="7">
        <v>558.86</v>
      </c>
      <c r="P40" s="7">
        <v>19.937368421052629</v>
      </c>
      <c r="Q40" s="7">
        <v>17.336842105263155</v>
      </c>
      <c r="R40" s="7">
        <v>2.6299999999999994</v>
      </c>
      <c r="S40" s="7">
        <v>84.829993928354597</v>
      </c>
    </row>
    <row r="41" spans="1:19" s="1" customFormat="1" ht="16.5" customHeight="1" x14ac:dyDescent="0.35">
      <c r="A41" s="3">
        <v>101</v>
      </c>
      <c r="B41" s="3">
        <v>34053</v>
      </c>
      <c r="C41" s="4" t="s">
        <v>47</v>
      </c>
      <c r="D41" s="6">
        <v>15.99</v>
      </c>
      <c r="E41" s="6">
        <v>6.74</v>
      </c>
      <c r="F41" s="12">
        <v>6</v>
      </c>
      <c r="G41" s="15">
        <f>F41*D41</f>
        <v>95.94</v>
      </c>
      <c r="H41" s="15">
        <f>E41*F41</f>
        <v>40.44</v>
      </c>
      <c r="I41" s="15">
        <f>G41-H41</f>
        <v>55.5</v>
      </c>
      <c r="J41" s="18">
        <f t="shared" si="0"/>
        <v>0.57848655409631022</v>
      </c>
      <c r="K41" s="7">
        <v>3189.9999999999995</v>
      </c>
      <c r="L41" s="7">
        <v>2773.913043478261</v>
      </c>
      <c r="M41" s="7">
        <v>1348.0000000000005</v>
      </c>
      <c r="N41" s="7">
        <v>200</v>
      </c>
      <c r="O41" s="7">
        <v>1425.9130434782601</v>
      </c>
      <c r="P41" s="7">
        <v>15.949999999999998</v>
      </c>
      <c r="Q41" s="7">
        <v>13.869565217391305</v>
      </c>
      <c r="R41" s="7">
        <v>6.740000000000002</v>
      </c>
      <c r="S41" s="7">
        <v>51.404388714733514</v>
      </c>
    </row>
    <row r="42" spans="1:19" s="1" customFormat="1" ht="16.5" customHeight="1" x14ac:dyDescent="0.35">
      <c r="A42" s="3">
        <v>102</v>
      </c>
      <c r="B42" s="3">
        <v>32152</v>
      </c>
      <c r="C42" s="4" t="s">
        <v>87</v>
      </c>
      <c r="D42" s="6">
        <v>12.99</v>
      </c>
      <c r="E42" s="6">
        <v>6.77</v>
      </c>
      <c r="F42" s="12">
        <v>6</v>
      </c>
      <c r="G42" s="15">
        <f>F42*D42</f>
        <v>77.94</v>
      </c>
      <c r="H42" s="15">
        <f>E42*F42</f>
        <v>40.619999999999997</v>
      </c>
      <c r="I42" s="15">
        <f>G42-H42</f>
        <v>37.32</v>
      </c>
      <c r="J42" s="18">
        <f t="shared" si="0"/>
        <v>0.47882986913010012</v>
      </c>
      <c r="K42" s="7">
        <v>31987.21</v>
      </c>
      <c r="L42" s="7">
        <v>27814.965217391309</v>
      </c>
      <c r="M42" s="7">
        <v>16688.05</v>
      </c>
      <c r="N42" s="7">
        <v>2465</v>
      </c>
      <c r="O42" s="7">
        <v>11126.915217391303</v>
      </c>
      <c r="P42" s="7">
        <v>12.976555780933063</v>
      </c>
      <c r="Q42" s="7">
        <v>11.283961548637448</v>
      </c>
      <c r="R42" s="7">
        <v>6.77</v>
      </c>
      <c r="S42" s="7">
        <v>40.003340397615169</v>
      </c>
    </row>
    <row r="43" spans="1:19" s="1" customFormat="1" ht="16.5" customHeight="1" x14ac:dyDescent="0.35">
      <c r="A43" s="3">
        <v>102</v>
      </c>
      <c r="B43" s="3">
        <v>32855</v>
      </c>
      <c r="C43" s="4" t="s">
        <v>93</v>
      </c>
      <c r="D43" s="6">
        <v>17.989999999999998</v>
      </c>
      <c r="E43" s="6">
        <v>9.14</v>
      </c>
      <c r="F43" s="12">
        <v>6</v>
      </c>
      <c r="G43" s="15">
        <f>F43*D43</f>
        <v>107.94</v>
      </c>
      <c r="H43" s="15">
        <f>E43*F43</f>
        <v>54.84</v>
      </c>
      <c r="I43" s="15">
        <f>G43-H43</f>
        <v>53.099999999999994</v>
      </c>
      <c r="J43" s="18">
        <f t="shared" si="0"/>
        <v>0.49193996664813783</v>
      </c>
      <c r="K43" s="7">
        <v>15192.550000000003</v>
      </c>
      <c r="L43" s="7">
        <v>13210.913043478264</v>
      </c>
      <c r="M43" s="7">
        <v>7732.4399999999987</v>
      </c>
      <c r="N43" s="7">
        <v>846</v>
      </c>
      <c r="O43" s="7">
        <v>5478.473043478265</v>
      </c>
      <c r="P43" s="7">
        <v>17.958096926713953</v>
      </c>
      <c r="Q43" s="7">
        <v>15.615736458012131</v>
      </c>
      <c r="R43" s="7">
        <v>9.1399999999999988</v>
      </c>
      <c r="S43" s="7">
        <v>41.469299097254925</v>
      </c>
    </row>
    <row r="44" spans="1:19" s="1" customFormat="1" ht="16.5" customHeight="1" x14ac:dyDescent="0.35">
      <c r="A44" s="3">
        <v>102</v>
      </c>
      <c r="B44" s="3">
        <v>32872</v>
      </c>
      <c r="C44" s="4" t="s">
        <v>85</v>
      </c>
      <c r="D44" s="6">
        <v>39.99</v>
      </c>
      <c r="E44" s="6">
        <v>11.79</v>
      </c>
      <c r="F44" s="12">
        <v>6</v>
      </c>
      <c r="G44" s="15">
        <f>F44*D44</f>
        <v>239.94</v>
      </c>
      <c r="H44" s="15">
        <f>E44*F44</f>
        <v>70.739999999999995</v>
      </c>
      <c r="I44" s="15">
        <f>G44-H44</f>
        <v>169.2</v>
      </c>
      <c r="J44" s="18">
        <f t="shared" si="0"/>
        <v>0.70517629407351834</v>
      </c>
      <c r="K44" s="7">
        <v>34544.649999999994</v>
      </c>
      <c r="L44" s="7">
        <v>30038.82608695652</v>
      </c>
      <c r="M44" s="7">
        <v>11082.6</v>
      </c>
      <c r="N44" s="7">
        <v>940</v>
      </c>
      <c r="O44" s="7">
        <v>18956.226086956514</v>
      </c>
      <c r="P44" s="7">
        <v>36.749627659574465</v>
      </c>
      <c r="Q44" s="7">
        <v>31.956197964847362</v>
      </c>
      <c r="R44" s="7">
        <v>11.790000000000001</v>
      </c>
      <c r="S44" s="7">
        <v>63.105748647040848</v>
      </c>
    </row>
    <row r="45" spans="1:19" s="1" customFormat="1" ht="16.5" customHeight="1" x14ac:dyDescent="0.35">
      <c r="A45" s="3">
        <v>102</v>
      </c>
      <c r="B45" s="3">
        <v>39422</v>
      </c>
      <c r="C45" s="4" t="s">
        <v>101</v>
      </c>
      <c r="D45" s="6">
        <v>15.99</v>
      </c>
      <c r="E45" s="6">
        <v>8.3000000000000007</v>
      </c>
      <c r="F45" s="12">
        <v>6</v>
      </c>
      <c r="G45" s="15">
        <f>F45*D45</f>
        <v>95.94</v>
      </c>
      <c r="H45" s="15">
        <f>E45*F45</f>
        <v>49.800000000000004</v>
      </c>
      <c r="I45" s="15">
        <f>G45-H45</f>
        <v>46.139999999999993</v>
      </c>
      <c r="J45" s="18">
        <f t="shared" si="0"/>
        <v>0.48092557848655404</v>
      </c>
      <c r="K45" s="7">
        <v>6411.9900000000016</v>
      </c>
      <c r="L45" s="7">
        <v>5575.6434782608703</v>
      </c>
      <c r="M45" s="7">
        <v>3328.3000000000006</v>
      </c>
      <c r="N45" s="7">
        <v>401</v>
      </c>
      <c r="O45" s="7">
        <v>2247.3434782608697</v>
      </c>
      <c r="P45" s="7">
        <v>15.990000000000004</v>
      </c>
      <c r="Q45" s="7">
        <v>13.904347826086958</v>
      </c>
      <c r="R45" s="7">
        <v>8.3000000000000007</v>
      </c>
      <c r="S45" s="7">
        <v>40.306441525953716</v>
      </c>
    </row>
    <row r="46" spans="1:19" s="1" customFormat="1" ht="16.5" customHeight="1" x14ac:dyDescent="0.35">
      <c r="A46" s="3">
        <v>117</v>
      </c>
      <c r="B46" s="3">
        <v>41620</v>
      </c>
      <c r="C46" s="4" t="s">
        <v>211</v>
      </c>
      <c r="D46" s="6">
        <v>15.99</v>
      </c>
      <c r="E46" s="6">
        <v>8.11</v>
      </c>
      <c r="F46" s="12">
        <v>6</v>
      </c>
      <c r="G46" s="15">
        <f>F46*D46</f>
        <v>95.94</v>
      </c>
      <c r="H46" s="15">
        <f>E46*F46</f>
        <v>48.66</v>
      </c>
      <c r="I46" s="15">
        <f>G46-H46</f>
        <v>47.28</v>
      </c>
      <c r="J46" s="18">
        <f t="shared" si="0"/>
        <v>0.49280800500312699</v>
      </c>
      <c r="K46" s="7">
        <v>430.93</v>
      </c>
      <c r="L46" s="7">
        <v>374.7217391304348</v>
      </c>
      <c r="M46" s="7">
        <v>218.97</v>
      </c>
      <c r="N46" s="7">
        <v>27</v>
      </c>
      <c r="O46" s="7">
        <v>155.7517391304348</v>
      </c>
      <c r="P46" s="7">
        <v>15.96037037037037</v>
      </c>
      <c r="Q46" s="7">
        <v>13.878582930756844</v>
      </c>
      <c r="R46" s="7">
        <v>8.11</v>
      </c>
      <c r="S46" s="7">
        <v>41.5646392685587</v>
      </c>
    </row>
    <row r="47" spans="1:19" s="1" customFormat="1" ht="16.5" customHeight="1" x14ac:dyDescent="0.35">
      <c r="A47" s="3">
        <v>102</v>
      </c>
      <c r="B47" s="3">
        <v>55481</v>
      </c>
      <c r="C47" s="4" t="s">
        <v>92</v>
      </c>
      <c r="D47" s="6">
        <v>11.99</v>
      </c>
      <c r="E47" s="6">
        <v>5.0999999999999996</v>
      </c>
      <c r="F47" s="12">
        <v>6</v>
      </c>
      <c r="G47" s="15">
        <f>F47*D47</f>
        <v>71.94</v>
      </c>
      <c r="H47" s="15">
        <f>E47*F47</f>
        <v>30.599999999999998</v>
      </c>
      <c r="I47" s="15">
        <f>G47-H47</f>
        <v>41.34</v>
      </c>
      <c r="J47" s="18">
        <f t="shared" si="0"/>
        <v>0.57464553794829032</v>
      </c>
      <c r="K47" s="7">
        <v>19072.490000000009</v>
      </c>
      <c r="L47" s="7">
        <v>16584.773913043486</v>
      </c>
      <c r="M47" s="7">
        <v>8124.3000000000011</v>
      </c>
      <c r="N47" s="7">
        <v>1593</v>
      </c>
      <c r="O47" s="7">
        <v>8460.4739130434846</v>
      </c>
      <c r="P47" s="7">
        <v>11.972686754551168</v>
      </c>
      <c r="Q47" s="7">
        <v>10.411031960479276</v>
      </c>
      <c r="R47" s="7">
        <v>5.1000000000000005</v>
      </c>
      <c r="S47" s="7">
        <v>51.013501645563863</v>
      </c>
    </row>
    <row r="48" spans="1:19" s="1" customFormat="1" ht="16.5" customHeight="1" x14ac:dyDescent="0.35">
      <c r="A48" s="3">
        <v>104</v>
      </c>
      <c r="B48" s="3">
        <v>34080</v>
      </c>
      <c r="C48" s="4" t="s">
        <v>191</v>
      </c>
      <c r="D48" s="6">
        <v>49.99</v>
      </c>
      <c r="E48" s="6">
        <v>28.67</v>
      </c>
      <c r="F48" s="12">
        <v>5</v>
      </c>
      <c r="G48" s="15">
        <f>F48*D48</f>
        <v>249.95000000000002</v>
      </c>
      <c r="H48" s="15">
        <f>E48*F48</f>
        <v>143.35000000000002</v>
      </c>
      <c r="I48" s="15">
        <f>G48-H48</f>
        <v>106.6</v>
      </c>
      <c r="J48" s="18">
        <f t="shared" si="0"/>
        <v>0.42648529705941185</v>
      </c>
      <c r="K48" s="7">
        <v>12642.460000000001</v>
      </c>
      <c r="L48" s="7">
        <v>10993.443478260871</v>
      </c>
      <c r="M48" s="7">
        <v>7282.18</v>
      </c>
      <c r="N48" s="7">
        <v>254</v>
      </c>
      <c r="O48" s="7">
        <v>3711.2634782608693</v>
      </c>
      <c r="P48" s="7">
        <v>49.773464566929135</v>
      </c>
      <c r="Q48" s="7">
        <v>43.281273536460127</v>
      </c>
      <c r="R48" s="7">
        <v>28.67</v>
      </c>
      <c r="S48" s="7">
        <v>33.758880787441683</v>
      </c>
    </row>
    <row r="49" spans="1:19" s="1" customFormat="1" ht="16.5" customHeight="1" x14ac:dyDescent="0.35">
      <c r="A49" s="3">
        <v>104</v>
      </c>
      <c r="B49" s="3">
        <v>34082</v>
      </c>
      <c r="C49" s="4" t="s">
        <v>194</v>
      </c>
      <c r="D49" s="6">
        <v>49.99</v>
      </c>
      <c r="E49" s="6">
        <v>24.65</v>
      </c>
      <c r="F49" s="12">
        <v>5</v>
      </c>
      <c r="G49" s="15">
        <f>F49*D49</f>
        <v>249.95000000000002</v>
      </c>
      <c r="H49" s="15">
        <f>E49*F49</f>
        <v>123.25</v>
      </c>
      <c r="I49" s="15">
        <f>G49-H49</f>
        <v>126.70000000000002</v>
      </c>
      <c r="J49" s="18">
        <f t="shared" si="0"/>
        <v>0.50690138027605525</v>
      </c>
      <c r="K49" s="7">
        <v>4711.5599999999986</v>
      </c>
      <c r="L49" s="7">
        <v>4097.0086956521736</v>
      </c>
      <c r="M49" s="7">
        <v>2341.75</v>
      </c>
      <c r="N49" s="7">
        <v>95</v>
      </c>
      <c r="O49" s="7">
        <v>1755.2586956521727</v>
      </c>
      <c r="P49" s="7">
        <v>49.595368421052619</v>
      </c>
      <c r="Q49" s="7">
        <v>43.126407322654458</v>
      </c>
      <c r="R49" s="7">
        <v>24.65</v>
      </c>
      <c r="S49" s="7">
        <v>42.842444965149525</v>
      </c>
    </row>
    <row r="50" spans="1:19" s="1" customFormat="1" ht="16.5" customHeight="1" x14ac:dyDescent="0.35">
      <c r="A50" s="3">
        <v>104</v>
      </c>
      <c r="B50" s="3">
        <v>34079</v>
      </c>
      <c r="C50" s="4" t="s">
        <v>193</v>
      </c>
      <c r="D50" s="6">
        <v>49.99</v>
      </c>
      <c r="E50" s="6">
        <v>25.03</v>
      </c>
      <c r="F50" s="12">
        <v>3</v>
      </c>
      <c r="G50" s="15">
        <f>F50*D50</f>
        <v>149.97</v>
      </c>
      <c r="H50" s="15">
        <f>E50*F50</f>
        <v>75.09</v>
      </c>
      <c r="I50" s="15">
        <f>G50-H50</f>
        <v>74.88</v>
      </c>
      <c r="J50" s="18">
        <f>IFERROR(I50/G50,0)</f>
        <v>0.49929985997199439</v>
      </c>
      <c r="K50" s="7">
        <v>6481.1899999999987</v>
      </c>
      <c r="L50" s="7">
        <v>5635.8173913043483</v>
      </c>
      <c r="M50" s="7">
        <v>3278.9300000000003</v>
      </c>
      <c r="N50" s="7">
        <v>131</v>
      </c>
      <c r="O50" s="7">
        <v>2356.8873913043462</v>
      </c>
      <c r="P50" s="7">
        <v>49.47473282442747</v>
      </c>
      <c r="Q50" s="7">
        <v>43.021506803849988</v>
      </c>
      <c r="R50" s="7">
        <v>25.03</v>
      </c>
      <c r="S50" s="7">
        <v>41.819796981727102</v>
      </c>
    </row>
    <row r="51" spans="1:19" s="1" customFormat="1" ht="16.5" customHeight="1" x14ac:dyDescent="0.35">
      <c r="A51" s="3">
        <v>102</v>
      </c>
      <c r="B51" s="3">
        <v>32066</v>
      </c>
      <c r="C51" s="4" t="s">
        <v>96</v>
      </c>
      <c r="D51" s="6">
        <v>10</v>
      </c>
      <c r="E51" s="6">
        <v>4.5</v>
      </c>
      <c r="F51" s="12">
        <v>0</v>
      </c>
      <c r="G51" s="15">
        <f>F51*D51</f>
        <v>0</v>
      </c>
      <c r="H51" s="15">
        <f>E51*F51</f>
        <v>0</v>
      </c>
      <c r="I51" s="15">
        <f>G51-H51</f>
        <v>0</v>
      </c>
      <c r="J51" s="18">
        <f>IFERROR(I51/G51,0)</f>
        <v>0</v>
      </c>
      <c r="K51" s="7">
        <v>10203.790000000001</v>
      </c>
      <c r="L51" s="7">
        <v>8872.8608695652165</v>
      </c>
      <c r="M51" s="7">
        <v>4131</v>
      </c>
      <c r="N51" s="7">
        <v>918</v>
      </c>
      <c r="O51" s="7">
        <v>4741.8608695652183</v>
      </c>
      <c r="P51" s="7">
        <v>11.115239651416124</v>
      </c>
      <c r="Q51" s="7">
        <v>9.6654257838401048</v>
      </c>
      <c r="R51" s="7">
        <v>4.5</v>
      </c>
      <c r="S51" s="7">
        <v>53.44229938091631</v>
      </c>
    </row>
    <row r="52" spans="1:19" s="1" customFormat="1" ht="16.5" customHeight="1" x14ac:dyDescent="0.35">
      <c r="A52" s="3">
        <v>101</v>
      </c>
      <c r="B52" s="3">
        <v>32067</v>
      </c>
      <c r="C52" s="4" t="s">
        <v>25</v>
      </c>
      <c r="D52" s="6">
        <v>34.99</v>
      </c>
      <c r="E52" s="6">
        <v>15.91</v>
      </c>
      <c r="F52" s="12">
        <v>0</v>
      </c>
      <c r="G52" s="15">
        <f t="shared" ref="G52:G115" si="1">F52*D52</f>
        <v>0</v>
      </c>
      <c r="H52" s="15">
        <f t="shared" ref="H52:H115" si="2">E52*F52</f>
        <v>0</v>
      </c>
      <c r="I52" s="15">
        <f t="shared" ref="I52:I115" si="3">G52-H52</f>
        <v>0</v>
      </c>
      <c r="J52" s="18">
        <f t="shared" ref="J52:J115" si="4">IFERROR(I52/G52,0)</f>
        <v>0</v>
      </c>
      <c r="K52" s="7">
        <v>27072.79</v>
      </c>
      <c r="L52" s="7">
        <v>23541.556521739138</v>
      </c>
      <c r="M52" s="7">
        <v>12664.360000000004</v>
      </c>
      <c r="N52" s="7">
        <v>796</v>
      </c>
      <c r="O52" s="7">
        <v>10877.196521739126</v>
      </c>
      <c r="P52" s="7">
        <v>34.011042713567839</v>
      </c>
      <c r="Q52" s="7">
        <v>29.574819750928565</v>
      </c>
      <c r="R52" s="7">
        <v>15.910000000000005</v>
      </c>
      <c r="S52" s="7">
        <v>46.204236800122914</v>
      </c>
    </row>
    <row r="53" spans="1:19" s="1" customFormat="1" ht="16.5" customHeight="1" x14ac:dyDescent="0.35">
      <c r="A53" s="3">
        <v>102</v>
      </c>
      <c r="B53" s="3">
        <v>32124</v>
      </c>
      <c r="C53" s="4" t="s">
        <v>149</v>
      </c>
      <c r="D53" s="6">
        <v>47.99</v>
      </c>
      <c r="E53" s="6">
        <v>10.44</v>
      </c>
      <c r="F53" s="12">
        <v>0</v>
      </c>
      <c r="G53" s="15">
        <f t="shared" si="1"/>
        <v>0</v>
      </c>
      <c r="H53" s="15">
        <f t="shared" si="2"/>
        <v>0</v>
      </c>
      <c r="I53" s="15">
        <f t="shared" si="3"/>
        <v>0</v>
      </c>
      <c r="J53" s="18">
        <f t="shared" si="4"/>
        <v>0</v>
      </c>
      <c r="K53" s="7">
        <v>95.98</v>
      </c>
      <c r="L53" s="7">
        <v>83.460869565217394</v>
      </c>
      <c r="M53" s="7">
        <v>20.88</v>
      </c>
      <c r="N53" s="7">
        <v>2</v>
      </c>
      <c r="O53" s="7">
        <v>62.580869565217398</v>
      </c>
      <c r="P53" s="7">
        <v>47.99</v>
      </c>
      <c r="Q53" s="7">
        <v>41.730434782608697</v>
      </c>
      <c r="R53" s="7">
        <v>10.44</v>
      </c>
      <c r="S53" s="7">
        <v>74.982287976661809</v>
      </c>
    </row>
    <row r="54" spans="1:19" s="1" customFormat="1" ht="16.5" customHeight="1" x14ac:dyDescent="0.35">
      <c r="A54" s="3">
        <v>102</v>
      </c>
      <c r="B54" s="3">
        <v>32125</v>
      </c>
      <c r="C54" s="4" t="s">
        <v>138</v>
      </c>
      <c r="D54" s="6">
        <v>3</v>
      </c>
      <c r="E54" s="6">
        <v>1.29</v>
      </c>
      <c r="F54" s="12">
        <v>0</v>
      </c>
      <c r="G54" s="15">
        <f t="shared" si="1"/>
        <v>0</v>
      </c>
      <c r="H54" s="15">
        <f t="shared" si="2"/>
        <v>0</v>
      </c>
      <c r="I54" s="15">
        <f t="shared" si="3"/>
        <v>0</v>
      </c>
      <c r="J54" s="18">
        <f t="shared" si="4"/>
        <v>0</v>
      </c>
      <c r="K54" s="7">
        <v>312</v>
      </c>
      <c r="L54" s="7">
        <v>271.30434782608694</v>
      </c>
      <c r="M54" s="7">
        <v>163.82999999999998</v>
      </c>
      <c r="N54" s="7">
        <v>127</v>
      </c>
      <c r="O54" s="7">
        <v>107.47434782608696</v>
      </c>
      <c r="P54" s="7">
        <v>2.4566929133858268</v>
      </c>
      <c r="Q54" s="7">
        <v>2.1362547072920233</v>
      </c>
      <c r="R54" s="7">
        <v>1.2899999999999998</v>
      </c>
      <c r="S54" s="7">
        <v>39.613942307692305</v>
      </c>
    </row>
    <row r="55" spans="1:19" s="1" customFormat="1" ht="16.5" customHeight="1" x14ac:dyDescent="0.35">
      <c r="A55" s="3">
        <v>102</v>
      </c>
      <c r="B55" s="3">
        <v>32128</v>
      </c>
      <c r="C55" s="4" t="s">
        <v>83</v>
      </c>
      <c r="D55" s="6">
        <v>18.989999999999998</v>
      </c>
      <c r="E55" s="6">
        <v>11</v>
      </c>
      <c r="F55" s="12">
        <v>0</v>
      </c>
      <c r="G55" s="15">
        <f t="shared" si="1"/>
        <v>0</v>
      </c>
      <c r="H55" s="15">
        <f t="shared" si="2"/>
        <v>0</v>
      </c>
      <c r="I55" s="15">
        <f t="shared" si="3"/>
        <v>0</v>
      </c>
      <c r="J55" s="18">
        <f t="shared" si="4"/>
        <v>0</v>
      </c>
      <c r="K55" s="7">
        <v>35786.65</v>
      </c>
      <c r="L55" s="7">
        <v>31118.82608695652</v>
      </c>
      <c r="M55" s="7">
        <v>20735</v>
      </c>
      <c r="N55" s="7">
        <v>1885</v>
      </c>
      <c r="O55" s="7">
        <v>10383.826086956524</v>
      </c>
      <c r="P55" s="7">
        <v>18.984960212201592</v>
      </c>
      <c r="Q55" s="7">
        <v>16.508661054088339</v>
      </c>
      <c r="R55" s="7">
        <v>11</v>
      </c>
      <c r="S55" s="7">
        <v>33.368309132036671</v>
      </c>
    </row>
    <row r="56" spans="1:19" s="1" customFormat="1" ht="16.5" customHeight="1" x14ac:dyDescent="0.35">
      <c r="A56" s="3">
        <v>119</v>
      </c>
      <c r="B56" s="3">
        <v>32130</v>
      </c>
      <c r="C56" s="4" t="s">
        <v>229</v>
      </c>
      <c r="D56" s="6">
        <v>140</v>
      </c>
      <c r="E56" s="6">
        <v>92.6</v>
      </c>
      <c r="F56" s="12">
        <v>0</v>
      </c>
      <c r="G56" s="15">
        <f t="shared" si="1"/>
        <v>0</v>
      </c>
      <c r="H56" s="15">
        <f t="shared" si="2"/>
        <v>0</v>
      </c>
      <c r="I56" s="15">
        <f t="shared" si="3"/>
        <v>0</v>
      </c>
      <c r="J56" s="18">
        <f t="shared" si="4"/>
        <v>0</v>
      </c>
      <c r="K56" s="7">
        <v>840</v>
      </c>
      <c r="L56" s="7">
        <v>730.43478260869563</v>
      </c>
      <c r="M56" s="7">
        <v>555.59999999999991</v>
      </c>
      <c r="N56" s="7">
        <v>6</v>
      </c>
      <c r="O56" s="7">
        <v>174.83478260869572</v>
      </c>
      <c r="P56" s="7">
        <v>140</v>
      </c>
      <c r="Q56" s="7">
        <v>121.73913043478261</v>
      </c>
      <c r="R56" s="7">
        <v>92.59999999999998</v>
      </c>
      <c r="S56" s="7">
        <v>23.935714285714297</v>
      </c>
    </row>
    <row r="57" spans="1:19" s="1" customFormat="1" ht="16.5" customHeight="1" x14ac:dyDescent="0.35">
      <c r="A57" s="3">
        <v>102</v>
      </c>
      <c r="B57" s="3">
        <v>32149</v>
      </c>
      <c r="C57" s="4" t="s">
        <v>99</v>
      </c>
      <c r="D57" s="6">
        <v>24.99</v>
      </c>
      <c r="E57" s="6">
        <v>13</v>
      </c>
      <c r="F57" s="12">
        <v>0</v>
      </c>
      <c r="G57" s="15">
        <f t="shared" si="1"/>
        <v>0</v>
      </c>
      <c r="H57" s="15">
        <f t="shared" si="2"/>
        <v>0</v>
      </c>
      <c r="I57" s="15">
        <f t="shared" si="3"/>
        <v>0</v>
      </c>
      <c r="J57" s="18">
        <f t="shared" si="4"/>
        <v>0</v>
      </c>
      <c r="K57" s="7">
        <v>7140.91</v>
      </c>
      <c r="L57" s="7">
        <v>6209.4869565217396</v>
      </c>
      <c r="M57" s="7">
        <v>4147</v>
      </c>
      <c r="N57" s="7">
        <v>319</v>
      </c>
      <c r="O57" s="7">
        <v>2062.4869565217386</v>
      </c>
      <c r="P57" s="7">
        <v>22.385297805642633</v>
      </c>
      <c r="Q57" s="7">
        <v>19.465476352732725</v>
      </c>
      <c r="R57" s="7">
        <v>13</v>
      </c>
      <c r="S57" s="7">
        <v>33.215094434742902</v>
      </c>
    </row>
    <row r="58" spans="1:19" s="1" customFormat="1" ht="16.5" customHeight="1" x14ac:dyDescent="0.35">
      <c r="A58" s="3">
        <v>102</v>
      </c>
      <c r="B58" s="3">
        <v>32151</v>
      </c>
      <c r="C58" s="4" t="s">
        <v>140</v>
      </c>
      <c r="D58" s="6">
        <v>12.99</v>
      </c>
      <c r="E58" s="6">
        <v>6.88</v>
      </c>
      <c r="F58" s="12">
        <v>0</v>
      </c>
      <c r="G58" s="15">
        <f t="shared" si="1"/>
        <v>0</v>
      </c>
      <c r="H58" s="15">
        <f t="shared" si="2"/>
        <v>0</v>
      </c>
      <c r="I58" s="15">
        <f t="shared" si="3"/>
        <v>0</v>
      </c>
      <c r="J58" s="18">
        <f t="shared" si="4"/>
        <v>0</v>
      </c>
      <c r="K58" s="7">
        <v>285.78000000000003</v>
      </c>
      <c r="L58" s="7">
        <v>248.50434782608696</v>
      </c>
      <c r="M58" s="7">
        <v>151.35999999999999</v>
      </c>
      <c r="N58" s="7">
        <v>22</v>
      </c>
      <c r="O58" s="7">
        <v>97.144347826086971</v>
      </c>
      <c r="P58" s="7">
        <v>12.990000000000002</v>
      </c>
      <c r="Q58" s="7">
        <v>11.295652173913043</v>
      </c>
      <c r="R58" s="7">
        <v>6.879999999999999</v>
      </c>
      <c r="S58" s="7">
        <v>39.091608929946119</v>
      </c>
    </row>
    <row r="59" spans="1:19" s="1" customFormat="1" ht="16.5" customHeight="1" x14ac:dyDescent="0.35">
      <c r="A59" s="3">
        <v>102</v>
      </c>
      <c r="B59" s="3">
        <v>32155</v>
      </c>
      <c r="C59" s="4" t="s">
        <v>146</v>
      </c>
      <c r="D59" s="6">
        <v>11.99</v>
      </c>
      <c r="E59" s="6">
        <v>5.87</v>
      </c>
      <c r="F59" s="12">
        <v>0</v>
      </c>
      <c r="G59" s="15">
        <f t="shared" si="1"/>
        <v>0</v>
      </c>
      <c r="H59" s="15">
        <f t="shared" si="2"/>
        <v>0</v>
      </c>
      <c r="I59" s="15">
        <f t="shared" si="3"/>
        <v>0</v>
      </c>
      <c r="J59" s="18">
        <f t="shared" si="4"/>
        <v>0</v>
      </c>
      <c r="K59" s="7">
        <v>143.88</v>
      </c>
      <c r="L59" s="7">
        <v>125.11304347826086</v>
      </c>
      <c r="M59" s="7">
        <v>70.44</v>
      </c>
      <c r="N59" s="7">
        <v>12</v>
      </c>
      <c r="O59" s="7">
        <v>54.673043478260865</v>
      </c>
      <c r="P59" s="7">
        <v>11.99</v>
      </c>
      <c r="Q59" s="7">
        <v>10.426086956521738</v>
      </c>
      <c r="R59" s="7">
        <v>5.87</v>
      </c>
      <c r="S59" s="7">
        <v>43.69891576313595</v>
      </c>
    </row>
    <row r="60" spans="1:19" s="1" customFormat="1" ht="16.5" customHeight="1" x14ac:dyDescent="0.35">
      <c r="A60" s="3">
        <v>102</v>
      </c>
      <c r="B60" s="3">
        <v>32857</v>
      </c>
      <c r="C60" s="4" t="s">
        <v>107</v>
      </c>
      <c r="D60" s="6">
        <v>130</v>
      </c>
      <c r="E60" s="6">
        <v>68.680000000000007</v>
      </c>
      <c r="F60" s="12">
        <v>0</v>
      </c>
      <c r="G60" s="15">
        <f t="shared" si="1"/>
        <v>0</v>
      </c>
      <c r="H60" s="15">
        <f t="shared" si="2"/>
        <v>0</v>
      </c>
      <c r="I60" s="15">
        <f t="shared" si="3"/>
        <v>0</v>
      </c>
      <c r="J60" s="18">
        <f t="shared" si="4"/>
        <v>0</v>
      </c>
      <c r="K60" s="7">
        <v>2990</v>
      </c>
      <c r="L60" s="7">
        <v>2599.9999999999995</v>
      </c>
      <c r="M60" s="7">
        <v>1579.64</v>
      </c>
      <c r="N60" s="7">
        <v>23</v>
      </c>
      <c r="O60" s="7">
        <v>1020.3599999999999</v>
      </c>
      <c r="P60" s="7">
        <v>130</v>
      </c>
      <c r="Q60" s="7">
        <v>113.04347826086955</v>
      </c>
      <c r="R60" s="7">
        <v>68.680000000000007</v>
      </c>
      <c r="S60" s="7">
        <v>39.244615384615386</v>
      </c>
    </row>
    <row r="61" spans="1:19" s="1" customFormat="1" ht="16.5" customHeight="1" x14ac:dyDescent="0.35">
      <c r="A61" s="3">
        <v>101</v>
      </c>
      <c r="B61" s="3">
        <v>32859</v>
      </c>
      <c r="C61" s="4" t="s">
        <v>18</v>
      </c>
      <c r="D61" s="6">
        <v>20.99</v>
      </c>
      <c r="E61" s="6">
        <v>7.46</v>
      </c>
      <c r="F61" s="12">
        <v>0</v>
      </c>
      <c r="G61" s="15">
        <f t="shared" si="1"/>
        <v>0</v>
      </c>
      <c r="H61" s="15">
        <f t="shared" si="2"/>
        <v>0</v>
      </c>
      <c r="I61" s="15">
        <f t="shared" si="3"/>
        <v>0</v>
      </c>
      <c r="J61" s="18">
        <f t="shared" si="4"/>
        <v>0</v>
      </c>
      <c r="K61" s="7">
        <v>95243.62999999999</v>
      </c>
      <c r="L61" s="7">
        <v>82820.547826086928</v>
      </c>
      <c r="M61" s="7">
        <v>50604.899999999994</v>
      </c>
      <c r="N61" s="7">
        <v>4559</v>
      </c>
      <c r="O61" s="7">
        <v>32215.647826086948</v>
      </c>
      <c r="P61" s="7">
        <v>20.891342399649044</v>
      </c>
      <c r="Q61" s="7">
        <v>18.166384695346991</v>
      </c>
      <c r="R61" s="7">
        <v>11.099999999999998</v>
      </c>
      <c r="S61" s="7">
        <v>38.898134184931834</v>
      </c>
    </row>
    <row r="62" spans="1:19" s="1" customFormat="1" ht="16.5" customHeight="1" x14ac:dyDescent="0.35">
      <c r="A62" s="3">
        <v>101</v>
      </c>
      <c r="B62" s="3">
        <v>32860</v>
      </c>
      <c r="C62" s="4" t="s">
        <v>15</v>
      </c>
      <c r="D62" s="6">
        <v>20.99</v>
      </c>
      <c r="E62" s="6">
        <v>11.1</v>
      </c>
      <c r="F62" s="12">
        <v>0</v>
      </c>
      <c r="G62" s="15">
        <f t="shared" si="1"/>
        <v>0</v>
      </c>
      <c r="H62" s="15">
        <f t="shared" si="2"/>
        <v>0</v>
      </c>
      <c r="I62" s="15">
        <f t="shared" si="3"/>
        <v>0</v>
      </c>
      <c r="J62" s="18">
        <f t="shared" si="4"/>
        <v>0</v>
      </c>
      <c r="K62" s="7">
        <v>134364.05999999997</v>
      </c>
      <c r="L62" s="7">
        <v>116838.31304347824</v>
      </c>
      <c r="M62" s="7">
        <v>71250.900000000009</v>
      </c>
      <c r="N62" s="7">
        <v>6419</v>
      </c>
      <c r="O62" s="7">
        <v>45587.413043478227</v>
      </c>
      <c r="P62" s="7">
        <v>20.932241782209061</v>
      </c>
      <c r="Q62" s="7">
        <v>18.201949375833966</v>
      </c>
      <c r="R62" s="7">
        <v>11.100000000000001</v>
      </c>
      <c r="S62" s="7">
        <v>39.017520756666606</v>
      </c>
    </row>
    <row r="63" spans="1:19" s="1" customFormat="1" ht="16.5" customHeight="1" x14ac:dyDescent="0.35">
      <c r="A63" s="3">
        <v>101</v>
      </c>
      <c r="B63" s="3">
        <v>32862</v>
      </c>
      <c r="C63" s="4" t="s">
        <v>58</v>
      </c>
      <c r="D63" s="6">
        <v>9.99</v>
      </c>
      <c r="E63" s="6">
        <v>5.14</v>
      </c>
      <c r="F63" s="12">
        <v>0</v>
      </c>
      <c r="G63" s="15">
        <f t="shared" si="1"/>
        <v>0</v>
      </c>
      <c r="H63" s="15">
        <f t="shared" si="2"/>
        <v>0</v>
      </c>
      <c r="I63" s="15">
        <f t="shared" si="3"/>
        <v>0</v>
      </c>
      <c r="J63" s="18">
        <f t="shared" si="4"/>
        <v>0</v>
      </c>
      <c r="K63" s="7">
        <v>666.83000000000015</v>
      </c>
      <c r="L63" s="7">
        <v>579.85217391304354</v>
      </c>
      <c r="M63" s="7">
        <v>344.38</v>
      </c>
      <c r="N63" s="7">
        <v>67</v>
      </c>
      <c r="O63" s="7">
        <v>235.47217391304366</v>
      </c>
      <c r="P63" s="7">
        <v>9.9526865671641822</v>
      </c>
      <c r="Q63" s="7">
        <v>8.6545100584036359</v>
      </c>
      <c r="R63" s="7">
        <v>5.14</v>
      </c>
      <c r="S63" s="7">
        <v>40.609000794805297</v>
      </c>
    </row>
    <row r="64" spans="1:19" s="1" customFormat="1" ht="16.5" customHeight="1" x14ac:dyDescent="0.35">
      <c r="A64" s="3">
        <v>102</v>
      </c>
      <c r="B64" s="3">
        <v>32868</v>
      </c>
      <c r="C64" s="4" t="s">
        <v>150</v>
      </c>
      <c r="D64" s="6">
        <v>5.99</v>
      </c>
      <c r="E64" s="6">
        <v>3.31</v>
      </c>
      <c r="F64" s="12">
        <v>0</v>
      </c>
      <c r="G64" s="15">
        <f t="shared" si="1"/>
        <v>0</v>
      </c>
      <c r="H64" s="15">
        <f t="shared" si="2"/>
        <v>0</v>
      </c>
      <c r="I64" s="15">
        <f t="shared" si="3"/>
        <v>0</v>
      </c>
      <c r="J64" s="18">
        <f t="shared" si="4"/>
        <v>0</v>
      </c>
      <c r="K64" s="7">
        <v>95.84</v>
      </c>
      <c r="L64" s="7">
        <v>83.339130434782604</v>
      </c>
      <c r="M64" s="7">
        <v>52.96</v>
      </c>
      <c r="N64" s="7">
        <v>16</v>
      </c>
      <c r="O64" s="7">
        <v>30.379130434782617</v>
      </c>
      <c r="P64" s="7">
        <v>5.99</v>
      </c>
      <c r="Q64" s="7">
        <v>5.2086956521739127</v>
      </c>
      <c r="R64" s="7">
        <v>3.31</v>
      </c>
      <c r="S64" s="7">
        <v>36.45242070116862</v>
      </c>
    </row>
    <row r="65" spans="1:19" s="1" customFormat="1" ht="16.5" customHeight="1" x14ac:dyDescent="0.35">
      <c r="A65" s="3">
        <v>102</v>
      </c>
      <c r="B65" s="3">
        <v>32869</v>
      </c>
      <c r="C65" s="4" t="s">
        <v>119</v>
      </c>
      <c r="D65" s="6">
        <v>3.5</v>
      </c>
      <c r="E65" s="6">
        <v>2.12</v>
      </c>
      <c r="F65" s="12">
        <v>0</v>
      </c>
      <c r="G65" s="15">
        <f t="shared" si="1"/>
        <v>0</v>
      </c>
      <c r="H65" s="15">
        <f t="shared" si="2"/>
        <v>0</v>
      </c>
      <c r="I65" s="15">
        <f t="shared" si="3"/>
        <v>0</v>
      </c>
      <c r="J65" s="18">
        <f t="shared" si="4"/>
        <v>0</v>
      </c>
      <c r="K65" s="7">
        <v>1575</v>
      </c>
      <c r="L65" s="7">
        <v>1369.5652173913043</v>
      </c>
      <c r="M65" s="7">
        <v>1023.96</v>
      </c>
      <c r="N65" s="7">
        <v>483</v>
      </c>
      <c r="O65" s="7">
        <v>345.60521739130422</v>
      </c>
      <c r="P65" s="7">
        <v>3.2608695652173911</v>
      </c>
      <c r="Q65" s="7">
        <v>2.8355387523629489</v>
      </c>
      <c r="R65" s="7">
        <v>2.12</v>
      </c>
      <c r="S65" s="7">
        <v>25.234666666666662</v>
      </c>
    </row>
    <row r="66" spans="1:19" s="1" customFormat="1" ht="16.5" customHeight="1" x14ac:dyDescent="0.35">
      <c r="A66" s="3">
        <v>101</v>
      </c>
      <c r="B66" s="3">
        <v>32871</v>
      </c>
      <c r="C66" s="4" t="s">
        <v>63</v>
      </c>
      <c r="D66" s="6">
        <v>8.99</v>
      </c>
      <c r="E66" s="6">
        <v>5</v>
      </c>
      <c r="F66" s="12">
        <v>0</v>
      </c>
      <c r="G66" s="15">
        <f t="shared" si="1"/>
        <v>0</v>
      </c>
      <c r="H66" s="15">
        <f t="shared" si="2"/>
        <v>0</v>
      </c>
      <c r="I66" s="15">
        <f t="shared" si="3"/>
        <v>0</v>
      </c>
      <c r="J66" s="18">
        <f t="shared" si="4"/>
        <v>0</v>
      </c>
      <c r="K66" s="7">
        <v>287.76</v>
      </c>
      <c r="L66" s="7">
        <v>250.22608695652173</v>
      </c>
      <c r="M66" s="7">
        <v>165</v>
      </c>
      <c r="N66" s="7">
        <v>33</v>
      </c>
      <c r="O66" s="7">
        <v>85.226086956521726</v>
      </c>
      <c r="P66" s="7">
        <v>8.7199999999999989</v>
      </c>
      <c r="Q66" s="7">
        <v>7.5826086956521737</v>
      </c>
      <c r="R66" s="7">
        <v>5</v>
      </c>
      <c r="S66" s="7">
        <v>34.059633027522935</v>
      </c>
    </row>
    <row r="67" spans="1:19" s="1" customFormat="1" ht="16.5" customHeight="1" x14ac:dyDescent="0.35">
      <c r="A67" s="3">
        <v>102</v>
      </c>
      <c r="B67" s="3">
        <v>33012</v>
      </c>
      <c r="C67" s="4" t="s">
        <v>128</v>
      </c>
      <c r="D67" s="6">
        <v>47.99</v>
      </c>
      <c r="E67" s="6">
        <v>27.08</v>
      </c>
      <c r="F67" s="12">
        <v>0</v>
      </c>
      <c r="G67" s="15">
        <f t="shared" si="1"/>
        <v>0</v>
      </c>
      <c r="H67" s="15">
        <f t="shared" si="2"/>
        <v>0</v>
      </c>
      <c r="I67" s="15">
        <f t="shared" si="3"/>
        <v>0</v>
      </c>
      <c r="J67" s="18">
        <f t="shared" si="4"/>
        <v>0</v>
      </c>
      <c r="K67" s="7">
        <v>1034.6500000000001</v>
      </c>
      <c r="L67" s="7">
        <v>899.69565217391312</v>
      </c>
      <c r="M67" s="7">
        <v>947.80000000000018</v>
      </c>
      <c r="N67" s="7">
        <v>35</v>
      </c>
      <c r="O67" s="7">
        <v>-48.104347826087064</v>
      </c>
      <c r="P67" s="7">
        <v>29.561428571428575</v>
      </c>
      <c r="Q67" s="7">
        <v>25.705590062111803</v>
      </c>
      <c r="R67" s="7">
        <v>27.080000000000005</v>
      </c>
      <c r="S67" s="7">
        <v>-5.3467356110762205</v>
      </c>
    </row>
    <row r="68" spans="1:19" s="1" customFormat="1" ht="16.5" customHeight="1" x14ac:dyDescent="0.35">
      <c r="A68" s="3">
        <v>102</v>
      </c>
      <c r="B68" s="3">
        <v>33013</v>
      </c>
      <c r="C68" s="4" t="s">
        <v>127</v>
      </c>
      <c r="D68" s="6">
        <v>5.99</v>
      </c>
      <c r="E68" s="6">
        <v>3.1</v>
      </c>
      <c r="F68" s="12">
        <v>0</v>
      </c>
      <c r="G68" s="15">
        <f t="shared" si="1"/>
        <v>0</v>
      </c>
      <c r="H68" s="15">
        <f t="shared" si="2"/>
        <v>0</v>
      </c>
      <c r="I68" s="15">
        <f t="shared" si="3"/>
        <v>0</v>
      </c>
      <c r="J68" s="18">
        <f t="shared" si="4"/>
        <v>0</v>
      </c>
      <c r="K68" s="7">
        <v>1065.6199999999999</v>
      </c>
      <c r="L68" s="7">
        <v>926.6260869565217</v>
      </c>
      <c r="M68" s="7">
        <v>551.79999999999995</v>
      </c>
      <c r="N68" s="7">
        <v>178</v>
      </c>
      <c r="O68" s="7">
        <v>374.82608695652175</v>
      </c>
      <c r="P68" s="7">
        <v>5.9866292134831456</v>
      </c>
      <c r="Q68" s="7">
        <v>5.2057645334636051</v>
      </c>
      <c r="R68" s="7">
        <v>3.0999999999999996</v>
      </c>
      <c r="S68" s="7">
        <v>40.450629680373865</v>
      </c>
    </row>
    <row r="69" spans="1:19" s="1" customFormat="1" ht="16.5" customHeight="1" x14ac:dyDescent="0.35">
      <c r="A69" s="3">
        <v>119</v>
      </c>
      <c r="B69" s="3">
        <v>33017</v>
      </c>
      <c r="C69" s="4" t="s">
        <v>233</v>
      </c>
      <c r="D69" s="6">
        <v>69.989999999999995</v>
      </c>
      <c r="E69" s="6">
        <v>32.450000000000003</v>
      </c>
      <c r="F69" s="12">
        <v>0</v>
      </c>
      <c r="G69" s="15">
        <f t="shared" si="1"/>
        <v>0</v>
      </c>
      <c r="H69" s="15">
        <f t="shared" si="2"/>
        <v>0</v>
      </c>
      <c r="I69" s="15">
        <f t="shared" si="3"/>
        <v>0</v>
      </c>
      <c r="J69" s="18">
        <f t="shared" si="4"/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</row>
    <row r="70" spans="1:19" s="1" customFormat="1" ht="16.5" customHeight="1" x14ac:dyDescent="0.35">
      <c r="A70" s="3">
        <v>102</v>
      </c>
      <c r="B70" s="3">
        <v>33019</v>
      </c>
      <c r="C70" s="4" t="s">
        <v>94</v>
      </c>
      <c r="D70" s="6">
        <v>14.99</v>
      </c>
      <c r="E70" s="6">
        <v>5.5</v>
      </c>
      <c r="F70" s="12">
        <v>0</v>
      </c>
      <c r="G70" s="15">
        <f t="shared" si="1"/>
        <v>0</v>
      </c>
      <c r="H70" s="15">
        <f t="shared" si="2"/>
        <v>0</v>
      </c>
      <c r="I70" s="15">
        <f t="shared" si="3"/>
        <v>0</v>
      </c>
      <c r="J70" s="18">
        <f t="shared" si="4"/>
        <v>0</v>
      </c>
      <c r="K70" s="7">
        <v>12033.220000000001</v>
      </c>
      <c r="L70" s="7">
        <v>10463.669565217391</v>
      </c>
      <c r="M70" s="7">
        <v>4416.5</v>
      </c>
      <c r="N70" s="7">
        <v>803</v>
      </c>
      <c r="O70" s="7">
        <v>6047.169565217393</v>
      </c>
      <c r="P70" s="7">
        <v>14.985330012453302</v>
      </c>
      <c r="Q70" s="7">
        <v>13.030721749959392</v>
      </c>
      <c r="R70" s="7">
        <v>5.5</v>
      </c>
      <c r="S70" s="7">
        <v>57.792053997184468</v>
      </c>
    </row>
    <row r="71" spans="1:19" s="1" customFormat="1" ht="16.5" customHeight="1" x14ac:dyDescent="0.35">
      <c r="A71" s="3">
        <v>118</v>
      </c>
      <c r="B71" s="3">
        <v>33021</v>
      </c>
      <c r="C71" s="4" t="s">
        <v>219</v>
      </c>
      <c r="D71" s="6">
        <v>130</v>
      </c>
      <c r="E71" s="6">
        <v>64.900000000000006</v>
      </c>
      <c r="F71" s="12">
        <v>0</v>
      </c>
      <c r="G71" s="15">
        <f t="shared" si="1"/>
        <v>0</v>
      </c>
      <c r="H71" s="15">
        <f t="shared" si="2"/>
        <v>0</v>
      </c>
      <c r="I71" s="15">
        <f t="shared" si="3"/>
        <v>0</v>
      </c>
      <c r="J71" s="18">
        <f t="shared" si="4"/>
        <v>0</v>
      </c>
      <c r="K71" s="7">
        <v>630</v>
      </c>
      <c r="L71" s="7">
        <v>547.82608695652175</v>
      </c>
      <c r="M71" s="7">
        <v>323.35000000000002</v>
      </c>
      <c r="N71" s="7">
        <v>5</v>
      </c>
      <c r="O71" s="7">
        <v>224.47608695652173</v>
      </c>
      <c r="P71" s="7">
        <v>126</v>
      </c>
      <c r="Q71" s="7">
        <v>109.56521739130434</v>
      </c>
      <c r="R71" s="7">
        <v>64.67</v>
      </c>
      <c r="S71" s="7">
        <v>40.975793650793648</v>
      </c>
    </row>
    <row r="72" spans="1:19" s="1" customFormat="1" ht="16.5" customHeight="1" x14ac:dyDescent="0.35">
      <c r="A72" s="3">
        <v>102</v>
      </c>
      <c r="B72" s="3">
        <v>33023</v>
      </c>
      <c r="C72" s="4" t="s">
        <v>95</v>
      </c>
      <c r="D72" s="6">
        <v>19.989999999999998</v>
      </c>
      <c r="E72" s="6">
        <v>10.23</v>
      </c>
      <c r="F72" s="12">
        <v>0</v>
      </c>
      <c r="G72" s="15">
        <f t="shared" si="1"/>
        <v>0</v>
      </c>
      <c r="H72" s="15">
        <f t="shared" si="2"/>
        <v>0</v>
      </c>
      <c r="I72" s="15">
        <f t="shared" si="3"/>
        <v>0</v>
      </c>
      <c r="J72" s="18">
        <f t="shared" si="4"/>
        <v>0</v>
      </c>
      <c r="K72" s="7">
        <v>11462.840000000002</v>
      </c>
      <c r="L72" s="7">
        <v>9967.6869565217421</v>
      </c>
      <c r="M72" s="7">
        <v>6045.9300000000012</v>
      </c>
      <c r="N72" s="7">
        <v>591</v>
      </c>
      <c r="O72" s="7">
        <v>3921.7569565217391</v>
      </c>
      <c r="P72" s="7">
        <v>19.395668358714047</v>
      </c>
      <c r="Q72" s="7">
        <v>16.865798572794827</v>
      </c>
      <c r="R72" s="7">
        <v>10.230000000000002</v>
      </c>
      <c r="S72" s="7">
        <v>39.344704279218753</v>
      </c>
    </row>
    <row r="73" spans="1:19" s="1" customFormat="1" ht="16.5" customHeight="1" x14ac:dyDescent="0.35">
      <c r="A73" s="3">
        <v>102</v>
      </c>
      <c r="B73" s="3">
        <v>33025</v>
      </c>
      <c r="C73" s="4" t="s">
        <v>102</v>
      </c>
      <c r="D73" s="6">
        <v>5.99</v>
      </c>
      <c r="E73" s="6">
        <v>2.95</v>
      </c>
      <c r="F73" s="12">
        <v>0</v>
      </c>
      <c r="G73" s="15">
        <f t="shared" si="1"/>
        <v>0</v>
      </c>
      <c r="H73" s="15">
        <f t="shared" si="2"/>
        <v>0</v>
      </c>
      <c r="I73" s="15">
        <f t="shared" si="3"/>
        <v>0</v>
      </c>
      <c r="J73" s="18">
        <f t="shared" si="4"/>
        <v>0</v>
      </c>
      <c r="K73" s="7">
        <v>5660.5500000000011</v>
      </c>
      <c r="L73" s="7">
        <v>4922.2173913043489</v>
      </c>
      <c r="M73" s="7">
        <v>2787.75</v>
      </c>
      <c r="N73" s="7">
        <v>945</v>
      </c>
      <c r="O73" s="7">
        <v>2134.4673913043489</v>
      </c>
      <c r="P73" s="7">
        <v>5.9900000000000011</v>
      </c>
      <c r="Q73" s="7">
        <v>5.2086956521739145</v>
      </c>
      <c r="R73" s="7">
        <v>2.95</v>
      </c>
      <c r="S73" s="7">
        <v>43.363939899833063</v>
      </c>
    </row>
    <row r="74" spans="1:19" s="1" customFormat="1" ht="16.5" customHeight="1" x14ac:dyDescent="0.35">
      <c r="A74" s="3">
        <v>101</v>
      </c>
      <c r="B74" s="3">
        <v>33027</v>
      </c>
      <c r="C74" s="4" t="s">
        <v>73</v>
      </c>
      <c r="D74" s="6">
        <v>19.989999999999998</v>
      </c>
      <c r="E74" s="6">
        <v>7.94</v>
      </c>
      <c r="F74" s="12">
        <v>0</v>
      </c>
      <c r="G74" s="15">
        <f t="shared" si="1"/>
        <v>0</v>
      </c>
      <c r="H74" s="15">
        <f t="shared" si="2"/>
        <v>0</v>
      </c>
      <c r="I74" s="15">
        <f t="shared" si="3"/>
        <v>0</v>
      </c>
      <c r="J74" s="18">
        <f t="shared" si="4"/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</row>
    <row r="75" spans="1:19" s="1" customFormat="1" ht="16.5" customHeight="1" x14ac:dyDescent="0.35">
      <c r="A75" s="3">
        <v>102</v>
      </c>
      <c r="B75" s="3">
        <v>33036</v>
      </c>
      <c r="C75" s="4" t="s">
        <v>100</v>
      </c>
      <c r="D75" s="6">
        <v>400</v>
      </c>
      <c r="E75" s="6">
        <v>204.01</v>
      </c>
      <c r="F75" s="12">
        <v>0</v>
      </c>
      <c r="G75" s="15">
        <f t="shared" si="1"/>
        <v>0</v>
      </c>
      <c r="H75" s="15">
        <f t="shared" si="2"/>
        <v>0</v>
      </c>
      <c r="I75" s="15">
        <f t="shared" si="3"/>
        <v>0</v>
      </c>
      <c r="J75" s="18">
        <f t="shared" si="4"/>
        <v>0</v>
      </c>
      <c r="K75" s="7">
        <v>6660</v>
      </c>
      <c r="L75" s="7">
        <v>5791.3043478260879</v>
      </c>
      <c r="M75" s="7">
        <v>3465.86</v>
      </c>
      <c r="N75" s="7">
        <v>17</v>
      </c>
      <c r="O75" s="7">
        <v>2325.4443478260869</v>
      </c>
      <c r="P75" s="7">
        <v>391.76470588235293</v>
      </c>
      <c r="Q75" s="7">
        <v>340.66496163682871</v>
      </c>
      <c r="R75" s="7">
        <v>203.87411764705882</v>
      </c>
      <c r="S75" s="7">
        <v>40.154069069069067</v>
      </c>
    </row>
    <row r="76" spans="1:19" s="1" customFormat="1" ht="16.5" customHeight="1" x14ac:dyDescent="0.35">
      <c r="A76" s="3">
        <v>119</v>
      </c>
      <c r="B76" s="3">
        <v>33037</v>
      </c>
      <c r="C76" s="4" t="s">
        <v>230</v>
      </c>
      <c r="D76" s="6">
        <v>59.99</v>
      </c>
      <c r="E76" s="6">
        <v>23.44</v>
      </c>
      <c r="F76" s="12">
        <v>0</v>
      </c>
      <c r="G76" s="15">
        <f t="shared" si="1"/>
        <v>0</v>
      </c>
      <c r="H76" s="15">
        <f t="shared" si="2"/>
        <v>0</v>
      </c>
      <c r="I76" s="15">
        <f t="shared" si="3"/>
        <v>0</v>
      </c>
      <c r="J76" s="18">
        <f t="shared" si="4"/>
        <v>0</v>
      </c>
      <c r="K76" s="7">
        <v>419.93</v>
      </c>
      <c r="L76" s="7">
        <v>365.15652173913043</v>
      </c>
      <c r="M76" s="7">
        <v>164.08</v>
      </c>
      <c r="N76" s="7">
        <v>7</v>
      </c>
      <c r="O76" s="7">
        <v>201.07652173913041</v>
      </c>
      <c r="P76" s="7">
        <v>59.99</v>
      </c>
      <c r="Q76" s="7">
        <v>52.165217391304346</v>
      </c>
      <c r="R76" s="7">
        <v>23.44</v>
      </c>
      <c r="S76" s="7">
        <v>55.065844307384559</v>
      </c>
    </row>
    <row r="77" spans="1:19" s="1" customFormat="1" ht="16.5" customHeight="1" x14ac:dyDescent="0.35">
      <c r="A77" s="3">
        <v>119</v>
      </c>
      <c r="B77" s="3">
        <v>33038</v>
      </c>
      <c r="C77" s="4" t="s">
        <v>228</v>
      </c>
      <c r="D77" s="6">
        <v>35.99</v>
      </c>
      <c r="E77" s="6">
        <v>18</v>
      </c>
      <c r="F77" s="12">
        <v>0</v>
      </c>
      <c r="G77" s="15">
        <f t="shared" si="1"/>
        <v>0</v>
      </c>
      <c r="H77" s="15">
        <f t="shared" si="2"/>
        <v>0</v>
      </c>
      <c r="I77" s="15">
        <f t="shared" si="3"/>
        <v>0</v>
      </c>
      <c r="J77" s="18">
        <f t="shared" si="4"/>
        <v>0</v>
      </c>
      <c r="K77" s="7">
        <v>929.69</v>
      </c>
      <c r="L77" s="7">
        <v>808.42608695652166</v>
      </c>
      <c r="M77" s="7">
        <v>558</v>
      </c>
      <c r="N77" s="7">
        <v>31</v>
      </c>
      <c r="O77" s="7">
        <v>250.42608695652189</v>
      </c>
      <c r="P77" s="7">
        <v>29.990000000000002</v>
      </c>
      <c r="Q77" s="7">
        <v>26.078260869565216</v>
      </c>
      <c r="R77" s="7">
        <v>18</v>
      </c>
      <c r="S77" s="7">
        <v>30.976992330776937</v>
      </c>
    </row>
    <row r="78" spans="1:19" s="1" customFormat="1" ht="16.5" customHeight="1" x14ac:dyDescent="0.35">
      <c r="A78" s="3">
        <v>103</v>
      </c>
      <c r="B78" s="3">
        <v>33040</v>
      </c>
      <c r="C78" s="4" t="s">
        <v>167</v>
      </c>
      <c r="D78" s="6">
        <v>30</v>
      </c>
      <c r="E78" s="6">
        <v>18.260000000000002</v>
      </c>
      <c r="F78" s="12">
        <v>0</v>
      </c>
      <c r="G78" s="15">
        <f t="shared" si="1"/>
        <v>0</v>
      </c>
      <c r="H78" s="15">
        <f t="shared" si="2"/>
        <v>0</v>
      </c>
      <c r="I78" s="15">
        <f t="shared" si="3"/>
        <v>0</v>
      </c>
      <c r="J78" s="18">
        <f t="shared" si="4"/>
        <v>0</v>
      </c>
      <c r="K78" s="7">
        <v>330</v>
      </c>
      <c r="L78" s="7">
        <v>286.95652173913044</v>
      </c>
      <c r="M78" s="7">
        <v>184.9</v>
      </c>
      <c r="N78" s="7">
        <v>13</v>
      </c>
      <c r="O78" s="7">
        <v>102.05652173913043</v>
      </c>
      <c r="P78" s="7">
        <v>25.384615384615383</v>
      </c>
      <c r="Q78" s="7">
        <v>22.073578595317727</v>
      </c>
      <c r="R78" s="7">
        <v>14.223076923076924</v>
      </c>
      <c r="S78" s="7">
        <v>35.565151515151513</v>
      </c>
    </row>
    <row r="79" spans="1:19" s="1" customFormat="1" ht="16.5" customHeight="1" x14ac:dyDescent="0.35">
      <c r="A79" s="3">
        <v>103</v>
      </c>
      <c r="B79" s="3">
        <v>33041</v>
      </c>
      <c r="C79" s="4" t="s">
        <v>179</v>
      </c>
      <c r="D79" s="6">
        <v>10</v>
      </c>
      <c r="E79" s="6">
        <v>1.5</v>
      </c>
      <c r="F79" s="12">
        <v>0</v>
      </c>
      <c r="G79" s="15">
        <f t="shared" si="1"/>
        <v>0</v>
      </c>
      <c r="H79" s="15">
        <f t="shared" si="2"/>
        <v>0</v>
      </c>
      <c r="I79" s="15">
        <f t="shared" si="3"/>
        <v>0</v>
      </c>
      <c r="J79" s="18">
        <f t="shared" si="4"/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</row>
    <row r="80" spans="1:19" s="1" customFormat="1" ht="16.5" customHeight="1" x14ac:dyDescent="0.35">
      <c r="A80" s="3">
        <v>103</v>
      </c>
      <c r="B80" s="3">
        <v>33042</v>
      </c>
      <c r="C80" s="4" t="s">
        <v>171</v>
      </c>
      <c r="D80" s="6">
        <v>20</v>
      </c>
      <c r="E80" s="6">
        <v>10.23</v>
      </c>
      <c r="F80" s="12">
        <v>0</v>
      </c>
      <c r="G80" s="15">
        <f t="shared" si="1"/>
        <v>0</v>
      </c>
      <c r="H80" s="15">
        <f t="shared" si="2"/>
        <v>0</v>
      </c>
      <c r="I80" s="15">
        <f t="shared" si="3"/>
        <v>0</v>
      </c>
      <c r="J80" s="18">
        <f t="shared" si="4"/>
        <v>0</v>
      </c>
      <c r="K80" s="7">
        <v>120</v>
      </c>
      <c r="L80" s="7">
        <v>104.34782608695653</v>
      </c>
      <c r="M80" s="7">
        <v>61.38000000000001</v>
      </c>
      <c r="N80" s="7">
        <v>6</v>
      </c>
      <c r="O80" s="7">
        <v>42.967826086956507</v>
      </c>
      <c r="P80" s="7">
        <v>20</v>
      </c>
      <c r="Q80" s="7">
        <v>17.39130434782609</v>
      </c>
      <c r="R80" s="7">
        <v>10.230000000000002</v>
      </c>
      <c r="S80" s="7">
        <v>41.177499999999988</v>
      </c>
    </row>
    <row r="81" spans="1:19" s="1" customFormat="1" ht="16.5" customHeight="1" x14ac:dyDescent="0.35">
      <c r="A81" s="3">
        <v>103</v>
      </c>
      <c r="B81" s="3">
        <v>33043</v>
      </c>
      <c r="C81" s="4" t="s">
        <v>180</v>
      </c>
      <c r="D81" s="6">
        <v>15</v>
      </c>
      <c r="E81" s="6">
        <v>4.26</v>
      </c>
      <c r="F81" s="12">
        <v>0</v>
      </c>
      <c r="G81" s="15">
        <f t="shared" si="1"/>
        <v>0</v>
      </c>
      <c r="H81" s="15">
        <f t="shared" si="2"/>
        <v>0</v>
      </c>
      <c r="I81" s="15">
        <f t="shared" si="3"/>
        <v>0</v>
      </c>
      <c r="J81" s="18">
        <f t="shared" si="4"/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</row>
    <row r="82" spans="1:19" s="1" customFormat="1" ht="16.5" customHeight="1" x14ac:dyDescent="0.35">
      <c r="A82" s="3">
        <v>103</v>
      </c>
      <c r="B82" s="3">
        <v>33044</v>
      </c>
      <c r="C82" s="4" t="s">
        <v>176</v>
      </c>
      <c r="D82" s="6">
        <v>15</v>
      </c>
      <c r="E82" s="6">
        <v>10.23</v>
      </c>
      <c r="F82" s="12">
        <v>0</v>
      </c>
      <c r="G82" s="15">
        <f t="shared" si="1"/>
        <v>0</v>
      </c>
      <c r="H82" s="15">
        <f t="shared" si="2"/>
        <v>0</v>
      </c>
      <c r="I82" s="15">
        <f t="shared" si="3"/>
        <v>0</v>
      </c>
      <c r="J82" s="18">
        <f t="shared" si="4"/>
        <v>0</v>
      </c>
      <c r="K82" s="7">
        <v>15</v>
      </c>
      <c r="L82" s="7">
        <v>13.043478260869565</v>
      </c>
      <c r="M82" s="7">
        <v>10.23</v>
      </c>
      <c r="N82" s="7">
        <v>1</v>
      </c>
      <c r="O82" s="7">
        <v>2.8134782608695641</v>
      </c>
      <c r="P82" s="7">
        <v>15</v>
      </c>
      <c r="Q82" s="7">
        <v>13.043478260869565</v>
      </c>
      <c r="R82" s="7">
        <v>10.23</v>
      </c>
      <c r="S82" s="7">
        <v>21.569999999999993</v>
      </c>
    </row>
    <row r="83" spans="1:19" s="1" customFormat="1" ht="16.5" customHeight="1" x14ac:dyDescent="0.35">
      <c r="A83" s="3">
        <v>103</v>
      </c>
      <c r="B83" s="3">
        <v>33045</v>
      </c>
      <c r="C83" s="4" t="s">
        <v>181</v>
      </c>
      <c r="D83" s="6">
        <v>10</v>
      </c>
      <c r="E83" s="6">
        <v>2.5</v>
      </c>
      <c r="F83" s="12">
        <v>0</v>
      </c>
      <c r="G83" s="15">
        <f t="shared" si="1"/>
        <v>0</v>
      </c>
      <c r="H83" s="15">
        <f t="shared" si="2"/>
        <v>0</v>
      </c>
      <c r="I83" s="15">
        <f t="shared" si="3"/>
        <v>0</v>
      </c>
      <c r="J83" s="18">
        <f t="shared" si="4"/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</row>
    <row r="84" spans="1:19" s="1" customFormat="1" ht="16.5" customHeight="1" x14ac:dyDescent="0.35">
      <c r="A84" s="3">
        <v>103</v>
      </c>
      <c r="B84" s="3">
        <v>33046</v>
      </c>
      <c r="C84" s="4" t="s">
        <v>182</v>
      </c>
      <c r="D84" s="6">
        <v>10</v>
      </c>
      <c r="E84" s="6">
        <v>3.39</v>
      </c>
      <c r="F84" s="12">
        <v>0</v>
      </c>
      <c r="G84" s="15">
        <f t="shared" si="1"/>
        <v>0</v>
      </c>
      <c r="H84" s="15">
        <f t="shared" si="2"/>
        <v>0</v>
      </c>
      <c r="I84" s="15">
        <f t="shared" si="3"/>
        <v>0</v>
      </c>
      <c r="J84" s="18">
        <f t="shared" si="4"/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</row>
    <row r="85" spans="1:19" s="1" customFormat="1" ht="16.5" customHeight="1" x14ac:dyDescent="0.35">
      <c r="A85" s="3">
        <v>103</v>
      </c>
      <c r="B85" s="3">
        <v>33047</v>
      </c>
      <c r="C85" s="4" t="s">
        <v>173</v>
      </c>
      <c r="D85" s="6">
        <v>15</v>
      </c>
      <c r="E85" s="6">
        <v>6.99</v>
      </c>
      <c r="F85" s="12">
        <v>0</v>
      </c>
      <c r="G85" s="15">
        <f t="shared" si="1"/>
        <v>0</v>
      </c>
      <c r="H85" s="15">
        <f t="shared" si="2"/>
        <v>0</v>
      </c>
      <c r="I85" s="15">
        <f t="shared" si="3"/>
        <v>0</v>
      </c>
      <c r="J85" s="18">
        <f t="shared" si="4"/>
        <v>0</v>
      </c>
      <c r="K85" s="7">
        <v>75</v>
      </c>
      <c r="L85" s="7">
        <v>65.217391304347828</v>
      </c>
      <c r="M85" s="7">
        <v>34.950000000000003</v>
      </c>
      <c r="N85" s="7">
        <v>5</v>
      </c>
      <c r="O85" s="7">
        <v>30.267391304347825</v>
      </c>
      <c r="P85" s="7">
        <v>15</v>
      </c>
      <c r="Q85" s="7">
        <v>13.043478260869566</v>
      </c>
      <c r="R85" s="7">
        <v>6.99</v>
      </c>
      <c r="S85" s="7">
        <v>46.41</v>
      </c>
    </row>
    <row r="86" spans="1:19" s="1" customFormat="1" ht="16.5" customHeight="1" x14ac:dyDescent="0.35">
      <c r="A86" s="3">
        <v>103</v>
      </c>
      <c r="B86" s="3">
        <v>33048</v>
      </c>
      <c r="C86" s="4" t="s">
        <v>177</v>
      </c>
      <c r="D86" s="6">
        <v>15</v>
      </c>
      <c r="E86" s="6">
        <v>7.77</v>
      </c>
      <c r="F86" s="12">
        <v>0</v>
      </c>
      <c r="G86" s="15">
        <f t="shared" si="1"/>
        <v>0</v>
      </c>
      <c r="H86" s="15">
        <f t="shared" si="2"/>
        <v>0</v>
      </c>
      <c r="I86" s="15">
        <f t="shared" si="3"/>
        <v>0</v>
      </c>
      <c r="J86" s="18">
        <f t="shared" si="4"/>
        <v>0</v>
      </c>
      <c r="K86" s="7">
        <v>15</v>
      </c>
      <c r="L86" s="7">
        <v>13.043478260869565</v>
      </c>
      <c r="M86" s="7">
        <v>7.77</v>
      </c>
      <c r="N86" s="7">
        <v>1</v>
      </c>
      <c r="O86" s="7">
        <v>5.2734782608695649</v>
      </c>
      <c r="P86" s="7">
        <v>15</v>
      </c>
      <c r="Q86" s="7">
        <v>13.043478260869565</v>
      </c>
      <c r="R86" s="7">
        <v>7.77</v>
      </c>
      <c r="S86" s="7">
        <v>40.43</v>
      </c>
    </row>
    <row r="87" spans="1:19" s="1" customFormat="1" ht="16.5" customHeight="1" x14ac:dyDescent="0.35">
      <c r="A87" s="3">
        <v>103</v>
      </c>
      <c r="B87" s="3">
        <v>33049</v>
      </c>
      <c r="C87" s="4" t="s">
        <v>183</v>
      </c>
      <c r="D87" s="6">
        <v>10</v>
      </c>
      <c r="E87" s="6">
        <v>2.3199999999999998</v>
      </c>
      <c r="F87" s="12">
        <v>0</v>
      </c>
      <c r="G87" s="15">
        <f t="shared" si="1"/>
        <v>0</v>
      </c>
      <c r="H87" s="15">
        <f t="shared" si="2"/>
        <v>0</v>
      </c>
      <c r="I87" s="15">
        <f t="shared" si="3"/>
        <v>0</v>
      </c>
      <c r="J87" s="18">
        <f t="shared" si="4"/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</row>
    <row r="88" spans="1:19" s="1" customFormat="1" ht="16.5" customHeight="1" x14ac:dyDescent="0.35">
      <c r="A88" s="3">
        <v>103</v>
      </c>
      <c r="B88" s="3">
        <v>33050</v>
      </c>
      <c r="C88" s="4" t="s">
        <v>184</v>
      </c>
      <c r="D88" s="6">
        <v>10</v>
      </c>
      <c r="E88" s="6">
        <v>4.5599999999999996</v>
      </c>
      <c r="F88" s="12">
        <v>0</v>
      </c>
      <c r="G88" s="15">
        <f t="shared" si="1"/>
        <v>0</v>
      </c>
      <c r="H88" s="15">
        <f t="shared" si="2"/>
        <v>0</v>
      </c>
      <c r="I88" s="15">
        <f t="shared" si="3"/>
        <v>0</v>
      </c>
      <c r="J88" s="18">
        <f t="shared" si="4"/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</row>
    <row r="89" spans="1:19" s="1" customFormat="1" ht="16.5" customHeight="1" x14ac:dyDescent="0.35">
      <c r="A89" s="3">
        <v>103</v>
      </c>
      <c r="B89" s="3">
        <v>33051</v>
      </c>
      <c r="C89" s="4" t="s">
        <v>178</v>
      </c>
      <c r="D89" s="6">
        <v>10</v>
      </c>
      <c r="E89" s="6">
        <v>5.04</v>
      </c>
      <c r="F89" s="12">
        <v>0</v>
      </c>
      <c r="G89" s="15">
        <f t="shared" si="1"/>
        <v>0</v>
      </c>
      <c r="H89" s="15">
        <f t="shared" si="2"/>
        <v>0</v>
      </c>
      <c r="I89" s="15">
        <f t="shared" si="3"/>
        <v>0</v>
      </c>
      <c r="J89" s="18">
        <f t="shared" si="4"/>
        <v>0</v>
      </c>
      <c r="K89" s="7">
        <v>10</v>
      </c>
      <c r="L89" s="7">
        <v>8.695652173913043</v>
      </c>
      <c r="M89" s="7">
        <v>5.04</v>
      </c>
      <c r="N89" s="7">
        <v>1</v>
      </c>
      <c r="O89" s="7">
        <v>3.655652173913043</v>
      </c>
      <c r="P89" s="7">
        <v>10</v>
      </c>
      <c r="Q89" s="7">
        <v>8.695652173913043</v>
      </c>
      <c r="R89" s="7">
        <v>5.04</v>
      </c>
      <c r="S89" s="7">
        <v>42.039999999999992</v>
      </c>
    </row>
    <row r="90" spans="1:19" s="1" customFormat="1" ht="16.5" customHeight="1" x14ac:dyDescent="0.35">
      <c r="A90" s="3">
        <v>103</v>
      </c>
      <c r="B90" s="3">
        <v>33988</v>
      </c>
      <c r="C90" s="4" t="s">
        <v>174</v>
      </c>
      <c r="D90" s="6">
        <v>15</v>
      </c>
      <c r="E90" s="6">
        <v>9.1300000000000008</v>
      </c>
      <c r="F90" s="12">
        <v>0</v>
      </c>
      <c r="G90" s="15">
        <f t="shared" si="1"/>
        <v>0</v>
      </c>
      <c r="H90" s="15">
        <f t="shared" si="2"/>
        <v>0</v>
      </c>
      <c r="I90" s="15">
        <f t="shared" si="3"/>
        <v>0</v>
      </c>
      <c r="J90" s="18">
        <f t="shared" si="4"/>
        <v>0</v>
      </c>
      <c r="K90" s="7">
        <v>75</v>
      </c>
      <c r="L90" s="7">
        <v>65.217391304347828</v>
      </c>
      <c r="M90" s="7">
        <v>34.14</v>
      </c>
      <c r="N90" s="7">
        <v>6</v>
      </c>
      <c r="O90" s="7">
        <v>31.077391304347827</v>
      </c>
      <c r="P90" s="7">
        <v>12.5</v>
      </c>
      <c r="Q90" s="7">
        <v>10.869565217391305</v>
      </c>
      <c r="R90" s="7">
        <v>5.69</v>
      </c>
      <c r="S90" s="7">
        <v>47.652000000000001</v>
      </c>
    </row>
    <row r="91" spans="1:19" s="1" customFormat="1" ht="16.5" customHeight="1" x14ac:dyDescent="0.35">
      <c r="A91" s="3">
        <v>103</v>
      </c>
      <c r="B91" s="3">
        <v>33989</v>
      </c>
      <c r="C91" s="4" t="s">
        <v>169</v>
      </c>
      <c r="D91" s="6">
        <v>30</v>
      </c>
      <c r="E91" s="6">
        <v>20.81</v>
      </c>
      <c r="F91" s="12">
        <v>0</v>
      </c>
      <c r="G91" s="15">
        <f t="shared" si="1"/>
        <v>0</v>
      </c>
      <c r="H91" s="15">
        <f t="shared" si="2"/>
        <v>0</v>
      </c>
      <c r="I91" s="15">
        <f t="shared" si="3"/>
        <v>0</v>
      </c>
      <c r="J91" s="18">
        <f t="shared" si="4"/>
        <v>0</v>
      </c>
      <c r="K91" s="7">
        <v>285</v>
      </c>
      <c r="L91" s="7">
        <v>247.82608695652172</v>
      </c>
      <c r="M91" s="7">
        <v>156.91999999999999</v>
      </c>
      <c r="N91" s="7">
        <v>12</v>
      </c>
      <c r="O91" s="7">
        <v>90.906086956521733</v>
      </c>
      <c r="P91" s="7">
        <v>23.75</v>
      </c>
      <c r="Q91" s="7">
        <v>20.652173913043477</v>
      </c>
      <c r="R91" s="7">
        <v>13.076666666666666</v>
      </c>
      <c r="S91" s="7">
        <v>36.681403508771929</v>
      </c>
    </row>
    <row r="92" spans="1:19" s="1" customFormat="1" ht="16.5" customHeight="1" x14ac:dyDescent="0.35">
      <c r="A92" s="3">
        <v>103</v>
      </c>
      <c r="B92" s="3">
        <v>33990</v>
      </c>
      <c r="C92" s="4" t="s">
        <v>164</v>
      </c>
      <c r="D92" s="6">
        <v>21.99</v>
      </c>
      <c r="E92" s="6">
        <v>11.11</v>
      </c>
      <c r="F92" s="12">
        <v>0</v>
      </c>
      <c r="G92" s="15">
        <f t="shared" si="1"/>
        <v>0</v>
      </c>
      <c r="H92" s="15">
        <f t="shared" si="2"/>
        <v>0</v>
      </c>
      <c r="I92" s="15">
        <f t="shared" si="3"/>
        <v>0</v>
      </c>
      <c r="J92" s="18">
        <f t="shared" si="4"/>
        <v>0</v>
      </c>
      <c r="K92" s="7">
        <v>2151.7200000000003</v>
      </c>
      <c r="L92" s="7">
        <v>1871.0608695652177</v>
      </c>
      <c r="M92" s="7">
        <v>1088.78</v>
      </c>
      <c r="N92" s="7">
        <v>98</v>
      </c>
      <c r="O92" s="7">
        <v>782.2808695652177</v>
      </c>
      <c r="P92" s="7">
        <v>21.956326530612248</v>
      </c>
      <c r="Q92" s="7">
        <v>19.092457852706303</v>
      </c>
      <c r="R92" s="7">
        <v>11.11</v>
      </c>
      <c r="S92" s="7">
        <v>41.809482646440998</v>
      </c>
    </row>
    <row r="93" spans="1:19" s="1" customFormat="1" ht="16.5" customHeight="1" x14ac:dyDescent="0.35">
      <c r="A93" s="3">
        <v>118</v>
      </c>
      <c r="B93" s="3">
        <v>33991</v>
      </c>
      <c r="C93" s="4" t="s">
        <v>220</v>
      </c>
      <c r="D93" s="6">
        <v>100</v>
      </c>
      <c r="E93" s="6">
        <v>51.82</v>
      </c>
      <c r="F93" s="12">
        <v>0</v>
      </c>
      <c r="G93" s="15">
        <f t="shared" si="1"/>
        <v>0</v>
      </c>
      <c r="H93" s="15">
        <f t="shared" si="2"/>
        <v>0</v>
      </c>
      <c r="I93" s="15">
        <f t="shared" si="3"/>
        <v>0</v>
      </c>
      <c r="J93" s="18">
        <f t="shared" si="4"/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</row>
    <row r="94" spans="1:19" s="1" customFormat="1" ht="16.5" customHeight="1" x14ac:dyDescent="0.35">
      <c r="A94" s="3">
        <v>119</v>
      </c>
      <c r="B94" s="3">
        <v>34003</v>
      </c>
      <c r="C94" s="4" t="s">
        <v>222</v>
      </c>
      <c r="D94" s="6">
        <v>120</v>
      </c>
      <c r="E94" s="6">
        <v>62.47</v>
      </c>
      <c r="F94" s="12">
        <v>0</v>
      </c>
      <c r="G94" s="15">
        <f t="shared" si="1"/>
        <v>0</v>
      </c>
      <c r="H94" s="15">
        <f t="shared" si="2"/>
        <v>0</v>
      </c>
      <c r="I94" s="15">
        <f t="shared" si="3"/>
        <v>0</v>
      </c>
      <c r="J94" s="18">
        <f t="shared" si="4"/>
        <v>0</v>
      </c>
      <c r="K94" s="7">
        <v>22560</v>
      </c>
      <c r="L94" s="7">
        <v>19617.391304347824</v>
      </c>
      <c r="M94" s="7">
        <v>11744.36</v>
      </c>
      <c r="N94" s="7">
        <v>188</v>
      </c>
      <c r="O94" s="7">
        <v>7873.0313043478236</v>
      </c>
      <c r="P94" s="7">
        <v>120</v>
      </c>
      <c r="Q94" s="7">
        <v>104.34782608695652</v>
      </c>
      <c r="R94" s="7">
        <v>62.470000000000006</v>
      </c>
      <c r="S94" s="7">
        <v>40.132916666666659</v>
      </c>
    </row>
    <row r="95" spans="1:19" s="1" customFormat="1" ht="16.5" customHeight="1" x14ac:dyDescent="0.35">
      <c r="A95" s="3">
        <v>101</v>
      </c>
      <c r="B95" s="3">
        <v>34004</v>
      </c>
      <c r="C95" s="4" t="s">
        <v>42</v>
      </c>
      <c r="D95" s="6">
        <v>1</v>
      </c>
      <c r="E95" s="6">
        <v>0.65</v>
      </c>
      <c r="F95" s="12">
        <v>0</v>
      </c>
      <c r="G95" s="15">
        <f t="shared" si="1"/>
        <v>0</v>
      </c>
      <c r="H95" s="15">
        <f t="shared" si="2"/>
        <v>0</v>
      </c>
      <c r="I95" s="15">
        <f t="shared" si="3"/>
        <v>0</v>
      </c>
      <c r="J95" s="18">
        <f t="shared" si="4"/>
        <v>0</v>
      </c>
      <c r="K95" s="7">
        <v>6648</v>
      </c>
      <c r="L95" s="7">
        <v>5780.8695652173919</v>
      </c>
      <c r="M95" s="7">
        <v>4323.8</v>
      </c>
      <c r="N95" s="7">
        <v>6652</v>
      </c>
      <c r="O95" s="7">
        <v>1457.0695652173908</v>
      </c>
      <c r="P95" s="7">
        <v>0.99939867708959707</v>
      </c>
      <c r="Q95" s="7">
        <v>0.8690423279039976</v>
      </c>
      <c r="R95" s="7">
        <v>0.65</v>
      </c>
      <c r="S95" s="7">
        <v>25.205024067388681</v>
      </c>
    </row>
    <row r="96" spans="1:19" s="1" customFormat="1" ht="16.5" customHeight="1" x14ac:dyDescent="0.35">
      <c r="A96" s="3">
        <v>101</v>
      </c>
      <c r="B96" s="3">
        <v>34006</v>
      </c>
      <c r="C96" s="4" t="s">
        <v>53</v>
      </c>
      <c r="D96" s="6">
        <v>10.99</v>
      </c>
      <c r="E96" s="6">
        <v>6.3</v>
      </c>
      <c r="F96" s="12">
        <v>0</v>
      </c>
      <c r="G96" s="15">
        <f t="shared" si="1"/>
        <v>0</v>
      </c>
      <c r="H96" s="15">
        <f t="shared" si="2"/>
        <v>0</v>
      </c>
      <c r="I96" s="15">
        <f t="shared" si="3"/>
        <v>0</v>
      </c>
      <c r="J96" s="18">
        <f t="shared" si="4"/>
        <v>0</v>
      </c>
      <c r="K96" s="7">
        <v>1102.69</v>
      </c>
      <c r="L96" s="7">
        <v>1098.911304347826</v>
      </c>
      <c r="M96" s="7">
        <v>633.03</v>
      </c>
      <c r="N96" s="7">
        <v>101</v>
      </c>
      <c r="O96" s="7">
        <v>465.88130434782624</v>
      </c>
      <c r="P96" s="7">
        <v>10.917722772277228</v>
      </c>
      <c r="Q96" s="7">
        <v>10.880309944037881</v>
      </c>
      <c r="R96" s="7">
        <v>6.2676237623762372</v>
      </c>
      <c r="S96" s="7">
        <v>42.394804976941614</v>
      </c>
    </row>
    <row r="97" spans="1:19" s="1" customFormat="1" ht="16.5" customHeight="1" x14ac:dyDescent="0.35">
      <c r="A97" s="3">
        <v>118</v>
      </c>
      <c r="B97" s="3">
        <v>34014</v>
      </c>
      <c r="C97" s="4" t="s">
        <v>214</v>
      </c>
      <c r="D97" s="6">
        <v>100</v>
      </c>
      <c r="E97" s="6">
        <v>52.03</v>
      </c>
      <c r="F97" s="12">
        <v>0</v>
      </c>
      <c r="G97" s="15">
        <f t="shared" si="1"/>
        <v>0</v>
      </c>
      <c r="H97" s="15">
        <f t="shared" si="2"/>
        <v>0</v>
      </c>
      <c r="I97" s="15">
        <f t="shared" si="3"/>
        <v>0</v>
      </c>
      <c r="J97" s="18">
        <f t="shared" si="4"/>
        <v>0</v>
      </c>
      <c r="K97" s="7">
        <v>3690</v>
      </c>
      <c r="L97" s="7">
        <v>3208.695652173913</v>
      </c>
      <c r="M97" s="7">
        <v>1985.0599999999997</v>
      </c>
      <c r="N97" s="7">
        <v>38</v>
      </c>
      <c r="O97" s="7">
        <v>1223.6356521739137</v>
      </c>
      <c r="P97" s="7">
        <v>97.10526315789474</v>
      </c>
      <c r="Q97" s="7">
        <v>84.439359267734559</v>
      </c>
      <c r="R97" s="7">
        <v>52.238421052631573</v>
      </c>
      <c r="S97" s="7">
        <v>38.134986449864513</v>
      </c>
    </row>
    <row r="98" spans="1:19" s="1" customFormat="1" ht="16.5" customHeight="1" x14ac:dyDescent="0.35">
      <c r="A98" s="3">
        <v>101</v>
      </c>
      <c r="B98" s="3">
        <v>34019</v>
      </c>
      <c r="C98" s="4" t="s">
        <v>74</v>
      </c>
      <c r="D98" s="6">
        <v>5.99</v>
      </c>
      <c r="E98" s="6">
        <v>3.12</v>
      </c>
      <c r="F98" s="12">
        <v>0</v>
      </c>
      <c r="G98" s="15">
        <f t="shared" si="1"/>
        <v>0</v>
      </c>
      <c r="H98" s="15">
        <f t="shared" si="2"/>
        <v>0</v>
      </c>
      <c r="I98" s="15">
        <f t="shared" si="3"/>
        <v>0</v>
      </c>
      <c r="J98" s="18">
        <f t="shared" si="4"/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</row>
    <row r="99" spans="1:19" s="1" customFormat="1" ht="16.5" customHeight="1" x14ac:dyDescent="0.35">
      <c r="A99" s="3">
        <v>102</v>
      </c>
      <c r="B99" s="3">
        <v>34021</v>
      </c>
      <c r="C99" s="4" t="s">
        <v>144</v>
      </c>
      <c r="D99" s="6">
        <v>32.99</v>
      </c>
      <c r="E99" s="6">
        <v>15.39</v>
      </c>
      <c r="F99" s="12">
        <v>0</v>
      </c>
      <c r="G99" s="15">
        <f t="shared" si="1"/>
        <v>0</v>
      </c>
      <c r="H99" s="15">
        <f t="shared" si="2"/>
        <v>0</v>
      </c>
      <c r="I99" s="15">
        <f t="shared" si="3"/>
        <v>0</v>
      </c>
      <c r="J99" s="18">
        <f t="shared" si="4"/>
        <v>0</v>
      </c>
      <c r="K99" s="7">
        <v>199.9</v>
      </c>
      <c r="L99" s="7">
        <v>173.82608695652175</v>
      </c>
      <c r="M99" s="7">
        <v>153.9</v>
      </c>
      <c r="N99" s="7">
        <v>10</v>
      </c>
      <c r="O99" s="7">
        <v>19.926086956521743</v>
      </c>
      <c r="P99" s="7">
        <v>19.990000000000002</v>
      </c>
      <c r="Q99" s="7">
        <v>17.382608695652173</v>
      </c>
      <c r="R99" s="7">
        <v>15.39</v>
      </c>
      <c r="S99" s="7">
        <v>11.463231615807906</v>
      </c>
    </row>
    <row r="100" spans="1:19" s="1" customFormat="1" ht="16.5" customHeight="1" x14ac:dyDescent="0.35">
      <c r="A100" s="3">
        <v>101</v>
      </c>
      <c r="B100" s="3">
        <v>34024</v>
      </c>
      <c r="C100" s="4" t="s">
        <v>20</v>
      </c>
      <c r="D100" s="6">
        <v>37.99</v>
      </c>
      <c r="E100" s="6">
        <v>16.5</v>
      </c>
      <c r="F100" s="12">
        <v>0</v>
      </c>
      <c r="G100" s="15">
        <f t="shared" si="1"/>
        <v>0</v>
      </c>
      <c r="H100" s="15">
        <f t="shared" si="2"/>
        <v>0</v>
      </c>
      <c r="I100" s="15">
        <f t="shared" si="3"/>
        <v>0</v>
      </c>
      <c r="J100" s="18">
        <f t="shared" si="4"/>
        <v>0</v>
      </c>
      <c r="K100" s="7">
        <v>66517.169999999984</v>
      </c>
      <c r="L100" s="7">
        <v>57841.017391304347</v>
      </c>
      <c r="M100" s="7">
        <v>29799</v>
      </c>
      <c r="N100" s="7">
        <v>1806</v>
      </c>
      <c r="O100" s="7">
        <v>28042.017391304333</v>
      </c>
      <c r="P100" s="7">
        <v>36.831212624584708</v>
      </c>
      <c r="Q100" s="7">
        <v>32.027141412682361</v>
      </c>
      <c r="R100" s="7">
        <v>16.5</v>
      </c>
      <c r="S100" s="7">
        <v>48.481196659448969</v>
      </c>
    </row>
    <row r="101" spans="1:19" s="1" customFormat="1" ht="16.5" customHeight="1" x14ac:dyDescent="0.35">
      <c r="A101" s="3">
        <v>118</v>
      </c>
      <c r="B101" s="3">
        <v>34025</v>
      </c>
      <c r="C101" s="4" t="s">
        <v>217</v>
      </c>
      <c r="D101" s="6">
        <v>120</v>
      </c>
      <c r="E101" s="6">
        <v>62.39</v>
      </c>
      <c r="F101" s="12">
        <v>0</v>
      </c>
      <c r="G101" s="15">
        <f t="shared" si="1"/>
        <v>0</v>
      </c>
      <c r="H101" s="15">
        <f t="shared" si="2"/>
        <v>0</v>
      </c>
      <c r="I101" s="15">
        <f t="shared" si="3"/>
        <v>0</v>
      </c>
      <c r="J101" s="18">
        <f t="shared" si="4"/>
        <v>0</v>
      </c>
      <c r="K101" s="7">
        <v>2010</v>
      </c>
      <c r="L101" s="7">
        <v>1747.8260869565215</v>
      </c>
      <c r="M101" s="7">
        <v>1072.24</v>
      </c>
      <c r="N101" s="7">
        <v>17</v>
      </c>
      <c r="O101" s="7">
        <v>675.58608695652197</v>
      </c>
      <c r="P101" s="7">
        <v>118.23529411764706</v>
      </c>
      <c r="Q101" s="7">
        <v>102.81329923273655</v>
      </c>
      <c r="R101" s="7">
        <v>63.072941176470586</v>
      </c>
      <c r="S101" s="7">
        <v>38.65293532338309</v>
      </c>
    </row>
    <row r="102" spans="1:19" s="1" customFormat="1" ht="16.5" customHeight="1" x14ac:dyDescent="0.35">
      <c r="A102" s="3">
        <v>106</v>
      </c>
      <c r="B102" s="3">
        <v>34027</v>
      </c>
      <c r="C102" s="4" t="s">
        <v>202</v>
      </c>
      <c r="D102" s="6">
        <v>27.99</v>
      </c>
      <c r="E102" s="6">
        <v>15.41</v>
      </c>
      <c r="F102" s="12">
        <v>0</v>
      </c>
      <c r="G102" s="15">
        <f t="shared" si="1"/>
        <v>0</v>
      </c>
      <c r="H102" s="15">
        <f t="shared" si="2"/>
        <v>0</v>
      </c>
      <c r="I102" s="15">
        <f t="shared" si="3"/>
        <v>0</v>
      </c>
      <c r="J102" s="18">
        <f t="shared" si="4"/>
        <v>0</v>
      </c>
      <c r="K102" s="7">
        <v>3274.8300000000008</v>
      </c>
      <c r="L102" s="7">
        <v>2847.6782608695648</v>
      </c>
      <c r="M102" s="7">
        <v>1802.97</v>
      </c>
      <c r="N102" s="7">
        <v>117</v>
      </c>
      <c r="O102" s="7">
        <v>1044.7082608695662</v>
      </c>
      <c r="P102" s="7">
        <v>27.990000000000006</v>
      </c>
      <c r="Q102" s="7">
        <v>24.339130434782607</v>
      </c>
      <c r="R102" s="7">
        <v>15.41</v>
      </c>
      <c r="S102" s="7">
        <v>36.686316541622027</v>
      </c>
    </row>
    <row r="103" spans="1:19" s="1" customFormat="1" ht="16.5" customHeight="1" x14ac:dyDescent="0.35">
      <c r="A103" s="3">
        <v>106</v>
      </c>
      <c r="B103" s="3">
        <v>34028</v>
      </c>
      <c r="C103" s="4" t="s">
        <v>201</v>
      </c>
      <c r="D103" s="6">
        <v>26.99</v>
      </c>
      <c r="E103" s="6">
        <v>15.3</v>
      </c>
      <c r="F103" s="12">
        <v>0</v>
      </c>
      <c r="G103" s="15">
        <f t="shared" si="1"/>
        <v>0</v>
      </c>
      <c r="H103" s="15">
        <f t="shared" si="2"/>
        <v>0</v>
      </c>
      <c r="I103" s="15">
        <f t="shared" si="3"/>
        <v>0</v>
      </c>
      <c r="J103" s="18">
        <f t="shared" si="4"/>
        <v>0</v>
      </c>
      <c r="K103" s="7">
        <v>8418.1799999999985</v>
      </c>
      <c r="L103" s="7">
        <v>7320.1565217391308</v>
      </c>
      <c r="M103" s="7">
        <v>4773.6000000000004</v>
      </c>
      <c r="N103" s="7">
        <v>312</v>
      </c>
      <c r="O103" s="7">
        <v>2546.5565217391286</v>
      </c>
      <c r="P103" s="7">
        <v>26.98134615384615</v>
      </c>
      <c r="Q103" s="7">
        <v>23.462040133779265</v>
      </c>
      <c r="R103" s="7">
        <v>15.3</v>
      </c>
      <c r="S103" s="7">
        <v>34.788279651896239</v>
      </c>
    </row>
    <row r="104" spans="1:19" s="1" customFormat="1" ht="16.5" customHeight="1" x14ac:dyDescent="0.35">
      <c r="A104" s="3">
        <v>118</v>
      </c>
      <c r="B104" s="3">
        <v>34033</v>
      </c>
      <c r="C104" s="4" t="s">
        <v>212</v>
      </c>
      <c r="D104" s="6">
        <v>120</v>
      </c>
      <c r="E104" s="6">
        <v>64.849999999999994</v>
      </c>
      <c r="F104" s="12">
        <v>0</v>
      </c>
      <c r="G104" s="15">
        <f t="shared" si="1"/>
        <v>0</v>
      </c>
      <c r="H104" s="15">
        <f t="shared" si="2"/>
        <v>0</v>
      </c>
      <c r="I104" s="15">
        <f t="shared" si="3"/>
        <v>0</v>
      </c>
      <c r="J104" s="18">
        <f t="shared" si="4"/>
        <v>0</v>
      </c>
      <c r="K104" s="7">
        <v>6640</v>
      </c>
      <c r="L104" s="7">
        <v>5773.913043478261</v>
      </c>
      <c r="M104" s="7">
        <v>3782.7400000000002</v>
      </c>
      <c r="N104" s="7">
        <v>58</v>
      </c>
      <c r="O104" s="7">
        <v>1991.1730434782608</v>
      </c>
      <c r="P104" s="7">
        <v>114.48275862068965</v>
      </c>
      <c r="Q104" s="7">
        <v>99.550224887556226</v>
      </c>
      <c r="R104" s="7">
        <v>65.219655172413795</v>
      </c>
      <c r="S104" s="7">
        <v>34.485677710843369</v>
      </c>
    </row>
    <row r="105" spans="1:19" s="1" customFormat="1" ht="16.5" customHeight="1" x14ac:dyDescent="0.35">
      <c r="A105" s="3">
        <v>102</v>
      </c>
      <c r="B105" s="3">
        <v>34037</v>
      </c>
      <c r="C105" s="4" t="s">
        <v>134</v>
      </c>
      <c r="D105" s="6">
        <v>29.99</v>
      </c>
      <c r="E105" s="6">
        <v>16.43</v>
      </c>
      <c r="F105" s="12">
        <v>0</v>
      </c>
      <c r="G105" s="15">
        <f t="shared" si="1"/>
        <v>0</v>
      </c>
      <c r="H105" s="15">
        <f t="shared" si="2"/>
        <v>0</v>
      </c>
      <c r="I105" s="15">
        <f t="shared" si="3"/>
        <v>0</v>
      </c>
      <c r="J105" s="18">
        <f t="shared" si="4"/>
        <v>0</v>
      </c>
      <c r="K105" s="7">
        <v>449.84999999999997</v>
      </c>
      <c r="L105" s="7">
        <v>391.17391304347819</v>
      </c>
      <c r="M105" s="7">
        <v>246.45000000000002</v>
      </c>
      <c r="N105" s="7">
        <v>15</v>
      </c>
      <c r="O105" s="7">
        <v>144.72391304347823</v>
      </c>
      <c r="P105" s="7">
        <v>29.99</v>
      </c>
      <c r="Q105" s="7">
        <v>26.078260869565213</v>
      </c>
      <c r="R105" s="7">
        <v>16.43</v>
      </c>
      <c r="S105" s="7">
        <v>36.997332444148043</v>
      </c>
    </row>
    <row r="106" spans="1:19" s="1" customFormat="1" ht="16.5" customHeight="1" x14ac:dyDescent="0.35">
      <c r="A106" s="3">
        <v>102</v>
      </c>
      <c r="B106" s="3">
        <v>34039</v>
      </c>
      <c r="C106" s="4" t="s">
        <v>97</v>
      </c>
      <c r="D106" s="6">
        <v>11.99</v>
      </c>
      <c r="E106" s="6">
        <v>5.62</v>
      </c>
      <c r="F106" s="12">
        <v>0</v>
      </c>
      <c r="G106" s="15">
        <f t="shared" si="1"/>
        <v>0</v>
      </c>
      <c r="H106" s="15">
        <f t="shared" si="2"/>
        <v>0</v>
      </c>
      <c r="I106" s="15">
        <f t="shared" si="3"/>
        <v>0</v>
      </c>
      <c r="J106" s="18">
        <f t="shared" si="4"/>
        <v>0</v>
      </c>
      <c r="K106" s="7">
        <v>10080.59</v>
      </c>
      <c r="L106" s="7">
        <v>8765.7304347826102</v>
      </c>
      <c r="M106" s="7">
        <v>4726.420000000001</v>
      </c>
      <c r="N106" s="7">
        <v>841</v>
      </c>
      <c r="O106" s="7">
        <v>4039.3104347826074</v>
      </c>
      <c r="P106" s="7">
        <v>11.986432818073721</v>
      </c>
      <c r="Q106" s="7">
        <v>10.422985059194543</v>
      </c>
      <c r="R106" s="7">
        <v>5.620000000000001</v>
      </c>
      <c r="S106" s="7">
        <v>46.080705593620998</v>
      </c>
    </row>
    <row r="107" spans="1:19" s="1" customFormat="1" ht="16.5" customHeight="1" x14ac:dyDescent="0.35">
      <c r="A107" s="3">
        <v>118</v>
      </c>
      <c r="B107" s="3">
        <v>34040</v>
      </c>
      <c r="C107" s="4" t="s">
        <v>218</v>
      </c>
      <c r="D107" s="6">
        <v>80</v>
      </c>
      <c r="E107" s="6">
        <v>36.909999999999997</v>
      </c>
      <c r="F107" s="12">
        <v>0</v>
      </c>
      <c r="G107" s="15">
        <f t="shared" si="1"/>
        <v>0</v>
      </c>
      <c r="H107" s="15">
        <f t="shared" si="2"/>
        <v>0</v>
      </c>
      <c r="I107" s="15">
        <f t="shared" si="3"/>
        <v>0</v>
      </c>
      <c r="J107" s="18">
        <f t="shared" si="4"/>
        <v>0</v>
      </c>
      <c r="K107" s="7">
        <v>1430</v>
      </c>
      <c r="L107" s="7">
        <v>1243.478260869565</v>
      </c>
      <c r="M107" s="7">
        <v>665.79999999999984</v>
      </c>
      <c r="N107" s="7">
        <v>18</v>
      </c>
      <c r="O107" s="7">
        <v>577.67826086956541</v>
      </c>
      <c r="P107" s="7">
        <v>79.444444444444443</v>
      </c>
      <c r="Q107" s="7">
        <v>69.082125603864725</v>
      </c>
      <c r="R107" s="7">
        <v>36.98888888888888</v>
      </c>
      <c r="S107" s="7">
        <v>46.456643356643376</v>
      </c>
    </row>
    <row r="108" spans="1:19" s="1" customFormat="1" ht="16.5" customHeight="1" x14ac:dyDescent="0.35">
      <c r="A108" s="3">
        <v>101</v>
      </c>
      <c r="B108" s="3">
        <v>34052</v>
      </c>
      <c r="C108" s="4" t="s">
        <v>61</v>
      </c>
      <c r="D108" s="6">
        <v>24.99</v>
      </c>
      <c r="E108" s="6">
        <v>8.1</v>
      </c>
      <c r="F108" s="12">
        <v>0</v>
      </c>
      <c r="G108" s="15">
        <f t="shared" si="1"/>
        <v>0</v>
      </c>
      <c r="H108" s="15">
        <f t="shared" si="2"/>
        <v>0</v>
      </c>
      <c r="I108" s="15">
        <f t="shared" si="3"/>
        <v>0</v>
      </c>
      <c r="J108" s="18">
        <f t="shared" si="4"/>
        <v>0</v>
      </c>
      <c r="K108" s="7">
        <v>373.59999999999997</v>
      </c>
      <c r="L108" s="7">
        <v>324.86956521739125</v>
      </c>
      <c r="M108" s="7">
        <v>121.5</v>
      </c>
      <c r="N108" s="7">
        <v>15</v>
      </c>
      <c r="O108" s="7">
        <v>203.36956521739125</v>
      </c>
      <c r="P108" s="7">
        <v>24.906666666666663</v>
      </c>
      <c r="Q108" s="7">
        <v>21.657971014492752</v>
      </c>
      <c r="R108" s="7">
        <v>8.1</v>
      </c>
      <c r="S108" s="7">
        <v>62.600374732334039</v>
      </c>
    </row>
    <row r="109" spans="1:19" s="1" customFormat="1" ht="16.5" customHeight="1" x14ac:dyDescent="0.35">
      <c r="A109" s="3">
        <v>118</v>
      </c>
      <c r="B109" s="3">
        <v>34054</v>
      </c>
      <c r="C109" s="4" t="s">
        <v>215</v>
      </c>
      <c r="D109" s="6">
        <v>100</v>
      </c>
      <c r="E109" s="6">
        <v>54.36</v>
      </c>
      <c r="F109" s="12">
        <v>0</v>
      </c>
      <c r="G109" s="15">
        <f t="shared" si="1"/>
        <v>0</v>
      </c>
      <c r="H109" s="15">
        <f t="shared" si="2"/>
        <v>0</v>
      </c>
      <c r="I109" s="15">
        <f t="shared" si="3"/>
        <v>0</v>
      </c>
      <c r="J109" s="18">
        <f t="shared" si="4"/>
        <v>0</v>
      </c>
      <c r="K109" s="7">
        <v>2090</v>
      </c>
      <c r="L109" s="7">
        <v>1817.3913043478265</v>
      </c>
      <c r="M109" s="7">
        <v>1144.48</v>
      </c>
      <c r="N109" s="7">
        <v>21</v>
      </c>
      <c r="O109" s="7">
        <v>672.91130434782622</v>
      </c>
      <c r="P109" s="7">
        <v>99.523809523809518</v>
      </c>
      <c r="Q109" s="7">
        <v>86.542443064182208</v>
      </c>
      <c r="R109" s="7">
        <v>54.499047619047623</v>
      </c>
      <c r="S109" s="7">
        <v>37.026220095693787</v>
      </c>
    </row>
    <row r="110" spans="1:19" s="1" customFormat="1" ht="16.5" customHeight="1" x14ac:dyDescent="0.35">
      <c r="A110" s="3">
        <v>101</v>
      </c>
      <c r="B110" s="3">
        <v>34059</v>
      </c>
      <c r="C110" s="4" t="s">
        <v>54</v>
      </c>
      <c r="D110" s="6">
        <v>6.99</v>
      </c>
      <c r="E110" s="6">
        <v>3.8</v>
      </c>
      <c r="F110" s="12">
        <v>0</v>
      </c>
      <c r="G110" s="15">
        <f t="shared" si="1"/>
        <v>0</v>
      </c>
      <c r="H110" s="15">
        <f t="shared" si="2"/>
        <v>0</v>
      </c>
      <c r="I110" s="15">
        <f t="shared" si="3"/>
        <v>0</v>
      </c>
      <c r="J110" s="18">
        <f t="shared" si="4"/>
        <v>0</v>
      </c>
      <c r="K110" s="7">
        <v>963.22</v>
      </c>
      <c r="L110" s="7">
        <v>837.5826086956522</v>
      </c>
      <c r="M110" s="7">
        <v>524.4</v>
      </c>
      <c r="N110" s="7">
        <v>138</v>
      </c>
      <c r="O110" s="7">
        <v>313.18260869565222</v>
      </c>
      <c r="P110" s="7">
        <v>6.979855072463768</v>
      </c>
      <c r="Q110" s="7">
        <v>6.0694391934467546</v>
      </c>
      <c r="R110" s="7">
        <v>3.8</v>
      </c>
      <c r="S110" s="7">
        <v>37.391250181682281</v>
      </c>
    </row>
    <row r="111" spans="1:19" s="1" customFormat="1" ht="16.5" customHeight="1" x14ac:dyDescent="0.35">
      <c r="A111" s="3">
        <v>102</v>
      </c>
      <c r="B111" s="3">
        <v>34061</v>
      </c>
      <c r="C111" s="4" t="s">
        <v>129</v>
      </c>
      <c r="D111" s="6">
        <v>39.99</v>
      </c>
      <c r="E111" s="6">
        <v>17.68</v>
      </c>
      <c r="F111" s="12">
        <v>0</v>
      </c>
      <c r="G111" s="15">
        <f t="shared" si="1"/>
        <v>0</v>
      </c>
      <c r="H111" s="15">
        <f t="shared" si="2"/>
        <v>0</v>
      </c>
      <c r="I111" s="15">
        <f t="shared" si="3"/>
        <v>0</v>
      </c>
      <c r="J111" s="18">
        <f t="shared" si="4"/>
        <v>0</v>
      </c>
      <c r="K111" s="7">
        <v>957.76</v>
      </c>
      <c r="L111" s="7">
        <v>832.83478260869572</v>
      </c>
      <c r="M111" s="7">
        <v>415.83360000000005</v>
      </c>
      <c r="N111" s="7">
        <v>24</v>
      </c>
      <c r="O111" s="7">
        <v>417.00118260869556</v>
      </c>
      <c r="P111" s="7">
        <v>39.906666666666666</v>
      </c>
      <c r="Q111" s="7">
        <v>34.701449275362322</v>
      </c>
      <c r="R111" s="7">
        <v>17.326400000000003</v>
      </c>
      <c r="S111" s="7">
        <v>50.070096892749739</v>
      </c>
    </row>
    <row r="112" spans="1:19" s="1" customFormat="1" ht="16.5" customHeight="1" x14ac:dyDescent="0.35">
      <c r="A112" s="3">
        <v>101</v>
      </c>
      <c r="B112" s="3">
        <v>34068</v>
      </c>
      <c r="C112" s="4" t="s">
        <v>64</v>
      </c>
      <c r="D112" s="6">
        <v>1.5</v>
      </c>
      <c r="E112" s="6">
        <v>0.59</v>
      </c>
      <c r="F112" s="12">
        <v>0</v>
      </c>
      <c r="G112" s="15">
        <f t="shared" si="1"/>
        <v>0</v>
      </c>
      <c r="H112" s="15">
        <f t="shared" si="2"/>
        <v>0</v>
      </c>
      <c r="I112" s="15">
        <f t="shared" si="3"/>
        <v>0</v>
      </c>
      <c r="J112" s="18">
        <f t="shared" si="4"/>
        <v>0</v>
      </c>
      <c r="K112" s="7">
        <v>244.5</v>
      </c>
      <c r="L112" s="7">
        <v>212.60869565217391</v>
      </c>
      <c r="M112" s="7">
        <v>96.17</v>
      </c>
      <c r="N112" s="7">
        <v>163</v>
      </c>
      <c r="O112" s="7">
        <v>116.43869565217391</v>
      </c>
      <c r="P112" s="7">
        <v>1.5</v>
      </c>
      <c r="Q112" s="7">
        <v>1.3043478260869565</v>
      </c>
      <c r="R112" s="7">
        <v>0.59</v>
      </c>
      <c r="S112" s="7">
        <v>54.766666666666666</v>
      </c>
    </row>
    <row r="113" spans="1:19" s="1" customFormat="1" ht="16.5" customHeight="1" x14ac:dyDescent="0.35">
      <c r="A113" s="3">
        <v>102</v>
      </c>
      <c r="B113" s="3">
        <v>34074</v>
      </c>
      <c r="C113" s="4" t="s">
        <v>120</v>
      </c>
      <c r="D113" s="6">
        <v>21.99</v>
      </c>
      <c r="E113" s="6">
        <v>12.33</v>
      </c>
      <c r="F113" s="12">
        <v>0</v>
      </c>
      <c r="G113" s="15">
        <f t="shared" si="1"/>
        <v>0</v>
      </c>
      <c r="H113" s="15">
        <f t="shared" si="2"/>
        <v>0</v>
      </c>
      <c r="I113" s="15">
        <f t="shared" si="3"/>
        <v>0</v>
      </c>
      <c r="J113" s="18">
        <f t="shared" si="4"/>
        <v>0</v>
      </c>
      <c r="K113" s="7">
        <v>1517.3100000000004</v>
      </c>
      <c r="L113" s="7">
        <v>1319.4</v>
      </c>
      <c r="M113" s="7">
        <v>850.7700000000001</v>
      </c>
      <c r="N113" s="7">
        <v>69</v>
      </c>
      <c r="O113" s="7">
        <v>468.63000000000022</v>
      </c>
      <c r="P113" s="7">
        <v>21.990000000000006</v>
      </c>
      <c r="Q113" s="7">
        <v>19.121739130434783</v>
      </c>
      <c r="R113" s="7">
        <v>12.330000000000002</v>
      </c>
      <c r="S113" s="7">
        <v>35.518417462482951</v>
      </c>
    </row>
    <row r="114" spans="1:19" s="1" customFormat="1" ht="16.5" customHeight="1" x14ac:dyDescent="0.35">
      <c r="A114" s="3">
        <v>104</v>
      </c>
      <c r="B114" s="3">
        <v>34075</v>
      </c>
      <c r="C114" s="4" t="s">
        <v>197</v>
      </c>
      <c r="D114" s="6">
        <v>69.989999999999995</v>
      </c>
      <c r="E114" s="6">
        <v>36.1</v>
      </c>
      <c r="F114" s="12">
        <v>0</v>
      </c>
      <c r="G114" s="15">
        <f t="shared" si="1"/>
        <v>0</v>
      </c>
      <c r="H114" s="15">
        <f t="shared" si="2"/>
        <v>0</v>
      </c>
      <c r="I114" s="15">
        <f t="shared" si="3"/>
        <v>0</v>
      </c>
      <c r="J114" s="18">
        <f t="shared" si="4"/>
        <v>0</v>
      </c>
      <c r="K114" s="7">
        <v>296.65000000000003</v>
      </c>
      <c r="L114" s="7">
        <v>257.95652173913044</v>
      </c>
      <c r="M114" s="7">
        <v>152.99180000000001</v>
      </c>
      <c r="N114" s="7">
        <v>4.2380000000000004</v>
      </c>
      <c r="O114" s="7">
        <v>104.96472173913043</v>
      </c>
      <c r="P114" s="7">
        <v>69.997640396413402</v>
      </c>
      <c r="Q114" s="7">
        <v>60.867513388185564</v>
      </c>
      <c r="R114" s="7">
        <v>36.1</v>
      </c>
      <c r="S114" s="7">
        <v>40.69085791336591</v>
      </c>
    </row>
    <row r="115" spans="1:19" s="1" customFormat="1" ht="16.5" customHeight="1" x14ac:dyDescent="0.35">
      <c r="A115" s="3">
        <v>103</v>
      </c>
      <c r="B115" s="3">
        <v>34076</v>
      </c>
      <c r="C115" s="4" t="s">
        <v>185</v>
      </c>
      <c r="D115" s="6">
        <v>114.99</v>
      </c>
      <c r="E115" s="6">
        <v>20.95</v>
      </c>
      <c r="F115" s="12">
        <v>0</v>
      </c>
      <c r="G115" s="15">
        <f t="shared" si="1"/>
        <v>0</v>
      </c>
      <c r="H115" s="15">
        <f t="shared" si="2"/>
        <v>0</v>
      </c>
      <c r="I115" s="15">
        <f t="shared" si="3"/>
        <v>0</v>
      </c>
      <c r="J115" s="18">
        <f t="shared" si="4"/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</row>
    <row r="116" spans="1:19" s="1" customFormat="1" ht="16.5" customHeight="1" x14ac:dyDescent="0.35">
      <c r="A116" s="3">
        <v>101</v>
      </c>
      <c r="B116" s="3">
        <v>34086</v>
      </c>
      <c r="C116" s="4" t="s">
        <v>50</v>
      </c>
      <c r="D116" s="6">
        <v>29.99</v>
      </c>
      <c r="E116" s="6">
        <v>10</v>
      </c>
      <c r="F116" s="12">
        <v>0</v>
      </c>
      <c r="G116" s="15">
        <f t="shared" ref="G116:G179" si="5">F116*D116</f>
        <v>0</v>
      </c>
      <c r="H116" s="15">
        <f t="shared" ref="H116:H179" si="6">E116*F116</f>
        <v>0</v>
      </c>
      <c r="I116" s="15">
        <f t="shared" ref="I116:I179" si="7">G116-H116</f>
        <v>0</v>
      </c>
      <c r="J116" s="18">
        <f t="shared" ref="J116:J179" si="8">IFERROR(I116/G116,0)</f>
        <v>0</v>
      </c>
      <c r="K116" s="7">
        <v>2016.6100000000001</v>
      </c>
      <c r="L116" s="7">
        <v>1753.5739130434783</v>
      </c>
      <c r="M116" s="7">
        <v>673.60000000000014</v>
      </c>
      <c r="N116" s="7">
        <v>67.36</v>
      </c>
      <c r="O116" s="7">
        <v>1079.9739130434782</v>
      </c>
      <c r="P116" s="7">
        <v>29.93779691211401</v>
      </c>
      <c r="Q116" s="7">
        <v>26.032866880099139</v>
      </c>
      <c r="R116" s="7">
        <v>10</v>
      </c>
      <c r="S116" s="7">
        <v>61.587019800556376</v>
      </c>
    </row>
    <row r="117" spans="1:19" s="1" customFormat="1" ht="16.5" customHeight="1" x14ac:dyDescent="0.35">
      <c r="A117" s="3">
        <v>103</v>
      </c>
      <c r="B117" s="3">
        <v>34087</v>
      </c>
      <c r="C117" s="4" t="s">
        <v>170</v>
      </c>
      <c r="D117" s="6">
        <v>99.99</v>
      </c>
      <c r="E117" s="6">
        <v>54.67</v>
      </c>
      <c r="F117" s="12">
        <v>0</v>
      </c>
      <c r="G117" s="15">
        <f t="shared" si="5"/>
        <v>0</v>
      </c>
      <c r="H117" s="15">
        <f t="shared" si="6"/>
        <v>0</v>
      </c>
      <c r="I117" s="15">
        <f t="shared" si="7"/>
        <v>0</v>
      </c>
      <c r="J117" s="18">
        <f t="shared" si="8"/>
        <v>0</v>
      </c>
      <c r="K117" s="7">
        <v>201.39999999999998</v>
      </c>
      <c r="L117" s="7">
        <v>175.13043478260869</v>
      </c>
      <c r="M117" s="7">
        <v>110.10538000000001</v>
      </c>
      <c r="N117" s="7">
        <v>2.0139999999999998</v>
      </c>
      <c r="O117" s="7">
        <v>65.025054782608677</v>
      </c>
      <c r="P117" s="7">
        <v>99.999999999999972</v>
      </c>
      <c r="Q117" s="7">
        <v>86.956521739130423</v>
      </c>
      <c r="R117" s="7">
        <v>54.67</v>
      </c>
      <c r="S117" s="7">
        <v>37.129499999999993</v>
      </c>
    </row>
    <row r="118" spans="1:19" s="1" customFormat="1" ht="16.5" customHeight="1" x14ac:dyDescent="0.35">
      <c r="A118" s="3">
        <v>101</v>
      </c>
      <c r="B118" s="3">
        <v>34088</v>
      </c>
      <c r="C118" s="4" t="s">
        <v>36</v>
      </c>
      <c r="D118" s="6">
        <v>1.5</v>
      </c>
      <c r="E118" s="6">
        <v>0.68</v>
      </c>
      <c r="F118" s="12">
        <v>0</v>
      </c>
      <c r="G118" s="15">
        <f t="shared" si="5"/>
        <v>0</v>
      </c>
      <c r="H118" s="15">
        <f t="shared" si="6"/>
        <v>0</v>
      </c>
      <c r="I118" s="15">
        <f t="shared" si="7"/>
        <v>0</v>
      </c>
      <c r="J118" s="18">
        <f t="shared" si="8"/>
        <v>0</v>
      </c>
      <c r="K118" s="7">
        <v>13376</v>
      </c>
      <c r="L118" s="7">
        <v>11631.304347826088</v>
      </c>
      <c r="M118" s="7">
        <v>4642.8999999999996</v>
      </c>
      <c r="N118" s="7">
        <v>6605</v>
      </c>
      <c r="O118" s="7">
        <v>6988.4043478260865</v>
      </c>
      <c r="P118" s="7">
        <v>2.025132475397426</v>
      </c>
      <c r="Q118" s="7">
        <v>1.7609847612151535</v>
      </c>
      <c r="R118" s="7">
        <v>0.70293716881150636</v>
      </c>
      <c r="S118" s="7">
        <v>60.082722787081345</v>
      </c>
    </row>
    <row r="119" spans="1:19" s="1" customFormat="1" ht="16.5" customHeight="1" x14ac:dyDescent="0.35">
      <c r="A119" s="3">
        <v>102</v>
      </c>
      <c r="B119" s="3">
        <v>34089</v>
      </c>
      <c r="C119" s="4" t="s">
        <v>154</v>
      </c>
      <c r="D119" s="6">
        <v>39.99</v>
      </c>
      <c r="E119" s="6">
        <v>29.01</v>
      </c>
      <c r="F119" s="12">
        <v>0</v>
      </c>
      <c r="G119" s="15">
        <f t="shared" si="5"/>
        <v>0</v>
      </c>
      <c r="H119" s="15">
        <f t="shared" si="6"/>
        <v>0</v>
      </c>
      <c r="I119" s="15">
        <f t="shared" si="7"/>
        <v>0</v>
      </c>
      <c r="J119" s="18">
        <f t="shared" si="8"/>
        <v>0</v>
      </c>
      <c r="K119" s="7">
        <v>39.99</v>
      </c>
      <c r="L119" s="7">
        <v>34.77391304347826</v>
      </c>
      <c r="M119" s="7">
        <v>29.01</v>
      </c>
      <c r="N119" s="7">
        <v>1</v>
      </c>
      <c r="O119" s="7">
        <v>5.7639130434782579</v>
      </c>
      <c r="P119" s="7">
        <v>39.99</v>
      </c>
      <c r="Q119" s="7">
        <v>34.77391304347826</v>
      </c>
      <c r="R119" s="7">
        <v>29.01</v>
      </c>
      <c r="S119" s="7">
        <v>16.57539384846211</v>
      </c>
    </row>
    <row r="120" spans="1:19" s="1" customFormat="1" ht="16.5" customHeight="1" x14ac:dyDescent="0.35">
      <c r="A120" s="3">
        <v>102</v>
      </c>
      <c r="B120" s="3">
        <v>34090</v>
      </c>
      <c r="C120" s="4" t="s">
        <v>124</v>
      </c>
      <c r="D120" s="6">
        <v>3.99</v>
      </c>
      <c r="E120" s="6">
        <v>1.3</v>
      </c>
      <c r="F120" s="12">
        <v>0</v>
      </c>
      <c r="G120" s="15">
        <f t="shared" si="5"/>
        <v>0</v>
      </c>
      <c r="H120" s="15">
        <f t="shared" si="6"/>
        <v>0</v>
      </c>
      <c r="I120" s="15">
        <f t="shared" si="7"/>
        <v>0</v>
      </c>
      <c r="J120" s="18">
        <f t="shared" si="8"/>
        <v>0</v>
      </c>
      <c r="K120" s="7">
        <v>1125.1799999999998</v>
      </c>
      <c r="L120" s="7">
        <v>978.4173913043478</v>
      </c>
      <c r="M120" s="7">
        <v>366.6</v>
      </c>
      <c r="N120" s="7">
        <v>282</v>
      </c>
      <c r="O120" s="7">
        <v>611.81739130434767</v>
      </c>
      <c r="P120" s="7">
        <v>3.9899999999999993</v>
      </c>
      <c r="Q120" s="7">
        <v>3.4695652173913043</v>
      </c>
      <c r="R120" s="7">
        <v>1.3</v>
      </c>
      <c r="S120" s="7">
        <v>62.53132832080199</v>
      </c>
    </row>
    <row r="121" spans="1:19" s="1" customFormat="1" ht="16.5" customHeight="1" x14ac:dyDescent="0.35">
      <c r="A121" s="3">
        <v>103</v>
      </c>
      <c r="B121" s="3">
        <v>34094</v>
      </c>
      <c r="C121" s="4" t="s">
        <v>186</v>
      </c>
      <c r="D121" s="6">
        <v>282.99</v>
      </c>
      <c r="E121" s="6">
        <v>57</v>
      </c>
      <c r="F121" s="12">
        <v>0</v>
      </c>
      <c r="G121" s="15">
        <f t="shared" si="5"/>
        <v>0</v>
      </c>
      <c r="H121" s="15">
        <f t="shared" si="6"/>
        <v>0</v>
      </c>
      <c r="I121" s="15">
        <f t="shared" si="7"/>
        <v>0</v>
      </c>
      <c r="J121" s="18">
        <f t="shared" si="8"/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</row>
    <row r="122" spans="1:19" s="1" customFormat="1" ht="16.5" customHeight="1" x14ac:dyDescent="0.35">
      <c r="A122" s="3">
        <v>103</v>
      </c>
      <c r="B122" s="3">
        <v>34100</v>
      </c>
      <c r="C122" s="4" t="s">
        <v>168</v>
      </c>
      <c r="D122" s="6">
        <v>402.99</v>
      </c>
      <c r="E122" s="6">
        <v>210</v>
      </c>
      <c r="F122" s="12">
        <v>0</v>
      </c>
      <c r="G122" s="15">
        <f t="shared" si="5"/>
        <v>0</v>
      </c>
      <c r="H122" s="15">
        <f t="shared" si="6"/>
        <v>0</v>
      </c>
      <c r="I122" s="15">
        <f t="shared" si="7"/>
        <v>0</v>
      </c>
      <c r="J122" s="18">
        <f t="shared" si="8"/>
        <v>0</v>
      </c>
      <c r="K122" s="7">
        <v>295.13</v>
      </c>
      <c r="L122" s="7">
        <v>256.63478260869567</v>
      </c>
      <c r="M122" s="7">
        <v>152.80200000000002</v>
      </c>
      <c r="N122" s="7">
        <v>2.6120000000000001</v>
      </c>
      <c r="O122" s="7">
        <v>103.83278260869565</v>
      </c>
      <c r="P122" s="7">
        <v>112.99004594180704</v>
      </c>
      <c r="Q122" s="7">
        <v>98.252213862440911</v>
      </c>
      <c r="R122" s="7">
        <v>58.500000000000007</v>
      </c>
      <c r="S122" s="7">
        <v>40.45935689357232</v>
      </c>
    </row>
    <row r="123" spans="1:19" s="1" customFormat="1" ht="16.5" customHeight="1" x14ac:dyDescent="0.35">
      <c r="A123" s="3">
        <v>103</v>
      </c>
      <c r="B123" s="3">
        <v>34101</v>
      </c>
      <c r="C123" s="4" t="s">
        <v>166</v>
      </c>
      <c r="D123" s="6">
        <v>216.99</v>
      </c>
      <c r="E123" s="6">
        <v>54</v>
      </c>
      <c r="F123" s="12">
        <v>0</v>
      </c>
      <c r="G123" s="15">
        <f t="shared" si="5"/>
        <v>0</v>
      </c>
      <c r="H123" s="15">
        <f t="shared" si="6"/>
        <v>0</v>
      </c>
      <c r="I123" s="15">
        <f t="shared" si="7"/>
        <v>0</v>
      </c>
      <c r="J123" s="18">
        <f t="shared" si="8"/>
        <v>0</v>
      </c>
      <c r="K123" s="7">
        <v>330.41</v>
      </c>
      <c r="L123" s="7">
        <v>287.31304347826085</v>
      </c>
      <c r="M123" s="7">
        <v>173.48351999999997</v>
      </c>
      <c r="N123" s="7">
        <v>1.5660000000000001</v>
      </c>
      <c r="O123" s="7">
        <v>113.82952347826088</v>
      </c>
      <c r="P123" s="7">
        <v>210.98978288633461</v>
      </c>
      <c r="Q123" s="7">
        <v>183.46937642289964</v>
      </c>
      <c r="R123" s="7">
        <v>110.78130268199232</v>
      </c>
      <c r="S123" s="7">
        <v>39.618641082291703</v>
      </c>
    </row>
    <row r="124" spans="1:19" s="1" customFormat="1" ht="16.5" customHeight="1" x14ac:dyDescent="0.35">
      <c r="A124" s="3">
        <v>102</v>
      </c>
      <c r="B124" s="3">
        <v>34102</v>
      </c>
      <c r="C124" s="4" t="s">
        <v>109</v>
      </c>
      <c r="D124" s="6">
        <v>9.99</v>
      </c>
      <c r="E124" s="6">
        <v>4.99</v>
      </c>
      <c r="F124" s="12">
        <v>0</v>
      </c>
      <c r="G124" s="15">
        <f t="shared" si="5"/>
        <v>0</v>
      </c>
      <c r="H124" s="15">
        <f t="shared" si="6"/>
        <v>0</v>
      </c>
      <c r="I124" s="15">
        <f t="shared" si="7"/>
        <v>0</v>
      </c>
      <c r="J124" s="18">
        <f t="shared" si="8"/>
        <v>0</v>
      </c>
      <c r="K124" s="7">
        <v>2907.09</v>
      </c>
      <c r="L124" s="7">
        <v>2527.9043478260874</v>
      </c>
      <c r="M124" s="7">
        <v>1452.0900000000001</v>
      </c>
      <c r="N124" s="7">
        <v>291</v>
      </c>
      <c r="O124" s="7">
        <v>1075.8143478260868</v>
      </c>
      <c r="P124" s="7">
        <v>9.99</v>
      </c>
      <c r="Q124" s="7">
        <v>8.6869565217391322</v>
      </c>
      <c r="R124" s="7">
        <v>4.99</v>
      </c>
      <c r="S124" s="7">
        <v>42.557557557557551</v>
      </c>
    </row>
    <row r="125" spans="1:19" s="1" customFormat="1" ht="16.5" customHeight="1" x14ac:dyDescent="0.35">
      <c r="A125" s="3">
        <v>119</v>
      </c>
      <c r="B125" s="3">
        <v>34105</v>
      </c>
      <c r="C125" s="4" t="s">
        <v>221</v>
      </c>
      <c r="D125" s="6">
        <v>79.989999999999995</v>
      </c>
      <c r="E125" s="6">
        <v>54.64</v>
      </c>
      <c r="F125" s="12">
        <v>0</v>
      </c>
      <c r="G125" s="15">
        <f t="shared" si="5"/>
        <v>0</v>
      </c>
      <c r="H125" s="15">
        <f t="shared" si="6"/>
        <v>0</v>
      </c>
      <c r="I125" s="15">
        <f t="shared" si="7"/>
        <v>0</v>
      </c>
      <c r="J125" s="18">
        <f t="shared" si="8"/>
        <v>0</v>
      </c>
      <c r="K125" s="7">
        <v>51833.519999999982</v>
      </c>
      <c r="L125" s="7">
        <v>45072.626086956501</v>
      </c>
      <c r="M125" s="7">
        <v>35461.360000000001</v>
      </c>
      <c r="N125" s="7">
        <v>649</v>
      </c>
      <c r="O125" s="7">
        <v>9611.2660869565007</v>
      </c>
      <c r="P125" s="7">
        <v>79.866748844375934</v>
      </c>
      <c r="Q125" s="7">
        <v>69.449346821196457</v>
      </c>
      <c r="R125" s="7">
        <v>54.64</v>
      </c>
      <c r="S125" s="7">
        <v>21.32395407450619</v>
      </c>
    </row>
    <row r="126" spans="1:19" s="1" customFormat="1" ht="16.5" customHeight="1" x14ac:dyDescent="0.35">
      <c r="A126" s="3">
        <v>102</v>
      </c>
      <c r="B126" s="3">
        <v>34106</v>
      </c>
      <c r="C126" s="4" t="s">
        <v>111</v>
      </c>
      <c r="D126" s="6">
        <v>11.99</v>
      </c>
      <c r="E126" s="6">
        <v>6.35</v>
      </c>
      <c r="F126" s="12">
        <v>0</v>
      </c>
      <c r="G126" s="15">
        <f t="shared" si="5"/>
        <v>0</v>
      </c>
      <c r="H126" s="15">
        <f t="shared" si="6"/>
        <v>0</v>
      </c>
      <c r="I126" s="15">
        <f t="shared" si="7"/>
        <v>0</v>
      </c>
      <c r="J126" s="18">
        <f t="shared" si="8"/>
        <v>0</v>
      </c>
      <c r="K126" s="7">
        <v>2779.28</v>
      </c>
      <c r="L126" s="7">
        <v>2416.7652173913038</v>
      </c>
      <c r="M126" s="7">
        <v>1473.1999999999998</v>
      </c>
      <c r="N126" s="7">
        <v>232</v>
      </c>
      <c r="O126" s="7">
        <v>943.56521739130449</v>
      </c>
      <c r="P126" s="7">
        <v>11.979655172413795</v>
      </c>
      <c r="Q126" s="7">
        <v>10.417091454272862</v>
      </c>
      <c r="R126" s="7">
        <v>6.35</v>
      </c>
      <c r="S126" s="7">
        <v>39.042485823666567</v>
      </c>
    </row>
    <row r="127" spans="1:19" s="1" customFormat="1" ht="16.5" customHeight="1" x14ac:dyDescent="0.35">
      <c r="A127" s="3">
        <v>102</v>
      </c>
      <c r="B127" s="3">
        <v>34120</v>
      </c>
      <c r="C127" s="4" t="s">
        <v>114</v>
      </c>
      <c r="D127" s="6">
        <v>8.99</v>
      </c>
      <c r="E127" s="6">
        <v>4.99</v>
      </c>
      <c r="F127" s="12">
        <v>0</v>
      </c>
      <c r="G127" s="15">
        <f t="shared" si="5"/>
        <v>0</v>
      </c>
      <c r="H127" s="15">
        <f t="shared" si="6"/>
        <v>0</v>
      </c>
      <c r="I127" s="15">
        <f t="shared" si="7"/>
        <v>0</v>
      </c>
      <c r="J127" s="18">
        <f t="shared" si="8"/>
        <v>0</v>
      </c>
      <c r="K127" s="7">
        <v>2283.46</v>
      </c>
      <c r="L127" s="7">
        <v>1985.6173913043478</v>
      </c>
      <c r="M127" s="7">
        <v>1267.46</v>
      </c>
      <c r="N127" s="7">
        <v>254</v>
      </c>
      <c r="O127" s="7">
        <v>718.15739130434758</v>
      </c>
      <c r="P127" s="7">
        <v>8.99</v>
      </c>
      <c r="Q127" s="7">
        <v>7.8173913043478258</v>
      </c>
      <c r="R127" s="7">
        <v>4.99</v>
      </c>
      <c r="S127" s="7">
        <v>36.16796440489432</v>
      </c>
    </row>
    <row r="128" spans="1:19" s="1" customFormat="1" ht="16.5" customHeight="1" x14ac:dyDescent="0.35">
      <c r="A128" s="3">
        <v>102</v>
      </c>
      <c r="B128" s="3">
        <v>34122</v>
      </c>
      <c r="C128" s="4" t="s">
        <v>143</v>
      </c>
      <c r="D128" s="6">
        <v>25.99</v>
      </c>
      <c r="E128" s="6">
        <v>13.19</v>
      </c>
      <c r="F128" s="12">
        <v>0</v>
      </c>
      <c r="G128" s="15">
        <f t="shared" si="5"/>
        <v>0</v>
      </c>
      <c r="H128" s="15">
        <f t="shared" si="6"/>
        <v>0</v>
      </c>
      <c r="I128" s="15">
        <f t="shared" si="7"/>
        <v>0</v>
      </c>
      <c r="J128" s="18">
        <f t="shared" si="8"/>
        <v>0</v>
      </c>
      <c r="K128" s="7">
        <v>259.89999999999998</v>
      </c>
      <c r="L128" s="7">
        <v>225.99999999999997</v>
      </c>
      <c r="M128" s="7">
        <v>131.9</v>
      </c>
      <c r="N128" s="7">
        <v>10</v>
      </c>
      <c r="O128" s="7">
        <v>94.099999999999966</v>
      </c>
      <c r="P128" s="7">
        <v>25.99</v>
      </c>
      <c r="Q128" s="7">
        <v>22.599999999999998</v>
      </c>
      <c r="R128" s="7">
        <v>13.190000000000001</v>
      </c>
      <c r="S128" s="7">
        <v>41.637168141592909</v>
      </c>
    </row>
    <row r="129" spans="1:19" s="1" customFormat="1" ht="16.5" customHeight="1" x14ac:dyDescent="0.35">
      <c r="A129" s="3">
        <v>103</v>
      </c>
      <c r="B129" s="3">
        <v>34134</v>
      </c>
      <c r="C129" s="4" t="s">
        <v>172</v>
      </c>
      <c r="D129" s="6">
        <v>313.99</v>
      </c>
      <c r="E129" s="6">
        <v>163.47229999999999</v>
      </c>
      <c r="F129" s="12">
        <v>0</v>
      </c>
      <c r="G129" s="15">
        <f t="shared" si="5"/>
        <v>0</v>
      </c>
      <c r="H129" s="15">
        <f t="shared" si="6"/>
        <v>0</v>
      </c>
      <c r="I129" s="15">
        <f t="shared" si="7"/>
        <v>0</v>
      </c>
      <c r="J129" s="18">
        <f t="shared" si="8"/>
        <v>0</v>
      </c>
      <c r="K129" s="7">
        <v>84.13</v>
      </c>
      <c r="L129" s="7">
        <v>73.15652173913044</v>
      </c>
      <c r="M129" s="7">
        <v>43.299372192</v>
      </c>
      <c r="N129" s="7">
        <v>0.38</v>
      </c>
      <c r="O129" s="7">
        <v>29.857149547130426</v>
      </c>
      <c r="P129" s="7">
        <v>221.39473684210526</v>
      </c>
      <c r="Q129" s="7">
        <v>192.51716247139589</v>
      </c>
      <c r="R129" s="7">
        <v>113.94571629473684</v>
      </c>
      <c r="S129" s="7">
        <v>40.812696991798404</v>
      </c>
    </row>
    <row r="130" spans="1:19" s="1" customFormat="1" ht="16.5" customHeight="1" x14ac:dyDescent="0.35">
      <c r="A130" s="3">
        <v>103</v>
      </c>
      <c r="B130" s="3">
        <v>34135</v>
      </c>
      <c r="C130" s="4" t="s">
        <v>187</v>
      </c>
      <c r="D130" s="6">
        <v>189.99</v>
      </c>
      <c r="E130" s="6">
        <v>61</v>
      </c>
      <c r="F130" s="12">
        <v>0</v>
      </c>
      <c r="G130" s="15">
        <f t="shared" si="5"/>
        <v>0</v>
      </c>
      <c r="H130" s="15">
        <f t="shared" si="6"/>
        <v>0</v>
      </c>
      <c r="I130" s="15">
        <f t="shared" si="7"/>
        <v>0</v>
      </c>
      <c r="J130" s="18">
        <f t="shared" si="8"/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</row>
    <row r="131" spans="1:19" s="1" customFormat="1" ht="16.5" customHeight="1" x14ac:dyDescent="0.35">
      <c r="A131" s="3">
        <v>103</v>
      </c>
      <c r="B131" s="3">
        <v>34136</v>
      </c>
      <c r="C131" s="4" t="s">
        <v>175</v>
      </c>
      <c r="D131" s="6">
        <v>112.99</v>
      </c>
      <c r="E131" s="6">
        <v>45</v>
      </c>
      <c r="F131" s="12">
        <v>0</v>
      </c>
      <c r="G131" s="15">
        <f t="shared" si="5"/>
        <v>0</v>
      </c>
      <c r="H131" s="15">
        <f t="shared" si="6"/>
        <v>0</v>
      </c>
      <c r="I131" s="15">
        <f t="shared" si="7"/>
        <v>0</v>
      </c>
      <c r="J131" s="18">
        <f t="shared" si="8"/>
        <v>0</v>
      </c>
      <c r="K131" s="7">
        <v>55.11</v>
      </c>
      <c r="L131" s="7">
        <v>47.92173913043478</v>
      </c>
      <c r="M131" s="7">
        <v>28.558732800000001</v>
      </c>
      <c r="N131" s="7">
        <v>0.49399999999999999</v>
      </c>
      <c r="O131" s="7">
        <v>19.363006330434779</v>
      </c>
      <c r="P131" s="7">
        <v>111.55870445344129</v>
      </c>
      <c r="Q131" s="7">
        <v>97.007569089948944</v>
      </c>
      <c r="R131" s="7">
        <v>57.811200000000007</v>
      </c>
      <c r="S131" s="7">
        <v>40.405475013609134</v>
      </c>
    </row>
    <row r="132" spans="1:19" s="1" customFormat="1" ht="16.5" customHeight="1" x14ac:dyDescent="0.35">
      <c r="A132" s="3">
        <v>102</v>
      </c>
      <c r="B132" s="3">
        <v>34139</v>
      </c>
      <c r="C132" s="4" t="s">
        <v>121</v>
      </c>
      <c r="D132" s="6">
        <v>49.99</v>
      </c>
      <c r="E132" s="6">
        <v>26.72</v>
      </c>
      <c r="F132" s="12">
        <v>0</v>
      </c>
      <c r="G132" s="15">
        <f t="shared" si="5"/>
        <v>0</v>
      </c>
      <c r="H132" s="15">
        <f t="shared" si="6"/>
        <v>0</v>
      </c>
      <c r="I132" s="15">
        <f t="shared" si="7"/>
        <v>0</v>
      </c>
      <c r="J132" s="18">
        <f t="shared" si="8"/>
        <v>0</v>
      </c>
      <c r="K132" s="7">
        <v>1499.7</v>
      </c>
      <c r="L132" s="7">
        <v>1304.0869565217392</v>
      </c>
      <c r="M132" s="7">
        <v>801.59999999999991</v>
      </c>
      <c r="N132" s="7">
        <v>30</v>
      </c>
      <c r="O132" s="7">
        <v>502.48695652173933</v>
      </c>
      <c r="P132" s="7">
        <v>49.99</v>
      </c>
      <c r="Q132" s="7">
        <v>43.469565217391306</v>
      </c>
      <c r="R132" s="7">
        <v>26.719999999999995</v>
      </c>
      <c r="S132" s="7">
        <v>38.531706341268269</v>
      </c>
    </row>
    <row r="133" spans="1:19" s="1" customFormat="1" ht="16.5" customHeight="1" x14ac:dyDescent="0.35">
      <c r="A133" s="3">
        <v>119</v>
      </c>
      <c r="B133" s="3">
        <v>34140</v>
      </c>
      <c r="C133" s="4" t="s">
        <v>223</v>
      </c>
      <c r="D133" s="6">
        <v>385</v>
      </c>
      <c r="E133" s="6">
        <v>201.52</v>
      </c>
      <c r="F133" s="12">
        <v>0</v>
      </c>
      <c r="G133" s="15">
        <f t="shared" si="5"/>
        <v>0</v>
      </c>
      <c r="H133" s="15">
        <f t="shared" si="6"/>
        <v>0</v>
      </c>
      <c r="I133" s="15">
        <f t="shared" si="7"/>
        <v>0</v>
      </c>
      <c r="J133" s="18">
        <f t="shared" si="8"/>
        <v>0</v>
      </c>
      <c r="K133" s="7">
        <v>9240</v>
      </c>
      <c r="L133" s="7">
        <v>8034.7826086956511</v>
      </c>
      <c r="M133" s="7">
        <v>4836.4800000000014</v>
      </c>
      <c r="N133" s="7">
        <v>24</v>
      </c>
      <c r="O133" s="7">
        <v>3198.3026086956506</v>
      </c>
      <c r="P133" s="7">
        <v>385</v>
      </c>
      <c r="Q133" s="7">
        <v>334.78260869565213</v>
      </c>
      <c r="R133" s="7">
        <v>201.52000000000007</v>
      </c>
      <c r="S133" s="7">
        <v>39.805714285714267</v>
      </c>
    </row>
    <row r="134" spans="1:19" s="1" customFormat="1" ht="16.5" customHeight="1" x14ac:dyDescent="0.35">
      <c r="A134" s="3">
        <v>103</v>
      </c>
      <c r="B134" s="3">
        <v>34142</v>
      </c>
      <c r="C134" s="4" t="s">
        <v>165</v>
      </c>
      <c r="D134" s="6">
        <v>70.989999999999995</v>
      </c>
      <c r="E134" s="6">
        <v>18.7</v>
      </c>
      <c r="F134" s="12">
        <v>0</v>
      </c>
      <c r="G134" s="15">
        <f t="shared" si="5"/>
        <v>0</v>
      </c>
      <c r="H134" s="15">
        <f t="shared" si="6"/>
        <v>0</v>
      </c>
      <c r="I134" s="15">
        <f t="shared" si="7"/>
        <v>0</v>
      </c>
      <c r="J134" s="18">
        <f t="shared" si="8"/>
        <v>0</v>
      </c>
      <c r="K134" s="7">
        <v>1468.5600000000002</v>
      </c>
      <c r="L134" s="7">
        <v>1277.0086956521741</v>
      </c>
      <c r="M134" s="7">
        <v>805.77531999999997</v>
      </c>
      <c r="N134" s="7">
        <v>23.452000000000002</v>
      </c>
      <c r="O134" s="7">
        <v>471.23337565217412</v>
      </c>
      <c r="P134" s="7">
        <v>62.619819205185074</v>
      </c>
      <c r="Q134" s="7">
        <v>54.452016700160932</v>
      </c>
      <c r="R134" s="7">
        <v>34.35849053385639</v>
      </c>
      <c r="S134" s="7">
        <v>36.901344310072467</v>
      </c>
    </row>
    <row r="135" spans="1:19" s="1" customFormat="1" ht="16.5" customHeight="1" x14ac:dyDescent="0.35">
      <c r="A135" s="3">
        <v>101</v>
      </c>
      <c r="B135" s="3">
        <v>39750</v>
      </c>
      <c r="C135" s="4" t="s">
        <v>66</v>
      </c>
      <c r="D135" s="6">
        <v>39.99</v>
      </c>
      <c r="E135" s="6">
        <v>16.100000000000001</v>
      </c>
      <c r="F135" s="12">
        <v>0</v>
      </c>
      <c r="G135" s="15">
        <f t="shared" si="5"/>
        <v>0</v>
      </c>
      <c r="H135" s="15">
        <f t="shared" si="6"/>
        <v>0</v>
      </c>
      <c r="I135" s="15">
        <f t="shared" si="7"/>
        <v>0</v>
      </c>
      <c r="J135" s="18">
        <f t="shared" si="8"/>
        <v>0</v>
      </c>
      <c r="K135" s="7">
        <v>199.95000000000002</v>
      </c>
      <c r="L135" s="7">
        <v>173.86956521739131</v>
      </c>
      <c r="M135" s="7">
        <v>80.5</v>
      </c>
      <c r="N135" s="7">
        <v>5</v>
      </c>
      <c r="O135" s="7">
        <v>93.369565217391312</v>
      </c>
      <c r="P135" s="7">
        <v>39.99</v>
      </c>
      <c r="Q135" s="7">
        <v>34.77391304347826</v>
      </c>
      <c r="R135" s="7">
        <v>16.100000000000001</v>
      </c>
      <c r="S135" s="7">
        <v>53.700925231307828</v>
      </c>
    </row>
    <row r="136" spans="1:19" s="1" customFormat="1" ht="16.5" customHeight="1" x14ac:dyDescent="0.35">
      <c r="A136" s="3">
        <v>102</v>
      </c>
      <c r="B136" s="3">
        <v>40065</v>
      </c>
      <c r="C136" s="4" t="s">
        <v>90</v>
      </c>
      <c r="D136" s="6">
        <v>27.99</v>
      </c>
      <c r="E136" s="6">
        <v>15.7</v>
      </c>
      <c r="F136" s="12">
        <v>0</v>
      </c>
      <c r="G136" s="15">
        <f t="shared" si="5"/>
        <v>0</v>
      </c>
      <c r="H136" s="15">
        <f t="shared" si="6"/>
        <v>0</v>
      </c>
      <c r="I136" s="15">
        <f t="shared" si="7"/>
        <v>0</v>
      </c>
      <c r="J136" s="18">
        <f t="shared" si="8"/>
        <v>0</v>
      </c>
      <c r="K136" s="7">
        <v>26328.23</v>
      </c>
      <c r="L136" s="7">
        <v>22894.113043478261</v>
      </c>
      <c r="M136" s="7">
        <v>15919.799999999997</v>
      </c>
      <c r="N136" s="7">
        <v>1014</v>
      </c>
      <c r="O136" s="7">
        <v>6974.3130434782634</v>
      </c>
      <c r="P136" s="7">
        <v>25.964723865877712</v>
      </c>
      <c r="Q136" s="7">
        <v>22.578020752937142</v>
      </c>
      <c r="R136" s="7">
        <v>15.699999999999998</v>
      </c>
      <c r="S136" s="7">
        <v>30.463346757453891</v>
      </c>
    </row>
    <row r="137" spans="1:19" s="1" customFormat="1" ht="16.5" customHeight="1" x14ac:dyDescent="0.35">
      <c r="A137" s="3">
        <v>101</v>
      </c>
      <c r="B137" s="3">
        <v>40158</v>
      </c>
      <c r="C137" s="4" t="s">
        <v>48</v>
      </c>
      <c r="D137" s="6">
        <v>11.99</v>
      </c>
      <c r="E137" s="6">
        <v>6.05</v>
      </c>
      <c r="F137" s="12">
        <v>0</v>
      </c>
      <c r="G137" s="15">
        <f t="shared" si="5"/>
        <v>0</v>
      </c>
      <c r="H137" s="15">
        <f t="shared" si="6"/>
        <v>0</v>
      </c>
      <c r="I137" s="15">
        <f t="shared" si="7"/>
        <v>0</v>
      </c>
      <c r="J137" s="18">
        <f t="shared" si="8"/>
        <v>0</v>
      </c>
      <c r="K137" s="7">
        <v>2206.16</v>
      </c>
      <c r="L137" s="7">
        <v>1918.4</v>
      </c>
      <c r="M137" s="7">
        <v>1113.1999999999998</v>
      </c>
      <c r="N137" s="7">
        <v>184</v>
      </c>
      <c r="O137" s="7">
        <v>805.19999999999982</v>
      </c>
      <c r="P137" s="7">
        <v>11.989999999999998</v>
      </c>
      <c r="Q137" s="7">
        <v>10.42608695652174</v>
      </c>
      <c r="R137" s="7">
        <v>6.0499999999999989</v>
      </c>
      <c r="S137" s="7">
        <v>41.972477064220179</v>
      </c>
    </row>
    <row r="138" spans="1:19" s="1" customFormat="1" ht="16.5" customHeight="1" x14ac:dyDescent="0.35">
      <c r="A138" s="3">
        <v>118</v>
      </c>
      <c r="B138" s="3">
        <v>40305</v>
      </c>
      <c r="C138" s="4" t="s">
        <v>213</v>
      </c>
      <c r="D138" s="6">
        <v>9.99</v>
      </c>
      <c r="E138" s="6">
        <v>4.53</v>
      </c>
      <c r="F138" s="12">
        <v>0</v>
      </c>
      <c r="G138" s="15">
        <f t="shared" si="5"/>
        <v>0</v>
      </c>
      <c r="H138" s="15">
        <f t="shared" si="6"/>
        <v>0</v>
      </c>
      <c r="I138" s="15">
        <f t="shared" si="7"/>
        <v>0</v>
      </c>
      <c r="J138" s="18">
        <f t="shared" si="8"/>
        <v>0</v>
      </c>
      <c r="K138" s="7">
        <v>6633.3599999999988</v>
      </c>
      <c r="L138" s="7">
        <v>5768.1391304347835</v>
      </c>
      <c r="M138" s="7">
        <v>3007.9200000000005</v>
      </c>
      <c r="N138" s="7">
        <v>664</v>
      </c>
      <c r="O138" s="7">
        <v>2760.2191304347812</v>
      </c>
      <c r="P138" s="7">
        <v>9.9899999999999984</v>
      </c>
      <c r="Q138" s="7">
        <v>8.6869565217391322</v>
      </c>
      <c r="R138" s="7">
        <v>4.5300000000000011</v>
      </c>
      <c r="S138" s="7">
        <v>47.852852852852834</v>
      </c>
    </row>
    <row r="139" spans="1:19" s="1" customFormat="1" ht="16.5" customHeight="1" x14ac:dyDescent="0.35">
      <c r="A139" s="3">
        <v>104</v>
      </c>
      <c r="B139" s="3">
        <v>40732</v>
      </c>
      <c r="C139" s="4" t="s">
        <v>196</v>
      </c>
      <c r="D139" s="6">
        <v>15</v>
      </c>
      <c r="E139" s="6">
        <v>7.38</v>
      </c>
      <c r="F139" s="12">
        <v>0</v>
      </c>
      <c r="G139" s="15">
        <f t="shared" si="5"/>
        <v>0</v>
      </c>
      <c r="H139" s="15">
        <f t="shared" si="6"/>
        <v>0</v>
      </c>
      <c r="I139" s="15">
        <f t="shared" si="7"/>
        <v>0</v>
      </c>
      <c r="J139" s="18">
        <f t="shared" si="8"/>
        <v>0</v>
      </c>
      <c r="K139" s="7">
        <v>330</v>
      </c>
      <c r="L139" s="7">
        <v>286.95652173913044</v>
      </c>
      <c r="M139" s="7">
        <v>162.35999999999999</v>
      </c>
      <c r="N139" s="7">
        <v>22</v>
      </c>
      <c r="O139" s="7">
        <v>124.59652173913045</v>
      </c>
      <c r="P139" s="7">
        <v>15</v>
      </c>
      <c r="Q139" s="7">
        <v>13.043478260869565</v>
      </c>
      <c r="R139" s="7">
        <v>7.379999999999999</v>
      </c>
      <c r="S139" s="7">
        <v>43.42</v>
      </c>
    </row>
    <row r="140" spans="1:19" s="1" customFormat="1" ht="16.5" customHeight="1" x14ac:dyDescent="0.35">
      <c r="A140" s="3">
        <v>118</v>
      </c>
      <c r="B140" s="3">
        <v>40809</v>
      </c>
      <c r="C140" s="4" t="s">
        <v>216</v>
      </c>
      <c r="D140" s="6">
        <v>15.99</v>
      </c>
      <c r="E140" s="6">
        <v>6.5</v>
      </c>
      <c r="F140" s="12">
        <v>0</v>
      </c>
      <c r="G140" s="15">
        <f t="shared" si="5"/>
        <v>0</v>
      </c>
      <c r="H140" s="15">
        <f t="shared" si="6"/>
        <v>0</v>
      </c>
      <c r="I140" s="15">
        <f t="shared" si="7"/>
        <v>0</v>
      </c>
      <c r="J140" s="18">
        <f t="shared" si="8"/>
        <v>0</v>
      </c>
      <c r="K140" s="7">
        <v>2030.7300000000002</v>
      </c>
      <c r="L140" s="7">
        <v>1765.8521739130438</v>
      </c>
      <c r="M140" s="7">
        <v>825.5</v>
      </c>
      <c r="N140" s="7">
        <v>127</v>
      </c>
      <c r="O140" s="7">
        <v>940.35217391304354</v>
      </c>
      <c r="P140" s="7">
        <v>15.990000000000002</v>
      </c>
      <c r="Q140" s="7">
        <v>13.904347826086958</v>
      </c>
      <c r="R140" s="7">
        <v>6.5</v>
      </c>
      <c r="S140" s="7">
        <v>53.252032520325209</v>
      </c>
    </row>
    <row r="141" spans="1:19" s="1" customFormat="1" ht="16.5" customHeight="1" x14ac:dyDescent="0.35">
      <c r="A141" s="3">
        <v>101</v>
      </c>
      <c r="B141" s="3">
        <v>41464</v>
      </c>
      <c r="C141" s="4" t="s">
        <v>37</v>
      </c>
      <c r="D141" s="6">
        <v>16.989999999999998</v>
      </c>
      <c r="E141" s="6">
        <v>7.73</v>
      </c>
      <c r="F141" s="12">
        <v>0</v>
      </c>
      <c r="G141" s="15">
        <f t="shared" si="5"/>
        <v>0</v>
      </c>
      <c r="H141" s="15">
        <f t="shared" si="6"/>
        <v>0</v>
      </c>
      <c r="I141" s="15">
        <f t="shared" si="7"/>
        <v>0</v>
      </c>
      <c r="J141" s="18">
        <f t="shared" si="8"/>
        <v>0</v>
      </c>
      <c r="K141" s="7">
        <v>12421.890000000003</v>
      </c>
      <c r="L141" s="7">
        <v>10801.643478260869</v>
      </c>
      <c r="M141" s="7">
        <v>0</v>
      </c>
      <c r="N141" s="7">
        <v>761</v>
      </c>
      <c r="O141" s="7">
        <v>10801.643478260872</v>
      </c>
      <c r="P141" s="7">
        <v>16.323114323258874</v>
      </c>
      <c r="Q141" s="7">
        <v>14.194012455007712</v>
      </c>
      <c r="R141" s="7">
        <v>0</v>
      </c>
      <c r="S141" s="7">
        <v>100</v>
      </c>
    </row>
    <row r="142" spans="1:19" s="1" customFormat="1" ht="16.5" customHeight="1" x14ac:dyDescent="0.35">
      <c r="A142" s="3">
        <v>106</v>
      </c>
      <c r="B142" s="3">
        <v>42296</v>
      </c>
      <c r="C142" s="4" t="s">
        <v>203</v>
      </c>
      <c r="D142" s="6">
        <v>4.99</v>
      </c>
      <c r="E142" s="6">
        <v>2.97</v>
      </c>
      <c r="F142" s="12">
        <v>0</v>
      </c>
      <c r="G142" s="15">
        <f t="shared" si="5"/>
        <v>0</v>
      </c>
      <c r="H142" s="15">
        <f t="shared" si="6"/>
        <v>0</v>
      </c>
      <c r="I142" s="15">
        <f t="shared" si="7"/>
        <v>0</v>
      </c>
      <c r="J142" s="18">
        <f t="shared" si="8"/>
        <v>0</v>
      </c>
      <c r="K142" s="7">
        <v>94.81</v>
      </c>
      <c r="L142" s="7">
        <v>82.443478260869568</v>
      </c>
      <c r="M142" s="7">
        <v>56.43</v>
      </c>
      <c r="N142" s="7">
        <v>19</v>
      </c>
      <c r="O142" s="7">
        <v>26.013478260869569</v>
      </c>
      <c r="P142" s="7">
        <v>4.99</v>
      </c>
      <c r="Q142" s="7">
        <v>4.339130434782609</v>
      </c>
      <c r="R142" s="7">
        <v>2.97</v>
      </c>
      <c r="S142" s="7">
        <v>31.553106212424854</v>
      </c>
    </row>
    <row r="143" spans="1:19" s="1" customFormat="1" ht="16.5" customHeight="1" x14ac:dyDescent="0.35">
      <c r="A143" s="3">
        <v>102</v>
      </c>
      <c r="B143" s="3">
        <v>42797</v>
      </c>
      <c r="C143" s="4" t="s">
        <v>86</v>
      </c>
      <c r="D143" s="6">
        <v>11.99</v>
      </c>
      <c r="E143" s="6">
        <v>5.12</v>
      </c>
      <c r="F143" s="12">
        <v>0</v>
      </c>
      <c r="G143" s="15">
        <f t="shared" si="5"/>
        <v>0</v>
      </c>
      <c r="H143" s="15">
        <f t="shared" si="6"/>
        <v>0</v>
      </c>
      <c r="I143" s="15">
        <f t="shared" si="7"/>
        <v>0</v>
      </c>
      <c r="J143" s="18">
        <f t="shared" si="8"/>
        <v>0</v>
      </c>
      <c r="K143" s="7">
        <v>32682.93</v>
      </c>
      <c r="L143" s="7">
        <v>28419.939130434785</v>
      </c>
      <c r="M143" s="7">
        <v>13422.095279999996</v>
      </c>
      <c r="N143" s="7">
        <v>2729</v>
      </c>
      <c r="O143" s="7">
        <v>14997.843850434789</v>
      </c>
      <c r="P143" s="7">
        <v>11.976156101135947</v>
      </c>
      <c r="Q143" s="7">
        <v>10.414048783596476</v>
      </c>
      <c r="R143" s="7">
        <v>4.9183199999999987</v>
      </c>
      <c r="S143" s="7">
        <v>52.772258876422661</v>
      </c>
    </row>
    <row r="144" spans="1:19" s="1" customFormat="1" ht="16.5" customHeight="1" x14ac:dyDescent="0.35">
      <c r="A144" s="3">
        <v>104</v>
      </c>
      <c r="B144" s="3">
        <v>43309</v>
      </c>
      <c r="C144" s="4" t="s">
        <v>195</v>
      </c>
      <c r="D144" s="6">
        <v>13.99</v>
      </c>
      <c r="E144" s="6">
        <v>6.67</v>
      </c>
      <c r="F144" s="12">
        <v>0</v>
      </c>
      <c r="G144" s="15">
        <f t="shared" si="5"/>
        <v>0</v>
      </c>
      <c r="H144" s="15">
        <f t="shared" si="6"/>
        <v>0</v>
      </c>
      <c r="I144" s="15">
        <f t="shared" si="7"/>
        <v>0</v>
      </c>
      <c r="J144" s="18">
        <f t="shared" si="8"/>
        <v>0</v>
      </c>
      <c r="K144" s="7">
        <v>1841.7800000000002</v>
      </c>
      <c r="L144" s="7">
        <v>1601.5478260869568</v>
      </c>
      <c r="M144" s="7">
        <v>880.43999999999994</v>
      </c>
      <c r="N144" s="7">
        <v>132</v>
      </c>
      <c r="O144" s="7">
        <v>721.10782608695683</v>
      </c>
      <c r="P144" s="7">
        <v>13.95287878787879</v>
      </c>
      <c r="Q144" s="7">
        <v>12.132938076416339</v>
      </c>
      <c r="R144" s="7">
        <v>6.67</v>
      </c>
      <c r="S144" s="7">
        <v>45.025681677507642</v>
      </c>
    </row>
    <row r="145" spans="1:19" s="1" customFormat="1" ht="16.5" customHeight="1" x14ac:dyDescent="0.35">
      <c r="A145" s="3">
        <v>113</v>
      </c>
      <c r="B145" s="3">
        <v>46072</v>
      </c>
      <c r="C145" s="4" t="s">
        <v>208</v>
      </c>
      <c r="D145" s="6">
        <v>44.99</v>
      </c>
      <c r="E145" s="6">
        <v>26.64</v>
      </c>
      <c r="F145" s="12">
        <v>0</v>
      </c>
      <c r="G145" s="15">
        <f t="shared" si="5"/>
        <v>0</v>
      </c>
      <c r="H145" s="15">
        <f t="shared" si="6"/>
        <v>0</v>
      </c>
      <c r="I145" s="15">
        <f t="shared" si="7"/>
        <v>0</v>
      </c>
      <c r="J145" s="18">
        <f t="shared" si="8"/>
        <v>0</v>
      </c>
      <c r="K145" s="7">
        <v>270</v>
      </c>
      <c r="L145" s="7">
        <v>234.78260869565219</v>
      </c>
      <c r="M145" s="7">
        <v>239.76</v>
      </c>
      <c r="N145" s="7">
        <v>9</v>
      </c>
      <c r="O145" s="7">
        <v>-4.9773913043478046</v>
      </c>
      <c r="P145" s="7">
        <v>30</v>
      </c>
      <c r="Q145" s="7">
        <v>26.086956521739133</v>
      </c>
      <c r="R145" s="7">
        <v>26.64</v>
      </c>
      <c r="S145" s="7">
        <v>-2.1199999999999908</v>
      </c>
    </row>
    <row r="146" spans="1:19" s="1" customFormat="1" ht="16.5" customHeight="1" x14ac:dyDescent="0.35">
      <c r="A146" s="3">
        <v>102</v>
      </c>
      <c r="B146" s="3">
        <v>46797</v>
      </c>
      <c r="C146" s="4" t="s">
        <v>137</v>
      </c>
      <c r="D146" s="6">
        <v>39.99</v>
      </c>
      <c r="E146" s="6">
        <v>25</v>
      </c>
      <c r="F146" s="12">
        <v>0</v>
      </c>
      <c r="G146" s="15">
        <f t="shared" si="5"/>
        <v>0</v>
      </c>
      <c r="H146" s="15">
        <f t="shared" si="6"/>
        <v>0</v>
      </c>
      <c r="I146" s="15">
        <f t="shared" si="7"/>
        <v>0</v>
      </c>
      <c r="J146" s="18">
        <f t="shared" si="8"/>
        <v>0</v>
      </c>
      <c r="K146" s="7">
        <v>357.91</v>
      </c>
      <c r="L146" s="7">
        <v>311.22608695652173</v>
      </c>
      <c r="M146" s="7">
        <v>225</v>
      </c>
      <c r="N146" s="7">
        <v>9</v>
      </c>
      <c r="O146" s="7">
        <v>86.226086956521783</v>
      </c>
      <c r="P146" s="7">
        <v>39.767777777777781</v>
      </c>
      <c r="Q146" s="7">
        <v>34.580676328502413</v>
      </c>
      <c r="R146" s="7">
        <v>25</v>
      </c>
      <c r="S146" s="7">
        <v>27.705289039143928</v>
      </c>
    </row>
    <row r="147" spans="1:19" s="1" customFormat="1" ht="16.5" customHeight="1" x14ac:dyDescent="0.35">
      <c r="A147" s="3">
        <v>102</v>
      </c>
      <c r="B147" s="3">
        <v>50682</v>
      </c>
      <c r="C147" s="4" t="s">
        <v>112</v>
      </c>
      <c r="D147" s="6">
        <v>15.99</v>
      </c>
      <c r="E147" s="6">
        <v>7.86</v>
      </c>
      <c r="F147" s="12">
        <v>0</v>
      </c>
      <c r="G147" s="15">
        <f t="shared" si="5"/>
        <v>0</v>
      </c>
      <c r="H147" s="15">
        <f t="shared" si="6"/>
        <v>0</v>
      </c>
      <c r="I147" s="15">
        <f t="shared" si="7"/>
        <v>0</v>
      </c>
      <c r="J147" s="18">
        <f t="shared" si="8"/>
        <v>0</v>
      </c>
      <c r="K147" s="7">
        <v>2715.9000000000005</v>
      </c>
      <c r="L147" s="7">
        <v>2361.6521739130435</v>
      </c>
      <c r="M147" s="7">
        <v>1336.2000000000003</v>
      </c>
      <c r="N147" s="7">
        <v>170</v>
      </c>
      <c r="O147" s="7">
        <v>1025.4521739130437</v>
      </c>
      <c r="P147" s="7">
        <v>15.975882352941179</v>
      </c>
      <c r="Q147" s="7">
        <v>13.892071611253197</v>
      </c>
      <c r="R147" s="7">
        <v>7.8600000000000012</v>
      </c>
      <c r="S147" s="7">
        <v>43.420965425825692</v>
      </c>
    </row>
    <row r="148" spans="1:19" s="1" customFormat="1" ht="16.5" customHeight="1" x14ac:dyDescent="0.35">
      <c r="A148" s="3">
        <v>102</v>
      </c>
      <c r="B148" s="3">
        <v>53119</v>
      </c>
      <c r="C148" s="4" t="s">
        <v>126</v>
      </c>
      <c r="D148" s="6">
        <v>4.99</v>
      </c>
      <c r="E148" s="6">
        <v>1.29</v>
      </c>
      <c r="F148" s="12">
        <v>0</v>
      </c>
      <c r="G148" s="15">
        <f t="shared" si="5"/>
        <v>0</v>
      </c>
      <c r="H148" s="15">
        <f t="shared" si="6"/>
        <v>0</v>
      </c>
      <c r="I148" s="15">
        <f t="shared" si="7"/>
        <v>0</v>
      </c>
      <c r="J148" s="18">
        <f t="shared" si="8"/>
        <v>0</v>
      </c>
      <c r="K148" s="7">
        <v>1071.8499999999999</v>
      </c>
      <c r="L148" s="7">
        <v>932.04347826086962</v>
      </c>
      <c r="M148" s="7">
        <v>278.64</v>
      </c>
      <c r="N148" s="7">
        <v>216</v>
      </c>
      <c r="O148" s="7">
        <v>653.40347826086952</v>
      </c>
      <c r="P148" s="7">
        <v>4.9622685185185178</v>
      </c>
      <c r="Q148" s="7">
        <v>4.3150161030595813</v>
      </c>
      <c r="R148" s="7">
        <v>1.29</v>
      </c>
      <c r="S148" s="7">
        <v>70.104398936418349</v>
      </c>
    </row>
    <row r="149" spans="1:19" s="1" customFormat="1" ht="16.5" customHeight="1" x14ac:dyDescent="0.35">
      <c r="A149" s="3">
        <v>102</v>
      </c>
      <c r="B149" s="3">
        <v>53141</v>
      </c>
      <c r="C149" s="4" t="s">
        <v>117</v>
      </c>
      <c r="D149" s="6">
        <v>9.99</v>
      </c>
      <c r="E149" s="6">
        <v>3.26</v>
      </c>
      <c r="F149" s="12">
        <v>0</v>
      </c>
      <c r="G149" s="15">
        <f t="shared" si="5"/>
        <v>0</v>
      </c>
      <c r="H149" s="15">
        <f t="shared" si="6"/>
        <v>0</v>
      </c>
      <c r="I149" s="15">
        <f t="shared" si="7"/>
        <v>0</v>
      </c>
      <c r="J149" s="18">
        <f t="shared" si="8"/>
        <v>0</v>
      </c>
      <c r="K149" s="7">
        <v>1647.8500000000001</v>
      </c>
      <c r="L149" s="7">
        <v>1432.913043478261</v>
      </c>
      <c r="M149" s="7">
        <v>537.9</v>
      </c>
      <c r="N149" s="7">
        <v>165</v>
      </c>
      <c r="O149" s="7">
        <v>895.01304347826101</v>
      </c>
      <c r="P149" s="7">
        <v>9.9869696969696982</v>
      </c>
      <c r="Q149" s="7">
        <v>8.6843214756258238</v>
      </c>
      <c r="R149" s="7">
        <v>3.26</v>
      </c>
      <c r="S149" s="7">
        <v>62.461085657068303</v>
      </c>
    </row>
    <row r="150" spans="1:19" s="1" customFormat="1" ht="16.5" customHeight="1" x14ac:dyDescent="0.35">
      <c r="A150" s="3">
        <v>102</v>
      </c>
      <c r="B150" s="3">
        <v>53210</v>
      </c>
      <c r="C150" s="4" t="s">
        <v>133</v>
      </c>
      <c r="D150" s="6">
        <v>100</v>
      </c>
      <c r="E150" s="6">
        <v>22.26</v>
      </c>
      <c r="F150" s="12">
        <v>0</v>
      </c>
      <c r="G150" s="15">
        <f t="shared" si="5"/>
        <v>0</v>
      </c>
      <c r="H150" s="15">
        <f t="shared" si="6"/>
        <v>0</v>
      </c>
      <c r="I150" s="15">
        <f t="shared" si="7"/>
        <v>0</v>
      </c>
      <c r="J150" s="18">
        <f t="shared" si="8"/>
        <v>0</v>
      </c>
      <c r="K150" s="7">
        <v>500</v>
      </c>
      <c r="L150" s="7">
        <v>434.78260869565219</v>
      </c>
      <c r="M150" s="7">
        <v>111.30000000000001</v>
      </c>
      <c r="N150" s="7">
        <v>5</v>
      </c>
      <c r="O150" s="7">
        <v>323.48260869565212</v>
      </c>
      <c r="P150" s="7">
        <v>100</v>
      </c>
      <c r="Q150" s="7">
        <v>86.956521739130437</v>
      </c>
      <c r="R150" s="7">
        <v>22.26</v>
      </c>
      <c r="S150" s="7">
        <v>74.400999999999996</v>
      </c>
    </row>
    <row r="151" spans="1:19" s="1" customFormat="1" ht="16.5" customHeight="1" x14ac:dyDescent="0.35">
      <c r="A151" s="3">
        <v>102</v>
      </c>
      <c r="B151" s="3">
        <v>53212</v>
      </c>
      <c r="C151" s="4" t="s">
        <v>106</v>
      </c>
      <c r="D151" s="6">
        <v>29.99</v>
      </c>
      <c r="E151" s="6">
        <v>15.38</v>
      </c>
      <c r="F151" s="12">
        <v>0</v>
      </c>
      <c r="G151" s="15">
        <f t="shared" si="5"/>
        <v>0</v>
      </c>
      <c r="H151" s="15">
        <f t="shared" si="6"/>
        <v>0</v>
      </c>
      <c r="I151" s="15">
        <f t="shared" si="7"/>
        <v>0</v>
      </c>
      <c r="J151" s="18">
        <f t="shared" si="8"/>
        <v>0</v>
      </c>
      <c r="K151" s="7">
        <v>3476.96</v>
      </c>
      <c r="L151" s="7">
        <v>3023.4434782608696</v>
      </c>
      <c r="M151" s="7">
        <v>1953.2599999999998</v>
      </c>
      <c r="N151" s="7">
        <v>127</v>
      </c>
      <c r="O151" s="7">
        <v>1070.1834782608698</v>
      </c>
      <c r="P151" s="7">
        <v>27.377637795275589</v>
      </c>
      <c r="Q151" s="7">
        <v>23.80664156110921</v>
      </c>
      <c r="R151" s="7">
        <v>15.379999999999999</v>
      </c>
      <c r="S151" s="7">
        <v>35.396179421103504</v>
      </c>
    </row>
    <row r="152" spans="1:19" s="1" customFormat="1" ht="16.5" customHeight="1" x14ac:dyDescent="0.35">
      <c r="A152" s="3">
        <v>102</v>
      </c>
      <c r="B152" s="3">
        <v>53225</v>
      </c>
      <c r="C152" s="4" t="s">
        <v>116</v>
      </c>
      <c r="D152" s="6">
        <v>17.989999999999998</v>
      </c>
      <c r="E152" s="6">
        <v>10.039999999999999</v>
      </c>
      <c r="F152" s="12">
        <v>0</v>
      </c>
      <c r="G152" s="15">
        <f t="shared" si="5"/>
        <v>0</v>
      </c>
      <c r="H152" s="15">
        <f t="shared" si="6"/>
        <v>0</v>
      </c>
      <c r="I152" s="15">
        <f t="shared" si="7"/>
        <v>0</v>
      </c>
      <c r="J152" s="18">
        <f t="shared" si="8"/>
        <v>0</v>
      </c>
      <c r="K152" s="7">
        <v>1960.9099999999999</v>
      </c>
      <c r="L152" s="7">
        <v>1705.1391304347826</v>
      </c>
      <c r="M152" s="7">
        <v>1094.3599999999999</v>
      </c>
      <c r="N152" s="7">
        <v>109</v>
      </c>
      <c r="O152" s="7">
        <v>610.77913043478247</v>
      </c>
      <c r="P152" s="7">
        <v>17.989999999999998</v>
      </c>
      <c r="Q152" s="7">
        <v>15.643478260869566</v>
      </c>
      <c r="R152" s="7">
        <v>10.039999999999999</v>
      </c>
      <c r="S152" s="7">
        <v>35.819899944413557</v>
      </c>
    </row>
    <row r="153" spans="1:19" s="1" customFormat="1" ht="16.5" customHeight="1" x14ac:dyDescent="0.35">
      <c r="A153" s="3">
        <v>102</v>
      </c>
      <c r="B153" s="3">
        <v>53226</v>
      </c>
      <c r="C153" s="4" t="s">
        <v>110</v>
      </c>
      <c r="D153" s="6">
        <v>15.99</v>
      </c>
      <c r="E153" s="6">
        <v>5.13</v>
      </c>
      <c r="F153" s="12">
        <v>0</v>
      </c>
      <c r="G153" s="15">
        <f t="shared" si="5"/>
        <v>0</v>
      </c>
      <c r="H153" s="15">
        <f t="shared" si="6"/>
        <v>0</v>
      </c>
      <c r="I153" s="15">
        <f t="shared" si="7"/>
        <v>0</v>
      </c>
      <c r="J153" s="18">
        <f t="shared" si="8"/>
        <v>0</v>
      </c>
      <c r="K153" s="7">
        <v>2782.2599999999998</v>
      </c>
      <c r="L153" s="7">
        <v>2419.3565217391306</v>
      </c>
      <c r="M153" s="7">
        <v>892.62</v>
      </c>
      <c r="N153" s="7">
        <v>174</v>
      </c>
      <c r="O153" s="7">
        <v>1526.7365217391302</v>
      </c>
      <c r="P153" s="7">
        <v>15.989999999999998</v>
      </c>
      <c r="Q153" s="7">
        <v>13.904347826086957</v>
      </c>
      <c r="R153" s="7">
        <v>5.13</v>
      </c>
      <c r="S153" s="7">
        <v>63.10506566604127</v>
      </c>
    </row>
    <row r="154" spans="1:19" s="1" customFormat="1" ht="16.5" customHeight="1" x14ac:dyDescent="0.35">
      <c r="A154" s="3">
        <v>101</v>
      </c>
      <c r="B154" s="3">
        <v>53497</v>
      </c>
      <c r="C154" s="4" t="s">
        <v>51</v>
      </c>
      <c r="D154" s="6">
        <v>79.989999999999995</v>
      </c>
      <c r="E154" s="6">
        <v>32.200000000000003</v>
      </c>
      <c r="F154" s="12">
        <v>0</v>
      </c>
      <c r="G154" s="15">
        <f t="shared" si="5"/>
        <v>0</v>
      </c>
      <c r="H154" s="15">
        <f t="shared" si="6"/>
        <v>0</v>
      </c>
      <c r="I154" s="15">
        <f t="shared" si="7"/>
        <v>0</v>
      </c>
      <c r="J154" s="18">
        <f t="shared" si="8"/>
        <v>0</v>
      </c>
      <c r="K154" s="7">
        <v>1991.75</v>
      </c>
      <c r="L154" s="7">
        <v>1731.95652173913</v>
      </c>
      <c r="M154" s="7">
        <v>805</v>
      </c>
      <c r="N154" s="7">
        <v>25</v>
      </c>
      <c r="O154" s="7">
        <v>926.95652173913049</v>
      </c>
      <c r="P154" s="7">
        <v>79.67</v>
      </c>
      <c r="Q154" s="7">
        <v>69.278260869565202</v>
      </c>
      <c r="R154" s="7">
        <v>32.200000000000003</v>
      </c>
      <c r="S154" s="7">
        <v>53.520773189406299</v>
      </c>
    </row>
    <row r="155" spans="1:19" s="1" customFormat="1" ht="16.5" customHeight="1" x14ac:dyDescent="0.35">
      <c r="A155" s="3">
        <v>101</v>
      </c>
      <c r="B155" s="3">
        <v>53528</v>
      </c>
      <c r="C155" s="4" t="s">
        <v>49</v>
      </c>
      <c r="D155" s="6">
        <v>28.99</v>
      </c>
      <c r="E155" s="6">
        <v>14.86</v>
      </c>
      <c r="F155" s="12">
        <v>0</v>
      </c>
      <c r="G155" s="15">
        <f t="shared" si="5"/>
        <v>0</v>
      </c>
      <c r="H155" s="15">
        <f t="shared" si="6"/>
        <v>0</v>
      </c>
      <c r="I155" s="15">
        <f t="shared" si="7"/>
        <v>0</v>
      </c>
      <c r="J155" s="18">
        <f t="shared" si="8"/>
        <v>0</v>
      </c>
      <c r="K155" s="7">
        <v>2176.81</v>
      </c>
      <c r="L155" s="7">
        <v>1892.8782608695651</v>
      </c>
      <c r="M155" s="7">
        <v>1099.6399999999999</v>
      </c>
      <c r="N155" s="7">
        <v>74</v>
      </c>
      <c r="O155" s="7">
        <v>793.23826086956524</v>
      </c>
      <c r="P155" s="7">
        <v>29.416351351351352</v>
      </c>
      <c r="Q155" s="7">
        <v>25.579435957696827</v>
      </c>
      <c r="R155" s="7">
        <v>14.859999999999998</v>
      </c>
      <c r="S155" s="7">
        <v>41.906459452134087</v>
      </c>
    </row>
    <row r="156" spans="1:19" s="1" customFormat="1" ht="16.5" customHeight="1" x14ac:dyDescent="0.35">
      <c r="A156" s="3">
        <v>106</v>
      </c>
      <c r="B156" s="3">
        <v>54019</v>
      </c>
      <c r="C156" s="4" t="s">
        <v>204</v>
      </c>
      <c r="D156" s="6">
        <v>23.99</v>
      </c>
      <c r="E156" s="6">
        <v>10.37</v>
      </c>
      <c r="F156" s="12">
        <v>0</v>
      </c>
      <c r="G156" s="15">
        <f t="shared" si="5"/>
        <v>0</v>
      </c>
      <c r="H156" s="15">
        <f t="shared" si="6"/>
        <v>0</v>
      </c>
      <c r="I156" s="15">
        <f t="shared" si="7"/>
        <v>0</v>
      </c>
      <c r="J156" s="18">
        <f t="shared" si="8"/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</row>
    <row r="157" spans="1:19" s="1" customFormat="1" ht="16.5" customHeight="1" x14ac:dyDescent="0.35">
      <c r="A157" s="3">
        <v>101</v>
      </c>
      <c r="B157" s="3">
        <v>54228</v>
      </c>
      <c r="C157" s="4" t="s">
        <v>52</v>
      </c>
      <c r="D157" s="6">
        <v>13.99</v>
      </c>
      <c r="E157" s="6">
        <v>7.37</v>
      </c>
      <c r="F157" s="12">
        <v>0</v>
      </c>
      <c r="G157" s="15">
        <f t="shared" si="5"/>
        <v>0</v>
      </c>
      <c r="H157" s="15">
        <f t="shared" si="6"/>
        <v>0</v>
      </c>
      <c r="I157" s="15">
        <f t="shared" si="7"/>
        <v>0</v>
      </c>
      <c r="J157" s="18">
        <f t="shared" si="8"/>
        <v>0</v>
      </c>
      <c r="K157" s="7">
        <v>1287.08</v>
      </c>
      <c r="L157" s="7">
        <v>1119.2</v>
      </c>
      <c r="M157" s="7">
        <v>678.04</v>
      </c>
      <c r="N157" s="7">
        <v>92</v>
      </c>
      <c r="O157" s="7">
        <v>441.16000000000008</v>
      </c>
      <c r="P157" s="7">
        <v>13.989999999999998</v>
      </c>
      <c r="Q157" s="7">
        <v>12.165217391304349</v>
      </c>
      <c r="R157" s="7">
        <v>7.3699999999999992</v>
      </c>
      <c r="S157" s="7">
        <v>39.417441029306652</v>
      </c>
    </row>
    <row r="158" spans="1:19" s="1" customFormat="1" ht="16.5" customHeight="1" x14ac:dyDescent="0.35">
      <c r="A158" s="3">
        <v>102</v>
      </c>
      <c r="B158" s="3">
        <v>54430</v>
      </c>
      <c r="C158" s="4" t="s">
        <v>113</v>
      </c>
      <c r="D158" s="6">
        <v>21.99</v>
      </c>
      <c r="E158" s="6">
        <v>9.9600000000000009</v>
      </c>
      <c r="F158" s="12">
        <v>0</v>
      </c>
      <c r="G158" s="15">
        <f t="shared" si="5"/>
        <v>0</v>
      </c>
      <c r="H158" s="15">
        <f t="shared" si="6"/>
        <v>0</v>
      </c>
      <c r="I158" s="15">
        <f t="shared" si="7"/>
        <v>0</v>
      </c>
      <c r="J158" s="18">
        <f t="shared" si="8"/>
        <v>0</v>
      </c>
      <c r="K158" s="7">
        <v>2591.5200000000004</v>
      </c>
      <c r="L158" s="7">
        <v>2253.4956521739132</v>
      </c>
      <c r="M158" s="7">
        <v>1175.2800000000002</v>
      </c>
      <c r="N158" s="7">
        <v>118</v>
      </c>
      <c r="O158" s="7">
        <v>1078.215652173913</v>
      </c>
      <c r="P158" s="7">
        <v>21.962033898305087</v>
      </c>
      <c r="Q158" s="7">
        <v>19.097420781134858</v>
      </c>
      <c r="R158" s="7">
        <v>9.9600000000000009</v>
      </c>
      <c r="S158" s="7">
        <v>47.84636043711798</v>
      </c>
    </row>
    <row r="159" spans="1:19" s="1" customFormat="1" ht="16.5" customHeight="1" x14ac:dyDescent="0.35">
      <c r="A159" s="3">
        <v>101</v>
      </c>
      <c r="B159" s="3">
        <v>54546</v>
      </c>
      <c r="C159" s="4" t="s">
        <v>65</v>
      </c>
      <c r="D159" s="6">
        <v>5.99</v>
      </c>
      <c r="E159" s="6">
        <v>2.5299999999999998</v>
      </c>
      <c r="F159" s="12">
        <v>0</v>
      </c>
      <c r="G159" s="15">
        <f t="shared" si="5"/>
        <v>0</v>
      </c>
      <c r="H159" s="15">
        <f t="shared" si="6"/>
        <v>0</v>
      </c>
      <c r="I159" s="15">
        <f t="shared" si="7"/>
        <v>0</v>
      </c>
      <c r="J159" s="18">
        <f t="shared" si="8"/>
        <v>0</v>
      </c>
      <c r="K159" s="7">
        <v>215.64000000000001</v>
      </c>
      <c r="L159" s="7">
        <v>187.5130434782609</v>
      </c>
      <c r="M159" s="7">
        <v>91.08</v>
      </c>
      <c r="N159" s="7">
        <v>36</v>
      </c>
      <c r="O159" s="7">
        <v>96.433043478260871</v>
      </c>
      <c r="P159" s="7">
        <v>5.99</v>
      </c>
      <c r="Q159" s="7">
        <v>5.2086956521739136</v>
      </c>
      <c r="R159" s="7">
        <v>2.5299999999999998</v>
      </c>
      <c r="S159" s="7">
        <v>51.427378964941575</v>
      </c>
    </row>
    <row r="160" spans="1:19" s="1" customFormat="1" ht="16.5" customHeight="1" x14ac:dyDescent="0.35">
      <c r="A160" s="3">
        <v>101</v>
      </c>
      <c r="B160" s="3">
        <v>54547</v>
      </c>
      <c r="C160" s="4" t="s">
        <v>41</v>
      </c>
      <c r="D160" s="6">
        <v>9.99</v>
      </c>
      <c r="E160" s="6">
        <v>3.23</v>
      </c>
      <c r="F160" s="12">
        <v>0</v>
      </c>
      <c r="G160" s="15">
        <f t="shared" si="5"/>
        <v>0</v>
      </c>
      <c r="H160" s="15">
        <f t="shared" si="6"/>
        <v>0</v>
      </c>
      <c r="I160" s="15">
        <f t="shared" si="7"/>
        <v>0</v>
      </c>
      <c r="J160" s="18">
        <f t="shared" si="8"/>
        <v>0</v>
      </c>
      <c r="K160" s="7">
        <v>7862.13</v>
      </c>
      <c r="L160" s="7">
        <v>6836.6347826086967</v>
      </c>
      <c r="M160" s="7">
        <v>2542.0100000000002</v>
      </c>
      <c r="N160" s="7">
        <v>787</v>
      </c>
      <c r="O160" s="7">
        <v>4294.6247826086947</v>
      </c>
      <c r="P160" s="7">
        <v>9.99</v>
      </c>
      <c r="Q160" s="7">
        <v>8.6869565217391322</v>
      </c>
      <c r="R160" s="7">
        <v>3.2300000000000004</v>
      </c>
      <c r="S160" s="7">
        <v>62.817817817817811</v>
      </c>
    </row>
    <row r="161" spans="1:19" s="1" customFormat="1" ht="16.5" customHeight="1" x14ac:dyDescent="0.35">
      <c r="A161" s="3">
        <v>101</v>
      </c>
      <c r="B161" s="3">
        <v>54617</v>
      </c>
      <c r="C161" s="4" t="s">
        <v>71</v>
      </c>
      <c r="D161" s="6">
        <v>30.99</v>
      </c>
      <c r="E161" s="6">
        <v>12.4</v>
      </c>
      <c r="F161" s="12">
        <v>0</v>
      </c>
      <c r="G161" s="15">
        <f t="shared" si="5"/>
        <v>0</v>
      </c>
      <c r="H161" s="15">
        <f t="shared" si="6"/>
        <v>0</v>
      </c>
      <c r="I161" s="15">
        <f t="shared" si="7"/>
        <v>0</v>
      </c>
      <c r="J161" s="18">
        <f t="shared" si="8"/>
        <v>0</v>
      </c>
      <c r="K161" s="7">
        <v>92.97</v>
      </c>
      <c r="L161" s="7">
        <v>80.84347826086956</v>
      </c>
      <c r="M161" s="7">
        <v>37.200000000000003</v>
      </c>
      <c r="N161" s="7">
        <v>3</v>
      </c>
      <c r="O161" s="7">
        <v>43.643478260869557</v>
      </c>
      <c r="P161" s="7">
        <v>30.99</v>
      </c>
      <c r="Q161" s="7">
        <v>26.947826086956521</v>
      </c>
      <c r="R161" s="7">
        <v>12.4</v>
      </c>
      <c r="S161" s="7">
        <v>53.985156502097439</v>
      </c>
    </row>
    <row r="162" spans="1:19" s="1" customFormat="1" ht="16.5" customHeight="1" x14ac:dyDescent="0.35">
      <c r="A162" s="3">
        <v>102</v>
      </c>
      <c r="B162" s="3">
        <v>55482</v>
      </c>
      <c r="C162" s="4" t="s">
        <v>125</v>
      </c>
      <c r="D162" s="6">
        <v>13.99</v>
      </c>
      <c r="E162" s="6">
        <v>5.44</v>
      </c>
      <c r="F162" s="12">
        <v>0</v>
      </c>
      <c r="G162" s="15">
        <f t="shared" si="5"/>
        <v>0</v>
      </c>
      <c r="H162" s="15">
        <f t="shared" si="6"/>
        <v>0</v>
      </c>
      <c r="I162" s="15">
        <f t="shared" si="7"/>
        <v>0</v>
      </c>
      <c r="J162" s="18">
        <f t="shared" si="8"/>
        <v>0</v>
      </c>
      <c r="K162" s="7">
        <v>1119.2</v>
      </c>
      <c r="L162" s="7">
        <v>973.21739130434776</v>
      </c>
      <c r="M162" s="7">
        <v>435.2</v>
      </c>
      <c r="N162" s="7">
        <v>80</v>
      </c>
      <c r="O162" s="7">
        <v>538.01739130434794</v>
      </c>
      <c r="P162" s="7">
        <v>13.99</v>
      </c>
      <c r="Q162" s="7">
        <v>12.165217391304347</v>
      </c>
      <c r="R162" s="7">
        <v>5.4399999999999995</v>
      </c>
      <c r="S162" s="7">
        <v>55.282344531808448</v>
      </c>
    </row>
    <row r="163" spans="1:19" s="1" customFormat="1" ht="16.5" customHeight="1" x14ac:dyDescent="0.35">
      <c r="A163" s="3">
        <v>101</v>
      </c>
      <c r="B163" s="3">
        <v>56350</v>
      </c>
      <c r="C163" s="4" t="s">
        <v>59</v>
      </c>
      <c r="D163" s="6">
        <v>4.99</v>
      </c>
      <c r="E163" s="6">
        <v>2.61</v>
      </c>
      <c r="F163" s="12">
        <v>0</v>
      </c>
      <c r="G163" s="15">
        <f t="shared" si="5"/>
        <v>0</v>
      </c>
      <c r="H163" s="15">
        <f t="shared" si="6"/>
        <v>0</v>
      </c>
      <c r="I163" s="15">
        <f t="shared" si="7"/>
        <v>0</v>
      </c>
      <c r="J163" s="18">
        <f t="shared" si="8"/>
        <v>0</v>
      </c>
      <c r="K163" s="7">
        <v>533.43000000000006</v>
      </c>
      <c r="L163" s="7">
        <v>463.85217391304343</v>
      </c>
      <c r="M163" s="7">
        <v>279.27</v>
      </c>
      <c r="N163" s="7">
        <v>107</v>
      </c>
      <c r="O163" s="7">
        <v>184.5821739130435</v>
      </c>
      <c r="P163" s="7">
        <v>4.9853271028037387</v>
      </c>
      <c r="Q163" s="7">
        <v>4.3350670459162934</v>
      </c>
      <c r="R163" s="7">
        <v>2.61</v>
      </c>
      <c r="S163" s="7">
        <v>39.793318710983641</v>
      </c>
    </row>
    <row r="164" spans="1:19" s="1" customFormat="1" ht="16.5" customHeight="1" x14ac:dyDescent="0.35">
      <c r="A164" s="3">
        <v>104</v>
      </c>
      <c r="B164" s="3">
        <v>56805</v>
      </c>
      <c r="C164" s="4" t="s">
        <v>198</v>
      </c>
      <c r="D164" s="6">
        <v>15</v>
      </c>
      <c r="E164" s="6">
        <v>29.47</v>
      </c>
      <c r="F164" s="12">
        <v>0</v>
      </c>
      <c r="G164" s="15">
        <f t="shared" si="5"/>
        <v>0</v>
      </c>
      <c r="H164" s="15">
        <f t="shared" si="6"/>
        <v>0</v>
      </c>
      <c r="I164" s="15">
        <f t="shared" si="7"/>
        <v>0</v>
      </c>
      <c r="J164" s="18">
        <f t="shared" si="8"/>
        <v>0</v>
      </c>
      <c r="K164" s="7">
        <v>119.25</v>
      </c>
      <c r="L164" s="7">
        <v>103.69565217391303</v>
      </c>
      <c r="M164" s="7">
        <v>235.76</v>
      </c>
      <c r="N164" s="7">
        <v>8</v>
      </c>
      <c r="O164" s="7">
        <v>-132.06434782608696</v>
      </c>
      <c r="P164" s="7">
        <v>14.90625</v>
      </c>
      <c r="Q164" s="7">
        <v>12.961956521739129</v>
      </c>
      <c r="R164" s="7">
        <v>29.47</v>
      </c>
      <c r="S164" s="7">
        <v>-99.99</v>
      </c>
    </row>
    <row r="165" spans="1:19" s="1" customFormat="1" ht="16.5" customHeight="1" x14ac:dyDescent="0.35">
      <c r="A165" s="3">
        <v>101</v>
      </c>
      <c r="B165" s="3">
        <v>57071</v>
      </c>
      <c r="C165" s="4" t="s">
        <v>45</v>
      </c>
      <c r="D165" s="6">
        <v>29.99</v>
      </c>
      <c r="E165" s="6">
        <v>12.66</v>
      </c>
      <c r="F165" s="12">
        <v>0</v>
      </c>
      <c r="G165" s="15">
        <f t="shared" si="5"/>
        <v>0</v>
      </c>
      <c r="H165" s="15">
        <f t="shared" si="6"/>
        <v>0</v>
      </c>
      <c r="I165" s="15">
        <f t="shared" si="7"/>
        <v>0</v>
      </c>
      <c r="J165" s="18">
        <f t="shared" si="8"/>
        <v>0</v>
      </c>
      <c r="K165" s="7">
        <v>4519.49</v>
      </c>
      <c r="L165" s="7">
        <v>3929.9913043478264</v>
      </c>
      <c r="M165" s="7">
        <v>1911.6600000000003</v>
      </c>
      <c r="N165" s="7">
        <v>151</v>
      </c>
      <c r="O165" s="7">
        <v>2018.3313043478252</v>
      </c>
      <c r="P165" s="7">
        <v>29.930397350993378</v>
      </c>
      <c r="Q165" s="7">
        <v>26.026432479124679</v>
      </c>
      <c r="R165" s="7">
        <v>12.660000000000002</v>
      </c>
      <c r="S165" s="7">
        <v>51.357144279553644</v>
      </c>
    </row>
    <row r="166" spans="1:19" s="1" customFormat="1" ht="16.5" customHeight="1" x14ac:dyDescent="0.35">
      <c r="A166" s="3">
        <v>101</v>
      </c>
      <c r="B166" s="3">
        <v>57073</v>
      </c>
      <c r="C166" s="4" t="s">
        <v>19</v>
      </c>
      <c r="D166" s="6">
        <v>36.99</v>
      </c>
      <c r="E166" s="6">
        <v>16.05</v>
      </c>
      <c r="F166" s="12">
        <v>0</v>
      </c>
      <c r="G166" s="15">
        <f t="shared" si="5"/>
        <v>0</v>
      </c>
      <c r="H166" s="15">
        <f t="shared" si="6"/>
        <v>0</v>
      </c>
      <c r="I166" s="15">
        <f t="shared" si="7"/>
        <v>0</v>
      </c>
      <c r="J166" s="18">
        <f t="shared" si="8"/>
        <v>0</v>
      </c>
      <c r="K166" s="7">
        <v>76247.279999999984</v>
      </c>
      <c r="L166" s="7">
        <v>66301.982608695631</v>
      </c>
      <c r="M166" s="7">
        <v>23023.7</v>
      </c>
      <c r="N166" s="7">
        <v>2122</v>
      </c>
      <c r="O166" s="7">
        <v>43278.282608695648</v>
      </c>
      <c r="P166" s="7">
        <v>35.931800188501406</v>
      </c>
      <c r="Q166" s="7">
        <v>31.245043642175133</v>
      </c>
      <c r="R166" s="7">
        <v>10.85</v>
      </c>
      <c r="S166" s="7">
        <v>65.274492414680239</v>
      </c>
    </row>
    <row r="167" spans="1:19" s="1" customFormat="1" ht="16.5" customHeight="1" x14ac:dyDescent="0.35">
      <c r="A167" s="3">
        <v>101</v>
      </c>
      <c r="B167" s="3">
        <v>57167</v>
      </c>
      <c r="C167" s="4" t="s">
        <v>28</v>
      </c>
      <c r="D167" s="6">
        <v>16.989999999999998</v>
      </c>
      <c r="E167" s="6">
        <v>7.4</v>
      </c>
      <c r="F167" s="12">
        <v>0</v>
      </c>
      <c r="G167" s="15">
        <f t="shared" si="5"/>
        <v>0</v>
      </c>
      <c r="H167" s="15">
        <f t="shared" si="6"/>
        <v>0</v>
      </c>
      <c r="I167" s="15">
        <f t="shared" si="7"/>
        <v>0</v>
      </c>
      <c r="J167" s="18">
        <f t="shared" si="8"/>
        <v>0</v>
      </c>
      <c r="K167" s="7">
        <v>22277.850000000002</v>
      </c>
      <c r="L167" s="7">
        <v>19372.043478260872</v>
      </c>
      <c r="M167" s="7">
        <v>9782.8000000000011</v>
      </c>
      <c r="N167" s="7">
        <v>1322</v>
      </c>
      <c r="O167" s="7">
        <v>9589.2434782608707</v>
      </c>
      <c r="P167" s="7">
        <v>16.851626323751894</v>
      </c>
      <c r="Q167" s="7">
        <v>14.653588107610341</v>
      </c>
      <c r="R167" s="7">
        <v>7.4000000000000012</v>
      </c>
      <c r="S167" s="7">
        <v>49.500423065960135</v>
      </c>
    </row>
    <row r="168" spans="1:19" s="1" customFormat="1" ht="16.5" customHeight="1" x14ac:dyDescent="0.35">
      <c r="A168" s="3">
        <v>102</v>
      </c>
      <c r="B168" s="3">
        <v>58045</v>
      </c>
      <c r="C168" s="4" t="s">
        <v>155</v>
      </c>
      <c r="D168" s="6">
        <v>2.5</v>
      </c>
      <c r="E168" s="6">
        <v>1.29</v>
      </c>
      <c r="F168" s="12">
        <v>0</v>
      </c>
      <c r="G168" s="15">
        <f t="shared" si="5"/>
        <v>0</v>
      </c>
      <c r="H168" s="15">
        <f t="shared" si="6"/>
        <v>0</v>
      </c>
      <c r="I168" s="15">
        <f t="shared" si="7"/>
        <v>0</v>
      </c>
      <c r="J168" s="18">
        <f t="shared" si="8"/>
        <v>0</v>
      </c>
      <c r="K168" s="7">
        <v>35</v>
      </c>
      <c r="L168" s="7">
        <v>30.434782608695652</v>
      </c>
      <c r="M168" s="7">
        <v>18.060000000000002</v>
      </c>
      <c r="N168" s="7">
        <v>14</v>
      </c>
      <c r="O168" s="7">
        <v>12.374782608695654</v>
      </c>
      <c r="P168" s="7">
        <v>2.5</v>
      </c>
      <c r="Q168" s="7">
        <v>2.1739130434782608</v>
      </c>
      <c r="R168" s="7">
        <v>1.2900000000000003</v>
      </c>
      <c r="S168" s="7">
        <v>40.660000000000004</v>
      </c>
    </row>
    <row r="169" spans="1:19" s="1" customFormat="1" ht="16.5" customHeight="1" x14ac:dyDescent="0.35">
      <c r="A169" s="3">
        <v>104</v>
      </c>
      <c r="B169" s="3">
        <v>58452</v>
      </c>
      <c r="C169" s="4" t="s">
        <v>199</v>
      </c>
      <c r="D169" s="6">
        <v>120</v>
      </c>
      <c r="E169" s="6">
        <v>58.51</v>
      </c>
      <c r="F169" s="12">
        <v>0</v>
      </c>
      <c r="G169" s="15">
        <f t="shared" si="5"/>
        <v>0</v>
      </c>
      <c r="H169" s="15">
        <f t="shared" si="6"/>
        <v>0</v>
      </c>
      <c r="I169" s="15">
        <f t="shared" si="7"/>
        <v>0</v>
      </c>
      <c r="J169" s="18">
        <f t="shared" si="8"/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</row>
    <row r="170" spans="1:19" s="1" customFormat="1" ht="16.5" customHeight="1" x14ac:dyDescent="0.35">
      <c r="A170" s="3">
        <v>101</v>
      </c>
      <c r="B170" s="3">
        <v>58763</v>
      </c>
      <c r="C170" s="4" t="s">
        <v>67</v>
      </c>
      <c r="D170" s="6">
        <v>3.2</v>
      </c>
      <c r="E170" s="6">
        <v>1.62</v>
      </c>
      <c r="F170" s="12">
        <v>0</v>
      </c>
      <c r="G170" s="15">
        <f t="shared" si="5"/>
        <v>0</v>
      </c>
      <c r="H170" s="15">
        <f t="shared" si="6"/>
        <v>0</v>
      </c>
      <c r="I170" s="15">
        <f t="shared" si="7"/>
        <v>0</v>
      </c>
      <c r="J170" s="18">
        <f t="shared" si="8"/>
        <v>0</v>
      </c>
      <c r="K170" s="7">
        <v>163.19999999999999</v>
      </c>
      <c r="L170" s="7">
        <v>141.91304347826087</v>
      </c>
      <c r="M170" s="7">
        <v>82.62</v>
      </c>
      <c r="N170" s="7">
        <v>51</v>
      </c>
      <c r="O170" s="7">
        <v>59.293043478260842</v>
      </c>
      <c r="P170" s="7">
        <v>3.1999999999999997</v>
      </c>
      <c r="Q170" s="7">
        <v>2.7826086956521738</v>
      </c>
      <c r="R170" s="7">
        <v>1.62</v>
      </c>
      <c r="S170" s="7">
        <v>41.781249999999986</v>
      </c>
    </row>
    <row r="171" spans="1:19" s="1" customFormat="1" ht="16.5" customHeight="1" x14ac:dyDescent="0.35">
      <c r="A171" s="3">
        <v>102</v>
      </c>
      <c r="B171" s="3">
        <v>59058</v>
      </c>
      <c r="C171" s="4" t="s">
        <v>115</v>
      </c>
      <c r="D171" s="6">
        <v>5.99</v>
      </c>
      <c r="E171" s="6">
        <v>3.1</v>
      </c>
      <c r="F171" s="12">
        <v>0</v>
      </c>
      <c r="G171" s="15">
        <f t="shared" si="5"/>
        <v>0</v>
      </c>
      <c r="H171" s="15">
        <f t="shared" si="6"/>
        <v>0</v>
      </c>
      <c r="I171" s="15">
        <f t="shared" si="7"/>
        <v>0</v>
      </c>
      <c r="J171" s="18">
        <f t="shared" si="8"/>
        <v>0</v>
      </c>
      <c r="K171" s="7">
        <v>2179.46</v>
      </c>
      <c r="L171" s="7">
        <v>1895.1826086956521</v>
      </c>
      <c r="M171" s="7">
        <v>1128.3999999999999</v>
      </c>
      <c r="N171" s="7">
        <v>364</v>
      </c>
      <c r="O171" s="7">
        <v>766.78260869565247</v>
      </c>
      <c r="P171" s="7">
        <v>5.9875274725274723</v>
      </c>
      <c r="Q171" s="7">
        <v>5.2065456282847586</v>
      </c>
      <c r="R171" s="7">
        <v>3.0999999999999996</v>
      </c>
      <c r="S171" s="7">
        <v>40.459563378084489</v>
      </c>
    </row>
    <row r="172" spans="1:19" s="1" customFormat="1" ht="16.5" customHeight="1" x14ac:dyDescent="0.35">
      <c r="A172" s="3">
        <v>102</v>
      </c>
      <c r="B172" s="3">
        <v>59220</v>
      </c>
      <c r="C172" s="4" t="s">
        <v>139</v>
      </c>
      <c r="D172" s="6">
        <v>5.99</v>
      </c>
      <c r="E172" s="6">
        <v>3.1</v>
      </c>
      <c r="F172" s="12">
        <v>0</v>
      </c>
      <c r="G172" s="15">
        <f t="shared" si="5"/>
        <v>0</v>
      </c>
      <c r="H172" s="15">
        <f t="shared" si="6"/>
        <v>0</v>
      </c>
      <c r="I172" s="15">
        <f t="shared" si="7"/>
        <v>0</v>
      </c>
      <c r="J172" s="18">
        <f t="shared" si="8"/>
        <v>0</v>
      </c>
      <c r="K172" s="7">
        <v>293.51</v>
      </c>
      <c r="L172" s="7">
        <v>255.22608695652173</v>
      </c>
      <c r="M172" s="7">
        <v>151.9</v>
      </c>
      <c r="N172" s="7">
        <v>49</v>
      </c>
      <c r="O172" s="7">
        <v>103.32608695652172</v>
      </c>
      <c r="P172" s="7">
        <v>5.99</v>
      </c>
      <c r="Q172" s="7">
        <v>5.2086956521739127</v>
      </c>
      <c r="R172" s="7">
        <v>3.1</v>
      </c>
      <c r="S172" s="7">
        <v>40.484140233722869</v>
      </c>
    </row>
    <row r="173" spans="1:19" s="1" customFormat="1" ht="16.5" customHeight="1" x14ac:dyDescent="0.35">
      <c r="A173" s="3">
        <v>102</v>
      </c>
      <c r="B173" s="3">
        <v>59221</v>
      </c>
      <c r="C173" s="4" t="s">
        <v>135</v>
      </c>
      <c r="D173" s="6">
        <v>5.99</v>
      </c>
      <c r="E173" s="6">
        <v>3.1</v>
      </c>
      <c r="F173" s="12">
        <v>0</v>
      </c>
      <c r="G173" s="15">
        <f t="shared" si="5"/>
        <v>0</v>
      </c>
      <c r="H173" s="15">
        <f t="shared" si="6"/>
        <v>0</v>
      </c>
      <c r="I173" s="15">
        <f t="shared" si="7"/>
        <v>0</v>
      </c>
      <c r="J173" s="18">
        <f t="shared" si="8"/>
        <v>0</v>
      </c>
      <c r="K173" s="7">
        <v>446.85</v>
      </c>
      <c r="L173" s="7">
        <v>388.56521739130443</v>
      </c>
      <c r="M173" s="7">
        <v>232.50000000000003</v>
      </c>
      <c r="N173" s="7">
        <v>75</v>
      </c>
      <c r="O173" s="7">
        <v>156.06521739130434</v>
      </c>
      <c r="P173" s="7">
        <v>5.9580000000000002</v>
      </c>
      <c r="Q173" s="7">
        <v>5.1808695652173924</v>
      </c>
      <c r="R173" s="7">
        <v>3.1000000000000005</v>
      </c>
      <c r="S173" s="7">
        <v>40.164484726418259</v>
      </c>
    </row>
    <row r="174" spans="1:19" s="1" customFormat="1" ht="16.5" customHeight="1" x14ac:dyDescent="0.35">
      <c r="A174" s="3">
        <v>102</v>
      </c>
      <c r="B174" s="3">
        <v>59222</v>
      </c>
      <c r="C174" s="4" t="s">
        <v>152</v>
      </c>
      <c r="D174" s="6">
        <v>5.99</v>
      </c>
      <c r="E174" s="6">
        <v>3.1</v>
      </c>
      <c r="F174" s="12">
        <v>0</v>
      </c>
      <c r="G174" s="15">
        <f t="shared" si="5"/>
        <v>0</v>
      </c>
      <c r="H174" s="15">
        <f t="shared" si="6"/>
        <v>0</v>
      </c>
      <c r="I174" s="15">
        <f t="shared" si="7"/>
        <v>0</v>
      </c>
      <c r="J174" s="18">
        <f t="shared" si="8"/>
        <v>0</v>
      </c>
      <c r="K174" s="7">
        <v>71.88</v>
      </c>
      <c r="L174" s="7">
        <v>62.504347826086956</v>
      </c>
      <c r="M174" s="7">
        <v>37.200000000000003</v>
      </c>
      <c r="N174" s="7">
        <v>12</v>
      </c>
      <c r="O174" s="7">
        <v>25.304347826086946</v>
      </c>
      <c r="P174" s="7">
        <v>5.9899999999999993</v>
      </c>
      <c r="Q174" s="7">
        <v>5.2086956521739127</v>
      </c>
      <c r="R174" s="7">
        <v>3.1</v>
      </c>
      <c r="S174" s="7">
        <v>40.484140233722862</v>
      </c>
    </row>
    <row r="175" spans="1:19" s="1" customFormat="1" ht="16.5" customHeight="1" x14ac:dyDescent="0.35">
      <c r="A175" s="3">
        <v>102</v>
      </c>
      <c r="B175" s="3">
        <v>59223</v>
      </c>
      <c r="C175" s="4" t="s">
        <v>153</v>
      </c>
      <c r="D175" s="6">
        <v>5.99</v>
      </c>
      <c r="E175" s="6">
        <v>3.1</v>
      </c>
      <c r="F175" s="12">
        <v>0</v>
      </c>
      <c r="G175" s="15">
        <f t="shared" si="5"/>
        <v>0</v>
      </c>
      <c r="H175" s="15">
        <f t="shared" si="6"/>
        <v>0</v>
      </c>
      <c r="I175" s="15">
        <f t="shared" si="7"/>
        <v>0</v>
      </c>
      <c r="J175" s="18">
        <f t="shared" si="8"/>
        <v>0</v>
      </c>
      <c r="K175" s="7">
        <v>53.910000000000004</v>
      </c>
      <c r="L175" s="7">
        <v>46.878260869565224</v>
      </c>
      <c r="M175" s="7">
        <v>27.900000000000006</v>
      </c>
      <c r="N175" s="7">
        <v>9</v>
      </c>
      <c r="O175" s="7">
        <v>18.978260869565212</v>
      </c>
      <c r="P175" s="7">
        <v>5.99</v>
      </c>
      <c r="Q175" s="7">
        <v>5.2086956521739136</v>
      </c>
      <c r="R175" s="7">
        <v>3.1000000000000005</v>
      </c>
      <c r="S175" s="7">
        <v>40.484140233722862</v>
      </c>
    </row>
    <row r="176" spans="1:19" s="1" customFormat="1" ht="16.5" customHeight="1" x14ac:dyDescent="0.35">
      <c r="A176" s="3">
        <v>102</v>
      </c>
      <c r="B176" s="3">
        <v>59477</v>
      </c>
      <c r="C176" s="4" t="s">
        <v>136</v>
      </c>
      <c r="D176" s="6">
        <v>5.99</v>
      </c>
      <c r="E176" s="6">
        <v>3.1</v>
      </c>
      <c r="F176" s="12">
        <v>0</v>
      </c>
      <c r="G176" s="15">
        <f t="shared" si="5"/>
        <v>0</v>
      </c>
      <c r="H176" s="15">
        <f t="shared" si="6"/>
        <v>0</v>
      </c>
      <c r="I176" s="15">
        <f t="shared" si="7"/>
        <v>0</v>
      </c>
      <c r="J176" s="18">
        <f t="shared" si="8"/>
        <v>0</v>
      </c>
      <c r="K176" s="7">
        <v>419</v>
      </c>
      <c r="L176" s="7">
        <v>364.3478260869565</v>
      </c>
      <c r="M176" s="7">
        <v>217.00000000000003</v>
      </c>
      <c r="N176" s="7">
        <v>70</v>
      </c>
      <c r="O176" s="7">
        <v>147.34782608695647</v>
      </c>
      <c r="P176" s="7">
        <v>5.9857142857142858</v>
      </c>
      <c r="Q176" s="7">
        <v>5.2049689440993783</v>
      </c>
      <c r="R176" s="7">
        <v>3.1000000000000005</v>
      </c>
      <c r="S176" s="7">
        <v>40.441527446300704</v>
      </c>
    </row>
    <row r="177" spans="1:19" s="1" customFormat="1" ht="16.5" customHeight="1" x14ac:dyDescent="0.35">
      <c r="A177" s="3">
        <v>119</v>
      </c>
      <c r="B177" s="3">
        <v>60694</v>
      </c>
      <c r="C177" s="4" t="s">
        <v>225</v>
      </c>
      <c r="D177" s="6">
        <v>160</v>
      </c>
      <c r="E177" s="6">
        <v>106.8</v>
      </c>
      <c r="F177" s="12">
        <v>0</v>
      </c>
      <c r="G177" s="15">
        <f t="shared" si="5"/>
        <v>0</v>
      </c>
      <c r="H177" s="15">
        <f t="shared" si="6"/>
        <v>0</v>
      </c>
      <c r="I177" s="15">
        <f t="shared" si="7"/>
        <v>0</v>
      </c>
      <c r="J177" s="18">
        <f t="shared" si="8"/>
        <v>0</v>
      </c>
      <c r="K177" s="7">
        <v>2790</v>
      </c>
      <c r="L177" s="7">
        <v>2426.086956521739</v>
      </c>
      <c r="M177" s="7">
        <v>1915.2799999999997</v>
      </c>
      <c r="N177" s="7">
        <v>18</v>
      </c>
      <c r="O177" s="7">
        <v>510.80695652173927</v>
      </c>
      <c r="P177" s="7">
        <v>155</v>
      </c>
      <c r="Q177" s="7">
        <v>134.78260869565216</v>
      </c>
      <c r="R177" s="7">
        <v>106.40444444444444</v>
      </c>
      <c r="S177" s="7">
        <v>21.054767025089614</v>
      </c>
    </row>
    <row r="178" spans="1:19" s="1" customFormat="1" ht="16.5" customHeight="1" x14ac:dyDescent="0.35">
      <c r="A178" s="3">
        <v>101</v>
      </c>
      <c r="B178" s="3">
        <v>60832</v>
      </c>
      <c r="C178" s="4" t="s">
        <v>33</v>
      </c>
      <c r="D178" s="6">
        <v>10</v>
      </c>
      <c r="E178" s="6">
        <v>7.36</v>
      </c>
      <c r="F178" s="12">
        <v>0</v>
      </c>
      <c r="G178" s="15">
        <f t="shared" si="5"/>
        <v>0</v>
      </c>
      <c r="H178" s="15">
        <f t="shared" si="6"/>
        <v>0</v>
      </c>
      <c r="I178" s="15">
        <f t="shared" si="7"/>
        <v>0</v>
      </c>
      <c r="J178" s="18">
        <f t="shared" si="8"/>
        <v>0</v>
      </c>
      <c r="K178" s="7">
        <v>16500</v>
      </c>
      <c r="L178" s="7">
        <v>14347.826086956522</v>
      </c>
      <c r="M178" s="7">
        <v>14307.84</v>
      </c>
      <c r="N178" s="7">
        <v>1944</v>
      </c>
      <c r="O178" s="7">
        <v>39.986086956521831</v>
      </c>
      <c r="P178" s="7">
        <v>8.4876543209876552</v>
      </c>
      <c r="Q178" s="7">
        <v>7.3805689747718732</v>
      </c>
      <c r="R178" s="7">
        <v>7.36</v>
      </c>
      <c r="S178" s="7">
        <v>0.27869090909090971</v>
      </c>
    </row>
    <row r="179" spans="1:19" s="1" customFormat="1" ht="16.5" customHeight="1" x14ac:dyDescent="0.35">
      <c r="A179" s="3">
        <v>102</v>
      </c>
      <c r="B179" s="3">
        <v>61014</v>
      </c>
      <c r="C179" s="4" t="s">
        <v>145</v>
      </c>
      <c r="D179" s="6">
        <v>5.99</v>
      </c>
      <c r="E179" s="6">
        <v>3.1</v>
      </c>
      <c r="F179" s="12">
        <v>0</v>
      </c>
      <c r="G179" s="15">
        <f t="shared" si="5"/>
        <v>0</v>
      </c>
      <c r="H179" s="15">
        <f t="shared" si="6"/>
        <v>0</v>
      </c>
      <c r="I179" s="15">
        <f t="shared" si="7"/>
        <v>0</v>
      </c>
      <c r="J179" s="18">
        <f t="shared" si="8"/>
        <v>0</v>
      </c>
      <c r="K179" s="7">
        <v>197.67</v>
      </c>
      <c r="L179" s="7">
        <v>171.88695652173914</v>
      </c>
      <c r="M179" s="7">
        <v>102.30000000000001</v>
      </c>
      <c r="N179" s="7">
        <v>33</v>
      </c>
      <c r="O179" s="7">
        <v>69.586956521739097</v>
      </c>
      <c r="P179" s="7">
        <v>5.9899999999999993</v>
      </c>
      <c r="Q179" s="7">
        <v>5.2086956521739136</v>
      </c>
      <c r="R179" s="7">
        <v>3.1000000000000005</v>
      </c>
      <c r="S179" s="7">
        <v>40.484140233722862</v>
      </c>
    </row>
    <row r="180" spans="1:19" s="1" customFormat="1" ht="16.5" customHeight="1" x14ac:dyDescent="0.35">
      <c r="A180" s="3">
        <v>101</v>
      </c>
      <c r="B180" s="3">
        <v>61018</v>
      </c>
      <c r="C180" s="4" t="s">
        <v>70</v>
      </c>
      <c r="D180" s="6">
        <v>4</v>
      </c>
      <c r="E180" s="6">
        <v>2.2599999999999998</v>
      </c>
      <c r="F180" s="12">
        <v>0</v>
      </c>
      <c r="G180" s="15">
        <f t="shared" ref="G180:G222" si="9">F180*D180</f>
        <v>0</v>
      </c>
      <c r="H180" s="15">
        <f t="shared" ref="H180:H222" si="10">E180*F180</f>
        <v>0</v>
      </c>
      <c r="I180" s="15">
        <f t="shared" ref="I180:I222" si="11">G180-H180</f>
        <v>0</v>
      </c>
      <c r="J180" s="18">
        <f t="shared" ref="J180:J222" si="12">IFERROR(I180/G180,0)</f>
        <v>0</v>
      </c>
      <c r="K180" s="7">
        <v>96</v>
      </c>
      <c r="L180" s="7">
        <v>83.478260869565219</v>
      </c>
      <c r="M180" s="7">
        <v>54.239999999999995</v>
      </c>
      <c r="N180" s="7">
        <v>24</v>
      </c>
      <c r="O180" s="7">
        <v>29.238260869565224</v>
      </c>
      <c r="P180" s="7">
        <v>4</v>
      </c>
      <c r="Q180" s="7">
        <v>3.4782608695652173</v>
      </c>
      <c r="R180" s="7">
        <v>2.2599999999999998</v>
      </c>
      <c r="S180" s="7">
        <v>35.025000000000006</v>
      </c>
    </row>
    <row r="181" spans="1:19" s="1" customFormat="1" ht="16.5" customHeight="1" x14ac:dyDescent="0.35">
      <c r="A181" s="3">
        <v>117</v>
      </c>
      <c r="B181" s="3">
        <v>61814</v>
      </c>
      <c r="C181" s="4" t="s">
        <v>210</v>
      </c>
      <c r="D181" s="6">
        <v>10</v>
      </c>
      <c r="E181" s="6">
        <v>3.39</v>
      </c>
      <c r="F181" s="12">
        <v>0</v>
      </c>
      <c r="G181" s="15">
        <f t="shared" si="9"/>
        <v>0</v>
      </c>
      <c r="H181" s="15">
        <f t="shared" si="10"/>
        <v>0</v>
      </c>
      <c r="I181" s="15">
        <f t="shared" si="11"/>
        <v>0</v>
      </c>
      <c r="J181" s="18">
        <f t="shared" si="12"/>
        <v>0</v>
      </c>
      <c r="K181" s="7">
        <v>630</v>
      </c>
      <c r="L181" s="7">
        <v>547.82608695652175</v>
      </c>
      <c r="M181" s="7">
        <v>213.57</v>
      </c>
      <c r="N181" s="7">
        <v>63</v>
      </c>
      <c r="O181" s="7">
        <v>334.25608695652176</v>
      </c>
      <c r="P181" s="7">
        <v>10</v>
      </c>
      <c r="Q181" s="7">
        <v>8.695652173913043</v>
      </c>
      <c r="R181" s="7">
        <v>3.3899999999999997</v>
      </c>
      <c r="S181" s="7">
        <v>61.015000000000001</v>
      </c>
    </row>
    <row r="182" spans="1:19" s="1" customFormat="1" ht="16.5" customHeight="1" x14ac:dyDescent="0.35">
      <c r="A182" s="3">
        <v>102</v>
      </c>
      <c r="B182" s="3">
        <v>61938</v>
      </c>
      <c r="C182" s="4" t="s">
        <v>105</v>
      </c>
      <c r="D182" s="6">
        <v>10</v>
      </c>
      <c r="E182" s="6">
        <v>3.43</v>
      </c>
      <c r="F182" s="12">
        <v>0</v>
      </c>
      <c r="G182" s="15">
        <f t="shared" si="9"/>
        <v>0</v>
      </c>
      <c r="H182" s="15">
        <f t="shared" si="10"/>
        <v>0</v>
      </c>
      <c r="I182" s="15">
        <f t="shared" si="11"/>
        <v>0</v>
      </c>
      <c r="J182" s="18">
        <f t="shared" si="12"/>
        <v>0</v>
      </c>
      <c r="K182" s="7">
        <v>3653</v>
      </c>
      <c r="L182" s="7">
        <v>3176.521739130435</v>
      </c>
      <c r="M182" s="7">
        <v>1255.3800000000003</v>
      </c>
      <c r="N182" s="7">
        <v>366</v>
      </c>
      <c r="O182" s="7">
        <v>1921.1417391304342</v>
      </c>
      <c r="P182" s="7">
        <v>9.9808743169398912</v>
      </c>
      <c r="Q182" s="7">
        <v>8.6790211451651231</v>
      </c>
      <c r="R182" s="7">
        <v>3.430000000000001</v>
      </c>
      <c r="S182" s="7">
        <v>60.479414180125914</v>
      </c>
    </row>
    <row r="183" spans="1:19" s="1" customFormat="1" ht="16.5" customHeight="1" x14ac:dyDescent="0.35">
      <c r="A183" s="3">
        <v>102</v>
      </c>
      <c r="B183" s="3">
        <v>61940</v>
      </c>
      <c r="C183" s="4" t="s">
        <v>98</v>
      </c>
      <c r="D183" s="6">
        <v>10</v>
      </c>
      <c r="E183" s="6">
        <v>3.28</v>
      </c>
      <c r="F183" s="12">
        <v>0</v>
      </c>
      <c r="G183" s="15">
        <f t="shared" si="9"/>
        <v>0</v>
      </c>
      <c r="H183" s="15">
        <f t="shared" si="10"/>
        <v>0</v>
      </c>
      <c r="I183" s="15">
        <f t="shared" si="11"/>
        <v>0</v>
      </c>
      <c r="J183" s="18">
        <f t="shared" si="12"/>
        <v>0</v>
      </c>
      <c r="K183" s="7">
        <v>7897</v>
      </c>
      <c r="L183" s="7">
        <v>6866.95652173913</v>
      </c>
      <c r="M183" s="7">
        <v>2597.7600000000002</v>
      </c>
      <c r="N183" s="7">
        <v>792</v>
      </c>
      <c r="O183" s="7">
        <v>4269.1965217391307</v>
      </c>
      <c r="P183" s="7">
        <v>9.9709595959595951</v>
      </c>
      <c r="Q183" s="7">
        <v>8.670399648660517</v>
      </c>
      <c r="R183" s="7">
        <v>3.2800000000000002</v>
      </c>
      <c r="S183" s="7">
        <v>62.170140559706219</v>
      </c>
    </row>
    <row r="184" spans="1:19" s="1" customFormat="1" ht="16.5" customHeight="1" x14ac:dyDescent="0.35">
      <c r="A184" s="3">
        <v>102</v>
      </c>
      <c r="B184" s="3">
        <v>61941</v>
      </c>
      <c r="C184" s="4" t="s">
        <v>123</v>
      </c>
      <c r="D184" s="6">
        <v>10</v>
      </c>
      <c r="E184" s="6">
        <v>3.4432999999999998</v>
      </c>
      <c r="F184" s="12">
        <v>0</v>
      </c>
      <c r="G184" s="15">
        <f t="shared" si="9"/>
        <v>0</v>
      </c>
      <c r="H184" s="15">
        <f t="shared" si="10"/>
        <v>0</v>
      </c>
      <c r="I184" s="15">
        <f t="shared" si="11"/>
        <v>0</v>
      </c>
      <c r="J184" s="18">
        <f t="shared" si="12"/>
        <v>0</v>
      </c>
      <c r="K184" s="7">
        <v>1128</v>
      </c>
      <c r="L184" s="7">
        <v>980.86956521739148</v>
      </c>
      <c r="M184" s="7">
        <v>389.09289999999999</v>
      </c>
      <c r="N184" s="7">
        <v>113</v>
      </c>
      <c r="O184" s="7">
        <v>591.77666521739138</v>
      </c>
      <c r="P184" s="7">
        <v>9.9823008849557517</v>
      </c>
      <c r="Q184" s="7">
        <v>8.6802616390919596</v>
      </c>
      <c r="R184" s="7">
        <v>3.4432999999999998</v>
      </c>
      <c r="S184" s="7">
        <v>60.33184086879433</v>
      </c>
    </row>
    <row r="185" spans="1:19" s="1" customFormat="1" ht="16.5" customHeight="1" x14ac:dyDescent="0.35">
      <c r="A185" s="3">
        <v>102</v>
      </c>
      <c r="B185" s="3">
        <v>61942</v>
      </c>
      <c r="C185" s="4" t="s">
        <v>104</v>
      </c>
      <c r="D185" s="6">
        <v>10</v>
      </c>
      <c r="E185" s="6">
        <v>3.73</v>
      </c>
      <c r="F185" s="12">
        <v>0</v>
      </c>
      <c r="G185" s="15">
        <f t="shared" si="9"/>
        <v>0</v>
      </c>
      <c r="H185" s="15">
        <f t="shared" si="10"/>
        <v>0</v>
      </c>
      <c r="I185" s="15">
        <f t="shared" si="11"/>
        <v>0</v>
      </c>
      <c r="J185" s="18">
        <f t="shared" si="12"/>
        <v>0</v>
      </c>
      <c r="K185" s="7">
        <v>3929.5</v>
      </c>
      <c r="L185" s="7">
        <v>3416.9565217391305</v>
      </c>
      <c r="M185" s="7">
        <v>1469.6200000000001</v>
      </c>
      <c r="N185" s="7">
        <v>394</v>
      </c>
      <c r="O185" s="7">
        <v>1947.3365217391299</v>
      </c>
      <c r="P185" s="7">
        <v>9.9733502538071068</v>
      </c>
      <c r="Q185" s="7">
        <v>8.6724784815713978</v>
      </c>
      <c r="R185" s="7">
        <v>3.7300000000000004</v>
      </c>
      <c r="S185" s="7">
        <v>56.990380455528687</v>
      </c>
    </row>
    <row r="186" spans="1:19" s="1" customFormat="1" ht="16.5" customHeight="1" x14ac:dyDescent="0.35">
      <c r="A186" s="3">
        <v>102</v>
      </c>
      <c r="B186" s="3">
        <v>61943</v>
      </c>
      <c r="C186" s="4" t="s">
        <v>131</v>
      </c>
      <c r="D186" s="6">
        <v>10</v>
      </c>
      <c r="E186" s="6">
        <v>3.71</v>
      </c>
      <c r="F186" s="12">
        <v>0</v>
      </c>
      <c r="G186" s="15">
        <f t="shared" si="9"/>
        <v>0</v>
      </c>
      <c r="H186" s="15">
        <f t="shared" si="10"/>
        <v>0</v>
      </c>
      <c r="I186" s="15">
        <f t="shared" si="11"/>
        <v>0</v>
      </c>
      <c r="J186" s="18">
        <f t="shared" si="12"/>
        <v>0</v>
      </c>
      <c r="K186" s="7">
        <v>724.5</v>
      </c>
      <c r="L186" s="7">
        <v>630</v>
      </c>
      <c r="M186" s="7">
        <v>270.83</v>
      </c>
      <c r="N186" s="7">
        <v>73</v>
      </c>
      <c r="O186" s="7">
        <v>359.17</v>
      </c>
      <c r="P186" s="7">
        <v>9.9246575342465757</v>
      </c>
      <c r="Q186" s="7">
        <v>8.6301369863013697</v>
      </c>
      <c r="R186" s="7">
        <v>3.71</v>
      </c>
      <c r="S186" s="7">
        <v>57.011111111111113</v>
      </c>
    </row>
    <row r="187" spans="1:19" s="1" customFormat="1" ht="16.5" customHeight="1" x14ac:dyDescent="0.35">
      <c r="A187" s="3">
        <v>101</v>
      </c>
      <c r="B187" s="3">
        <v>61947</v>
      </c>
      <c r="C187" s="4" t="s">
        <v>34</v>
      </c>
      <c r="D187" s="6">
        <v>28.99</v>
      </c>
      <c r="E187" s="6">
        <v>8.93</v>
      </c>
      <c r="F187" s="12">
        <v>0</v>
      </c>
      <c r="G187" s="15">
        <f t="shared" si="9"/>
        <v>0</v>
      </c>
      <c r="H187" s="15">
        <f t="shared" si="10"/>
        <v>0</v>
      </c>
      <c r="I187" s="15">
        <f t="shared" si="11"/>
        <v>0</v>
      </c>
      <c r="J187" s="18">
        <f t="shared" si="12"/>
        <v>0</v>
      </c>
      <c r="K187" s="7">
        <v>15558.990000000003</v>
      </c>
      <c r="L187" s="7">
        <v>13529.556521739132</v>
      </c>
      <c r="M187" s="7">
        <v>5099.03</v>
      </c>
      <c r="N187" s="7">
        <v>571</v>
      </c>
      <c r="O187" s="7">
        <v>8430.5265217391352</v>
      </c>
      <c r="P187" s="7">
        <v>27.24866900175132</v>
      </c>
      <c r="Q187" s="7">
        <v>23.694494784131582</v>
      </c>
      <c r="R187" s="7">
        <v>8.93</v>
      </c>
      <c r="S187" s="7">
        <v>62.311920632380392</v>
      </c>
    </row>
    <row r="188" spans="1:19" s="1" customFormat="1" ht="16.5" customHeight="1" x14ac:dyDescent="0.35">
      <c r="A188" s="3">
        <v>101</v>
      </c>
      <c r="B188" s="3">
        <v>61949</v>
      </c>
      <c r="C188" s="4" t="s">
        <v>72</v>
      </c>
      <c r="D188" s="6">
        <v>10</v>
      </c>
      <c r="E188" s="6">
        <v>6.28</v>
      </c>
      <c r="F188" s="12">
        <v>0</v>
      </c>
      <c r="G188" s="15">
        <f t="shared" si="9"/>
        <v>0</v>
      </c>
      <c r="H188" s="15">
        <f t="shared" si="10"/>
        <v>0</v>
      </c>
      <c r="I188" s="15">
        <f t="shared" si="11"/>
        <v>0</v>
      </c>
      <c r="J188" s="18">
        <f t="shared" si="12"/>
        <v>0</v>
      </c>
      <c r="K188" s="7">
        <v>60</v>
      </c>
      <c r="L188" s="7">
        <v>52.173913043478258</v>
      </c>
      <c r="M188" s="7">
        <v>37.68</v>
      </c>
      <c r="N188" s="7">
        <v>6</v>
      </c>
      <c r="O188" s="7">
        <v>14.493913043478258</v>
      </c>
      <c r="P188" s="7">
        <v>10</v>
      </c>
      <c r="Q188" s="7">
        <v>8.695652173913043</v>
      </c>
      <c r="R188" s="7">
        <v>6.28</v>
      </c>
      <c r="S188" s="7">
        <v>27.779999999999998</v>
      </c>
    </row>
    <row r="189" spans="1:19" s="1" customFormat="1" ht="16.5" customHeight="1" x14ac:dyDescent="0.35">
      <c r="A189" s="3">
        <v>101</v>
      </c>
      <c r="B189" s="3">
        <v>61950</v>
      </c>
      <c r="C189" s="4" t="s">
        <v>62</v>
      </c>
      <c r="D189" s="6">
        <v>10</v>
      </c>
      <c r="E189" s="6">
        <v>6.19</v>
      </c>
      <c r="F189" s="12">
        <v>0</v>
      </c>
      <c r="G189" s="15">
        <f t="shared" si="9"/>
        <v>0</v>
      </c>
      <c r="H189" s="15">
        <f t="shared" si="10"/>
        <v>0</v>
      </c>
      <c r="I189" s="15">
        <f t="shared" si="11"/>
        <v>0</v>
      </c>
      <c r="J189" s="18">
        <f t="shared" si="12"/>
        <v>0</v>
      </c>
      <c r="K189" s="7">
        <v>319.5</v>
      </c>
      <c r="L189" s="7">
        <v>277.82608695652175</v>
      </c>
      <c r="M189" s="7">
        <v>198.08</v>
      </c>
      <c r="N189" s="7">
        <v>32</v>
      </c>
      <c r="O189" s="7">
        <v>79.746086956521737</v>
      </c>
      <c r="P189" s="7">
        <v>9.984375</v>
      </c>
      <c r="Q189" s="7">
        <v>8.6820652173913047</v>
      </c>
      <c r="R189" s="7">
        <v>6.19</v>
      </c>
      <c r="S189" s="7">
        <v>28.703599374021909</v>
      </c>
    </row>
    <row r="190" spans="1:19" s="1" customFormat="1" ht="16.5" customHeight="1" x14ac:dyDescent="0.35">
      <c r="A190" s="3">
        <v>112</v>
      </c>
      <c r="B190" s="3">
        <v>61978</v>
      </c>
      <c r="C190" s="4" t="s">
        <v>207</v>
      </c>
      <c r="D190" s="6">
        <v>199.99</v>
      </c>
      <c r="E190" s="6">
        <v>126.16</v>
      </c>
      <c r="F190" s="12">
        <v>0</v>
      </c>
      <c r="G190" s="15">
        <f t="shared" si="9"/>
        <v>0</v>
      </c>
      <c r="H190" s="15">
        <f t="shared" si="10"/>
        <v>0</v>
      </c>
      <c r="I190" s="15">
        <f t="shared" si="11"/>
        <v>0</v>
      </c>
      <c r="J190" s="18">
        <f t="shared" si="12"/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</row>
    <row r="191" spans="1:19" s="1" customFormat="1" ht="16.5" customHeight="1" x14ac:dyDescent="0.35">
      <c r="A191" s="3">
        <v>102</v>
      </c>
      <c r="B191" s="3">
        <v>62290</v>
      </c>
      <c r="C191" s="4" t="s">
        <v>130</v>
      </c>
      <c r="D191" s="6">
        <v>10</v>
      </c>
      <c r="E191" s="6">
        <v>3.77</v>
      </c>
      <c r="F191" s="12">
        <v>0</v>
      </c>
      <c r="G191" s="15">
        <f t="shared" si="9"/>
        <v>0</v>
      </c>
      <c r="H191" s="15">
        <f t="shared" si="10"/>
        <v>0</v>
      </c>
      <c r="I191" s="15">
        <f t="shared" si="11"/>
        <v>0</v>
      </c>
      <c r="J191" s="18">
        <f t="shared" si="12"/>
        <v>0</v>
      </c>
      <c r="K191" s="7">
        <v>950</v>
      </c>
      <c r="L191" s="7">
        <v>826.08695652173913</v>
      </c>
      <c r="M191" s="7">
        <v>358.15000000000003</v>
      </c>
      <c r="N191" s="7">
        <v>95</v>
      </c>
      <c r="O191" s="7">
        <v>467.93695652173898</v>
      </c>
      <c r="P191" s="7">
        <v>10</v>
      </c>
      <c r="Q191" s="7">
        <v>8.695652173913043</v>
      </c>
      <c r="R191" s="7">
        <v>3.7700000000000005</v>
      </c>
      <c r="S191" s="7">
        <v>56.644999999999989</v>
      </c>
    </row>
    <row r="192" spans="1:19" s="1" customFormat="1" ht="16.5" customHeight="1" x14ac:dyDescent="0.35">
      <c r="A192" s="3">
        <v>101</v>
      </c>
      <c r="B192" s="3">
        <v>62390</v>
      </c>
      <c r="C192" s="4" t="s">
        <v>57</v>
      </c>
      <c r="D192" s="6">
        <v>19.989999999999998</v>
      </c>
      <c r="E192" s="6">
        <v>7.43</v>
      </c>
      <c r="F192" s="12">
        <v>0</v>
      </c>
      <c r="G192" s="15">
        <f t="shared" si="9"/>
        <v>0</v>
      </c>
      <c r="H192" s="15">
        <f t="shared" si="10"/>
        <v>0</v>
      </c>
      <c r="I192" s="15">
        <f t="shared" si="11"/>
        <v>0</v>
      </c>
      <c r="J192" s="18">
        <f t="shared" si="12"/>
        <v>0</v>
      </c>
      <c r="K192" s="7">
        <v>719.6400000000001</v>
      </c>
      <c r="L192" s="7">
        <v>625.77391304347827</v>
      </c>
      <c r="M192" s="7">
        <v>267.47999999999996</v>
      </c>
      <c r="N192" s="7">
        <v>36</v>
      </c>
      <c r="O192" s="7">
        <v>358.29391304347843</v>
      </c>
      <c r="P192" s="7">
        <v>19.990000000000002</v>
      </c>
      <c r="Q192" s="7">
        <v>17.382608695652173</v>
      </c>
      <c r="R192" s="7">
        <v>7.4299999999999988</v>
      </c>
      <c r="S192" s="7">
        <v>57.256128064032033</v>
      </c>
    </row>
    <row r="193" spans="1:19" s="1" customFormat="1" ht="16.5" customHeight="1" x14ac:dyDescent="0.35">
      <c r="A193" s="3">
        <v>119</v>
      </c>
      <c r="B193" s="3">
        <v>62457</v>
      </c>
      <c r="C193" s="4" t="s">
        <v>226</v>
      </c>
      <c r="D193" s="6">
        <v>100</v>
      </c>
      <c r="E193" s="6">
        <v>53.89</v>
      </c>
      <c r="F193" s="12">
        <v>0</v>
      </c>
      <c r="G193" s="15">
        <f t="shared" si="9"/>
        <v>0</v>
      </c>
      <c r="H193" s="15">
        <f t="shared" si="10"/>
        <v>0</v>
      </c>
      <c r="I193" s="15">
        <f t="shared" si="11"/>
        <v>0</v>
      </c>
      <c r="J193" s="18">
        <f t="shared" si="12"/>
        <v>0</v>
      </c>
      <c r="K193" s="7">
        <v>2500</v>
      </c>
      <c r="L193" s="7">
        <v>2173.913043478261</v>
      </c>
      <c r="M193" s="7">
        <v>1347.25</v>
      </c>
      <c r="N193" s="7">
        <v>25</v>
      </c>
      <c r="O193" s="7">
        <v>826.66304347826099</v>
      </c>
      <c r="P193" s="7">
        <v>100</v>
      </c>
      <c r="Q193" s="7">
        <v>86.956521739130437</v>
      </c>
      <c r="R193" s="7">
        <v>53.89</v>
      </c>
      <c r="S193" s="7">
        <v>38.026499999999999</v>
      </c>
    </row>
    <row r="194" spans="1:19" s="1" customFormat="1" ht="16.5" customHeight="1" x14ac:dyDescent="0.35">
      <c r="A194" s="3">
        <v>102</v>
      </c>
      <c r="B194" s="3">
        <v>62499</v>
      </c>
      <c r="C194" s="4" t="s">
        <v>122</v>
      </c>
      <c r="D194" s="6">
        <v>12.99</v>
      </c>
      <c r="E194" s="6">
        <v>6.69</v>
      </c>
      <c r="F194" s="12">
        <v>0</v>
      </c>
      <c r="G194" s="15">
        <f t="shared" si="9"/>
        <v>0</v>
      </c>
      <c r="H194" s="15">
        <f t="shared" si="10"/>
        <v>0</v>
      </c>
      <c r="I194" s="15">
        <f t="shared" si="11"/>
        <v>0</v>
      </c>
      <c r="J194" s="18">
        <f t="shared" si="12"/>
        <v>0</v>
      </c>
      <c r="K194" s="7">
        <v>1374.9900000000002</v>
      </c>
      <c r="L194" s="7">
        <v>1195.6434782608699</v>
      </c>
      <c r="M194" s="7">
        <v>709.1400000000001</v>
      </c>
      <c r="N194" s="7">
        <v>106</v>
      </c>
      <c r="O194" s="7">
        <v>486.50347826086977</v>
      </c>
      <c r="P194" s="7">
        <v>12.971603773584908</v>
      </c>
      <c r="Q194" s="7">
        <v>11.279655455291225</v>
      </c>
      <c r="R194" s="7">
        <v>6.6900000000000013</v>
      </c>
      <c r="S194" s="7">
        <v>40.689677743110863</v>
      </c>
    </row>
    <row r="195" spans="1:19" s="1" customFormat="1" ht="16.5" customHeight="1" x14ac:dyDescent="0.35">
      <c r="A195" s="3">
        <v>120</v>
      </c>
      <c r="B195" s="3">
        <v>62585</v>
      </c>
      <c r="C195" s="4" t="s">
        <v>237</v>
      </c>
      <c r="D195" s="6">
        <v>55</v>
      </c>
      <c r="E195" s="6">
        <v>33.18</v>
      </c>
      <c r="F195" s="12">
        <v>0</v>
      </c>
      <c r="G195" s="15">
        <f t="shared" si="9"/>
        <v>0</v>
      </c>
      <c r="H195" s="15">
        <f t="shared" si="10"/>
        <v>0</v>
      </c>
      <c r="I195" s="15">
        <f t="shared" si="11"/>
        <v>0</v>
      </c>
      <c r="J195" s="18">
        <f t="shared" si="12"/>
        <v>0</v>
      </c>
      <c r="K195" s="7">
        <v>171710</v>
      </c>
      <c r="L195" s="7">
        <v>149313.04347826089</v>
      </c>
      <c r="M195" s="7">
        <v>106275.53999999998</v>
      </c>
      <c r="N195" s="7">
        <v>3203</v>
      </c>
      <c r="O195" s="7">
        <v>43037.503478260885</v>
      </c>
      <c r="P195" s="7">
        <v>53.609116453325008</v>
      </c>
      <c r="Q195" s="7">
        <v>46.616623002891316</v>
      </c>
      <c r="R195" s="7">
        <v>33.179999999999993</v>
      </c>
      <c r="S195" s="7">
        <v>28.823673053404008</v>
      </c>
    </row>
    <row r="196" spans="1:19" s="1" customFormat="1" ht="16.5" customHeight="1" x14ac:dyDescent="0.35">
      <c r="A196" s="3">
        <v>109</v>
      </c>
      <c r="B196" s="3">
        <v>62614</v>
      </c>
      <c r="C196" s="4" t="s">
        <v>206</v>
      </c>
      <c r="D196" s="6">
        <v>7.99</v>
      </c>
      <c r="E196" s="6">
        <v>5.54</v>
      </c>
      <c r="F196" s="12">
        <v>0</v>
      </c>
      <c r="G196" s="15">
        <f t="shared" si="9"/>
        <v>0</v>
      </c>
      <c r="H196" s="15">
        <f t="shared" si="10"/>
        <v>0</v>
      </c>
      <c r="I196" s="15">
        <f t="shared" si="11"/>
        <v>0</v>
      </c>
      <c r="J196" s="18">
        <f t="shared" si="12"/>
        <v>0</v>
      </c>
      <c r="K196" s="7">
        <v>7.99</v>
      </c>
      <c r="L196" s="7">
        <v>6.947826086956522</v>
      </c>
      <c r="M196" s="7">
        <v>5.54</v>
      </c>
      <c r="N196" s="7">
        <v>1</v>
      </c>
      <c r="O196" s="7">
        <v>1.4078260869565229</v>
      </c>
      <c r="P196" s="7">
        <v>7.99</v>
      </c>
      <c r="Q196" s="7">
        <v>6.947826086956522</v>
      </c>
      <c r="R196" s="7">
        <v>5.54</v>
      </c>
      <c r="S196" s="7">
        <v>20.262828535669598</v>
      </c>
    </row>
    <row r="197" spans="1:19" s="1" customFormat="1" ht="16.5" customHeight="1" x14ac:dyDescent="0.35">
      <c r="A197" s="3">
        <v>119</v>
      </c>
      <c r="B197" s="3">
        <v>62620</v>
      </c>
      <c r="C197" s="4" t="s">
        <v>224</v>
      </c>
      <c r="D197" s="6">
        <v>65.989999999999995</v>
      </c>
      <c r="E197" s="6">
        <v>46.29</v>
      </c>
      <c r="F197" s="12">
        <v>0</v>
      </c>
      <c r="G197" s="15">
        <f t="shared" si="9"/>
        <v>0</v>
      </c>
      <c r="H197" s="15">
        <f t="shared" si="10"/>
        <v>0</v>
      </c>
      <c r="I197" s="15">
        <f t="shared" si="11"/>
        <v>0</v>
      </c>
      <c r="J197" s="18">
        <f t="shared" si="12"/>
        <v>0</v>
      </c>
      <c r="K197" s="7">
        <v>2903.56</v>
      </c>
      <c r="L197" s="7">
        <v>2524.8347826086956</v>
      </c>
      <c r="M197" s="7">
        <v>2015.13</v>
      </c>
      <c r="N197" s="7">
        <v>44</v>
      </c>
      <c r="O197" s="7">
        <v>509.7047826086955</v>
      </c>
      <c r="P197" s="7">
        <v>65.989999999999995</v>
      </c>
      <c r="Q197" s="7">
        <v>57.382608695652173</v>
      </c>
      <c r="R197" s="7">
        <v>45.798409090909097</v>
      </c>
      <c r="S197" s="7">
        <v>20.187648955075833</v>
      </c>
    </row>
    <row r="198" spans="1:19" s="1" customFormat="1" ht="16.5" customHeight="1" x14ac:dyDescent="0.35">
      <c r="A198" s="3">
        <v>101</v>
      </c>
      <c r="B198" s="3">
        <v>62621</v>
      </c>
      <c r="C198" s="4" t="s">
        <v>68</v>
      </c>
      <c r="D198" s="6">
        <v>26.99</v>
      </c>
      <c r="E198" s="6">
        <v>14.15</v>
      </c>
      <c r="F198" s="12">
        <v>0</v>
      </c>
      <c r="G198" s="15">
        <f t="shared" si="9"/>
        <v>0</v>
      </c>
      <c r="H198" s="15">
        <f t="shared" si="10"/>
        <v>0</v>
      </c>
      <c r="I198" s="15">
        <f t="shared" si="11"/>
        <v>0</v>
      </c>
      <c r="J198" s="18">
        <f t="shared" si="12"/>
        <v>0</v>
      </c>
      <c r="K198" s="7">
        <v>134.94999999999999</v>
      </c>
      <c r="L198" s="7">
        <v>117.34782608695652</v>
      </c>
      <c r="M198" s="7">
        <v>70.75</v>
      </c>
      <c r="N198" s="7">
        <v>5</v>
      </c>
      <c r="O198" s="7">
        <v>46.597826086956502</v>
      </c>
      <c r="P198" s="7">
        <v>26.99</v>
      </c>
      <c r="Q198" s="7">
        <v>23.469565217391303</v>
      </c>
      <c r="R198" s="7">
        <v>14.15</v>
      </c>
      <c r="S198" s="7">
        <v>39.709151537606516</v>
      </c>
    </row>
    <row r="199" spans="1:19" s="1" customFormat="1" ht="16.5" customHeight="1" x14ac:dyDescent="0.35">
      <c r="A199" s="3">
        <v>101</v>
      </c>
      <c r="B199" s="3">
        <v>62622</v>
      </c>
      <c r="C199" s="4" t="s">
        <v>60</v>
      </c>
      <c r="D199" s="6">
        <v>26.99</v>
      </c>
      <c r="E199" s="6">
        <v>14.15</v>
      </c>
      <c r="F199" s="12">
        <v>0</v>
      </c>
      <c r="G199" s="15">
        <f t="shared" si="9"/>
        <v>0</v>
      </c>
      <c r="H199" s="15">
        <f t="shared" si="10"/>
        <v>0</v>
      </c>
      <c r="I199" s="15">
        <f t="shared" si="11"/>
        <v>0</v>
      </c>
      <c r="J199" s="18">
        <f t="shared" si="12"/>
        <v>0</v>
      </c>
      <c r="K199" s="7">
        <v>375.16</v>
      </c>
      <c r="L199" s="7">
        <v>326.22608695652178</v>
      </c>
      <c r="M199" s="7">
        <v>198.1</v>
      </c>
      <c r="N199" s="7">
        <v>14</v>
      </c>
      <c r="O199" s="7">
        <v>128.12608695652173</v>
      </c>
      <c r="P199" s="7">
        <v>26.797142857142859</v>
      </c>
      <c r="Q199" s="7">
        <v>23.30186335403727</v>
      </c>
      <c r="R199" s="7">
        <v>14.15</v>
      </c>
      <c r="S199" s="7">
        <v>39.275242563173045</v>
      </c>
    </row>
    <row r="200" spans="1:19" s="1" customFormat="1" ht="16.5" customHeight="1" x14ac:dyDescent="0.35">
      <c r="A200" s="3">
        <v>102</v>
      </c>
      <c r="B200" s="3">
        <v>62623</v>
      </c>
      <c r="C200" s="4" t="s">
        <v>141</v>
      </c>
      <c r="D200" s="6">
        <v>15.99</v>
      </c>
      <c r="E200" s="6">
        <v>8.31</v>
      </c>
      <c r="F200" s="12">
        <v>0</v>
      </c>
      <c r="G200" s="15">
        <f t="shared" si="9"/>
        <v>0</v>
      </c>
      <c r="H200" s="15">
        <f t="shared" si="10"/>
        <v>0</v>
      </c>
      <c r="I200" s="15">
        <f t="shared" si="11"/>
        <v>0</v>
      </c>
      <c r="J200" s="18">
        <f t="shared" si="12"/>
        <v>0</v>
      </c>
      <c r="K200" s="7">
        <v>271.03000000000003</v>
      </c>
      <c r="L200" s="7">
        <v>235.67826086956524</v>
      </c>
      <c r="M200" s="7">
        <v>141.27000000000001</v>
      </c>
      <c r="N200" s="7">
        <v>17</v>
      </c>
      <c r="O200" s="7">
        <v>94.408260869565225</v>
      </c>
      <c r="P200" s="7">
        <v>15.94294117647059</v>
      </c>
      <c r="Q200" s="7">
        <v>13.863427109974426</v>
      </c>
      <c r="R200" s="7">
        <v>8.31</v>
      </c>
      <c r="S200" s="7">
        <v>40.058111648157031</v>
      </c>
    </row>
    <row r="201" spans="1:19" s="1" customFormat="1" ht="16.5" customHeight="1" x14ac:dyDescent="0.35">
      <c r="A201" s="3">
        <v>101</v>
      </c>
      <c r="B201" s="3">
        <v>62627</v>
      </c>
      <c r="C201" s="4" t="s">
        <v>69</v>
      </c>
      <c r="D201" s="6">
        <v>20.99</v>
      </c>
      <c r="E201" s="6">
        <v>12.88</v>
      </c>
      <c r="F201" s="12">
        <v>0</v>
      </c>
      <c r="G201" s="15">
        <f t="shared" si="9"/>
        <v>0</v>
      </c>
      <c r="H201" s="15">
        <f t="shared" si="10"/>
        <v>0</v>
      </c>
      <c r="I201" s="15">
        <f t="shared" si="11"/>
        <v>0</v>
      </c>
      <c r="J201" s="18">
        <f t="shared" si="12"/>
        <v>0</v>
      </c>
      <c r="K201" s="7">
        <v>124.88999999999999</v>
      </c>
      <c r="L201" s="7">
        <v>108.6</v>
      </c>
      <c r="M201" s="7">
        <v>77.28</v>
      </c>
      <c r="N201" s="7">
        <v>6</v>
      </c>
      <c r="O201" s="7">
        <v>31.319999999999979</v>
      </c>
      <c r="P201" s="7">
        <v>20.814999999999998</v>
      </c>
      <c r="Q201" s="7">
        <v>18.099999999999998</v>
      </c>
      <c r="R201" s="7">
        <v>12.88</v>
      </c>
      <c r="S201" s="7">
        <v>28.839779005524846</v>
      </c>
    </row>
    <row r="202" spans="1:19" s="1" customFormat="1" ht="16.5" customHeight="1" x14ac:dyDescent="0.35">
      <c r="A202" s="3">
        <v>120</v>
      </c>
      <c r="B202" s="3">
        <v>62629</v>
      </c>
      <c r="C202" s="4" t="s">
        <v>238</v>
      </c>
      <c r="D202" s="6">
        <v>60</v>
      </c>
      <c r="E202" s="6">
        <v>33.18</v>
      </c>
      <c r="F202" s="12">
        <v>0</v>
      </c>
      <c r="G202" s="15">
        <f t="shared" si="9"/>
        <v>0</v>
      </c>
      <c r="H202" s="15">
        <f t="shared" si="10"/>
        <v>0</v>
      </c>
      <c r="I202" s="15">
        <f t="shared" si="11"/>
        <v>0</v>
      </c>
      <c r="J202" s="18">
        <f t="shared" si="12"/>
        <v>0</v>
      </c>
      <c r="K202" s="7">
        <v>35280</v>
      </c>
      <c r="L202" s="7">
        <v>30678.260869565216</v>
      </c>
      <c r="M202" s="7">
        <v>19576.2</v>
      </c>
      <c r="N202" s="7">
        <v>590</v>
      </c>
      <c r="O202" s="7">
        <v>11102.060869565219</v>
      </c>
      <c r="P202" s="7">
        <v>59.796610169491522</v>
      </c>
      <c r="Q202" s="7">
        <v>51.997052321296977</v>
      </c>
      <c r="R202" s="7">
        <v>33.18</v>
      </c>
      <c r="S202" s="7">
        <v>36.18869047619048</v>
      </c>
    </row>
    <row r="203" spans="1:19" s="1" customFormat="1" ht="16.5" customHeight="1" x14ac:dyDescent="0.35">
      <c r="A203" s="3">
        <v>101</v>
      </c>
      <c r="B203" s="3">
        <v>62788</v>
      </c>
      <c r="C203" s="4" t="s">
        <v>38</v>
      </c>
      <c r="D203" s="6">
        <v>26.99</v>
      </c>
      <c r="E203" s="6">
        <v>10.66</v>
      </c>
      <c r="F203" s="12">
        <v>0</v>
      </c>
      <c r="G203" s="15">
        <f t="shared" si="9"/>
        <v>0</v>
      </c>
      <c r="H203" s="15">
        <f t="shared" si="10"/>
        <v>0</v>
      </c>
      <c r="I203" s="15">
        <f t="shared" si="11"/>
        <v>0</v>
      </c>
      <c r="J203" s="18">
        <f t="shared" si="12"/>
        <v>0</v>
      </c>
      <c r="K203" s="7">
        <v>10470.77</v>
      </c>
      <c r="L203" s="7">
        <v>9105.0173913043491</v>
      </c>
      <c r="M203" s="7">
        <v>4136.079999999999</v>
      </c>
      <c r="N203" s="7">
        <v>388</v>
      </c>
      <c r="O203" s="7">
        <v>4968.9373913043482</v>
      </c>
      <c r="P203" s="7">
        <v>26.986520618556703</v>
      </c>
      <c r="Q203" s="7">
        <v>23.46653966831018</v>
      </c>
      <c r="R203" s="7">
        <v>10.659999999999997</v>
      </c>
      <c r="S203" s="7">
        <v>54.573617795061878</v>
      </c>
    </row>
    <row r="204" spans="1:19" s="1" customFormat="1" ht="16.5" customHeight="1" x14ac:dyDescent="0.35">
      <c r="A204" s="3">
        <v>102</v>
      </c>
      <c r="B204" s="3">
        <v>63394</v>
      </c>
      <c r="C204" s="4" t="s">
        <v>118</v>
      </c>
      <c r="D204" s="6">
        <v>26.97</v>
      </c>
      <c r="E204" s="6">
        <v>13.68</v>
      </c>
      <c r="F204" s="12">
        <v>0</v>
      </c>
      <c r="G204" s="15">
        <f t="shared" si="9"/>
        <v>0</v>
      </c>
      <c r="H204" s="15">
        <f t="shared" si="10"/>
        <v>0</v>
      </c>
      <c r="I204" s="15">
        <f t="shared" si="11"/>
        <v>0</v>
      </c>
      <c r="J204" s="18">
        <f t="shared" si="12"/>
        <v>0</v>
      </c>
      <c r="K204" s="7">
        <v>1584.98</v>
      </c>
      <c r="L204" s="7">
        <v>1378.2434782608696</v>
      </c>
      <c r="M204" s="7">
        <v>916.56000000000006</v>
      </c>
      <c r="N204" s="7">
        <v>67</v>
      </c>
      <c r="O204" s="7">
        <v>461.68347826086949</v>
      </c>
      <c r="P204" s="7">
        <v>23.656417910447761</v>
      </c>
      <c r="Q204" s="7">
        <v>20.570798182998054</v>
      </c>
      <c r="R204" s="7">
        <v>13.680000000000001</v>
      </c>
      <c r="S204" s="7">
        <v>33.497962119395822</v>
      </c>
    </row>
    <row r="205" spans="1:19" s="1" customFormat="1" ht="16.5" customHeight="1" x14ac:dyDescent="0.35">
      <c r="A205" s="3">
        <v>119</v>
      </c>
      <c r="B205" s="3">
        <v>63798</v>
      </c>
      <c r="C205" s="4" t="s">
        <v>231</v>
      </c>
      <c r="D205" s="6">
        <v>79.989999999999995</v>
      </c>
      <c r="E205" s="6">
        <v>42.68</v>
      </c>
      <c r="F205" s="12">
        <v>0</v>
      </c>
      <c r="G205" s="15">
        <f t="shared" si="9"/>
        <v>0</v>
      </c>
      <c r="H205" s="15">
        <f t="shared" si="10"/>
        <v>0</v>
      </c>
      <c r="I205" s="15">
        <f t="shared" si="11"/>
        <v>0</v>
      </c>
      <c r="J205" s="18">
        <f t="shared" si="12"/>
        <v>0</v>
      </c>
      <c r="K205" s="7">
        <v>319.95999999999998</v>
      </c>
      <c r="L205" s="7">
        <v>278.22608695652173</v>
      </c>
      <c r="M205" s="7">
        <v>170.72</v>
      </c>
      <c r="N205" s="7">
        <v>4</v>
      </c>
      <c r="O205" s="7">
        <v>107.50608695652173</v>
      </c>
      <c r="P205" s="7">
        <v>79.989999999999995</v>
      </c>
      <c r="Q205" s="7">
        <v>69.556521739130432</v>
      </c>
      <c r="R205" s="7">
        <v>42.68</v>
      </c>
      <c r="S205" s="7">
        <v>38.639829978747343</v>
      </c>
    </row>
    <row r="206" spans="1:19" s="1" customFormat="1" ht="16.5" customHeight="1" x14ac:dyDescent="0.35">
      <c r="A206" s="3">
        <v>101</v>
      </c>
      <c r="B206" s="3">
        <v>63800</v>
      </c>
      <c r="C206" s="4" t="s">
        <v>75</v>
      </c>
      <c r="D206" s="6">
        <v>23.99</v>
      </c>
      <c r="E206" s="6">
        <v>11.87</v>
      </c>
      <c r="F206" s="12">
        <v>0</v>
      </c>
      <c r="G206" s="15">
        <f t="shared" si="9"/>
        <v>0</v>
      </c>
      <c r="H206" s="15">
        <f t="shared" si="10"/>
        <v>0</v>
      </c>
      <c r="I206" s="15">
        <f t="shared" si="11"/>
        <v>0</v>
      </c>
      <c r="J206" s="18">
        <f t="shared" si="12"/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</row>
    <row r="207" spans="1:19" s="1" customFormat="1" ht="16.5" customHeight="1" x14ac:dyDescent="0.35">
      <c r="A207" s="3">
        <v>107</v>
      </c>
      <c r="B207" s="3">
        <v>64416</v>
      </c>
      <c r="C207" s="4" t="s">
        <v>205</v>
      </c>
      <c r="D207" s="6">
        <v>49.99</v>
      </c>
      <c r="E207" s="6">
        <v>32.549999999999997</v>
      </c>
      <c r="F207" s="12">
        <v>0</v>
      </c>
      <c r="G207" s="15">
        <f t="shared" si="9"/>
        <v>0</v>
      </c>
      <c r="H207" s="15">
        <f t="shared" si="10"/>
        <v>0</v>
      </c>
      <c r="I207" s="15">
        <f t="shared" si="11"/>
        <v>0</v>
      </c>
      <c r="J207" s="18">
        <f t="shared" si="12"/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</row>
    <row r="208" spans="1:19" s="1" customFormat="1" ht="16.5" customHeight="1" x14ac:dyDescent="0.35">
      <c r="A208" s="3">
        <v>119</v>
      </c>
      <c r="B208" s="3">
        <v>64632</v>
      </c>
      <c r="C208" s="4" t="s">
        <v>234</v>
      </c>
      <c r="D208" s="6">
        <v>140</v>
      </c>
      <c r="E208" s="6">
        <v>62.14</v>
      </c>
      <c r="F208" s="12">
        <v>0</v>
      </c>
      <c r="G208" s="15">
        <f t="shared" si="9"/>
        <v>0</v>
      </c>
      <c r="H208" s="15">
        <f t="shared" si="10"/>
        <v>0</v>
      </c>
      <c r="I208" s="15">
        <f t="shared" si="11"/>
        <v>0</v>
      </c>
      <c r="J208" s="18">
        <f t="shared" si="12"/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</row>
    <row r="209" spans="1:19" s="1" customFormat="1" ht="16.5" customHeight="1" x14ac:dyDescent="0.35">
      <c r="A209" s="3">
        <v>119</v>
      </c>
      <c r="B209" s="3">
        <v>64633</v>
      </c>
      <c r="C209" s="4" t="s">
        <v>227</v>
      </c>
      <c r="D209" s="6">
        <v>8.99</v>
      </c>
      <c r="E209" s="6">
        <v>3.8</v>
      </c>
      <c r="F209" s="12">
        <v>0</v>
      </c>
      <c r="G209" s="15">
        <f t="shared" si="9"/>
        <v>0</v>
      </c>
      <c r="H209" s="15">
        <f t="shared" si="10"/>
        <v>0</v>
      </c>
      <c r="I209" s="15">
        <f t="shared" si="11"/>
        <v>0</v>
      </c>
      <c r="J209" s="18">
        <f t="shared" si="12"/>
        <v>0</v>
      </c>
      <c r="K209" s="7">
        <v>1200</v>
      </c>
      <c r="L209" s="7">
        <v>1043.4782608695652</v>
      </c>
      <c r="M209" s="7">
        <v>760</v>
      </c>
      <c r="N209" s="7">
        <v>200</v>
      </c>
      <c r="O209" s="7">
        <v>283.47826086956525</v>
      </c>
      <c r="P209" s="7">
        <v>6</v>
      </c>
      <c r="Q209" s="7">
        <v>5.2173913043478262</v>
      </c>
      <c r="R209" s="7">
        <v>3.8</v>
      </c>
      <c r="S209" s="7">
        <v>27.166666666666668</v>
      </c>
    </row>
    <row r="210" spans="1:19" s="1" customFormat="1" ht="16.5" customHeight="1" x14ac:dyDescent="0.35">
      <c r="A210" s="3">
        <v>119</v>
      </c>
      <c r="B210" s="3">
        <v>64635</v>
      </c>
      <c r="C210" s="4" t="s">
        <v>232</v>
      </c>
      <c r="D210" s="6">
        <v>160</v>
      </c>
      <c r="E210" s="6">
        <v>72.88</v>
      </c>
      <c r="F210" s="12">
        <v>0</v>
      </c>
      <c r="G210" s="15">
        <f t="shared" si="9"/>
        <v>0</v>
      </c>
      <c r="H210" s="15">
        <f t="shared" si="10"/>
        <v>0</v>
      </c>
      <c r="I210" s="15">
        <f t="shared" si="11"/>
        <v>0</v>
      </c>
      <c r="J210" s="18">
        <f t="shared" si="12"/>
        <v>0</v>
      </c>
      <c r="K210" s="7">
        <v>160</v>
      </c>
      <c r="L210" s="7">
        <v>139.13043478260869</v>
      </c>
      <c r="M210" s="7">
        <v>72.88</v>
      </c>
      <c r="N210" s="7">
        <v>1</v>
      </c>
      <c r="O210" s="7">
        <v>66.250434782608693</v>
      </c>
      <c r="P210" s="7">
        <v>160</v>
      </c>
      <c r="Q210" s="7">
        <v>139.13043478260869</v>
      </c>
      <c r="R210" s="7">
        <v>72.88</v>
      </c>
      <c r="S210" s="7">
        <v>47.6175</v>
      </c>
    </row>
    <row r="211" spans="1:19" s="1" customFormat="1" ht="16.5" customHeight="1" x14ac:dyDescent="0.35">
      <c r="A211" s="3">
        <v>120</v>
      </c>
      <c r="B211" s="3">
        <v>64761</v>
      </c>
      <c r="C211" s="4" t="s">
        <v>242</v>
      </c>
      <c r="D211" s="6">
        <v>69.989999999999995</v>
      </c>
      <c r="E211" s="6">
        <v>42.18</v>
      </c>
      <c r="F211" s="12">
        <v>0</v>
      </c>
      <c r="G211" s="15">
        <f t="shared" si="9"/>
        <v>0</v>
      </c>
      <c r="H211" s="15">
        <f t="shared" si="10"/>
        <v>0</v>
      </c>
      <c r="I211" s="15">
        <f t="shared" si="11"/>
        <v>0</v>
      </c>
      <c r="J211" s="18">
        <f t="shared" si="12"/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</row>
    <row r="212" spans="1:19" s="1" customFormat="1" ht="16.5" customHeight="1" x14ac:dyDescent="0.35">
      <c r="A212" s="3">
        <v>120</v>
      </c>
      <c r="B212" s="3">
        <v>64762</v>
      </c>
      <c r="C212" s="4" t="s">
        <v>241</v>
      </c>
      <c r="D212" s="6">
        <v>69.989999999999995</v>
      </c>
      <c r="E212" s="6">
        <v>37.380000000000003</v>
      </c>
      <c r="F212" s="12">
        <v>0</v>
      </c>
      <c r="G212" s="15">
        <f t="shared" si="9"/>
        <v>0</v>
      </c>
      <c r="H212" s="15">
        <f t="shared" si="10"/>
        <v>0</v>
      </c>
      <c r="I212" s="15">
        <f t="shared" si="11"/>
        <v>0</v>
      </c>
      <c r="J212" s="18">
        <f t="shared" si="12"/>
        <v>0</v>
      </c>
      <c r="K212" s="7">
        <v>279.95999999999998</v>
      </c>
      <c r="L212" s="7">
        <v>243.44347826086954</v>
      </c>
      <c r="M212" s="7">
        <v>149.52000000000001</v>
      </c>
      <c r="N212" s="7">
        <v>4</v>
      </c>
      <c r="O212" s="7">
        <v>93.923478260869558</v>
      </c>
      <c r="P212" s="7">
        <v>69.989999999999995</v>
      </c>
      <c r="Q212" s="7">
        <v>60.860869565217385</v>
      </c>
      <c r="R212" s="7">
        <v>37.380000000000003</v>
      </c>
      <c r="S212" s="7">
        <v>38.581225889412771</v>
      </c>
    </row>
    <row r="213" spans="1:19" s="1" customFormat="1" ht="16.5" customHeight="1" x14ac:dyDescent="0.35">
      <c r="A213" s="3">
        <v>120</v>
      </c>
      <c r="B213" s="3">
        <v>64763</v>
      </c>
      <c r="C213" s="4" t="s">
        <v>240</v>
      </c>
      <c r="D213" s="6">
        <v>38</v>
      </c>
      <c r="E213" s="6">
        <v>18.920000000000002</v>
      </c>
      <c r="F213" s="12">
        <v>0</v>
      </c>
      <c r="G213" s="15">
        <f t="shared" si="9"/>
        <v>0</v>
      </c>
      <c r="H213" s="15">
        <f t="shared" si="10"/>
        <v>0</v>
      </c>
      <c r="I213" s="15">
        <f t="shared" si="11"/>
        <v>0</v>
      </c>
      <c r="J213" s="18">
        <f t="shared" si="12"/>
        <v>0</v>
      </c>
      <c r="K213" s="7">
        <v>988</v>
      </c>
      <c r="L213" s="7">
        <v>859.13043478260863</v>
      </c>
      <c r="M213" s="7">
        <v>491.92000000000007</v>
      </c>
      <c r="N213" s="7">
        <v>26</v>
      </c>
      <c r="O213" s="7">
        <v>367.21043478260867</v>
      </c>
      <c r="P213" s="7">
        <v>38</v>
      </c>
      <c r="Q213" s="7">
        <v>33.043478260869563</v>
      </c>
      <c r="R213" s="7">
        <v>18.920000000000002</v>
      </c>
      <c r="S213" s="7">
        <v>42.742105263157889</v>
      </c>
    </row>
    <row r="214" spans="1:19" s="1" customFormat="1" ht="16.5" customHeight="1" x14ac:dyDescent="0.35">
      <c r="A214" s="3">
        <v>119</v>
      </c>
      <c r="B214" s="3">
        <v>65238</v>
      </c>
      <c r="C214" s="4" t="s">
        <v>235</v>
      </c>
      <c r="D214" s="6">
        <v>120</v>
      </c>
      <c r="E214" s="6">
        <v>82.1</v>
      </c>
      <c r="F214" s="12">
        <v>0</v>
      </c>
      <c r="G214" s="15">
        <f t="shared" si="9"/>
        <v>0</v>
      </c>
      <c r="H214" s="15">
        <f t="shared" si="10"/>
        <v>0</v>
      </c>
      <c r="I214" s="15">
        <f t="shared" si="11"/>
        <v>0</v>
      </c>
      <c r="J214" s="18">
        <f t="shared" si="12"/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</row>
    <row r="215" spans="1:19" s="1" customFormat="1" ht="16.5" customHeight="1" x14ac:dyDescent="0.35">
      <c r="A215" s="3">
        <v>119</v>
      </c>
      <c r="B215" s="3">
        <v>65239</v>
      </c>
      <c r="C215" s="4" t="s">
        <v>236</v>
      </c>
      <c r="D215" s="6">
        <v>70</v>
      </c>
      <c r="E215" s="6">
        <v>48.14</v>
      </c>
      <c r="F215" s="12">
        <v>0</v>
      </c>
      <c r="G215" s="15">
        <f t="shared" si="9"/>
        <v>0</v>
      </c>
      <c r="H215" s="15">
        <f t="shared" si="10"/>
        <v>0</v>
      </c>
      <c r="I215" s="15">
        <f t="shared" si="11"/>
        <v>0</v>
      </c>
      <c r="J215" s="18">
        <f t="shared" si="12"/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</row>
    <row r="216" spans="1:19" s="1" customFormat="1" ht="16.5" customHeight="1" x14ac:dyDescent="0.35">
      <c r="A216" s="3">
        <v>102</v>
      </c>
      <c r="B216" s="3">
        <v>65506</v>
      </c>
      <c r="C216" s="4" t="s">
        <v>147</v>
      </c>
      <c r="D216" s="6">
        <v>14.99</v>
      </c>
      <c r="E216" s="6">
        <v>7.72</v>
      </c>
      <c r="F216" s="12">
        <v>0</v>
      </c>
      <c r="G216" s="15">
        <f t="shared" si="9"/>
        <v>0</v>
      </c>
      <c r="H216" s="15">
        <f t="shared" si="10"/>
        <v>0</v>
      </c>
      <c r="I216" s="15">
        <f t="shared" si="11"/>
        <v>0</v>
      </c>
      <c r="J216" s="18">
        <f t="shared" si="12"/>
        <v>0</v>
      </c>
      <c r="K216" s="7">
        <v>134.91</v>
      </c>
      <c r="L216" s="7">
        <v>117.31304347826087</v>
      </c>
      <c r="M216" s="7">
        <v>69.48</v>
      </c>
      <c r="N216" s="7">
        <v>9</v>
      </c>
      <c r="O216" s="7">
        <v>47.833043478260848</v>
      </c>
      <c r="P216" s="7">
        <v>14.99</v>
      </c>
      <c r="Q216" s="7">
        <v>13.034782608695652</v>
      </c>
      <c r="R216" s="7">
        <v>7.7200000000000006</v>
      </c>
      <c r="S216" s="7">
        <v>40.773849232821867</v>
      </c>
    </row>
    <row r="217" spans="1:19" s="1" customFormat="1" ht="16.5" customHeight="1" x14ac:dyDescent="0.35">
      <c r="A217" s="3">
        <v>101</v>
      </c>
      <c r="B217" s="3">
        <v>65681</v>
      </c>
      <c r="C217" s="4" t="s">
        <v>55</v>
      </c>
      <c r="D217" s="6">
        <v>29.99</v>
      </c>
      <c r="E217" s="6">
        <v>16.03</v>
      </c>
      <c r="F217" s="12">
        <v>0</v>
      </c>
      <c r="G217" s="15">
        <f t="shared" si="9"/>
        <v>0</v>
      </c>
      <c r="H217" s="15">
        <f t="shared" si="10"/>
        <v>0</v>
      </c>
      <c r="I217" s="15">
        <f t="shared" si="11"/>
        <v>0</v>
      </c>
      <c r="J217" s="18">
        <f t="shared" si="12"/>
        <v>0</v>
      </c>
      <c r="K217" s="7">
        <v>929.69</v>
      </c>
      <c r="L217" s="7">
        <v>808.42608695652177</v>
      </c>
      <c r="M217" s="7">
        <v>496.93000000000006</v>
      </c>
      <c r="N217" s="7">
        <v>31</v>
      </c>
      <c r="O217" s="7">
        <v>311.49608695652182</v>
      </c>
      <c r="P217" s="7">
        <v>29.990000000000002</v>
      </c>
      <c r="Q217" s="7">
        <v>26.07826086956522</v>
      </c>
      <c r="R217" s="7">
        <v>16.03</v>
      </c>
      <c r="S217" s="7">
        <v>38.531177059019676</v>
      </c>
    </row>
    <row r="218" spans="1:19" s="1" customFormat="1" ht="16.5" customHeight="1" x14ac:dyDescent="0.35">
      <c r="A218" s="3">
        <v>102</v>
      </c>
      <c r="B218" s="3">
        <v>66434</v>
      </c>
      <c r="C218" s="4" t="s">
        <v>148</v>
      </c>
      <c r="D218" s="6">
        <v>13.99</v>
      </c>
      <c r="E218" s="6">
        <v>9.14</v>
      </c>
      <c r="F218" s="12">
        <v>0</v>
      </c>
      <c r="G218" s="15">
        <f t="shared" si="9"/>
        <v>0</v>
      </c>
      <c r="H218" s="15">
        <f t="shared" si="10"/>
        <v>0</v>
      </c>
      <c r="I218" s="15">
        <f t="shared" si="11"/>
        <v>0</v>
      </c>
      <c r="J218" s="18">
        <f t="shared" si="12"/>
        <v>0</v>
      </c>
      <c r="K218" s="7">
        <v>97.93</v>
      </c>
      <c r="L218" s="7">
        <v>85.156521739130426</v>
      </c>
      <c r="M218" s="7">
        <v>63.980000000000004</v>
      </c>
      <c r="N218" s="7">
        <v>7</v>
      </c>
      <c r="O218" s="7">
        <v>21.176521739130436</v>
      </c>
      <c r="P218" s="7">
        <v>13.99</v>
      </c>
      <c r="Q218" s="7">
        <v>12.165217391304347</v>
      </c>
      <c r="R218" s="7">
        <v>9.14</v>
      </c>
      <c r="S218" s="7">
        <v>24.867762687634023</v>
      </c>
    </row>
    <row r="219" spans="1:19" s="1" customFormat="1" ht="16.5" customHeight="1" x14ac:dyDescent="0.35">
      <c r="A219" s="3">
        <v>102</v>
      </c>
      <c r="B219" s="3">
        <v>66435</v>
      </c>
      <c r="C219" s="4" t="s">
        <v>151</v>
      </c>
      <c r="D219" s="6">
        <v>11.99</v>
      </c>
      <c r="E219" s="6">
        <v>7.6</v>
      </c>
      <c r="F219" s="12">
        <v>0</v>
      </c>
      <c r="G219" s="15">
        <f t="shared" si="9"/>
        <v>0</v>
      </c>
      <c r="H219" s="15">
        <f t="shared" si="10"/>
        <v>0</v>
      </c>
      <c r="I219" s="15">
        <f t="shared" si="11"/>
        <v>0</v>
      </c>
      <c r="J219" s="18">
        <f t="shared" si="12"/>
        <v>0</v>
      </c>
      <c r="K219" s="7">
        <v>71.94</v>
      </c>
      <c r="L219" s="7">
        <v>62.556521739130432</v>
      </c>
      <c r="M219" s="7">
        <v>45.599999999999994</v>
      </c>
      <c r="N219" s="7">
        <v>6</v>
      </c>
      <c r="O219" s="7">
        <v>16.956521739130437</v>
      </c>
      <c r="P219" s="7">
        <v>11.99</v>
      </c>
      <c r="Q219" s="7">
        <v>10.426086956521738</v>
      </c>
      <c r="R219" s="7">
        <v>7.5999999999999988</v>
      </c>
      <c r="S219" s="7">
        <v>27.105921601334448</v>
      </c>
    </row>
    <row r="220" spans="1:19" s="1" customFormat="1" ht="16.5" customHeight="1" x14ac:dyDescent="0.35">
      <c r="A220" s="3">
        <v>102</v>
      </c>
      <c r="B220" s="3">
        <v>66950</v>
      </c>
      <c r="C220" s="4" t="s">
        <v>156</v>
      </c>
      <c r="D220" s="6">
        <v>29.99</v>
      </c>
      <c r="E220" s="6">
        <v>28.95</v>
      </c>
      <c r="F220" s="12">
        <v>0</v>
      </c>
      <c r="G220" s="15">
        <f t="shared" si="9"/>
        <v>0</v>
      </c>
      <c r="H220" s="15">
        <f t="shared" si="10"/>
        <v>0</v>
      </c>
      <c r="I220" s="15">
        <f t="shared" si="11"/>
        <v>0</v>
      </c>
      <c r="J220" s="18">
        <f t="shared" si="12"/>
        <v>0</v>
      </c>
      <c r="K220" s="7">
        <v>29.99</v>
      </c>
      <c r="L220" s="7">
        <v>29.99</v>
      </c>
      <c r="M220" s="7">
        <v>28.95</v>
      </c>
      <c r="N220" s="7">
        <v>1</v>
      </c>
      <c r="O220" s="7">
        <v>1.0399999999999991</v>
      </c>
      <c r="P220" s="7">
        <v>29.99</v>
      </c>
      <c r="Q220" s="7">
        <v>29.99</v>
      </c>
      <c r="R220" s="7">
        <v>28.95</v>
      </c>
      <c r="S220" s="7">
        <v>3.4678226075358429</v>
      </c>
    </row>
    <row r="221" spans="1:19" s="1" customFormat="1" ht="16.5" customHeight="1" x14ac:dyDescent="0.35">
      <c r="A221" s="3">
        <v>102</v>
      </c>
      <c r="B221" s="3">
        <v>66951</v>
      </c>
      <c r="C221" s="4" t="s">
        <v>142</v>
      </c>
      <c r="D221" s="6">
        <v>29.99</v>
      </c>
      <c r="E221" s="6">
        <v>28.95</v>
      </c>
      <c r="F221" s="12">
        <v>0</v>
      </c>
      <c r="G221" s="15">
        <f t="shared" si="9"/>
        <v>0</v>
      </c>
      <c r="H221" s="15">
        <f t="shared" si="10"/>
        <v>0</v>
      </c>
      <c r="I221" s="15">
        <f t="shared" si="11"/>
        <v>0</v>
      </c>
      <c r="J221" s="18">
        <f t="shared" si="12"/>
        <v>0</v>
      </c>
      <c r="K221" s="7">
        <v>269.90999999999997</v>
      </c>
      <c r="L221" s="7">
        <v>234.70434782608692</v>
      </c>
      <c r="M221" s="7">
        <v>260.55</v>
      </c>
      <c r="N221" s="7">
        <v>9</v>
      </c>
      <c r="O221" s="7">
        <v>-25.845652173913066</v>
      </c>
      <c r="P221" s="7">
        <v>29.989999999999995</v>
      </c>
      <c r="Q221" s="7">
        <v>26.078260869565213</v>
      </c>
      <c r="R221" s="7">
        <v>28.950000000000003</v>
      </c>
      <c r="S221" s="7">
        <v>-11.012004001333789</v>
      </c>
    </row>
    <row r="222" spans="1:19" s="1" customFormat="1" ht="16.5" customHeight="1" x14ac:dyDescent="0.35">
      <c r="A222" s="3">
        <v>102</v>
      </c>
      <c r="B222" s="3">
        <v>66952</v>
      </c>
      <c r="C222" s="4" t="s">
        <v>132</v>
      </c>
      <c r="D222" s="6">
        <v>29.99</v>
      </c>
      <c r="E222" s="6">
        <v>28.95</v>
      </c>
      <c r="F222" s="12">
        <v>0</v>
      </c>
      <c r="G222" s="15">
        <f t="shared" si="9"/>
        <v>0</v>
      </c>
      <c r="H222" s="15">
        <f t="shared" si="10"/>
        <v>0</v>
      </c>
      <c r="I222" s="15">
        <f t="shared" si="11"/>
        <v>0</v>
      </c>
      <c r="J222" s="18">
        <f t="shared" si="12"/>
        <v>0</v>
      </c>
      <c r="K222" s="7">
        <v>569.80999999999995</v>
      </c>
      <c r="L222" s="7">
        <v>495.4869565217391</v>
      </c>
      <c r="M222" s="7">
        <v>550.04999999999995</v>
      </c>
      <c r="N222" s="7">
        <v>19</v>
      </c>
      <c r="O222" s="7">
        <v>-54.563043478260909</v>
      </c>
      <c r="P222" s="7">
        <v>29.99</v>
      </c>
      <c r="Q222" s="7">
        <v>26.078260869565216</v>
      </c>
      <c r="R222" s="7">
        <v>28.95</v>
      </c>
      <c r="S222" s="7">
        <v>-11.012004001333787</v>
      </c>
    </row>
    <row r="223" spans="1:19" s="1" customFormat="1" ht="16.5" hidden="1" customHeight="1" x14ac:dyDescent="0.35">
      <c r="A223" s="3">
        <v>101</v>
      </c>
      <c r="B223" s="3">
        <v>67140</v>
      </c>
      <c r="C223" s="4" t="s">
        <v>76</v>
      </c>
      <c r="D223" s="6">
        <v>2</v>
      </c>
      <c r="E223" s="6">
        <v>0.68</v>
      </c>
      <c r="F223" s="12">
        <v>172</v>
      </c>
      <c r="G223" s="15">
        <f t="shared" ref="G180:G231" si="13">F223*D223</f>
        <v>344</v>
      </c>
      <c r="H223" s="15">
        <f t="shared" ref="H180:H231" si="14">E223*F223</f>
        <v>116.96000000000001</v>
      </c>
      <c r="I223" s="15">
        <f t="shared" ref="I180:I231" si="15">G223-H223</f>
        <v>227.04</v>
      </c>
      <c r="J223" s="18">
        <f t="shared" ref="J180:J231" si="16">IFERROR(I223/G223,0)</f>
        <v>0.66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</row>
    <row r="224" spans="1:19" s="1" customFormat="1" ht="16.5" hidden="1" customHeight="1" x14ac:dyDescent="0.35">
      <c r="A224" s="3">
        <v>102</v>
      </c>
      <c r="B224" s="3">
        <v>67241</v>
      </c>
      <c r="C224" s="4" t="s">
        <v>157</v>
      </c>
      <c r="D224" s="6">
        <v>15.99</v>
      </c>
      <c r="E224" s="6">
        <v>6.2</v>
      </c>
      <c r="F224" s="12">
        <v>173</v>
      </c>
      <c r="G224" s="15">
        <f t="shared" si="13"/>
        <v>2766.27</v>
      </c>
      <c r="H224" s="15">
        <f t="shared" si="14"/>
        <v>1072.6000000000001</v>
      </c>
      <c r="I224" s="15">
        <f t="shared" si="15"/>
        <v>1693.6699999999998</v>
      </c>
      <c r="J224" s="18">
        <f t="shared" si="16"/>
        <v>0.61225766103814883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</row>
    <row r="225" spans="1:19" s="1" customFormat="1" ht="16.5" hidden="1" customHeight="1" x14ac:dyDescent="0.35">
      <c r="A225" s="3">
        <v>102</v>
      </c>
      <c r="B225" s="3">
        <v>67242</v>
      </c>
      <c r="C225" s="4" t="s">
        <v>158</v>
      </c>
      <c r="D225" s="6">
        <v>13.99</v>
      </c>
      <c r="E225" s="6">
        <v>3.8</v>
      </c>
      <c r="F225" s="12">
        <v>174</v>
      </c>
      <c r="G225" s="15">
        <f t="shared" si="13"/>
        <v>2434.2600000000002</v>
      </c>
      <c r="H225" s="15">
        <f t="shared" si="14"/>
        <v>661.19999999999993</v>
      </c>
      <c r="I225" s="15">
        <f t="shared" si="15"/>
        <v>1773.0600000000004</v>
      </c>
      <c r="J225" s="18">
        <f t="shared" si="16"/>
        <v>0.72837741243745546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</row>
    <row r="226" spans="1:19" s="1" customFormat="1" ht="16.5" hidden="1" customHeight="1" x14ac:dyDescent="0.35">
      <c r="A226" s="3">
        <v>102</v>
      </c>
      <c r="B226" s="3">
        <v>67243</v>
      </c>
      <c r="C226" s="4" t="s">
        <v>159</v>
      </c>
      <c r="D226" s="6">
        <v>30.99</v>
      </c>
      <c r="E226" s="6">
        <v>9.5</v>
      </c>
      <c r="F226" s="12">
        <v>175</v>
      </c>
      <c r="G226" s="15">
        <f t="shared" si="13"/>
        <v>5423.25</v>
      </c>
      <c r="H226" s="15">
        <f t="shared" si="14"/>
        <v>1662.5</v>
      </c>
      <c r="I226" s="15">
        <f t="shared" si="15"/>
        <v>3760.75</v>
      </c>
      <c r="J226" s="18">
        <f t="shared" si="16"/>
        <v>0.69344949983865767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</row>
    <row r="227" spans="1:19" s="1" customFormat="1" ht="16.5" hidden="1" customHeight="1" x14ac:dyDescent="0.35">
      <c r="A227" s="3">
        <v>102</v>
      </c>
      <c r="B227" s="3">
        <v>67244</v>
      </c>
      <c r="C227" s="4" t="s">
        <v>160</v>
      </c>
      <c r="D227" s="6">
        <v>35.99</v>
      </c>
      <c r="E227" s="6">
        <v>12.5</v>
      </c>
      <c r="F227" s="12">
        <v>176</v>
      </c>
      <c r="G227" s="15">
        <f t="shared" si="13"/>
        <v>6334.2400000000007</v>
      </c>
      <c r="H227" s="15">
        <f t="shared" si="14"/>
        <v>2200</v>
      </c>
      <c r="I227" s="15">
        <f t="shared" si="15"/>
        <v>4134.2400000000007</v>
      </c>
      <c r="J227" s="18">
        <f t="shared" si="16"/>
        <v>0.65268130036121152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</row>
    <row r="228" spans="1:19" s="1" customFormat="1" ht="16.5" hidden="1" customHeight="1" x14ac:dyDescent="0.35">
      <c r="A228" s="3">
        <v>102</v>
      </c>
      <c r="B228" s="3">
        <v>67245</v>
      </c>
      <c r="C228" s="4" t="s">
        <v>161</v>
      </c>
      <c r="D228" s="6">
        <v>26.99</v>
      </c>
      <c r="E228" s="6">
        <v>7.8</v>
      </c>
      <c r="F228" s="12">
        <v>177</v>
      </c>
      <c r="G228" s="15">
        <f t="shared" si="13"/>
        <v>4777.2299999999996</v>
      </c>
      <c r="H228" s="15">
        <f t="shared" si="14"/>
        <v>1380.6</v>
      </c>
      <c r="I228" s="15">
        <f t="shared" si="15"/>
        <v>3396.6299999999997</v>
      </c>
      <c r="J228" s="18">
        <f t="shared" si="16"/>
        <v>0.7110040755835495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</row>
    <row r="229" spans="1:19" s="1" customFormat="1" ht="16.5" hidden="1" customHeight="1" x14ac:dyDescent="0.35">
      <c r="A229" s="19">
        <v>102</v>
      </c>
      <c r="B229" s="19">
        <v>67246</v>
      </c>
      <c r="C229" s="20" t="s">
        <v>81</v>
      </c>
      <c r="D229" s="21">
        <v>26.99</v>
      </c>
      <c r="E229" s="21">
        <v>7.8</v>
      </c>
      <c r="F229" s="12">
        <v>178</v>
      </c>
      <c r="G229" s="15">
        <f t="shared" si="13"/>
        <v>4804.2199999999993</v>
      </c>
      <c r="H229" s="15">
        <f t="shared" si="14"/>
        <v>1388.3999999999999</v>
      </c>
      <c r="I229" s="15">
        <f t="shared" si="15"/>
        <v>3415.8199999999997</v>
      </c>
      <c r="J229" s="18">
        <f t="shared" si="16"/>
        <v>0.7110040755835495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</row>
    <row r="230" spans="1:19" s="1" customFormat="1" ht="16.5" hidden="1" customHeight="1" x14ac:dyDescent="0.35">
      <c r="A230" s="3">
        <v>102</v>
      </c>
      <c r="B230" s="3">
        <v>67247</v>
      </c>
      <c r="C230" s="4" t="s">
        <v>162</v>
      </c>
      <c r="D230" s="6">
        <v>15.99</v>
      </c>
      <c r="E230" s="6">
        <v>8.0500000000000007</v>
      </c>
      <c r="F230" s="12">
        <v>179</v>
      </c>
      <c r="G230" s="15">
        <f t="shared" si="13"/>
        <v>2862.21</v>
      </c>
      <c r="H230" s="15">
        <f t="shared" si="14"/>
        <v>1440.95</v>
      </c>
      <c r="I230" s="15">
        <f t="shared" si="15"/>
        <v>1421.26</v>
      </c>
      <c r="J230" s="18">
        <f t="shared" si="16"/>
        <v>0.49656035021888678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</row>
    <row r="231" spans="1:19" s="1" customFormat="1" ht="16.5" hidden="1" customHeight="1" x14ac:dyDescent="0.35">
      <c r="A231" s="3">
        <v>102</v>
      </c>
      <c r="B231" s="3">
        <v>67301</v>
      </c>
      <c r="C231" s="4" t="s">
        <v>163</v>
      </c>
      <c r="D231" s="6">
        <v>15.99</v>
      </c>
      <c r="E231" s="6">
        <v>9.99</v>
      </c>
      <c r="F231" s="12">
        <v>180</v>
      </c>
      <c r="G231" s="15">
        <f t="shared" si="13"/>
        <v>2878.2</v>
      </c>
      <c r="H231" s="15">
        <f t="shared" si="14"/>
        <v>1798.2</v>
      </c>
      <c r="I231" s="15">
        <f t="shared" si="15"/>
        <v>1079.9999999999998</v>
      </c>
      <c r="J231" s="18">
        <f t="shared" si="16"/>
        <v>0.37523452157598491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</row>
    <row r="232" spans="1:19" s="1" customFormat="1" ht="16.5" customHeight="1" x14ac:dyDescent="0.35">
      <c r="A232" s="28"/>
      <c r="B232" s="28"/>
      <c r="C232" s="28" t="s">
        <v>243</v>
      </c>
      <c r="D232" s="29"/>
      <c r="E232" s="29"/>
      <c r="F232" s="31">
        <f>SUM(F2:F231)</f>
        <v>5644</v>
      </c>
      <c r="G232" s="26">
        <f>SUM(G2:G231)</f>
        <v>79072.779999999984</v>
      </c>
      <c r="H232" s="26">
        <f>SUM(H2:H231)</f>
        <v>34544.719999999987</v>
      </c>
      <c r="I232" s="26">
        <f>G232-H232</f>
        <v>44528.06</v>
      </c>
      <c r="J232" s="27">
        <f>I232/G232</f>
        <v>0.56312753895841283</v>
      </c>
      <c r="K232" s="26">
        <f t="shared" ref="K232:O232" si="17">SUM(K2:K231)</f>
        <v>3039811.7300000028</v>
      </c>
      <c r="L232" s="26">
        <f t="shared" si="17"/>
        <v>2657311.0973913055</v>
      </c>
      <c r="M232" s="26">
        <f t="shared" si="17"/>
        <v>1464851.4319449915</v>
      </c>
      <c r="N232" s="26">
        <f t="shared" si="17"/>
        <v>207512.41999999998</v>
      </c>
      <c r="O232" s="26">
        <f t="shared" si="17"/>
        <v>1192459.6654463126</v>
      </c>
      <c r="P232" s="8"/>
      <c r="Q232" s="8"/>
      <c r="R232" s="8"/>
      <c r="S232" s="30">
        <f>O232/L232*100</f>
        <v>44.874672996208673</v>
      </c>
    </row>
    <row r="233" spans="1:19" s="1" customFormat="1" ht="12.75" hidden="1" customHeight="1" x14ac:dyDescent="0.35">
      <c r="C233" s="1" t="s">
        <v>243</v>
      </c>
      <c r="D233" s="10"/>
      <c r="E233" s="10"/>
      <c r="F233" s="13"/>
      <c r="G233" s="16">
        <f>SUM(G3:G232)</f>
        <v>147233.35999999999</v>
      </c>
      <c r="H233" s="17"/>
      <c r="I233" s="17"/>
      <c r="J233" s="17"/>
      <c r="K233" s="10">
        <v>3039811.7300000009</v>
      </c>
      <c r="L233" s="10">
        <v>2657311.0973913055</v>
      </c>
      <c r="M233" s="10">
        <v>1464851.4319449912</v>
      </c>
      <c r="N233" s="10">
        <v>207512.42</v>
      </c>
      <c r="O233" s="10">
        <v>1192459.6654463143</v>
      </c>
      <c r="P233" s="10"/>
      <c r="Q233" s="10"/>
      <c r="R233" s="10"/>
      <c r="S233" s="10">
        <v>44.874672996208737</v>
      </c>
    </row>
    <row r="235" spans="1:19" ht="16.5" customHeight="1" x14ac:dyDescent="0.35">
      <c r="C235" s="1" t="s">
        <v>249</v>
      </c>
    </row>
  </sheetData>
  <sortState xmlns:xlrd2="http://schemas.microsoft.com/office/spreadsheetml/2017/richdata2" ref="A2:S234">
    <sortCondition descending="1" ref="F2:F234"/>
  </sortState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2026-06-16T08:14:02Z</dcterms:created>
  <dcterms:modified xsi:type="dcterms:W3CDTF">2026-06-16T08:51:15Z</dcterms:modified>
</cp:coreProperties>
</file>
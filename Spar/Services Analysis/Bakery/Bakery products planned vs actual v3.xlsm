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2.xml" ContentType="application/vnd.openxmlformats-officedocument.spreadsheetml.pivot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gstim\.openclaw\workspace\Spar\Services Analysis\Bakery\"/>
    </mc:Choice>
  </mc:AlternateContent>
  <xr:revisionPtr revIDLastSave="0" documentId="13_ncr:1_{C48FA7CF-C02D-4081-86F2-57FF3ACA5464}" xr6:coauthVersionLast="47" xr6:coauthVersionMax="47" xr10:uidLastSave="{00000000-0000-0000-0000-000000000000}"/>
  <bookViews>
    <workbookView xWindow="-110" yWindow="-110" windowWidth="19420" windowHeight="10300" activeTab="2" xr2:uid="{E73BFAA0-D4BB-4FC6-A02B-94A6B3604F4B}"/>
  </bookViews>
  <sheets>
    <sheet name="Production Plan" sheetId="1" r:id="rId1"/>
    <sheet name="Planned vs Actual" sheetId="30" r:id="rId2"/>
    <sheet name="Planned vs Actual Pivot" sheetId="32" r:id="rId3"/>
    <sheet name="Actuals" sheetId="29" r:id="rId4"/>
    <sheet name="Actuals_data" sheetId="28" r:id="rId5"/>
    <sheet name="Actuals Import" sheetId="21" r:id="rId6"/>
    <sheet name="Pivot Production plan" sheetId="3" r:id="rId7"/>
    <sheet name="Plan vs Actual Pivot" sheetId="31" r:id="rId8"/>
  </sheets>
  <definedNames>
    <definedName name="_xlnm._FilterDatabase" localSheetId="0" hidden="1">'Production Plan'!$A$3:$L$290</definedName>
    <definedName name="Actuals">#REF!</definedName>
    <definedName name="Actuals_data">#REF!</definedName>
    <definedName name="Bake_prod">'Production Plan'!$A$3:$K$290</definedName>
    <definedName name="ExternalData_1" localSheetId="4" hidden="1">Actuals_data!$A$1:$J$563</definedName>
    <definedName name="ExternalData_2" localSheetId="3" hidden="1">Actuals!$A$1:$J$563</definedName>
    <definedName name="ExternalData_3" localSheetId="1" hidden="1">'Planned vs Actual'!$A$1:$O$563</definedName>
    <definedName name="_xlnm.Print_Area" localSheetId="6">'Pivot Production plan'!$A$1:$J$57</definedName>
    <definedName name="_xlnm.Print_Titles" localSheetId="6">'Pivot Production plan'!$1:$3</definedName>
  </definedNames>
  <calcPr calcId="191029" iterateCount="1"/>
  <pivotCaches>
    <pivotCache cacheId="19" r:id="rId9"/>
    <pivotCache cacheId="44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87" i="1" l="1"/>
  <c r="I287" i="1"/>
  <c r="V193" i="1"/>
  <c r="W193" i="1"/>
  <c r="X193" i="1"/>
  <c r="Y193" i="1"/>
  <c r="H286" i="1"/>
  <c r="I286" i="1"/>
  <c r="V191" i="1"/>
  <c r="W191" i="1"/>
  <c r="X191" i="1"/>
  <c r="Y191" i="1"/>
  <c r="H284" i="1"/>
  <c r="I284" i="1"/>
  <c r="V189" i="1"/>
  <c r="W189" i="1"/>
  <c r="X189" i="1"/>
  <c r="Y189" i="1"/>
  <c r="H283" i="1"/>
  <c r="I283" i="1"/>
  <c r="V187" i="1"/>
  <c r="W187" i="1"/>
  <c r="X187" i="1"/>
  <c r="Y187" i="1"/>
  <c r="H282" i="1"/>
  <c r="I282" i="1"/>
  <c r="V185" i="1"/>
  <c r="W185" i="1"/>
  <c r="X185" i="1"/>
  <c r="Y185" i="1"/>
  <c r="H281" i="1"/>
  <c r="I281" i="1"/>
  <c r="V183" i="1"/>
  <c r="W183" i="1"/>
  <c r="X183" i="1"/>
  <c r="Y183" i="1"/>
  <c r="H280" i="1"/>
  <c r="I280" i="1"/>
  <c r="V181" i="1"/>
  <c r="W181" i="1"/>
  <c r="X181" i="1"/>
  <c r="Y181" i="1"/>
  <c r="H279" i="1"/>
  <c r="I279" i="1"/>
  <c r="V179" i="1"/>
  <c r="W179" i="1"/>
  <c r="X179" i="1"/>
  <c r="Y179" i="1"/>
  <c r="H278" i="1"/>
  <c r="I278" i="1"/>
  <c r="V177" i="1"/>
  <c r="W177" i="1"/>
  <c r="X177" i="1"/>
  <c r="Y177" i="1"/>
  <c r="H277" i="1"/>
  <c r="I277" i="1"/>
  <c r="V175" i="1"/>
  <c r="W175" i="1"/>
  <c r="X175" i="1"/>
  <c r="Y175" i="1"/>
  <c r="H275" i="1"/>
  <c r="I275" i="1"/>
  <c r="V150" i="1"/>
  <c r="W150" i="1"/>
  <c r="X150" i="1"/>
  <c r="Y150" i="1"/>
  <c r="H285" i="1"/>
  <c r="I285" i="1"/>
  <c r="V142" i="1"/>
  <c r="W142" i="1"/>
  <c r="X142" i="1"/>
  <c r="Y142" i="1"/>
  <c r="H276" i="1"/>
  <c r="I276" i="1"/>
  <c r="V38" i="1"/>
  <c r="W38" i="1"/>
  <c r="X38" i="1"/>
  <c r="Y38" i="1"/>
  <c r="H274" i="1"/>
  <c r="I274" i="1"/>
  <c r="V34" i="1"/>
  <c r="W34" i="1"/>
  <c r="X34" i="1"/>
  <c r="Y34" i="1"/>
  <c r="Y290" i="1"/>
  <c r="X290" i="1"/>
  <c r="W290" i="1"/>
  <c r="V290" i="1"/>
  <c r="Y289" i="1"/>
  <c r="X289" i="1"/>
  <c r="W289" i="1"/>
  <c r="V289" i="1"/>
  <c r="Y288" i="1"/>
  <c r="X288" i="1"/>
  <c r="W288" i="1"/>
  <c r="V288" i="1"/>
  <c r="Y287" i="1"/>
  <c r="X287" i="1"/>
  <c r="W287" i="1"/>
  <c r="V287" i="1"/>
  <c r="Y286" i="1"/>
  <c r="X286" i="1"/>
  <c r="W286" i="1"/>
  <c r="V286" i="1"/>
  <c r="Y285" i="1"/>
  <c r="X285" i="1"/>
  <c r="W285" i="1"/>
  <c r="V285" i="1"/>
  <c r="Y284" i="1"/>
  <c r="X284" i="1"/>
  <c r="W284" i="1"/>
  <c r="V284" i="1"/>
  <c r="Y283" i="1"/>
  <c r="X283" i="1"/>
  <c r="W283" i="1"/>
  <c r="V283" i="1"/>
  <c r="Y282" i="1"/>
  <c r="X282" i="1"/>
  <c r="W282" i="1"/>
  <c r="V282" i="1"/>
  <c r="Y281" i="1"/>
  <c r="X281" i="1"/>
  <c r="W281" i="1"/>
  <c r="V281" i="1"/>
  <c r="Y280" i="1"/>
  <c r="X280" i="1"/>
  <c r="W280" i="1"/>
  <c r="V280" i="1"/>
  <c r="Y279" i="1"/>
  <c r="X279" i="1"/>
  <c r="W279" i="1"/>
  <c r="V279" i="1"/>
  <c r="Y278" i="1"/>
  <c r="X278" i="1"/>
  <c r="W278" i="1"/>
  <c r="V278" i="1"/>
  <c r="Y277" i="1"/>
  <c r="X277" i="1"/>
  <c r="W277" i="1"/>
  <c r="V277" i="1"/>
  <c r="Y276" i="1"/>
  <c r="X276" i="1"/>
  <c r="W276" i="1"/>
  <c r="V276" i="1"/>
  <c r="Y275" i="1"/>
  <c r="X275" i="1"/>
  <c r="W275" i="1"/>
  <c r="V275" i="1"/>
  <c r="Y274" i="1"/>
  <c r="X274" i="1"/>
  <c r="W274" i="1"/>
  <c r="V274" i="1"/>
  <c r="Y273" i="1"/>
  <c r="X273" i="1"/>
  <c r="W273" i="1"/>
  <c r="V273" i="1"/>
  <c r="Y272" i="1"/>
  <c r="X272" i="1"/>
  <c r="W272" i="1"/>
  <c r="V272" i="1"/>
  <c r="Y271" i="1"/>
  <c r="X271" i="1"/>
  <c r="W271" i="1"/>
  <c r="V271" i="1"/>
  <c r="Y270" i="1"/>
  <c r="X270" i="1"/>
  <c r="W270" i="1"/>
  <c r="V270" i="1"/>
  <c r="Y269" i="1"/>
  <c r="X269" i="1"/>
  <c r="W269" i="1"/>
  <c r="V269" i="1"/>
  <c r="Y268" i="1"/>
  <c r="X268" i="1"/>
  <c r="W268" i="1"/>
  <c r="V268" i="1"/>
  <c r="Y267" i="1"/>
  <c r="X267" i="1"/>
  <c r="W267" i="1"/>
  <c r="V267" i="1"/>
  <c r="Y266" i="1"/>
  <c r="X266" i="1"/>
  <c r="W266" i="1"/>
  <c r="V266" i="1"/>
  <c r="Y265" i="1"/>
  <c r="X265" i="1"/>
  <c r="W265" i="1"/>
  <c r="V265" i="1"/>
  <c r="Y264" i="1"/>
  <c r="X264" i="1"/>
  <c r="W264" i="1"/>
  <c r="V264" i="1"/>
  <c r="Y263" i="1"/>
  <c r="X263" i="1"/>
  <c r="W263" i="1"/>
  <c r="V263" i="1"/>
  <c r="Y262" i="1"/>
  <c r="X262" i="1"/>
  <c r="W262" i="1"/>
  <c r="V262" i="1"/>
  <c r="Y261" i="1"/>
  <c r="X261" i="1"/>
  <c r="W261" i="1"/>
  <c r="V261" i="1"/>
  <c r="Y260" i="1"/>
  <c r="X260" i="1"/>
  <c r="W260" i="1"/>
  <c r="V260" i="1"/>
  <c r="Y259" i="1"/>
  <c r="X259" i="1"/>
  <c r="W259" i="1"/>
  <c r="V259" i="1"/>
  <c r="Y258" i="1"/>
  <c r="X258" i="1"/>
  <c r="W258" i="1"/>
  <c r="V258" i="1"/>
  <c r="Y257" i="1"/>
  <c r="X257" i="1"/>
  <c r="W257" i="1"/>
  <c r="V257" i="1"/>
  <c r="Y256" i="1"/>
  <c r="X256" i="1"/>
  <c r="W256" i="1"/>
  <c r="V256" i="1"/>
  <c r="Y255" i="1"/>
  <c r="X255" i="1"/>
  <c r="W255" i="1"/>
  <c r="V255" i="1"/>
  <c r="Y254" i="1"/>
  <c r="X254" i="1"/>
  <c r="W254" i="1"/>
  <c r="V254" i="1"/>
  <c r="Y253" i="1"/>
  <c r="X253" i="1"/>
  <c r="W253" i="1"/>
  <c r="V253" i="1"/>
  <c r="Y252" i="1"/>
  <c r="X252" i="1"/>
  <c r="W252" i="1"/>
  <c r="V252" i="1"/>
  <c r="Y251" i="1"/>
  <c r="X251" i="1"/>
  <c r="W251" i="1"/>
  <c r="V251" i="1"/>
  <c r="Y250" i="1"/>
  <c r="X250" i="1"/>
  <c r="W250" i="1"/>
  <c r="V250" i="1"/>
  <c r="Y249" i="1"/>
  <c r="X249" i="1"/>
  <c r="W249" i="1"/>
  <c r="V249" i="1"/>
  <c r="Y248" i="1"/>
  <c r="X248" i="1"/>
  <c r="W248" i="1"/>
  <c r="V248" i="1"/>
  <c r="Y247" i="1"/>
  <c r="X247" i="1"/>
  <c r="W247" i="1"/>
  <c r="V247" i="1"/>
  <c r="Y246" i="1"/>
  <c r="X246" i="1"/>
  <c r="W246" i="1"/>
  <c r="V246" i="1"/>
  <c r="Y245" i="1"/>
  <c r="X245" i="1"/>
  <c r="W245" i="1"/>
  <c r="V245" i="1"/>
  <c r="Y244" i="1"/>
  <c r="X244" i="1"/>
  <c r="W244" i="1"/>
  <c r="V244" i="1"/>
  <c r="Y243" i="1"/>
  <c r="X243" i="1"/>
  <c r="W243" i="1"/>
  <c r="V243" i="1"/>
  <c r="Y242" i="1"/>
  <c r="X242" i="1"/>
  <c r="W242" i="1"/>
  <c r="V242" i="1"/>
  <c r="Y241" i="1"/>
  <c r="X241" i="1"/>
  <c r="W241" i="1"/>
  <c r="V241" i="1"/>
  <c r="Y240" i="1"/>
  <c r="X240" i="1"/>
  <c r="W240" i="1"/>
  <c r="V240" i="1"/>
  <c r="Y239" i="1"/>
  <c r="X239" i="1"/>
  <c r="W239" i="1"/>
  <c r="V239" i="1"/>
  <c r="Y238" i="1"/>
  <c r="X238" i="1"/>
  <c r="W238" i="1"/>
  <c r="V238" i="1"/>
  <c r="Y237" i="1"/>
  <c r="X237" i="1"/>
  <c r="W237" i="1"/>
  <c r="V237" i="1"/>
  <c r="Y236" i="1"/>
  <c r="X236" i="1"/>
  <c r="W236" i="1"/>
  <c r="V236" i="1"/>
  <c r="Y235" i="1"/>
  <c r="X235" i="1"/>
  <c r="W235" i="1"/>
  <c r="V235" i="1"/>
  <c r="Y234" i="1"/>
  <c r="X234" i="1"/>
  <c r="W234" i="1"/>
  <c r="V234" i="1"/>
  <c r="Y233" i="1"/>
  <c r="X233" i="1"/>
  <c r="W233" i="1"/>
  <c r="V233" i="1"/>
  <c r="Y232" i="1"/>
  <c r="X232" i="1"/>
  <c r="W232" i="1"/>
  <c r="V232" i="1"/>
  <c r="Y231" i="1"/>
  <c r="X231" i="1"/>
  <c r="W231" i="1"/>
  <c r="V231" i="1"/>
  <c r="Y230" i="1"/>
  <c r="X230" i="1"/>
  <c r="W230" i="1"/>
  <c r="V230" i="1"/>
  <c r="Y229" i="1"/>
  <c r="X229" i="1"/>
  <c r="W229" i="1"/>
  <c r="V229" i="1"/>
  <c r="Y228" i="1"/>
  <c r="X228" i="1"/>
  <c r="W228" i="1"/>
  <c r="V228" i="1"/>
  <c r="Y227" i="1"/>
  <c r="X227" i="1"/>
  <c r="W227" i="1"/>
  <c r="V227" i="1"/>
  <c r="Y226" i="1"/>
  <c r="X226" i="1"/>
  <c r="W226" i="1"/>
  <c r="V226" i="1"/>
  <c r="Y225" i="1"/>
  <c r="X225" i="1"/>
  <c r="W225" i="1"/>
  <c r="V225" i="1"/>
  <c r="Y224" i="1"/>
  <c r="X224" i="1"/>
  <c r="W224" i="1"/>
  <c r="V224" i="1"/>
  <c r="Y223" i="1"/>
  <c r="X223" i="1"/>
  <c r="W223" i="1"/>
  <c r="V223" i="1"/>
  <c r="Y222" i="1"/>
  <c r="X222" i="1"/>
  <c r="W222" i="1"/>
  <c r="V222" i="1"/>
  <c r="Y221" i="1"/>
  <c r="X221" i="1"/>
  <c r="W221" i="1"/>
  <c r="V221" i="1"/>
  <c r="Y220" i="1"/>
  <c r="X220" i="1"/>
  <c r="W220" i="1"/>
  <c r="V220" i="1"/>
  <c r="Y219" i="1"/>
  <c r="X219" i="1"/>
  <c r="W219" i="1"/>
  <c r="V219" i="1"/>
  <c r="Y218" i="1"/>
  <c r="X218" i="1"/>
  <c r="W218" i="1"/>
  <c r="V218" i="1"/>
  <c r="Y217" i="1"/>
  <c r="X217" i="1"/>
  <c r="W217" i="1"/>
  <c r="V217" i="1"/>
  <c r="Y216" i="1"/>
  <c r="X216" i="1"/>
  <c r="W216" i="1"/>
  <c r="V216" i="1"/>
  <c r="Y215" i="1"/>
  <c r="X215" i="1"/>
  <c r="W215" i="1"/>
  <c r="V215" i="1"/>
  <c r="Y214" i="1"/>
  <c r="X214" i="1"/>
  <c r="W214" i="1"/>
  <c r="V214" i="1"/>
  <c r="Y213" i="1"/>
  <c r="X213" i="1"/>
  <c r="W213" i="1"/>
  <c r="V213" i="1"/>
  <c r="Y212" i="1"/>
  <c r="X212" i="1"/>
  <c r="W212" i="1"/>
  <c r="V212" i="1"/>
  <c r="Y211" i="1"/>
  <c r="X211" i="1"/>
  <c r="W211" i="1"/>
  <c r="V211" i="1"/>
  <c r="Y210" i="1"/>
  <c r="X210" i="1"/>
  <c r="W210" i="1"/>
  <c r="V210" i="1"/>
  <c r="Y209" i="1"/>
  <c r="X209" i="1"/>
  <c r="W209" i="1"/>
  <c r="V209" i="1"/>
  <c r="Y208" i="1"/>
  <c r="X208" i="1"/>
  <c r="W208" i="1"/>
  <c r="V208" i="1"/>
  <c r="Y207" i="1"/>
  <c r="X207" i="1"/>
  <c r="W207" i="1"/>
  <c r="V207" i="1"/>
  <c r="Y206" i="1"/>
  <c r="X206" i="1"/>
  <c r="W206" i="1"/>
  <c r="V206" i="1"/>
  <c r="Y205" i="1"/>
  <c r="X205" i="1"/>
  <c r="W205" i="1"/>
  <c r="V205" i="1"/>
  <c r="Y204" i="1"/>
  <c r="X204" i="1"/>
  <c r="W204" i="1"/>
  <c r="V204" i="1"/>
  <c r="Y203" i="1"/>
  <c r="X203" i="1"/>
  <c r="W203" i="1"/>
  <c r="V203" i="1"/>
  <c r="Y202" i="1"/>
  <c r="X202" i="1"/>
  <c r="W202" i="1"/>
  <c r="V202" i="1"/>
  <c r="Y201" i="1"/>
  <c r="X201" i="1"/>
  <c r="W201" i="1"/>
  <c r="V201" i="1"/>
  <c r="Y200" i="1"/>
  <c r="X200" i="1"/>
  <c r="W200" i="1"/>
  <c r="V200" i="1"/>
  <c r="Y199" i="1"/>
  <c r="X199" i="1"/>
  <c r="W199" i="1"/>
  <c r="V199" i="1"/>
  <c r="Y198" i="1"/>
  <c r="X198" i="1"/>
  <c r="W198" i="1"/>
  <c r="V198" i="1"/>
  <c r="Y197" i="1"/>
  <c r="X197" i="1"/>
  <c r="W197" i="1"/>
  <c r="V197" i="1"/>
  <c r="Y196" i="1"/>
  <c r="X196" i="1"/>
  <c r="W196" i="1"/>
  <c r="V196" i="1"/>
  <c r="Y195" i="1"/>
  <c r="X195" i="1"/>
  <c r="W195" i="1"/>
  <c r="V195" i="1"/>
  <c r="Y194" i="1"/>
  <c r="X194" i="1"/>
  <c r="W194" i="1"/>
  <c r="V194" i="1"/>
  <c r="Y192" i="1"/>
  <c r="X192" i="1"/>
  <c r="W192" i="1"/>
  <c r="V192" i="1"/>
  <c r="Y190" i="1"/>
  <c r="X190" i="1"/>
  <c r="W190" i="1"/>
  <c r="V190" i="1"/>
  <c r="Y188" i="1"/>
  <c r="X188" i="1"/>
  <c r="W188" i="1"/>
  <c r="V188" i="1"/>
  <c r="Y186" i="1"/>
  <c r="X186" i="1"/>
  <c r="W186" i="1"/>
  <c r="V186" i="1"/>
  <c r="Y184" i="1"/>
  <c r="X184" i="1"/>
  <c r="W184" i="1"/>
  <c r="V184" i="1"/>
  <c r="Y182" i="1"/>
  <c r="X182" i="1"/>
  <c r="W182" i="1"/>
  <c r="V182" i="1"/>
  <c r="Y180" i="1"/>
  <c r="X180" i="1"/>
  <c r="W180" i="1"/>
  <c r="V180" i="1"/>
  <c r="Y178" i="1"/>
  <c r="X178" i="1"/>
  <c r="W178" i="1"/>
  <c r="V178" i="1"/>
  <c r="Y176" i="1"/>
  <c r="X176" i="1"/>
  <c r="W176" i="1"/>
  <c r="V176" i="1"/>
  <c r="Y174" i="1"/>
  <c r="X174" i="1"/>
  <c r="W174" i="1"/>
  <c r="V174" i="1"/>
  <c r="Y173" i="1"/>
  <c r="X173" i="1"/>
  <c r="W173" i="1"/>
  <c r="V173" i="1"/>
  <c r="Y172" i="1"/>
  <c r="X172" i="1"/>
  <c r="W172" i="1"/>
  <c r="V172" i="1"/>
  <c r="Y171" i="1"/>
  <c r="X171" i="1"/>
  <c r="W171" i="1"/>
  <c r="V171" i="1"/>
  <c r="Y170" i="1"/>
  <c r="X170" i="1"/>
  <c r="W170" i="1"/>
  <c r="V170" i="1"/>
  <c r="Y169" i="1"/>
  <c r="X169" i="1"/>
  <c r="W169" i="1"/>
  <c r="V169" i="1"/>
  <c r="Y168" i="1"/>
  <c r="X168" i="1"/>
  <c r="W168" i="1"/>
  <c r="V168" i="1"/>
  <c r="Y167" i="1"/>
  <c r="X167" i="1"/>
  <c r="W167" i="1"/>
  <c r="V167" i="1"/>
  <c r="Y166" i="1"/>
  <c r="X166" i="1"/>
  <c r="W166" i="1"/>
  <c r="V166" i="1"/>
  <c r="Y165" i="1"/>
  <c r="X165" i="1"/>
  <c r="W165" i="1"/>
  <c r="V165" i="1"/>
  <c r="Y164" i="1"/>
  <c r="X164" i="1"/>
  <c r="W164" i="1"/>
  <c r="V164" i="1"/>
  <c r="Y163" i="1"/>
  <c r="X163" i="1"/>
  <c r="W163" i="1"/>
  <c r="V163" i="1"/>
  <c r="Y162" i="1"/>
  <c r="X162" i="1"/>
  <c r="W162" i="1"/>
  <c r="V162" i="1"/>
  <c r="Y161" i="1"/>
  <c r="X161" i="1"/>
  <c r="W161" i="1"/>
  <c r="V161" i="1"/>
  <c r="Y160" i="1"/>
  <c r="X160" i="1"/>
  <c r="W160" i="1"/>
  <c r="V160" i="1"/>
  <c r="Y159" i="1"/>
  <c r="X159" i="1"/>
  <c r="W159" i="1"/>
  <c r="V159" i="1"/>
  <c r="Y158" i="1"/>
  <c r="X158" i="1"/>
  <c r="W158" i="1"/>
  <c r="V158" i="1"/>
  <c r="Y157" i="1"/>
  <c r="X157" i="1"/>
  <c r="W157" i="1"/>
  <c r="V157" i="1"/>
  <c r="Y156" i="1"/>
  <c r="X156" i="1"/>
  <c r="W156" i="1"/>
  <c r="V156" i="1"/>
  <c r="Y155" i="1"/>
  <c r="X155" i="1"/>
  <c r="W155" i="1"/>
  <c r="V155" i="1"/>
  <c r="Y154" i="1"/>
  <c r="X154" i="1"/>
  <c r="W154" i="1"/>
  <c r="V154" i="1"/>
  <c r="Y153" i="1"/>
  <c r="X153" i="1"/>
  <c r="W153" i="1"/>
  <c r="V153" i="1"/>
  <c r="Y152" i="1"/>
  <c r="X152" i="1"/>
  <c r="W152" i="1"/>
  <c r="V152" i="1"/>
  <c r="Y151" i="1"/>
  <c r="X151" i="1"/>
  <c r="W151" i="1"/>
  <c r="V151" i="1"/>
  <c r="Y149" i="1"/>
  <c r="X149" i="1"/>
  <c r="W149" i="1"/>
  <c r="V149" i="1"/>
  <c r="Y148" i="1"/>
  <c r="X148" i="1"/>
  <c r="W148" i="1"/>
  <c r="V148" i="1"/>
  <c r="Y147" i="1"/>
  <c r="X147" i="1"/>
  <c r="W147" i="1"/>
  <c r="V147" i="1"/>
  <c r="Y146" i="1"/>
  <c r="X146" i="1"/>
  <c r="W146" i="1"/>
  <c r="V146" i="1"/>
  <c r="Y145" i="1"/>
  <c r="X145" i="1"/>
  <c r="W145" i="1"/>
  <c r="V145" i="1"/>
  <c r="Y144" i="1"/>
  <c r="X144" i="1"/>
  <c r="W144" i="1"/>
  <c r="V144" i="1"/>
  <c r="Y143" i="1"/>
  <c r="X143" i="1"/>
  <c r="W143" i="1"/>
  <c r="V143" i="1"/>
  <c r="Y141" i="1"/>
  <c r="X141" i="1"/>
  <c r="W141" i="1"/>
  <c r="V141" i="1"/>
  <c r="Y140" i="1"/>
  <c r="X140" i="1"/>
  <c r="W140" i="1"/>
  <c r="V140" i="1"/>
  <c r="Y139" i="1"/>
  <c r="X139" i="1"/>
  <c r="W139" i="1"/>
  <c r="V139" i="1"/>
  <c r="Y138" i="1"/>
  <c r="X138" i="1"/>
  <c r="W138" i="1"/>
  <c r="V138" i="1"/>
  <c r="Y137" i="1"/>
  <c r="X137" i="1"/>
  <c r="W137" i="1"/>
  <c r="V137" i="1"/>
  <c r="Y136" i="1"/>
  <c r="X136" i="1"/>
  <c r="W136" i="1"/>
  <c r="V136" i="1"/>
  <c r="Y135" i="1"/>
  <c r="X135" i="1"/>
  <c r="W135" i="1"/>
  <c r="V135" i="1"/>
  <c r="Y134" i="1"/>
  <c r="X134" i="1"/>
  <c r="W134" i="1"/>
  <c r="V134" i="1"/>
  <c r="Y133" i="1"/>
  <c r="X133" i="1"/>
  <c r="W133" i="1"/>
  <c r="V133" i="1"/>
  <c r="Y132" i="1"/>
  <c r="X132" i="1"/>
  <c r="W132" i="1"/>
  <c r="V132" i="1"/>
  <c r="Y131" i="1"/>
  <c r="X131" i="1"/>
  <c r="W131" i="1"/>
  <c r="V131" i="1"/>
  <c r="Y130" i="1"/>
  <c r="X130" i="1"/>
  <c r="W130" i="1"/>
  <c r="V130" i="1"/>
  <c r="Y129" i="1"/>
  <c r="X129" i="1"/>
  <c r="W129" i="1"/>
  <c r="V129" i="1"/>
  <c r="Y128" i="1"/>
  <c r="X128" i="1"/>
  <c r="W128" i="1"/>
  <c r="V128" i="1"/>
  <c r="Y127" i="1"/>
  <c r="X127" i="1"/>
  <c r="W127" i="1"/>
  <c r="V127" i="1"/>
  <c r="Y126" i="1"/>
  <c r="X126" i="1"/>
  <c r="W126" i="1"/>
  <c r="V126" i="1"/>
  <c r="Y125" i="1"/>
  <c r="X125" i="1"/>
  <c r="W125" i="1"/>
  <c r="V125" i="1"/>
  <c r="Y124" i="1"/>
  <c r="X124" i="1"/>
  <c r="W124" i="1"/>
  <c r="V124" i="1"/>
  <c r="Y123" i="1"/>
  <c r="X123" i="1"/>
  <c r="W123" i="1"/>
  <c r="V123" i="1"/>
  <c r="Y122" i="1"/>
  <c r="X122" i="1"/>
  <c r="W122" i="1"/>
  <c r="V122" i="1"/>
  <c r="Y121" i="1"/>
  <c r="X121" i="1"/>
  <c r="W121" i="1"/>
  <c r="V121" i="1"/>
  <c r="Y120" i="1"/>
  <c r="X120" i="1"/>
  <c r="W120" i="1"/>
  <c r="V120" i="1"/>
  <c r="Y119" i="1"/>
  <c r="X119" i="1"/>
  <c r="W119" i="1"/>
  <c r="V119" i="1"/>
  <c r="Y118" i="1"/>
  <c r="X118" i="1"/>
  <c r="W118" i="1"/>
  <c r="V118" i="1"/>
  <c r="Y117" i="1"/>
  <c r="X117" i="1"/>
  <c r="W117" i="1"/>
  <c r="V117" i="1"/>
  <c r="Y116" i="1"/>
  <c r="X116" i="1"/>
  <c r="W116" i="1"/>
  <c r="V116" i="1"/>
  <c r="Y115" i="1"/>
  <c r="X115" i="1"/>
  <c r="W115" i="1"/>
  <c r="V115" i="1"/>
  <c r="Y114" i="1"/>
  <c r="X114" i="1"/>
  <c r="W114" i="1"/>
  <c r="V114" i="1"/>
  <c r="Y113" i="1"/>
  <c r="X113" i="1"/>
  <c r="W113" i="1"/>
  <c r="V113" i="1"/>
  <c r="Y112" i="1"/>
  <c r="X112" i="1"/>
  <c r="W112" i="1"/>
  <c r="V112" i="1"/>
  <c r="Y111" i="1"/>
  <c r="X111" i="1"/>
  <c r="W111" i="1"/>
  <c r="V111" i="1"/>
  <c r="Y110" i="1"/>
  <c r="X110" i="1"/>
  <c r="W110" i="1"/>
  <c r="V110" i="1"/>
  <c r="Y109" i="1"/>
  <c r="X109" i="1"/>
  <c r="W109" i="1"/>
  <c r="V109" i="1"/>
  <c r="Y108" i="1"/>
  <c r="X108" i="1"/>
  <c r="W108" i="1"/>
  <c r="V108" i="1"/>
  <c r="Y107" i="1"/>
  <c r="X107" i="1"/>
  <c r="W107" i="1"/>
  <c r="V107" i="1"/>
  <c r="Y106" i="1"/>
  <c r="X106" i="1"/>
  <c r="W106" i="1"/>
  <c r="V106" i="1"/>
  <c r="Y105" i="1"/>
  <c r="X105" i="1"/>
  <c r="W105" i="1"/>
  <c r="V105" i="1"/>
  <c r="Y104" i="1"/>
  <c r="X104" i="1"/>
  <c r="W104" i="1"/>
  <c r="V104" i="1"/>
  <c r="Y103" i="1"/>
  <c r="X103" i="1"/>
  <c r="W103" i="1"/>
  <c r="V103" i="1"/>
  <c r="Y102" i="1"/>
  <c r="X102" i="1"/>
  <c r="W102" i="1"/>
  <c r="V102" i="1"/>
  <c r="Y101" i="1"/>
  <c r="X101" i="1"/>
  <c r="W101" i="1"/>
  <c r="V101" i="1"/>
  <c r="Y100" i="1"/>
  <c r="X100" i="1"/>
  <c r="W100" i="1"/>
  <c r="V100" i="1"/>
  <c r="Y99" i="1"/>
  <c r="X99" i="1"/>
  <c r="W99" i="1"/>
  <c r="V99" i="1"/>
  <c r="Y98" i="1"/>
  <c r="X98" i="1"/>
  <c r="W98" i="1"/>
  <c r="V98" i="1"/>
  <c r="Y97" i="1"/>
  <c r="X97" i="1"/>
  <c r="W97" i="1"/>
  <c r="V97" i="1"/>
  <c r="Y96" i="1"/>
  <c r="X96" i="1"/>
  <c r="W96" i="1"/>
  <c r="V96" i="1"/>
  <c r="Y95" i="1"/>
  <c r="X95" i="1"/>
  <c r="W95" i="1"/>
  <c r="V95" i="1"/>
  <c r="Y94" i="1"/>
  <c r="X94" i="1"/>
  <c r="W94" i="1"/>
  <c r="V94" i="1"/>
  <c r="Y93" i="1"/>
  <c r="X93" i="1"/>
  <c r="W93" i="1"/>
  <c r="V93" i="1"/>
  <c r="Y92" i="1"/>
  <c r="X92" i="1"/>
  <c r="W92" i="1"/>
  <c r="V92" i="1"/>
  <c r="Y91" i="1"/>
  <c r="X91" i="1"/>
  <c r="W91" i="1"/>
  <c r="V91" i="1"/>
  <c r="Y90" i="1"/>
  <c r="X90" i="1"/>
  <c r="W90" i="1"/>
  <c r="V90" i="1"/>
  <c r="Y89" i="1"/>
  <c r="X89" i="1"/>
  <c r="W89" i="1"/>
  <c r="V89" i="1"/>
  <c r="Y88" i="1"/>
  <c r="X88" i="1"/>
  <c r="W88" i="1"/>
  <c r="V88" i="1"/>
  <c r="Y87" i="1"/>
  <c r="X87" i="1"/>
  <c r="W87" i="1"/>
  <c r="V87" i="1"/>
  <c r="Y86" i="1"/>
  <c r="X86" i="1"/>
  <c r="W86" i="1"/>
  <c r="V86" i="1"/>
  <c r="Y85" i="1"/>
  <c r="X85" i="1"/>
  <c r="W85" i="1"/>
  <c r="V85" i="1"/>
  <c r="Y84" i="1"/>
  <c r="X84" i="1"/>
  <c r="W84" i="1"/>
  <c r="V84" i="1"/>
  <c r="Y83" i="1"/>
  <c r="X83" i="1"/>
  <c r="W83" i="1"/>
  <c r="V83" i="1"/>
  <c r="Y82" i="1"/>
  <c r="X82" i="1"/>
  <c r="W82" i="1"/>
  <c r="V82" i="1"/>
  <c r="Y81" i="1"/>
  <c r="X81" i="1"/>
  <c r="W81" i="1"/>
  <c r="V81" i="1"/>
  <c r="Y80" i="1"/>
  <c r="X80" i="1"/>
  <c r="W80" i="1"/>
  <c r="V80" i="1"/>
  <c r="Y79" i="1"/>
  <c r="X79" i="1"/>
  <c r="W79" i="1"/>
  <c r="V79" i="1"/>
  <c r="Y78" i="1"/>
  <c r="X78" i="1"/>
  <c r="W78" i="1"/>
  <c r="V78" i="1"/>
  <c r="Y77" i="1"/>
  <c r="X77" i="1"/>
  <c r="W77" i="1"/>
  <c r="V77" i="1"/>
  <c r="Y76" i="1"/>
  <c r="X76" i="1"/>
  <c r="W76" i="1"/>
  <c r="V76" i="1"/>
  <c r="Y75" i="1"/>
  <c r="X75" i="1"/>
  <c r="W75" i="1"/>
  <c r="V75" i="1"/>
  <c r="Y74" i="1"/>
  <c r="X74" i="1"/>
  <c r="W74" i="1"/>
  <c r="V74" i="1"/>
  <c r="Y73" i="1"/>
  <c r="X73" i="1"/>
  <c r="W73" i="1"/>
  <c r="V73" i="1"/>
  <c r="Y72" i="1"/>
  <c r="X72" i="1"/>
  <c r="W72" i="1"/>
  <c r="V72" i="1"/>
  <c r="Y71" i="1"/>
  <c r="X71" i="1"/>
  <c r="W71" i="1"/>
  <c r="V71" i="1"/>
  <c r="Y70" i="1"/>
  <c r="X70" i="1"/>
  <c r="W70" i="1"/>
  <c r="V70" i="1"/>
  <c r="Y69" i="1"/>
  <c r="X69" i="1"/>
  <c r="W69" i="1"/>
  <c r="V69" i="1"/>
  <c r="Y68" i="1"/>
  <c r="X68" i="1"/>
  <c r="W68" i="1"/>
  <c r="V68" i="1"/>
  <c r="Y67" i="1"/>
  <c r="X67" i="1"/>
  <c r="W67" i="1"/>
  <c r="V67" i="1"/>
  <c r="Y66" i="1"/>
  <c r="X66" i="1"/>
  <c r="W66" i="1"/>
  <c r="V66" i="1"/>
  <c r="Y65" i="1"/>
  <c r="X65" i="1"/>
  <c r="W65" i="1"/>
  <c r="V65" i="1"/>
  <c r="Y64" i="1"/>
  <c r="X64" i="1"/>
  <c r="W64" i="1"/>
  <c r="V64" i="1"/>
  <c r="Y63" i="1"/>
  <c r="X63" i="1"/>
  <c r="W63" i="1"/>
  <c r="V63" i="1"/>
  <c r="Y62" i="1"/>
  <c r="X62" i="1"/>
  <c r="W62" i="1"/>
  <c r="V62" i="1"/>
  <c r="Y61" i="1"/>
  <c r="X61" i="1"/>
  <c r="W61" i="1"/>
  <c r="V61" i="1"/>
  <c r="Y60" i="1"/>
  <c r="X60" i="1"/>
  <c r="W60" i="1"/>
  <c r="V60" i="1"/>
  <c r="Y59" i="1"/>
  <c r="X59" i="1"/>
  <c r="W59" i="1"/>
  <c r="V59" i="1"/>
  <c r="Y58" i="1"/>
  <c r="X58" i="1"/>
  <c r="W58" i="1"/>
  <c r="V58" i="1"/>
  <c r="Y57" i="1"/>
  <c r="X57" i="1"/>
  <c r="W57" i="1"/>
  <c r="V57" i="1"/>
  <c r="Y56" i="1"/>
  <c r="X56" i="1"/>
  <c r="W56" i="1"/>
  <c r="V56" i="1"/>
  <c r="Y55" i="1"/>
  <c r="X55" i="1"/>
  <c r="W55" i="1"/>
  <c r="V55" i="1"/>
  <c r="Y54" i="1"/>
  <c r="X54" i="1"/>
  <c r="W54" i="1"/>
  <c r="V54" i="1"/>
  <c r="Y53" i="1"/>
  <c r="X53" i="1"/>
  <c r="W53" i="1"/>
  <c r="V53" i="1"/>
  <c r="Y52" i="1"/>
  <c r="X52" i="1"/>
  <c r="W52" i="1"/>
  <c r="V52" i="1"/>
  <c r="Y51" i="1"/>
  <c r="X51" i="1"/>
  <c r="W51" i="1"/>
  <c r="V51" i="1"/>
  <c r="Y50" i="1"/>
  <c r="X50" i="1"/>
  <c r="W50" i="1"/>
  <c r="V50" i="1"/>
  <c r="Y49" i="1"/>
  <c r="X49" i="1"/>
  <c r="W49" i="1"/>
  <c r="V49" i="1"/>
  <c r="Y48" i="1"/>
  <c r="X48" i="1"/>
  <c r="W48" i="1"/>
  <c r="V48" i="1"/>
  <c r="Y47" i="1"/>
  <c r="X47" i="1"/>
  <c r="W47" i="1"/>
  <c r="V47" i="1"/>
  <c r="Y46" i="1"/>
  <c r="X46" i="1"/>
  <c r="W46" i="1"/>
  <c r="V46" i="1"/>
  <c r="Y45" i="1"/>
  <c r="X45" i="1"/>
  <c r="W45" i="1"/>
  <c r="V45" i="1"/>
  <c r="Y44" i="1"/>
  <c r="X44" i="1"/>
  <c r="W44" i="1"/>
  <c r="V44" i="1"/>
  <c r="Y43" i="1"/>
  <c r="X43" i="1"/>
  <c r="W43" i="1"/>
  <c r="V43" i="1"/>
  <c r="Y42" i="1"/>
  <c r="X42" i="1"/>
  <c r="W42" i="1"/>
  <c r="V42" i="1"/>
  <c r="Y41" i="1"/>
  <c r="X41" i="1"/>
  <c r="W41" i="1"/>
  <c r="V41" i="1"/>
  <c r="Y40" i="1"/>
  <c r="X40" i="1"/>
  <c r="W40" i="1"/>
  <c r="V40" i="1"/>
  <c r="Y39" i="1"/>
  <c r="X39" i="1"/>
  <c r="W39" i="1"/>
  <c r="V39" i="1"/>
  <c r="Y37" i="1"/>
  <c r="X37" i="1"/>
  <c r="W37" i="1"/>
  <c r="V37" i="1"/>
  <c r="Y36" i="1"/>
  <c r="X36" i="1"/>
  <c r="W36" i="1"/>
  <c r="V36" i="1"/>
  <c r="Y35" i="1"/>
  <c r="X35" i="1"/>
  <c r="W35" i="1"/>
  <c r="V35" i="1"/>
  <c r="Y33" i="1"/>
  <c r="X33" i="1"/>
  <c r="W33" i="1"/>
  <c r="V33" i="1"/>
  <c r="Y32" i="1"/>
  <c r="X32" i="1"/>
  <c r="W32" i="1"/>
  <c r="V32" i="1"/>
  <c r="Y31" i="1"/>
  <c r="X31" i="1"/>
  <c r="W31" i="1"/>
  <c r="V31" i="1"/>
  <c r="Y30" i="1"/>
  <c r="X30" i="1"/>
  <c r="W30" i="1"/>
  <c r="V30" i="1"/>
  <c r="Y29" i="1"/>
  <c r="X29" i="1"/>
  <c r="W29" i="1"/>
  <c r="V29" i="1"/>
  <c r="Y28" i="1"/>
  <c r="X28" i="1"/>
  <c r="W28" i="1"/>
  <c r="V28" i="1"/>
  <c r="Y27" i="1"/>
  <c r="X27" i="1"/>
  <c r="W27" i="1"/>
  <c r="V27" i="1"/>
  <c r="Y26" i="1"/>
  <c r="X26" i="1"/>
  <c r="W26" i="1"/>
  <c r="V26" i="1"/>
  <c r="Y25" i="1"/>
  <c r="X25" i="1"/>
  <c r="W25" i="1"/>
  <c r="V25" i="1"/>
  <c r="Y24" i="1"/>
  <c r="X24" i="1"/>
  <c r="W24" i="1"/>
  <c r="V24" i="1"/>
  <c r="Y23" i="1"/>
  <c r="X23" i="1"/>
  <c r="W23" i="1"/>
  <c r="V23" i="1"/>
  <c r="Y22" i="1"/>
  <c r="X22" i="1"/>
  <c r="W22" i="1"/>
  <c r="V22" i="1"/>
  <c r="Y21" i="1"/>
  <c r="X21" i="1"/>
  <c r="W21" i="1"/>
  <c r="V21" i="1"/>
  <c r="Y20" i="1"/>
  <c r="X20" i="1"/>
  <c r="W20" i="1"/>
  <c r="V20" i="1"/>
  <c r="Y19" i="1"/>
  <c r="X19" i="1"/>
  <c r="W19" i="1"/>
  <c r="V19" i="1"/>
  <c r="Y18" i="1"/>
  <c r="X18" i="1"/>
  <c r="W18" i="1"/>
  <c r="V18" i="1"/>
  <c r="Y17" i="1"/>
  <c r="X17" i="1"/>
  <c r="W17" i="1"/>
  <c r="V17" i="1"/>
  <c r="Y16" i="1"/>
  <c r="X16" i="1"/>
  <c r="W16" i="1"/>
  <c r="V16" i="1"/>
  <c r="Y15" i="1"/>
  <c r="X15" i="1"/>
  <c r="W15" i="1"/>
  <c r="V15" i="1"/>
  <c r="Y14" i="1"/>
  <c r="X14" i="1"/>
  <c r="W14" i="1"/>
  <c r="V14" i="1"/>
  <c r="Y13" i="1"/>
  <c r="X13" i="1"/>
  <c r="W13" i="1"/>
  <c r="V13" i="1"/>
  <c r="W12" i="1"/>
  <c r="X12" i="1"/>
  <c r="Y12" i="1"/>
  <c r="V12" i="1"/>
  <c r="Y11" i="1"/>
  <c r="X11" i="1"/>
  <c r="W11" i="1"/>
  <c r="V11" i="1"/>
  <c r="Y10" i="1"/>
  <c r="X10" i="1"/>
  <c r="W10" i="1"/>
  <c r="V10" i="1"/>
  <c r="Y9" i="1"/>
  <c r="X9" i="1"/>
  <c r="W9" i="1"/>
  <c r="V9" i="1"/>
  <c r="Y8" i="1"/>
  <c r="X8" i="1"/>
  <c r="W8" i="1"/>
  <c r="V8" i="1"/>
  <c r="Y7" i="1"/>
  <c r="X7" i="1"/>
  <c r="W7" i="1"/>
  <c r="V7" i="1"/>
  <c r="Y6" i="1"/>
  <c r="X6" i="1"/>
  <c r="W6" i="1"/>
  <c r="V6" i="1"/>
  <c r="Y5" i="1"/>
  <c r="X5" i="1"/>
  <c r="W5" i="1"/>
  <c r="V5" i="1"/>
  <c r="X4" i="1"/>
  <c r="Y4" i="1"/>
  <c r="W4" i="1"/>
  <c r="V4" i="1"/>
  <c r="J282" i="1" l="1"/>
  <c r="K282" i="1" s="1"/>
  <c r="J279" i="1"/>
  <c r="K279" i="1" s="1"/>
  <c r="J283" i="1"/>
  <c r="K283" i="1" s="1"/>
  <c r="J284" i="1"/>
  <c r="K284" i="1" s="1"/>
  <c r="J286" i="1"/>
  <c r="K286" i="1" s="1"/>
  <c r="J287" i="1"/>
  <c r="K287" i="1" s="1"/>
  <c r="J281" i="1"/>
  <c r="K281" i="1" s="1"/>
  <c r="J278" i="1"/>
  <c r="K278" i="1" s="1"/>
  <c r="J277" i="1"/>
  <c r="K277" i="1" s="1"/>
  <c r="J280" i="1"/>
  <c r="K280" i="1" s="1"/>
  <c r="J275" i="1"/>
  <c r="K275" i="1" s="1"/>
  <c r="J285" i="1"/>
  <c r="K285" i="1" s="1"/>
  <c r="J276" i="1"/>
  <c r="K276" i="1" s="1"/>
  <c r="J274" i="1"/>
  <c r="K274" i="1" s="1"/>
  <c r="I260" i="1"/>
  <c r="H260" i="1"/>
  <c r="I211" i="1"/>
  <c r="H211" i="1"/>
  <c r="I215" i="1"/>
  <c r="H215" i="1"/>
  <c r="I214" i="1"/>
  <c r="H214" i="1"/>
  <c r="I208" i="1"/>
  <c r="H208" i="1"/>
  <c r="I30" i="1"/>
  <c r="H30" i="1"/>
  <c r="I55" i="1"/>
  <c r="H55" i="1"/>
  <c r="I190" i="1"/>
  <c r="H190" i="1"/>
  <c r="I253" i="1"/>
  <c r="H253" i="1"/>
  <c r="I207" i="1"/>
  <c r="H207" i="1"/>
  <c r="I149" i="1"/>
  <c r="H149" i="1"/>
  <c r="I163" i="1"/>
  <c r="H163" i="1"/>
  <c r="I115" i="1"/>
  <c r="H115" i="1"/>
  <c r="I101" i="1"/>
  <c r="H101" i="1"/>
  <c r="I88" i="1"/>
  <c r="H88" i="1"/>
  <c r="I50" i="1"/>
  <c r="H50" i="1"/>
  <c r="I49" i="1"/>
  <c r="H49" i="1"/>
  <c r="I46" i="1"/>
  <c r="H46" i="1"/>
  <c r="I45" i="1"/>
  <c r="H45" i="1"/>
  <c r="I43" i="1"/>
  <c r="H43" i="1"/>
  <c r="I41" i="1"/>
  <c r="H41" i="1"/>
  <c r="I231" i="1"/>
  <c r="H231" i="1"/>
  <c r="I230" i="1"/>
  <c r="H230" i="1"/>
  <c r="I229" i="1"/>
  <c r="H229" i="1"/>
  <c r="I228" i="1"/>
  <c r="H228" i="1"/>
  <c r="I227" i="1"/>
  <c r="H227" i="1"/>
  <c r="I226" i="1"/>
  <c r="H226" i="1"/>
  <c r="I225" i="1"/>
  <c r="H225" i="1"/>
  <c r="I224" i="1"/>
  <c r="H224" i="1"/>
  <c r="I289" i="1"/>
  <c r="H289" i="1"/>
  <c r="I288" i="1"/>
  <c r="H288" i="1"/>
  <c r="I263" i="1"/>
  <c r="H263" i="1"/>
  <c r="I262" i="1"/>
  <c r="H262" i="1"/>
  <c r="I261" i="1"/>
  <c r="H261" i="1"/>
  <c r="I259" i="1"/>
  <c r="H259" i="1"/>
  <c r="I258" i="1"/>
  <c r="H258" i="1"/>
  <c r="I255" i="1"/>
  <c r="H255" i="1"/>
  <c r="I248" i="1"/>
  <c r="H248" i="1"/>
  <c r="I246" i="1"/>
  <c r="H246" i="1"/>
  <c r="I245" i="1"/>
  <c r="H245" i="1"/>
  <c r="I244" i="1"/>
  <c r="H244" i="1"/>
  <c r="I243" i="1"/>
  <c r="H243" i="1"/>
  <c r="I242" i="1"/>
  <c r="H242" i="1"/>
  <c r="I241" i="1"/>
  <c r="H241" i="1"/>
  <c r="I240" i="1"/>
  <c r="H240" i="1"/>
  <c r="I223" i="1"/>
  <c r="H223" i="1"/>
  <c r="I206" i="1"/>
  <c r="H206" i="1"/>
  <c r="I236" i="1"/>
  <c r="H236" i="1"/>
  <c r="I64" i="1"/>
  <c r="H64" i="1"/>
  <c r="I35" i="1"/>
  <c r="H35" i="1"/>
  <c r="I196" i="1"/>
  <c r="H196" i="1"/>
  <c r="I51" i="1"/>
  <c r="H51" i="1"/>
  <c r="I249" i="1"/>
  <c r="H249" i="1"/>
  <c r="I48" i="1"/>
  <c r="H48" i="1"/>
  <c r="I44" i="1"/>
  <c r="H44" i="1"/>
  <c r="I220" i="1"/>
  <c r="H220" i="1"/>
  <c r="I162" i="1"/>
  <c r="H162" i="1"/>
  <c r="I97" i="1"/>
  <c r="H97" i="1"/>
  <c r="I171" i="1"/>
  <c r="H171" i="1"/>
  <c r="I116" i="1"/>
  <c r="H116" i="1"/>
  <c r="I188" i="1"/>
  <c r="H188" i="1"/>
  <c r="I170" i="1"/>
  <c r="H170" i="1"/>
  <c r="I219" i="1"/>
  <c r="H219" i="1"/>
  <c r="I52" i="1"/>
  <c r="H52" i="1"/>
  <c r="I47" i="1"/>
  <c r="H47" i="1"/>
  <c r="I264" i="1"/>
  <c r="H264" i="1"/>
  <c r="I114" i="1"/>
  <c r="H114" i="1"/>
  <c r="I154" i="1"/>
  <c r="H154" i="1"/>
  <c r="I131" i="1"/>
  <c r="H131" i="1"/>
  <c r="I24" i="1"/>
  <c r="H24" i="1"/>
  <c r="I8" i="1"/>
  <c r="H8" i="1"/>
  <c r="I178" i="1"/>
  <c r="H178" i="1"/>
  <c r="I218" i="1"/>
  <c r="H218" i="1"/>
  <c r="I290" i="1"/>
  <c r="H290" i="1"/>
  <c r="I158" i="1"/>
  <c r="H158" i="1"/>
  <c r="I42" i="1"/>
  <c r="H42" i="1"/>
  <c r="I201" i="1"/>
  <c r="H201" i="1"/>
  <c r="I216" i="1"/>
  <c r="H216" i="1"/>
  <c r="I198" i="1"/>
  <c r="H198" i="1"/>
  <c r="I18" i="1"/>
  <c r="H18" i="1"/>
  <c r="I265" i="1"/>
  <c r="H265" i="1"/>
  <c r="I210" i="1"/>
  <c r="H210" i="1"/>
  <c r="I165" i="1"/>
  <c r="H165" i="1"/>
  <c r="I251" i="1"/>
  <c r="H251" i="1"/>
  <c r="I177" i="1"/>
  <c r="H177" i="1"/>
  <c r="I65" i="1"/>
  <c r="H65" i="1"/>
  <c r="I123" i="1"/>
  <c r="H123" i="1"/>
  <c r="I95" i="1"/>
  <c r="H95" i="1"/>
  <c r="I152" i="1"/>
  <c r="H152" i="1"/>
  <c r="I85" i="1"/>
  <c r="H85" i="1"/>
  <c r="I112" i="1"/>
  <c r="H112" i="1"/>
  <c r="I221" i="1"/>
  <c r="H221" i="1"/>
  <c r="I136" i="1"/>
  <c r="H136" i="1"/>
  <c r="I200" i="1"/>
  <c r="H200" i="1"/>
  <c r="I212" i="1"/>
  <c r="H212" i="1"/>
  <c r="I53" i="1"/>
  <c r="H53" i="1"/>
  <c r="I15" i="1"/>
  <c r="H15" i="1"/>
  <c r="I26" i="1"/>
  <c r="H26" i="1"/>
  <c r="I168" i="1"/>
  <c r="H168" i="1"/>
  <c r="I103" i="1"/>
  <c r="H103" i="1"/>
  <c r="I87" i="1"/>
  <c r="H87" i="1"/>
  <c r="I269" i="1"/>
  <c r="H269" i="1"/>
  <c r="I9" i="1"/>
  <c r="H9" i="1"/>
  <c r="I189" i="1"/>
  <c r="H189" i="1"/>
  <c r="I205" i="1"/>
  <c r="H205" i="1"/>
  <c r="I127" i="1"/>
  <c r="H127" i="1"/>
  <c r="I40" i="1"/>
  <c r="H40" i="1"/>
  <c r="I104" i="1"/>
  <c r="H104" i="1"/>
  <c r="I137" i="1"/>
  <c r="H137" i="1"/>
  <c r="I80" i="1"/>
  <c r="H80" i="1"/>
  <c r="I199" i="1"/>
  <c r="H199" i="1"/>
  <c r="I234" i="1"/>
  <c r="H234" i="1"/>
  <c r="I174" i="1"/>
  <c r="H174" i="1"/>
  <c r="I38" i="1"/>
  <c r="H38" i="1"/>
  <c r="I169" i="1"/>
  <c r="H169" i="1"/>
  <c r="I74" i="1"/>
  <c r="H74" i="1"/>
  <c r="I142" i="1"/>
  <c r="H142" i="1"/>
  <c r="I157" i="1"/>
  <c r="H157" i="1"/>
  <c r="I268" i="1"/>
  <c r="H268" i="1"/>
  <c r="I222" i="1"/>
  <c r="H222" i="1"/>
  <c r="I32" i="1"/>
  <c r="H32" i="1"/>
  <c r="I179" i="1"/>
  <c r="H179" i="1"/>
  <c r="I23" i="1"/>
  <c r="H23" i="1"/>
  <c r="I192" i="1"/>
  <c r="H192" i="1"/>
  <c r="I186" i="1"/>
  <c r="H186" i="1"/>
  <c r="I254" i="1"/>
  <c r="H254" i="1"/>
  <c r="I252" i="1"/>
  <c r="H252" i="1"/>
  <c r="I11" i="1"/>
  <c r="H11" i="1"/>
  <c r="I39" i="1"/>
  <c r="H39" i="1"/>
  <c r="I217" i="1"/>
  <c r="H217" i="1"/>
  <c r="I191" i="1"/>
  <c r="H191" i="1"/>
  <c r="I84" i="1"/>
  <c r="H84" i="1"/>
  <c r="I83" i="1"/>
  <c r="H83" i="1"/>
  <c r="I213" i="1"/>
  <c r="H213" i="1"/>
  <c r="I28" i="1"/>
  <c r="H28" i="1"/>
  <c r="I29" i="1"/>
  <c r="H29" i="1"/>
  <c r="I140" i="1"/>
  <c r="H140" i="1"/>
  <c r="I273" i="1"/>
  <c r="H273" i="1"/>
  <c r="I156" i="1"/>
  <c r="H156" i="1"/>
  <c r="I98" i="1"/>
  <c r="H98" i="1"/>
  <c r="I184" i="1"/>
  <c r="H184" i="1"/>
  <c r="I209" i="1"/>
  <c r="H209" i="1"/>
  <c r="I60" i="1"/>
  <c r="H60" i="1"/>
  <c r="I150" i="1"/>
  <c r="H150" i="1"/>
  <c r="I194" i="1"/>
  <c r="H194" i="1"/>
  <c r="I76" i="1"/>
  <c r="H76" i="1"/>
  <c r="I119" i="1"/>
  <c r="H119" i="1"/>
  <c r="I117" i="1"/>
  <c r="H117" i="1"/>
  <c r="I86" i="1"/>
  <c r="H86" i="1"/>
  <c r="I25" i="1"/>
  <c r="H25" i="1"/>
  <c r="I204" i="1"/>
  <c r="H204" i="1"/>
  <c r="I141" i="1"/>
  <c r="H141" i="1"/>
  <c r="I135" i="1"/>
  <c r="H135" i="1"/>
  <c r="I144" i="1"/>
  <c r="H144" i="1"/>
  <c r="I146" i="1"/>
  <c r="H146" i="1"/>
  <c r="I69" i="1"/>
  <c r="H69" i="1"/>
  <c r="I94" i="1"/>
  <c r="H94" i="1"/>
  <c r="I128" i="1"/>
  <c r="H128" i="1"/>
  <c r="I82" i="1"/>
  <c r="H82" i="1"/>
  <c r="I54" i="1"/>
  <c r="H54" i="1"/>
  <c r="I147" i="1"/>
  <c r="H147" i="1"/>
  <c r="I167" i="1"/>
  <c r="H167" i="1"/>
  <c r="I125" i="1"/>
  <c r="H125" i="1"/>
  <c r="I247" i="1"/>
  <c r="H247" i="1"/>
  <c r="I110" i="1"/>
  <c r="H110" i="1"/>
  <c r="I193" i="1"/>
  <c r="H193" i="1"/>
  <c r="I151" i="1"/>
  <c r="H151" i="1"/>
  <c r="I138" i="1"/>
  <c r="H138" i="1"/>
  <c r="I107" i="1"/>
  <c r="H107" i="1"/>
  <c r="I145" i="1"/>
  <c r="H145" i="1"/>
  <c r="I175" i="1"/>
  <c r="H175" i="1"/>
  <c r="I197" i="1"/>
  <c r="H197" i="1"/>
  <c r="I105" i="1"/>
  <c r="H105" i="1"/>
  <c r="I14" i="1"/>
  <c r="H14" i="1"/>
  <c r="I20" i="1"/>
  <c r="H20" i="1"/>
  <c r="I271" i="1"/>
  <c r="H271" i="1"/>
  <c r="I70" i="1"/>
  <c r="H70" i="1"/>
  <c r="I143" i="1"/>
  <c r="H143" i="1"/>
  <c r="I63" i="1"/>
  <c r="H63" i="1"/>
  <c r="I185" i="1"/>
  <c r="H185" i="1"/>
  <c r="I237" i="1"/>
  <c r="H237" i="1"/>
  <c r="I159" i="1"/>
  <c r="H159" i="1"/>
  <c r="I34" i="1"/>
  <c r="H34" i="1"/>
  <c r="I126" i="1"/>
  <c r="H126" i="1"/>
  <c r="I72" i="1"/>
  <c r="H72" i="1"/>
  <c r="I59" i="1"/>
  <c r="H59" i="1"/>
  <c r="I37" i="1"/>
  <c r="H37" i="1"/>
  <c r="I13" i="1"/>
  <c r="H13" i="1"/>
  <c r="I153" i="1"/>
  <c r="H153" i="1"/>
  <c r="I183" i="1"/>
  <c r="H183" i="1"/>
  <c r="I71" i="1"/>
  <c r="H71" i="1"/>
  <c r="I272" i="1"/>
  <c r="H272" i="1"/>
  <c r="I113" i="1"/>
  <c r="H113" i="1"/>
  <c r="I118" i="1"/>
  <c r="H118" i="1"/>
  <c r="I100" i="1"/>
  <c r="H100" i="1"/>
  <c r="I75" i="1"/>
  <c r="H75" i="1"/>
  <c r="I6" i="1"/>
  <c r="H6" i="1"/>
  <c r="I203" i="1"/>
  <c r="H203" i="1"/>
  <c r="I33" i="1"/>
  <c r="H33" i="1"/>
  <c r="I31" i="1"/>
  <c r="H31" i="1"/>
  <c r="I90" i="1"/>
  <c r="H90" i="1"/>
  <c r="I270" i="1"/>
  <c r="H270" i="1"/>
  <c r="I96" i="1"/>
  <c r="H96" i="1"/>
  <c r="I176" i="1"/>
  <c r="H176" i="1"/>
  <c r="I266" i="1"/>
  <c r="H266" i="1"/>
  <c r="I267" i="1"/>
  <c r="H267" i="1"/>
  <c r="I239" i="1"/>
  <c r="H239" i="1"/>
  <c r="I132" i="1"/>
  <c r="H132" i="1"/>
  <c r="I109" i="1"/>
  <c r="H109" i="1"/>
  <c r="I232" i="1"/>
  <c r="H232" i="1"/>
  <c r="I161" i="1"/>
  <c r="H161" i="1"/>
  <c r="I58" i="1"/>
  <c r="H58" i="1"/>
  <c r="I124" i="1"/>
  <c r="H124" i="1"/>
  <c r="I164" i="1"/>
  <c r="H164" i="1"/>
  <c r="I17" i="1"/>
  <c r="H17" i="1"/>
  <c r="I91" i="1"/>
  <c r="H91" i="1"/>
  <c r="I250" i="1"/>
  <c r="H250" i="1"/>
  <c r="I202" i="1"/>
  <c r="H202" i="1"/>
  <c r="I166" i="1"/>
  <c r="H166" i="1"/>
  <c r="I108" i="1"/>
  <c r="H108" i="1"/>
  <c r="I106" i="1"/>
  <c r="H106" i="1"/>
  <c r="I111" i="1"/>
  <c r="H111" i="1"/>
  <c r="I121" i="1"/>
  <c r="H121" i="1"/>
  <c r="I21" i="1"/>
  <c r="H21" i="1"/>
  <c r="I22" i="1"/>
  <c r="H22" i="1"/>
  <c r="I195" i="1"/>
  <c r="H195" i="1"/>
  <c r="I89" i="1"/>
  <c r="H89" i="1"/>
  <c r="I92" i="1"/>
  <c r="H92" i="1"/>
  <c r="I130" i="1"/>
  <c r="H130" i="1"/>
  <c r="I62" i="1"/>
  <c r="H62" i="1"/>
  <c r="I81" i="1"/>
  <c r="H81" i="1"/>
  <c r="I5" i="1"/>
  <c r="H5" i="1"/>
  <c r="I4" i="1"/>
  <c r="H4" i="1"/>
  <c r="I122" i="1"/>
  <c r="H122" i="1"/>
  <c r="I19" i="1"/>
  <c r="H19" i="1"/>
  <c r="I235" i="1"/>
  <c r="H235" i="1"/>
  <c r="I155" i="1"/>
  <c r="H155" i="1"/>
  <c r="I16" i="1"/>
  <c r="H16" i="1"/>
  <c r="I187" i="1"/>
  <c r="H187" i="1"/>
  <c r="I7" i="1"/>
  <c r="H7" i="1"/>
  <c r="I27" i="1"/>
  <c r="H27" i="1"/>
  <c r="I36" i="1"/>
  <c r="H36" i="1"/>
  <c r="I12" i="1"/>
  <c r="H12" i="1"/>
  <c r="I180" i="1"/>
  <c r="H180" i="1"/>
  <c r="I93" i="1"/>
  <c r="H93" i="1"/>
  <c r="I133" i="1"/>
  <c r="H133" i="1"/>
  <c r="I181" i="1"/>
  <c r="H181" i="1"/>
  <c r="I61" i="1"/>
  <c r="H61" i="1"/>
  <c r="I102" i="1"/>
  <c r="H102" i="1"/>
  <c r="I134" i="1"/>
  <c r="H134" i="1"/>
  <c r="I56" i="1"/>
  <c r="H56" i="1"/>
  <c r="I182" i="1"/>
  <c r="H182" i="1"/>
  <c r="I66" i="1"/>
  <c r="H66" i="1"/>
  <c r="I73" i="1"/>
  <c r="H73" i="1"/>
  <c r="I67" i="1"/>
  <c r="H67" i="1"/>
  <c r="I57" i="1"/>
  <c r="H57" i="1"/>
  <c r="I10" i="1"/>
  <c r="H10" i="1"/>
  <c r="I257" i="1"/>
  <c r="H257" i="1"/>
  <c r="I129" i="1"/>
  <c r="H129" i="1"/>
  <c r="I68" i="1"/>
  <c r="H68" i="1"/>
  <c r="I160" i="1"/>
  <c r="H160" i="1"/>
  <c r="I99" i="1"/>
  <c r="H99" i="1"/>
  <c r="I78" i="1"/>
  <c r="H78" i="1"/>
  <c r="I79" i="1"/>
  <c r="H79" i="1"/>
  <c r="I256" i="1"/>
  <c r="H256" i="1"/>
  <c r="I77" i="1"/>
  <c r="H77" i="1"/>
  <c r="I148" i="1"/>
  <c r="H148" i="1"/>
  <c r="I233" i="1"/>
  <c r="H233" i="1"/>
  <c r="I238" i="1"/>
  <c r="H238" i="1"/>
  <c r="I120" i="1"/>
  <c r="H120" i="1"/>
  <c r="I139" i="1"/>
  <c r="H139" i="1"/>
  <c r="I173" i="1"/>
  <c r="H173" i="1"/>
  <c r="I172" i="1"/>
  <c r="H172" i="1"/>
  <c r="J120" i="1" l="1"/>
  <c r="K120" i="1" s="1"/>
  <c r="J68" i="1"/>
  <c r="K68" i="1" s="1"/>
  <c r="J182" i="1"/>
  <c r="K182" i="1" s="1"/>
  <c r="J61" i="1"/>
  <c r="K61" i="1" s="1"/>
  <c r="J7" i="1"/>
  <c r="K7" i="1" s="1"/>
  <c r="J235" i="1"/>
  <c r="K235" i="1" s="1"/>
  <c r="J5" i="1"/>
  <c r="K5" i="1" s="1"/>
  <c r="J21" i="1"/>
  <c r="K21" i="1" s="1"/>
  <c r="J250" i="1"/>
  <c r="K250" i="1" s="1"/>
  <c r="J96" i="1"/>
  <c r="K96" i="1" s="1"/>
  <c r="J33" i="1"/>
  <c r="K33" i="1" s="1"/>
  <c r="J100" i="1"/>
  <c r="K100" i="1" s="1"/>
  <c r="J71" i="1"/>
  <c r="K71" i="1" s="1"/>
  <c r="J37" i="1"/>
  <c r="K37" i="1" s="1"/>
  <c r="J34" i="1"/>
  <c r="K34" i="1" s="1"/>
  <c r="J63" i="1"/>
  <c r="K63" i="1" s="1"/>
  <c r="J271" i="1"/>
  <c r="K271" i="1" s="1"/>
  <c r="J197" i="1"/>
  <c r="K197" i="1" s="1"/>
  <c r="J138" i="1"/>
  <c r="K138" i="1" s="1"/>
  <c r="J247" i="1"/>
  <c r="K247" i="1" s="1"/>
  <c r="J54" i="1"/>
  <c r="K54" i="1" s="1"/>
  <c r="J117" i="1"/>
  <c r="K117" i="1" s="1"/>
  <c r="J98" i="1"/>
  <c r="K98" i="1" s="1"/>
  <c r="J84" i="1"/>
  <c r="K84" i="1" s="1"/>
  <c r="J186" i="1"/>
  <c r="K186" i="1" s="1"/>
  <c r="J142" i="1"/>
  <c r="K142" i="1" s="1"/>
  <c r="J80" i="1"/>
  <c r="K80" i="1" s="1"/>
  <c r="J127" i="1"/>
  <c r="K127" i="1" s="1"/>
  <c r="J269" i="1"/>
  <c r="K269" i="1" s="1"/>
  <c r="J26" i="1"/>
  <c r="K26" i="1" s="1"/>
  <c r="J200" i="1"/>
  <c r="K200" i="1" s="1"/>
  <c r="J85" i="1"/>
  <c r="K85" i="1" s="1"/>
  <c r="J65" i="1"/>
  <c r="K65" i="1" s="1"/>
  <c r="J210" i="1"/>
  <c r="K210" i="1" s="1"/>
  <c r="J216" i="1"/>
  <c r="K216" i="1" s="1"/>
  <c r="J290" i="1"/>
  <c r="K290" i="1" s="1"/>
  <c r="J24" i="1"/>
  <c r="K24" i="1" s="1"/>
  <c r="J264" i="1"/>
  <c r="K264" i="1" s="1"/>
  <c r="J170" i="1"/>
  <c r="K170" i="1" s="1"/>
  <c r="J233" i="1"/>
  <c r="K233" i="1" s="1"/>
  <c r="J134" i="1"/>
  <c r="K134" i="1" s="1"/>
  <c r="J133" i="1"/>
  <c r="K133" i="1" s="1"/>
  <c r="J122" i="1"/>
  <c r="K122" i="1" s="1"/>
  <c r="J62" i="1"/>
  <c r="K62" i="1" s="1"/>
  <c r="J17" i="1"/>
  <c r="K17" i="1" s="1"/>
  <c r="J266" i="1"/>
  <c r="K266" i="1" s="1"/>
  <c r="J90" i="1"/>
  <c r="K90" i="1" s="1"/>
  <c r="J144" i="1"/>
  <c r="K144" i="1" s="1"/>
  <c r="J25" i="1"/>
  <c r="K25" i="1" s="1"/>
  <c r="J76" i="1"/>
  <c r="K76" i="1" s="1"/>
  <c r="J273" i="1"/>
  <c r="K273" i="1" s="1"/>
  <c r="J217" i="1"/>
  <c r="K217" i="1" s="1"/>
  <c r="J23" i="1"/>
  <c r="K23" i="1" s="1"/>
  <c r="J268" i="1"/>
  <c r="K268" i="1" s="1"/>
  <c r="J169" i="1"/>
  <c r="K169" i="1" s="1"/>
  <c r="J160" i="1"/>
  <c r="K160" i="1" s="1"/>
  <c r="J4" i="1"/>
  <c r="K4" i="1" s="1"/>
  <c r="J106" i="1"/>
  <c r="K106" i="1" s="1"/>
  <c r="J202" i="1"/>
  <c r="K202" i="1" s="1"/>
  <c r="J239" i="1"/>
  <c r="K239" i="1" s="1"/>
  <c r="J176" i="1"/>
  <c r="K176" i="1" s="1"/>
  <c r="J31" i="1"/>
  <c r="K31" i="1" s="1"/>
  <c r="J75" i="1"/>
  <c r="K75" i="1" s="1"/>
  <c r="J272" i="1"/>
  <c r="K272" i="1" s="1"/>
  <c r="J13" i="1"/>
  <c r="K13" i="1" s="1"/>
  <c r="J126" i="1"/>
  <c r="K126" i="1" s="1"/>
  <c r="J185" i="1"/>
  <c r="K185" i="1" s="1"/>
  <c r="J70" i="1"/>
  <c r="K70" i="1" s="1"/>
  <c r="J105" i="1"/>
  <c r="K105" i="1" s="1"/>
  <c r="J107" i="1"/>
  <c r="K107" i="1" s="1"/>
  <c r="J110" i="1"/>
  <c r="K110" i="1" s="1"/>
  <c r="J147" i="1"/>
  <c r="K147" i="1" s="1"/>
  <c r="J94" i="1"/>
  <c r="K94" i="1" s="1"/>
  <c r="J135" i="1"/>
  <c r="K135" i="1" s="1"/>
  <c r="J86" i="1"/>
  <c r="K86" i="1" s="1"/>
  <c r="J194" i="1"/>
  <c r="K194" i="1" s="1"/>
  <c r="J184" i="1"/>
  <c r="K184" i="1" s="1"/>
  <c r="J140" i="1"/>
  <c r="K140" i="1" s="1"/>
  <c r="J83" i="1"/>
  <c r="K83" i="1" s="1"/>
  <c r="J39" i="1"/>
  <c r="K39" i="1" s="1"/>
  <c r="J179" i="1"/>
  <c r="K179" i="1" s="1"/>
  <c r="J157" i="1"/>
  <c r="K157" i="1" s="1"/>
  <c r="J38" i="1"/>
  <c r="K38" i="1" s="1"/>
  <c r="J199" i="1"/>
  <c r="K199" i="1" s="1"/>
  <c r="J40" i="1"/>
  <c r="K40" i="1" s="1"/>
  <c r="J9" i="1"/>
  <c r="K9" i="1" s="1"/>
  <c r="J168" i="1"/>
  <c r="K168" i="1" s="1"/>
  <c r="J212" i="1"/>
  <c r="K212" i="1" s="1"/>
  <c r="J112" i="1"/>
  <c r="K112" i="1" s="1"/>
  <c r="J123" i="1"/>
  <c r="K123" i="1" s="1"/>
  <c r="J165" i="1"/>
  <c r="K165" i="1" s="1"/>
  <c r="J198" i="1"/>
  <c r="K198" i="1" s="1"/>
  <c r="J158" i="1"/>
  <c r="K158" i="1" s="1"/>
  <c r="J8" i="1"/>
  <c r="K8" i="1" s="1"/>
  <c r="J114" i="1"/>
  <c r="K114" i="1" s="1"/>
  <c r="J219" i="1"/>
  <c r="K219" i="1" s="1"/>
  <c r="J171" i="1"/>
  <c r="K171" i="1" s="1"/>
  <c r="J44" i="1"/>
  <c r="K44" i="1" s="1"/>
  <c r="J196" i="1"/>
  <c r="K196" i="1" s="1"/>
  <c r="J206" i="1"/>
  <c r="K206" i="1" s="1"/>
  <c r="J241" i="1"/>
  <c r="K241" i="1" s="1"/>
  <c r="J243" i="1"/>
  <c r="K243" i="1" s="1"/>
  <c r="J245" i="1"/>
  <c r="K245" i="1" s="1"/>
  <c r="J248" i="1"/>
  <c r="K248" i="1" s="1"/>
  <c r="J258" i="1"/>
  <c r="K258" i="1" s="1"/>
  <c r="J262" i="1"/>
  <c r="K262" i="1" s="1"/>
  <c r="J224" i="1"/>
  <c r="K224" i="1" s="1"/>
  <c r="J228" i="1"/>
  <c r="K228" i="1" s="1"/>
  <c r="J41" i="1"/>
  <c r="K41" i="1" s="1"/>
  <c r="J49" i="1"/>
  <c r="K49" i="1" s="1"/>
  <c r="J115" i="1"/>
  <c r="K115" i="1" s="1"/>
  <c r="J253" i="1"/>
  <c r="K253" i="1" s="1"/>
  <c r="J208" i="1"/>
  <c r="K208" i="1" s="1"/>
  <c r="J260" i="1"/>
  <c r="K260" i="1" s="1"/>
  <c r="J67" i="1"/>
  <c r="K67" i="1" s="1"/>
  <c r="J56" i="1"/>
  <c r="K56" i="1" s="1"/>
  <c r="J12" i="1"/>
  <c r="K12" i="1" s="1"/>
  <c r="J187" i="1"/>
  <c r="K187" i="1" s="1"/>
  <c r="J19" i="1"/>
  <c r="K19" i="1" s="1"/>
  <c r="J89" i="1"/>
  <c r="K89" i="1" s="1"/>
  <c r="J121" i="1"/>
  <c r="K121" i="1" s="1"/>
  <c r="J166" i="1"/>
  <c r="K166" i="1" s="1"/>
  <c r="J58" i="1"/>
  <c r="K58" i="1" s="1"/>
  <c r="J267" i="1"/>
  <c r="K267" i="1" s="1"/>
  <c r="J270" i="1"/>
  <c r="K270" i="1" s="1"/>
  <c r="J203" i="1"/>
  <c r="K203" i="1" s="1"/>
  <c r="J118" i="1"/>
  <c r="K118" i="1" s="1"/>
  <c r="J183" i="1"/>
  <c r="K183" i="1" s="1"/>
  <c r="J59" i="1"/>
  <c r="K59" i="1" s="1"/>
  <c r="J159" i="1"/>
  <c r="K159" i="1" s="1"/>
  <c r="J143" i="1"/>
  <c r="K143" i="1" s="1"/>
  <c r="J20" i="1"/>
  <c r="K20" i="1" s="1"/>
  <c r="J175" i="1"/>
  <c r="K175" i="1" s="1"/>
  <c r="J151" i="1"/>
  <c r="K151" i="1" s="1"/>
  <c r="J125" i="1"/>
  <c r="K125" i="1" s="1"/>
  <c r="J82" i="1"/>
  <c r="K82" i="1" s="1"/>
  <c r="J172" i="1"/>
  <c r="K172" i="1" s="1"/>
  <c r="J238" i="1"/>
  <c r="K238" i="1" s="1"/>
  <c r="J173" i="1"/>
  <c r="K173" i="1" s="1"/>
  <c r="J10" i="1"/>
  <c r="K10" i="1" s="1"/>
  <c r="J148" i="1"/>
  <c r="K148" i="1" s="1"/>
  <c r="J102" i="1"/>
  <c r="K102" i="1" s="1"/>
  <c r="J155" i="1"/>
  <c r="K155" i="1" s="1"/>
  <c r="J139" i="1"/>
  <c r="K139" i="1" s="1"/>
  <c r="J256" i="1"/>
  <c r="K256" i="1" s="1"/>
  <c r="J257" i="1"/>
  <c r="K257" i="1" s="1"/>
  <c r="J146" i="1"/>
  <c r="K146" i="1" s="1"/>
  <c r="J6" i="1"/>
  <c r="K6" i="1" s="1"/>
  <c r="J113" i="1"/>
  <c r="K113" i="1" s="1"/>
  <c r="J153" i="1"/>
  <c r="K153" i="1" s="1"/>
  <c r="J72" i="1"/>
  <c r="K72" i="1" s="1"/>
  <c r="J237" i="1"/>
  <c r="K237" i="1" s="1"/>
  <c r="J14" i="1"/>
  <c r="K14" i="1" s="1"/>
  <c r="J145" i="1"/>
  <c r="K145" i="1" s="1"/>
  <c r="J193" i="1"/>
  <c r="K193" i="1" s="1"/>
  <c r="J167" i="1"/>
  <c r="K167" i="1" s="1"/>
  <c r="J128" i="1"/>
  <c r="K128" i="1" s="1"/>
  <c r="J204" i="1"/>
  <c r="K204" i="1" s="1"/>
  <c r="J119" i="1"/>
  <c r="K119" i="1" s="1"/>
  <c r="J60" i="1"/>
  <c r="K60" i="1" s="1"/>
  <c r="J156" i="1"/>
  <c r="K156" i="1" s="1"/>
  <c r="J28" i="1"/>
  <c r="K28" i="1" s="1"/>
  <c r="J191" i="1"/>
  <c r="K191" i="1" s="1"/>
  <c r="J252" i="1"/>
  <c r="K252" i="1" s="1"/>
  <c r="J192" i="1"/>
  <c r="K192" i="1" s="1"/>
  <c r="J222" i="1"/>
  <c r="K222" i="1" s="1"/>
  <c r="J74" i="1"/>
  <c r="K74" i="1" s="1"/>
  <c r="J234" i="1"/>
  <c r="K234" i="1" s="1"/>
  <c r="J137" i="1"/>
  <c r="K137" i="1" s="1"/>
  <c r="J205" i="1"/>
  <c r="K205" i="1" s="1"/>
  <c r="J87" i="1"/>
  <c r="K87" i="1" s="1"/>
  <c r="J15" i="1"/>
  <c r="K15" i="1" s="1"/>
  <c r="J136" i="1"/>
  <c r="K136" i="1" s="1"/>
  <c r="J152" i="1"/>
  <c r="K152" i="1" s="1"/>
  <c r="J177" i="1"/>
  <c r="K177" i="1" s="1"/>
  <c r="J265" i="1"/>
  <c r="K265" i="1" s="1"/>
  <c r="J201" i="1"/>
  <c r="K201" i="1" s="1"/>
  <c r="J218" i="1"/>
  <c r="K218" i="1" s="1"/>
  <c r="J131" i="1"/>
  <c r="K131" i="1" s="1"/>
  <c r="J47" i="1"/>
  <c r="K47" i="1" s="1"/>
  <c r="J188" i="1"/>
  <c r="K188" i="1" s="1"/>
  <c r="J162" i="1"/>
  <c r="K162" i="1" s="1"/>
  <c r="J249" i="1"/>
  <c r="K249" i="1" s="1"/>
  <c r="J64" i="1"/>
  <c r="K64" i="1" s="1"/>
  <c r="J240" i="1"/>
  <c r="K240" i="1" s="1"/>
  <c r="J242" i="1"/>
  <c r="K242" i="1" s="1"/>
  <c r="J244" i="1"/>
  <c r="K244" i="1" s="1"/>
  <c r="J246" i="1"/>
  <c r="K246" i="1" s="1"/>
  <c r="J255" i="1"/>
  <c r="K255" i="1" s="1"/>
  <c r="J259" i="1"/>
  <c r="K259" i="1" s="1"/>
  <c r="J288" i="1"/>
  <c r="K288" i="1" s="1"/>
  <c r="J226" i="1"/>
  <c r="K226" i="1" s="1"/>
  <c r="J230" i="1"/>
  <c r="K230" i="1" s="1"/>
  <c r="J45" i="1"/>
  <c r="K45" i="1" s="1"/>
  <c r="J88" i="1"/>
  <c r="K88" i="1" s="1"/>
  <c r="J149" i="1"/>
  <c r="K149" i="1" s="1"/>
  <c r="J55" i="1"/>
  <c r="K55" i="1" s="1"/>
  <c r="J215" i="1"/>
  <c r="K215" i="1" s="1"/>
  <c r="J78" i="1"/>
  <c r="K78" i="1" s="1"/>
  <c r="J77" i="1"/>
  <c r="K77" i="1" s="1"/>
  <c r="J99" i="1"/>
  <c r="K99" i="1" s="1"/>
  <c r="J129" i="1"/>
  <c r="K129" i="1" s="1"/>
  <c r="J97" i="1"/>
  <c r="K97" i="1" s="1"/>
  <c r="J48" i="1"/>
  <c r="K48" i="1" s="1"/>
  <c r="J35" i="1"/>
  <c r="K35" i="1" s="1"/>
  <c r="J223" i="1"/>
  <c r="K223" i="1" s="1"/>
  <c r="J263" i="1"/>
  <c r="K263" i="1" s="1"/>
  <c r="J225" i="1"/>
  <c r="K225" i="1" s="1"/>
  <c r="J229" i="1"/>
  <c r="K229" i="1" s="1"/>
  <c r="J43" i="1"/>
  <c r="K43" i="1" s="1"/>
  <c r="J50" i="1"/>
  <c r="K50" i="1" s="1"/>
  <c r="J163" i="1"/>
  <c r="K163" i="1" s="1"/>
  <c r="J190" i="1"/>
  <c r="K190" i="1" s="1"/>
  <c r="J214" i="1"/>
  <c r="K214" i="1" s="1"/>
  <c r="J108" i="1"/>
  <c r="K108" i="1" s="1"/>
  <c r="J109" i="1"/>
  <c r="K109" i="1" s="1"/>
  <c r="J79" i="1"/>
  <c r="K79" i="1" s="1"/>
  <c r="J73" i="1"/>
  <c r="K73" i="1" s="1"/>
  <c r="J93" i="1"/>
  <c r="K93" i="1" s="1"/>
  <c r="J36" i="1"/>
  <c r="K36" i="1" s="1"/>
  <c r="J130" i="1"/>
  <c r="K130" i="1" s="1"/>
  <c r="J195" i="1"/>
  <c r="K195" i="1" s="1"/>
  <c r="J164" i="1"/>
  <c r="K164" i="1" s="1"/>
  <c r="J161" i="1"/>
  <c r="K161" i="1" s="1"/>
  <c r="J57" i="1"/>
  <c r="K57" i="1" s="1"/>
  <c r="J27" i="1"/>
  <c r="K27" i="1" s="1"/>
  <c r="J16" i="1"/>
  <c r="K16" i="1" s="1"/>
  <c r="J22" i="1"/>
  <c r="K22" i="1" s="1"/>
  <c r="J111" i="1"/>
  <c r="K111" i="1" s="1"/>
  <c r="J232" i="1"/>
  <c r="K232" i="1" s="1"/>
  <c r="J132" i="1"/>
  <c r="K132" i="1" s="1"/>
  <c r="J213" i="1"/>
  <c r="K213" i="1" s="1"/>
  <c r="J66" i="1"/>
  <c r="K66" i="1" s="1"/>
  <c r="J181" i="1"/>
  <c r="K181" i="1" s="1"/>
  <c r="J180" i="1"/>
  <c r="K180" i="1" s="1"/>
  <c r="J81" i="1"/>
  <c r="K81" i="1" s="1"/>
  <c r="J92" i="1"/>
  <c r="K92" i="1" s="1"/>
  <c r="J91" i="1"/>
  <c r="K91" i="1" s="1"/>
  <c r="J124" i="1"/>
  <c r="K124" i="1" s="1"/>
  <c r="J141" i="1"/>
  <c r="K141" i="1" s="1"/>
  <c r="J29" i="1"/>
  <c r="K29" i="1" s="1"/>
  <c r="J32" i="1"/>
  <c r="K32" i="1" s="1"/>
  <c r="J209" i="1"/>
  <c r="K209" i="1" s="1"/>
  <c r="J254" i="1"/>
  <c r="K254" i="1" s="1"/>
  <c r="J104" i="1"/>
  <c r="K104" i="1" s="1"/>
  <c r="J189" i="1"/>
  <c r="K189" i="1" s="1"/>
  <c r="J103" i="1"/>
  <c r="K103" i="1" s="1"/>
  <c r="J53" i="1"/>
  <c r="K53" i="1" s="1"/>
  <c r="J221" i="1"/>
  <c r="K221" i="1" s="1"/>
  <c r="J95" i="1"/>
  <c r="K95" i="1" s="1"/>
  <c r="J251" i="1"/>
  <c r="K251" i="1" s="1"/>
  <c r="J18" i="1"/>
  <c r="K18" i="1" s="1"/>
  <c r="J42" i="1"/>
  <c r="K42" i="1" s="1"/>
  <c r="J178" i="1"/>
  <c r="K178" i="1" s="1"/>
  <c r="J154" i="1"/>
  <c r="K154" i="1" s="1"/>
  <c r="J52" i="1"/>
  <c r="K52" i="1" s="1"/>
  <c r="J116" i="1"/>
  <c r="K116" i="1" s="1"/>
  <c r="J220" i="1"/>
  <c r="K220" i="1" s="1"/>
  <c r="J51" i="1"/>
  <c r="K51" i="1" s="1"/>
  <c r="J236" i="1"/>
  <c r="K236" i="1" s="1"/>
  <c r="J261" i="1"/>
  <c r="K261" i="1" s="1"/>
  <c r="J289" i="1"/>
  <c r="K289" i="1" s="1"/>
  <c r="J227" i="1"/>
  <c r="K227" i="1" s="1"/>
  <c r="J231" i="1"/>
  <c r="K231" i="1" s="1"/>
  <c r="J46" i="1"/>
  <c r="K46" i="1" s="1"/>
  <c r="J101" i="1"/>
  <c r="K101" i="1" s="1"/>
  <c r="J207" i="1"/>
  <c r="K207" i="1" s="1"/>
  <c r="J30" i="1"/>
  <c r="K30" i="1" s="1"/>
  <c r="J211" i="1"/>
  <c r="K211" i="1" s="1"/>
  <c r="J69" i="1"/>
  <c r="K69" i="1" s="1"/>
  <c r="J150" i="1"/>
  <c r="K150" i="1" s="1"/>
  <c r="J11" i="1"/>
  <c r="K11" i="1" s="1"/>
  <c r="J174" i="1"/>
  <c r="K174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44F12C7-CC13-4256-8BFD-3090CCEF96A6}" keepAlive="1" name="Query - Actuals" description="Connection to the 'Actuals' query in the workbook." type="5" refreshedVersion="8" background="1" saveData="1">
    <dbPr connection="Provider=Microsoft.Mashup.OleDb.1;Data Source=$Workbook$;Location=Actuals;Extended Properties=&quot;&quot;" command="SELECT * FROM [Actuals]"/>
  </connection>
  <connection id="2" xr16:uid="{135B859B-00C4-49AF-AE93-AFA43BB7B7BB}" keepAlive="1" name="Query - Actuals_data" description="Connection to the 'Actuals_data' query in the workbook." type="5" refreshedVersion="8" background="1" saveData="1">
    <dbPr connection="Provider=Microsoft.Mashup.OleDb.1;Data Source=$Workbook$;Location=Actuals_data;Extended Properties=&quot;&quot;" command="SELECT * FROM [Actuals_data]"/>
  </connection>
  <connection id="3" xr16:uid="{FF39924E-6638-4761-AC18-710E184EEB4C}" keepAlive="1" name="Query - Planned Production" description="Connection to the 'Planned Production' query in the workbook." type="5" refreshedVersion="8" background="1" saveData="1">
    <dbPr connection="Provider=Microsoft.Mashup.OleDb.1;Data Source=$Workbook$;Location=&quot;Planned Production&quot;;Extended Properties=&quot;&quot;" command="SELECT * FROM [Planned Production]"/>
  </connection>
  <connection id="4" xr16:uid="{88F21E81-C35F-4284-B419-6546CB815020}" keepAlive="1" name="Query - Planned vs Actual" description="Connection to the 'Planned vs Actual' query in the workbook." type="5" refreshedVersion="8" background="1" saveData="1">
    <dbPr connection="Provider=Microsoft.Mashup.OleDb.1;Data Source=$Workbook$;Location=&quot;Planned vs Actual&quot;;Extended Properties=&quot;&quot;" command="SELECT * FROM [Planned vs Actual]"/>
  </connection>
</connections>
</file>

<file path=xl/sharedStrings.xml><?xml version="1.0" encoding="utf-8"?>
<sst xmlns="http://schemas.openxmlformats.org/spreadsheetml/2006/main" count="7847" uniqueCount="968">
  <si>
    <t>Supplier Name</t>
  </si>
  <si>
    <t>Product Code</t>
  </si>
  <si>
    <t>Product Description</t>
  </si>
  <si>
    <t>SP</t>
  </si>
  <si>
    <t>List Cost</t>
  </si>
  <si>
    <t>Sales incl. VAT</t>
  </si>
  <si>
    <t>Sales excl. VAT</t>
  </si>
  <si>
    <t>Sales at CP</t>
  </si>
  <si>
    <t>Sales Quantity</t>
  </si>
  <si>
    <t>Gross Profit</t>
  </si>
  <si>
    <t>Ø SP (Incl. VAT)</t>
  </si>
  <si>
    <t>Ø SP (Excl. VAT)</t>
  </si>
  <si>
    <t>Ø CP</t>
  </si>
  <si>
    <t>GP %</t>
  </si>
  <si>
    <t>BAKERY PRODUCTS</t>
  </si>
  <si>
    <t>WHITE BREAD STD</t>
  </si>
  <si>
    <t>HOTDOG ROLLS 6'S</t>
  </si>
  <si>
    <t>BROWN BREAD STD</t>
  </si>
  <si>
    <t>OUMA BROOD</t>
  </si>
  <si>
    <t>GOOSEBUMPS DISTR.(BREAD STOP)</t>
  </si>
  <si>
    <t>HAMBURGER BUNS 6'S</t>
  </si>
  <si>
    <t>FOCACCIA  CHICKEN MAYO</t>
  </si>
  <si>
    <t>CHEESE BUNS 6'S</t>
  </si>
  <si>
    <t>FOCACCIA</t>
  </si>
  <si>
    <t>WHAMMY BURGER BUNS</t>
  </si>
  <si>
    <t>HOTDOG ROLLS BULK</t>
  </si>
  <si>
    <t>WHITE BREAD DOUGH</t>
  </si>
  <si>
    <t>TOMATO,ONION &amp; CHEESE SQUARE</t>
  </si>
  <si>
    <t>CHEESE &amp; GARLIC ROLLS 6'S</t>
  </si>
  <si>
    <t>BANANA BREAD</t>
  </si>
  <si>
    <t>MEDITERRANEAN SQUARE</t>
  </si>
  <si>
    <t>MINI OUMA BROOD</t>
  </si>
  <si>
    <t>GATSBY ROLL</t>
  </si>
  <si>
    <t>CONEY ROLL 6'S</t>
  </si>
  <si>
    <t>HAMBURGER BUNS</t>
  </si>
  <si>
    <t>VECTOR LOG.(PTY)LTD GOOSEBUMPS</t>
  </si>
  <si>
    <t>HAMBURGER BUNS BULK</t>
  </si>
  <si>
    <t>MOSBOLLE</t>
  </si>
  <si>
    <t>BANANA BREAD MINI</t>
  </si>
  <si>
    <t>FRENCH LOAF</t>
  </si>
  <si>
    <t>HOTDOG ROLLS</t>
  </si>
  <si>
    <t>WHITE BREAD STD BULK</t>
  </si>
  <si>
    <t>CUSTARD DELIGHT</t>
  </si>
  <si>
    <t>MINI LOAF</t>
  </si>
  <si>
    <t>BULK C/TAIL BUNS</t>
  </si>
  <si>
    <t>OUPA BROOD</t>
  </si>
  <si>
    <t>MEATY SQUARE</t>
  </si>
  <si>
    <t>CHEESE BUNS</t>
  </si>
  <si>
    <t>DUMPIE WHITE BREAD</t>
  </si>
  <si>
    <t xml:space="preserve"> MINI GATSBY</t>
  </si>
  <si>
    <t>BREAD SLICES</t>
  </si>
  <si>
    <t>ARTISAN FETA &amp; SPINACH LOAF</t>
  </si>
  <si>
    <t>ARTISAN CHEESE &amp; ONION BREAD</t>
  </si>
  <si>
    <t>FOCACCIA CHAKALAKA</t>
  </si>
  <si>
    <t>DUMPIE BROWN BREAD</t>
  </si>
  <si>
    <t>PORTUGUESE ROLL</t>
  </si>
  <si>
    <t>CONEY ROLL</t>
  </si>
  <si>
    <t>RAISIN BREAD</t>
  </si>
  <si>
    <t>JELLY CREAM TART SMALL</t>
  </si>
  <si>
    <t>MADEIRA LOAF</t>
  </si>
  <si>
    <t>BREAD CRUMBS</t>
  </si>
  <si>
    <t>PARTY WHEEL 30'S</t>
  </si>
  <si>
    <t>CHAKALAKA ROLL</t>
  </si>
  <si>
    <t>BRUINBROODDEEG</t>
  </si>
  <si>
    <t>SUITABLE FOR TOAST</t>
  </si>
  <si>
    <t>CINNAMON BUN 6'S</t>
  </si>
  <si>
    <t>CHEESE LOAF</t>
  </si>
  <si>
    <t>MADEIRA LOAF MINI</t>
  </si>
  <si>
    <t>JAM DOUGHNUT</t>
  </si>
  <si>
    <t>FOCACCIA SLICE</t>
  </si>
  <si>
    <t>SEEDED HAMBURGER ROLLS 6'S</t>
  </si>
  <si>
    <t>POTBREAD</t>
  </si>
  <si>
    <t>LARGE CRUNCHIE BISCUIT</t>
  </si>
  <si>
    <t>LEMON MEGANGUE TARTLETTE</t>
  </si>
  <si>
    <t>VETKOEK COCKTAIL</t>
  </si>
  <si>
    <t>BABY FOCACCIA</t>
  </si>
  <si>
    <t>PARTY WHEEL 15'S</t>
  </si>
  <si>
    <t>CINNAMON BUN</t>
  </si>
  <si>
    <t>C/TAIL SEEDED BUNS</t>
  </si>
  <si>
    <t>SEEDED HOTDOG ROLLS 6'S</t>
  </si>
  <si>
    <t>BROWN HAMBURGER ROLLS 6'S</t>
  </si>
  <si>
    <t>GB SOURDOUGH CIABATTA LOAF</t>
  </si>
  <si>
    <t>SEEDED HAMBURGER ROLL</t>
  </si>
  <si>
    <t>PIZZA BOAT MEATY</t>
  </si>
  <si>
    <t>LARGE MELTING MOMENT BISCUIT</t>
  </si>
  <si>
    <t>SEED LOAF</t>
  </si>
  <si>
    <t>CRISPY ROLL</t>
  </si>
  <si>
    <t>MULTI SEED SANDWICH WEDGE</t>
  </si>
  <si>
    <t>CHAKALAKA BREAD</t>
  </si>
  <si>
    <t xml:space="preserve"> C/TAIL BUNS</t>
  </si>
  <si>
    <t>SAGO PUDDING</t>
  </si>
  <si>
    <t>DOUGHNUT IMITATION CREAM</t>
  </si>
  <si>
    <t>SMALL MALVA PUDDING</t>
  </si>
  <si>
    <t>MALVA PUDDING MED</t>
  </si>
  <si>
    <t>CARROT CAKE SLICE</t>
  </si>
  <si>
    <t>CARAMEL DOUGHNUT</t>
  </si>
  <si>
    <t>CAKE SLICE ASSORTED</t>
  </si>
  <si>
    <t>SLICE MILK TART</t>
  </si>
  <si>
    <t>MEDIUM MILKTART</t>
  </si>
  <si>
    <t>GANASH TOPPED  RING DOUGHNUT</t>
  </si>
  <si>
    <t>DOUGHNUT CUSTARD</t>
  </si>
  <si>
    <t>MADEIRA COCANUT SLICE</t>
  </si>
  <si>
    <t>DOUGHNUT RING C/TAIL</t>
  </si>
  <si>
    <t>DOUGHNUT IMITAT CREAM 2'S</t>
  </si>
  <si>
    <t>C/TAIL ECLAIR</t>
  </si>
  <si>
    <t>BEESTING ROLL</t>
  </si>
  <si>
    <t>CHOCOLATE ECLAIRS WITH IMM CREAM</t>
  </si>
  <si>
    <t>ROSSOUW D</t>
  </si>
  <si>
    <t>KOEKSISTERS SMALL</t>
  </si>
  <si>
    <t>KOEKSISTERS MEDIUM</t>
  </si>
  <si>
    <t>ECLAIRS CARAMEL</t>
  </si>
  <si>
    <t>KOEKSISTERS SMALL 6'S</t>
  </si>
  <si>
    <t>POEDING ASSORTED</t>
  </si>
  <si>
    <t>SCONES 6'S</t>
  </si>
  <si>
    <t>ASSORTED LARGE CUPCAKE</t>
  </si>
  <si>
    <t>LAMINGTON WITH IMMITATION CREAM</t>
  </si>
  <si>
    <t>CAPE MELAY DOUGHNUT</t>
  </si>
  <si>
    <t>GARLIC TWIST</t>
  </si>
  <si>
    <t>DOUGHNUT CINNAMON &amp; SUGAR 4S</t>
  </si>
  <si>
    <t>TEMPTING TREATS PLATTER</t>
  </si>
  <si>
    <t>CREAM HORN</t>
  </si>
  <si>
    <t>SCONES GEVUL</t>
  </si>
  <si>
    <t>CUSTARD BUNS 3'S</t>
  </si>
  <si>
    <t>SCONE 2'S</t>
  </si>
  <si>
    <t>SCHOOL BUN 8'S</t>
  </si>
  <si>
    <t>ASS DELIGHTS</t>
  </si>
  <si>
    <t>KOEKSISTERS MED  3'S</t>
  </si>
  <si>
    <t>BACON AVO &amp; FETA PIZZA</t>
  </si>
  <si>
    <t>DOUGHNUT C/TAIL IMMITATION CREAM</t>
  </si>
  <si>
    <t>CROISSANT IMMATATION CREAM LARGE</t>
  </si>
  <si>
    <t xml:space="preserve"> CHOCOLATE SLICE</t>
  </si>
  <si>
    <t>DOUGHNUT C/TAIL C/MEL</t>
  </si>
  <si>
    <t>JELLY CREAM TART MEDIUM</t>
  </si>
  <si>
    <t>PEPPERMINT CRUSH CUP</t>
  </si>
  <si>
    <t>HERTZOGGIES</t>
  </si>
  <si>
    <t>MINI MUFFIN B/BERRY</t>
  </si>
  <si>
    <t>AP RED VELVET SLICE</t>
  </si>
  <si>
    <t>B COPENHAGEN</t>
  </si>
  <si>
    <t>C/TAIL-RING DOUGHNUT 3'S</t>
  </si>
  <si>
    <t>LEMINGTON C/TAIL IMMATATION CREAM</t>
  </si>
  <si>
    <t>YOGHURT &amp; MUESLI</t>
  </si>
  <si>
    <t>VANILLA SPONGE</t>
  </si>
  <si>
    <t>BREAD &amp; BUTTER PUDDING</t>
  </si>
  <si>
    <t>CHOCOLATE BREAD TWIST</t>
  </si>
  <si>
    <t>C/TAIL PEPPERMINT TERT</t>
  </si>
  <si>
    <t>SAVOURY ROLL</t>
  </si>
  <si>
    <t>SCOTCH PANCAKS</t>
  </si>
  <si>
    <t>B CHELSEA BUN</t>
  </si>
  <si>
    <t>MINI MUFFIN CAPPUCINO</t>
  </si>
  <si>
    <t>MALVA PUDDING FAMILY</t>
  </si>
  <si>
    <t>SWISS JAM ROLL</t>
  </si>
  <si>
    <t>ROCKY ROAD TREAT</t>
  </si>
  <si>
    <t>CHELSEA BUN</t>
  </si>
  <si>
    <t>CHEESE CAKE SLICED</t>
  </si>
  <si>
    <t>ROCK BUN 2'S</t>
  </si>
  <si>
    <t>MINI CUPCAKE VANILLA</t>
  </si>
  <si>
    <t>RED VELVET CAKE</t>
  </si>
  <si>
    <t>IMMITATION CREAMY BUNS 6'S</t>
  </si>
  <si>
    <t>MINI MUFFIN BRAN</t>
  </si>
  <si>
    <t>MINI MUFFIN CHOC CHIP</t>
  </si>
  <si>
    <t>SLICE TIRAMISU</t>
  </si>
  <si>
    <t>CHOCOLATE SWISS ROLL</t>
  </si>
  <si>
    <t>C/T AILRING DOUGHNUT</t>
  </si>
  <si>
    <t>MINI MUFFIN BANANA</t>
  </si>
  <si>
    <t>DOUGHNUT COCONUT</t>
  </si>
  <si>
    <t>PEANUT BUTTER BARS</t>
  </si>
  <si>
    <t>MINI CUPCAKE CARAMEL</t>
  </si>
  <si>
    <t>JAM SWISS ROLL</t>
  </si>
  <si>
    <t>CUSTARD BUNS 6'S</t>
  </si>
  <si>
    <t>MINI MUFFIN CARROT</t>
  </si>
  <si>
    <t>MADEIRA LOAF VINALLA</t>
  </si>
  <si>
    <t>FILLED C/TAIL DOUGHNUT</t>
  </si>
  <si>
    <t>COCANUT SLICE</t>
  </si>
  <si>
    <t>BLACK FOREST DANISH</t>
  </si>
  <si>
    <t>C/TAIL MILKTARTS 6'S</t>
  </si>
  <si>
    <t>LEMINGTON C/TAIL</t>
  </si>
  <si>
    <t>MADEIRA LOAF CHOC</t>
  </si>
  <si>
    <t>APPLE DANISH</t>
  </si>
  <si>
    <t>MINI MUFFIN LEM &amp; POPPY SEED</t>
  </si>
  <si>
    <t>MINI MUFFIN CARAMEL</t>
  </si>
  <si>
    <t>C/TAIL LEMON MERINGUE 6'S</t>
  </si>
  <si>
    <t xml:space="preserve"> BULK C/T RING DOUGHNUT</t>
  </si>
  <si>
    <t>MINI CUPCAKE CHOC</t>
  </si>
  <si>
    <t>C/TAIL APPLE DANISH</t>
  </si>
  <si>
    <t>GB PRE-FRIED LONG DOUGHNUT</t>
  </si>
  <si>
    <t>GB C/TAIL PRE-FRIED LONG DOUGHNUT</t>
  </si>
  <si>
    <t>GB C/TAIL PRE-FRIED RING DOUGHNUT</t>
  </si>
  <si>
    <t>GB PRE-FRIED RING DOUGHNUT</t>
  </si>
  <si>
    <t>GB WONDER WHIP VANILLA</t>
  </si>
  <si>
    <t>GB TART BASE LARGE-SWEET</t>
  </si>
  <si>
    <t>GB ECLAIR C/TAIL</t>
  </si>
  <si>
    <t>GB TART BASE MINI SWEET</t>
  </si>
  <si>
    <t>GB ECLAIR JUMBO</t>
  </si>
  <si>
    <t>JUMBO  CROISSANT</t>
  </si>
  <si>
    <t>GB BAVARIAN WHIP</t>
  </si>
  <si>
    <t>MINI SWIS ROLL VANILLACARMEL</t>
  </si>
  <si>
    <t>MINI SWIS ROLL CHOC FILLING</t>
  </si>
  <si>
    <t>MINI SWISS ROLL RED VELVET</t>
  </si>
  <si>
    <t>WHITE CHOC CANACHE</t>
  </si>
  <si>
    <t xml:space="preserve"> ROUND DOUGHNUT</t>
  </si>
  <si>
    <t>MOIST CHOC PUDDING</t>
  </si>
  <si>
    <t>MOIST VANILLA PUDDING</t>
  </si>
  <si>
    <t>MOIST VANILLA LOAF</t>
  </si>
  <si>
    <t>MOIST CHOC LOAF</t>
  </si>
  <si>
    <t>CHOC MOUSSE SLICE</t>
  </si>
  <si>
    <t>VANIILA CAKE SLICE</t>
  </si>
  <si>
    <t>CARAMEL &amp; CUSTARD DANISH</t>
  </si>
  <si>
    <t>FRUIT TRIFLE</t>
  </si>
  <si>
    <t>YEAST</t>
  </si>
  <si>
    <t>COCONUT</t>
  </si>
  <si>
    <t>TOPPING BACON</t>
  </si>
  <si>
    <t>COCOA POWDER</t>
  </si>
  <si>
    <t>TOPPING SALAMI</t>
  </si>
  <si>
    <t>IMMATATION CREAM</t>
  </si>
  <si>
    <t>TOPPING CHEESE</t>
  </si>
  <si>
    <t>SADE : POPPY</t>
  </si>
  <si>
    <t>TOPPING HAM</t>
  </si>
  <si>
    <t>TOPPING PINEAPPLE</t>
  </si>
  <si>
    <t>SADE :SONNEBLOM</t>
  </si>
  <si>
    <t>TOPPING FETA</t>
  </si>
  <si>
    <t>TOPPING MUSHROOM</t>
  </si>
  <si>
    <t>TOPPING PEPPERDEW</t>
  </si>
  <si>
    <t>TOPPING BANANA</t>
  </si>
  <si>
    <t>TOPPING CHICKEN MAYO</t>
  </si>
  <si>
    <t>TOPPING GARLIC</t>
  </si>
  <si>
    <t>TOPPING GREEN PEPPER</t>
  </si>
  <si>
    <t>TOPPING OLIVES</t>
  </si>
  <si>
    <t>TOPPING AVO</t>
  </si>
  <si>
    <t>BAKING POWDER</t>
  </si>
  <si>
    <t>CHERRIES</t>
  </si>
  <si>
    <t>SADE :SESAME</t>
  </si>
  <si>
    <t>GINGER BISCUITS 500G</t>
  </si>
  <si>
    <t>BISCUIT COCNUT 500G</t>
  </si>
  <si>
    <t>BISCUIT GINGER 1KG</t>
  </si>
  <si>
    <t>BISCUIT COCONUT 1KG</t>
  </si>
  <si>
    <t>CHOC CHIP BISCUITS 500G</t>
  </si>
  <si>
    <t>BISCUIT CHOC CHIP 1KG</t>
  </si>
  <si>
    <t>BISCUIT KELLOGG 1KG</t>
  </si>
  <si>
    <t>BISCUITS 250G</t>
  </si>
  <si>
    <t>MARKDOWN GINGER BISCUITS 500G</t>
  </si>
  <si>
    <t>BAKERS MIX</t>
  </si>
  <si>
    <t>LUXURY COOKIES</t>
  </si>
  <si>
    <t>MELTING MOMENTS</t>
  </si>
  <si>
    <t>BREAKFAST ROLL</t>
  </si>
  <si>
    <t>GARLIC LOAF</t>
  </si>
  <si>
    <t>GARLIC BUNS 6'S</t>
  </si>
  <si>
    <t>GARLIC BUNS SINGLE</t>
  </si>
  <si>
    <t>SUNNYSEED BREAD</t>
  </si>
  <si>
    <t>MINI SWISSROLLS 5'S</t>
  </si>
  <si>
    <t>BEANTREE BISC CHOC</t>
  </si>
  <si>
    <t>GB DIP -WHITE</t>
  </si>
  <si>
    <t>GATUE CAKES</t>
  </si>
  <si>
    <t>PIEMANS MINI PIES ASSORTED</t>
  </si>
  <si>
    <t>HOT CROSS BUNS 6'S</t>
  </si>
  <si>
    <t>HOT CROSS BUN LOAF</t>
  </si>
  <si>
    <t xml:space="preserve"> JUMBO MUFFIN ALL BRAN</t>
  </si>
  <si>
    <t>HAWAIAN PIZZA</t>
  </si>
  <si>
    <t>PIZZA SLICE</t>
  </si>
  <si>
    <t>CHICKEN MUSHROOM &amp; PEPPERDEW PIZZA</t>
  </si>
  <si>
    <t>REGINA PIZZA</t>
  </si>
  <si>
    <t>SOUR DOUGH PIZZA SLICE</t>
  </si>
  <si>
    <t>FOUR SEASONS PIZZA</t>
  </si>
  <si>
    <t>MARGHERITA PIZZA</t>
  </si>
  <si>
    <t>SALAMI FETA &amp; OLIVE PIZZA</t>
  </si>
  <si>
    <t>VEGETARIAN PIZZA</t>
  </si>
  <si>
    <t>DESSERT TOPPING VANILLA CAKE</t>
  </si>
  <si>
    <t>BOX CAKE WITH ICING</t>
  </si>
  <si>
    <t>VERJAARSDAGKOEK GROOT</t>
  </si>
  <si>
    <t>BUDGET CAKE</t>
  </si>
  <si>
    <t>ROUND CAKE ASST.</t>
  </si>
  <si>
    <t>OREO  CAKE</t>
  </si>
  <si>
    <t>C/T MILKTARTLET</t>
  </si>
  <si>
    <t>YOGHURT TART</t>
  </si>
  <si>
    <t>CARROT CAKE</t>
  </si>
  <si>
    <t>LEMON MERAINGUE TART</t>
  </si>
  <si>
    <t>MINI CAKE</t>
  </si>
  <si>
    <t>MIST CHOC CAKE</t>
  </si>
  <si>
    <t>PEPPERMINT TERT</t>
  </si>
  <si>
    <t>BLACK FOREST CAKE</t>
  </si>
  <si>
    <t>CREMORA TART</t>
  </si>
  <si>
    <t>ALTAS MILKTART MEDIUM</t>
  </si>
  <si>
    <t>BULK BISCUITS 1KG</t>
  </si>
  <si>
    <t>BULK CHOC CHIP BISCUITS</t>
  </si>
  <si>
    <t>KELLOGGS BISCUIT 500G</t>
  </si>
  <si>
    <t xml:space="preserve"> CRUNCHIE BISCUITS 500G</t>
  </si>
  <si>
    <t xml:space="preserve"> CRUNCHIE BISCUITS 1KG</t>
  </si>
  <si>
    <t>BULK CRUNCHIE BISCUITS</t>
  </si>
  <si>
    <t>TROLLEY COVERS</t>
  </si>
  <si>
    <t>AMAZING PIES MARK DOWN</t>
  </si>
  <si>
    <t>MACCOY PIES MARK DOWN</t>
  </si>
  <si>
    <t>Total prod</t>
  </si>
  <si>
    <t>Potential Sales</t>
  </si>
  <si>
    <t>CP of potential sales</t>
  </si>
  <si>
    <t>Potential GP</t>
  </si>
  <si>
    <t>Potential GP%</t>
  </si>
  <si>
    <t>Grand Total</t>
  </si>
  <si>
    <t>Data</t>
  </si>
  <si>
    <t>List Cost (Sigma)</t>
  </si>
  <si>
    <t>Prod Plan</t>
  </si>
  <si>
    <t>Plan Sales</t>
  </si>
  <si>
    <t>CP of Plan Sales</t>
  </si>
  <si>
    <t>Plan GP</t>
  </si>
  <si>
    <t>Bakery production plan for week starting 15 June 26</t>
  </si>
  <si>
    <t>Sub-Department</t>
  </si>
  <si>
    <t>Price Ex Vat (Sigma)</t>
  </si>
  <si>
    <t>Planned GP%</t>
  </si>
  <si>
    <t>15/06/26</t>
  </si>
  <si>
    <t xml:space="preserve"> </t>
  </si>
  <si>
    <t>16/06/26</t>
  </si>
  <si>
    <t>Monday</t>
  </si>
  <si>
    <t>Tuesday</t>
  </si>
  <si>
    <t>Date</t>
  </si>
  <si>
    <t>Day</t>
  </si>
  <si>
    <t>Total Actual Sales</t>
  </si>
  <si>
    <t>Actual Sales</t>
  </si>
  <si>
    <t>17/06/26</t>
  </si>
  <si>
    <t>Wednesday</t>
  </si>
  <si>
    <t>SPAR WESTERN CAPE</t>
  </si>
  <si>
    <t>SMARTBAKER MIX</t>
  </si>
  <si>
    <t>VIDA LONGA SOFT SERVE L/L VANILLA</t>
  </si>
  <si>
    <t>F/L CROUTONS GARLIC&amp;HERB</t>
  </si>
  <si>
    <t>CANI RUSK BRAN SEED&amp;RAIS</t>
  </si>
  <si>
    <t>CANI RUSK BUTTERMILK</t>
  </si>
  <si>
    <t>CANI RUSK OATS&amp;SUNFLOWER</t>
  </si>
  <si>
    <t>F/L CROISSANT CHEESE MINI</t>
  </si>
  <si>
    <t>C/MUNCH BISC CRUNCHIE</t>
  </si>
  <si>
    <t>F/L MUFFINS COMBO LUG</t>
  </si>
  <si>
    <t>F/L MUFFIN COMBO 3</t>
  </si>
  <si>
    <t>F/L CHOC ORANGE MUFFINS</t>
  </si>
  <si>
    <t>F/L MUFFINS CARAMEL FUDGE</t>
  </si>
  <si>
    <t>F/L WAFFLES DESSERT</t>
  </si>
  <si>
    <t>F/L WAFFLES PLAIN</t>
  </si>
  <si>
    <t>F/L WAFFLES SYRUP</t>
  </si>
  <si>
    <t>F/L WAFFLES COMBO 2'S</t>
  </si>
  <si>
    <t>F/L APPLE DANISH</t>
  </si>
  <si>
    <t>F/L CARAMEL&amp;CUSTAD DANISH</t>
  </si>
  <si>
    <t>F/L COMBO DANISH</t>
  </si>
  <si>
    <t>VIEIRA'S  PIZZA SAUCE</t>
  </si>
  <si>
    <t>VIEIRA'S PIZZA BASE MED</t>
  </si>
  <si>
    <t>VIEIRA'S BRAAI BRD GAR&amp;HB</t>
  </si>
  <si>
    <t>F/L P/CAKES BANAN CHOC SC</t>
  </si>
  <si>
    <t>F/L P/CAKE DBL CHOC SCOT</t>
  </si>
  <si>
    <t>F/L P/CAKE CIN&amp;APP SCOTCH</t>
  </si>
  <si>
    <t>F/L P/CAKES SCOTCH COMBO2</t>
  </si>
  <si>
    <t>F/L PANCAKES BLUEB SCOTCH</t>
  </si>
  <si>
    <t>F/L DANISH BLACK FOREST</t>
  </si>
  <si>
    <t>H/B CAKE RED VELVET</t>
  </si>
  <si>
    <t>H/B CAKE LEMOEN KOEK S/L</t>
  </si>
  <si>
    <t>H/B CAKE BLUEBERRY S/L</t>
  </si>
  <si>
    <t>MTC RYE &amp; MULTI SEED RND</t>
  </si>
  <si>
    <t>SSB KOEKSISTERS TRAD</t>
  </si>
  <si>
    <t>WESTERN CAPE MILLING</t>
  </si>
  <si>
    <t>WC MILLING FLOUR BROWN BREAD</t>
  </si>
  <si>
    <t>WC MILLING CAKE FLOUR</t>
  </si>
  <si>
    <t>WC MILLING WHEAT CRUSHED</t>
  </si>
  <si>
    <t>WC MILLING FLOUR WHITE BREAD</t>
  </si>
  <si>
    <t>CHIPKINS PURATOS (BIDVEST SOL)</t>
  </si>
  <si>
    <t>CIABATTA</t>
  </si>
  <si>
    <t>DELIGHTFULLY DECADENT PLATTER</t>
  </si>
  <si>
    <t>SOUTHBAKELS (PTY) LTD</t>
  </si>
  <si>
    <t>BROWNIE SLICE</t>
  </si>
  <si>
    <t>MINI CUPCAKES</t>
  </si>
  <si>
    <t>WC MILLING WHITE BREAD MIX 9.5KG</t>
  </si>
  <si>
    <t>WC MILLING BROWN BREAD MIX 9.5KG</t>
  </si>
  <si>
    <t>COMESSA PITA BREAD WHITE</t>
  </si>
  <si>
    <t>DONUT MIX SP</t>
  </si>
  <si>
    <t>MIXED FRUIT</t>
  </si>
  <si>
    <t>HMR</t>
  </si>
  <si>
    <t>POLONY &amp; CHIPS BUNNY CHOW</t>
  </si>
  <si>
    <t>SBK SOUR DOUGH LOAF</t>
  </si>
  <si>
    <t>SBK SOURDOUGH RYE</t>
  </si>
  <si>
    <t>BAKE IT EASY</t>
  </si>
  <si>
    <t>T/TIME CAKES M/BUNT ASST</t>
  </si>
  <si>
    <t>WHIP N GO CHOC ICING</t>
  </si>
  <si>
    <t>CANI CRUNCHIES CASHEW&amp;MAC</t>
  </si>
  <si>
    <t>CANI CRUNCHIES CRAN&amp;PUMPK</t>
  </si>
  <si>
    <t>CANI CRUNCHIES OATS</t>
  </si>
  <si>
    <t>M &amp; R FRESH FRUIT &amp; VEG.MARKET</t>
  </si>
  <si>
    <t>GARLIC  CRUSHED</t>
  </si>
  <si>
    <t>BUN SPICE</t>
  </si>
  <si>
    <t>CANI RUSK FRUIT &amp; NUT 450GR</t>
  </si>
  <si>
    <t>AUSTRIAN PREMIX BAKING CO</t>
  </si>
  <si>
    <t>JENNA'S CHOC CAKE/MUFFIN MIX</t>
  </si>
  <si>
    <t>JENNA'S RED VEL CAKE/MUFFIN MIX</t>
  </si>
  <si>
    <t>JENNA'S VANILLA  CAKE/MUFFIN MIX</t>
  </si>
  <si>
    <t>DONUT GLAZE BANANA</t>
  </si>
  <si>
    <t>DONUT GLAZE CARAMEL</t>
  </si>
  <si>
    <t>DONUT GLAZE STRAWBERRY</t>
  </si>
  <si>
    <t>DONUT GLAZE WHITE</t>
  </si>
  <si>
    <t>PIE APPLES AUSTRIAN PRIME</t>
  </si>
  <si>
    <t>EUR COLD GLAZE COCOA</t>
  </si>
  <si>
    <t>WC MILLING SOFT ROLL MIX</t>
  </si>
  <si>
    <t>WC MILLING CRISPY ROLL MIX</t>
  </si>
  <si>
    <t>GARLIC &amp; HERB BAKKERY</t>
  </si>
  <si>
    <t>MAC SPONGE COLOURLESS</t>
  </si>
  <si>
    <t xml:space="preserve"> JUMBO MUFFIN B/BERRY</t>
  </si>
  <si>
    <t xml:space="preserve"> JUMBO MUFFIN CUPPUCINNO</t>
  </si>
  <si>
    <t>JUMBO MUFFIN LEM&amp;POPPYSEED</t>
  </si>
  <si>
    <t>B/WORS ROLL BAKERY</t>
  </si>
  <si>
    <t>JUMBO MUFFIN ORANGE</t>
  </si>
  <si>
    <t>WNB JUMBO CARAMEL</t>
  </si>
  <si>
    <t>S/B MELBA 100GR BLACK PEPPER</t>
  </si>
  <si>
    <t>S/B MELBA 100GR S/D TOMATO</t>
  </si>
  <si>
    <t>WNB JUMBO MUFFIN B/FOREST</t>
  </si>
  <si>
    <t>DELI CO MEAT WHOLESALERS</t>
  </si>
  <si>
    <t>SCOTTY'S STREAKY BACON</t>
  </si>
  <si>
    <t>PETTINA SPONGE CHOC</t>
  </si>
  <si>
    <t>EURO CHOC MIX</t>
  </si>
  <si>
    <t>FRUITELICOUS BLACK FOREST</t>
  </si>
  <si>
    <t>SBK CROISSANT BUTTER 1'S</t>
  </si>
  <si>
    <t>FRENCH DONUT</t>
  </si>
  <si>
    <t>DONUT POPS CUPS</t>
  </si>
  <si>
    <t>DANISH CHOC TWIST</t>
  </si>
  <si>
    <t>ANCHOR YEAST(BULK BAKERY)</t>
  </si>
  <si>
    <t>X/FRUITY BUN MIX</t>
  </si>
  <si>
    <t>YUM-YUMS</t>
  </si>
  <si>
    <t>CANI EASTER COOKIE KIT 410GR</t>
  </si>
  <si>
    <t>CANI MINI EASTER VILLAGE KIT 6</t>
  </si>
  <si>
    <t>CANI EASTER RUSK 400GR</t>
  </si>
  <si>
    <t>B/BERRY MUFFINS 4"S</t>
  </si>
  <si>
    <t>CAPE BAKERY B/CAKES MINI ASSTD</t>
  </si>
  <si>
    <t>CAPE BAKERY CUPCAKES DECORATED</t>
  </si>
  <si>
    <t>CAPE BAKERY CUPCAKES SKILL BOB</t>
  </si>
  <si>
    <t>CAPE BAKERY CAKE 6IN B/FOREST</t>
  </si>
  <si>
    <t>CAPE BAKERY BIRTHDAY CAKE SQU</t>
  </si>
  <si>
    <t>CAPE BAKERY B/CAKE 1'S CARROT</t>
  </si>
  <si>
    <t>CAPE BAKERY B/CAKE 1'S P/MINT</t>
  </si>
  <si>
    <t>CAPE BAKERY B/CAKE 1'S BANOFF</t>
  </si>
  <si>
    <t>CAPE BAKERY B/CAKE 1'S BLUEB</t>
  </si>
  <si>
    <t>RUSSIAN &amp; CHIPS BUNNY CHOW</t>
  </si>
  <si>
    <t>FRUITELIOUS BLUEBERRY</t>
  </si>
  <si>
    <t>SPONGE ROUND 8 CHOC</t>
  </si>
  <si>
    <t>SPONGE ROUND 8 RED VELVET</t>
  </si>
  <si>
    <t>CHOC CAKE 8 MOIST</t>
  </si>
  <si>
    <t>CANI RUSKS 450GR COCONUT</t>
  </si>
  <si>
    <t>SPONGE ROUND 8 PLAIN</t>
  </si>
  <si>
    <t>E/ONE LOVES BREADS PITA MINI 1</t>
  </si>
  <si>
    <t>SPONGE ROUND 6 CHOC</t>
  </si>
  <si>
    <t>SPONGE ROUND 6 PLAIN</t>
  </si>
  <si>
    <t>GARLIC LOOSE BAK</t>
  </si>
  <si>
    <t>CINNAMON BUN 2S</t>
  </si>
  <si>
    <t>CANI CHRISTMAS SLEIGH KIT 648G</t>
  </si>
  <si>
    <t>CANI CHRISTMAS COOKIE KIT 430G</t>
  </si>
  <si>
    <t>CANI CHRISTMAS GINGERBREAD KIT</t>
  </si>
  <si>
    <t>T/AFFAIR WRAPS SOURDOUGH 5'S</t>
  </si>
  <si>
    <t>CANI CHRITMAS COOKIE KIT 410GR</t>
  </si>
  <si>
    <t>CANI G/BREAD HOUSE KIT 690GR</t>
  </si>
  <si>
    <t>EXQUISITE T/CAKE 1'S CHOC FUDG</t>
  </si>
  <si>
    <t>EXQUISITE T/CAKE 1'S CARAM VAN</t>
  </si>
  <si>
    <t>EXQUISITE T/CAKE 1'S FUNFETTI</t>
  </si>
  <si>
    <t>EXQUISITE T/CAKE 1'S CARROT</t>
  </si>
  <si>
    <t>COIMBRA KOURIBIEDES TUB 12'S</t>
  </si>
  <si>
    <t>COIMBRA STOLLEN AUTHENTIC 1'S</t>
  </si>
  <si>
    <t>CANI BUNNY KIT 374GR</t>
  </si>
  <si>
    <t>CANI COOKIE KIT 400GR</t>
  </si>
  <si>
    <t>CANI TRAIN COOKIE KIT 740GR</t>
  </si>
  <si>
    <t>COIMBRA T/CAKE APPLE/DATE/WNUT</t>
  </si>
  <si>
    <t>COIMBRA T/CAKE BANANA 1'S</t>
  </si>
  <si>
    <t>COIMBRA T/CAKE ORANGE MADEIRA</t>
  </si>
  <si>
    <t>E/ONE LOVES PITAS SOURDOUGH 6'</t>
  </si>
  <si>
    <t>S/B MUFFINS 4'S TRIPLE CHOC</t>
  </si>
  <si>
    <t>S/B MUFFINS 4'S VANILLA CHOC</t>
  </si>
  <si>
    <t>S/B MUFFINS 4'S CMB TRIP&amp;VAN C</t>
  </si>
  <si>
    <t>S/B MUFFIN 1'S CMB TRIP&amp;VAN CH</t>
  </si>
  <si>
    <t>CARB BALANCE WRAPS LOW CARB 6E</t>
  </si>
  <si>
    <t>RICH PRODUCTS</t>
  </si>
  <si>
    <t>EUROPEAN STYLE WHIP TOPPING</t>
  </si>
  <si>
    <t>BAKERY 15%</t>
  </si>
  <si>
    <t>CONFECTIONARY 15%</t>
  </si>
  <si>
    <t>OWN PIZZA 15%</t>
  </si>
  <si>
    <t>OWN CAKES 15%</t>
  </si>
  <si>
    <t>18/06/26</t>
  </si>
  <si>
    <t>SPAR SC PALM OIL</t>
  </si>
  <si>
    <t>SB WHITE BREAD FULL MIX</t>
  </si>
  <si>
    <t>SB PREMIX SOFT SILKY WHT</t>
  </si>
  <si>
    <t>SBK PREMIX SWEET N LIGHT</t>
  </si>
  <si>
    <t>ALBANY BAKERIES (BELLVILLE)</t>
  </si>
  <si>
    <t>TINKIES H&amp;H  CHO&amp;VAN</t>
  </si>
  <si>
    <t>TINKIES H&amp;H STR&amp;VAN</t>
  </si>
  <si>
    <t>PIEMANS CHICKEN PERI/PERI</t>
  </si>
  <si>
    <t>VIDA S/SERVE L/L STRAWB</t>
  </si>
  <si>
    <t>PAPPAS SNACK PACK FIVE</t>
  </si>
  <si>
    <t>F/L CROUTONS</t>
  </si>
  <si>
    <t>F/L BREAD GARLIC MINI</t>
  </si>
  <si>
    <t>F/L BRD GARLIC LARGE</t>
  </si>
  <si>
    <t>F/L BRAAIBRD CHSE&amp;ONION</t>
  </si>
  <si>
    <t>F/L BRAAIBRD HERB.</t>
  </si>
  <si>
    <t>F/L BRAAIBRD GARLIC</t>
  </si>
  <si>
    <t>F/L BRAAI BREAD CHILLI</t>
  </si>
  <si>
    <t>F/L ICED CARROT CAKE</t>
  </si>
  <si>
    <t>F/L BRAAI ROLLS HERB</t>
  </si>
  <si>
    <t>F/L BRAAI ROLLS GARLIC</t>
  </si>
  <si>
    <t>F/L CHILLI GARLIC BREAD</t>
  </si>
  <si>
    <t>F/LE GARLIC BREAD COMBO 3</t>
  </si>
  <si>
    <t>F/L SWEET CHIL CHSE BREAD</t>
  </si>
  <si>
    <t>F/L CHSE &amp; TO BRAAI ROLLS</t>
  </si>
  <si>
    <t>F/L JALAPENO BRAAI ROLLS</t>
  </si>
  <si>
    <t>F/L BILTONG BRAAI ROLLS</t>
  </si>
  <si>
    <t>F/L RUSKS DOUBLE BRAN</t>
  </si>
  <si>
    <t>F/L RUSKS BUTTERMILK</t>
  </si>
  <si>
    <t>F/L RUSKS RAISIN BRN&amp;SEED</t>
  </si>
  <si>
    <t>F/L BRAN RUSK</t>
  </si>
  <si>
    <t>F/L RUSK</t>
  </si>
  <si>
    <t>F/L RUSKS MUESLI</t>
  </si>
  <si>
    <t>F/L BOERE BESKUIT</t>
  </si>
  <si>
    <t>CANI RUSK REFINED S/F</t>
  </si>
  <si>
    <t>CANI RUSK BRAN DOUBLE</t>
  </si>
  <si>
    <t>F/L ROLLS WHTE PANINI</t>
  </si>
  <si>
    <t>F/L CROISSNTS BUTTER</t>
  </si>
  <si>
    <t>F/L BUNS HAMBURGER</t>
  </si>
  <si>
    <t>F/L W/WHEAT SEEDED</t>
  </si>
  <si>
    <t>F/L ROLLS HOTDOG</t>
  </si>
  <si>
    <t>F/LINE BRD CIABATTA WHITE</t>
  </si>
  <si>
    <t>F/L BUNS HAMB S/SEED</t>
  </si>
  <si>
    <t>F/LINE HOT CROSS BUNS</t>
  </si>
  <si>
    <t>F/L EXTRA SPICY H/CROSS BUNS</t>
  </si>
  <si>
    <t>F/L CHOC HOTX  BUN 6'S</t>
  </si>
  <si>
    <t>F/L CAR&amp;CHOC CROSS BUNS</t>
  </si>
  <si>
    <t>FL CARA&amp;CHOC FLAV HOTXBUN</t>
  </si>
  <si>
    <t>F/L SOFT WHITE ROLLS</t>
  </si>
  <si>
    <t>F/L ROLLS PORTUGUESE</t>
  </si>
  <si>
    <t>F/L HOT X BUN COMBO3</t>
  </si>
  <si>
    <t>C/VALUE LOAVES MINI</t>
  </si>
  <si>
    <t>F/L ROLLS FOOTLONG</t>
  </si>
  <si>
    <t>F/L BROWN HAMBURGER ROLLS 6'S</t>
  </si>
  <si>
    <t>F/L BROWN HOTDOG ROLLS</t>
  </si>
  <si>
    <t>F/L W/W SANDWICH ROLLS</t>
  </si>
  <si>
    <t>F/L JUMBO SEEDED H/B ROLL</t>
  </si>
  <si>
    <t>F/L BROWN ROLL COMBO</t>
  </si>
  <si>
    <t>C/VALUE CHELSEA BUN</t>
  </si>
  <si>
    <t>C/VALUE LUNCH BUNS</t>
  </si>
  <si>
    <t>F/L CIABATTA GARLIC</t>
  </si>
  <si>
    <t>F/L CIABATTA S/CHILL&amp;FETA</t>
  </si>
  <si>
    <t>F/L CIABATTA CHSE&amp;ONION</t>
  </si>
  <si>
    <t>F/L CIABATTA CHILLI&amp;CHSE</t>
  </si>
  <si>
    <t>F/L FILLED CIABATTA COMBO</t>
  </si>
  <si>
    <t>F/L RAISIN FREE HOT X BUN</t>
  </si>
  <si>
    <t>F/L TRAD MILK TART</t>
  </si>
  <si>
    <t>F/L EASTER CUP CAKE</t>
  </si>
  <si>
    <t>F/L FESTIVE CUPCAKES</t>
  </si>
  <si>
    <t>F/L MINI CUPCAKES VANILLA</t>
  </si>
  <si>
    <t>F/L MIN CUPCAKE CHOC</t>
  </si>
  <si>
    <t>F/L MINI CARAMEL CUPCAKES</t>
  </si>
  <si>
    <t>F/L COMBO CUPCAKES</t>
  </si>
  <si>
    <t>F/L CUPCAKE BLACK FOREST</t>
  </si>
  <si>
    <t>F/L CUPCAKES CHOC MOUSSE</t>
  </si>
  <si>
    <t>F/L CUPCAKE GL S/BERRY</t>
  </si>
  <si>
    <t>F/L CUPCAKES CARAMEL C/M</t>
  </si>
  <si>
    <t>F/L CUPCAKES LUX COMBO1</t>
  </si>
  <si>
    <t>F/L FESTIVE CHOC LOG CAKE</t>
  </si>
  <si>
    <t>F/L CUPCAKES VANILLA</t>
  </si>
  <si>
    <t>COUNTRY VALUE CUPCAKES</t>
  </si>
  <si>
    <t>F/L HERTZOGGIES</t>
  </si>
  <si>
    <t>C/MUNCH BISC ASST</t>
  </si>
  <si>
    <t>GINGER BISCUIT</t>
  </si>
  <si>
    <t>CRUNCHIE BISCUIT</t>
  </si>
  <si>
    <t>F/L BROWNIES CHOCOLATE</t>
  </si>
  <si>
    <t>F/L MUFFINS COMBO</t>
  </si>
  <si>
    <t>F/L MUFFINS CAPPUCCINO</t>
  </si>
  <si>
    <t>F/L MADEIRA CAKE</t>
  </si>
  <si>
    <t>F/L GINGER LOAF</t>
  </si>
  <si>
    <t>F/L LEMON &amp; POPPY MUFFINS 6'S</t>
  </si>
  <si>
    <t>F/L CARROT MUFFINS</t>
  </si>
  <si>
    <t>F/L MUFFINS CHOC CHIP</t>
  </si>
  <si>
    <t>F/L BANANA MUFFINS</t>
  </si>
  <si>
    <t>F/L BLUEBERRY MUFFINS</t>
  </si>
  <si>
    <t>F/L BRAN &amp; FRUIT MUFFINS</t>
  </si>
  <si>
    <t>F/L BANANA LOAF</t>
  </si>
  <si>
    <t>F/L XMAS MINCE PIES</t>
  </si>
  <si>
    <t>F/L XMAS MINCE PIE RANGE</t>
  </si>
  <si>
    <t>F/L FRUIT &amp; NUT BOSTON</t>
  </si>
  <si>
    <t>F/L MUFFINS BLUEBERRY</t>
  </si>
  <si>
    <t>F/L S/BERRY CHOC MUFFINS</t>
  </si>
  <si>
    <t>F/L MUFFINS BRAN&amp;RAISIN</t>
  </si>
  <si>
    <t>F/L MUFFINS BANANA</t>
  </si>
  <si>
    <t>F/L RAINBOW SPG SLAB CAKE</t>
  </si>
  <si>
    <t>F/L BRD RYE GERMAN</t>
  </si>
  <si>
    <t>F/L TARTLET MINI MILK</t>
  </si>
  <si>
    <t>F/L TART MINI LEM&amp;MERINGUE</t>
  </si>
  <si>
    <t>F/L COMBO MINI TARTLETS</t>
  </si>
  <si>
    <t>F/L WRAPS</t>
  </si>
  <si>
    <t>FRESH LINE WRAPS LARGE</t>
  </si>
  <si>
    <t>F/L BROWN WRAPS</t>
  </si>
  <si>
    <t>VIEIRA'S PIZZA BASES LARG</t>
  </si>
  <si>
    <t>F/L B PEPPER &amp; BASIL WRAP</t>
  </si>
  <si>
    <t>F/L WRAPS BRAN AND SEED</t>
  </si>
  <si>
    <t>F/L ROOSTERKOEK</t>
  </si>
  <si>
    <t>C/VALUE SCONES</t>
  </si>
  <si>
    <t>F/L K/SISTERS TRAD</t>
  </si>
  <si>
    <t>F/L XMAS TRIFLE SPONGE</t>
  </si>
  <si>
    <t>F/L CAKE BLACK FOREST</t>
  </si>
  <si>
    <t>F/L CAKE SPNGE DEATH/CHOC</t>
  </si>
  <si>
    <t>F/L CAKE DARK&amp;WHITE CHOC</t>
  </si>
  <si>
    <t>F/L BAR ONE FLAV CAKE</t>
  </si>
  <si>
    <t>F/L MILKYBAR FLAV CAKE</t>
  </si>
  <si>
    <t>F/L TIN ROOF DESSERT</t>
  </si>
  <si>
    <t>F/L CARAMEL DESSERT</t>
  </si>
  <si>
    <t>F/L DESSERT COMBO 1</t>
  </si>
  <si>
    <t>F/L LEMON CHEESE CAKE</t>
  </si>
  <si>
    <t>F/L CAKE CARML &amp;CUST FLAV</t>
  </si>
  <si>
    <t>F/L CAKE CARROT</t>
  </si>
  <si>
    <t>F/L CAKE HOT CHOCOLATE</t>
  </si>
  <si>
    <t>F/L CAKE CHOC &amp; HAZELNUT</t>
  </si>
  <si>
    <t>H/B CAKE CUSTARD 7INCH</t>
  </si>
  <si>
    <t>H/B CAKE CHOC/CARAMEL 7IN</t>
  </si>
  <si>
    <t>H/B CAKE VAN/CARAMEL 7INC</t>
  </si>
  <si>
    <t>H/B CAKE CHOCOLATE FLAKE</t>
  </si>
  <si>
    <t>H/B CAKE CHOC MINT</t>
  </si>
  <si>
    <t>H/B CAKE STRAWBERRY S/L</t>
  </si>
  <si>
    <t>H/B CAKE BLACKFOREST S/L</t>
  </si>
  <si>
    <t>MTC RYE &amp; MULTI SEED</t>
  </si>
  <si>
    <t>F/L ROTI</t>
  </si>
  <si>
    <t>F/L ROTI  BROWN</t>
  </si>
  <si>
    <t>F/L NAAN GARLIC BREAD</t>
  </si>
  <si>
    <t>F/L S/ROLL CARAMEL MINI</t>
  </si>
  <si>
    <t>F/L MINI SWISS ROLLS</t>
  </si>
  <si>
    <t>F/L S/ROLL CHOC MINI</t>
  </si>
  <si>
    <t>F/L S/ROLL CHOCOLATE</t>
  </si>
  <si>
    <t>F/L S/ROLL VANIL LRGE</t>
  </si>
  <si>
    <t>F/L STEAM XMAS PUDD</t>
  </si>
  <si>
    <t>F/L XMAS FRUIT CAKE</t>
  </si>
  <si>
    <t>F/L ICED CHRISTMAS CAKE</t>
  </si>
  <si>
    <t>F/L COMBO SWISS ROLL</t>
  </si>
  <si>
    <t>F/L DESSERT TOPPING CAKE</t>
  </si>
  <si>
    <t>F/L STRAWBERRY FLAV CAKE</t>
  </si>
  <si>
    <t>F/L BLACK FOREST CAKE</t>
  </si>
  <si>
    <t>F/L CAKE CHOCOLATE FLAV</t>
  </si>
  <si>
    <t>F/L CAKE VANILLA FLAVOURD</t>
  </si>
  <si>
    <t>F/L VETKOEK</t>
  </si>
  <si>
    <t>TEATIME CAKE PEPPERMINT</t>
  </si>
  <si>
    <t>R/SIDE CAKE CHOCOLATE 4T</t>
  </si>
  <si>
    <t>C/VALUE QUEENIES</t>
  </si>
  <si>
    <t>PREMIER FMCG PTY LTD-BLUE RIBB</t>
  </si>
  <si>
    <t>SPAR  BRN TOASTER</t>
  </si>
  <si>
    <t>SPAR WHT TOASTER</t>
  </si>
  <si>
    <t>ESSENTIAL FD:BAKERY DIV PIONEE</t>
  </si>
  <si>
    <t>S/O W/W DU LOW GI</t>
  </si>
  <si>
    <t>S/O SQ/SWCH BRN PREM</t>
  </si>
  <si>
    <t>S/O BR STD S/W</t>
  </si>
  <si>
    <t>S/O S/W  BROWN L/GI</t>
  </si>
  <si>
    <t>S/O WHT SQ/SWCH PREM</t>
  </si>
  <si>
    <t>S/O WHITE STD/SWCH</t>
  </si>
  <si>
    <t>S/O WHITE DU L/GI H/OATS</t>
  </si>
  <si>
    <t>S/O REG L/GI SESAME BUN</t>
  </si>
  <si>
    <t>SASKO ROLL REGULAR PLAIN</t>
  </si>
  <si>
    <t>SASKO BUN REGULAR PLAIN</t>
  </si>
  <si>
    <t>S/O BROWN DU LGI CR/BERRY</t>
  </si>
  <si>
    <t>S/O BUN PLAIN 1X8</t>
  </si>
  <si>
    <t>S/O ROLL REG PLAIN 1X8</t>
  </si>
  <si>
    <t>B/RIBBON BRD BRW S/W SLIC</t>
  </si>
  <si>
    <t>B/R CLASSIC WHITE</t>
  </si>
  <si>
    <t>B/R CLASSIC BROWN</t>
  </si>
  <si>
    <t>B/R TOASTER BROWN</t>
  </si>
  <si>
    <t>B/R TOASTER WHITE</t>
  </si>
  <si>
    <t>B/R WW BROWN</t>
  </si>
  <si>
    <t>B/R S/W SQUARE WHITE</t>
  </si>
  <si>
    <t>B/R  S/WICH SQ BROWN</t>
  </si>
  <si>
    <t>B/R SQUARE M/SEED</t>
  </si>
  <si>
    <t>B/R SQUARE WW</t>
  </si>
  <si>
    <t>B/R  DUO HIGH  FIBRE</t>
  </si>
  <si>
    <t>ALB WHITE SUP</t>
  </si>
  <si>
    <t>ALB BROWN SUP</t>
  </si>
  <si>
    <t>ALB LGI W/W BROWN</t>
  </si>
  <si>
    <t>ALB BOB</t>
  </si>
  <si>
    <t>ALB  SUP LGI BRN SEED</t>
  </si>
  <si>
    <t>ALB SUP SUST WHITE</t>
  </si>
  <si>
    <t>ALBANY E/DAY BROWN BREAD</t>
  </si>
  <si>
    <t>ALBANY E/DAY WHITE BREAD</t>
  </si>
  <si>
    <t>ALB BUNS SUP WHITE</t>
  </si>
  <si>
    <t>ALBANY ROLLS SUP BOB WHT</t>
  </si>
  <si>
    <t>ALB SUP WHITE ROLLS</t>
  </si>
  <si>
    <t>ALB E/DAY WHITE THICK</t>
  </si>
  <si>
    <t>ALB  E/DAY BRN THCK</t>
  </si>
  <si>
    <t>ANYS</t>
  </si>
  <si>
    <t>CREAM OF TARTAR</t>
  </si>
  <si>
    <t>S/O WW  DU LGI</t>
  </si>
  <si>
    <t>ALB TINKIES STRW</t>
  </si>
  <si>
    <t>ALB TINKIES VAN WHIZZ</t>
  </si>
  <si>
    <t>ALB TINKIES FDG SWRL</t>
  </si>
  <si>
    <t>ALB TINKIES CHOC POT</t>
  </si>
  <si>
    <t>BONHEUR BESKUIT</t>
  </si>
  <si>
    <t>TRADIITONAL HOP BESKUIT</t>
  </si>
  <si>
    <t>BUTTER EAT-SUM-MORE RUSKS</t>
  </si>
  <si>
    <t>WHOLEWHEAT RUSKS HOP</t>
  </si>
  <si>
    <t>ALL BRAN RUSKS</t>
  </si>
  <si>
    <t>MUESLI RUSKS</t>
  </si>
  <si>
    <t>BREAKFAST RUSKS HOP</t>
  </si>
  <si>
    <t>ANISEED HOP BESKUIT</t>
  </si>
  <si>
    <t>BUTTERMILK PECAN NUT RUSKS</t>
  </si>
  <si>
    <t>WHOLEWHEAT  HOP ANISEED RUSKS</t>
  </si>
  <si>
    <t>BUTTERMILK HOPS RUSK</t>
  </si>
  <si>
    <t>BUTTERMILK ANISEED RUSKS</t>
  </si>
  <si>
    <t>PETTINA SPONGE</t>
  </si>
  <si>
    <t>BAKELS DELIGHT</t>
  </si>
  <si>
    <t>SYRUP GOLDEN</t>
  </si>
  <si>
    <t xml:space="preserve"> SOUR DOUGH BREAD</t>
  </si>
  <si>
    <t>Mad About Parties</t>
  </si>
  <si>
    <t>CAKE SHEET</t>
  </si>
  <si>
    <t>NIBS CHOCKEX</t>
  </si>
  <si>
    <t>MASTERMARG YELLOW</t>
  </si>
  <si>
    <t>PUFF PASTRY HORN</t>
  </si>
  <si>
    <t>GINGER PDR GRN</t>
  </si>
  <si>
    <t>CAKE FLORA</t>
  </si>
  <si>
    <t>GLITTER-GOLD</t>
  </si>
  <si>
    <t>LEMINGTON R/BERRY</t>
  </si>
  <si>
    <t>SESAME SEED</t>
  </si>
  <si>
    <t>WHIP N GO VANILLA</t>
  </si>
  <si>
    <t>AMIBIANTE TOPPING INT</t>
  </si>
  <si>
    <t>BAVARIAN SUPREME</t>
  </si>
  <si>
    <t>INSTANT THICKEN</t>
  </si>
  <si>
    <t>SPAR STACK TOM&amp;HERB</t>
  </si>
  <si>
    <t>SPAR STACK RYE&amp;CAR</t>
  </si>
  <si>
    <t>F/L CARAMEL &amp; ICING SWISS ROLL</t>
  </si>
  <si>
    <t>MOOIVALLEI SUIWEL</t>
  </si>
  <si>
    <t>CHEDDAR MINI LOAF</t>
  </si>
  <si>
    <t>F/L SCOTCH PANCAKES</t>
  </si>
  <si>
    <t>MIXED SPICES</t>
  </si>
  <si>
    <t>LEMINGTON CHOC</t>
  </si>
  <si>
    <t>CINNAMON GROUND</t>
  </si>
  <si>
    <t>PETT ICING SUGAR</t>
  </si>
  <si>
    <t>MASTERMARG WHITE</t>
  </si>
  <si>
    <t>F/L CAKE CV BLACK FOREST</t>
  </si>
  <si>
    <t>F/L CAKE CV VANILLA</t>
  </si>
  <si>
    <t>F/L CAKE CV CHOCOLATE</t>
  </si>
  <si>
    <t>ALTAS TUISGEBAK BK</t>
  </si>
  <si>
    <t>BAR ONE CAKE</t>
  </si>
  <si>
    <t>HORNS</t>
  </si>
  <si>
    <t>CARAMEL DELUXE CAKE</t>
  </si>
  <si>
    <t>RUBY PINK CHOC BLOCK</t>
  </si>
  <si>
    <t>GLITTER  PINK</t>
  </si>
  <si>
    <t>BOLAND PACKAGING</t>
  </si>
  <si>
    <t>DEEP PINK GEL FOOD COL</t>
  </si>
  <si>
    <t>SUPER BLACK GEL FOOD COL</t>
  </si>
  <si>
    <t>100G LUSTRE D/POWDER SUN GOLD</t>
  </si>
  <si>
    <t>BUDGET  ROND  CAKE</t>
  </si>
  <si>
    <t>CHOCOLATE MOUSSE CAKE</t>
  </si>
  <si>
    <t>SWEET TREAT 6'S</t>
  </si>
  <si>
    <t>RED RED FOOD GEL COLOURING</t>
  </si>
  <si>
    <t>Supplier for Recipes</t>
  </si>
  <si>
    <t>Bakery Cake Flour</t>
  </si>
  <si>
    <t>Bakery White Bread Mix</t>
  </si>
  <si>
    <t>Bakery Brown Bread Mix</t>
  </si>
  <si>
    <t>Bakery Crushed Wheat</t>
  </si>
  <si>
    <t>Bakery White Bread Flour</t>
  </si>
  <si>
    <t>Bakery Brown Bread Flour</t>
  </si>
  <si>
    <t>Bakery Salt</t>
  </si>
  <si>
    <t>Bakery Sugar</t>
  </si>
  <si>
    <t>Bakers Yeast</t>
  </si>
  <si>
    <t>BAR-ONE LOAF</t>
  </si>
  <si>
    <t>DATE BREAD</t>
  </si>
  <si>
    <t>BAR-ONE CAKE SQUARE</t>
  </si>
  <si>
    <t>CARROT CAKE DOUBLE</t>
  </si>
  <si>
    <t>COFFEE CARAMEL CAKE</t>
  </si>
  <si>
    <t>APPLE CRUMBLE (12)</t>
  </si>
  <si>
    <t>APPLE CRUMBLE (6)</t>
  </si>
  <si>
    <t>CARROT MUFFINS (12)</t>
  </si>
  <si>
    <t>CARROT MUFFINS (6)</t>
  </si>
  <si>
    <t>CARAMEL HORNS (8)</t>
  </si>
  <si>
    <t>CHOCOLATE MOUSSE CUP CAKES (6)</t>
  </si>
  <si>
    <t>CREAM HORNS (8)</t>
  </si>
  <si>
    <t>CUP CAKES (12)</t>
  </si>
  <si>
    <t>CUP CAKES (6)</t>
  </si>
  <si>
    <t>ECLAIRS (12)</t>
  </si>
  <si>
    <t>HERTZOGGIES (12)</t>
  </si>
  <si>
    <t>HERTZOGGIES (6)</t>
  </si>
  <si>
    <t>LAMINGTONS (6)</t>
  </si>
  <si>
    <t>LAMINGTONS/CUPCAKE COMBO (12)</t>
  </si>
  <si>
    <t>LAMINGTONS/CUPCAKE COMBO (6)</t>
  </si>
  <si>
    <t>SWEET MIX SMALL (12)</t>
  </si>
  <si>
    <t>SWEET MIX LARGE (12)</t>
  </si>
  <si>
    <t>COFFEE CARAMEL TART</t>
  </si>
  <si>
    <t>LEMON MERINGUE TART</t>
  </si>
  <si>
    <t>MILK TART</t>
  </si>
  <si>
    <t>MILK TART MEDIUM</t>
  </si>
  <si>
    <t>SC SUNFLOWER OIL</t>
  </si>
  <si>
    <t>BICARBONATE SODA</t>
  </si>
  <si>
    <t>ECLAIRS (6)</t>
  </si>
  <si>
    <t>ASST MUFFIN BATTER</t>
  </si>
  <si>
    <t>DATE BALLS/CHOC OATS COMBO</t>
  </si>
  <si>
    <t>QUICHES 6'S</t>
  </si>
  <si>
    <t>SAVOURY MIX 6'S</t>
  </si>
  <si>
    <t>Nestle Caramel Treat</t>
  </si>
  <si>
    <t>SC Sunflower Oil</t>
  </si>
  <si>
    <t>Spar Sugar White</t>
  </si>
  <si>
    <t>F/L COMBO CROUTONS</t>
  </si>
  <si>
    <t>CHICKEN PIES</t>
  </si>
  <si>
    <t>RED ROLLERS T/A APRICOT</t>
  </si>
  <si>
    <t>RUSKS</t>
  </si>
  <si>
    <t>PEPPERMINT TART</t>
  </si>
  <si>
    <t>LIGHT COCOA POWDER</t>
  </si>
  <si>
    <t>F/L ROTIS LARGE</t>
  </si>
  <si>
    <t>F/L ROTIS BROWN LARGE</t>
  </si>
  <si>
    <t>MILK TART CUPS CAKES (6)</t>
  </si>
  <si>
    <t>CHOC OATS CLUSTERS</t>
  </si>
  <si>
    <t>GLITTER SILVER</t>
  </si>
  <si>
    <t>XMAS RIBBON</t>
  </si>
  <si>
    <t>C/VALUE CAKE TRAY I/TRIO</t>
  </si>
  <si>
    <t>F/L WRAPS BROWN LARGE</t>
  </si>
  <si>
    <t>CUP CAKE MINI</t>
  </si>
  <si>
    <t>DARK BLOCK SLICE</t>
  </si>
  <si>
    <t>F/L COMBO 2 SOFT ROLL</t>
  </si>
  <si>
    <t>F/L BRAAI BREAD MIXED</t>
  </si>
  <si>
    <t>F/L ROLLS BRAAI COMBO2</t>
  </si>
  <si>
    <t>F/L COMBO BRAAI ROLLS</t>
  </si>
  <si>
    <t>GEIIANSA</t>
  </si>
  <si>
    <t>SPOOKASEM CREAMSODA  85G</t>
  </si>
  <si>
    <t>SPOOKASEM BUBBLEGUM  85G</t>
  </si>
  <si>
    <t>SPOOKASEM STRAWBERRY  85G</t>
  </si>
  <si>
    <t>SPOOKASEM BLACK CHERRY 85G</t>
  </si>
  <si>
    <t>EDIBLE  GLITTERS</t>
  </si>
  <si>
    <t>VANILLA  ESSENCE</t>
  </si>
  <si>
    <t>SPOOKASEM NAARTJIE  85G</t>
  </si>
  <si>
    <t>SUNFLOWER SEED</t>
  </si>
  <si>
    <t>White Vinegar</t>
  </si>
  <si>
    <t>Water</t>
  </si>
  <si>
    <t>RICH'S PARNAKED PIZZA</t>
  </si>
  <si>
    <t xml:space="preserve"> RICH'S  PARBAKED PIZZA</t>
  </si>
  <si>
    <t>SPAR TFS PIZZA CLUB</t>
  </si>
  <si>
    <t>SPAR TFS PIZZA HAWAIIAN</t>
  </si>
  <si>
    <t>SPAR TFS PIZZA MARGHERITA</t>
  </si>
  <si>
    <t>SPAR TFS PIZZA REGINA</t>
  </si>
  <si>
    <t>SPAR TFS PIZZA BBQ CHICK</t>
  </si>
  <si>
    <t>SPAR TFS PIZZA COMBO</t>
  </si>
  <si>
    <t>BrWhite_STD/Swch_600g_SlBg_Sas</t>
  </si>
  <si>
    <t>BrBrown_STD/Swch_600g_SlBg_Sas</t>
  </si>
  <si>
    <t>S/B CAKE COFFEE</t>
  </si>
  <si>
    <t>S/B CAKE RICH CHOC</t>
  </si>
  <si>
    <t>S/B CAKE RAINBOW</t>
  </si>
  <si>
    <t>SBK PAN RELEASE OIL</t>
  </si>
  <si>
    <t>SB PREMIX CRUST CRISPY</t>
  </si>
  <si>
    <t>SBK MIX COASTAL SCONE</t>
  </si>
  <si>
    <t>SBK MIX MADEIRA BUTTER</t>
  </si>
  <si>
    <t>SAVOURY MIX 14'S</t>
  </si>
  <si>
    <t>MADEIRA MIX</t>
  </si>
  <si>
    <t>LA OLA</t>
  </si>
  <si>
    <t>VERMICELLI CHOC</t>
  </si>
  <si>
    <t>VERMICELLI COLOURS</t>
  </si>
  <si>
    <t>SPAR STACK CHSE FLAV</t>
  </si>
  <si>
    <t>CREAMY YELLOW</t>
  </si>
  <si>
    <t>MOZARELLA  GRATED</t>
  </si>
  <si>
    <t>TRAD HERTZOGGIES (12)</t>
  </si>
  <si>
    <t>NATURE'S BASKET</t>
  </si>
  <si>
    <t>MUSHROOM  PP</t>
  </si>
  <si>
    <t>SCOTTY'S BACK BACON</t>
  </si>
  <si>
    <t>GREENPEPPER</t>
  </si>
  <si>
    <t>RED PEPPER</t>
  </si>
  <si>
    <t>YELLOW PEPPER</t>
  </si>
  <si>
    <t>S/B XMAS FRT CAKE ALC 750GR</t>
  </si>
  <si>
    <t>S/B XMAS FRT CAKE ICED ALC 900</t>
  </si>
  <si>
    <t>SBK FTO PASTEIS DE NATA</t>
  </si>
  <si>
    <t>CREAM CHEESE ICING</t>
  </si>
  <si>
    <t>DEEP WHITE GEL FOOD COL</t>
  </si>
  <si>
    <t>DEEP FOREST GREEN  GEL FOOD COL</t>
  </si>
  <si>
    <t>DEEP NAVY BLUE GEL FOOD COL</t>
  </si>
  <si>
    <t>NAVY BLUE FOOD GEL COLOURING</t>
  </si>
  <si>
    <t>CARROT MUFFINS MINI (12)</t>
  </si>
  <si>
    <t>P/SKY S/DOUGH ART C/WHEAT 500G</t>
  </si>
  <si>
    <t>P/SKY S/DOUGH ART A/GRAIN 500G</t>
  </si>
  <si>
    <t>SPOOKASEM BUBBLE-BERRY  85G</t>
  </si>
  <si>
    <t>FRUITELIOUS STR/BERRY</t>
  </si>
  <si>
    <t>SPOOKASEM BLACK SODA 85G</t>
  </si>
  <si>
    <t>SBK MIX CRUNCHIE 5KG</t>
  </si>
  <si>
    <t>SBK XMAS CAKE ALCOHOL 900GR</t>
  </si>
  <si>
    <t>KATHY'S KITCHEN</t>
  </si>
  <si>
    <t>SEED CRACKERS</t>
  </si>
  <si>
    <t>DARK CHOC COATED</t>
  </si>
  <si>
    <t>MANGO&amp;MACADAMIA S/BAR</t>
  </si>
  <si>
    <t>SBK CAKE GATEAUX CHOC&amp;CARAM 1'</t>
  </si>
  <si>
    <t>SBK CAKE GATEAUX BLACK FOREST</t>
  </si>
  <si>
    <t>SBK CAKE GATEAUX CHOC&amp;P/MINT 1</t>
  </si>
  <si>
    <t>SBK CAKE GATEAUX CHOC MOUSSE 1</t>
  </si>
  <si>
    <t>SBK CAKE GATEAUX CHOC RICH 1'S</t>
  </si>
  <si>
    <t>RED VELVET CUP CAKES (6)</t>
  </si>
  <si>
    <t>DONUT POPS</t>
  </si>
  <si>
    <t>KRO-NUTS</t>
  </si>
  <si>
    <t>S/B H/CROSS BUNS MINI TRAD 12'</t>
  </si>
  <si>
    <t>WILDFIRE TRAD-COOKIE FACTORY</t>
  </si>
  <si>
    <t>CHOCOLATE CREAMS</t>
  </si>
  <si>
    <t>OATIES</t>
  </si>
  <si>
    <t>YOGHURT CREAMS</t>
  </si>
  <si>
    <t>SHORT BREAD SINGLE</t>
  </si>
  <si>
    <t>OATIES SINGLE</t>
  </si>
  <si>
    <t>AMRICAN SINGLE</t>
  </si>
  <si>
    <t>QUICHE LARGE</t>
  </si>
  <si>
    <t>S/B BUNS 3'S BRIOCHE</t>
  </si>
  <si>
    <t>S/B BUNS 3'S BRIOCHE SESAME</t>
  </si>
  <si>
    <t>S/B ROLL H/DOG 3'S BRIOCHE</t>
  </si>
  <si>
    <t>S/B ROLL H/DOG 3'S BRIOCHE SES</t>
  </si>
  <si>
    <t>S/B BAGELS PLAIN 4'S</t>
  </si>
  <si>
    <t>SBK CAKE GATEAUX CHOC GANACHE</t>
  </si>
  <si>
    <t>CAPE BAKERY CUPCAKES SKIL PART</t>
  </si>
  <si>
    <t>CAPE BAKERY OCCASION CAKE 1'S</t>
  </si>
  <si>
    <t>CAPE BAKERY BIRTHDAY CAKE RND</t>
  </si>
  <si>
    <t>CAPE BAKERY B/CAKE 1'S C/CARAM</t>
  </si>
  <si>
    <t>CAPE BAKERY B/CAKE 1'S C&amp;CRM</t>
  </si>
  <si>
    <t>CAPE BAKERY B/CAKE 1'S R/VELV</t>
  </si>
  <si>
    <t>MINI GINGER STRIPS 5'S</t>
  </si>
  <si>
    <t>MINI CHOC CHIP STRIPS 5'S</t>
  </si>
  <si>
    <t>MINI OAT CRUNCHIES STRIPS 5'S</t>
  </si>
  <si>
    <t>MINI  DOUBLE DELIGHT STRIPS 5'S</t>
  </si>
  <si>
    <t>LEMON CREAMS</t>
  </si>
  <si>
    <t>BISCUITS ASSORTED</t>
  </si>
  <si>
    <t>CAPPUCCINO CREAMS</t>
  </si>
  <si>
    <t>ALETTA LINDE</t>
  </si>
  <si>
    <t>CHOCLATE CAKE</t>
  </si>
  <si>
    <t>CARAMEL VANILLA</t>
  </si>
  <si>
    <t>GRENADILLA CAKE</t>
  </si>
  <si>
    <t>PEAR TARTS</t>
  </si>
  <si>
    <t>FRUITELIOUS CHOCLATE</t>
  </si>
  <si>
    <t>INTENS FRESHNESS</t>
  </si>
  <si>
    <t>B-LICIOUS MERINGUE</t>
  </si>
  <si>
    <t>S/B PANETTONE 500GR</t>
  </si>
  <si>
    <t>S/B CIAB FEST CHOC &amp; P/MINT 6'</t>
  </si>
  <si>
    <t>S/B CIAB FEST CHOC&amp;MIX CITRUS</t>
  </si>
  <si>
    <t>S/B CIAB FEST APP/CRANB&amp;F/MNCE</t>
  </si>
  <si>
    <t>S/B FESTIVE BRANDY PUDDING 450</t>
  </si>
  <si>
    <t>S/B FRUIT CAKES MIXED MINI 250</t>
  </si>
  <si>
    <t>S/B BISC CINNAMON SNAPS CHOC 2</t>
  </si>
  <si>
    <t>S/B BISC CINNAMON SNAPS 200GR</t>
  </si>
  <si>
    <t>S/B CHEESE ROLLS</t>
  </si>
  <si>
    <t>EASY DIP CHOCOLATE</t>
  </si>
  <si>
    <t>YUM-YUMS  3'S</t>
  </si>
  <si>
    <t>YUM-YUMS CHOC</t>
  </si>
  <si>
    <t>S/B CAKE R/BOW SPONG ICED VAN</t>
  </si>
  <si>
    <t>S/B BREAD S/GRAIN 1'S CHS&amp;ONIO</t>
  </si>
  <si>
    <t>S/B BREAD S/GRAIN 1'S GARLIC</t>
  </si>
  <si>
    <t>S/B BREAD S/GRAIN 1'S HERB</t>
  </si>
  <si>
    <t>S/B BREAD S/GRAIN 1'S COMBO1</t>
  </si>
  <si>
    <t>SAUSAGE ROLLS</t>
  </si>
  <si>
    <t>CUP CAKES  VANILLA (12)</t>
  </si>
  <si>
    <t>S/B ICED EASTER SQR CAKE</t>
  </si>
  <si>
    <t>GINGER BISCUITS 200G</t>
  </si>
  <si>
    <t>CRUNCHIE BISCUITS 200G</t>
  </si>
  <si>
    <t>CHOC MUFFIN BATTER</t>
  </si>
  <si>
    <t>S/B TRAY CAKE CHOC &amp; VAN 1'S</t>
  </si>
  <si>
    <t>S/B BROWNIES CHOC &amp; PECAN NUTS</t>
  </si>
  <si>
    <t>S/B BROWNIES CHOC 4'S</t>
  </si>
  <si>
    <t>S/B BLONDIES CRANB &amp; WHT CHOC</t>
  </si>
  <si>
    <t>S/B CIABATTA 1'S MARGHERITA</t>
  </si>
  <si>
    <t>S/B CIABATTA 1'S CHEESE&amp;ONION</t>
  </si>
  <si>
    <t>S/B CIABATTA 1'S CHEESE&amp;GARLIC</t>
  </si>
  <si>
    <t>S/B CIABATTA 1'S COMBO 1</t>
  </si>
  <si>
    <t>S/B CIABATTA 1'S COMBO 2</t>
  </si>
  <si>
    <t>S/B SOURDOUGH BREAD M/SEED 400</t>
  </si>
  <si>
    <t>S/B SOURDOUGH BREAD 400GR</t>
  </si>
  <si>
    <t>BUDGET  CARROT CAKE</t>
  </si>
  <si>
    <t>COOKIES &amp; CREAM CAKE</t>
  </si>
  <si>
    <t>S/B CIABATTA 1'S CHEESE&amp;CHILLI</t>
  </si>
  <si>
    <t>EBONY MOIST CHOC CAKE MIX</t>
  </si>
  <si>
    <t>IVORY  MOIST  CAKE MIX</t>
  </si>
  <si>
    <t>CHOCOMOUSSE MIX</t>
  </si>
  <si>
    <t>NO-BAKE CHOC</t>
  </si>
  <si>
    <t>CARROT CAKE MIX</t>
  </si>
  <si>
    <t>CUP CAKES (12) MIX</t>
  </si>
  <si>
    <t>BAKERY INGREDIENTS 15%</t>
  </si>
  <si>
    <t>BAKERY BUY-INS 15%</t>
  </si>
  <si>
    <t>BAKERY F/L INDULGE 15%</t>
  </si>
  <si>
    <t>BAKERY F/L SVRY BRE 15%</t>
  </si>
  <si>
    <t>BAKERY F/L SVRY SNAC 15%</t>
  </si>
  <si>
    <t>BAKKERY LABELS 15%</t>
  </si>
  <si>
    <t>Thursday</t>
  </si>
  <si>
    <t>Planned Production</t>
  </si>
  <si>
    <t>Planned sales</t>
  </si>
  <si>
    <t>CP of planned sales</t>
  </si>
  <si>
    <t>Planned GP</t>
  </si>
  <si>
    <t>Values</t>
  </si>
  <si>
    <t>Total Actual Quantity</t>
  </si>
  <si>
    <t>Actual Quantity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</si>
</sst>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###0;\-###0"/>
    <numFmt numFmtId="165" formatCode="#,##0.0"/>
    <numFmt numFmtId="166" formatCode="#,##0.00_ ;\-#,##0.00\ "/>
    <numFmt numFmtId="167" formatCode="0.0"/>
    <numFmt numFmtId="168" formatCode="0.0%"/>
  </numFmts>
  <fonts count="6" x14ac:knownFonts="1">
    <font>
      <sz val="9"/>
      <name val="MS Sans Serif"/>
    </font>
    <font>
      <sz val="9"/>
      <color indexed="10"/>
      <name val="MS Sans Serif"/>
    </font>
    <font>
      <sz val="9"/>
      <name val="MS Sans Serif"/>
    </font>
    <font>
      <b/>
      <sz val="16"/>
      <name val="MS Sans Serif"/>
    </font>
    <font>
      <b/>
      <sz val="9"/>
      <color rgb="FFFFFFFF"/>
      <name val="MS Sans Serif"/>
    </font>
    <font>
      <b/>
      <sz val="9"/>
      <name val="MS Sans Serif"/>
    </font>
  </fonts>
  <fills count="6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rgb="FFFFFF99"/>
        <bgColor indexed="64"/>
      </patternFill>
    </fill>
    <fill>
      <patternFill patternType="solid">
        <fgColor rgb="FF4472C4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/>
      <right/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 applyAlignment="0">
      <alignment vertical="top" wrapText="1"/>
      <protection locked="0"/>
    </xf>
    <xf numFmtId="43" fontId="2" fillId="0" borderId="0" applyFont="0" applyFill="0" applyBorder="0" applyAlignment="0" applyProtection="0">
      <alignment vertical="top" wrapText="1"/>
      <protection locked="0"/>
    </xf>
  </cellStyleXfs>
  <cellXfs count="78">
    <xf numFmtId="0" fontId="0" fillId="0" borderId="0" xfId="0" applyAlignment="1">
      <alignment vertical="top"/>
      <protection locked="0"/>
    </xf>
    <xf numFmtId="0" fontId="0" fillId="0" borderId="0" xfId="0" applyAlignment="1">
      <alignment horizontal="left" vertical="top"/>
      <protection locked="0"/>
    </xf>
    <xf numFmtId="49" fontId="0" fillId="2" borderId="0" xfId="0" applyNumberFormat="1" applyFill="1" applyAlignment="1">
      <alignment horizontal="left" vertical="top" wrapText="1"/>
      <protection locked="0"/>
    </xf>
    <xf numFmtId="49" fontId="0" fillId="3" borderId="0" xfId="0" applyNumberFormat="1" applyFill="1" applyAlignment="1">
      <alignment horizontal="left" vertical="top"/>
      <protection locked="0"/>
    </xf>
    <xf numFmtId="164" fontId="0" fillId="3" borderId="0" xfId="0" applyNumberFormat="1" applyFill="1" applyAlignment="1">
      <alignment horizontal="right" vertical="top"/>
      <protection locked="0"/>
    </xf>
    <xf numFmtId="1" fontId="0" fillId="3" borderId="0" xfId="0" applyNumberFormat="1" applyFill="1" applyAlignment="1">
      <alignment horizontal="right" vertical="top"/>
      <protection locked="0"/>
    </xf>
    <xf numFmtId="39" fontId="0" fillId="3" borderId="0" xfId="0" applyNumberFormat="1" applyFill="1" applyAlignment="1">
      <alignment horizontal="right" vertical="top"/>
      <protection locked="0"/>
    </xf>
    <xf numFmtId="3" fontId="0" fillId="2" borderId="0" xfId="0" applyNumberFormat="1" applyFill="1" applyAlignment="1">
      <alignment horizontal="left" vertical="top" wrapText="1"/>
      <protection locked="0"/>
    </xf>
    <xf numFmtId="3" fontId="1" fillId="0" borderId="0" xfId="0" applyNumberFormat="1" applyFont="1" applyAlignment="1">
      <alignment horizontal="right" vertical="top"/>
      <protection locked="0"/>
    </xf>
    <xf numFmtId="3" fontId="0" fillId="0" borderId="0" xfId="0" applyNumberFormat="1" applyAlignment="1">
      <alignment horizontal="left" vertical="top"/>
      <protection locked="0"/>
    </xf>
    <xf numFmtId="4" fontId="0" fillId="2" borderId="0" xfId="0" applyNumberFormat="1" applyFill="1" applyAlignment="1">
      <alignment horizontal="left" vertical="top" wrapText="1"/>
      <protection locked="0"/>
    </xf>
    <xf numFmtId="4" fontId="1" fillId="0" borderId="0" xfId="0" applyNumberFormat="1" applyFont="1" applyAlignment="1">
      <alignment horizontal="right" vertical="top"/>
      <protection locked="0"/>
    </xf>
    <xf numFmtId="4" fontId="0" fillId="0" borderId="0" xfId="0" applyNumberFormat="1" applyAlignment="1">
      <alignment horizontal="left" vertical="top"/>
      <protection locked="0"/>
    </xf>
    <xf numFmtId="165" fontId="0" fillId="2" borderId="0" xfId="0" applyNumberFormat="1" applyFill="1" applyAlignment="1">
      <alignment horizontal="left" vertical="top" wrapText="1"/>
      <protection locked="0"/>
    </xf>
    <xf numFmtId="165" fontId="1" fillId="0" borderId="0" xfId="0" applyNumberFormat="1" applyFont="1" applyAlignment="1">
      <alignment horizontal="right" vertical="top"/>
      <protection locked="0"/>
    </xf>
    <xf numFmtId="165" fontId="0" fillId="0" borderId="0" xfId="0" applyNumberFormat="1" applyAlignment="1">
      <alignment horizontal="left" vertical="top"/>
      <protection locked="0"/>
    </xf>
    <xf numFmtId="4" fontId="0" fillId="3" borderId="0" xfId="0" applyNumberFormat="1" applyFill="1" applyAlignment="1">
      <alignment horizontal="right" vertical="top"/>
      <protection locked="0"/>
    </xf>
    <xf numFmtId="4" fontId="0" fillId="3" borderId="0" xfId="0" applyNumberFormat="1" applyFill="1" applyAlignment="1">
      <alignment horizontal="left" vertical="top"/>
      <protection locked="0"/>
    </xf>
    <xf numFmtId="49" fontId="0" fillId="4" borderId="0" xfId="0" applyNumberFormat="1" applyFill="1" applyAlignment="1">
      <alignment horizontal="left" vertical="top"/>
      <protection locked="0"/>
    </xf>
    <xf numFmtId="164" fontId="0" fillId="4" borderId="0" xfId="0" applyNumberFormat="1" applyFill="1" applyAlignment="1">
      <alignment horizontal="right" vertical="top"/>
      <protection locked="0"/>
    </xf>
    <xf numFmtId="1" fontId="0" fillId="4" borderId="0" xfId="0" applyNumberFormat="1" applyFill="1" applyAlignment="1">
      <alignment horizontal="right" vertical="top"/>
      <protection locked="0"/>
    </xf>
    <xf numFmtId="39" fontId="0" fillId="4" borderId="0" xfId="0" applyNumberFormat="1" applyFill="1" applyAlignment="1">
      <alignment horizontal="right" vertical="top"/>
      <protection locked="0"/>
    </xf>
    <xf numFmtId="0" fontId="0" fillId="0" borderId="0" xfId="0" applyAlignment="1">
      <alignment vertical="top" wrapText="1"/>
      <protection locked="0"/>
    </xf>
    <xf numFmtId="0" fontId="0" fillId="0" borderId="1" xfId="0" applyBorder="1" applyAlignment="1">
      <alignment vertical="top"/>
      <protection locked="0"/>
    </xf>
    <xf numFmtId="0" fontId="0" fillId="0" borderId="1" xfId="0" pivotButton="1" applyBorder="1" applyAlignment="1">
      <alignment vertical="top"/>
      <protection locked="0"/>
    </xf>
    <xf numFmtId="0" fontId="4" fillId="5" borderId="1" xfId="0" applyFont="1" applyFill="1" applyBorder="1" applyAlignment="1">
      <alignment horizontal="center" vertical="top" wrapText="1"/>
      <protection locked="0"/>
    </xf>
    <xf numFmtId="3" fontId="0" fillId="0" borderId="1" xfId="0" applyNumberFormat="1" applyBorder="1" applyAlignment="1">
      <alignment horizontal="right" vertical="center"/>
      <protection locked="0"/>
    </xf>
    <xf numFmtId="4" fontId="0" fillId="0" borderId="1" xfId="0" applyNumberFormat="1" applyBorder="1" applyAlignment="1">
      <alignment horizontal="right" vertical="center"/>
      <protection locked="0"/>
    </xf>
    <xf numFmtId="166" fontId="0" fillId="0" borderId="1" xfId="0" applyNumberFormat="1" applyBorder="1" applyAlignment="1">
      <alignment horizontal="right" vertical="center"/>
      <protection locked="0"/>
    </xf>
    <xf numFmtId="168" fontId="0" fillId="0" borderId="1" xfId="0" applyNumberFormat="1" applyBorder="1" applyAlignment="1">
      <alignment horizontal="right" vertical="center"/>
      <protection locked="0"/>
    </xf>
    <xf numFmtId="0" fontId="0" fillId="0" borderId="0" xfId="0" applyAlignment="1">
      <alignment vertical="center"/>
      <protection locked="0"/>
    </xf>
    <xf numFmtId="0" fontId="4" fillId="5" borderId="1" xfId="0" applyFont="1" applyFill="1" applyBorder="1" applyAlignment="1">
      <alignment horizontal="left" vertical="center"/>
      <protection locked="0"/>
    </xf>
    <xf numFmtId="3" fontId="4" fillId="5" borderId="1" xfId="0" applyNumberFormat="1" applyFont="1" applyFill="1" applyBorder="1" applyAlignment="1">
      <alignment horizontal="right" vertical="center"/>
      <protection locked="0"/>
    </xf>
    <xf numFmtId="4" fontId="4" fillId="5" borderId="1" xfId="0" applyNumberFormat="1" applyFont="1" applyFill="1" applyBorder="1" applyAlignment="1">
      <alignment horizontal="right" vertical="center"/>
      <protection locked="0"/>
    </xf>
    <xf numFmtId="166" fontId="4" fillId="5" borderId="1" xfId="0" applyNumberFormat="1" applyFont="1" applyFill="1" applyBorder="1" applyAlignment="1">
      <alignment horizontal="right" vertical="center"/>
      <protection locked="0"/>
    </xf>
    <xf numFmtId="168" fontId="4" fillId="5" borderId="1" xfId="0" applyNumberFormat="1" applyFont="1" applyFill="1" applyBorder="1" applyAlignment="1">
      <alignment horizontal="right" vertical="center"/>
      <protection locked="0"/>
    </xf>
    <xf numFmtId="4" fontId="0" fillId="0" borderId="0" xfId="0" applyNumberFormat="1" applyAlignment="1">
      <alignment horizontal="right" vertical="top"/>
      <protection locked="0"/>
    </xf>
    <xf numFmtId="4" fontId="0" fillId="4" borderId="0" xfId="0" applyNumberFormat="1" applyFill="1" applyAlignment="1">
      <alignment horizontal="right" vertical="top"/>
      <protection locked="0"/>
    </xf>
    <xf numFmtId="0" fontId="4" fillId="5" borderId="1" xfId="0" applyFont="1" applyFill="1" applyBorder="1" applyAlignment="1">
      <alignment horizontal="center" vertical="top"/>
      <protection locked="0"/>
    </xf>
    <xf numFmtId="0" fontId="0" fillId="0" borderId="0" xfId="0" applyAlignment="1">
      <alignment horizontal="right" vertical="top"/>
      <protection locked="0"/>
    </xf>
    <xf numFmtId="49" fontId="0" fillId="2" borderId="0" xfId="0" applyNumberFormat="1" applyFill="1" applyAlignment="1">
      <alignment horizontal="left" vertical="top"/>
      <protection locked="0"/>
    </xf>
    <xf numFmtId="4" fontId="0" fillId="2" borderId="0" xfId="0" applyNumberFormat="1" applyFill="1" applyAlignment="1">
      <alignment horizontal="left" vertical="top"/>
      <protection locked="0"/>
    </xf>
    <xf numFmtId="4" fontId="0" fillId="0" borderId="0" xfId="0" applyNumberFormat="1" applyAlignment="1">
      <alignment vertical="top"/>
      <protection locked="0"/>
    </xf>
    <xf numFmtId="0" fontId="0" fillId="0" borderId="2" xfId="0" applyBorder="1" applyAlignment="1">
      <alignment vertical="top"/>
      <protection locked="0"/>
    </xf>
    <xf numFmtId="0" fontId="0" fillId="0" borderId="3" xfId="0" applyBorder="1" applyAlignment="1">
      <alignment vertical="top"/>
      <protection locked="0"/>
    </xf>
    <xf numFmtId="0" fontId="0" fillId="0" borderId="2" xfId="0" pivotButton="1" applyBorder="1" applyAlignment="1">
      <alignment vertical="top"/>
      <protection locked="0"/>
    </xf>
    <xf numFmtId="0" fontId="0" fillId="0" borderId="4" xfId="0" applyBorder="1" applyAlignment="1">
      <alignment vertical="top"/>
      <protection locked="0"/>
    </xf>
    <xf numFmtId="0" fontId="0" fillId="0" borderId="7" xfId="0" applyBorder="1" applyAlignment="1">
      <alignment vertical="top"/>
      <protection locked="0"/>
    </xf>
    <xf numFmtId="1" fontId="0" fillId="0" borderId="1" xfId="0" applyNumberFormat="1" applyBorder="1" applyAlignment="1">
      <alignment vertical="top"/>
      <protection locked="0"/>
    </xf>
    <xf numFmtId="1" fontId="4" fillId="5" borderId="1" xfId="0" applyNumberFormat="1" applyFont="1" applyFill="1" applyBorder="1" applyAlignment="1">
      <alignment horizontal="left" vertical="center"/>
      <protection locked="0"/>
    </xf>
    <xf numFmtId="4" fontId="0" fillId="0" borderId="0" xfId="0" applyNumberFormat="1" applyAlignment="1">
      <alignment horizontal="left" vertical="top" wrapText="1"/>
      <protection locked="0"/>
    </xf>
    <xf numFmtId="3" fontId="0" fillId="0" borderId="0" xfId="0" applyNumberFormat="1" applyAlignment="1">
      <alignment horizontal="right" vertical="top"/>
      <protection locked="0"/>
    </xf>
    <xf numFmtId="166" fontId="0" fillId="0" borderId="0" xfId="1" applyNumberFormat="1" applyFont="1" applyFill="1" applyAlignment="1">
      <alignment horizontal="right" vertical="top"/>
      <protection locked="0"/>
    </xf>
    <xf numFmtId="167" fontId="0" fillId="0" borderId="0" xfId="1" applyNumberFormat="1" applyFont="1" applyFill="1" applyAlignment="1">
      <alignment horizontal="right" vertical="top"/>
      <protection locked="0"/>
    </xf>
    <xf numFmtId="0" fontId="0" fillId="0" borderId="9" xfId="0" applyBorder="1" applyAlignment="1">
      <alignment vertical="top"/>
      <protection locked="0"/>
    </xf>
    <xf numFmtId="0" fontId="0" fillId="0" borderId="10" xfId="0" applyBorder="1" applyAlignment="1">
      <alignment vertical="top"/>
      <protection locked="0"/>
    </xf>
    <xf numFmtId="0" fontId="0" fillId="0" borderId="3" xfId="0" pivotButton="1" applyBorder="1" applyAlignment="1">
      <alignment vertical="top"/>
      <protection locked="0"/>
    </xf>
    <xf numFmtId="14" fontId="0" fillId="0" borderId="2" xfId="0" applyNumberFormat="1" applyBorder="1" applyAlignment="1">
      <alignment vertical="top"/>
      <protection locked="0"/>
    </xf>
    <xf numFmtId="4" fontId="0" fillId="0" borderId="2" xfId="0" applyNumberFormat="1" applyBorder="1" applyAlignment="1">
      <alignment vertical="top"/>
      <protection locked="0"/>
    </xf>
    <xf numFmtId="165" fontId="0" fillId="0" borderId="5" xfId="0" applyNumberFormat="1" applyBorder="1" applyAlignment="1">
      <alignment vertical="top"/>
      <protection locked="0"/>
    </xf>
    <xf numFmtId="165" fontId="0" fillId="0" borderId="11" xfId="0" applyNumberFormat="1" applyBorder="1" applyAlignment="1">
      <alignment vertical="top"/>
      <protection locked="0"/>
    </xf>
    <xf numFmtId="0" fontId="0" fillId="0" borderId="6" xfId="0" applyBorder="1" applyAlignment="1">
      <alignment vertical="top"/>
      <protection locked="0"/>
    </xf>
    <xf numFmtId="4" fontId="0" fillId="0" borderId="6" xfId="0" applyNumberFormat="1" applyBorder="1" applyAlignment="1">
      <alignment vertical="top"/>
      <protection locked="0"/>
    </xf>
    <xf numFmtId="165" fontId="0" fillId="0" borderId="8" xfId="0" applyNumberFormat="1" applyBorder="1" applyAlignment="1">
      <alignment vertical="top"/>
      <protection locked="0"/>
    </xf>
    <xf numFmtId="165" fontId="0" fillId="0" borderId="12" xfId="0" applyNumberFormat="1" applyBorder="1" applyAlignment="1">
      <alignment vertical="top"/>
      <protection locked="0"/>
    </xf>
    <xf numFmtId="14" fontId="0" fillId="0" borderId="3" xfId="0" applyNumberFormat="1" applyBorder="1" applyAlignment="1">
      <alignment vertical="top"/>
      <protection locked="0"/>
    </xf>
    <xf numFmtId="0" fontId="0" fillId="0" borderId="2" xfId="0" pivotButton="1" applyBorder="1" applyAlignment="1">
      <alignment horizontal="center" vertical="top" wrapText="1"/>
      <protection locked="0"/>
    </xf>
    <xf numFmtId="0" fontId="0" fillId="0" borderId="2" xfId="0" applyBorder="1" applyAlignment="1">
      <alignment horizontal="center" vertical="top" wrapText="1"/>
      <protection locked="0"/>
    </xf>
    <xf numFmtId="0" fontId="0" fillId="0" borderId="5" xfId="0" applyBorder="1" applyAlignment="1">
      <alignment horizontal="center" vertical="top" wrapText="1"/>
      <protection locked="0"/>
    </xf>
    <xf numFmtId="0" fontId="0" fillId="0" borderId="0" xfId="0" applyAlignment="1">
      <alignment horizontal="center" vertical="top" wrapText="1"/>
      <protection locked="0"/>
    </xf>
    <xf numFmtId="0" fontId="3" fillId="0" borderId="1" xfId="0" applyFont="1" applyBorder="1" applyAlignment="1">
      <alignment horizontal="center" vertical="center"/>
      <protection locked="0"/>
    </xf>
    <xf numFmtId="0" fontId="0" fillId="0" borderId="0" xfId="0" applyNumberFormat="1" applyAlignment="1">
      <alignment vertical="top"/>
      <protection locked="0"/>
    </xf>
    <xf numFmtId="4" fontId="5" fillId="0" borderId="2" xfId="0" applyNumberFormat="1" applyFont="1" applyBorder="1" applyAlignment="1">
      <alignment vertical="top"/>
      <protection locked="0"/>
    </xf>
    <xf numFmtId="4" fontId="0" fillId="0" borderId="2" xfId="0" applyNumberFormat="1" applyFont="1" applyBorder="1" applyAlignment="1">
      <alignment vertical="top"/>
      <protection locked="0"/>
    </xf>
    <xf numFmtId="14" fontId="0" fillId="0" borderId="1" xfId="0" applyNumberFormat="1" applyBorder="1" applyAlignment="1">
      <alignment horizontal="center" vertical="top" wrapText="1"/>
      <protection locked="0"/>
    </xf>
    <xf numFmtId="0" fontId="0" fillId="0" borderId="1" xfId="0" applyBorder="1" applyAlignment="1">
      <alignment horizontal="center" vertical="top" wrapText="1"/>
      <protection locked="0"/>
    </xf>
    <xf numFmtId="165" fontId="0" fillId="0" borderId="2" xfId="0" applyNumberFormat="1" applyBorder="1" applyAlignment="1">
      <alignment vertical="top"/>
      <protection locked="0"/>
    </xf>
    <xf numFmtId="0" fontId="0" fillId="0" borderId="0" xfId="0" applyFont="1" applyAlignment="1">
      <alignment vertical="top"/>
      <protection locked="0"/>
    </xf>
  </cellXfs>
  <cellStyles count="2">
    <cellStyle name="Comma" xfId="1" builtinId="3"/>
    <cellStyle name="Normal" xfId="0" builtinId="0"/>
  </cellStyles>
  <dxfs count="5709">
    <dxf>
      <numFmt numFmtId="19" formatCode="yyyy/mm/dd"/>
    </dxf>
    <dxf>
      <numFmt numFmtId="4" formatCode="#,##0.00"/>
    </dxf>
    <dxf>
      <numFmt numFmtId="165" formatCode="#,##0.0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m/dd"/>
    </dxf>
    <dxf>
      <numFmt numFmtId="4" formatCode="#,##0.00"/>
    </dxf>
    <dxf>
      <numFmt numFmtId="165" formatCode="#,##0.0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m/dd"/>
    </dxf>
    <dxf>
      <numFmt numFmtId="4" formatCode="#,##0.00"/>
    </dxf>
    <dxf>
      <numFmt numFmtId="165" formatCode="#,##0.0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m/dd"/>
    </dxf>
    <dxf>
      <numFmt numFmtId="4" formatCode="#,##0.00"/>
    </dxf>
    <dxf>
      <numFmt numFmtId="165" formatCode="#,##0.0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m/dd"/>
    </dxf>
    <dxf>
      <numFmt numFmtId="4" formatCode="#,##0.00"/>
    </dxf>
    <dxf>
      <numFmt numFmtId="165" formatCode="#,##0.0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m/dd"/>
    </dxf>
    <dxf>
      <numFmt numFmtId="4" formatCode="#,##0.00"/>
    </dxf>
    <dxf>
      <numFmt numFmtId="165" formatCode="#,##0.0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m/dd"/>
    </dxf>
    <dxf>
      <numFmt numFmtId="4" formatCode="#,##0.00"/>
    </dxf>
    <dxf>
      <numFmt numFmtId="165" formatCode="#,##0.0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m/dd"/>
    </dxf>
    <dxf>
      <numFmt numFmtId="4" formatCode="#,##0.00"/>
    </dxf>
    <dxf>
      <numFmt numFmtId="165" formatCode="#,##0.0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m/dd"/>
    </dxf>
    <dxf>
      <numFmt numFmtId="4" formatCode="#,##0.00"/>
    </dxf>
    <dxf>
      <numFmt numFmtId="165" formatCode="#,##0.0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m/dd"/>
    </dxf>
    <dxf>
      <numFmt numFmtId="4" formatCode="#,##0.00"/>
    </dxf>
    <dxf>
      <numFmt numFmtId="165" formatCode="#,##0.0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m/dd"/>
    </dxf>
    <dxf>
      <numFmt numFmtId="4" formatCode="#,##0.00"/>
    </dxf>
    <dxf>
      <numFmt numFmtId="165" formatCode="#,##0.0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m/dd"/>
    </dxf>
    <dxf>
      <numFmt numFmtId="4" formatCode="#,##0.00"/>
    </dxf>
    <dxf>
      <numFmt numFmtId="165" formatCode="#,##0.0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m/dd"/>
    </dxf>
    <dxf>
      <numFmt numFmtId="4" formatCode="#,##0.00"/>
    </dxf>
    <dxf>
      <numFmt numFmtId="165" formatCode="#,##0.0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m/dd"/>
    </dxf>
    <dxf>
      <numFmt numFmtId="4" formatCode="#,##0.00"/>
    </dxf>
    <dxf>
      <numFmt numFmtId="165" formatCode="#,##0.0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m/dd"/>
    </dxf>
    <dxf>
      <numFmt numFmtId="4" formatCode="#,##0.00"/>
    </dxf>
    <dxf>
      <numFmt numFmtId="165" formatCode="#,##0.0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m/dd"/>
    </dxf>
    <dxf>
      <numFmt numFmtId="4" formatCode="#,##0.00"/>
    </dxf>
    <dxf>
      <numFmt numFmtId="165" formatCode="#,##0.0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m/dd"/>
    </dxf>
    <dxf>
      <numFmt numFmtId="4" formatCode="#,##0.00"/>
    </dxf>
    <dxf>
      <numFmt numFmtId="165" formatCode="#,##0.0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m/dd"/>
    </dxf>
    <dxf>
      <numFmt numFmtId="4" formatCode="#,##0.00"/>
    </dxf>
    <dxf>
      <numFmt numFmtId="165" formatCode="#,##0.0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m/dd"/>
    </dxf>
    <dxf>
      <numFmt numFmtId="4" formatCode="#,##0.00"/>
    </dxf>
    <dxf>
      <numFmt numFmtId="165" formatCode="#,##0.0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m/dd"/>
    </dxf>
    <dxf>
      <numFmt numFmtId="4" formatCode="#,##0.00"/>
    </dxf>
    <dxf>
      <numFmt numFmtId="165" formatCode="#,##0.0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m/dd"/>
    </dxf>
    <dxf>
      <numFmt numFmtId="4" formatCode="#,##0.00"/>
    </dxf>
    <dxf>
      <numFmt numFmtId="165" formatCode="#,##0.0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m/dd"/>
    </dxf>
    <dxf>
      <numFmt numFmtId="4" formatCode="#,##0.00"/>
    </dxf>
    <dxf>
      <numFmt numFmtId="165" formatCode="#,##0.0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9" formatCode="yyyy/mm/dd"/>
    </dxf>
    <dxf>
      <numFmt numFmtId="4" formatCode="#,##0.00"/>
    </dxf>
    <dxf>
      <numFmt numFmtId="165" formatCode="#,##0.0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9" formatCode="yyyy/mm/dd"/>
    </dxf>
    <dxf>
      <numFmt numFmtId="4" formatCode="#,##0.00"/>
    </dxf>
    <dxf>
      <numFmt numFmtId="165" formatCode="#,##0.0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alignment vertical="center"/>
    </dxf>
    <dxf>
      <alignment vertic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color rgb="FFFFFFFF"/>
      </font>
      <fill>
        <patternFill patternType="solid">
          <fgColor indexed="64"/>
          <bgColor rgb="FF4472C4"/>
        </patternFill>
      </fill>
      <alignment horizontal="center"/>
    </dxf>
    <dxf>
      <numFmt numFmtId="168" formatCode="0.0%"/>
    </dxf>
    <dxf>
      <alignment wrapText="1"/>
    </dxf>
    <dxf>
      <alignment wrapText="1"/>
    </dxf>
    <dxf>
      <alignment wrapText="1"/>
    </dxf>
    <dxf>
      <alignment horizontal="left"/>
    </dxf>
    <dxf>
      <alignment horizontal="right"/>
    </dxf>
    <dxf>
      <font>
        <b/>
      </font>
    </dxf>
    <dxf>
      <font>
        <b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4472C4"/>
        </patternFill>
      </fill>
    </dxf>
    <dxf>
      <fill>
        <patternFill patternType="solid">
          <fgColor indexed="64"/>
          <bgColor rgb="FF4472C4"/>
        </patternFill>
      </fill>
    </dxf>
    <dxf>
      <font>
        <b/>
      </font>
    </dxf>
    <dxf>
      <font>
        <b/>
      </font>
    </dxf>
    <dxf>
      <alignment horizontal="center"/>
    </dxf>
    <dxf>
      <alignment horizontal="center"/>
    </dxf>
    <dxf>
      <alignment horizontal="center"/>
    </dxf>
    <dxf>
      <font>
        <color rgb="FFFFFFFF"/>
      </font>
    </dxf>
    <dxf>
      <font>
        <color rgb="FFFFFFFF"/>
      </font>
    </dxf>
    <dxf>
      <font>
        <color rgb="FFFFFFFF"/>
      </font>
    </dxf>
    <dxf>
      <fill>
        <patternFill patternType="solid">
          <fgColor indexed="64"/>
          <bgColor rgb="FF4472C4"/>
        </patternFill>
      </fill>
    </dxf>
    <dxf>
      <fill>
        <patternFill patternType="solid">
          <fgColor indexed="64"/>
          <bgColor rgb="FF4472C4"/>
        </patternFill>
      </fill>
    </dxf>
    <dxf>
      <fill>
        <patternFill patternType="solid">
          <fgColor indexed="64"/>
          <bgColor rgb="FF4472C4"/>
        </patternFill>
      </fill>
    </dxf>
    <dxf>
      <font>
        <b/>
      </font>
    </dxf>
    <dxf>
      <font>
        <b/>
      </font>
    </dxf>
    <dxf>
      <font>
        <b/>
      </font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hard Stimie" refreshedDate="46192.508920370368" createdVersion="8" refreshedVersion="8" recordCount="287" xr:uid="{E2C28089-6876-4AFD-9B73-B509836A08FC}">
  <cacheSource type="worksheet">
    <worksheetSource name="Bake_prod"/>
  </cacheSource>
  <cacheFields count="12">
    <cacheField name="Supplier Name" numFmtId="49">
      <sharedItems/>
    </cacheField>
    <cacheField name="Sub-Department" numFmtId="164">
      <sharedItems containsSemiMixedTypes="0" containsString="0" containsNumber="1" containsInteger="1" minValue="101" maxValue="1821"/>
    </cacheField>
    <cacheField name="Product Code" numFmtId="1">
      <sharedItems containsSemiMixedTypes="0" containsString="0" containsNumber="1" containsInteger="1" minValue="32062" maxValue="67301" count="273">
        <n v="32062"/>
        <n v="32063"/>
        <n v="32066"/>
        <n v="32067"/>
        <n v="32124"/>
        <n v="32125"/>
        <n v="32127"/>
        <n v="32130"/>
        <n v="32131"/>
        <n v="32149"/>
        <n v="32150"/>
        <n v="32151"/>
        <n v="32152"/>
        <n v="32153"/>
        <n v="32155"/>
        <n v="32855"/>
        <n v="32857"/>
        <n v="32859"/>
        <n v="32860"/>
        <n v="32862"/>
        <n v="32868"/>
        <n v="32869"/>
        <n v="32871"/>
        <n v="32872"/>
        <n v="33012"/>
        <n v="33013"/>
        <n v="33017"/>
        <n v="33019"/>
        <n v="33021"/>
        <n v="33023"/>
        <n v="33025"/>
        <n v="33027"/>
        <n v="33031"/>
        <n v="33036"/>
        <n v="33037"/>
        <n v="33038"/>
        <n v="33040"/>
        <n v="33041"/>
        <n v="33042"/>
        <n v="33043"/>
        <n v="33044"/>
        <n v="33045"/>
        <n v="33046"/>
        <n v="33047"/>
        <n v="33048"/>
        <n v="33049"/>
        <n v="33050"/>
        <n v="33051"/>
        <n v="33988"/>
        <n v="33989"/>
        <n v="33990"/>
        <n v="33991"/>
        <n v="33995"/>
        <n v="33997"/>
        <n v="34003"/>
        <n v="34004"/>
        <n v="34006"/>
        <n v="34008"/>
        <n v="34011"/>
        <n v="34014"/>
        <n v="34019"/>
        <n v="34021"/>
        <n v="34022"/>
        <n v="34023"/>
        <n v="34024"/>
        <n v="34025"/>
        <n v="34027"/>
        <n v="34028"/>
        <n v="34033"/>
        <n v="34034"/>
        <n v="34037"/>
        <n v="34039"/>
        <n v="34040"/>
        <n v="34041"/>
        <n v="34042"/>
        <n v="34046"/>
        <n v="34052"/>
        <n v="34053"/>
        <n v="34054"/>
        <n v="34059"/>
        <n v="34061"/>
        <n v="34068"/>
        <n v="34074"/>
        <n v="34075"/>
        <n v="34076"/>
        <n v="34079"/>
        <n v="34080"/>
        <n v="34081"/>
        <n v="34082"/>
        <n v="34083"/>
        <n v="34086"/>
        <n v="34087"/>
        <n v="34088"/>
        <n v="34089"/>
        <n v="34090"/>
        <n v="34091"/>
        <n v="34092"/>
        <n v="34094"/>
        <n v="34095"/>
        <n v="34100"/>
        <n v="34101"/>
        <n v="34102"/>
        <n v="34105"/>
        <n v="34106"/>
        <n v="34118"/>
        <n v="34119"/>
        <n v="34120"/>
        <n v="34121"/>
        <n v="34122"/>
        <n v="34124"/>
        <n v="34134"/>
        <n v="34135"/>
        <n v="34136"/>
        <n v="34139"/>
        <n v="34140"/>
        <n v="34142"/>
        <n v="34690"/>
        <n v="38977"/>
        <n v="39422"/>
        <n v="39750"/>
        <n v="40065"/>
        <n v="40158"/>
        <n v="40305"/>
        <n v="40732"/>
        <n v="40809"/>
        <n v="41464"/>
        <n v="41620"/>
        <n v="42296"/>
        <n v="42401"/>
        <n v="42797"/>
        <n v="42990"/>
        <n v="43309"/>
        <n v="46072"/>
        <n v="46797"/>
        <n v="50682"/>
        <n v="52943"/>
        <n v="53119"/>
        <n v="53141"/>
        <n v="53210"/>
        <n v="53212"/>
        <n v="53225"/>
        <n v="53226"/>
        <n v="53497"/>
        <n v="53528"/>
        <n v="54018"/>
        <n v="54019"/>
        <n v="54228"/>
        <n v="54430"/>
        <n v="54546"/>
        <n v="54547"/>
        <n v="54617"/>
        <n v="55481"/>
        <n v="55482"/>
        <n v="56350"/>
        <n v="56805"/>
        <n v="57071"/>
        <n v="57073"/>
        <n v="57167"/>
        <n v="58045"/>
        <n v="58452"/>
        <n v="58512"/>
        <n v="58763"/>
        <n v="58767"/>
        <n v="59058"/>
        <n v="59220"/>
        <n v="59221"/>
        <n v="59222"/>
        <n v="59223"/>
        <n v="59381"/>
        <n v="59425"/>
        <n v="59477"/>
        <n v="60694"/>
        <n v="60832"/>
        <n v="61014"/>
        <n v="61018"/>
        <n v="61814"/>
        <n v="61937"/>
        <n v="61938"/>
        <n v="61939"/>
        <n v="61940"/>
        <n v="61941"/>
        <n v="61942"/>
        <n v="61943"/>
        <n v="61947"/>
        <n v="61949"/>
        <n v="61950"/>
        <n v="61978"/>
        <n v="62290"/>
        <n v="62390"/>
        <n v="62457"/>
        <n v="62499"/>
        <n v="62585"/>
        <n v="62614"/>
        <n v="62620"/>
        <n v="62621"/>
        <n v="62622"/>
        <n v="62623"/>
        <n v="62627"/>
        <n v="62629"/>
        <n v="62788"/>
        <n v="63394"/>
        <n v="63798"/>
        <n v="63800"/>
        <n v="64416"/>
        <n v="64632"/>
        <n v="64633"/>
        <n v="64635"/>
        <n v="64761"/>
        <n v="64762"/>
        <n v="64763"/>
        <n v="65238"/>
        <n v="65239"/>
        <n v="65506"/>
        <n v="65681"/>
        <n v="66434"/>
        <n v="66435"/>
        <n v="66950"/>
        <n v="66951"/>
        <n v="66952"/>
        <n v="67140"/>
        <n v="67241"/>
        <n v="67242"/>
        <n v="67243"/>
        <n v="67244"/>
        <n v="67245"/>
        <n v="67246"/>
        <n v="67247"/>
        <n v="67301"/>
        <n v="32858"/>
        <n v="33032"/>
        <n v="34015"/>
        <n v="34047"/>
        <n v="34132"/>
        <n v="34141"/>
        <n v="34687"/>
        <n v="38815"/>
        <n v="38816"/>
        <n v="38908"/>
        <n v="38983"/>
        <n v="39025"/>
        <n v="39421"/>
        <n v="39963"/>
        <n v="40364"/>
        <n v="42674"/>
        <n v="43420"/>
        <n v="46909"/>
        <n v="48604"/>
        <n v="48620"/>
        <n v="48683"/>
        <n v="50037"/>
        <n v="51680"/>
        <n v="54652"/>
        <n v="56514"/>
        <n v="57870"/>
        <n v="61923"/>
        <n v="61925"/>
        <n v="61926"/>
        <n v="61928"/>
        <n v="61929"/>
        <n v="32863"/>
        <n v="32864"/>
        <n v="33999"/>
        <n v="40827"/>
        <n v="48861"/>
        <n v="53410"/>
        <n v="55095"/>
        <n v="58147"/>
        <n v="63898"/>
        <n v="66308"/>
        <n v="66806"/>
        <n v="34070" u="1"/>
        <n v="34113" u="1"/>
        <n v="32128" u="1"/>
      </sharedItems>
    </cacheField>
    <cacheField name="Product Description" numFmtId="0">
      <sharedItems count="272">
        <s v="ARTISAN FETA &amp; SPINACH LOAF"/>
        <s v="ARTISAN CHEESE &amp; ONION BREAD"/>
        <s v="ASSORTED LARGE CUPCAKE"/>
        <s v="BANANA BREAD"/>
        <s v="C/TAIL MILKTARTS 6'S"/>
        <s v="C/T AILRING DOUGHNUT"/>
        <s v="SMALL MALVA PUDDING"/>
        <s v="CARROT CAKE"/>
        <s v="CARROT CAKE SLICE"/>
        <s v="DOUGHNUT CINNAMON &amp; SUGAR 4S"/>
        <s v="DOUGHNUT C/TAIL IMMITATION CREAM"/>
        <s v="DOUGHNUT COCONUT"/>
        <s v="DOUGHNUT CUSTARD"/>
        <s v="DOUGHNUT RING C/TAIL"/>
        <s v="FILLED C/TAIL DOUGHNUT"/>
        <s v="ECLAIRS CARAMEL"/>
        <s v="BACON AVO &amp; FETA PIZZA"/>
        <s v="HAMBURGER BUNS 6'S"/>
        <s v="HOTDOG ROLLS 6'S"/>
        <s v="JAM DOUGHNUT"/>
        <s v="LEMINGTON C/TAIL"/>
        <s v="LEMINGTON C/TAIL IMMATATION CREAM"/>
        <s v="LEMON MEGANGUE TARTLETTE"/>
        <s v="MEDIUM MILKTART"/>
        <s v="MALVA PUDDING FAMILY"/>
        <s v="MINI MUFFIN CAPPUCINO"/>
        <s v="PEPPERMINT TERT"/>
        <s v="POEDING ASSORTED"/>
        <s v="SALAMI FETA &amp; OLIVE PIZZA"/>
        <s v="SCONES 6'S"/>
        <s v="SCONES GEVUL"/>
        <s v="SEED LOAF"/>
        <s v="SLICE MILK TART"/>
        <s v="TEMPTING TREATS PLATTER"/>
        <s v="LEMON MERAINGUE TART"/>
        <s v="YOGHURT TART"/>
        <s v="TOPPING BACON"/>
        <s v="TOPPING BANANA"/>
        <s v="TOPPING CHEESE"/>
        <s v="TOPPING CHICKEN MAYO"/>
        <s v="TOPPING FETA"/>
        <s v="TOPPING GARLIC"/>
        <s v="TOPPING GREEN PEPPER"/>
        <s v="TOPPING HAM"/>
        <s v="TOPPING MUSHROOM"/>
        <s v="TOPPING OLIVES"/>
        <s v="TOPPING AVO"/>
        <s v="TOPPING PEPPERDEW"/>
        <s v="TOPPING PINEAPPLE"/>
        <s v="TOPPING SALAMI"/>
        <s v="FRUIT TRIFLE"/>
        <s v="VEGETARIAN PIZZA"/>
        <s v="DOUGHNUT IMITATION CREAM"/>
        <s v="FRENCH LOAF"/>
        <s v="BOX CAKE WITH ICING"/>
        <s v="BREAD SLICES"/>
        <s v="BRUINBROODDEEG"/>
        <s v="C/TAIL ECLAIR"/>
        <s v="CHEESE LOAF"/>
        <s v="CHICKEN MUSHROOM &amp; PEPPERDEW PIZZA"/>
        <s v="CRISPY ROLL"/>
        <s v="CUSTARD BUNS 6'S"/>
        <s v="DUMPIE BROWN BREAD"/>
        <s v="DUMPIE WHITE BREAD"/>
        <s v="FOCACCIA"/>
        <s v="FOUR SEASONS PIZZA"/>
        <s v="GARLIC BUNS 6'S"/>
        <s v="GARLIC LOAF"/>
        <s v="HAWAIAN PIZZA"/>
        <s v="HOT CROSS BUNS 6'S"/>
        <s v="IMMITATION CREAMY BUNS 6'S"/>
        <s v="LAMINGTON WITH IMMITATION CREAM"/>
        <s v="MARGHERITA PIZZA"/>
        <s v="MINI LOAF"/>
        <s v="MINI OUMA BROOD"/>
        <s v="MOSBOLLE"/>
        <s v="POTBREAD"/>
        <s v="RAISIN BREAD"/>
        <s v="REGINA PIZZA"/>
        <s v="SUITABLE FOR TOAST"/>
        <s v="SWISS JAM ROLL"/>
        <s v="VETKOEK COCKTAIL"/>
        <s v="YOGHURT &amp; MUESLI"/>
        <s v="BAKERS MIX"/>
        <s v="BAKING POWDER"/>
        <s v="BISCUIT CHOC CHIP 1KG"/>
        <s v="BISCUIT COCONUT 1KG"/>
        <s v="BISCUIT COCNUT 500G"/>
        <s v="BISCUIT KELLOGG 1KG"/>
        <s v="BISCUIT GINGER 1KG"/>
        <s v="BREAD CRUMBS"/>
        <s v="IMMATATION CREAM"/>
        <s v="BULK C/TAIL BUNS"/>
        <s v="C/TAIL LEMON MERINGUE 6'S"/>
        <s v="C/TAIL PEPPERMINT TERT"/>
        <s v="CHEESE &amp; GARLIC ROLLS 6'S"/>
        <s v="CHEESE BUNS"/>
        <s v="CHERRIES"/>
        <s v="CHOC CHIP BISCUITS 500G"/>
        <s v="COCOA POWDER"/>
        <s v="COCONUT"/>
        <s v="CROISSANT IMMATATION CREAM LARGE"/>
        <s v="DESSERT TOPPING VANILLA CAKE"/>
        <s v="DOUGHNUT C/TAIL C/MEL"/>
        <s v="GINGER BISCUITS 500G"/>
        <s v="HAMBURGER BUNS BULK"/>
        <s v="HERTZOGGIES"/>
        <s v="HOTDOG ROLLS BULK"/>
        <s v="JAM SWISS ROLL"/>
        <s v="KELLOGGS BISCUIT 500G"/>
        <s v="SADE : POPPY"/>
        <s v="SADE :SESAME"/>
        <s v="SADE :SONNEBLOM"/>
        <s v="VANILLA SPONGE"/>
        <s v="VERJAARSDAGKOEK GROOT"/>
        <s v="YEAST"/>
        <s v="OUMA BROOD"/>
        <s v="CARAMEL DOUGHNUT"/>
        <s v="CREAM HORN"/>
        <s v="PARTY WHEEL 15'S"/>
        <s v="DOUGHNUT IMITAT CREAM 2'S"/>
        <s v="JELLY CREAM TART SMALL"/>
        <s v="PIZZA SLICE"/>
        <s v="MARKDOWN GINGER BISCUITS 500G"/>
        <s v="SOUR DOUGH PIZZA SLICE"/>
        <s v="OUPA BROOD"/>
        <s v=" JUMBO MUFFIN ALL BRAN"/>
        <s v="GARLIC BUNS SINGLE"/>
        <s v="BANANA BREAD MINI"/>
        <s v="GANASH TOPPED  RING DOUGHNUT"/>
        <s v="MALVA PUDDING MED"/>
        <s v="BISCUITS 250G"/>
        <s v="PIEMANS MINI PIES ASSORTED"/>
        <s v="CHOCOLATE SWISS ROLL"/>
        <s v="JELLY CREAM TART MEDIUM"/>
        <s v="SAGO PUDDING"/>
        <s v="B CHELSEA BUN"/>
        <s v="B COPENHAGEN"/>
        <s v="RED VELVET CAKE"/>
        <s v="ASS DELIGHTS"/>
        <s v="AP RED VELVET SLICE"/>
        <s v=" CHOCOLATE SLICE"/>
        <s v="PARTY WHEEL 30'S"/>
        <s v="MADEIRA LOAF"/>
        <s v="BREAKFAST ROLL"/>
        <s v="SUNNYSEED BREAD"/>
        <s v="CHAKALAKA ROLL"/>
        <s v="PEPPERMINT CRUSH CUP"/>
        <s v="BABY FOCACCIA"/>
        <s v=" MINI GATSBY"/>
        <s v="PIZZA BOAT MEATY"/>
        <s v="BEESTING ROLL"/>
        <s v="SAVOURY ROLL"/>
        <s v="FOCACCIA SLICE"/>
        <s v="LUXURY COOKIES"/>
        <s v="FOCACCIA CHAKALAKA"/>
        <s v="FOCACCIA  CHICKEN MAYO"/>
        <s v="GATSBY ROLL"/>
        <s v=" BULK C/T RING DOUGHNUT"/>
        <s v="MELTING MOMENTS"/>
        <s v="MEDITERRANEAN SQUARE"/>
        <s v="C/TAIL SEEDED BUNS"/>
        <s v="TOMATO,ONION &amp; CHEESE SQUARE"/>
        <s v="MINI MUFFIN B/BERRY"/>
        <s v="MINI MUFFIN BANANA"/>
        <s v="MINI MUFFIN BRAN"/>
        <s v="MINI MUFFIN LEM &amp; POPPY SEED"/>
        <s v="MINI MUFFIN CARAMEL"/>
        <s v="WHITE BREAD STD"/>
        <s v="BROWN BREAD STD"/>
        <s v="MINI MUFFIN CHOC CHIP"/>
        <s v="ROUND CAKE ASST."/>
        <s v="WHITE BREAD STD BULK"/>
        <s v="MINI MUFFIN CARROT"/>
        <s v="SEEDED HAMBURGER ROLL"/>
        <s v="HOT CROSS BUN LOAF"/>
        <s v="CUSTARD BUNS 3'S"/>
        <s v="SCHOOL BUN 8'S"/>
        <s v="MADEIRA COCANUT SLICE"/>
        <s v="GARLIC TWIST"/>
        <s v="CHOCOLATE BREAD TWIST"/>
        <s v="SCONE 2'S"/>
        <s v="ROCK BUN 2'S"/>
        <s v="CUSTARD DELIGHT"/>
        <s v="LARGE MELTING MOMENT BISCUIT"/>
        <s v="LARGE CRUNCHIE BISCUIT"/>
        <s v="GATUE CAKES"/>
        <s v="ROCKY ROAD TREAT"/>
        <s v="MADEIRA LOAF MINI"/>
        <s v="OREO  CAKE"/>
        <s v="BREAD &amp; BUTTER PUDDING"/>
        <s v="BULK BISCUITS 1KG"/>
        <s v="BEANTREE BISC CHOC"/>
        <s v="BUDGET CAKE"/>
        <s v="SEEDED HOTDOG ROLLS 6'S"/>
        <s v="SEEDED HAMBURGER ROLLS 6'S"/>
        <s v="PEANUT BUTTER BARS"/>
        <s v="BROWN HAMBURGER ROLLS 6'S"/>
        <s v="BULK CHOC CHIP BISCUITS"/>
        <s v="MEATY SQUARE"/>
        <s v="C/TAIL-RING DOUGHNUT 3'S"/>
        <s v="MINI CAKE"/>
        <s v="CHAKALAKA BREAD"/>
        <s v="MINI SWISSROLLS 5'S"/>
        <s v="BLACK FOREST CAKE"/>
        <s v="C/T MILKTARTLET"/>
        <s v="MIST CHOC CAKE"/>
        <s v="BULK CRUNCHIE BISCUITS"/>
        <s v=" CRUNCHIE BISCUITS 1KG"/>
        <s v=" CRUNCHIE BISCUITS 500G"/>
        <s v="CREMORA TART"/>
        <s v="ALTAS MILKTART MEDIUM"/>
        <s v="COCANUT SLICE"/>
        <s v="CINNAMON BUN 6'S"/>
        <s v="BLACK FOREST DANISH"/>
        <s v="APPLE DANISH"/>
        <s v="MINI CUPCAKE CHOC"/>
        <s v="MINI CUPCAKE CARAMEL"/>
        <s v="MINI CUPCAKE VANILLA"/>
        <s v=" C/TAIL BUNS"/>
        <s v="MOIST CHOC PUDDING"/>
        <s v="MOIST VANILLA PUDDING"/>
        <s v="MOIST VANILLA LOAF"/>
        <s v="MOIST CHOC LOAF"/>
        <s v="CHOC MOUSSE SLICE"/>
        <s v="VANIILA CAKE SLICE"/>
        <s v="CARAMEL &amp; CUSTARD DANISH"/>
        <s v="HAMBURGER BUNS"/>
        <s v="SLICE TIRAMISU"/>
        <s v="CHOCOLATE ECLAIRS WITH IMM CREAM"/>
        <s v="MULTI SEED SANDWICH WEDGE"/>
        <s v="PORTUGUESE ROLL"/>
        <s v="WHAMMY BURGER BUNS"/>
        <s v="HOTDOG ROLLS"/>
        <s v="GB PRE-FRIED LONG DOUGHNUT"/>
        <s v="GB C/TAIL PRE-FRIED LONG DOUGHNUT"/>
        <s v="GB C/TAIL PRE-FRIED RING DOUGHNUT"/>
        <s v="GB PRE-FRIED RING DOUGHNUT"/>
        <s v="GB WONDER WHIP VANILLA"/>
        <s v="GB TART BASE LARGE-SWEET"/>
        <s v="GB ECLAIR C/TAIL"/>
        <s v="GB TART BASE MINI SWEET"/>
        <s v="C/TAIL APPLE DANISH"/>
        <s v="CINNAMON BUN"/>
        <s v="CHELSEA BUN"/>
        <s v="GB DIP -WHITE"/>
        <s v="CHEESE CAKE SLICED"/>
        <s v="GB ECLAIR JUMBO"/>
        <s v="CHEESE BUNS 6'S"/>
        <s v="CONEY ROLL 6'S"/>
        <s v="JUMBO  CROISSANT"/>
        <s v="GB BAVARIAN WHIP"/>
        <s v="TROLLEY COVERS"/>
        <s v="MINI SWIS ROLL VANILLACARMEL"/>
        <s v="MINI SWIS ROLL CHOC FILLING"/>
        <s v="MINI SWISS ROLL RED VELVET"/>
        <s v="MADEIRA LOAF CHOC"/>
        <s v="MADEIRA LOAF VINALLA"/>
        <s v="KOEKSISTERS MEDIUM"/>
        <s v="KOEKSISTERS SMALL"/>
        <s v="AMAZING PIES MARK DOWN"/>
        <s v="MACCOY PIES MARK DOWN"/>
        <s v="KOEKSISTERS SMALL 6'S"/>
        <s v="KOEKSISTERS MED  3'S"/>
        <s v="CAPE MELAY DOUGHNUT"/>
        <s v="SCOTCH PANCAKS"/>
        <s v="WHITE CHOC CANACHE"/>
        <s v=" ROUND DOUGHNUT"/>
        <s v="GB SOURDOUGH CIABATTA LOAF"/>
        <s v="WHITE BREAD DOUGH" u="1"/>
        <s v="CONEY ROLL" u="1"/>
        <s v="CAKE SLICE ASSORTED" u="1"/>
      </sharedItems>
    </cacheField>
    <cacheField name="SP" numFmtId="0">
      <sharedItems containsSemiMixedTypes="0" containsString="0" containsNumber="1" minValue="0" maxValue="402.99"/>
    </cacheField>
    <cacheField name="List Cost" numFmtId="4">
      <sharedItems containsSemiMixedTypes="0" containsString="0" containsNumber="1" minValue="0.59" maxValue="210"/>
    </cacheField>
    <cacheField name="Total prod" numFmtId="3">
      <sharedItems containsSemiMixedTypes="0" containsString="0" containsNumber="1" minValue="0" maxValue="780"/>
    </cacheField>
    <cacheField name="Potential Sales" numFmtId="166">
      <sharedItems containsSemiMixedTypes="0" containsString="0" containsNumber="1" minValue="0" maxValue="10912.2"/>
    </cacheField>
    <cacheField name="CP of potential sales" numFmtId="166">
      <sharedItems containsSemiMixedTypes="0" containsString="0" containsNumber="1" minValue="0" maxValue="5740.8"/>
    </cacheField>
    <cacheField name="Potential GP" numFmtId="166">
      <sharedItems containsSemiMixedTypes="0" containsString="0" containsNumber="1" minValue="0" maxValue="5171.4000000000005"/>
    </cacheField>
    <cacheField name="Potential GP%" numFmtId="167">
      <sharedItems containsSemiMixedTypes="0" containsString="0" containsNumber="1" minValue="0" maxValue="89.400170427179418"/>
    </cacheField>
    <cacheField name="GP%" numFmtId="0" formula="('Potential Sales'-'CP of potential sales') /'Potential Sales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hard Stimie" refreshedDate="46192.780070370369" createdVersion="8" refreshedVersion="8" minRefreshableVersion="3" recordCount="562" xr:uid="{D07FC647-C5D3-43D4-8179-295C33D02908}">
  <cacheSource type="worksheet">
    <worksheetSource name="Planned_vs_Actual"/>
  </cacheSource>
  <cacheFields count="15">
    <cacheField name="Supplier Name" numFmtId="0">
      <sharedItems/>
    </cacheField>
    <cacheField name="Sub-Department" numFmtId="0">
      <sharedItems containsSemiMixedTypes="0" containsString="0" containsNumber="1" containsInteger="1" minValue="101" maxValue="120" count="16">
        <n v="101"/>
        <n v="102"/>
        <n v="103"/>
        <n v="104"/>
        <n v="105"/>
        <n v="106"/>
        <n v="107"/>
        <n v="108"/>
        <n v="109"/>
        <n v="110"/>
        <n v="111"/>
        <n v="112"/>
        <n v="117"/>
        <n v="118"/>
        <n v="119"/>
        <n v="120"/>
      </sharedItems>
    </cacheField>
    <cacheField name="Product Code" numFmtId="0">
      <sharedItems containsSemiMixedTypes="0" containsString="0" containsNumber="1" containsInteger="1" minValue="8913" maxValue="66728" count="244">
        <n v="59381"/>
        <n v="59425"/>
        <n v="34690"/>
        <n v="34141"/>
        <n v="32859"/>
        <n v="34041"/>
        <n v="50037"/>
        <n v="34046"/>
        <n v="34042"/>
        <n v="34091"/>
        <n v="34024"/>
        <n v="57073"/>
        <n v="51680"/>
        <n v="33997"/>
        <n v="34023"/>
        <n v="34022"/>
        <n v="32067"/>
        <n v="61947"/>
        <n v="32062"/>
        <n v="32063"/>
        <n v="34011"/>
        <n v="34053"/>
        <n v="14857"/>
        <n v="14858"/>
        <n v="14860"/>
        <n v="14976"/>
        <n v="15305"/>
        <n v="16067"/>
        <n v="32858"/>
        <n v="32860"/>
        <n v="34004"/>
        <n v="34059"/>
        <n v="34068"/>
        <n v="34070"/>
        <n v="34086"/>
        <n v="34088"/>
        <n v="34092"/>
        <n v="34119"/>
        <n v="34121"/>
        <n v="34687"/>
        <n v="42401"/>
        <n v="57071"/>
        <n v="58512"/>
        <n v="58767"/>
        <n v="59274"/>
        <n v="62319"/>
        <n v="62326"/>
        <n v="62333"/>
        <n v="62622"/>
        <n v="62692"/>
        <n v="64596"/>
        <n v="66653"/>
        <n v="52943"/>
        <n v="32127"/>
        <n v="61939"/>
        <n v="33995"/>
        <n v="42990"/>
        <n v="34008"/>
        <n v="61938"/>
        <n v="42797"/>
        <n v="61937"/>
        <n v="32131"/>
        <n v="32872"/>
        <n v="33031"/>
        <n v="32152"/>
        <n v="32855"/>
        <n v="34015"/>
        <n v="39422"/>
        <n v="55481"/>
        <n v="32066"/>
        <n v="32128"/>
        <n v="32149"/>
        <n v="32153"/>
        <n v="32857"/>
        <n v="32863"/>
        <n v="32864"/>
        <n v="33011"/>
        <n v="33013"/>
        <n v="33019"/>
        <n v="33023"/>
        <n v="33032"/>
        <n v="34102"/>
        <n v="34122"/>
        <n v="38977"/>
        <n v="48620"/>
        <n v="55095"/>
        <n v="56175"/>
        <n v="56267"/>
        <n v="56594"/>
        <n v="56914"/>
        <n v="58147"/>
        <n v="59477"/>
        <n v="61942"/>
        <n v="32056"/>
        <n v="34142"/>
        <n v="59233"/>
        <n v="60811"/>
        <n v="60813"/>
        <n v="34095"/>
        <n v="34083"/>
        <n v="34079"/>
        <n v="34080"/>
        <n v="34118"/>
        <n v="43309"/>
        <n v="66092"/>
        <n v="66093"/>
        <n v="14934"/>
        <n v="14937"/>
        <n v="14942"/>
        <n v="14944"/>
        <n v="14959"/>
        <n v="14961"/>
        <n v="14965"/>
        <n v="14967"/>
        <n v="14971"/>
        <n v="16078"/>
        <n v="24081"/>
        <n v="24083"/>
        <n v="24084"/>
        <n v="24086"/>
        <n v="24088"/>
        <n v="24089"/>
        <n v="24090"/>
        <n v="24092"/>
        <n v="24093"/>
        <n v="24105"/>
        <n v="24108"/>
        <n v="24109"/>
        <n v="24286"/>
        <n v="24291"/>
        <n v="24298"/>
        <n v="24303"/>
        <n v="24304"/>
        <n v="24305"/>
        <n v="24306"/>
        <n v="24307"/>
        <n v="24308"/>
        <n v="24619"/>
        <n v="24620"/>
        <n v="24621"/>
        <n v="24626"/>
        <n v="24631"/>
        <n v="24633"/>
        <n v="24634"/>
        <n v="24635"/>
        <n v="24636"/>
        <n v="24639"/>
        <n v="24652"/>
        <n v="24653"/>
        <n v="34727"/>
        <n v="58843"/>
        <n v="54018"/>
        <n v="14582"/>
        <n v="14712"/>
        <n v="14713"/>
        <n v="14714"/>
        <n v="14716"/>
        <n v="14721"/>
        <n v="14723"/>
        <n v="14728"/>
        <n v="14984"/>
        <n v="15780"/>
        <n v="15822"/>
        <n v="34027"/>
        <n v="46182"/>
        <n v="14936"/>
        <n v="14970"/>
        <n v="15080"/>
        <n v="15097"/>
        <n v="15283"/>
        <n v="15285"/>
        <n v="15297"/>
        <n v="15306"/>
        <n v="15988"/>
        <n v="16091"/>
        <n v="16123"/>
        <n v="16519"/>
        <n v="50651"/>
        <n v="61786"/>
        <n v="14834"/>
        <n v="14835"/>
        <n v="14846"/>
        <n v="14847"/>
        <n v="14848"/>
        <n v="14854"/>
        <n v="14859"/>
        <n v="35048"/>
        <n v="38809"/>
        <n v="8913"/>
        <n v="8915"/>
        <n v="14963"/>
        <n v="14964"/>
        <n v="15287"/>
        <n v="15290"/>
        <n v="16045"/>
        <n v="16047"/>
        <n v="16048"/>
        <n v="34931"/>
        <n v="34932"/>
        <n v="34934"/>
        <n v="34935"/>
        <n v="50652"/>
        <n v="61787"/>
        <n v="62327"/>
        <n v="62328"/>
        <n v="62329"/>
        <n v="64321"/>
        <n v="15800"/>
        <n v="49803"/>
        <n v="49804"/>
        <n v="49805"/>
        <n v="49807"/>
        <n v="49809"/>
        <n v="14947"/>
        <n v="49316"/>
        <n v="42767"/>
        <n v="42768"/>
        <n v="42769"/>
        <n v="42871"/>
        <n v="42873"/>
        <n v="42875"/>
        <n v="42883"/>
        <n v="42899"/>
        <n v="42901"/>
        <n v="42906"/>
        <n v="42909"/>
        <n v="42912"/>
        <n v="42920"/>
        <n v="42922"/>
        <n v="42924"/>
        <n v="43028"/>
        <n v="43127"/>
        <n v="43618"/>
        <n v="43829"/>
        <n v="45161"/>
        <n v="46388"/>
        <n v="66728"/>
        <n v="41620"/>
        <n v="34014"/>
        <n v="34033"/>
        <n v="40305"/>
        <n v="34105"/>
        <n v="62585"/>
        <n v="62629"/>
      </sharedItems>
    </cacheField>
    <cacheField name="Product Description" numFmtId="0">
      <sharedItems count="244">
        <s v="WHITE BREAD STD"/>
        <s v="BROWN BREAD STD"/>
        <s v="OUMA BROOD"/>
        <s v="WHAMMY BURGER BUNS"/>
        <s v="HAMBURGER BUNS 6'S"/>
        <s v="MINI LOAF"/>
        <s v="CHEESE BUNS 6'S"/>
        <s v="MOSBOLLE"/>
        <s v="MINI OUMA BROOD"/>
        <s v="CHEESE &amp; GARLIC ROLLS 6'S"/>
        <s v="FOCACCIA"/>
        <s v="FOCACCIA  CHICKEN MAYO"/>
        <s v="CONEY ROLL 6'S"/>
        <s v="FRENCH LOAF"/>
        <s v="DUMPIE WHITE BREAD"/>
        <s v="DUMPIE BROWN BREAD"/>
        <s v="BANANA BREAD"/>
        <s v="CUSTARD DELIGHT"/>
        <s v="ARTISAN FETA &amp; SPINACH LOAF"/>
        <s v="ARTISAN CHEESE &amp; ONION BREAD"/>
        <s v="CHEESE LOAF"/>
        <s v="RAISIN BREAD"/>
        <s v="CANI RUSK BRAN SEED&amp;RAIS"/>
        <s v="CANI RUSK BUTTERMILK"/>
        <s v="CANI RUSK OATS&amp;SUNFLOWER"/>
        <s v="F/L CROISSANT CHEESE MINI"/>
        <s v="F/L CHOC ORANGE MUFFINS"/>
        <s v="MTC RYE &amp; MULTI SEED RND"/>
        <s v="HAMBURGER BUNS"/>
        <s v="HOTDOG ROLLS 6'S"/>
        <s v="BREAD SLICES"/>
        <s v="SUITABLE FOR TOAST"/>
        <s v="VETKOEK COCKTAIL"/>
        <s v="WHITE BREAD DOUGH"/>
        <s v="BREAD CRUMBS"/>
        <s v="BULK C/TAIL BUNS"/>
        <s v="CHEESE BUNS"/>
        <s v="HAMBURGER BUNS BULK"/>
        <s v="HOTDOG ROLLS BULK"/>
        <s v="HOTDOG ROLLS"/>
        <s v="BANANA BREAD MINI"/>
        <s v="FOCACCIA CHAKALAKA"/>
        <s v="MEDITERRANEAN SQUARE"/>
        <s v="TOMATO,ONION &amp; CHEESE SQUARE"/>
        <s v="SBK CROISSANT BUTTER 1'S"/>
        <s v="CAPE BAKERY CUPCAKES SKILL BOB"/>
        <s v="CAPE BAKERY BIRTHDAY CAKE SQU"/>
        <s v="CAPE BAKERY B/CAKE 1'S P/MINT"/>
        <s v="SEEDED HAMBURGER ROLLS 6'S"/>
        <s v="CANI RUSKS 450GR COCONUT"/>
        <s v="T/AFFAIR WRAPS SOURDOUGH 5'S"/>
        <s v="S/B MUFFINS 4'S TRIPLE CHOC"/>
        <s v="SAGO PUDDING"/>
        <s v="SMALL MALVA PUDDING"/>
        <s v="MADEIRA COCANUT SLICE"/>
        <s v="DOUGHNUT IMITATION CREAM"/>
        <s v="MALVA PUDDING MED"/>
        <s v="C/TAIL ECLAIR"/>
        <s v="SCHOOL BUN 8'S"/>
        <s v="GANASH TOPPED  RING DOUGHNUT"/>
        <s v="CUSTARD BUNS 3'S"/>
        <s v="CARROT CAKE SLICE"/>
        <s v="MEDIUM MILKTART"/>
        <s v="SLICE MILK TART"/>
        <s v="DOUGHNUT CUSTARD"/>
        <s v="ECLAIRS CARAMEL"/>
        <s v="CHOCOLATE ECLAIRS WITH IMM CREAM"/>
        <s v="CREAM HORN"/>
        <s v="BEESTING ROLL"/>
        <s v="ASSORTED LARGE CUPCAKE"/>
        <s v="CAKE SLICE ASSORTED"/>
        <s v="DOUGHNUT CINNAMON &amp; SUGAR 4S"/>
        <s v="DOUGHNUT RING C/TAIL"/>
        <s v="BACON AVO &amp; FETA PIZZA"/>
        <s v="KOEKSISTERS MEDIUM"/>
        <s v="KOEKSISTERS SMALL"/>
        <s v="MINI CUPCAKES"/>
        <s v="MINI MUFFIN CAPPUCINO"/>
        <s v="POEDING ASSORTED"/>
        <s v="SCONES 6'S"/>
        <s v="SLICE TIRAMISU"/>
        <s v="CROISSANT IMMATATION CREAM LARGE"/>
        <s v="JAM SWISS ROLL"/>
        <s v="CARAMEL DOUGHNUT"/>
        <s v="CHEESE CAKE SLICED"/>
        <s v="CAPE MELAY DOUGHNUT"/>
        <s v=" JUMBO MUFFIN CUPPUCINNO"/>
        <s v="JUMBO MUFFIN ORANGE"/>
        <s v="WNB JUMBO CARAMEL"/>
        <s v="WNB JUMBO MUFFIN B/FOREST"/>
        <s v="SCOTCH PANCAKS"/>
        <s v="MINI MUFFIN CHOC CHIP"/>
        <s v="SCONE 2'S"/>
        <s v="ANYS"/>
        <s v="YEAST"/>
        <s v="PUFF PASTRY HORN"/>
        <s v="DONUT POPS"/>
        <s v="KRO-NUTS"/>
        <s v="CHOC CHIP BISCUITS 500G"/>
        <s v="BISCUIT GINGER 1KG"/>
        <s v="BISCUIT CHOC CHIP 1KG"/>
        <s v="BISCUIT COCONUT 1KG"/>
        <s v="GINGER BISCUITS 500G"/>
        <s v="BISCUITS 250G"/>
        <s v="GINGER BISCUITS 200G"/>
        <s v="CRUNCHIE BISCUITS 200G"/>
        <s v="F/L ROLLS WHTE PANINI"/>
        <s v="F/L BUNS HAMBURGER"/>
        <s v="F/LINE BRD CIABATTA WHITE"/>
        <s v="F/L BUNS HAMB S/SEED"/>
        <s v="F/L ROLLS PORTUGUESE"/>
        <s v="C/VALUE LOAVES MINI"/>
        <s v="F/L W/W SANDWICH ROLLS"/>
        <s v="F/L JUMBO SEEDED H/B ROLL"/>
        <s v="C/VALUE LUNCH BUNS"/>
        <s v="F/L ROTI"/>
        <s v="SPAR  BRN TOASTER"/>
        <s v="SPAR WHT TOASTER"/>
        <s v="S/O W/W DU LOW GI"/>
        <s v="S/O SQ/SWCH BRN PREM"/>
        <s v="S/O BR STD S/W"/>
        <s v="S/O S/W  BROWN L/GI"/>
        <s v="S/O WHT SQ/SWCH PREM"/>
        <s v="S/O WHITE STD/SWCH"/>
        <s v="S/O WHITE DU L/GI H/OATS"/>
        <s v="S/O BROWN DU LGI CR/BERRY"/>
        <s v="S/O BUN PLAIN 1X8"/>
        <s v="S/O ROLL REG PLAIN 1X8"/>
        <s v="B/R CLASSIC WHITE"/>
        <s v="B/R CLASSIC BROWN"/>
        <s v="B/R TOASTER WHITE"/>
        <s v="B/R WW BROWN"/>
        <s v="B/R S/W SQUARE WHITE"/>
        <s v="B/R  S/WICH SQ BROWN"/>
        <s v="B/R SQUARE M/SEED"/>
        <s v="B/R SQUARE WW"/>
        <s v="B/R  DUO HIGH  FIBRE"/>
        <s v="ALB WHITE SUP"/>
        <s v="ALB BROWN SUP"/>
        <s v="ALB LGI W/W BROWN"/>
        <s v="ALB BOB"/>
        <s v="ALB  SUP LGI BRN SEED"/>
        <s v="ALB SUP SUST WHITE"/>
        <s v="ALBANY E/DAY BROWN BREAD"/>
        <s v="ALBANY E/DAY WHITE BREAD"/>
        <s v="ALB BUNS SUP WHITE"/>
        <s v="ALB SUP WHITE ROLLS"/>
        <s v="ALB E/DAY WHITE THICK"/>
        <s v="ALB  E/DAY BRN THCK"/>
        <s v="S/O WW  DU LGI"/>
        <s v="F/L ROLLS HOTDOG"/>
        <s v="BREAKFAST ROLL"/>
        <s v="F/L CROUTONS"/>
        <s v="F/L BREAD GARLIC MINI"/>
        <s v="F/L BRD GARLIC LARGE"/>
        <s v="F/L BRAAIBRD CHSE&amp;ONION"/>
        <s v="F/L BRAAIBRD GARLIC"/>
        <s v="F/L CHILLI GARLIC BREAD"/>
        <s v="F/L SWEET CHIL CHSE BREAD"/>
        <s v="F/L BILTONG BRAAI ROLLS"/>
        <s v="F/L CIABATTA GARLIC"/>
        <s v="FRESH LINE WRAPS LARGE"/>
        <s v="F/L WRAPS BRAN AND SEED"/>
        <s v="GARLIC BUNS 6'S"/>
        <s v="F/L WRAPS BROWN LARGE"/>
        <s v="F/L CROISSNTS BUTTER"/>
        <s v="C/VALUE CHELSEA BUN"/>
        <s v="F/L TRAD MILK TART"/>
        <s v="F/L MIN CUPCAKE CHOC"/>
        <s v="F/L MUFFINS CHOC CHIP"/>
        <s v="F/L BLUEBERRY MUFFINS"/>
        <s v="F/L MUFFINS BLUEBERRY"/>
        <s v="F/L S/BERRY CHOC MUFFINS"/>
        <s v="F/L CAKE CARML &amp;CUST FLAV"/>
        <s v="F/L S/ROLL VANIL LRGE"/>
        <s v="F/L CAKE VANILLA FLAVOURD"/>
        <s v="C/VALUE QUEENIES"/>
        <s v="S/B CAKE RICH CHOC"/>
        <s v="S/B BUNS 3'S BRIOCHE"/>
        <s v="F/L RUSKS BUTTERMILK"/>
        <s v="F/L RUSKS RAISIN BRN&amp;SEED"/>
        <s v="F/L BRAN RUSK"/>
        <s v="F/L RUSK"/>
        <s v="F/L RUSKS MUESLI"/>
        <s v="CANI RUSK REFINED S/F"/>
        <s v="CANI RUSK BRAN DOUBLE"/>
        <s v="MUESLI RUSKS"/>
        <s v="BUTTERMILK ANISEED RUSKS"/>
        <s v="TINKIES H&amp;H  CHO&amp;VAN"/>
        <s v="TINKIES H&amp;H STR&amp;VAN"/>
        <s v="F/L BROWN HAMBURGER ROLLS 6'S"/>
        <s v="F/L BROWN HOTDOG ROLLS"/>
        <s v="F/L BANANA LOAF"/>
        <s v="F/L FRUIT &amp; NUT BOSTON"/>
        <s v="H/B CAKE CUSTARD 7INCH"/>
        <s v="H/B CAKE VAN/CARAMEL 7INC"/>
        <s v="H/B CAKE CHOCOLATE FLAKE"/>
        <s v="ALB TINKIES STRW"/>
        <s v="ALB TINKIES VAN WHIZZ"/>
        <s v="ALB TINKIES FDG SWRL"/>
        <s v="ALB TINKIES CHOC POT"/>
        <s v="S/B CAKE RAINBOW"/>
        <s v="S/B BUNS 3'S BRIOCHE SESAME"/>
        <s v="CAPE BAKERY BIRTHDAY CAKE RND"/>
        <s v="CAPE BAKERY B/CAKE 1'S C/CARAM"/>
        <s v="CAPE BAKERY B/CAKE 1'S C&amp;CRM"/>
        <s v="S/B CHEESE ROLLS"/>
        <s v="VIEIRA'S PIZZA BASES LARG"/>
        <s v="SPAR TFS PIZZA CLUB"/>
        <s v="SPAR TFS PIZZA HAWAIIAN"/>
        <s v="SPAR TFS PIZZA MARGHERITA"/>
        <s v="SPAR TFS PIZZA REGINA"/>
        <s v="SPAR TFS PIZZA BBQ CHICK"/>
        <s v="F/LINE HOT CROSS BUNS"/>
        <s v="SPOOKASEM NAARTJIE  85G"/>
        <s v="BUDGET  ROND  CAKE"/>
        <s v="CHOCOLATE MOUSSE CAKE"/>
        <s v="SWEET TREAT 6'S"/>
        <s v="BAR-ONE LOAF"/>
        <s v="DATE BREAD"/>
        <s v="BAR-ONE CAKE SQUARE"/>
        <s v="CARROT CAKE DOUBLE"/>
        <s v="APPLE CRUMBLE (6)"/>
        <s v="CARROT MUFFINS (6)"/>
        <s v="CHOCOLATE MOUSSE CUP CAKES (6)"/>
        <s v="CUP CAKES (6)"/>
        <s v="HERTZOGGIES (6)"/>
        <s v="SWEET MIX LARGE (12)"/>
        <s v="CREMORA TART"/>
        <s v="MILK TART"/>
        <s v="ECLAIRS (6)"/>
        <s v="SAVOURY MIX 6'S"/>
        <s v="CHICKEN PIES"/>
        <s v="PEPPERMINT TART"/>
        <s v="MILK TART CUPS CAKES (6)"/>
        <s v="CUP CAKE MINI"/>
        <s v="BUDGET  CARROT CAKE"/>
        <s v=" JUMBO MUFFIN ALL BRAN"/>
        <s v="CHICKEN MUSHROOM &amp; PEPPERDEW PIZZA"/>
        <s v="HAWAIAN PIZZA"/>
        <s v="PIZZA SLICE"/>
        <s v="DESSERT TOPPING VANILLA CAKE"/>
        <s v="BULK BISCUITS 1KG"/>
        <s v="BULK CHOC CHIP BISCUITS"/>
      </sharedItems>
    </cacheField>
    <cacheField name="SP" numFmtId="0">
      <sharedItems containsSemiMixedTypes="0" containsString="0" containsNumber="1" minValue="1" maxValue="359" count="89">
        <n v="13.99"/>
        <n v="10.99"/>
        <n v="16.989999999999998"/>
        <n v="5"/>
        <n v="20.99"/>
        <n v="6.99"/>
        <n v="25.99"/>
        <n v="19.989999999999998"/>
        <n v="9.5"/>
        <n v="17.989999999999998"/>
        <n v="37.99"/>
        <n v="36.99"/>
        <n v="21.99"/>
        <n v="14.99"/>
        <n v="5.99"/>
        <n v="34.99"/>
        <n v="28.99"/>
        <n v="24.99"/>
        <n v="15.99"/>
        <n v="69.989999999999995"/>
        <n v="62.99"/>
        <n v="71.989999999999995"/>
        <n v="26.99"/>
        <n v="3.8"/>
        <n v="18"/>
        <n v="1"/>
        <n v="1.5"/>
        <n v="12.99"/>
        <n v="29.99"/>
        <n v="4.99"/>
        <n v="3.3"/>
        <n v="3"/>
        <n v="49.99"/>
        <n v="189.99"/>
        <n v="42.99"/>
        <n v="31.99"/>
        <n v="11.99"/>
        <n v="10"/>
        <n v="18.989999999999998"/>
        <n v="8.99"/>
        <n v="130"/>
        <n v="9.99"/>
        <n v="3.99"/>
        <n v="359"/>
        <n v="70.989999999999995"/>
        <n v="55"/>
        <n v="60"/>
        <n v="32.99"/>
        <n v="22.99"/>
        <n v="29.49"/>
        <n v="16.489999999999998"/>
        <n v="23.99"/>
        <n v="30.49"/>
        <n v="51.99"/>
        <n v="39.99"/>
        <n v="43.99"/>
        <n v="57.99"/>
        <n v="38.99"/>
        <n v="59.99"/>
        <n v="27.99"/>
        <n v="44.99"/>
        <n v="117.99"/>
        <n v="45.99"/>
        <n v="179.99"/>
        <n v="89.99"/>
        <n v="41.99"/>
        <n v="79.989999999999995"/>
        <n v="67.989999999999995"/>
        <n v="109.99"/>
        <n v="85.99"/>
        <n v="54.99"/>
        <n v="84.99"/>
        <n v="104.99"/>
        <n v="56.99"/>
        <n v="99.99"/>
        <n v="86.99"/>
        <n v="169.99"/>
        <n v="96.99"/>
        <n v="154.99"/>
        <n v="61.99"/>
        <n v="65.989999999999995"/>
        <n v="64.989999999999995"/>
        <n v="106.99"/>
        <n v="134.99"/>
        <n v="103.99"/>
        <n v="119.99"/>
        <n v="75.989999999999995"/>
        <n v="100"/>
        <n v="120"/>
      </sharedItems>
    </cacheField>
    <cacheField name="List Cost" numFmtId="0">
      <sharedItems containsSemiMixedTypes="0" containsString="0" containsNumber="1" minValue="0.59" maxValue="191.73" count="194">
        <n v="7.36"/>
        <n v="6.3"/>
        <n v="7.7"/>
        <n v="3.3388750000000003"/>
        <n v="7.46"/>
        <n v="3.15"/>
        <n v="13.4"/>
        <n v="12.2"/>
        <n v="4.1500000000000004"/>
        <n v="12.24"/>
        <n v="16.5"/>
        <n v="16.05"/>
        <n v="12.14"/>
        <n v="7.62"/>
        <n v="2.85"/>
        <n v="2.72"/>
        <n v="15.91"/>
        <n v="8.93"/>
        <n v="9.68"/>
        <n v="8.5"/>
        <n v="2.63"/>
        <n v="6.74"/>
        <n v="43.867849999999997"/>
        <n v="39.031133333333337"/>
        <n v="44.50665"/>
        <n v="16.816925000000001"/>
        <n v="1.3"/>
        <n v="8.44"/>
        <n v="0.65"/>
        <n v="3.8"/>
        <n v="0.59"/>
        <n v="6.81"/>
        <n v="10"/>
        <n v="0.68"/>
        <n v="2.52"/>
        <n v="1.85"/>
        <n v="1.53"/>
        <n v="6.62"/>
        <n v="12.66"/>
        <n v="10.66"/>
        <n v="7.04"/>
        <n v="13.344114285714285"/>
        <n v="29.528099999999998"/>
        <n v="118.89879999999999"/>
        <n v="40.963850000000001"/>
        <n v="14.15"/>
        <n v="27.290666666666667"/>
        <n v="30.655766666666665"/>
        <n v="15.17"/>
        <n v="6.02"/>
        <n v="5.09"/>
        <n v="8.2200000000000006"/>
        <n v="10.85"/>
        <n v="4.32"/>
        <n v="3.43"/>
        <n v="4.968"/>
        <n v="2.67"/>
        <n v="9.1300000000000008"/>
        <n v="11.79"/>
        <n v="9.1199999999999992"/>
        <n v="6.77"/>
        <n v="9.14"/>
        <n v="3.1788888888888889"/>
        <n v="8.3000000000000007"/>
        <n v="5.0999999999999996"/>
        <n v="4.5"/>
        <n v="11"/>
        <n v="13"/>
        <n v="4.5599999999999996"/>
        <n v="68.680000000000007"/>
        <n v="9.4"/>
        <n v="5"/>
        <n v="2.83"/>
        <n v="3.1"/>
        <n v="5.5"/>
        <n v="10.23"/>
        <n v="14.612666666666666"/>
        <n v="4.99"/>
        <n v="13.19"/>
        <n v="9.6999999999999993"/>
        <n v="19.462499999999999"/>
        <n v="1.38"/>
        <n v="8.11"/>
        <n v="7.99"/>
        <n v="3.73"/>
        <n v="191.73"/>
        <n v="36.56"/>
        <n v="7.9799999999999995"/>
        <n v="1.59"/>
        <n v="6.8199999999999994"/>
        <n v="12.52"/>
        <n v="25.97"/>
        <n v="29.14"/>
        <n v="24.25"/>
        <n v="7.38"/>
        <n v="6.67"/>
        <n v="12"/>
        <n v="13.25"/>
        <n v="22.271466666666669"/>
        <n v="15.529409999999999"/>
        <n v="17.327516666666668"/>
        <n v="18.186512499999999"/>
        <n v="15.246979999999999"/>
        <n v="9.5993916666666674"/>
        <n v="14.908975"/>
        <n v="14.118466666666668"/>
        <n v="9.5773250000000001"/>
        <n v="23.413162499999999"/>
        <n v="14.44"/>
        <n v="14.77"/>
        <n v="23.65"/>
        <n v="18.32"/>
        <n v="17.82"/>
        <n v="18.82"/>
        <n v="17.420000000000002"/>
        <n v="23.32"/>
        <n v="24.57"/>
        <n v="18.18"/>
        <n v="17.98"/>
        <n v="15.52"/>
        <n v="15.3"/>
        <n v="15.19"/>
        <n v="16.39"/>
        <n v="9.0299999999999994"/>
        <n v="16.059999999999999"/>
        <n v="15.39"/>
        <n v="15.7"/>
        <n v="19.2"/>
        <n v="16.350000000000001"/>
        <n v="18.8"/>
        <n v="17.57"/>
        <n v="14.5"/>
        <n v="14.35"/>
        <n v="16.36"/>
        <n v="9.83"/>
        <n v="13.88095"/>
        <n v="32.214849999999998"/>
        <n v="25.062649999999998"/>
        <n v="27.177240000000001"/>
        <n v="26.658679999999997"/>
        <n v="36.126940000000005"/>
        <n v="32.159280000000003"/>
        <n v="24.260149999999999"/>
        <n v="36.994506250000001"/>
        <n v="15.41"/>
        <n v="27.607716666666665"/>
        <n v="12.326425"/>
        <n v="73.990016666666662"/>
        <n v="28.530116666666668"/>
        <n v="113.3473"/>
        <n v="38.153199999999998"/>
        <n v="56.233649999999997"/>
        <n v="26.324400000000001"/>
        <n v="48.031500000000001"/>
        <n v="13.11445"/>
        <n v="41.68047"/>
        <n v="67.861333333333334"/>
        <n v="45.3"/>
        <n v="5.7391666666666667"/>
        <n v="12.880108333333332"/>
        <n v="27.522083333333331"/>
        <n v="34.594366666666666"/>
        <n v="53.668624999999999"/>
        <n v="14.221549999999999"/>
        <n v="65.781599999999997"/>
        <n v="19.7093375"/>
        <n v="35.372916666666669"/>
        <n v="62.066974999999999"/>
        <n v="60.204949999999997"/>
        <n v="54.272500000000001"/>
        <n v="23.431950000000001"/>
        <n v="15"/>
        <n v="49.382599999999996"/>
        <n v="104.9478"/>
        <n v="41.9739"/>
        <n v="59.8782"/>
        <n v="27.773900000000001"/>
        <n v="95.686899999999994"/>
        <n v="38.269500000000001"/>
        <n v="40.739100000000001"/>
        <n v="40.121699999999997"/>
        <n v="66.052099999999996"/>
        <n v="83.339100000000002"/>
        <n v="64.2"/>
        <n v="37.034700000000001"/>
        <n v="38.886899999999997"/>
        <n v="74.078199999999995"/>
        <n v="46.912999999999997"/>
        <n v="52.03"/>
        <n v="64.849999999999994"/>
        <n v="4.53"/>
        <n v="54.64"/>
        <n v="26.17"/>
        <n v="33.18"/>
      </sharedItems>
    </cacheField>
    <cacheField name="Planned Production" numFmtId="0">
      <sharedItems containsSemiMixedTypes="0" containsString="0" containsNumber="1" minValue="0" maxValue="780" count="26">
        <n v="780"/>
        <n v="240"/>
        <n v="184"/>
        <n v="144"/>
        <n v="104.666666666667"/>
        <n v="70"/>
        <n v="65"/>
        <n v="50"/>
        <n v="48"/>
        <n v="40"/>
        <n v="36"/>
        <n v="34"/>
        <n v="30"/>
        <n v="28"/>
        <n v="24"/>
        <n v="8"/>
        <n v="6"/>
        <n v="0"/>
        <n v="213"/>
        <n v="32"/>
        <n v="16"/>
        <n v="12"/>
        <n v="10"/>
        <n v="15"/>
        <n v="3"/>
        <n v="93"/>
      </sharedItems>
    </cacheField>
    <cacheField name="Planned sales" numFmtId="0">
      <sharedItems containsSemiMixedTypes="0" containsString="0" containsNumber="1" minValue="0" maxValue="10912.2" count="42">
        <n v="10912.2"/>
        <n v="2637.6"/>
        <n v="3126.16"/>
        <n v="720"/>
        <n v="2196.9533333333402"/>
        <n v="489.3"/>
        <n v="1689.35"/>
        <n v="999.49999999999989"/>
        <n v="456"/>
        <n v="719.59999999999991"/>
        <n v="1367.64"/>
        <n v="1331.64"/>
        <n v="747.66"/>
        <n v="449.7"/>
        <n v="195.72"/>
        <n v="143.76"/>
        <n v="279.92"/>
        <n v="231.92"/>
        <n v="149.94"/>
        <n v="119.94"/>
        <n v="95.94"/>
        <n v="0"/>
        <n v="6813.87"/>
        <n v="383.68"/>
        <n v="240"/>
        <n v="255.84"/>
        <n v="319.83999999999997"/>
        <n v="71.88"/>
        <n v="120"/>
        <n v="119.9"/>
        <n v="100"/>
        <n v="151.91999999999999"/>
        <n v="239.92"/>
        <n v="143.91999999999999"/>
        <n v="77.94"/>
        <n v="107.94"/>
        <n v="179.94"/>
        <n v="71.94"/>
        <n v="449.84999999999997"/>
        <n v="550"/>
        <n v="180"/>
        <n v="1766.07"/>
      </sharedItems>
    </cacheField>
    <cacheField name="CP of planned sales" numFmtId="0">
      <sharedItems containsSemiMixedTypes="0" containsString="0" containsNumber="1" minValue="0" maxValue="5740.8"/>
    </cacheField>
    <cacheField name="Planned GP" numFmtId="0">
      <sharedItems containsSemiMixedTypes="0" containsString="0" containsNumber="1" minValue="0" maxValue="5171.4000000000005"/>
    </cacheField>
    <cacheField name="Planned GP%" numFmtId="0">
      <sharedItems containsSemiMixedTypes="0" containsString="0" containsNumber="1" minValue="0" maxValue="89.400170427179418"/>
    </cacheField>
    <cacheField name="Date" numFmtId="0">
      <sharedItems containsSemiMixedTypes="0" containsString="0" containsNumber="1" containsInteger="1" minValue="46188" maxValue="46191" count="4">
        <n v="46188"/>
        <n v="46189"/>
        <n v="46190"/>
        <n v="46191"/>
      </sharedItems>
    </cacheField>
    <cacheField name="Day" numFmtId="0">
      <sharedItems count="4">
        <s v="Monday"/>
        <s v="Tuesday"/>
        <s v="Wednesday"/>
        <s v="Thursday"/>
      </sharedItems>
    </cacheField>
    <cacheField name="Sales excl. VAT" numFmtId="0">
      <sharedItems containsSemiMixedTypes="0" containsString="0" containsNumber="1" minValue="3.3043478260869565" maxValue="6217.391304347826"/>
    </cacheField>
    <cacheField name="Sales Quantity" numFmtId="0">
      <sharedItems containsSemiMixedTypes="0" containsString="0" containsNumber="1" containsInteger="1" minValue="0" maxValue="1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7">
  <r>
    <s v="BAKERY PRODUCTS"/>
    <n v="101"/>
    <x v="0"/>
    <x v="0"/>
    <n v="24.99"/>
    <n v="9.68"/>
    <n v="6"/>
    <n v="149.94"/>
    <n v="58.08"/>
    <n v="91.86"/>
    <n v="61.264505802320933"/>
  </r>
  <r>
    <s v="BAKERY PRODUCTS"/>
    <n v="101"/>
    <x v="1"/>
    <x v="1"/>
    <n v="19.989999999999998"/>
    <n v="8.5"/>
    <n v="6"/>
    <n v="119.94"/>
    <n v="51"/>
    <n v="68.94"/>
    <n v="57.478739369684838"/>
  </r>
  <r>
    <s v="BAKERY PRODUCTS"/>
    <n v="102"/>
    <x v="2"/>
    <x v="2"/>
    <n v="10"/>
    <n v="4.5"/>
    <n v="0"/>
    <n v="0"/>
    <n v="0"/>
    <n v="0"/>
    <n v="0"/>
  </r>
  <r>
    <s v="BAKERY PRODUCTS"/>
    <n v="101"/>
    <x v="3"/>
    <x v="3"/>
    <n v="34.99"/>
    <n v="15.91"/>
    <n v="8"/>
    <n v="279.92"/>
    <n v="127.28"/>
    <n v="152.64000000000001"/>
    <n v="54.529865675907409"/>
  </r>
  <r>
    <s v="BAKERY PRODUCTS"/>
    <n v="102"/>
    <x v="4"/>
    <x v="4"/>
    <n v="47.99"/>
    <n v="10.44"/>
    <n v="0"/>
    <n v="0"/>
    <n v="0"/>
    <n v="0"/>
    <n v="0"/>
  </r>
  <r>
    <s v="BAKERY PRODUCTS"/>
    <n v="102"/>
    <x v="5"/>
    <x v="5"/>
    <n v="3"/>
    <n v="1.29"/>
    <n v="0"/>
    <n v="0"/>
    <n v="0"/>
    <n v="0"/>
    <n v="0"/>
  </r>
  <r>
    <s v="BAKERY PRODUCTS"/>
    <n v="102"/>
    <x v="6"/>
    <x v="6"/>
    <n v="11.99"/>
    <n v="6.02"/>
    <n v="32"/>
    <n v="383.68"/>
    <n v="192.64"/>
    <n v="191.04000000000002"/>
    <n v="49.791492910758976"/>
  </r>
  <r>
    <s v="BAKERY PRODUCTS"/>
    <n v="119"/>
    <x v="7"/>
    <x v="7"/>
    <n v="140"/>
    <n v="92.6"/>
    <n v="0"/>
    <n v="0"/>
    <n v="0"/>
    <n v="0"/>
    <n v="0"/>
  </r>
  <r>
    <s v="BAKERY PRODUCTS"/>
    <n v="102"/>
    <x v="8"/>
    <x v="8"/>
    <n v="18.989999999999998"/>
    <n v="9.1300000000000008"/>
    <n v="8"/>
    <n v="151.91999999999999"/>
    <n v="73.040000000000006"/>
    <n v="78.879999999999981"/>
    <n v="51.922064244339118"/>
  </r>
  <r>
    <s v="BAKERY PRODUCTS"/>
    <n v="102"/>
    <x v="9"/>
    <x v="9"/>
    <n v="24.99"/>
    <n v="13"/>
    <n v="0"/>
    <n v="0"/>
    <n v="0"/>
    <n v="0"/>
    <n v="0"/>
  </r>
  <r>
    <s v="BAKERY PRODUCTS"/>
    <n v="102"/>
    <x v="10"/>
    <x v="10"/>
    <n v="8.99"/>
    <n v="4.53"/>
    <n v="0"/>
    <n v="0"/>
    <n v="0"/>
    <n v="0"/>
    <n v="0"/>
  </r>
  <r>
    <s v="BAKERY PRODUCTS"/>
    <n v="102"/>
    <x v="11"/>
    <x v="11"/>
    <n v="12.99"/>
    <n v="6.88"/>
    <n v="0"/>
    <n v="0"/>
    <n v="0"/>
    <n v="0"/>
    <n v="0"/>
  </r>
  <r>
    <s v="BAKERY PRODUCTS"/>
    <n v="102"/>
    <x v="12"/>
    <x v="12"/>
    <n v="12.99"/>
    <n v="6.77"/>
    <n v="6"/>
    <n v="77.94"/>
    <n v="40.619999999999997"/>
    <n v="37.32"/>
    <n v="47.882986913010015"/>
  </r>
  <r>
    <s v="BAKERY PRODUCTS"/>
    <n v="102"/>
    <x v="13"/>
    <x v="13"/>
    <n v="8.99"/>
    <n v="4.5599999999999996"/>
    <n v="0"/>
    <n v="0"/>
    <n v="0"/>
    <n v="0"/>
    <n v="0"/>
  </r>
  <r>
    <s v="BAKERY PRODUCTS"/>
    <n v="102"/>
    <x v="14"/>
    <x v="14"/>
    <n v="11.99"/>
    <n v="5.87"/>
    <n v="0"/>
    <n v="0"/>
    <n v="0"/>
    <n v="0"/>
    <n v="0"/>
  </r>
  <r>
    <s v="BAKERY PRODUCTS"/>
    <n v="102"/>
    <x v="15"/>
    <x v="15"/>
    <n v="17.989999999999998"/>
    <n v="9.14"/>
    <n v="6"/>
    <n v="107.94"/>
    <n v="54.84"/>
    <n v="53.099999999999994"/>
    <n v="49.193996664813781"/>
  </r>
  <r>
    <s v="BAKERY PRODUCTS"/>
    <n v="102"/>
    <x v="16"/>
    <x v="16"/>
    <n v="130"/>
    <n v="68.680000000000007"/>
    <n v="0"/>
    <n v="0"/>
    <n v="0"/>
    <n v="0"/>
    <n v="0"/>
  </r>
  <r>
    <s v="BAKERY PRODUCTS"/>
    <n v="101"/>
    <x v="17"/>
    <x v="17"/>
    <n v="20.99"/>
    <n v="7.46"/>
    <n v="0"/>
    <n v="0"/>
    <n v="0"/>
    <n v="0"/>
    <n v="0"/>
  </r>
  <r>
    <s v="BAKERY PRODUCTS"/>
    <n v="101"/>
    <x v="18"/>
    <x v="18"/>
    <n v="18"/>
    <n v="8.44"/>
    <n v="0"/>
    <n v="0"/>
    <n v="0"/>
    <n v="0"/>
    <n v="0"/>
  </r>
  <r>
    <s v="BAKERY PRODUCTS"/>
    <n v="101"/>
    <x v="19"/>
    <x v="19"/>
    <n v="9.99"/>
    <n v="5.14"/>
    <n v="0"/>
    <n v="0"/>
    <n v="0"/>
    <n v="0"/>
    <n v="0"/>
  </r>
  <r>
    <s v="BAKERY PRODUCTS"/>
    <n v="102"/>
    <x v="20"/>
    <x v="20"/>
    <n v="5.99"/>
    <n v="3.31"/>
    <n v="0"/>
    <n v="0"/>
    <n v="0"/>
    <n v="0"/>
    <n v="0"/>
  </r>
  <r>
    <s v="BAKERY PRODUCTS"/>
    <n v="102"/>
    <x v="21"/>
    <x v="21"/>
    <n v="3.5"/>
    <n v="2.12"/>
    <n v="0"/>
    <n v="0"/>
    <n v="0"/>
    <n v="0"/>
    <n v="0"/>
  </r>
  <r>
    <s v="BAKERY PRODUCTS"/>
    <n v="101"/>
    <x v="22"/>
    <x v="22"/>
    <n v="8.99"/>
    <n v="5"/>
    <n v="0"/>
    <n v="0"/>
    <n v="0"/>
    <n v="0"/>
    <n v="0"/>
  </r>
  <r>
    <s v="BAKERY PRODUCTS"/>
    <n v="102"/>
    <x v="23"/>
    <x v="23"/>
    <n v="29.99"/>
    <n v="11.79"/>
    <n v="8"/>
    <n v="239.92"/>
    <n v="94.32"/>
    <n v="145.6"/>
    <n v="60.686895631877292"/>
  </r>
  <r>
    <s v="BAKERY PRODUCTS"/>
    <n v="102"/>
    <x v="24"/>
    <x v="24"/>
    <n v="47.99"/>
    <n v="27.08"/>
    <n v="0"/>
    <n v="0"/>
    <n v="0"/>
    <n v="0"/>
    <n v="0"/>
  </r>
  <r>
    <s v="BAKERY PRODUCTS"/>
    <n v="102"/>
    <x v="25"/>
    <x v="25"/>
    <n v="5.99"/>
    <n v="3.1"/>
    <n v="0"/>
    <n v="0"/>
    <n v="0"/>
    <n v="0"/>
    <n v="0"/>
  </r>
  <r>
    <s v="BAKERY PRODUCTS"/>
    <n v="119"/>
    <x v="26"/>
    <x v="26"/>
    <n v="69.989999999999995"/>
    <n v="32.450000000000003"/>
    <n v="0"/>
    <n v="0"/>
    <n v="0"/>
    <n v="0"/>
    <n v="0"/>
  </r>
  <r>
    <s v="BAKERY PRODUCTS"/>
    <n v="102"/>
    <x v="27"/>
    <x v="27"/>
    <n v="14.99"/>
    <n v="5.5"/>
    <n v="0"/>
    <n v="0"/>
    <n v="0"/>
    <n v="0"/>
    <n v="0"/>
  </r>
  <r>
    <s v="BAKERY PRODUCTS"/>
    <n v="118"/>
    <x v="28"/>
    <x v="28"/>
    <n v="130"/>
    <n v="64.900000000000006"/>
    <n v="0"/>
    <n v="0"/>
    <n v="0"/>
    <n v="0"/>
    <n v="0"/>
  </r>
  <r>
    <s v="BAKERY PRODUCTS"/>
    <n v="102"/>
    <x v="29"/>
    <x v="29"/>
    <n v="19.989999999999998"/>
    <n v="10.23"/>
    <n v="0"/>
    <n v="0"/>
    <n v="0"/>
    <n v="0"/>
    <n v="0"/>
  </r>
  <r>
    <s v="BAKERY PRODUCTS"/>
    <n v="102"/>
    <x v="30"/>
    <x v="30"/>
    <n v="5.99"/>
    <n v="2.95"/>
    <n v="0"/>
    <n v="0"/>
    <n v="0"/>
    <n v="0"/>
    <n v="0"/>
  </r>
  <r>
    <s v="BAKERY PRODUCTS"/>
    <n v="101"/>
    <x v="31"/>
    <x v="31"/>
    <n v="19.989999999999998"/>
    <n v="7.94"/>
    <n v="0"/>
    <n v="0"/>
    <n v="0"/>
    <n v="0"/>
    <n v="0"/>
  </r>
  <r>
    <s v="BAKERY PRODUCTS"/>
    <n v="102"/>
    <x v="32"/>
    <x v="32"/>
    <n v="17.989999999999998"/>
    <n v="9.1199999999999992"/>
    <n v="8"/>
    <n v="143.91999999999999"/>
    <n v="72.959999999999994"/>
    <n v="70.959999999999994"/>
    <n v="49.305169538632576"/>
  </r>
  <r>
    <s v="BAKERY PRODUCTS"/>
    <n v="102"/>
    <x v="33"/>
    <x v="33"/>
    <n v="400"/>
    <n v="204.01"/>
    <n v="0"/>
    <n v="0"/>
    <n v="0"/>
    <n v="0"/>
    <n v="0"/>
  </r>
  <r>
    <s v="BAKERY PRODUCTS"/>
    <n v="119"/>
    <x v="34"/>
    <x v="34"/>
    <n v="59.99"/>
    <n v="23.44"/>
    <n v="0"/>
    <n v="0"/>
    <n v="0"/>
    <n v="0"/>
    <n v="0"/>
  </r>
  <r>
    <s v="BAKERY PRODUCTS"/>
    <n v="119"/>
    <x v="35"/>
    <x v="35"/>
    <n v="35.99"/>
    <n v="18"/>
    <n v="0"/>
    <n v="0"/>
    <n v="0"/>
    <n v="0"/>
    <n v="0"/>
  </r>
  <r>
    <s v="BAKERY PRODUCTS"/>
    <n v="103"/>
    <x v="36"/>
    <x v="36"/>
    <n v="30"/>
    <n v="18.260000000000002"/>
    <n v="0"/>
    <n v="0"/>
    <n v="0"/>
    <n v="0"/>
    <n v="0"/>
  </r>
  <r>
    <s v="BAKERY PRODUCTS"/>
    <n v="103"/>
    <x v="37"/>
    <x v="37"/>
    <n v="10"/>
    <n v="1.5"/>
    <n v="0"/>
    <n v="0"/>
    <n v="0"/>
    <n v="0"/>
    <n v="0"/>
  </r>
  <r>
    <s v="BAKERY PRODUCTS"/>
    <n v="103"/>
    <x v="38"/>
    <x v="38"/>
    <n v="20"/>
    <n v="10.23"/>
    <n v="0"/>
    <n v="0"/>
    <n v="0"/>
    <n v="0"/>
    <n v="0"/>
  </r>
  <r>
    <s v="BAKERY PRODUCTS"/>
    <n v="103"/>
    <x v="39"/>
    <x v="39"/>
    <n v="15"/>
    <n v="4.26"/>
    <n v="0"/>
    <n v="0"/>
    <n v="0"/>
    <n v="0"/>
    <n v="0"/>
  </r>
  <r>
    <s v="BAKERY PRODUCTS"/>
    <n v="103"/>
    <x v="40"/>
    <x v="40"/>
    <n v="15"/>
    <n v="10.23"/>
    <n v="0"/>
    <n v="0"/>
    <n v="0"/>
    <n v="0"/>
    <n v="0"/>
  </r>
  <r>
    <s v="BAKERY PRODUCTS"/>
    <n v="103"/>
    <x v="41"/>
    <x v="41"/>
    <n v="10"/>
    <n v="2.5"/>
    <n v="0"/>
    <n v="0"/>
    <n v="0"/>
    <n v="0"/>
    <n v="0"/>
  </r>
  <r>
    <s v="BAKERY PRODUCTS"/>
    <n v="103"/>
    <x v="42"/>
    <x v="42"/>
    <n v="10"/>
    <n v="3.39"/>
    <n v="0"/>
    <n v="0"/>
    <n v="0"/>
    <n v="0"/>
    <n v="0"/>
  </r>
  <r>
    <s v="BAKERY PRODUCTS"/>
    <n v="103"/>
    <x v="43"/>
    <x v="43"/>
    <n v="15"/>
    <n v="6.99"/>
    <n v="0"/>
    <n v="0"/>
    <n v="0"/>
    <n v="0"/>
    <n v="0"/>
  </r>
  <r>
    <s v="BAKERY PRODUCTS"/>
    <n v="103"/>
    <x v="44"/>
    <x v="44"/>
    <n v="15"/>
    <n v="7.77"/>
    <n v="0"/>
    <n v="0"/>
    <n v="0"/>
    <n v="0"/>
    <n v="0"/>
  </r>
  <r>
    <s v="BAKERY PRODUCTS"/>
    <n v="103"/>
    <x v="45"/>
    <x v="45"/>
    <n v="10"/>
    <n v="2.3199999999999998"/>
    <n v="0"/>
    <n v="0"/>
    <n v="0"/>
    <n v="0"/>
    <n v="0"/>
  </r>
  <r>
    <s v="BAKERY PRODUCTS"/>
    <n v="103"/>
    <x v="46"/>
    <x v="46"/>
    <n v="10"/>
    <n v="4.5599999999999996"/>
    <n v="0"/>
    <n v="0"/>
    <n v="0"/>
    <n v="0"/>
    <n v="0"/>
  </r>
  <r>
    <s v="BAKERY PRODUCTS"/>
    <n v="103"/>
    <x v="47"/>
    <x v="47"/>
    <n v="10"/>
    <n v="5.04"/>
    <n v="0"/>
    <n v="0"/>
    <n v="0"/>
    <n v="0"/>
    <n v="0"/>
  </r>
  <r>
    <s v="BAKERY PRODUCTS"/>
    <n v="103"/>
    <x v="48"/>
    <x v="48"/>
    <n v="15"/>
    <n v="9.1300000000000008"/>
    <n v="0"/>
    <n v="0"/>
    <n v="0"/>
    <n v="0"/>
    <n v="0"/>
  </r>
  <r>
    <s v="BAKERY PRODUCTS"/>
    <n v="103"/>
    <x v="49"/>
    <x v="49"/>
    <n v="30"/>
    <n v="20.81"/>
    <n v="0"/>
    <n v="0"/>
    <n v="0"/>
    <n v="0"/>
    <n v="0"/>
  </r>
  <r>
    <s v="BAKERY PRODUCTS"/>
    <n v="103"/>
    <x v="50"/>
    <x v="50"/>
    <n v="21.99"/>
    <n v="11.11"/>
    <n v="0"/>
    <n v="0"/>
    <n v="0"/>
    <n v="0"/>
    <n v="0"/>
  </r>
  <r>
    <s v="BAKERY PRODUCTS"/>
    <n v="118"/>
    <x v="51"/>
    <x v="51"/>
    <n v="100"/>
    <n v="51.82"/>
    <n v="0"/>
    <n v="0"/>
    <n v="0"/>
    <n v="0"/>
    <n v="0"/>
  </r>
  <r>
    <s v="BAKERY PRODUCTS"/>
    <n v="102"/>
    <x v="52"/>
    <x v="52"/>
    <n v="15.99"/>
    <n v="8.2200000000000006"/>
    <n v="16"/>
    <n v="255.84"/>
    <n v="131.52000000000001"/>
    <n v="124.32"/>
    <n v="48.592870544090054"/>
  </r>
  <r>
    <s v="BAKERY PRODUCTS"/>
    <n v="101"/>
    <x v="53"/>
    <x v="53"/>
    <n v="14.99"/>
    <n v="7.62"/>
    <n v="30"/>
    <n v="449.7"/>
    <n v="228.6"/>
    <n v="221.1"/>
    <n v="49.166110740493664"/>
  </r>
  <r>
    <s v="BAKERY PRODUCTS"/>
    <n v="119"/>
    <x v="54"/>
    <x v="54"/>
    <n v="120"/>
    <n v="62.47"/>
    <n v="0"/>
    <n v="0"/>
    <n v="0"/>
    <n v="0"/>
    <n v="0"/>
  </r>
  <r>
    <s v="BAKERY PRODUCTS"/>
    <n v="101"/>
    <x v="55"/>
    <x v="55"/>
    <n v="1"/>
    <n v="0.65"/>
    <n v="0"/>
    <n v="0"/>
    <n v="0"/>
    <n v="0"/>
    <n v="0"/>
  </r>
  <r>
    <s v="BAKERY PRODUCTS"/>
    <n v="101"/>
    <x v="56"/>
    <x v="56"/>
    <n v="10.99"/>
    <n v="6.3"/>
    <n v="0"/>
    <n v="0"/>
    <n v="0"/>
    <n v="0"/>
    <n v="0"/>
  </r>
  <r>
    <s v="BAKERY PRODUCTS"/>
    <n v="102"/>
    <x v="57"/>
    <x v="57"/>
    <n v="5.99"/>
    <n v="4.32"/>
    <n v="12"/>
    <n v="71.88"/>
    <n v="51.84"/>
    <n v="20.039999999999992"/>
    <n v="27.879799666110173"/>
  </r>
  <r>
    <s v="BAKERY PRODUCTS"/>
    <n v="101"/>
    <x v="58"/>
    <x v="58"/>
    <n v="19.989999999999998"/>
    <n v="2.63"/>
    <n v="6"/>
    <n v="119.94"/>
    <n v="15.78"/>
    <n v="104.16"/>
    <n v="86.843421710855424"/>
  </r>
  <r>
    <s v="BAKERY PRODUCTS"/>
    <n v="118"/>
    <x v="59"/>
    <x v="59"/>
    <n v="100"/>
    <n v="52.03"/>
    <n v="0"/>
    <n v="0"/>
    <n v="0"/>
    <n v="0"/>
    <n v="0"/>
  </r>
  <r>
    <s v="BAKERY PRODUCTS"/>
    <n v="101"/>
    <x v="60"/>
    <x v="60"/>
    <n v="5.99"/>
    <n v="3.12"/>
    <n v="0"/>
    <n v="0"/>
    <n v="0"/>
    <n v="0"/>
    <n v="0"/>
  </r>
  <r>
    <s v="BAKERY PRODUCTS"/>
    <n v="102"/>
    <x v="61"/>
    <x v="61"/>
    <n v="32.99"/>
    <n v="15.39"/>
    <n v="0"/>
    <n v="0"/>
    <n v="0"/>
    <n v="0"/>
    <n v="0"/>
  </r>
  <r>
    <s v="BAKERY PRODUCTS"/>
    <n v="101"/>
    <x v="62"/>
    <x v="62"/>
    <n v="5.99"/>
    <n v="2.72"/>
    <n v="24"/>
    <n v="143.76"/>
    <n v="65.28"/>
    <n v="78.47999999999999"/>
    <n v="54.590984974958253"/>
  </r>
  <r>
    <s v="BAKERY PRODUCTS"/>
    <n v="101"/>
    <x v="63"/>
    <x v="63"/>
    <n v="6.99"/>
    <n v="2.85"/>
    <n v="28"/>
    <n v="195.72"/>
    <n v="79.8"/>
    <n v="115.92"/>
    <n v="59.227467811158796"/>
  </r>
  <r>
    <s v="BAKERY PRODUCTS"/>
    <n v="101"/>
    <x v="64"/>
    <x v="64"/>
    <n v="37.99"/>
    <n v="16.5"/>
    <n v="36"/>
    <n v="1367.64"/>
    <n v="594"/>
    <n v="773.6400000000001"/>
    <n v="56.567517767833642"/>
  </r>
  <r>
    <s v="BAKERY PRODUCTS"/>
    <n v="118"/>
    <x v="65"/>
    <x v="65"/>
    <n v="120"/>
    <n v="62.39"/>
    <n v="0"/>
    <n v="0"/>
    <n v="0"/>
    <n v="0"/>
    <n v="0"/>
  </r>
  <r>
    <s v="BAKERY PRODUCTS"/>
    <n v="106"/>
    <x v="66"/>
    <x v="66"/>
    <n v="27.99"/>
    <n v="15.41"/>
    <n v="0"/>
    <n v="0"/>
    <n v="0"/>
    <n v="0"/>
    <n v="0"/>
  </r>
  <r>
    <s v="BAKERY PRODUCTS"/>
    <n v="106"/>
    <x v="67"/>
    <x v="67"/>
    <n v="26.99"/>
    <n v="15.3"/>
    <n v="0"/>
    <n v="0"/>
    <n v="0"/>
    <n v="0"/>
    <n v="0"/>
  </r>
  <r>
    <s v="BAKERY PRODUCTS"/>
    <n v="118"/>
    <x v="68"/>
    <x v="68"/>
    <n v="120"/>
    <n v="64.849999999999994"/>
    <n v="0"/>
    <n v="0"/>
    <n v="0"/>
    <n v="0"/>
    <n v="0"/>
  </r>
  <r>
    <s v="BAKERY PRODUCTS"/>
    <n v="117"/>
    <x v="69"/>
    <x v="69"/>
    <n v="19.989999999999998"/>
    <n v="8.43"/>
    <n v="24"/>
    <n v="479.76"/>
    <n v="202.32"/>
    <n v="277.44"/>
    <n v="57.82891445722862"/>
  </r>
  <r>
    <s v="BAKERY PRODUCTS"/>
    <n v="102"/>
    <x v="70"/>
    <x v="70"/>
    <n v="29.99"/>
    <n v="16.43"/>
    <n v="0"/>
    <n v="0"/>
    <n v="0"/>
    <n v="0"/>
    <n v="0"/>
  </r>
  <r>
    <s v="BAKERY PRODUCTS"/>
    <n v="102"/>
    <x v="71"/>
    <x v="71"/>
    <n v="11.99"/>
    <n v="5.62"/>
    <n v="0"/>
    <n v="0"/>
    <n v="0"/>
    <n v="0"/>
    <n v="0"/>
  </r>
  <r>
    <s v="BAKERY PRODUCTS"/>
    <n v="118"/>
    <x v="72"/>
    <x v="72"/>
    <n v="80"/>
    <n v="36.909999999999997"/>
    <n v="0"/>
    <n v="0"/>
    <n v="0"/>
    <n v="0"/>
    <n v="0"/>
  </r>
  <r>
    <s v="BAKERY PRODUCTS"/>
    <n v="101"/>
    <x v="73"/>
    <x v="73"/>
    <n v="6.99"/>
    <n v="3.15"/>
    <n v="70"/>
    <n v="489.3"/>
    <n v="220.5"/>
    <n v="268.8"/>
    <n v="54.935622317596568"/>
  </r>
  <r>
    <s v="BAKERY PRODUCTS"/>
    <n v="101"/>
    <x v="74"/>
    <x v="74"/>
    <n v="9.5"/>
    <n v="4.1500000000000004"/>
    <n v="48"/>
    <n v="456"/>
    <n v="199.20000000000002"/>
    <n v="256.79999999999995"/>
    <n v="56.315789473684198"/>
  </r>
  <r>
    <s v="BAKERY PRODUCTS"/>
    <n v="101"/>
    <x v="75"/>
    <x v="75"/>
    <n v="19.989999999999998"/>
    <n v="12.2"/>
    <n v="50"/>
    <n v="999.49999999999989"/>
    <n v="610"/>
    <n v="389.49999999999989"/>
    <n v="38.969484742371179"/>
  </r>
  <r>
    <s v="BAKERY PRODUCTS"/>
    <n v="101"/>
    <x v="76"/>
    <x v="76"/>
    <n v="24.99"/>
    <n v="8.1"/>
    <n v="0"/>
    <n v="0"/>
    <n v="0"/>
    <n v="0"/>
    <n v="0"/>
  </r>
  <r>
    <s v="BAKERY PRODUCTS"/>
    <n v="101"/>
    <x v="77"/>
    <x v="77"/>
    <n v="15.99"/>
    <n v="6.74"/>
    <n v="6"/>
    <n v="95.94"/>
    <n v="40.44"/>
    <n v="55.5"/>
    <n v="57.848655409631021"/>
  </r>
  <r>
    <s v="BAKERY PRODUCTS"/>
    <n v="118"/>
    <x v="78"/>
    <x v="78"/>
    <n v="100"/>
    <n v="54.36"/>
    <n v="0"/>
    <n v="0"/>
    <n v="0"/>
    <n v="0"/>
    <n v="0"/>
  </r>
  <r>
    <s v="BAKERY PRODUCTS"/>
    <n v="101"/>
    <x v="79"/>
    <x v="79"/>
    <n v="6.99"/>
    <n v="3.8"/>
    <n v="0"/>
    <n v="0"/>
    <n v="0"/>
    <n v="0"/>
    <n v="0"/>
  </r>
  <r>
    <s v="CHIPKINS PURATOS (BIDVEST SOL)"/>
    <n v="102"/>
    <x v="80"/>
    <x v="80"/>
    <n v="39.99"/>
    <n v="17.68"/>
    <n v="0"/>
    <n v="0"/>
    <n v="0"/>
    <n v="0"/>
    <n v="0"/>
  </r>
  <r>
    <s v="BAKERY PRODUCTS"/>
    <n v="101"/>
    <x v="81"/>
    <x v="81"/>
    <n v="1.5"/>
    <n v="0.59"/>
    <n v="0"/>
    <n v="0"/>
    <n v="0"/>
    <n v="0"/>
    <n v="0"/>
  </r>
  <r>
    <s v="BAKERY PRODUCTS"/>
    <n v="102"/>
    <x v="82"/>
    <x v="82"/>
    <n v="21.99"/>
    <n v="12.33"/>
    <n v="0"/>
    <n v="0"/>
    <n v="0"/>
    <n v="0"/>
    <n v="0"/>
  </r>
  <r>
    <s v="BAKERY PRODUCTS"/>
    <n v="104"/>
    <x v="83"/>
    <x v="83"/>
    <n v="69.989999999999995"/>
    <n v="36.1"/>
    <n v="0"/>
    <n v="0"/>
    <n v="0"/>
    <n v="0"/>
    <n v="0"/>
  </r>
  <r>
    <s v="SOUTHBAKELS (PTY) LTD"/>
    <n v="103"/>
    <x v="84"/>
    <x v="84"/>
    <n v="114.99"/>
    <n v="59.83"/>
    <n v="0"/>
    <n v="0"/>
    <n v="0"/>
    <n v="0"/>
    <n v="0"/>
  </r>
  <r>
    <s v="BAKERY PRODUCTS"/>
    <n v="104"/>
    <x v="85"/>
    <x v="85"/>
    <n v="60"/>
    <n v="29.14"/>
    <n v="3"/>
    <n v="180"/>
    <n v="87.42"/>
    <n v="92.58"/>
    <n v="51.43333333333333"/>
  </r>
  <r>
    <s v="BAKERY PRODUCTS"/>
    <n v="104"/>
    <x v="86"/>
    <x v="86"/>
    <n v="55"/>
    <n v="24.25"/>
    <n v="0"/>
    <n v="0"/>
    <n v="0"/>
    <n v="0"/>
    <n v="0"/>
  </r>
  <r>
    <s v="BAKERY PRODUCTS"/>
    <n v="104"/>
    <x v="87"/>
    <x v="87"/>
    <n v="29.99"/>
    <n v="14.34"/>
    <n v="0"/>
    <n v="0"/>
    <n v="0"/>
    <n v="0"/>
    <n v="0"/>
  </r>
  <r>
    <s v="BAKERY PRODUCTS"/>
    <n v="104"/>
    <x v="88"/>
    <x v="88"/>
    <n v="55"/>
    <n v="25.03"/>
    <n v="5"/>
    <n v="275"/>
    <n v="125.15"/>
    <n v="149.85"/>
    <n v="54.490909090909092"/>
  </r>
  <r>
    <s v="BAKERY PRODUCTS"/>
    <n v="104"/>
    <x v="89"/>
    <x v="89"/>
    <n v="55"/>
    <n v="25.97"/>
    <n v="10"/>
    <n v="550"/>
    <n v="259.7"/>
    <n v="290.3"/>
    <n v="52.781818181818188"/>
  </r>
  <r>
    <s v="BAKERY PRODUCTS"/>
    <n v="101"/>
    <x v="90"/>
    <x v="90"/>
    <n v="29.99"/>
    <n v="10"/>
    <n v="0"/>
    <n v="0"/>
    <n v="0"/>
    <n v="0"/>
    <n v="0"/>
  </r>
  <r>
    <s v="BAKERY PRODUCTS"/>
    <n v="103"/>
    <x v="91"/>
    <x v="91"/>
    <n v="99.99"/>
    <n v="54.67"/>
    <n v="0"/>
    <n v="0"/>
    <n v="0"/>
    <n v="0"/>
    <n v="0"/>
  </r>
  <r>
    <s v="BAKERY PRODUCTS"/>
    <n v="101"/>
    <x v="92"/>
    <x v="92"/>
    <n v="1.5"/>
    <n v="0.68"/>
    <n v="0"/>
    <n v="0"/>
    <n v="0"/>
    <n v="0"/>
    <n v="0"/>
  </r>
  <r>
    <s v="BAKERY PRODUCTS"/>
    <n v="102"/>
    <x v="93"/>
    <x v="93"/>
    <n v="39.99"/>
    <n v="29.01"/>
    <n v="0"/>
    <n v="0"/>
    <n v="0"/>
    <n v="0"/>
    <n v="0"/>
  </r>
  <r>
    <s v="BAKERY PRODUCTS"/>
    <n v="102"/>
    <x v="94"/>
    <x v="94"/>
    <n v="3.99"/>
    <n v="1.3"/>
    <n v="0"/>
    <n v="0"/>
    <n v="0"/>
    <n v="0"/>
    <n v="0"/>
  </r>
  <r>
    <s v="BAKERY PRODUCTS"/>
    <n v="101"/>
    <x v="95"/>
    <x v="95"/>
    <n v="17.989999999999998"/>
    <n v="12.24"/>
    <n v="40"/>
    <n v="719.59999999999991"/>
    <n v="489.6"/>
    <n v="229.99999999999989"/>
    <n v="31.962201222901598"/>
  </r>
  <r>
    <s v="BAKERY PRODUCTS"/>
    <n v="101"/>
    <x v="96"/>
    <x v="96"/>
    <n v="4.99"/>
    <n v="2.52"/>
    <n v="0"/>
    <n v="0"/>
    <n v="0"/>
    <n v="0"/>
    <n v="0"/>
  </r>
  <r>
    <s v="SOUTHBAKELS (PTY) LTD"/>
    <n v="103"/>
    <x v="97"/>
    <x v="97"/>
    <n v="302.99"/>
    <n v="157.83000000000001"/>
    <n v="0"/>
    <n v="0"/>
    <n v="0"/>
    <n v="0"/>
    <n v="0"/>
  </r>
  <r>
    <s v="BAKERY PRODUCTS"/>
    <n v="104"/>
    <x v="98"/>
    <x v="98"/>
    <n v="29.99"/>
    <n v="12.52"/>
    <n v="15"/>
    <n v="449.84999999999997"/>
    <n v="187.79999999999998"/>
    <n v="262.04999999999995"/>
    <n v="58.252750916972317"/>
  </r>
  <r>
    <s v="BAKERY PRODUCTS"/>
    <n v="103"/>
    <x v="99"/>
    <x v="99"/>
    <n v="402.99"/>
    <n v="210"/>
    <n v="0"/>
    <n v="0"/>
    <n v="0"/>
    <n v="0"/>
    <n v="0"/>
  </r>
  <r>
    <s v="SOUTHBAKELS (PTY) LTD"/>
    <n v="103"/>
    <x v="100"/>
    <x v="100"/>
    <n v="216.99"/>
    <n v="117.59"/>
    <n v="0"/>
    <n v="0"/>
    <n v="0"/>
    <n v="0"/>
    <n v="0"/>
  </r>
  <r>
    <s v="BAKERY PRODUCTS"/>
    <n v="102"/>
    <x v="101"/>
    <x v="101"/>
    <n v="9.99"/>
    <n v="4.99"/>
    <n v="0"/>
    <n v="0"/>
    <n v="0"/>
    <n v="0"/>
    <n v="0"/>
  </r>
  <r>
    <s v="BAKERY PRODUCTS"/>
    <n v="119"/>
    <x v="102"/>
    <x v="102"/>
    <n v="79.989999999999995"/>
    <n v="54.64"/>
    <n v="0"/>
    <n v="0"/>
    <n v="0"/>
    <n v="0"/>
    <n v="0"/>
  </r>
  <r>
    <s v="BAKERY PRODUCTS"/>
    <n v="102"/>
    <x v="103"/>
    <x v="103"/>
    <n v="11.99"/>
    <n v="6.35"/>
    <n v="0"/>
    <n v="0"/>
    <n v="0"/>
    <n v="0"/>
    <n v="0"/>
  </r>
  <r>
    <s v="BAKERY PRODUCTS"/>
    <n v="104"/>
    <x v="104"/>
    <x v="104"/>
    <n v="29.99"/>
    <n v="7.38"/>
    <n v="0"/>
    <n v="0"/>
    <n v="0"/>
    <n v="0"/>
    <n v="0"/>
  </r>
  <r>
    <s v="BAKERY PRODUCTS"/>
    <n v="101"/>
    <x v="105"/>
    <x v="105"/>
    <n v="3.3"/>
    <n v="1.85"/>
    <n v="0"/>
    <n v="0"/>
    <n v="0"/>
    <n v="0"/>
    <n v="0"/>
  </r>
  <r>
    <s v="BAKERY PRODUCTS"/>
    <n v="102"/>
    <x v="106"/>
    <x v="106"/>
    <n v="8.99"/>
    <n v="4.99"/>
    <n v="0"/>
    <n v="0"/>
    <n v="0"/>
    <n v="0"/>
    <n v="0"/>
  </r>
  <r>
    <s v="BAKERY PRODUCTS"/>
    <n v="101"/>
    <x v="107"/>
    <x v="107"/>
    <n v="3.3"/>
    <n v="1.85"/>
    <n v="0"/>
    <n v="0"/>
    <n v="0"/>
    <n v="0"/>
    <n v="0"/>
  </r>
  <r>
    <s v="BAKERY PRODUCTS"/>
    <n v="102"/>
    <x v="108"/>
    <x v="108"/>
    <n v="25.99"/>
    <n v="13.19"/>
    <n v="0"/>
    <n v="0"/>
    <n v="0"/>
    <n v="0"/>
    <n v="0"/>
  </r>
  <r>
    <s v="BAKERY PRODUCTS"/>
    <n v="120"/>
    <x v="109"/>
    <x v="109"/>
    <n v="29.99"/>
    <n v="12.33"/>
    <n v="0"/>
    <n v="0"/>
    <n v="0"/>
    <n v="0"/>
    <n v="0"/>
  </r>
  <r>
    <s v="SOUTHBAKELS (PTY) LTD"/>
    <n v="103"/>
    <x v="110"/>
    <x v="110"/>
    <n v="313.99"/>
    <n v="163.47229999999999"/>
    <n v="0"/>
    <n v="0"/>
    <n v="0"/>
    <n v="0"/>
    <n v="0"/>
  </r>
  <r>
    <s v="BAKERY PRODUCTS"/>
    <n v="103"/>
    <x v="111"/>
    <x v="111"/>
    <n v="189.99"/>
    <n v="61"/>
    <n v="0"/>
    <n v="0"/>
    <n v="0"/>
    <n v="0"/>
    <n v="0"/>
  </r>
  <r>
    <s v="SOUTHBAKELS (PTY) LTD"/>
    <n v="103"/>
    <x v="112"/>
    <x v="112"/>
    <n v="112.99"/>
    <n v="60.22"/>
    <n v="0"/>
    <n v="0"/>
    <n v="0"/>
    <n v="0"/>
    <n v="0"/>
  </r>
  <r>
    <s v="BAKERY PRODUCTS"/>
    <n v="102"/>
    <x v="113"/>
    <x v="113"/>
    <n v="49.99"/>
    <n v="26.72"/>
    <n v="0"/>
    <n v="0"/>
    <n v="0"/>
    <n v="0"/>
    <n v="0"/>
  </r>
  <r>
    <s v="BAKERY PRODUCTS"/>
    <n v="119"/>
    <x v="114"/>
    <x v="114"/>
    <n v="385"/>
    <n v="201.52"/>
    <n v="0"/>
    <n v="0"/>
    <n v="0"/>
    <n v="0"/>
    <n v="0"/>
  </r>
  <r>
    <s v="ANCHOR YEAST(BULK BAKERY)"/>
    <n v="103"/>
    <x v="115"/>
    <x v="115"/>
    <n v="70.989999999999995"/>
    <n v="36.56"/>
    <n v="0"/>
    <n v="0"/>
    <n v="0"/>
    <n v="0"/>
    <n v="0"/>
  </r>
  <r>
    <s v="BAKERY PRODUCTS"/>
    <n v="101"/>
    <x v="116"/>
    <x v="116"/>
    <n v="16.989999999999998"/>
    <n v="7.7"/>
    <n v="184"/>
    <n v="3126.16"/>
    <n v="1416.8"/>
    <n v="1709.36"/>
    <n v="54.679223072395523"/>
  </r>
  <r>
    <s v="BAKERY PRODUCTS"/>
    <n v="102"/>
    <x v="117"/>
    <x v="117"/>
    <n v="18.989999999999998"/>
    <n v="9.6999999999999993"/>
    <n v="0"/>
    <n v="0"/>
    <n v="0"/>
    <n v="0"/>
    <n v="0"/>
  </r>
  <r>
    <s v="BAKERY PRODUCTS"/>
    <n v="102"/>
    <x v="118"/>
    <x v="118"/>
    <n v="15.99"/>
    <n v="8.3000000000000007"/>
    <n v="6"/>
    <n v="95.94"/>
    <n v="49.800000000000004"/>
    <n v="46.139999999999993"/>
    <n v="48.092557848655403"/>
  </r>
  <r>
    <s v="BAKERY PRODUCTS"/>
    <n v="101"/>
    <x v="119"/>
    <x v="119"/>
    <n v="39.99"/>
    <n v="16.100000000000001"/>
    <n v="0"/>
    <n v="0"/>
    <n v="0"/>
    <n v="0"/>
    <n v="0"/>
  </r>
  <r>
    <s v="BAKERY PRODUCTS"/>
    <n v="102"/>
    <x v="120"/>
    <x v="120"/>
    <n v="27.99"/>
    <n v="15.7"/>
    <n v="0"/>
    <n v="0"/>
    <n v="0"/>
    <n v="0"/>
    <n v="0"/>
  </r>
  <r>
    <s v="BAKERY PRODUCTS"/>
    <n v="101"/>
    <x v="121"/>
    <x v="121"/>
    <n v="11.99"/>
    <n v="6.05"/>
    <n v="0"/>
    <n v="0"/>
    <n v="0"/>
    <n v="0"/>
    <n v="0"/>
  </r>
  <r>
    <s v="BAKERY PRODUCTS"/>
    <n v="118"/>
    <x v="122"/>
    <x v="122"/>
    <n v="9.99"/>
    <n v="4.53"/>
    <n v="0"/>
    <n v="0"/>
    <n v="0"/>
    <n v="0"/>
    <n v="0"/>
  </r>
  <r>
    <s v="BAKERY PRODUCTS"/>
    <n v="104"/>
    <x v="123"/>
    <x v="123"/>
    <n v="15"/>
    <n v="7.38"/>
    <n v="0"/>
    <n v="0"/>
    <n v="0"/>
    <n v="0"/>
    <n v="0"/>
  </r>
  <r>
    <s v="BAKERY PRODUCTS"/>
    <n v="118"/>
    <x v="124"/>
    <x v="124"/>
    <n v="15.99"/>
    <n v="6.5"/>
    <n v="0"/>
    <n v="0"/>
    <n v="0"/>
    <n v="0"/>
    <n v="0"/>
  </r>
  <r>
    <s v="BAKERY PRODUCTS"/>
    <n v="101"/>
    <x v="125"/>
    <x v="125"/>
    <n v="16.989999999999998"/>
    <n v="7.73"/>
    <n v="36"/>
    <n v="611.64"/>
    <n v="278.28000000000003"/>
    <n v="333.35999999999996"/>
    <n v="54.502648616833426"/>
  </r>
  <r>
    <s v="BAKERY PRODUCTS"/>
    <n v="117"/>
    <x v="126"/>
    <x v="126"/>
    <n v="15.99"/>
    <n v="8.11"/>
    <n v="6"/>
    <n v="95.94"/>
    <n v="48.66"/>
    <n v="47.28"/>
    <n v="49.280800500312701"/>
  </r>
  <r>
    <s v="BAKERY PRODUCTS"/>
    <n v="106"/>
    <x v="127"/>
    <x v="127"/>
    <n v="4.99"/>
    <n v="2.97"/>
    <n v="0"/>
    <n v="0"/>
    <n v="0"/>
    <n v="0"/>
    <n v="0"/>
  </r>
  <r>
    <s v="BAKERY PRODUCTS"/>
    <n v="101"/>
    <x v="128"/>
    <x v="128"/>
    <n v="14.99"/>
    <n v="6.62"/>
    <n v="0"/>
    <n v="0"/>
    <n v="0"/>
    <n v="0"/>
    <n v="0"/>
  </r>
  <r>
    <s v="BAKE IT EASY"/>
    <n v="102"/>
    <x v="129"/>
    <x v="129"/>
    <n v="11.99"/>
    <n v="4.968"/>
    <n v="10"/>
    <n v="119.9"/>
    <n v="49.68"/>
    <n v="70.22"/>
    <n v="58.565471226021678"/>
  </r>
  <r>
    <s v="BAKERY PRODUCTS"/>
    <n v="102"/>
    <x v="130"/>
    <x v="130"/>
    <n v="19.989999999999998"/>
    <n v="10.85"/>
    <n v="16"/>
    <n v="319.83999999999997"/>
    <n v="173.6"/>
    <n v="146.23999999999998"/>
    <n v="45.722861430715355"/>
  </r>
  <r>
    <s v="BAKERY PRODUCTS"/>
    <n v="104"/>
    <x v="131"/>
    <x v="131"/>
    <n v="13.99"/>
    <n v="6.67"/>
    <n v="0"/>
    <n v="0"/>
    <n v="0"/>
    <n v="0"/>
    <n v="0"/>
  </r>
  <r>
    <s v="BAKERY PRODUCTS"/>
    <n v="113"/>
    <x v="132"/>
    <x v="132"/>
    <n v="44.99"/>
    <n v="26.64"/>
    <n v="0"/>
    <n v="0"/>
    <n v="0"/>
    <n v="0"/>
    <n v="0"/>
  </r>
  <r>
    <s v="BAKERY PRODUCTS"/>
    <n v="102"/>
    <x v="133"/>
    <x v="133"/>
    <n v="39.99"/>
    <n v="25"/>
    <n v="0"/>
    <n v="0"/>
    <n v="0"/>
    <n v="0"/>
    <n v="0"/>
  </r>
  <r>
    <s v="BAKERY PRODUCTS"/>
    <n v="102"/>
    <x v="134"/>
    <x v="134"/>
    <n v="15.99"/>
    <n v="7.86"/>
    <n v="0"/>
    <n v="0"/>
    <n v="0"/>
    <n v="0"/>
    <n v="0"/>
  </r>
  <r>
    <s v="BAKERY PRODUCTS"/>
    <n v="102"/>
    <x v="135"/>
    <x v="135"/>
    <n v="31.99"/>
    <n v="15.17"/>
    <n v="213"/>
    <n v="6813.87"/>
    <n v="3231.21"/>
    <n v="3582.66"/>
    <n v="52.578930915911229"/>
  </r>
  <r>
    <s v="BAKERY PRODUCTS"/>
    <n v="102"/>
    <x v="136"/>
    <x v="136"/>
    <n v="4.99"/>
    <n v="1.29"/>
    <n v="0"/>
    <n v="0"/>
    <n v="0"/>
    <n v="0"/>
    <n v="0"/>
  </r>
  <r>
    <s v="BAKERY PRODUCTS"/>
    <n v="102"/>
    <x v="137"/>
    <x v="137"/>
    <n v="9.99"/>
    <n v="3.26"/>
    <n v="0"/>
    <n v="0"/>
    <n v="0"/>
    <n v="0"/>
    <n v="0"/>
  </r>
  <r>
    <s v="BAKERY PRODUCTS"/>
    <n v="102"/>
    <x v="138"/>
    <x v="138"/>
    <n v="100"/>
    <n v="22.26"/>
    <n v="0"/>
    <n v="0"/>
    <n v="0"/>
    <n v="0"/>
    <n v="0"/>
  </r>
  <r>
    <s v="BAKERY PRODUCTS"/>
    <n v="102"/>
    <x v="139"/>
    <x v="139"/>
    <n v="29.99"/>
    <n v="15.38"/>
    <n v="0"/>
    <n v="0"/>
    <n v="0"/>
    <n v="0"/>
    <n v="0"/>
  </r>
  <r>
    <s v="BAKERY PRODUCTS"/>
    <n v="102"/>
    <x v="140"/>
    <x v="140"/>
    <n v="17.989999999999998"/>
    <n v="10.039999999999999"/>
    <n v="0"/>
    <n v="0"/>
    <n v="0"/>
    <n v="0"/>
    <n v="0"/>
  </r>
  <r>
    <s v="BAKERY PRODUCTS"/>
    <n v="102"/>
    <x v="141"/>
    <x v="141"/>
    <n v="15.99"/>
    <n v="5.13"/>
    <n v="0"/>
    <n v="0"/>
    <n v="0"/>
    <n v="0"/>
    <n v="0"/>
  </r>
  <r>
    <s v="BAKERY PRODUCTS"/>
    <n v="101"/>
    <x v="142"/>
    <x v="142"/>
    <n v="79.989999999999995"/>
    <n v="32.200000000000003"/>
    <n v="0"/>
    <n v="0"/>
    <n v="0"/>
    <n v="0"/>
    <n v="0"/>
  </r>
  <r>
    <s v="BAKERY PRODUCTS"/>
    <n v="101"/>
    <x v="143"/>
    <x v="143"/>
    <n v="28.99"/>
    <n v="14.86"/>
    <n v="0"/>
    <n v="0"/>
    <n v="0"/>
    <n v="0"/>
    <n v="0"/>
  </r>
  <r>
    <s v="BAKERY PRODUCTS"/>
    <n v="106"/>
    <x v="144"/>
    <x v="144"/>
    <n v="18.989999999999998"/>
    <n v="9.83"/>
    <n v="93"/>
    <n v="1766.07"/>
    <n v="914.19"/>
    <n v="851.87999999999988"/>
    <n v="48.235913638757232"/>
  </r>
  <r>
    <s v="BAKERY PRODUCTS"/>
    <n v="106"/>
    <x v="145"/>
    <x v="145"/>
    <n v="23.99"/>
    <n v="10.37"/>
    <n v="0"/>
    <n v="0"/>
    <n v="0"/>
    <n v="0"/>
    <n v="0"/>
  </r>
  <r>
    <s v="BAKERY PRODUCTS"/>
    <n v="101"/>
    <x v="146"/>
    <x v="146"/>
    <n v="13.99"/>
    <n v="7.37"/>
    <n v="0"/>
    <n v="0"/>
    <n v="0"/>
    <n v="0"/>
    <n v="0"/>
  </r>
  <r>
    <s v="BAKERY PRODUCTS"/>
    <n v="102"/>
    <x v="147"/>
    <x v="147"/>
    <n v="21.99"/>
    <n v="9.9600000000000009"/>
    <n v="0"/>
    <n v="0"/>
    <n v="0"/>
    <n v="0"/>
    <n v="0"/>
  </r>
  <r>
    <s v="BAKERY PRODUCTS"/>
    <n v="101"/>
    <x v="148"/>
    <x v="148"/>
    <n v="5.99"/>
    <n v="2.5299999999999998"/>
    <n v="0"/>
    <n v="0"/>
    <n v="0"/>
    <n v="0"/>
    <n v="0"/>
  </r>
  <r>
    <s v="BAKERY PRODUCTS"/>
    <n v="101"/>
    <x v="149"/>
    <x v="149"/>
    <n v="9.99"/>
    <n v="3.23"/>
    <n v="0"/>
    <n v="0"/>
    <n v="0"/>
    <n v="0"/>
    <n v="0"/>
  </r>
  <r>
    <s v="BAKERY PRODUCTS"/>
    <n v="101"/>
    <x v="150"/>
    <x v="150"/>
    <n v="30.99"/>
    <n v="12.4"/>
    <n v="0"/>
    <n v="0"/>
    <n v="0"/>
    <n v="0"/>
    <n v="0"/>
  </r>
  <r>
    <s v="BAKERY PRODUCTS"/>
    <n v="102"/>
    <x v="151"/>
    <x v="151"/>
    <n v="11.99"/>
    <n v="5.0999999999999996"/>
    <n v="6"/>
    <n v="71.94"/>
    <n v="30.599999999999998"/>
    <n v="41.34"/>
    <n v="57.46455379482903"/>
  </r>
  <r>
    <s v="BAKERY PRODUCTS"/>
    <n v="102"/>
    <x v="152"/>
    <x v="152"/>
    <n v="13.99"/>
    <n v="5.44"/>
    <n v="0"/>
    <n v="0"/>
    <n v="0"/>
    <n v="0"/>
    <n v="0"/>
  </r>
  <r>
    <s v="BAKERY PRODUCTS"/>
    <n v="101"/>
    <x v="153"/>
    <x v="153"/>
    <n v="4.99"/>
    <n v="2.61"/>
    <n v="0"/>
    <n v="0"/>
    <n v="0"/>
    <n v="0"/>
    <n v="0"/>
  </r>
  <r>
    <s v="BAKERY PRODUCTS"/>
    <n v="104"/>
    <x v="154"/>
    <x v="154"/>
    <n v="15"/>
    <n v="29.47"/>
    <n v="0"/>
    <n v="0"/>
    <n v="0"/>
    <n v="0"/>
    <n v="0"/>
  </r>
  <r>
    <s v="BAKERY PRODUCTS"/>
    <n v="101"/>
    <x v="155"/>
    <x v="155"/>
    <n v="29.99"/>
    <n v="12.66"/>
    <n v="0"/>
    <n v="0"/>
    <n v="0"/>
    <n v="0"/>
    <n v="0"/>
  </r>
  <r>
    <s v="BAKERY PRODUCTS"/>
    <n v="101"/>
    <x v="156"/>
    <x v="156"/>
    <n v="36.99"/>
    <n v="16.05"/>
    <n v="36"/>
    <n v="1331.64"/>
    <n v="577.80000000000007"/>
    <n v="753.84"/>
    <n v="56.609894566098937"/>
  </r>
  <r>
    <s v="BAKERY PRODUCTS"/>
    <n v="101"/>
    <x v="157"/>
    <x v="157"/>
    <n v="16.989999999999998"/>
    <n v="7.4"/>
    <n v="0"/>
    <n v="0"/>
    <n v="0"/>
    <n v="0"/>
    <n v="0"/>
  </r>
  <r>
    <s v="BAKERY PRODUCTS"/>
    <n v="102"/>
    <x v="158"/>
    <x v="158"/>
    <n v="2.5"/>
    <n v="1.29"/>
    <n v="0"/>
    <n v="0"/>
    <n v="0"/>
    <n v="0"/>
    <n v="0"/>
  </r>
  <r>
    <s v="BAKERY PRODUCTS"/>
    <n v="104"/>
    <x v="159"/>
    <x v="159"/>
    <n v="120"/>
    <n v="58.51"/>
    <n v="0"/>
    <n v="0"/>
    <n v="0"/>
    <n v="0"/>
    <n v="0"/>
  </r>
  <r>
    <s v="BAKERY PRODUCTS"/>
    <n v="101"/>
    <x v="160"/>
    <x v="160"/>
    <n v="26.99"/>
    <n v="10.66"/>
    <n v="0"/>
    <n v="0"/>
    <n v="0"/>
    <n v="0"/>
    <n v="0"/>
  </r>
  <r>
    <s v="BAKERY PRODUCTS"/>
    <n v="101"/>
    <x v="161"/>
    <x v="161"/>
    <n v="3.2"/>
    <n v="1.62"/>
    <n v="0"/>
    <n v="0"/>
    <n v="0"/>
    <n v="0"/>
    <n v="0"/>
  </r>
  <r>
    <s v="BAKERY PRODUCTS"/>
    <n v="101"/>
    <x v="162"/>
    <x v="162"/>
    <n v="19.989999999999998"/>
    <n v="7.04"/>
    <n v="0"/>
    <n v="0"/>
    <n v="0"/>
    <n v="0"/>
    <n v="0"/>
  </r>
  <r>
    <s v="BAKERY PRODUCTS"/>
    <n v="102"/>
    <x v="163"/>
    <x v="163"/>
    <n v="5.99"/>
    <n v="3.1"/>
    <n v="0"/>
    <n v="0"/>
    <n v="0"/>
    <n v="0"/>
    <n v="0"/>
  </r>
  <r>
    <s v="BAKERY PRODUCTS"/>
    <n v="102"/>
    <x v="164"/>
    <x v="164"/>
    <n v="5.99"/>
    <n v="3.1"/>
    <n v="0"/>
    <n v="0"/>
    <n v="0"/>
    <n v="0"/>
    <n v="0"/>
  </r>
  <r>
    <s v="BAKERY PRODUCTS"/>
    <n v="102"/>
    <x v="165"/>
    <x v="165"/>
    <n v="5.99"/>
    <n v="3.1"/>
    <n v="0"/>
    <n v="0"/>
    <n v="0"/>
    <n v="0"/>
    <n v="0"/>
  </r>
  <r>
    <s v="BAKERY PRODUCTS"/>
    <n v="102"/>
    <x v="166"/>
    <x v="166"/>
    <n v="5.99"/>
    <n v="3.1"/>
    <n v="0"/>
    <n v="0"/>
    <n v="0"/>
    <n v="0"/>
    <n v="0"/>
  </r>
  <r>
    <s v="BAKERY PRODUCTS"/>
    <n v="102"/>
    <x v="167"/>
    <x v="167"/>
    <n v="5.99"/>
    <n v="3.1"/>
    <n v="0"/>
    <n v="0"/>
    <n v="0"/>
    <n v="0"/>
    <n v="0"/>
  </r>
  <r>
    <s v="BAKERY PRODUCTS"/>
    <n v="101"/>
    <x v="168"/>
    <x v="168"/>
    <n v="13.99"/>
    <n v="7.36"/>
    <n v="780"/>
    <n v="10912.2"/>
    <n v="5740.8"/>
    <n v="5171.4000000000005"/>
    <n v="47.390993566833458"/>
  </r>
  <r>
    <s v="BAKERY PRODUCTS"/>
    <n v="101"/>
    <x v="169"/>
    <x v="169"/>
    <n v="10.99"/>
    <n v="6.3"/>
    <n v="240"/>
    <n v="2637.6"/>
    <n v="1512"/>
    <n v="1125.5999999999999"/>
    <n v="42.675159235668787"/>
  </r>
  <r>
    <s v="BAKERY PRODUCTS"/>
    <n v="102"/>
    <x v="170"/>
    <x v="170"/>
    <n v="5.99"/>
    <n v="3.1"/>
    <n v="0"/>
    <n v="0"/>
    <n v="0"/>
    <n v="0"/>
    <n v="0"/>
  </r>
  <r>
    <s v="BAKERY PRODUCTS"/>
    <n v="119"/>
    <x v="171"/>
    <x v="171"/>
    <n v="160"/>
    <n v="106.8"/>
    <n v="0"/>
    <n v="0"/>
    <n v="0"/>
    <n v="0"/>
    <n v="0"/>
  </r>
  <r>
    <s v="BAKERY PRODUCTS"/>
    <n v="101"/>
    <x v="172"/>
    <x v="172"/>
    <n v="10"/>
    <n v="7.36"/>
    <n v="0"/>
    <n v="0"/>
    <n v="0"/>
    <n v="0"/>
    <n v="0"/>
  </r>
  <r>
    <s v="BAKERY PRODUCTS"/>
    <n v="102"/>
    <x v="173"/>
    <x v="173"/>
    <n v="5.99"/>
    <n v="3.1"/>
    <n v="0"/>
    <n v="0"/>
    <n v="0"/>
    <n v="0"/>
    <n v="0"/>
  </r>
  <r>
    <s v="BAKERY PRODUCTS"/>
    <n v="101"/>
    <x v="174"/>
    <x v="174"/>
    <n v="4"/>
    <n v="2.2599999999999998"/>
    <n v="0"/>
    <n v="0"/>
    <n v="0"/>
    <n v="0"/>
    <n v="0"/>
  </r>
  <r>
    <s v="BAKERY PRODUCTS"/>
    <n v="117"/>
    <x v="175"/>
    <x v="175"/>
    <n v="10"/>
    <n v="3.39"/>
    <n v="0"/>
    <n v="0"/>
    <n v="0"/>
    <n v="0"/>
    <n v="0"/>
  </r>
  <r>
    <s v="BAKERY PRODUCTS"/>
    <n v="102"/>
    <x v="176"/>
    <x v="176"/>
    <n v="10"/>
    <n v="2.67"/>
    <n v="10"/>
    <n v="100"/>
    <n v="26.7"/>
    <n v="73.3"/>
    <n v="73.3"/>
  </r>
  <r>
    <s v="BAKERY PRODUCTS"/>
    <n v="102"/>
    <x v="177"/>
    <x v="177"/>
    <n v="10"/>
    <n v="3.43"/>
    <n v="12"/>
    <n v="120"/>
    <n v="41.160000000000004"/>
    <n v="78.84"/>
    <n v="65.7"/>
  </r>
  <r>
    <s v="BAKERY PRODUCTS"/>
    <n v="102"/>
    <x v="178"/>
    <x v="178"/>
    <n v="10"/>
    <n v="5.09"/>
    <n v="24"/>
    <n v="240"/>
    <n v="122.16"/>
    <n v="117.84"/>
    <n v="49.1"/>
  </r>
  <r>
    <s v="BAKERY PRODUCTS"/>
    <n v="102"/>
    <x v="179"/>
    <x v="179"/>
    <n v="10"/>
    <n v="3.28"/>
    <n v="0"/>
    <n v="0"/>
    <n v="0"/>
    <n v="0"/>
    <n v="0"/>
  </r>
  <r>
    <s v="BAKERY PRODUCTS"/>
    <n v="102"/>
    <x v="180"/>
    <x v="180"/>
    <n v="10"/>
    <n v="3.4432999999999998"/>
    <n v="0"/>
    <n v="0"/>
    <n v="0"/>
    <n v="0"/>
    <n v="0"/>
  </r>
  <r>
    <s v="BAKERY PRODUCTS"/>
    <n v="102"/>
    <x v="181"/>
    <x v="181"/>
    <n v="10"/>
    <n v="3.73"/>
    <n v="0"/>
    <n v="0"/>
    <n v="0"/>
    <n v="0"/>
    <n v="0"/>
  </r>
  <r>
    <s v="BAKERY PRODUCTS"/>
    <n v="102"/>
    <x v="182"/>
    <x v="182"/>
    <n v="10"/>
    <n v="3.71"/>
    <n v="0"/>
    <n v="0"/>
    <n v="0"/>
    <n v="0"/>
    <n v="0"/>
  </r>
  <r>
    <s v="BAKERY PRODUCTS"/>
    <n v="101"/>
    <x v="183"/>
    <x v="183"/>
    <n v="28.99"/>
    <n v="8.93"/>
    <n v="8"/>
    <n v="231.92"/>
    <n v="71.44"/>
    <n v="160.47999999999999"/>
    <n v="69.196274577440491"/>
  </r>
  <r>
    <s v="BAKERY PRODUCTS"/>
    <n v="101"/>
    <x v="184"/>
    <x v="184"/>
    <n v="10"/>
    <n v="6.28"/>
    <n v="0"/>
    <n v="0"/>
    <n v="0"/>
    <n v="0"/>
    <n v="0"/>
  </r>
  <r>
    <s v="BAKERY PRODUCTS"/>
    <n v="101"/>
    <x v="185"/>
    <x v="185"/>
    <n v="10"/>
    <n v="6.19"/>
    <n v="0"/>
    <n v="0"/>
    <n v="0"/>
    <n v="0"/>
    <n v="0"/>
  </r>
  <r>
    <s v="BAKERY PRODUCTS"/>
    <n v="112"/>
    <x v="186"/>
    <x v="186"/>
    <n v="199.99"/>
    <n v="126.16"/>
    <n v="0"/>
    <n v="0"/>
    <n v="0"/>
    <n v="0"/>
    <n v="0"/>
  </r>
  <r>
    <s v="BAKERY PRODUCTS"/>
    <n v="102"/>
    <x v="187"/>
    <x v="187"/>
    <n v="10"/>
    <n v="3.77"/>
    <n v="0"/>
    <n v="0"/>
    <n v="0"/>
    <n v="0"/>
    <n v="0"/>
  </r>
  <r>
    <s v="BAKERY PRODUCTS"/>
    <n v="101"/>
    <x v="188"/>
    <x v="188"/>
    <n v="19.989999999999998"/>
    <n v="7.43"/>
    <n v="0"/>
    <n v="0"/>
    <n v="0"/>
    <n v="0"/>
    <n v="0"/>
  </r>
  <r>
    <s v="BAKERY PRODUCTS"/>
    <n v="119"/>
    <x v="189"/>
    <x v="189"/>
    <n v="100"/>
    <n v="53.89"/>
    <n v="0"/>
    <n v="0"/>
    <n v="0"/>
    <n v="0"/>
    <n v="0"/>
  </r>
  <r>
    <s v="BAKERY PRODUCTS"/>
    <n v="102"/>
    <x v="190"/>
    <x v="190"/>
    <n v="12.99"/>
    <n v="6.69"/>
    <n v="0"/>
    <n v="0"/>
    <n v="0"/>
    <n v="0"/>
    <n v="0"/>
  </r>
  <r>
    <s v="BAKERY PRODUCTS"/>
    <n v="120"/>
    <x v="191"/>
    <x v="191"/>
    <n v="60"/>
    <n v="26.17"/>
    <n v="0"/>
    <n v="0"/>
    <n v="0"/>
    <n v="0"/>
    <n v="0"/>
  </r>
  <r>
    <s v="BAKERY PRODUCTS"/>
    <n v="109"/>
    <x v="192"/>
    <x v="192"/>
    <n v="7.99"/>
    <n v="5.54"/>
    <n v="0"/>
    <n v="0"/>
    <n v="0"/>
    <n v="0"/>
    <n v="0"/>
  </r>
  <r>
    <s v="BAKERY PRODUCTS"/>
    <n v="119"/>
    <x v="193"/>
    <x v="193"/>
    <n v="65.989999999999995"/>
    <n v="46.29"/>
    <n v="0"/>
    <n v="0"/>
    <n v="0"/>
    <n v="0"/>
    <n v="0"/>
  </r>
  <r>
    <s v="BAKERY PRODUCTS"/>
    <n v="101"/>
    <x v="194"/>
    <x v="194"/>
    <n v="26.99"/>
    <n v="14.15"/>
    <n v="0"/>
    <n v="0"/>
    <n v="0"/>
    <n v="0"/>
    <n v="0"/>
  </r>
  <r>
    <s v="BAKERY PRODUCTS"/>
    <n v="101"/>
    <x v="195"/>
    <x v="195"/>
    <n v="26.99"/>
    <n v="14.15"/>
    <n v="0"/>
    <n v="0"/>
    <n v="0"/>
    <n v="0"/>
    <n v="0"/>
  </r>
  <r>
    <s v="BAKERY PRODUCTS"/>
    <n v="102"/>
    <x v="196"/>
    <x v="196"/>
    <n v="15.99"/>
    <n v="8.31"/>
    <n v="0"/>
    <n v="0"/>
    <n v="0"/>
    <n v="0"/>
    <n v="0"/>
  </r>
  <r>
    <s v="BAKERY PRODUCTS"/>
    <n v="101"/>
    <x v="197"/>
    <x v="197"/>
    <n v="20.99"/>
    <n v="12.88"/>
    <n v="0"/>
    <n v="0"/>
    <n v="0"/>
    <n v="0"/>
    <n v="0"/>
  </r>
  <r>
    <s v="BAKERY PRODUCTS"/>
    <n v="120"/>
    <x v="198"/>
    <x v="198"/>
    <n v="60"/>
    <n v="33.18"/>
    <n v="0"/>
    <n v="0"/>
    <n v="0"/>
    <n v="0"/>
    <n v="0"/>
  </r>
  <r>
    <s v="BAKERY PRODUCTS"/>
    <n v="101"/>
    <x v="199"/>
    <x v="199"/>
    <n v="26.99"/>
    <n v="10.66"/>
    <n v="0"/>
    <n v="0"/>
    <n v="0"/>
    <n v="0"/>
    <n v="0"/>
  </r>
  <r>
    <s v="BAKERY PRODUCTS"/>
    <n v="102"/>
    <x v="200"/>
    <x v="200"/>
    <n v="26.97"/>
    <n v="13.68"/>
    <n v="0"/>
    <n v="0"/>
    <n v="0"/>
    <n v="0"/>
    <n v="0"/>
  </r>
  <r>
    <s v="BAKERY PRODUCTS"/>
    <n v="119"/>
    <x v="201"/>
    <x v="201"/>
    <n v="79.989999999999995"/>
    <n v="42.68"/>
    <n v="0"/>
    <n v="0"/>
    <n v="0"/>
    <n v="0"/>
    <n v="0"/>
  </r>
  <r>
    <s v="BAKERY PRODUCTS"/>
    <n v="101"/>
    <x v="202"/>
    <x v="202"/>
    <n v="23.99"/>
    <n v="11.87"/>
    <n v="0"/>
    <n v="0"/>
    <n v="0"/>
    <n v="0"/>
    <n v="0"/>
  </r>
  <r>
    <s v="BAKERY PRODUCTS"/>
    <n v="107"/>
    <x v="203"/>
    <x v="203"/>
    <n v="49.99"/>
    <n v="32.549999999999997"/>
    <n v="0"/>
    <n v="0"/>
    <n v="0"/>
    <n v="0"/>
    <n v="0"/>
  </r>
  <r>
    <s v="BAKERY PRODUCTS"/>
    <n v="119"/>
    <x v="204"/>
    <x v="204"/>
    <n v="140"/>
    <n v="62.14"/>
    <n v="0"/>
    <n v="0"/>
    <n v="0"/>
    <n v="0"/>
    <n v="0"/>
  </r>
  <r>
    <s v="BAKERY PRODUCTS"/>
    <n v="119"/>
    <x v="205"/>
    <x v="205"/>
    <n v="8.99"/>
    <n v="3.8"/>
    <n v="0"/>
    <n v="0"/>
    <n v="0"/>
    <n v="0"/>
    <n v="0"/>
  </r>
  <r>
    <s v="BAKERY PRODUCTS"/>
    <n v="119"/>
    <x v="206"/>
    <x v="206"/>
    <n v="160"/>
    <n v="72.88"/>
    <n v="0"/>
    <n v="0"/>
    <n v="0"/>
    <n v="0"/>
    <n v="0"/>
  </r>
  <r>
    <s v="BAKERY PRODUCTS"/>
    <n v="120"/>
    <x v="207"/>
    <x v="207"/>
    <n v="69.989999999999995"/>
    <n v="42.18"/>
    <n v="0"/>
    <n v="0"/>
    <n v="0"/>
    <n v="0"/>
    <n v="0"/>
  </r>
  <r>
    <s v="BAKERY PRODUCTS"/>
    <n v="120"/>
    <x v="208"/>
    <x v="208"/>
    <n v="69.989999999999995"/>
    <n v="37.380000000000003"/>
    <n v="0"/>
    <n v="0"/>
    <n v="0"/>
    <n v="0"/>
    <n v="0"/>
  </r>
  <r>
    <s v="BAKERY PRODUCTS"/>
    <n v="120"/>
    <x v="209"/>
    <x v="209"/>
    <n v="38"/>
    <n v="18.920000000000002"/>
    <n v="0"/>
    <n v="0"/>
    <n v="0"/>
    <n v="0"/>
    <n v="0"/>
  </r>
  <r>
    <s v="BAKERY PRODUCTS"/>
    <n v="119"/>
    <x v="210"/>
    <x v="210"/>
    <n v="120"/>
    <n v="82.1"/>
    <n v="0"/>
    <n v="0"/>
    <n v="0"/>
    <n v="0"/>
    <n v="0"/>
  </r>
  <r>
    <s v="BAKERY PRODUCTS"/>
    <n v="119"/>
    <x v="211"/>
    <x v="211"/>
    <n v="70"/>
    <n v="48.14"/>
    <n v="0"/>
    <n v="0"/>
    <n v="0"/>
    <n v="0"/>
    <n v="0"/>
  </r>
  <r>
    <s v="BAKERY PRODUCTS"/>
    <n v="102"/>
    <x v="212"/>
    <x v="212"/>
    <n v="14.99"/>
    <n v="7.72"/>
    <n v="0"/>
    <n v="0"/>
    <n v="0"/>
    <n v="0"/>
    <n v="0"/>
  </r>
  <r>
    <s v="BAKERY PRODUCTS"/>
    <n v="101"/>
    <x v="213"/>
    <x v="213"/>
    <n v="29.99"/>
    <n v="16.03"/>
    <n v="0"/>
    <n v="0"/>
    <n v="0"/>
    <n v="0"/>
    <n v="0"/>
  </r>
  <r>
    <s v="BAKERY PRODUCTS"/>
    <n v="102"/>
    <x v="214"/>
    <x v="214"/>
    <n v="13.99"/>
    <n v="9.14"/>
    <n v="0"/>
    <n v="0"/>
    <n v="0"/>
    <n v="0"/>
    <n v="0"/>
  </r>
  <r>
    <s v="BAKERY PRODUCTS"/>
    <n v="102"/>
    <x v="215"/>
    <x v="215"/>
    <n v="11.99"/>
    <n v="7.6"/>
    <n v="0"/>
    <n v="0"/>
    <n v="0"/>
    <n v="0"/>
    <n v="0"/>
  </r>
  <r>
    <s v="BAKERY PRODUCTS"/>
    <n v="102"/>
    <x v="216"/>
    <x v="216"/>
    <n v="29.99"/>
    <n v="28.95"/>
    <n v="0"/>
    <n v="0"/>
    <n v="0"/>
    <n v="0"/>
    <n v="0"/>
  </r>
  <r>
    <s v="BAKERY PRODUCTS"/>
    <n v="102"/>
    <x v="217"/>
    <x v="217"/>
    <n v="29.99"/>
    <n v="28.95"/>
    <n v="0"/>
    <n v="0"/>
    <n v="0"/>
    <n v="0"/>
    <n v="0"/>
  </r>
  <r>
    <s v="BAKERY PRODUCTS"/>
    <n v="102"/>
    <x v="218"/>
    <x v="218"/>
    <n v="29.99"/>
    <n v="28.95"/>
    <n v="0"/>
    <n v="0"/>
    <n v="0"/>
    <n v="0"/>
    <n v="0"/>
  </r>
  <r>
    <s v="BAKERY PRODUCTS"/>
    <n v="101"/>
    <x v="219"/>
    <x v="219"/>
    <n v="2"/>
    <n v="0.68"/>
    <n v="0"/>
    <n v="0"/>
    <n v="0"/>
    <n v="0"/>
    <n v="0"/>
  </r>
  <r>
    <s v="BAKERY PRODUCTS"/>
    <n v="102"/>
    <x v="220"/>
    <x v="220"/>
    <n v="15.99"/>
    <n v="6.2"/>
    <n v="0"/>
    <n v="0"/>
    <n v="0"/>
    <n v="0"/>
    <n v="0"/>
  </r>
  <r>
    <s v="BAKERY PRODUCTS"/>
    <n v="102"/>
    <x v="221"/>
    <x v="221"/>
    <n v="13.99"/>
    <n v="3.8"/>
    <n v="0"/>
    <n v="0"/>
    <n v="0"/>
    <n v="0"/>
    <n v="0"/>
  </r>
  <r>
    <s v="BAKERY PRODUCTS"/>
    <n v="102"/>
    <x v="222"/>
    <x v="222"/>
    <n v="30.99"/>
    <n v="9.5"/>
    <n v="0"/>
    <n v="0"/>
    <n v="0"/>
    <n v="0"/>
    <n v="0"/>
  </r>
  <r>
    <s v="BAKERY PRODUCTS"/>
    <n v="102"/>
    <x v="223"/>
    <x v="223"/>
    <n v="35.99"/>
    <n v="12.5"/>
    <n v="0"/>
    <n v="0"/>
    <n v="0"/>
    <n v="0"/>
    <n v="0"/>
  </r>
  <r>
    <s v="BAKERY PRODUCTS"/>
    <n v="102"/>
    <x v="224"/>
    <x v="224"/>
    <n v="26.99"/>
    <n v="7.8"/>
    <n v="0"/>
    <n v="0"/>
    <n v="0"/>
    <n v="0"/>
    <n v="0"/>
  </r>
  <r>
    <s v="BAKERY PRODUCTS"/>
    <n v="102"/>
    <x v="225"/>
    <x v="8"/>
    <n v="26.99"/>
    <n v="7.8"/>
    <n v="0"/>
    <n v="0"/>
    <n v="0"/>
    <n v="0"/>
    <n v="0"/>
  </r>
  <r>
    <s v="BAKERY PRODUCTS"/>
    <n v="102"/>
    <x v="226"/>
    <x v="225"/>
    <n v="15.99"/>
    <n v="8.0500000000000007"/>
    <n v="0"/>
    <n v="0"/>
    <n v="0"/>
    <n v="0"/>
    <n v="0"/>
  </r>
  <r>
    <s v="BAKERY PRODUCTS"/>
    <n v="102"/>
    <x v="227"/>
    <x v="226"/>
    <n v="15.99"/>
    <n v="9.99"/>
    <n v="0"/>
    <n v="0"/>
    <n v="0"/>
    <n v="0"/>
    <n v="0"/>
  </r>
  <r>
    <s v="BAKERY PRODUCTS"/>
    <n v="101"/>
    <x v="228"/>
    <x v="227"/>
    <n v="3.8"/>
    <n v="1.3"/>
    <n v="0"/>
    <n v="0"/>
    <n v="0"/>
    <n v="0"/>
    <n v="0"/>
  </r>
  <r>
    <s v="BAKERY PRODUCTS"/>
    <n v="101"/>
    <x v="17"/>
    <x v="17"/>
    <n v="20.99"/>
    <n v="7.46"/>
    <n v="104.666666666667"/>
    <n v="2196.9533333333402"/>
    <n v="780.81333333333578"/>
    <n v="1416.1400000000044"/>
    <n v="64.459266317293952"/>
  </r>
  <r>
    <s v="VECTOR LOG.(PTY)LTD GOOSEBUMPS"/>
    <n v="102"/>
    <x v="229"/>
    <x v="228"/>
    <n v="28.99"/>
    <n v="14.6126666666667"/>
    <n v="0"/>
    <n v="0"/>
    <n v="0"/>
    <n v="0"/>
    <n v="0"/>
  </r>
  <r>
    <s v="GOOSEBUMPS DISTR.(BREAD STOP)"/>
    <n v="102"/>
    <x v="230"/>
    <x v="229"/>
    <n v="29.99"/>
    <n v="3.1788888888888902"/>
    <n v="6"/>
    <n v="179.94"/>
    <n v="19.073333333333341"/>
    <n v="160.86666666666665"/>
    <n v="89.400170427179418"/>
  </r>
  <r>
    <s v="GOOSEBUMPS DISTR.(BREAD STOP)"/>
    <n v="101"/>
    <x v="231"/>
    <x v="230"/>
    <n v="3.99"/>
    <n v="2.120625"/>
    <n v="0"/>
    <n v="0"/>
    <n v="0"/>
    <n v="0"/>
    <n v="0"/>
  </r>
  <r>
    <s v="GOOSEBUMPS DISTR.(BREAD STOP)"/>
    <n v="101"/>
    <x v="232"/>
    <x v="231"/>
    <n v="3.99"/>
    <n v="2.1095999999999999"/>
    <n v="0"/>
    <n v="0"/>
    <n v="0"/>
    <n v="0"/>
    <n v="0"/>
  </r>
  <r>
    <s v="GOOSEBUMPS DISTR.(BREAD STOP)"/>
    <n v="101"/>
    <x v="233"/>
    <x v="232"/>
    <n v="5"/>
    <n v="3.3388749999999998"/>
    <n v="144"/>
    <n v="720"/>
    <n v="480.798"/>
    <n v="239.202"/>
    <n v="33.222499999999997"/>
  </r>
  <r>
    <s v="BAKERY PRODUCTS"/>
    <n v="101"/>
    <x v="234"/>
    <x v="233"/>
    <n v="3"/>
    <n v="1.53"/>
    <n v="0"/>
    <n v="0"/>
    <n v="0"/>
    <n v="0"/>
    <n v="0"/>
  </r>
  <r>
    <s v="VECTOR LOG.(PTY)LTD GOOSEBUMPS"/>
    <n v="102"/>
    <x v="235"/>
    <x v="234"/>
    <n v="10.85"/>
    <n v="5.9984999999999999"/>
    <n v="0"/>
    <n v="0"/>
    <n v="0"/>
    <n v="0"/>
    <n v="0"/>
  </r>
  <r>
    <s v="VECTOR LOG.(PTY)LTD GOOSEBUMPS"/>
    <n v="102"/>
    <x v="236"/>
    <x v="235"/>
    <n v="7.99"/>
    <n v="4.1159999999999997"/>
    <n v="0"/>
    <n v="0"/>
    <n v="0"/>
    <n v="0"/>
    <n v="0"/>
  </r>
  <r>
    <s v="VECTOR LOG.(PTY)LTD GOOSEBUMPS"/>
    <n v="102"/>
    <x v="237"/>
    <x v="236"/>
    <n v="7.99"/>
    <n v="4.3630833333333303"/>
    <n v="0"/>
    <n v="0"/>
    <n v="0"/>
    <n v="0"/>
    <n v="0"/>
  </r>
  <r>
    <s v="VECTOR LOG.(PTY)LTD GOOSEBUMPS"/>
    <n v="102"/>
    <x v="238"/>
    <x v="237"/>
    <n v="10.85"/>
    <n v="5.9984999999999999"/>
    <n v="0"/>
    <n v="0"/>
    <n v="0"/>
    <n v="0"/>
    <n v="0"/>
  </r>
  <r>
    <s v="VECTOR LOG.(PTY)LTD GOOSEBUMPS"/>
    <n v="102"/>
    <x v="239"/>
    <x v="238"/>
    <n v="330.99"/>
    <n v="182.6"/>
    <n v="0"/>
    <n v="0"/>
    <n v="0"/>
    <n v="0"/>
    <n v="0"/>
  </r>
  <r>
    <s v="VECTOR LOG.(PTY)LTD GOOSEBUMPS"/>
    <n v="102"/>
    <x v="240"/>
    <x v="239"/>
    <n v="28.99"/>
    <n v="16.567"/>
    <n v="0"/>
    <n v="0"/>
    <n v="0"/>
    <n v="0"/>
    <n v="0"/>
  </r>
  <r>
    <s v="VECTOR LOG.(PTY)LTD GOOSEBUMPS"/>
    <n v="102"/>
    <x v="241"/>
    <x v="240"/>
    <n v="5.4"/>
    <n v="2.9407999999999999"/>
    <n v="0"/>
    <n v="0"/>
    <n v="0"/>
    <n v="0"/>
    <n v="0"/>
  </r>
  <r>
    <s v="BAKERY PRODUCTS"/>
    <n v="101"/>
    <x v="121"/>
    <x v="121"/>
    <n v="11.99"/>
    <n v="6.05"/>
    <n v="0"/>
    <n v="0"/>
    <n v="0"/>
    <n v="0"/>
    <n v="0"/>
  </r>
  <r>
    <s v="VECTOR LOG.(PTY)LTD GOOSEBUMPS"/>
    <n v="102"/>
    <x v="242"/>
    <x v="241"/>
    <n v="4.99"/>
    <n v="2.8072499999999998"/>
    <n v="0"/>
    <n v="0"/>
    <n v="0"/>
    <n v="0"/>
    <n v="0"/>
  </r>
  <r>
    <s v="GOOSEBUMPS DISTR.(BREAD STOP)"/>
    <n v="102"/>
    <x v="243"/>
    <x v="242"/>
    <n v="5.49"/>
    <n v="2.7884166666666701"/>
    <n v="0"/>
    <n v="0"/>
    <n v="0"/>
    <n v="0"/>
    <n v="0"/>
  </r>
  <r>
    <s v="BAKE IT EASY"/>
    <n v="102"/>
    <x v="129"/>
    <x v="129"/>
    <n v="11.99"/>
    <n v="4.968"/>
    <n v="0"/>
    <n v="0"/>
    <n v="0"/>
    <n v="0"/>
    <n v="0"/>
  </r>
  <r>
    <s v="BAKE IT EASY"/>
    <n v="101"/>
    <x v="244"/>
    <x v="243"/>
    <n v="13.99"/>
    <n v="6.5"/>
    <n v="0"/>
    <n v="0"/>
    <n v="0"/>
    <n v="0"/>
    <n v="0"/>
  </r>
  <r>
    <s v="GOOSEBUMPS DISTR.(BREAD STOP)"/>
    <n v="102"/>
    <x v="245"/>
    <x v="244"/>
    <n v="10.99"/>
    <n v="5.7054999999999998"/>
    <n v="0"/>
    <n v="0"/>
    <n v="0"/>
    <n v="0"/>
    <n v="0"/>
  </r>
  <r>
    <s v="GOOSEBUMPS DISTR.(BREAD STOP)"/>
    <n v="109"/>
    <x v="246"/>
    <x v="245"/>
    <n v="189.99"/>
    <n v="107.69199999999999"/>
    <n v="0"/>
    <n v="0"/>
    <n v="0"/>
    <n v="0"/>
    <n v="0"/>
  </r>
  <r>
    <s v="VECTOR LOG.(PTY)LTD GOOSEBUMPS"/>
    <n v="102"/>
    <x v="247"/>
    <x v="246"/>
    <n v="37.99"/>
    <n v="19.462499999999999"/>
    <n v="0"/>
    <n v="0"/>
    <n v="0"/>
    <n v="0"/>
    <n v="0"/>
  </r>
  <r>
    <s v="VECTOR LOG.(PTY)LTD GOOSEBUMPS"/>
    <n v="102"/>
    <x v="248"/>
    <x v="247"/>
    <n v="11.99"/>
    <n v="7.0248571428571402"/>
    <n v="0"/>
    <n v="0"/>
    <n v="0"/>
    <n v="0"/>
    <n v="0"/>
  </r>
  <r>
    <s v="GOOSEBUMPS DISTR.(BREAD STOP)"/>
    <n v="101"/>
    <x v="249"/>
    <x v="248"/>
    <n v="25.99"/>
    <n v="13.4"/>
    <n v="65"/>
    <n v="1689.35"/>
    <n v="871"/>
    <n v="818.34999999999991"/>
    <n v="48.441708349365136"/>
  </r>
  <r>
    <s v="GOOSEBUMPS DISTR.(BREAD STOP)"/>
    <n v="101"/>
    <x v="250"/>
    <x v="249"/>
    <n v="21.99"/>
    <n v="12.14"/>
    <n v="34"/>
    <n v="747.66"/>
    <n v="412.76"/>
    <n v="334.9"/>
    <n v="44.793087767166895"/>
  </r>
  <r>
    <s v="VECTOR LOG.(PTY)LTD GOOSEBUMPS"/>
    <n v="102"/>
    <x v="251"/>
    <x v="250"/>
    <n v="21.99"/>
    <n v="10.989750000000001"/>
    <n v="0"/>
    <n v="0"/>
    <n v="0"/>
    <n v="0"/>
    <n v="0"/>
  </r>
  <r>
    <s v="GOOSEBUMPS DISTR.(BREAD STOP)"/>
    <n v="102"/>
    <x v="252"/>
    <x v="251"/>
    <n v="269.99"/>
    <n v="141.47833333333301"/>
    <n v="0"/>
    <n v="0"/>
    <n v="0"/>
    <n v="0"/>
    <n v="0"/>
  </r>
  <r>
    <s v="GOOSEBUMPS DISTR.(BREAD STOP)"/>
    <n v="1138"/>
    <x v="253"/>
    <x v="252"/>
    <n v="0"/>
    <n v="120.14"/>
    <n v="0"/>
    <n v="0"/>
    <n v="0"/>
    <n v="0"/>
    <n v="0"/>
  </r>
  <r>
    <s v="GOOSEBUMPS DISTR.(BREAD STOP)"/>
    <n v="102"/>
    <x v="254"/>
    <x v="253"/>
    <n v="79.989999999999995"/>
    <n v="41.475000000000001"/>
    <n v="0"/>
    <n v="0"/>
    <n v="0"/>
    <n v="0"/>
    <n v="0"/>
  </r>
  <r>
    <s v="GOOSEBUMPS DISTR.(BREAD STOP)"/>
    <n v="102"/>
    <x v="255"/>
    <x v="254"/>
    <n v="79.989999999999995"/>
    <n v="41.475000000000001"/>
    <n v="0"/>
    <n v="0"/>
    <n v="0"/>
    <n v="0"/>
    <n v="0"/>
  </r>
  <r>
    <s v="GOOSEBUMPS DISTR.(BREAD STOP)"/>
    <n v="102"/>
    <x v="256"/>
    <x v="255"/>
    <n v="79.989999999999995"/>
    <n v="41.475000000000001"/>
    <n v="0"/>
    <n v="0"/>
    <n v="0"/>
    <n v="0"/>
    <n v="0"/>
  </r>
  <r>
    <s v="GOOSEBUMPS DISTR.(BREAD STOP)"/>
    <n v="102"/>
    <x v="257"/>
    <x v="256"/>
    <n v="79.989999999999995"/>
    <n v="44.62"/>
    <n v="0"/>
    <n v="0"/>
    <n v="0"/>
    <n v="0"/>
    <n v="0"/>
  </r>
  <r>
    <s v="GOOSEBUMPS DISTR.(BREAD STOP)"/>
    <n v="102"/>
    <x v="258"/>
    <x v="257"/>
    <n v="79.989999999999995"/>
    <n v="44.62"/>
    <n v="0"/>
    <n v="0"/>
    <n v="0"/>
    <n v="0"/>
    <n v="0"/>
  </r>
  <r>
    <s v="ROSSOUW D"/>
    <n v="102"/>
    <x v="259"/>
    <x v="258"/>
    <n v="17.989999999999998"/>
    <n v="9.4"/>
    <n v="0"/>
    <n v="0"/>
    <n v="0"/>
    <n v="0"/>
    <n v="0"/>
  </r>
  <r>
    <s v="ROSSOUW D"/>
    <n v="102"/>
    <x v="260"/>
    <x v="259"/>
    <n v="9.99"/>
    <n v="5"/>
    <n v="0"/>
    <n v="0"/>
    <n v="0"/>
    <n v="0"/>
    <n v="0"/>
  </r>
  <r>
    <s v="ROSSOUW D"/>
    <n v="1821"/>
    <x v="261"/>
    <x v="260"/>
    <n v="19.989999999999998"/>
    <n v="17.149999999999999"/>
    <n v="0"/>
    <n v="0"/>
    <n v="0"/>
    <n v="0"/>
    <n v="0"/>
  </r>
  <r>
    <s v="ROSSOUW D"/>
    <n v="1821"/>
    <x v="262"/>
    <x v="261"/>
    <n v="29.99"/>
    <n v="29.25"/>
    <n v="0"/>
    <n v="0"/>
    <n v="0"/>
    <n v="0"/>
    <n v="0"/>
  </r>
  <r>
    <s v="ROSSOUW D"/>
    <n v="102"/>
    <x v="263"/>
    <x v="262"/>
    <n v="50"/>
    <n v="30"/>
    <n v="0"/>
    <n v="0"/>
    <n v="0"/>
    <n v="0"/>
    <n v="0"/>
  </r>
  <r>
    <s v="ROSSOUW D"/>
    <n v="102"/>
    <x v="264"/>
    <x v="263"/>
    <n v="52"/>
    <n v="28.2"/>
    <n v="0"/>
    <n v="0"/>
    <n v="0"/>
    <n v="0"/>
    <n v="0"/>
  </r>
  <r>
    <s v="ROSSOUW D"/>
    <n v="102"/>
    <x v="265"/>
    <x v="264"/>
    <n v="5"/>
    <n v="1.38"/>
    <n v="0"/>
    <n v="0"/>
    <n v="0"/>
    <n v="0"/>
    <n v="0"/>
  </r>
  <r>
    <s v="ROSSOUW D"/>
    <n v="102"/>
    <x v="266"/>
    <x v="265"/>
    <n v="16.989999999999998"/>
    <n v="7.99"/>
    <n v="0"/>
    <n v="0"/>
    <n v="0"/>
    <n v="0"/>
    <n v="0"/>
  </r>
  <r>
    <s v="BAKERY PRODUCTS"/>
    <n v="101"/>
    <x v="228"/>
    <x v="227"/>
    <n v="3.8"/>
    <n v="1.3"/>
    <n v="0"/>
    <n v="0"/>
    <n v="0"/>
    <n v="0"/>
    <n v="0"/>
  </r>
  <r>
    <s v="VECTOR LOG.(PTY)LTD GOOSEBUMPS"/>
    <n v="102"/>
    <x v="229"/>
    <x v="228"/>
    <n v="28.99"/>
    <n v="14.6126666666667"/>
    <n v="0"/>
    <n v="0"/>
    <n v="0"/>
    <n v="0"/>
    <n v="0"/>
  </r>
  <r>
    <s v="BAKERY PRODUCTS"/>
    <n v="101"/>
    <x v="234"/>
    <x v="233"/>
    <n v="3"/>
    <n v="1.53"/>
    <n v="0"/>
    <n v="0"/>
    <n v="0"/>
    <n v="0"/>
    <n v="0"/>
  </r>
  <r>
    <s v="VECTOR LOG.(PTY)LTD GOOSEBUMPS"/>
    <n v="102"/>
    <x v="235"/>
    <x v="234"/>
    <n v="10.85"/>
    <n v="5.9984999999999999"/>
    <n v="0"/>
    <n v="0"/>
    <n v="0"/>
    <n v="0"/>
    <n v="0"/>
  </r>
  <r>
    <s v="VECTOR LOG.(PTY)LTD GOOSEBUMPS"/>
    <n v="102"/>
    <x v="236"/>
    <x v="235"/>
    <n v="7.99"/>
    <n v="4.1159999999999997"/>
    <n v="0"/>
    <n v="0"/>
    <n v="0"/>
    <n v="0"/>
    <n v="0"/>
  </r>
  <r>
    <s v="VECTOR LOG.(PTY)LTD GOOSEBUMPS"/>
    <n v="102"/>
    <x v="237"/>
    <x v="236"/>
    <n v="7.99"/>
    <n v="4.3630833333333303"/>
    <n v="0"/>
    <n v="0"/>
    <n v="0"/>
    <n v="0"/>
    <n v="0"/>
  </r>
  <r>
    <s v="VECTOR LOG.(PTY)LTD GOOSEBUMPS"/>
    <n v="102"/>
    <x v="238"/>
    <x v="237"/>
    <n v="10.85"/>
    <n v="5.9984999999999999"/>
    <n v="0"/>
    <n v="0"/>
    <n v="0"/>
    <n v="0"/>
    <n v="0"/>
  </r>
  <r>
    <s v="VECTOR LOG.(PTY)LTD GOOSEBUMPS"/>
    <n v="102"/>
    <x v="239"/>
    <x v="238"/>
    <n v="330.99"/>
    <n v="182.6"/>
    <n v="0"/>
    <n v="0"/>
    <n v="0"/>
    <n v="0"/>
    <n v="0"/>
  </r>
  <r>
    <s v="VECTOR LOG.(PTY)LTD GOOSEBUMPS"/>
    <n v="102"/>
    <x v="240"/>
    <x v="239"/>
    <n v="28.99"/>
    <n v="16.567"/>
    <n v="0"/>
    <n v="0"/>
    <n v="0"/>
    <n v="0"/>
    <n v="0"/>
  </r>
  <r>
    <s v="VECTOR LOG.(PTY)LTD GOOSEBUMPS"/>
    <n v="102"/>
    <x v="241"/>
    <x v="240"/>
    <n v="5.4"/>
    <n v="2.9407999999999999"/>
    <n v="0"/>
    <n v="0"/>
    <n v="0"/>
    <n v="0"/>
    <n v="0"/>
  </r>
  <r>
    <s v="VECTOR LOG.(PTY)LTD GOOSEBUMPS"/>
    <n v="102"/>
    <x v="242"/>
    <x v="241"/>
    <n v="4.99"/>
    <n v="2.8072499999999998"/>
    <n v="0"/>
    <n v="0"/>
    <n v="0"/>
    <n v="0"/>
    <n v="0"/>
  </r>
  <r>
    <s v="VECTOR LOG.(PTY)LTD GOOSEBUMPS"/>
    <n v="102"/>
    <x v="247"/>
    <x v="246"/>
    <n v="37.99"/>
    <n v="19.462499999999999"/>
    <n v="0"/>
    <n v="0"/>
    <n v="0"/>
    <n v="0"/>
    <n v="0"/>
  </r>
  <r>
    <s v="VECTOR LOG.(PTY)LTD GOOSEBUMPS"/>
    <n v="102"/>
    <x v="248"/>
    <x v="247"/>
    <n v="11.99"/>
    <n v="7.0248571428571402"/>
    <n v="0"/>
    <n v="0"/>
    <n v="0"/>
    <n v="0"/>
    <n v="0"/>
  </r>
  <r>
    <s v="VECTOR LOG.(PTY)LTD GOOSEBUMPS"/>
    <n v="102"/>
    <x v="251"/>
    <x v="250"/>
    <n v="21.99"/>
    <n v="10.989750000000001"/>
    <n v="0"/>
    <n v="0"/>
    <n v="0"/>
    <n v="0"/>
    <n v="0"/>
  </r>
  <r>
    <s v="VECTOR LOG.(PTY)LTD GOOSEBUMPS"/>
    <n v="102"/>
    <x v="267"/>
    <x v="266"/>
    <n v="330.99"/>
    <n v="179.16"/>
    <n v="0"/>
    <n v="0"/>
    <n v="0"/>
    <n v="0"/>
    <n v="0"/>
  </r>
  <r>
    <s v="VECTOR LOG.(PTY)LTD GOOSEBUMPS"/>
    <n v="102"/>
    <x v="268"/>
    <x v="267"/>
    <n v="10.85"/>
    <n v="5.6589999999999998"/>
    <n v="0"/>
    <n v="0"/>
    <n v="0"/>
    <n v="0"/>
    <n v="0"/>
  </r>
  <r>
    <s v="VECTOR LOG.(PTY)LTD GOOSEBUMPS"/>
    <n v="101"/>
    <x v="269"/>
    <x v="268"/>
    <n v="33.99"/>
    <n v="17.418749999999999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62">
  <r>
    <s v="BAKERY PRODUCTS"/>
    <x v="0"/>
    <x v="0"/>
    <x v="0"/>
    <x v="0"/>
    <x v="0"/>
    <x v="0"/>
    <x v="0"/>
    <n v="5740.8"/>
    <n v="5171.4000000000005"/>
    <n v="47.390993566833458"/>
    <x v="0"/>
    <x v="0"/>
    <n v="1216.5217391304348"/>
    <n v="100"/>
  </r>
  <r>
    <s v="BAKERY PRODUCTS"/>
    <x v="0"/>
    <x v="0"/>
    <x v="0"/>
    <x v="0"/>
    <x v="0"/>
    <x v="0"/>
    <x v="0"/>
    <n v="5740.8"/>
    <n v="5171.4000000000005"/>
    <n v="47.390993566833458"/>
    <x v="1"/>
    <x v="1"/>
    <n v="1094.8695652173913"/>
    <n v="90"/>
  </r>
  <r>
    <s v="BAKERY PRODUCTS"/>
    <x v="0"/>
    <x v="0"/>
    <x v="0"/>
    <x v="0"/>
    <x v="0"/>
    <x v="0"/>
    <x v="0"/>
    <n v="5740.8"/>
    <n v="5171.4000000000005"/>
    <n v="47.390993566833458"/>
    <x v="2"/>
    <x v="2"/>
    <n v="1094.8608695652174"/>
    <n v="91"/>
  </r>
  <r>
    <s v="BAKERY PRODUCTS"/>
    <x v="0"/>
    <x v="0"/>
    <x v="0"/>
    <x v="0"/>
    <x v="0"/>
    <x v="0"/>
    <x v="0"/>
    <n v="5740.8"/>
    <n v="5171.4000000000005"/>
    <n v="47.390993566833458"/>
    <x v="3"/>
    <x v="3"/>
    <n v="1204.3565217391304"/>
    <n v="99"/>
  </r>
  <r>
    <s v="BAKERY PRODUCTS"/>
    <x v="0"/>
    <x v="1"/>
    <x v="1"/>
    <x v="1"/>
    <x v="1"/>
    <x v="1"/>
    <x v="1"/>
    <n v="1512"/>
    <n v="1125.5999999999999"/>
    <n v="42.675159235668787"/>
    <x v="0"/>
    <x v="0"/>
    <n v="659.4"/>
    <n v="60"/>
  </r>
  <r>
    <s v="BAKERY PRODUCTS"/>
    <x v="0"/>
    <x v="1"/>
    <x v="1"/>
    <x v="1"/>
    <x v="1"/>
    <x v="1"/>
    <x v="1"/>
    <n v="1512"/>
    <n v="1125.5999999999999"/>
    <n v="42.675159235668787"/>
    <x v="2"/>
    <x v="2"/>
    <n v="259.36"/>
    <n v="24"/>
  </r>
  <r>
    <s v="BAKERY PRODUCTS"/>
    <x v="0"/>
    <x v="1"/>
    <x v="1"/>
    <x v="1"/>
    <x v="1"/>
    <x v="1"/>
    <x v="1"/>
    <n v="1512"/>
    <n v="1125.5999999999999"/>
    <n v="42.675159235668787"/>
    <x v="3"/>
    <x v="3"/>
    <n v="164.85"/>
    <n v="15"/>
  </r>
  <r>
    <s v="BAKERY PRODUCTS"/>
    <x v="0"/>
    <x v="2"/>
    <x v="2"/>
    <x v="2"/>
    <x v="2"/>
    <x v="2"/>
    <x v="2"/>
    <n v="1416.8"/>
    <n v="1709.36"/>
    <n v="54.679223072395523"/>
    <x v="0"/>
    <x v="0"/>
    <n v="457.99130434782614"/>
    <n v="31"/>
  </r>
  <r>
    <s v="BAKERY PRODUCTS"/>
    <x v="0"/>
    <x v="2"/>
    <x v="2"/>
    <x v="2"/>
    <x v="2"/>
    <x v="2"/>
    <x v="2"/>
    <n v="1416.8"/>
    <n v="1709.36"/>
    <n v="54.679223072395523"/>
    <x v="1"/>
    <x v="1"/>
    <n v="398.89565217391305"/>
    <n v="27"/>
  </r>
  <r>
    <s v="BAKERY PRODUCTS"/>
    <x v="0"/>
    <x v="2"/>
    <x v="2"/>
    <x v="2"/>
    <x v="2"/>
    <x v="2"/>
    <x v="2"/>
    <n v="1416.8"/>
    <n v="1709.36"/>
    <n v="54.679223072395523"/>
    <x v="2"/>
    <x v="2"/>
    <n v="484.58260869565214"/>
    <n v="33"/>
  </r>
  <r>
    <s v="BAKERY PRODUCTS"/>
    <x v="0"/>
    <x v="2"/>
    <x v="2"/>
    <x v="2"/>
    <x v="2"/>
    <x v="2"/>
    <x v="2"/>
    <n v="1416.8"/>
    <n v="1709.36"/>
    <n v="54.679223072395523"/>
    <x v="3"/>
    <x v="3"/>
    <n v="457.99130434782614"/>
    <n v="31"/>
  </r>
  <r>
    <s v="GOOSEBUMPS DISTR.(BREAD STOP)"/>
    <x v="0"/>
    <x v="3"/>
    <x v="3"/>
    <x v="3"/>
    <x v="3"/>
    <x v="3"/>
    <x v="3"/>
    <n v="480.798"/>
    <n v="239.202"/>
    <n v="33.222499999999997"/>
    <x v="2"/>
    <x v="2"/>
    <n v="165.21739130434781"/>
    <n v="40"/>
  </r>
  <r>
    <s v="BAKERY PRODUCTS"/>
    <x v="0"/>
    <x v="4"/>
    <x v="4"/>
    <x v="4"/>
    <x v="4"/>
    <x v="4"/>
    <x v="4"/>
    <n v="780.81333333333578"/>
    <n v="1416.1400000000044"/>
    <n v="64.459266317293952"/>
    <x v="0"/>
    <x v="0"/>
    <n v="146.01739130434785"/>
    <n v="8"/>
  </r>
  <r>
    <s v="BAKERY PRODUCTS"/>
    <x v="0"/>
    <x v="4"/>
    <x v="4"/>
    <x v="4"/>
    <x v="4"/>
    <x v="4"/>
    <x v="4"/>
    <n v="780.81333333333578"/>
    <n v="1416.1400000000044"/>
    <n v="64.459266317293952"/>
    <x v="1"/>
    <x v="1"/>
    <n v="200.77391304347827"/>
    <n v="11"/>
  </r>
  <r>
    <s v="BAKERY PRODUCTS"/>
    <x v="0"/>
    <x v="4"/>
    <x v="4"/>
    <x v="4"/>
    <x v="4"/>
    <x v="4"/>
    <x v="4"/>
    <n v="780.81333333333578"/>
    <n v="1416.1400000000044"/>
    <n v="64.459266317293952"/>
    <x v="2"/>
    <x v="2"/>
    <n v="177.97391304347826"/>
    <n v="10"/>
  </r>
  <r>
    <s v="BAKERY PRODUCTS"/>
    <x v="0"/>
    <x v="4"/>
    <x v="4"/>
    <x v="4"/>
    <x v="4"/>
    <x v="4"/>
    <x v="4"/>
    <n v="780.81333333333578"/>
    <n v="1416.1400000000044"/>
    <n v="64.459266317293952"/>
    <x v="3"/>
    <x v="3"/>
    <n v="219.02608695652174"/>
    <n v="12"/>
  </r>
  <r>
    <s v="BAKERY PRODUCTS"/>
    <x v="0"/>
    <x v="5"/>
    <x v="5"/>
    <x v="5"/>
    <x v="5"/>
    <x v="5"/>
    <x v="5"/>
    <n v="220.5"/>
    <n v="268.8"/>
    <n v="54.935622317596568"/>
    <x v="0"/>
    <x v="0"/>
    <n v="66.860869565217399"/>
    <n v="11"/>
  </r>
  <r>
    <s v="BAKERY PRODUCTS"/>
    <x v="0"/>
    <x v="5"/>
    <x v="5"/>
    <x v="5"/>
    <x v="5"/>
    <x v="5"/>
    <x v="5"/>
    <n v="220.5"/>
    <n v="268.8"/>
    <n v="54.935622317596568"/>
    <x v="1"/>
    <x v="1"/>
    <n v="42.547826086956519"/>
    <n v="7"/>
  </r>
  <r>
    <s v="BAKERY PRODUCTS"/>
    <x v="0"/>
    <x v="5"/>
    <x v="5"/>
    <x v="5"/>
    <x v="5"/>
    <x v="5"/>
    <x v="5"/>
    <n v="220.5"/>
    <n v="268.8"/>
    <n v="54.935622317596568"/>
    <x v="2"/>
    <x v="2"/>
    <n v="48.017391304347825"/>
    <n v="8"/>
  </r>
  <r>
    <s v="BAKERY PRODUCTS"/>
    <x v="0"/>
    <x v="5"/>
    <x v="5"/>
    <x v="5"/>
    <x v="5"/>
    <x v="5"/>
    <x v="5"/>
    <n v="220.5"/>
    <n v="268.8"/>
    <n v="54.935622317596568"/>
    <x v="3"/>
    <x v="3"/>
    <n v="54.704347826086952"/>
    <n v="9"/>
  </r>
  <r>
    <s v="GOOSEBUMPS DISTR.(BREAD STOP)"/>
    <x v="0"/>
    <x v="6"/>
    <x v="6"/>
    <x v="6"/>
    <x v="6"/>
    <x v="6"/>
    <x v="6"/>
    <n v="871"/>
    <n v="818.34999999999991"/>
    <n v="48.441708349365136"/>
    <x v="0"/>
    <x v="0"/>
    <n v="158.20000000000002"/>
    <n v="7"/>
  </r>
  <r>
    <s v="GOOSEBUMPS DISTR.(BREAD STOP)"/>
    <x v="0"/>
    <x v="6"/>
    <x v="6"/>
    <x v="6"/>
    <x v="6"/>
    <x v="6"/>
    <x v="6"/>
    <n v="871"/>
    <n v="818.34999999999991"/>
    <n v="48.441708349365136"/>
    <x v="1"/>
    <x v="1"/>
    <n v="158.20000000000002"/>
    <n v="7"/>
  </r>
  <r>
    <s v="GOOSEBUMPS DISTR.(BREAD STOP)"/>
    <x v="0"/>
    <x v="6"/>
    <x v="6"/>
    <x v="6"/>
    <x v="6"/>
    <x v="6"/>
    <x v="6"/>
    <n v="871"/>
    <n v="818.34999999999991"/>
    <n v="48.441708349365136"/>
    <x v="2"/>
    <x v="2"/>
    <n v="178.53913043478261"/>
    <n v="8"/>
  </r>
  <r>
    <s v="GOOSEBUMPS DISTR.(BREAD STOP)"/>
    <x v="0"/>
    <x v="6"/>
    <x v="6"/>
    <x v="6"/>
    <x v="6"/>
    <x v="6"/>
    <x v="6"/>
    <n v="871"/>
    <n v="818.34999999999991"/>
    <n v="48.441708349365136"/>
    <x v="3"/>
    <x v="3"/>
    <n v="112.99999999999999"/>
    <n v="5"/>
  </r>
  <r>
    <s v="BAKERY PRODUCTS"/>
    <x v="0"/>
    <x v="7"/>
    <x v="7"/>
    <x v="7"/>
    <x v="7"/>
    <x v="7"/>
    <x v="7"/>
    <n v="610"/>
    <n v="389.49999999999989"/>
    <n v="38.969484742371179"/>
    <x v="0"/>
    <x v="0"/>
    <n v="86.913043478260875"/>
    <n v="5"/>
  </r>
  <r>
    <s v="BAKERY PRODUCTS"/>
    <x v="0"/>
    <x v="7"/>
    <x v="7"/>
    <x v="7"/>
    <x v="7"/>
    <x v="7"/>
    <x v="7"/>
    <n v="610"/>
    <n v="389.49999999999989"/>
    <n v="38.969484742371179"/>
    <x v="1"/>
    <x v="1"/>
    <n v="69.530434782608694"/>
    <n v="4"/>
  </r>
  <r>
    <s v="BAKERY PRODUCTS"/>
    <x v="0"/>
    <x v="8"/>
    <x v="8"/>
    <x v="8"/>
    <x v="8"/>
    <x v="8"/>
    <x v="8"/>
    <n v="199.20000000000002"/>
    <n v="256.79999999999995"/>
    <n v="56.315789473684198"/>
    <x v="0"/>
    <x v="0"/>
    <n v="49.565217391304344"/>
    <n v="6"/>
  </r>
  <r>
    <s v="BAKERY PRODUCTS"/>
    <x v="0"/>
    <x v="8"/>
    <x v="8"/>
    <x v="8"/>
    <x v="8"/>
    <x v="8"/>
    <x v="8"/>
    <n v="199.20000000000002"/>
    <n v="256.79999999999995"/>
    <n v="56.315789473684198"/>
    <x v="1"/>
    <x v="1"/>
    <n v="90.869565217391312"/>
    <n v="11"/>
  </r>
  <r>
    <s v="BAKERY PRODUCTS"/>
    <x v="0"/>
    <x v="8"/>
    <x v="8"/>
    <x v="8"/>
    <x v="8"/>
    <x v="8"/>
    <x v="8"/>
    <n v="199.20000000000002"/>
    <n v="256.79999999999995"/>
    <n v="56.315789473684198"/>
    <x v="2"/>
    <x v="2"/>
    <n v="97.052173913043475"/>
    <n v="12"/>
  </r>
  <r>
    <s v="BAKERY PRODUCTS"/>
    <x v="0"/>
    <x v="8"/>
    <x v="8"/>
    <x v="8"/>
    <x v="8"/>
    <x v="8"/>
    <x v="8"/>
    <n v="199.20000000000002"/>
    <n v="256.79999999999995"/>
    <n v="56.315789473684198"/>
    <x v="3"/>
    <x v="3"/>
    <n v="49.565217391304344"/>
    <n v="6"/>
  </r>
  <r>
    <s v="BAKERY PRODUCTS"/>
    <x v="0"/>
    <x v="9"/>
    <x v="9"/>
    <x v="9"/>
    <x v="9"/>
    <x v="9"/>
    <x v="9"/>
    <n v="489.6"/>
    <n v="229.99999999999989"/>
    <n v="31.962201222901598"/>
    <x v="0"/>
    <x v="0"/>
    <n v="86.913043478260875"/>
    <n v="5"/>
  </r>
  <r>
    <s v="BAKERY PRODUCTS"/>
    <x v="0"/>
    <x v="9"/>
    <x v="9"/>
    <x v="9"/>
    <x v="9"/>
    <x v="9"/>
    <x v="9"/>
    <n v="489.6"/>
    <n v="229.99999999999989"/>
    <n v="31.962201222901598"/>
    <x v="1"/>
    <x v="1"/>
    <n v="86.913043478260875"/>
    <n v="5"/>
  </r>
  <r>
    <s v="BAKERY PRODUCTS"/>
    <x v="0"/>
    <x v="9"/>
    <x v="9"/>
    <x v="9"/>
    <x v="9"/>
    <x v="9"/>
    <x v="9"/>
    <n v="489.6"/>
    <n v="229.99999999999989"/>
    <n v="31.962201222901598"/>
    <x v="2"/>
    <x v="2"/>
    <n v="198.66956521739129"/>
    <n v="13"/>
  </r>
  <r>
    <s v="BAKERY PRODUCTS"/>
    <x v="0"/>
    <x v="9"/>
    <x v="9"/>
    <x v="9"/>
    <x v="9"/>
    <x v="9"/>
    <x v="9"/>
    <n v="489.6"/>
    <n v="229.99999999999989"/>
    <n v="31.962201222901598"/>
    <x v="3"/>
    <x v="3"/>
    <n v="125.14782608695651"/>
    <n v="8"/>
  </r>
  <r>
    <s v="BAKERY PRODUCTS"/>
    <x v="0"/>
    <x v="10"/>
    <x v="10"/>
    <x v="10"/>
    <x v="10"/>
    <x v="10"/>
    <x v="10"/>
    <n v="594"/>
    <n v="773.6400000000001"/>
    <n v="56.567517767833642"/>
    <x v="0"/>
    <x v="0"/>
    <n v="165.17391304347825"/>
    <n v="5"/>
  </r>
  <r>
    <s v="BAKERY PRODUCTS"/>
    <x v="0"/>
    <x v="10"/>
    <x v="10"/>
    <x v="10"/>
    <x v="10"/>
    <x v="10"/>
    <x v="10"/>
    <n v="594"/>
    <n v="773.6400000000001"/>
    <n v="56.567517767833642"/>
    <x v="1"/>
    <x v="1"/>
    <n v="33.03478260869565"/>
    <n v="1"/>
  </r>
  <r>
    <s v="BAKERY PRODUCTS"/>
    <x v="0"/>
    <x v="10"/>
    <x v="10"/>
    <x v="10"/>
    <x v="10"/>
    <x v="10"/>
    <x v="10"/>
    <n v="594"/>
    <n v="773.6400000000001"/>
    <n v="56.567517767833642"/>
    <x v="2"/>
    <x v="2"/>
    <n v="165.17391304347825"/>
    <n v="5"/>
  </r>
  <r>
    <s v="BAKERY PRODUCTS"/>
    <x v="0"/>
    <x v="10"/>
    <x v="10"/>
    <x v="10"/>
    <x v="10"/>
    <x v="10"/>
    <x v="10"/>
    <n v="594"/>
    <n v="773.6400000000001"/>
    <n v="56.567517767833642"/>
    <x v="3"/>
    <x v="3"/>
    <n v="132.1391304347826"/>
    <n v="4"/>
  </r>
  <r>
    <s v="BAKERY PRODUCTS"/>
    <x v="0"/>
    <x v="11"/>
    <x v="11"/>
    <x v="11"/>
    <x v="11"/>
    <x v="10"/>
    <x v="11"/>
    <n v="577.80000000000007"/>
    <n v="753.84"/>
    <n v="56.609894566098937"/>
    <x v="0"/>
    <x v="0"/>
    <n v="225.15652173913043"/>
    <n v="7"/>
  </r>
  <r>
    <s v="BAKERY PRODUCTS"/>
    <x v="0"/>
    <x v="11"/>
    <x v="11"/>
    <x v="11"/>
    <x v="11"/>
    <x v="10"/>
    <x v="11"/>
    <n v="577.80000000000007"/>
    <n v="753.84"/>
    <n v="56.609894566098937"/>
    <x v="1"/>
    <x v="1"/>
    <n v="32.165217391304353"/>
    <n v="1"/>
  </r>
  <r>
    <s v="BAKERY PRODUCTS"/>
    <x v="0"/>
    <x v="11"/>
    <x v="11"/>
    <x v="11"/>
    <x v="11"/>
    <x v="10"/>
    <x v="11"/>
    <n v="577.80000000000007"/>
    <n v="753.84"/>
    <n v="56.609894566098937"/>
    <x v="3"/>
    <x v="3"/>
    <n v="192.99130434782609"/>
    <n v="6"/>
  </r>
  <r>
    <s v="GOOSEBUMPS DISTR.(BREAD STOP)"/>
    <x v="0"/>
    <x v="12"/>
    <x v="12"/>
    <x v="12"/>
    <x v="12"/>
    <x v="11"/>
    <x v="12"/>
    <n v="412.76"/>
    <n v="334.9"/>
    <n v="44.793087767166895"/>
    <x v="0"/>
    <x v="0"/>
    <n v="57.365217391304348"/>
    <n v="3"/>
  </r>
  <r>
    <s v="GOOSEBUMPS DISTR.(BREAD STOP)"/>
    <x v="0"/>
    <x v="12"/>
    <x v="12"/>
    <x v="12"/>
    <x v="12"/>
    <x v="11"/>
    <x v="12"/>
    <n v="412.76"/>
    <n v="334.9"/>
    <n v="44.793087767166895"/>
    <x v="1"/>
    <x v="1"/>
    <n v="19.121739130434783"/>
    <n v="1"/>
  </r>
  <r>
    <s v="GOOSEBUMPS DISTR.(BREAD STOP)"/>
    <x v="0"/>
    <x v="12"/>
    <x v="12"/>
    <x v="12"/>
    <x v="12"/>
    <x v="11"/>
    <x v="12"/>
    <n v="412.76"/>
    <n v="334.9"/>
    <n v="44.793087767166895"/>
    <x v="2"/>
    <x v="2"/>
    <n v="19.121739130434783"/>
    <n v="1"/>
  </r>
  <r>
    <s v="BAKERY PRODUCTS"/>
    <x v="0"/>
    <x v="13"/>
    <x v="13"/>
    <x v="13"/>
    <x v="13"/>
    <x v="12"/>
    <x v="13"/>
    <n v="228.6"/>
    <n v="221.1"/>
    <n v="49.166110740493664"/>
    <x v="0"/>
    <x v="0"/>
    <n v="39.104347826086958"/>
    <n v="3"/>
  </r>
  <r>
    <s v="BAKERY PRODUCTS"/>
    <x v="0"/>
    <x v="13"/>
    <x v="13"/>
    <x v="13"/>
    <x v="13"/>
    <x v="12"/>
    <x v="13"/>
    <n v="228.6"/>
    <n v="221.1"/>
    <n v="49.166110740493664"/>
    <x v="1"/>
    <x v="1"/>
    <n v="52.139130434782608"/>
    <n v="4"/>
  </r>
  <r>
    <s v="BAKERY PRODUCTS"/>
    <x v="0"/>
    <x v="13"/>
    <x v="13"/>
    <x v="13"/>
    <x v="13"/>
    <x v="12"/>
    <x v="13"/>
    <n v="228.6"/>
    <n v="221.1"/>
    <n v="49.166110740493664"/>
    <x v="2"/>
    <x v="2"/>
    <n v="39.104347826086958"/>
    <n v="3"/>
  </r>
  <r>
    <s v="BAKERY PRODUCTS"/>
    <x v="0"/>
    <x v="13"/>
    <x v="13"/>
    <x v="13"/>
    <x v="13"/>
    <x v="12"/>
    <x v="13"/>
    <n v="228.6"/>
    <n v="221.1"/>
    <n v="49.166110740493664"/>
    <x v="3"/>
    <x v="3"/>
    <n v="143.38260869565215"/>
    <n v="11"/>
  </r>
  <r>
    <s v="BAKERY PRODUCTS"/>
    <x v="0"/>
    <x v="14"/>
    <x v="14"/>
    <x v="5"/>
    <x v="14"/>
    <x v="13"/>
    <x v="14"/>
    <n v="79.8"/>
    <n v="115.92"/>
    <n v="59.227467811158796"/>
    <x v="0"/>
    <x v="0"/>
    <n v="30.39130434782609"/>
    <n v="5"/>
  </r>
  <r>
    <s v="BAKERY PRODUCTS"/>
    <x v="0"/>
    <x v="14"/>
    <x v="14"/>
    <x v="5"/>
    <x v="14"/>
    <x v="13"/>
    <x v="14"/>
    <n v="79.8"/>
    <n v="115.92"/>
    <n v="59.227467811158796"/>
    <x v="1"/>
    <x v="1"/>
    <n v="24.31304347826087"/>
    <n v="4"/>
  </r>
  <r>
    <s v="BAKERY PRODUCTS"/>
    <x v="0"/>
    <x v="14"/>
    <x v="14"/>
    <x v="5"/>
    <x v="14"/>
    <x v="13"/>
    <x v="14"/>
    <n v="79.8"/>
    <n v="115.92"/>
    <n v="59.227467811158796"/>
    <x v="2"/>
    <x v="2"/>
    <n v="24.008695652173913"/>
    <n v="4"/>
  </r>
  <r>
    <s v="BAKERY PRODUCTS"/>
    <x v="0"/>
    <x v="14"/>
    <x v="14"/>
    <x v="5"/>
    <x v="14"/>
    <x v="13"/>
    <x v="14"/>
    <n v="79.8"/>
    <n v="115.92"/>
    <n v="59.227467811158796"/>
    <x v="3"/>
    <x v="3"/>
    <n v="24.31304347826087"/>
    <n v="4"/>
  </r>
  <r>
    <s v="BAKERY PRODUCTS"/>
    <x v="0"/>
    <x v="15"/>
    <x v="15"/>
    <x v="14"/>
    <x v="15"/>
    <x v="14"/>
    <x v="15"/>
    <n v="65.28"/>
    <n v="78.47999999999999"/>
    <n v="54.590984974958253"/>
    <x v="0"/>
    <x v="0"/>
    <n v="26.043478260869563"/>
    <n v="5"/>
  </r>
  <r>
    <s v="BAKERY PRODUCTS"/>
    <x v="0"/>
    <x v="15"/>
    <x v="15"/>
    <x v="14"/>
    <x v="15"/>
    <x v="14"/>
    <x v="15"/>
    <n v="65.28"/>
    <n v="78.47999999999999"/>
    <n v="54.590984974958253"/>
    <x v="2"/>
    <x v="2"/>
    <n v="10.417391304347827"/>
    <n v="2"/>
  </r>
  <r>
    <s v="BAKERY PRODUCTS"/>
    <x v="0"/>
    <x v="16"/>
    <x v="16"/>
    <x v="15"/>
    <x v="16"/>
    <x v="15"/>
    <x v="16"/>
    <n v="127.28"/>
    <n v="152.64000000000001"/>
    <n v="54.529865675907409"/>
    <x v="1"/>
    <x v="1"/>
    <n v="121.70434782608696"/>
    <n v="4"/>
  </r>
  <r>
    <s v="BAKERY PRODUCTS"/>
    <x v="0"/>
    <x v="16"/>
    <x v="16"/>
    <x v="15"/>
    <x v="16"/>
    <x v="15"/>
    <x v="16"/>
    <n v="127.28"/>
    <n v="152.64000000000001"/>
    <n v="54.529865675907409"/>
    <x v="2"/>
    <x v="2"/>
    <n v="117.13913043478261"/>
    <n v="4"/>
  </r>
  <r>
    <s v="BAKERY PRODUCTS"/>
    <x v="0"/>
    <x v="16"/>
    <x v="16"/>
    <x v="15"/>
    <x v="16"/>
    <x v="15"/>
    <x v="16"/>
    <n v="127.28"/>
    <n v="152.64000000000001"/>
    <n v="54.529865675907409"/>
    <x v="3"/>
    <x v="3"/>
    <n v="30.42608695652174"/>
    <n v="1"/>
  </r>
  <r>
    <s v="BAKERY PRODUCTS"/>
    <x v="0"/>
    <x v="17"/>
    <x v="17"/>
    <x v="16"/>
    <x v="17"/>
    <x v="15"/>
    <x v="17"/>
    <n v="71.44"/>
    <n v="160.47999999999999"/>
    <n v="69.196274577440491"/>
    <x v="0"/>
    <x v="0"/>
    <n v="25.208695652173912"/>
    <n v="1"/>
  </r>
  <r>
    <s v="BAKERY PRODUCTS"/>
    <x v="0"/>
    <x v="17"/>
    <x v="17"/>
    <x v="16"/>
    <x v="17"/>
    <x v="15"/>
    <x v="17"/>
    <n v="71.44"/>
    <n v="160.47999999999999"/>
    <n v="69.196274577440491"/>
    <x v="1"/>
    <x v="1"/>
    <n v="25.208695652173912"/>
    <n v="1"/>
  </r>
  <r>
    <s v="BAKERY PRODUCTS"/>
    <x v="0"/>
    <x v="17"/>
    <x v="17"/>
    <x v="16"/>
    <x v="17"/>
    <x v="15"/>
    <x v="17"/>
    <n v="71.44"/>
    <n v="160.47999999999999"/>
    <n v="69.196274577440491"/>
    <x v="2"/>
    <x v="2"/>
    <n v="75.626086956521732"/>
    <n v="3"/>
  </r>
  <r>
    <s v="BAKERY PRODUCTS"/>
    <x v="0"/>
    <x v="17"/>
    <x v="17"/>
    <x v="16"/>
    <x v="17"/>
    <x v="15"/>
    <x v="17"/>
    <n v="71.44"/>
    <n v="160.47999999999999"/>
    <n v="69.196274577440491"/>
    <x v="3"/>
    <x v="3"/>
    <n v="50.417391304347824"/>
    <n v="2"/>
  </r>
  <r>
    <s v="BAKERY PRODUCTS"/>
    <x v="0"/>
    <x v="18"/>
    <x v="18"/>
    <x v="17"/>
    <x v="18"/>
    <x v="16"/>
    <x v="18"/>
    <n v="58.08"/>
    <n v="91.86"/>
    <n v="61.264505802320933"/>
    <x v="2"/>
    <x v="2"/>
    <n v="43.460869565217386"/>
    <n v="2"/>
  </r>
  <r>
    <s v="BAKERY PRODUCTS"/>
    <x v="0"/>
    <x v="19"/>
    <x v="19"/>
    <x v="7"/>
    <x v="19"/>
    <x v="16"/>
    <x v="19"/>
    <n v="51"/>
    <n v="68.94"/>
    <n v="57.478739369684838"/>
    <x v="2"/>
    <x v="2"/>
    <n v="34.765217391304347"/>
    <n v="2"/>
  </r>
  <r>
    <s v="BAKERY PRODUCTS"/>
    <x v="0"/>
    <x v="19"/>
    <x v="19"/>
    <x v="7"/>
    <x v="19"/>
    <x v="16"/>
    <x v="19"/>
    <n v="51"/>
    <n v="68.94"/>
    <n v="57.478739369684838"/>
    <x v="3"/>
    <x v="3"/>
    <n v="17.382608695652173"/>
    <n v="1"/>
  </r>
  <r>
    <s v="BAKERY PRODUCTS"/>
    <x v="0"/>
    <x v="20"/>
    <x v="20"/>
    <x v="7"/>
    <x v="20"/>
    <x v="16"/>
    <x v="19"/>
    <n v="15.78"/>
    <n v="104.16"/>
    <n v="86.843421710855424"/>
    <x v="2"/>
    <x v="2"/>
    <n v="17.382608695652173"/>
    <n v="1"/>
  </r>
  <r>
    <s v="BAKERY PRODUCTS"/>
    <x v="0"/>
    <x v="20"/>
    <x v="20"/>
    <x v="7"/>
    <x v="20"/>
    <x v="16"/>
    <x v="19"/>
    <n v="15.78"/>
    <n v="104.16"/>
    <n v="86.843421710855424"/>
    <x v="3"/>
    <x v="3"/>
    <n v="17.382608695652173"/>
    <n v="1"/>
  </r>
  <r>
    <s v="BAKERY PRODUCTS"/>
    <x v="0"/>
    <x v="21"/>
    <x v="21"/>
    <x v="18"/>
    <x v="21"/>
    <x v="16"/>
    <x v="20"/>
    <n v="40.44"/>
    <n v="55.5"/>
    <n v="57.848655409631021"/>
    <x v="0"/>
    <x v="0"/>
    <n v="41.713043478260872"/>
    <n v="3"/>
  </r>
  <r>
    <s v="BAKERY PRODUCTS"/>
    <x v="0"/>
    <x v="21"/>
    <x v="21"/>
    <x v="18"/>
    <x v="21"/>
    <x v="16"/>
    <x v="20"/>
    <n v="40.44"/>
    <n v="55.5"/>
    <n v="57.848655409631021"/>
    <x v="1"/>
    <x v="1"/>
    <n v="55.617391304347827"/>
    <n v="4"/>
  </r>
  <r>
    <s v="SPAR WESTERN CAPE"/>
    <x v="0"/>
    <x v="22"/>
    <x v="22"/>
    <x v="19"/>
    <x v="22"/>
    <x v="17"/>
    <x v="21"/>
    <n v="0"/>
    <n v="0"/>
    <n v="0"/>
    <x v="2"/>
    <x v="2"/>
    <n v="57.817391304347822"/>
    <n v="1"/>
  </r>
  <r>
    <s v="SPAR WESTERN CAPE"/>
    <x v="0"/>
    <x v="23"/>
    <x v="23"/>
    <x v="19"/>
    <x v="22"/>
    <x v="17"/>
    <x v="21"/>
    <n v="0"/>
    <n v="0"/>
    <n v="0"/>
    <x v="0"/>
    <x v="0"/>
    <n v="60.860869565217385"/>
    <n v="1"/>
  </r>
  <r>
    <s v="SPAR WESTERN CAPE"/>
    <x v="0"/>
    <x v="23"/>
    <x v="23"/>
    <x v="19"/>
    <x v="22"/>
    <x v="17"/>
    <x v="21"/>
    <n v="0"/>
    <n v="0"/>
    <n v="0"/>
    <x v="2"/>
    <x v="2"/>
    <n v="60.860869565217385"/>
    <n v="1"/>
  </r>
  <r>
    <s v="SPAR WESTERN CAPE"/>
    <x v="0"/>
    <x v="24"/>
    <x v="24"/>
    <x v="19"/>
    <x v="22"/>
    <x v="17"/>
    <x v="21"/>
    <n v="0"/>
    <n v="0"/>
    <n v="0"/>
    <x v="3"/>
    <x v="3"/>
    <n v="60.860869565217385"/>
    <n v="1"/>
  </r>
  <r>
    <s v="SPAR WESTERN CAPE"/>
    <x v="0"/>
    <x v="25"/>
    <x v="25"/>
    <x v="20"/>
    <x v="23"/>
    <x v="17"/>
    <x v="21"/>
    <n v="0"/>
    <n v="0"/>
    <n v="0"/>
    <x v="1"/>
    <x v="1"/>
    <n v="54.77391304347826"/>
    <n v="1"/>
  </r>
  <r>
    <s v="SPAR WESTERN CAPE"/>
    <x v="0"/>
    <x v="25"/>
    <x v="25"/>
    <x v="20"/>
    <x v="23"/>
    <x v="17"/>
    <x v="21"/>
    <n v="0"/>
    <n v="0"/>
    <n v="0"/>
    <x v="2"/>
    <x v="2"/>
    <n v="109.54782608695652"/>
    <n v="2"/>
  </r>
  <r>
    <s v="SPAR WESTERN CAPE"/>
    <x v="0"/>
    <x v="25"/>
    <x v="25"/>
    <x v="20"/>
    <x v="23"/>
    <x v="17"/>
    <x v="21"/>
    <n v="0"/>
    <n v="0"/>
    <n v="0"/>
    <x v="3"/>
    <x v="3"/>
    <n v="109.54782608695652"/>
    <n v="2"/>
  </r>
  <r>
    <s v="SPAR WESTERN CAPE"/>
    <x v="0"/>
    <x v="26"/>
    <x v="26"/>
    <x v="21"/>
    <x v="24"/>
    <x v="17"/>
    <x v="21"/>
    <n v="0"/>
    <n v="0"/>
    <n v="0"/>
    <x v="1"/>
    <x v="1"/>
    <n v="62.599999999999994"/>
    <n v="1"/>
  </r>
  <r>
    <s v="SPAR WESTERN CAPE"/>
    <x v="0"/>
    <x v="27"/>
    <x v="27"/>
    <x v="22"/>
    <x v="25"/>
    <x v="17"/>
    <x v="21"/>
    <n v="0"/>
    <n v="0"/>
    <n v="0"/>
    <x v="0"/>
    <x v="0"/>
    <n v="23.469565217391303"/>
    <n v="1"/>
  </r>
  <r>
    <s v="SPAR WESTERN CAPE"/>
    <x v="0"/>
    <x v="27"/>
    <x v="27"/>
    <x v="22"/>
    <x v="25"/>
    <x v="17"/>
    <x v="21"/>
    <n v="0"/>
    <n v="0"/>
    <n v="0"/>
    <x v="1"/>
    <x v="1"/>
    <n v="23.469565217391303"/>
    <n v="1"/>
  </r>
  <r>
    <s v="BAKERY PRODUCTS"/>
    <x v="0"/>
    <x v="28"/>
    <x v="28"/>
    <x v="23"/>
    <x v="26"/>
    <x v="17"/>
    <x v="21"/>
    <n v="0"/>
    <n v="0"/>
    <n v="0"/>
    <x v="0"/>
    <x v="0"/>
    <n v="19.826086956521738"/>
    <n v="6"/>
  </r>
  <r>
    <s v="BAKERY PRODUCTS"/>
    <x v="0"/>
    <x v="28"/>
    <x v="28"/>
    <x v="23"/>
    <x v="26"/>
    <x v="17"/>
    <x v="21"/>
    <n v="0"/>
    <n v="0"/>
    <n v="0"/>
    <x v="1"/>
    <x v="1"/>
    <n v="102.43478260869566"/>
    <n v="31"/>
  </r>
  <r>
    <s v="BAKERY PRODUCTS"/>
    <x v="0"/>
    <x v="28"/>
    <x v="28"/>
    <x v="23"/>
    <x v="26"/>
    <x v="17"/>
    <x v="21"/>
    <n v="0"/>
    <n v="0"/>
    <n v="0"/>
    <x v="2"/>
    <x v="2"/>
    <n v="194.46086956521739"/>
    <n v="59"/>
  </r>
  <r>
    <s v="BAKERY PRODUCTS"/>
    <x v="0"/>
    <x v="28"/>
    <x v="28"/>
    <x v="23"/>
    <x v="26"/>
    <x v="17"/>
    <x v="21"/>
    <n v="0"/>
    <n v="0"/>
    <n v="0"/>
    <x v="3"/>
    <x v="3"/>
    <n v="29.739130434782609"/>
    <n v="9"/>
  </r>
  <r>
    <s v="BAKERY PRODUCTS"/>
    <x v="0"/>
    <x v="29"/>
    <x v="29"/>
    <x v="24"/>
    <x v="27"/>
    <x v="17"/>
    <x v="21"/>
    <n v="0"/>
    <n v="0"/>
    <n v="0"/>
    <x v="0"/>
    <x v="0"/>
    <n v="365.04347826086956"/>
    <n v="20"/>
  </r>
  <r>
    <s v="BAKERY PRODUCTS"/>
    <x v="0"/>
    <x v="29"/>
    <x v="29"/>
    <x v="24"/>
    <x v="27"/>
    <x v="17"/>
    <x v="21"/>
    <n v="0"/>
    <n v="0"/>
    <n v="0"/>
    <x v="1"/>
    <x v="1"/>
    <n v="200.77391304347825"/>
    <n v="11"/>
  </r>
  <r>
    <s v="BAKERY PRODUCTS"/>
    <x v="0"/>
    <x v="29"/>
    <x v="29"/>
    <x v="24"/>
    <x v="27"/>
    <x v="17"/>
    <x v="21"/>
    <n v="0"/>
    <n v="0"/>
    <n v="0"/>
    <x v="2"/>
    <x v="2"/>
    <n v="199.8608695652174"/>
    <n v="11"/>
  </r>
  <r>
    <s v="BAKERY PRODUCTS"/>
    <x v="0"/>
    <x v="29"/>
    <x v="29"/>
    <x v="24"/>
    <x v="27"/>
    <x v="17"/>
    <x v="21"/>
    <n v="0"/>
    <n v="0"/>
    <n v="0"/>
    <x v="3"/>
    <x v="3"/>
    <n v="419.79999999999995"/>
    <n v="23"/>
  </r>
  <r>
    <s v="BAKERY PRODUCTS"/>
    <x v="0"/>
    <x v="30"/>
    <x v="30"/>
    <x v="25"/>
    <x v="28"/>
    <x v="17"/>
    <x v="21"/>
    <n v="0"/>
    <n v="0"/>
    <n v="0"/>
    <x v="0"/>
    <x v="0"/>
    <n v="30.434782608695652"/>
    <n v="35"/>
  </r>
  <r>
    <s v="BAKERY PRODUCTS"/>
    <x v="0"/>
    <x v="30"/>
    <x v="30"/>
    <x v="25"/>
    <x v="28"/>
    <x v="17"/>
    <x v="21"/>
    <n v="0"/>
    <n v="0"/>
    <n v="0"/>
    <x v="1"/>
    <x v="1"/>
    <n v="6.9565217391304346"/>
    <n v="8"/>
  </r>
  <r>
    <s v="BAKERY PRODUCTS"/>
    <x v="0"/>
    <x v="30"/>
    <x v="30"/>
    <x v="25"/>
    <x v="28"/>
    <x v="17"/>
    <x v="21"/>
    <n v="0"/>
    <n v="0"/>
    <n v="0"/>
    <x v="2"/>
    <x v="2"/>
    <n v="13.043478260869565"/>
    <n v="15"/>
  </r>
  <r>
    <s v="BAKERY PRODUCTS"/>
    <x v="0"/>
    <x v="30"/>
    <x v="30"/>
    <x v="25"/>
    <x v="28"/>
    <x v="17"/>
    <x v="21"/>
    <n v="0"/>
    <n v="0"/>
    <n v="0"/>
    <x v="3"/>
    <x v="3"/>
    <n v="16.521739130434781"/>
    <n v="19"/>
  </r>
  <r>
    <s v="BAKERY PRODUCTS"/>
    <x v="0"/>
    <x v="31"/>
    <x v="31"/>
    <x v="5"/>
    <x v="29"/>
    <x v="17"/>
    <x v="21"/>
    <n v="0"/>
    <n v="0"/>
    <n v="0"/>
    <x v="3"/>
    <x v="3"/>
    <n v="42.547826086956519"/>
    <n v="7"/>
  </r>
  <r>
    <s v="BAKERY PRODUCTS"/>
    <x v="0"/>
    <x v="32"/>
    <x v="32"/>
    <x v="26"/>
    <x v="30"/>
    <x v="17"/>
    <x v="21"/>
    <n v="0"/>
    <n v="0"/>
    <n v="0"/>
    <x v="0"/>
    <x v="0"/>
    <n v="20.869565217391305"/>
    <n v="16"/>
  </r>
  <r>
    <s v="BAKERY PRODUCTS"/>
    <x v="0"/>
    <x v="33"/>
    <x v="33"/>
    <x v="27"/>
    <x v="31"/>
    <x v="17"/>
    <x v="21"/>
    <n v="0"/>
    <n v="0"/>
    <n v="0"/>
    <x v="0"/>
    <x v="0"/>
    <n v="169.43478260869566"/>
    <n v="15"/>
  </r>
  <r>
    <s v="BAKERY PRODUCTS"/>
    <x v="0"/>
    <x v="33"/>
    <x v="33"/>
    <x v="27"/>
    <x v="31"/>
    <x v="17"/>
    <x v="21"/>
    <n v="0"/>
    <n v="0"/>
    <n v="0"/>
    <x v="1"/>
    <x v="1"/>
    <n v="101.66086956521738"/>
    <n v="9"/>
  </r>
  <r>
    <s v="BAKERY PRODUCTS"/>
    <x v="0"/>
    <x v="33"/>
    <x v="33"/>
    <x v="27"/>
    <x v="31"/>
    <x v="17"/>
    <x v="21"/>
    <n v="0"/>
    <n v="0"/>
    <n v="0"/>
    <x v="2"/>
    <x v="2"/>
    <n v="111.26086956521739"/>
    <n v="10"/>
  </r>
  <r>
    <s v="BAKERY PRODUCTS"/>
    <x v="0"/>
    <x v="33"/>
    <x v="33"/>
    <x v="27"/>
    <x v="31"/>
    <x v="17"/>
    <x v="21"/>
    <n v="0"/>
    <n v="0"/>
    <n v="0"/>
    <x v="3"/>
    <x v="3"/>
    <n v="395.3478260869565"/>
    <n v="35"/>
  </r>
  <r>
    <s v="BAKERY PRODUCTS"/>
    <x v="0"/>
    <x v="34"/>
    <x v="34"/>
    <x v="28"/>
    <x v="32"/>
    <x v="17"/>
    <x v="21"/>
    <n v="0"/>
    <n v="0"/>
    <n v="0"/>
    <x v="0"/>
    <x v="0"/>
    <n v="5.2695652173913041"/>
    <n v="0"/>
  </r>
  <r>
    <s v="BAKERY PRODUCTS"/>
    <x v="0"/>
    <x v="34"/>
    <x v="34"/>
    <x v="28"/>
    <x v="32"/>
    <x v="17"/>
    <x v="21"/>
    <n v="0"/>
    <n v="0"/>
    <n v="0"/>
    <x v="2"/>
    <x v="2"/>
    <n v="9.5739130434782602"/>
    <n v="0"/>
  </r>
  <r>
    <s v="BAKERY PRODUCTS"/>
    <x v="0"/>
    <x v="35"/>
    <x v="35"/>
    <x v="26"/>
    <x v="33"/>
    <x v="17"/>
    <x v="21"/>
    <n v="0"/>
    <n v="0"/>
    <n v="0"/>
    <x v="1"/>
    <x v="1"/>
    <n v="117.39130434782609"/>
    <n v="90"/>
  </r>
  <r>
    <s v="BAKERY PRODUCTS"/>
    <x v="0"/>
    <x v="36"/>
    <x v="36"/>
    <x v="29"/>
    <x v="34"/>
    <x v="17"/>
    <x v="21"/>
    <n v="0"/>
    <n v="0"/>
    <n v="0"/>
    <x v="0"/>
    <x v="0"/>
    <n v="30.373913043478261"/>
    <n v="7"/>
  </r>
  <r>
    <s v="BAKERY PRODUCTS"/>
    <x v="0"/>
    <x v="36"/>
    <x v="36"/>
    <x v="29"/>
    <x v="34"/>
    <x v="17"/>
    <x v="21"/>
    <n v="0"/>
    <n v="0"/>
    <n v="0"/>
    <x v="1"/>
    <x v="1"/>
    <n v="8.6782608695652179"/>
    <n v="2"/>
  </r>
  <r>
    <s v="BAKERY PRODUCTS"/>
    <x v="0"/>
    <x v="37"/>
    <x v="37"/>
    <x v="30"/>
    <x v="35"/>
    <x v="17"/>
    <x v="21"/>
    <n v="0"/>
    <n v="0"/>
    <n v="0"/>
    <x v="0"/>
    <x v="0"/>
    <n v="229.56521739130434"/>
    <n v="80"/>
  </r>
  <r>
    <s v="BAKERY PRODUCTS"/>
    <x v="0"/>
    <x v="38"/>
    <x v="38"/>
    <x v="30"/>
    <x v="35"/>
    <x v="17"/>
    <x v="21"/>
    <n v="0"/>
    <n v="0"/>
    <n v="0"/>
    <x v="3"/>
    <x v="3"/>
    <n v="143.47826086956522"/>
    <n v="50"/>
  </r>
  <r>
    <s v="BAKERY PRODUCTS"/>
    <x v="0"/>
    <x v="39"/>
    <x v="39"/>
    <x v="31"/>
    <x v="36"/>
    <x v="17"/>
    <x v="21"/>
    <n v="0"/>
    <n v="0"/>
    <n v="0"/>
    <x v="0"/>
    <x v="0"/>
    <n v="19.826086956521738"/>
    <n v="6"/>
  </r>
  <r>
    <s v="BAKERY PRODUCTS"/>
    <x v="0"/>
    <x v="39"/>
    <x v="39"/>
    <x v="31"/>
    <x v="36"/>
    <x v="17"/>
    <x v="21"/>
    <n v="0"/>
    <n v="0"/>
    <n v="0"/>
    <x v="1"/>
    <x v="1"/>
    <n v="3.3043478260869565"/>
    <n v="1"/>
  </r>
  <r>
    <s v="BAKERY PRODUCTS"/>
    <x v="0"/>
    <x v="39"/>
    <x v="39"/>
    <x v="31"/>
    <x v="36"/>
    <x v="17"/>
    <x v="21"/>
    <n v="0"/>
    <n v="0"/>
    <n v="0"/>
    <x v="2"/>
    <x v="2"/>
    <n v="23.130434782608695"/>
    <n v="7"/>
  </r>
  <r>
    <s v="BAKERY PRODUCTS"/>
    <x v="0"/>
    <x v="40"/>
    <x v="40"/>
    <x v="13"/>
    <x v="37"/>
    <x v="17"/>
    <x v="21"/>
    <n v="0"/>
    <n v="0"/>
    <n v="0"/>
    <x v="1"/>
    <x v="1"/>
    <n v="130.34782608695653"/>
    <n v="10"/>
  </r>
  <r>
    <s v="BAKERY PRODUCTS"/>
    <x v="0"/>
    <x v="40"/>
    <x v="40"/>
    <x v="13"/>
    <x v="37"/>
    <x v="17"/>
    <x v="21"/>
    <n v="0"/>
    <n v="0"/>
    <n v="0"/>
    <x v="2"/>
    <x v="2"/>
    <n v="37.799999999999997"/>
    <n v="3"/>
  </r>
  <r>
    <s v="BAKERY PRODUCTS"/>
    <x v="0"/>
    <x v="40"/>
    <x v="40"/>
    <x v="13"/>
    <x v="37"/>
    <x v="17"/>
    <x v="21"/>
    <n v="0"/>
    <n v="0"/>
    <n v="0"/>
    <x v="3"/>
    <x v="3"/>
    <n v="65.173913043478265"/>
    <n v="5"/>
  </r>
  <r>
    <s v="BAKERY PRODUCTS"/>
    <x v="0"/>
    <x v="41"/>
    <x v="41"/>
    <x v="28"/>
    <x v="38"/>
    <x v="17"/>
    <x v="21"/>
    <n v="0"/>
    <n v="0"/>
    <n v="0"/>
    <x v="2"/>
    <x v="2"/>
    <n v="26.078260869565216"/>
    <n v="1"/>
  </r>
  <r>
    <s v="BAKERY PRODUCTS"/>
    <x v="0"/>
    <x v="41"/>
    <x v="41"/>
    <x v="28"/>
    <x v="38"/>
    <x v="17"/>
    <x v="21"/>
    <n v="0"/>
    <n v="0"/>
    <n v="0"/>
    <x v="3"/>
    <x v="3"/>
    <n v="104.31304347826087"/>
    <n v="4"/>
  </r>
  <r>
    <s v="BAKERY PRODUCTS"/>
    <x v="0"/>
    <x v="42"/>
    <x v="42"/>
    <x v="22"/>
    <x v="39"/>
    <x v="17"/>
    <x v="21"/>
    <n v="0"/>
    <n v="0"/>
    <n v="0"/>
    <x v="0"/>
    <x v="0"/>
    <n v="70.408695652173918"/>
    <n v="3"/>
  </r>
  <r>
    <s v="BAKERY PRODUCTS"/>
    <x v="0"/>
    <x v="42"/>
    <x v="42"/>
    <x v="22"/>
    <x v="39"/>
    <x v="17"/>
    <x v="21"/>
    <n v="0"/>
    <n v="0"/>
    <n v="0"/>
    <x v="1"/>
    <x v="1"/>
    <n v="70.408695652173918"/>
    <n v="3"/>
  </r>
  <r>
    <s v="BAKERY PRODUCTS"/>
    <x v="0"/>
    <x v="42"/>
    <x v="42"/>
    <x v="22"/>
    <x v="39"/>
    <x v="17"/>
    <x v="21"/>
    <n v="0"/>
    <n v="0"/>
    <n v="0"/>
    <x v="2"/>
    <x v="2"/>
    <n v="70.408695652173918"/>
    <n v="3"/>
  </r>
  <r>
    <s v="BAKERY PRODUCTS"/>
    <x v="0"/>
    <x v="43"/>
    <x v="43"/>
    <x v="7"/>
    <x v="40"/>
    <x v="17"/>
    <x v="21"/>
    <n v="0"/>
    <n v="0"/>
    <n v="0"/>
    <x v="0"/>
    <x v="0"/>
    <n v="121.67826086956522"/>
    <n v="7"/>
  </r>
  <r>
    <s v="BAKERY PRODUCTS"/>
    <x v="0"/>
    <x v="43"/>
    <x v="43"/>
    <x v="7"/>
    <x v="40"/>
    <x v="17"/>
    <x v="21"/>
    <n v="0"/>
    <n v="0"/>
    <n v="0"/>
    <x v="1"/>
    <x v="1"/>
    <n v="52.14782608695652"/>
    <n v="3"/>
  </r>
  <r>
    <s v="BAKERY PRODUCTS"/>
    <x v="0"/>
    <x v="43"/>
    <x v="43"/>
    <x v="7"/>
    <x v="40"/>
    <x v="17"/>
    <x v="21"/>
    <n v="0"/>
    <n v="0"/>
    <n v="0"/>
    <x v="2"/>
    <x v="2"/>
    <n v="34.765217391304347"/>
    <n v="2"/>
  </r>
  <r>
    <s v="BAKERY PRODUCTS"/>
    <x v="0"/>
    <x v="43"/>
    <x v="43"/>
    <x v="7"/>
    <x v="40"/>
    <x v="17"/>
    <x v="21"/>
    <n v="0"/>
    <n v="0"/>
    <n v="0"/>
    <x v="3"/>
    <x v="3"/>
    <n v="52.14782608695652"/>
    <n v="3"/>
  </r>
  <r>
    <s v="SPAR WESTERN CAPE"/>
    <x v="0"/>
    <x v="44"/>
    <x v="44"/>
    <x v="12"/>
    <x v="41"/>
    <x v="17"/>
    <x v="21"/>
    <n v="0"/>
    <n v="0"/>
    <n v="0"/>
    <x v="3"/>
    <x v="3"/>
    <n v="19.121739130434783"/>
    <n v="1"/>
  </r>
  <r>
    <s v="SPAR WESTERN CAPE"/>
    <x v="0"/>
    <x v="45"/>
    <x v="45"/>
    <x v="32"/>
    <x v="42"/>
    <x v="17"/>
    <x v="21"/>
    <n v="0"/>
    <n v="0"/>
    <n v="0"/>
    <x v="0"/>
    <x v="0"/>
    <n v="43.469565217391306"/>
    <n v="1"/>
  </r>
  <r>
    <s v="SPAR WESTERN CAPE"/>
    <x v="0"/>
    <x v="45"/>
    <x v="45"/>
    <x v="32"/>
    <x v="42"/>
    <x v="17"/>
    <x v="21"/>
    <n v="0"/>
    <n v="0"/>
    <n v="0"/>
    <x v="1"/>
    <x v="1"/>
    <n v="86.939130434782612"/>
    <n v="2"/>
  </r>
  <r>
    <s v="SPAR WESTERN CAPE"/>
    <x v="0"/>
    <x v="46"/>
    <x v="46"/>
    <x v="33"/>
    <x v="43"/>
    <x v="17"/>
    <x v="21"/>
    <n v="0"/>
    <n v="0"/>
    <n v="0"/>
    <x v="2"/>
    <x v="2"/>
    <n v="165.20869565217393"/>
    <n v="1"/>
  </r>
  <r>
    <s v="SPAR WESTERN CAPE"/>
    <x v="0"/>
    <x v="47"/>
    <x v="47"/>
    <x v="19"/>
    <x v="44"/>
    <x v="17"/>
    <x v="21"/>
    <n v="0"/>
    <n v="0"/>
    <n v="0"/>
    <x v="1"/>
    <x v="1"/>
    <n v="60.860869565217385"/>
    <n v="1"/>
  </r>
  <r>
    <s v="BAKERY PRODUCTS"/>
    <x v="0"/>
    <x v="48"/>
    <x v="48"/>
    <x v="22"/>
    <x v="45"/>
    <x v="17"/>
    <x v="21"/>
    <n v="0"/>
    <n v="0"/>
    <n v="0"/>
    <x v="0"/>
    <x v="0"/>
    <n v="70.408695652173918"/>
    <n v="3"/>
  </r>
  <r>
    <s v="BAKERY PRODUCTS"/>
    <x v="0"/>
    <x v="48"/>
    <x v="48"/>
    <x v="22"/>
    <x v="45"/>
    <x v="17"/>
    <x v="21"/>
    <n v="0"/>
    <n v="0"/>
    <n v="0"/>
    <x v="2"/>
    <x v="2"/>
    <n v="91.530434782608694"/>
    <n v="4"/>
  </r>
  <r>
    <s v="BAKERY PRODUCTS"/>
    <x v="0"/>
    <x v="48"/>
    <x v="48"/>
    <x v="22"/>
    <x v="45"/>
    <x v="17"/>
    <x v="21"/>
    <n v="0"/>
    <n v="0"/>
    <n v="0"/>
    <x v="3"/>
    <x v="3"/>
    <n v="23.469565217391303"/>
    <n v="1"/>
  </r>
  <r>
    <s v="SPAR WESTERN CAPE"/>
    <x v="0"/>
    <x v="49"/>
    <x v="49"/>
    <x v="19"/>
    <x v="22"/>
    <x v="17"/>
    <x v="21"/>
    <n v="0"/>
    <n v="0"/>
    <n v="0"/>
    <x v="2"/>
    <x v="2"/>
    <n v="57.817391304347822"/>
    <n v="1"/>
  </r>
  <r>
    <s v="SPAR WESTERN CAPE"/>
    <x v="0"/>
    <x v="50"/>
    <x v="50"/>
    <x v="34"/>
    <x v="46"/>
    <x v="17"/>
    <x v="21"/>
    <n v="0"/>
    <n v="0"/>
    <n v="0"/>
    <x v="0"/>
    <x v="0"/>
    <n v="74.765217391304347"/>
    <n v="2"/>
  </r>
  <r>
    <s v="SPAR WESTERN CAPE"/>
    <x v="0"/>
    <x v="50"/>
    <x v="50"/>
    <x v="34"/>
    <x v="46"/>
    <x v="17"/>
    <x v="21"/>
    <n v="0"/>
    <n v="0"/>
    <n v="0"/>
    <x v="2"/>
    <x v="2"/>
    <n v="37.382608695652173"/>
    <n v="1"/>
  </r>
  <r>
    <s v="SPAR WESTERN CAPE"/>
    <x v="0"/>
    <x v="51"/>
    <x v="51"/>
    <x v="32"/>
    <x v="47"/>
    <x v="17"/>
    <x v="21"/>
    <n v="0"/>
    <n v="0"/>
    <n v="0"/>
    <x v="2"/>
    <x v="2"/>
    <n v="82.591304347826096"/>
    <n v="2"/>
  </r>
  <r>
    <s v="SPAR WESTERN CAPE"/>
    <x v="0"/>
    <x v="51"/>
    <x v="51"/>
    <x v="32"/>
    <x v="47"/>
    <x v="17"/>
    <x v="21"/>
    <n v="0"/>
    <n v="0"/>
    <n v="0"/>
    <x v="3"/>
    <x v="3"/>
    <n v="173.87826086956522"/>
    <n v="4"/>
  </r>
  <r>
    <s v="BAKERY PRODUCTS"/>
    <x v="1"/>
    <x v="52"/>
    <x v="52"/>
    <x v="35"/>
    <x v="48"/>
    <x v="18"/>
    <x v="22"/>
    <n v="3231.21"/>
    <n v="3582.66"/>
    <n v="52.578930915911229"/>
    <x v="0"/>
    <x v="0"/>
    <n v="194.04347826086956"/>
    <n v="7"/>
  </r>
  <r>
    <s v="BAKERY PRODUCTS"/>
    <x v="1"/>
    <x v="52"/>
    <x v="52"/>
    <x v="35"/>
    <x v="48"/>
    <x v="18"/>
    <x v="22"/>
    <n v="3231.21"/>
    <n v="3582.66"/>
    <n v="52.578930915911229"/>
    <x v="1"/>
    <x v="1"/>
    <n v="133.09565217391304"/>
    <n v="5"/>
  </r>
  <r>
    <s v="BAKERY PRODUCTS"/>
    <x v="1"/>
    <x v="52"/>
    <x v="52"/>
    <x v="35"/>
    <x v="48"/>
    <x v="18"/>
    <x v="22"/>
    <n v="3231.21"/>
    <n v="3582.66"/>
    <n v="52.578930915911229"/>
    <x v="2"/>
    <x v="2"/>
    <n v="359.66956521739132"/>
    <n v="13"/>
  </r>
  <r>
    <s v="BAKERY PRODUCTS"/>
    <x v="1"/>
    <x v="52"/>
    <x v="52"/>
    <x v="35"/>
    <x v="48"/>
    <x v="18"/>
    <x v="22"/>
    <n v="3231.21"/>
    <n v="3582.66"/>
    <n v="52.578930915911229"/>
    <x v="3"/>
    <x v="3"/>
    <n v="127.41739130434783"/>
    <n v="5"/>
  </r>
  <r>
    <s v="BAKERY PRODUCTS"/>
    <x v="1"/>
    <x v="53"/>
    <x v="53"/>
    <x v="36"/>
    <x v="49"/>
    <x v="19"/>
    <x v="23"/>
    <n v="192.64"/>
    <n v="191.04000000000002"/>
    <n v="49.791492910758976"/>
    <x v="0"/>
    <x v="0"/>
    <n v="125.11304347826086"/>
    <n v="12"/>
  </r>
  <r>
    <s v="BAKERY PRODUCTS"/>
    <x v="1"/>
    <x v="53"/>
    <x v="53"/>
    <x v="36"/>
    <x v="49"/>
    <x v="19"/>
    <x v="23"/>
    <n v="192.64"/>
    <n v="191.04000000000002"/>
    <n v="49.791492910758976"/>
    <x v="1"/>
    <x v="1"/>
    <n v="93.834782608695647"/>
    <n v="9"/>
  </r>
  <r>
    <s v="BAKERY PRODUCTS"/>
    <x v="1"/>
    <x v="53"/>
    <x v="53"/>
    <x v="36"/>
    <x v="49"/>
    <x v="19"/>
    <x v="23"/>
    <n v="192.64"/>
    <n v="191.04000000000002"/>
    <n v="49.791492910758976"/>
    <x v="2"/>
    <x v="2"/>
    <n v="83.408695652173918"/>
    <n v="8"/>
  </r>
  <r>
    <s v="BAKERY PRODUCTS"/>
    <x v="1"/>
    <x v="53"/>
    <x v="53"/>
    <x v="36"/>
    <x v="49"/>
    <x v="19"/>
    <x v="23"/>
    <n v="192.64"/>
    <n v="191.04000000000002"/>
    <n v="49.791492910758976"/>
    <x v="3"/>
    <x v="3"/>
    <n v="145.96521739130435"/>
    <n v="14"/>
  </r>
  <r>
    <s v="BAKERY PRODUCTS"/>
    <x v="1"/>
    <x v="54"/>
    <x v="54"/>
    <x v="37"/>
    <x v="50"/>
    <x v="14"/>
    <x v="24"/>
    <n v="122.16"/>
    <n v="117.84"/>
    <n v="49.1"/>
    <x v="1"/>
    <x v="1"/>
    <n v="147.82608695652175"/>
    <n v="17"/>
  </r>
  <r>
    <s v="BAKERY PRODUCTS"/>
    <x v="1"/>
    <x v="54"/>
    <x v="54"/>
    <x v="37"/>
    <x v="50"/>
    <x v="14"/>
    <x v="24"/>
    <n v="122.16"/>
    <n v="117.84"/>
    <n v="49.1"/>
    <x v="2"/>
    <x v="2"/>
    <n v="164.78260869565219"/>
    <n v="19"/>
  </r>
  <r>
    <s v="BAKERY PRODUCTS"/>
    <x v="1"/>
    <x v="54"/>
    <x v="54"/>
    <x v="37"/>
    <x v="50"/>
    <x v="14"/>
    <x v="24"/>
    <n v="122.16"/>
    <n v="117.84"/>
    <n v="49.1"/>
    <x v="3"/>
    <x v="3"/>
    <n v="69.565217391304344"/>
    <n v="8"/>
  </r>
  <r>
    <s v="BAKERY PRODUCTS"/>
    <x v="1"/>
    <x v="55"/>
    <x v="55"/>
    <x v="18"/>
    <x v="51"/>
    <x v="20"/>
    <x v="25"/>
    <n v="131.52000000000001"/>
    <n v="124.32"/>
    <n v="48.592870544090054"/>
    <x v="0"/>
    <x v="0"/>
    <n v="278.08695652173913"/>
    <n v="20"/>
  </r>
  <r>
    <s v="BAKERY PRODUCTS"/>
    <x v="1"/>
    <x v="55"/>
    <x v="55"/>
    <x v="18"/>
    <x v="51"/>
    <x v="20"/>
    <x v="25"/>
    <n v="131.52000000000001"/>
    <n v="124.32"/>
    <n v="48.592870544090054"/>
    <x v="1"/>
    <x v="1"/>
    <n v="97.330434782608705"/>
    <n v="7"/>
  </r>
  <r>
    <s v="BAKERY PRODUCTS"/>
    <x v="1"/>
    <x v="55"/>
    <x v="55"/>
    <x v="18"/>
    <x v="51"/>
    <x v="20"/>
    <x v="25"/>
    <n v="131.52000000000001"/>
    <n v="124.32"/>
    <n v="48.592870544090054"/>
    <x v="2"/>
    <x v="2"/>
    <n v="97.330434782608705"/>
    <n v="7"/>
  </r>
  <r>
    <s v="BAKERY PRODUCTS"/>
    <x v="1"/>
    <x v="55"/>
    <x v="55"/>
    <x v="18"/>
    <x v="51"/>
    <x v="20"/>
    <x v="25"/>
    <n v="131.52000000000001"/>
    <n v="124.32"/>
    <n v="48.592870544090054"/>
    <x v="3"/>
    <x v="3"/>
    <n v="139.04347826086956"/>
    <n v="10"/>
  </r>
  <r>
    <s v="BAKERY PRODUCTS"/>
    <x v="1"/>
    <x v="56"/>
    <x v="56"/>
    <x v="7"/>
    <x v="52"/>
    <x v="20"/>
    <x v="26"/>
    <n v="173.6"/>
    <n v="146.23999999999998"/>
    <n v="45.722861430715355"/>
    <x v="0"/>
    <x v="0"/>
    <n v="121.67826086956522"/>
    <n v="7"/>
  </r>
  <r>
    <s v="BAKERY PRODUCTS"/>
    <x v="1"/>
    <x v="56"/>
    <x v="56"/>
    <x v="7"/>
    <x v="52"/>
    <x v="20"/>
    <x v="26"/>
    <n v="173.6"/>
    <n v="146.23999999999998"/>
    <n v="45.722861430715355"/>
    <x v="1"/>
    <x v="1"/>
    <n v="173.82608695652175"/>
    <n v="10"/>
  </r>
  <r>
    <s v="BAKERY PRODUCTS"/>
    <x v="1"/>
    <x v="56"/>
    <x v="56"/>
    <x v="7"/>
    <x v="52"/>
    <x v="20"/>
    <x v="26"/>
    <n v="173.6"/>
    <n v="146.23999999999998"/>
    <n v="45.722861430715355"/>
    <x v="2"/>
    <x v="2"/>
    <n v="86.043478260869563"/>
    <n v="5"/>
  </r>
  <r>
    <s v="BAKERY PRODUCTS"/>
    <x v="1"/>
    <x v="56"/>
    <x v="56"/>
    <x v="7"/>
    <x v="52"/>
    <x v="20"/>
    <x v="26"/>
    <n v="173.6"/>
    <n v="146.23999999999998"/>
    <n v="45.722861430715355"/>
    <x v="3"/>
    <x v="3"/>
    <n v="191.2086956521739"/>
    <n v="11"/>
  </r>
  <r>
    <s v="BAKERY PRODUCTS"/>
    <x v="1"/>
    <x v="57"/>
    <x v="57"/>
    <x v="14"/>
    <x v="53"/>
    <x v="21"/>
    <x v="27"/>
    <n v="51.84"/>
    <n v="20.039999999999992"/>
    <n v="27.879799666110173"/>
    <x v="0"/>
    <x v="0"/>
    <n v="72.921739130434787"/>
    <n v="14"/>
  </r>
  <r>
    <s v="BAKERY PRODUCTS"/>
    <x v="1"/>
    <x v="57"/>
    <x v="57"/>
    <x v="14"/>
    <x v="53"/>
    <x v="21"/>
    <x v="27"/>
    <n v="51.84"/>
    <n v="20.039999999999992"/>
    <n v="27.879799666110173"/>
    <x v="1"/>
    <x v="1"/>
    <n v="67.713043478260872"/>
    <n v="13"/>
  </r>
  <r>
    <s v="BAKERY PRODUCTS"/>
    <x v="1"/>
    <x v="57"/>
    <x v="57"/>
    <x v="14"/>
    <x v="53"/>
    <x v="21"/>
    <x v="27"/>
    <n v="51.84"/>
    <n v="20.039999999999992"/>
    <n v="27.879799666110173"/>
    <x v="2"/>
    <x v="2"/>
    <n v="83.339130434782618"/>
    <n v="16"/>
  </r>
  <r>
    <s v="BAKERY PRODUCTS"/>
    <x v="1"/>
    <x v="57"/>
    <x v="57"/>
    <x v="14"/>
    <x v="53"/>
    <x v="21"/>
    <x v="27"/>
    <n v="51.84"/>
    <n v="20.039999999999992"/>
    <n v="27.879799666110173"/>
    <x v="3"/>
    <x v="3"/>
    <n v="83.339130434782618"/>
    <n v="16"/>
  </r>
  <r>
    <s v="BAKERY PRODUCTS"/>
    <x v="1"/>
    <x v="58"/>
    <x v="58"/>
    <x v="37"/>
    <x v="54"/>
    <x v="21"/>
    <x v="28"/>
    <n v="41.160000000000004"/>
    <n v="78.84"/>
    <n v="65.7"/>
    <x v="0"/>
    <x v="0"/>
    <n v="26.086956521739129"/>
    <n v="3"/>
  </r>
  <r>
    <s v="BAKERY PRODUCTS"/>
    <x v="1"/>
    <x v="58"/>
    <x v="58"/>
    <x v="37"/>
    <x v="54"/>
    <x v="21"/>
    <x v="28"/>
    <n v="41.160000000000004"/>
    <n v="78.84"/>
    <n v="65.7"/>
    <x v="2"/>
    <x v="2"/>
    <n v="8.695652173913043"/>
    <n v="1"/>
  </r>
  <r>
    <s v="BAKE IT EASY"/>
    <x v="1"/>
    <x v="59"/>
    <x v="59"/>
    <x v="36"/>
    <x v="55"/>
    <x v="22"/>
    <x v="29"/>
    <n v="49.68"/>
    <n v="70.22"/>
    <n v="58.565471226021678"/>
    <x v="0"/>
    <x v="0"/>
    <n v="125.11304347826086"/>
    <n v="12"/>
  </r>
  <r>
    <s v="BAKE IT EASY"/>
    <x v="1"/>
    <x v="59"/>
    <x v="59"/>
    <x v="36"/>
    <x v="55"/>
    <x v="22"/>
    <x v="29"/>
    <n v="49.68"/>
    <n v="70.22"/>
    <n v="58.565471226021678"/>
    <x v="1"/>
    <x v="1"/>
    <n v="72.982608695652175"/>
    <n v="7"/>
  </r>
  <r>
    <s v="BAKE IT EASY"/>
    <x v="1"/>
    <x v="59"/>
    <x v="59"/>
    <x v="36"/>
    <x v="55"/>
    <x v="22"/>
    <x v="29"/>
    <n v="49.68"/>
    <n v="70.22"/>
    <n v="58.565471226021678"/>
    <x v="2"/>
    <x v="2"/>
    <n v="83.408695652173918"/>
    <n v="8"/>
  </r>
  <r>
    <s v="BAKE IT EASY"/>
    <x v="1"/>
    <x v="59"/>
    <x v="59"/>
    <x v="36"/>
    <x v="55"/>
    <x v="22"/>
    <x v="29"/>
    <n v="49.68"/>
    <n v="70.22"/>
    <n v="58.565471226021678"/>
    <x v="3"/>
    <x v="3"/>
    <n v="104.26086956521739"/>
    <n v="10"/>
  </r>
  <r>
    <s v="BAKERY PRODUCTS"/>
    <x v="1"/>
    <x v="60"/>
    <x v="60"/>
    <x v="37"/>
    <x v="56"/>
    <x v="22"/>
    <x v="30"/>
    <n v="26.7"/>
    <n v="73.3"/>
    <n v="73.3"/>
    <x v="0"/>
    <x v="0"/>
    <n v="104.34782608695652"/>
    <n v="12"/>
  </r>
  <r>
    <s v="BAKERY PRODUCTS"/>
    <x v="1"/>
    <x v="61"/>
    <x v="61"/>
    <x v="38"/>
    <x v="57"/>
    <x v="15"/>
    <x v="31"/>
    <n v="73.040000000000006"/>
    <n v="78.879999999999981"/>
    <n v="51.922064244339118"/>
    <x v="2"/>
    <x v="2"/>
    <n v="115.5913043478261"/>
    <n v="7"/>
  </r>
  <r>
    <s v="BAKERY PRODUCTS"/>
    <x v="1"/>
    <x v="61"/>
    <x v="61"/>
    <x v="38"/>
    <x v="57"/>
    <x v="15"/>
    <x v="31"/>
    <n v="73.040000000000006"/>
    <n v="78.879999999999981"/>
    <n v="51.922064244339118"/>
    <x v="3"/>
    <x v="3"/>
    <n v="280.7217391304348"/>
    <n v="17"/>
  </r>
  <r>
    <s v="BAKERY PRODUCTS"/>
    <x v="1"/>
    <x v="62"/>
    <x v="62"/>
    <x v="28"/>
    <x v="58"/>
    <x v="15"/>
    <x v="32"/>
    <n v="94.32"/>
    <n v="145.6"/>
    <n v="60.686895631877292"/>
    <x v="0"/>
    <x v="0"/>
    <n v="69.547826086956519"/>
    <n v="2"/>
  </r>
  <r>
    <s v="BAKERY PRODUCTS"/>
    <x v="1"/>
    <x v="62"/>
    <x v="62"/>
    <x v="28"/>
    <x v="58"/>
    <x v="15"/>
    <x v="32"/>
    <n v="94.32"/>
    <n v="145.6"/>
    <n v="60.686895631877292"/>
    <x v="2"/>
    <x v="2"/>
    <n v="206.01739130434783"/>
    <n v="8"/>
  </r>
  <r>
    <s v="BAKERY PRODUCTS"/>
    <x v="1"/>
    <x v="62"/>
    <x v="62"/>
    <x v="28"/>
    <x v="58"/>
    <x v="15"/>
    <x v="32"/>
    <n v="94.32"/>
    <n v="145.6"/>
    <n v="60.686895631877292"/>
    <x v="3"/>
    <x v="3"/>
    <n v="286.8608695652174"/>
    <n v="11"/>
  </r>
  <r>
    <s v="BAKERY PRODUCTS"/>
    <x v="1"/>
    <x v="63"/>
    <x v="63"/>
    <x v="9"/>
    <x v="59"/>
    <x v="15"/>
    <x v="33"/>
    <n v="72.959999999999994"/>
    <n v="70.959999999999994"/>
    <n v="49.305169538632576"/>
    <x v="0"/>
    <x v="0"/>
    <n v="140.7913043478261"/>
    <n v="9"/>
  </r>
  <r>
    <s v="BAKERY PRODUCTS"/>
    <x v="1"/>
    <x v="63"/>
    <x v="63"/>
    <x v="9"/>
    <x v="59"/>
    <x v="15"/>
    <x v="33"/>
    <n v="72.959999999999994"/>
    <n v="70.959999999999994"/>
    <n v="49.305169538632576"/>
    <x v="3"/>
    <x v="3"/>
    <n v="46.930434782608693"/>
    <n v="3"/>
  </r>
  <r>
    <s v="BAKERY PRODUCTS"/>
    <x v="1"/>
    <x v="64"/>
    <x v="64"/>
    <x v="27"/>
    <x v="60"/>
    <x v="16"/>
    <x v="34"/>
    <n v="40.619999999999997"/>
    <n v="37.32"/>
    <n v="47.882986913010015"/>
    <x v="0"/>
    <x v="0"/>
    <n v="67.77391304347826"/>
    <n v="6"/>
  </r>
  <r>
    <s v="BAKERY PRODUCTS"/>
    <x v="1"/>
    <x v="64"/>
    <x v="64"/>
    <x v="27"/>
    <x v="60"/>
    <x v="16"/>
    <x v="34"/>
    <n v="40.619999999999997"/>
    <n v="37.32"/>
    <n v="47.882986913010015"/>
    <x v="1"/>
    <x v="1"/>
    <n v="22.591304347826089"/>
    <n v="2"/>
  </r>
  <r>
    <s v="BAKERY PRODUCTS"/>
    <x v="1"/>
    <x v="64"/>
    <x v="64"/>
    <x v="27"/>
    <x v="60"/>
    <x v="16"/>
    <x v="34"/>
    <n v="40.619999999999997"/>
    <n v="37.32"/>
    <n v="47.882986913010015"/>
    <x v="2"/>
    <x v="2"/>
    <n v="56.478260869565219"/>
    <n v="5"/>
  </r>
  <r>
    <s v="BAKERY PRODUCTS"/>
    <x v="1"/>
    <x v="64"/>
    <x v="64"/>
    <x v="27"/>
    <x v="60"/>
    <x v="16"/>
    <x v="34"/>
    <n v="40.619999999999997"/>
    <n v="37.32"/>
    <n v="47.882986913010015"/>
    <x v="3"/>
    <x v="3"/>
    <n v="33.88695652173913"/>
    <n v="3"/>
  </r>
  <r>
    <s v="BAKERY PRODUCTS"/>
    <x v="1"/>
    <x v="65"/>
    <x v="65"/>
    <x v="9"/>
    <x v="61"/>
    <x v="16"/>
    <x v="35"/>
    <n v="54.84"/>
    <n v="53.099999999999994"/>
    <n v="49.193996664813781"/>
    <x v="0"/>
    <x v="0"/>
    <n v="46.930434782608693"/>
    <n v="3"/>
  </r>
  <r>
    <s v="BAKERY PRODUCTS"/>
    <x v="1"/>
    <x v="65"/>
    <x v="65"/>
    <x v="9"/>
    <x v="61"/>
    <x v="16"/>
    <x v="35"/>
    <n v="54.84"/>
    <n v="53.099999999999994"/>
    <n v="49.193996664813781"/>
    <x v="1"/>
    <x v="1"/>
    <n v="31.286956521739128"/>
    <n v="2"/>
  </r>
  <r>
    <s v="BAKERY PRODUCTS"/>
    <x v="1"/>
    <x v="65"/>
    <x v="65"/>
    <x v="9"/>
    <x v="61"/>
    <x v="16"/>
    <x v="35"/>
    <n v="54.84"/>
    <n v="53.099999999999994"/>
    <n v="49.193996664813781"/>
    <x v="2"/>
    <x v="2"/>
    <n v="46.930434782608693"/>
    <n v="3"/>
  </r>
  <r>
    <s v="BAKERY PRODUCTS"/>
    <x v="1"/>
    <x v="65"/>
    <x v="65"/>
    <x v="9"/>
    <x v="61"/>
    <x v="16"/>
    <x v="35"/>
    <n v="54.84"/>
    <n v="53.099999999999994"/>
    <n v="49.193996664813781"/>
    <x v="3"/>
    <x v="3"/>
    <n v="15.643478260869564"/>
    <n v="1"/>
  </r>
  <r>
    <s v="GOOSEBUMPS DISTR.(BREAD STOP)"/>
    <x v="1"/>
    <x v="66"/>
    <x v="66"/>
    <x v="28"/>
    <x v="62"/>
    <x v="16"/>
    <x v="36"/>
    <n v="19.073333333333341"/>
    <n v="160.86666666666665"/>
    <n v="89.400170427179418"/>
    <x v="0"/>
    <x v="0"/>
    <n v="78.234782608695653"/>
    <n v="3"/>
  </r>
  <r>
    <s v="GOOSEBUMPS DISTR.(BREAD STOP)"/>
    <x v="1"/>
    <x v="66"/>
    <x v="66"/>
    <x v="28"/>
    <x v="62"/>
    <x v="16"/>
    <x v="36"/>
    <n v="19.073333333333341"/>
    <n v="160.86666666666665"/>
    <n v="89.400170427179418"/>
    <x v="1"/>
    <x v="1"/>
    <n v="26.078260869565216"/>
    <n v="1"/>
  </r>
  <r>
    <s v="GOOSEBUMPS DISTR.(BREAD STOP)"/>
    <x v="1"/>
    <x v="66"/>
    <x v="66"/>
    <x v="28"/>
    <x v="62"/>
    <x v="16"/>
    <x v="36"/>
    <n v="19.073333333333341"/>
    <n v="160.86666666666665"/>
    <n v="89.400170427179418"/>
    <x v="2"/>
    <x v="2"/>
    <n v="208.62608695652173"/>
    <n v="8"/>
  </r>
  <r>
    <s v="GOOSEBUMPS DISTR.(BREAD STOP)"/>
    <x v="1"/>
    <x v="66"/>
    <x v="66"/>
    <x v="28"/>
    <x v="62"/>
    <x v="16"/>
    <x v="36"/>
    <n v="19.073333333333341"/>
    <n v="160.86666666666665"/>
    <n v="89.400170427179418"/>
    <x v="3"/>
    <x v="3"/>
    <n v="156.46956521739131"/>
    <n v="6"/>
  </r>
  <r>
    <s v="BAKERY PRODUCTS"/>
    <x v="1"/>
    <x v="67"/>
    <x v="67"/>
    <x v="18"/>
    <x v="63"/>
    <x v="16"/>
    <x v="20"/>
    <n v="49.800000000000004"/>
    <n v="46.139999999999993"/>
    <n v="48.092557848655403"/>
    <x v="0"/>
    <x v="0"/>
    <n v="13.904347826086957"/>
    <n v="1"/>
  </r>
  <r>
    <s v="BAKERY PRODUCTS"/>
    <x v="1"/>
    <x v="67"/>
    <x v="67"/>
    <x v="18"/>
    <x v="63"/>
    <x v="16"/>
    <x v="20"/>
    <n v="49.800000000000004"/>
    <n v="46.139999999999993"/>
    <n v="48.092557848655403"/>
    <x v="1"/>
    <x v="1"/>
    <n v="13.904347826086957"/>
    <n v="1"/>
  </r>
  <r>
    <s v="BAKERY PRODUCTS"/>
    <x v="1"/>
    <x v="68"/>
    <x v="68"/>
    <x v="36"/>
    <x v="64"/>
    <x v="16"/>
    <x v="37"/>
    <n v="30.599999999999998"/>
    <n v="41.34"/>
    <n v="57.46455379482903"/>
    <x v="0"/>
    <x v="0"/>
    <n v="83.408695652173918"/>
    <n v="8"/>
  </r>
  <r>
    <s v="BAKERY PRODUCTS"/>
    <x v="1"/>
    <x v="68"/>
    <x v="68"/>
    <x v="36"/>
    <x v="64"/>
    <x v="16"/>
    <x v="37"/>
    <n v="30.599999999999998"/>
    <n v="41.34"/>
    <n v="57.46455379482903"/>
    <x v="1"/>
    <x v="1"/>
    <n v="52.130434782608695"/>
    <n v="5"/>
  </r>
  <r>
    <s v="BAKERY PRODUCTS"/>
    <x v="1"/>
    <x v="68"/>
    <x v="68"/>
    <x v="36"/>
    <x v="64"/>
    <x v="16"/>
    <x v="37"/>
    <n v="30.599999999999998"/>
    <n v="41.34"/>
    <n v="57.46455379482903"/>
    <x v="2"/>
    <x v="2"/>
    <n v="10.42608695652174"/>
    <n v="1"/>
  </r>
  <r>
    <s v="BAKERY PRODUCTS"/>
    <x v="1"/>
    <x v="69"/>
    <x v="69"/>
    <x v="37"/>
    <x v="65"/>
    <x v="17"/>
    <x v="21"/>
    <n v="0"/>
    <n v="0"/>
    <n v="0"/>
    <x v="2"/>
    <x v="2"/>
    <n v="52.173913043478258"/>
    <n v="6"/>
  </r>
  <r>
    <s v="BAKERY PRODUCTS"/>
    <x v="1"/>
    <x v="70"/>
    <x v="70"/>
    <x v="38"/>
    <x v="66"/>
    <x v="17"/>
    <x v="21"/>
    <n v="0"/>
    <n v="0"/>
    <n v="0"/>
    <x v="3"/>
    <x v="3"/>
    <n v="181.64347826086956"/>
    <n v="11"/>
  </r>
  <r>
    <s v="BAKERY PRODUCTS"/>
    <x v="1"/>
    <x v="71"/>
    <x v="71"/>
    <x v="17"/>
    <x v="67"/>
    <x v="17"/>
    <x v="21"/>
    <n v="0"/>
    <n v="0"/>
    <n v="0"/>
    <x v="3"/>
    <x v="3"/>
    <n v="86.921739130434773"/>
    <n v="4"/>
  </r>
  <r>
    <s v="BAKERY PRODUCTS"/>
    <x v="1"/>
    <x v="72"/>
    <x v="72"/>
    <x v="39"/>
    <x v="68"/>
    <x v="17"/>
    <x v="21"/>
    <n v="0"/>
    <n v="0"/>
    <n v="0"/>
    <x v="0"/>
    <x v="0"/>
    <n v="46.904347826086955"/>
    <n v="6"/>
  </r>
  <r>
    <s v="BAKERY PRODUCTS"/>
    <x v="1"/>
    <x v="72"/>
    <x v="72"/>
    <x v="39"/>
    <x v="68"/>
    <x v="17"/>
    <x v="21"/>
    <n v="0"/>
    <n v="0"/>
    <n v="0"/>
    <x v="1"/>
    <x v="1"/>
    <n v="62.539130434782606"/>
    <n v="8"/>
  </r>
  <r>
    <s v="BAKERY PRODUCTS"/>
    <x v="1"/>
    <x v="72"/>
    <x v="72"/>
    <x v="39"/>
    <x v="68"/>
    <x v="17"/>
    <x v="21"/>
    <n v="0"/>
    <n v="0"/>
    <n v="0"/>
    <x v="2"/>
    <x v="2"/>
    <n v="39.086956521739133"/>
    <n v="5"/>
  </r>
  <r>
    <s v="BAKERY PRODUCTS"/>
    <x v="1"/>
    <x v="72"/>
    <x v="72"/>
    <x v="39"/>
    <x v="68"/>
    <x v="17"/>
    <x v="21"/>
    <n v="0"/>
    <n v="0"/>
    <n v="0"/>
    <x v="3"/>
    <x v="3"/>
    <n v="109.44347826086957"/>
    <n v="14"/>
  </r>
  <r>
    <s v="BAKERY PRODUCTS"/>
    <x v="1"/>
    <x v="73"/>
    <x v="73"/>
    <x v="40"/>
    <x v="69"/>
    <x v="17"/>
    <x v="21"/>
    <n v="0"/>
    <n v="0"/>
    <n v="0"/>
    <x v="0"/>
    <x v="0"/>
    <n v="113.04347826086956"/>
    <n v="1"/>
  </r>
  <r>
    <s v="BAKERY PRODUCTS"/>
    <x v="1"/>
    <x v="73"/>
    <x v="73"/>
    <x v="40"/>
    <x v="69"/>
    <x v="17"/>
    <x v="21"/>
    <n v="0"/>
    <n v="0"/>
    <n v="0"/>
    <x v="2"/>
    <x v="2"/>
    <n v="113.04347826086956"/>
    <n v="1"/>
  </r>
  <r>
    <s v="ROSSOUW D"/>
    <x v="1"/>
    <x v="74"/>
    <x v="74"/>
    <x v="9"/>
    <x v="70"/>
    <x v="17"/>
    <x v="21"/>
    <n v="0"/>
    <n v="0"/>
    <n v="0"/>
    <x v="0"/>
    <x v="0"/>
    <n v="78.217391304347828"/>
    <n v="5"/>
  </r>
  <r>
    <s v="ROSSOUW D"/>
    <x v="1"/>
    <x v="74"/>
    <x v="74"/>
    <x v="9"/>
    <x v="70"/>
    <x v="17"/>
    <x v="21"/>
    <n v="0"/>
    <n v="0"/>
    <n v="0"/>
    <x v="1"/>
    <x v="1"/>
    <n v="62.573913043478257"/>
    <n v="4"/>
  </r>
  <r>
    <s v="ROSSOUW D"/>
    <x v="1"/>
    <x v="74"/>
    <x v="74"/>
    <x v="9"/>
    <x v="70"/>
    <x v="17"/>
    <x v="21"/>
    <n v="0"/>
    <n v="0"/>
    <n v="0"/>
    <x v="2"/>
    <x v="2"/>
    <n v="15.643478260869564"/>
    <n v="1"/>
  </r>
  <r>
    <s v="ROSSOUW D"/>
    <x v="1"/>
    <x v="74"/>
    <x v="74"/>
    <x v="9"/>
    <x v="70"/>
    <x v="17"/>
    <x v="21"/>
    <n v="0"/>
    <n v="0"/>
    <n v="0"/>
    <x v="3"/>
    <x v="3"/>
    <n v="93.860869565217385"/>
    <n v="6"/>
  </r>
  <r>
    <s v="ROSSOUW D"/>
    <x v="1"/>
    <x v="75"/>
    <x v="75"/>
    <x v="41"/>
    <x v="71"/>
    <x v="17"/>
    <x v="21"/>
    <n v="0"/>
    <n v="0"/>
    <n v="0"/>
    <x v="1"/>
    <x v="1"/>
    <n v="34.747826086956522"/>
    <n v="4"/>
  </r>
  <r>
    <s v="ROSSOUW D"/>
    <x v="1"/>
    <x v="75"/>
    <x v="75"/>
    <x v="41"/>
    <x v="71"/>
    <x v="17"/>
    <x v="21"/>
    <n v="0"/>
    <n v="0"/>
    <n v="0"/>
    <x v="2"/>
    <x v="2"/>
    <n v="43.434782608695656"/>
    <n v="5"/>
  </r>
  <r>
    <s v="ROSSOUW D"/>
    <x v="1"/>
    <x v="75"/>
    <x v="75"/>
    <x v="41"/>
    <x v="71"/>
    <x v="17"/>
    <x v="21"/>
    <n v="0"/>
    <n v="0"/>
    <n v="0"/>
    <x v="3"/>
    <x v="3"/>
    <n v="17.373913043478261"/>
    <n v="2"/>
  </r>
  <r>
    <s v="CHIPKINS PURATOS (BIDVEST SOL)"/>
    <x v="1"/>
    <x v="76"/>
    <x v="76"/>
    <x v="42"/>
    <x v="72"/>
    <x v="17"/>
    <x v="21"/>
    <n v="0"/>
    <n v="0"/>
    <n v="0"/>
    <x v="0"/>
    <x v="0"/>
    <n v="41.634782608695652"/>
    <n v="12"/>
  </r>
  <r>
    <s v="BAKERY PRODUCTS"/>
    <x v="1"/>
    <x v="77"/>
    <x v="77"/>
    <x v="14"/>
    <x v="73"/>
    <x v="17"/>
    <x v="21"/>
    <n v="0"/>
    <n v="0"/>
    <n v="0"/>
    <x v="1"/>
    <x v="1"/>
    <n v="15.626086956521739"/>
    <n v="3"/>
  </r>
  <r>
    <s v="BAKERY PRODUCTS"/>
    <x v="1"/>
    <x v="78"/>
    <x v="78"/>
    <x v="13"/>
    <x v="74"/>
    <x v="17"/>
    <x v="21"/>
    <n v="0"/>
    <n v="0"/>
    <n v="0"/>
    <x v="1"/>
    <x v="1"/>
    <n v="26.069565217391304"/>
    <n v="2"/>
  </r>
  <r>
    <s v="BAKERY PRODUCTS"/>
    <x v="1"/>
    <x v="78"/>
    <x v="78"/>
    <x v="13"/>
    <x v="74"/>
    <x v="17"/>
    <x v="21"/>
    <n v="0"/>
    <n v="0"/>
    <n v="0"/>
    <x v="2"/>
    <x v="2"/>
    <n v="13.034782608695652"/>
    <n v="1"/>
  </r>
  <r>
    <s v="BAKERY PRODUCTS"/>
    <x v="1"/>
    <x v="78"/>
    <x v="78"/>
    <x v="13"/>
    <x v="74"/>
    <x v="17"/>
    <x v="21"/>
    <n v="0"/>
    <n v="0"/>
    <n v="0"/>
    <x v="3"/>
    <x v="3"/>
    <n v="104.27826086956522"/>
    <n v="8"/>
  </r>
  <r>
    <s v="BAKERY PRODUCTS"/>
    <x v="1"/>
    <x v="79"/>
    <x v="79"/>
    <x v="7"/>
    <x v="75"/>
    <x v="17"/>
    <x v="21"/>
    <n v="0"/>
    <n v="0"/>
    <n v="0"/>
    <x v="3"/>
    <x v="3"/>
    <n v="17.382608695652173"/>
    <n v="1"/>
  </r>
  <r>
    <s v="VECTOR LOG.(PTY)LTD GOOSEBUMPS"/>
    <x v="1"/>
    <x v="80"/>
    <x v="80"/>
    <x v="16"/>
    <x v="76"/>
    <x v="17"/>
    <x v="21"/>
    <n v="0"/>
    <n v="0"/>
    <n v="0"/>
    <x v="2"/>
    <x v="2"/>
    <n v="25.208695652173912"/>
    <n v="1"/>
  </r>
  <r>
    <s v="VECTOR LOG.(PTY)LTD GOOSEBUMPS"/>
    <x v="1"/>
    <x v="80"/>
    <x v="80"/>
    <x v="16"/>
    <x v="76"/>
    <x v="17"/>
    <x v="21"/>
    <n v="0"/>
    <n v="0"/>
    <n v="0"/>
    <x v="3"/>
    <x v="3"/>
    <n v="75.626086956521732"/>
    <n v="3"/>
  </r>
  <r>
    <s v="BAKERY PRODUCTS"/>
    <x v="1"/>
    <x v="81"/>
    <x v="81"/>
    <x v="41"/>
    <x v="77"/>
    <x v="17"/>
    <x v="21"/>
    <n v="0"/>
    <n v="0"/>
    <n v="0"/>
    <x v="1"/>
    <x v="1"/>
    <n v="43.434782608695656"/>
    <n v="5"/>
  </r>
  <r>
    <s v="BAKERY PRODUCTS"/>
    <x v="1"/>
    <x v="81"/>
    <x v="81"/>
    <x v="41"/>
    <x v="77"/>
    <x v="17"/>
    <x v="21"/>
    <n v="0"/>
    <n v="0"/>
    <n v="0"/>
    <x v="2"/>
    <x v="2"/>
    <n v="26.060869565217391"/>
    <n v="3"/>
  </r>
  <r>
    <s v="BAKERY PRODUCTS"/>
    <x v="1"/>
    <x v="82"/>
    <x v="82"/>
    <x v="6"/>
    <x v="78"/>
    <x v="17"/>
    <x v="21"/>
    <n v="0"/>
    <n v="0"/>
    <n v="0"/>
    <x v="2"/>
    <x v="2"/>
    <n v="21.469565217391306"/>
    <n v="1"/>
  </r>
  <r>
    <s v="BAKERY PRODUCTS"/>
    <x v="1"/>
    <x v="83"/>
    <x v="83"/>
    <x v="38"/>
    <x v="79"/>
    <x v="17"/>
    <x v="21"/>
    <n v="0"/>
    <n v="0"/>
    <n v="0"/>
    <x v="0"/>
    <x v="0"/>
    <n v="132.10434782608695"/>
    <n v="8"/>
  </r>
  <r>
    <s v="BAKERY PRODUCTS"/>
    <x v="1"/>
    <x v="83"/>
    <x v="83"/>
    <x v="38"/>
    <x v="79"/>
    <x v="17"/>
    <x v="21"/>
    <n v="0"/>
    <n v="0"/>
    <n v="0"/>
    <x v="1"/>
    <x v="1"/>
    <n v="132.10434782608695"/>
    <n v="8"/>
  </r>
  <r>
    <s v="BAKERY PRODUCTS"/>
    <x v="1"/>
    <x v="83"/>
    <x v="83"/>
    <x v="38"/>
    <x v="79"/>
    <x v="17"/>
    <x v="21"/>
    <n v="0"/>
    <n v="0"/>
    <n v="0"/>
    <x v="2"/>
    <x v="2"/>
    <n v="132.10434782608695"/>
    <n v="8"/>
  </r>
  <r>
    <s v="BAKERY PRODUCTS"/>
    <x v="1"/>
    <x v="83"/>
    <x v="83"/>
    <x v="38"/>
    <x v="79"/>
    <x v="17"/>
    <x v="21"/>
    <n v="0"/>
    <n v="0"/>
    <n v="0"/>
    <x v="3"/>
    <x v="3"/>
    <n v="115.5913043478261"/>
    <n v="7"/>
  </r>
  <r>
    <s v="VECTOR LOG.(PTY)LTD GOOSEBUMPS"/>
    <x v="1"/>
    <x v="84"/>
    <x v="84"/>
    <x v="10"/>
    <x v="80"/>
    <x v="17"/>
    <x v="21"/>
    <n v="0"/>
    <n v="0"/>
    <n v="0"/>
    <x v="1"/>
    <x v="1"/>
    <n v="33.03478260869565"/>
    <n v="1"/>
  </r>
  <r>
    <s v="VECTOR LOG.(PTY)LTD GOOSEBUMPS"/>
    <x v="1"/>
    <x v="84"/>
    <x v="84"/>
    <x v="10"/>
    <x v="80"/>
    <x v="17"/>
    <x v="21"/>
    <n v="0"/>
    <n v="0"/>
    <n v="0"/>
    <x v="2"/>
    <x v="2"/>
    <n v="66.0695652173913"/>
    <n v="2"/>
  </r>
  <r>
    <s v="ROSSOUW D"/>
    <x v="1"/>
    <x v="85"/>
    <x v="85"/>
    <x v="3"/>
    <x v="81"/>
    <x v="17"/>
    <x v="21"/>
    <n v="0"/>
    <n v="0"/>
    <n v="0"/>
    <x v="1"/>
    <x v="1"/>
    <n v="30.434782608695652"/>
    <n v="7"/>
  </r>
  <r>
    <s v="ROSSOUW D"/>
    <x v="1"/>
    <x v="85"/>
    <x v="85"/>
    <x v="3"/>
    <x v="81"/>
    <x v="17"/>
    <x v="21"/>
    <n v="0"/>
    <n v="0"/>
    <n v="0"/>
    <x v="2"/>
    <x v="2"/>
    <n v="99.565217391304344"/>
    <n v="23"/>
  </r>
  <r>
    <s v="ROSSOUW D"/>
    <x v="1"/>
    <x v="85"/>
    <x v="85"/>
    <x v="3"/>
    <x v="81"/>
    <x v="17"/>
    <x v="21"/>
    <n v="0"/>
    <n v="0"/>
    <n v="0"/>
    <x v="3"/>
    <x v="3"/>
    <n v="17.391304347826086"/>
    <n v="4"/>
  </r>
  <r>
    <s v="HMR"/>
    <x v="1"/>
    <x v="86"/>
    <x v="86"/>
    <x v="18"/>
    <x v="82"/>
    <x v="17"/>
    <x v="21"/>
    <n v="0"/>
    <n v="0"/>
    <n v="0"/>
    <x v="0"/>
    <x v="0"/>
    <n v="27.808695652173913"/>
    <n v="2"/>
  </r>
  <r>
    <s v="HMR"/>
    <x v="1"/>
    <x v="87"/>
    <x v="87"/>
    <x v="18"/>
    <x v="82"/>
    <x v="17"/>
    <x v="21"/>
    <n v="0"/>
    <n v="0"/>
    <n v="0"/>
    <x v="1"/>
    <x v="1"/>
    <n v="13.904347826086957"/>
    <n v="1"/>
  </r>
  <r>
    <s v="HMR"/>
    <x v="1"/>
    <x v="88"/>
    <x v="88"/>
    <x v="18"/>
    <x v="82"/>
    <x v="17"/>
    <x v="21"/>
    <n v="0"/>
    <n v="0"/>
    <n v="0"/>
    <x v="0"/>
    <x v="0"/>
    <n v="13.904347826086957"/>
    <n v="1"/>
  </r>
  <r>
    <s v="HMR"/>
    <x v="1"/>
    <x v="89"/>
    <x v="89"/>
    <x v="18"/>
    <x v="82"/>
    <x v="17"/>
    <x v="21"/>
    <n v="0"/>
    <n v="0"/>
    <n v="0"/>
    <x v="1"/>
    <x v="1"/>
    <n v="13.904347826086957"/>
    <n v="1"/>
  </r>
  <r>
    <s v="ROSSOUW D"/>
    <x v="1"/>
    <x v="90"/>
    <x v="90"/>
    <x v="2"/>
    <x v="83"/>
    <x v="17"/>
    <x v="21"/>
    <n v="0"/>
    <n v="0"/>
    <n v="0"/>
    <x v="0"/>
    <x v="0"/>
    <n v="14.77391304347826"/>
    <n v="1"/>
  </r>
  <r>
    <s v="BAKERY PRODUCTS"/>
    <x v="1"/>
    <x v="91"/>
    <x v="91"/>
    <x v="14"/>
    <x v="73"/>
    <x v="17"/>
    <x v="21"/>
    <n v="0"/>
    <n v="0"/>
    <n v="0"/>
    <x v="1"/>
    <x v="1"/>
    <n v="10.417391304347827"/>
    <n v="2"/>
  </r>
  <r>
    <s v="BAKERY PRODUCTS"/>
    <x v="1"/>
    <x v="91"/>
    <x v="91"/>
    <x v="14"/>
    <x v="73"/>
    <x v="17"/>
    <x v="21"/>
    <n v="0"/>
    <n v="0"/>
    <n v="0"/>
    <x v="2"/>
    <x v="2"/>
    <n v="20.834782608695654"/>
    <n v="4"/>
  </r>
  <r>
    <s v="BAKERY PRODUCTS"/>
    <x v="1"/>
    <x v="91"/>
    <x v="91"/>
    <x v="14"/>
    <x v="73"/>
    <x v="17"/>
    <x v="21"/>
    <n v="0"/>
    <n v="0"/>
    <n v="0"/>
    <x v="3"/>
    <x v="3"/>
    <n v="15.626086956521739"/>
    <n v="3"/>
  </r>
  <r>
    <s v="BAKERY PRODUCTS"/>
    <x v="1"/>
    <x v="92"/>
    <x v="92"/>
    <x v="37"/>
    <x v="84"/>
    <x v="17"/>
    <x v="21"/>
    <n v="0"/>
    <n v="0"/>
    <n v="0"/>
    <x v="3"/>
    <x v="3"/>
    <n v="8.695652173913043"/>
    <n v="1"/>
  </r>
  <r>
    <s v="SOUTHBAKELS (PTY) LTD"/>
    <x v="2"/>
    <x v="93"/>
    <x v="93"/>
    <x v="43"/>
    <x v="85"/>
    <x v="17"/>
    <x v="21"/>
    <n v="0"/>
    <n v="0"/>
    <n v="0"/>
    <x v="2"/>
    <x v="2"/>
    <n v="9.3652173913043484"/>
    <n v="0"/>
  </r>
  <r>
    <s v="SOUTHBAKELS (PTY) LTD"/>
    <x v="2"/>
    <x v="93"/>
    <x v="93"/>
    <x v="43"/>
    <x v="85"/>
    <x v="17"/>
    <x v="21"/>
    <n v="0"/>
    <n v="0"/>
    <n v="0"/>
    <x v="3"/>
    <x v="3"/>
    <n v="6.2434782608695647"/>
    <n v="0"/>
  </r>
  <r>
    <s v="ANCHOR YEAST(BULK BAKERY)"/>
    <x v="2"/>
    <x v="94"/>
    <x v="94"/>
    <x v="44"/>
    <x v="86"/>
    <x v="17"/>
    <x v="21"/>
    <n v="0"/>
    <n v="0"/>
    <n v="0"/>
    <x v="2"/>
    <x v="2"/>
    <n v="10"/>
    <n v="0"/>
  </r>
  <r>
    <s v="ANCHOR YEAST(BULK BAKERY)"/>
    <x v="2"/>
    <x v="94"/>
    <x v="94"/>
    <x v="44"/>
    <x v="86"/>
    <x v="17"/>
    <x v="21"/>
    <n v="0"/>
    <n v="0"/>
    <n v="0"/>
    <x v="3"/>
    <x v="3"/>
    <n v="9.3826086956521735"/>
    <n v="0"/>
  </r>
  <r>
    <s v="BAKE IT EASY"/>
    <x v="2"/>
    <x v="95"/>
    <x v="95"/>
    <x v="13"/>
    <x v="87"/>
    <x v="17"/>
    <x v="21"/>
    <n v="0"/>
    <n v="0"/>
    <n v="0"/>
    <x v="0"/>
    <x v="0"/>
    <n v="13.034782608695652"/>
    <n v="1"/>
  </r>
  <r>
    <s v="BAKE IT EASY"/>
    <x v="2"/>
    <x v="95"/>
    <x v="95"/>
    <x v="13"/>
    <x v="87"/>
    <x v="17"/>
    <x v="21"/>
    <n v="0"/>
    <n v="0"/>
    <n v="0"/>
    <x v="1"/>
    <x v="1"/>
    <n v="26.069565217391304"/>
    <n v="2"/>
  </r>
  <r>
    <s v="BAKE IT EASY"/>
    <x v="2"/>
    <x v="95"/>
    <x v="95"/>
    <x v="13"/>
    <x v="87"/>
    <x v="17"/>
    <x v="21"/>
    <n v="0"/>
    <n v="0"/>
    <n v="0"/>
    <x v="3"/>
    <x v="3"/>
    <n v="26.069565217391304"/>
    <n v="2"/>
  </r>
  <r>
    <s v="BAKE IT EASY"/>
    <x v="2"/>
    <x v="96"/>
    <x v="96"/>
    <x v="31"/>
    <x v="88"/>
    <x v="17"/>
    <x v="21"/>
    <n v="0"/>
    <n v="0"/>
    <n v="0"/>
    <x v="2"/>
    <x v="2"/>
    <n v="10.434782608695652"/>
    <n v="4"/>
  </r>
  <r>
    <s v="BAKE IT EASY"/>
    <x v="2"/>
    <x v="97"/>
    <x v="97"/>
    <x v="27"/>
    <x v="89"/>
    <x v="17"/>
    <x v="21"/>
    <n v="0"/>
    <n v="0"/>
    <n v="0"/>
    <x v="0"/>
    <x v="0"/>
    <n v="79.069565217391315"/>
    <n v="7"/>
  </r>
  <r>
    <s v="BAKE IT EASY"/>
    <x v="2"/>
    <x v="97"/>
    <x v="97"/>
    <x v="27"/>
    <x v="89"/>
    <x v="17"/>
    <x v="21"/>
    <n v="0"/>
    <n v="0"/>
    <n v="0"/>
    <x v="1"/>
    <x v="1"/>
    <n v="45.182608695652178"/>
    <n v="4"/>
  </r>
  <r>
    <s v="BAKE IT EASY"/>
    <x v="2"/>
    <x v="97"/>
    <x v="97"/>
    <x v="27"/>
    <x v="89"/>
    <x v="17"/>
    <x v="21"/>
    <n v="0"/>
    <n v="0"/>
    <n v="0"/>
    <x v="2"/>
    <x v="2"/>
    <n v="33.88695652173913"/>
    <n v="3"/>
  </r>
  <r>
    <s v="BAKE IT EASY"/>
    <x v="2"/>
    <x v="97"/>
    <x v="97"/>
    <x v="27"/>
    <x v="89"/>
    <x v="17"/>
    <x v="21"/>
    <n v="0"/>
    <n v="0"/>
    <n v="0"/>
    <x v="3"/>
    <x v="3"/>
    <n v="22.591304347826089"/>
    <n v="2"/>
  </r>
  <r>
    <s v="BAKERY PRODUCTS"/>
    <x v="3"/>
    <x v="98"/>
    <x v="98"/>
    <x v="28"/>
    <x v="90"/>
    <x v="23"/>
    <x v="38"/>
    <n v="187.79999999999998"/>
    <n v="262.04999999999995"/>
    <n v="58.252750916972317"/>
    <x v="3"/>
    <x v="3"/>
    <n v="104.31304347826087"/>
    <n v="4"/>
  </r>
  <r>
    <s v="BAKERY PRODUCTS"/>
    <x v="3"/>
    <x v="99"/>
    <x v="99"/>
    <x v="45"/>
    <x v="91"/>
    <x v="22"/>
    <x v="39"/>
    <n v="259.7"/>
    <n v="290.3"/>
    <n v="52.781818181818188"/>
    <x v="0"/>
    <x v="0"/>
    <n v="43.469565217391306"/>
    <n v="1"/>
  </r>
  <r>
    <s v="BAKERY PRODUCTS"/>
    <x v="3"/>
    <x v="99"/>
    <x v="99"/>
    <x v="45"/>
    <x v="91"/>
    <x v="22"/>
    <x v="39"/>
    <n v="259.7"/>
    <n v="290.3"/>
    <n v="52.781818181818188"/>
    <x v="1"/>
    <x v="1"/>
    <n v="130.40869565217392"/>
    <n v="3"/>
  </r>
  <r>
    <s v="BAKERY PRODUCTS"/>
    <x v="3"/>
    <x v="99"/>
    <x v="99"/>
    <x v="45"/>
    <x v="91"/>
    <x v="22"/>
    <x v="39"/>
    <n v="259.7"/>
    <n v="290.3"/>
    <n v="52.781818181818188"/>
    <x v="2"/>
    <x v="2"/>
    <n v="130.40869565217392"/>
    <n v="3"/>
  </r>
  <r>
    <s v="BAKERY PRODUCTS"/>
    <x v="3"/>
    <x v="99"/>
    <x v="99"/>
    <x v="45"/>
    <x v="91"/>
    <x v="22"/>
    <x v="39"/>
    <n v="259.7"/>
    <n v="290.3"/>
    <n v="52.781818181818188"/>
    <x v="3"/>
    <x v="3"/>
    <n v="43.469565217391306"/>
    <n v="1"/>
  </r>
  <r>
    <s v="BAKERY PRODUCTS"/>
    <x v="3"/>
    <x v="100"/>
    <x v="100"/>
    <x v="46"/>
    <x v="92"/>
    <x v="24"/>
    <x v="40"/>
    <n v="87.42"/>
    <n v="92.58"/>
    <n v="51.43333333333333"/>
    <x v="3"/>
    <x v="3"/>
    <n v="43.469565217391306"/>
    <n v="1"/>
  </r>
  <r>
    <s v="BAKERY PRODUCTS"/>
    <x v="3"/>
    <x v="101"/>
    <x v="101"/>
    <x v="45"/>
    <x v="93"/>
    <x v="17"/>
    <x v="21"/>
    <n v="0"/>
    <n v="0"/>
    <n v="0"/>
    <x v="1"/>
    <x v="1"/>
    <n v="43.469565217391306"/>
    <n v="1"/>
  </r>
  <r>
    <s v="BAKERY PRODUCTS"/>
    <x v="3"/>
    <x v="101"/>
    <x v="101"/>
    <x v="45"/>
    <x v="93"/>
    <x v="17"/>
    <x v="21"/>
    <n v="0"/>
    <n v="0"/>
    <n v="0"/>
    <x v="3"/>
    <x v="3"/>
    <n v="86.939130434782612"/>
    <n v="2"/>
  </r>
  <r>
    <s v="BAKERY PRODUCTS"/>
    <x v="3"/>
    <x v="102"/>
    <x v="102"/>
    <x v="28"/>
    <x v="94"/>
    <x v="17"/>
    <x v="21"/>
    <n v="0"/>
    <n v="0"/>
    <n v="0"/>
    <x v="1"/>
    <x v="1"/>
    <n v="130.39130434782606"/>
    <n v="5"/>
  </r>
  <r>
    <s v="BAKERY PRODUCTS"/>
    <x v="3"/>
    <x v="102"/>
    <x v="102"/>
    <x v="28"/>
    <x v="94"/>
    <x v="17"/>
    <x v="21"/>
    <n v="0"/>
    <n v="0"/>
    <n v="0"/>
    <x v="2"/>
    <x v="2"/>
    <n v="204.71304347826086"/>
    <n v="8"/>
  </r>
  <r>
    <s v="BAKERY PRODUCTS"/>
    <x v="3"/>
    <x v="103"/>
    <x v="103"/>
    <x v="0"/>
    <x v="95"/>
    <x v="17"/>
    <x v="21"/>
    <n v="0"/>
    <n v="0"/>
    <n v="0"/>
    <x v="0"/>
    <x v="0"/>
    <n v="48.660869565217389"/>
    <n v="4"/>
  </r>
  <r>
    <s v="BAKERY PRODUCTS"/>
    <x v="3"/>
    <x v="103"/>
    <x v="103"/>
    <x v="0"/>
    <x v="95"/>
    <x v="17"/>
    <x v="21"/>
    <n v="0"/>
    <n v="0"/>
    <n v="0"/>
    <x v="1"/>
    <x v="1"/>
    <n v="12.165217391304347"/>
    <n v="1"/>
  </r>
  <r>
    <s v="BAKERY PRODUCTS"/>
    <x v="3"/>
    <x v="103"/>
    <x v="103"/>
    <x v="0"/>
    <x v="95"/>
    <x v="17"/>
    <x v="21"/>
    <n v="0"/>
    <n v="0"/>
    <n v="0"/>
    <x v="2"/>
    <x v="2"/>
    <n v="24.330434782608695"/>
    <n v="2"/>
  </r>
  <r>
    <s v="BAKERY PRODUCTS"/>
    <x v="3"/>
    <x v="103"/>
    <x v="103"/>
    <x v="0"/>
    <x v="95"/>
    <x v="17"/>
    <x v="21"/>
    <n v="0"/>
    <n v="0"/>
    <n v="0"/>
    <x v="3"/>
    <x v="3"/>
    <n v="24.330434782608695"/>
    <n v="2"/>
  </r>
  <r>
    <s v="GEIIANSA"/>
    <x v="3"/>
    <x v="104"/>
    <x v="104"/>
    <x v="7"/>
    <x v="96"/>
    <x v="17"/>
    <x v="21"/>
    <n v="0"/>
    <n v="0"/>
    <n v="0"/>
    <x v="0"/>
    <x v="0"/>
    <n v="17.382608695652173"/>
    <n v="1"/>
  </r>
  <r>
    <s v="GEIIANSA"/>
    <x v="3"/>
    <x v="104"/>
    <x v="104"/>
    <x v="7"/>
    <x v="96"/>
    <x v="17"/>
    <x v="21"/>
    <n v="0"/>
    <n v="0"/>
    <n v="0"/>
    <x v="2"/>
    <x v="2"/>
    <n v="16.513043478260869"/>
    <n v="1"/>
  </r>
  <r>
    <s v="GEIIANSA"/>
    <x v="3"/>
    <x v="104"/>
    <x v="104"/>
    <x v="7"/>
    <x v="96"/>
    <x v="17"/>
    <x v="21"/>
    <n v="0"/>
    <n v="0"/>
    <n v="0"/>
    <x v="3"/>
    <x v="3"/>
    <n v="52.14782608695652"/>
    <n v="3"/>
  </r>
  <r>
    <s v="GEIIANSA"/>
    <x v="3"/>
    <x v="105"/>
    <x v="105"/>
    <x v="7"/>
    <x v="97"/>
    <x v="17"/>
    <x v="21"/>
    <n v="0"/>
    <n v="0"/>
    <n v="0"/>
    <x v="0"/>
    <x v="0"/>
    <n v="17.382608695652173"/>
    <n v="1"/>
  </r>
  <r>
    <s v="GEIIANSA"/>
    <x v="3"/>
    <x v="105"/>
    <x v="105"/>
    <x v="7"/>
    <x v="97"/>
    <x v="17"/>
    <x v="21"/>
    <n v="0"/>
    <n v="0"/>
    <n v="0"/>
    <x v="1"/>
    <x v="1"/>
    <n v="34.765217391304347"/>
    <n v="2"/>
  </r>
  <r>
    <s v="GEIIANSA"/>
    <x v="3"/>
    <x v="105"/>
    <x v="105"/>
    <x v="7"/>
    <x v="97"/>
    <x v="17"/>
    <x v="21"/>
    <n v="0"/>
    <n v="0"/>
    <n v="0"/>
    <x v="2"/>
    <x v="2"/>
    <n v="33.026086956521738"/>
    <n v="2"/>
  </r>
  <r>
    <s v="GEIIANSA"/>
    <x v="3"/>
    <x v="105"/>
    <x v="105"/>
    <x v="7"/>
    <x v="97"/>
    <x v="17"/>
    <x v="21"/>
    <n v="0"/>
    <n v="0"/>
    <n v="0"/>
    <x v="3"/>
    <x v="3"/>
    <n v="86.913043478260875"/>
    <n v="5"/>
  </r>
  <r>
    <s v="SPAR WESTERN CAPE"/>
    <x v="4"/>
    <x v="106"/>
    <x v="106"/>
    <x v="47"/>
    <x v="98"/>
    <x v="17"/>
    <x v="21"/>
    <n v="0"/>
    <n v="0"/>
    <n v="0"/>
    <x v="0"/>
    <x v="0"/>
    <n v="143.43478260869563"/>
    <n v="5"/>
  </r>
  <r>
    <s v="SPAR WESTERN CAPE"/>
    <x v="4"/>
    <x v="106"/>
    <x v="106"/>
    <x v="47"/>
    <x v="98"/>
    <x v="17"/>
    <x v="21"/>
    <n v="0"/>
    <n v="0"/>
    <n v="0"/>
    <x v="1"/>
    <x v="1"/>
    <n v="86.060869565217388"/>
    <n v="3"/>
  </r>
  <r>
    <s v="SPAR WESTERN CAPE"/>
    <x v="4"/>
    <x v="106"/>
    <x v="106"/>
    <x v="47"/>
    <x v="98"/>
    <x v="17"/>
    <x v="21"/>
    <n v="0"/>
    <n v="0"/>
    <n v="0"/>
    <x v="2"/>
    <x v="2"/>
    <n v="57.373913043478268"/>
    <n v="2"/>
  </r>
  <r>
    <s v="SPAR WESTERN CAPE"/>
    <x v="4"/>
    <x v="106"/>
    <x v="106"/>
    <x v="47"/>
    <x v="98"/>
    <x v="17"/>
    <x v="21"/>
    <n v="0"/>
    <n v="0"/>
    <n v="0"/>
    <x v="3"/>
    <x v="3"/>
    <n v="86.060869565217388"/>
    <n v="3"/>
  </r>
  <r>
    <s v="SPAR WESTERN CAPE"/>
    <x v="4"/>
    <x v="107"/>
    <x v="107"/>
    <x v="17"/>
    <x v="99"/>
    <x v="17"/>
    <x v="21"/>
    <n v="0"/>
    <n v="0"/>
    <n v="0"/>
    <x v="0"/>
    <x v="0"/>
    <n v="43.460869565217386"/>
    <n v="2"/>
  </r>
  <r>
    <s v="SPAR WESTERN CAPE"/>
    <x v="4"/>
    <x v="107"/>
    <x v="107"/>
    <x v="17"/>
    <x v="99"/>
    <x v="17"/>
    <x v="21"/>
    <n v="0"/>
    <n v="0"/>
    <n v="0"/>
    <x v="1"/>
    <x v="1"/>
    <n v="173.84347826086955"/>
    <n v="8"/>
  </r>
  <r>
    <s v="SPAR WESTERN CAPE"/>
    <x v="4"/>
    <x v="107"/>
    <x v="107"/>
    <x v="17"/>
    <x v="99"/>
    <x v="17"/>
    <x v="21"/>
    <n v="0"/>
    <n v="0"/>
    <n v="0"/>
    <x v="2"/>
    <x v="2"/>
    <n v="107.56521739130434"/>
    <n v="5"/>
  </r>
  <r>
    <s v="SPAR WESTERN CAPE"/>
    <x v="4"/>
    <x v="107"/>
    <x v="107"/>
    <x v="17"/>
    <x v="99"/>
    <x v="17"/>
    <x v="21"/>
    <n v="0"/>
    <n v="0"/>
    <n v="0"/>
    <x v="3"/>
    <x v="3"/>
    <n v="293.35652173913047"/>
    <n v="14"/>
  </r>
  <r>
    <s v="SPAR WESTERN CAPE"/>
    <x v="4"/>
    <x v="108"/>
    <x v="108"/>
    <x v="22"/>
    <x v="100"/>
    <x v="17"/>
    <x v="21"/>
    <n v="0"/>
    <n v="0"/>
    <n v="0"/>
    <x v="1"/>
    <x v="1"/>
    <n v="23.469565217391303"/>
    <n v="1"/>
  </r>
  <r>
    <s v="SPAR WESTERN CAPE"/>
    <x v="4"/>
    <x v="108"/>
    <x v="108"/>
    <x v="22"/>
    <x v="100"/>
    <x v="17"/>
    <x v="21"/>
    <n v="0"/>
    <n v="0"/>
    <n v="0"/>
    <x v="2"/>
    <x v="2"/>
    <n v="69.234782608695653"/>
    <n v="3"/>
  </r>
  <r>
    <s v="SPAR WESTERN CAPE"/>
    <x v="4"/>
    <x v="108"/>
    <x v="108"/>
    <x v="22"/>
    <x v="100"/>
    <x v="17"/>
    <x v="21"/>
    <n v="0"/>
    <n v="0"/>
    <n v="0"/>
    <x v="3"/>
    <x v="3"/>
    <n v="46.939130434782605"/>
    <n v="2"/>
  </r>
  <r>
    <s v="SPAR WESTERN CAPE"/>
    <x v="4"/>
    <x v="109"/>
    <x v="109"/>
    <x v="28"/>
    <x v="101"/>
    <x v="17"/>
    <x v="21"/>
    <n v="0"/>
    <n v="0"/>
    <n v="0"/>
    <x v="1"/>
    <x v="1"/>
    <n v="26.078260869565216"/>
    <n v="1"/>
  </r>
  <r>
    <s v="SPAR WESTERN CAPE"/>
    <x v="4"/>
    <x v="109"/>
    <x v="109"/>
    <x v="28"/>
    <x v="101"/>
    <x v="17"/>
    <x v="21"/>
    <n v="0"/>
    <n v="0"/>
    <n v="0"/>
    <x v="2"/>
    <x v="2"/>
    <n v="52.156521739130433"/>
    <n v="2"/>
  </r>
  <r>
    <s v="SPAR WESTERN CAPE"/>
    <x v="4"/>
    <x v="109"/>
    <x v="109"/>
    <x v="28"/>
    <x v="101"/>
    <x v="17"/>
    <x v="21"/>
    <n v="0"/>
    <n v="0"/>
    <n v="0"/>
    <x v="3"/>
    <x v="3"/>
    <n v="26.078260869565216"/>
    <n v="1"/>
  </r>
  <r>
    <s v="SPAR WESTERN CAPE"/>
    <x v="4"/>
    <x v="110"/>
    <x v="110"/>
    <x v="17"/>
    <x v="102"/>
    <x v="17"/>
    <x v="21"/>
    <n v="0"/>
    <n v="0"/>
    <n v="0"/>
    <x v="2"/>
    <x v="2"/>
    <n v="41.286956521739128"/>
    <n v="2"/>
  </r>
  <r>
    <s v="SPAR WESTERN CAPE"/>
    <x v="4"/>
    <x v="110"/>
    <x v="110"/>
    <x v="17"/>
    <x v="102"/>
    <x v="17"/>
    <x v="21"/>
    <n v="0"/>
    <n v="0"/>
    <n v="0"/>
    <x v="3"/>
    <x v="3"/>
    <n v="65.19130434782609"/>
    <n v="3"/>
  </r>
  <r>
    <s v="SPAR WESTERN CAPE"/>
    <x v="4"/>
    <x v="111"/>
    <x v="111"/>
    <x v="18"/>
    <x v="103"/>
    <x v="17"/>
    <x v="21"/>
    <n v="0"/>
    <n v="0"/>
    <n v="0"/>
    <x v="1"/>
    <x v="1"/>
    <n v="13.904347826086957"/>
    <n v="1"/>
  </r>
  <r>
    <s v="SPAR WESTERN CAPE"/>
    <x v="4"/>
    <x v="111"/>
    <x v="111"/>
    <x v="18"/>
    <x v="103"/>
    <x v="17"/>
    <x v="21"/>
    <n v="0"/>
    <n v="0"/>
    <n v="0"/>
    <x v="2"/>
    <x v="2"/>
    <n v="13.904347826086957"/>
    <n v="1"/>
  </r>
  <r>
    <s v="SPAR WESTERN CAPE"/>
    <x v="4"/>
    <x v="111"/>
    <x v="111"/>
    <x v="18"/>
    <x v="103"/>
    <x v="17"/>
    <x v="21"/>
    <n v="0"/>
    <n v="0"/>
    <n v="0"/>
    <x v="3"/>
    <x v="3"/>
    <n v="13.904347826086957"/>
    <n v="1"/>
  </r>
  <r>
    <s v="SPAR WESTERN CAPE"/>
    <x v="4"/>
    <x v="112"/>
    <x v="112"/>
    <x v="12"/>
    <x v="104"/>
    <x v="17"/>
    <x v="21"/>
    <n v="0"/>
    <n v="0"/>
    <n v="0"/>
    <x v="1"/>
    <x v="1"/>
    <n v="21.99"/>
    <n v="1"/>
  </r>
  <r>
    <s v="SPAR WESTERN CAPE"/>
    <x v="4"/>
    <x v="112"/>
    <x v="112"/>
    <x v="12"/>
    <x v="104"/>
    <x v="17"/>
    <x v="21"/>
    <n v="0"/>
    <n v="0"/>
    <n v="0"/>
    <x v="2"/>
    <x v="2"/>
    <n v="21.99"/>
    <n v="1"/>
  </r>
  <r>
    <s v="SPAR WESTERN CAPE"/>
    <x v="4"/>
    <x v="113"/>
    <x v="113"/>
    <x v="48"/>
    <x v="105"/>
    <x v="17"/>
    <x v="21"/>
    <n v="0"/>
    <n v="0"/>
    <n v="0"/>
    <x v="1"/>
    <x v="1"/>
    <n v="99.956521739130437"/>
    <n v="5"/>
  </r>
  <r>
    <s v="SPAR WESTERN CAPE"/>
    <x v="4"/>
    <x v="113"/>
    <x v="113"/>
    <x v="48"/>
    <x v="105"/>
    <x v="17"/>
    <x v="21"/>
    <n v="0"/>
    <n v="0"/>
    <n v="0"/>
    <x v="2"/>
    <x v="2"/>
    <n v="39.982608695652175"/>
    <n v="2"/>
  </r>
  <r>
    <s v="SPAR WESTERN CAPE"/>
    <x v="4"/>
    <x v="114"/>
    <x v="114"/>
    <x v="0"/>
    <x v="106"/>
    <x v="17"/>
    <x v="21"/>
    <n v="0"/>
    <n v="0"/>
    <n v="0"/>
    <x v="1"/>
    <x v="1"/>
    <n v="12.165217391304347"/>
    <n v="1"/>
  </r>
  <r>
    <s v="SPAR WESTERN CAPE"/>
    <x v="4"/>
    <x v="115"/>
    <x v="115"/>
    <x v="10"/>
    <x v="107"/>
    <x v="17"/>
    <x v="21"/>
    <n v="0"/>
    <n v="0"/>
    <n v="0"/>
    <x v="1"/>
    <x v="1"/>
    <n v="33.03478260869565"/>
    <n v="1"/>
  </r>
  <r>
    <s v="SPAR WESTERN CAPE"/>
    <x v="4"/>
    <x v="115"/>
    <x v="115"/>
    <x v="10"/>
    <x v="107"/>
    <x v="17"/>
    <x v="21"/>
    <n v="0"/>
    <n v="0"/>
    <n v="0"/>
    <x v="2"/>
    <x v="2"/>
    <n v="33.03478260869565"/>
    <n v="1"/>
  </r>
  <r>
    <s v="PREMIER FMCG PTY LTD-BLUE RIBB"/>
    <x v="4"/>
    <x v="116"/>
    <x v="116"/>
    <x v="9"/>
    <x v="108"/>
    <x v="17"/>
    <x v="21"/>
    <n v="0"/>
    <n v="0"/>
    <n v="0"/>
    <x v="0"/>
    <x v="0"/>
    <n v="233.87"/>
    <n v="13"/>
  </r>
  <r>
    <s v="PREMIER FMCG PTY LTD-BLUE RIBB"/>
    <x v="4"/>
    <x v="116"/>
    <x v="116"/>
    <x v="9"/>
    <x v="108"/>
    <x v="17"/>
    <x v="21"/>
    <n v="0"/>
    <n v="0"/>
    <n v="0"/>
    <x v="1"/>
    <x v="1"/>
    <n v="107.94"/>
    <n v="6"/>
  </r>
  <r>
    <s v="PREMIER FMCG PTY LTD-BLUE RIBB"/>
    <x v="4"/>
    <x v="116"/>
    <x v="116"/>
    <x v="9"/>
    <x v="108"/>
    <x v="17"/>
    <x v="21"/>
    <n v="0"/>
    <n v="0"/>
    <n v="0"/>
    <x v="2"/>
    <x v="2"/>
    <n v="232.07"/>
    <n v="13"/>
  </r>
  <r>
    <s v="PREMIER FMCG PTY LTD-BLUE RIBB"/>
    <x v="4"/>
    <x v="116"/>
    <x v="116"/>
    <x v="9"/>
    <x v="108"/>
    <x v="17"/>
    <x v="21"/>
    <n v="0"/>
    <n v="0"/>
    <n v="0"/>
    <x v="3"/>
    <x v="3"/>
    <n v="53.97"/>
    <n v="3"/>
  </r>
  <r>
    <s v="PREMIER FMCG PTY LTD-BLUE RIBB"/>
    <x v="4"/>
    <x v="117"/>
    <x v="117"/>
    <x v="7"/>
    <x v="109"/>
    <x v="17"/>
    <x v="21"/>
    <n v="0"/>
    <n v="0"/>
    <n v="0"/>
    <x v="0"/>
    <x v="0"/>
    <n v="434.56521739130437"/>
    <n v="25"/>
  </r>
  <r>
    <s v="PREMIER FMCG PTY LTD-BLUE RIBB"/>
    <x v="4"/>
    <x v="117"/>
    <x v="117"/>
    <x v="7"/>
    <x v="109"/>
    <x v="17"/>
    <x v="21"/>
    <n v="0"/>
    <n v="0"/>
    <n v="0"/>
    <x v="1"/>
    <x v="1"/>
    <n v="417.18260869565222"/>
    <n v="24"/>
  </r>
  <r>
    <s v="PREMIER FMCG PTY LTD-BLUE RIBB"/>
    <x v="4"/>
    <x v="117"/>
    <x v="117"/>
    <x v="7"/>
    <x v="109"/>
    <x v="17"/>
    <x v="21"/>
    <n v="0"/>
    <n v="0"/>
    <n v="0"/>
    <x v="2"/>
    <x v="2"/>
    <n v="206.85217391304349"/>
    <n v="12"/>
  </r>
  <r>
    <s v="PREMIER FMCG PTY LTD-BLUE RIBB"/>
    <x v="4"/>
    <x v="117"/>
    <x v="117"/>
    <x v="7"/>
    <x v="109"/>
    <x v="17"/>
    <x v="21"/>
    <n v="0"/>
    <n v="0"/>
    <n v="0"/>
    <x v="3"/>
    <x v="3"/>
    <n v="278.12173913043478"/>
    <n v="16"/>
  </r>
  <r>
    <s v="ESSENTIAL FD:BAKERY DIV PIONEE"/>
    <x v="4"/>
    <x v="118"/>
    <x v="118"/>
    <x v="49"/>
    <x v="110"/>
    <x v="17"/>
    <x v="21"/>
    <n v="0"/>
    <n v="0"/>
    <n v="0"/>
    <x v="0"/>
    <x v="0"/>
    <n v="117.96"/>
    <n v="4"/>
  </r>
  <r>
    <s v="ESSENTIAL FD:BAKERY DIV PIONEE"/>
    <x v="4"/>
    <x v="118"/>
    <x v="118"/>
    <x v="49"/>
    <x v="110"/>
    <x v="17"/>
    <x v="21"/>
    <n v="0"/>
    <n v="0"/>
    <n v="0"/>
    <x v="1"/>
    <x v="1"/>
    <n v="235.92"/>
    <n v="8"/>
  </r>
  <r>
    <s v="ESSENTIAL FD:BAKERY DIV PIONEE"/>
    <x v="4"/>
    <x v="118"/>
    <x v="118"/>
    <x v="49"/>
    <x v="110"/>
    <x v="17"/>
    <x v="21"/>
    <n v="0"/>
    <n v="0"/>
    <n v="0"/>
    <x v="2"/>
    <x v="2"/>
    <n v="87"/>
    <n v="3"/>
  </r>
  <r>
    <s v="ESSENTIAL FD:BAKERY DIV PIONEE"/>
    <x v="4"/>
    <x v="118"/>
    <x v="118"/>
    <x v="49"/>
    <x v="110"/>
    <x v="17"/>
    <x v="21"/>
    <n v="0"/>
    <n v="0"/>
    <n v="0"/>
    <x v="3"/>
    <x v="3"/>
    <n v="58.98"/>
    <n v="2"/>
  </r>
  <r>
    <s v="ESSENTIAL FD:BAKERY DIV PIONEE"/>
    <x v="4"/>
    <x v="119"/>
    <x v="119"/>
    <x v="7"/>
    <x v="111"/>
    <x v="17"/>
    <x v="21"/>
    <n v="0"/>
    <n v="0"/>
    <n v="0"/>
    <x v="0"/>
    <x v="0"/>
    <n v="199.9"/>
    <n v="10"/>
  </r>
  <r>
    <s v="ESSENTIAL FD:BAKERY DIV PIONEE"/>
    <x v="4"/>
    <x v="119"/>
    <x v="119"/>
    <x v="7"/>
    <x v="111"/>
    <x v="17"/>
    <x v="21"/>
    <n v="0"/>
    <n v="0"/>
    <n v="0"/>
    <x v="1"/>
    <x v="1"/>
    <n v="139.93"/>
    <n v="7"/>
  </r>
  <r>
    <s v="ESSENTIAL FD:BAKERY DIV PIONEE"/>
    <x v="4"/>
    <x v="119"/>
    <x v="119"/>
    <x v="7"/>
    <x v="111"/>
    <x v="17"/>
    <x v="21"/>
    <n v="0"/>
    <n v="0"/>
    <n v="0"/>
    <x v="2"/>
    <x v="2"/>
    <n v="38.979999999999997"/>
    <n v="2"/>
  </r>
  <r>
    <s v="ESSENTIAL FD:BAKERY DIV PIONEE"/>
    <x v="4"/>
    <x v="119"/>
    <x v="119"/>
    <x v="7"/>
    <x v="111"/>
    <x v="17"/>
    <x v="21"/>
    <n v="0"/>
    <n v="0"/>
    <n v="0"/>
    <x v="3"/>
    <x v="3"/>
    <n v="59.97"/>
    <n v="3"/>
  </r>
  <r>
    <s v="ESSENTIAL FD:BAKERY DIV PIONEE"/>
    <x v="4"/>
    <x v="120"/>
    <x v="120"/>
    <x v="50"/>
    <x v="112"/>
    <x v="17"/>
    <x v="21"/>
    <n v="0"/>
    <n v="0"/>
    <n v="0"/>
    <x v="0"/>
    <x v="0"/>
    <n v="428.74"/>
    <n v="26"/>
  </r>
  <r>
    <s v="ESSENTIAL FD:BAKERY DIV PIONEE"/>
    <x v="4"/>
    <x v="120"/>
    <x v="120"/>
    <x v="50"/>
    <x v="112"/>
    <x v="17"/>
    <x v="21"/>
    <n v="0"/>
    <n v="0"/>
    <n v="0"/>
    <x v="1"/>
    <x v="1"/>
    <n v="478.21"/>
    <n v="29"/>
  </r>
  <r>
    <s v="ESSENTIAL FD:BAKERY DIV PIONEE"/>
    <x v="4"/>
    <x v="120"/>
    <x v="120"/>
    <x v="50"/>
    <x v="112"/>
    <x v="17"/>
    <x v="21"/>
    <n v="0"/>
    <n v="0"/>
    <n v="0"/>
    <x v="2"/>
    <x v="2"/>
    <n v="771.75"/>
    <n v="48"/>
  </r>
  <r>
    <s v="ESSENTIAL FD:BAKERY DIV PIONEE"/>
    <x v="4"/>
    <x v="120"/>
    <x v="120"/>
    <x v="50"/>
    <x v="112"/>
    <x v="17"/>
    <x v="21"/>
    <n v="0"/>
    <n v="0"/>
    <n v="0"/>
    <x v="3"/>
    <x v="3"/>
    <n v="395.76"/>
    <n v="24"/>
  </r>
  <r>
    <s v="ESSENTIAL FD:BAKERY DIV PIONEE"/>
    <x v="4"/>
    <x v="121"/>
    <x v="121"/>
    <x v="51"/>
    <x v="113"/>
    <x v="17"/>
    <x v="21"/>
    <n v="0"/>
    <n v="0"/>
    <n v="0"/>
    <x v="0"/>
    <x v="0"/>
    <n v="71.97"/>
    <n v="3"/>
  </r>
  <r>
    <s v="ESSENTIAL FD:BAKERY DIV PIONEE"/>
    <x v="4"/>
    <x v="121"/>
    <x v="121"/>
    <x v="51"/>
    <x v="113"/>
    <x v="17"/>
    <x v="21"/>
    <n v="0"/>
    <n v="0"/>
    <n v="0"/>
    <x v="1"/>
    <x v="1"/>
    <n v="95.96"/>
    <n v="4"/>
  </r>
  <r>
    <s v="ESSENTIAL FD:BAKERY DIV PIONEE"/>
    <x v="4"/>
    <x v="121"/>
    <x v="121"/>
    <x v="51"/>
    <x v="113"/>
    <x v="17"/>
    <x v="21"/>
    <n v="0"/>
    <n v="0"/>
    <n v="0"/>
    <x v="2"/>
    <x v="2"/>
    <n v="211.11"/>
    <n v="9"/>
  </r>
  <r>
    <s v="ESSENTIAL FD:BAKERY DIV PIONEE"/>
    <x v="4"/>
    <x v="121"/>
    <x v="121"/>
    <x v="51"/>
    <x v="113"/>
    <x v="17"/>
    <x v="21"/>
    <n v="0"/>
    <n v="0"/>
    <n v="0"/>
    <x v="3"/>
    <x v="3"/>
    <n v="23.99"/>
    <n v="1"/>
  </r>
  <r>
    <s v="ESSENTIAL FD:BAKERY DIV PIONEE"/>
    <x v="4"/>
    <x v="122"/>
    <x v="122"/>
    <x v="12"/>
    <x v="111"/>
    <x v="17"/>
    <x v="21"/>
    <n v="0"/>
    <n v="0"/>
    <n v="0"/>
    <x v="0"/>
    <x v="0"/>
    <n v="133.85217391304349"/>
    <n v="7"/>
  </r>
  <r>
    <s v="ESSENTIAL FD:BAKERY DIV PIONEE"/>
    <x v="4"/>
    <x v="122"/>
    <x v="122"/>
    <x v="12"/>
    <x v="111"/>
    <x v="17"/>
    <x v="21"/>
    <n v="0"/>
    <n v="0"/>
    <n v="0"/>
    <x v="1"/>
    <x v="1"/>
    <n v="133.85217391304349"/>
    <n v="7"/>
  </r>
  <r>
    <s v="ESSENTIAL FD:BAKERY DIV PIONEE"/>
    <x v="4"/>
    <x v="122"/>
    <x v="122"/>
    <x v="12"/>
    <x v="111"/>
    <x v="17"/>
    <x v="21"/>
    <n v="0"/>
    <n v="0"/>
    <n v="0"/>
    <x v="2"/>
    <x v="2"/>
    <n v="207.46956521739131"/>
    <n v="11"/>
  </r>
  <r>
    <s v="ESSENTIAL FD:BAKERY DIV PIONEE"/>
    <x v="4"/>
    <x v="122"/>
    <x v="122"/>
    <x v="12"/>
    <x v="111"/>
    <x v="17"/>
    <x v="21"/>
    <n v="0"/>
    <n v="0"/>
    <n v="0"/>
    <x v="3"/>
    <x v="3"/>
    <n v="191.21739130434784"/>
    <n v="10"/>
  </r>
  <r>
    <s v="ESSENTIAL FD:BAKERY DIV PIONEE"/>
    <x v="4"/>
    <x v="123"/>
    <x v="123"/>
    <x v="9"/>
    <x v="114"/>
    <x v="17"/>
    <x v="21"/>
    <n v="0"/>
    <n v="0"/>
    <n v="0"/>
    <x v="0"/>
    <x v="0"/>
    <n v="1868.5304347826082"/>
    <n v="119"/>
  </r>
  <r>
    <s v="ESSENTIAL FD:BAKERY DIV PIONEE"/>
    <x v="4"/>
    <x v="123"/>
    <x v="123"/>
    <x v="9"/>
    <x v="114"/>
    <x v="17"/>
    <x v="21"/>
    <n v="0"/>
    <n v="0"/>
    <n v="0"/>
    <x v="1"/>
    <x v="1"/>
    <n v="1626.9217391304348"/>
    <n v="104"/>
  </r>
  <r>
    <s v="ESSENTIAL FD:BAKERY DIV PIONEE"/>
    <x v="4"/>
    <x v="123"/>
    <x v="123"/>
    <x v="9"/>
    <x v="114"/>
    <x v="17"/>
    <x v="21"/>
    <n v="0"/>
    <n v="0"/>
    <n v="0"/>
    <x v="2"/>
    <x v="2"/>
    <n v="2036.7652173913045"/>
    <n v="132"/>
  </r>
  <r>
    <s v="ESSENTIAL FD:BAKERY DIV PIONEE"/>
    <x v="4"/>
    <x v="123"/>
    <x v="123"/>
    <x v="9"/>
    <x v="114"/>
    <x v="17"/>
    <x v="21"/>
    <n v="0"/>
    <n v="0"/>
    <n v="0"/>
    <x v="3"/>
    <x v="3"/>
    <n v="1628.6608695652174"/>
    <n v="104"/>
  </r>
  <r>
    <s v="ESSENTIAL FD:BAKERY DIV PIONEE"/>
    <x v="4"/>
    <x v="124"/>
    <x v="124"/>
    <x v="28"/>
    <x v="115"/>
    <x v="17"/>
    <x v="21"/>
    <n v="0"/>
    <n v="0"/>
    <n v="0"/>
    <x v="0"/>
    <x v="0"/>
    <n v="104.31304347826087"/>
    <n v="4"/>
  </r>
  <r>
    <s v="ESSENTIAL FD:BAKERY DIV PIONEE"/>
    <x v="4"/>
    <x v="124"/>
    <x v="124"/>
    <x v="28"/>
    <x v="115"/>
    <x v="17"/>
    <x v="21"/>
    <n v="0"/>
    <n v="0"/>
    <n v="0"/>
    <x v="1"/>
    <x v="1"/>
    <n v="52.156521739130433"/>
    <n v="2"/>
  </r>
  <r>
    <s v="ESSENTIAL FD:BAKERY DIV PIONEE"/>
    <x v="4"/>
    <x v="124"/>
    <x v="124"/>
    <x v="28"/>
    <x v="115"/>
    <x v="17"/>
    <x v="21"/>
    <n v="0"/>
    <n v="0"/>
    <n v="0"/>
    <x v="2"/>
    <x v="2"/>
    <n v="155.16521739130434"/>
    <n v="6"/>
  </r>
  <r>
    <s v="ESSENTIAL FD:BAKERY DIV PIONEE"/>
    <x v="4"/>
    <x v="124"/>
    <x v="124"/>
    <x v="28"/>
    <x v="115"/>
    <x v="17"/>
    <x v="21"/>
    <n v="0"/>
    <n v="0"/>
    <n v="0"/>
    <x v="3"/>
    <x v="3"/>
    <n v="78.234782608695653"/>
    <n v="3"/>
  </r>
  <r>
    <s v="ESSENTIAL FD:BAKERY DIV PIONEE"/>
    <x v="4"/>
    <x v="125"/>
    <x v="125"/>
    <x v="52"/>
    <x v="116"/>
    <x v="17"/>
    <x v="21"/>
    <n v="0"/>
    <n v="0"/>
    <n v="0"/>
    <x v="0"/>
    <x v="0"/>
    <n v="60.98"/>
    <n v="2"/>
  </r>
  <r>
    <s v="ESSENTIAL FD:BAKERY DIV PIONEE"/>
    <x v="4"/>
    <x v="125"/>
    <x v="125"/>
    <x v="52"/>
    <x v="116"/>
    <x v="17"/>
    <x v="21"/>
    <n v="0"/>
    <n v="0"/>
    <n v="0"/>
    <x v="2"/>
    <x v="2"/>
    <n v="89.95"/>
    <n v="3"/>
  </r>
  <r>
    <s v="ESSENTIAL FD:BAKERY DIV PIONEE"/>
    <x v="4"/>
    <x v="126"/>
    <x v="126"/>
    <x v="17"/>
    <x v="117"/>
    <x v="17"/>
    <x v="21"/>
    <n v="0"/>
    <n v="0"/>
    <n v="0"/>
    <x v="0"/>
    <x v="0"/>
    <n v="43.460869565217386"/>
    <n v="2"/>
  </r>
  <r>
    <s v="ESSENTIAL FD:BAKERY DIV PIONEE"/>
    <x v="4"/>
    <x v="126"/>
    <x v="126"/>
    <x v="17"/>
    <x v="117"/>
    <x v="17"/>
    <x v="21"/>
    <n v="0"/>
    <n v="0"/>
    <n v="0"/>
    <x v="1"/>
    <x v="1"/>
    <n v="86.921739130434773"/>
    <n v="4"/>
  </r>
  <r>
    <s v="ESSENTIAL FD:BAKERY DIV PIONEE"/>
    <x v="4"/>
    <x v="126"/>
    <x v="126"/>
    <x v="17"/>
    <x v="117"/>
    <x v="17"/>
    <x v="21"/>
    <n v="0"/>
    <n v="0"/>
    <n v="0"/>
    <x v="2"/>
    <x v="2"/>
    <n v="583.46086956521742"/>
    <n v="28"/>
  </r>
  <r>
    <s v="ESSENTIAL FD:BAKERY DIV PIONEE"/>
    <x v="4"/>
    <x v="126"/>
    <x v="126"/>
    <x v="17"/>
    <x v="117"/>
    <x v="17"/>
    <x v="21"/>
    <n v="0"/>
    <n v="0"/>
    <n v="0"/>
    <x v="3"/>
    <x v="3"/>
    <n v="173.84347826086955"/>
    <n v="8"/>
  </r>
  <r>
    <s v="ESSENTIAL FD:BAKERY DIV PIONEE"/>
    <x v="4"/>
    <x v="127"/>
    <x v="127"/>
    <x v="17"/>
    <x v="118"/>
    <x v="17"/>
    <x v="21"/>
    <n v="0"/>
    <n v="0"/>
    <n v="0"/>
    <x v="0"/>
    <x v="0"/>
    <n v="152.11304347826086"/>
    <n v="7"/>
  </r>
  <r>
    <s v="ESSENTIAL FD:BAKERY DIV PIONEE"/>
    <x v="4"/>
    <x v="127"/>
    <x v="127"/>
    <x v="17"/>
    <x v="118"/>
    <x v="17"/>
    <x v="21"/>
    <n v="0"/>
    <n v="0"/>
    <n v="0"/>
    <x v="1"/>
    <x v="1"/>
    <n v="108.65217391304348"/>
    <n v="5"/>
  </r>
  <r>
    <s v="ESSENTIAL FD:BAKERY DIV PIONEE"/>
    <x v="4"/>
    <x v="127"/>
    <x v="127"/>
    <x v="17"/>
    <x v="118"/>
    <x v="17"/>
    <x v="21"/>
    <n v="0"/>
    <n v="0"/>
    <n v="0"/>
    <x v="2"/>
    <x v="2"/>
    <n v="21.730434782608693"/>
    <n v="1"/>
  </r>
  <r>
    <s v="ESSENTIAL FD:BAKERY DIV PIONEE"/>
    <x v="4"/>
    <x v="127"/>
    <x v="127"/>
    <x v="17"/>
    <x v="118"/>
    <x v="17"/>
    <x v="21"/>
    <n v="0"/>
    <n v="0"/>
    <n v="0"/>
    <x v="3"/>
    <x v="3"/>
    <n v="130.38260869565218"/>
    <n v="6"/>
  </r>
  <r>
    <s v="PREMIER FMCG PTY LTD-BLUE RIBB"/>
    <x v="4"/>
    <x v="128"/>
    <x v="128"/>
    <x v="12"/>
    <x v="119"/>
    <x v="17"/>
    <x v="21"/>
    <n v="0"/>
    <n v="0"/>
    <n v="0"/>
    <x v="0"/>
    <x v="0"/>
    <n v="57.365217391304348"/>
    <n v="3"/>
  </r>
  <r>
    <s v="PREMIER FMCG PTY LTD-BLUE RIBB"/>
    <x v="4"/>
    <x v="128"/>
    <x v="128"/>
    <x v="12"/>
    <x v="119"/>
    <x v="17"/>
    <x v="21"/>
    <n v="0"/>
    <n v="0"/>
    <n v="0"/>
    <x v="1"/>
    <x v="1"/>
    <n v="57.365217391304348"/>
    <n v="3"/>
  </r>
  <r>
    <s v="PREMIER FMCG PTY LTD-BLUE RIBB"/>
    <x v="4"/>
    <x v="128"/>
    <x v="128"/>
    <x v="12"/>
    <x v="119"/>
    <x v="17"/>
    <x v="21"/>
    <n v="0"/>
    <n v="0"/>
    <n v="0"/>
    <x v="3"/>
    <x v="3"/>
    <n v="95.608695652173921"/>
    <n v="5"/>
  </r>
  <r>
    <s v="PREMIER FMCG PTY LTD-BLUE RIBB"/>
    <x v="4"/>
    <x v="129"/>
    <x v="129"/>
    <x v="7"/>
    <x v="120"/>
    <x v="17"/>
    <x v="21"/>
    <n v="0"/>
    <n v="0"/>
    <n v="0"/>
    <x v="0"/>
    <x v="0"/>
    <n v="59.97"/>
    <n v="3"/>
  </r>
  <r>
    <s v="PREMIER FMCG PTY LTD-BLUE RIBB"/>
    <x v="4"/>
    <x v="129"/>
    <x v="129"/>
    <x v="7"/>
    <x v="120"/>
    <x v="17"/>
    <x v="21"/>
    <n v="0"/>
    <n v="0"/>
    <n v="0"/>
    <x v="2"/>
    <x v="2"/>
    <n v="39.979999999999997"/>
    <n v="2"/>
  </r>
  <r>
    <s v="PREMIER FMCG PTY LTD-BLUE RIBB"/>
    <x v="4"/>
    <x v="129"/>
    <x v="129"/>
    <x v="7"/>
    <x v="120"/>
    <x v="17"/>
    <x v="21"/>
    <n v="0"/>
    <n v="0"/>
    <n v="0"/>
    <x v="3"/>
    <x v="3"/>
    <n v="79.959999999999994"/>
    <n v="4"/>
  </r>
  <r>
    <s v="PREMIER FMCG PTY LTD-BLUE RIBB"/>
    <x v="4"/>
    <x v="130"/>
    <x v="130"/>
    <x v="4"/>
    <x v="121"/>
    <x v="17"/>
    <x v="21"/>
    <n v="0"/>
    <n v="0"/>
    <n v="0"/>
    <x v="0"/>
    <x v="0"/>
    <n v="292.03478260869565"/>
    <n v="16"/>
  </r>
  <r>
    <s v="PREMIER FMCG PTY LTD-BLUE RIBB"/>
    <x v="4"/>
    <x v="130"/>
    <x v="130"/>
    <x v="4"/>
    <x v="121"/>
    <x v="17"/>
    <x v="21"/>
    <n v="0"/>
    <n v="0"/>
    <n v="0"/>
    <x v="1"/>
    <x v="1"/>
    <n v="273.78260869565219"/>
    <n v="15"/>
  </r>
  <r>
    <s v="PREMIER FMCG PTY LTD-BLUE RIBB"/>
    <x v="4"/>
    <x v="130"/>
    <x v="130"/>
    <x v="4"/>
    <x v="121"/>
    <x v="17"/>
    <x v="21"/>
    <n v="0"/>
    <n v="0"/>
    <n v="0"/>
    <x v="2"/>
    <x v="2"/>
    <n v="180.69565217391306"/>
    <n v="10"/>
  </r>
  <r>
    <s v="PREMIER FMCG PTY LTD-BLUE RIBB"/>
    <x v="4"/>
    <x v="130"/>
    <x v="130"/>
    <x v="4"/>
    <x v="121"/>
    <x v="17"/>
    <x v="21"/>
    <n v="0"/>
    <n v="0"/>
    <n v="0"/>
    <x v="3"/>
    <x v="3"/>
    <n v="127.76521739130436"/>
    <n v="7"/>
  </r>
  <r>
    <s v="PREMIER FMCG PTY LTD-BLUE RIBB"/>
    <x v="4"/>
    <x v="131"/>
    <x v="131"/>
    <x v="4"/>
    <x v="122"/>
    <x v="17"/>
    <x v="21"/>
    <n v="0"/>
    <n v="0"/>
    <n v="0"/>
    <x v="0"/>
    <x v="0"/>
    <n v="41.98"/>
    <n v="2"/>
  </r>
  <r>
    <s v="PREMIER FMCG PTY LTD-BLUE RIBB"/>
    <x v="4"/>
    <x v="131"/>
    <x v="131"/>
    <x v="4"/>
    <x v="122"/>
    <x v="17"/>
    <x v="21"/>
    <n v="0"/>
    <n v="0"/>
    <n v="0"/>
    <x v="1"/>
    <x v="1"/>
    <n v="41.98"/>
    <n v="2"/>
  </r>
  <r>
    <s v="PREMIER FMCG PTY LTD-BLUE RIBB"/>
    <x v="4"/>
    <x v="131"/>
    <x v="131"/>
    <x v="4"/>
    <x v="122"/>
    <x v="17"/>
    <x v="21"/>
    <n v="0"/>
    <n v="0"/>
    <n v="0"/>
    <x v="2"/>
    <x v="2"/>
    <n v="40.93"/>
    <n v="2"/>
  </r>
  <r>
    <s v="PREMIER FMCG PTY LTD-BLUE RIBB"/>
    <x v="4"/>
    <x v="131"/>
    <x v="131"/>
    <x v="4"/>
    <x v="122"/>
    <x v="17"/>
    <x v="21"/>
    <n v="0"/>
    <n v="0"/>
    <n v="0"/>
    <x v="3"/>
    <x v="3"/>
    <n v="41.98"/>
    <n v="2"/>
  </r>
  <r>
    <s v="PREMIER FMCG PTY LTD-BLUE RIBB"/>
    <x v="4"/>
    <x v="132"/>
    <x v="132"/>
    <x v="0"/>
    <x v="123"/>
    <x v="17"/>
    <x v="21"/>
    <n v="0"/>
    <n v="0"/>
    <n v="0"/>
    <x v="1"/>
    <x v="1"/>
    <n v="12.165217391304347"/>
    <n v="1"/>
  </r>
  <r>
    <s v="PREMIER FMCG PTY LTD-BLUE RIBB"/>
    <x v="4"/>
    <x v="132"/>
    <x v="132"/>
    <x v="0"/>
    <x v="123"/>
    <x v="17"/>
    <x v="21"/>
    <n v="0"/>
    <n v="0"/>
    <n v="0"/>
    <x v="2"/>
    <x v="2"/>
    <n v="23.721739130434784"/>
    <n v="2"/>
  </r>
  <r>
    <s v="PREMIER FMCG PTY LTD-BLUE RIBB"/>
    <x v="4"/>
    <x v="132"/>
    <x v="132"/>
    <x v="0"/>
    <x v="123"/>
    <x v="17"/>
    <x v="21"/>
    <n v="0"/>
    <n v="0"/>
    <n v="0"/>
    <x v="3"/>
    <x v="3"/>
    <n v="12.165217391304347"/>
    <n v="1"/>
  </r>
  <r>
    <s v="PREMIER FMCG PTY LTD-BLUE RIBB"/>
    <x v="4"/>
    <x v="133"/>
    <x v="133"/>
    <x v="0"/>
    <x v="123"/>
    <x v="17"/>
    <x v="21"/>
    <n v="0"/>
    <n v="0"/>
    <n v="0"/>
    <x v="1"/>
    <x v="1"/>
    <n v="12.165217391304347"/>
    <n v="1"/>
  </r>
  <r>
    <s v="PREMIER FMCG PTY LTD-BLUE RIBB"/>
    <x v="4"/>
    <x v="133"/>
    <x v="133"/>
    <x v="0"/>
    <x v="123"/>
    <x v="17"/>
    <x v="21"/>
    <n v="0"/>
    <n v="0"/>
    <n v="0"/>
    <x v="2"/>
    <x v="2"/>
    <n v="36.495652173913044"/>
    <n v="3"/>
  </r>
  <r>
    <s v="PREMIER FMCG PTY LTD-BLUE RIBB"/>
    <x v="4"/>
    <x v="134"/>
    <x v="134"/>
    <x v="0"/>
    <x v="123"/>
    <x v="17"/>
    <x v="21"/>
    <n v="0"/>
    <n v="0"/>
    <n v="0"/>
    <x v="0"/>
    <x v="0"/>
    <n v="12.165217391304347"/>
    <n v="1"/>
  </r>
  <r>
    <s v="PREMIER FMCG PTY LTD-BLUE RIBB"/>
    <x v="4"/>
    <x v="134"/>
    <x v="134"/>
    <x v="0"/>
    <x v="123"/>
    <x v="17"/>
    <x v="21"/>
    <n v="0"/>
    <n v="0"/>
    <n v="0"/>
    <x v="1"/>
    <x v="1"/>
    <n v="24.330434782608695"/>
    <n v="2"/>
  </r>
  <r>
    <s v="PREMIER FMCG PTY LTD-BLUE RIBB"/>
    <x v="4"/>
    <x v="134"/>
    <x v="134"/>
    <x v="0"/>
    <x v="123"/>
    <x v="17"/>
    <x v="21"/>
    <n v="0"/>
    <n v="0"/>
    <n v="0"/>
    <x v="2"/>
    <x v="2"/>
    <n v="11.556521739130433"/>
    <n v="1"/>
  </r>
  <r>
    <s v="PREMIER FMCG PTY LTD-BLUE RIBB"/>
    <x v="4"/>
    <x v="135"/>
    <x v="135"/>
    <x v="0"/>
    <x v="123"/>
    <x v="17"/>
    <x v="21"/>
    <n v="0"/>
    <n v="0"/>
    <n v="0"/>
    <x v="1"/>
    <x v="1"/>
    <n v="12.165217391304347"/>
    <n v="1"/>
  </r>
  <r>
    <s v="PREMIER FMCG PTY LTD-BLUE RIBB"/>
    <x v="4"/>
    <x v="136"/>
    <x v="136"/>
    <x v="17"/>
    <x v="124"/>
    <x v="17"/>
    <x v="21"/>
    <n v="0"/>
    <n v="0"/>
    <n v="0"/>
    <x v="0"/>
    <x v="0"/>
    <n v="43.460869565217386"/>
    <n v="2"/>
  </r>
  <r>
    <s v="PREMIER FMCG PTY LTD-BLUE RIBB"/>
    <x v="4"/>
    <x v="136"/>
    <x v="136"/>
    <x v="17"/>
    <x v="124"/>
    <x v="17"/>
    <x v="21"/>
    <n v="0"/>
    <n v="0"/>
    <n v="0"/>
    <x v="1"/>
    <x v="1"/>
    <n v="43.460869565217386"/>
    <n v="2"/>
  </r>
  <r>
    <s v="PREMIER FMCG PTY LTD-BLUE RIBB"/>
    <x v="4"/>
    <x v="136"/>
    <x v="136"/>
    <x v="17"/>
    <x v="124"/>
    <x v="17"/>
    <x v="21"/>
    <n v="0"/>
    <n v="0"/>
    <n v="0"/>
    <x v="2"/>
    <x v="2"/>
    <n v="20.643478260869564"/>
    <n v="1"/>
  </r>
  <r>
    <s v="PREMIER FMCG PTY LTD-BLUE RIBB"/>
    <x v="4"/>
    <x v="136"/>
    <x v="136"/>
    <x v="17"/>
    <x v="124"/>
    <x v="17"/>
    <x v="21"/>
    <n v="0"/>
    <n v="0"/>
    <n v="0"/>
    <x v="3"/>
    <x v="3"/>
    <n v="65.19130434782609"/>
    <n v="3"/>
  </r>
  <r>
    <s v="ALBANY BAKERIES (BELLVILLE)"/>
    <x v="4"/>
    <x v="137"/>
    <x v="137"/>
    <x v="12"/>
    <x v="125"/>
    <x v="17"/>
    <x v="21"/>
    <n v="0"/>
    <n v="0"/>
    <n v="0"/>
    <x v="0"/>
    <x v="0"/>
    <n v="57.365217391304348"/>
    <n v="3"/>
  </r>
  <r>
    <s v="ALBANY BAKERIES (BELLVILLE)"/>
    <x v="4"/>
    <x v="137"/>
    <x v="137"/>
    <x v="12"/>
    <x v="125"/>
    <x v="17"/>
    <x v="21"/>
    <n v="0"/>
    <n v="0"/>
    <n v="0"/>
    <x v="1"/>
    <x v="1"/>
    <n v="133.85217391304349"/>
    <n v="7"/>
  </r>
  <r>
    <s v="ALBANY BAKERIES (BELLVILLE)"/>
    <x v="4"/>
    <x v="137"/>
    <x v="137"/>
    <x v="12"/>
    <x v="125"/>
    <x v="17"/>
    <x v="21"/>
    <n v="0"/>
    <n v="0"/>
    <n v="0"/>
    <x v="2"/>
    <x v="2"/>
    <n v="76.486956521739131"/>
    <n v="4"/>
  </r>
  <r>
    <s v="ALBANY BAKERIES (BELLVILLE)"/>
    <x v="4"/>
    <x v="137"/>
    <x v="137"/>
    <x v="12"/>
    <x v="125"/>
    <x v="17"/>
    <x v="21"/>
    <n v="0"/>
    <n v="0"/>
    <n v="0"/>
    <x v="3"/>
    <x v="3"/>
    <n v="133.85217391304349"/>
    <n v="7"/>
  </r>
  <r>
    <s v="ALBANY BAKERIES (BELLVILLE)"/>
    <x v="4"/>
    <x v="138"/>
    <x v="138"/>
    <x v="38"/>
    <x v="126"/>
    <x v="17"/>
    <x v="21"/>
    <n v="0"/>
    <n v="0"/>
    <n v="0"/>
    <x v="0"/>
    <x v="0"/>
    <n v="75.959999999999994"/>
    <n v="4"/>
  </r>
  <r>
    <s v="ALBANY BAKERIES (BELLVILLE)"/>
    <x v="4"/>
    <x v="138"/>
    <x v="138"/>
    <x v="38"/>
    <x v="126"/>
    <x v="17"/>
    <x v="21"/>
    <n v="0"/>
    <n v="0"/>
    <n v="0"/>
    <x v="1"/>
    <x v="1"/>
    <n v="94.95"/>
    <n v="5"/>
  </r>
  <r>
    <s v="ALBANY BAKERIES (BELLVILLE)"/>
    <x v="4"/>
    <x v="138"/>
    <x v="138"/>
    <x v="38"/>
    <x v="126"/>
    <x v="17"/>
    <x v="21"/>
    <n v="0"/>
    <n v="0"/>
    <n v="0"/>
    <x v="2"/>
    <x v="2"/>
    <n v="149.07"/>
    <n v="8"/>
  </r>
  <r>
    <s v="ALBANY BAKERIES (BELLVILLE)"/>
    <x v="4"/>
    <x v="138"/>
    <x v="138"/>
    <x v="38"/>
    <x v="126"/>
    <x v="17"/>
    <x v="21"/>
    <n v="0"/>
    <n v="0"/>
    <n v="0"/>
    <x v="3"/>
    <x v="3"/>
    <n v="56.97"/>
    <n v="3"/>
  </r>
  <r>
    <s v="ALBANY BAKERIES (BELLVILLE)"/>
    <x v="4"/>
    <x v="139"/>
    <x v="139"/>
    <x v="6"/>
    <x v="127"/>
    <x v="17"/>
    <x v="21"/>
    <n v="0"/>
    <n v="0"/>
    <n v="0"/>
    <x v="0"/>
    <x v="0"/>
    <n v="155.94"/>
    <n v="6"/>
  </r>
  <r>
    <s v="ALBANY BAKERIES (BELLVILLE)"/>
    <x v="4"/>
    <x v="139"/>
    <x v="139"/>
    <x v="6"/>
    <x v="127"/>
    <x v="17"/>
    <x v="21"/>
    <n v="0"/>
    <n v="0"/>
    <n v="0"/>
    <x v="3"/>
    <x v="3"/>
    <n v="51.98"/>
    <n v="2"/>
  </r>
  <r>
    <s v="ALBANY BAKERIES (BELLVILLE)"/>
    <x v="4"/>
    <x v="140"/>
    <x v="140"/>
    <x v="6"/>
    <x v="128"/>
    <x v="17"/>
    <x v="21"/>
    <n v="0"/>
    <n v="0"/>
    <n v="0"/>
    <x v="0"/>
    <x v="0"/>
    <n v="67.8"/>
    <n v="3"/>
  </r>
  <r>
    <s v="ALBANY BAKERIES (BELLVILLE)"/>
    <x v="4"/>
    <x v="140"/>
    <x v="140"/>
    <x v="6"/>
    <x v="128"/>
    <x v="17"/>
    <x v="21"/>
    <n v="0"/>
    <n v="0"/>
    <n v="0"/>
    <x v="1"/>
    <x v="1"/>
    <n v="45.199999999999996"/>
    <n v="2"/>
  </r>
  <r>
    <s v="ALBANY BAKERIES (BELLVILLE)"/>
    <x v="4"/>
    <x v="140"/>
    <x v="140"/>
    <x v="6"/>
    <x v="128"/>
    <x v="17"/>
    <x v="21"/>
    <n v="0"/>
    <n v="0"/>
    <n v="0"/>
    <x v="2"/>
    <x v="2"/>
    <n v="154.80869565217392"/>
    <n v="7"/>
  </r>
  <r>
    <s v="ALBANY BAKERIES (BELLVILLE)"/>
    <x v="4"/>
    <x v="140"/>
    <x v="140"/>
    <x v="6"/>
    <x v="128"/>
    <x v="17"/>
    <x v="21"/>
    <n v="0"/>
    <n v="0"/>
    <n v="0"/>
    <x v="3"/>
    <x v="3"/>
    <n v="158.20000000000002"/>
    <n v="7"/>
  </r>
  <r>
    <s v="ALBANY BAKERIES (BELLVILLE)"/>
    <x v="4"/>
    <x v="141"/>
    <x v="141"/>
    <x v="51"/>
    <x v="129"/>
    <x v="17"/>
    <x v="21"/>
    <n v="0"/>
    <n v="0"/>
    <n v="0"/>
    <x v="0"/>
    <x v="0"/>
    <n v="167.93"/>
    <n v="7"/>
  </r>
  <r>
    <s v="ALBANY BAKERIES (BELLVILLE)"/>
    <x v="4"/>
    <x v="141"/>
    <x v="141"/>
    <x v="51"/>
    <x v="129"/>
    <x v="17"/>
    <x v="21"/>
    <n v="0"/>
    <n v="0"/>
    <n v="0"/>
    <x v="1"/>
    <x v="1"/>
    <n v="47.98"/>
    <n v="2"/>
  </r>
  <r>
    <s v="ALBANY BAKERIES (BELLVILLE)"/>
    <x v="4"/>
    <x v="141"/>
    <x v="141"/>
    <x v="51"/>
    <x v="129"/>
    <x v="17"/>
    <x v="21"/>
    <n v="0"/>
    <n v="0"/>
    <n v="0"/>
    <x v="2"/>
    <x v="2"/>
    <n v="70.77"/>
    <n v="3"/>
  </r>
  <r>
    <s v="ALBANY BAKERIES (BELLVILLE)"/>
    <x v="4"/>
    <x v="141"/>
    <x v="141"/>
    <x v="51"/>
    <x v="129"/>
    <x v="17"/>
    <x v="21"/>
    <n v="0"/>
    <n v="0"/>
    <n v="0"/>
    <x v="3"/>
    <x v="3"/>
    <n v="119.95"/>
    <n v="5"/>
  </r>
  <r>
    <s v="ALBANY BAKERIES (BELLVILLE)"/>
    <x v="4"/>
    <x v="142"/>
    <x v="142"/>
    <x v="6"/>
    <x v="130"/>
    <x v="17"/>
    <x v="21"/>
    <n v="0"/>
    <n v="0"/>
    <n v="0"/>
    <x v="0"/>
    <x v="0"/>
    <n v="45.199999999999996"/>
    <n v="2"/>
  </r>
  <r>
    <s v="ALBANY BAKERIES (BELLVILLE)"/>
    <x v="4"/>
    <x v="142"/>
    <x v="142"/>
    <x v="6"/>
    <x v="130"/>
    <x v="17"/>
    <x v="21"/>
    <n v="0"/>
    <n v="0"/>
    <n v="0"/>
    <x v="1"/>
    <x v="1"/>
    <n v="67.8"/>
    <n v="3"/>
  </r>
  <r>
    <s v="ALBANY BAKERIES (BELLVILLE)"/>
    <x v="4"/>
    <x v="142"/>
    <x v="142"/>
    <x v="6"/>
    <x v="130"/>
    <x v="17"/>
    <x v="21"/>
    <n v="0"/>
    <n v="0"/>
    <n v="0"/>
    <x v="2"/>
    <x v="2"/>
    <n v="21.469565217391306"/>
    <n v="1"/>
  </r>
  <r>
    <s v="ALBANY BAKERIES (BELLVILLE)"/>
    <x v="4"/>
    <x v="143"/>
    <x v="143"/>
    <x v="38"/>
    <x v="131"/>
    <x v="17"/>
    <x v="21"/>
    <n v="0"/>
    <n v="0"/>
    <n v="0"/>
    <x v="0"/>
    <x v="0"/>
    <n v="75.959999999999994"/>
    <n v="4"/>
  </r>
  <r>
    <s v="ALBANY BAKERIES (BELLVILLE)"/>
    <x v="4"/>
    <x v="143"/>
    <x v="143"/>
    <x v="38"/>
    <x v="131"/>
    <x v="17"/>
    <x v="21"/>
    <n v="0"/>
    <n v="0"/>
    <n v="0"/>
    <x v="1"/>
    <x v="1"/>
    <n v="132.93"/>
    <n v="7"/>
  </r>
  <r>
    <s v="ALBANY BAKERIES (BELLVILLE)"/>
    <x v="4"/>
    <x v="143"/>
    <x v="143"/>
    <x v="38"/>
    <x v="131"/>
    <x v="17"/>
    <x v="21"/>
    <n v="0"/>
    <n v="0"/>
    <n v="0"/>
    <x v="2"/>
    <x v="2"/>
    <n v="56.02"/>
    <n v="3"/>
  </r>
  <r>
    <s v="ALBANY BAKERIES (BELLVILLE)"/>
    <x v="4"/>
    <x v="143"/>
    <x v="143"/>
    <x v="38"/>
    <x v="131"/>
    <x v="17"/>
    <x v="21"/>
    <n v="0"/>
    <n v="0"/>
    <n v="0"/>
    <x v="3"/>
    <x v="3"/>
    <n v="37.979999999999997"/>
    <n v="2"/>
  </r>
  <r>
    <s v="ALBANY BAKERIES (BELLVILLE)"/>
    <x v="4"/>
    <x v="144"/>
    <x v="144"/>
    <x v="7"/>
    <x v="132"/>
    <x v="17"/>
    <x v="21"/>
    <n v="0"/>
    <n v="0"/>
    <n v="0"/>
    <x v="0"/>
    <x v="0"/>
    <n v="139.06086956521739"/>
    <n v="8"/>
  </r>
  <r>
    <s v="ALBANY BAKERIES (BELLVILLE)"/>
    <x v="4"/>
    <x v="144"/>
    <x v="144"/>
    <x v="7"/>
    <x v="132"/>
    <x v="17"/>
    <x v="21"/>
    <n v="0"/>
    <n v="0"/>
    <n v="0"/>
    <x v="1"/>
    <x v="1"/>
    <n v="260.73913043478262"/>
    <n v="15"/>
  </r>
  <r>
    <s v="ALBANY BAKERIES (BELLVILLE)"/>
    <x v="4"/>
    <x v="144"/>
    <x v="144"/>
    <x v="7"/>
    <x v="132"/>
    <x v="17"/>
    <x v="21"/>
    <n v="0"/>
    <n v="0"/>
    <n v="0"/>
    <x v="2"/>
    <x v="2"/>
    <n v="172.95652173913044"/>
    <n v="10"/>
  </r>
  <r>
    <s v="ALBANY BAKERIES (BELLVILLE)"/>
    <x v="4"/>
    <x v="144"/>
    <x v="144"/>
    <x v="7"/>
    <x v="132"/>
    <x v="17"/>
    <x v="21"/>
    <n v="0"/>
    <n v="0"/>
    <n v="0"/>
    <x v="3"/>
    <x v="3"/>
    <n v="104.29565217391304"/>
    <n v="6"/>
  </r>
  <r>
    <s v="ALBANY BAKERIES (BELLVILLE)"/>
    <x v="4"/>
    <x v="145"/>
    <x v="145"/>
    <x v="6"/>
    <x v="133"/>
    <x v="17"/>
    <x v="21"/>
    <n v="0"/>
    <n v="0"/>
    <n v="0"/>
    <x v="2"/>
    <x v="2"/>
    <n v="45.199999999999996"/>
    <n v="2"/>
  </r>
  <r>
    <s v="ALBANY BAKERIES (BELLVILLE)"/>
    <x v="4"/>
    <x v="146"/>
    <x v="146"/>
    <x v="6"/>
    <x v="133"/>
    <x v="17"/>
    <x v="21"/>
    <n v="0"/>
    <n v="0"/>
    <n v="0"/>
    <x v="0"/>
    <x v="0"/>
    <n v="22.599999999999998"/>
    <n v="1"/>
  </r>
  <r>
    <s v="ALBANY BAKERIES (BELLVILLE)"/>
    <x v="4"/>
    <x v="147"/>
    <x v="147"/>
    <x v="48"/>
    <x v="132"/>
    <x v="17"/>
    <x v="21"/>
    <n v="0"/>
    <n v="0"/>
    <n v="0"/>
    <x v="0"/>
    <x v="0"/>
    <n v="279.87826086956522"/>
    <n v="14"/>
  </r>
  <r>
    <s v="ALBANY BAKERIES (BELLVILLE)"/>
    <x v="4"/>
    <x v="147"/>
    <x v="147"/>
    <x v="48"/>
    <x v="132"/>
    <x v="17"/>
    <x v="21"/>
    <n v="0"/>
    <n v="0"/>
    <n v="0"/>
    <x v="1"/>
    <x v="1"/>
    <n v="259.88695652173914"/>
    <n v="13"/>
  </r>
  <r>
    <s v="ALBANY BAKERIES (BELLVILLE)"/>
    <x v="4"/>
    <x v="147"/>
    <x v="147"/>
    <x v="48"/>
    <x v="132"/>
    <x v="17"/>
    <x v="21"/>
    <n v="0"/>
    <n v="0"/>
    <n v="0"/>
    <x v="2"/>
    <x v="2"/>
    <n v="197.91304347826087"/>
    <n v="10"/>
  </r>
  <r>
    <s v="ALBANY BAKERIES (BELLVILLE)"/>
    <x v="4"/>
    <x v="147"/>
    <x v="147"/>
    <x v="48"/>
    <x v="132"/>
    <x v="17"/>
    <x v="21"/>
    <n v="0"/>
    <n v="0"/>
    <n v="0"/>
    <x v="3"/>
    <x v="3"/>
    <n v="59.973913043478262"/>
    <n v="3"/>
  </r>
  <r>
    <s v="ALBANY BAKERIES (BELLVILLE)"/>
    <x v="4"/>
    <x v="148"/>
    <x v="148"/>
    <x v="38"/>
    <x v="131"/>
    <x v="17"/>
    <x v="21"/>
    <n v="0"/>
    <n v="0"/>
    <n v="0"/>
    <x v="0"/>
    <x v="0"/>
    <n v="37.979999999999997"/>
    <n v="2"/>
  </r>
  <r>
    <s v="ALBANY BAKERIES (BELLVILLE)"/>
    <x v="4"/>
    <x v="148"/>
    <x v="148"/>
    <x v="38"/>
    <x v="131"/>
    <x v="17"/>
    <x v="21"/>
    <n v="0"/>
    <n v="0"/>
    <n v="0"/>
    <x v="1"/>
    <x v="1"/>
    <n v="37.979999999999997"/>
    <n v="2"/>
  </r>
  <r>
    <s v="ALBANY BAKERIES (BELLVILLE)"/>
    <x v="4"/>
    <x v="148"/>
    <x v="148"/>
    <x v="38"/>
    <x v="131"/>
    <x v="17"/>
    <x v="21"/>
    <n v="0"/>
    <n v="0"/>
    <n v="0"/>
    <x v="2"/>
    <x v="2"/>
    <n v="18.04"/>
    <n v="1"/>
  </r>
  <r>
    <s v="ALBANY BAKERIES (BELLVILLE)"/>
    <x v="4"/>
    <x v="148"/>
    <x v="148"/>
    <x v="38"/>
    <x v="131"/>
    <x v="17"/>
    <x v="21"/>
    <n v="0"/>
    <n v="0"/>
    <n v="0"/>
    <x v="3"/>
    <x v="3"/>
    <n v="18.989999999999998"/>
    <n v="1"/>
  </r>
  <r>
    <s v="ESSENTIAL FD:BAKERY DIV PIONEE"/>
    <x v="4"/>
    <x v="149"/>
    <x v="149"/>
    <x v="52"/>
    <x v="115"/>
    <x v="17"/>
    <x v="21"/>
    <n v="0"/>
    <n v="0"/>
    <n v="0"/>
    <x v="0"/>
    <x v="0"/>
    <n v="91.47"/>
    <n v="3"/>
  </r>
  <r>
    <s v="ESSENTIAL FD:BAKERY DIV PIONEE"/>
    <x v="4"/>
    <x v="149"/>
    <x v="149"/>
    <x v="52"/>
    <x v="115"/>
    <x v="17"/>
    <x v="21"/>
    <n v="0"/>
    <n v="0"/>
    <n v="0"/>
    <x v="1"/>
    <x v="1"/>
    <n v="182.94"/>
    <n v="6"/>
  </r>
  <r>
    <s v="ESSENTIAL FD:BAKERY DIV PIONEE"/>
    <x v="4"/>
    <x v="149"/>
    <x v="149"/>
    <x v="52"/>
    <x v="115"/>
    <x v="17"/>
    <x v="21"/>
    <n v="0"/>
    <n v="0"/>
    <n v="0"/>
    <x v="2"/>
    <x v="2"/>
    <n v="60.98"/>
    <n v="2"/>
  </r>
  <r>
    <s v="ESSENTIAL FD:BAKERY DIV PIONEE"/>
    <x v="4"/>
    <x v="149"/>
    <x v="149"/>
    <x v="52"/>
    <x v="115"/>
    <x v="17"/>
    <x v="21"/>
    <n v="0"/>
    <n v="0"/>
    <n v="0"/>
    <x v="3"/>
    <x v="3"/>
    <n v="121.96"/>
    <n v="4"/>
  </r>
  <r>
    <s v="SPAR WESTERN CAPE"/>
    <x v="4"/>
    <x v="150"/>
    <x v="150"/>
    <x v="17"/>
    <x v="99"/>
    <x v="17"/>
    <x v="21"/>
    <n v="0"/>
    <n v="0"/>
    <n v="0"/>
    <x v="0"/>
    <x v="0"/>
    <n v="65.19130434782609"/>
    <n v="3"/>
  </r>
  <r>
    <s v="SPAR WESTERN CAPE"/>
    <x v="4"/>
    <x v="150"/>
    <x v="150"/>
    <x v="17"/>
    <x v="99"/>
    <x v="17"/>
    <x v="21"/>
    <n v="0"/>
    <n v="0"/>
    <n v="0"/>
    <x v="1"/>
    <x v="1"/>
    <n v="369.41739130434786"/>
    <n v="17"/>
  </r>
  <r>
    <s v="SPAR WESTERN CAPE"/>
    <x v="4"/>
    <x v="150"/>
    <x v="150"/>
    <x v="17"/>
    <x v="99"/>
    <x v="17"/>
    <x v="21"/>
    <n v="0"/>
    <n v="0"/>
    <n v="0"/>
    <x v="2"/>
    <x v="2"/>
    <n v="173.84347826086957"/>
    <n v="8"/>
  </r>
  <r>
    <s v="SPAR WESTERN CAPE"/>
    <x v="4"/>
    <x v="150"/>
    <x v="150"/>
    <x v="17"/>
    <x v="99"/>
    <x v="17"/>
    <x v="21"/>
    <n v="0"/>
    <n v="0"/>
    <n v="0"/>
    <x v="3"/>
    <x v="3"/>
    <n v="733.4"/>
    <n v="35"/>
  </r>
  <r>
    <s v="BAKERY PRODUCTS"/>
    <x v="5"/>
    <x v="151"/>
    <x v="151"/>
    <x v="38"/>
    <x v="134"/>
    <x v="25"/>
    <x v="41"/>
    <n v="914.19"/>
    <n v="851.87999999999988"/>
    <n v="48.235913638757232"/>
    <x v="0"/>
    <x v="0"/>
    <n v="132.10434782608695"/>
    <n v="8"/>
  </r>
  <r>
    <s v="BAKERY PRODUCTS"/>
    <x v="5"/>
    <x v="151"/>
    <x v="151"/>
    <x v="38"/>
    <x v="134"/>
    <x v="25"/>
    <x v="41"/>
    <n v="914.19"/>
    <n v="851.87999999999988"/>
    <n v="48.235913638757232"/>
    <x v="1"/>
    <x v="1"/>
    <n v="49.539130434782606"/>
    <n v="3"/>
  </r>
  <r>
    <s v="BAKERY PRODUCTS"/>
    <x v="5"/>
    <x v="151"/>
    <x v="151"/>
    <x v="38"/>
    <x v="134"/>
    <x v="25"/>
    <x v="41"/>
    <n v="914.19"/>
    <n v="851.87999999999988"/>
    <n v="48.235913638757232"/>
    <x v="2"/>
    <x v="2"/>
    <n v="99.078260869565213"/>
    <n v="6"/>
  </r>
  <r>
    <s v="BAKERY PRODUCTS"/>
    <x v="5"/>
    <x v="151"/>
    <x v="151"/>
    <x v="38"/>
    <x v="134"/>
    <x v="25"/>
    <x v="41"/>
    <n v="914.19"/>
    <n v="851.87999999999988"/>
    <n v="48.235913638757232"/>
    <x v="3"/>
    <x v="3"/>
    <n v="198.15652173913043"/>
    <n v="12"/>
  </r>
  <r>
    <s v="SPAR WESTERN CAPE"/>
    <x v="5"/>
    <x v="152"/>
    <x v="152"/>
    <x v="48"/>
    <x v="135"/>
    <x v="17"/>
    <x v="21"/>
    <n v="0"/>
    <n v="0"/>
    <n v="0"/>
    <x v="3"/>
    <x v="3"/>
    <n v="19.991304347826087"/>
    <n v="1"/>
  </r>
  <r>
    <s v="SPAR WESTERN CAPE"/>
    <x v="5"/>
    <x v="153"/>
    <x v="153"/>
    <x v="53"/>
    <x v="136"/>
    <x v="17"/>
    <x v="21"/>
    <n v="0"/>
    <n v="0"/>
    <n v="0"/>
    <x v="0"/>
    <x v="0"/>
    <n v="90.417391304347831"/>
    <n v="2"/>
  </r>
  <r>
    <s v="SPAR WESTERN CAPE"/>
    <x v="5"/>
    <x v="154"/>
    <x v="154"/>
    <x v="54"/>
    <x v="137"/>
    <x v="17"/>
    <x v="21"/>
    <n v="0"/>
    <n v="0"/>
    <n v="0"/>
    <x v="0"/>
    <x v="0"/>
    <n v="34.77391304347826"/>
    <n v="1"/>
  </r>
  <r>
    <s v="SPAR WESTERN CAPE"/>
    <x v="5"/>
    <x v="154"/>
    <x v="154"/>
    <x v="54"/>
    <x v="137"/>
    <x v="17"/>
    <x v="21"/>
    <n v="0"/>
    <n v="0"/>
    <n v="0"/>
    <x v="1"/>
    <x v="1"/>
    <n v="173.86956521739128"/>
    <n v="5"/>
  </r>
  <r>
    <s v="SPAR WESTERN CAPE"/>
    <x v="5"/>
    <x v="154"/>
    <x v="154"/>
    <x v="54"/>
    <x v="137"/>
    <x v="17"/>
    <x v="21"/>
    <n v="0"/>
    <n v="0"/>
    <n v="0"/>
    <x v="2"/>
    <x v="2"/>
    <n v="34.77391304347826"/>
    <n v="1"/>
  </r>
  <r>
    <s v="SPAR WESTERN CAPE"/>
    <x v="5"/>
    <x v="154"/>
    <x v="154"/>
    <x v="54"/>
    <x v="137"/>
    <x v="17"/>
    <x v="21"/>
    <n v="0"/>
    <n v="0"/>
    <n v="0"/>
    <x v="3"/>
    <x v="3"/>
    <n v="34.77391304347826"/>
    <n v="1"/>
  </r>
  <r>
    <s v="SPAR WESTERN CAPE"/>
    <x v="5"/>
    <x v="155"/>
    <x v="155"/>
    <x v="55"/>
    <x v="138"/>
    <x v="17"/>
    <x v="21"/>
    <n v="0"/>
    <n v="0"/>
    <n v="0"/>
    <x v="0"/>
    <x v="0"/>
    <n v="38.252173913043478"/>
    <n v="1"/>
  </r>
  <r>
    <s v="SPAR WESTERN CAPE"/>
    <x v="5"/>
    <x v="156"/>
    <x v="156"/>
    <x v="55"/>
    <x v="138"/>
    <x v="17"/>
    <x v="21"/>
    <n v="0"/>
    <n v="0"/>
    <n v="0"/>
    <x v="0"/>
    <x v="0"/>
    <n v="114.75652173913043"/>
    <n v="3"/>
  </r>
  <r>
    <s v="SPAR WESTERN CAPE"/>
    <x v="5"/>
    <x v="156"/>
    <x v="156"/>
    <x v="55"/>
    <x v="138"/>
    <x v="17"/>
    <x v="21"/>
    <n v="0"/>
    <n v="0"/>
    <n v="0"/>
    <x v="3"/>
    <x v="3"/>
    <n v="76.504347826086956"/>
    <n v="2"/>
  </r>
  <r>
    <s v="SPAR WESTERN CAPE"/>
    <x v="5"/>
    <x v="157"/>
    <x v="157"/>
    <x v="34"/>
    <x v="139"/>
    <x v="17"/>
    <x v="21"/>
    <n v="0"/>
    <n v="0"/>
    <n v="0"/>
    <x v="0"/>
    <x v="0"/>
    <n v="37.382608695652173"/>
    <n v="1"/>
  </r>
  <r>
    <s v="SPAR WESTERN CAPE"/>
    <x v="5"/>
    <x v="158"/>
    <x v="158"/>
    <x v="56"/>
    <x v="140"/>
    <x v="17"/>
    <x v="21"/>
    <n v="0"/>
    <n v="0"/>
    <n v="0"/>
    <x v="1"/>
    <x v="1"/>
    <n v="50.426086956521743"/>
    <n v="1"/>
  </r>
  <r>
    <s v="SPAR WESTERN CAPE"/>
    <x v="5"/>
    <x v="159"/>
    <x v="159"/>
    <x v="53"/>
    <x v="141"/>
    <x v="17"/>
    <x v="21"/>
    <n v="0"/>
    <n v="0"/>
    <n v="0"/>
    <x v="0"/>
    <x v="0"/>
    <n v="180.83478260869566"/>
    <n v="4"/>
  </r>
  <r>
    <s v="SPAR WESTERN CAPE"/>
    <x v="5"/>
    <x v="160"/>
    <x v="160"/>
    <x v="57"/>
    <x v="142"/>
    <x v="17"/>
    <x v="21"/>
    <n v="0"/>
    <n v="0"/>
    <n v="0"/>
    <x v="0"/>
    <x v="0"/>
    <n v="33.904347826086962"/>
    <n v="1"/>
  </r>
  <r>
    <s v="SPAR WESTERN CAPE"/>
    <x v="5"/>
    <x v="161"/>
    <x v="161"/>
    <x v="58"/>
    <x v="143"/>
    <x v="17"/>
    <x v="21"/>
    <n v="0"/>
    <n v="0"/>
    <n v="0"/>
    <x v="0"/>
    <x v="0"/>
    <n v="52.165217391304353"/>
    <n v="1"/>
  </r>
  <r>
    <s v="SPAR WESTERN CAPE"/>
    <x v="5"/>
    <x v="161"/>
    <x v="161"/>
    <x v="58"/>
    <x v="143"/>
    <x v="17"/>
    <x v="21"/>
    <n v="0"/>
    <n v="0"/>
    <n v="0"/>
    <x v="1"/>
    <x v="1"/>
    <n v="104.33043478260871"/>
    <n v="2"/>
  </r>
  <r>
    <s v="SPAR WESTERN CAPE"/>
    <x v="5"/>
    <x v="161"/>
    <x v="161"/>
    <x v="58"/>
    <x v="143"/>
    <x v="17"/>
    <x v="21"/>
    <n v="0"/>
    <n v="0"/>
    <n v="0"/>
    <x v="3"/>
    <x v="3"/>
    <n v="156.49565217391304"/>
    <n v="3"/>
  </r>
  <r>
    <s v="SPAR WESTERN CAPE"/>
    <x v="5"/>
    <x v="162"/>
    <x v="162"/>
    <x v="58"/>
    <x v="143"/>
    <x v="17"/>
    <x v="21"/>
    <n v="0"/>
    <n v="0"/>
    <n v="0"/>
    <x v="0"/>
    <x v="0"/>
    <n v="52.165217391304353"/>
    <n v="1"/>
  </r>
  <r>
    <s v="BAKERY PRODUCTS"/>
    <x v="5"/>
    <x v="163"/>
    <x v="163"/>
    <x v="59"/>
    <x v="144"/>
    <x v="17"/>
    <x v="21"/>
    <n v="0"/>
    <n v="0"/>
    <n v="0"/>
    <x v="2"/>
    <x v="2"/>
    <n v="24.339130434782607"/>
    <n v="1"/>
  </r>
  <r>
    <s v="BAKERY PRODUCTS"/>
    <x v="5"/>
    <x v="163"/>
    <x v="163"/>
    <x v="59"/>
    <x v="144"/>
    <x v="17"/>
    <x v="21"/>
    <n v="0"/>
    <n v="0"/>
    <n v="0"/>
    <x v="3"/>
    <x v="3"/>
    <n v="48.678260869565214"/>
    <n v="2"/>
  </r>
  <r>
    <s v="SPAR WESTERN CAPE"/>
    <x v="5"/>
    <x v="164"/>
    <x v="164"/>
    <x v="58"/>
    <x v="143"/>
    <x v="17"/>
    <x v="21"/>
    <n v="0"/>
    <n v="0"/>
    <n v="0"/>
    <x v="0"/>
    <x v="0"/>
    <n v="52.165217391304353"/>
    <n v="1"/>
  </r>
  <r>
    <s v="SPAR WESTERN CAPE"/>
    <x v="5"/>
    <x v="164"/>
    <x v="164"/>
    <x v="58"/>
    <x v="143"/>
    <x v="17"/>
    <x v="21"/>
    <n v="0"/>
    <n v="0"/>
    <n v="0"/>
    <x v="1"/>
    <x v="1"/>
    <n v="104.33043478260871"/>
    <n v="2"/>
  </r>
  <r>
    <s v="SPAR WESTERN CAPE"/>
    <x v="5"/>
    <x v="164"/>
    <x v="164"/>
    <x v="58"/>
    <x v="143"/>
    <x v="17"/>
    <x v="21"/>
    <n v="0"/>
    <n v="0"/>
    <n v="0"/>
    <x v="2"/>
    <x v="2"/>
    <n v="101.72173913043478"/>
    <n v="2"/>
  </r>
  <r>
    <s v="SPAR WESTERN CAPE"/>
    <x v="6"/>
    <x v="165"/>
    <x v="165"/>
    <x v="60"/>
    <x v="145"/>
    <x v="17"/>
    <x v="21"/>
    <n v="0"/>
    <n v="0"/>
    <n v="0"/>
    <x v="2"/>
    <x v="2"/>
    <n v="37.165217391304353"/>
    <n v="1"/>
  </r>
  <r>
    <s v="SPAR WESTERN CAPE"/>
    <x v="6"/>
    <x v="165"/>
    <x v="165"/>
    <x v="60"/>
    <x v="145"/>
    <x v="17"/>
    <x v="21"/>
    <n v="0"/>
    <n v="0"/>
    <n v="0"/>
    <x v="3"/>
    <x v="3"/>
    <n v="39.121739130434783"/>
    <n v="1"/>
  </r>
  <r>
    <s v="SPAR WESTERN CAPE"/>
    <x v="6"/>
    <x v="166"/>
    <x v="166"/>
    <x v="7"/>
    <x v="146"/>
    <x v="17"/>
    <x v="21"/>
    <n v="0"/>
    <n v="0"/>
    <n v="0"/>
    <x v="2"/>
    <x v="2"/>
    <n v="34.765217391304347"/>
    <n v="2"/>
  </r>
  <r>
    <s v="SPAR WESTERN CAPE"/>
    <x v="6"/>
    <x v="166"/>
    <x v="166"/>
    <x v="7"/>
    <x v="146"/>
    <x v="17"/>
    <x v="21"/>
    <n v="0"/>
    <n v="0"/>
    <n v="0"/>
    <x v="3"/>
    <x v="3"/>
    <n v="34.765217391304347"/>
    <n v="2"/>
  </r>
  <r>
    <s v="SPAR WESTERN CAPE"/>
    <x v="6"/>
    <x v="167"/>
    <x v="167"/>
    <x v="61"/>
    <x v="147"/>
    <x v="17"/>
    <x v="21"/>
    <n v="0"/>
    <n v="0"/>
    <n v="0"/>
    <x v="1"/>
    <x v="1"/>
    <n v="102.6"/>
    <n v="1"/>
  </r>
  <r>
    <s v="SPAR WESTERN CAPE"/>
    <x v="6"/>
    <x v="168"/>
    <x v="168"/>
    <x v="62"/>
    <x v="148"/>
    <x v="17"/>
    <x v="21"/>
    <n v="0"/>
    <n v="0"/>
    <n v="0"/>
    <x v="3"/>
    <x v="3"/>
    <n v="79.982608695652175"/>
    <n v="2"/>
  </r>
  <r>
    <s v="SPAR WESTERN CAPE"/>
    <x v="6"/>
    <x v="169"/>
    <x v="169"/>
    <x v="21"/>
    <x v="24"/>
    <x v="17"/>
    <x v="21"/>
    <n v="0"/>
    <n v="0"/>
    <n v="0"/>
    <x v="2"/>
    <x v="2"/>
    <n v="62.599999999999994"/>
    <n v="1"/>
  </r>
  <r>
    <s v="SPAR WESTERN CAPE"/>
    <x v="6"/>
    <x v="170"/>
    <x v="170"/>
    <x v="21"/>
    <x v="24"/>
    <x v="17"/>
    <x v="21"/>
    <n v="0"/>
    <n v="0"/>
    <n v="0"/>
    <x v="2"/>
    <x v="2"/>
    <n v="62.599999999999994"/>
    <n v="1"/>
  </r>
  <r>
    <s v="SPAR WESTERN CAPE"/>
    <x v="6"/>
    <x v="171"/>
    <x v="171"/>
    <x v="32"/>
    <x v="47"/>
    <x v="17"/>
    <x v="21"/>
    <n v="0"/>
    <n v="0"/>
    <n v="0"/>
    <x v="1"/>
    <x v="1"/>
    <n v="43.469565217391306"/>
    <n v="1"/>
  </r>
  <r>
    <s v="SPAR WESTERN CAPE"/>
    <x v="6"/>
    <x v="171"/>
    <x v="171"/>
    <x v="32"/>
    <x v="47"/>
    <x v="17"/>
    <x v="21"/>
    <n v="0"/>
    <n v="0"/>
    <n v="0"/>
    <x v="3"/>
    <x v="3"/>
    <n v="43.469565217391306"/>
    <n v="1"/>
  </r>
  <r>
    <s v="SPAR WESTERN CAPE"/>
    <x v="6"/>
    <x v="172"/>
    <x v="172"/>
    <x v="21"/>
    <x v="24"/>
    <x v="17"/>
    <x v="21"/>
    <n v="0"/>
    <n v="0"/>
    <n v="0"/>
    <x v="1"/>
    <x v="1"/>
    <n v="62.599999999999994"/>
    <n v="1"/>
  </r>
  <r>
    <s v="SPAR WESTERN CAPE"/>
    <x v="6"/>
    <x v="173"/>
    <x v="173"/>
    <x v="63"/>
    <x v="149"/>
    <x v="17"/>
    <x v="21"/>
    <n v="0"/>
    <n v="0"/>
    <n v="0"/>
    <x v="1"/>
    <x v="1"/>
    <n v="156.51304347826087"/>
    <n v="1"/>
  </r>
  <r>
    <s v="SPAR WESTERN CAPE"/>
    <x v="6"/>
    <x v="174"/>
    <x v="174"/>
    <x v="58"/>
    <x v="150"/>
    <x v="17"/>
    <x v="21"/>
    <n v="0"/>
    <n v="0"/>
    <n v="0"/>
    <x v="1"/>
    <x v="1"/>
    <n v="52.165217391304353"/>
    <n v="1"/>
  </r>
  <r>
    <s v="SPAR WESTERN CAPE"/>
    <x v="6"/>
    <x v="175"/>
    <x v="175"/>
    <x v="64"/>
    <x v="151"/>
    <x v="17"/>
    <x v="21"/>
    <n v="0"/>
    <n v="0"/>
    <n v="0"/>
    <x v="0"/>
    <x v="0"/>
    <n v="84.339130434782604"/>
    <n v="1"/>
  </r>
  <r>
    <s v="SPAR WESTERN CAPE"/>
    <x v="6"/>
    <x v="176"/>
    <x v="176"/>
    <x v="65"/>
    <x v="152"/>
    <x v="17"/>
    <x v="21"/>
    <n v="0"/>
    <n v="0"/>
    <n v="0"/>
    <x v="0"/>
    <x v="0"/>
    <n v="73.026086956521738"/>
    <n v="2"/>
  </r>
  <r>
    <s v="SPAR WESTERN CAPE"/>
    <x v="6"/>
    <x v="176"/>
    <x v="176"/>
    <x v="65"/>
    <x v="152"/>
    <x v="17"/>
    <x v="21"/>
    <n v="0"/>
    <n v="0"/>
    <n v="0"/>
    <x v="1"/>
    <x v="1"/>
    <n v="109.53913043478261"/>
    <n v="3"/>
  </r>
  <r>
    <s v="SPAR WESTERN CAPE"/>
    <x v="6"/>
    <x v="176"/>
    <x v="176"/>
    <x v="65"/>
    <x v="152"/>
    <x v="17"/>
    <x v="21"/>
    <n v="0"/>
    <n v="0"/>
    <n v="0"/>
    <x v="2"/>
    <x v="2"/>
    <n v="36.513043478260869"/>
    <n v="1"/>
  </r>
  <r>
    <s v="SPAR WESTERN CAPE"/>
    <x v="6"/>
    <x v="177"/>
    <x v="177"/>
    <x v="66"/>
    <x v="153"/>
    <x v="17"/>
    <x v="21"/>
    <n v="0"/>
    <n v="0"/>
    <n v="0"/>
    <x v="1"/>
    <x v="1"/>
    <n v="139.11304347826086"/>
    <n v="2"/>
  </r>
  <r>
    <s v="SPAR WESTERN CAPE"/>
    <x v="6"/>
    <x v="177"/>
    <x v="177"/>
    <x v="66"/>
    <x v="153"/>
    <x v="17"/>
    <x v="21"/>
    <n v="0"/>
    <n v="0"/>
    <n v="0"/>
    <x v="2"/>
    <x v="2"/>
    <n v="69.556521739130432"/>
    <n v="1"/>
  </r>
  <r>
    <s v="SPAR WESTERN CAPE"/>
    <x v="6"/>
    <x v="178"/>
    <x v="178"/>
    <x v="12"/>
    <x v="154"/>
    <x v="17"/>
    <x v="21"/>
    <n v="0"/>
    <n v="0"/>
    <n v="0"/>
    <x v="1"/>
    <x v="1"/>
    <n v="57.365217391304348"/>
    <n v="3"/>
  </r>
  <r>
    <s v="SPAR WESTERN CAPE"/>
    <x v="6"/>
    <x v="178"/>
    <x v="178"/>
    <x v="12"/>
    <x v="154"/>
    <x v="17"/>
    <x v="21"/>
    <n v="0"/>
    <n v="0"/>
    <n v="0"/>
    <x v="2"/>
    <x v="2"/>
    <n v="37.286956521739128"/>
    <n v="2"/>
  </r>
  <r>
    <s v="SPAR WESTERN CAPE"/>
    <x v="6"/>
    <x v="178"/>
    <x v="178"/>
    <x v="12"/>
    <x v="154"/>
    <x v="17"/>
    <x v="21"/>
    <n v="0"/>
    <n v="0"/>
    <n v="0"/>
    <x v="3"/>
    <x v="3"/>
    <n v="76.486956521739131"/>
    <n v="4"/>
  </r>
  <r>
    <s v="SPAR WESTERN CAPE"/>
    <x v="7"/>
    <x v="179"/>
    <x v="179"/>
    <x v="67"/>
    <x v="155"/>
    <x v="17"/>
    <x v="21"/>
    <n v="0"/>
    <n v="0"/>
    <n v="0"/>
    <x v="1"/>
    <x v="1"/>
    <n v="59.121739130434776"/>
    <n v="1"/>
  </r>
  <r>
    <s v="SPAR WESTERN CAPE"/>
    <x v="7"/>
    <x v="180"/>
    <x v="180"/>
    <x v="67"/>
    <x v="155"/>
    <x v="17"/>
    <x v="21"/>
    <n v="0"/>
    <n v="0"/>
    <n v="0"/>
    <x v="3"/>
    <x v="3"/>
    <n v="59.121739130434776"/>
    <n v="1"/>
  </r>
  <r>
    <s v="SPAR WESTERN CAPE"/>
    <x v="7"/>
    <x v="181"/>
    <x v="181"/>
    <x v="68"/>
    <x v="156"/>
    <x v="17"/>
    <x v="21"/>
    <n v="0"/>
    <n v="0"/>
    <n v="0"/>
    <x v="1"/>
    <x v="1"/>
    <n v="95.643478260869557"/>
    <n v="1"/>
  </r>
  <r>
    <s v="SPAR WESTERN CAPE"/>
    <x v="7"/>
    <x v="182"/>
    <x v="182"/>
    <x v="68"/>
    <x v="156"/>
    <x v="17"/>
    <x v="21"/>
    <n v="0"/>
    <n v="0"/>
    <n v="0"/>
    <x v="0"/>
    <x v="0"/>
    <n v="191.28695652173911"/>
    <n v="2"/>
  </r>
  <r>
    <s v="SPAR WESTERN CAPE"/>
    <x v="7"/>
    <x v="182"/>
    <x v="182"/>
    <x v="68"/>
    <x v="156"/>
    <x v="17"/>
    <x v="21"/>
    <n v="0"/>
    <n v="0"/>
    <n v="0"/>
    <x v="1"/>
    <x v="1"/>
    <n v="95.643478260869557"/>
    <n v="1"/>
  </r>
  <r>
    <s v="SPAR WESTERN CAPE"/>
    <x v="7"/>
    <x v="182"/>
    <x v="182"/>
    <x v="68"/>
    <x v="156"/>
    <x v="17"/>
    <x v="21"/>
    <n v="0"/>
    <n v="0"/>
    <n v="0"/>
    <x v="3"/>
    <x v="3"/>
    <n v="95.643478260869557"/>
    <n v="1"/>
  </r>
  <r>
    <s v="SPAR WESTERN CAPE"/>
    <x v="7"/>
    <x v="183"/>
    <x v="183"/>
    <x v="67"/>
    <x v="155"/>
    <x v="17"/>
    <x v="21"/>
    <n v="0"/>
    <n v="0"/>
    <n v="0"/>
    <x v="3"/>
    <x v="3"/>
    <n v="59.121739130434776"/>
    <n v="1"/>
  </r>
  <r>
    <s v="SPAR WESTERN CAPE"/>
    <x v="7"/>
    <x v="184"/>
    <x v="184"/>
    <x v="19"/>
    <x v="22"/>
    <x v="17"/>
    <x v="21"/>
    <n v="0"/>
    <n v="0"/>
    <n v="0"/>
    <x v="0"/>
    <x v="0"/>
    <n v="60.860869565217385"/>
    <n v="1"/>
  </r>
  <r>
    <s v="SPAR WESTERN CAPE"/>
    <x v="7"/>
    <x v="184"/>
    <x v="184"/>
    <x v="19"/>
    <x v="22"/>
    <x v="17"/>
    <x v="21"/>
    <n v="0"/>
    <n v="0"/>
    <n v="0"/>
    <x v="2"/>
    <x v="2"/>
    <n v="57.817391304347822"/>
    <n v="1"/>
  </r>
  <r>
    <s v="SPAR WESTERN CAPE"/>
    <x v="7"/>
    <x v="185"/>
    <x v="185"/>
    <x v="19"/>
    <x v="22"/>
    <x v="17"/>
    <x v="21"/>
    <n v="0"/>
    <n v="0"/>
    <n v="0"/>
    <x v="1"/>
    <x v="1"/>
    <n v="60.860869565217385"/>
    <n v="1"/>
  </r>
  <r>
    <s v="BONHEUR BESKUIT"/>
    <x v="7"/>
    <x v="186"/>
    <x v="186"/>
    <x v="69"/>
    <x v="157"/>
    <x v="17"/>
    <x v="21"/>
    <n v="0"/>
    <n v="0"/>
    <n v="0"/>
    <x v="0"/>
    <x v="0"/>
    <n v="74.77391304347826"/>
    <n v="1"/>
  </r>
  <r>
    <s v="BONHEUR BESKUIT"/>
    <x v="7"/>
    <x v="187"/>
    <x v="187"/>
    <x v="69"/>
    <x v="157"/>
    <x v="17"/>
    <x v="21"/>
    <n v="0"/>
    <n v="0"/>
    <n v="0"/>
    <x v="0"/>
    <x v="0"/>
    <n v="74.77391304347826"/>
    <n v="1"/>
  </r>
  <r>
    <s v="ALBANY BAKERIES (BELLVILLE)"/>
    <x v="8"/>
    <x v="188"/>
    <x v="188"/>
    <x v="41"/>
    <x v="158"/>
    <x v="17"/>
    <x v="21"/>
    <n v="0"/>
    <n v="0"/>
    <n v="0"/>
    <x v="0"/>
    <x v="0"/>
    <n v="26.060869565217391"/>
    <n v="3"/>
  </r>
  <r>
    <s v="ALBANY BAKERIES (BELLVILLE)"/>
    <x v="8"/>
    <x v="188"/>
    <x v="188"/>
    <x v="41"/>
    <x v="158"/>
    <x v="17"/>
    <x v="21"/>
    <n v="0"/>
    <n v="0"/>
    <n v="0"/>
    <x v="1"/>
    <x v="1"/>
    <n v="26.060869565217391"/>
    <n v="3"/>
  </r>
  <r>
    <s v="ALBANY BAKERIES (BELLVILLE)"/>
    <x v="8"/>
    <x v="188"/>
    <x v="188"/>
    <x v="41"/>
    <x v="158"/>
    <x v="17"/>
    <x v="21"/>
    <n v="0"/>
    <n v="0"/>
    <n v="0"/>
    <x v="3"/>
    <x v="3"/>
    <n v="8.6869565217391305"/>
    <n v="1"/>
  </r>
  <r>
    <s v="ALBANY BAKERIES (BELLVILLE)"/>
    <x v="8"/>
    <x v="189"/>
    <x v="189"/>
    <x v="41"/>
    <x v="158"/>
    <x v="17"/>
    <x v="21"/>
    <n v="0"/>
    <n v="0"/>
    <n v="0"/>
    <x v="0"/>
    <x v="0"/>
    <n v="8.6869565217391305"/>
    <n v="1"/>
  </r>
  <r>
    <s v="ALBANY BAKERIES (BELLVILLE)"/>
    <x v="8"/>
    <x v="189"/>
    <x v="189"/>
    <x v="41"/>
    <x v="158"/>
    <x v="17"/>
    <x v="21"/>
    <n v="0"/>
    <n v="0"/>
    <n v="0"/>
    <x v="2"/>
    <x v="2"/>
    <n v="17.373913043478261"/>
    <n v="2"/>
  </r>
  <r>
    <s v="SPAR WESTERN CAPE"/>
    <x v="8"/>
    <x v="190"/>
    <x v="190"/>
    <x v="17"/>
    <x v="159"/>
    <x v="17"/>
    <x v="21"/>
    <n v="0"/>
    <n v="0"/>
    <n v="0"/>
    <x v="1"/>
    <x v="1"/>
    <n v="21.730434782608693"/>
    <n v="1"/>
  </r>
  <r>
    <s v="SPAR WESTERN CAPE"/>
    <x v="8"/>
    <x v="190"/>
    <x v="190"/>
    <x v="17"/>
    <x v="159"/>
    <x v="17"/>
    <x v="21"/>
    <n v="0"/>
    <n v="0"/>
    <n v="0"/>
    <x v="3"/>
    <x v="3"/>
    <n v="43.460869565217386"/>
    <n v="2"/>
  </r>
  <r>
    <s v="SPAR WESTERN CAPE"/>
    <x v="8"/>
    <x v="191"/>
    <x v="191"/>
    <x v="17"/>
    <x v="159"/>
    <x v="17"/>
    <x v="21"/>
    <n v="0"/>
    <n v="0"/>
    <n v="0"/>
    <x v="0"/>
    <x v="0"/>
    <n v="43.460869565217386"/>
    <n v="2"/>
  </r>
  <r>
    <s v="SPAR WESTERN CAPE"/>
    <x v="8"/>
    <x v="191"/>
    <x v="191"/>
    <x v="17"/>
    <x v="159"/>
    <x v="17"/>
    <x v="21"/>
    <n v="0"/>
    <n v="0"/>
    <n v="0"/>
    <x v="1"/>
    <x v="1"/>
    <n v="21.730434782608693"/>
    <n v="1"/>
  </r>
  <r>
    <s v="SPAR WESTERN CAPE"/>
    <x v="8"/>
    <x v="191"/>
    <x v="191"/>
    <x v="17"/>
    <x v="159"/>
    <x v="17"/>
    <x v="21"/>
    <n v="0"/>
    <n v="0"/>
    <n v="0"/>
    <x v="2"/>
    <x v="2"/>
    <n v="63.017391304347825"/>
    <n v="3"/>
  </r>
  <r>
    <s v="SPAR WESTERN CAPE"/>
    <x v="8"/>
    <x v="192"/>
    <x v="192"/>
    <x v="55"/>
    <x v="160"/>
    <x v="17"/>
    <x v="21"/>
    <n v="0"/>
    <n v="0"/>
    <n v="0"/>
    <x v="0"/>
    <x v="0"/>
    <n v="76.504347826086956"/>
    <n v="2"/>
  </r>
  <r>
    <s v="SPAR WESTERN CAPE"/>
    <x v="8"/>
    <x v="193"/>
    <x v="193"/>
    <x v="70"/>
    <x v="161"/>
    <x v="17"/>
    <x v="21"/>
    <n v="0"/>
    <n v="0"/>
    <n v="0"/>
    <x v="3"/>
    <x v="3"/>
    <n v="47.817391304347829"/>
    <n v="1"/>
  </r>
  <r>
    <s v="SPAR WESTERN CAPE"/>
    <x v="8"/>
    <x v="194"/>
    <x v="194"/>
    <x v="71"/>
    <x v="162"/>
    <x v="17"/>
    <x v="21"/>
    <n v="0"/>
    <n v="0"/>
    <n v="0"/>
    <x v="0"/>
    <x v="0"/>
    <n v="147.8086956521739"/>
    <n v="2"/>
  </r>
  <r>
    <s v="SPAR WESTERN CAPE"/>
    <x v="8"/>
    <x v="195"/>
    <x v="195"/>
    <x v="71"/>
    <x v="162"/>
    <x v="17"/>
    <x v="21"/>
    <n v="0"/>
    <n v="0"/>
    <n v="0"/>
    <x v="0"/>
    <x v="0"/>
    <n v="73.904347826086948"/>
    <n v="1"/>
  </r>
  <r>
    <s v="SPAR WESTERN CAPE"/>
    <x v="8"/>
    <x v="195"/>
    <x v="195"/>
    <x v="71"/>
    <x v="162"/>
    <x v="17"/>
    <x v="21"/>
    <n v="0"/>
    <n v="0"/>
    <n v="0"/>
    <x v="1"/>
    <x v="1"/>
    <n v="73.904347826086948"/>
    <n v="1"/>
  </r>
  <r>
    <s v="SPAR WESTERN CAPE"/>
    <x v="8"/>
    <x v="196"/>
    <x v="196"/>
    <x v="71"/>
    <x v="162"/>
    <x v="17"/>
    <x v="21"/>
    <n v="0"/>
    <n v="0"/>
    <n v="0"/>
    <x v="0"/>
    <x v="0"/>
    <n v="73.904347826086948"/>
    <n v="1"/>
  </r>
  <r>
    <s v="ALBANY BAKERIES (BELLVILLE)"/>
    <x v="8"/>
    <x v="197"/>
    <x v="197"/>
    <x v="41"/>
    <x v="158"/>
    <x v="17"/>
    <x v="21"/>
    <n v="0"/>
    <n v="0"/>
    <n v="0"/>
    <x v="0"/>
    <x v="0"/>
    <n v="34.747826086956522"/>
    <n v="4"/>
  </r>
  <r>
    <s v="ALBANY BAKERIES (BELLVILLE)"/>
    <x v="8"/>
    <x v="197"/>
    <x v="197"/>
    <x v="41"/>
    <x v="158"/>
    <x v="17"/>
    <x v="21"/>
    <n v="0"/>
    <n v="0"/>
    <n v="0"/>
    <x v="1"/>
    <x v="1"/>
    <n v="8.6869565217391305"/>
    <n v="1"/>
  </r>
  <r>
    <s v="ALBANY BAKERIES (BELLVILLE)"/>
    <x v="8"/>
    <x v="197"/>
    <x v="197"/>
    <x v="41"/>
    <x v="158"/>
    <x v="17"/>
    <x v="21"/>
    <n v="0"/>
    <n v="0"/>
    <n v="0"/>
    <x v="2"/>
    <x v="2"/>
    <n v="17.373913043478261"/>
    <n v="2"/>
  </r>
  <r>
    <s v="ALBANY BAKERIES (BELLVILLE)"/>
    <x v="8"/>
    <x v="197"/>
    <x v="197"/>
    <x v="41"/>
    <x v="158"/>
    <x v="17"/>
    <x v="21"/>
    <n v="0"/>
    <n v="0"/>
    <n v="0"/>
    <x v="3"/>
    <x v="3"/>
    <n v="34.747826086956522"/>
    <n v="4"/>
  </r>
  <r>
    <s v="ALBANY BAKERIES (BELLVILLE)"/>
    <x v="8"/>
    <x v="198"/>
    <x v="198"/>
    <x v="41"/>
    <x v="158"/>
    <x v="17"/>
    <x v="21"/>
    <n v="0"/>
    <n v="0"/>
    <n v="0"/>
    <x v="0"/>
    <x v="0"/>
    <n v="8.6869565217391305"/>
    <n v="1"/>
  </r>
  <r>
    <s v="ALBANY BAKERIES (BELLVILLE)"/>
    <x v="8"/>
    <x v="198"/>
    <x v="198"/>
    <x v="41"/>
    <x v="158"/>
    <x v="17"/>
    <x v="21"/>
    <n v="0"/>
    <n v="0"/>
    <n v="0"/>
    <x v="1"/>
    <x v="1"/>
    <n v="26.060869565217391"/>
    <n v="3"/>
  </r>
  <r>
    <s v="ALBANY BAKERIES (BELLVILLE)"/>
    <x v="8"/>
    <x v="198"/>
    <x v="198"/>
    <x v="41"/>
    <x v="158"/>
    <x v="17"/>
    <x v="21"/>
    <n v="0"/>
    <n v="0"/>
    <n v="0"/>
    <x v="2"/>
    <x v="2"/>
    <n v="8.6869565217391305"/>
    <n v="1"/>
  </r>
  <r>
    <s v="ALBANY BAKERIES (BELLVILLE)"/>
    <x v="8"/>
    <x v="198"/>
    <x v="198"/>
    <x v="41"/>
    <x v="158"/>
    <x v="17"/>
    <x v="21"/>
    <n v="0"/>
    <n v="0"/>
    <n v="0"/>
    <x v="3"/>
    <x v="3"/>
    <n v="17.373913043478261"/>
    <n v="2"/>
  </r>
  <r>
    <s v="ALBANY BAKERIES (BELLVILLE)"/>
    <x v="8"/>
    <x v="199"/>
    <x v="199"/>
    <x v="41"/>
    <x v="158"/>
    <x v="17"/>
    <x v="21"/>
    <n v="0"/>
    <n v="0"/>
    <n v="0"/>
    <x v="0"/>
    <x v="0"/>
    <n v="34.747826086956522"/>
    <n v="4"/>
  </r>
  <r>
    <s v="ALBANY BAKERIES (BELLVILLE)"/>
    <x v="8"/>
    <x v="199"/>
    <x v="199"/>
    <x v="41"/>
    <x v="158"/>
    <x v="17"/>
    <x v="21"/>
    <n v="0"/>
    <n v="0"/>
    <n v="0"/>
    <x v="1"/>
    <x v="1"/>
    <n v="52.121739130434783"/>
    <n v="6"/>
  </r>
  <r>
    <s v="ALBANY BAKERIES (BELLVILLE)"/>
    <x v="8"/>
    <x v="199"/>
    <x v="199"/>
    <x v="41"/>
    <x v="158"/>
    <x v="17"/>
    <x v="21"/>
    <n v="0"/>
    <n v="0"/>
    <n v="0"/>
    <x v="2"/>
    <x v="2"/>
    <n v="17.373913043478261"/>
    <n v="2"/>
  </r>
  <r>
    <s v="ALBANY BAKERIES (BELLVILLE)"/>
    <x v="8"/>
    <x v="199"/>
    <x v="199"/>
    <x v="41"/>
    <x v="158"/>
    <x v="17"/>
    <x v="21"/>
    <n v="0"/>
    <n v="0"/>
    <n v="0"/>
    <x v="3"/>
    <x v="3"/>
    <n v="26.060869565217391"/>
    <n v="3"/>
  </r>
  <r>
    <s v="ALBANY BAKERIES (BELLVILLE)"/>
    <x v="8"/>
    <x v="200"/>
    <x v="200"/>
    <x v="41"/>
    <x v="158"/>
    <x v="17"/>
    <x v="21"/>
    <n v="0"/>
    <n v="0"/>
    <n v="0"/>
    <x v="0"/>
    <x v="0"/>
    <n v="17.373913043478261"/>
    <n v="2"/>
  </r>
  <r>
    <s v="ALBANY BAKERIES (BELLVILLE)"/>
    <x v="8"/>
    <x v="200"/>
    <x v="200"/>
    <x v="41"/>
    <x v="158"/>
    <x v="17"/>
    <x v="21"/>
    <n v="0"/>
    <n v="0"/>
    <n v="0"/>
    <x v="1"/>
    <x v="1"/>
    <n v="8.6869565217391305"/>
    <n v="1"/>
  </r>
  <r>
    <s v="ALBANY BAKERIES (BELLVILLE)"/>
    <x v="8"/>
    <x v="200"/>
    <x v="200"/>
    <x v="41"/>
    <x v="158"/>
    <x v="17"/>
    <x v="21"/>
    <n v="0"/>
    <n v="0"/>
    <n v="0"/>
    <x v="2"/>
    <x v="2"/>
    <n v="17.373913043478261"/>
    <n v="2"/>
  </r>
  <r>
    <s v="ALBANY BAKERIES (BELLVILLE)"/>
    <x v="8"/>
    <x v="200"/>
    <x v="200"/>
    <x v="41"/>
    <x v="158"/>
    <x v="17"/>
    <x v="21"/>
    <n v="0"/>
    <n v="0"/>
    <n v="0"/>
    <x v="3"/>
    <x v="3"/>
    <n v="26.060869565217391"/>
    <n v="3"/>
  </r>
  <r>
    <s v="SPAR WESTERN CAPE"/>
    <x v="8"/>
    <x v="201"/>
    <x v="201"/>
    <x v="66"/>
    <x v="153"/>
    <x v="17"/>
    <x v="21"/>
    <n v="0"/>
    <n v="0"/>
    <n v="0"/>
    <x v="0"/>
    <x v="0"/>
    <n v="69.556521739130432"/>
    <n v="1"/>
  </r>
  <r>
    <s v="SPAR WESTERN CAPE"/>
    <x v="8"/>
    <x v="201"/>
    <x v="201"/>
    <x v="66"/>
    <x v="153"/>
    <x v="17"/>
    <x v="21"/>
    <n v="0"/>
    <n v="0"/>
    <n v="0"/>
    <x v="3"/>
    <x v="3"/>
    <n v="69.556521739130432"/>
    <n v="1"/>
  </r>
  <r>
    <s v="SPAR WESTERN CAPE"/>
    <x v="8"/>
    <x v="202"/>
    <x v="202"/>
    <x v="51"/>
    <x v="163"/>
    <x v="17"/>
    <x v="21"/>
    <n v="0"/>
    <n v="0"/>
    <n v="0"/>
    <x v="0"/>
    <x v="0"/>
    <n v="104.30434782608695"/>
    <n v="5"/>
  </r>
  <r>
    <s v="SPAR WESTERN CAPE"/>
    <x v="8"/>
    <x v="203"/>
    <x v="203"/>
    <x v="72"/>
    <x v="164"/>
    <x v="17"/>
    <x v="21"/>
    <n v="0"/>
    <n v="0"/>
    <n v="0"/>
    <x v="0"/>
    <x v="0"/>
    <n v="91.295652173913041"/>
    <n v="1"/>
  </r>
  <r>
    <s v="SPAR WESTERN CAPE"/>
    <x v="8"/>
    <x v="204"/>
    <x v="204"/>
    <x v="19"/>
    <x v="44"/>
    <x v="17"/>
    <x v="21"/>
    <n v="0"/>
    <n v="0"/>
    <n v="0"/>
    <x v="0"/>
    <x v="0"/>
    <n v="60.860869565217385"/>
    <n v="1"/>
  </r>
  <r>
    <s v="SPAR WESTERN CAPE"/>
    <x v="8"/>
    <x v="204"/>
    <x v="204"/>
    <x v="19"/>
    <x v="44"/>
    <x v="17"/>
    <x v="21"/>
    <n v="0"/>
    <n v="0"/>
    <n v="0"/>
    <x v="2"/>
    <x v="2"/>
    <n v="60.860869565217385"/>
    <n v="1"/>
  </r>
  <r>
    <s v="SPAR WESTERN CAPE"/>
    <x v="8"/>
    <x v="205"/>
    <x v="205"/>
    <x v="19"/>
    <x v="44"/>
    <x v="17"/>
    <x v="21"/>
    <n v="0"/>
    <n v="0"/>
    <n v="0"/>
    <x v="1"/>
    <x v="1"/>
    <n v="60.860869565217385"/>
    <n v="1"/>
  </r>
  <r>
    <s v="SPAR WESTERN CAPE"/>
    <x v="8"/>
    <x v="206"/>
    <x v="206"/>
    <x v="35"/>
    <x v="165"/>
    <x v="17"/>
    <x v="21"/>
    <n v="0"/>
    <n v="0"/>
    <n v="0"/>
    <x v="1"/>
    <x v="1"/>
    <n v="27.817391304347826"/>
    <n v="1"/>
  </r>
  <r>
    <s v="SPAR WESTERN CAPE"/>
    <x v="8"/>
    <x v="206"/>
    <x v="206"/>
    <x v="35"/>
    <x v="165"/>
    <x v="17"/>
    <x v="21"/>
    <n v="0"/>
    <n v="0"/>
    <n v="0"/>
    <x v="2"/>
    <x v="2"/>
    <n v="54.243478260869566"/>
    <n v="2"/>
  </r>
  <r>
    <s v="SPAR WESTERN CAPE"/>
    <x v="8"/>
    <x v="206"/>
    <x v="206"/>
    <x v="35"/>
    <x v="165"/>
    <x v="17"/>
    <x v="21"/>
    <n v="0"/>
    <n v="0"/>
    <n v="0"/>
    <x v="3"/>
    <x v="3"/>
    <n v="111.2695652173913"/>
    <n v="4"/>
  </r>
  <r>
    <s v="SPAR WESTERN CAPE"/>
    <x v="9"/>
    <x v="207"/>
    <x v="207"/>
    <x v="73"/>
    <x v="166"/>
    <x v="17"/>
    <x v="21"/>
    <n v="0"/>
    <n v="0"/>
    <n v="0"/>
    <x v="3"/>
    <x v="3"/>
    <n v="99.113043478260877"/>
    <n v="2"/>
  </r>
  <r>
    <s v="SPAR WESTERN CAPE"/>
    <x v="9"/>
    <x v="208"/>
    <x v="208"/>
    <x v="74"/>
    <x v="167"/>
    <x v="17"/>
    <x v="21"/>
    <n v="0"/>
    <n v="0"/>
    <n v="0"/>
    <x v="2"/>
    <x v="2"/>
    <n v="86.947826086956525"/>
    <n v="1"/>
  </r>
  <r>
    <s v="SPAR WESTERN CAPE"/>
    <x v="9"/>
    <x v="208"/>
    <x v="208"/>
    <x v="74"/>
    <x v="167"/>
    <x v="17"/>
    <x v="21"/>
    <n v="0"/>
    <n v="0"/>
    <n v="0"/>
    <x v="3"/>
    <x v="3"/>
    <n v="86.947826086956525"/>
    <n v="1"/>
  </r>
  <r>
    <s v="SPAR WESTERN CAPE"/>
    <x v="9"/>
    <x v="209"/>
    <x v="209"/>
    <x v="74"/>
    <x v="168"/>
    <x v="17"/>
    <x v="21"/>
    <n v="0"/>
    <n v="0"/>
    <n v="0"/>
    <x v="2"/>
    <x v="2"/>
    <n v="86.947826086956525"/>
    <n v="1"/>
  </r>
  <r>
    <s v="SPAR WESTERN CAPE"/>
    <x v="9"/>
    <x v="210"/>
    <x v="210"/>
    <x v="75"/>
    <x v="169"/>
    <x v="17"/>
    <x v="21"/>
    <n v="0"/>
    <n v="0"/>
    <n v="0"/>
    <x v="3"/>
    <x v="3"/>
    <n v="75.643478260869557"/>
    <n v="1"/>
  </r>
  <r>
    <s v="SPAR WESTERN CAPE"/>
    <x v="9"/>
    <x v="211"/>
    <x v="211"/>
    <x v="74"/>
    <x v="167"/>
    <x v="17"/>
    <x v="21"/>
    <n v="0"/>
    <n v="0"/>
    <n v="0"/>
    <x v="1"/>
    <x v="1"/>
    <n v="173.89565217391305"/>
    <n v="2"/>
  </r>
  <r>
    <s v="SPAR WESTERN CAPE"/>
    <x v="9"/>
    <x v="212"/>
    <x v="212"/>
    <x v="74"/>
    <x v="167"/>
    <x v="17"/>
    <x v="21"/>
    <n v="0"/>
    <n v="0"/>
    <n v="0"/>
    <x v="1"/>
    <x v="1"/>
    <n v="86.947826086956525"/>
    <n v="1"/>
  </r>
  <r>
    <s v="SPAR WESTERN CAPE"/>
    <x v="9"/>
    <x v="212"/>
    <x v="212"/>
    <x v="74"/>
    <x v="167"/>
    <x v="17"/>
    <x v="21"/>
    <n v="0"/>
    <n v="0"/>
    <n v="0"/>
    <x v="2"/>
    <x v="2"/>
    <n v="86.947826086956525"/>
    <n v="1"/>
  </r>
  <r>
    <s v="SPAR WESTERN CAPE"/>
    <x v="10"/>
    <x v="213"/>
    <x v="213"/>
    <x v="10"/>
    <x v="170"/>
    <x v="17"/>
    <x v="21"/>
    <n v="0"/>
    <n v="0"/>
    <n v="0"/>
    <x v="0"/>
    <x v="0"/>
    <n v="165.17391304347825"/>
    <n v="5"/>
  </r>
  <r>
    <s v="SPAR WESTERN CAPE"/>
    <x v="10"/>
    <x v="213"/>
    <x v="213"/>
    <x v="10"/>
    <x v="170"/>
    <x v="17"/>
    <x v="21"/>
    <n v="0"/>
    <n v="0"/>
    <n v="0"/>
    <x v="1"/>
    <x v="1"/>
    <n v="33.03478260869565"/>
    <n v="1"/>
  </r>
  <r>
    <s v="SPAR WESTERN CAPE"/>
    <x v="10"/>
    <x v="213"/>
    <x v="213"/>
    <x v="10"/>
    <x v="170"/>
    <x v="17"/>
    <x v="21"/>
    <n v="0"/>
    <n v="0"/>
    <n v="0"/>
    <x v="3"/>
    <x v="3"/>
    <n v="33.03478260869565"/>
    <n v="1"/>
  </r>
  <r>
    <s v="GEIIANSA"/>
    <x v="10"/>
    <x v="214"/>
    <x v="214"/>
    <x v="48"/>
    <x v="171"/>
    <x v="17"/>
    <x v="21"/>
    <n v="0"/>
    <n v="0"/>
    <n v="0"/>
    <x v="1"/>
    <x v="1"/>
    <n v="19.991304347826087"/>
    <n v="1"/>
  </r>
  <r>
    <s v="GEIIANSA"/>
    <x v="10"/>
    <x v="214"/>
    <x v="214"/>
    <x v="48"/>
    <x v="171"/>
    <x v="17"/>
    <x v="21"/>
    <n v="0"/>
    <n v="0"/>
    <n v="0"/>
    <x v="3"/>
    <x v="3"/>
    <n v="39.982608695652175"/>
    <n v="2"/>
  </r>
  <r>
    <s v="ALTAS TUISGEBAK BK"/>
    <x v="11"/>
    <x v="215"/>
    <x v="215"/>
    <x v="66"/>
    <x v="172"/>
    <x v="17"/>
    <x v="21"/>
    <n v="0"/>
    <n v="0"/>
    <n v="0"/>
    <x v="2"/>
    <x v="2"/>
    <n v="139.11304347826086"/>
    <n v="2"/>
  </r>
  <r>
    <s v="ALTAS TUISGEBAK BK"/>
    <x v="11"/>
    <x v="215"/>
    <x v="215"/>
    <x v="66"/>
    <x v="172"/>
    <x v="17"/>
    <x v="21"/>
    <n v="0"/>
    <n v="0"/>
    <n v="0"/>
    <x v="3"/>
    <x v="3"/>
    <n v="208.66956521739129"/>
    <n v="3"/>
  </r>
  <r>
    <s v="ALTAS TUISGEBAK BK"/>
    <x v="11"/>
    <x v="216"/>
    <x v="216"/>
    <x v="76"/>
    <x v="173"/>
    <x v="17"/>
    <x v="21"/>
    <n v="0"/>
    <n v="0"/>
    <n v="0"/>
    <x v="2"/>
    <x v="2"/>
    <n v="147.81739130434784"/>
    <n v="1"/>
  </r>
  <r>
    <s v="ALTAS TUISGEBAK BK"/>
    <x v="11"/>
    <x v="217"/>
    <x v="217"/>
    <x v="67"/>
    <x v="174"/>
    <x v="17"/>
    <x v="21"/>
    <n v="0"/>
    <n v="0"/>
    <n v="0"/>
    <x v="0"/>
    <x v="0"/>
    <n v="59.121739130434776"/>
    <n v="1"/>
  </r>
  <r>
    <s v="ALTAS TUISGEBAK BK"/>
    <x v="11"/>
    <x v="218"/>
    <x v="218"/>
    <x v="77"/>
    <x v="175"/>
    <x v="17"/>
    <x v="21"/>
    <n v="0"/>
    <n v="0"/>
    <n v="0"/>
    <x v="2"/>
    <x v="2"/>
    <n v="168.67826086956521"/>
    <n v="2"/>
  </r>
  <r>
    <s v="ALTAS TUISGEBAK BK"/>
    <x v="11"/>
    <x v="218"/>
    <x v="218"/>
    <x v="77"/>
    <x v="175"/>
    <x v="17"/>
    <x v="21"/>
    <n v="0"/>
    <n v="0"/>
    <n v="0"/>
    <x v="3"/>
    <x v="3"/>
    <n v="84.339130434782604"/>
    <n v="1"/>
  </r>
  <r>
    <s v="ALTAS TUISGEBAK BK"/>
    <x v="11"/>
    <x v="219"/>
    <x v="219"/>
    <x v="60"/>
    <x v="176"/>
    <x v="17"/>
    <x v="21"/>
    <n v="0"/>
    <n v="0"/>
    <n v="0"/>
    <x v="2"/>
    <x v="2"/>
    <n v="117.36521739130436"/>
    <n v="3"/>
  </r>
  <r>
    <s v="ALTAS TUISGEBAK BK"/>
    <x v="11"/>
    <x v="220"/>
    <x v="220"/>
    <x v="76"/>
    <x v="173"/>
    <x v="17"/>
    <x v="21"/>
    <n v="0"/>
    <n v="0"/>
    <n v="0"/>
    <x v="3"/>
    <x v="3"/>
    <n v="147.81739130434784"/>
    <n v="1"/>
  </r>
  <r>
    <s v="ALTAS TUISGEBAK BK"/>
    <x v="11"/>
    <x v="221"/>
    <x v="221"/>
    <x v="78"/>
    <x v="177"/>
    <x v="17"/>
    <x v="21"/>
    <n v="0"/>
    <n v="0"/>
    <n v="0"/>
    <x v="2"/>
    <x v="2"/>
    <n v="943.41739130434792"/>
    <n v="7"/>
  </r>
  <r>
    <s v="ALTAS TUISGEBAK BK"/>
    <x v="11"/>
    <x v="222"/>
    <x v="222"/>
    <x v="79"/>
    <x v="178"/>
    <x v="17"/>
    <x v="21"/>
    <n v="0"/>
    <n v="0"/>
    <n v="0"/>
    <x v="2"/>
    <x v="2"/>
    <n v="107.80869565217392"/>
    <n v="2"/>
  </r>
  <r>
    <s v="ALTAS TUISGEBAK BK"/>
    <x v="11"/>
    <x v="222"/>
    <x v="222"/>
    <x v="79"/>
    <x v="178"/>
    <x v="17"/>
    <x v="21"/>
    <n v="0"/>
    <n v="0"/>
    <n v="0"/>
    <x v="3"/>
    <x v="3"/>
    <n v="53.904347826086962"/>
    <n v="1"/>
  </r>
  <r>
    <s v="ALTAS TUISGEBAK BK"/>
    <x v="11"/>
    <x v="223"/>
    <x v="223"/>
    <x v="67"/>
    <x v="174"/>
    <x v="17"/>
    <x v="21"/>
    <n v="0"/>
    <n v="0"/>
    <n v="0"/>
    <x v="2"/>
    <x v="2"/>
    <n v="354.73043478260871"/>
    <n v="6"/>
  </r>
  <r>
    <s v="ALTAS TUISGEBAK BK"/>
    <x v="11"/>
    <x v="224"/>
    <x v="224"/>
    <x v="80"/>
    <x v="179"/>
    <x v="17"/>
    <x v="21"/>
    <n v="0"/>
    <n v="0"/>
    <n v="0"/>
    <x v="2"/>
    <x v="2"/>
    <n v="114.76521739130433"/>
    <n v="2"/>
  </r>
  <r>
    <s v="ALTAS TUISGEBAK BK"/>
    <x v="11"/>
    <x v="225"/>
    <x v="225"/>
    <x v="81"/>
    <x v="180"/>
    <x v="17"/>
    <x v="21"/>
    <n v="0"/>
    <n v="0"/>
    <n v="0"/>
    <x v="3"/>
    <x v="3"/>
    <n v="56.513043478260869"/>
    <n v="1"/>
  </r>
  <r>
    <s v="ALTAS TUISGEBAK BK"/>
    <x v="11"/>
    <x v="226"/>
    <x v="226"/>
    <x v="81"/>
    <x v="180"/>
    <x v="17"/>
    <x v="21"/>
    <n v="0"/>
    <n v="0"/>
    <n v="0"/>
    <x v="2"/>
    <x v="2"/>
    <n v="56.513043478260869"/>
    <n v="1"/>
  </r>
  <r>
    <s v="ALTAS TUISGEBAK BK"/>
    <x v="11"/>
    <x v="227"/>
    <x v="227"/>
    <x v="82"/>
    <x v="181"/>
    <x v="17"/>
    <x v="21"/>
    <n v="0"/>
    <n v="0"/>
    <n v="0"/>
    <x v="1"/>
    <x v="1"/>
    <n v="93.03478260869565"/>
    <n v="1"/>
  </r>
  <r>
    <s v="ALTAS TUISGEBAK BK"/>
    <x v="11"/>
    <x v="228"/>
    <x v="228"/>
    <x v="83"/>
    <x v="182"/>
    <x v="17"/>
    <x v="21"/>
    <n v="0"/>
    <n v="0"/>
    <n v="0"/>
    <x v="1"/>
    <x v="1"/>
    <n v="117.38260869565218"/>
    <n v="1"/>
  </r>
  <r>
    <s v="ALTAS TUISGEBAK BK"/>
    <x v="11"/>
    <x v="229"/>
    <x v="229"/>
    <x v="84"/>
    <x v="183"/>
    <x v="17"/>
    <x v="21"/>
    <n v="0"/>
    <n v="0"/>
    <n v="0"/>
    <x v="2"/>
    <x v="2"/>
    <n v="180.85217391304346"/>
    <n v="2"/>
  </r>
  <r>
    <s v="ALTAS TUISGEBAK BK"/>
    <x v="11"/>
    <x v="229"/>
    <x v="229"/>
    <x v="84"/>
    <x v="183"/>
    <x v="17"/>
    <x v="21"/>
    <n v="0"/>
    <n v="0"/>
    <n v="0"/>
    <x v="3"/>
    <x v="3"/>
    <n v="90.426086956521729"/>
    <n v="1"/>
  </r>
  <r>
    <s v="ALTAS TUISGEBAK BK"/>
    <x v="11"/>
    <x v="230"/>
    <x v="230"/>
    <x v="58"/>
    <x v="184"/>
    <x v="17"/>
    <x v="21"/>
    <n v="0"/>
    <n v="0"/>
    <n v="0"/>
    <x v="2"/>
    <x v="2"/>
    <n v="104.33043478260871"/>
    <n v="2"/>
  </r>
  <r>
    <s v="ALTAS TUISGEBAK BK"/>
    <x v="11"/>
    <x v="231"/>
    <x v="231"/>
    <x v="20"/>
    <x v="185"/>
    <x v="17"/>
    <x v="21"/>
    <n v="0"/>
    <n v="0"/>
    <n v="0"/>
    <x v="2"/>
    <x v="2"/>
    <n v="54.77391304347826"/>
    <n v="1"/>
  </r>
  <r>
    <s v="ALTAS TUISGEBAK BK"/>
    <x v="11"/>
    <x v="231"/>
    <x v="231"/>
    <x v="20"/>
    <x v="185"/>
    <x v="17"/>
    <x v="21"/>
    <n v="0"/>
    <n v="0"/>
    <n v="0"/>
    <x v="3"/>
    <x v="3"/>
    <n v="54.77391304347826"/>
    <n v="1"/>
  </r>
  <r>
    <s v="ALTAS TUISGEBAK BK"/>
    <x v="11"/>
    <x v="232"/>
    <x v="232"/>
    <x v="20"/>
    <x v="185"/>
    <x v="17"/>
    <x v="21"/>
    <n v="0"/>
    <n v="0"/>
    <n v="0"/>
    <x v="3"/>
    <x v="3"/>
    <n v="109.54782608695652"/>
    <n v="2"/>
  </r>
  <r>
    <s v="ALTAS TUISGEBAK BK"/>
    <x v="11"/>
    <x v="233"/>
    <x v="233"/>
    <x v="85"/>
    <x v="186"/>
    <x v="17"/>
    <x v="21"/>
    <n v="0"/>
    <n v="0"/>
    <n v="0"/>
    <x v="3"/>
    <x v="3"/>
    <n v="104.3391304347826"/>
    <n v="1"/>
  </r>
  <r>
    <s v="ALTAS TUISGEBAK BK"/>
    <x v="11"/>
    <x v="234"/>
    <x v="234"/>
    <x v="67"/>
    <x v="174"/>
    <x v="17"/>
    <x v="21"/>
    <n v="0"/>
    <n v="0"/>
    <n v="0"/>
    <x v="2"/>
    <x v="2"/>
    <n v="59.121739130434776"/>
    <n v="1"/>
  </r>
  <r>
    <s v="ALTAS TUISGEBAK BK"/>
    <x v="11"/>
    <x v="235"/>
    <x v="235"/>
    <x v="86"/>
    <x v="187"/>
    <x v="17"/>
    <x v="21"/>
    <n v="0"/>
    <n v="0"/>
    <n v="0"/>
    <x v="3"/>
    <x v="3"/>
    <n v="66.078260869565213"/>
    <n v="1"/>
  </r>
  <r>
    <s v="ALTAS TUISGEBAK BK"/>
    <x v="11"/>
    <x v="236"/>
    <x v="236"/>
    <x v="66"/>
    <x v="172"/>
    <x v="17"/>
    <x v="21"/>
    <n v="0"/>
    <n v="0"/>
    <n v="0"/>
    <x v="2"/>
    <x v="2"/>
    <n v="69.556521739130432"/>
    <n v="1"/>
  </r>
  <r>
    <s v="BAKERY PRODUCTS"/>
    <x v="12"/>
    <x v="237"/>
    <x v="237"/>
    <x v="18"/>
    <x v="82"/>
    <x v="16"/>
    <x v="20"/>
    <n v="48.66"/>
    <n v="47.28"/>
    <n v="49.280800500312701"/>
    <x v="2"/>
    <x v="2"/>
    <n v="13.904347826086957"/>
    <n v="1"/>
  </r>
  <r>
    <s v="BAKERY PRODUCTS"/>
    <x v="13"/>
    <x v="238"/>
    <x v="238"/>
    <x v="87"/>
    <x v="188"/>
    <x v="17"/>
    <x v="21"/>
    <n v="0"/>
    <n v="0"/>
    <n v="0"/>
    <x v="0"/>
    <x v="0"/>
    <n v="86.956521739130437"/>
    <n v="1"/>
  </r>
  <r>
    <s v="BAKERY PRODUCTS"/>
    <x v="13"/>
    <x v="239"/>
    <x v="239"/>
    <x v="88"/>
    <x v="189"/>
    <x v="17"/>
    <x v="21"/>
    <n v="0"/>
    <n v="0"/>
    <n v="0"/>
    <x v="0"/>
    <x v="0"/>
    <n v="104.34782608695652"/>
    <n v="1"/>
  </r>
  <r>
    <s v="BAKERY PRODUCTS"/>
    <x v="13"/>
    <x v="239"/>
    <x v="239"/>
    <x v="88"/>
    <x v="189"/>
    <x v="17"/>
    <x v="21"/>
    <n v="0"/>
    <n v="0"/>
    <n v="0"/>
    <x v="1"/>
    <x v="1"/>
    <n v="104.34782608695652"/>
    <n v="1"/>
  </r>
  <r>
    <s v="BAKERY PRODUCTS"/>
    <x v="13"/>
    <x v="240"/>
    <x v="240"/>
    <x v="41"/>
    <x v="190"/>
    <x v="17"/>
    <x v="21"/>
    <n v="0"/>
    <n v="0"/>
    <n v="0"/>
    <x v="0"/>
    <x v="0"/>
    <n v="17.373913043478261"/>
    <n v="2"/>
  </r>
  <r>
    <s v="BAKERY PRODUCTS"/>
    <x v="13"/>
    <x v="240"/>
    <x v="240"/>
    <x v="41"/>
    <x v="190"/>
    <x v="17"/>
    <x v="21"/>
    <n v="0"/>
    <n v="0"/>
    <n v="0"/>
    <x v="1"/>
    <x v="1"/>
    <n v="86.869565217391312"/>
    <n v="10"/>
  </r>
  <r>
    <s v="BAKERY PRODUCTS"/>
    <x v="13"/>
    <x v="240"/>
    <x v="240"/>
    <x v="41"/>
    <x v="190"/>
    <x v="17"/>
    <x v="21"/>
    <n v="0"/>
    <n v="0"/>
    <n v="0"/>
    <x v="2"/>
    <x v="2"/>
    <n v="8.6869565217391305"/>
    <n v="1"/>
  </r>
  <r>
    <s v="BAKERY PRODUCTS"/>
    <x v="14"/>
    <x v="241"/>
    <x v="241"/>
    <x v="66"/>
    <x v="191"/>
    <x v="17"/>
    <x v="21"/>
    <n v="0"/>
    <n v="0"/>
    <n v="0"/>
    <x v="0"/>
    <x v="0"/>
    <n v="69.556521739130432"/>
    <n v="1"/>
  </r>
  <r>
    <s v="BAKERY PRODUCTS"/>
    <x v="14"/>
    <x v="241"/>
    <x v="241"/>
    <x v="66"/>
    <x v="191"/>
    <x v="17"/>
    <x v="21"/>
    <n v="0"/>
    <n v="0"/>
    <n v="0"/>
    <x v="2"/>
    <x v="2"/>
    <n v="208.66956521739129"/>
    <n v="3"/>
  </r>
  <r>
    <s v="BAKERY PRODUCTS"/>
    <x v="15"/>
    <x v="242"/>
    <x v="242"/>
    <x v="46"/>
    <x v="192"/>
    <x v="17"/>
    <x v="21"/>
    <n v="0"/>
    <n v="0"/>
    <n v="0"/>
    <x v="1"/>
    <x v="1"/>
    <n v="6217.391304347826"/>
    <n v="130"/>
  </r>
  <r>
    <s v="BAKERY PRODUCTS"/>
    <x v="15"/>
    <x v="243"/>
    <x v="243"/>
    <x v="46"/>
    <x v="193"/>
    <x v="17"/>
    <x v="21"/>
    <n v="0"/>
    <n v="0"/>
    <n v="0"/>
    <x v="1"/>
    <x v="1"/>
    <n v="1043.4782608695652"/>
    <n v="2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050A75-9D8C-4486-8DFC-D1CF1CA1DE91}" name="PivotTable1" cacheId="44" applyNumberFormats="0" applyBorderFormats="0" applyFontFormats="0" applyPatternFormats="0" applyAlignmentFormats="0" applyWidthHeightFormats="1" dataCaption="Values" errorCaption="&quot;&quot;" showError="1" updatedVersion="8" minRefreshableVersion="3" showDrill="0" useAutoFormatting="1" itemPrintTitles="1" createdVersion="8" indent="0" compact="0" compactData="0" multipleFieldFilters="0">
  <location ref="A3:Q251" firstHeaderRow="1" firstDataRow="4" firstDataCol="7"/>
  <pivotFields count="15">
    <pivotField compact="0" outline="0" showAll="0"/>
    <pivotField axis="axisRow" compact="0" outline="0" showAll="0" sortType="ascending" defaultSubtota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  <pivotField axis="axisRow" compact="0" outline="0" showAll="0" defaultSubtotal="0">
      <items count="244">
        <item x="188"/>
        <item x="189"/>
        <item x="152"/>
        <item x="153"/>
        <item x="154"/>
        <item x="155"/>
        <item x="156"/>
        <item x="157"/>
        <item x="158"/>
        <item x="159"/>
        <item x="179"/>
        <item x="180"/>
        <item x="181"/>
        <item x="182"/>
        <item x="183"/>
        <item x="184"/>
        <item x="22"/>
        <item x="23"/>
        <item x="185"/>
        <item x="24"/>
        <item x="106"/>
        <item x="165"/>
        <item x="107"/>
        <item x="108"/>
        <item x="109"/>
        <item x="213"/>
        <item x="110"/>
        <item x="111"/>
        <item x="190"/>
        <item x="191"/>
        <item x="112"/>
        <item x="113"/>
        <item x="166"/>
        <item x="114"/>
        <item x="25"/>
        <item x="160"/>
        <item x="167"/>
        <item x="168"/>
        <item x="169"/>
        <item x="170"/>
        <item x="192"/>
        <item x="193"/>
        <item x="171"/>
        <item x="26"/>
        <item x="172"/>
        <item x="161"/>
        <item x="207"/>
        <item x="162"/>
        <item x="173"/>
        <item x="194"/>
        <item x="195"/>
        <item x="196"/>
        <item x="27"/>
        <item x="115"/>
        <item x="174"/>
        <item x="175"/>
        <item x="176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93"/>
        <item x="18"/>
        <item x="19"/>
        <item x="69"/>
        <item x="16"/>
        <item x="53"/>
        <item x="70"/>
        <item x="61"/>
        <item x="71"/>
        <item x="64"/>
        <item x="72"/>
        <item x="65"/>
        <item x="73"/>
        <item x="28"/>
        <item x="4"/>
        <item x="29"/>
        <item x="74"/>
        <item x="75"/>
        <item x="62"/>
        <item x="76"/>
        <item x="77"/>
        <item x="78"/>
        <item x="79"/>
        <item x="63"/>
        <item x="80"/>
        <item x="55"/>
        <item x="13"/>
        <item x="30"/>
        <item x="57"/>
        <item x="20"/>
        <item x="238"/>
        <item x="66"/>
        <item x="15"/>
        <item x="14"/>
        <item x="10"/>
        <item x="163"/>
        <item x="239"/>
        <item x="5"/>
        <item x="8"/>
        <item x="7"/>
        <item x="21"/>
        <item x="31"/>
        <item x="32"/>
        <item x="33"/>
        <item x="100"/>
        <item x="101"/>
        <item x="99"/>
        <item x="34"/>
        <item x="35"/>
        <item x="9"/>
        <item x="36"/>
        <item x="98"/>
        <item x="81"/>
        <item x="241"/>
        <item x="102"/>
        <item x="37"/>
        <item x="38"/>
        <item x="82"/>
        <item x="3"/>
        <item x="94"/>
        <item x="39"/>
        <item x="2"/>
        <item x="149"/>
        <item x="197"/>
        <item x="198"/>
        <item x="199"/>
        <item x="200"/>
        <item x="186"/>
        <item x="187"/>
        <item x="83"/>
        <item x="67"/>
        <item x="240"/>
        <item x="237"/>
        <item x="40"/>
        <item x="215"/>
        <item x="216"/>
        <item x="217"/>
        <item x="59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56"/>
        <item x="230"/>
        <item x="231"/>
        <item x="103"/>
        <item x="232"/>
        <item x="233"/>
        <item x="234"/>
        <item x="164"/>
        <item x="235"/>
        <item x="84"/>
        <item x="214"/>
        <item x="208"/>
        <item x="209"/>
        <item x="210"/>
        <item x="211"/>
        <item x="212"/>
        <item x="6"/>
        <item x="177"/>
        <item x="201"/>
        <item x="12"/>
        <item x="52"/>
        <item x="151"/>
        <item x="85"/>
        <item x="68"/>
        <item x="86"/>
        <item x="87"/>
        <item x="88"/>
        <item x="89"/>
        <item x="41"/>
        <item x="11"/>
        <item x="90"/>
        <item x="42"/>
        <item x="43"/>
        <item x="150"/>
        <item x="95"/>
        <item x="44"/>
        <item x="0"/>
        <item x="1"/>
        <item x="91"/>
        <item x="96"/>
        <item x="97"/>
        <item x="178"/>
        <item x="202"/>
        <item x="60"/>
        <item x="58"/>
        <item x="54"/>
        <item x="92"/>
        <item x="17"/>
        <item x="45"/>
        <item x="46"/>
        <item x="203"/>
        <item x="204"/>
        <item x="205"/>
        <item x="47"/>
        <item x="242"/>
        <item x="48"/>
        <item x="243"/>
        <item x="49"/>
        <item x="206"/>
        <item x="50"/>
        <item x="104"/>
        <item x="105"/>
        <item x="51"/>
        <item x="236"/>
      </items>
    </pivotField>
    <pivotField axis="axisRow" compact="0" outline="0" showAll="0" defaultSubtotal="0">
      <items count="244">
        <item x="237"/>
        <item x="86"/>
        <item x="148"/>
        <item x="141"/>
        <item x="140"/>
        <item x="138"/>
        <item x="145"/>
        <item x="147"/>
        <item x="139"/>
        <item x="142"/>
        <item x="146"/>
        <item x="200"/>
        <item x="199"/>
        <item x="197"/>
        <item x="198"/>
        <item x="137"/>
        <item x="143"/>
        <item x="144"/>
        <item x="93"/>
        <item x="222"/>
        <item x="19"/>
        <item x="18"/>
        <item x="69"/>
        <item x="136"/>
        <item x="133"/>
        <item x="129"/>
        <item x="128"/>
        <item x="132"/>
        <item x="134"/>
        <item x="135"/>
        <item x="130"/>
        <item x="131"/>
        <item x="73"/>
        <item x="16"/>
        <item x="40"/>
        <item x="220"/>
        <item x="218"/>
        <item x="68"/>
        <item x="100"/>
        <item x="101"/>
        <item x="99"/>
        <item x="103"/>
        <item x="34"/>
        <item x="30"/>
        <item x="151"/>
        <item x="1"/>
        <item x="236"/>
        <item x="215"/>
        <item x="242"/>
        <item x="35"/>
        <item x="243"/>
        <item x="187"/>
        <item x="57"/>
        <item x="166"/>
        <item x="111"/>
        <item x="114"/>
        <item x="176"/>
        <item x="70"/>
        <item x="185"/>
        <item x="22"/>
        <item x="23"/>
        <item x="24"/>
        <item x="184"/>
        <item x="49"/>
        <item x="205"/>
        <item x="204"/>
        <item x="47"/>
        <item x="203"/>
        <item x="46"/>
        <item x="45"/>
        <item x="85"/>
        <item x="83"/>
        <item x="221"/>
        <item x="61"/>
        <item x="223"/>
        <item x="9"/>
        <item x="36"/>
        <item x="6"/>
        <item x="84"/>
        <item x="20"/>
        <item x="238"/>
        <item x="232"/>
        <item x="98"/>
        <item x="66"/>
        <item x="216"/>
        <item x="224"/>
        <item x="12"/>
        <item x="67"/>
        <item x="228"/>
        <item x="81"/>
        <item x="105"/>
        <item x="235"/>
        <item x="225"/>
        <item x="60"/>
        <item x="17"/>
        <item x="219"/>
        <item x="241"/>
        <item x="96"/>
        <item x="71"/>
        <item x="64"/>
        <item x="55"/>
        <item x="72"/>
        <item x="15"/>
        <item x="14"/>
        <item x="230"/>
        <item x="65"/>
        <item x="192"/>
        <item x="159"/>
        <item x="170"/>
        <item x="155"/>
        <item x="156"/>
        <item x="181"/>
        <item x="154"/>
        <item x="153"/>
        <item x="190"/>
        <item x="191"/>
        <item x="109"/>
        <item x="107"/>
        <item x="173"/>
        <item x="175"/>
        <item x="157"/>
        <item x="26"/>
        <item x="160"/>
        <item x="25"/>
        <item x="165"/>
        <item x="152"/>
        <item x="193"/>
        <item x="113"/>
        <item x="168"/>
        <item x="171"/>
        <item x="169"/>
        <item x="150"/>
        <item x="110"/>
        <item x="106"/>
        <item x="115"/>
        <item x="182"/>
        <item x="179"/>
        <item x="183"/>
        <item x="180"/>
        <item x="172"/>
        <item x="174"/>
        <item x="158"/>
        <item x="167"/>
        <item x="112"/>
        <item x="162"/>
        <item x="164"/>
        <item x="108"/>
        <item x="213"/>
        <item x="10"/>
        <item x="11"/>
        <item x="41"/>
        <item x="13"/>
        <item x="161"/>
        <item x="59"/>
        <item x="163"/>
        <item x="104"/>
        <item x="102"/>
        <item x="196"/>
        <item x="194"/>
        <item x="195"/>
        <item x="28"/>
        <item x="4"/>
        <item x="37"/>
        <item x="239"/>
        <item x="226"/>
        <item x="39"/>
        <item x="29"/>
        <item x="38"/>
        <item x="82"/>
        <item x="87"/>
        <item x="74"/>
        <item x="75"/>
        <item x="97"/>
        <item x="54"/>
        <item x="56"/>
        <item x="42"/>
        <item x="62"/>
        <item x="229"/>
        <item x="234"/>
        <item x="76"/>
        <item x="5"/>
        <item x="77"/>
        <item x="91"/>
        <item x="8"/>
        <item x="7"/>
        <item x="27"/>
        <item x="186"/>
        <item x="2"/>
        <item x="233"/>
        <item x="240"/>
        <item x="78"/>
        <item x="95"/>
        <item x="21"/>
        <item x="178"/>
        <item x="202"/>
        <item x="201"/>
        <item x="177"/>
        <item x="206"/>
        <item x="51"/>
        <item x="120"/>
        <item x="125"/>
        <item x="126"/>
        <item x="127"/>
        <item x="121"/>
        <item x="119"/>
        <item x="118"/>
        <item x="124"/>
        <item x="123"/>
        <item x="122"/>
        <item x="149"/>
        <item x="52"/>
        <item x="231"/>
        <item x="44"/>
        <item x="58"/>
        <item x="92"/>
        <item x="79"/>
        <item x="90"/>
        <item x="48"/>
        <item x="63"/>
        <item x="80"/>
        <item x="53"/>
        <item x="116"/>
        <item x="212"/>
        <item x="208"/>
        <item x="209"/>
        <item x="210"/>
        <item x="211"/>
        <item x="117"/>
        <item x="214"/>
        <item x="31"/>
        <item x="227"/>
        <item x="217"/>
        <item x="50"/>
        <item x="188"/>
        <item x="189"/>
        <item x="43"/>
        <item x="32"/>
        <item x="207"/>
        <item x="3"/>
        <item x="33"/>
        <item x="0"/>
        <item x="88"/>
        <item x="89"/>
        <item x="94"/>
      </items>
    </pivotField>
    <pivotField axis="axisRow" compact="0" numFmtId="4" outline="0" showAll="0" defaultSubtotal="0">
      <items count="89">
        <item x="25"/>
        <item x="26"/>
        <item x="31"/>
        <item x="30"/>
        <item x="23"/>
        <item x="42"/>
        <item x="29"/>
        <item x="3"/>
        <item x="14"/>
        <item x="5"/>
        <item x="39"/>
        <item x="8"/>
        <item x="41"/>
        <item x="37"/>
        <item x="1"/>
        <item x="36"/>
        <item x="27"/>
        <item x="0"/>
        <item x="13"/>
        <item x="18"/>
        <item x="50"/>
        <item x="2"/>
        <item x="9"/>
        <item x="24"/>
        <item x="38"/>
        <item x="7"/>
        <item x="4"/>
        <item x="12"/>
        <item x="48"/>
        <item x="51"/>
        <item x="17"/>
        <item x="6"/>
        <item x="22"/>
        <item x="59"/>
        <item x="16"/>
        <item x="49"/>
        <item x="28"/>
        <item x="52"/>
        <item x="35"/>
        <item x="47"/>
        <item x="15"/>
        <item x="11"/>
        <item x="10"/>
        <item x="57"/>
        <item x="54"/>
        <item x="65"/>
        <item x="34"/>
        <item x="55"/>
        <item x="60"/>
        <item x="62"/>
        <item x="32"/>
        <item x="53"/>
        <item x="70"/>
        <item x="45"/>
        <item x="73"/>
        <item x="56"/>
        <item x="58"/>
        <item x="46"/>
        <item x="79"/>
        <item x="20"/>
        <item x="81"/>
        <item x="80"/>
        <item x="67"/>
        <item x="19"/>
        <item x="44"/>
        <item x="21"/>
        <item x="86"/>
        <item x="66"/>
        <item x="71"/>
        <item x="69"/>
        <item x="75"/>
        <item x="64"/>
        <item x="77"/>
        <item x="74"/>
        <item x="87"/>
        <item x="84"/>
        <item x="72"/>
        <item x="82"/>
        <item x="68"/>
        <item x="61"/>
        <item x="85"/>
        <item x="88"/>
        <item x="40"/>
        <item x="83"/>
        <item x="78"/>
        <item x="76"/>
        <item x="63"/>
        <item x="33"/>
        <item x="43"/>
      </items>
    </pivotField>
    <pivotField axis="axisRow" compact="0" numFmtId="4" outline="0" showAll="0" defaultSubtotal="0">
      <items count="194">
        <item x="30"/>
        <item x="28"/>
        <item x="33"/>
        <item x="26"/>
        <item x="81"/>
        <item x="36"/>
        <item x="88"/>
        <item x="35"/>
        <item x="34"/>
        <item x="20"/>
        <item x="56"/>
        <item x="15"/>
        <item x="72"/>
        <item x="14"/>
        <item x="73"/>
        <item x="5"/>
        <item x="62"/>
        <item x="3"/>
        <item x="54"/>
        <item x="84"/>
        <item x="29"/>
        <item x="8"/>
        <item x="53"/>
        <item x="65"/>
        <item x="190"/>
        <item x="68"/>
        <item x="55"/>
        <item x="77"/>
        <item x="71"/>
        <item x="50"/>
        <item x="64"/>
        <item x="74"/>
        <item x="158"/>
        <item x="49"/>
        <item x="1"/>
        <item x="37"/>
        <item x="95"/>
        <item x="21"/>
        <item x="60"/>
        <item x="31"/>
        <item x="89"/>
        <item x="40"/>
        <item x="0"/>
        <item x="94"/>
        <item x="4"/>
        <item x="13"/>
        <item x="2"/>
        <item x="87"/>
        <item x="83"/>
        <item x="82"/>
        <item x="51"/>
        <item x="63"/>
        <item x="27"/>
        <item x="19"/>
        <item x="17"/>
        <item x="123"/>
        <item x="59"/>
        <item x="57"/>
        <item x="61"/>
        <item x="70"/>
        <item x="106"/>
        <item x="103"/>
        <item x="18"/>
        <item x="79"/>
        <item x="134"/>
        <item x="32"/>
        <item x="75"/>
        <item x="39"/>
        <item x="52"/>
        <item x="66"/>
        <item x="58"/>
        <item x="96"/>
        <item x="12"/>
        <item x="7"/>
        <item x="9"/>
        <item x="146"/>
        <item x="90"/>
        <item x="38"/>
        <item x="159"/>
        <item x="67"/>
        <item x="154"/>
        <item x="78"/>
        <item x="97"/>
        <item x="41"/>
        <item x="6"/>
        <item x="135"/>
        <item x="105"/>
        <item x="45"/>
        <item x="163"/>
        <item x="132"/>
        <item x="108"/>
        <item x="131"/>
        <item x="76"/>
        <item x="109"/>
        <item x="104"/>
        <item x="171"/>
        <item x="48"/>
        <item x="121"/>
        <item x="102"/>
        <item x="120"/>
        <item x="125"/>
        <item x="144"/>
        <item x="119"/>
        <item x="99"/>
        <item x="126"/>
        <item x="16"/>
        <item x="11"/>
        <item x="124"/>
        <item x="128"/>
        <item x="133"/>
        <item x="122"/>
        <item x="10"/>
        <item x="25"/>
        <item x="100"/>
        <item x="114"/>
        <item x="130"/>
        <item x="112"/>
        <item x="118"/>
        <item x="117"/>
        <item x="101"/>
        <item x="111"/>
        <item x="129"/>
        <item x="113"/>
        <item x="127"/>
        <item x="80"/>
        <item x="165"/>
        <item x="98"/>
        <item x="115"/>
        <item x="107"/>
        <item x="170"/>
        <item x="110"/>
        <item x="93"/>
        <item x="142"/>
        <item x="116"/>
        <item x="137"/>
        <item x="91"/>
        <item x="192"/>
        <item x="152"/>
        <item x="139"/>
        <item x="138"/>
        <item x="46"/>
        <item x="160"/>
        <item x="145"/>
        <item x="176"/>
        <item x="148"/>
        <item x="92"/>
        <item x="42"/>
        <item x="47"/>
        <item x="141"/>
        <item x="136"/>
        <item x="193"/>
        <item x="161"/>
        <item x="166"/>
        <item x="140"/>
        <item x="86"/>
        <item x="143"/>
        <item x="184"/>
        <item x="150"/>
        <item x="178"/>
        <item x="185"/>
        <item x="23"/>
        <item x="180"/>
        <item x="179"/>
        <item x="44"/>
        <item x="155"/>
        <item x="174"/>
        <item x="22"/>
        <item x="24"/>
        <item x="157"/>
        <item x="187"/>
        <item x="153"/>
        <item x="172"/>
        <item x="188"/>
        <item x="162"/>
        <item x="169"/>
        <item x="191"/>
        <item x="151"/>
        <item x="175"/>
        <item x="168"/>
        <item x="167"/>
        <item x="183"/>
        <item x="189"/>
        <item x="164"/>
        <item x="181"/>
        <item x="156"/>
        <item x="69"/>
        <item x="147"/>
        <item x="186"/>
        <item x="182"/>
        <item x="177"/>
        <item x="173"/>
        <item x="149"/>
        <item x="43"/>
        <item x="85"/>
      </items>
    </pivotField>
    <pivotField axis="axisRow" compact="0" numFmtId="165" outline="0" showAll="0" sortType="descending" defaultSubtotal="0">
      <items count="26">
        <item x="0"/>
        <item x="1"/>
        <item x="18"/>
        <item x="2"/>
        <item x="3"/>
        <item x="4"/>
        <item x="25"/>
        <item x="5"/>
        <item x="6"/>
        <item x="7"/>
        <item x="8"/>
        <item x="9"/>
        <item x="10"/>
        <item x="11"/>
        <item x="19"/>
        <item x="12"/>
        <item x="13"/>
        <item x="14"/>
        <item x="20"/>
        <item x="23"/>
        <item x="21"/>
        <item x="22"/>
        <item x="15"/>
        <item x="16"/>
        <item x="24"/>
        <item x="17"/>
      </items>
    </pivotField>
    <pivotField axis="axisRow" compact="0" numFmtId="4" outline="0" showAll="0" sortType="descending" defaultSubtotal="0">
      <items count="42">
        <item x="0"/>
        <item x="22"/>
        <item x="2"/>
        <item x="1"/>
        <item x="4"/>
        <item x="41"/>
        <item x="6"/>
        <item x="10"/>
        <item x="11"/>
        <item x="7"/>
        <item x="12"/>
        <item x="3"/>
        <item x="9"/>
        <item x="39"/>
        <item x="5"/>
        <item x="8"/>
        <item x="38"/>
        <item x="13"/>
        <item x="23"/>
        <item x="26"/>
        <item x="16"/>
        <item x="25"/>
        <item x="24"/>
        <item x="32"/>
        <item x="17"/>
        <item x="14"/>
        <item x="40"/>
        <item x="36"/>
        <item x="31"/>
        <item x="18"/>
        <item x="33"/>
        <item x="15"/>
        <item x="28"/>
        <item x="19"/>
        <item x="29"/>
        <item x="35"/>
        <item x="30"/>
        <item x="20"/>
        <item x="34"/>
        <item x="37"/>
        <item x="27"/>
        <item x="21"/>
      </items>
    </pivotField>
    <pivotField compact="0" outline="0" showAll="0"/>
    <pivotField compact="0" outline="0" showAll="0"/>
    <pivotField compact="0" outline="0" showAll="0"/>
    <pivotField axis="axisCol" compact="0" numFmtId="14" outline="0" showAll="0" defaultSubtotal="0">
      <items count="4">
        <item x="0"/>
        <item x="1"/>
        <item x="2"/>
        <item x="3"/>
      </items>
    </pivotField>
    <pivotField axis="axisCol" compact="0" outline="0" showAll="0">
      <items count="5">
        <item x="0"/>
        <item x="1"/>
        <item x="2"/>
        <item x="3"/>
        <item t="default"/>
      </items>
    </pivotField>
    <pivotField dataField="1" compact="0" outline="0" showAll="0"/>
    <pivotField dataField="1" compact="0" outline="0" showAll="0"/>
  </pivotFields>
  <rowFields count="7">
    <field x="1"/>
    <field x="2"/>
    <field x="3"/>
    <field x="4"/>
    <field x="5"/>
    <field x="7"/>
    <field x="6"/>
  </rowFields>
  <rowItems count="245">
    <i>
      <x/>
      <x v="16"/>
      <x v="59"/>
      <x v="63"/>
      <x v="166"/>
      <x v="41"/>
      <x v="25"/>
    </i>
    <i r="1">
      <x v="17"/>
      <x v="60"/>
      <x v="63"/>
      <x v="166"/>
      <x v="41"/>
      <x v="25"/>
    </i>
    <i r="1">
      <x v="19"/>
      <x v="61"/>
      <x v="63"/>
      <x v="166"/>
      <x v="41"/>
      <x v="25"/>
    </i>
    <i r="1">
      <x v="34"/>
      <x v="123"/>
      <x v="59"/>
      <x v="160"/>
      <x v="41"/>
      <x v="25"/>
    </i>
    <i r="1">
      <x v="43"/>
      <x v="121"/>
      <x v="65"/>
      <x v="167"/>
      <x v="41"/>
      <x v="25"/>
    </i>
    <i r="1">
      <x v="52"/>
      <x v="185"/>
      <x v="32"/>
      <x v="112"/>
      <x v="41"/>
      <x v="25"/>
    </i>
    <i r="1">
      <x v="91"/>
      <x v="21"/>
      <x v="30"/>
      <x v="62"/>
      <x v="29"/>
      <x v="23"/>
    </i>
    <i r="1">
      <x v="92"/>
      <x v="20"/>
      <x v="25"/>
      <x v="53"/>
      <x v="33"/>
      <x v="23"/>
    </i>
    <i r="1">
      <x v="94"/>
      <x v="33"/>
      <x v="40"/>
      <x v="105"/>
      <x v="20"/>
      <x v="22"/>
    </i>
    <i r="1">
      <x v="103"/>
      <x v="160"/>
      <x v="4"/>
      <x v="3"/>
      <x v="41"/>
      <x v="25"/>
    </i>
    <i r="1">
      <x v="104"/>
      <x v="161"/>
      <x v="26"/>
      <x v="44"/>
      <x v="4"/>
      <x v="5"/>
    </i>
    <i r="1">
      <x v="105"/>
      <x v="166"/>
      <x v="23"/>
      <x v="52"/>
      <x v="41"/>
      <x v="25"/>
    </i>
    <i r="1">
      <x v="116"/>
      <x v="151"/>
      <x v="18"/>
      <x v="45"/>
      <x v="17"/>
      <x v="15"/>
    </i>
    <i r="1">
      <x v="117"/>
      <x v="43"/>
      <x/>
      <x v="1"/>
      <x v="41"/>
      <x v="25"/>
    </i>
    <i r="1">
      <x v="119"/>
      <x v="79"/>
      <x v="25"/>
      <x v="9"/>
      <x v="33"/>
      <x v="23"/>
    </i>
    <i r="1">
      <x v="122"/>
      <x v="102"/>
      <x v="8"/>
      <x v="11"/>
      <x v="31"/>
      <x v="17"/>
    </i>
    <i r="1">
      <x v="123"/>
      <x v="103"/>
      <x v="9"/>
      <x v="13"/>
      <x v="25"/>
      <x v="16"/>
    </i>
    <i r="1">
      <x v="124"/>
      <x v="148"/>
      <x v="42"/>
      <x v="111"/>
      <x v="7"/>
      <x v="12"/>
    </i>
    <i r="1">
      <x v="127"/>
      <x v="180"/>
      <x v="9"/>
      <x v="15"/>
      <x v="14"/>
      <x v="7"/>
    </i>
    <i r="1">
      <x v="128"/>
      <x v="183"/>
      <x v="11"/>
      <x v="21"/>
      <x v="15"/>
      <x v="10"/>
    </i>
    <i r="1">
      <x v="129"/>
      <x v="184"/>
      <x v="25"/>
      <x v="73"/>
      <x v="9"/>
      <x v="9"/>
    </i>
    <i r="1">
      <x v="130"/>
      <x v="192"/>
      <x v="19"/>
      <x v="37"/>
      <x v="37"/>
      <x v="23"/>
    </i>
    <i r="1">
      <x v="131"/>
      <x v="229"/>
      <x v="9"/>
      <x v="20"/>
      <x v="41"/>
      <x v="25"/>
    </i>
    <i r="1">
      <x v="132"/>
      <x v="236"/>
      <x v="1"/>
      <x/>
      <x v="41"/>
      <x v="25"/>
    </i>
    <i r="1">
      <x v="133"/>
      <x v="239"/>
      <x v="16"/>
      <x v="39"/>
      <x v="41"/>
      <x v="25"/>
    </i>
    <i r="1">
      <x v="137"/>
      <x v="42"/>
      <x v="36"/>
      <x v="65"/>
      <x v="41"/>
      <x v="25"/>
    </i>
    <i r="1">
      <x v="138"/>
      <x v="49"/>
      <x v="1"/>
      <x v="2"/>
      <x v="41"/>
      <x v="25"/>
    </i>
    <i r="1">
      <x v="139"/>
      <x v="75"/>
      <x v="22"/>
      <x v="74"/>
      <x v="12"/>
      <x v="11"/>
    </i>
    <i r="1">
      <x v="140"/>
      <x v="76"/>
      <x v="6"/>
      <x v="8"/>
      <x v="41"/>
      <x v="25"/>
    </i>
    <i r="1">
      <x v="145"/>
      <x v="162"/>
      <x v="3"/>
      <x v="7"/>
      <x v="41"/>
      <x v="25"/>
    </i>
    <i r="1">
      <x v="146"/>
      <x v="167"/>
      <x v="3"/>
      <x v="7"/>
      <x v="41"/>
      <x v="25"/>
    </i>
    <i r="1">
      <x v="148"/>
      <x v="238"/>
      <x v="7"/>
      <x v="17"/>
      <x v="11"/>
      <x v="4"/>
    </i>
    <i r="1">
      <x v="150"/>
      <x v="165"/>
      <x v="2"/>
      <x v="5"/>
      <x v="41"/>
      <x v="25"/>
    </i>
    <i r="1">
      <x v="151"/>
      <x v="187"/>
      <x v="21"/>
      <x v="46"/>
      <x v="2"/>
      <x v="3"/>
    </i>
    <i r="1">
      <x v="163"/>
      <x v="34"/>
      <x v="18"/>
      <x v="35"/>
      <x v="41"/>
      <x v="25"/>
    </i>
    <i r="1">
      <x v="196"/>
      <x v="77"/>
      <x v="31"/>
      <x v="84"/>
      <x v="6"/>
      <x v="8"/>
    </i>
    <i r="1">
      <x v="199"/>
      <x v="86"/>
      <x v="27"/>
      <x v="72"/>
      <x v="10"/>
      <x v="13"/>
    </i>
    <i r="1">
      <x v="208"/>
      <x v="150"/>
      <x v="36"/>
      <x v="77"/>
      <x v="41"/>
      <x v="25"/>
    </i>
    <i r="1">
      <x v="209"/>
      <x v="149"/>
      <x v="41"/>
      <x v="106"/>
      <x v="8"/>
      <x v="12"/>
    </i>
    <i r="1">
      <x v="211"/>
      <x v="175"/>
      <x v="32"/>
      <x v="67"/>
      <x v="41"/>
      <x v="25"/>
    </i>
    <i r="1">
      <x v="212"/>
      <x v="235"/>
      <x v="25"/>
      <x v="41"/>
      <x v="41"/>
      <x v="25"/>
    </i>
    <i r="1">
      <x v="215"/>
      <x v="212"/>
      <x v="27"/>
      <x v="83"/>
      <x v="41"/>
      <x v="25"/>
    </i>
    <i r="1">
      <x v="216"/>
      <x v="240"/>
      <x v="17"/>
      <x v="42"/>
      <x/>
      <x/>
    </i>
    <i r="1">
      <x v="217"/>
      <x v="45"/>
      <x v="14"/>
      <x v="34"/>
      <x v="3"/>
      <x v="1"/>
    </i>
    <i r="1">
      <x v="227"/>
      <x v="94"/>
      <x v="34"/>
      <x v="54"/>
      <x v="24"/>
      <x v="22"/>
    </i>
    <i r="1">
      <x v="228"/>
      <x v="69"/>
      <x v="50"/>
      <x v="146"/>
      <x v="41"/>
      <x v="25"/>
    </i>
    <i r="1">
      <x v="229"/>
      <x v="68"/>
      <x v="87"/>
      <x v="192"/>
      <x v="41"/>
      <x v="25"/>
    </i>
    <i r="1">
      <x v="233"/>
      <x v="66"/>
      <x v="63"/>
      <x v="163"/>
      <x v="41"/>
      <x v="25"/>
    </i>
    <i r="1">
      <x v="235"/>
      <x v="217"/>
      <x v="32"/>
      <x v="87"/>
      <x v="41"/>
      <x v="25"/>
    </i>
    <i r="1">
      <x v="237"/>
      <x v="63"/>
      <x v="63"/>
      <x v="166"/>
      <x v="41"/>
      <x v="25"/>
    </i>
    <i r="1">
      <x v="239"/>
      <x v="232"/>
      <x v="46"/>
      <x v="140"/>
      <x v="41"/>
      <x v="25"/>
    </i>
    <i r="1">
      <x v="242"/>
      <x v="198"/>
      <x v="50"/>
      <x v="147"/>
      <x v="41"/>
      <x v="25"/>
    </i>
    <i>
      <x v="1"/>
      <x v="93"/>
      <x v="22"/>
      <x v="13"/>
      <x v="23"/>
      <x v="41"/>
      <x v="25"/>
    </i>
    <i r="1">
      <x v="95"/>
      <x v="220"/>
      <x v="15"/>
      <x v="33"/>
      <x v="18"/>
      <x v="14"/>
    </i>
    <i r="1">
      <x v="96"/>
      <x v="57"/>
      <x v="24"/>
      <x v="69"/>
      <x v="41"/>
      <x v="25"/>
    </i>
    <i r="1">
      <x v="97"/>
      <x v="73"/>
      <x v="24"/>
      <x v="57"/>
      <x v="28"/>
      <x v="22"/>
    </i>
    <i r="1">
      <x v="98"/>
      <x v="98"/>
      <x v="30"/>
      <x v="79"/>
      <x v="41"/>
      <x v="25"/>
    </i>
    <i r="1">
      <x v="99"/>
      <x v="99"/>
      <x v="16"/>
      <x v="38"/>
      <x v="38"/>
      <x v="23"/>
    </i>
    <i r="1">
      <x v="100"/>
      <x v="101"/>
      <x v="10"/>
      <x v="25"/>
      <x v="41"/>
      <x v="25"/>
    </i>
    <i r="1">
      <x v="101"/>
      <x v="105"/>
      <x v="22"/>
      <x v="58"/>
      <x v="35"/>
      <x v="23"/>
    </i>
    <i r="1">
      <x v="102"/>
      <x v="32"/>
      <x v="82"/>
      <x v="185"/>
      <x v="41"/>
      <x v="25"/>
    </i>
    <i r="1">
      <x v="106"/>
      <x v="170"/>
      <x v="22"/>
      <x v="59"/>
      <x v="41"/>
      <x v="25"/>
    </i>
    <i r="1">
      <x v="107"/>
      <x v="171"/>
      <x v="12"/>
      <x v="28"/>
      <x v="41"/>
      <x v="25"/>
    </i>
    <i r="1">
      <x v="108"/>
      <x v="176"/>
      <x v="36"/>
      <x v="70"/>
      <x v="23"/>
      <x v="22"/>
    </i>
    <i r="1">
      <x v="109"/>
      <x v="179"/>
      <x v="5"/>
      <x v="12"/>
      <x v="41"/>
      <x v="25"/>
    </i>
    <i r="1">
      <x v="110"/>
      <x v="181"/>
      <x v="8"/>
      <x v="14"/>
      <x v="41"/>
      <x v="25"/>
    </i>
    <i r="1">
      <x v="111"/>
      <x v="190"/>
      <x v="18"/>
      <x v="31"/>
      <x v="41"/>
      <x v="25"/>
    </i>
    <i r="1">
      <x v="112"/>
      <x v="215"/>
      <x v="25"/>
      <x v="66"/>
      <x v="41"/>
      <x v="25"/>
    </i>
    <i r="1">
      <x v="113"/>
      <x v="218"/>
      <x v="22"/>
      <x v="56"/>
      <x v="30"/>
      <x v="22"/>
    </i>
    <i r="1">
      <x v="114"/>
      <x v="219"/>
      <x v="34"/>
      <x v="92"/>
      <x v="41"/>
      <x v="25"/>
    </i>
    <i r="1">
      <x v="115"/>
      <x v="100"/>
      <x v="19"/>
      <x v="50"/>
      <x v="21"/>
      <x v="18"/>
    </i>
    <i r="1">
      <x v="118"/>
      <x v="52"/>
      <x v="8"/>
      <x v="22"/>
      <x v="40"/>
      <x v="20"/>
    </i>
    <i r="1">
      <x v="121"/>
      <x v="83"/>
      <x v="36"/>
      <x v="16"/>
      <x v="27"/>
      <x v="23"/>
    </i>
    <i r="1">
      <x v="142"/>
      <x v="89"/>
      <x v="12"/>
      <x v="27"/>
      <x v="41"/>
      <x v="25"/>
    </i>
    <i r="1">
      <x v="147"/>
      <x v="168"/>
      <x v="31"/>
      <x v="81"/>
      <x v="41"/>
      <x v="25"/>
    </i>
    <i r="1">
      <x v="159"/>
      <x v="71"/>
      <x v="24"/>
      <x v="63"/>
      <x v="41"/>
      <x v="25"/>
    </i>
    <i r="1">
      <x v="160"/>
      <x v="87"/>
      <x v="19"/>
      <x v="51"/>
      <x v="37"/>
      <x v="23"/>
    </i>
    <i r="1">
      <x v="167"/>
      <x v="153"/>
      <x v="15"/>
      <x v="26"/>
      <x v="34"/>
      <x v="21"/>
    </i>
    <i r="1">
      <x v="180"/>
      <x v="174"/>
      <x v="25"/>
      <x v="68"/>
      <x v="19"/>
      <x v="18"/>
    </i>
    <i r="1">
      <x v="189"/>
      <x v="78"/>
      <x v="42"/>
      <x v="124"/>
      <x v="41"/>
      <x v="25"/>
    </i>
    <i r="1">
      <x v="200"/>
      <x v="210"/>
      <x v="38"/>
      <x v="96"/>
      <x v="1"/>
      <x v="2"/>
    </i>
    <i r="1">
      <x v="202"/>
      <x v="70"/>
      <x v="7"/>
      <x v="4"/>
      <x v="41"/>
      <x v="25"/>
    </i>
    <i r="1">
      <x v="203"/>
      <x v="37"/>
      <x v="15"/>
      <x v="30"/>
      <x v="39"/>
      <x v="23"/>
    </i>
    <i r="1">
      <x v="204"/>
      <x v="1"/>
      <x v="19"/>
      <x v="49"/>
      <x v="41"/>
      <x v="25"/>
    </i>
    <i r="1">
      <x v="205"/>
      <x v="169"/>
      <x v="19"/>
      <x v="49"/>
      <x v="41"/>
      <x v="25"/>
    </i>
    <i r="1">
      <x v="206"/>
      <x v="241"/>
      <x v="19"/>
      <x v="49"/>
      <x v="41"/>
      <x v="25"/>
    </i>
    <i r="1">
      <x v="207"/>
      <x v="242"/>
      <x v="19"/>
      <x v="49"/>
      <x v="41"/>
      <x v="25"/>
    </i>
    <i r="1">
      <x v="210"/>
      <x v="216"/>
      <x v="21"/>
      <x v="48"/>
      <x v="41"/>
      <x v="25"/>
    </i>
    <i r="1">
      <x v="218"/>
      <x v="182"/>
      <x v="8"/>
      <x v="14"/>
      <x v="41"/>
      <x v="25"/>
    </i>
    <i r="1">
      <x v="223"/>
      <x v="93"/>
      <x v="13"/>
      <x v="10"/>
      <x v="36"/>
      <x v="21"/>
    </i>
    <i r="1">
      <x v="224"/>
      <x v="213"/>
      <x v="13"/>
      <x v="18"/>
      <x v="32"/>
      <x v="20"/>
    </i>
    <i r="1">
      <x v="225"/>
      <x v="173"/>
      <x v="13"/>
      <x v="29"/>
      <x v="22"/>
      <x v="17"/>
    </i>
    <i r="1">
      <x v="226"/>
      <x v="214"/>
      <x v="13"/>
      <x v="19"/>
      <x v="41"/>
      <x v="25"/>
    </i>
    <i>
      <x v="2"/>
      <x v="90"/>
      <x v="18"/>
      <x v="88"/>
      <x v="193"/>
      <x v="41"/>
      <x v="25"/>
    </i>
    <i r="1">
      <x v="149"/>
      <x v="243"/>
      <x v="64"/>
      <x v="154"/>
      <x v="41"/>
      <x v="25"/>
    </i>
    <i r="1">
      <x v="214"/>
      <x v="191"/>
      <x v="18"/>
      <x v="47"/>
      <x v="41"/>
      <x v="25"/>
    </i>
    <i r="1">
      <x v="219"/>
      <x v="97"/>
      <x v="2"/>
      <x v="6"/>
      <x v="41"/>
      <x v="25"/>
    </i>
    <i r="1">
      <x v="220"/>
      <x v="172"/>
      <x v="16"/>
      <x v="40"/>
      <x v="41"/>
      <x v="25"/>
    </i>
    <i>
      <x v="3"/>
      <x v="134"/>
      <x v="38"/>
      <x v="57"/>
      <x v="145"/>
      <x v="26"/>
      <x v="24"/>
    </i>
    <i r="1">
      <x v="135"/>
      <x v="39"/>
      <x v="53"/>
      <x v="131"/>
      <x v="41"/>
      <x v="25"/>
    </i>
    <i r="1">
      <x v="136"/>
      <x v="40"/>
      <x v="53"/>
      <x v="135"/>
      <x v="13"/>
      <x v="21"/>
    </i>
    <i r="1">
      <x v="141"/>
      <x v="82"/>
      <x v="36"/>
      <x v="76"/>
      <x v="16"/>
      <x v="19"/>
    </i>
    <i r="1">
      <x v="144"/>
      <x v="156"/>
      <x v="36"/>
      <x v="43"/>
      <x v="41"/>
      <x v="25"/>
    </i>
    <i r="1">
      <x v="183"/>
      <x v="41"/>
      <x v="17"/>
      <x v="36"/>
      <x v="41"/>
      <x v="25"/>
    </i>
    <i r="1">
      <x v="240"/>
      <x v="155"/>
      <x v="25"/>
      <x v="71"/>
      <x v="41"/>
      <x v="25"/>
    </i>
    <i r="1">
      <x v="241"/>
      <x v="90"/>
      <x v="25"/>
      <x v="82"/>
      <x v="41"/>
      <x v="25"/>
    </i>
    <i>
      <x v="4"/>
      <x v="20"/>
      <x v="133"/>
      <x v="39"/>
      <x v="126"/>
      <x v="41"/>
      <x v="25"/>
    </i>
    <i r="1">
      <x v="22"/>
      <x v="117"/>
      <x v="30"/>
      <x v="103"/>
      <x v="41"/>
      <x v="25"/>
    </i>
    <i r="1">
      <x v="23"/>
      <x v="146"/>
      <x v="32"/>
      <x v="113"/>
      <x v="41"/>
      <x v="25"/>
    </i>
    <i r="1">
      <x v="24"/>
      <x v="116"/>
      <x v="36"/>
      <x v="119"/>
      <x v="41"/>
      <x v="25"/>
    </i>
    <i r="1">
      <x v="26"/>
      <x v="132"/>
      <x v="30"/>
      <x v="98"/>
      <x v="41"/>
      <x v="25"/>
    </i>
    <i r="1">
      <x v="27"/>
      <x v="54"/>
      <x v="19"/>
      <x v="61"/>
      <x v="41"/>
      <x v="25"/>
    </i>
    <i r="1">
      <x v="30"/>
      <x v="143"/>
      <x v="27"/>
      <x v="94"/>
      <x v="41"/>
      <x v="25"/>
    </i>
    <i r="1">
      <x v="31"/>
      <x v="127"/>
      <x v="28"/>
      <x v="86"/>
      <x v="41"/>
      <x v="25"/>
    </i>
    <i r="1">
      <x v="33"/>
      <x v="55"/>
      <x v="17"/>
      <x v="60"/>
      <x v="41"/>
      <x v="25"/>
    </i>
    <i r="1">
      <x v="53"/>
      <x v="134"/>
      <x v="42"/>
      <x v="128"/>
      <x v="41"/>
      <x v="25"/>
    </i>
    <i r="1">
      <x v="57"/>
      <x v="221"/>
      <x v="22"/>
      <x v="90"/>
      <x v="41"/>
      <x v="25"/>
    </i>
    <i r="1">
      <x v="58"/>
      <x v="227"/>
      <x v="25"/>
      <x v="93"/>
      <x v="41"/>
      <x v="25"/>
    </i>
    <i r="1">
      <x v="59"/>
      <x v="205"/>
      <x v="35"/>
      <x v="130"/>
      <x v="41"/>
      <x v="25"/>
    </i>
    <i r="1">
      <x v="60"/>
      <x v="204"/>
      <x v="25"/>
      <x v="120"/>
      <x v="41"/>
      <x v="25"/>
    </i>
    <i r="1">
      <x v="61"/>
      <x v="199"/>
      <x v="20"/>
      <x v="116"/>
      <x v="41"/>
      <x v="25"/>
    </i>
    <i r="1">
      <x v="62"/>
      <x v="203"/>
      <x v="29"/>
      <x v="122"/>
      <x v="41"/>
      <x v="25"/>
    </i>
    <i r="1">
      <x v="63"/>
      <x v="208"/>
      <x v="27"/>
      <x v="120"/>
      <x v="41"/>
      <x v="25"/>
    </i>
    <i r="1">
      <x v="64"/>
      <x v="207"/>
      <x v="22"/>
      <x v="114"/>
      <x v="41"/>
      <x v="25"/>
    </i>
    <i r="1">
      <x v="65"/>
      <x v="206"/>
      <x v="36"/>
      <x v="127"/>
      <x v="41"/>
      <x v="25"/>
    </i>
    <i r="1">
      <x v="66"/>
      <x v="200"/>
      <x v="37"/>
      <x v="133"/>
      <x v="41"/>
      <x v="25"/>
    </i>
    <i r="1">
      <x v="67"/>
      <x v="201"/>
      <x v="30"/>
      <x v="118"/>
      <x v="41"/>
      <x v="25"/>
    </i>
    <i r="1">
      <x v="68"/>
      <x v="202"/>
      <x v="30"/>
      <x v="117"/>
      <x v="41"/>
      <x v="25"/>
    </i>
    <i r="1">
      <x v="69"/>
      <x v="26"/>
      <x v="27"/>
      <x v="102"/>
      <x v="41"/>
      <x v="25"/>
    </i>
    <i r="1">
      <x v="70"/>
      <x v="25"/>
      <x v="25"/>
      <x v="99"/>
      <x v="41"/>
      <x v="25"/>
    </i>
    <i r="1">
      <x v="71"/>
      <x v="30"/>
      <x v="26"/>
      <x v="97"/>
      <x v="41"/>
      <x v="25"/>
    </i>
    <i r="1">
      <x v="72"/>
      <x v="31"/>
      <x v="26"/>
      <x v="110"/>
      <x v="41"/>
      <x v="25"/>
    </i>
    <i r="1">
      <x v="73"/>
      <x v="27"/>
      <x v="17"/>
      <x v="55"/>
      <x v="41"/>
      <x v="25"/>
    </i>
    <i r="1">
      <x v="74"/>
      <x v="24"/>
      <x v="17"/>
      <x v="55"/>
      <x v="41"/>
      <x v="25"/>
    </i>
    <i r="1">
      <x v="75"/>
      <x v="28"/>
      <x v="17"/>
      <x v="55"/>
      <x v="41"/>
      <x v="25"/>
    </i>
    <i r="1">
      <x v="76"/>
      <x v="29"/>
      <x v="17"/>
      <x v="55"/>
      <x v="41"/>
      <x v="25"/>
    </i>
    <i r="1">
      <x v="77"/>
      <x v="23"/>
      <x v="30"/>
      <x v="107"/>
      <x v="41"/>
      <x v="25"/>
    </i>
    <i r="1">
      <x v="78"/>
      <x v="15"/>
      <x v="27"/>
      <x v="100"/>
      <x v="41"/>
      <x v="25"/>
    </i>
    <i r="1">
      <x v="79"/>
      <x v="5"/>
      <x v="24"/>
      <x v="104"/>
      <x v="41"/>
      <x v="25"/>
    </i>
    <i r="1">
      <x v="80"/>
      <x v="8"/>
      <x v="31"/>
      <x v="123"/>
      <x v="41"/>
      <x v="25"/>
    </i>
    <i r="1">
      <x v="81"/>
      <x v="4"/>
      <x v="31"/>
      <x v="108"/>
      <x v="41"/>
      <x v="25"/>
    </i>
    <i r="1">
      <x v="82"/>
      <x v="3"/>
      <x v="29"/>
      <x v="121"/>
      <x v="41"/>
      <x v="25"/>
    </i>
    <i r="1">
      <x v="83"/>
      <x v="9"/>
      <x v="31"/>
      <x v="115"/>
      <x v="41"/>
      <x v="25"/>
    </i>
    <i r="1">
      <x v="84"/>
      <x v="16"/>
      <x v="24"/>
      <x v="91"/>
      <x v="41"/>
      <x v="25"/>
    </i>
    <i r="1">
      <x v="85"/>
      <x v="17"/>
      <x v="25"/>
      <x v="89"/>
      <x v="41"/>
      <x v="25"/>
    </i>
    <i r="1">
      <x v="86"/>
      <x v="6"/>
      <x v="31"/>
      <x v="109"/>
      <x v="41"/>
      <x v="25"/>
    </i>
    <i r="1">
      <x v="87"/>
      <x v="10"/>
      <x v="31"/>
      <x v="109"/>
      <x v="41"/>
      <x v="25"/>
    </i>
    <i r="1">
      <x v="88"/>
      <x v="7"/>
      <x v="28"/>
      <x v="89"/>
      <x v="41"/>
      <x v="25"/>
    </i>
    <i r="1">
      <x v="89"/>
      <x v="2"/>
      <x v="24"/>
      <x v="91"/>
      <x v="41"/>
      <x v="25"/>
    </i>
    <i r="1">
      <x v="152"/>
      <x v="209"/>
      <x v="37"/>
      <x v="127"/>
      <x v="41"/>
      <x v="25"/>
    </i>
    <i r="1">
      <x v="213"/>
      <x v="131"/>
      <x v="30"/>
      <x v="103"/>
      <x v="41"/>
      <x v="25"/>
    </i>
    <i>
      <x v="5"/>
      <x v="2"/>
      <x v="125"/>
      <x v="28"/>
      <x v="85"/>
      <x v="41"/>
      <x v="25"/>
    </i>
    <i r="1">
      <x v="3"/>
      <x v="113"/>
      <x v="51"/>
      <x v="149"/>
      <x v="41"/>
      <x v="25"/>
    </i>
    <i r="1">
      <x v="4"/>
      <x v="112"/>
      <x v="44"/>
      <x v="134"/>
      <x v="41"/>
      <x v="25"/>
    </i>
    <i r="1">
      <x v="5"/>
      <x v="109"/>
      <x v="47"/>
      <x v="139"/>
      <x v="41"/>
      <x v="25"/>
    </i>
    <i r="1">
      <x v="6"/>
      <x v="110"/>
      <x v="47"/>
      <x v="139"/>
      <x v="41"/>
      <x v="25"/>
    </i>
    <i r="1">
      <x v="7"/>
      <x v="120"/>
      <x v="46"/>
      <x v="138"/>
      <x v="41"/>
      <x v="25"/>
    </i>
    <i r="1">
      <x v="8"/>
      <x v="141"/>
      <x v="55"/>
      <x v="153"/>
      <x v="41"/>
      <x v="25"/>
    </i>
    <i r="1">
      <x v="9"/>
      <x v="107"/>
      <x v="51"/>
      <x v="148"/>
      <x v="41"/>
      <x v="25"/>
    </i>
    <i r="1">
      <x v="35"/>
      <x v="122"/>
      <x v="43"/>
      <x v="132"/>
      <x v="41"/>
      <x v="25"/>
    </i>
    <i r="1">
      <x v="45"/>
      <x v="152"/>
      <x v="56"/>
      <x v="155"/>
      <x v="41"/>
      <x v="25"/>
    </i>
    <i r="1">
      <x v="47"/>
      <x v="144"/>
      <x v="56"/>
      <x v="155"/>
      <x v="41"/>
      <x v="25"/>
    </i>
    <i r="1">
      <x v="125"/>
      <x v="154"/>
      <x v="33"/>
      <x v="101"/>
      <x v="41"/>
      <x v="25"/>
    </i>
    <i r="1">
      <x v="187"/>
      <x v="145"/>
      <x v="56"/>
      <x v="155"/>
      <x v="41"/>
      <x v="25"/>
    </i>
    <i r="1">
      <x v="201"/>
      <x v="44"/>
      <x v="24"/>
      <x v="64"/>
      <x v="5"/>
      <x v="6"/>
    </i>
    <i>
      <x v="6"/>
      <x v="21"/>
      <x v="124"/>
      <x v="48"/>
      <x v="142"/>
      <x v="41"/>
      <x v="25"/>
    </i>
    <i r="1">
      <x v="32"/>
      <x v="53"/>
      <x v="25"/>
      <x v="75"/>
      <x v="41"/>
      <x v="25"/>
    </i>
    <i r="1">
      <x v="36"/>
      <x v="142"/>
      <x v="79"/>
      <x v="186"/>
      <x v="41"/>
      <x v="25"/>
    </i>
    <i r="1">
      <x v="37"/>
      <x v="128"/>
      <x v="49"/>
      <x v="144"/>
      <x v="41"/>
      <x v="25"/>
    </i>
    <i r="1">
      <x v="38"/>
      <x v="130"/>
      <x v="65"/>
      <x v="167"/>
      <x v="41"/>
      <x v="25"/>
    </i>
    <i r="1">
      <x v="39"/>
      <x v="108"/>
      <x v="65"/>
      <x v="167"/>
      <x v="41"/>
      <x v="25"/>
    </i>
    <i r="1">
      <x v="42"/>
      <x v="129"/>
      <x v="50"/>
      <x v="147"/>
      <x v="41"/>
      <x v="25"/>
    </i>
    <i r="1">
      <x v="44"/>
      <x v="139"/>
      <x v="65"/>
      <x v="167"/>
      <x v="41"/>
      <x v="25"/>
    </i>
    <i r="1">
      <x v="48"/>
      <x v="118"/>
      <x v="86"/>
      <x v="191"/>
      <x v="41"/>
      <x v="25"/>
    </i>
    <i r="1">
      <x v="54"/>
      <x v="140"/>
      <x v="56"/>
      <x v="157"/>
      <x v="41"/>
      <x v="25"/>
    </i>
    <i r="1">
      <x v="55"/>
      <x v="119"/>
      <x v="71"/>
      <x v="176"/>
      <x v="41"/>
      <x v="25"/>
    </i>
    <i r="1">
      <x v="56"/>
      <x v="56"/>
      <x v="45"/>
      <x v="137"/>
      <x v="41"/>
      <x v="25"/>
    </i>
    <i r="1">
      <x v="197"/>
      <x v="196"/>
      <x v="67"/>
      <x v="170"/>
      <x v="41"/>
      <x v="25"/>
    </i>
    <i r="1">
      <x v="221"/>
      <x v="193"/>
      <x v="27"/>
      <x v="80"/>
      <x v="41"/>
      <x v="25"/>
    </i>
    <i>
      <x v="7"/>
      <x v="10"/>
      <x v="136"/>
      <x v="62"/>
      <x v="164"/>
      <x v="41"/>
      <x v="25"/>
    </i>
    <i r="1">
      <x v="11"/>
      <x v="138"/>
      <x v="62"/>
      <x v="164"/>
      <x v="41"/>
      <x v="25"/>
    </i>
    <i r="1">
      <x v="12"/>
      <x v="111"/>
      <x v="78"/>
      <x v="184"/>
      <x v="41"/>
      <x v="25"/>
    </i>
    <i r="1">
      <x v="13"/>
      <x v="135"/>
      <x v="78"/>
      <x v="184"/>
      <x v="41"/>
      <x v="25"/>
    </i>
    <i r="1">
      <x v="14"/>
      <x v="137"/>
      <x v="62"/>
      <x v="164"/>
      <x v="41"/>
      <x v="25"/>
    </i>
    <i r="1">
      <x v="15"/>
      <x v="62"/>
      <x v="63"/>
      <x v="166"/>
      <x v="41"/>
      <x v="25"/>
    </i>
    <i r="1">
      <x v="18"/>
      <x v="58"/>
      <x v="63"/>
      <x v="166"/>
      <x v="41"/>
      <x v="25"/>
    </i>
    <i r="1">
      <x v="157"/>
      <x v="186"/>
      <x v="69"/>
      <x v="168"/>
      <x v="41"/>
      <x v="25"/>
    </i>
    <i r="1">
      <x v="158"/>
      <x v="51"/>
      <x v="69"/>
      <x v="168"/>
      <x v="41"/>
      <x v="25"/>
    </i>
    <i>
      <x v="8"/>
      <x/>
      <x v="233"/>
      <x v="12"/>
      <x v="32"/>
      <x v="41"/>
      <x v="25"/>
    </i>
    <i r="1">
      <x v="1"/>
      <x v="234"/>
      <x v="12"/>
      <x v="32"/>
      <x v="41"/>
      <x v="25"/>
    </i>
    <i r="1">
      <x v="28"/>
      <x v="114"/>
      <x v="30"/>
      <x v="78"/>
      <x v="41"/>
      <x v="25"/>
    </i>
    <i r="1">
      <x v="29"/>
      <x v="115"/>
      <x v="30"/>
      <x v="78"/>
      <x v="41"/>
      <x v="25"/>
    </i>
    <i r="1">
      <x v="40"/>
      <x v="106"/>
      <x v="47"/>
      <x v="141"/>
      <x v="41"/>
      <x v="25"/>
    </i>
    <i r="1">
      <x v="41"/>
      <x v="126"/>
      <x v="52"/>
      <x v="151"/>
      <x v="41"/>
      <x v="25"/>
    </i>
    <i r="1">
      <x v="49"/>
      <x v="158"/>
      <x v="68"/>
      <x v="173"/>
      <x v="41"/>
      <x v="25"/>
    </i>
    <i r="1">
      <x v="50"/>
      <x v="159"/>
      <x v="68"/>
      <x v="173"/>
      <x v="41"/>
      <x v="25"/>
    </i>
    <i r="1">
      <x v="51"/>
      <x v="157"/>
      <x v="68"/>
      <x v="173"/>
      <x v="41"/>
      <x v="25"/>
    </i>
    <i r="1">
      <x v="153"/>
      <x v="13"/>
      <x v="12"/>
      <x v="32"/>
      <x v="41"/>
      <x v="25"/>
    </i>
    <i r="1">
      <x v="154"/>
      <x v="14"/>
      <x v="12"/>
      <x v="32"/>
      <x v="41"/>
      <x v="25"/>
    </i>
    <i r="1">
      <x v="155"/>
      <x v="12"/>
      <x v="12"/>
      <x v="32"/>
      <x v="41"/>
      <x v="25"/>
    </i>
    <i r="1">
      <x v="156"/>
      <x v="11"/>
      <x v="12"/>
      <x v="32"/>
      <x v="41"/>
      <x v="25"/>
    </i>
    <i r="1">
      <x v="198"/>
      <x v="195"/>
      <x v="67"/>
      <x v="170"/>
      <x v="41"/>
      <x v="25"/>
    </i>
    <i r="1">
      <x v="222"/>
      <x v="194"/>
      <x v="29"/>
      <x v="88"/>
      <x v="41"/>
      <x v="25"/>
    </i>
    <i r="1">
      <x v="230"/>
      <x v="67"/>
      <x v="76"/>
      <x v="182"/>
      <x v="41"/>
      <x v="25"/>
    </i>
    <i r="1">
      <x v="231"/>
      <x v="65"/>
      <x v="63"/>
      <x v="163"/>
      <x v="41"/>
      <x v="25"/>
    </i>
    <i r="1">
      <x v="232"/>
      <x v="64"/>
      <x v="63"/>
      <x v="163"/>
      <x v="41"/>
      <x v="25"/>
    </i>
    <i r="1">
      <x v="238"/>
      <x v="197"/>
      <x v="38"/>
      <x v="125"/>
      <x v="41"/>
      <x v="25"/>
    </i>
    <i>
      <x v="9"/>
      <x v="46"/>
      <x v="237"/>
      <x v="54"/>
      <x v="152"/>
      <x v="41"/>
      <x v="25"/>
    </i>
    <i r="1">
      <x v="191"/>
      <x v="223"/>
      <x v="73"/>
      <x v="179"/>
      <x v="41"/>
      <x v="25"/>
    </i>
    <i r="1">
      <x v="192"/>
      <x v="224"/>
      <x v="73"/>
      <x v="178"/>
      <x v="41"/>
      <x v="25"/>
    </i>
    <i r="1">
      <x v="193"/>
      <x v="225"/>
      <x v="70"/>
      <x v="174"/>
      <x v="41"/>
      <x v="25"/>
    </i>
    <i r="1">
      <x v="194"/>
      <x v="226"/>
      <x v="73"/>
      <x v="179"/>
      <x v="41"/>
      <x v="25"/>
    </i>
    <i r="1">
      <x v="195"/>
      <x v="222"/>
      <x v="73"/>
      <x v="179"/>
      <x v="41"/>
      <x v="25"/>
    </i>
    <i>
      <x v="10"/>
      <x v="25"/>
      <x v="147"/>
      <x v="42"/>
      <x v="129"/>
      <x v="41"/>
      <x v="25"/>
    </i>
    <i r="1">
      <x v="190"/>
      <x v="228"/>
      <x v="28"/>
      <x v="95"/>
      <x v="41"/>
      <x v="25"/>
    </i>
    <i>
      <x v="11"/>
      <x v="164"/>
      <x v="47"/>
      <x v="67"/>
      <x v="171"/>
      <x v="41"/>
      <x v="25"/>
    </i>
    <i r="1">
      <x v="165"/>
      <x v="84"/>
      <x v="85"/>
      <x v="190"/>
      <x v="41"/>
      <x v="25"/>
    </i>
    <i r="1">
      <x v="166"/>
      <x v="231"/>
      <x v="62"/>
      <x v="165"/>
      <x v="41"/>
      <x v="25"/>
    </i>
    <i r="1">
      <x v="168"/>
      <x v="36"/>
      <x v="72"/>
      <x v="177"/>
      <x v="41"/>
      <x v="25"/>
    </i>
    <i r="1">
      <x v="169"/>
      <x v="95"/>
      <x v="48"/>
      <x v="143"/>
      <x v="41"/>
      <x v="25"/>
    </i>
    <i r="1">
      <x v="170"/>
      <x v="35"/>
      <x v="85"/>
      <x v="190"/>
      <x v="41"/>
      <x v="25"/>
    </i>
    <i r="1">
      <x v="171"/>
      <x v="72"/>
      <x v="84"/>
      <x v="189"/>
      <x v="41"/>
      <x v="25"/>
    </i>
    <i r="1">
      <x v="172"/>
      <x v="19"/>
      <x v="58"/>
      <x v="158"/>
      <x v="41"/>
      <x v="25"/>
    </i>
    <i r="1">
      <x v="173"/>
      <x v="74"/>
      <x v="62"/>
      <x v="165"/>
      <x v="41"/>
      <x v="25"/>
    </i>
    <i r="1">
      <x v="174"/>
      <x v="85"/>
      <x v="61"/>
      <x v="162"/>
      <x v="41"/>
      <x v="25"/>
    </i>
    <i r="1">
      <x v="175"/>
      <x v="92"/>
      <x v="60"/>
      <x v="161"/>
      <x v="41"/>
      <x v="25"/>
    </i>
    <i r="1">
      <x v="176"/>
      <x v="164"/>
      <x v="60"/>
      <x v="161"/>
      <x v="41"/>
      <x v="25"/>
    </i>
    <i r="1">
      <x v="177"/>
      <x v="230"/>
      <x v="77"/>
      <x v="183"/>
      <x v="41"/>
      <x v="25"/>
    </i>
    <i r="1">
      <x v="178"/>
      <x v="88"/>
      <x v="83"/>
      <x v="188"/>
      <x v="41"/>
      <x v="25"/>
    </i>
    <i r="1">
      <x v="179"/>
      <x v="177"/>
      <x v="75"/>
      <x v="180"/>
      <x v="41"/>
      <x v="25"/>
    </i>
    <i r="1">
      <x v="181"/>
      <x v="104"/>
      <x v="56"/>
      <x v="156"/>
      <x v="41"/>
      <x v="25"/>
    </i>
    <i r="1">
      <x v="182"/>
      <x v="211"/>
      <x v="59"/>
      <x v="159"/>
      <x v="41"/>
      <x v="25"/>
    </i>
    <i r="1">
      <x v="184"/>
      <x v="81"/>
      <x v="59"/>
      <x v="159"/>
      <x v="41"/>
      <x v="25"/>
    </i>
    <i r="1">
      <x v="185"/>
      <x v="188"/>
      <x v="80"/>
      <x v="187"/>
      <x v="41"/>
      <x v="25"/>
    </i>
    <i r="1">
      <x v="186"/>
      <x v="178"/>
      <x v="62"/>
      <x v="165"/>
      <x v="41"/>
      <x v="25"/>
    </i>
    <i r="1">
      <x v="188"/>
      <x v="91"/>
      <x v="66"/>
      <x v="169"/>
      <x v="41"/>
      <x v="25"/>
    </i>
    <i r="1">
      <x v="243"/>
      <x v="46"/>
      <x v="67"/>
      <x v="171"/>
      <x v="41"/>
      <x v="25"/>
    </i>
    <i>
      <x v="12"/>
      <x v="162"/>
      <x/>
      <x v="19"/>
      <x v="49"/>
      <x v="37"/>
      <x v="23"/>
    </i>
    <i>
      <x v="13"/>
      <x v="120"/>
      <x v="80"/>
      <x v="74"/>
      <x v="172"/>
      <x v="41"/>
      <x v="25"/>
    </i>
    <i r="1">
      <x v="126"/>
      <x v="163"/>
      <x v="81"/>
      <x v="181"/>
      <x v="41"/>
      <x v="25"/>
    </i>
    <i r="1">
      <x v="161"/>
      <x v="189"/>
      <x v="12"/>
      <x v="24"/>
      <x v="41"/>
      <x v="25"/>
    </i>
    <i>
      <x v="14"/>
      <x v="143"/>
      <x v="96"/>
      <x v="67"/>
      <x v="175"/>
      <x v="41"/>
      <x v="25"/>
    </i>
    <i>
      <x v="15"/>
      <x v="234"/>
      <x v="48"/>
      <x v="57"/>
      <x v="136"/>
      <x v="41"/>
      <x v="25"/>
    </i>
    <i r="1">
      <x v="236"/>
      <x v="50"/>
      <x v="57"/>
      <x v="150"/>
      <x v="41"/>
      <x v="25"/>
    </i>
    <i t="grand">
      <x/>
    </i>
  </rowItems>
  <colFields count="3">
    <field x="11"/>
    <field x="12"/>
    <field x="-2"/>
  </colFields>
  <colItems count="10">
    <i>
      <x/>
      <x/>
      <x/>
    </i>
    <i r="2" i="1">
      <x v="1"/>
    </i>
    <i>
      <x v="1"/>
      <x v="1"/>
      <x/>
    </i>
    <i r="2" i="1">
      <x v="1"/>
    </i>
    <i>
      <x v="2"/>
      <x v="2"/>
      <x/>
    </i>
    <i r="2" i="1">
      <x v="1"/>
    </i>
    <i>
      <x v="3"/>
      <x v="3"/>
      <x/>
    </i>
    <i r="2" i="1">
      <x v="1"/>
    </i>
    <i t="grand">
      <x/>
    </i>
    <i t="grand" i="1">
      <x/>
    </i>
  </colItems>
  <dataFields count="2">
    <dataField name="Actual Sales" fld="13" baseField="7" baseItem="41" numFmtId="4"/>
    <dataField name="Actual Quantity" fld="14" baseField="7" baseItem="41" numFmtId="165"/>
  </dataFields>
  <formats count="235">
    <format dxfId="3525">
      <pivotArea dataOnly="0" outline="0" fieldPosition="0">
        <references count="1">
          <reference field="11" count="0"/>
        </references>
      </pivotArea>
    </format>
    <format dxfId="3526">
      <pivotArea outline="0" fieldPosition="0">
        <references count="1">
          <reference field="4294967294" count="1">
            <x v="0"/>
          </reference>
        </references>
      </pivotArea>
    </format>
    <format dxfId="3527">
      <pivotArea outline="0" fieldPosition="0">
        <references count="1">
          <reference field="4294967294" count="1">
            <x v="1"/>
          </reference>
        </references>
      </pivotArea>
    </format>
    <format dxfId="3528">
      <pivotArea field="1" type="button" dataOnly="0" labelOnly="1" outline="0" axis="axisRow" fieldPosition="0"/>
    </format>
    <format dxfId="3529">
      <pivotArea field="2" type="button" dataOnly="0" labelOnly="1" outline="0" axis="axisRow" fieldPosition="1"/>
    </format>
    <format dxfId="3530">
      <pivotArea field="3" type="button" dataOnly="0" labelOnly="1" outline="0" axis="axisRow" fieldPosition="2"/>
    </format>
    <format dxfId="3531">
      <pivotArea field="4" type="button" dataOnly="0" labelOnly="1" outline="0" axis="axisRow" fieldPosition="3"/>
    </format>
    <format dxfId="3532">
      <pivotArea field="5" type="button" dataOnly="0" labelOnly="1" outline="0" axis="axisRow" fieldPosition="4"/>
    </format>
    <format dxfId="3533">
      <pivotArea field="6" type="button" dataOnly="0" labelOnly="1" outline="0" axis="axisRow" fieldPosition="6"/>
    </format>
    <format dxfId="3534">
      <pivotArea field="7" type="button" dataOnly="0" labelOnly="1" outline="0" axis="axisRow" fieldPosition="5"/>
    </format>
    <format dxfId="3535">
      <pivotArea field="11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3536">
      <pivotArea field="11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3537">
      <pivotArea dataOnly="0" labelOnly="1" outline="0" fieldPosition="0">
        <references count="3">
          <reference field="4294967294" count="2">
            <x v="0"/>
            <x v="1"/>
          </reference>
          <reference field="11" count="1" selected="0">
            <x v="0"/>
          </reference>
          <reference field="12" count="1" selected="0">
            <x v="0"/>
          </reference>
        </references>
      </pivotArea>
    </format>
    <format dxfId="3538">
      <pivotArea dataOnly="0" labelOnly="1" outline="0" fieldPosition="0">
        <references count="3">
          <reference field="4294967294" count="2">
            <x v="0"/>
            <x v="1"/>
          </reference>
          <reference field="11" count="1" selected="0">
            <x v="1"/>
          </reference>
          <reference field="12" count="1" selected="0">
            <x v="1"/>
          </reference>
        </references>
      </pivotArea>
    </format>
    <format dxfId="3539">
      <pivotArea dataOnly="0" labelOnly="1" outline="0" fieldPosition="0">
        <references count="3">
          <reference field="4294967294" count="2">
            <x v="0"/>
            <x v="1"/>
          </reference>
          <reference field="11" count="1" selected="0">
            <x v="2"/>
          </reference>
          <reference field="12" count="1" selected="0">
            <x v="2"/>
          </reference>
        </references>
      </pivotArea>
    </format>
    <format dxfId="3540">
      <pivotArea dataOnly="0" labelOnly="1" outline="0" fieldPosition="0">
        <references count="3">
          <reference field="4294967294" count="2">
            <x v="0"/>
            <x v="1"/>
          </reference>
          <reference field="11" count="1" selected="0">
            <x v="3"/>
          </reference>
          <reference field="12" count="1" selected="0">
            <x v="3"/>
          </reference>
        </references>
      </pivotArea>
    </format>
    <format dxfId="3541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91"/>
          </reference>
          <reference field="3" count="1" selected="0">
            <x v="21"/>
          </reference>
          <reference field="4" count="1">
            <x v="30"/>
          </reference>
        </references>
      </pivotArea>
    </format>
    <format dxfId="3542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92"/>
          </reference>
          <reference field="3" count="1" selected="0">
            <x v="20"/>
          </reference>
          <reference field="4" count="1">
            <x v="25"/>
          </reference>
        </references>
      </pivotArea>
    </format>
    <format dxfId="3543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94"/>
          </reference>
          <reference field="3" count="1" selected="0">
            <x v="33"/>
          </reference>
          <reference field="4" count="1">
            <x v="40"/>
          </reference>
        </references>
      </pivotArea>
    </format>
    <format dxfId="3544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03"/>
          </reference>
          <reference field="3" count="1" selected="0">
            <x v="160"/>
          </reference>
          <reference field="4" count="1">
            <x v="4"/>
          </reference>
        </references>
      </pivotArea>
    </format>
    <format dxfId="3545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04"/>
          </reference>
          <reference field="3" count="1" selected="0">
            <x v="161"/>
          </reference>
          <reference field="4" count="1">
            <x v="26"/>
          </reference>
        </references>
      </pivotArea>
    </format>
    <format dxfId="3546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05"/>
          </reference>
          <reference field="3" count="1" selected="0">
            <x v="166"/>
          </reference>
          <reference field="4" count="1">
            <x v="23"/>
          </reference>
        </references>
      </pivotArea>
    </format>
    <format dxfId="3547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16"/>
          </reference>
          <reference field="3" count="1" selected="0">
            <x v="151"/>
          </reference>
          <reference field="4" count="1">
            <x v="18"/>
          </reference>
        </references>
      </pivotArea>
    </format>
    <format dxfId="3548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17"/>
          </reference>
          <reference field="3" count="1" selected="0">
            <x v="43"/>
          </reference>
          <reference field="4" count="1">
            <x v="0"/>
          </reference>
        </references>
      </pivotArea>
    </format>
    <format dxfId="3549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19"/>
          </reference>
          <reference field="3" count="1" selected="0">
            <x v="79"/>
          </reference>
          <reference field="4" count="1">
            <x v="25"/>
          </reference>
        </references>
      </pivotArea>
    </format>
    <format dxfId="3550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22"/>
          </reference>
          <reference field="3" count="1" selected="0">
            <x v="102"/>
          </reference>
          <reference field="4" count="1">
            <x v="8"/>
          </reference>
        </references>
      </pivotArea>
    </format>
    <format dxfId="3551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23"/>
          </reference>
          <reference field="3" count="1" selected="0">
            <x v="103"/>
          </reference>
          <reference field="4" count="1">
            <x v="9"/>
          </reference>
        </references>
      </pivotArea>
    </format>
    <format dxfId="3552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24"/>
          </reference>
          <reference field="3" count="1" selected="0">
            <x v="148"/>
          </reference>
          <reference field="4" count="1">
            <x v="42"/>
          </reference>
        </references>
      </pivotArea>
    </format>
    <format dxfId="3553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27"/>
          </reference>
          <reference field="3" count="1" selected="0">
            <x v="180"/>
          </reference>
          <reference field="4" count="1">
            <x v="9"/>
          </reference>
        </references>
      </pivotArea>
    </format>
    <format dxfId="3554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28"/>
          </reference>
          <reference field="3" count="1" selected="0">
            <x v="183"/>
          </reference>
          <reference field="4" count="1">
            <x v="11"/>
          </reference>
        </references>
      </pivotArea>
    </format>
    <format dxfId="3555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29"/>
          </reference>
          <reference field="3" count="1" selected="0">
            <x v="184"/>
          </reference>
          <reference field="4" count="1">
            <x v="25"/>
          </reference>
        </references>
      </pivotArea>
    </format>
    <format dxfId="3556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30"/>
          </reference>
          <reference field="3" count="1" selected="0">
            <x v="192"/>
          </reference>
          <reference field="4" count="1">
            <x v="19"/>
          </reference>
        </references>
      </pivotArea>
    </format>
    <format dxfId="3557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31"/>
          </reference>
          <reference field="3" count="1" selected="0">
            <x v="229"/>
          </reference>
          <reference field="4" count="1">
            <x v="9"/>
          </reference>
        </references>
      </pivotArea>
    </format>
    <format dxfId="3558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32"/>
          </reference>
          <reference field="3" count="1" selected="0">
            <x v="236"/>
          </reference>
          <reference field="4" count="1">
            <x v="1"/>
          </reference>
        </references>
      </pivotArea>
    </format>
    <format dxfId="3559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33"/>
          </reference>
          <reference field="3" count="1" selected="0">
            <x v="239"/>
          </reference>
          <reference field="4" count="1">
            <x v="16"/>
          </reference>
        </references>
      </pivotArea>
    </format>
    <format dxfId="3560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37"/>
          </reference>
          <reference field="3" count="1" selected="0">
            <x v="42"/>
          </reference>
          <reference field="4" count="1">
            <x v="36"/>
          </reference>
        </references>
      </pivotArea>
    </format>
    <format dxfId="3561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38"/>
          </reference>
          <reference field="3" count="1" selected="0">
            <x v="49"/>
          </reference>
          <reference field="4" count="1">
            <x v="1"/>
          </reference>
        </references>
      </pivotArea>
    </format>
    <format dxfId="3562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39"/>
          </reference>
          <reference field="3" count="1" selected="0">
            <x v="75"/>
          </reference>
          <reference field="4" count="1">
            <x v="22"/>
          </reference>
        </references>
      </pivotArea>
    </format>
    <format dxfId="3563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40"/>
          </reference>
          <reference field="3" count="1" selected="0">
            <x v="76"/>
          </reference>
          <reference field="4" count="1">
            <x v="6"/>
          </reference>
        </references>
      </pivotArea>
    </format>
    <format dxfId="3564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45"/>
          </reference>
          <reference field="3" count="1" selected="0">
            <x v="162"/>
          </reference>
          <reference field="4" count="1">
            <x v="3"/>
          </reference>
        </references>
      </pivotArea>
    </format>
    <format dxfId="3565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48"/>
          </reference>
          <reference field="3" count="1" selected="0">
            <x v="238"/>
          </reference>
          <reference field="4" count="1">
            <x v="7"/>
          </reference>
        </references>
      </pivotArea>
    </format>
    <format dxfId="3566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50"/>
          </reference>
          <reference field="3" count="1" selected="0">
            <x v="165"/>
          </reference>
          <reference field="4" count="1">
            <x v="2"/>
          </reference>
        </references>
      </pivotArea>
    </format>
    <format dxfId="3567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51"/>
          </reference>
          <reference field="3" count="1" selected="0">
            <x v="187"/>
          </reference>
          <reference field="4" count="1">
            <x v="21"/>
          </reference>
        </references>
      </pivotArea>
    </format>
    <format dxfId="3568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63"/>
          </reference>
          <reference field="3" count="1" selected="0">
            <x v="34"/>
          </reference>
          <reference field="4" count="1">
            <x v="18"/>
          </reference>
        </references>
      </pivotArea>
    </format>
    <format dxfId="3569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96"/>
          </reference>
          <reference field="3" count="1" selected="0">
            <x v="77"/>
          </reference>
          <reference field="4" count="1">
            <x v="31"/>
          </reference>
        </references>
      </pivotArea>
    </format>
    <format dxfId="3570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99"/>
          </reference>
          <reference field="3" count="1" selected="0">
            <x v="86"/>
          </reference>
          <reference field="4" count="1">
            <x v="27"/>
          </reference>
        </references>
      </pivotArea>
    </format>
    <format dxfId="3571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208"/>
          </reference>
          <reference field="3" count="1" selected="0">
            <x v="150"/>
          </reference>
          <reference field="4" count="1">
            <x v="36"/>
          </reference>
        </references>
      </pivotArea>
    </format>
    <format dxfId="3572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209"/>
          </reference>
          <reference field="3" count="1" selected="0">
            <x v="149"/>
          </reference>
          <reference field="4" count="1">
            <x v="41"/>
          </reference>
        </references>
      </pivotArea>
    </format>
    <format dxfId="3573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211"/>
          </reference>
          <reference field="3" count="1" selected="0">
            <x v="175"/>
          </reference>
          <reference field="4" count="1">
            <x v="32"/>
          </reference>
        </references>
      </pivotArea>
    </format>
    <format dxfId="3574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212"/>
          </reference>
          <reference field="3" count="1" selected="0">
            <x v="235"/>
          </reference>
          <reference field="4" count="1">
            <x v="25"/>
          </reference>
        </references>
      </pivotArea>
    </format>
    <format dxfId="3575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215"/>
          </reference>
          <reference field="3" count="1" selected="0">
            <x v="212"/>
          </reference>
          <reference field="4" count="1">
            <x v="27"/>
          </reference>
        </references>
      </pivotArea>
    </format>
    <format dxfId="3576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216"/>
          </reference>
          <reference field="3" count="1" selected="0">
            <x v="240"/>
          </reference>
          <reference field="4" count="1">
            <x v="17"/>
          </reference>
        </references>
      </pivotArea>
    </format>
    <format dxfId="3577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217"/>
          </reference>
          <reference field="3" count="1" selected="0">
            <x v="45"/>
          </reference>
          <reference field="4" count="1">
            <x v="14"/>
          </reference>
        </references>
      </pivotArea>
    </format>
    <format dxfId="3578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227"/>
          </reference>
          <reference field="3" count="1" selected="0">
            <x v="94"/>
          </reference>
          <reference field="4" count="1">
            <x v="34"/>
          </reference>
        </references>
      </pivotArea>
    </format>
    <format dxfId="3579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228"/>
          </reference>
          <reference field="3" count="1" selected="0">
            <x v="69"/>
          </reference>
          <reference field="4" count="1">
            <x v="50"/>
          </reference>
        </references>
      </pivotArea>
    </format>
    <format dxfId="3580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229"/>
          </reference>
          <reference field="3" count="1" selected="0">
            <x v="68"/>
          </reference>
          <reference field="4" count="1">
            <x v="87"/>
          </reference>
        </references>
      </pivotArea>
    </format>
    <format dxfId="3581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233"/>
          </reference>
          <reference field="3" count="1" selected="0">
            <x v="66"/>
          </reference>
          <reference field="4" count="1">
            <x v="63"/>
          </reference>
        </references>
      </pivotArea>
    </format>
    <format dxfId="3582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235"/>
          </reference>
          <reference field="3" count="1" selected="0">
            <x v="217"/>
          </reference>
          <reference field="4" count="1">
            <x v="32"/>
          </reference>
        </references>
      </pivotArea>
    </format>
    <format dxfId="3583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237"/>
          </reference>
          <reference field="3" count="1" selected="0">
            <x v="63"/>
          </reference>
          <reference field="4" count="1">
            <x v="63"/>
          </reference>
        </references>
      </pivotArea>
    </format>
    <format dxfId="3584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239"/>
          </reference>
          <reference field="3" count="1" selected="0">
            <x v="232"/>
          </reference>
          <reference field="4" count="1">
            <x v="46"/>
          </reference>
        </references>
      </pivotArea>
    </format>
    <format dxfId="3585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242"/>
          </reference>
          <reference field="3" count="1" selected="0">
            <x v="198"/>
          </reference>
          <reference field="4" count="1">
            <x v="50"/>
          </reference>
        </references>
      </pivotArea>
    </format>
    <format dxfId="3586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93"/>
          </reference>
          <reference field="3" count="1" selected="0">
            <x v="22"/>
          </reference>
          <reference field="4" count="1">
            <x v="13"/>
          </reference>
        </references>
      </pivotArea>
    </format>
    <format dxfId="3587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95"/>
          </reference>
          <reference field="3" count="1" selected="0">
            <x v="220"/>
          </reference>
          <reference field="4" count="1">
            <x v="15"/>
          </reference>
        </references>
      </pivotArea>
    </format>
    <format dxfId="3588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96"/>
          </reference>
          <reference field="3" count="1" selected="0">
            <x v="57"/>
          </reference>
          <reference field="4" count="1">
            <x v="24"/>
          </reference>
        </references>
      </pivotArea>
    </format>
    <format dxfId="3589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98"/>
          </reference>
          <reference field="3" count="1" selected="0">
            <x v="98"/>
          </reference>
          <reference field="4" count="1">
            <x v="30"/>
          </reference>
        </references>
      </pivotArea>
    </format>
    <format dxfId="3590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99"/>
          </reference>
          <reference field="3" count="1" selected="0">
            <x v="99"/>
          </reference>
          <reference field="4" count="1">
            <x v="16"/>
          </reference>
        </references>
      </pivotArea>
    </format>
    <format dxfId="3591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00"/>
          </reference>
          <reference field="3" count="1" selected="0">
            <x v="101"/>
          </reference>
          <reference field="4" count="1">
            <x v="10"/>
          </reference>
        </references>
      </pivotArea>
    </format>
    <format dxfId="3592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01"/>
          </reference>
          <reference field="3" count="1" selected="0">
            <x v="105"/>
          </reference>
          <reference field="4" count="1">
            <x v="22"/>
          </reference>
        </references>
      </pivotArea>
    </format>
    <format dxfId="3593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02"/>
          </reference>
          <reference field="3" count="1" selected="0">
            <x v="32"/>
          </reference>
          <reference field="4" count="1">
            <x v="82"/>
          </reference>
        </references>
      </pivotArea>
    </format>
    <format dxfId="3594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06"/>
          </reference>
          <reference field="3" count="1" selected="0">
            <x v="170"/>
          </reference>
          <reference field="4" count="1">
            <x v="22"/>
          </reference>
        </references>
      </pivotArea>
    </format>
    <format dxfId="3595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07"/>
          </reference>
          <reference field="3" count="1" selected="0">
            <x v="171"/>
          </reference>
          <reference field="4" count="1">
            <x v="12"/>
          </reference>
        </references>
      </pivotArea>
    </format>
    <format dxfId="3596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08"/>
          </reference>
          <reference field="3" count="1" selected="0">
            <x v="176"/>
          </reference>
          <reference field="4" count="1">
            <x v="36"/>
          </reference>
        </references>
      </pivotArea>
    </format>
    <format dxfId="3597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09"/>
          </reference>
          <reference field="3" count="1" selected="0">
            <x v="179"/>
          </reference>
          <reference field="4" count="1">
            <x v="5"/>
          </reference>
        </references>
      </pivotArea>
    </format>
    <format dxfId="3598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10"/>
          </reference>
          <reference field="3" count="1" selected="0">
            <x v="181"/>
          </reference>
          <reference field="4" count="1">
            <x v="8"/>
          </reference>
        </references>
      </pivotArea>
    </format>
    <format dxfId="3599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11"/>
          </reference>
          <reference field="3" count="1" selected="0">
            <x v="190"/>
          </reference>
          <reference field="4" count="1">
            <x v="18"/>
          </reference>
        </references>
      </pivotArea>
    </format>
    <format dxfId="3600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12"/>
          </reference>
          <reference field="3" count="1" selected="0">
            <x v="215"/>
          </reference>
          <reference field="4" count="1">
            <x v="25"/>
          </reference>
        </references>
      </pivotArea>
    </format>
    <format dxfId="3601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13"/>
          </reference>
          <reference field="3" count="1" selected="0">
            <x v="218"/>
          </reference>
          <reference field="4" count="1">
            <x v="22"/>
          </reference>
        </references>
      </pivotArea>
    </format>
    <format dxfId="3602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14"/>
          </reference>
          <reference field="3" count="1" selected="0">
            <x v="219"/>
          </reference>
          <reference field="4" count="1">
            <x v="34"/>
          </reference>
        </references>
      </pivotArea>
    </format>
    <format dxfId="3603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15"/>
          </reference>
          <reference field="3" count="1" selected="0">
            <x v="100"/>
          </reference>
          <reference field="4" count="1">
            <x v="19"/>
          </reference>
        </references>
      </pivotArea>
    </format>
    <format dxfId="3604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18"/>
          </reference>
          <reference field="3" count="1" selected="0">
            <x v="52"/>
          </reference>
          <reference field="4" count="1">
            <x v="8"/>
          </reference>
        </references>
      </pivotArea>
    </format>
    <format dxfId="3605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21"/>
          </reference>
          <reference field="3" count="1" selected="0">
            <x v="83"/>
          </reference>
          <reference field="4" count="1">
            <x v="36"/>
          </reference>
        </references>
      </pivotArea>
    </format>
    <format dxfId="3606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42"/>
          </reference>
          <reference field="3" count="1" selected="0">
            <x v="89"/>
          </reference>
          <reference field="4" count="1">
            <x v="12"/>
          </reference>
        </references>
      </pivotArea>
    </format>
    <format dxfId="3607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47"/>
          </reference>
          <reference field="3" count="1" selected="0">
            <x v="168"/>
          </reference>
          <reference field="4" count="1">
            <x v="31"/>
          </reference>
        </references>
      </pivotArea>
    </format>
    <format dxfId="3608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59"/>
          </reference>
          <reference field="3" count="1" selected="0">
            <x v="71"/>
          </reference>
          <reference field="4" count="1">
            <x v="24"/>
          </reference>
        </references>
      </pivotArea>
    </format>
    <format dxfId="3609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60"/>
          </reference>
          <reference field="3" count="1" selected="0">
            <x v="87"/>
          </reference>
          <reference field="4" count="1">
            <x v="19"/>
          </reference>
        </references>
      </pivotArea>
    </format>
    <format dxfId="3610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67"/>
          </reference>
          <reference field="3" count="1" selected="0">
            <x v="153"/>
          </reference>
          <reference field="4" count="1">
            <x v="15"/>
          </reference>
        </references>
      </pivotArea>
    </format>
    <format dxfId="3611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80"/>
          </reference>
          <reference field="3" count="1" selected="0">
            <x v="174"/>
          </reference>
          <reference field="4" count="1">
            <x v="25"/>
          </reference>
        </references>
      </pivotArea>
    </format>
    <format dxfId="3612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189"/>
          </reference>
          <reference field="3" count="1" selected="0">
            <x v="78"/>
          </reference>
          <reference field="4" count="1">
            <x v="42"/>
          </reference>
        </references>
      </pivotArea>
    </format>
    <format dxfId="3613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200"/>
          </reference>
          <reference field="3" count="1" selected="0">
            <x v="210"/>
          </reference>
          <reference field="4" count="1">
            <x v="38"/>
          </reference>
        </references>
      </pivotArea>
    </format>
    <format dxfId="3614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202"/>
          </reference>
          <reference field="3" count="1" selected="0">
            <x v="70"/>
          </reference>
          <reference field="4" count="1">
            <x v="7"/>
          </reference>
        </references>
      </pivotArea>
    </format>
    <format dxfId="3615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203"/>
          </reference>
          <reference field="3" count="1" selected="0">
            <x v="37"/>
          </reference>
          <reference field="4" count="1">
            <x v="15"/>
          </reference>
        </references>
      </pivotArea>
    </format>
    <format dxfId="3616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204"/>
          </reference>
          <reference field="3" count="1" selected="0">
            <x v="1"/>
          </reference>
          <reference field="4" count="1">
            <x v="19"/>
          </reference>
        </references>
      </pivotArea>
    </format>
    <format dxfId="3617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210"/>
          </reference>
          <reference field="3" count="1" selected="0">
            <x v="216"/>
          </reference>
          <reference field="4" count="1">
            <x v="21"/>
          </reference>
        </references>
      </pivotArea>
    </format>
    <format dxfId="3618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218"/>
          </reference>
          <reference field="3" count="1" selected="0">
            <x v="182"/>
          </reference>
          <reference field="4" count="1">
            <x v="8"/>
          </reference>
        </references>
      </pivotArea>
    </format>
    <format dxfId="3619">
      <pivotArea dataOnly="0" labelOnly="1" outline="0" fieldPosition="0">
        <references count="4">
          <reference field="1" count="1" selected="0">
            <x v="1"/>
          </reference>
          <reference field="2" count="1" selected="0">
            <x v="223"/>
          </reference>
          <reference field="3" count="1" selected="0">
            <x v="93"/>
          </reference>
          <reference field="4" count="1">
            <x v="13"/>
          </reference>
        </references>
      </pivotArea>
    </format>
    <format dxfId="3620">
      <pivotArea dataOnly="0" labelOnly="1" outline="0" fieldPosition="0">
        <references count="4">
          <reference field="1" count="1" selected="0">
            <x v="2"/>
          </reference>
          <reference field="2" count="1" selected="0">
            <x v="90"/>
          </reference>
          <reference field="3" count="1" selected="0">
            <x v="18"/>
          </reference>
          <reference field="4" count="1">
            <x v="88"/>
          </reference>
        </references>
      </pivotArea>
    </format>
    <format dxfId="3621">
      <pivotArea dataOnly="0" labelOnly="1" outline="0" fieldPosition="0">
        <references count="4">
          <reference field="1" count="1" selected="0">
            <x v="2"/>
          </reference>
          <reference field="2" count="1" selected="0">
            <x v="149"/>
          </reference>
          <reference field="3" count="1" selected="0">
            <x v="243"/>
          </reference>
          <reference field="4" count="1">
            <x v="64"/>
          </reference>
        </references>
      </pivotArea>
    </format>
    <format dxfId="3622">
      <pivotArea dataOnly="0" labelOnly="1" outline="0" fieldPosition="0">
        <references count="4">
          <reference field="1" count="1" selected="0">
            <x v="2"/>
          </reference>
          <reference field="2" count="1" selected="0">
            <x v="214"/>
          </reference>
          <reference field="3" count="1" selected="0">
            <x v="191"/>
          </reference>
          <reference field="4" count="1">
            <x v="18"/>
          </reference>
        </references>
      </pivotArea>
    </format>
    <format dxfId="3623">
      <pivotArea dataOnly="0" labelOnly="1" outline="0" fieldPosition="0">
        <references count="4">
          <reference field="1" count="1" selected="0">
            <x v="2"/>
          </reference>
          <reference field="2" count="1" selected="0">
            <x v="219"/>
          </reference>
          <reference field="3" count="1" selected="0">
            <x v="97"/>
          </reference>
          <reference field="4" count="1">
            <x v="2"/>
          </reference>
        </references>
      </pivotArea>
    </format>
    <format dxfId="3624">
      <pivotArea dataOnly="0" labelOnly="1" outline="0" fieldPosition="0">
        <references count="4">
          <reference field="1" count="1" selected="0">
            <x v="2"/>
          </reference>
          <reference field="2" count="1" selected="0">
            <x v="220"/>
          </reference>
          <reference field="3" count="1" selected="0">
            <x v="172"/>
          </reference>
          <reference field="4" count="1">
            <x v="16"/>
          </reference>
        </references>
      </pivotArea>
    </format>
    <format dxfId="3625">
      <pivotArea dataOnly="0" labelOnly="1" outline="0" fieldPosition="0">
        <references count="4">
          <reference field="1" count="1" selected="0">
            <x v="3"/>
          </reference>
          <reference field="2" count="1" selected="0">
            <x v="134"/>
          </reference>
          <reference field="3" count="1" selected="0">
            <x v="38"/>
          </reference>
          <reference field="4" count="1">
            <x v="57"/>
          </reference>
        </references>
      </pivotArea>
    </format>
    <format dxfId="3626">
      <pivotArea dataOnly="0" labelOnly="1" outline="0" fieldPosition="0">
        <references count="4">
          <reference field="1" count="1" selected="0">
            <x v="3"/>
          </reference>
          <reference field="2" count="1" selected="0">
            <x v="135"/>
          </reference>
          <reference field="3" count="1" selected="0">
            <x v="39"/>
          </reference>
          <reference field="4" count="1">
            <x v="53"/>
          </reference>
        </references>
      </pivotArea>
    </format>
    <format dxfId="3627">
      <pivotArea dataOnly="0" labelOnly="1" outline="0" fieldPosition="0">
        <references count="4">
          <reference field="1" count="1" selected="0">
            <x v="3"/>
          </reference>
          <reference field="2" count="1" selected="0">
            <x v="141"/>
          </reference>
          <reference field="3" count="1" selected="0">
            <x v="82"/>
          </reference>
          <reference field="4" count="1">
            <x v="36"/>
          </reference>
        </references>
      </pivotArea>
    </format>
    <format dxfId="3628">
      <pivotArea dataOnly="0" labelOnly="1" outline="0" fieldPosition="0">
        <references count="4">
          <reference field="1" count="1" selected="0">
            <x v="3"/>
          </reference>
          <reference field="2" count="1" selected="0">
            <x v="183"/>
          </reference>
          <reference field="3" count="1" selected="0">
            <x v="41"/>
          </reference>
          <reference field="4" count="1">
            <x v="17"/>
          </reference>
        </references>
      </pivotArea>
    </format>
    <format dxfId="3629">
      <pivotArea dataOnly="0" labelOnly="1" outline="0" fieldPosition="0">
        <references count="4">
          <reference field="1" count="1" selected="0">
            <x v="3"/>
          </reference>
          <reference field="2" count="1" selected="0">
            <x v="240"/>
          </reference>
          <reference field="3" count="1" selected="0">
            <x v="155"/>
          </reference>
          <reference field="4" count="1">
            <x v="25"/>
          </reference>
        </references>
      </pivotArea>
    </format>
    <format dxfId="3630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20"/>
          </reference>
          <reference field="3" count="1" selected="0">
            <x v="133"/>
          </reference>
          <reference field="4" count="1">
            <x v="39"/>
          </reference>
        </references>
      </pivotArea>
    </format>
    <format dxfId="3631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22"/>
          </reference>
          <reference field="3" count="1" selected="0">
            <x v="117"/>
          </reference>
          <reference field="4" count="1">
            <x v="30"/>
          </reference>
        </references>
      </pivotArea>
    </format>
    <format dxfId="3632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23"/>
          </reference>
          <reference field="3" count="1" selected="0">
            <x v="146"/>
          </reference>
          <reference field="4" count="1">
            <x v="32"/>
          </reference>
        </references>
      </pivotArea>
    </format>
    <format dxfId="3633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24"/>
          </reference>
          <reference field="3" count="1" selected="0">
            <x v="116"/>
          </reference>
          <reference field="4" count="1">
            <x v="36"/>
          </reference>
        </references>
      </pivotArea>
    </format>
    <format dxfId="3634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26"/>
          </reference>
          <reference field="3" count="1" selected="0">
            <x v="132"/>
          </reference>
          <reference field="4" count="1">
            <x v="30"/>
          </reference>
        </references>
      </pivotArea>
    </format>
    <format dxfId="3635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27"/>
          </reference>
          <reference field="3" count="1" selected="0">
            <x v="54"/>
          </reference>
          <reference field="4" count="1">
            <x v="19"/>
          </reference>
        </references>
      </pivotArea>
    </format>
    <format dxfId="3636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30"/>
          </reference>
          <reference field="3" count="1" selected="0">
            <x v="143"/>
          </reference>
          <reference field="4" count="1">
            <x v="27"/>
          </reference>
        </references>
      </pivotArea>
    </format>
    <format dxfId="3637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31"/>
          </reference>
          <reference field="3" count="1" selected="0">
            <x v="127"/>
          </reference>
          <reference field="4" count="1">
            <x v="28"/>
          </reference>
        </references>
      </pivotArea>
    </format>
    <format dxfId="3638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33"/>
          </reference>
          <reference field="3" count="1" selected="0">
            <x v="55"/>
          </reference>
          <reference field="4" count="1">
            <x v="17"/>
          </reference>
        </references>
      </pivotArea>
    </format>
    <format dxfId="3639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53"/>
          </reference>
          <reference field="3" count="1" selected="0">
            <x v="134"/>
          </reference>
          <reference field="4" count="1">
            <x v="42"/>
          </reference>
        </references>
      </pivotArea>
    </format>
    <format dxfId="3640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57"/>
          </reference>
          <reference field="3" count="1" selected="0">
            <x v="221"/>
          </reference>
          <reference field="4" count="1">
            <x v="22"/>
          </reference>
        </references>
      </pivotArea>
    </format>
    <format dxfId="3641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58"/>
          </reference>
          <reference field="3" count="1" selected="0">
            <x v="227"/>
          </reference>
          <reference field="4" count="1">
            <x v="25"/>
          </reference>
        </references>
      </pivotArea>
    </format>
    <format dxfId="3642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59"/>
          </reference>
          <reference field="3" count="1" selected="0">
            <x v="205"/>
          </reference>
          <reference field="4" count="1">
            <x v="35"/>
          </reference>
        </references>
      </pivotArea>
    </format>
    <format dxfId="3643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60"/>
          </reference>
          <reference field="3" count="1" selected="0">
            <x v="204"/>
          </reference>
          <reference field="4" count="1">
            <x v="25"/>
          </reference>
        </references>
      </pivotArea>
    </format>
    <format dxfId="3644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61"/>
          </reference>
          <reference field="3" count="1" selected="0">
            <x v="199"/>
          </reference>
          <reference field="4" count="1">
            <x v="20"/>
          </reference>
        </references>
      </pivotArea>
    </format>
    <format dxfId="3645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62"/>
          </reference>
          <reference field="3" count="1" selected="0">
            <x v="203"/>
          </reference>
          <reference field="4" count="1">
            <x v="29"/>
          </reference>
        </references>
      </pivotArea>
    </format>
    <format dxfId="3646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63"/>
          </reference>
          <reference field="3" count="1" selected="0">
            <x v="208"/>
          </reference>
          <reference field="4" count="1">
            <x v="27"/>
          </reference>
        </references>
      </pivotArea>
    </format>
    <format dxfId="3647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64"/>
          </reference>
          <reference field="3" count="1" selected="0">
            <x v="207"/>
          </reference>
          <reference field="4" count="1">
            <x v="22"/>
          </reference>
        </references>
      </pivotArea>
    </format>
    <format dxfId="3648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65"/>
          </reference>
          <reference field="3" count="1" selected="0">
            <x v="206"/>
          </reference>
          <reference field="4" count="1">
            <x v="36"/>
          </reference>
        </references>
      </pivotArea>
    </format>
    <format dxfId="3649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66"/>
          </reference>
          <reference field="3" count="1" selected="0">
            <x v="200"/>
          </reference>
          <reference field="4" count="1">
            <x v="37"/>
          </reference>
        </references>
      </pivotArea>
    </format>
    <format dxfId="3650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67"/>
          </reference>
          <reference field="3" count="1" selected="0">
            <x v="201"/>
          </reference>
          <reference field="4" count="1">
            <x v="30"/>
          </reference>
        </references>
      </pivotArea>
    </format>
    <format dxfId="3651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69"/>
          </reference>
          <reference field="3" count="1" selected="0">
            <x v="26"/>
          </reference>
          <reference field="4" count="1">
            <x v="27"/>
          </reference>
        </references>
      </pivotArea>
    </format>
    <format dxfId="3652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70"/>
          </reference>
          <reference field="3" count="1" selected="0">
            <x v="25"/>
          </reference>
          <reference field="4" count="1">
            <x v="25"/>
          </reference>
        </references>
      </pivotArea>
    </format>
    <format dxfId="3653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71"/>
          </reference>
          <reference field="3" count="1" selected="0">
            <x v="30"/>
          </reference>
          <reference field="4" count="1">
            <x v="26"/>
          </reference>
        </references>
      </pivotArea>
    </format>
    <format dxfId="3654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73"/>
          </reference>
          <reference field="3" count="1" selected="0">
            <x v="27"/>
          </reference>
          <reference field="4" count="1">
            <x v="17"/>
          </reference>
        </references>
      </pivotArea>
    </format>
    <format dxfId="3655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77"/>
          </reference>
          <reference field="3" count="1" selected="0">
            <x v="23"/>
          </reference>
          <reference field="4" count="1">
            <x v="30"/>
          </reference>
        </references>
      </pivotArea>
    </format>
    <format dxfId="3656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78"/>
          </reference>
          <reference field="3" count="1" selected="0">
            <x v="15"/>
          </reference>
          <reference field="4" count="1">
            <x v="27"/>
          </reference>
        </references>
      </pivotArea>
    </format>
    <format dxfId="3657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79"/>
          </reference>
          <reference field="3" count="1" selected="0">
            <x v="5"/>
          </reference>
          <reference field="4" count="1">
            <x v="24"/>
          </reference>
        </references>
      </pivotArea>
    </format>
    <format dxfId="3658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80"/>
          </reference>
          <reference field="3" count="1" selected="0">
            <x v="8"/>
          </reference>
          <reference field="4" count="1">
            <x v="31"/>
          </reference>
        </references>
      </pivotArea>
    </format>
    <format dxfId="3659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82"/>
          </reference>
          <reference field="3" count="1" selected="0">
            <x v="3"/>
          </reference>
          <reference field="4" count="1">
            <x v="29"/>
          </reference>
        </references>
      </pivotArea>
    </format>
    <format dxfId="3660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83"/>
          </reference>
          <reference field="3" count="1" selected="0">
            <x v="9"/>
          </reference>
          <reference field="4" count="1">
            <x v="31"/>
          </reference>
        </references>
      </pivotArea>
    </format>
    <format dxfId="3661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84"/>
          </reference>
          <reference field="3" count="1" selected="0">
            <x v="16"/>
          </reference>
          <reference field="4" count="1">
            <x v="24"/>
          </reference>
        </references>
      </pivotArea>
    </format>
    <format dxfId="3662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85"/>
          </reference>
          <reference field="3" count="1" selected="0">
            <x v="17"/>
          </reference>
          <reference field="4" count="1">
            <x v="25"/>
          </reference>
        </references>
      </pivotArea>
    </format>
    <format dxfId="3663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86"/>
          </reference>
          <reference field="3" count="1" selected="0">
            <x v="6"/>
          </reference>
          <reference field="4" count="1">
            <x v="31"/>
          </reference>
        </references>
      </pivotArea>
    </format>
    <format dxfId="3664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88"/>
          </reference>
          <reference field="3" count="1" selected="0">
            <x v="7"/>
          </reference>
          <reference field="4" count="1">
            <x v="28"/>
          </reference>
        </references>
      </pivotArea>
    </format>
    <format dxfId="3665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89"/>
          </reference>
          <reference field="3" count="1" selected="0">
            <x v="2"/>
          </reference>
          <reference field="4" count="1">
            <x v="24"/>
          </reference>
        </references>
      </pivotArea>
    </format>
    <format dxfId="3666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152"/>
          </reference>
          <reference field="3" count="1" selected="0">
            <x v="209"/>
          </reference>
          <reference field="4" count="1">
            <x v="37"/>
          </reference>
        </references>
      </pivotArea>
    </format>
    <format dxfId="3667">
      <pivotArea dataOnly="0" labelOnly="1" outline="0" fieldPosition="0">
        <references count="4">
          <reference field="1" count="1" selected="0">
            <x v="4"/>
          </reference>
          <reference field="2" count="1" selected="0">
            <x v="213"/>
          </reference>
          <reference field="3" count="1" selected="0">
            <x v="131"/>
          </reference>
          <reference field="4" count="1">
            <x v="30"/>
          </reference>
        </references>
      </pivotArea>
    </format>
    <format dxfId="3668">
      <pivotArea dataOnly="0" labelOnly="1" outline="0" fieldPosition="0">
        <references count="4">
          <reference field="1" count="1" selected="0">
            <x v="5"/>
          </reference>
          <reference field="2" count="1" selected="0">
            <x v="2"/>
          </reference>
          <reference field="3" count="1" selected="0">
            <x v="125"/>
          </reference>
          <reference field="4" count="1">
            <x v="28"/>
          </reference>
        </references>
      </pivotArea>
    </format>
    <format dxfId="3669">
      <pivotArea dataOnly="0" labelOnly="1" outline="0" fieldPosition="0">
        <references count="4">
          <reference field="1" count="1" selected="0">
            <x v="5"/>
          </reference>
          <reference field="2" count="1" selected="0">
            <x v="3"/>
          </reference>
          <reference field="3" count="1" selected="0">
            <x v="113"/>
          </reference>
          <reference field="4" count="1">
            <x v="51"/>
          </reference>
        </references>
      </pivotArea>
    </format>
    <format dxfId="3670">
      <pivotArea dataOnly="0" labelOnly="1" outline="0" fieldPosition="0">
        <references count="4">
          <reference field="1" count="1" selected="0">
            <x v="5"/>
          </reference>
          <reference field="2" count="1" selected="0">
            <x v="4"/>
          </reference>
          <reference field="3" count="1" selected="0">
            <x v="112"/>
          </reference>
          <reference field="4" count="1">
            <x v="44"/>
          </reference>
        </references>
      </pivotArea>
    </format>
    <format dxfId="3671">
      <pivotArea dataOnly="0" labelOnly="1" outline="0" fieldPosition="0">
        <references count="4">
          <reference field="1" count="1" selected="0">
            <x v="5"/>
          </reference>
          <reference field="2" count="1" selected="0">
            <x v="5"/>
          </reference>
          <reference field="3" count="1" selected="0">
            <x v="109"/>
          </reference>
          <reference field="4" count="1">
            <x v="47"/>
          </reference>
        </references>
      </pivotArea>
    </format>
    <format dxfId="3672">
      <pivotArea dataOnly="0" labelOnly="1" outline="0" fieldPosition="0">
        <references count="4">
          <reference field="1" count="1" selected="0">
            <x v="5"/>
          </reference>
          <reference field="2" count="1" selected="0">
            <x v="7"/>
          </reference>
          <reference field="3" count="1" selected="0">
            <x v="120"/>
          </reference>
          <reference field="4" count="1">
            <x v="46"/>
          </reference>
        </references>
      </pivotArea>
    </format>
    <format dxfId="3673">
      <pivotArea dataOnly="0" labelOnly="1" outline="0" fieldPosition="0">
        <references count="4">
          <reference field="1" count="1" selected="0">
            <x v="5"/>
          </reference>
          <reference field="2" count="1" selected="0">
            <x v="8"/>
          </reference>
          <reference field="3" count="1" selected="0">
            <x v="141"/>
          </reference>
          <reference field="4" count="1">
            <x v="55"/>
          </reference>
        </references>
      </pivotArea>
    </format>
    <format dxfId="3674">
      <pivotArea dataOnly="0" labelOnly="1" outline="0" fieldPosition="0">
        <references count="4">
          <reference field="1" count="1" selected="0">
            <x v="5"/>
          </reference>
          <reference field="2" count="1" selected="0">
            <x v="9"/>
          </reference>
          <reference field="3" count="1" selected="0">
            <x v="107"/>
          </reference>
          <reference field="4" count="1">
            <x v="51"/>
          </reference>
        </references>
      </pivotArea>
    </format>
    <format dxfId="3675">
      <pivotArea dataOnly="0" labelOnly="1" outline="0" fieldPosition="0">
        <references count="4">
          <reference field="1" count="1" selected="0">
            <x v="5"/>
          </reference>
          <reference field="2" count="1" selected="0">
            <x v="35"/>
          </reference>
          <reference field="3" count="1" selected="0">
            <x v="122"/>
          </reference>
          <reference field="4" count="1">
            <x v="43"/>
          </reference>
        </references>
      </pivotArea>
    </format>
    <format dxfId="3676">
      <pivotArea dataOnly="0" labelOnly="1" outline="0" fieldPosition="0">
        <references count="4">
          <reference field="1" count="1" selected="0">
            <x v="5"/>
          </reference>
          <reference field="2" count="1" selected="0">
            <x v="45"/>
          </reference>
          <reference field="3" count="1" selected="0">
            <x v="152"/>
          </reference>
          <reference field="4" count="1">
            <x v="56"/>
          </reference>
        </references>
      </pivotArea>
    </format>
    <format dxfId="3677">
      <pivotArea dataOnly="0" labelOnly="1" outline="0" fieldPosition="0">
        <references count="4">
          <reference field="1" count="1" selected="0">
            <x v="5"/>
          </reference>
          <reference field="2" count="1" selected="0">
            <x v="125"/>
          </reference>
          <reference field="3" count="1" selected="0">
            <x v="154"/>
          </reference>
          <reference field="4" count="1">
            <x v="33"/>
          </reference>
        </references>
      </pivotArea>
    </format>
    <format dxfId="3678">
      <pivotArea dataOnly="0" labelOnly="1" outline="0" fieldPosition="0">
        <references count="4">
          <reference field="1" count="1" selected="0">
            <x v="5"/>
          </reference>
          <reference field="2" count="1" selected="0">
            <x v="187"/>
          </reference>
          <reference field="3" count="1" selected="0">
            <x v="145"/>
          </reference>
          <reference field="4" count="1">
            <x v="56"/>
          </reference>
        </references>
      </pivotArea>
    </format>
    <format dxfId="3679">
      <pivotArea dataOnly="0" labelOnly="1" outline="0" fieldPosition="0">
        <references count="4">
          <reference field="1" count="1" selected="0">
            <x v="5"/>
          </reference>
          <reference field="2" count="1" selected="0">
            <x v="201"/>
          </reference>
          <reference field="3" count="1" selected="0">
            <x v="44"/>
          </reference>
          <reference field="4" count="1">
            <x v="24"/>
          </reference>
        </references>
      </pivotArea>
    </format>
    <format dxfId="3680">
      <pivotArea dataOnly="0" labelOnly="1" outline="0" fieldPosition="0">
        <references count="4">
          <reference field="1" count="1" selected="0">
            <x v="6"/>
          </reference>
          <reference field="2" count="1" selected="0">
            <x v="21"/>
          </reference>
          <reference field="3" count="1" selected="0">
            <x v="124"/>
          </reference>
          <reference field="4" count="1">
            <x v="48"/>
          </reference>
        </references>
      </pivotArea>
    </format>
    <format dxfId="3681">
      <pivotArea dataOnly="0" labelOnly="1" outline="0" fieldPosition="0">
        <references count="4">
          <reference field="1" count="1" selected="0">
            <x v="6"/>
          </reference>
          <reference field="2" count="1" selected="0">
            <x v="32"/>
          </reference>
          <reference field="3" count="1" selected="0">
            <x v="53"/>
          </reference>
          <reference field="4" count="1">
            <x v="25"/>
          </reference>
        </references>
      </pivotArea>
    </format>
    <format dxfId="3682">
      <pivotArea dataOnly="0" labelOnly="1" outline="0" fieldPosition="0">
        <references count="4">
          <reference field="1" count="1" selected="0">
            <x v="6"/>
          </reference>
          <reference field="2" count="1" selected="0">
            <x v="36"/>
          </reference>
          <reference field="3" count="1" selected="0">
            <x v="142"/>
          </reference>
          <reference field="4" count="1">
            <x v="79"/>
          </reference>
        </references>
      </pivotArea>
    </format>
    <format dxfId="3683">
      <pivotArea dataOnly="0" labelOnly="1" outline="0" fieldPosition="0">
        <references count="4">
          <reference field="1" count="1" selected="0">
            <x v="6"/>
          </reference>
          <reference field="2" count="1" selected="0">
            <x v="37"/>
          </reference>
          <reference field="3" count="1" selected="0">
            <x v="128"/>
          </reference>
          <reference field="4" count="1">
            <x v="49"/>
          </reference>
        </references>
      </pivotArea>
    </format>
    <format dxfId="3684">
      <pivotArea dataOnly="0" labelOnly="1" outline="0" fieldPosition="0">
        <references count="4">
          <reference field="1" count="1" selected="0">
            <x v="6"/>
          </reference>
          <reference field="2" count="1" selected="0">
            <x v="38"/>
          </reference>
          <reference field="3" count="1" selected="0">
            <x v="130"/>
          </reference>
          <reference field="4" count="1">
            <x v="65"/>
          </reference>
        </references>
      </pivotArea>
    </format>
    <format dxfId="3685">
      <pivotArea dataOnly="0" labelOnly="1" outline="0" fieldPosition="0">
        <references count="4">
          <reference field="1" count="1" selected="0">
            <x v="6"/>
          </reference>
          <reference field="2" count="1" selected="0">
            <x v="42"/>
          </reference>
          <reference field="3" count="1" selected="0">
            <x v="129"/>
          </reference>
          <reference field="4" count="1">
            <x v="50"/>
          </reference>
        </references>
      </pivotArea>
    </format>
    <format dxfId="3686">
      <pivotArea dataOnly="0" labelOnly="1" outline="0" fieldPosition="0">
        <references count="4">
          <reference field="1" count="1" selected="0">
            <x v="6"/>
          </reference>
          <reference field="2" count="1" selected="0">
            <x v="44"/>
          </reference>
          <reference field="3" count="1" selected="0">
            <x v="139"/>
          </reference>
          <reference field="4" count="1">
            <x v="65"/>
          </reference>
        </references>
      </pivotArea>
    </format>
    <format dxfId="3687">
      <pivotArea dataOnly="0" labelOnly="1" outline="0" fieldPosition="0">
        <references count="4">
          <reference field="1" count="1" selected="0">
            <x v="6"/>
          </reference>
          <reference field="2" count="1" selected="0">
            <x v="48"/>
          </reference>
          <reference field="3" count="1" selected="0">
            <x v="118"/>
          </reference>
          <reference field="4" count="1">
            <x v="86"/>
          </reference>
        </references>
      </pivotArea>
    </format>
    <format dxfId="3688">
      <pivotArea dataOnly="0" labelOnly="1" outline="0" fieldPosition="0">
        <references count="4">
          <reference field="1" count="1" selected="0">
            <x v="6"/>
          </reference>
          <reference field="2" count="1" selected="0">
            <x v="54"/>
          </reference>
          <reference field="3" count="1" selected="0">
            <x v="140"/>
          </reference>
          <reference field="4" count="1">
            <x v="56"/>
          </reference>
        </references>
      </pivotArea>
    </format>
    <format dxfId="3689">
      <pivotArea dataOnly="0" labelOnly="1" outline="0" fieldPosition="0">
        <references count="4">
          <reference field="1" count="1" selected="0">
            <x v="6"/>
          </reference>
          <reference field="2" count="1" selected="0">
            <x v="55"/>
          </reference>
          <reference field="3" count="1" selected="0">
            <x v="119"/>
          </reference>
          <reference field="4" count="1">
            <x v="71"/>
          </reference>
        </references>
      </pivotArea>
    </format>
    <format dxfId="3690">
      <pivotArea dataOnly="0" labelOnly="1" outline="0" fieldPosition="0">
        <references count="4">
          <reference field="1" count="1" selected="0">
            <x v="6"/>
          </reference>
          <reference field="2" count="1" selected="0">
            <x v="56"/>
          </reference>
          <reference field="3" count="1" selected="0">
            <x v="56"/>
          </reference>
          <reference field="4" count="1">
            <x v="45"/>
          </reference>
        </references>
      </pivotArea>
    </format>
    <format dxfId="3691">
      <pivotArea dataOnly="0" labelOnly="1" outline="0" fieldPosition="0">
        <references count="4">
          <reference field="1" count="1" selected="0">
            <x v="6"/>
          </reference>
          <reference field="2" count="1" selected="0">
            <x v="197"/>
          </reference>
          <reference field="3" count="1" selected="0">
            <x v="196"/>
          </reference>
          <reference field="4" count="1">
            <x v="67"/>
          </reference>
        </references>
      </pivotArea>
    </format>
    <format dxfId="3692">
      <pivotArea dataOnly="0" labelOnly="1" outline="0" fieldPosition="0">
        <references count="4">
          <reference field="1" count="1" selected="0">
            <x v="6"/>
          </reference>
          <reference field="2" count="1" selected="0">
            <x v="221"/>
          </reference>
          <reference field="3" count="1" selected="0">
            <x v="193"/>
          </reference>
          <reference field="4" count="1">
            <x v="27"/>
          </reference>
        </references>
      </pivotArea>
    </format>
    <format dxfId="3693">
      <pivotArea dataOnly="0" labelOnly="1" outline="0" fieldPosition="0">
        <references count="4">
          <reference field="1" count="1" selected="0">
            <x v="7"/>
          </reference>
          <reference field="2" count="1" selected="0">
            <x v="10"/>
          </reference>
          <reference field="3" count="1" selected="0">
            <x v="136"/>
          </reference>
          <reference field="4" count="1">
            <x v="62"/>
          </reference>
        </references>
      </pivotArea>
    </format>
    <format dxfId="3694">
      <pivotArea dataOnly="0" labelOnly="1" outline="0" fieldPosition="0">
        <references count="4">
          <reference field="1" count="1" selected="0">
            <x v="7"/>
          </reference>
          <reference field="2" count="1" selected="0">
            <x v="12"/>
          </reference>
          <reference field="3" count="1" selected="0">
            <x v="111"/>
          </reference>
          <reference field="4" count="1">
            <x v="78"/>
          </reference>
        </references>
      </pivotArea>
    </format>
    <format dxfId="3695">
      <pivotArea dataOnly="0" labelOnly="1" outline="0" fieldPosition="0">
        <references count="4">
          <reference field="1" count="1" selected="0">
            <x v="7"/>
          </reference>
          <reference field="2" count="1" selected="0">
            <x v="14"/>
          </reference>
          <reference field="3" count="1" selected="0">
            <x v="137"/>
          </reference>
          <reference field="4" count="1">
            <x v="62"/>
          </reference>
        </references>
      </pivotArea>
    </format>
    <format dxfId="3696">
      <pivotArea dataOnly="0" labelOnly="1" outline="0" fieldPosition="0">
        <references count="4">
          <reference field="1" count="1" selected="0">
            <x v="7"/>
          </reference>
          <reference field="2" count="1" selected="0">
            <x v="15"/>
          </reference>
          <reference field="3" count="1" selected="0">
            <x v="62"/>
          </reference>
          <reference field="4" count="1">
            <x v="63"/>
          </reference>
        </references>
      </pivotArea>
    </format>
    <format dxfId="3697">
      <pivotArea dataOnly="0" labelOnly="1" outline="0" fieldPosition="0">
        <references count="4">
          <reference field="1" count="1" selected="0">
            <x v="7"/>
          </reference>
          <reference field="2" count="1" selected="0">
            <x v="157"/>
          </reference>
          <reference field="3" count="1" selected="0">
            <x v="186"/>
          </reference>
          <reference field="4" count="1">
            <x v="69"/>
          </reference>
        </references>
      </pivotArea>
    </format>
    <format dxfId="3698">
      <pivotArea dataOnly="0" labelOnly="1" outline="0" fieldPosition="0">
        <references count="4">
          <reference field="1" count="1" selected="0">
            <x v="8"/>
          </reference>
          <reference field="2" count="1" selected="0">
            <x v="0"/>
          </reference>
          <reference field="3" count="1" selected="0">
            <x v="233"/>
          </reference>
          <reference field="4" count="1">
            <x v="12"/>
          </reference>
        </references>
      </pivotArea>
    </format>
    <format dxfId="3699">
      <pivotArea dataOnly="0" labelOnly="1" outline="0" fieldPosition="0">
        <references count="4">
          <reference field="1" count="1" selected="0">
            <x v="8"/>
          </reference>
          <reference field="2" count="1" selected="0">
            <x v="28"/>
          </reference>
          <reference field="3" count="1" selected="0">
            <x v="114"/>
          </reference>
          <reference field="4" count="1">
            <x v="30"/>
          </reference>
        </references>
      </pivotArea>
    </format>
    <format dxfId="3700">
      <pivotArea dataOnly="0" labelOnly="1" outline="0" fieldPosition="0">
        <references count="4">
          <reference field="1" count="1" selected="0">
            <x v="8"/>
          </reference>
          <reference field="2" count="1" selected="0">
            <x v="40"/>
          </reference>
          <reference field="3" count="1" selected="0">
            <x v="106"/>
          </reference>
          <reference field="4" count="1">
            <x v="47"/>
          </reference>
        </references>
      </pivotArea>
    </format>
    <format dxfId="3701">
      <pivotArea dataOnly="0" labelOnly="1" outline="0" fieldPosition="0">
        <references count="4">
          <reference field="1" count="1" selected="0">
            <x v="8"/>
          </reference>
          <reference field="2" count="1" selected="0">
            <x v="41"/>
          </reference>
          <reference field="3" count="1" selected="0">
            <x v="126"/>
          </reference>
          <reference field="4" count="1">
            <x v="52"/>
          </reference>
        </references>
      </pivotArea>
    </format>
    <format dxfId="3702">
      <pivotArea dataOnly="0" labelOnly="1" outline="0" fieldPosition="0">
        <references count="4">
          <reference field="1" count="1" selected="0">
            <x v="8"/>
          </reference>
          <reference field="2" count="1" selected="0">
            <x v="49"/>
          </reference>
          <reference field="3" count="1" selected="0">
            <x v="158"/>
          </reference>
          <reference field="4" count="1">
            <x v="68"/>
          </reference>
        </references>
      </pivotArea>
    </format>
    <format dxfId="3703">
      <pivotArea dataOnly="0" labelOnly="1" outline="0" fieldPosition="0">
        <references count="4">
          <reference field="1" count="1" selected="0">
            <x v="8"/>
          </reference>
          <reference field="2" count="1" selected="0">
            <x v="153"/>
          </reference>
          <reference field="3" count="1" selected="0">
            <x v="13"/>
          </reference>
          <reference field="4" count="1">
            <x v="12"/>
          </reference>
        </references>
      </pivotArea>
    </format>
    <format dxfId="3704">
      <pivotArea dataOnly="0" labelOnly="1" outline="0" fieldPosition="0">
        <references count="4">
          <reference field="1" count="1" selected="0">
            <x v="8"/>
          </reference>
          <reference field="2" count="1" selected="0">
            <x v="198"/>
          </reference>
          <reference field="3" count="1" selected="0">
            <x v="195"/>
          </reference>
          <reference field="4" count="1">
            <x v="67"/>
          </reference>
        </references>
      </pivotArea>
    </format>
    <format dxfId="3705">
      <pivotArea dataOnly="0" labelOnly="1" outline="0" fieldPosition="0">
        <references count="4">
          <reference field="1" count="1" selected="0">
            <x v="8"/>
          </reference>
          <reference field="2" count="1" selected="0">
            <x v="222"/>
          </reference>
          <reference field="3" count="1" selected="0">
            <x v="194"/>
          </reference>
          <reference field="4" count="1">
            <x v="29"/>
          </reference>
        </references>
      </pivotArea>
    </format>
    <format dxfId="3706">
      <pivotArea dataOnly="0" labelOnly="1" outline="0" fieldPosition="0">
        <references count="4">
          <reference field="1" count="1" selected="0">
            <x v="8"/>
          </reference>
          <reference field="2" count="1" selected="0">
            <x v="230"/>
          </reference>
          <reference field="3" count="1" selected="0">
            <x v="67"/>
          </reference>
          <reference field="4" count="1">
            <x v="76"/>
          </reference>
        </references>
      </pivotArea>
    </format>
    <format dxfId="3707">
      <pivotArea dataOnly="0" labelOnly="1" outline="0" fieldPosition="0">
        <references count="4">
          <reference field="1" count="1" selected="0">
            <x v="8"/>
          </reference>
          <reference field="2" count="1" selected="0">
            <x v="231"/>
          </reference>
          <reference field="3" count="1" selected="0">
            <x v="65"/>
          </reference>
          <reference field="4" count="1">
            <x v="63"/>
          </reference>
        </references>
      </pivotArea>
    </format>
    <format dxfId="3708">
      <pivotArea dataOnly="0" labelOnly="1" outline="0" fieldPosition="0">
        <references count="4">
          <reference field="1" count="1" selected="0">
            <x v="8"/>
          </reference>
          <reference field="2" count="1" selected="0">
            <x v="238"/>
          </reference>
          <reference field="3" count="1" selected="0">
            <x v="197"/>
          </reference>
          <reference field="4" count="1">
            <x v="38"/>
          </reference>
        </references>
      </pivotArea>
    </format>
    <format dxfId="3709">
      <pivotArea dataOnly="0" labelOnly="1" outline="0" fieldPosition="0">
        <references count="4">
          <reference field="1" count="1" selected="0">
            <x v="9"/>
          </reference>
          <reference field="2" count="1" selected="0">
            <x v="46"/>
          </reference>
          <reference field="3" count="1" selected="0">
            <x v="237"/>
          </reference>
          <reference field="4" count="1">
            <x v="54"/>
          </reference>
        </references>
      </pivotArea>
    </format>
    <format dxfId="3710">
      <pivotArea dataOnly="0" labelOnly="1" outline="0" fieldPosition="0">
        <references count="4">
          <reference field="1" count="1" selected="0">
            <x v="9"/>
          </reference>
          <reference field="2" count="1" selected="0">
            <x v="191"/>
          </reference>
          <reference field="3" count="1" selected="0">
            <x v="223"/>
          </reference>
          <reference field="4" count="1">
            <x v="73"/>
          </reference>
        </references>
      </pivotArea>
    </format>
    <format dxfId="3711">
      <pivotArea dataOnly="0" labelOnly="1" outline="0" fieldPosition="0">
        <references count="4">
          <reference field="1" count="1" selected="0">
            <x v="9"/>
          </reference>
          <reference field="2" count="1" selected="0">
            <x v="193"/>
          </reference>
          <reference field="3" count="1" selected="0">
            <x v="225"/>
          </reference>
          <reference field="4" count="1">
            <x v="70"/>
          </reference>
        </references>
      </pivotArea>
    </format>
    <format dxfId="3712">
      <pivotArea dataOnly="0" labelOnly="1" outline="0" fieldPosition="0">
        <references count="4">
          <reference field="1" count="1" selected="0">
            <x v="9"/>
          </reference>
          <reference field="2" count="1" selected="0">
            <x v="194"/>
          </reference>
          <reference field="3" count="1" selected="0">
            <x v="226"/>
          </reference>
          <reference field="4" count="1">
            <x v="73"/>
          </reference>
        </references>
      </pivotArea>
    </format>
    <format dxfId="3713">
      <pivotArea dataOnly="0" labelOnly="1" outline="0" fieldPosition="0">
        <references count="4">
          <reference field="1" count="1" selected="0">
            <x v="10"/>
          </reference>
          <reference field="2" count="1" selected="0">
            <x v="25"/>
          </reference>
          <reference field="3" count="1" selected="0">
            <x v="147"/>
          </reference>
          <reference field="4" count="1">
            <x v="42"/>
          </reference>
        </references>
      </pivotArea>
    </format>
    <format dxfId="3714">
      <pivotArea dataOnly="0" labelOnly="1" outline="0" fieldPosition="0">
        <references count="4">
          <reference field="1" count="1" selected="0">
            <x v="10"/>
          </reference>
          <reference field="2" count="1" selected="0">
            <x v="190"/>
          </reference>
          <reference field="3" count="1" selected="0">
            <x v="228"/>
          </reference>
          <reference field="4" count="1">
            <x v="28"/>
          </reference>
        </references>
      </pivotArea>
    </format>
    <format dxfId="3715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64"/>
          </reference>
          <reference field="3" count="1" selected="0">
            <x v="47"/>
          </reference>
          <reference field="4" count="1">
            <x v="67"/>
          </reference>
        </references>
      </pivotArea>
    </format>
    <format dxfId="3716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65"/>
          </reference>
          <reference field="3" count="1" selected="0">
            <x v="84"/>
          </reference>
          <reference field="4" count="1">
            <x v="85"/>
          </reference>
        </references>
      </pivotArea>
    </format>
    <format dxfId="3717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66"/>
          </reference>
          <reference field="3" count="1" selected="0">
            <x v="231"/>
          </reference>
          <reference field="4" count="1">
            <x v="62"/>
          </reference>
        </references>
      </pivotArea>
    </format>
    <format dxfId="3718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68"/>
          </reference>
          <reference field="3" count="1" selected="0">
            <x v="36"/>
          </reference>
          <reference field="4" count="1">
            <x v="72"/>
          </reference>
        </references>
      </pivotArea>
    </format>
    <format dxfId="3719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69"/>
          </reference>
          <reference field="3" count="1" selected="0">
            <x v="95"/>
          </reference>
          <reference field="4" count="1">
            <x v="48"/>
          </reference>
        </references>
      </pivotArea>
    </format>
    <format dxfId="3720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70"/>
          </reference>
          <reference field="3" count="1" selected="0">
            <x v="35"/>
          </reference>
          <reference field="4" count="1">
            <x v="85"/>
          </reference>
        </references>
      </pivotArea>
    </format>
    <format dxfId="3721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71"/>
          </reference>
          <reference field="3" count="1" selected="0">
            <x v="72"/>
          </reference>
          <reference field="4" count="1">
            <x v="84"/>
          </reference>
        </references>
      </pivotArea>
    </format>
    <format dxfId="3722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72"/>
          </reference>
          <reference field="3" count="1" selected="0">
            <x v="19"/>
          </reference>
          <reference field="4" count="1">
            <x v="58"/>
          </reference>
        </references>
      </pivotArea>
    </format>
    <format dxfId="3723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73"/>
          </reference>
          <reference field="3" count="1" selected="0">
            <x v="74"/>
          </reference>
          <reference field="4" count="1">
            <x v="62"/>
          </reference>
        </references>
      </pivotArea>
    </format>
    <format dxfId="3724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74"/>
          </reference>
          <reference field="3" count="1" selected="0">
            <x v="85"/>
          </reference>
          <reference field="4" count="1">
            <x v="61"/>
          </reference>
        </references>
      </pivotArea>
    </format>
    <format dxfId="3725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75"/>
          </reference>
          <reference field="3" count="1" selected="0">
            <x v="92"/>
          </reference>
          <reference field="4" count="1">
            <x v="60"/>
          </reference>
        </references>
      </pivotArea>
    </format>
    <format dxfId="3726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77"/>
          </reference>
          <reference field="3" count="1" selected="0">
            <x v="230"/>
          </reference>
          <reference field="4" count="1">
            <x v="77"/>
          </reference>
        </references>
      </pivotArea>
    </format>
    <format dxfId="3727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78"/>
          </reference>
          <reference field="3" count="1" selected="0">
            <x v="88"/>
          </reference>
          <reference field="4" count="1">
            <x v="83"/>
          </reference>
        </references>
      </pivotArea>
    </format>
    <format dxfId="3728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79"/>
          </reference>
          <reference field="3" count="1" selected="0">
            <x v="177"/>
          </reference>
          <reference field="4" count="1">
            <x v="75"/>
          </reference>
        </references>
      </pivotArea>
    </format>
    <format dxfId="3729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81"/>
          </reference>
          <reference field="3" count="1" selected="0">
            <x v="104"/>
          </reference>
          <reference field="4" count="1">
            <x v="56"/>
          </reference>
        </references>
      </pivotArea>
    </format>
    <format dxfId="3730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82"/>
          </reference>
          <reference field="3" count="1" selected="0">
            <x v="211"/>
          </reference>
          <reference field="4" count="1">
            <x v="59"/>
          </reference>
        </references>
      </pivotArea>
    </format>
    <format dxfId="3731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85"/>
          </reference>
          <reference field="3" count="1" selected="0">
            <x v="188"/>
          </reference>
          <reference field="4" count="1">
            <x v="80"/>
          </reference>
        </references>
      </pivotArea>
    </format>
    <format dxfId="3732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86"/>
          </reference>
          <reference field="3" count="1" selected="0">
            <x v="178"/>
          </reference>
          <reference field="4" count="1">
            <x v="62"/>
          </reference>
        </references>
      </pivotArea>
    </format>
    <format dxfId="3733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188"/>
          </reference>
          <reference field="3" count="1" selected="0">
            <x v="91"/>
          </reference>
          <reference field="4" count="1">
            <x v="66"/>
          </reference>
        </references>
      </pivotArea>
    </format>
    <format dxfId="3734">
      <pivotArea dataOnly="0" labelOnly="1" outline="0" fieldPosition="0">
        <references count="4">
          <reference field="1" count="1" selected="0">
            <x v="11"/>
          </reference>
          <reference field="2" count="1" selected="0">
            <x v="243"/>
          </reference>
          <reference field="3" count="1" selected="0">
            <x v="46"/>
          </reference>
          <reference field="4" count="1">
            <x v="67"/>
          </reference>
        </references>
      </pivotArea>
    </format>
    <format dxfId="3735">
      <pivotArea dataOnly="0" labelOnly="1" outline="0" fieldPosition="0">
        <references count="4">
          <reference field="1" count="1" selected="0">
            <x v="12"/>
          </reference>
          <reference field="2" count="1" selected="0">
            <x v="162"/>
          </reference>
          <reference field="3" count="1" selected="0">
            <x v="0"/>
          </reference>
          <reference field="4" count="1">
            <x v="19"/>
          </reference>
        </references>
      </pivotArea>
    </format>
    <format dxfId="3736">
      <pivotArea dataOnly="0" labelOnly="1" outline="0" fieldPosition="0">
        <references count="4">
          <reference field="1" count="1" selected="0">
            <x v="13"/>
          </reference>
          <reference field="2" count="1" selected="0">
            <x v="120"/>
          </reference>
          <reference field="3" count="1" selected="0">
            <x v="80"/>
          </reference>
          <reference field="4" count="1">
            <x v="74"/>
          </reference>
        </references>
      </pivotArea>
    </format>
    <format dxfId="3737">
      <pivotArea dataOnly="0" labelOnly="1" outline="0" fieldPosition="0">
        <references count="4">
          <reference field="1" count="1" selected="0">
            <x v="13"/>
          </reference>
          <reference field="2" count="1" selected="0">
            <x v="126"/>
          </reference>
          <reference field="3" count="1" selected="0">
            <x v="163"/>
          </reference>
          <reference field="4" count="1">
            <x v="81"/>
          </reference>
        </references>
      </pivotArea>
    </format>
    <format dxfId="3738">
      <pivotArea dataOnly="0" labelOnly="1" outline="0" fieldPosition="0">
        <references count="4">
          <reference field="1" count="1" selected="0">
            <x v="13"/>
          </reference>
          <reference field="2" count="1" selected="0">
            <x v="161"/>
          </reference>
          <reference field="3" count="1" selected="0">
            <x v="189"/>
          </reference>
          <reference field="4" count="1">
            <x v="12"/>
          </reference>
        </references>
      </pivotArea>
    </format>
    <format dxfId="3739">
      <pivotArea dataOnly="0" labelOnly="1" outline="0" fieldPosition="0">
        <references count="4">
          <reference field="1" count="1" selected="0">
            <x v="14"/>
          </reference>
          <reference field="2" count="1" selected="0">
            <x v="143"/>
          </reference>
          <reference field="3" count="1" selected="0">
            <x v="96"/>
          </reference>
          <reference field="4" count="1">
            <x v="67"/>
          </reference>
        </references>
      </pivotArea>
    </format>
    <format dxfId="3740">
      <pivotArea dataOnly="0" labelOnly="1" outline="0" fieldPosition="0">
        <references count="4">
          <reference field="1" count="1" selected="0">
            <x v="15"/>
          </reference>
          <reference field="2" count="1" selected="0">
            <x v="234"/>
          </reference>
          <reference field="3" count="1" selected="0">
            <x v="48"/>
          </reference>
          <reference field="4" count="1">
            <x v="57"/>
          </reference>
        </references>
      </pivotArea>
    </format>
    <format dxfId="3741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16"/>
          </reference>
          <reference field="3" count="1" selected="0">
            <x v="59"/>
          </reference>
          <reference field="4" count="1">
            <x v="63"/>
          </reference>
        </references>
      </pivotArea>
    </format>
    <format dxfId="3742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34"/>
          </reference>
          <reference field="3" count="1" selected="0">
            <x v="123"/>
          </reference>
          <reference field="4" count="1">
            <x v="59"/>
          </reference>
        </references>
      </pivotArea>
    </format>
    <format dxfId="3743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43"/>
          </reference>
          <reference field="3" count="1" selected="0">
            <x v="121"/>
          </reference>
          <reference field="4" count="1">
            <x v="65"/>
          </reference>
        </references>
      </pivotArea>
    </format>
    <format dxfId="3744">
      <pivotArea dataOnly="0" labelOnly="1" outline="0" fieldPosition="0">
        <references count="4">
          <reference field="1" count="1" selected="0">
            <x v="0"/>
          </reference>
          <reference field="2" count="1" selected="0">
            <x v="52"/>
          </reference>
          <reference field="3" count="1" selected="0">
            <x v="185"/>
          </reference>
          <reference field="4" count="1">
            <x v="32"/>
          </reference>
        </references>
      </pivotArea>
    </format>
    <format dxfId="3745">
      <pivotArea field="1" type="button" dataOnly="0" labelOnly="1" outline="0" axis="axisRow" fieldPosition="0"/>
    </format>
    <format dxfId="3746">
      <pivotArea field="2" type="button" dataOnly="0" labelOnly="1" outline="0" axis="axisRow" fieldPosition="1"/>
    </format>
    <format dxfId="3747">
      <pivotArea field="3" type="button" dataOnly="0" labelOnly="1" outline="0" axis="axisRow" fieldPosition="2"/>
    </format>
    <format dxfId="3748">
      <pivotArea field="4" type="button" dataOnly="0" labelOnly="1" outline="0" axis="axisRow" fieldPosition="3"/>
    </format>
    <format dxfId="3749">
      <pivotArea field="5" type="button" dataOnly="0" labelOnly="1" outline="0" axis="axisRow" fieldPosition="4"/>
    </format>
    <format dxfId="3750">
      <pivotArea field="6" type="button" dataOnly="0" labelOnly="1" outline="0" axis="axisRow" fieldPosition="6"/>
    </format>
    <format dxfId="3751">
      <pivotArea field="7" type="button" dataOnly="0" labelOnly="1" outline="0" axis="axisRow" fieldPosition="5"/>
    </format>
    <format dxfId="3752">
      <pivotArea field="11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3753">
      <pivotArea field="11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3754">
      <pivotArea dataOnly="0" labelOnly="1" outline="0" fieldPosition="0">
        <references count="3">
          <reference field="4294967294" count="2">
            <x v="0"/>
            <x v="1"/>
          </reference>
          <reference field="11" count="1" selected="0">
            <x v="0"/>
          </reference>
          <reference field="12" count="1" selected="0">
            <x v="0"/>
          </reference>
        </references>
      </pivotArea>
    </format>
    <format dxfId="3755">
      <pivotArea dataOnly="0" labelOnly="1" outline="0" fieldPosition="0">
        <references count="3">
          <reference field="4294967294" count="2">
            <x v="0"/>
            <x v="1"/>
          </reference>
          <reference field="11" count="1" selected="0">
            <x v="1"/>
          </reference>
          <reference field="12" count="1" selected="0">
            <x v="1"/>
          </reference>
        </references>
      </pivotArea>
    </format>
    <format dxfId="3756">
      <pivotArea dataOnly="0" labelOnly="1" outline="0" fieldPosition="0">
        <references count="3">
          <reference field="4294967294" count="2">
            <x v="0"/>
            <x v="1"/>
          </reference>
          <reference field="11" count="1" selected="0">
            <x v="2"/>
          </reference>
          <reference field="12" count="1" selected="0">
            <x v="2"/>
          </reference>
        </references>
      </pivotArea>
    </format>
    <format dxfId="3757">
      <pivotArea dataOnly="0" labelOnly="1" outline="0" fieldPosition="0">
        <references count="3">
          <reference field="4294967294" count="2">
            <x v="0"/>
            <x v="1"/>
          </reference>
          <reference field="11" count="1" selected="0">
            <x v="3"/>
          </reference>
          <reference field="12" count="1" selected="0">
            <x v="3"/>
          </reference>
        </references>
      </pivotArea>
    </format>
    <format dxfId="3758">
      <pivotArea field="11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3759">
      <pivotArea field="11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BEA9A5-41E8-418C-9938-78C23D344381}" name="PivotTable1" cacheId="19" applyNumberFormats="0" applyBorderFormats="0" applyFontFormats="0" applyPatternFormats="0" applyAlignmentFormats="0" applyWidthHeightFormats="1" dataCaption="Data" updatedVersion="8" minRefreshableVersion="3" showMemberPropertyTips="0" useAutoFormatting="1" itemPrintTitles="1" createdVersion="8" indent="0" compact="0" compactData="0" gridDropZones="1">
  <location ref="A2:I51" firstHeaderRow="1" firstDataRow="2" firstDataCol="2"/>
  <pivotFields count="12">
    <pivotField compact="0" outline="0" showAll="0" includeNewItemsInFilter="1"/>
    <pivotField compact="0" numFmtId="164" outline="0" showAll="0"/>
    <pivotField axis="axisRow" compact="0" numFmtId="1" outline="0" showAll="0" includeNewItemsInFilter="1" sortType="descending" defaultSubtotal="0">
      <items count="273">
        <item x="0"/>
        <item x="1"/>
        <item x="2"/>
        <item x="3"/>
        <item x="4"/>
        <item x="5"/>
        <item x="6"/>
        <item m="1" x="272"/>
        <item x="7"/>
        <item x="8"/>
        <item x="9"/>
        <item x="10"/>
        <item x="11"/>
        <item x="12"/>
        <item x="13"/>
        <item x="14"/>
        <item x="15"/>
        <item x="16"/>
        <item x="228"/>
        <item x="17"/>
        <item x="18"/>
        <item x="19"/>
        <item x="259"/>
        <item x="260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229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261"/>
        <item x="54"/>
        <item x="55"/>
        <item x="56"/>
        <item x="57"/>
        <item x="58"/>
        <item x="59"/>
        <item x="230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231"/>
        <item x="76"/>
        <item x="77"/>
        <item x="78"/>
        <item x="79"/>
        <item x="80"/>
        <item x="81"/>
        <item m="1" x="270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m="1" x="271"/>
        <item x="104"/>
        <item x="105"/>
        <item x="106"/>
        <item x="107"/>
        <item x="108"/>
        <item x="109"/>
        <item x="232"/>
        <item x="110"/>
        <item x="111"/>
        <item x="112"/>
        <item x="113"/>
        <item x="114"/>
        <item x="233"/>
        <item x="115"/>
        <item x="234"/>
        <item x="116"/>
        <item x="235"/>
        <item x="236"/>
        <item x="237"/>
        <item x="117"/>
        <item x="238"/>
        <item x="239"/>
        <item x="240"/>
        <item x="118"/>
        <item x="119"/>
        <item x="241"/>
        <item x="120"/>
        <item x="121"/>
        <item x="122"/>
        <item x="242"/>
        <item x="123"/>
        <item x="124"/>
        <item x="262"/>
        <item x="125"/>
        <item x="126"/>
        <item x="127"/>
        <item x="128"/>
        <item x="243"/>
        <item x="129"/>
        <item x="130"/>
        <item x="131"/>
        <item x="244"/>
        <item x="132"/>
        <item x="133"/>
        <item x="245"/>
        <item x="246"/>
        <item x="247"/>
        <item x="248"/>
        <item x="263"/>
        <item x="249"/>
        <item x="134"/>
        <item x="250"/>
        <item x="135"/>
        <item x="136"/>
        <item x="137"/>
        <item x="138"/>
        <item x="139"/>
        <item x="140"/>
        <item x="141"/>
        <item x="264"/>
        <item x="142"/>
        <item x="143"/>
        <item x="144"/>
        <item x="145"/>
        <item x="146"/>
        <item x="147"/>
        <item x="148"/>
        <item x="149"/>
        <item x="150"/>
        <item x="251"/>
        <item x="265"/>
        <item x="151"/>
        <item x="152"/>
        <item x="153"/>
        <item x="252"/>
        <item x="154"/>
        <item x="155"/>
        <item x="156"/>
        <item x="157"/>
        <item x="253"/>
        <item x="158"/>
        <item x="266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254"/>
        <item x="255"/>
        <item x="256"/>
        <item x="257"/>
        <item x="258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67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68"/>
        <item x="214"/>
        <item x="215"/>
        <item x="269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compact="0" outline="0" showAll="0" measureFilter="1" includeNewItemsInFilter="1" sortType="descending">
      <items count="273">
        <item x="35"/>
        <item x="82"/>
        <item x="115"/>
        <item x="266"/>
        <item x="172"/>
        <item x="168"/>
        <item m="1" x="269"/>
        <item x="232"/>
        <item x="81"/>
        <item x="114"/>
        <item x="51"/>
        <item x="113"/>
        <item x="225"/>
        <item x="252"/>
        <item x="49"/>
        <item x="48"/>
        <item x="47"/>
        <item x="45"/>
        <item x="44"/>
        <item x="43"/>
        <item x="42"/>
        <item x="41"/>
        <item x="40"/>
        <item x="39"/>
        <item x="38"/>
        <item x="37"/>
        <item x="36"/>
        <item x="46"/>
        <item x="162"/>
        <item x="33"/>
        <item x="80"/>
        <item x="145"/>
        <item x="79"/>
        <item x="124"/>
        <item x="6"/>
        <item x="228"/>
        <item x="32"/>
        <item x="194"/>
        <item x="195"/>
        <item x="174"/>
        <item x="31"/>
        <item x="265"/>
        <item x="30"/>
        <item x="29"/>
        <item x="181"/>
        <item x="177"/>
        <item x="152"/>
        <item x="28"/>
        <item x="135"/>
        <item x="112"/>
        <item x="111"/>
        <item x="110"/>
        <item x="171"/>
        <item x="187"/>
        <item x="182"/>
        <item x="78"/>
        <item x="138"/>
        <item x="77"/>
        <item x="76"/>
        <item x="231"/>
        <item x="27"/>
        <item x="122"/>
        <item x="150"/>
        <item x="132"/>
        <item x="26"/>
        <item x="147"/>
        <item x="196"/>
        <item x="142"/>
        <item x="119"/>
        <item x="125"/>
        <item x="116"/>
        <item x="189"/>
        <item x="230"/>
        <item x="75"/>
        <item x="221"/>
        <item x="222"/>
        <item x="220"/>
        <item x="223"/>
        <item x="206"/>
        <item x="203"/>
        <item x="255"/>
        <item x="253"/>
        <item x="254"/>
        <item x="74"/>
        <item x="166"/>
        <item x="170"/>
        <item x="173"/>
        <item x="167"/>
        <item x="25"/>
        <item x="165"/>
        <item x="164"/>
        <item x="163"/>
        <item x="73"/>
        <item x="218"/>
        <item x="216"/>
        <item x="217"/>
        <item x="201"/>
        <item x="159"/>
        <item x="23"/>
        <item x="160"/>
        <item x="199"/>
        <item x="123"/>
        <item x="72"/>
        <item x="130"/>
        <item x="24"/>
        <item x="257"/>
        <item x="188"/>
        <item x="256"/>
        <item x="143"/>
        <item x="178"/>
        <item x="261"/>
        <item x="154"/>
        <item x="34"/>
        <item x="22"/>
        <item x="21"/>
        <item x="20"/>
        <item x="184"/>
        <item x="185"/>
        <item x="71"/>
        <item x="262"/>
        <item x="259"/>
        <item x="258"/>
        <item x="263"/>
        <item x="109"/>
        <item x="250"/>
        <item x="121"/>
        <item x="134"/>
        <item x="108"/>
        <item x="19"/>
        <item x="70"/>
        <item x="91"/>
        <item x="107"/>
        <item x="18"/>
        <item x="233"/>
        <item x="69"/>
        <item x="175"/>
        <item x="106"/>
        <item x="68"/>
        <item x="105"/>
        <item x="17"/>
        <item x="227"/>
        <item x="104"/>
        <item x="238"/>
        <item x="241"/>
        <item x="239"/>
        <item x="268"/>
        <item x="237"/>
        <item x="234"/>
        <item x="247"/>
        <item x="240"/>
        <item x="245"/>
        <item x="236"/>
        <item x="235"/>
        <item x="251"/>
        <item x="186"/>
        <item x="157"/>
        <item x="179"/>
        <item x="67"/>
        <item x="127"/>
        <item x="66"/>
        <item x="129"/>
        <item x="50"/>
        <item x="53"/>
        <item x="65"/>
        <item x="153"/>
        <item x="155"/>
        <item x="156"/>
        <item x="64"/>
        <item x="14"/>
        <item x="15"/>
        <item x="63"/>
        <item x="62"/>
        <item x="13"/>
        <item x="52"/>
        <item x="120"/>
        <item x="12"/>
        <item x="11"/>
        <item x="9"/>
        <item x="10"/>
        <item x="103"/>
        <item x="102"/>
        <item x="183"/>
        <item x="61"/>
        <item x="176"/>
        <item x="101"/>
        <item x="60"/>
        <item x="210"/>
        <item x="118"/>
        <item x="249"/>
        <item m="1" x="270"/>
        <item x="100"/>
        <item x="99"/>
        <item x="212"/>
        <item x="213"/>
        <item x="243"/>
        <item x="133"/>
        <item x="229"/>
        <item x="180"/>
        <item x="224"/>
        <item x="98"/>
        <item x="59"/>
        <item x="97"/>
        <item x="244"/>
        <item x="58"/>
        <item x="246"/>
        <item x="248"/>
        <item x="96"/>
        <item x="95"/>
        <item x="146"/>
        <item x="202"/>
        <item x="8"/>
        <item x="7"/>
        <item x="117"/>
        <item x="226"/>
        <item x="264"/>
        <item m="1" x="271"/>
        <item x="200"/>
        <item x="161"/>
        <item x="94"/>
        <item x="4"/>
        <item x="93"/>
        <item x="57"/>
        <item x="242"/>
        <item x="205"/>
        <item x="5"/>
        <item x="207"/>
        <item x="198"/>
        <item x="92"/>
        <item x="191"/>
        <item x="193"/>
        <item x="56"/>
        <item x="197"/>
        <item x="169"/>
        <item x="144"/>
        <item x="55"/>
        <item x="90"/>
        <item x="190"/>
        <item x="54"/>
        <item x="214"/>
        <item x="204"/>
        <item x="131"/>
        <item x="88"/>
        <item x="89"/>
        <item x="86"/>
        <item x="87"/>
        <item x="85"/>
        <item x="151"/>
        <item x="192"/>
        <item x="128"/>
        <item x="3"/>
        <item x="84"/>
        <item x="83"/>
        <item x="16"/>
        <item x="148"/>
        <item x="137"/>
        <item x="136"/>
        <item x="2"/>
        <item x="139"/>
        <item x="0"/>
        <item x="1"/>
        <item x="215"/>
        <item x="140"/>
        <item x="260"/>
        <item x="211"/>
        <item x="267"/>
        <item x="149"/>
        <item x="126"/>
        <item x="209"/>
        <item x="208"/>
        <item x="141"/>
        <item x="219"/>
        <item x="15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compact="0" outline="0" showAll="0" includeNewItemsInFilter="1"/>
    <pivotField dataField="1" compact="0" outline="0" showAll="0" includeNewItemsInFilter="1"/>
    <pivotField dataField="1" compact="0" numFmtId="3" outline="0" showAll="0" includeNewItemsInFilter="1"/>
    <pivotField dataField="1" compact="0" numFmtId="166" outline="0" showAll="0" includeNewItemsInFilter="1"/>
    <pivotField dataField="1" compact="0" numFmtId="166" outline="0" showAll="0" includeNewItemsInFilter="1"/>
    <pivotField dataField="1" compact="0" numFmtId="166" outline="0" showAll="0" includeNewItemsInFilter="1"/>
    <pivotField compact="0" numFmtId="167" outline="0" showAll="0" includeNewItemsInFilter="1"/>
    <pivotField dataField="1" compact="0" outline="0" dragToRow="0" dragToCol="0" dragToPage="0" showAll="0" defaultSubtotal="0"/>
  </pivotFields>
  <rowFields count="2">
    <field x="2"/>
    <field x="3"/>
  </rowFields>
  <rowItems count="48">
    <i>
      <x v="205"/>
      <x v="5"/>
    </i>
    <i>
      <x v="206"/>
      <x v="232"/>
    </i>
    <i>
      <x v="166"/>
      <x v="48"/>
    </i>
    <i>
      <x v="129"/>
      <x v="70"/>
    </i>
    <i>
      <x v="126"/>
      <x v="7"/>
    </i>
    <i>
      <x v="19"/>
      <x v="139"/>
    </i>
    <i>
      <x v="176"/>
      <x v="233"/>
    </i>
    <i>
      <x v="80"/>
      <x v="92"/>
    </i>
    <i>
      <x v="163"/>
      <x v="205"/>
    </i>
    <i>
      <x v="82"/>
      <x v="73"/>
    </i>
    <i>
      <x v="81"/>
      <x v="83"/>
    </i>
    <i>
      <x v="104"/>
      <x v="207"/>
    </i>
    <i>
      <x v="147"/>
      <x v="69"/>
    </i>
    <i>
      <x v="191"/>
      <x v="166"/>
    </i>
    <i>
      <x v="71"/>
      <x v="167"/>
    </i>
    <i>
      <x v="165"/>
      <x v="188"/>
    </i>
    <i>
      <x v="6"/>
      <x v="34"/>
    </i>
    <i>
      <x v="58"/>
      <x v="162"/>
    </i>
    <i>
      <x v="70"/>
      <x v="170"/>
    </i>
    <i>
      <x v="69"/>
      <x v="171"/>
    </i>
    <i>
      <x v="76"/>
      <x v="134"/>
    </i>
    <i>
      <x v="220"/>
      <x v="109"/>
    </i>
    <i>
      <x v="57"/>
      <x v="173"/>
    </i>
    <i>
      <x v="153"/>
      <x v="103"/>
    </i>
    <i>
      <x v="107"/>
      <x v="199"/>
    </i>
    <i>
      <x v="63"/>
      <x v="221"/>
    </i>
    <i>
      <x v="219"/>
      <x v="45"/>
    </i>
    <i>
      <x v="152"/>
      <x v="160"/>
    </i>
    <i>
      <x v="98"/>
      <x v="242"/>
    </i>
    <i>
      <x v="218"/>
      <x v="183"/>
    </i>
    <i>
      <x v="9"/>
      <x v="210"/>
    </i>
    <i>
      <x v="27"/>
      <x v="98"/>
    </i>
    <i>
      <x v="36"/>
      <x v="36"/>
    </i>
    <i>
      <x v="3"/>
      <x v="249"/>
    </i>
    <i>
      <x v="225"/>
      <x v="181"/>
    </i>
    <i>
      <x v="66"/>
      <x v="196"/>
    </i>
    <i>
      <x v="64"/>
      <x v="203"/>
    </i>
    <i>
      <x v="148"/>
      <x v="266"/>
    </i>
    <i>
      <x v="16"/>
      <x v="169"/>
    </i>
    <i>
      <x v="137"/>
      <x v="187"/>
    </i>
    <i>
      <x v="1"/>
      <x v="259"/>
    </i>
    <i>
      <x/>
      <x v="258"/>
    </i>
    <i>
      <x v="185"/>
      <x v="246"/>
    </i>
    <i>
      <x v="13"/>
      <x v="175"/>
    </i>
    <i>
      <x v="85"/>
      <x v="57"/>
    </i>
    <i>
      <x v="97"/>
      <x v="241"/>
    </i>
    <i>
      <x v="94"/>
      <x v="245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Prod Plan" fld="6" baseField="3" baseItem="13" numFmtId="3"/>
    <dataField name="Price Ex Vat (Sigma)" fld="4" baseField="3" baseItem="5" numFmtId="4"/>
    <dataField name="List Cost (Sigma)" fld="5" baseField="3" baseItem="13" numFmtId="4"/>
    <dataField name="Plan Sales" fld="7" baseField="3" baseItem="13" numFmtId="166"/>
    <dataField name="CP of Plan Sales" fld="8" baseField="3" baseItem="13" numFmtId="166"/>
    <dataField name="Plan GP" fld="9" baseField="3" baseItem="13" numFmtId="166"/>
    <dataField name="Planned GP%" fld="11" baseField="3" baseItem="5" numFmtId="168"/>
  </dataFields>
  <formats count="38">
    <format dxfId="5676">
      <pivotArea field="2" type="button" dataOnly="0" labelOnly="1" outline="0" axis="axisRow" fieldPosition="0"/>
    </format>
    <format dxfId="5675">
      <pivotArea field="3" type="button" dataOnly="0" labelOnly="1" outline="0" axis="axisRow" fieldPosition="1"/>
    </format>
    <format dxfId="5674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5673">
      <pivotArea field="2" type="button" dataOnly="0" labelOnly="1" outline="0" axis="axisRow" fieldPosition="0"/>
    </format>
    <format dxfId="5672">
      <pivotArea field="3" type="button" dataOnly="0" labelOnly="1" outline="0" axis="axisRow" fieldPosition="1"/>
    </format>
    <format dxfId="5671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5670">
      <pivotArea field="2" type="button" dataOnly="0" labelOnly="1" outline="0" axis="axisRow" fieldPosition="0"/>
    </format>
    <format dxfId="5669">
      <pivotArea field="3" type="button" dataOnly="0" labelOnly="1" outline="0" axis="axisRow" fieldPosition="1"/>
    </format>
    <format dxfId="5668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5667">
      <pivotArea field="2" type="button" dataOnly="0" labelOnly="1" outline="0" axis="axisRow" fieldPosition="0"/>
    </format>
    <format dxfId="5666">
      <pivotArea field="3" type="button" dataOnly="0" labelOnly="1" outline="0" axis="axisRow" fieldPosition="1"/>
    </format>
    <format dxfId="5665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5664">
      <pivotArea grandRow="1" outline="0" collapsedLevelsAreSubtotals="1" fieldPosition="0"/>
    </format>
    <format dxfId="5663">
      <pivotArea dataOnly="0" labelOnly="1" grandRow="1" outline="0" fieldPosition="0"/>
    </format>
    <format dxfId="5662">
      <pivotArea grandRow="1" outline="0" collapsedLevelsAreSubtotals="1" fieldPosition="0"/>
    </format>
    <format dxfId="5661">
      <pivotArea dataOnly="0" labelOnly="1" grandRow="1" outline="0" fieldPosition="0"/>
    </format>
    <format dxfId="5660">
      <pivotArea grandRow="1" outline="0" collapsedLevelsAreSubtotals="1" fieldPosition="0"/>
    </format>
    <format dxfId="5659">
      <pivotArea dataOnly="0" labelOnly="1" grandRow="1" outline="0" fieldPosition="0"/>
    </format>
    <format dxfId="5658">
      <pivotArea grandRow="1" outline="0" collapsedLevelsAreSubtotals="1" fieldPosition="0"/>
    </format>
    <format dxfId="5657">
      <pivotArea dataOnly="0" labelOnly="1" grandRow="1" outline="0" fieldPosition="0"/>
    </format>
    <format dxfId="5656">
      <pivotArea outline="0" collapsedLevelsAreSubtotals="1" fieldPosition="0"/>
    </format>
    <format dxfId="5655">
      <pivotArea dataOnly="0" labelOnly="1" grandRow="1" outline="0" fieldPosition="0"/>
    </format>
    <format dxfId="5654">
      <pivotArea field="2" type="button" dataOnly="0" labelOnly="1" outline="0" axis="axisRow" fieldPosition="0"/>
    </format>
    <format dxfId="5653">
      <pivotArea field="3" type="button" dataOnly="0" labelOnly="1" outline="0" axis="axisRow" fieldPosition="1"/>
    </format>
    <format dxfId="5652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5651">
      <pivotArea outline="0" fieldPosition="0">
        <references count="1">
          <reference field="4294967294" count="1">
            <x v="6"/>
          </reference>
        </references>
      </pivotArea>
    </format>
    <format dxfId="5650">
      <pivotArea dataOnly="0" labelOnly="1" outline="0" fieldPosition="0">
        <references count="1">
          <reference field="4294967294" count="1">
            <x v="6"/>
          </reference>
        </references>
      </pivotArea>
    </format>
    <format dxfId="5649">
      <pivotArea type="all" dataOnly="0" outline="0" fieldPosition="0"/>
    </format>
    <format dxfId="5648">
      <pivotArea outline="0" collapsedLevelsAreSubtotals="1" fieldPosition="0"/>
    </format>
    <format dxfId="5647">
      <pivotArea type="origin" dataOnly="0" labelOnly="1" outline="0" fieldPosition="0"/>
    </format>
    <format dxfId="5646">
      <pivotArea field="-2" type="button" dataOnly="0" labelOnly="1" outline="0" axis="axisCol" fieldPosition="0"/>
    </format>
    <format dxfId="5645">
      <pivotArea type="topRight" dataOnly="0" labelOnly="1" outline="0" fieldPosition="0"/>
    </format>
    <format dxfId="5644">
      <pivotArea field="2" type="button" dataOnly="0" labelOnly="1" outline="0" axis="axisRow" fieldPosition="0"/>
    </format>
    <format dxfId="5643">
      <pivotArea field="3" type="button" dataOnly="0" labelOnly="1" outline="0" axis="axisRow" fieldPosition="1"/>
    </format>
    <format dxfId="5642">
      <pivotArea dataOnly="0" labelOnly="1" grandRow="1" outline="0" fieldPosition="0"/>
    </format>
    <format dxfId="5641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5640">
      <pivotArea outline="0" collapsedLevelsAreSubtotals="1" fieldPosition="0"/>
    </format>
    <format dxfId="5639">
      <pivotArea dataOnly="0" labelOnly="1" grandRow="1" outline="0" fieldPosition="0"/>
    </format>
  </formats>
  <pivotTableStyleInfo showRowHeaders="1" showColHeaders="1" showRowStripes="0" showColStripes="0" showLastColumn="1"/>
  <filters count="1">
    <filter fld="3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BD20CC81-88B4-43B4-8579-A62D6D5F850D}" autoFormatId="16" applyNumberFormats="0" applyBorderFormats="0" applyFontFormats="0" applyPatternFormats="0" applyAlignmentFormats="0" applyWidthHeightFormats="0">
  <queryTableRefresh nextId="16">
    <queryTableFields count="15">
      <queryTableField id="1" name="Supplier Name" tableColumnId="1"/>
      <queryTableField id="2" name="Sub-Department" tableColumnId="2"/>
      <queryTableField id="3" name="Product Code" tableColumnId="3"/>
      <queryTableField id="4" name="Product Description" tableColumnId="4"/>
      <queryTableField id="5" name="SP" tableColumnId="5"/>
      <queryTableField id="6" name="List Cost" tableColumnId="6"/>
      <queryTableField id="7" name="Planned Production" tableColumnId="7"/>
      <queryTableField id="8" name="Planned sales" tableColumnId="8"/>
      <queryTableField id="9" name="CP of planned sales" tableColumnId="9"/>
      <queryTableField id="10" name="Planned GP" tableColumnId="10"/>
      <queryTableField id="11" name="Planned GP%" tableColumnId="11"/>
      <queryTableField id="12" name="Date" tableColumnId="12"/>
      <queryTableField id="13" name="Day" tableColumnId="13"/>
      <queryTableField id="14" name="Sales excl. VAT" tableColumnId="14"/>
      <queryTableField id="15" name="Sales Quantity" tableColumnId="1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96FA0C30-6A99-4043-8FF4-7B69E71A88AA}" autoFormatId="16" applyNumberFormats="0" applyBorderFormats="0" applyFontFormats="0" applyPatternFormats="0" applyAlignmentFormats="0" applyWidthHeightFormats="0">
  <queryTableRefresh nextId="11">
    <queryTableFields count="10">
      <queryTableField id="1" name="Supplier Name" tableColumnId="1"/>
      <queryTableField id="2" name="Sub-Department" tableColumnId="2"/>
      <queryTableField id="3" name="Product Code" tableColumnId="3"/>
      <queryTableField id="4" name="Product Description" tableColumnId="4"/>
      <queryTableField id="5" name="SP" tableColumnId="5"/>
      <queryTableField id="6" name="List Cost" tableColumnId="6"/>
      <queryTableField id="7" name="Date" tableColumnId="7"/>
      <queryTableField id="8" name="Day" tableColumnId="8"/>
      <queryTableField id="9" name="Sales excl. VAT" tableColumnId="9"/>
      <queryTableField id="10" name="Sales Quantity" tableColumnId="10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93F704FB-01F8-4885-BEF9-4C584BCF908F}" autoFormatId="16" applyNumberFormats="0" applyBorderFormats="0" applyFontFormats="0" applyPatternFormats="0" applyAlignmentFormats="0" applyWidthHeightFormats="0">
  <queryTableRefresh nextId="11">
    <queryTableFields count="10">
      <queryTableField id="1" name="Supplier Name" tableColumnId="1"/>
      <queryTableField id="2" name="Sub-Department" tableColumnId="2"/>
      <queryTableField id="3" name="Product Code" tableColumnId="3"/>
      <queryTableField id="4" name="Product Description" tableColumnId="4"/>
      <queryTableField id="5" name="SP" tableColumnId="5"/>
      <queryTableField id="6" name="List Cost" tableColumnId="6"/>
      <queryTableField id="7" name="Date" tableColumnId="7"/>
      <queryTableField id="8" name="Day" tableColumnId="8"/>
      <queryTableField id="9" name="Sales excl. VAT" tableColumnId="9"/>
      <queryTableField id="10" name="Sales Quantity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DC6C7CE-16E7-4B8C-9308-763F25EE2E4B}" name="Planned_vs_Actual" displayName="Planned_vs_Actual" ref="A1:O563" tableType="queryTable" totalsRowShown="0">
  <autoFilter ref="A1:O563" xr:uid="{EDC6C7CE-16E7-4B8C-9308-763F25EE2E4B}"/>
  <sortState xmlns:xlrd2="http://schemas.microsoft.com/office/spreadsheetml/2017/richdata2" ref="A2:O563">
    <sortCondition ref="B2:B563"/>
    <sortCondition descending="1" ref="G2:G563"/>
  </sortState>
  <tableColumns count="15">
    <tableColumn id="1" xr3:uid="{0800C900-EFF8-4B36-9517-EB0C8F392B97}" uniqueName="1" name="Supplier Name" queryTableFieldId="1" dataDxfId="5638"/>
    <tableColumn id="2" xr3:uid="{78696C9F-76A8-4EB8-B18B-834B4A352527}" uniqueName="2" name="Sub-Department" queryTableFieldId="2" dataDxfId="5708"/>
    <tableColumn id="3" xr3:uid="{985DC688-9386-4044-AAB8-5F58373925A8}" uniqueName="3" name="Product Code" queryTableFieldId="3" dataDxfId="5707"/>
    <tableColumn id="4" xr3:uid="{87CD4148-5B38-46A9-950C-25E92F196562}" uniqueName="4" name="Product Description" queryTableFieldId="4" dataDxfId="5637"/>
    <tableColumn id="5" xr3:uid="{9CCF7DC0-E816-4FB4-A526-E1A666CF87BF}" uniqueName="5" name="SP" queryTableFieldId="5" dataDxfId="5706"/>
    <tableColumn id="6" xr3:uid="{0348A05D-3928-4E3A-875B-F1484B19A8E3}" uniqueName="6" name="List Cost" queryTableFieldId="6" dataDxfId="5705"/>
    <tableColumn id="7" xr3:uid="{06F8F7F5-BE5C-4E52-8526-3375D5679392}" uniqueName="7" name="Planned Production" queryTableFieldId="7" dataDxfId="5704"/>
    <tableColumn id="8" xr3:uid="{BD3AEC64-BA4B-43D0-AF9A-D4B604797BEC}" uniqueName="8" name="Planned sales" queryTableFieldId="8" dataDxfId="5703"/>
    <tableColumn id="9" xr3:uid="{5DCE8B02-ADB6-4259-A160-9D7854C7C2FE}" uniqueName="9" name="CP of planned sales" queryTableFieldId="9" dataDxfId="5702"/>
    <tableColumn id="10" xr3:uid="{598D88F1-66CA-41F6-BDB5-16B32EB9D340}" uniqueName="10" name="Planned GP" queryTableFieldId="10" dataDxfId="5701"/>
    <tableColumn id="11" xr3:uid="{7E021AD0-5D88-48CA-938C-FE0A0655F2EE}" uniqueName="11" name="Planned GP%" queryTableFieldId="11" dataDxfId="5700"/>
    <tableColumn id="12" xr3:uid="{A35AE59F-68A9-43BB-9008-E87860D4B553}" uniqueName="12" name="Date" queryTableFieldId="12" dataDxfId="5699"/>
    <tableColumn id="13" xr3:uid="{814879E0-3C88-4C47-AC9C-6B0771677C22}" uniqueName="13" name="Day" queryTableFieldId="13" dataDxfId="5636"/>
    <tableColumn id="14" xr3:uid="{6A86284D-12FF-42B3-93A8-9EEC149FBE21}" uniqueName="14" name="Sales excl. VAT" queryTableFieldId="14" dataDxfId="5698"/>
    <tableColumn id="15" xr3:uid="{52772825-9904-4814-BC3B-2D8C1284893B}" uniqueName="15" name="Sales Quantity" queryTableFieldId="15" dataDxfId="569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15082CD-65E9-42A0-8B77-A56505B9C08F}" name="Actuals_1" displayName="Actuals_1" ref="A1:J563" tableType="queryTable" totalsRowShown="0">
  <autoFilter ref="A1:J563" xr:uid="{015082CD-65E9-42A0-8B77-A56505B9C08F}"/>
  <tableColumns count="10">
    <tableColumn id="1" xr3:uid="{E2FD1CDF-9B5F-46D7-ACAC-263EA470F7AC}" uniqueName="1" name="Supplier Name" queryTableFieldId="1" dataDxfId="5696"/>
    <tableColumn id="2" xr3:uid="{53AF842B-A88D-4368-83AA-FDA52CD58BFE}" uniqueName="2" name="Sub-Department" queryTableFieldId="2" dataDxfId="5695"/>
    <tableColumn id="3" xr3:uid="{0721FE9C-AF0E-4271-96F7-A3DB597417DC}" uniqueName="3" name="Product Code" queryTableFieldId="3" dataDxfId="5694"/>
    <tableColumn id="4" xr3:uid="{46CBA0DD-5EC4-461C-B45A-FE7239473354}" uniqueName="4" name="Product Description" queryTableFieldId="4" dataDxfId="5693"/>
    <tableColumn id="5" xr3:uid="{479B82A6-4177-4D1C-8AAF-5F8B6B1CC1DD}" uniqueName="5" name="SP" queryTableFieldId="5" dataDxfId="5692"/>
    <tableColumn id="6" xr3:uid="{A7AC946A-73AD-473B-8ABE-D0F8F2B9919A}" uniqueName="6" name="List Cost" queryTableFieldId="6" dataDxfId="5691"/>
    <tableColumn id="7" xr3:uid="{625D6B7C-C6BE-4CC5-AECC-6CB034E33046}" uniqueName="7" name="Date" queryTableFieldId="7" dataDxfId="5690"/>
    <tableColumn id="8" xr3:uid="{DBBDA483-A1FB-4D41-B305-FF4D44573BFE}" uniqueName="8" name="Day" queryTableFieldId="8" dataDxfId="5689"/>
    <tableColumn id="9" xr3:uid="{BA581E49-3339-4A0D-9691-D061ACE2199F}" uniqueName="9" name="Sales excl. VAT" queryTableFieldId="9" dataDxfId="5688"/>
    <tableColumn id="10" xr3:uid="{C8164675-9034-437B-BBE2-A3A4D37A4577}" uniqueName="10" name="Sales Quantity" queryTableFieldId="10" dataDxfId="5687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B0150DC-4B62-4890-A4DF-BF1783C6E2ED}" name="Actuals_data_1" displayName="Actuals_data_1" ref="A1:J563" tableType="queryTable" totalsRowShown="0">
  <autoFilter ref="A1:J563" xr:uid="{4B0150DC-4B62-4890-A4DF-BF1783C6E2ED}"/>
  <tableColumns count="10">
    <tableColumn id="1" xr3:uid="{6B885F70-5F5F-466C-B88F-8747F5C1C538}" uniqueName="1" name="Supplier Name" queryTableFieldId="1" dataDxfId="5686"/>
    <tableColumn id="2" xr3:uid="{F5E48BE4-4CA7-4DC6-A11A-9786B8F4ED91}" uniqueName="2" name="Sub-Department" queryTableFieldId="2" dataDxfId="5685"/>
    <tableColumn id="3" xr3:uid="{17AE12CA-2080-40CE-B471-F86050C52E81}" uniqueName="3" name="Product Code" queryTableFieldId="3" dataDxfId="5684"/>
    <tableColumn id="4" xr3:uid="{9BE21061-25FD-45E0-B26E-63B88C155FEE}" uniqueName="4" name="Product Description" queryTableFieldId="4" dataDxfId="5683"/>
    <tableColumn id="5" xr3:uid="{FF71FBB7-9387-4BFB-97CF-21E542F49505}" uniqueName="5" name="SP" queryTableFieldId="5" dataDxfId="5682"/>
    <tableColumn id="6" xr3:uid="{30673661-7E4C-4F74-8A39-570F22D028C8}" uniqueName="6" name="List Cost" queryTableFieldId="6" dataDxfId="5681"/>
    <tableColumn id="7" xr3:uid="{5392E80A-E4A2-4F5B-9537-7BFC3917DFEA}" uniqueName="7" name="Date" queryTableFieldId="7" dataDxfId="5680"/>
    <tableColumn id="8" xr3:uid="{D3C6EA67-0739-4CEE-9720-5CF7917E747D}" uniqueName="8" name="Day" queryTableFieldId="8" dataDxfId="5679"/>
    <tableColumn id="9" xr3:uid="{652554CF-AFDE-427E-9C31-C9A4732E8B99}" uniqueName="9" name="Sales excl. VAT" queryTableFieldId="9" dataDxfId="5678"/>
    <tableColumn id="10" xr3:uid="{7E42AC42-4775-4C5C-BCCA-E064FD023DBB}" uniqueName="10" name="Sales Quantity" queryTableFieldId="10" dataDxfId="567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DF1547-A399-404D-B990-43D9D0B75869}">
  <sheetPr codeName="Sheet1"/>
  <dimension ref="A1:Y290"/>
  <sheetViews>
    <sheetView topLeftCell="B1" workbookViewId="0">
      <pane ySplit="3" topLeftCell="A274" activePane="bottomLeft" state="frozen"/>
      <selection pane="bottomLeft" activeCell="A3" sqref="A3:K290"/>
    </sheetView>
  </sheetViews>
  <sheetFormatPr defaultColWidth="10.69921875" defaultRowHeight="16.5" customHeight="1" x14ac:dyDescent="0.35"/>
  <cols>
    <col min="1" max="1" width="25.09765625" style="1" customWidth="1"/>
    <col min="2" max="2" width="6.796875" style="1" customWidth="1"/>
    <col min="3" max="3" width="9.796875" style="1" customWidth="1"/>
    <col min="4" max="4" width="28.19921875" style="1" customWidth="1"/>
    <col min="5" max="5" width="8.19921875" style="1" customWidth="1"/>
    <col min="6" max="6" width="8.19921875" style="12" customWidth="1"/>
    <col min="7" max="7" width="8.19921875" style="9" customWidth="1"/>
    <col min="8" max="8" width="9.3984375" style="12" bestFit="1" customWidth="1"/>
    <col min="9" max="9" width="8.8984375" style="12" bestFit="1" customWidth="1"/>
    <col min="10" max="10" width="9.3984375" style="12" bestFit="1" customWidth="1"/>
    <col min="11" max="12" width="8.19921875" style="12" customWidth="1"/>
    <col min="13" max="15" width="12.69921875" style="12" hidden="1" customWidth="1"/>
    <col min="16" max="16" width="12.69921875" style="9" hidden="1" customWidth="1"/>
    <col min="17" max="20" width="12.69921875" style="12" hidden="1" customWidth="1"/>
    <col min="21" max="21" width="12.69921875" style="15" hidden="1" customWidth="1"/>
    <col min="22" max="22" width="0" style="36" hidden="1" customWidth="1"/>
    <col min="23" max="25" width="0" style="1" hidden="1" customWidth="1"/>
    <col min="26" max="16384" width="10.69921875" style="1"/>
  </cols>
  <sheetData>
    <row r="1" spans="1:25" ht="16.5" customHeight="1" x14ac:dyDescent="0.35">
      <c r="V1" s="36" t="s">
        <v>306</v>
      </c>
      <c r="W1" s="1" t="s">
        <v>307</v>
      </c>
      <c r="X1" s="1" t="s">
        <v>308</v>
      </c>
      <c r="Y1" s="1" t="s">
        <v>307</v>
      </c>
    </row>
    <row r="2" spans="1:25" ht="16.5" customHeight="1" x14ac:dyDescent="0.35">
      <c r="V2" s="36" t="s">
        <v>309</v>
      </c>
      <c r="W2" s="1" t="s">
        <v>307</v>
      </c>
      <c r="X2" s="1" t="s">
        <v>310</v>
      </c>
      <c r="Y2" s="1" t="s">
        <v>307</v>
      </c>
    </row>
    <row r="3" spans="1:25" ht="46.5" customHeight="1" x14ac:dyDescent="0.35">
      <c r="A3" s="2" t="s">
        <v>0</v>
      </c>
      <c r="B3" s="2" t="s">
        <v>303</v>
      </c>
      <c r="C3" s="2" t="s">
        <v>1</v>
      </c>
      <c r="D3" s="2" t="s">
        <v>2</v>
      </c>
      <c r="E3" s="2" t="s">
        <v>3</v>
      </c>
      <c r="F3" s="10" t="s">
        <v>4</v>
      </c>
      <c r="G3" s="10" t="s">
        <v>290</v>
      </c>
      <c r="H3" s="10" t="s">
        <v>291</v>
      </c>
      <c r="I3" s="10" t="s">
        <v>292</v>
      </c>
      <c r="J3" s="10" t="s">
        <v>293</v>
      </c>
      <c r="K3" s="10" t="s">
        <v>294</v>
      </c>
      <c r="L3" s="50"/>
      <c r="M3" s="10" t="s">
        <v>5</v>
      </c>
      <c r="N3" s="10" t="s">
        <v>6</v>
      </c>
      <c r="O3" s="10" t="s">
        <v>7</v>
      </c>
      <c r="P3" s="7" t="s">
        <v>8</v>
      </c>
      <c r="Q3" s="10" t="s">
        <v>9</v>
      </c>
      <c r="R3" s="10" t="s">
        <v>10</v>
      </c>
      <c r="S3" s="10" t="s">
        <v>11</v>
      </c>
      <c r="T3" s="10" t="s">
        <v>12</v>
      </c>
      <c r="U3" s="13" t="s">
        <v>13</v>
      </c>
      <c r="V3" s="36" t="s">
        <v>6</v>
      </c>
      <c r="W3" s="1" t="s">
        <v>8</v>
      </c>
      <c r="X3" s="1" t="s">
        <v>6</v>
      </c>
      <c r="Y3" s="1" t="s">
        <v>8</v>
      </c>
    </row>
    <row r="4" spans="1:25" ht="16.5" customHeight="1" x14ac:dyDescent="0.35">
      <c r="A4" s="3" t="s">
        <v>14</v>
      </c>
      <c r="B4" s="4">
        <v>101</v>
      </c>
      <c r="C4" s="5">
        <v>32062</v>
      </c>
      <c r="D4" s="3" t="s">
        <v>51</v>
      </c>
      <c r="E4" s="6">
        <v>24.99</v>
      </c>
      <c r="F4" s="16">
        <v>9.68</v>
      </c>
      <c r="G4" s="51">
        <v>6</v>
      </c>
      <c r="H4" s="52">
        <f t="shared" ref="H4:H67" si="0">E4*G4</f>
        <v>149.94</v>
      </c>
      <c r="I4" s="52">
        <f t="shared" ref="I4:I67" si="1">F4*G4</f>
        <v>58.08</v>
      </c>
      <c r="J4" s="52">
        <f t="shared" ref="J4:J67" si="2">H4-I4</f>
        <v>91.86</v>
      </c>
      <c r="K4" s="53">
        <f>IFERROR(J4/H4*100,0)</f>
        <v>61.264505802320933</v>
      </c>
      <c r="L4" s="36"/>
      <c r="M4" s="11">
        <v>454440.52</v>
      </c>
      <c r="N4" s="11">
        <v>395165.66956521739</v>
      </c>
      <c r="O4" s="11">
        <v>239885.73999999996</v>
      </c>
      <c r="P4" s="8">
        <v>35200</v>
      </c>
      <c r="Q4" s="11">
        <v>155279.92956521743</v>
      </c>
      <c r="R4" s="11">
        <v>12.910242045454545</v>
      </c>
      <c r="S4" s="11">
        <v>11.226297430830039</v>
      </c>
      <c r="T4" s="11">
        <v>6.8149357954545442</v>
      </c>
      <c r="U4" s="14">
        <v>39.294893641966624</v>
      </c>
      <c r="V4" s="36" t="e">
        <f>LOOKUP($C4,#REF!,#REF!)</f>
        <v>#REF!</v>
      </c>
      <c r="W4" s="36" t="e">
        <f>LOOKUP($C4,#REF!,#REF!)</f>
        <v>#REF!</v>
      </c>
      <c r="X4" s="36" t="e">
        <f>LOOKUP($C4,#REF!,#REF!)</f>
        <v>#REF!</v>
      </c>
      <c r="Y4" s="36" t="e">
        <f>LOOKUP($C4,#REF!,#REF!)</f>
        <v>#REF!</v>
      </c>
    </row>
    <row r="5" spans="1:25" ht="16.5" customHeight="1" x14ac:dyDescent="0.35">
      <c r="A5" s="3" t="s">
        <v>14</v>
      </c>
      <c r="B5" s="4">
        <v>101</v>
      </c>
      <c r="C5" s="5">
        <v>32063</v>
      </c>
      <c r="D5" s="3" t="s">
        <v>52</v>
      </c>
      <c r="E5" s="6">
        <v>19.989999999999998</v>
      </c>
      <c r="F5" s="16">
        <v>8.5</v>
      </c>
      <c r="G5" s="51">
        <v>6</v>
      </c>
      <c r="H5" s="52">
        <f t="shared" si="0"/>
        <v>119.94</v>
      </c>
      <c r="I5" s="52">
        <f t="shared" si="1"/>
        <v>51</v>
      </c>
      <c r="J5" s="52">
        <f t="shared" si="2"/>
        <v>68.94</v>
      </c>
      <c r="K5" s="53">
        <f t="shared" ref="K5:K68" si="3">IFERROR(J5/H5*100,0)</f>
        <v>57.478739369684838</v>
      </c>
      <c r="L5" s="36"/>
      <c r="M5" s="11">
        <v>171710</v>
      </c>
      <c r="N5" s="11">
        <v>149313.04347826089</v>
      </c>
      <c r="O5" s="11">
        <v>106275.53999999998</v>
      </c>
      <c r="P5" s="8">
        <v>3203</v>
      </c>
      <c r="Q5" s="11">
        <v>43037.503478260885</v>
      </c>
      <c r="R5" s="11">
        <v>53.609116453325008</v>
      </c>
      <c r="S5" s="11">
        <v>46.616623002891316</v>
      </c>
      <c r="T5" s="11">
        <v>33.179999999999993</v>
      </c>
      <c r="U5" s="14">
        <v>28.823673053404008</v>
      </c>
      <c r="V5" s="36" t="e">
        <f>LOOKUP($C5,#REF!,#REF!)</f>
        <v>#REF!</v>
      </c>
      <c r="W5" s="36" t="e">
        <f>LOOKUP($C5,#REF!,#REF!)</f>
        <v>#REF!</v>
      </c>
      <c r="X5" s="36" t="e">
        <f>LOOKUP($C5,#REF!,#REF!)</f>
        <v>#REF!</v>
      </c>
      <c r="Y5" s="36" t="e">
        <f>LOOKUP($C5,#REF!,#REF!)</f>
        <v>#REF!</v>
      </c>
    </row>
    <row r="6" spans="1:25" ht="16.5" customHeight="1" x14ac:dyDescent="0.35">
      <c r="A6" s="3" t="s">
        <v>14</v>
      </c>
      <c r="B6" s="4">
        <v>102</v>
      </c>
      <c r="C6" s="5">
        <v>32066</v>
      </c>
      <c r="D6" s="3" t="s">
        <v>114</v>
      </c>
      <c r="E6" s="6">
        <v>10</v>
      </c>
      <c r="F6" s="16">
        <v>4.5</v>
      </c>
      <c r="G6" s="51">
        <v>0</v>
      </c>
      <c r="H6" s="52">
        <f t="shared" si="0"/>
        <v>0</v>
      </c>
      <c r="I6" s="52">
        <f t="shared" si="1"/>
        <v>0</v>
      </c>
      <c r="J6" s="52">
        <f t="shared" si="2"/>
        <v>0</v>
      </c>
      <c r="K6" s="53">
        <f t="shared" si="3"/>
        <v>0</v>
      </c>
      <c r="L6" s="36"/>
      <c r="M6" s="11">
        <v>134364.05999999997</v>
      </c>
      <c r="N6" s="11">
        <v>116838.31304347824</v>
      </c>
      <c r="O6" s="11">
        <v>71250.900000000009</v>
      </c>
      <c r="P6" s="8">
        <v>6419</v>
      </c>
      <c r="Q6" s="11">
        <v>45587.413043478227</v>
      </c>
      <c r="R6" s="11">
        <v>20.932241782209061</v>
      </c>
      <c r="S6" s="11">
        <v>18.201949375833966</v>
      </c>
      <c r="T6" s="11">
        <v>11.100000000000001</v>
      </c>
      <c r="U6" s="14">
        <v>39.017520756666606</v>
      </c>
      <c r="V6" s="36" t="e">
        <f>LOOKUP($C6,#REF!,#REF!)</f>
        <v>#REF!</v>
      </c>
      <c r="W6" s="36" t="e">
        <f>LOOKUP($C6,#REF!,#REF!)</f>
        <v>#REF!</v>
      </c>
      <c r="X6" s="36" t="e">
        <f>LOOKUP($C6,#REF!,#REF!)</f>
        <v>#REF!</v>
      </c>
      <c r="Y6" s="36" t="e">
        <f>LOOKUP($C6,#REF!,#REF!)</f>
        <v>#REF!</v>
      </c>
    </row>
    <row r="7" spans="1:25" ht="16.5" customHeight="1" x14ac:dyDescent="0.35">
      <c r="A7" s="3" t="s">
        <v>14</v>
      </c>
      <c r="B7" s="4">
        <v>101</v>
      </c>
      <c r="C7" s="5">
        <v>32067</v>
      </c>
      <c r="D7" s="3" t="s">
        <v>29</v>
      </c>
      <c r="E7" s="6">
        <v>34.99</v>
      </c>
      <c r="F7" s="16">
        <v>15.91</v>
      </c>
      <c r="G7" s="51">
        <v>8</v>
      </c>
      <c r="H7" s="52">
        <f t="shared" si="0"/>
        <v>279.92</v>
      </c>
      <c r="I7" s="52">
        <f t="shared" si="1"/>
        <v>127.28</v>
      </c>
      <c r="J7" s="52">
        <f t="shared" si="2"/>
        <v>152.64000000000001</v>
      </c>
      <c r="K7" s="53">
        <f t="shared" si="3"/>
        <v>54.529865675907409</v>
      </c>
      <c r="L7" s="36"/>
      <c r="M7" s="11">
        <v>106203.17000000001</v>
      </c>
      <c r="N7" s="11">
        <v>106203.17000000001</v>
      </c>
      <c r="O7" s="11">
        <v>62059.759999999987</v>
      </c>
      <c r="P7" s="8">
        <v>9844</v>
      </c>
      <c r="Q7" s="11">
        <v>44143.41000000004</v>
      </c>
      <c r="R7" s="11">
        <v>10.788619463632671</v>
      </c>
      <c r="S7" s="11">
        <v>10.788619463632671</v>
      </c>
      <c r="T7" s="11">
        <v>6.3043234457537576</v>
      </c>
      <c r="U7" s="14">
        <v>41.565058745421659</v>
      </c>
      <c r="V7" s="36" t="e">
        <f>LOOKUP($C7,#REF!,#REF!)</f>
        <v>#REF!</v>
      </c>
      <c r="W7" s="36" t="e">
        <f>LOOKUP($C7,#REF!,#REF!)</f>
        <v>#REF!</v>
      </c>
      <c r="X7" s="36" t="e">
        <f>LOOKUP($C7,#REF!,#REF!)</f>
        <v>#REF!</v>
      </c>
      <c r="Y7" s="36" t="e">
        <f>LOOKUP($C7,#REF!,#REF!)</f>
        <v>#REF!</v>
      </c>
    </row>
    <row r="8" spans="1:25" ht="16.5" customHeight="1" x14ac:dyDescent="0.35">
      <c r="A8" s="3" t="s">
        <v>14</v>
      </c>
      <c r="B8" s="4">
        <v>102</v>
      </c>
      <c r="C8" s="5">
        <v>32124</v>
      </c>
      <c r="D8" s="3" t="s">
        <v>174</v>
      </c>
      <c r="E8" s="6">
        <v>47.99</v>
      </c>
      <c r="F8" s="16">
        <v>10.44</v>
      </c>
      <c r="G8" s="51">
        <v>0</v>
      </c>
      <c r="H8" s="52">
        <f t="shared" si="0"/>
        <v>0</v>
      </c>
      <c r="I8" s="52">
        <f t="shared" si="1"/>
        <v>0</v>
      </c>
      <c r="J8" s="52">
        <f t="shared" si="2"/>
        <v>0</v>
      </c>
      <c r="K8" s="53">
        <f t="shared" si="3"/>
        <v>0</v>
      </c>
      <c r="L8" s="36"/>
      <c r="M8" s="11">
        <v>119705.7</v>
      </c>
      <c r="N8" s="11">
        <v>104091.91304347827</v>
      </c>
      <c r="O8" s="11">
        <v>0</v>
      </c>
      <c r="P8" s="8">
        <v>7213</v>
      </c>
      <c r="Q8" s="11">
        <v>104091.91304347826</v>
      </c>
      <c r="R8" s="11">
        <v>16.595826979065574</v>
      </c>
      <c r="S8" s="11">
        <v>14.431153894839634</v>
      </c>
      <c r="T8" s="11">
        <v>0</v>
      </c>
      <c r="U8" s="14">
        <v>100</v>
      </c>
      <c r="V8" s="36" t="e">
        <f>LOOKUP($C8,#REF!,#REF!)</f>
        <v>#REF!</v>
      </c>
      <c r="W8" s="36" t="e">
        <f>LOOKUP($C8,#REF!,#REF!)</f>
        <v>#REF!</v>
      </c>
      <c r="X8" s="36" t="e">
        <f>LOOKUP($C8,#REF!,#REF!)</f>
        <v>#REF!</v>
      </c>
      <c r="Y8" s="36" t="e">
        <f>LOOKUP($C8,#REF!,#REF!)</f>
        <v>#REF!</v>
      </c>
    </row>
    <row r="9" spans="1:25" ht="16.5" customHeight="1" x14ac:dyDescent="0.35">
      <c r="A9" s="3" t="s">
        <v>14</v>
      </c>
      <c r="B9" s="4">
        <v>102</v>
      </c>
      <c r="C9" s="5">
        <v>32125</v>
      </c>
      <c r="D9" s="3" t="s">
        <v>162</v>
      </c>
      <c r="E9" s="6">
        <v>3</v>
      </c>
      <c r="F9" s="16">
        <v>1.29</v>
      </c>
      <c r="G9" s="51">
        <v>0</v>
      </c>
      <c r="H9" s="52">
        <f t="shared" si="0"/>
        <v>0</v>
      </c>
      <c r="I9" s="52">
        <f t="shared" si="1"/>
        <v>0</v>
      </c>
      <c r="J9" s="52">
        <f t="shared" si="2"/>
        <v>0</v>
      </c>
      <c r="K9" s="53">
        <f t="shared" si="3"/>
        <v>0</v>
      </c>
      <c r="L9" s="36"/>
      <c r="M9" s="11">
        <v>95243.62999999999</v>
      </c>
      <c r="N9" s="11">
        <v>82820.547826086928</v>
      </c>
      <c r="O9" s="11">
        <v>50604.899999999994</v>
      </c>
      <c r="P9" s="8">
        <v>4559</v>
      </c>
      <c r="Q9" s="11">
        <v>32215.647826086948</v>
      </c>
      <c r="R9" s="11">
        <v>20.891342399649044</v>
      </c>
      <c r="S9" s="11">
        <v>18.166384695346991</v>
      </c>
      <c r="T9" s="11">
        <v>11.099999999999998</v>
      </c>
      <c r="U9" s="14">
        <v>38.898134184931834</v>
      </c>
      <c r="V9" s="36" t="e">
        <f>LOOKUP($C9,#REF!,#REF!)</f>
        <v>#REF!</v>
      </c>
      <c r="W9" s="36" t="e">
        <f>LOOKUP($C9,#REF!,#REF!)</f>
        <v>#REF!</v>
      </c>
      <c r="X9" s="36" t="e">
        <f>LOOKUP($C9,#REF!,#REF!)</f>
        <v>#REF!</v>
      </c>
      <c r="Y9" s="36" t="e">
        <f>LOOKUP($C9,#REF!,#REF!)</f>
        <v>#REF!</v>
      </c>
    </row>
    <row r="10" spans="1:25" ht="16.5" customHeight="1" x14ac:dyDescent="0.35">
      <c r="A10" s="3" t="s">
        <v>14</v>
      </c>
      <c r="B10" s="4">
        <v>102</v>
      </c>
      <c r="C10" s="5">
        <v>32127</v>
      </c>
      <c r="D10" s="3" t="s">
        <v>92</v>
      </c>
      <c r="E10" s="6">
        <v>11.99</v>
      </c>
      <c r="F10" s="16">
        <v>6.02</v>
      </c>
      <c r="G10" s="51">
        <v>32</v>
      </c>
      <c r="H10" s="52">
        <f t="shared" si="0"/>
        <v>383.68</v>
      </c>
      <c r="I10" s="52">
        <f t="shared" si="1"/>
        <v>192.64</v>
      </c>
      <c r="J10" s="52">
        <f t="shared" si="2"/>
        <v>191.04000000000002</v>
      </c>
      <c r="K10" s="53">
        <f t="shared" si="3"/>
        <v>49.791492910758976</v>
      </c>
      <c r="L10" s="36"/>
      <c r="M10" s="11">
        <v>95243.62999999999</v>
      </c>
      <c r="N10" s="11">
        <v>82820.547826086928</v>
      </c>
      <c r="O10" s="11">
        <v>50604.899999999994</v>
      </c>
      <c r="P10" s="8">
        <v>4559</v>
      </c>
      <c r="Q10" s="11">
        <v>32215.647826086948</v>
      </c>
      <c r="R10" s="11">
        <v>20.891342399649044</v>
      </c>
      <c r="S10" s="11">
        <v>18.166384695346991</v>
      </c>
      <c r="T10" s="11">
        <v>11.099999999999998</v>
      </c>
      <c r="U10" s="14">
        <v>38.898134184931834</v>
      </c>
      <c r="V10" s="36" t="e">
        <f>LOOKUP($C10,#REF!,#REF!)</f>
        <v>#REF!</v>
      </c>
      <c r="W10" s="36" t="e">
        <f>LOOKUP($C10,#REF!,#REF!)</f>
        <v>#REF!</v>
      </c>
      <c r="X10" s="36" t="e">
        <f>LOOKUP($C10,#REF!,#REF!)</f>
        <v>#REF!</v>
      </c>
      <c r="Y10" s="36" t="e">
        <f>LOOKUP($C10,#REF!,#REF!)</f>
        <v>#REF!</v>
      </c>
    </row>
    <row r="11" spans="1:25" ht="16.5" customHeight="1" x14ac:dyDescent="0.35">
      <c r="A11" s="3" t="s">
        <v>14</v>
      </c>
      <c r="B11" s="4">
        <v>119</v>
      </c>
      <c r="C11" s="5">
        <v>32130</v>
      </c>
      <c r="D11" s="3" t="s">
        <v>273</v>
      </c>
      <c r="E11" s="6">
        <v>140</v>
      </c>
      <c r="F11" s="16">
        <v>92.6</v>
      </c>
      <c r="G11" s="51">
        <v>0</v>
      </c>
      <c r="H11" s="52">
        <f t="shared" si="0"/>
        <v>0</v>
      </c>
      <c r="I11" s="52">
        <f t="shared" si="1"/>
        <v>0</v>
      </c>
      <c r="J11" s="52">
        <f t="shared" si="2"/>
        <v>0</v>
      </c>
      <c r="K11" s="53">
        <f t="shared" si="3"/>
        <v>0</v>
      </c>
      <c r="L11" s="36"/>
      <c r="M11" s="11">
        <v>76247.279999999984</v>
      </c>
      <c r="N11" s="11">
        <v>66301.982608695631</v>
      </c>
      <c r="O11" s="11">
        <v>23023.7</v>
      </c>
      <c r="P11" s="8">
        <v>2122</v>
      </c>
      <c r="Q11" s="11">
        <v>43278.282608695648</v>
      </c>
      <c r="R11" s="11">
        <v>35.931800188501406</v>
      </c>
      <c r="S11" s="11">
        <v>31.245043642175133</v>
      </c>
      <c r="T11" s="11">
        <v>10.85</v>
      </c>
      <c r="U11" s="14">
        <v>65.274492414680239</v>
      </c>
      <c r="V11" s="36" t="e">
        <f>LOOKUP($C11,#REF!,#REF!)</f>
        <v>#REF!</v>
      </c>
      <c r="W11" s="36" t="e">
        <f>LOOKUP($C11,#REF!,#REF!)</f>
        <v>#REF!</v>
      </c>
      <c r="X11" s="36" t="e">
        <f>LOOKUP($C11,#REF!,#REF!)</f>
        <v>#REF!</v>
      </c>
      <c r="Y11" s="36" t="e">
        <f>LOOKUP($C11,#REF!,#REF!)</f>
        <v>#REF!</v>
      </c>
    </row>
    <row r="12" spans="1:25" ht="16.5" customHeight="1" x14ac:dyDescent="0.35">
      <c r="A12" s="3" t="s">
        <v>14</v>
      </c>
      <c r="B12" s="4">
        <v>102</v>
      </c>
      <c r="C12" s="5">
        <v>32131</v>
      </c>
      <c r="D12" s="3" t="s">
        <v>94</v>
      </c>
      <c r="E12" s="6">
        <v>18.989999999999998</v>
      </c>
      <c r="F12" s="16">
        <v>9.1300000000000008</v>
      </c>
      <c r="G12" s="51">
        <v>8</v>
      </c>
      <c r="H12" s="52">
        <f t="shared" si="0"/>
        <v>151.91999999999999</v>
      </c>
      <c r="I12" s="52">
        <f t="shared" si="1"/>
        <v>73.040000000000006</v>
      </c>
      <c r="J12" s="52">
        <f t="shared" si="2"/>
        <v>78.879999999999981</v>
      </c>
      <c r="K12" s="53">
        <f t="shared" si="3"/>
        <v>51.922064244339118</v>
      </c>
      <c r="L12" s="36"/>
      <c r="M12" s="11">
        <v>76174.740000000005</v>
      </c>
      <c r="N12" s="11">
        <v>66238.904347826101</v>
      </c>
      <c r="O12" s="11">
        <v>39192.959999999999</v>
      </c>
      <c r="P12" s="8">
        <v>4768</v>
      </c>
      <c r="Q12" s="11">
        <v>27045.944347826087</v>
      </c>
      <c r="R12" s="11">
        <v>15.976245805369128</v>
      </c>
      <c r="S12" s="11">
        <v>13.892387656842722</v>
      </c>
      <c r="T12" s="11">
        <v>8.2200000000000006</v>
      </c>
      <c r="U12" s="14">
        <v>40.830905363116436</v>
      </c>
      <c r="V12" s="36">
        <f>IFERROR(LOOKUP($C12,#REF!,#REF!),0)</f>
        <v>0</v>
      </c>
      <c r="W12" s="36">
        <f>IFERROR(LOOKUP($C12,#REF!,#REF!),0)</f>
        <v>0</v>
      </c>
      <c r="X12" s="36">
        <f>IFERROR(LOOKUP($C12,#REF!,#REF!),0)</f>
        <v>0</v>
      </c>
      <c r="Y12" s="36">
        <f>IFERROR(LOOKUP($C12,#REF!,#REF!),0)</f>
        <v>0</v>
      </c>
    </row>
    <row r="13" spans="1:25" ht="16.5" customHeight="1" x14ac:dyDescent="0.35">
      <c r="A13" s="3" t="s">
        <v>14</v>
      </c>
      <c r="B13" s="4">
        <v>102</v>
      </c>
      <c r="C13" s="5">
        <v>32149</v>
      </c>
      <c r="D13" s="3" t="s">
        <v>118</v>
      </c>
      <c r="E13" s="6">
        <v>24.99</v>
      </c>
      <c r="F13" s="16">
        <v>13</v>
      </c>
      <c r="G13" s="51">
        <v>0</v>
      </c>
      <c r="H13" s="52">
        <f t="shared" si="0"/>
        <v>0</v>
      </c>
      <c r="I13" s="52">
        <f t="shared" si="1"/>
        <v>0</v>
      </c>
      <c r="J13" s="52">
        <f t="shared" si="2"/>
        <v>0</v>
      </c>
      <c r="K13" s="53">
        <f t="shared" si="3"/>
        <v>0</v>
      </c>
      <c r="L13" s="36"/>
      <c r="M13" s="11">
        <v>74663.489999999991</v>
      </c>
      <c r="N13" s="11">
        <v>64924.773913043493</v>
      </c>
      <c r="O13" s="11">
        <v>37510.619999999995</v>
      </c>
      <c r="P13" s="8">
        <v>6231</v>
      </c>
      <c r="Q13" s="11">
        <v>27414.153913043483</v>
      </c>
      <c r="R13" s="11">
        <v>11.982585459797784</v>
      </c>
      <c r="S13" s="11">
        <v>10.419639530258946</v>
      </c>
      <c r="T13" s="11">
        <v>6.02</v>
      </c>
      <c r="U13" s="14">
        <v>42.224488836511668</v>
      </c>
      <c r="V13" s="36">
        <f>IFERROR(LOOKUP($C13,#REF!,#REF!),0)</f>
        <v>0</v>
      </c>
      <c r="W13" s="36">
        <f>IFERROR(LOOKUP($C13,#REF!,#REF!),0)</f>
        <v>0</v>
      </c>
      <c r="X13" s="36">
        <f>IFERROR(LOOKUP($C13,#REF!,#REF!),0)</f>
        <v>0</v>
      </c>
      <c r="Y13" s="36">
        <f>IFERROR(LOOKUP($C13,#REF!,#REF!),0)</f>
        <v>0</v>
      </c>
    </row>
    <row r="14" spans="1:25" ht="16.5" customHeight="1" x14ac:dyDescent="0.35">
      <c r="A14" s="3" t="s">
        <v>14</v>
      </c>
      <c r="B14" s="4">
        <v>102</v>
      </c>
      <c r="C14" s="5">
        <v>32150</v>
      </c>
      <c r="D14" s="3" t="s">
        <v>128</v>
      </c>
      <c r="E14" s="6">
        <v>8.99</v>
      </c>
      <c r="F14" s="16">
        <v>4.53</v>
      </c>
      <c r="G14" s="51">
        <v>0</v>
      </c>
      <c r="H14" s="52">
        <f t="shared" si="0"/>
        <v>0</v>
      </c>
      <c r="I14" s="52">
        <f t="shared" si="1"/>
        <v>0</v>
      </c>
      <c r="J14" s="52">
        <f t="shared" si="2"/>
        <v>0</v>
      </c>
      <c r="K14" s="53">
        <f t="shared" si="3"/>
        <v>0</v>
      </c>
      <c r="L14" s="36"/>
      <c r="M14" s="11">
        <v>69580.39999999998</v>
      </c>
      <c r="N14" s="11">
        <v>60504.695652173898</v>
      </c>
      <c r="O14" s="11">
        <v>38029.25</v>
      </c>
      <c r="P14" s="8">
        <v>3505</v>
      </c>
      <c r="Q14" s="11">
        <v>22475.44565217389</v>
      </c>
      <c r="R14" s="11">
        <v>19.851754636233945</v>
      </c>
      <c r="S14" s="11">
        <v>17.262395335855604</v>
      </c>
      <c r="T14" s="11">
        <v>10.85</v>
      </c>
      <c r="U14" s="14">
        <v>37.146613845278239</v>
      </c>
      <c r="V14" s="36">
        <f>IFERROR(LOOKUP($C14,#REF!,#REF!),0)</f>
        <v>0</v>
      </c>
      <c r="W14" s="36">
        <f>IFERROR(LOOKUP($C14,#REF!,#REF!),0)</f>
        <v>0</v>
      </c>
      <c r="X14" s="36">
        <f>IFERROR(LOOKUP($C14,#REF!,#REF!),0)</f>
        <v>0</v>
      </c>
      <c r="Y14" s="36">
        <f>IFERROR(LOOKUP($C14,#REF!,#REF!),0)</f>
        <v>0</v>
      </c>
    </row>
    <row r="15" spans="1:25" ht="16.5" customHeight="1" x14ac:dyDescent="0.35">
      <c r="A15" s="3" t="s">
        <v>14</v>
      </c>
      <c r="B15" s="4">
        <v>102</v>
      </c>
      <c r="C15" s="5">
        <v>32151</v>
      </c>
      <c r="D15" s="3" t="s">
        <v>164</v>
      </c>
      <c r="E15" s="6">
        <v>12.99</v>
      </c>
      <c r="F15" s="16">
        <v>6.88</v>
      </c>
      <c r="G15" s="51">
        <v>0</v>
      </c>
      <c r="H15" s="52">
        <f t="shared" si="0"/>
        <v>0</v>
      </c>
      <c r="I15" s="52">
        <f t="shared" si="1"/>
        <v>0</v>
      </c>
      <c r="J15" s="52">
        <f t="shared" si="2"/>
        <v>0</v>
      </c>
      <c r="K15" s="53">
        <f t="shared" si="3"/>
        <v>0</v>
      </c>
      <c r="L15" s="36"/>
      <c r="M15" s="11">
        <v>69066</v>
      </c>
      <c r="N15" s="11">
        <v>60057.391304347824</v>
      </c>
      <c r="O15" s="11">
        <v>35830.349999999991</v>
      </c>
      <c r="P15" s="8">
        <v>3645</v>
      </c>
      <c r="Q15" s="11">
        <v>24227.041304347833</v>
      </c>
      <c r="R15" s="11">
        <v>18.94814814814815</v>
      </c>
      <c r="S15" s="11">
        <v>16.476650563607084</v>
      </c>
      <c r="T15" s="11">
        <v>9.8299999999999983</v>
      </c>
      <c r="U15" s="14">
        <v>40.339816262705256</v>
      </c>
      <c r="V15" s="36">
        <f>IFERROR(LOOKUP($C15,#REF!,#REF!),0)</f>
        <v>0</v>
      </c>
      <c r="W15" s="36">
        <f>IFERROR(LOOKUP($C15,#REF!,#REF!),0)</f>
        <v>0</v>
      </c>
      <c r="X15" s="36">
        <f>IFERROR(LOOKUP($C15,#REF!,#REF!),0)</f>
        <v>0</v>
      </c>
      <c r="Y15" s="36">
        <f>IFERROR(LOOKUP($C15,#REF!,#REF!),0)</f>
        <v>0</v>
      </c>
    </row>
    <row r="16" spans="1:25" ht="16.5" customHeight="1" x14ac:dyDescent="0.35">
      <c r="A16" s="3" t="s">
        <v>14</v>
      </c>
      <c r="B16" s="4">
        <v>102</v>
      </c>
      <c r="C16" s="5">
        <v>32152</v>
      </c>
      <c r="D16" s="3" t="s">
        <v>100</v>
      </c>
      <c r="E16" s="6">
        <v>12.99</v>
      </c>
      <c r="F16" s="16">
        <v>6.77</v>
      </c>
      <c r="G16" s="51">
        <v>6</v>
      </c>
      <c r="H16" s="52">
        <f t="shared" si="0"/>
        <v>77.94</v>
      </c>
      <c r="I16" s="52">
        <f t="shared" si="1"/>
        <v>40.619999999999997</v>
      </c>
      <c r="J16" s="52">
        <f t="shared" si="2"/>
        <v>37.32</v>
      </c>
      <c r="K16" s="53">
        <f t="shared" si="3"/>
        <v>47.882986913010015</v>
      </c>
      <c r="L16" s="36"/>
      <c r="M16" s="11">
        <v>67677.219999999987</v>
      </c>
      <c r="N16" s="11">
        <v>58849.756521739117</v>
      </c>
      <c r="O16" s="11">
        <v>35148.200000000004</v>
      </c>
      <c r="P16" s="8">
        <v>2623</v>
      </c>
      <c r="Q16" s="11">
        <v>23701.556521739112</v>
      </c>
      <c r="R16" s="11">
        <v>25.801456347693474</v>
      </c>
      <c r="S16" s="11">
        <v>22.436048997994327</v>
      </c>
      <c r="T16" s="11">
        <v>13.400000000000002</v>
      </c>
      <c r="U16" s="14">
        <v>40.274689179017678</v>
      </c>
      <c r="V16" s="36">
        <f>IFERROR(LOOKUP($C16,#REF!,#REF!),0)</f>
        <v>0</v>
      </c>
      <c r="W16" s="36">
        <f>IFERROR(LOOKUP($C16,#REF!,#REF!),0)</f>
        <v>0</v>
      </c>
      <c r="X16" s="36">
        <f>IFERROR(LOOKUP($C16,#REF!,#REF!),0)</f>
        <v>0</v>
      </c>
      <c r="Y16" s="36">
        <f>IFERROR(LOOKUP($C16,#REF!,#REF!),0)</f>
        <v>0</v>
      </c>
    </row>
    <row r="17" spans="1:25" ht="16.5" customHeight="1" x14ac:dyDescent="0.35">
      <c r="A17" s="3" t="s">
        <v>14</v>
      </c>
      <c r="B17" s="4">
        <v>102</v>
      </c>
      <c r="C17" s="5">
        <v>32153</v>
      </c>
      <c r="D17" s="3" t="s">
        <v>102</v>
      </c>
      <c r="E17" s="6">
        <v>8.99</v>
      </c>
      <c r="F17" s="16">
        <v>4.5599999999999996</v>
      </c>
      <c r="G17" s="51">
        <v>0</v>
      </c>
      <c r="H17" s="52">
        <f t="shared" si="0"/>
        <v>0</v>
      </c>
      <c r="I17" s="52">
        <f t="shared" si="1"/>
        <v>0</v>
      </c>
      <c r="J17" s="52">
        <f t="shared" si="2"/>
        <v>0</v>
      </c>
      <c r="K17" s="53">
        <f t="shared" si="3"/>
        <v>0</v>
      </c>
      <c r="L17" s="36"/>
      <c r="M17" s="11">
        <v>66517.169999999984</v>
      </c>
      <c r="N17" s="11">
        <v>57841.017391304347</v>
      </c>
      <c r="O17" s="11">
        <v>29799</v>
      </c>
      <c r="P17" s="8">
        <v>1806</v>
      </c>
      <c r="Q17" s="11">
        <v>28042.017391304333</v>
      </c>
      <c r="R17" s="11">
        <v>36.831212624584708</v>
      </c>
      <c r="S17" s="11">
        <v>32.027141412682361</v>
      </c>
      <c r="T17" s="11">
        <v>16.5</v>
      </c>
      <c r="U17" s="14">
        <v>48.481196659448969</v>
      </c>
      <c r="V17" s="36">
        <f>IFERROR(LOOKUP($C17,#REF!,#REF!),0)</f>
        <v>0</v>
      </c>
      <c r="W17" s="36">
        <f>IFERROR(LOOKUP($C17,#REF!,#REF!),0)</f>
        <v>0</v>
      </c>
      <c r="X17" s="36">
        <f>IFERROR(LOOKUP($C17,#REF!,#REF!),0)</f>
        <v>0</v>
      </c>
      <c r="Y17" s="36">
        <f>IFERROR(LOOKUP($C17,#REF!,#REF!),0)</f>
        <v>0</v>
      </c>
    </row>
    <row r="18" spans="1:25" ht="16.5" customHeight="1" x14ac:dyDescent="0.35">
      <c r="A18" s="3" t="s">
        <v>14</v>
      </c>
      <c r="B18" s="4">
        <v>102</v>
      </c>
      <c r="C18" s="5">
        <v>32155</v>
      </c>
      <c r="D18" s="3" t="s">
        <v>171</v>
      </c>
      <c r="E18" s="6">
        <v>11.99</v>
      </c>
      <c r="F18" s="16">
        <v>5.87</v>
      </c>
      <c r="G18" s="51">
        <v>0</v>
      </c>
      <c r="H18" s="52">
        <f t="shared" si="0"/>
        <v>0</v>
      </c>
      <c r="I18" s="52">
        <f t="shared" si="1"/>
        <v>0</v>
      </c>
      <c r="J18" s="52">
        <f t="shared" si="2"/>
        <v>0</v>
      </c>
      <c r="K18" s="53">
        <f t="shared" si="3"/>
        <v>0</v>
      </c>
      <c r="L18" s="36"/>
      <c r="M18" s="11">
        <v>65610.25</v>
      </c>
      <c r="N18" s="11">
        <v>57052.391304347824</v>
      </c>
      <c r="O18" s="11">
        <v>44130.241300000009</v>
      </c>
      <c r="P18" s="8">
        <v>13217</v>
      </c>
      <c r="Q18" s="11">
        <v>12922.150004347815</v>
      </c>
      <c r="R18" s="11">
        <v>4.9640803510630249</v>
      </c>
      <c r="S18" s="11">
        <v>4.3165916096200219</v>
      </c>
      <c r="T18" s="11">
        <v>3.3389000000000006</v>
      </c>
      <c r="U18" s="14">
        <v>22.649620303230041</v>
      </c>
      <c r="V18" s="36">
        <f>IFERROR(LOOKUP($C18,#REF!,#REF!),0)</f>
        <v>0</v>
      </c>
      <c r="W18" s="36">
        <f>IFERROR(LOOKUP($C18,#REF!,#REF!),0)</f>
        <v>0</v>
      </c>
      <c r="X18" s="36">
        <f>IFERROR(LOOKUP($C18,#REF!,#REF!),0)</f>
        <v>0</v>
      </c>
      <c r="Y18" s="36">
        <f>IFERROR(LOOKUP($C18,#REF!,#REF!),0)</f>
        <v>0</v>
      </c>
    </row>
    <row r="19" spans="1:25" ht="16.5" customHeight="1" x14ac:dyDescent="0.35">
      <c r="A19" s="3" t="s">
        <v>14</v>
      </c>
      <c r="B19" s="4">
        <v>102</v>
      </c>
      <c r="C19" s="5">
        <v>32855</v>
      </c>
      <c r="D19" s="3" t="s">
        <v>110</v>
      </c>
      <c r="E19" s="6">
        <v>17.989999999999998</v>
      </c>
      <c r="F19" s="16">
        <v>9.14</v>
      </c>
      <c r="G19" s="51">
        <v>6</v>
      </c>
      <c r="H19" s="52">
        <f t="shared" si="0"/>
        <v>107.94</v>
      </c>
      <c r="I19" s="52">
        <f t="shared" si="1"/>
        <v>54.84</v>
      </c>
      <c r="J19" s="52">
        <f t="shared" si="2"/>
        <v>53.099999999999994</v>
      </c>
      <c r="K19" s="53">
        <f t="shared" si="3"/>
        <v>49.193996664813781</v>
      </c>
      <c r="L19" s="36"/>
      <c r="M19" s="11">
        <v>62399.23000000001</v>
      </c>
      <c r="N19" s="11">
        <v>54260.200000000004</v>
      </c>
      <c r="O19" s="11">
        <v>30028.57</v>
      </c>
      <c r="P19" s="8">
        <v>3289</v>
      </c>
      <c r="Q19" s="11">
        <v>24231.630000000012</v>
      </c>
      <c r="R19" s="11">
        <v>18.972097902097904</v>
      </c>
      <c r="S19" s="11">
        <v>16.497476436606874</v>
      </c>
      <c r="T19" s="11">
        <v>9.1300000000000008</v>
      </c>
      <c r="U19" s="14">
        <v>44.658202513075892</v>
      </c>
      <c r="V19" s="36">
        <f>IFERROR(LOOKUP($C19,#REF!,#REF!),0)</f>
        <v>0</v>
      </c>
      <c r="W19" s="36">
        <f>IFERROR(LOOKUP($C19,#REF!,#REF!),0)</f>
        <v>0</v>
      </c>
      <c r="X19" s="36">
        <f>IFERROR(LOOKUP($C19,#REF!,#REF!),0)</f>
        <v>0</v>
      </c>
      <c r="Y19" s="36">
        <f>IFERROR(LOOKUP($C19,#REF!,#REF!),0)</f>
        <v>0</v>
      </c>
    </row>
    <row r="20" spans="1:25" ht="16.5" customHeight="1" x14ac:dyDescent="0.35">
      <c r="A20" s="3" t="s">
        <v>14</v>
      </c>
      <c r="B20" s="4">
        <v>102</v>
      </c>
      <c r="C20" s="5">
        <v>32857</v>
      </c>
      <c r="D20" s="3" t="s">
        <v>127</v>
      </c>
      <c r="E20" s="6">
        <v>130</v>
      </c>
      <c r="F20" s="16">
        <v>68.680000000000007</v>
      </c>
      <c r="G20" s="51">
        <v>0</v>
      </c>
      <c r="H20" s="52">
        <f t="shared" si="0"/>
        <v>0</v>
      </c>
      <c r="I20" s="52">
        <f t="shared" si="1"/>
        <v>0</v>
      </c>
      <c r="J20" s="52">
        <f t="shared" si="2"/>
        <v>0</v>
      </c>
      <c r="K20" s="53">
        <f t="shared" si="3"/>
        <v>0</v>
      </c>
      <c r="L20" s="36"/>
      <c r="M20" s="11">
        <v>58982.93</v>
      </c>
      <c r="N20" s="11">
        <v>51289.504347826078</v>
      </c>
      <c r="O20" s="11">
        <v>30147.600000000002</v>
      </c>
      <c r="P20" s="8">
        <v>3108</v>
      </c>
      <c r="Q20" s="11">
        <v>21141.904347826083</v>
      </c>
      <c r="R20" s="11">
        <v>18.977776705276707</v>
      </c>
      <c r="S20" s="11">
        <v>16.502414526327566</v>
      </c>
      <c r="T20" s="11">
        <v>9.7000000000000011</v>
      </c>
      <c r="U20" s="14">
        <v>41.220722673492141</v>
      </c>
      <c r="V20" s="36">
        <f>IFERROR(LOOKUP($C20,#REF!,#REF!),0)</f>
        <v>0</v>
      </c>
      <c r="W20" s="36">
        <f>IFERROR(LOOKUP($C20,#REF!,#REF!),0)</f>
        <v>0</v>
      </c>
      <c r="X20" s="36">
        <f>IFERROR(LOOKUP($C20,#REF!,#REF!),0)</f>
        <v>0</v>
      </c>
      <c r="Y20" s="36">
        <f>IFERROR(LOOKUP($C20,#REF!,#REF!),0)</f>
        <v>0</v>
      </c>
    </row>
    <row r="21" spans="1:25" ht="16.5" customHeight="1" x14ac:dyDescent="0.35">
      <c r="A21" s="3" t="s">
        <v>14</v>
      </c>
      <c r="B21" s="4">
        <v>101</v>
      </c>
      <c r="C21" s="5">
        <v>32859</v>
      </c>
      <c r="D21" s="3" t="s">
        <v>20</v>
      </c>
      <c r="E21" s="6">
        <v>20.99</v>
      </c>
      <c r="F21" s="16">
        <v>7.46</v>
      </c>
      <c r="G21" s="51">
        <v>0</v>
      </c>
      <c r="H21" s="52">
        <f t="shared" si="0"/>
        <v>0</v>
      </c>
      <c r="I21" s="52">
        <f t="shared" si="1"/>
        <v>0</v>
      </c>
      <c r="J21" s="52">
        <f t="shared" si="2"/>
        <v>0</v>
      </c>
      <c r="K21" s="53">
        <f t="shared" si="3"/>
        <v>0</v>
      </c>
      <c r="L21" s="36"/>
      <c r="M21" s="11">
        <v>54060.76</v>
      </c>
      <c r="N21" s="11">
        <v>47009.35652173913</v>
      </c>
      <c r="O21" s="11">
        <v>30950.5</v>
      </c>
      <c r="P21" s="8">
        <v>16730</v>
      </c>
      <c r="Q21" s="11">
        <v>16058.85652173913</v>
      </c>
      <c r="R21" s="11">
        <v>3.2313664076509268</v>
      </c>
      <c r="S21" s="11">
        <v>2.8098838327399358</v>
      </c>
      <c r="T21" s="11">
        <v>1.85</v>
      </c>
      <c r="U21" s="14">
        <v>34.160979238915615</v>
      </c>
      <c r="V21" s="36">
        <f>IFERROR(LOOKUP($C21,#REF!,#REF!),0)</f>
        <v>0</v>
      </c>
      <c r="W21" s="36">
        <f>IFERROR(LOOKUP($C21,#REF!,#REF!),0)</f>
        <v>0</v>
      </c>
      <c r="X21" s="36">
        <f>IFERROR(LOOKUP($C21,#REF!,#REF!),0)</f>
        <v>0</v>
      </c>
      <c r="Y21" s="36">
        <f>IFERROR(LOOKUP($C21,#REF!,#REF!),0)</f>
        <v>0</v>
      </c>
    </row>
    <row r="22" spans="1:25" ht="16.5" customHeight="1" x14ac:dyDescent="0.35">
      <c r="A22" s="3" t="s">
        <v>14</v>
      </c>
      <c r="B22" s="4">
        <v>101</v>
      </c>
      <c r="C22" s="5">
        <v>32860</v>
      </c>
      <c r="D22" s="3" t="s">
        <v>16</v>
      </c>
      <c r="E22" s="6">
        <v>18</v>
      </c>
      <c r="F22" s="16">
        <v>8.44</v>
      </c>
      <c r="G22" s="51">
        <v>0</v>
      </c>
      <c r="H22" s="52">
        <f t="shared" si="0"/>
        <v>0</v>
      </c>
      <c r="I22" s="52">
        <f t="shared" si="1"/>
        <v>0</v>
      </c>
      <c r="J22" s="52">
        <f t="shared" si="2"/>
        <v>0</v>
      </c>
      <c r="K22" s="53">
        <f t="shared" si="3"/>
        <v>0</v>
      </c>
      <c r="L22" s="36"/>
      <c r="M22" s="11">
        <v>51833.519999999982</v>
      </c>
      <c r="N22" s="11">
        <v>45072.626086956501</v>
      </c>
      <c r="O22" s="11">
        <v>35461.360000000001</v>
      </c>
      <c r="P22" s="8">
        <v>649</v>
      </c>
      <c r="Q22" s="11">
        <v>9611.2660869565007</v>
      </c>
      <c r="R22" s="11">
        <v>79.866748844375934</v>
      </c>
      <c r="S22" s="11">
        <v>69.449346821196457</v>
      </c>
      <c r="T22" s="11">
        <v>54.64</v>
      </c>
      <c r="U22" s="14">
        <v>21.32395407450619</v>
      </c>
      <c r="V22" s="36">
        <f>IFERROR(LOOKUP($C22,#REF!,#REF!),0)</f>
        <v>0</v>
      </c>
      <c r="W22" s="36">
        <f>IFERROR(LOOKUP($C22,#REF!,#REF!),0)</f>
        <v>0</v>
      </c>
      <c r="X22" s="36">
        <f>IFERROR(LOOKUP($C22,#REF!,#REF!),0)</f>
        <v>0</v>
      </c>
      <c r="Y22" s="36">
        <f>IFERROR(LOOKUP($C22,#REF!,#REF!),0)</f>
        <v>0</v>
      </c>
    </row>
    <row r="23" spans="1:25" ht="16.5" customHeight="1" x14ac:dyDescent="0.35">
      <c r="A23" s="3" t="s">
        <v>14</v>
      </c>
      <c r="B23" s="4">
        <v>101</v>
      </c>
      <c r="C23" s="5">
        <v>32862</v>
      </c>
      <c r="D23" s="3" t="s">
        <v>68</v>
      </c>
      <c r="E23" s="6">
        <v>9.99</v>
      </c>
      <c r="F23" s="16">
        <v>5.14</v>
      </c>
      <c r="G23" s="51">
        <v>0</v>
      </c>
      <c r="H23" s="52">
        <f t="shared" si="0"/>
        <v>0</v>
      </c>
      <c r="I23" s="52">
        <f t="shared" si="1"/>
        <v>0</v>
      </c>
      <c r="J23" s="52">
        <f t="shared" si="2"/>
        <v>0</v>
      </c>
      <c r="K23" s="53">
        <f t="shared" si="3"/>
        <v>0</v>
      </c>
      <c r="L23" s="36"/>
      <c r="M23" s="11">
        <v>43273.899999999994</v>
      </c>
      <c r="N23" s="11">
        <v>37629.47826086956</v>
      </c>
      <c r="O23" s="11">
        <v>22899.3</v>
      </c>
      <c r="P23" s="8">
        <v>3360</v>
      </c>
      <c r="Q23" s="11">
        <v>14730.178260869561</v>
      </c>
      <c r="R23" s="11">
        <v>12.879136904761904</v>
      </c>
      <c r="S23" s="11">
        <v>11.199249482401655</v>
      </c>
      <c r="T23" s="11">
        <v>6.8152678571428567</v>
      </c>
      <c r="U23" s="14">
        <v>39.145316229875277</v>
      </c>
      <c r="V23" s="36">
        <f>IFERROR(LOOKUP($C23,#REF!,#REF!),0)</f>
        <v>0</v>
      </c>
      <c r="W23" s="36">
        <f>IFERROR(LOOKUP($C23,#REF!,#REF!),0)</f>
        <v>0</v>
      </c>
      <c r="X23" s="36">
        <f>IFERROR(LOOKUP($C23,#REF!,#REF!),0)</f>
        <v>0</v>
      </c>
      <c r="Y23" s="36">
        <f>IFERROR(LOOKUP($C23,#REF!,#REF!),0)</f>
        <v>0</v>
      </c>
    </row>
    <row r="24" spans="1:25" ht="16.5" customHeight="1" x14ac:dyDescent="0.35">
      <c r="A24" s="3" t="s">
        <v>14</v>
      </c>
      <c r="B24" s="4">
        <v>102</v>
      </c>
      <c r="C24" s="5">
        <v>32868</v>
      </c>
      <c r="D24" s="3" t="s">
        <v>175</v>
      </c>
      <c r="E24" s="6">
        <v>5.99</v>
      </c>
      <c r="F24" s="16">
        <v>3.31</v>
      </c>
      <c r="G24" s="51">
        <v>0</v>
      </c>
      <c r="H24" s="52">
        <f t="shared" si="0"/>
        <v>0</v>
      </c>
      <c r="I24" s="52">
        <f t="shared" si="1"/>
        <v>0</v>
      </c>
      <c r="J24" s="52">
        <f t="shared" si="2"/>
        <v>0</v>
      </c>
      <c r="K24" s="53">
        <f t="shared" si="3"/>
        <v>0</v>
      </c>
      <c r="L24" s="36"/>
      <c r="M24" s="11">
        <v>43047.56</v>
      </c>
      <c r="N24" s="11">
        <v>37432.66086956521</v>
      </c>
      <c r="O24" s="11">
        <v>10656.719999999998</v>
      </c>
      <c r="P24" s="8">
        <v>1444</v>
      </c>
      <c r="Q24" s="11">
        <v>26775.94086956522</v>
      </c>
      <c r="R24" s="11">
        <v>29.811329639889195</v>
      </c>
      <c r="S24" s="11">
        <v>25.922895339034078</v>
      </c>
      <c r="T24" s="11">
        <v>7.3799999999999981</v>
      </c>
      <c r="U24" s="14">
        <v>71.530957852198824</v>
      </c>
      <c r="V24" s="36">
        <f>IFERROR(LOOKUP($C24,#REF!,#REF!),0)</f>
        <v>0</v>
      </c>
      <c r="W24" s="36">
        <f>IFERROR(LOOKUP($C24,#REF!,#REF!),0)</f>
        <v>0</v>
      </c>
      <c r="X24" s="36">
        <f>IFERROR(LOOKUP($C24,#REF!,#REF!),0)</f>
        <v>0</v>
      </c>
      <c r="Y24" s="36">
        <f>IFERROR(LOOKUP($C24,#REF!,#REF!),0)</f>
        <v>0</v>
      </c>
    </row>
    <row r="25" spans="1:25" ht="16.5" customHeight="1" x14ac:dyDescent="0.35">
      <c r="A25" s="3" t="s">
        <v>14</v>
      </c>
      <c r="B25" s="4">
        <v>102</v>
      </c>
      <c r="C25" s="5">
        <v>32869</v>
      </c>
      <c r="D25" s="3" t="s">
        <v>139</v>
      </c>
      <c r="E25" s="6">
        <v>3.5</v>
      </c>
      <c r="F25" s="16">
        <v>2.12</v>
      </c>
      <c r="G25" s="51">
        <v>0</v>
      </c>
      <c r="H25" s="52">
        <f t="shared" si="0"/>
        <v>0</v>
      </c>
      <c r="I25" s="52">
        <f t="shared" si="1"/>
        <v>0</v>
      </c>
      <c r="J25" s="52">
        <f t="shared" si="2"/>
        <v>0</v>
      </c>
      <c r="K25" s="53">
        <f t="shared" si="3"/>
        <v>0</v>
      </c>
      <c r="L25" s="36"/>
      <c r="M25" s="11">
        <v>37227.340000000011</v>
      </c>
      <c r="N25" s="11">
        <v>32371.599999999995</v>
      </c>
      <c r="O25" s="11">
        <v>13136.640000000001</v>
      </c>
      <c r="P25" s="8">
        <v>1866</v>
      </c>
      <c r="Q25" s="11">
        <v>19234.960000000014</v>
      </c>
      <c r="R25" s="11">
        <v>19.95034297963559</v>
      </c>
      <c r="S25" s="11">
        <v>17.348124330117898</v>
      </c>
      <c r="T25" s="11">
        <v>7.0400000000000009</v>
      </c>
      <c r="U25" s="14">
        <v>59.419244028716548</v>
      </c>
      <c r="V25" s="36">
        <f>IFERROR(LOOKUP($C25,#REF!,#REF!),0)</f>
        <v>0</v>
      </c>
      <c r="W25" s="36">
        <f>IFERROR(LOOKUP($C25,#REF!,#REF!),0)</f>
        <v>0</v>
      </c>
      <c r="X25" s="36">
        <f>IFERROR(LOOKUP($C25,#REF!,#REF!),0)</f>
        <v>0</v>
      </c>
      <c r="Y25" s="36">
        <f>IFERROR(LOOKUP($C25,#REF!,#REF!),0)</f>
        <v>0</v>
      </c>
    </row>
    <row r="26" spans="1:25" ht="16.5" customHeight="1" x14ac:dyDescent="0.35">
      <c r="A26" s="3" t="s">
        <v>14</v>
      </c>
      <c r="B26" s="4">
        <v>101</v>
      </c>
      <c r="C26" s="5">
        <v>32871</v>
      </c>
      <c r="D26" s="3" t="s">
        <v>73</v>
      </c>
      <c r="E26" s="6">
        <v>8.99</v>
      </c>
      <c r="F26" s="16">
        <v>5</v>
      </c>
      <c r="G26" s="51">
        <v>0</v>
      </c>
      <c r="H26" s="52">
        <f t="shared" si="0"/>
        <v>0</v>
      </c>
      <c r="I26" s="52">
        <f t="shared" si="1"/>
        <v>0</v>
      </c>
      <c r="J26" s="52">
        <f t="shared" si="2"/>
        <v>0</v>
      </c>
      <c r="K26" s="53">
        <f t="shared" si="3"/>
        <v>0</v>
      </c>
      <c r="L26" s="36"/>
      <c r="M26" s="11">
        <v>35786.65</v>
      </c>
      <c r="N26" s="11">
        <v>31118.82608695652</v>
      </c>
      <c r="O26" s="11">
        <v>20735</v>
      </c>
      <c r="P26" s="8">
        <v>1885</v>
      </c>
      <c r="Q26" s="11">
        <v>10383.826086956524</v>
      </c>
      <c r="R26" s="11">
        <v>18.984960212201592</v>
      </c>
      <c r="S26" s="11">
        <v>16.508661054088339</v>
      </c>
      <c r="T26" s="11">
        <v>11</v>
      </c>
      <c r="U26" s="14">
        <v>33.368309132036671</v>
      </c>
      <c r="V26" s="36">
        <f>IFERROR(LOOKUP($C26,#REF!,#REF!),0)</f>
        <v>0</v>
      </c>
      <c r="W26" s="36">
        <f>IFERROR(LOOKUP($C26,#REF!,#REF!),0)</f>
        <v>0</v>
      </c>
      <c r="X26" s="36">
        <f>IFERROR(LOOKUP($C26,#REF!,#REF!),0)</f>
        <v>0</v>
      </c>
      <c r="Y26" s="36">
        <f>IFERROR(LOOKUP($C26,#REF!,#REF!),0)</f>
        <v>0</v>
      </c>
    </row>
    <row r="27" spans="1:25" ht="16.5" customHeight="1" x14ac:dyDescent="0.35">
      <c r="A27" s="3" t="s">
        <v>14</v>
      </c>
      <c r="B27" s="4">
        <v>102</v>
      </c>
      <c r="C27" s="5">
        <v>32872</v>
      </c>
      <c r="D27" s="3" t="s">
        <v>98</v>
      </c>
      <c r="E27" s="6">
        <v>29.99</v>
      </c>
      <c r="F27" s="16">
        <v>11.79</v>
      </c>
      <c r="G27" s="51">
        <v>8</v>
      </c>
      <c r="H27" s="52">
        <f t="shared" si="0"/>
        <v>239.92</v>
      </c>
      <c r="I27" s="52">
        <f t="shared" si="1"/>
        <v>94.32</v>
      </c>
      <c r="J27" s="52">
        <f t="shared" si="2"/>
        <v>145.6</v>
      </c>
      <c r="K27" s="53">
        <f t="shared" si="3"/>
        <v>60.686895631877292</v>
      </c>
      <c r="L27" s="36"/>
      <c r="M27" s="11">
        <v>35280</v>
      </c>
      <c r="N27" s="11">
        <v>30678.260869565216</v>
      </c>
      <c r="O27" s="11">
        <v>19576.2</v>
      </c>
      <c r="P27" s="8">
        <v>590</v>
      </c>
      <c r="Q27" s="11">
        <v>11102.060869565219</v>
      </c>
      <c r="R27" s="11">
        <v>59.796610169491522</v>
      </c>
      <c r="S27" s="11">
        <v>51.997052321296977</v>
      </c>
      <c r="T27" s="11">
        <v>33.18</v>
      </c>
      <c r="U27" s="14">
        <v>36.18869047619048</v>
      </c>
      <c r="V27" s="36">
        <f>IFERROR(LOOKUP($C27,#REF!,#REF!),0)</f>
        <v>0</v>
      </c>
      <c r="W27" s="36">
        <f>IFERROR(LOOKUP($C27,#REF!,#REF!),0)</f>
        <v>0</v>
      </c>
      <c r="X27" s="36">
        <f>IFERROR(LOOKUP($C27,#REF!,#REF!),0)</f>
        <v>0</v>
      </c>
      <c r="Y27" s="36">
        <f>IFERROR(LOOKUP($C27,#REF!,#REF!),0)</f>
        <v>0</v>
      </c>
    </row>
    <row r="28" spans="1:25" ht="16.5" customHeight="1" x14ac:dyDescent="0.35">
      <c r="A28" s="3" t="s">
        <v>14</v>
      </c>
      <c r="B28" s="4">
        <v>102</v>
      </c>
      <c r="C28" s="5">
        <v>33012</v>
      </c>
      <c r="D28" s="3" t="s">
        <v>149</v>
      </c>
      <c r="E28" s="6">
        <v>47.99</v>
      </c>
      <c r="F28" s="16">
        <v>27.08</v>
      </c>
      <c r="G28" s="51">
        <v>0</v>
      </c>
      <c r="H28" s="52">
        <f t="shared" si="0"/>
        <v>0</v>
      </c>
      <c r="I28" s="52">
        <f t="shared" si="1"/>
        <v>0</v>
      </c>
      <c r="J28" s="52">
        <f t="shared" si="2"/>
        <v>0</v>
      </c>
      <c r="K28" s="53">
        <f t="shared" si="3"/>
        <v>0</v>
      </c>
      <c r="L28" s="36"/>
      <c r="M28" s="11">
        <v>34637.33</v>
      </c>
      <c r="N28" s="11">
        <v>30119.417391304345</v>
      </c>
      <c r="O28" s="11">
        <v>17468.530000000002</v>
      </c>
      <c r="P28" s="8">
        <v>1937</v>
      </c>
      <c r="Q28" s="11">
        <v>12650.887391304346</v>
      </c>
      <c r="R28" s="11">
        <v>17.881946308724832</v>
      </c>
      <c r="S28" s="11">
        <v>15.54951852932594</v>
      </c>
      <c r="T28" s="11">
        <v>9.0183427981414575</v>
      </c>
      <c r="U28" s="14">
        <v>42.002430614599909</v>
      </c>
      <c r="V28" s="36">
        <f>IFERROR(LOOKUP($C28,#REF!,#REF!),0)</f>
        <v>0</v>
      </c>
      <c r="W28" s="36">
        <f>IFERROR(LOOKUP($C28,#REF!,#REF!),0)</f>
        <v>0</v>
      </c>
      <c r="X28" s="36">
        <f>IFERROR(LOOKUP($C28,#REF!,#REF!),0)</f>
        <v>0</v>
      </c>
      <c r="Y28" s="36">
        <f>IFERROR(LOOKUP($C28,#REF!,#REF!),0)</f>
        <v>0</v>
      </c>
    </row>
    <row r="29" spans="1:25" ht="16.5" customHeight="1" x14ac:dyDescent="0.35">
      <c r="A29" s="3" t="s">
        <v>14</v>
      </c>
      <c r="B29" s="4">
        <v>102</v>
      </c>
      <c r="C29" s="5">
        <v>33013</v>
      </c>
      <c r="D29" s="3" t="s">
        <v>148</v>
      </c>
      <c r="E29" s="6">
        <v>5.99</v>
      </c>
      <c r="F29" s="16">
        <v>3.1</v>
      </c>
      <c r="G29" s="51">
        <v>0</v>
      </c>
      <c r="H29" s="52">
        <f t="shared" si="0"/>
        <v>0</v>
      </c>
      <c r="I29" s="52">
        <f t="shared" si="1"/>
        <v>0</v>
      </c>
      <c r="J29" s="52">
        <f t="shared" si="2"/>
        <v>0</v>
      </c>
      <c r="K29" s="53">
        <f t="shared" si="3"/>
        <v>0</v>
      </c>
      <c r="L29" s="36"/>
      <c r="M29" s="11">
        <v>34544.649999999994</v>
      </c>
      <c r="N29" s="11">
        <v>30038.82608695652</v>
      </c>
      <c r="O29" s="11">
        <v>11082.6</v>
      </c>
      <c r="P29" s="8">
        <v>940</v>
      </c>
      <c r="Q29" s="11">
        <v>18956.226086956514</v>
      </c>
      <c r="R29" s="11">
        <v>36.749627659574465</v>
      </c>
      <c r="S29" s="11">
        <v>31.956197964847362</v>
      </c>
      <c r="T29" s="11">
        <v>11.790000000000001</v>
      </c>
      <c r="U29" s="14">
        <v>63.105748647040848</v>
      </c>
      <c r="V29" s="36">
        <f>IFERROR(LOOKUP($C29,#REF!,#REF!),0)</f>
        <v>0</v>
      </c>
      <c r="W29" s="36">
        <f>IFERROR(LOOKUP($C29,#REF!,#REF!),0)</f>
        <v>0</v>
      </c>
      <c r="X29" s="36">
        <f>IFERROR(LOOKUP($C29,#REF!,#REF!),0)</f>
        <v>0</v>
      </c>
      <c r="Y29" s="36">
        <f>IFERROR(LOOKUP($C29,#REF!,#REF!),0)</f>
        <v>0</v>
      </c>
    </row>
    <row r="30" spans="1:25" ht="16.5" customHeight="1" x14ac:dyDescent="0.35">
      <c r="A30" s="3" t="s">
        <v>14</v>
      </c>
      <c r="B30" s="4">
        <v>119</v>
      </c>
      <c r="C30" s="5">
        <v>33017</v>
      </c>
      <c r="D30" s="3" t="s">
        <v>277</v>
      </c>
      <c r="E30" s="6">
        <v>69.989999999999995</v>
      </c>
      <c r="F30" s="16">
        <v>32.450000000000003</v>
      </c>
      <c r="G30" s="51">
        <v>0</v>
      </c>
      <c r="H30" s="52">
        <f t="shared" si="0"/>
        <v>0</v>
      </c>
      <c r="I30" s="52">
        <f t="shared" si="1"/>
        <v>0</v>
      </c>
      <c r="J30" s="52">
        <f t="shared" si="2"/>
        <v>0</v>
      </c>
      <c r="K30" s="53">
        <f t="shared" si="3"/>
        <v>0</v>
      </c>
      <c r="L30" s="36"/>
      <c r="M30" s="11">
        <v>34032.75</v>
      </c>
      <c r="N30" s="11">
        <v>29593.695652173916</v>
      </c>
      <c r="O30" s="11">
        <v>13707.18</v>
      </c>
      <c r="P30" s="8">
        <v>1626</v>
      </c>
      <c r="Q30" s="11">
        <v>15886.515652173915</v>
      </c>
      <c r="R30" s="11">
        <v>20.930350553505534</v>
      </c>
      <c r="S30" s="11">
        <v>18.200304829135248</v>
      </c>
      <c r="T30" s="11">
        <v>8.43</v>
      </c>
      <c r="U30" s="14">
        <v>53.682094453137054</v>
      </c>
      <c r="V30" s="36">
        <f>IFERROR(LOOKUP($C30,#REF!,#REF!),0)</f>
        <v>0</v>
      </c>
      <c r="W30" s="36">
        <f>IFERROR(LOOKUP($C30,#REF!,#REF!),0)</f>
        <v>0</v>
      </c>
      <c r="X30" s="36">
        <f>IFERROR(LOOKUP($C30,#REF!,#REF!),0)</f>
        <v>0</v>
      </c>
      <c r="Y30" s="36">
        <f>IFERROR(LOOKUP($C30,#REF!,#REF!),0)</f>
        <v>0</v>
      </c>
    </row>
    <row r="31" spans="1:25" ht="16.5" customHeight="1" x14ac:dyDescent="0.35">
      <c r="A31" s="3" t="s">
        <v>14</v>
      </c>
      <c r="B31" s="4">
        <v>102</v>
      </c>
      <c r="C31" s="5">
        <v>33019</v>
      </c>
      <c r="D31" s="3" t="s">
        <v>112</v>
      </c>
      <c r="E31" s="6">
        <v>14.99</v>
      </c>
      <c r="F31" s="16">
        <v>5.5</v>
      </c>
      <c r="G31" s="51">
        <v>0</v>
      </c>
      <c r="H31" s="52">
        <f t="shared" si="0"/>
        <v>0</v>
      </c>
      <c r="I31" s="52">
        <f t="shared" si="1"/>
        <v>0</v>
      </c>
      <c r="J31" s="52">
        <f t="shared" si="2"/>
        <v>0</v>
      </c>
      <c r="K31" s="53">
        <f t="shared" si="3"/>
        <v>0</v>
      </c>
      <c r="L31" s="36"/>
      <c r="M31" s="11">
        <v>32682.93</v>
      </c>
      <c r="N31" s="11">
        <v>28419.939130434785</v>
      </c>
      <c r="O31" s="11">
        <v>13422.095279999996</v>
      </c>
      <c r="P31" s="8">
        <v>2729</v>
      </c>
      <c r="Q31" s="11">
        <v>14997.843850434789</v>
      </c>
      <c r="R31" s="11">
        <v>11.976156101135947</v>
      </c>
      <c r="S31" s="11">
        <v>10.414048783596476</v>
      </c>
      <c r="T31" s="11">
        <v>4.9183199999999987</v>
      </c>
      <c r="U31" s="14">
        <v>52.772258876422661</v>
      </c>
      <c r="V31" s="36">
        <f>IFERROR(LOOKUP($C31,#REF!,#REF!),0)</f>
        <v>0</v>
      </c>
      <c r="W31" s="36">
        <f>IFERROR(LOOKUP($C31,#REF!,#REF!),0)</f>
        <v>0</v>
      </c>
      <c r="X31" s="36">
        <f>IFERROR(LOOKUP($C31,#REF!,#REF!),0)</f>
        <v>0</v>
      </c>
      <c r="Y31" s="36">
        <f>IFERROR(LOOKUP($C31,#REF!,#REF!),0)</f>
        <v>0</v>
      </c>
    </row>
    <row r="32" spans="1:25" ht="16.5" customHeight="1" x14ac:dyDescent="0.35">
      <c r="A32" s="3" t="s">
        <v>14</v>
      </c>
      <c r="B32" s="4">
        <v>118</v>
      </c>
      <c r="C32" s="5">
        <v>33021</v>
      </c>
      <c r="D32" s="3" t="s">
        <v>263</v>
      </c>
      <c r="E32" s="6">
        <v>130</v>
      </c>
      <c r="F32" s="16">
        <v>64.900000000000006</v>
      </c>
      <c r="G32" s="51">
        <v>0</v>
      </c>
      <c r="H32" s="52">
        <f t="shared" si="0"/>
        <v>0</v>
      </c>
      <c r="I32" s="52">
        <f t="shared" si="1"/>
        <v>0</v>
      </c>
      <c r="J32" s="52">
        <f t="shared" si="2"/>
        <v>0</v>
      </c>
      <c r="K32" s="53">
        <f t="shared" si="3"/>
        <v>0</v>
      </c>
      <c r="L32" s="36"/>
      <c r="M32" s="11">
        <v>32682.93</v>
      </c>
      <c r="N32" s="11">
        <v>28419.939130434785</v>
      </c>
      <c r="O32" s="11">
        <v>13422.095279999996</v>
      </c>
      <c r="P32" s="8">
        <v>2729</v>
      </c>
      <c r="Q32" s="11">
        <v>14997.843850434789</v>
      </c>
      <c r="R32" s="11">
        <v>11.976156101135947</v>
      </c>
      <c r="S32" s="11">
        <v>10.414048783596476</v>
      </c>
      <c r="T32" s="11">
        <v>4.9183199999999987</v>
      </c>
      <c r="U32" s="14">
        <v>52.772258876422661</v>
      </c>
      <c r="V32" s="36">
        <f>IFERROR(LOOKUP($C32,#REF!,#REF!),0)</f>
        <v>0</v>
      </c>
      <c r="W32" s="36">
        <f>IFERROR(LOOKUP($C32,#REF!,#REF!),0)</f>
        <v>0</v>
      </c>
      <c r="X32" s="36">
        <f>IFERROR(LOOKUP($C32,#REF!,#REF!),0)</f>
        <v>0</v>
      </c>
      <c r="Y32" s="36">
        <f>IFERROR(LOOKUP($C32,#REF!,#REF!),0)</f>
        <v>0</v>
      </c>
    </row>
    <row r="33" spans="1:25" ht="16.5" customHeight="1" x14ac:dyDescent="0.35">
      <c r="A33" s="3" t="s">
        <v>14</v>
      </c>
      <c r="B33" s="4">
        <v>102</v>
      </c>
      <c r="C33" s="5">
        <v>33023</v>
      </c>
      <c r="D33" s="3" t="s">
        <v>113</v>
      </c>
      <c r="E33" s="6">
        <v>19.989999999999998</v>
      </c>
      <c r="F33" s="16">
        <v>10.23</v>
      </c>
      <c r="G33" s="51">
        <v>0</v>
      </c>
      <c r="H33" s="52">
        <f t="shared" si="0"/>
        <v>0</v>
      </c>
      <c r="I33" s="52">
        <f t="shared" si="1"/>
        <v>0</v>
      </c>
      <c r="J33" s="52">
        <f t="shared" si="2"/>
        <v>0</v>
      </c>
      <c r="K33" s="53">
        <f t="shared" si="3"/>
        <v>0</v>
      </c>
      <c r="L33" s="36"/>
      <c r="M33" s="11">
        <v>31987.21</v>
      </c>
      <c r="N33" s="11">
        <v>27814.965217391309</v>
      </c>
      <c r="O33" s="11">
        <v>16688.05</v>
      </c>
      <c r="P33" s="8">
        <v>2465</v>
      </c>
      <c r="Q33" s="11">
        <v>11126.915217391303</v>
      </c>
      <c r="R33" s="11">
        <v>12.976555780933063</v>
      </c>
      <c r="S33" s="11">
        <v>11.283961548637448</v>
      </c>
      <c r="T33" s="11">
        <v>6.77</v>
      </c>
      <c r="U33" s="14">
        <v>40.003340397615169</v>
      </c>
      <c r="V33" s="36">
        <f>IFERROR(LOOKUP($C33,#REF!,#REF!),0)</f>
        <v>0</v>
      </c>
      <c r="W33" s="36">
        <f>IFERROR(LOOKUP($C33,#REF!,#REF!),0)</f>
        <v>0</v>
      </c>
      <c r="X33" s="36">
        <f>IFERROR(LOOKUP($C33,#REF!,#REF!),0)</f>
        <v>0</v>
      </c>
      <c r="Y33" s="36">
        <f>IFERROR(LOOKUP($C33,#REF!,#REF!),0)</f>
        <v>0</v>
      </c>
    </row>
    <row r="34" spans="1:25" ht="16.5" customHeight="1" x14ac:dyDescent="0.35">
      <c r="A34" s="3" t="s">
        <v>14</v>
      </c>
      <c r="B34" s="4">
        <v>102</v>
      </c>
      <c r="C34" s="5">
        <v>33025</v>
      </c>
      <c r="D34" s="3" t="s">
        <v>121</v>
      </c>
      <c r="E34" s="6">
        <v>5.99</v>
      </c>
      <c r="F34" s="16">
        <v>2.95</v>
      </c>
      <c r="G34" s="51">
        <v>0</v>
      </c>
      <c r="H34" s="52">
        <f t="shared" si="0"/>
        <v>0</v>
      </c>
      <c r="I34" s="52">
        <f t="shared" si="1"/>
        <v>0</v>
      </c>
      <c r="J34" s="52">
        <f t="shared" si="2"/>
        <v>0</v>
      </c>
      <c r="K34" s="53">
        <f t="shared" si="3"/>
        <v>0</v>
      </c>
      <c r="L34" s="36"/>
      <c r="M34" s="11">
        <v>30559.729999999996</v>
      </c>
      <c r="N34" s="11">
        <v>26573.678260869568</v>
      </c>
      <c r="O34" s="11">
        <v>18564</v>
      </c>
      <c r="P34" s="8">
        <v>1547</v>
      </c>
      <c r="Q34" s="11">
        <v>8009.6782608695576</v>
      </c>
      <c r="R34" s="11">
        <v>19.754188752424042</v>
      </c>
      <c r="S34" s="11">
        <v>17.177555436890476</v>
      </c>
      <c r="T34" s="11">
        <v>12</v>
      </c>
      <c r="U34" s="14">
        <v>30.14139850057574</v>
      </c>
      <c r="V34" s="36">
        <f>IFERROR(LOOKUP($C34,#REF!,#REF!),0)</f>
        <v>0</v>
      </c>
      <c r="W34" s="36">
        <f>IFERROR(LOOKUP($C34,#REF!,#REF!),0)</f>
        <v>0</v>
      </c>
      <c r="X34" s="36">
        <f>IFERROR(LOOKUP($C34,#REF!,#REF!),0)</f>
        <v>0</v>
      </c>
      <c r="Y34" s="36">
        <f>IFERROR(LOOKUP($C34,#REF!,#REF!),0)</f>
        <v>0</v>
      </c>
    </row>
    <row r="35" spans="1:25" ht="16.5" customHeight="1" x14ac:dyDescent="0.35">
      <c r="A35" s="3" t="s">
        <v>14</v>
      </c>
      <c r="B35" s="4">
        <v>101</v>
      </c>
      <c r="C35" s="5">
        <v>33027</v>
      </c>
      <c r="D35" s="3" t="s">
        <v>85</v>
      </c>
      <c r="E35" s="6">
        <v>19.989999999999998</v>
      </c>
      <c r="F35" s="16">
        <v>7.94</v>
      </c>
      <c r="G35" s="51">
        <v>0</v>
      </c>
      <c r="H35" s="52">
        <f t="shared" si="0"/>
        <v>0</v>
      </c>
      <c r="I35" s="52">
        <f t="shared" si="1"/>
        <v>0</v>
      </c>
      <c r="J35" s="52">
        <f t="shared" si="2"/>
        <v>0</v>
      </c>
      <c r="K35" s="53">
        <f t="shared" si="3"/>
        <v>0</v>
      </c>
      <c r="L35" s="36"/>
      <c r="M35" s="11">
        <v>29958.480000000003</v>
      </c>
      <c r="N35" s="11">
        <v>26050.852173913048</v>
      </c>
      <c r="O35" s="11">
        <v>14368.679999999997</v>
      </c>
      <c r="P35" s="8">
        <v>1002</v>
      </c>
      <c r="Q35" s="11">
        <v>11682.172173913048</v>
      </c>
      <c r="R35" s="11">
        <v>29.898682634730541</v>
      </c>
      <c r="S35" s="11">
        <v>25.998854464983083</v>
      </c>
      <c r="T35" s="11">
        <v>14.339999999999996</v>
      </c>
      <c r="U35" s="14">
        <v>44.843723713619667</v>
      </c>
      <c r="V35" s="36">
        <f>IFERROR(LOOKUP($C35,#REF!,#REF!),0)</f>
        <v>0</v>
      </c>
      <c r="W35" s="36">
        <f>IFERROR(LOOKUP($C35,#REF!,#REF!),0)</f>
        <v>0</v>
      </c>
      <c r="X35" s="36">
        <f>IFERROR(LOOKUP($C35,#REF!,#REF!),0)</f>
        <v>0</v>
      </c>
      <c r="Y35" s="36">
        <f>IFERROR(LOOKUP($C35,#REF!,#REF!),0)</f>
        <v>0</v>
      </c>
    </row>
    <row r="36" spans="1:25" ht="16.5" customHeight="1" x14ac:dyDescent="0.35">
      <c r="A36" s="3" t="s">
        <v>14</v>
      </c>
      <c r="B36" s="4">
        <v>102</v>
      </c>
      <c r="C36" s="5">
        <v>33031</v>
      </c>
      <c r="D36" s="3" t="s">
        <v>97</v>
      </c>
      <c r="E36" s="6">
        <v>17.989999999999998</v>
      </c>
      <c r="F36" s="16">
        <v>9.1199999999999992</v>
      </c>
      <c r="G36" s="51">
        <v>8</v>
      </c>
      <c r="H36" s="52">
        <f t="shared" si="0"/>
        <v>143.91999999999999</v>
      </c>
      <c r="I36" s="52">
        <f t="shared" si="1"/>
        <v>72.959999999999994</v>
      </c>
      <c r="J36" s="52">
        <f t="shared" si="2"/>
        <v>70.959999999999994</v>
      </c>
      <c r="K36" s="53">
        <f t="shared" si="3"/>
        <v>49.305169538632576</v>
      </c>
      <c r="L36" s="36"/>
      <c r="M36" s="11">
        <v>29918.5</v>
      </c>
      <c r="N36" s="11">
        <v>26016.086956521744</v>
      </c>
      <c r="O36" s="11">
        <v>15259.82</v>
      </c>
      <c r="P36" s="8">
        <v>2998</v>
      </c>
      <c r="Q36" s="11">
        <v>10756.26695652174</v>
      </c>
      <c r="R36" s="11">
        <v>9.9794863242161433</v>
      </c>
      <c r="S36" s="11">
        <v>8.6778141949705621</v>
      </c>
      <c r="T36" s="11">
        <v>5.09</v>
      </c>
      <c r="U36" s="14">
        <v>41.344676370807363</v>
      </c>
      <c r="V36" s="36">
        <f>IFERROR(LOOKUP($C36,#REF!,#REF!),0)</f>
        <v>0</v>
      </c>
      <c r="W36" s="36">
        <f>IFERROR(LOOKUP($C36,#REF!,#REF!),0)</f>
        <v>0</v>
      </c>
      <c r="X36" s="36">
        <f>IFERROR(LOOKUP($C36,#REF!,#REF!),0)</f>
        <v>0</v>
      </c>
      <c r="Y36" s="36">
        <f>IFERROR(LOOKUP($C36,#REF!,#REF!),0)</f>
        <v>0</v>
      </c>
    </row>
    <row r="37" spans="1:25" ht="16.5" customHeight="1" x14ac:dyDescent="0.35">
      <c r="A37" s="3" t="s">
        <v>14</v>
      </c>
      <c r="B37" s="4">
        <v>102</v>
      </c>
      <c r="C37" s="5">
        <v>33036</v>
      </c>
      <c r="D37" s="3" t="s">
        <v>119</v>
      </c>
      <c r="E37" s="6">
        <v>400</v>
      </c>
      <c r="F37" s="16">
        <v>204.01</v>
      </c>
      <c r="G37" s="51">
        <v>0</v>
      </c>
      <c r="H37" s="52">
        <f t="shared" si="0"/>
        <v>0</v>
      </c>
      <c r="I37" s="52">
        <f t="shared" si="1"/>
        <v>0</v>
      </c>
      <c r="J37" s="52">
        <f t="shared" si="2"/>
        <v>0</v>
      </c>
      <c r="K37" s="53">
        <f t="shared" si="3"/>
        <v>0</v>
      </c>
      <c r="L37" s="36"/>
      <c r="M37" s="11">
        <v>29021.47</v>
      </c>
      <c r="N37" s="11">
        <v>25236.060869565223</v>
      </c>
      <c r="O37" s="11">
        <v>14751.599999999997</v>
      </c>
      <c r="P37" s="8">
        <v>3235</v>
      </c>
      <c r="Q37" s="11">
        <v>10484.460869565222</v>
      </c>
      <c r="R37" s="11">
        <v>8.9710880989180843</v>
      </c>
      <c r="S37" s="11">
        <v>7.8009461729722478</v>
      </c>
      <c r="T37" s="11">
        <v>4.5599999999999987</v>
      </c>
      <c r="U37" s="14">
        <v>41.545552310065631</v>
      </c>
      <c r="V37" s="36">
        <f>IFERROR(LOOKUP($C37,#REF!,#REF!),0)</f>
        <v>0</v>
      </c>
      <c r="W37" s="36">
        <f>IFERROR(LOOKUP($C37,#REF!,#REF!),0)</f>
        <v>0</v>
      </c>
      <c r="X37" s="36">
        <f>IFERROR(LOOKUP($C37,#REF!,#REF!),0)</f>
        <v>0</v>
      </c>
      <c r="Y37" s="36">
        <f>IFERROR(LOOKUP($C37,#REF!,#REF!),0)</f>
        <v>0</v>
      </c>
    </row>
    <row r="38" spans="1:25" ht="16.5" customHeight="1" x14ac:dyDescent="0.35">
      <c r="A38" s="3" t="s">
        <v>14</v>
      </c>
      <c r="B38" s="4">
        <v>119</v>
      </c>
      <c r="C38" s="5">
        <v>33037</v>
      </c>
      <c r="D38" s="3" t="s">
        <v>274</v>
      </c>
      <c r="E38" s="6">
        <v>59.99</v>
      </c>
      <c r="F38" s="16">
        <v>23.44</v>
      </c>
      <c r="G38" s="51">
        <v>0</v>
      </c>
      <c r="H38" s="52">
        <f t="shared" si="0"/>
        <v>0</v>
      </c>
      <c r="I38" s="52">
        <f t="shared" si="1"/>
        <v>0</v>
      </c>
      <c r="J38" s="52">
        <f t="shared" si="2"/>
        <v>0</v>
      </c>
      <c r="K38" s="53">
        <f t="shared" si="3"/>
        <v>0</v>
      </c>
      <c r="L38" s="36"/>
      <c r="M38" s="11">
        <v>27072.79</v>
      </c>
      <c r="N38" s="11">
        <v>23541.556521739138</v>
      </c>
      <c r="O38" s="11">
        <v>12664.360000000004</v>
      </c>
      <c r="P38" s="8">
        <v>796</v>
      </c>
      <c r="Q38" s="11">
        <v>10877.196521739126</v>
      </c>
      <c r="R38" s="11">
        <v>34.011042713567839</v>
      </c>
      <c r="S38" s="11">
        <v>29.574819750928565</v>
      </c>
      <c r="T38" s="11">
        <v>15.910000000000005</v>
      </c>
      <c r="U38" s="14">
        <v>46.204236800122914</v>
      </c>
      <c r="V38" s="36">
        <f>IFERROR(LOOKUP($C38,#REF!,#REF!),0)</f>
        <v>0</v>
      </c>
      <c r="W38" s="36">
        <f>IFERROR(LOOKUP($C38,#REF!,#REF!),0)</f>
        <v>0</v>
      </c>
      <c r="X38" s="36">
        <f>IFERROR(LOOKUP($C38,#REF!,#REF!),0)</f>
        <v>0</v>
      </c>
      <c r="Y38" s="36">
        <f>IFERROR(LOOKUP($C38,#REF!,#REF!),0)</f>
        <v>0</v>
      </c>
    </row>
    <row r="39" spans="1:25" ht="16.5" customHeight="1" x14ac:dyDescent="0.35">
      <c r="A39" s="3" t="s">
        <v>14</v>
      </c>
      <c r="B39" s="4">
        <v>119</v>
      </c>
      <c r="C39" s="5">
        <v>33038</v>
      </c>
      <c r="D39" s="3" t="s">
        <v>272</v>
      </c>
      <c r="E39" s="6">
        <v>35.99</v>
      </c>
      <c r="F39" s="16">
        <v>18</v>
      </c>
      <c r="G39" s="51">
        <v>0</v>
      </c>
      <c r="H39" s="52">
        <f t="shared" si="0"/>
        <v>0</v>
      </c>
      <c r="I39" s="52">
        <f t="shared" si="1"/>
        <v>0</v>
      </c>
      <c r="J39" s="52">
        <f t="shared" si="2"/>
        <v>0</v>
      </c>
      <c r="K39" s="53">
        <f t="shared" si="3"/>
        <v>0</v>
      </c>
      <c r="L39" s="36"/>
      <c r="M39" s="11">
        <v>26632.370000000003</v>
      </c>
      <c r="N39" s="11">
        <v>23158.582608695655</v>
      </c>
      <c r="O39" s="11">
        <v>10532.080000000002</v>
      </c>
      <c r="P39" s="8">
        <v>988</v>
      </c>
      <c r="Q39" s="11">
        <v>12626.502608695653</v>
      </c>
      <c r="R39" s="11">
        <v>26.955840080971662</v>
      </c>
      <c r="S39" s="11">
        <v>23.439860939975357</v>
      </c>
      <c r="T39" s="11">
        <v>10.660000000000002</v>
      </c>
      <c r="U39" s="14">
        <v>54.521914497282822</v>
      </c>
      <c r="V39" s="36">
        <f>IFERROR(LOOKUP($C39,#REF!,#REF!),0)</f>
        <v>0</v>
      </c>
      <c r="W39" s="36">
        <f>IFERROR(LOOKUP($C39,#REF!,#REF!),0)</f>
        <v>0</v>
      </c>
      <c r="X39" s="36">
        <f>IFERROR(LOOKUP($C39,#REF!,#REF!),0)</f>
        <v>0</v>
      </c>
      <c r="Y39" s="36">
        <f>IFERROR(LOOKUP($C39,#REF!,#REF!),0)</f>
        <v>0</v>
      </c>
    </row>
    <row r="40" spans="1:25" ht="16.5" customHeight="1" x14ac:dyDescent="0.35">
      <c r="A40" s="3" t="s">
        <v>14</v>
      </c>
      <c r="B40" s="4">
        <v>103</v>
      </c>
      <c r="C40" s="5">
        <v>33040</v>
      </c>
      <c r="D40" s="3" t="s">
        <v>210</v>
      </c>
      <c r="E40" s="6">
        <v>30</v>
      </c>
      <c r="F40" s="16">
        <v>18.260000000000002</v>
      </c>
      <c r="G40" s="51">
        <v>0</v>
      </c>
      <c r="H40" s="52">
        <f t="shared" si="0"/>
        <v>0</v>
      </c>
      <c r="I40" s="52">
        <f t="shared" si="1"/>
        <v>0</v>
      </c>
      <c r="J40" s="52">
        <f t="shared" si="2"/>
        <v>0</v>
      </c>
      <c r="K40" s="53">
        <f t="shared" si="3"/>
        <v>0</v>
      </c>
      <c r="L40" s="36"/>
      <c r="M40" s="11">
        <v>26328.23</v>
      </c>
      <c r="N40" s="11">
        <v>22894.113043478261</v>
      </c>
      <c r="O40" s="11">
        <v>15919.799999999997</v>
      </c>
      <c r="P40" s="8">
        <v>1014</v>
      </c>
      <c r="Q40" s="11">
        <v>6974.3130434782634</v>
      </c>
      <c r="R40" s="11">
        <v>25.964723865877712</v>
      </c>
      <c r="S40" s="11">
        <v>22.578020752937142</v>
      </c>
      <c r="T40" s="11">
        <v>15.699999999999998</v>
      </c>
      <c r="U40" s="14">
        <v>30.463346757453891</v>
      </c>
      <c r="V40" s="36">
        <f>IFERROR(LOOKUP($C40,#REF!,#REF!),0)</f>
        <v>0</v>
      </c>
      <c r="W40" s="36">
        <f>IFERROR(LOOKUP($C40,#REF!,#REF!),0)</f>
        <v>0</v>
      </c>
      <c r="X40" s="36">
        <f>IFERROR(LOOKUP($C40,#REF!,#REF!),0)</f>
        <v>0</v>
      </c>
      <c r="Y40" s="36">
        <f>IFERROR(LOOKUP($C40,#REF!,#REF!),0)</f>
        <v>0</v>
      </c>
    </row>
    <row r="41" spans="1:25" ht="16.5" customHeight="1" x14ac:dyDescent="0.35">
      <c r="A41" s="3" t="s">
        <v>14</v>
      </c>
      <c r="B41" s="4">
        <v>103</v>
      </c>
      <c r="C41" s="5">
        <v>33041</v>
      </c>
      <c r="D41" s="3" t="s">
        <v>222</v>
      </c>
      <c r="E41" s="6">
        <v>10</v>
      </c>
      <c r="F41" s="16">
        <v>1.5</v>
      </c>
      <c r="G41" s="51">
        <v>0</v>
      </c>
      <c r="H41" s="52">
        <f t="shared" si="0"/>
        <v>0</v>
      </c>
      <c r="I41" s="52">
        <f t="shared" si="1"/>
        <v>0</v>
      </c>
      <c r="J41" s="52">
        <f t="shared" si="2"/>
        <v>0</v>
      </c>
      <c r="K41" s="53">
        <f t="shared" si="3"/>
        <v>0</v>
      </c>
      <c r="L41" s="36"/>
      <c r="M41" s="11">
        <v>25419.74</v>
      </c>
      <c r="N41" s="11">
        <v>22104.121739130438</v>
      </c>
      <c r="O41" s="11">
        <v>18360.000000000004</v>
      </c>
      <c r="P41" s="8">
        <v>4250</v>
      </c>
      <c r="Q41" s="11">
        <v>3744.1217391304344</v>
      </c>
      <c r="R41" s="11">
        <v>5.9811152941176475</v>
      </c>
      <c r="S41" s="11">
        <v>5.200969820971868</v>
      </c>
      <c r="T41" s="11">
        <v>4.3200000000000012</v>
      </c>
      <c r="U41" s="14">
        <v>16.938568215095824</v>
      </c>
      <c r="V41" s="36">
        <f>IFERROR(LOOKUP($C41,#REF!,#REF!),0)</f>
        <v>0</v>
      </c>
      <c r="W41" s="36">
        <f>IFERROR(LOOKUP($C41,#REF!,#REF!),0)</f>
        <v>0</v>
      </c>
      <c r="X41" s="36">
        <f>IFERROR(LOOKUP($C41,#REF!,#REF!),0)</f>
        <v>0</v>
      </c>
      <c r="Y41" s="36">
        <f>IFERROR(LOOKUP($C41,#REF!,#REF!),0)</f>
        <v>0</v>
      </c>
    </row>
    <row r="42" spans="1:25" ht="16.5" customHeight="1" x14ac:dyDescent="0.35">
      <c r="A42" s="3" t="s">
        <v>14</v>
      </c>
      <c r="B42" s="4">
        <v>103</v>
      </c>
      <c r="C42" s="5">
        <v>33042</v>
      </c>
      <c r="D42" s="3" t="s">
        <v>214</v>
      </c>
      <c r="E42" s="6">
        <v>20</v>
      </c>
      <c r="F42" s="16">
        <v>10.23</v>
      </c>
      <c r="G42" s="51">
        <v>0</v>
      </c>
      <c r="H42" s="52">
        <f t="shared" si="0"/>
        <v>0</v>
      </c>
      <c r="I42" s="52">
        <f t="shared" si="1"/>
        <v>0</v>
      </c>
      <c r="J42" s="52">
        <f t="shared" si="2"/>
        <v>0</v>
      </c>
      <c r="K42" s="53">
        <f t="shared" si="3"/>
        <v>0</v>
      </c>
      <c r="L42" s="36"/>
      <c r="M42" s="11">
        <v>24134.15</v>
      </c>
      <c r="N42" s="11">
        <v>20986.217391304344</v>
      </c>
      <c r="O42" s="11">
        <v>10644.800000000003</v>
      </c>
      <c r="P42" s="8">
        <v>2558</v>
      </c>
      <c r="Q42" s="11">
        <v>10341.417391304345</v>
      </c>
      <c r="R42" s="11">
        <v>9.4347732603596572</v>
      </c>
      <c r="S42" s="11">
        <v>8.2041506611823074</v>
      </c>
      <c r="T42" s="11">
        <v>4.1613760750586408</v>
      </c>
      <c r="U42" s="14">
        <v>49.277186062073852</v>
      </c>
      <c r="V42" s="36">
        <f>IFERROR(LOOKUP($C42,#REF!,#REF!),0)</f>
        <v>0</v>
      </c>
      <c r="W42" s="36">
        <f>IFERROR(LOOKUP($C42,#REF!,#REF!),0)</f>
        <v>0</v>
      </c>
      <c r="X42" s="36">
        <f>IFERROR(LOOKUP($C42,#REF!,#REF!),0)</f>
        <v>0</v>
      </c>
      <c r="Y42" s="36">
        <f>IFERROR(LOOKUP($C42,#REF!,#REF!),0)</f>
        <v>0</v>
      </c>
    </row>
    <row r="43" spans="1:25" ht="16.5" customHeight="1" x14ac:dyDescent="0.35">
      <c r="A43" s="3" t="s">
        <v>14</v>
      </c>
      <c r="B43" s="4">
        <v>103</v>
      </c>
      <c r="C43" s="5">
        <v>33043</v>
      </c>
      <c r="D43" s="3" t="s">
        <v>223</v>
      </c>
      <c r="E43" s="6">
        <v>15</v>
      </c>
      <c r="F43" s="16">
        <v>4.26</v>
      </c>
      <c r="G43" s="51">
        <v>0</v>
      </c>
      <c r="H43" s="52">
        <f t="shared" si="0"/>
        <v>0</v>
      </c>
      <c r="I43" s="52">
        <f t="shared" si="1"/>
        <v>0</v>
      </c>
      <c r="J43" s="52">
        <f t="shared" si="2"/>
        <v>0</v>
      </c>
      <c r="K43" s="53">
        <f t="shared" si="3"/>
        <v>0</v>
      </c>
      <c r="L43" s="36"/>
      <c r="M43" s="11">
        <v>22560</v>
      </c>
      <c r="N43" s="11">
        <v>19617.391304347824</v>
      </c>
      <c r="O43" s="11">
        <v>11744.36</v>
      </c>
      <c r="P43" s="8">
        <v>188</v>
      </c>
      <c r="Q43" s="11">
        <v>7873.0313043478236</v>
      </c>
      <c r="R43" s="11">
        <v>120</v>
      </c>
      <c r="S43" s="11">
        <v>104.34782608695652</v>
      </c>
      <c r="T43" s="11">
        <v>62.470000000000006</v>
      </c>
      <c r="U43" s="14">
        <v>40.132916666666659</v>
      </c>
      <c r="V43" s="36">
        <f>IFERROR(LOOKUP($C43,#REF!,#REF!),0)</f>
        <v>0</v>
      </c>
      <c r="W43" s="36">
        <f>IFERROR(LOOKUP($C43,#REF!,#REF!),0)</f>
        <v>0</v>
      </c>
      <c r="X43" s="36">
        <f>IFERROR(LOOKUP($C43,#REF!,#REF!),0)</f>
        <v>0</v>
      </c>
      <c r="Y43" s="36">
        <f>IFERROR(LOOKUP($C43,#REF!,#REF!),0)</f>
        <v>0</v>
      </c>
    </row>
    <row r="44" spans="1:25" ht="16.5" customHeight="1" x14ac:dyDescent="0.35">
      <c r="A44" s="3" t="s">
        <v>14</v>
      </c>
      <c r="B44" s="4">
        <v>103</v>
      </c>
      <c r="C44" s="5">
        <v>33044</v>
      </c>
      <c r="D44" s="3" t="s">
        <v>219</v>
      </c>
      <c r="E44" s="6">
        <v>15</v>
      </c>
      <c r="F44" s="16">
        <v>10.23</v>
      </c>
      <c r="G44" s="51">
        <v>0</v>
      </c>
      <c r="H44" s="52">
        <f t="shared" si="0"/>
        <v>0</v>
      </c>
      <c r="I44" s="52">
        <f t="shared" si="1"/>
        <v>0</v>
      </c>
      <c r="J44" s="52">
        <f t="shared" si="2"/>
        <v>0</v>
      </c>
      <c r="K44" s="53">
        <f t="shared" si="3"/>
        <v>0</v>
      </c>
      <c r="L44" s="36"/>
      <c r="M44" s="11">
        <v>22277.850000000002</v>
      </c>
      <c r="N44" s="11">
        <v>19372.043478260872</v>
      </c>
      <c r="O44" s="11">
        <v>9782.8000000000011</v>
      </c>
      <c r="P44" s="8">
        <v>1322</v>
      </c>
      <c r="Q44" s="11">
        <v>9589.2434782608707</v>
      </c>
      <c r="R44" s="11">
        <v>16.851626323751894</v>
      </c>
      <c r="S44" s="11">
        <v>14.653588107610341</v>
      </c>
      <c r="T44" s="11">
        <v>7.4000000000000012</v>
      </c>
      <c r="U44" s="14">
        <v>49.500423065960135</v>
      </c>
      <c r="V44" s="36">
        <f>IFERROR(LOOKUP($C44,#REF!,#REF!),0)</f>
        <v>0</v>
      </c>
      <c r="W44" s="36">
        <f>IFERROR(LOOKUP($C44,#REF!,#REF!),0)</f>
        <v>0</v>
      </c>
      <c r="X44" s="36">
        <f>IFERROR(LOOKUP($C44,#REF!,#REF!),0)</f>
        <v>0</v>
      </c>
      <c r="Y44" s="36">
        <f>IFERROR(LOOKUP($C44,#REF!,#REF!),0)</f>
        <v>0</v>
      </c>
    </row>
    <row r="45" spans="1:25" ht="16.5" customHeight="1" x14ac:dyDescent="0.35">
      <c r="A45" s="3" t="s">
        <v>14</v>
      </c>
      <c r="B45" s="4">
        <v>103</v>
      </c>
      <c r="C45" s="5">
        <v>33045</v>
      </c>
      <c r="D45" s="3" t="s">
        <v>224</v>
      </c>
      <c r="E45" s="6">
        <v>10</v>
      </c>
      <c r="F45" s="16">
        <v>2.5</v>
      </c>
      <c r="G45" s="51">
        <v>0</v>
      </c>
      <c r="H45" s="52">
        <f t="shared" si="0"/>
        <v>0</v>
      </c>
      <c r="I45" s="52">
        <f t="shared" si="1"/>
        <v>0</v>
      </c>
      <c r="J45" s="52">
        <f t="shared" si="2"/>
        <v>0</v>
      </c>
      <c r="K45" s="53">
        <f t="shared" si="3"/>
        <v>0</v>
      </c>
      <c r="L45" s="36"/>
      <c r="M45" s="11">
        <v>20774.900000000001</v>
      </c>
      <c r="N45" s="11">
        <v>18065.130434782615</v>
      </c>
      <c r="O45" s="11">
        <v>11532.999999999996</v>
      </c>
      <c r="P45" s="8">
        <v>950</v>
      </c>
      <c r="Q45" s="11">
        <v>6532.1304347826153</v>
      </c>
      <c r="R45" s="11">
        <v>21.868315789473687</v>
      </c>
      <c r="S45" s="11">
        <v>19.015926773455384</v>
      </c>
      <c r="T45" s="11">
        <v>12.139999999999997</v>
      </c>
      <c r="U45" s="14">
        <v>36.158778140929712</v>
      </c>
      <c r="V45" s="36">
        <f>IFERROR(LOOKUP($C45,#REF!,#REF!),0)</f>
        <v>0</v>
      </c>
      <c r="W45" s="36">
        <f>IFERROR(LOOKUP($C45,#REF!,#REF!),0)</f>
        <v>0</v>
      </c>
      <c r="X45" s="36">
        <f>IFERROR(LOOKUP($C45,#REF!,#REF!),0)</f>
        <v>0</v>
      </c>
      <c r="Y45" s="36">
        <f>IFERROR(LOOKUP($C45,#REF!,#REF!),0)</f>
        <v>0</v>
      </c>
    </row>
    <row r="46" spans="1:25" ht="16.5" customHeight="1" x14ac:dyDescent="0.35">
      <c r="A46" s="3" t="s">
        <v>14</v>
      </c>
      <c r="B46" s="4">
        <v>103</v>
      </c>
      <c r="C46" s="5">
        <v>33046</v>
      </c>
      <c r="D46" s="3" t="s">
        <v>225</v>
      </c>
      <c r="E46" s="6">
        <v>10</v>
      </c>
      <c r="F46" s="16">
        <v>3.39</v>
      </c>
      <c r="G46" s="51">
        <v>0</v>
      </c>
      <c r="H46" s="52">
        <f t="shared" si="0"/>
        <v>0</v>
      </c>
      <c r="I46" s="52">
        <f t="shared" si="1"/>
        <v>0</v>
      </c>
      <c r="J46" s="52">
        <f t="shared" si="2"/>
        <v>0</v>
      </c>
      <c r="K46" s="53">
        <f t="shared" si="3"/>
        <v>0</v>
      </c>
      <c r="L46" s="36"/>
      <c r="M46" s="11">
        <v>20648.34</v>
      </c>
      <c r="N46" s="11">
        <v>17955.078260869566</v>
      </c>
      <c r="O46" s="11">
        <v>5724.1599999999989</v>
      </c>
      <c r="P46" s="8">
        <v>416</v>
      </c>
      <c r="Q46" s="11">
        <v>12230.918260869563</v>
      </c>
      <c r="R46" s="11">
        <v>49.635432692307695</v>
      </c>
      <c r="S46" s="11">
        <v>43.161245819397998</v>
      </c>
      <c r="T46" s="11">
        <v>13.759999999999998</v>
      </c>
      <c r="U46" s="14">
        <v>68.119548593252532</v>
      </c>
      <c r="V46" s="36">
        <f>IFERROR(LOOKUP($C46,#REF!,#REF!),0)</f>
        <v>0</v>
      </c>
      <c r="W46" s="36">
        <f>IFERROR(LOOKUP($C46,#REF!,#REF!),0)</f>
        <v>0</v>
      </c>
      <c r="X46" s="36">
        <f>IFERROR(LOOKUP($C46,#REF!,#REF!),0)</f>
        <v>0</v>
      </c>
      <c r="Y46" s="36">
        <f>IFERROR(LOOKUP($C46,#REF!,#REF!),0)</f>
        <v>0</v>
      </c>
    </row>
    <row r="47" spans="1:25" ht="16.5" customHeight="1" x14ac:dyDescent="0.35">
      <c r="A47" s="3" t="s">
        <v>14</v>
      </c>
      <c r="B47" s="4">
        <v>103</v>
      </c>
      <c r="C47" s="5">
        <v>33047</v>
      </c>
      <c r="D47" s="3" t="s">
        <v>216</v>
      </c>
      <c r="E47" s="6">
        <v>15</v>
      </c>
      <c r="F47" s="16">
        <v>6.99</v>
      </c>
      <c r="G47" s="51">
        <v>0</v>
      </c>
      <c r="H47" s="52">
        <f t="shared" si="0"/>
        <v>0</v>
      </c>
      <c r="I47" s="52">
        <f t="shared" si="1"/>
        <v>0</v>
      </c>
      <c r="J47" s="52">
        <f t="shared" si="2"/>
        <v>0</v>
      </c>
      <c r="K47" s="53">
        <f t="shared" si="3"/>
        <v>0</v>
      </c>
      <c r="L47" s="36"/>
      <c r="M47" s="11">
        <v>20234.47</v>
      </c>
      <c r="N47" s="11">
        <v>17595.191304347823</v>
      </c>
      <c r="O47" s="11">
        <v>10598.200400000002</v>
      </c>
      <c r="P47" s="8">
        <v>5385</v>
      </c>
      <c r="Q47" s="11">
        <v>6996.9909043478256</v>
      </c>
      <c r="R47" s="11">
        <v>3.7575617455896011</v>
      </c>
      <c r="S47" s="11">
        <v>3.2674449961648699</v>
      </c>
      <c r="T47" s="11">
        <v>1.9680966388115138</v>
      </c>
      <c r="U47" s="14">
        <v>39.766495193597848</v>
      </c>
      <c r="V47" s="36">
        <f>IFERROR(LOOKUP($C47,#REF!,#REF!),0)</f>
        <v>0</v>
      </c>
      <c r="W47" s="36">
        <f>IFERROR(LOOKUP($C47,#REF!,#REF!),0)</f>
        <v>0</v>
      </c>
      <c r="X47" s="36">
        <f>IFERROR(LOOKUP($C47,#REF!,#REF!),0)</f>
        <v>0</v>
      </c>
      <c r="Y47" s="36">
        <f>IFERROR(LOOKUP($C47,#REF!,#REF!),0)</f>
        <v>0</v>
      </c>
    </row>
    <row r="48" spans="1:25" ht="16.5" customHeight="1" x14ac:dyDescent="0.35">
      <c r="A48" s="3" t="s">
        <v>14</v>
      </c>
      <c r="B48" s="4">
        <v>103</v>
      </c>
      <c r="C48" s="5">
        <v>33048</v>
      </c>
      <c r="D48" s="3" t="s">
        <v>220</v>
      </c>
      <c r="E48" s="6">
        <v>15</v>
      </c>
      <c r="F48" s="16">
        <v>7.77</v>
      </c>
      <c r="G48" s="51">
        <v>0</v>
      </c>
      <c r="H48" s="52">
        <f t="shared" si="0"/>
        <v>0</v>
      </c>
      <c r="I48" s="52">
        <f t="shared" si="1"/>
        <v>0</v>
      </c>
      <c r="J48" s="52">
        <f t="shared" si="2"/>
        <v>0</v>
      </c>
      <c r="K48" s="53">
        <f t="shared" si="3"/>
        <v>0</v>
      </c>
      <c r="L48" s="36"/>
      <c r="M48" s="11">
        <v>19817.16</v>
      </c>
      <c r="N48" s="11">
        <v>17232.313043478262</v>
      </c>
      <c r="O48" s="11">
        <v>11157.35</v>
      </c>
      <c r="P48" s="8">
        <v>6031</v>
      </c>
      <c r="Q48" s="11">
        <v>6074.9630434782612</v>
      </c>
      <c r="R48" s="11">
        <v>3.2858829381528767</v>
      </c>
      <c r="S48" s="11">
        <v>2.8572895114372843</v>
      </c>
      <c r="T48" s="11">
        <v>1.85</v>
      </c>
      <c r="U48" s="14">
        <v>35.25332338236155</v>
      </c>
      <c r="V48" s="36">
        <f>IFERROR(LOOKUP($C48,#REF!,#REF!),0)</f>
        <v>0</v>
      </c>
      <c r="W48" s="36">
        <f>IFERROR(LOOKUP($C48,#REF!,#REF!),0)</f>
        <v>0</v>
      </c>
      <c r="X48" s="36">
        <f>IFERROR(LOOKUP($C48,#REF!,#REF!),0)</f>
        <v>0</v>
      </c>
      <c r="Y48" s="36">
        <f>IFERROR(LOOKUP($C48,#REF!,#REF!),0)</f>
        <v>0</v>
      </c>
    </row>
    <row r="49" spans="1:25" ht="16.5" customHeight="1" x14ac:dyDescent="0.35">
      <c r="A49" s="3" t="s">
        <v>14</v>
      </c>
      <c r="B49" s="4">
        <v>103</v>
      </c>
      <c r="C49" s="5">
        <v>33049</v>
      </c>
      <c r="D49" s="3" t="s">
        <v>226</v>
      </c>
      <c r="E49" s="6">
        <v>10</v>
      </c>
      <c r="F49" s="16">
        <v>2.3199999999999998</v>
      </c>
      <c r="G49" s="51">
        <v>0</v>
      </c>
      <c r="H49" s="52">
        <f t="shared" si="0"/>
        <v>0</v>
      </c>
      <c r="I49" s="52">
        <f t="shared" si="1"/>
        <v>0</v>
      </c>
      <c r="J49" s="52">
        <f t="shared" si="2"/>
        <v>0</v>
      </c>
      <c r="K49" s="53">
        <f t="shared" si="3"/>
        <v>0</v>
      </c>
      <c r="L49" s="36"/>
      <c r="M49" s="11">
        <v>19201.350000000006</v>
      </c>
      <c r="N49" s="11">
        <v>16696.826086956524</v>
      </c>
      <c r="O49" s="11">
        <v>11772.999999999998</v>
      </c>
      <c r="P49" s="8">
        <v>965</v>
      </c>
      <c r="Q49" s="11">
        <v>4923.8260869565293</v>
      </c>
      <c r="R49" s="11">
        <v>19.897772020725395</v>
      </c>
      <c r="S49" s="11">
        <v>17.302410452804686</v>
      </c>
      <c r="T49" s="11">
        <v>12.199999999999998</v>
      </c>
      <c r="U49" s="14">
        <v>29.489593179646256</v>
      </c>
      <c r="V49" s="36">
        <f>IFERROR(LOOKUP($C49,#REF!,#REF!),0)</f>
        <v>0</v>
      </c>
      <c r="W49" s="36">
        <f>IFERROR(LOOKUP($C49,#REF!,#REF!),0)</f>
        <v>0</v>
      </c>
      <c r="X49" s="36">
        <f>IFERROR(LOOKUP($C49,#REF!,#REF!),0)</f>
        <v>0</v>
      </c>
      <c r="Y49" s="36">
        <f>IFERROR(LOOKUP($C49,#REF!,#REF!),0)</f>
        <v>0</v>
      </c>
    </row>
    <row r="50" spans="1:25" ht="16.5" customHeight="1" x14ac:dyDescent="0.35">
      <c r="A50" s="3" t="s">
        <v>14</v>
      </c>
      <c r="B50" s="4">
        <v>103</v>
      </c>
      <c r="C50" s="5">
        <v>33050</v>
      </c>
      <c r="D50" s="3" t="s">
        <v>227</v>
      </c>
      <c r="E50" s="6">
        <v>10</v>
      </c>
      <c r="F50" s="16">
        <v>4.5599999999999996</v>
      </c>
      <c r="G50" s="51">
        <v>0</v>
      </c>
      <c r="H50" s="52">
        <f t="shared" si="0"/>
        <v>0</v>
      </c>
      <c r="I50" s="52">
        <f t="shared" si="1"/>
        <v>0</v>
      </c>
      <c r="J50" s="52">
        <f t="shared" si="2"/>
        <v>0</v>
      </c>
      <c r="K50" s="53">
        <f t="shared" si="3"/>
        <v>0</v>
      </c>
      <c r="L50" s="36"/>
      <c r="M50" s="11">
        <v>19072.490000000009</v>
      </c>
      <c r="N50" s="11">
        <v>16584.773913043486</v>
      </c>
      <c r="O50" s="11">
        <v>8124.3000000000011</v>
      </c>
      <c r="P50" s="8">
        <v>1593</v>
      </c>
      <c r="Q50" s="11">
        <v>8460.4739130434846</v>
      </c>
      <c r="R50" s="11">
        <v>11.972686754551168</v>
      </c>
      <c r="S50" s="11">
        <v>10.411031960479276</v>
      </c>
      <c r="T50" s="11">
        <v>5.1000000000000005</v>
      </c>
      <c r="U50" s="14">
        <v>51.013501645563863</v>
      </c>
      <c r="V50" s="36">
        <f>IFERROR(LOOKUP($C50,#REF!,#REF!),0)</f>
        <v>0</v>
      </c>
      <c r="W50" s="36">
        <f>IFERROR(LOOKUP($C50,#REF!,#REF!),0)</f>
        <v>0</v>
      </c>
      <c r="X50" s="36">
        <f>IFERROR(LOOKUP($C50,#REF!,#REF!),0)</f>
        <v>0</v>
      </c>
      <c r="Y50" s="36">
        <f>IFERROR(LOOKUP($C50,#REF!,#REF!),0)</f>
        <v>0</v>
      </c>
    </row>
    <row r="51" spans="1:25" ht="16.5" customHeight="1" x14ac:dyDescent="0.35">
      <c r="A51" s="3" t="s">
        <v>14</v>
      </c>
      <c r="B51" s="4">
        <v>103</v>
      </c>
      <c r="C51" s="5">
        <v>33051</v>
      </c>
      <c r="D51" s="3" t="s">
        <v>221</v>
      </c>
      <c r="E51" s="6">
        <v>10</v>
      </c>
      <c r="F51" s="16">
        <v>5.04</v>
      </c>
      <c r="G51" s="51">
        <v>0</v>
      </c>
      <c r="H51" s="52">
        <f t="shared" si="0"/>
        <v>0</v>
      </c>
      <c r="I51" s="52">
        <f t="shared" si="1"/>
        <v>0</v>
      </c>
      <c r="J51" s="52">
        <f t="shared" si="2"/>
        <v>0</v>
      </c>
      <c r="K51" s="53">
        <f t="shared" si="3"/>
        <v>0</v>
      </c>
      <c r="L51" s="36"/>
      <c r="M51" s="11">
        <v>19068.940000000002</v>
      </c>
      <c r="N51" s="11">
        <v>16581.686956521742</v>
      </c>
      <c r="O51" s="11">
        <v>2085.3583999999996</v>
      </c>
      <c r="P51" s="8">
        <v>656</v>
      </c>
      <c r="Q51" s="11">
        <v>14496.328556521743</v>
      </c>
      <c r="R51" s="11">
        <v>29.068506097560981</v>
      </c>
      <c r="S51" s="11">
        <v>25.276961823966069</v>
      </c>
      <c r="T51" s="11">
        <v>3.1788999999999996</v>
      </c>
      <c r="U51" s="14">
        <v>87.423725912399959</v>
      </c>
      <c r="V51" s="36">
        <f>IFERROR(LOOKUP($C51,#REF!,#REF!),0)</f>
        <v>0</v>
      </c>
      <c r="W51" s="36">
        <f>IFERROR(LOOKUP($C51,#REF!,#REF!),0)</f>
        <v>0</v>
      </c>
      <c r="X51" s="36">
        <f>IFERROR(LOOKUP($C51,#REF!,#REF!),0)</f>
        <v>0</v>
      </c>
      <c r="Y51" s="36">
        <f>IFERROR(LOOKUP($C51,#REF!,#REF!),0)</f>
        <v>0</v>
      </c>
    </row>
    <row r="52" spans="1:25" ht="16.5" customHeight="1" x14ac:dyDescent="0.35">
      <c r="A52" s="3" t="s">
        <v>14</v>
      </c>
      <c r="B52" s="4">
        <v>103</v>
      </c>
      <c r="C52" s="5">
        <v>33988</v>
      </c>
      <c r="D52" s="3" t="s">
        <v>217</v>
      </c>
      <c r="E52" s="6">
        <v>15</v>
      </c>
      <c r="F52" s="16">
        <v>9.1300000000000008</v>
      </c>
      <c r="G52" s="51">
        <v>0</v>
      </c>
      <c r="H52" s="52">
        <f t="shared" si="0"/>
        <v>0</v>
      </c>
      <c r="I52" s="52">
        <f t="shared" si="1"/>
        <v>0</v>
      </c>
      <c r="J52" s="52">
        <f t="shared" si="2"/>
        <v>0</v>
      </c>
      <c r="K52" s="53">
        <f t="shared" si="3"/>
        <v>0</v>
      </c>
      <c r="L52" s="36"/>
      <c r="M52" s="11">
        <v>18856.399999999998</v>
      </c>
      <c r="N52" s="11">
        <v>16396.869565217392</v>
      </c>
      <c r="O52" s="11">
        <v>8672.2000000000007</v>
      </c>
      <c r="P52" s="8">
        <v>1310</v>
      </c>
      <c r="Q52" s="11">
        <v>7724.6695652173876</v>
      </c>
      <c r="R52" s="11">
        <v>14.394198473282442</v>
      </c>
      <c r="S52" s="11">
        <v>12.516694324593429</v>
      </c>
      <c r="T52" s="11">
        <v>6.620000000000001</v>
      </c>
      <c r="U52" s="14">
        <v>47.110636176576634</v>
      </c>
      <c r="V52" s="36">
        <f>IFERROR(LOOKUP($C52,#REF!,#REF!),0)</f>
        <v>0</v>
      </c>
      <c r="W52" s="36">
        <f>IFERROR(LOOKUP($C52,#REF!,#REF!),0)</f>
        <v>0</v>
      </c>
      <c r="X52" s="36">
        <f>IFERROR(LOOKUP($C52,#REF!,#REF!),0)</f>
        <v>0</v>
      </c>
      <c r="Y52" s="36">
        <f>IFERROR(LOOKUP($C52,#REF!,#REF!),0)</f>
        <v>0</v>
      </c>
    </row>
    <row r="53" spans="1:25" ht="16.5" customHeight="1" x14ac:dyDescent="0.35">
      <c r="A53" s="3" t="s">
        <v>14</v>
      </c>
      <c r="B53" s="4">
        <v>103</v>
      </c>
      <c r="C53" s="5">
        <v>33989</v>
      </c>
      <c r="D53" s="3" t="s">
        <v>212</v>
      </c>
      <c r="E53" s="6">
        <v>30</v>
      </c>
      <c r="F53" s="16">
        <v>20.81</v>
      </c>
      <c r="G53" s="51">
        <v>0</v>
      </c>
      <c r="H53" s="52">
        <f t="shared" si="0"/>
        <v>0</v>
      </c>
      <c r="I53" s="52">
        <f t="shared" si="1"/>
        <v>0</v>
      </c>
      <c r="J53" s="52">
        <f t="shared" si="2"/>
        <v>0</v>
      </c>
      <c r="K53" s="53">
        <f t="shared" si="3"/>
        <v>0</v>
      </c>
      <c r="L53" s="36"/>
      <c r="M53" s="11">
        <v>18732.740000000005</v>
      </c>
      <c r="N53" s="11">
        <v>16289.339130434788</v>
      </c>
      <c r="O53" s="11">
        <v>0</v>
      </c>
      <c r="P53" s="8">
        <v>1271</v>
      </c>
      <c r="Q53" s="11">
        <v>16289.339130434786</v>
      </c>
      <c r="R53" s="11">
        <v>14.738583792289539</v>
      </c>
      <c r="S53" s="11">
        <v>12.816159819382209</v>
      </c>
      <c r="T53" s="11">
        <v>0</v>
      </c>
      <c r="U53" s="14">
        <v>100</v>
      </c>
      <c r="V53" s="36">
        <f>IFERROR(LOOKUP($C53,#REF!,#REF!),0)</f>
        <v>0</v>
      </c>
      <c r="W53" s="36">
        <f>IFERROR(LOOKUP($C53,#REF!,#REF!),0)</f>
        <v>0</v>
      </c>
      <c r="X53" s="36">
        <f>IFERROR(LOOKUP($C53,#REF!,#REF!),0)</f>
        <v>0</v>
      </c>
      <c r="Y53" s="36">
        <f>IFERROR(LOOKUP($C53,#REF!,#REF!),0)</f>
        <v>0</v>
      </c>
    </row>
    <row r="54" spans="1:25" ht="16.5" customHeight="1" x14ac:dyDescent="0.35">
      <c r="A54" s="3" t="s">
        <v>14</v>
      </c>
      <c r="B54" s="4">
        <v>103</v>
      </c>
      <c r="C54" s="5">
        <v>33990</v>
      </c>
      <c r="D54" s="3" t="s">
        <v>207</v>
      </c>
      <c r="E54" s="6">
        <v>21.99</v>
      </c>
      <c r="F54" s="16">
        <v>11.11</v>
      </c>
      <c r="G54" s="51">
        <v>0</v>
      </c>
      <c r="H54" s="52">
        <f t="shared" si="0"/>
        <v>0</v>
      </c>
      <c r="I54" s="52">
        <f t="shared" si="1"/>
        <v>0</v>
      </c>
      <c r="J54" s="52">
        <f t="shared" si="2"/>
        <v>0</v>
      </c>
      <c r="K54" s="53">
        <f t="shared" si="3"/>
        <v>0</v>
      </c>
      <c r="L54" s="36"/>
      <c r="M54" s="11">
        <v>17713.699999999997</v>
      </c>
      <c r="N54" s="11">
        <v>15403.21739130435</v>
      </c>
      <c r="O54" s="11">
        <v>9414.8016000000007</v>
      </c>
      <c r="P54" s="8">
        <v>4782</v>
      </c>
      <c r="Q54" s="11">
        <v>5988.4157913043455</v>
      </c>
      <c r="R54" s="11">
        <v>3.7042450857381843</v>
      </c>
      <c r="S54" s="11">
        <v>3.2210826832505961</v>
      </c>
      <c r="T54" s="11">
        <v>1.9688000000000001</v>
      </c>
      <c r="U54" s="14">
        <v>38.877694439896793</v>
      </c>
      <c r="V54" s="36">
        <f>IFERROR(LOOKUP($C54,#REF!,#REF!),0)</f>
        <v>0</v>
      </c>
      <c r="W54" s="36">
        <f>IFERROR(LOOKUP($C54,#REF!,#REF!),0)</f>
        <v>0</v>
      </c>
      <c r="X54" s="36">
        <f>IFERROR(LOOKUP($C54,#REF!,#REF!),0)</f>
        <v>0</v>
      </c>
      <c r="Y54" s="36">
        <f>IFERROR(LOOKUP($C54,#REF!,#REF!),0)</f>
        <v>0</v>
      </c>
    </row>
    <row r="55" spans="1:25" ht="16.5" customHeight="1" x14ac:dyDescent="0.35">
      <c r="A55" s="3" t="s">
        <v>14</v>
      </c>
      <c r="B55" s="4">
        <v>118</v>
      </c>
      <c r="C55" s="5">
        <v>33991</v>
      </c>
      <c r="D55" s="3" t="s">
        <v>264</v>
      </c>
      <c r="E55" s="6">
        <v>100</v>
      </c>
      <c r="F55" s="16">
        <v>51.82</v>
      </c>
      <c r="G55" s="51">
        <v>0</v>
      </c>
      <c r="H55" s="52">
        <f t="shared" si="0"/>
        <v>0</v>
      </c>
      <c r="I55" s="52">
        <f t="shared" si="1"/>
        <v>0</v>
      </c>
      <c r="J55" s="52">
        <f t="shared" si="2"/>
        <v>0</v>
      </c>
      <c r="K55" s="53">
        <f t="shared" si="3"/>
        <v>0</v>
      </c>
      <c r="L55" s="36"/>
      <c r="M55" s="11">
        <v>17713.699999999997</v>
      </c>
      <c r="N55" s="11">
        <v>15403.21739130435</v>
      </c>
      <c r="O55" s="11">
        <v>9414.8016000000007</v>
      </c>
      <c r="P55" s="8">
        <v>4782</v>
      </c>
      <c r="Q55" s="11">
        <v>5988.4157913043455</v>
      </c>
      <c r="R55" s="11">
        <v>3.7042450857381843</v>
      </c>
      <c r="S55" s="11">
        <v>3.2210826832505961</v>
      </c>
      <c r="T55" s="11">
        <v>1.9688000000000001</v>
      </c>
      <c r="U55" s="14">
        <v>38.877694439896793</v>
      </c>
      <c r="V55" s="36">
        <f>IFERROR(LOOKUP($C55,#REF!,#REF!),0)</f>
        <v>0</v>
      </c>
      <c r="W55" s="36">
        <f>IFERROR(LOOKUP($C55,#REF!,#REF!),0)</f>
        <v>0</v>
      </c>
      <c r="X55" s="36">
        <f>IFERROR(LOOKUP($C55,#REF!,#REF!),0)</f>
        <v>0</v>
      </c>
      <c r="Y55" s="36">
        <f>IFERROR(LOOKUP($C55,#REF!,#REF!),0)</f>
        <v>0</v>
      </c>
    </row>
    <row r="56" spans="1:25" ht="16.5" customHeight="1" x14ac:dyDescent="0.35">
      <c r="A56" s="3" t="s">
        <v>14</v>
      </c>
      <c r="B56" s="4">
        <v>102</v>
      </c>
      <c r="C56" s="5">
        <v>33995</v>
      </c>
      <c r="D56" s="3" t="s">
        <v>91</v>
      </c>
      <c r="E56" s="6">
        <v>15.99</v>
      </c>
      <c r="F56" s="16">
        <v>8.2200000000000006</v>
      </c>
      <c r="G56" s="51">
        <v>16</v>
      </c>
      <c r="H56" s="52">
        <f t="shared" si="0"/>
        <v>255.84</v>
      </c>
      <c r="I56" s="52">
        <f t="shared" si="1"/>
        <v>131.52000000000001</v>
      </c>
      <c r="J56" s="52">
        <f t="shared" si="2"/>
        <v>124.32</v>
      </c>
      <c r="K56" s="53">
        <f t="shared" si="3"/>
        <v>48.592870544090054</v>
      </c>
      <c r="L56" s="36"/>
      <c r="M56" s="11">
        <v>17495.680000000004</v>
      </c>
      <c r="N56" s="11">
        <v>15213.634782608699</v>
      </c>
      <c r="O56" s="11">
        <v>8329.9131999999991</v>
      </c>
      <c r="P56" s="8">
        <v>1883</v>
      </c>
      <c r="Q56" s="11">
        <v>6883.7215826087031</v>
      </c>
      <c r="R56" s="11">
        <v>9.2913860860329276</v>
      </c>
      <c r="S56" s="11">
        <v>8.0794661617677637</v>
      </c>
      <c r="T56" s="11">
        <v>4.4237457249070626</v>
      </c>
      <c r="U56" s="14">
        <v>45.247054244247749</v>
      </c>
      <c r="V56" s="36">
        <f>IFERROR(LOOKUP($C56,#REF!,#REF!),0)</f>
        <v>0</v>
      </c>
      <c r="W56" s="36">
        <f>IFERROR(LOOKUP($C56,#REF!,#REF!),0)</f>
        <v>0</v>
      </c>
      <c r="X56" s="36">
        <f>IFERROR(LOOKUP($C56,#REF!,#REF!),0)</f>
        <v>0</v>
      </c>
      <c r="Y56" s="36">
        <f>IFERROR(LOOKUP($C56,#REF!,#REF!),0)</f>
        <v>0</v>
      </c>
    </row>
    <row r="57" spans="1:25" ht="16.5" customHeight="1" x14ac:dyDescent="0.35">
      <c r="A57" s="3" t="s">
        <v>14</v>
      </c>
      <c r="B57" s="4">
        <v>101</v>
      </c>
      <c r="C57" s="5">
        <v>33997</v>
      </c>
      <c r="D57" s="3" t="s">
        <v>39</v>
      </c>
      <c r="E57" s="6">
        <v>14.99</v>
      </c>
      <c r="F57" s="16">
        <v>7.62</v>
      </c>
      <c r="G57" s="51">
        <v>30</v>
      </c>
      <c r="H57" s="52">
        <f t="shared" si="0"/>
        <v>449.7</v>
      </c>
      <c r="I57" s="52">
        <f t="shared" si="1"/>
        <v>228.6</v>
      </c>
      <c r="J57" s="52">
        <f t="shared" si="2"/>
        <v>221.1</v>
      </c>
      <c r="K57" s="53">
        <f t="shared" si="3"/>
        <v>49.166110740493664</v>
      </c>
      <c r="L57" s="36"/>
      <c r="M57" s="11">
        <v>16771.030000000002</v>
      </c>
      <c r="N57" s="11">
        <v>14583.504347826092</v>
      </c>
      <c r="O57" s="11">
        <v>8612.2000000000007</v>
      </c>
      <c r="P57" s="8">
        <v>947</v>
      </c>
      <c r="Q57" s="11">
        <v>5971.3043478260897</v>
      </c>
      <c r="R57" s="11">
        <v>17.709640971488916</v>
      </c>
      <c r="S57" s="11">
        <v>15.399687801294712</v>
      </c>
      <c r="T57" s="11">
        <v>9.0941921858500532</v>
      </c>
      <c r="U57" s="14">
        <v>40.945606799343878</v>
      </c>
      <c r="V57" s="36">
        <f>IFERROR(LOOKUP($C57,#REF!,#REF!),0)</f>
        <v>0</v>
      </c>
      <c r="W57" s="36">
        <f>IFERROR(LOOKUP($C57,#REF!,#REF!),0)</f>
        <v>0</v>
      </c>
      <c r="X57" s="36">
        <f>IFERROR(LOOKUP($C57,#REF!,#REF!),0)</f>
        <v>0</v>
      </c>
      <c r="Y57" s="36">
        <f>IFERROR(LOOKUP($C57,#REF!,#REF!),0)</f>
        <v>0</v>
      </c>
    </row>
    <row r="58" spans="1:25" ht="16.5" customHeight="1" x14ac:dyDescent="0.35">
      <c r="A58" s="3" t="s">
        <v>14</v>
      </c>
      <c r="B58" s="4">
        <v>119</v>
      </c>
      <c r="C58" s="5">
        <v>34003</v>
      </c>
      <c r="D58" s="3" t="s">
        <v>266</v>
      </c>
      <c r="E58" s="6">
        <v>120</v>
      </c>
      <c r="F58" s="16">
        <v>62.47</v>
      </c>
      <c r="G58" s="51">
        <v>0</v>
      </c>
      <c r="H58" s="52">
        <f t="shared" si="0"/>
        <v>0</v>
      </c>
      <c r="I58" s="52">
        <f t="shared" si="1"/>
        <v>0</v>
      </c>
      <c r="J58" s="52">
        <f t="shared" si="2"/>
        <v>0</v>
      </c>
      <c r="K58" s="53">
        <f t="shared" si="3"/>
        <v>0</v>
      </c>
      <c r="L58" s="36"/>
      <c r="M58" s="11">
        <v>16500</v>
      </c>
      <c r="N58" s="11">
        <v>14347.826086956522</v>
      </c>
      <c r="O58" s="11">
        <v>14307.84</v>
      </c>
      <c r="P58" s="8">
        <v>1944</v>
      </c>
      <c r="Q58" s="11">
        <v>39.986086956521831</v>
      </c>
      <c r="R58" s="11">
        <v>8.4876543209876552</v>
      </c>
      <c r="S58" s="11">
        <v>7.3805689747718732</v>
      </c>
      <c r="T58" s="11">
        <v>7.36</v>
      </c>
      <c r="U58" s="14">
        <v>0.27869090909090971</v>
      </c>
      <c r="V58" s="36">
        <f>IFERROR(LOOKUP($C58,#REF!,#REF!),0)</f>
        <v>0</v>
      </c>
      <c r="W58" s="36">
        <f>IFERROR(LOOKUP($C58,#REF!,#REF!),0)</f>
        <v>0</v>
      </c>
      <c r="X58" s="36">
        <f>IFERROR(LOOKUP($C58,#REF!,#REF!),0)</f>
        <v>0</v>
      </c>
      <c r="Y58" s="36">
        <f>IFERROR(LOOKUP($C58,#REF!,#REF!),0)</f>
        <v>0</v>
      </c>
    </row>
    <row r="59" spans="1:25" ht="16.5" customHeight="1" x14ac:dyDescent="0.35">
      <c r="A59" s="3" t="s">
        <v>14</v>
      </c>
      <c r="B59" s="4">
        <v>101</v>
      </c>
      <c r="C59" s="5">
        <v>34004</v>
      </c>
      <c r="D59" s="3" t="s">
        <v>50</v>
      </c>
      <c r="E59" s="6">
        <v>1</v>
      </c>
      <c r="F59" s="16">
        <v>0.65</v>
      </c>
      <c r="G59" s="51">
        <v>0</v>
      </c>
      <c r="H59" s="52">
        <f t="shared" si="0"/>
        <v>0</v>
      </c>
      <c r="I59" s="52">
        <f t="shared" si="1"/>
        <v>0</v>
      </c>
      <c r="J59" s="52">
        <f t="shared" si="2"/>
        <v>0</v>
      </c>
      <c r="K59" s="53">
        <f t="shared" si="3"/>
        <v>0</v>
      </c>
      <c r="L59" s="36"/>
      <c r="M59" s="11">
        <v>15558.990000000003</v>
      </c>
      <c r="N59" s="11">
        <v>13529.556521739132</v>
      </c>
      <c r="O59" s="11">
        <v>5099.03</v>
      </c>
      <c r="P59" s="8">
        <v>571</v>
      </c>
      <c r="Q59" s="11">
        <v>8430.5265217391352</v>
      </c>
      <c r="R59" s="11">
        <v>27.24866900175132</v>
      </c>
      <c r="S59" s="11">
        <v>23.694494784131582</v>
      </c>
      <c r="T59" s="11">
        <v>8.93</v>
      </c>
      <c r="U59" s="14">
        <v>62.311920632380392</v>
      </c>
      <c r="V59" s="36">
        <f>IFERROR(LOOKUP($C59,#REF!,#REF!),0)</f>
        <v>0</v>
      </c>
      <c r="W59" s="36">
        <f>IFERROR(LOOKUP($C59,#REF!,#REF!),0)</f>
        <v>0</v>
      </c>
      <c r="X59" s="36">
        <f>IFERROR(LOOKUP($C59,#REF!,#REF!),0)</f>
        <v>0</v>
      </c>
      <c r="Y59" s="36">
        <f>IFERROR(LOOKUP($C59,#REF!,#REF!),0)</f>
        <v>0</v>
      </c>
    </row>
    <row r="60" spans="1:25" ht="16.5" customHeight="1" x14ac:dyDescent="0.35">
      <c r="A60" s="3" t="s">
        <v>14</v>
      </c>
      <c r="B60" s="4">
        <v>101</v>
      </c>
      <c r="C60" s="5">
        <v>34006</v>
      </c>
      <c r="D60" s="3" t="s">
        <v>63</v>
      </c>
      <c r="E60" s="6">
        <v>10.99</v>
      </c>
      <c r="F60" s="16">
        <v>6.3</v>
      </c>
      <c r="G60" s="51">
        <v>0</v>
      </c>
      <c r="H60" s="52">
        <f t="shared" si="0"/>
        <v>0</v>
      </c>
      <c r="I60" s="52">
        <f t="shared" si="1"/>
        <v>0</v>
      </c>
      <c r="J60" s="52">
        <f t="shared" si="2"/>
        <v>0</v>
      </c>
      <c r="K60" s="53">
        <f t="shared" si="3"/>
        <v>0</v>
      </c>
      <c r="L60" s="36"/>
      <c r="M60" s="11">
        <v>15397.9</v>
      </c>
      <c r="N60" s="11">
        <v>13389.478260869564</v>
      </c>
      <c r="O60" s="11">
        <v>6945.7499999999991</v>
      </c>
      <c r="P60" s="8">
        <v>2205</v>
      </c>
      <c r="Q60" s="11">
        <v>6443.728260869565</v>
      </c>
      <c r="R60" s="11">
        <v>6.9831746031746027</v>
      </c>
      <c r="S60" s="11">
        <v>6.0723257418909586</v>
      </c>
      <c r="T60" s="11">
        <v>3.1499999999999995</v>
      </c>
      <c r="U60" s="14">
        <v>48.125312542619454</v>
      </c>
      <c r="V60" s="36">
        <f>IFERROR(LOOKUP($C60,#REF!,#REF!),0)</f>
        <v>0</v>
      </c>
      <c r="W60" s="36">
        <f>IFERROR(LOOKUP($C60,#REF!,#REF!),0)</f>
        <v>0</v>
      </c>
      <c r="X60" s="36">
        <f>IFERROR(LOOKUP($C60,#REF!,#REF!),0)</f>
        <v>0</v>
      </c>
      <c r="Y60" s="36">
        <f>IFERROR(LOOKUP($C60,#REF!,#REF!),0)</f>
        <v>0</v>
      </c>
    </row>
    <row r="61" spans="1:25" ht="16.5" customHeight="1" x14ac:dyDescent="0.35">
      <c r="A61" s="3" t="s">
        <v>14</v>
      </c>
      <c r="B61" s="4">
        <v>102</v>
      </c>
      <c r="C61" s="5">
        <v>34008</v>
      </c>
      <c r="D61" s="3" t="s">
        <v>104</v>
      </c>
      <c r="E61" s="6">
        <v>5.99</v>
      </c>
      <c r="F61" s="16">
        <v>4.32</v>
      </c>
      <c r="G61" s="51">
        <v>12</v>
      </c>
      <c r="H61" s="52">
        <f t="shared" si="0"/>
        <v>71.88</v>
      </c>
      <c r="I61" s="52">
        <f t="shared" si="1"/>
        <v>51.84</v>
      </c>
      <c r="J61" s="52">
        <f t="shared" si="2"/>
        <v>20.039999999999992</v>
      </c>
      <c r="K61" s="53">
        <f t="shared" si="3"/>
        <v>27.879799666110173</v>
      </c>
      <c r="L61" s="36"/>
      <c r="M61" s="11">
        <v>15192.550000000003</v>
      </c>
      <c r="N61" s="11">
        <v>13210.913043478264</v>
      </c>
      <c r="O61" s="11">
        <v>7732.4399999999987</v>
      </c>
      <c r="P61" s="8">
        <v>846</v>
      </c>
      <c r="Q61" s="11">
        <v>5478.473043478265</v>
      </c>
      <c r="R61" s="11">
        <v>17.958096926713953</v>
      </c>
      <c r="S61" s="11">
        <v>15.615736458012131</v>
      </c>
      <c r="T61" s="11">
        <v>9.1399999999999988</v>
      </c>
      <c r="U61" s="14">
        <v>41.469299097254925</v>
      </c>
      <c r="V61" s="36">
        <f>IFERROR(LOOKUP($C61,#REF!,#REF!),0)</f>
        <v>0</v>
      </c>
      <c r="W61" s="36">
        <f>IFERROR(LOOKUP($C61,#REF!,#REF!),0)</f>
        <v>0</v>
      </c>
      <c r="X61" s="36">
        <f>IFERROR(LOOKUP($C61,#REF!,#REF!),0)</f>
        <v>0</v>
      </c>
      <c r="Y61" s="36">
        <f>IFERROR(LOOKUP($C61,#REF!,#REF!),0)</f>
        <v>0</v>
      </c>
    </row>
    <row r="62" spans="1:25" ht="16.5" customHeight="1" x14ac:dyDescent="0.35">
      <c r="A62" s="3" t="s">
        <v>14</v>
      </c>
      <c r="B62" s="4">
        <v>101</v>
      </c>
      <c r="C62" s="5">
        <v>34011</v>
      </c>
      <c r="D62" s="3" t="s">
        <v>66</v>
      </c>
      <c r="E62" s="6">
        <v>19.989999999999998</v>
      </c>
      <c r="F62" s="16">
        <v>2.63</v>
      </c>
      <c r="G62" s="51">
        <v>6</v>
      </c>
      <c r="H62" s="52">
        <f t="shared" si="0"/>
        <v>119.94</v>
      </c>
      <c r="I62" s="52">
        <f t="shared" si="1"/>
        <v>15.78</v>
      </c>
      <c r="J62" s="52">
        <f t="shared" si="2"/>
        <v>104.16</v>
      </c>
      <c r="K62" s="53">
        <f t="shared" si="3"/>
        <v>86.843421710855424</v>
      </c>
      <c r="L62" s="36"/>
      <c r="M62" s="11">
        <v>13376</v>
      </c>
      <c r="N62" s="11">
        <v>11631.304347826088</v>
      </c>
      <c r="O62" s="11">
        <v>4642.8999999999996</v>
      </c>
      <c r="P62" s="8">
        <v>6605</v>
      </c>
      <c r="Q62" s="11">
        <v>6988.4043478260865</v>
      </c>
      <c r="R62" s="11">
        <v>2.025132475397426</v>
      </c>
      <c r="S62" s="11">
        <v>1.7609847612151535</v>
      </c>
      <c r="T62" s="11">
        <v>0.70293716881150636</v>
      </c>
      <c r="U62" s="14">
        <v>60.082722787081345</v>
      </c>
      <c r="V62" s="36">
        <f>IFERROR(LOOKUP($C62,#REF!,#REF!),0)</f>
        <v>0</v>
      </c>
      <c r="W62" s="36">
        <f>IFERROR(LOOKUP($C62,#REF!,#REF!),0)</f>
        <v>0</v>
      </c>
      <c r="X62" s="36">
        <f>IFERROR(LOOKUP($C62,#REF!,#REF!),0)</f>
        <v>0</v>
      </c>
      <c r="Y62" s="36">
        <f>IFERROR(LOOKUP($C62,#REF!,#REF!),0)</f>
        <v>0</v>
      </c>
    </row>
    <row r="63" spans="1:25" ht="16.5" customHeight="1" x14ac:dyDescent="0.35">
      <c r="A63" s="3" t="s">
        <v>14</v>
      </c>
      <c r="B63" s="4">
        <v>118</v>
      </c>
      <c r="C63" s="5">
        <v>34014</v>
      </c>
      <c r="D63" s="3" t="s">
        <v>258</v>
      </c>
      <c r="E63" s="6">
        <v>100</v>
      </c>
      <c r="F63" s="16">
        <v>52.03</v>
      </c>
      <c r="G63" s="51">
        <v>0</v>
      </c>
      <c r="H63" s="52">
        <f t="shared" si="0"/>
        <v>0</v>
      </c>
      <c r="I63" s="52">
        <f t="shared" si="1"/>
        <v>0</v>
      </c>
      <c r="J63" s="52">
        <f t="shared" si="2"/>
        <v>0</v>
      </c>
      <c r="K63" s="53">
        <f t="shared" si="3"/>
        <v>0</v>
      </c>
      <c r="L63" s="36"/>
      <c r="M63" s="11">
        <v>12774.550000000001</v>
      </c>
      <c r="N63" s="11">
        <v>11108.304347826088</v>
      </c>
      <c r="O63" s="11">
        <v>6960</v>
      </c>
      <c r="P63" s="8">
        <v>266</v>
      </c>
      <c r="Q63" s="11">
        <v>4148.3043478260879</v>
      </c>
      <c r="R63" s="11">
        <v>48.02462406015038</v>
      </c>
      <c r="S63" s="11">
        <v>41.760542661000329</v>
      </c>
      <c r="T63" s="11">
        <v>26.165413533834588</v>
      </c>
      <c r="U63" s="14">
        <v>37.344172593163755</v>
      </c>
      <c r="V63" s="36">
        <f>IFERROR(LOOKUP($C63,#REF!,#REF!),0)</f>
        <v>0</v>
      </c>
      <c r="W63" s="36">
        <f>IFERROR(LOOKUP($C63,#REF!,#REF!),0)</f>
        <v>0</v>
      </c>
      <c r="X63" s="36">
        <f>IFERROR(LOOKUP($C63,#REF!,#REF!),0)</f>
        <v>0</v>
      </c>
      <c r="Y63" s="36">
        <f>IFERROR(LOOKUP($C63,#REF!,#REF!),0)</f>
        <v>0</v>
      </c>
    </row>
    <row r="64" spans="1:25" ht="16.5" customHeight="1" x14ac:dyDescent="0.35">
      <c r="A64" s="3" t="s">
        <v>14</v>
      </c>
      <c r="B64" s="4">
        <v>101</v>
      </c>
      <c r="C64" s="5">
        <v>34019</v>
      </c>
      <c r="D64" s="3" t="s">
        <v>86</v>
      </c>
      <c r="E64" s="6">
        <v>5.99</v>
      </c>
      <c r="F64" s="16">
        <v>3.12</v>
      </c>
      <c r="G64" s="51">
        <v>0</v>
      </c>
      <c r="H64" s="52">
        <f t="shared" si="0"/>
        <v>0</v>
      </c>
      <c r="I64" s="52">
        <f t="shared" si="1"/>
        <v>0</v>
      </c>
      <c r="J64" s="52">
        <f t="shared" si="2"/>
        <v>0</v>
      </c>
      <c r="K64" s="53">
        <f t="shared" si="3"/>
        <v>0</v>
      </c>
      <c r="L64" s="36"/>
      <c r="M64" s="11">
        <v>12642.460000000001</v>
      </c>
      <c r="N64" s="11">
        <v>10993.443478260871</v>
      </c>
      <c r="O64" s="11">
        <v>7282.18</v>
      </c>
      <c r="P64" s="8">
        <v>254</v>
      </c>
      <c r="Q64" s="11">
        <v>3711.2634782608693</v>
      </c>
      <c r="R64" s="11">
        <v>49.773464566929135</v>
      </c>
      <c r="S64" s="11">
        <v>43.281273536460127</v>
      </c>
      <c r="T64" s="11">
        <v>28.67</v>
      </c>
      <c r="U64" s="14">
        <v>33.758880787441683</v>
      </c>
      <c r="V64" s="36">
        <f>IFERROR(LOOKUP($C64,#REF!,#REF!),0)</f>
        <v>0</v>
      </c>
      <c r="W64" s="36">
        <f>IFERROR(LOOKUP($C64,#REF!,#REF!),0)</f>
        <v>0</v>
      </c>
      <c r="X64" s="36">
        <f>IFERROR(LOOKUP($C64,#REF!,#REF!),0)</f>
        <v>0</v>
      </c>
      <c r="Y64" s="36">
        <f>IFERROR(LOOKUP($C64,#REF!,#REF!),0)</f>
        <v>0</v>
      </c>
    </row>
    <row r="65" spans="1:25" ht="16.5" customHeight="1" x14ac:dyDescent="0.35">
      <c r="A65" s="3" t="s">
        <v>14</v>
      </c>
      <c r="B65" s="4">
        <v>102</v>
      </c>
      <c r="C65" s="5">
        <v>34021</v>
      </c>
      <c r="D65" s="3" t="s">
        <v>168</v>
      </c>
      <c r="E65" s="6">
        <v>32.99</v>
      </c>
      <c r="F65" s="16">
        <v>15.39</v>
      </c>
      <c r="G65" s="51">
        <v>0</v>
      </c>
      <c r="H65" s="52">
        <f t="shared" si="0"/>
        <v>0</v>
      </c>
      <c r="I65" s="52">
        <f t="shared" si="1"/>
        <v>0</v>
      </c>
      <c r="J65" s="52">
        <f t="shared" si="2"/>
        <v>0</v>
      </c>
      <c r="K65" s="53">
        <f t="shared" si="3"/>
        <v>0</v>
      </c>
      <c r="L65" s="36"/>
      <c r="M65" s="11">
        <v>12421.890000000003</v>
      </c>
      <c r="N65" s="11">
        <v>10801.643478260869</v>
      </c>
      <c r="O65" s="11">
        <v>0</v>
      </c>
      <c r="P65" s="8">
        <v>761</v>
      </c>
      <c r="Q65" s="11">
        <v>10801.643478260872</v>
      </c>
      <c r="R65" s="11">
        <v>16.323114323258874</v>
      </c>
      <c r="S65" s="11">
        <v>14.194012455007712</v>
      </c>
      <c r="T65" s="11">
        <v>0</v>
      </c>
      <c r="U65" s="14">
        <v>100</v>
      </c>
      <c r="V65" s="36">
        <f>IFERROR(LOOKUP($C65,#REF!,#REF!),0)</f>
        <v>0</v>
      </c>
      <c r="W65" s="36">
        <f>IFERROR(LOOKUP($C65,#REF!,#REF!),0)</f>
        <v>0</v>
      </c>
      <c r="X65" s="36">
        <f>IFERROR(LOOKUP($C65,#REF!,#REF!),0)</f>
        <v>0</v>
      </c>
      <c r="Y65" s="36">
        <f>IFERROR(LOOKUP($C65,#REF!,#REF!),0)</f>
        <v>0</v>
      </c>
    </row>
    <row r="66" spans="1:25" ht="16.5" customHeight="1" x14ac:dyDescent="0.35">
      <c r="A66" s="3" t="s">
        <v>14</v>
      </c>
      <c r="B66" s="4">
        <v>101</v>
      </c>
      <c r="C66" s="5">
        <v>34022</v>
      </c>
      <c r="D66" s="3" t="s">
        <v>54</v>
      </c>
      <c r="E66" s="6">
        <v>5.99</v>
      </c>
      <c r="F66" s="16">
        <v>2.72</v>
      </c>
      <c r="G66" s="51">
        <v>24</v>
      </c>
      <c r="H66" s="52">
        <f t="shared" si="0"/>
        <v>143.76</v>
      </c>
      <c r="I66" s="52">
        <f t="shared" si="1"/>
        <v>65.28</v>
      </c>
      <c r="J66" s="52">
        <f t="shared" si="2"/>
        <v>78.47999999999999</v>
      </c>
      <c r="K66" s="53">
        <f t="shared" si="3"/>
        <v>54.590984974958253</v>
      </c>
      <c r="L66" s="36"/>
      <c r="M66" s="11">
        <v>12033.220000000001</v>
      </c>
      <c r="N66" s="11">
        <v>10463.669565217391</v>
      </c>
      <c r="O66" s="11">
        <v>4416.5</v>
      </c>
      <c r="P66" s="8">
        <v>803</v>
      </c>
      <c r="Q66" s="11">
        <v>6047.169565217393</v>
      </c>
      <c r="R66" s="11">
        <v>14.985330012453302</v>
      </c>
      <c r="S66" s="11">
        <v>13.030721749959392</v>
      </c>
      <c r="T66" s="11">
        <v>5.5</v>
      </c>
      <c r="U66" s="14">
        <v>57.792053997184468</v>
      </c>
      <c r="V66" s="36">
        <f>IFERROR(LOOKUP($C66,#REF!,#REF!),0)</f>
        <v>0</v>
      </c>
      <c r="W66" s="36">
        <f>IFERROR(LOOKUP($C66,#REF!,#REF!),0)</f>
        <v>0</v>
      </c>
      <c r="X66" s="36">
        <f>IFERROR(LOOKUP($C66,#REF!,#REF!),0)</f>
        <v>0</v>
      </c>
      <c r="Y66" s="36">
        <f>IFERROR(LOOKUP($C66,#REF!,#REF!),0)</f>
        <v>0</v>
      </c>
    </row>
    <row r="67" spans="1:25" ht="16.5" customHeight="1" x14ac:dyDescent="0.35">
      <c r="A67" s="3" t="s">
        <v>14</v>
      </c>
      <c r="B67" s="4">
        <v>101</v>
      </c>
      <c r="C67" s="5">
        <v>34023</v>
      </c>
      <c r="D67" s="3" t="s">
        <v>48</v>
      </c>
      <c r="E67" s="6">
        <v>6.99</v>
      </c>
      <c r="F67" s="16">
        <v>2.85</v>
      </c>
      <c r="G67" s="51">
        <v>28</v>
      </c>
      <c r="H67" s="52">
        <f t="shared" si="0"/>
        <v>195.72</v>
      </c>
      <c r="I67" s="52">
        <f t="shared" si="1"/>
        <v>79.8</v>
      </c>
      <c r="J67" s="52">
        <f t="shared" si="2"/>
        <v>115.92</v>
      </c>
      <c r="K67" s="53">
        <f t="shared" si="3"/>
        <v>59.227467811158796</v>
      </c>
      <c r="L67" s="36"/>
      <c r="M67" s="11">
        <v>11775.560000000001</v>
      </c>
      <c r="N67" s="11">
        <v>10239.617391304349</v>
      </c>
      <c r="O67" s="11">
        <v>4932.8799999999992</v>
      </c>
      <c r="P67" s="8">
        <v>394</v>
      </c>
      <c r="Q67" s="11">
        <v>5306.7373913043484</v>
      </c>
      <c r="R67" s="11">
        <v>29.887208121827413</v>
      </c>
      <c r="S67" s="11">
        <v>25.988876627676014</v>
      </c>
      <c r="T67" s="11">
        <v>12.519999999999998</v>
      </c>
      <c r="U67" s="14">
        <v>51.825543753333179</v>
      </c>
      <c r="V67" s="36">
        <f>IFERROR(LOOKUP($C67,#REF!,#REF!),0)</f>
        <v>0</v>
      </c>
      <c r="W67" s="36">
        <f>IFERROR(LOOKUP($C67,#REF!,#REF!),0)</f>
        <v>0</v>
      </c>
      <c r="X67" s="36">
        <f>IFERROR(LOOKUP($C67,#REF!,#REF!),0)</f>
        <v>0</v>
      </c>
      <c r="Y67" s="36">
        <f>IFERROR(LOOKUP($C67,#REF!,#REF!),0)</f>
        <v>0</v>
      </c>
    </row>
    <row r="68" spans="1:25" ht="16.5" customHeight="1" x14ac:dyDescent="0.35">
      <c r="A68" s="3" t="s">
        <v>14</v>
      </c>
      <c r="B68" s="4">
        <v>101</v>
      </c>
      <c r="C68" s="5">
        <v>34024</v>
      </c>
      <c r="D68" s="3" t="s">
        <v>23</v>
      </c>
      <c r="E68" s="6">
        <v>37.99</v>
      </c>
      <c r="F68" s="16">
        <v>16.5</v>
      </c>
      <c r="G68" s="51">
        <v>36</v>
      </c>
      <c r="H68" s="52">
        <f t="shared" ref="H68:H131" si="4">E68*G68</f>
        <v>1367.64</v>
      </c>
      <c r="I68" s="52">
        <f t="shared" ref="I68:I131" si="5">F68*G68</f>
        <v>594</v>
      </c>
      <c r="J68" s="52">
        <f t="shared" ref="J68:J131" si="6">H68-I68</f>
        <v>773.6400000000001</v>
      </c>
      <c r="K68" s="53">
        <f t="shared" si="3"/>
        <v>56.567517767833642</v>
      </c>
      <c r="L68" s="36"/>
      <c r="M68" s="11">
        <v>11462.840000000002</v>
      </c>
      <c r="N68" s="11">
        <v>9967.6869565217421</v>
      </c>
      <c r="O68" s="11">
        <v>6045.9300000000012</v>
      </c>
      <c r="P68" s="8">
        <v>591</v>
      </c>
      <c r="Q68" s="11">
        <v>3921.7569565217391</v>
      </c>
      <c r="R68" s="11">
        <v>19.395668358714047</v>
      </c>
      <c r="S68" s="11">
        <v>16.865798572794827</v>
      </c>
      <c r="T68" s="11">
        <v>10.230000000000002</v>
      </c>
      <c r="U68" s="14">
        <v>39.344704279218753</v>
      </c>
      <c r="V68" s="36">
        <f>IFERROR(LOOKUP($C68,#REF!,#REF!),0)</f>
        <v>0</v>
      </c>
      <c r="W68" s="36">
        <f>IFERROR(LOOKUP($C68,#REF!,#REF!),0)</f>
        <v>0</v>
      </c>
      <c r="X68" s="36">
        <f>IFERROR(LOOKUP($C68,#REF!,#REF!),0)</f>
        <v>0</v>
      </c>
      <c r="Y68" s="36">
        <f>IFERROR(LOOKUP($C68,#REF!,#REF!),0)</f>
        <v>0</v>
      </c>
    </row>
    <row r="69" spans="1:25" ht="16.5" customHeight="1" x14ac:dyDescent="0.35">
      <c r="A69" s="3" t="s">
        <v>14</v>
      </c>
      <c r="B69" s="4">
        <v>118</v>
      </c>
      <c r="C69" s="5">
        <v>34025</v>
      </c>
      <c r="D69" s="3" t="s">
        <v>261</v>
      </c>
      <c r="E69" s="6">
        <v>120</v>
      </c>
      <c r="F69" s="16">
        <v>62.39</v>
      </c>
      <c r="G69" s="51">
        <v>0</v>
      </c>
      <c r="H69" s="52">
        <f t="shared" si="4"/>
        <v>0</v>
      </c>
      <c r="I69" s="52">
        <f t="shared" si="5"/>
        <v>0</v>
      </c>
      <c r="J69" s="52">
        <f t="shared" si="6"/>
        <v>0</v>
      </c>
      <c r="K69" s="53">
        <f t="shared" ref="K69:K132" si="7">IFERROR(J69/H69*100,0)</f>
        <v>0</v>
      </c>
      <c r="L69" s="36"/>
      <c r="M69" s="11">
        <v>10470.77</v>
      </c>
      <c r="N69" s="11">
        <v>9105.0173913043491</v>
      </c>
      <c r="O69" s="11">
        <v>4136.079999999999</v>
      </c>
      <c r="P69" s="8">
        <v>388</v>
      </c>
      <c r="Q69" s="11">
        <v>4968.9373913043482</v>
      </c>
      <c r="R69" s="11">
        <v>26.986520618556703</v>
      </c>
      <c r="S69" s="11">
        <v>23.46653966831018</v>
      </c>
      <c r="T69" s="11">
        <v>10.659999999999997</v>
      </c>
      <c r="U69" s="14">
        <v>54.573617795061878</v>
      </c>
      <c r="V69" s="36">
        <f>IFERROR(LOOKUP($C69,#REF!,#REF!),0)</f>
        <v>0</v>
      </c>
      <c r="W69" s="36">
        <f>IFERROR(LOOKUP($C69,#REF!,#REF!),0)</f>
        <v>0</v>
      </c>
      <c r="X69" s="36">
        <f>IFERROR(LOOKUP($C69,#REF!,#REF!),0)</f>
        <v>0</v>
      </c>
      <c r="Y69" s="36">
        <f>IFERROR(LOOKUP($C69,#REF!,#REF!),0)</f>
        <v>0</v>
      </c>
    </row>
    <row r="70" spans="1:25" ht="16.5" customHeight="1" x14ac:dyDescent="0.35">
      <c r="A70" s="3" t="s">
        <v>14</v>
      </c>
      <c r="B70" s="4">
        <v>106</v>
      </c>
      <c r="C70" s="5">
        <v>34027</v>
      </c>
      <c r="D70" s="3" t="s">
        <v>245</v>
      </c>
      <c r="E70" s="6">
        <v>27.99</v>
      </c>
      <c r="F70" s="16">
        <v>15.41</v>
      </c>
      <c r="G70" s="51">
        <v>0</v>
      </c>
      <c r="H70" s="52">
        <f t="shared" si="4"/>
        <v>0</v>
      </c>
      <c r="I70" s="52">
        <f t="shared" si="5"/>
        <v>0</v>
      </c>
      <c r="J70" s="52">
        <f t="shared" si="6"/>
        <v>0</v>
      </c>
      <c r="K70" s="53">
        <f t="shared" si="7"/>
        <v>0</v>
      </c>
      <c r="L70" s="36"/>
      <c r="M70" s="11">
        <v>10203.790000000001</v>
      </c>
      <c r="N70" s="11">
        <v>8872.8608695652165</v>
      </c>
      <c r="O70" s="11">
        <v>4131</v>
      </c>
      <c r="P70" s="8">
        <v>918</v>
      </c>
      <c r="Q70" s="11">
        <v>4741.8608695652183</v>
      </c>
      <c r="R70" s="11">
        <v>11.115239651416124</v>
      </c>
      <c r="S70" s="11">
        <v>9.6654257838401048</v>
      </c>
      <c r="T70" s="11">
        <v>4.5</v>
      </c>
      <c r="U70" s="14">
        <v>53.44229938091631</v>
      </c>
      <c r="V70" s="36">
        <f>IFERROR(LOOKUP($C70,#REF!,#REF!),0)</f>
        <v>0</v>
      </c>
      <c r="W70" s="36">
        <f>IFERROR(LOOKUP($C70,#REF!,#REF!),0)</f>
        <v>0</v>
      </c>
      <c r="X70" s="36">
        <f>IFERROR(LOOKUP($C70,#REF!,#REF!),0)</f>
        <v>0</v>
      </c>
      <c r="Y70" s="36">
        <f>IFERROR(LOOKUP($C70,#REF!,#REF!),0)</f>
        <v>0</v>
      </c>
    </row>
    <row r="71" spans="1:25" ht="16.5" customHeight="1" x14ac:dyDescent="0.35">
      <c r="A71" s="3" t="s">
        <v>14</v>
      </c>
      <c r="B71" s="4">
        <v>106</v>
      </c>
      <c r="C71" s="5">
        <v>34028</v>
      </c>
      <c r="D71" s="3" t="s">
        <v>244</v>
      </c>
      <c r="E71" s="6">
        <v>26.99</v>
      </c>
      <c r="F71" s="16">
        <v>15.3</v>
      </c>
      <c r="G71" s="51">
        <v>0</v>
      </c>
      <c r="H71" s="52">
        <f t="shared" si="4"/>
        <v>0</v>
      </c>
      <c r="I71" s="52">
        <f t="shared" si="5"/>
        <v>0</v>
      </c>
      <c r="J71" s="52">
        <f t="shared" si="6"/>
        <v>0</v>
      </c>
      <c r="K71" s="53">
        <f t="shared" si="7"/>
        <v>0</v>
      </c>
      <c r="L71" s="36"/>
      <c r="M71" s="11">
        <v>10080.59</v>
      </c>
      <c r="N71" s="11">
        <v>8765.7304347826102</v>
      </c>
      <c r="O71" s="11">
        <v>4726.420000000001</v>
      </c>
      <c r="P71" s="8">
        <v>841</v>
      </c>
      <c r="Q71" s="11">
        <v>4039.3104347826074</v>
      </c>
      <c r="R71" s="11">
        <v>11.986432818073721</v>
      </c>
      <c r="S71" s="11">
        <v>10.422985059194543</v>
      </c>
      <c r="T71" s="11">
        <v>5.620000000000001</v>
      </c>
      <c r="U71" s="14">
        <v>46.080705593620998</v>
      </c>
      <c r="V71" s="36">
        <f>IFERROR(LOOKUP($C71,#REF!,#REF!),0)</f>
        <v>0</v>
      </c>
      <c r="W71" s="36">
        <f>IFERROR(LOOKUP($C71,#REF!,#REF!),0)</f>
        <v>0</v>
      </c>
      <c r="X71" s="36">
        <f>IFERROR(LOOKUP($C71,#REF!,#REF!),0)</f>
        <v>0</v>
      </c>
      <c r="Y71" s="36">
        <f>IFERROR(LOOKUP($C71,#REF!,#REF!),0)</f>
        <v>0</v>
      </c>
    </row>
    <row r="72" spans="1:25" ht="16.5" customHeight="1" x14ac:dyDescent="0.35">
      <c r="A72" s="3" t="s">
        <v>14</v>
      </c>
      <c r="B72" s="4">
        <v>118</v>
      </c>
      <c r="C72" s="5">
        <v>34033</v>
      </c>
      <c r="D72" s="3" t="s">
        <v>256</v>
      </c>
      <c r="E72" s="6">
        <v>120</v>
      </c>
      <c r="F72" s="16">
        <v>64.849999999999994</v>
      </c>
      <c r="G72" s="51">
        <v>0</v>
      </c>
      <c r="H72" s="52">
        <f t="shared" si="4"/>
        <v>0</v>
      </c>
      <c r="I72" s="52">
        <f t="shared" si="5"/>
        <v>0</v>
      </c>
      <c r="J72" s="52">
        <f t="shared" si="6"/>
        <v>0</v>
      </c>
      <c r="K72" s="53">
        <f t="shared" si="7"/>
        <v>0</v>
      </c>
      <c r="L72" s="36"/>
      <c r="M72" s="11">
        <v>9639.1500000000033</v>
      </c>
      <c r="N72" s="11">
        <v>8381.8695652173938</v>
      </c>
      <c r="O72" s="11">
        <v>4876.2</v>
      </c>
      <c r="P72" s="8">
        <v>1935</v>
      </c>
      <c r="Q72" s="11">
        <v>3505.6695652173939</v>
      </c>
      <c r="R72" s="11">
        <v>4.9814728682170557</v>
      </c>
      <c r="S72" s="11">
        <v>4.331715537580048</v>
      </c>
      <c r="T72" s="11">
        <v>2.52</v>
      </c>
      <c r="U72" s="14">
        <v>41.824434727128448</v>
      </c>
      <c r="V72" s="36">
        <f>IFERROR(LOOKUP($C72,#REF!,#REF!),0)</f>
        <v>0</v>
      </c>
      <c r="W72" s="36">
        <f>IFERROR(LOOKUP($C72,#REF!,#REF!),0)</f>
        <v>0</v>
      </c>
      <c r="X72" s="36">
        <f>IFERROR(LOOKUP($C72,#REF!,#REF!),0)</f>
        <v>0</v>
      </c>
      <c r="Y72" s="36">
        <f>IFERROR(LOOKUP($C72,#REF!,#REF!),0)</f>
        <v>0</v>
      </c>
    </row>
    <row r="73" spans="1:25" ht="16.5" customHeight="1" x14ac:dyDescent="0.35">
      <c r="A73" s="3" t="s">
        <v>14</v>
      </c>
      <c r="B73" s="4">
        <v>117</v>
      </c>
      <c r="C73" s="5">
        <v>34034</v>
      </c>
      <c r="D73" s="3" t="s">
        <v>253</v>
      </c>
      <c r="E73" s="6">
        <v>19.989999999999998</v>
      </c>
      <c r="F73" s="16">
        <v>8.43</v>
      </c>
      <c r="G73" s="51">
        <v>24</v>
      </c>
      <c r="H73" s="52">
        <f t="shared" si="4"/>
        <v>479.76</v>
      </c>
      <c r="I73" s="52">
        <f t="shared" si="5"/>
        <v>202.32</v>
      </c>
      <c r="J73" s="52">
        <f t="shared" si="6"/>
        <v>277.44</v>
      </c>
      <c r="K73" s="53">
        <f t="shared" si="7"/>
        <v>57.82891445722862</v>
      </c>
      <c r="L73" s="36"/>
      <c r="M73" s="11">
        <v>9240</v>
      </c>
      <c r="N73" s="11">
        <v>8034.7826086956511</v>
      </c>
      <c r="O73" s="11">
        <v>4836.4800000000014</v>
      </c>
      <c r="P73" s="8">
        <v>24</v>
      </c>
      <c r="Q73" s="11">
        <v>3198.3026086956506</v>
      </c>
      <c r="R73" s="11">
        <v>385</v>
      </c>
      <c r="S73" s="11">
        <v>334.78260869565213</v>
      </c>
      <c r="T73" s="11">
        <v>201.52000000000007</v>
      </c>
      <c r="U73" s="14">
        <v>39.805714285714267</v>
      </c>
      <c r="V73" s="36">
        <f>IFERROR(LOOKUP($C73,#REF!,#REF!),0)</f>
        <v>0</v>
      </c>
      <c r="W73" s="36">
        <f>IFERROR(LOOKUP($C73,#REF!,#REF!),0)</f>
        <v>0</v>
      </c>
      <c r="X73" s="36">
        <f>IFERROR(LOOKUP($C73,#REF!,#REF!),0)</f>
        <v>0</v>
      </c>
      <c r="Y73" s="36">
        <f>IFERROR(LOOKUP($C73,#REF!,#REF!),0)</f>
        <v>0</v>
      </c>
    </row>
    <row r="74" spans="1:25" ht="16.5" customHeight="1" x14ac:dyDescent="0.35">
      <c r="A74" s="3" t="s">
        <v>14</v>
      </c>
      <c r="B74" s="4">
        <v>102</v>
      </c>
      <c r="C74" s="5">
        <v>34037</v>
      </c>
      <c r="D74" s="3" t="s">
        <v>157</v>
      </c>
      <c r="E74" s="6">
        <v>29.99</v>
      </c>
      <c r="F74" s="16">
        <v>16.43</v>
      </c>
      <c r="G74" s="51">
        <v>0</v>
      </c>
      <c r="H74" s="52">
        <f t="shared" si="4"/>
        <v>0</v>
      </c>
      <c r="I74" s="52">
        <f t="shared" si="5"/>
        <v>0</v>
      </c>
      <c r="J74" s="52">
        <f t="shared" si="6"/>
        <v>0</v>
      </c>
      <c r="K74" s="53">
        <f t="shared" si="7"/>
        <v>0</v>
      </c>
      <c r="L74" s="36"/>
      <c r="M74" s="11">
        <v>9206.9199999999983</v>
      </c>
      <c r="N74" s="11">
        <v>8006.0173913043491</v>
      </c>
      <c r="O74" s="11">
        <v>3797.64</v>
      </c>
      <c r="P74" s="8">
        <v>308</v>
      </c>
      <c r="Q74" s="11">
        <v>4208.377391304346</v>
      </c>
      <c r="R74" s="11">
        <v>29.892597402597396</v>
      </c>
      <c r="S74" s="11">
        <v>25.993562958780355</v>
      </c>
      <c r="T74" s="11">
        <v>12.33</v>
      </c>
      <c r="U74" s="14">
        <v>52.565179234749507</v>
      </c>
      <c r="V74" s="36">
        <f>IFERROR(LOOKUP($C74,#REF!,#REF!),0)</f>
        <v>0</v>
      </c>
      <c r="W74" s="36">
        <f>IFERROR(LOOKUP($C74,#REF!,#REF!),0)</f>
        <v>0</v>
      </c>
      <c r="X74" s="36">
        <f>IFERROR(LOOKUP($C74,#REF!,#REF!),0)</f>
        <v>0</v>
      </c>
      <c r="Y74" s="36">
        <f>IFERROR(LOOKUP($C74,#REF!,#REF!),0)</f>
        <v>0</v>
      </c>
    </row>
    <row r="75" spans="1:25" ht="16.5" customHeight="1" x14ac:dyDescent="0.35">
      <c r="A75" s="3" t="s">
        <v>14</v>
      </c>
      <c r="B75" s="4">
        <v>102</v>
      </c>
      <c r="C75" s="5">
        <v>34039</v>
      </c>
      <c r="D75" s="3" t="s">
        <v>115</v>
      </c>
      <c r="E75" s="6">
        <v>11.99</v>
      </c>
      <c r="F75" s="16">
        <v>5.62</v>
      </c>
      <c r="G75" s="51">
        <v>0</v>
      </c>
      <c r="H75" s="52">
        <f t="shared" si="4"/>
        <v>0</v>
      </c>
      <c r="I75" s="52">
        <f t="shared" si="5"/>
        <v>0</v>
      </c>
      <c r="J75" s="52">
        <f t="shared" si="6"/>
        <v>0</v>
      </c>
      <c r="K75" s="53">
        <f t="shared" si="7"/>
        <v>0</v>
      </c>
      <c r="L75" s="36"/>
      <c r="M75" s="11">
        <v>9170.1700000000019</v>
      </c>
      <c r="N75" s="11">
        <v>7974.0608695652199</v>
      </c>
      <c r="O75" s="11">
        <v>3742.0499999999993</v>
      </c>
      <c r="P75" s="8">
        <v>1313</v>
      </c>
      <c r="Q75" s="11">
        <v>4232.0108695652207</v>
      </c>
      <c r="R75" s="11">
        <v>6.9841355674028955</v>
      </c>
      <c r="S75" s="11">
        <v>6.0731613629590404</v>
      </c>
      <c r="T75" s="11">
        <v>2.8499999999999996</v>
      </c>
      <c r="U75" s="14">
        <v>53.072216763702329</v>
      </c>
      <c r="V75" s="36">
        <f>IFERROR(LOOKUP($C75,#REF!,#REF!),0)</f>
        <v>0</v>
      </c>
      <c r="W75" s="36">
        <f>IFERROR(LOOKUP($C75,#REF!,#REF!),0)</f>
        <v>0</v>
      </c>
      <c r="X75" s="36">
        <f>IFERROR(LOOKUP($C75,#REF!,#REF!),0)</f>
        <v>0</v>
      </c>
      <c r="Y75" s="36">
        <f>IFERROR(LOOKUP($C75,#REF!,#REF!),0)</f>
        <v>0</v>
      </c>
    </row>
    <row r="76" spans="1:25" ht="16.5" customHeight="1" x14ac:dyDescent="0.35">
      <c r="A76" s="3" t="s">
        <v>14</v>
      </c>
      <c r="B76" s="4">
        <v>118</v>
      </c>
      <c r="C76" s="5">
        <v>34040</v>
      </c>
      <c r="D76" s="3" t="s">
        <v>262</v>
      </c>
      <c r="E76" s="6">
        <v>80</v>
      </c>
      <c r="F76" s="16">
        <v>36.909999999999997</v>
      </c>
      <c r="G76" s="51">
        <v>0</v>
      </c>
      <c r="H76" s="52">
        <f t="shared" si="4"/>
        <v>0</v>
      </c>
      <c r="I76" s="52">
        <f t="shared" si="5"/>
        <v>0</v>
      </c>
      <c r="J76" s="52">
        <f t="shared" si="6"/>
        <v>0</v>
      </c>
      <c r="K76" s="53">
        <f t="shared" si="7"/>
        <v>0</v>
      </c>
      <c r="L76" s="36"/>
      <c r="M76" s="11">
        <v>8585.25</v>
      </c>
      <c r="N76" s="11">
        <v>7465.434782608696</v>
      </c>
      <c r="O76" s="11">
        <v>2372.2199999999998</v>
      </c>
      <c r="P76" s="8">
        <v>1719</v>
      </c>
      <c r="Q76" s="11">
        <v>5093.2147826086966</v>
      </c>
      <c r="R76" s="11">
        <v>4.9943280977312394</v>
      </c>
      <c r="S76" s="11">
        <v>4.342893998027165</v>
      </c>
      <c r="T76" s="11">
        <v>1.38</v>
      </c>
      <c r="U76" s="14">
        <v>68.223953874377571</v>
      </c>
      <c r="V76" s="36">
        <f>IFERROR(LOOKUP($C76,#REF!,#REF!),0)</f>
        <v>0</v>
      </c>
      <c r="W76" s="36">
        <f>IFERROR(LOOKUP($C76,#REF!,#REF!),0)</f>
        <v>0</v>
      </c>
      <c r="X76" s="36">
        <f>IFERROR(LOOKUP($C76,#REF!,#REF!),0)</f>
        <v>0</v>
      </c>
      <c r="Y76" s="36">
        <f>IFERROR(LOOKUP($C76,#REF!,#REF!),0)</f>
        <v>0</v>
      </c>
    </row>
    <row r="77" spans="1:25" ht="16.5" customHeight="1" x14ac:dyDescent="0.35">
      <c r="A77" s="3" t="s">
        <v>14</v>
      </c>
      <c r="B77" s="4">
        <v>101</v>
      </c>
      <c r="C77" s="5">
        <v>34041</v>
      </c>
      <c r="D77" s="3" t="s">
        <v>43</v>
      </c>
      <c r="E77" s="6">
        <v>6.99</v>
      </c>
      <c r="F77" s="16">
        <v>3.15</v>
      </c>
      <c r="G77" s="51">
        <v>70</v>
      </c>
      <c r="H77" s="52">
        <f t="shared" si="4"/>
        <v>489.3</v>
      </c>
      <c r="I77" s="52">
        <f t="shared" si="5"/>
        <v>220.5</v>
      </c>
      <c r="J77" s="52">
        <f t="shared" si="6"/>
        <v>268.8</v>
      </c>
      <c r="K77" s="53">
        <f t="shared" si="7"/>
        <v>54.935622317596568</v>
      </c>
      <c r="L77" s="36"/>
      <c r="M77" s="11">
        <v>8418.1799999999985</v>
      </c>
      <c r="N77" s="11">
        <v>7320.1565217391308</v>
      </c>
      <c r="O77" s="11">
        <v>4773.6000000000004</v>
      </c>
      <c r="P77" s="8">
        <v>312</v>
      </c>
      <c r="Q77" s="11">
        <v>2546.5565217391286</v>
      </c>
      <c r="R77" s="11">
        <v>26.98134615384615</v>
      </c>
      <c r="S77" s="11">
        <v>23.462040133779265</v>
      </c>
      <c r="T77" s="11">
        <v>15.3</v>
      </c>
      <c r="U77" s="14">
        <v>34.788279651896239</v>
      </c>
      <c r="V77" s="36">
        <f>IFERROR(LOOKUP($C77,#REF!,#REF!),0)</f>
        <v>0</v>
      </c>
      <c r="W77" s="36">
        <f>IFERROR(LOOKUP($C77,#REF!,#REF!),0)</f>
        <v>0</v>
      </c>
      <c r="X77" s="36">
        <f>IFERROR(LOOKUP($C77,#REF!,#REF!),0)</f>
        <v>0</v>
      </c>
      <c r="Y77" s="36">
        <f>IFERROR(LOOKUP($C77,#REF!,#REF!),0)</f>
        <v>0</v>
      </c>
    </row>
    <row r="78" spans="1:25" ht="16.5" customHeight="1" x14ac:dyDescent="0.35">
      <c r="A78" s="3" t="s">
        <v>14</v>
      </c>
      <c r="B78" s="4">
        <v>101</v>
      </c>
      <c r="C78" s="5">
        <v>34042</v>
      </c>
      <c r="D78" s="3" t="s">
        <v>31</v>
      </c>
      <c r="E78" s="6">
        <v>9.5</v>
      </c>
      <c r="F78" s="16">
        <v>4.1500000000000004</v>
      </c>
      <c r="G78" s="51">
        <v>48</v>
      </c>
      <c r="H78" s="52">
        <f t="shared" si="4"/>
        <v>456</v>
      </c>
      <c r="I78" s="52">
        <f t="shared" si="5"/>
        <v>199.20000000000002</v>
      </c>
      <c r="J78" s="52">
        <f t="shared" si="6"/>
        <v>256.79999999999995</v>
      </c>
      <c r="K78" s="53">
        <f t="shared" si="7"/>
        <v>56.315789473684198</v>
      </c>
      <c r="L78" s="36"/>
      <c r="M78" s="11">
        <v>7897</v>
      </c>
      <c r="N78" s="11">
        <v>6866.95652173913</v>
      </c>
      <c r="O78" s="11">
        <v>2597.7600000000002</v>
      </c>
      <c r="P78" s="8">
        <v>792</v>
      </c>
      <c r="Q78" s="11">
        <v>4269.1965217391307</v>
      </c>
      <c r="R78" s="11">
        <v>9.9709595959595951</v>
      </c>
      <c r="S78" s="11">
        <v>8.670399648660517</v>
      </c>
      <c r="T78" s="11">
        <v>3.2800000000000002</v>
      </c>
      <c r="U78" s="14">
        <v>62.170140559706219</v>
      </c>
      <c r="V78" s="36">
        <f>IFERROR(LOOKUP($C78,#REF!,#REF!),0)</f>
        <v>0</v>
      </c>
      <c r="W78" s="36">
        <f>IFERROR(LOOKUP($C78,#REF!,#REF!),0)</f>
        <v>0</v>
      </c>
      <c r="X78" s="36">
        <f>IFERROR(LOOKUP($C78,#REF!,#REF!),0)</f>
        <v>0</v>
      </c>
      <c r="Y78" s="36">
        <f>IFERROR(LOOKUP($C78,#REF!,#REF!),0)</f>
        <v>0</v>
      </c>
    </row>
    <row r="79" spans="1:25" ht="16.5" customHeight="1" x14ac:dyDescent="0.35">
      <c r="A79" s="3" t="s">
        <v>14</v>
      </c>
      <c r="B79" s="4">
        <v>101</v>
      </c>
      <c r="C79" s="5">
        <v>34046</v>
      </c>
      <c r="D79" s="3" t="s">
        <v>37</v>
      </c>
      <c r="E79" s="6">
        <v>19.989999999999998</v>
      </c>
      <c r="F79" s="16">
        <v>12.2</v>
      </c>
      <c r="G79" s="51">
        <v>50</v>
      </c>
      <c r="H79" s="52">
        <f t="shared" si="4"/>
        <v>999.49999999999989</v>
      </c>
      <c r="I79" s="52">
        <f t="shared" si="5"/>
        <v>610</v>
      </c>
      <c r="J79" s="52">
        <f t="shared" si="6"/>
        <v>389.49999999999989</v>
      </c>
      <c r="K79" s="53">
        <f t="shared" si="7"/>
        <v>38.969484742371179</v>
      </c>
      <c r="L79" s="36"/>
      <c r="M79" s="11">
        <v>7862.13</v>
      </c>
      <c r="N79" s="11">
        <v>6836.6347826086967</v>
      </c>
      <c r="O79" s="11">
        <v>2542.0100000000002</v>
      </c>
      <c r="P79" s="8">
        <v>787</v>
      </c>
      <c r="Q79" s="11">
        <v>4294.6247826086947</v>
      </c>
      <c r="R79" s="11">
        <v>9.99</v>
      </c>
      <c r="S79" s="11">
        <v>8.6869565217391322</v>
      </c>
      <c r="T79" s="11">
        <v>3.2300000000000004</v>
      </c>
      <c r="U79" s="14">
        <v>62.817817817817811</v>
      </c>
      <c r="V79" s="36">
        <f>IFERROR(LOOKUP($C79,#REF!,#REF!),0)</f>
        <v>0</v>
      </c>
      <c r="W79" s="36">
        <f>IFERROR(LOOKUP($C79,#REF!,#REF!),0)</f>
        <v>0</v>
      </c>
      <c r="X79" s="36">
        <f>IFERROR(LOOKUP($C79,#REF!,#REF!),0)</f>
        <v>0</v>
      </c>
      <c r="Y79" s="36">
        <f>IFERROR(LOOKUP($C79,#REF!,#REF!),0)</f>
        <v>0</v>
      </c>
    </row>
    <row r="80" spans="1:25" ht="16.5" customHeight="1" x14ac:dyDescent="0.35">
      <c r="A80" s="3" t="s">
        <v>14</v>
      </c>
      <c r="B80" s="4">
        <v>101</v>
      </c>
      <c r="C80" s="5">
        <v>34052</v>
      </c>
      <c r="D80" s="3" t="s">
        <v>71</v>
      </c>
      <c r="E80" s="6">
        <v>24.99</v>
      </c>
      <c r="F80" s="16">
        <v>8.1</v>
      </c>
      <c r="G80" s="51">
        <v>0</v>
      </c>
      <c r="H80" s="52">
        <f t="shared" si="4"/>
        <v>0</v>
      </c>
      <c r="I80" s="52">
        <f t="shared" si="5"/>
        <v>0</v>
      </c>
      <c r="J80" s="52">
        <f t="shared" si="6"/>
        <v>0</v>
      </c>
      <c r="K80" s="53">
        <f t="shared" si="7"/>
        <v>0</v>
      </c>
      <c r="L80" s="36"/>
      <c r="M80" s="11">
        <v>7140.91</v>
      </c>
      <c r="N80" s="11">
        <v>6209.4869565217396</v>
      </c>
      <c r="O80" s="11">
        <v>4147</v>
      </c>
      <c r="P80" s="8">
        <v>319</v>
      </c>
      <c r="Q80" s="11">
        <v>2062.4869565217386</v>
      </c>
      <c r="R80" s="11">
        <v>22.385297805642633</v>
      </c>
      <c r="S80" s="11">
        <v>19.465476352732725</v>
      </c>
      <c r="T80" s="11">
        <v>13</v>
      </c>
      <c r="U80" s="14">
        <v>33.215094434742902</v>
      </c>
      <c r="V80" s="36">
        <f>IFERROR(LOOKUP($C80,#REF!,#REF!),0)</f>
        <v>0</v>
      </c>
      <c r="W80" s="36">
        <f>IFERROR(LOOKUP($C80,#REF!,#REF!),0)</f>
        <v>0</v>
      </c>
      <c r="X80" s="36">
        <f>IFERROR(LOOKUP($C80,#REF!,#REF!),0)</f>
        <v>0</v>
      </c>
      <c r="Y80" s="36">
        <f>IFERROR(LOOKUP($C80,#REF!,#REF!),0)</f>
        <v>0</v>
      </c>
    </row>
    <row r="81" spans="1:25" ht="16.5" customHeight="1" x14ac:dyDescent="0.35">
      <c r="A81" s="3" t="s">
        <v>14</v>
      </c>
      <c r="B81" s="4">
        <v>101</v>
      </c>
      <c r="C81" s="5">
        <v>34053</v>
      </c>
      <c r="D81" s="3" t="s">
        <v>57</v>
      </c>
      <c r="E81" s="6">
        <v>15.99</v>
      </c>
      <c r="F81" s="16">
        <v>6.74</v>
      </c>
      <c r="G81" s="51">
        <v>6</v>
      </c>
      <c r="H81" s="52">
        <f t="shared" si="4"/>
        <v>95.94</v>
      </c>
      <c r="I81" s="52">
        <f t="shared" si="5"/>
        <v>40.44</v>
      </c>
      <c r="J81" s="52">
        <f t="shared" si="6"/>
        <v>55.5</v>
      </c>
      <c r="K81" s="53">
        <f t="shared" si="7"/>
        <v>57.848655409631021</v>
      </c>
      <c r="L81" s="36"/>
      <c r="M81" s="11">
        <v>6660</v>
      </c>
      <c r="N81" s="11">
        <v>5791.3043478260879</v>
      </c>
      <c r="O81" s="11">
        <v>3465.86</v>
      </c>
      <c r="P81" s="8">
        <v>17</v>
      </c>
      <c r="Q81" s="11">
        <v>2325.4443478260869</v>
      </c>
      <c r="R81" s="11">
        <v>391.76470588235293</v>
      </c>
      <c r="S81" s="11">
        <v>340.66496163682871</v>
      </c>
      <c r="T81" s="11">
        <v>203.87411764705882</v>
      </c>
      <c r="U81" s="14">
        <v>40.154069069069067</v>
      </c>
      <c r="V81" s="36">
        <f>IFERROR(LOOKUP($C81,#REF!,#REF!),0)</f>
        <v>0</v>
      </c>
      <c r="W81" s="36">
        <f>IFERROR(LOOKUP($C81,#REF!,#REF!),0)</f>
        <v>0</v>
      </c>
      <c r="X81" s="36">
        <f>IFERROR(LOOKUP($C81,#REF!,#REF!),0)</f>
        <v>0</v>
      </c>
      <c r="Y81" s="36">
        <f>IFERROR(LOOKUP($C81,#REF!,#REF!),0)</f>
        <v>0</v>
      </c>
    </row>
    <row r="82" spans="1:25" ht="16.5" customHeight="1" x14ac:dyDescent="0.35">
      <c r="A82" s="3" t="s">
        <v>14</v>
      </c>
      <c r="B82" s="4">
        <v>118</v>
      </c>
      <c r="C82" s="5">
        <v>34054</v>
      </c>
      <c r="D82" s="3" t="s">
        <v>259</v>
      </c>
      <c r="E82" s="6">
        <v>100</v>
      </c>
      <c r="F82" s="16">
        <v>54.36</v>
      </c>
      <c r="G82" s="51">
        <v>0</v>
      </c>
      <c r="H82" s="52">
        <f t="shared" si="4"/>
        <v>0</v>
      </c>
      <c r="I82" s="52">
        <f t="shared" si="5"/>
        <v>0</v>
      </c>
      <c r="J82" s="52">
        <f t="shared" si="6"/>
        <v>0</v>
      </c>
      <c r="K82" s="53">
        <f t="shared" si="7"/>
        <v>0</v>
      </c>
      <c r="L82" s="36"/>
      <c r="M82" s="11">
        <v>6648</v>
      </c>
      <c r="N82" s="11">
        <v>5780.8695652173919</v>
      </c>
      <c r="O82" s="11">
        <v>4323.8</v>
      </c>
      <c r="P82" s="8">
        <v>6652</v>
      </c>
      <c r="Q82" s="11">
        <v>1457.0695652173908</v>
      </c>
      <c r="R82" s="11">
        <v>0.99939867708959707</v>
      </c>
      <c r="S82" s="11">
        <v>0.8690423279039976</v>
      </c>
      <c r="T82" s="11">
        <v>0.65</v>
      </c>
      <c r="U82" s="14">
        <v>25.205024067388681</v>
      </c>
      <c r="V82" s="36">
        <f>IFERROR(LOOKUP($C82,#REF!,#REF!),0)</f>
        <v>0</v>
      </c>
      <c r="W82" s="36">
        <f>IFERROR(LOOKUP($C82,#REF!,#REF!),0)</f>
        <v>0</v>
      </c>
      <c r="X82" s="36">
        <f>IFERROR(LOOKUP($C82,#REF!,#REF!),0)</f>
        <v>0</v>
      </c>
      <c r="Y82" s="36">
        <f>IFERROR(LOOKUP($C82,#REF!,#REF!),0)</f>
        <v>0</v>
      </c>
    </row>
    <row r="83" spans="1:25" ht="16.5" customHeight="1" x14ac:dyDescent="0.35">
      <c r="A83" s="3" t="s">
        <v>14</v>
      </c>
      <c r="B83" s="4">
        <v>101</v>
      </c>
      <c r="C83" s="5">
        <v>34059</v>
      </c>
      <c r="D83" s="3" t="s">
        <v>64</v>
      </c>
      <c r="E83" s="6">
        <v>6.99</v>
      </c>
      <c r="F83" s="16">
        <v>3.8</v>
      </c>
      <c r="G83" s="51">
        <v>0</v>
      </c>
      <c r="H83" s="52">
        <f t="shared" si="4"/>
        <v>0</v>
      </c>
      <c r="I83" s="52">
        <f t="shared" si="5"/>
        <v>0</v>
      </c>
      <c r="J83" s="52">
        <f t="shared" si="6"/>
        <v>0</v>
      </c>
      <c r="K83" s="53">
        <f t="shared" si="7"/>
        <v>0</v>
      </c>
      <c r="L83" s="36"/>
      <c r="M83" s="11">
        <v>6640</v>
      </c>
      <c r="N83" s="11">
        <v>5773.913043478261</v>
      </c>
      <c r="O83" s="11">
        <v>3782.7400000000002</v>
      </c>
      <c r="P83" s="8">
        <v>58</v>
      </c>
      <c r="Q83" s="11">
        <v>1991.1730434782608</v>
      </c>
      <c r="R83" s="11">
        <v>114.48275862068965</v>
      </c>
      <c r="S83" s="11">
        <v>99.550224887556226</v>
      </c>
      <c r="T83" s="11">
        <v>65.219655172413795</v>
      </c>
      <c r="U83" s="14">
        <v>34.485677710843369</v>
      </c>
      <c r="V83" s="36">
        <f>IFERROR(LOOKUP($C83,#REF!,#REF!),0)</f>
        <v>0</v>
      </c>
      <c r="W83" s="36">
        <f>IFERROR(LOOKUP($C83,#REF!,#REF!),0)</f>
        <v>0</v>
      </c>
      <c r="X83" s="36">
        <f>IFERROR(LOOKUP($C83,#REF!,#REF!),0)</f>
        <v>0</v>
      </c>
      <c r="Y83" s="36">
        <f>IFERROR(LOOKUP($C83,#REF!,#REF!),0)</f>
        <v>0</v>
      </c>
    </row>
    <row r="84" spans="1:25" ht="16.5" customHeight="1" x14ac:dyDescent="0.35">
      <c r="A84" s="3" t="s">
        <v>356</v>
      </c>
      <c r="B84" s="4">
        <v>102</v>
      </c>
      <c r="C84" s="5">
        <v>34061</v>
      </c>
      <c r="D84" s="3" t="s">
        <v>150</v>
      </c>
      <c r="E84" s="6">
        <v>39.99</v>
      </c>
      <c r="F84" s="16">
        <v>17.68</v>
      </c>
      <c r="G84" s="51">
        <v>0</v>
      </c>
      <c r="H84" s="52">
        <f t="shared" si="4"/>
        <v>0</v>
      </c>
      <c r="I84" s="52">
        <f t="shared" si="5"/>
        <v>0</v>
      </c>
      <c r="J84" s="52">
        <f t="shared" si="6"/>
        <v>0</v>
      </c>
      <c r="K84" s="53">
        <f t="shared" si="7"/>
        <v>0</v>
      </c>
      <c r="L84" s="36"/>
      <c r="M84" s="11">
        <v>6633.3599999999988</v>
      </c>
      <c r="N84" s="11">
        <v>5768.1391304347835</v>
      </c>
      <c r="O84" s="11">
        <v>3007.9200000000005</v>
      </c>
      <c r="P84" s="8">
        <v>664</v>
      </c>
      <c r="Q84" s="11">
        <v>2760.2191304347812</v>
      </c>
      <c r="R84" s="11">
        <v>9.9899999999999984</v>
      </c>
      <c r="S84" s="11">
        <v>8.6869565217391322</v>
      </c>
      <c r="T84" s="11">
        <v>4.5300000000000011</v>
      </c>
      <c r="U84" s="14">
        <v>47.852852852852834</v>
      </c>
      <c r="V84" s="36">
        <f>IFERROR(LOOKUP($C84,#REF!,#REF!),0)</f>
        <v>0</v>
      </c>
      <c r="W84" s="36">
        <f>IFERROR(LOOKUP($C84,#REF!,#REF!),0)</f>
        <v>0</v>
      </c>
      <c r="X84" s="36">
        <f>IFERROR(LOOKUP($C84,#REF!,#REF!),0)</f>
        <v>0</v>
      </c>
      <c r="Y84" s="36">
        <f>IFERROR(LOOKUP($C84,#REF!,#REF!),0)</f>
        <v>0</v>
      </c>
    </row>
    <row r="85" spans="1:25" ht="16.5" customHeight="1" x14ac:dyDescent="0.35">
      <c r="A85" s="3" t="s">
        <v>14</v>
      </c>
      <c r="B85" s="4">
        <v>101</v>
      </c>
      <c r="C85" s="5">
        <v>34068</v>
      </c>
      <c r="D85" s="3" t="s">
        <v>74</v>
      </c>
      <c r="E85" s="6">
        <v>1.5</v>
      </c>
      <c r="F85" s="16">
        <v>0.59</v>
      </c>
      <c r="G85" s="51">
        <v>0</v>
      </c>
      <c r="H85" s="52">
        <f t="shared" si="4"/>
        <v>0</v>
      </c>
      <c r="I85" s="52">
        <f t="shared" si="5"/>
        <v>0</v>
      </c>
      <c r="J85" s="52">
        <f t="shared" si="6"/>
        <v>0</v>
      </c>
      <c r="K85" s="53">
        <f t="shared" si="7"/>
        <v>0</v>
      </c>
      <c r="L85" s="36"/>
      <c r="M85" s="11">
        <v>6481.1899999999987</v>
      </c>
      <c r="N85" s="11">
        <v>5635.8173913043483</v>
      </c>
      <c r="O85" s="11">
        <v>3278.9300000000003</v>
      </c>
      <c r="P85" s="8">
        <v>131</v>
      </c>
      <c r="Q85" s="11">
        <v>2356.8873913043462</v>
      </c>
      <c r="R85" s="11">
        <v>49.47473282442747</v>
      </c>
      <c r="S85" s="11">
        <v>43.021506803849988</v>
      </c>
      <c r="T85" s="11">
        <v>25.03</v>
      </c>
      <c r="U85" s="14">
        <v>41.819796981727102</v>
      </c>
      <c r="V85" s="36">
        <f>IFERROR(LOOKUP($C85,#REF!,#REF!),0)</f>
        <v>0</v>
      </c>
      <c r="W85" s="36">
        <f>IFERROR(LOOKUP($C85,#REF!,#REF!),0)</f>
        <v>0</v>
      </c>
      <c r="X85" s="36">
        <f>IFERROR(LOOKUP($C85,#REF!,#REF!),0)</f>
        <v>0</v>
      </c>
      <c r="Y85" s="36">
        <f>IFERROR(LOOKUP($C85,#REF!,#REF!),0)</f>
        <v>0</v>
      </c>
    </row>
    <row r="86" spans="1:25" ht="16.5" customHeight="1" x14ac:dyDescent="0.35">
      <c r="A86" s="3" t="s">
        <v>14</v>
      </c>
      <c r="B86" s="4">
        <v>102</v>
      </c>
      <c r="C86" s="5">
        <v>34074</v>
      </c>
      <c r="D86" s="3" t="s">
        <v>140</v>
      </c>
      <c r="E86" s="6">
        <v>21.99</v>
      </c>
      <c r="F86" s="16">
        <v>12.33</v>
      </c>
      <c r="G86" s="51">
        <v>0</v>
      </c>
      <c r="H86" s="52">
        <f t="shared" si="4"/>
        <v>0</v>
      </c>
      <c r="I86" s="52">
        <f t="shared" si="5"/>
        <v>0</v>
      </c>
      <c r="J86" s="52">
        <f t="shared" si="6"/>
        <v>0</v>
      </c>
      <c r="K86" s="53">
        <f t="shared" si="7"/>
        <v>0</v>
      </c>
      <c r="L86" s="36"/>
      <c r="M86" s="11">
        <v>6411.9900000000016</v>
      </c>
      <c r="N86" s="11">
        <v>5575.6434782608703</v>
      </c>
      <c r="O86" s="11">
        <v>3328.3000000000006</v>
      </c>
      <c r="P86" s="8">
        <v>401</v>
      </c>
      <c r="Q86" s="11">
        <v>2247.3434782608697</v>
      </c>
      <c r="R86" s="11">
        <v>15.990000000000004</v>
      </c>
      <c r="S86" s="11">
        <v>13.904347826086958</v>
      </c>
      <c r="T86" s="11">
        <v>8.3000000000000007</v>
      </c>
      <c r="U86" s="14">
        <v>40.306441525953716</v>
      </c>
      <c r="V86" s="36">
        <f>IFERROR(LOOKUP($C86,#REF!,#REF!),0)</f>
        <v>0</v>
      </c>
      <c r="W86" s="36">
        <f>IFERROR(LOOKUP($C86,#REF!,#REF!),0)</f>
        <v>0</v>
      </c>
      <c r="X86" s="36">
        <f>IFERROR(LOOKUP($C86,#REF!,#REF!),0)</f>
        <v>0</v>
      </c>
      <c r="Y86" s="36">
        <f>IFERROR(LOOKUP($C86,#REF!,#REF!),0)</f>
        <v>0</v>
      </c>
    </row>
    <row r="87" spans="1:25" ht="16.5" customHeight="1" x14ac:dyDescent="0.35">
      <c r="A87" s="3" t="s">
        <v>14</v>
      </c>
      <c r="B87" s="4">
        <v>104</v>
      </c>
      <c r="C87" s="5">
        <v>34075</v>
      </c>
      <c r="D87" s="3" t="s">
        <v>240</v>
      </c>
      <c r="E87" s="6">
        <v>69.989999999999995</v>
      </c>
      <c r="F87" s="16">
        <v>36.1</v>
      </c>
      <c r="G87" s="51">
        <v>0</v>
      </c>
      <c r="H87" s="52">
        <f t="shared" si="4"/>
        <v>0</v>
      </c>
      <c r="I87" s="52">
        <f t="shared" si="5"/>
        <v>0</v>
      </c>
      <c r="J87" s="52">
        <f t="shared" si="6"/>
        <v>0</v>
      </c>
      <c r="K87" s="53">
        <f t="shared" si="7"/>
        <v>0</v>
      </c>
      <c r="L87" s="36"/>
      <c r="M87" s="11">
        <v>6057.57</v>
      </c>
      <c r="N87" s="11">
        <v>5267.452173913045</v>
      </c>
      <c r="O87" s="11">
        <v>2352.2400000000007</v>
      </c>
      <c r="P87" s="8">
        <v>243</v>
      </c>
      <c r="Q87" s="11">
        <v>2915.2121739130425</v>
      </c>
      <c r="R87" s="11">
        <v>24.928271604938271</v>
      </c>
      <c r="S87" s="11">
        <v>21.676757917337635</v>
      </c>
      <c r="T87" s="11">
        <v>9.6800000000000033</v>
      </c>
      <c r="U87" s="14">
        <v>55.343875514438942</v>
      </c>
      <c r="V87" s="36">
        <f>IFERROR(LOOKUP($C87,#REF!,#REF!),0)</f>
        <v>0</v>
      </c>
      <c r="W87" s="36">
        <f>IFERROR(LOOKUP($C87,#REF!,#REF!),0)</f>
        <v>0</v>
      </c>
      <c r="X87" s="36">
        <f>IFERROR(LOOKUP($C87,#REF!,#REF!),0)</f>
        <v>0</v>
      </c>
      <c r="Y87" s="36">
        <f>IFERROR(LOOKUP($C87,#REF!,#REF!),0)</f>
        <v>0</v>
      </c>
    </row>
    <row r="88" spans="1:25" ht="16.5" customHeight="1" x14ac:dyDescent="0.35">
      <c r="A88" s="3" t="s">
        <v>359</v>
      </c>
      <c r="B88" s="4">
        <v>103</v>
      </c>
      <c r="C88" s="5">
        <v>34076</v>
      </c>
      <c r="D88" s="3" t="s">
        <v>228</v>
      </c>
      <c r="E88" s="6">
        <v>114.99</v>
      </c>
      <c r="F88" s="16">
        <v>59.83</v>
      </c>
      <c r="G88" s="51">
        <v>0</v>
      </c>
      <c r="H88" s="52">
        <f t="shared" si="4"/>
        <v>0</v>
      </c>
      <c r="I88" s="52">
        <f t="shared" si="5"/>
        <v>0</v>
      </c>
      <c r="J88" s="52">
        <f t="shared" si="6"/>
        <v>0</v>
      </c>
      <c r="K88" s="53">
        <f t="shared" si="7"/>
        <v>0</v>
      </c>
      <c r="L88" s="36"/>
      <c r="M88" s="11">
        <v>5660.5500000000011</v>
      </c>
      <c r="N88" s="11">
        <v>4922.2173913043489</v>
      </c>
      <c r="O88" s="11">
        <v>2787.75</v>
      </c>
      <c r="P88" s="8">
        <v>945</v>
      </c>
      <c r="Q88" s="11">
        <v>2134.4673913043489</v>
      </c>
      <c r="R88" s="11">
        <v>5.9900000000000011</v>
      </c>
      <c r="S88" s="11">
        <v>5.2086956521739145</v>
      </c>
      <c r="T88" s="11">
        <v>2.95</v>
      </c>
      <c r="U88" s="14">
        <v>43.363939899833063</v>
      </c>
      <c r="V88" s="36">
        <f>IFERROR(LOOKUP($C88,#REF!,#REF!),0)</f>
        <v>0</v>
      </c>
      <c r="W88" s="36">
        <f>IFERROR(LOOKUP($C88,#REF!,#REF!),0)</f>
        <v>0</v>
      </c>
      <c r="X88" s="36">
        <f>IFERROR(LOOKUP($C88,#REF!,#REF!),0)</f>
        <v>0</v>
      </c>
      <c r="Y88" s="36">
        <f>IFERROR(LOOKUP($C88,#REF!,#REF!),0)</f>
        <v>0</v>
      </c>
    </row>
    <row r="89" spans="1:25" ht="16.5" customHeight="1" x14ac:dyDescent="0.35">
      <c r="A89" s="3" t="s">
        <v>14</v>
      </c>
      <c r="B89" s="4">
        <v>104</v>
      </c>
      <c r="C89" s="5">
        <v>34079</v>
      </c>
      <c r="D89" s="3" t="s">
        <v>236</v>
      </c>
      <c r="E89" s="6">
        <v>60</v>
      </c>
      <c r="F89" s="16">
        <v>29.14</v>
      </c>
      <c r="G89" s="51">
        <v>3</v>
      </c>
      <c r="H89" s="52">
        <f t="shared" si="4"/>
        <v>180</v>
      </c>
      <c r="I89" s="52">
        <f t="shared" si="5"/>
        <v>87.42</v>
      </c>
      <c r="J89" s="52">
        <f t="shared" si="6"/>
        <v>92.58</v>
      </c>
      <c r="K89" s="53">
        <f t="shared" si="7"/>
        <v>51.43333333333333</v>
      </c>
      <c r="L89" s="36"/>
      <c r="M89" s="11">
        <v>5508.24</v>
      </c>
      <c r="N89" s="11">
        <v>4789.7739130434793</v>
      </c>
      <c r="O89" s="11">
        <v>2346</v>
      </c>
      <c r="P89" s="8">
        <v>276</v>
      </c>
      <c r="Q89" s="11">
        <v>2443.7739130434775</v>
      </c>
      <c r="R89" s="11">
        <v>19.957391304347826</v>
      </c>
      <c r="S89" s="11">
        <v>17.354253308128548</v>
      </c>
      <c r="T89" s="11">
        <v>8.5</v>
      </c>
      <c r="U89" s="14">
        <v>51.020652694871671</v>
      </c>
      <c r="V89" s="36">
        <f>IFERROR(LOOKUP($C89,#REF!,#REF!),0)</f>
        <v>0</v>
      </c>
      <c r="W89" s="36">
        <f>IFERROR(LOOKUP($C89,#REF!,#REF!),0)</f>
        <v>0</v>
      </c>
      <c r="X89" s="36">
        <f>IFERROR(LOOKUP($C89,#REF!,#REF!),0)</f>
        <v>0</v>
      </c>
      <c r="Y89" s="36">
        <f>IFERROR(LOOKUP($C89,#REF!,#REF!),0)</f>
        <v>0</v>
      </c>
    </row>
    <row r="90" spans="1:25" ht="16.5" customHeight="1" x14ac:dyDescent="0.35">
      <c r="A90" s="3" t="s">
        <v>14</v>
      </c>
      <c r="B90" s="4">
        <v>104</v>
      </c>
      <c r="C90" s="5">
        <v>34080</v>
      </c>
      <c r="D90" s="3" t="s">
        <v>234</v>
      </c>
      <c r="E90" s="6">
        <v>55</v>
      </c>
      <c r="F90" s="16">
        <v>24.25</v>
      </c>
      <c r="G90" s="51">
        <v>0</v>
      </c>
      <c r="H90" s="52">
        <f t="shared" si="4"/>
        <v>0</v>
      </c>
      <c r="I90" s="52">
        <f t="shared" si="5"/>
        <v>0</v>
      </c>
      <c r="J90" s="52">
        <f t="shared" si="6"/>
        <v>0</v>
      </c>
      <c r="K90" s="53">
        <f t="shared" si="7"/>
        <v>0</v>
      </c>
      <c r="L90" s="36"/>
      <c r="M90" s="11">
        <v>4711.5599999999986</v>
      </c>
      <c r="N90" s="11">
        <v>4097.0086956521736</v>
      </c>
      <c r="O90" s="11">
        <v>2341.75</v>
      </c>
      <c r="P90" s="8">
        <v>95</v>
      </c>
      <c r="Q90" s="11">
        <v>1755.2586956521727</v>
      </c>
      <c r="R90" s="11">
        <v>49.595368421052619</v>
      </c>
      <c r="S90" s="11">
        <v>43.126407322654458</v>
      </c>
      <c r="T90" s="11">
        <v>24.65</v>
      </c>
      <c r="U90" s="14">
        <v>42.842444965149525</v>
      </c>
      <c r="V90" s="36">
        <f>IFERROR(LOOKUP($C90,#REF!,#REF!),0)</f>
        <v>0</v>
      </c>
      <c r="W90" s="36">
        <f>IFERROR(LOOKUP($C90,#REF!,#REF!),0)</f>
        <v>0</v>
      </c>
      <c r="X90" s="36">
        <f>IFERROR(LOOKUP($C90,#REF!,#REF!),0)</f>
        <v>0</v>
      </c>
      <c r="Y90" s="36">
        <f>IFERROR(LOOKUP($C90,#REF!,#REF!),0)</f>
        <v>0</v>
      </c>
    </row>
    <row r="91" spans="1:25" ht="16.5" customHeight="1" x14ac:dyDescent="0.35">
      <c r="A91" s="3" t="s">
        <v>14</v>
      </c>
      <c r="B91" s="4">
        <v>104</v>
      </c>
      <c r="C91" s="5">
        <v>34081</v>
      </c>
      <c r="D91" s="3" t="s">
        <v>232</v>
      </c>
      <c r="E91" s="6">
        <v>29.99</v>
      </c>
      <c r="F91" s="16">
        <v>14.34</v>
      </c>
      <c r="G91" s="51">
        <v>0</v>
      </c>
      <c r="H91" s="52">
        <f t="shared" si="4"/>
        <v>0</v>
      </c>
      <c r="I91" s="52">
        <f t="shared" si="5"/>
        <v>0</v>
      </c>
      <c r="J91" s="52">
        <f t="shared" si="6"/>
        <v>0</v>
      </c>
      <c r="K91" s="53">
        <f t="shared" si="7"/>
        <v>0</v>
      </c>
      <c r="L91" s="36"/>
      <c r="M91" s="11">
        <v>4519.49</v>
      </c>
      <c r="N91" s="11">
        <v>3929.9913043478264</v>
      </c>
      <c r="O91" s="11">
        <v>1911.6600000000003</v>
      </c>
      <c r="P91" s="8">
        <v>151</v>
      </c>
      <c r="Q91" s="11">
        <v>2018.3313043478252</v>
      </c>
      <c r="R91" s="11">
        <v>29.930397350993378</v>
      </c>
      <c r="S91" s="11">
        <v>26.026432479124679</v>
      </c>
      <c r="T91" s="11">
        <v>12.660000000000002</v>
      </c>
      <c r="U91" s="14">
        <v>51.357144279553644</v>
      </c>
      <c r="V91" s="36">
        <f>IFERROR(LOOKUP($C91,#REF!,#REF!),0)</f>
        <v>0</v>
      </c>
      <c r="W91" s="36">
        <f>IFERROR(LOOKUP($C91,#REF!,#REF!),0)</f>
        <v>0</v>
      </c>
      <c r="X91" s="36">
        <f>IFERROR(LOOKUP($C91,#REF!,#REF!),0)</f>
        <v>0</v>
      </c>
      <c r="Y91" s="36">
        <f>IFERROR(LOOKUP($C91,#REF!,#REF!),0)</f>
        <v>0</v>
      </c>
    </row>
    <row r="92" spans="1:25" ht="16.5" customHeight="1" x14ac:dyDescent="0.35">
      <c r="A92" s="3" t="s">
        <v>14</v>
      </c>
      <c r="B92" s="4">
        <v>104</v>
      </c>
      <c r="C92" s="5">
        <v>34082</v>
      </c>
      <c r="D92" s="3" t="s">
        <v>237</v>
      </c>
      <c r="E92" s="6">
        <v>55</v>
      </c>
      <c r="F92" s="16">
        <v>25.03</v>
      </c>
      <c r="G92" s="51">
        <v>5</v>
      </c>
      <c r="H92" s="52">
        <f t="shared" si="4"/>
        <v>275</v>
      </c>
      <c r="I92" s="52">
        <f t="shared" si="5"/>
        <v>125.15</v>
      </c>
      <c r="J92" s="52">
        <f t="shared" si="6"/>
        <v>149.85</v>
      </c>
      <c r="K92" s="53">
        <f t="shared" si="7"/>
        <v>54.490909090909092</v>
      </c>
      <c r="L92" s="36"/>
      <c r="M92" s="11">
        <v>4281.33</v>
      </c>
      <c r="N92" s="11">
        <v>3722.8956521739133</v>
      </c>
      <c r="O92" s="11">
        <v>1950.2399999999996</v>
      </c>
      <c r="P92" s="8">
        <v>717</v>
      </c>
      <c r="Q92" s="11">
        <v>1772.6556521739133</v>
      </c>
      <c r="R92" s="11">
        <v>5.9711715481171543</v>
      </c>
      <c r="S92" s="11">
        <v>5.1923230853192655</v>
      </c>
      <c r="T92" s="11">
        <v>2.7199999999999993</v>
      </c>
      <c r="U92" s="14">
        <v>47.614970114427067</v>
      </c>
      <c r="V92" s="36">
        <f>IFERROR(LOOKUP($C92,#REF!,#REF!),0)</f>
        <v>0</v>
      </c>
      <c r="W92" s="36">
        <f>IFERROR(LOOKUP($C92,#REF!,#REF!),0)</f>
        <v>0</v>
      </c>
      <c r="X92" s="36">
        <f>IFERROR(LOOKUP($C92,#REF!,#REF!),0)</f>
        <v>0</v>
      </c>
      <c r="Y92" s="36">
        <f>IFERROR(LOOKUP($C92,#REF!,#REF!),0)</f>
        <v>0</v>
      </c>
    </row>
    <row r="93" spans="1:25" ht="16.5" customHeight="1" x14ac:dyDescent="0.35">
      <c r="A93" s="3" t="s">
        <v>14</v>
      </c>
      <c r="B93" s="4">
        <v>104</v>
      </c>
      <c r="C93" s="5">
        <v>34083</v>
      </c>
      <c r="D93" s="17" t="s">
        <v>233</v>
      </c>
      <c r="E93" s="16">
        <v>55</v>
      </c>
      <c r="F93" s="16">
        <v>25.97</v>
      </c>
      <c r="G93" s="51">
        <v>10</v>
      </c>
      <c r="H93" s="52">
        <f t="shared" si="4"/>
        <v>550</v>
      </c>
      <c r="I93" s="52">
        <f t="shared" si="5"/>
        <v>259.7</v>
      </c>
      <c r="J93" s="52">
        <f t="shared" si="6"/>
        <v>290.3</v>
      </c>
      <c r="K93" s="53">
        <f t="shared" si="7"/>
        <v>52.781818181818188</v>
      </c>
      <c r="L93" s="36"/>
      <c r="M93" s="11">
        <v>4235.3900000000003</v>
      </c>
      <c r="N93" s="11">
        <v>3682.9478260869564</v>
      </c>
      <c r="O93" s="11">
        <v>2250.9431999999997</v>
      </c>
      <c r="P93" s="8">
        <v>1067</v>
      </c>
      <c r="Q93" s="11">
        <v>1432.0046260869576</v>
      </c>
      <c r="R93" s="11">
        <v>3.9694376757263359</v>
      </c>
      <c r="S93" s="11">
        <v>3.4516849354142045</v>
      </c>
      <c r="T93" s="11">
        <v>2.1095999999999999</v>
      </c>
      <c r="U93" s="14">
        <v>38.882023143087196</v>
      </c>
      <c r="V93" s="36">
        <f>IFERROR(LOOKUP($C93,#REF!,#REF!),0)</f>
        <v>0</v>
      </c>
      <c r="W93" s="36">
        <f>IFERROR(LOOKUP($C93,#REF!,#REF!),0)</f>
        <v>0</v>
      </c>
      <c r="X93" s="36">
        <f>IFERROR(LOOKUP($C93,#REF!,#REF!),0)</f>
        <v>0</v>
      </c>
      <c r="Y93" s="36">
        <f>IFERROR(LOOKUP($C93,#REF!,#REF!),0)</f>
        <v>0</v>
      </c>
    </row>
    <row r="94" spans="1:25" ht="16.5" customHeight="1" x14ac:dyDescent="0.35">
      <c r="A94" s="3" t="s">
        <v>14</v>
      </c>
      <c r="B94" s="4">
        <v>101</v>
      </c>
      <c r="C94" s="5">
        <v>34086</v>
      </c>
      <c r="D94" s="3" t="s">
        <v>60</v>
      </c>
      <c r="E94" s="6">
        <v>29.99</v>
      </c>
      <c r="F94" s="16">
        <v>10</v>
      </c>
      <c r="G94" s="51">
        <v>0</v>
      </c>
      <c r="H94" s="52">
        <f t="shared" si="4"/>
        <v>0</v>
      </c>
      <c r="I94" s="52">
        <f t="shared" si="5"/>
        <v>0</v>
      </c>
      <c r="J94" s="52">
        <f t="shared" si="6"/>
        <v>0</v>
      </c>
      <c r="K94" s="53">
        <f t="shared" si="7"/>
        <v>0</v>
      </c>
      <c r="L94" s="36"/>
      <c r="M94" s="11">
        <v>4003.5</v>
      </c>
      <c r="N94" s="11">
        <v>3481.304347826087</v>
      </c>
      <c r="O94" s="11">
        <v>1070.6699999999998</v>
      </c>
      <c r="P94" s="8">
        <v>401</v>
      </c>
      <c r="Q94" s="11">
        <v>2410.6343478260878</v>
      </c>
      <c r="R94" s="11">
        <v>9.9837905236907734</v>
      </c>
      <c r="S94" s="11">
        <v>8.6815569771224119</v>
      </c>
      <c r="T94" s="11">
        <v>2.6699999999999995</v>
      </c>
      <c r="U94" s="14">
        <v>69.245147995503956</v>
      </c>
      <c r="V94" s="36">
        <f>IFERROR(LOOKUP($C94,#REF!,#REF!),0)</f>
        <v>0</v>
      </c>
      <c r="W94" s="36">
        <f>IFERROR(LOOKUP($C94,#REF!,#REF!),0)</f>
        <v>0</v>
      </c>
      <c r="X94" s="36">
        <f>IFERROR(LOOKUP($C94,#REF!,#REF!),0)</f>
        <v>0</v>
      </c>
      <c r="Y94" s="36">
        <f>IFERROR(LOOKUP($C94,#REF!,#REF!),0)</f>
        <v>0</v>
      </c>
    </row>
    <row r="95" spans="1:25" ht="16.5" customHeight="1" x14ac:dyDescent="0.35">
      <c r="A95" s="3" t="s">
        <v>14</v>
      </c>
      <c r="B95" s="4">
        <v>103</v>
      </c>
      <c r="C95" s="5">
        <v>34087</v>
      </c>
      <c r="D95" s="3" t="s">
        <v>213</v>
      </c>
      <c r="E95" s="6">
        <v>99.99</v>
      </c>
      <c r="F95" s="16">
        <v>54.67</v>
      </c>
      <c r="G95" s="51">
        <v>0</v>
      </c>
      <c r="H95" s="52">
        <f t="shared" si="4"/>
        <v>0</v>
      </c>
      <c r="I95" s="52">
        <f t="shared" si="5"/>
        <v>0</v>
      </c>
      <c r="J95" s="52">
        <f t="shared" si="6"/>
        <v>0</v>
      </c>
      <c r="K95" s="53">
        <f t="shared" si="7"/>
        <v>0</v>
      </c>
      <c r="L95" s="36"/>
      <c r="M95" s="11">
        <v>3929.5</v>
      </c>
      <c r="N95" s="11">
        <v>3416.9565217391305</v>
      </c>
      <c r="O95" s="11">
        <v>1469.6200000000001</v>
      </c>
      <c r="P95" s="8">
        <v>394</v>
      </c>
      <c r="Q95" s="11">
        <v>1947.3365217391299</v>
      </c>
      <c r="R95" s="11">
        <v>9.9733502538071068</v>
      </c>
      <c r="S95" s="11">
        <v>8.6724784815713978</v>
      </c>
      <c r="T95" s="11">
        <v>3.7300000000000004</v>
      </c>
      <c r="U95" s="14">
        <v>56.990380455528687</v>
      </c>
      <c r="V95" s="36">
        <f>IFERROR(LOOKUP($C95,#REF!,#REF!),0)</f>
        <v>0</v>
      </c>
      <c r="W95" s="36">
        <f>IFERROR(LOOKUP($C95,#REF!,#REF!),0)</f>
        <v>0</v>
      </c>
      <c r="X95" s="36">
        <f>IFERROR(LOOKUP($C95,#REF!,#REF!),0)</f>
        <v>0</v>
      </c>
      <c r="Y95" s="36">
        <f>IFERROR(LOOKUP($C95,#REF!,#REF!),0)</f>
        <v>0</v>
      </c>
    </row>
    <row r="96" spans="1:25" ht="16.5" customHeight="1" x14ac:dyDescent="0.35">
      <c r="A96" s="3" t="s">
        <v>14</v>
      </c>
      <c r="B96" s="4">
        <v>101</v>
      </c>
      <c r="C96" s="5">
        <v>34088</v>
      </c>
      <c r="D96" s="3" t="s">
        <v>44</v>
      </c>
      <c r="E96" s="6">
        <v>1.5</v>
      </c>
      <c r="F96" s="16">
        <v>0.68</v>
      </c>
      <c r="G96" s="51">
        <v>0</v>
      </c>
      <c r="H96" s="52">
        <f t="shared" si="4"/>
        <v>0</v>
      </c>
      <c r="I96" s="52">
        <f t="shared" si="5"/>
        <v>0</v>
      </c>
      <c r="J96" s="52">
        <f t="shared" si="6"/>
        <v>0</v>
      </c>
      <c r="K96" s="53">
        <f t="shared" si="7"/>
        <v>0</v>
      </c>
      <c r="L96" s="36"/>
      <c r="M96" s="11">
        <v>3690</v>
      </c>
      <c r="N96" s="11">
        <v>3208.695652173913</v>
      </c>
      <c r="O96" s="11">
        <v>1985.0599999999997</v>
      </c>
      <c r="P96" s="8">
        <v>38</v>
      </c>
      <c r="Q96" s="11">
        <v>1223.6356521739137</v>
      </c>
      <c r="R96" s="11">
        <v>97.10526315789474</v>
      </c>
      <c r="S96" s="11">
        <v>84.439359267734559</v>
      </c>
      <c r="T96" s="11">
        <v>52.238421052631573</v>
      </c>
      <c r="U96" s="14">
        <v>38.134986449864513</v>
      </c>
      <c r="V96" s="36">
        <f>IFERROR(LOOKUP($C96,#REF!,#REF!),0)</f>
        <v>0</v>
      </c>
      <c r="W96" s="36">
        <f>IFERROR(LOOKUP($C96,#REF!,#REF!),0)</f>
        <v>0</v>
      </c>
      <c r="X96" s="36">
        <f>IFERROR(LOOKUP($C96,#REF!,#REF!),0)</f>
        <v>0</v>
      </c>
      <c r="Y96" s="36">
        <f>IFERROR(LOOKUP($C96,#REF!,#REF!),0)</f>
        <v>0</v>
      </c>
    </row>
    <row r="97" spans="1:25" ht="16.5" customHeight="1" x14ac:dyDescent="0.35">
      <c r="A97" s="3" t="s">
        <v>14</v>
      </c>
      <c r="B97" s="4">
        <v>102</v>
      </c>
      <c r="C97" s="5">
        <v>34089</v>
      </c>
      <c r="D97" s="3" t="s">
        <v>180</v>
      </c>
      <c r="E97" s="6">
        <v>39.99</v>
      </c>
      <c r="F97" s="16">
        <v>29.01</v>
      </c>
      <c r="G97" s="51">
        <v>0</v>
      </c>
      <c r="H97" s="52">
        <f t="shared" si="4"/>
        <v>0</v>
      </c>
      <c r="I97" s="52">
        <f t="shared" si="5"/>
        <v>0</v>
      </c>
      <c r="J97" s="52">
        <f t="shared" si="6"/>
        <v>0</v>
      </c>
      <c r="K97" s="53">
        <f t="shared" si="7"/>
        <v>0</v>
      </c>
      <c r="L97" s="36"/>
      <c r="M97" s="11">
        <v>3476.96</v>
      </c>
      <c r="N97" s="11">
        <v>3023.4434782608696</v>
      </c>
      <c r="O97" s="11">
        <v>1953.2599999999998</v>
      </c>
      <c r="P97" s="8">
        <v>127</v>
      </c>
      <c r="Q97" s="11">
        <v>1070.1834782608698</v>
      </c>
      <c r="R97" s="11">
        <v>27.377637795275589</v>
      </c>
      <c r="S97" s="11">
        <v>23.80664156110921</v>
      </c>
      <c r="T97" s="11">
        <v>15.379999999999999</v>
      </c>
      <c r="U97" s="14">
        <v>35.396179421103504</v>
      </c>
      <c r="V97" s="36">
        <f>IFERROR(LOOKUP($C97,#REF!,#REF!),0)</f>
        <v>0</v>
      </c>
      <c r="W97" s="36">
        <f>IFERROR(LOOKUP($C97,#REF!,#REF!),0)</f>
        <v>0</v>
      </c>
      <c r="X97" s="36">
        <f>IFERROR(LOOKUP($C97,#REF!,#REF!),0)</f>
        <v>0</v>
      </c>
      <c r="Y97" s="36">
        <f>IFERROR(LOOKUP($C97,#REF!,#REF!),0)</f>
        <v>0</v>
      </c>
    </row>
    <row r="98" spans="1:25" ht="16.5" customHeight="1" x14ac:dyDescent="0.35">
      <c r="A98" s="3" t="s">
        <v>14</v>
      </c>
      <c r="B98" s="4">
        <v>102</v>
      </c>
      <c r="C98" s="5">
        <v>34090</v>
      </c>
      <c r="D98" s="3" t="s">
        <v>144</v>
      </c>
      <c r="E98" s="6">
        <v>3.99</v>
      </c>
      <c r="F98" s="16">
        <v>1.3</v>
      </c>
      <c r="G98" s="51">
        <v>0</v>
      </c>
      <c r="H98" s="52">
        <f t="shared" si="4"/>
        <v>0</v>
      </c>
      <c r="I98" s="52">
        <f t="shared" si="5"/>
        <v>0</v>
      </c>
      <c r="J98" s="52">
        <f t="shared" si="6"/>
        <v>0</v>
      </c>
      <c r="K98" s="53">
        <f t="shared" si="7"/>
        <v>0</v>
      </c>
      <c r="L98" s="36"/>
      <c r="M98" s="11">
        <v>3338.41</v>
      </c>
      <c r="N98" s="11">
        <v>2902.965217391305</v>
      </c>
      <c r="O98" s="11">
        <v>1794.2853999999993</v>
      </c>
      <c r="P98" s="8">
        <v>839</v>
      </c>
      <c r="Q98" s="11">
        <v>1108.6798173913048</v>
      </c>
      <c r="R98" s="11">
        <v>3.9790345649582837</v>
      </c>
      <c r="S98" s="11">
        <v>3.4600300564854649</v>
      </c>
      <c r="T98" s="11">
        <v>2.1385999999999989</v>
      </c>
      <c r="U98" s="14">
        <v>38.191288367815837</v>
      </c>
      <c r="V98" s="36">
        <f>IFERROR(LOOKUP($C98,#REF!,#REF!),0)</f>
        <v>0</v>
      </c>
      <c r="W98" s="36">
        <f>IFERROR(LOOKUP($C98,#REF!,#REF!),0)</f>
        <v>0</v>
      </c>
      <c r="X98" s="36">
        <f>IFERROR(LOOKUP($C98,#REF!,#REF!),0)</f>
        <v>0</v>
      </c>
      <c r="Y98" s="36">
        <f>IFERROR(LOOKUP($C98,#REF!,#REF!),0)</f>
        <v>0</v>
      </c>
    </row>
    <row r="99" spans="1:25" ht="16.5" customHeight="1" x14ac:dyDescent="0.35">
      <c r="A99" s="3" t="s">
        <v>14</v>
      </c>
      <c r="B99" s="4">
        <v>101</v>
      </c>
      <c r="C99" s="5">
        <v>34091</v>
      </c>
      <c r="D99" s="3" t="s">
        <v>28</v>
      </c>
      <c r="E99" s="6">
        <v>17.989999999999998</v>
      </c>
      <c r="F99" s="16">
        <v>12.24</v>
      </c>
      <c r="G99" s="51">
        <v>40</v>
      </c>
      <c r="H99" s="52">
        <f t="shared" si="4"/>
        <v>719.59999999999991</v>
      </c>
      <c r="I99" s="52">
        <f t="shared" si="5"/>
        <v>489.6</v>
      </c>
      <c r="J99" s="52">
        <f t="shared" si="6"/>
        <v>229.99999999999989</v>
      </c>
      <c r="K99" s="53">
        <f t="shared" si="7"/>
        <v>31.962201222901598</v>
      </c>
      <c r="L99" s="36"/>
      <c r="M99" s="11">
        <v>3274.8300000000008</v>
      </c>
      <c r="N99" s="11">
        <v>2847.6782608695648</v>
      </c>
      <c r="O99" s="11">
        <v>1802.97</v>
      </c>
      <c r="P99" s="8">
        <v>117</v>
      </c>
      <c r="Q99" s="11">
        <v>1044.7082608695662</v>
      </c>
      <c r="R99" s="11">
        <v>27.990000000000006</v>
      </c>
      <c r="S99" s="11">
        <v>24.339130434782607</v>
      </c>
      <c r="T99" s="11">
        <v>15.41</v>
      </c>
      <c r="U99" s="14">
        <v>36.686316541622027</v>
      </c>
      <c r="V99" s="36">
        <f>IFERROR(LOOKUP($C99,#REF!,#REF!),0)</f>
        <v>0</v>
      </c>
      <c r="W99" s="36">
        <f>IFERROR(LOOKUP($C99,#REF!,#REF!),0)</f>
        <v>0</v>
      </c>
      <c r="X99" s="36">
        <f>IFERROR(LOOKUP($C99,#REF!,#REF!),0)</f>
        <v>0</v>
      </c>
      <c r="Y99" s="36">
        <f>IFERROR(LOOKUP($C99,#REF!,#REF!),0)</f>
        <v>0</v>
      </c>
    </row>
    <row r="100" spans="1:25" ht="16.5" customHeight="1" x14ac:dyDescent="0.35">
      <c r="A100" s="3" t="s">
        <v>14</v>
      </c>
      <c r="B100" s="4">
        <v>101</v>
      </c>
      <c r="C100" s="5">
        <v>34092</v>
      </c>
      <c r="D100" s="3" t="s">
        <v>47</v>
      </c>
      <c r="E100" s="6">
        <v>4.99</v>
      </c>
      <c r="F100" s="16">
        <v>2.52</v>
      </c>
      <c r="G100" s="51">
        <v>0</v>
      </c>
      <c r="H100" s="52">
        <f t="shared" si="4"/>
        <v>0</v>
      </c>
      <c r="I100" s="52">
        <f t="shared" si="5"/>
        <v>0</v>
      </c>
      <c r="J100" s="52">
        <f t="shared" si="6"/>
        <v>0</v>
      </c>
      <c r="K100" s="53">
        <f t="shared" si="7"/>
        <v>0</v>
      </c>
      <c r="L100" s="36"/>
      <c r="M100" s="11">
        <v>3189.9999999999995</v>
      </c>
      <c r="N100" s="11">
        <v>2773.913043478261</v>
      </c>
      <c r="O100" s="11">
        <v>1348.0000000000005</v>
      </c>
      <c r="P100" s="8">
        <v>200</v>
      </c>
      <c r="Q100" s="11">
        <v>1425.9130434782601</v>
      </c>
      <c r="R100" s="11">
        <v>15.949999999999998</v>
      </c>
      <c r="S100" s="11">
        <v>13.869565217391305</v>
      </c>
      <c r="T100" s="11">
        <v>6.740000000000002</v>
      </c>
      <c r="U100" s="14">
        <v>51.404388714733514</v>
      </c>
      <c r="V100" s="36">
        <f>IFERROR(LOOKUP($C100,#REF!,#REF!),0)</f>
        <v>0</v>
      </c>
      <c r="W100" s="36">
        <f>IFERROR(LOOKUP($C100,#REF!,#REF!),0)</f>
        <v>0</v>
      </c>
      <c r="X100" s="36">
        <f>IFERROR(LOOKUP($C100,#REF!,#REF!),0)</f>
        <v>0</v>
      </c>
      <c r="Y100" s="36">
        <f>IFERROR(LOOKUP($C100,#REF!,#REF!),0)</f>
        <v>0</v>
      </c>
    </row>
    <row r="101" spans="1:25" ht="16.5" customHeight="1" x14ac:dyDescent="0.35">
      <c r="A101" s="3" t="s">
        <v>359</v>
      </c>
      <c r="B101" s="4">
        <v>103</v>
      </c>
      <c r="C101" s="5">
        <v>34094</v>
      </c>
      <c r="D101" s="3" t="s">
        <v>229</v>
      </c>
      <c r="E101" s="6">
        <v>302.99</v>
      </c>
      <c r="F101" s="16">
        <v>157.83000000000001</v>
      </c>
      <c r="G101" s="51">
        <v>0</v>
      </c>
      <c r="H101" s="52">
        <f t="shared" si="4"/>
        <v>0</v>
      </c>
      <c r="I101" s="52">
        <f t="shared" si="5"/>
        <v>0</v>
      </c>
      <c r="J101" s="52">
        <f t="shared" si="6"/>
        <v>0</v>
      </c>
      <c r="K101" s="53">
        <f t="shared" si="7"/>
        <v>0</v>
      </c>
      <c r="L101" s="36"/>
      <c r="M101" s="11">
        <v>3104</v>
      </c>
      <c r="N101" s="11">
        <v>2699.130434782609</v>
      </c>
      <c r="O101" s="11">
        <v>1639.1999999999998</v>
      </c>
      <c r="P101" s="8">
        <v>60</v>
      </c>
      <c r="Q101" s="11">
        <v>1059.9304347826092</v>
      </c>
      <c r="R101" s="11">
        <v>51.733333333333334</v>
      </c>
      <c r="S101" s="11">
        <v>44.98550724637682</v>
      </c>
      <c r="T101" s="11">
        <v>27.319999999999997</v>
      </c>
      <c r="U101" s="14">
        <v>39.26932989690723</v>
      </c>
      <c r="V101" s="36">
        <f>IFERROR(LOOKUP($C101,#REF!,#REF!),0)</f>
        <v>0</v>
      </c>
      <c r="W101" s="36">
        <f>IFERROR(LOOKUP($C101,#REF!,#REF!),0)</f>
        <v>0</v>
      </c>
      <c r="X101" s="36">
        <f>IFERROR(LOOKUP($C101,#REF!,#REF!),0)</f>
        <v>0</v>
      </c>
      <c r="Y101" s="36">
        <f>IFERROR(LOOKUP($C101,#REF!,#REF!),0)</f>
        <v>0</v>
      </c>
    </row>
    <row r="102" spans="1:25" ht="16.5" customHeight="1" x14ac:dyDescent="0.35">
      <c r="A102" s="3" t="s">
        <v>14</v>
      </c>
      <c r="B102" s="4">
        <v>104</v>
      </c>
      <c r="C102" s="5">
        <v>34095</v>
      </c>
      <c r="D102" s="3" t="s">
        <v>235</v>
      </c>
      <c r="E102" s="6">
        <v>29.99</v>
      </c>
      <c r="F102" s="16">
        <v>12.52</v>
      </c>
      <c r="G102" s="51">
        <v>15</v>
      </c>
      <c r="H102" s="52">
        <f t="shared" si="4"/>
        <v>449.84999999999997</v>
      </c>
      <c r="I102" s="52">
        <f t="shared" si="5"/>
        <v>187.79999999999998</v>
      </c>
      <c r="J102" s="52">
        <f t="shared" si="6"/>
        <v>262.04999999999995</v>
      </c>
      <c r="K102" s="53">
        <f t="shared" si="7"/>
        <v>58.252750916972317</v>
      </c>
      <c r="L102" s="36"/>
      <c r="M102" s="11">
        <v>2990</v>
      </c>
      <c r="N102" s="11">
        <v>2599.9999999999995</v>
      </c>
      <c r="O102" s="11">
        <v>1579.64</v>
      </c>
      <c r="P102" s="8">
        <v>23</v>
      </c>
      <c r="Q102" s="11">
        <v>1020.3599999999999</v>
      </c>
      <c r="R102" s="11">
        <v>130</v>
      </c>
      <c r="S102" s="11">
        <v>113.04347826086955</v>
      </c>
      <c r="T102" s="11">
        <v>68.680000000000007</v>
      </c>
      <c r="U102" s="14">
        <v>39.244615384615386</v>
      </c>
      <c r="V102" s="36">
        <f>IFERROR(LOOKUP($C102,#REF!,#REF!),0)</f>
        <v>0</v>
      </c>
      <c r="W102" s="36">
        <f>IFERROR(LOOKUP($C102,#REF!,#REF!),0)</f>
        <v>0</v>
      </c>
      <c r="X102" s="36">
        <f>IFERROR(LOOKUP($C102,#REF!,#REF!),0)</f>
        <v>0</v>
      </c>
      <c r="Y102" s="36">
        <f>IFERROR(LOOKUP($C102,#REF!,#REF!),0)</f>
        <v>0</v>
      </c>
    </row>
    <row r="103" spans="1:25" ht="16.5" customHeight="1" x14ac:dyDescent="0.35">
      <c r="A103" s="3" t="s">
        <v>14</v>
      </c>
      <c r="B103" s="4">
        <v>103</v>
      </c>
      <c r="C103" s="5">
        <v>34100</v>
      </c>
      <c r="D103" s="3" t="s">
        <v>211</v>
      </c>
      <c r="E103" s="6">
        <v>402.99</v>
      </c>
      <c r="F103" s="16">
        <v>210</v>
      </c>
      <c r="G103" s="51">
        <v>0</v>
      </c>
      <c r="H103" s="52">
        <f t="shared" si="4"/>
        <v>0</v>
      </c>
      <c r="I103" s="52">
        <f t="shared" si="5"/>
        <v>0</v>
      </c>
      <c r="J103" s="52">
        <f t="shared" si="6"/>
        <v>0</v>
      </c>
      <c r="K103" s="53">
        <f t="shared" si="7"/>
        <v>0</v>
      </c>
      <c r="L103" s="36"/>
      <c r="M103" s="11">
        <v>2963.55</v>
      </c>
      <c r="N103" s="11">
        <v>2577</v>
      </c>
      <c r="O103" s="11">
        <v>1494.8999999999999</v>
      </c>
      <c r="P103" s="8">
        <v>330</v>
      </c>
      <c r="Q103" s="11">
        <v>1082.1000000000006</v>
      </c>
      <c r="R103" s="11">
        <v>8.9804545454545455</v>
      </c>
      <c r="S103" s="11">
        <v>7.8090909090909095</v>
      </c>
      <c r="T103" s="11">
        <v>4.5299999999999994</v>
      </c>
      <c r="U103" s="14">
        <v>41.990686845168817</v>
      </c>
      <c r="V103" s="36">
        <f>IFERROR(LOOKUP($C103,#REF!,#REF!),0)</f>
        <v>0</v>
      </c>
      <c r="W103" s="36">
        <f>IFERROR(LOOKUP($C103,#REF!,#REF!),0)</f>
        <v>0</v>
      </c>
      <c r="X103" s="36">
        <f>IFERROR(LOOKUP($C103,#REF!,#REF!),0)</f>
        <v>0</v>
      </c>
      <c r="Y103" s="36">
        <f>IFERROR(LOOKUP($C103,#REF!,#REF!),0)</f>
        <v>0</v>
      </c>
    </row>
    <row r="104" spans="1:25" ht="16.5" customHeight="1" x14ac:dyDescent="0.35">
      <c r="A104" s="3" t="s">
        <v>359</v>
      </c>
      <c r="B104" s="4">
        <v>103</v>
      </c>
      <c r="C104" s="5">
        <v>34101</v>
      </c>
      <c r="D104" s="3" t="s">
        <v>209</v>
      </c>
      <c r="E104" s="6">
        <v>216.99</v>
      </c>
      <c r="F104" s="16">
        <v>117.59</v>
      </c>
      <c r="G104" s="51">
        <v>0</v>
      </c>
      <c r="H104" s="52">
        <f t="shared" si="4"/>
        <v>0</v>
      </c>
      <c r="I104" s="52">
        <f t="shared" si="5"/>
        <v>0</v>
      </c>
      <c r="J104" s="52">
        <f t="shared" si="6"/>
        <v>0</v>
      </c>
      <c r="K104" s="53">
        <f t="shared" si="7"/>
        <v>0</v>
      </c>
      <c r="L104" s="36"/>
      <c r="M104" s="11">
        <v>2907.09</v>
      </c>
      <c r="N104" s="11">
        <v>2527.9043478260874</v>
      </c>
      <c r="O104" s="11">
        <v>1452.0900000000001</v>
      </c>
      <c r="P104" s="8">
        <v>291</v>
      </c>
      <c r="Q104" s="11">
        <v>1075.8143478260868</v>
      </c>
      <c r="R104" s="11">
        <v>9.99</v>
      </c>
      <c r="S104" s="11">
        <v>8.6869565217391322</v>
      </c>
      <c r="T104" s="11">
        <v>4.99</v>
      </c>
      <c r="U104" s="14">
        <v>42.557557557557551</v>
      </c>
      <c r="V104" s="36">
        <f>IFERROR(LOOKUP($C104,#REF!,#REF!),0)</f>
        <v>0</v>
      </c>
      <c r="W104" s="36">
        <f>IFERROR(LOOKUP($C104,#REF!,#REF!),0)</f>
        <v>0</v>
      </c>
      <c r="X104" s="36">
        <f>IFERROR(LOOKUP($C104,#REF!,#REF!),0)</f>
        <v>0</v>
      </c>
      <c r="Y104" s="36">
        <f>IFERROR(LOOKUP($C104,#REF!,#REF!),0)</f>
        <v>0</v>
      </c>
    </row>
    <row r="105" spans="1:25" ht="16.5" customHeight="1" x14ac:dyDescent="0.35">
      <c r="A105" s="3" t="s">
        <v>14</v>
      </c>
      <c r="B105" s="4">
        <v>102</v>
      </c>
      <c r="C105" s="5">
        <v>34102</v>
      </c>
      <c r="D105" s="3" t="s">
        <v>129</v>
      </c>
      <c r="E105" s="6">
        <v>9.99</v>
      </c>
      <c r="F105" s="16">
        <v>4.99</v>
      </c>
      <c r="G105" s="51">
        <v>0</v>
      </c>
      <c r="H105" s="52">
        <f t="shared" si="4"/>
        <v>0</v>
      </c>
      <c r="I105" s="52">
        <f t="shared" si="5"/>
        <v>0</v>
      </c>
      <c r="J105" s="52">
        <f t="shared" si="6"/>
        <v>0</v>
      </c>
      <c r="K105" s="53">
        <f t="shared" si="7"/>
        <v>0</v>
      </c>
      <c r="L105" s="36"/>
      <c r="M105" s="11">
        <v>2903.56</v>
      </c>
      <c r="N105" s="11">
        <v>2524.8347826086956</v>
      </c>
      <c r="O105" s="11">
        <v>2015.13</v>
      </c>
      <c r="P105" s="8">
        <v>44</v>
      </c>
      <c r="Q105" s="11">
        <v>509.7047826086955</v>
      </c>
      <c r="R105" s="11">
        <v>65.989999999999995</v>
      </c>
      <c r="S105" s="11">
        <v>57.382608695652173</v>
      </c>
      <c r="T105" s="11">
        <v>45.798409090909097</v>
      </c>
      <c r="U105" s="14">
        <v>20.187648955075833</v>
      </c>
      <c r="V105" s="36">
        <f>IFERROR(LOOKUP($C105,#REF!,#REF!),0)</f>
        <v>0</v>
      </c>
      <c r="W105" s="36">
        <f>IFERROR(LOOKUP($C105,#REF!,#REF!),0)</f>
        <v>0</v>
      </c>
      <c r="X105" s="36">
        <f>IFERROR(LOOKUP($C105,#REF!,#REF!),0)</f>
        <v>0</v>
      </c>
      <c r="Y105" s="36">
        <f>IFERROR(LOOKUP($C105,#REF!,#REF!),0)</f>
        <v>0</v>
      </c>
    </row>
    <row r="106" spans="1:25" ht="16.5" customHeight="1" x14ac:dyDescent="0.35">
      <c r="A106" s="3" t="s">
        <v>14</v>
      </c>
      <c r="B106" s="4">
        <v>119</v>
      </c>
      <c r="C106" s="5">
        <v>34105</v>
      </c>
      <c r="D106" s="3" t="s">
        <v>265</v>
      </c>
      <c r="E106" s="6">
        <v>79.989999999999995</v>
      </c>
      <c r="F106" s="16">
        <v>54.64</v>
      </c>
      <c r="G106" s="51">
        <v>0</v>
      </c>
      <c r="H106" s="52">
        <f t="shared" si="4"/>
        <v>0</v>
      </c>
      <c r="I106" s="52">
        <f t="shared" si="5"/>
        <v>0</v>
      </c>
      <c r="J106" s="52">
        <f t="shared" si="6"/>
        <v>0</v>
      </c>
      <c r="K106" s="53">
        <f t="shared" si="7"/>
        <v>0</v>
      </c>
      <c r="L106" s="36"/>
      <c r="M106" s="11">
        <v>2790</v>
      </c>
      <c r="N106" s="11">
        <v>2426.086956521739</v>
      </c>
      <c r="O106" s="11">
        <v>1915.2799999999997</v>
      </c>
      <c r="P106" s="8">
        <v>18</v>
      </c>
      <c r="Q106" s="11">
        <v>510.80695652173927</v>
      </c>
      <c r="R106" s="11">
        <v>155</v>
      </c>
      <c r="S106" s="11">
        <v>134.78260869565216</v>
      </c>
      <c r="T106" s="11">
        <v>106.40444444444444</v>
      </c>
      <c r="U106" s="14">
        <v>21.054767025089614</v>
      </c>
      <c r="V106" s="36">
        <f>IFERROR(LOOKUP($C106,#REF!,#REF!),0)</f>
        <v>0</v>
      </c>
      <c r="W106" s="36">
        <f>IFERROR(LOOKUP($C106,#REF!,#REF!),0)</f>
        <v>0</v>
      </c>
      <c r="X106" s="36">
        <f>IFERROR(LOOKUP($C106,#REF!,#REF!),0)</f>
        <v>0</v>
      </c>
      <c r="Y106" s="36">
        <f>IFERROR(LOOKUP($C106,#REF!,#REF!),0)</f>
        <v>0</v>
      </c>
    </row>
    <row r="107" spans="1:25" ht="16.5" customHeight="1" x14ac:dyDescent="0.35">
      <c r="A107" s="3" t="s">
        <v>14</v>
      </c>
      <c r="B107" s="4">
        <v>102</v>
      </c>
      <c r="C107" s="5">
        <v>34106</v>
      </c>
      <c r="D107" s="3" t="s">
        <v>131</v>
      </c>
      <c r="E107" s="6">
        <v>11.99</v>
      </c>
      <c r="F107" s="16">
        <v>6.35</v>
      </c>
      <c r="G107" s="51">
        <v>0</v>
      </c>
      <c r="H107" s="52">
        <f t="shared" si="4"/>
        <v>0</v>
      </c>
      <c r="I107" s="52">
        <f t="shared" si="5"/>
        <v>0</v>
      </c>
      <c r="J107" s="52">
        <f t="shared" si="6"/>
        <v>0</v>
      </c>
      <c r="K107" s="53">
        <f t="shared" si="7"/>
        <v>0</v>
      </c>
      <c r="L107" s="36"/>
      <c r="M107" s="11">
        <v>2782.2599999999998</v>
      </c>
      <c r="N107" s="11">
        <v>2419.3565217391306</v>
      </c>
      <c r="O107" s="11">
        <v>892.62</v>
      </c>
      <c r="P107" s="8">
        <v>174</v>
      </c>
      <c r="Q107" s="11">
        <v>1526.7365217391302</v>
      </c>
      <c r="R107" s="11">
        <v>15.989999999999998</v>
      </c>
      <c r="S107" s="11">
        <v>13.904347826086957</v>
      </c>
      <c r="T107" s="11">
        <v>5.13</v>
      </c>
      <c r="U107" s="14">
        <v>63.10506566604127</v>
      </c>
      <c r="V107" s="36">
        <f>IFERROR(LOOKUP($C107,#REF!,#REF!),0)</f>
        <v>0</v>
      </c>
      <c r="W107" s="36">
        <f>IFERROR(LOOKUP($C107,#REF!,#REF!),0)</f>
        <v>0</v>
      </c>
      <c r="X107" s="36">
        <f>IFERROR(LOOKUP($C107,#REF!,#REF!),0)</f>
        <v>0</v>
      </c>
      <c r="Y107" s="36">
        <f>IFERROR(LOOKUP($C107,#REF!,#REF!),0)</f>
        <v>0</v>
      </c>
    </row>
    <row r="108" spans="1:25" ht="16.5" customHeight="1" x14ac:dyDescent="0.35">
      <c r="A108" s="3" t="s">
        <v>14</v>
      </c>
      <c r="B108" s="4">
        <v>104</v>
      </c>
      <c r="C108" s="5">
        <v>34118</v>
      </c>
      <c r="D108" s="3" t="s">
        <v>231</v>
      </c>
      <c r="E108" s="6">
        <v>29.99</v>
      </c>
      <c r="F108" s="16">
        <v>7.38</v>
      </c>
      <c r="G108" s="51">
        <v>0</v>
      </c>
      <c r="H108" s="52">
        <f t="shared" si="4"/>
        <v>0</v>
      </c>
      <c r="I108" s="52">
        <f t="shared" si="5"/>
        <v>0</v>
      </c>
      <c r="J108" s="52">
        <f t="shared" si="6"/>
        <v>0</v>
      </c>
      <c r="K108" s="53">
        <f t="shared" si="7"/>
        <v>0</v>
      </c>
      <c r="L108" s="36"/>
      <c r="M108" s="11">
        <v>2779.28</v>
      </c>
      <c r="N108" s="11">
        <v>2416.7652173913038</v>
      </c>
      <c r="O108" s="11">
        <v>1473.1999999999998</v>
      </c>
      <c r="P108" s="8">
        <v>232</v>
      </c>
      <c r="Q108" s="11">
        <v>943.56521739130449</v>
      </c>
      <c r="R108" s="11">
        <v>11.979655172413795</v>
      </c>
      <c r="S108" s="11">
        <v>10.417091454272862</v>
      </c>
      <c r="T108" s="11">
        <v>6.35</v>
      </c>
      <c r="U108" s="14">
        <v>39.042485823666567</v>
      </c>
      <c r="V108" s="36">
        <f>IFERROR(LOOKUP($C108,#REF!,#REF!),0)</f>
        <v>0</v>
      </c>
      <c r="W108" s="36">
        <f>IFERROR(LOOKUP($C108,#REF!,#REF!),0)</f>
        <v>0</v>
      </c>
      <c r="X108" s="36">
        <f>IFERROR(LOOKUP($C108,#REF!,#REF!),0)</f>
        <v>0</v>
      </c>
      <c r="Y108" s="36">
        <f>IFERROR(LOOKUP($C108,#REF!,#REF!),0)</f>
        <v>0</v>
      </c>
    </row>
    <row r="109" spans="1:25" ht="16.5" customHeight="1" x14ac:dyDescent="0.35">
      <c r="A109" s="3" t="s">
        <v>14</v>
      </c>
      <c r="B109" s="4">
        <v>101</v>
      </c>
      <c r="C109" s="5">
        <v>34119</v>
      </c>
      <c r="D109" s="3" t="s">
        <v>36</v>
      </c>
      <c r="E109" s="6">
        <v>3.3</v>
      </c>
      <c r="F109" s="16">
        <v>1.85</v>
      </c>
      <c r="G109" s="51">
        <v>0</v>
      </c>
      <c r="H109" s="52">
        <f t="shared" si="4"/>
        <v>0</v>
      </c>
      <c r="I109" s="52">
        <f t="shared" si="5"/>
        <v>0</v>
      </c>
      <c r="J109" s="52">
        <f t="shared" si="6"/>
        <v>0</v>
      </c>
      <c r="K109" s="53">
        <f t="shared" si="7"/>
        <v>0</v>
      </c>
      <c r="L109" s="36"/>
      <c r="M109" s="11">
        <v>2715.9000000000005</v>
      </c>
      <c r="N109" s="11">
        <v>2361.6521739130435</v>
      </c>
      <c r="O109" s="11">
        <v>1336.2000000000003</v>
      </c>
      <c r="P109" s="8">
        <v>170</v>
      </c>
      <c r="Q109" s="11">
        <v>1025.4521739130437</v>
      </c>
      <c r="R109" s="11">
        <v>15.975882352941179</v>
      </c>
      <c r="S109" s="11">
        <v>13.892071611253197</v>
      </c>
      <c r="T109" s="11">
        <v>7.8600000000000012</v>
      </c>
      <c r="U109" s="14">
        <v>43.420965425825692</v>
      </c>
      <c r="V109" s="36">
        <f>IFERROR(LOOKUP($C109,#REF!,#REF!),0)</f>
        <v>0</v>
      </c>
      <c r="W109" s="36">
        <f>IFERROR(LOOKUP($C109,#REF!,#REF!),0)</f>
        <v>0</v>
      </c>
      <c r="X109" s="36">
        <f>IFERROR(LOOKUP($C109,#REF!,#REF!),0)</f>
        <v>0</v>
      </c>
      <c r="Y109" s="36">
        <f>IFERROR(LOOKUP($C109,#REF!,#REF!),0)</f>
        <v>0</v>
      </c>
    </row>
    <row r="110" spans="1:25" ht="16.5" customHeight="1" x14ac:dyDescent="0.35">
      <c r="A110" s="3" t="s">
        <v>14</v>
      </c>
      <c r="B110" s="4">
        <v>102</v>
      </c>
      <c r="C110" s="5">
        <v>34120</v>
      </c>
      <c r="D110" s="3" t="s">
        <v>134</v>
      </c>
      <c r="E110" s="6">
        <v>8.99</v>
      </c>
      <c r="F110" s="16">
        <v>4.99</v>
      </c>
      <c r="G110" s="51">
        <v>0</v>
      </c>
      <c r="H110" s="52">
        <f t="shared" si="4"/>
        <v>0</v>
      </c>
      <c r="I110" s="52">
        <f t="shared" si="5"/>
        <v>0</v>
      </c>
      <c r="J110" s="52">
        <f t="shared" si="6"/>
        <v>0</v>
      </c>
      <c r="K110" s="53">
        <f t="shared" si="7"/>
        <v>0</v>
      </c>
      <c r="L110" s="36"/>
      <c r="M110" s="11">
        <v>2591.5200000000004</v>
      </c>
      <c r="N110" s="11">
        <v>2253.4956521739132</v>
      </c>
      <c r="O110" s="11">
        <v>1175.2800000000002</v>
      </c>
      <c r="P110" s="8">
        <v>118</v>
      </c>
      <c r="Q110" s="11">
        <v>1078.215652173913</v>
      </c>
      <c r="R110" s="11">
        <v>21.962033898305087</v>
      </c>
      <c r="S110" s="11">
        <v>19.097420781134858</v>
      </c>
      <c r="T110" s="11">
        <v>9.9600000000000009</v>
      </c>
      <c r="U110" s="14">
        <v>47.84636043711798</v>
      </c>
      <c r="V110" s="36">
        <f>IFERROR(LOOKUP($C110,#REF!,#REF!),0)</f>
        <v>0</v>
      </c>
      <c r="W110" s="36">
        <f>IFERROR(LOOKUP($C110,#REF!,#REF!),0)</f>
        <v>0</v>
      </c>
      <c r="X110" s="36">
        <f>IFERROR(LOOKUP($C110,#REF!,#REF!),0)</f>
        <v>0</v>
      </c>
      <c r="Y110" s="36">
        <f>IFERROR(LOOKUP($C110,#REF!,#REF!),0)</f>
        <v>0</v>
      </c>
    </row>
    <row r="111" spans="1:25" ht="16.5" customHeight="1" x14ac:dyDescent="0.35">
      <c r="A111" s="3" t="s">
        <v>14</v>
      </c>
      <c r="B111" s="4">
        <v>101</v>
      </c>
      <c r="C111" s="5">
        <v>34121</v>
      </c>
      <c r="D111" s="3" t="s">
        <v>25</v>
      </c>
      <c r="E111" s="6">
        <v>3.3</v>
      </c>
      <c r="F111" s="16">
        <v>1.85</v>
      </c>
      <c r="G111" s="51">
        <v>0</v>
      </c>
      <c r="H111" s="52">
        <f t="shared" si="4"/>
        <v>0</v>
      </c>
      <c r="I111" s="52">
        <f t="shared" si="5"/>
        <v>0</v>
      </c>
      <c r="J111" s="52">
        <f t="shared" si="6"/>
        <v>0</v>
      </c>
      <c r="K111" s="53">
        <f t="shared" si="7"/>
        <v>0</v>
      </c>
      <c r="L111" s="36"/>
      <c r="M111" s="11">
        <v>2500</v>
      </c>
      <c r="N111" s="11">
        <v>2173.913043478261</v>
      </c>
      <c r="O111" s="11">
        <v>1347.25</v>
      </c>
      <c r="P111" s="8">
        <v>25</v>
      </c>
      <c r="Q111" s="11">
        <v>826.66304347826099</v>
      </c>
      <c r="R111" s="11">
        <v>100</v>
      </c>
      <c r="S111" s="11">
        <v>86.956521739130437</v>
      </c>
      <c r="T111" s="11">
        <v>53.89</v>
      </c>
      <c r="U111" s="14">
        <v>38.026499999999999</v>
      </c>
      <c r="V111" s="36">
        <f>IFERROR(LOOKUP($C111,#REF!,#REF!),0)</f>
        <v>0</v>
      </c>
      <c r="W111" s="36">
        <f>IFERROR(LOOKUP($C111,#REF!,#REF!),0)</f>
        <v>0</v>
      </c>
      <c r="X111" s="36">
        <f>IFERROR(LOOKUP($C111,#REF!,#REF!),0)</f>
        <v>0</v>
      </c>
      <c r="Y111" s="36">
        <f>IFERROR(LOOKUP($C111,#REF!,#REF!),0)</f>
        <v>0</v>
      </c>
    </row>
    <row r="112" spans="1:25" ht="16.5" customHeight="1" x14ac:dyDescent="0.35">
      <c r="A112" s="3" t="s">
        <v>14</v>
      </c>
      <c r="B112" s="4">
        <v>102</v>
      </c>
      <c r="C112" s="5">
        <v>34122</v>
      </c>
      <c r="D112" s="3" t="s">
        <v>167</v>
      </c>
      <c r="E112" s="6">
        <v>25.99</v>
      </c>
      <c r="F112" s="16">
        <v>13.19</v>
      </c>
      <c r="G112" s="51">
        <v>0</v>
      </c>
      <c r="H112" s="52">
        <f t="shared" si="4"/>
        <v>0</v>
      </c>
      <c r="I112" s="52">
        <f t="shared" si="5"/>
        <v>0</v>
      </c>
      <c r="J112" s="52">
        <f t="shared" si="6"/>
        <v>0</v>
      </c>
      <c r="K112" s="53">
        <f t="shared" si="7"/>
        <v>0</v>
      </c>
      <c r="L112" s="36"/>
      <c r="M112" s="11">
        <v>2283.46</v>
      </c>
      <c r="N112" s="11">
        <v>1985.6173913043478</v>
      </c>
      <c r="O112" s="11">
        <v>1267.46</v>
      </c>
      <c r="P112" s="8">
        <v>254</v>
      </c>
      <c r="Q112" s="11">
        <v>718.15739130434758</v>
      </c>
      <c r="R112" s="11">
        <v>8.99</v>
      </c>
      <c r="S112" s="11">
        <v>7.8173913043478258</v>
      </c>
      <c r="T112" s="11">
        <v>4.99</v>
      </c>
      <c r="U112" s="14">
        <v>36.16796440489432</v>
      </c>
      <c r="V112" s="36">
        <f>IFERROR(LOOKUP($C112,#REF!,#REF!),0)</f>
        <v>0</v>
      </c>
      <c r="W112" s="36">
        <f>IFERROR(LOOKUP($C112,#REF!,#REF!),0)</f>
        <v>0</v>
      </c>
      <c r="X112" s="36">
        <f>IFERROR(LOOKUP($C112,#REF!,#REF!),0)</f>
        <v>0</v>
      </c>
      <c r="Y112" s="36">
        <f>IFERROR(LOOKUP($C112,#REF!,#REF!),0)</f>
        <v>0</v>
      </c>
    </row>
    <row r="113" spans="1:25" ht="16.5" customHeight="1" x14ac:dyDescent="0.35">
      <c r="A113" s="3" t="s">
        <v>14</v>
      </c>
      <c r="B113" s="4">
        <v>120</v>
      </c>
      <c r="C113" s="5">
        <v>34124</v>
      </c>
      <c r="D113" s="3" t="s">
        <v>283</v>
      </c>
      <c r="E113" s="6">
        <v>29.99</v>
      </c>
      <c r="F113" s="16">
        <v>12.33</v>
      </c>
      <c r="G113" s="51">
        <v>0</v>
      </c>
      <c r="H113" s="52">
        <f t="shared" si="4"/>
        <v>0</v>
      </c>
      <c r="I113" s="52">
        <f t="shared" si="5"/>
        <v>0</v>
      </c>
      <c r="J113" s="52">
        <f t="shared" si="6"/>
        <v>0</v>
      </c>
      <c r="K113" s="53">
        <f t="shared" si="7"/>
        <v>0</v>
      </c>
      <c r="L113" s="36"/>
      <c r="M113" s="11">
        <v>2206.16</v>
      </c>
      <c r="N113" s="11">
        <v>1918.4</v>
      </c>
      <c r="O113" s="11">
        <v>1113.1999999999998</v>
      </c>
      <c r="P113" s="8">
        <v>184</v>
      </c>
      <c r="Q113" s="11">
        <v>805.19999999999982</v>
      </c>
      <c r="R113" s="11">
        <v>11.989999999999998</v>
      </c>
      <c r="S113" s="11">
        <v>10.42608695652174</v>
      </c>
      <c r="T113" s="11">
        <v>6.0499999999999989</v>
      </c>
      <c r="U113" s="14">
        <v>41.972477064220179</v>
      </c>
      <c r="V113" s="36">
        <f>IFERROR(LOOKUP($C113,#REF!,#REF!),0)</f>
        <v>0</v>
      </c>
      <c r="W113" s="36">
        <f>IFERROR(LOOKUP($C113,#REF!,#REF!),0)</f>
        <v>0</v>
      </c>
      <c r="X113" s="36">
        <f>IFERROR(LOOKUP($C113,#REF!,#REF!),0)</f>
        <v>0</v>
      </c>
      <c r="Y113" s="36">
        <f>IFERROR(LOOKUP($C113,#REF!,#REF!),0)</f>
        <v>0</v>
      </c>
    </row>
    <row r="114" spans="1:25" ht="16.5" customHeight="1" x14ac:dyDescent="0.35">
      <c r="A114" s="3" t="s">
        <v>359</v>
      </c>
      <c r="B114" s="4">
        <v>103</v>
      </c>
      <c r="C114" s="5">
        <v>34134</v>
      </c>
      <c r="D114" s="3" t="s">
        <v>215</v>
      </c>
      <c r="E114" s="6">
        <v>313.99</v>
      </c>
      <c r="F114" s="16">
        <v>163.47229999999999</v>
      </c>
      <c r="G114" s="51">
        <v>0</v>
      </c>
      <c r="H114" s="52">
        <f t="shared" si="4"/>
        <v>0</v>
      </c>
      <c r="I114" s="52">
        <f t="shared" si="5"/>
        <v>0</v>
      </c>
      <c r="J114" s="52">
        <f t="shared" si="6"/>
        <v>0</v>
      </c>
      <c r="K114" s="53">
        <f t="shared" si="7"/>
        <v>0</v>
      </c>
      <c r="L114" s="36"/>
      <c r="M114" s="11">
        <v>2206.16</v>
      </c>
      <c r="N114" s="11">
        <v>1918.4</v>
      </c>
      <c r="O114" s="11">
        <v>1113.1999999999998</v>
      </c>
      <c r="P114" s="8">
        <v>184</v>
      </c>
      <c r="Q114" s="11">
        <v>805.19999999999982</v>
      </c>
      <c r="R114" s="11">
        <v>11.989999999999998</v>
      </c>
      <c r="S114" s="11">
        <v>10.42608695652174</v>
      </c>
      <c r="T114" s="11">
        <v>6.0499999999999989</v>
      </c>
      <c r="U114" s="14">
        <v>41.972477064220179</v>
      </c>
      <c r="V114" s="36">
        <f>IFERROR(LOOKUP($C114,#REF!,#REF!),0)</f>
        <v>0</v>
      </c>
      <c r="W114" s="36">
        <f>IFERROR(LOOKUP($C114,#REF!,#REF!),0)</f>
        <v>0</v>
      </c>
      <c r="X114" s="36">
        <f>IFERROR(LOOKUP($C114,#REF!,#REF!),0)</f>
        <v>0</v>
      </c>
      <c r="Y114" s="36">
        <f>IFERROR(LOOKUP($C114,#REF!,#REF!),0)</f>
        <v>0</v>
      </c>
    </row>
    <row r="115" spans="1:25" ht="16.5" customHeight="1" x14ac:dyDescent="0.35">
      <c r="A115" s="3" t="s">
        <v>14</v>
      </c>
      <c r="B115" s="4">
        <v>103</v>
      </c>
      <c r="C115" s="5">
        <v>34135</v>
      </c>
      <c r="D115" s="3" t="s">
        <v>230</v>
      </c>
      <c r="E115" s="6">
        <v>189.99</v>
      </c>
      <c r="F115" s="16">
        <v>61</v>
      </c>
      <c r="G115" s="51">
        <v>0</v>
      </c>
      <c r="H115" s="52">
        <f t="shared" si="4"/>
        <v>0</v>
      </c>
      <c r="I115" s="52">
        <f t="shared" si="5"/>
        <v>0</v>
      </c>
      <c r="J115" s="52">
        <f t="shared" si="6"/>
        <v>0</v>
      </c>
      <c r="K115" s="53">
        <f t="shared" si="7"/>
        <v>0</v>
      </c>
      <c r="L115" s="36"/>
      <c r="M115" s="11">
        <v>2179.46</v>
      </c>
      <c r="N115" s="11">
        <v>1895.1826086956521</v>
      </c>
      <c r="O115" s="11">
        <v>1128.3999999999999</v>
      </c>
      <c r="P115" s="8">
        <v>364</v>
      </c>
      <c r="Q115" s="11">
        <v>766.78260869565247</v>
      </c>
      <c r="R115" s="11">
        <v>5.9875274725274723</v>
      </c>
      <c r="S115" s="11">
        <v>5.2065456282847586</v>
      </c>
      <c r="T115" s="11">
        <v>3.0999999999999996</v>
      </c>
      <c r="U115" s="14">
        <v>40.459563378084489</v>
      </c>
      <c r="V115" s="36">
        <f>IFERROR(LOOKUP($C115,#REF!,#REF!),0)</f>
        <v>0</v>
      </c>
      <c r="W115" s="36">
        <f>IFERROR(LOOKUP($C115,#REF!,#REF!),0)</f>
        <v>0</v>
      </c>
      <c r="X115" s="36">
        <f>IFERROR(LOOKUP($C115,#REF!,#REF!),0)</f>
        <v>0</v>
      </c>
      <c r="Y115" s="36">
        <f>IFERROR(LOOKUP($C115,#REF!,#REF!),0)</f>
        <v>0</v>
      </c>
    </row>
    <row r="116" spans="1:25" ht="16.5" customHeight="1" x14ac:dyDescent="0.35">
      <c r="A116" s="3" t="s">
        <v>359</v>
      </c>
      <c r="B116" s="4">
        <v>103</v>
      </c>
      <c r="C116" s="5">
        <v>34136</v>
      </c>
      <c r="D116" s="3" t="s">
        <v>218</v>
      </c>
      <c r="E116" s="6">
        <v>112.99</v>
      </c>
      <c r="F116" s="16">
        <v>60.22</v>
      </c>
      <c r="G116" s="51">
        <v>0</v>
      </c>
      <c r="H116" s="52">
        <f t="shared" si="4"/>
        <v>0</v>
      </c>
      <c r="I116" s="52">
        <f t="shared" si="5"/>
        <v>0</v>
      </c>
      <c r="J116" s="52">
        <f t="shared" si="6"/>
        <v>0</v>
      </c>
      <c r="K116" s="53">
        <f t="shared" si="7"/>
        <v>0</v>
      </c>
      <c r="L116" s="36"/>
      <c r="M116" s="11">
        <v>2176.81</v>
      </c>
      <c r="N116" s="11">
        <v>1892.8782608695651</v>
      </c>
      <c r="O116" s="11">
        <v>1099.6399999999999</v>
      </c>
      <c r="P116" s="8">
        <v>74</v>
      </c>
      <c r="Q116" s="11">
        <v>793.23826086956524</v>
      </c>
      <c r="R116" s="11">
        <v>29.416351351351352</v>
      </c>
      <c r="S116" s="11">
        <v>25.579435957696827</v>
      </c>
      <c r="T116" s="11">
        <v>14.859999999999998</v>
      </c>
      <c r="U116" s="14">
        <v>41.906459452134087</v>
      </c>
      <c r="V116" s="36">
        <f>IFERROR(LOOKUP($C116,#REF!,#REF!),0)</f>
        <v>0</v>
      </c>
      <c r="W116" s="36">
        <f>IFERROR(LOOKUP($C116,#REF!,#REF!),0)</f>
        <v>0</v>
      </c>
      <c r="X116" s="36">
        <f>IFERROR(LOOKUP($C116,#REF!,#REF!),0)</f>
        <v>0</v>
      </c>
      <c r="Y116" s="36">
        <f>IFERROR(LOOKUP($C116,#REF!,#REF!),0)</f>
        <v>0</v>
      </c>
    </row>
    <row r="117" spans="1:25" ht="16.5" customHeight="1" x14ac:dyDescent="0.35">
      <c r="A117" s="3" t="s">
        <v>14</v>
      </c>
      <c r="B117" s="4">
        <v>102</v>
      </c>
      <c r="C117" s="5">
        <v>34139</v>
      </c>
      <c r="D117" s="3" t="s">
        <v>141</v>
      </c>
      <c r="E117" s="6">
        <v>49.99</v>
      </c>
      <c r="F117" s="16">
        <v>26.72</v>
      </c>
      <c r="G117" s="51">
        <v>0</v>
      </c>
      <c r="H117" s="52">
        <f t="shared" si="4"/>
        <v>0</v>
      </c>
      <c r="I117" s="52">
        <f t="shared" si="5"/>
        <v>0</v>
      </c>
      <c r="J117" s="52">
        <f t="shared" si="6"/>
        <v>0</v>
      </c>
      <c r="K117" s="53">
        <f t="shared" si="7"/>
        <v>0</v>
      </c>
      <c r="L117" s="36"/>
      <c r="M117" s="11">
        <v>2151.7200000000003</v>
      </c>
      <c r="N117" s="11">
        <v>1871.0608695652177</v>
      </c>
      <c r="O117" s="11">
        <v>1088.78</v>
      </c>
      <c r="P117" s="8">
        <v>98</v>
      </c>
      <c r="Q117" s="11">
        <v>782.2808695652177</v>
      </c>
      <c r="R117" s="11">
        <v>21.956326530612248</v>
      </c>
      <c r="S117" s="11">
        <v>19.092457852706303</v>
      </c>
      <c r="T117" s="11">
        <v>11.11</v>
      </c>
      <c r="U117" s="14">
        <v>41.809482646440998</v>
      </c>
      <c r="V117" s="36">
        <f>IFERROR(LOOKUP($C117,#REF!,#REF!),0)</f>
        <v>0</v>
      </c>
      <c r="W117" s="36">
        <f>IFERROR(LOOKUP($C117,#REF!,#REF!),0)</f>
        <v>0</v>
      </c>
      <c r="X117" s="36">
        <f>IFERROR(LOOKUP($C117,#REF!,#REF!),0)</f>
        <v>0</v>
      </c>
      <c r="Y117" s="36">
        <f>IFERROR(LOOKUP($C117,#REF!,#REF!),0)</f>
        <v>0</v>
      </c>
    </row>
    <row r="118" spans="1:25" ht="16.5" customHeight="1" x14ac:dyDescent="0.35">
      <c r="A118" s="3" t="s">
        <v>14</v>
      </c>
      <c r="B118" s="4">
        <v>119</v>
      </c>
      <c r="C118" s="5">
        <v>34140</v>
      </c>
      <c r="D118" s="3" t="s">
        <v>267</v>
      </c>
      <c r="E118" s="6">
        <v>385</v>
      </c>
      <c r="F118" s="16">
        <v>201.52</v>
      </c>
      <c r="G118" s="51">
        <v>0</v>
      </c>
      <c r="H118" s="52">
        <f t="shared" si="4"/>
        <v>0</v>
      </c>
      <c r="I118" s="52">
        <f t="shared" si="5"/>
        <v>0</v>
      </c>
      <c r="J118" s="52">
        <f t="shared" si="6"/>
        <v>0</v>
      </c>
      <c r="K118" s="53">
        <f t="shared" si="7"/>
        <v>0</v>
      </c>
      <c r="L118" s="36"/>
      <c r="M118" s="11">
        <v>2090</v>
      </c>
      <c r="N118" s="11">
        <v>1817.3913043478265</v>
      </c>
      <c r="O118" s="11">
        <v>1144.48</v>
      </c>
      <c r="P118" s="8">
        <v>21</v>
      </c>
      <c r="Q118" s="11">
        <v>672.91130434782622</v>
      </c>
      <c r="R118" s="11">
        <v>99.523809523809518</v>
      </c>
      <c r="S118" s="11">
        <v>86.542443064182208</v>
      </c>
      <c r="T118" s="11">
        <v>54.499047619047623</v>
      </c>
      <c r="U118" s="14">
        <v>37.026220095693787</v>
      </c>
      <c r="V118" s="36">
        <f>IFERROR(LOOKUP($C118,#REF!,#REF!),0)</f>
        <v>0</v>
      </c>
      <c r="W118" s="36">
        <f>IFERROR(LOOKUP($C118,#REF!,#REF!),0)</f>
        <v>0</v>
      </c>
      <c r="X118" s="36">
        <f>IFERROR(LOOKUP($C118,#REF!,#REF!),0)</f>
        <v>0</v>
      </c>
      <c r="Y118" s="36">
        <f>IFERROR(LOOKUP($C118,#REF!,#REF!),0)</f>
        <v>0</v>
      </c>
    </row>
    <row r="119" spans="1:25" ht="16.5" customHeight="1" x14ac:dyDescent="0.35">
      <c r="A119" s="3" t="s">
        <v>413</v>
      </c>
      <c r="B119" s="4">
        <v>103</v>
      </c>
      <c r="C119" s="5">
        <v>34142</v>
      </c>
      <c r="D119" s="3" t="s">
        <v>208</v>
      </c>
      <c r="E119" s="6">
        <v>70.989999999999995</v>
      </c>
      <c r="F119" s="16">
        <v>36.56</v>
      </c>
      <c r="G119" s="51">
        <v>0</v>
      </c>
      <c r="H119" s="52">
        <f t="shared" si="4"/>
        <v>0</v>
      </c>
      <c r="I119" s="52">
        <f t="shared" si="5"/>
        <v>0</v>
      </c>
      <c r="J119" s="52">
        <f t="shared" si="6"/>
        <v>0</v>
      </c>
      <c r="K119" s="53">
        <f t="shared" si="7"/>
        <v>0</v>
      </c>
      <c r="L119" s="36"/>
      <c r="M119" s="11">
        <v>2030.7300000000002</v>
      </c>
      <c r="N119" s="11">
        <v>1765.8521739130438</v>
      </c>
      <c r="O119" s="11">
        <v>825.5</v>
      </c>
      <c r="P119" s="8">
        <v>127</v>
      </c>
      <c r="Q119" s="11">
        <v>940.35217391304354</v>
      </c>
      <c r="R119" s="11">
        <v>15.990000000000002</v>
      </c>
      <c r="S119" s="11">
        <v>13.904347826086958</v>
      </c>
      <c r="T119" s="11">
        <v>6.5</v>
      </c>
      <c r="U119" s="14">
        <v>53.252032520325209</v>
      </c>
      <c r="V119" s="36">
        <f>IFERROR(LOOKUP($C119,#REF!,#REF!),0)</f>
        <v>0</v>
      </c>
      <c r="W119" s="36">
        <f>IFERROR(LOOKUP($C119,#REF!,#REF!),0)</f>
        <v>0</v>
      </c>
      <c r="X119" s="36">
        <f>IFERROR(LOOKUP($C119,#REF!,#REF!),0)</f>
        <v>0</v>
      </c>
      <c r="Y119" s="36">
        <f>IFERROR(LOOKUP($C119,#REF!,#REF!),0)</f>
        <v>0</v>
      </c>
    </row>
    <row r="120" spans="1:25" ht="16.5" customHeight="1" x14ac:dyDescent="0.35">
      <c r="A120" s="3" t="s">
        <v>14</v>
      </c>
      <c r="B120" s="4">
        <v>101</v>
      </c>
      <c r="C120" s="5">
        <v>34690</v>
      </c>
      <c r="D120" s="3" t="s">
        <v>18</v>
      </c>
      <c r="E120" s="6">
        <v>16.989999999999998</v>
      </c>
      <c r="F120" s="16">
        <v>7.7</v>
      </c>
      <c r="G120" s="51">
        <v>184</v>
      </c>
      <c r="H120" s="52">
        <f t="shared" si="4"/>
        <v>3126.16</v>
      </c>
      <c r="I120" s="52">
        <f t="shared" si="5"/>
        <v>1416.8</v>
      </c>
      <c r="J120" s="52">
        <f t="shared" si="6"/>
        <v>1709.36</v>
      </c>
      <c r="K120" s="53">
        <f t="shared" si="7"/>
        <v>54.679223072395523</v>
      </c>
      <c r="L120" s="36"/>
      <c r="M120" s="11">
        <v>2016.6100000000001</v>
      </c>
      <c r="N120" s="11">
        <v>1753.5739130434783</v>
      </c>
      <c r="O120" s="11">
        <v>673.60000000000014</v>
      </c>
      <c r="P120" s="8">
        <v>67.36</v>
      </c>
      <c r="Q120" s="11">
        <v>1079.9739130434782</v>
      </c>
      <c r="R120" s="11">
        <v>29.93779691211401</v>
      </c>
      <c r="S120" s="11">
        <v>26.032866880099139</v>
      </c>
      <c r="T120" s="11">
        <v>10</v>
      </c>
      <c r="U120" s="14">
        <v>61.587019800556376</v>
      </c>
      <c r="V120" s="36">
        <f>IFERROR(LOOKUP($C120,#REF!,#REF!),0)</f>
        <v>0</v>
      </c>
      <c r="W120" s="36">
        <f>IFERROR(LOOKUP($C120,#REF!,#REF!),0)</f>
        <v>0</v>
      </c>
      <c r="X120" s="36">
        <f>IFERROR(LOOKUP($C120,#REF!,#REF!),0)</f>
        <v>0</v>
      </c>
      <c r="Y120" s="36">
        <f>IFERROR(LOOKUP($C120,#REF!,#REF!),0)</f>
        <v>0</v>
      </c>
    </row>
    <row r="121" spans="1:25" ht="16.5" customHeight="1" x14ac:dyDescent="0.35">
      <c r="A121" s="3" t="s">
        <v>14</v>
      </c>
      <c r="B121" s="4">
        <v>102</v>
      </c>
      <c r="C121" s="5">
        <v>38977</v>
      </c>
      <c r="D121" s="3" t="s">
        <v>95</v>
      </c>
      <c r="E121" s="6">
        <v>18.989999999999998</v>
      </c>
      <c r="F121" s="16">
        <v>9.6999999999999993</v>
      </c>
      <c r="G121" s="51">
        <v>0</v>
      </c>
      <c r="H121" s="52">
        <f t="shared" si="4"/>
        <v>0</v>
      </c>
      <c r="I121" s="52">
        <f t="shared" si="5"/>
        <v>0</v>
      </c>
      <c r="J121" s="52">
        <f t="shared" si="6"/>
        <v>0</v>
      </c>
      <c r="K121" s="53">
        <f t="shared" si="7"/>
        <v>0</v>
      </c>
      <c r="L121" s="36"/>
      <c r="M121" s="11">
        <v>2010</v>
      </c>
      <c r="N121" s="11">
        <v>1747.8260869565215</v>
      </c>
      <c r="O121" s="11">
        <v>1072.24</v>
      </c>
      <c r="P121" s="8">
        <v>17</v>
      </c>
      <c r="Q121" s="11">
        <v>675.58608695652197</v>
      </c>
      <c r="R121" s="11">
        <v>118.23529411764706</v>
      </c>
      <c r="S121" s="11">
        <v>102.81329923273655</v>
      </c>
      <c r="T121" s="11">
        <v>63.072941176470586</v>
      </c>
      <c r="U121" s="14">
        <v>38.65293532338309</v>
      </c>
      <c r="V121" s="36">
        <f>IFERROR(LOOKUP($C121,#REF!,#REF!),0)</f>
        <v>0</v>
      </c>
      <c r="W121" s="36">
        <f>IFERROR(LOOKUP($C121,#REF!,#REF!),0)</f>
        <v>0</v>
      </c>
      <c r="X121" s="36">
        <f>IFERROR(LOOKUP($C121,#REF!,#REF!),0)</f>
        <v>0</v>
      </c>
      <c r="Y121" s="36">
        <f>IFERROR(LOOKUP($C121,#REF!,#REF!),0)</f>
        <v>0</v>
      </c>
    </row>
    <row r="122" spans="1:25" ht="16.5" customHeight="1" x14ac:dyDescent="0.35">
      <c r="A122" s="3" t="s">
        <v>14</v>
      </c>
      <c r="B122" s="4">
        <v>102</v>
      </c>
      <c r="C122" s="5">
        <v>39422</v>
      </c>
      <c r="D122" s="3" t="s">
        <v>120</v>
      </c>
      <c r="E122" s="6">
        <v>15.99</v>
      </c>
      <c r="F122" s="16">
        <v>8.3000000000000007</v>
      </c>
      <c r="G122" s="51">
        <v>6</v>
      </c>
      <c r="H122" s="52">
        <f t="shared" si="4"/>
        <v>95.94</v>
      </c>
      <c r="I122" s="52">
        <f t="shared" si="5"/>
        <v>49.800000000000004</v>
      </c>
      <c r="J122" s="52">
        <f t="shared" si="6"/>
        <v>46.139999999999993</v>
      </c>
      <c r="K122" s="53">
        <f t="shared" si="7"/>
        <v>48.092557848655403</v>
      </c>
      <c r="L122" s="36"/>
      <c r="M122" s="11">
        <v>1991.75</v>
      </c>
      <c r="N122" s="11">
        <v>1731.95652173913</v>
      </c>
      <c r="O122" s="11">
        <v>805</v>
      </c>
      <c r="P122" s="8">
        <v>25</v>
      </c>
      <c r="Q122" s="11">
        <v>926.95652173913049</v>
      </c>
      <c r="R122" s="11">
        <v>79.67</v>
      </c>
      <c r="S122" s="11">
        <v>69.278260869565202</v>
      </c>
      <c r="T122" s="11">
        <v>32.200000000000003</v>
      </c>
      <c r="U122" s="14">
        <v>53.520773189406299</v>
      </c>
      <c r="V122" s="36">
        <f>IFERROR(LOOKUP($C122,#REF!,#REF!),0)</f>
        <v>0</v>
      </c>
      <c r="W122" s="36">
        <f>IFERROR(LOOKUP($C122,#REF!,#REF!),0)</f>
        <v>0</v>
      </c>
      <c r="X122" s="36">
        <f>IFERROR(LOOKUP($C122,#REF!,#REF!),0)</f>
        <v>0</v>
      </c>
      <c r="Y122" s="36">
        <f>IFERROR(LOOKUP($C122,#REF!,#REF!),0)</f>
        <v>0</v>
      </c>
    </row>
    <row r="123" spans="1:25" ht="16.5" customHeight="1" x14ac:dyDescent="0.35">
      <c r="A123" s="3" t="s">
        <v>14</v>
      </c>
      <c r="B123" s="4">
        <v>101</v>
      </c>
      <c r="C123" s="5">
        <v>39750</v>
      </c>
      <c r="D123" s="3" t="s">
        <v>76</v>
      </c>
      <c r="E123" s="6">
        <v>39.99</v>
      </c>
      <c r="F123" s="16">
        <v>16.100000000000001</v>
      </c>
      <c r="G123" s="51">
        <v>0</v>
      </c>
      <c r="H123" s="52">
        <f t="shared" si="4"/>
        <v>0</v>
      </c>
      <c r="I123" s="52">
        <f t="shared" si="5"/>
        <v>0</v>
      </c>
      <c r="J123" s="52">
        <f t="shared" si="6"/>
        <v>0</v>
      </c>
      <c r="K123" s="53">
        <f t="shared" si="7"/>
        <v>0</v>
      </c>
      <c r="L123" s="36"/>
      <c r="M123" s="11">
        <v>1960.9099999999999</v>
      </c>
      <c r="N123" s="11">
        <v>1705.1391304347826</v>
      </c>
      <c r="O123" s="11">
        <v>1094.3599999999999</v>
      </c>
      <c r="P123" s="8">
        <v>109</v>
      </c>
      <c r="Q123" s="11">
        <v>610.77913043478247</v>
      </c>
      <c r="R123" s="11">
        <v>17.989999999999998</v>
      </c>
      <c r="S123" s="11">
        <v>15.643478260869566</v>
      </c>
      <c r="T123" s="11">
        <v>10.039999999999999</v>
      </c>
      <c r="U123" s="14">
        <v>35.819899944413557</v>
      </c>
      <c r="V123" s="36">
        <f>IFERROR(LOOKUP($C123,#REF!,#REF!),0)</f>
        <v>0</v>
      </c>
      <c r="W123" s="36">
        <f>IFERROR(LOOKUP($C123,#REF!,#REF!),0)</f>
        <v>0</v>
      </c>
      <c r="X123" s="36">
        <f>IFERROR(LOOKUP($C123,#REF!,#REF!),0)</f>
        <v>0</v>
      </c>
      <c r="Y123" s="36">
        <f>IFERROR(LOOKUP($C123,#REF!,#REF!),0)</f>
        <v>0</v>
      </c>
    </row>
    <row r="124" spans="1:25" ht="16.5" customHeight="1" x14ac:dyDescent="0.35">
      <c r="A124" s="3" t="s">
        <v>14</v>
      </c>
      <c r="B124" s="4">
        <v>102</v>
      </c>
      <c r="C124" s="5">
        <v>40065</v>
      </c>
      <c r="D124" s="3" t="s">
        <v>103</v>
      </c>
      <c r="E124" s="6">
        <v>27.99</v>
      </c>
      <c r="F124" s="16">
        <v>15.7</v>
      </c>
      <c r="G124" s="51">
        <v>0</v>
      </c>
      <c r="H124" s="52">
        <f t="shared" si="4"/>
        <v>0</v>
      </c>
      <c r="I124" s="52">
        <f t="shared" si="5"/>
        <v>0</v>
      </c>
      <c r="J124" s="52">
        <f t="shared" si="6"/>
        <v>0</v>
      </c>
      <c r="K124" s="53">
        <f t="shared" si="7"/>
        <v>0</v>
      </c>
      <c r="L124" s="36"/>
      <c r="M124" s="11">
        <v>1841.7800000000002</v>
      </c>
      <c r="N124" s="11">
        <v>1601.5478260869568</v>
      </c>
      <c r="O124" s="11">
        <v>880.43999999999994</v>
      </c>
      <c r="P124" s="8">
        <v>132</v>
      </c>
      <c r="Q124" s="11">
        <v>721.10782608695683</v>
      </c>
      <c r="R124" s="11">
        <v>13.95287878787879</v>
      </c>
      <c r="S124" s="11">
        <v>12.132938076416339</v>
      </c>
      <c r="T124" s="11">
        <v>6.67</v>
      </c>
      <c r="U124" s="14">
        <v>45.025681677507642</v>
      </c>
      <c r="V124" s="36">
        <f>IFERROR(LOOKUP($C124,#REF!,#REF!),0)</f>
        <v>0</v>
      </c>
      <c r="W124" s="36">
        <f>IFERROR(LOOKUP($C124,#REF!,#REF!),0)</f>
        <v>0</v>
      </c>
      <c r="X124" s="36">
        <f>IFERROR(LOOKUP($C124,#REF!,#REF!),0)</f>
        <v>0</v>
      </c>
      <c r="Y124" s="36">
        <f>IFERROR(LOOKUP($C124,#REF!,#REF!),0)</f>
        <v>0</v>
      </c>
    </row>
    <row r="125" spans="1:25" ht="16.5" customHeight="1" x14ac:dyDescent="0.35">
      <c r="A125" s="3" t="s">
        <v>14</v>
      </c>
      <c r="B125" s="4">
        <v>101</v>
      </c>
      <c r="C125" s="5">
        <v>40158</v>
      </c>
      <c r="D125" s="3" t="s">
        <v>58</v>
      </c>
      <c r="E125" s="6">
        <v>11.99</v>
      </c>
      <c r="F125" s="16">
        <v>6.05</v>
      </c>
      <c r="G125" s="51">
        <v>0</v>
      </c>
      <c r="H125" s="52">
        <f t="shared" si="4"/>
        <v>0</v>
      </c>
      <c r="I125" s="52">
        <f t="shared" si="5"/>
        <v>0</v>
      </c>
      <c r="J125" s="52">
        <f t="shared" si="6"/>
        <v>0</v>
      </c>
      <c r="K125" s="53">
        <f t="shared" si="7"/>
        <v>0</v>
      </c>
      <c r="L125" s="36"/>
      <c r="M125" s="11">
        <v>1647.8500000000001</v>
      </c>
      <c r="N125" s="11">
        <v>1432.913043478261</v>
      </c>
      <c r="O125" s="11">
        <v>537.9</v>
      </c>
      <c r="P125" s="8">
        <v>165</v>
      </c>
      <c r="Q125" s="11">
        <v>895.01304347826101</v>
      </c>
      <c r="R125" s="11">
        <v>9.9869696969696982</v>
      </c>
      <c r="S125" s="11">
        <v>8.6843214756258238</v>
      </c>
      <c r="T125" s="11">
        <v>3.26</v>
      </c>
      <c r="U125" s="14">
        <v>62.461085657068303</v>
      </c>
      <c r="V125" s="36">
        <f>IFERROR(LOOKUP($C125,#REF!,#REF!),0)</f>
        <v>0</v>
      </c>
      <c r="W125" s="36">
        <f>IFERROR(LOOKUP($C125,#REF!,#REF!),0)</f>
        <v>0</v>
      </c>
      <c r="X125" s="36">
        <f>IFERROR(LOOKUP($C125,#REF!,#REF!),0)</f>
        <v>0</v>
      </c>
      <c r="Y125" s="36">
        <f>IFERROR(LOOKUP($C125,#REF!,#REF!),0)</f>
        <v>0</v>
      </c>
    </row>
    <row r="126" spans="1:25" ht="16.5" customHeight="1" x14ac:dyDescent="0.35">
      <c r="A126" s="3" t="s">
        <v>14</v>
      </c>
      <c r="B126" s="4">
        <v>118</v>
      </c>
      <c r="C126" s="5">
        <v>40305</v>
      </c>
      <c r="D126" s="3" t="s">
        <v>257</v>
      </c>
      <c r="E126" s="6">
        <v>9.99</v>
      </c>
      <c r="F126" s="16">
        <v>4.53</v>
      </c>
      <c r="G126" s="51">
        <v>0</v>
      </c>
      <c r="H126" s="52">
        <f t="shared" si="4"/>
        <v>0</v>
      </c>
      <c r="I126" s="52">
        <f t="shared" si="5"/>
        <v>0</v>
      </c>
      <c r="J126" s="52">
        <f t="shared" si="6"/>
        <v>0</v>
      </c>
      <c r="K126" s="53">
        <f t="shared" si="7"/>
        <v>0</v>
      </c>
      <c r="L126" s="36"/>
      <c r="M126" s="11">
        <v>1584.98</v>
      </c>
      <c r="N126" s="11">
        <v>1378.2434782608696</v>
      </c>
      <c r="O126" s="11">
        <v>916.56000000000006</v>
      </c>
      <c r="P126" s="8">
        <v>67</v>
      </c>
      <c r="Q126" s="11">
        <v>461.68347826086949</v>
      </c>
      <c r="R126" s="11">
        <v>23.656417910447761</v>
      </c>
      <c r="S126" s="11">
        <v>20.570798182998054</v>
      </c>
      <c r="T126" s="11">
        <v>13.680000000000001</v>
      </c>
      <c r="U126" s="14">
        <v>33.497962119395822</v>
      </c>
      <c r="V126" s="36">
        <f>IFERROR(LOOKUP($C126,#REF!,#REF!),0)</f>
        <v>0</v>
      </c>
      <c r="W126" s="36">
        <f>IFERROR(LOOKUP($C126,#REF!,#REF!),0)</f>
        <v>0</v>
      </c>
      <c r="X126" s="36">
        <f>IFERROR(LOOKUP($C126,#REF!,#REF!),0)</f>
        <v>0</v>
      </c>
      <c r="Y126" s="36">
        <f>IFERROR(LOOKUP($C126,#REF!,#REF!),0)</f>
        <v>0</v>
      </c>
    </row>
    <row r="127" spans="1:25" ht="16.5" customHeight="1" x14ac:dyDescent="0.35">
      <c r="A127" s="3" t="s">
        <v>14</v>
      </c>
      <c r="B127" s="4">
        <v>104</v>
      </c>
      <c r="C127" s="5">
        <v>40732</v>
      </c>
      <c r="D127" s="3" t="s">
        <v>239</v>
      </c>
      <c r="E127" s="6">
        <v>15</v>
      </c>
      <c r="F127" s="16">
        <v>7.38</v>
      </c>
      <c r="G127" s="51">
        <v>0</v>
      </c>
      <c r="H127" s="52">
        <f t="shared" si="4"/>
        <v>0</v>
      </c>
      <c r="I127" s="52">
        <f t="shared" si="5"/>
        <v>0</v>
      </c>
      <c r="J127" s="52">
        <f t="shared" si="6"/>
        <v>0</v>
      </c>
      <c r="K127" s="53">
        <f t="shared" si="7"/>
        <v>0</v>
      </c>
      <c r="L127" s="36"/>
      <c r="M127" s="11">
        <v>1575</v>
      </c>
      <c r="N127" s="11">
        <v>1369.5652173913043</v>
      </c>
      <c r="O127" s="11">
        <v>1023.96</v>
      </c>
      <c r="P127" s="8">
        <v>483</v>
      </c>
      <c r="Q127" s="11">
        <v>345.60521739130422</v>
      </c>
      <c r="R127" s="11">
        <v>3.2608695652173911</v>
      </c>
      <c r="S127" s="11">
        <v>2.8355387523629489</v>
      </c>
      <c r="T127" s="11">
        <v>2.12</v>
      </c>
      <c r="U127" s="14">
        <v>25.234666666666662</v>
      </c>
      <c r="V127" s="36">
        <f>IFERROR(LOOKUP($C127,#REF!,#REF!),0)</f>
        <v>0</v>
      </c>
      <c r="W127" s="36">
        <f>IFERROR(LOOKUP($C127,#REF!,#REF!),0)</f>
        <v>0</v>
      </c>
      <c r="X127" s="36">
        <f>IFERROR(LOOKUP($C127,#REF!,#REF!),0)</f>
        <v>0</v>
      </c>
      <c r="Y127" s="36">
        <f>IFERROR(LOOKUP($C127,#REF!,#REF!),0)</f>
        <v>0</v>
      </c>
    </row>
    <row r="128" spans="1:25" ht="16.5" customHeight="1" x14ac:dyDescent="0.35">
      <c r="A128" s="3" t="s">
        <v>14</v>
      </c>
      <c r="B128" s="4">
        <v>118</v>
      </c>
      <c r="C128" s="5">
        <v>40809</v>
      </c>
      <c r="D128" s="3" t="s">
        <v>260</v>
      </c>
      <c r="E128" s="6">
        <v>15.99</v>
      </c>
      <c r="F128" s="16">
        <v>6.5</v>
      </c>
      <c r="G128" s="51">
        <v>0</v>
      </c>
      <c r="H128" s="52">
        <f t="shared" si="4"/>
        <v>0</v>
      </c>
      <c r="I128" s="52">
        <f t="shared" si="5"/>
        <v>0</v>
      </c>
      <c r="J128" s="52">
        <f t="shared" si="6"/>
        <v>0</v>
      </c>
      <c r="K128" s="53">
        <f t="shared" si="7"/>
        <v>0</v>
      </c>
      <c r="L128" s="36"/>
      <c r="M128" s="11">
        <v>1517.3100000000004</v>
      </c>
      <c r="N128" s="11">
        <v>1319.4</v>
      </c>
      <c r="O128" s="11">
        <v>850.7700000000001</v>
      </c>
      <c r="P128" s="8">
        <v>69</v>
      </c>
      <c r="Q128" s="11">
        <v>468.63000000000022</v>
      </c>
      <c r="R128" s="11">
        <v>21.990000000000006</v>
      </c>
      <c r="S128" s="11">
        <v>19.121739130434783</v>
      </c>
      <c r="T128" s="11">
        <v>12.330000000000002</v>
      </c>
      <c r="U128" s="14">
        <v>35.518417462482951</v>
      </c>
      <c r="V128" s="36">
        <f>IFERROR(LOOKUP($C128,#REF!,#REF!),0)</f>
        <v>0</v>
      </c>
      <c r="W128" s="36">
        <f>IFERROR(LOOKUP($C128,#REF!,#REF!),0)</f>
        <v>0</v>
      </c>
      <c r="X128" s="36">
        <f>IFERROR(LOOKUP($C128,#REF!,#REF!),0)</f>
        <v>0</v>
      </c>
      <c r="Y128" s="36">
        <f>IFERROR(LOOKUP($C128,#REF!,#REF!),0)</f>
        <v>0</v>
      </c>
    </row>
    <row r="129" spans="1:25" ht="16.5" customHeight="1" x14ac:dyDescent="0.35">
      <c r="A129" s="3" t="s">
        <v>14</v>
      </c>
      <c r="B129" s="4">
        <v>101</v>
      </c>
      <c r="C129" s="5">
        <v>41464</v>
      </c>
      <c r="D129" s="3" t="s">
        <v>45</v>
      </c>
      <c r="E129" s="6">
        <v>16.989999999999998</v>
      </c>
      <c r="F129" s="16">
        <v>7.73</v>
      </c>
      <c r="G129" s="51">
        <v>36</v>
      </c>
      <c r="H129" s="52">
        <f t="shared" si="4"/>
        <v>611.64</v>
      </c>
      <c r="I129" s="52">
        <f t="shared" si="5"/>
        <v>278.28000000000003</v>
      </c>
      <c r="J129" s="52">
        <f t="shared" si="6"/>
        <v>333.35999999999996</v>
      </c>
      <c r="K129" s="53">
        <f t="shared" si="7"/>
        <v>54.502648616833426</v>
      </c>
      <c r="L129" s="36"/>
      <c r="M129" s="11">
        <v>1499.7</v>
      </c>
      <c r="N129" s="11">
        <v>1304.0869565217392</v>
      </c>
      <c r="O129" s="11">
        <v>801.59999999999991</v>
      </c>
      <c r="P129" s="8">
        <v>30</v>
      </c>
      <c r="Q129" s="11">
        <v>502.48695652173933</v>
      </c>
      <c r="R129" s="11">
        <v>49.99</v>
      </c>
      <c r="S129" s="11">
        <v>43.469565217391306</v>
      </c>
      <c r="T129" s="11">
        <v>26.719999999999995</v>
      </c>
      <c r="U129" s="14">
        <v>38.531706341268269</v>
      </c>
      <c r="V129" s="36">
        <f>IFERROR(LOOKUP($C129,#REF!,#REF!),0)</f>
        <v>0</v>
      </c>
      <c r="W129" s="36">
        <f>IFERROR(LOOKUP($C129,#REF!,#REF!),0)</f>
        <v>0</v>
      </c>
      <c r="X129" s="36">
        <f>IFERROR(LOOKUP($C129,#REF!,#REF!),0)</f>
        <v>0</v>
      </c>
      <c r="Y129" s="36">
        <f>IFERROR(LOOKUP($C129,#REF!,#REF!),0)</f>
        <v>0</v>
      </c>
    </row>
    <row r="130" spans="1:25" ht="16.5" customHeight="1" x14ac:dyDescent="0.35">
      <c r="A130" s="3" t="s">
        <v>14</v>
      </c>
      <c r="B130" s="4">
        <v>117</v>
      </c>
      <c r="C130" s="5">
        <v>41620</v>
      </c>
      <c r="D130" s="3" t="s">
        <v>255</v>
      </c>
      <c r="E130" s="6">
        <v>15.99</v>
      </c>
      <c r="F130" s="16">
        <v>8.11</v>
      </c>
      <c r="G130" s="51">
        <v>6</v>
      </c>
      <c r="H130" s="52">
        <f t="shared" si="4"/>
        <v>95.94</v>
      </c>
      <c r="I130" s="52">
        <f t="shared" si="5"/>
        <v>48.66</v>
      </c>
      <c r="J130" s="52">
        <f t="shared" si="6"/>
        <v>47.28</v>
      </c>
      <c r="K130" s="53">
        <f t="shared" si="7"/>
        <v>49.280800500312701</v>
      </c>
      <c r="L130" s="36"/>
      <c r="M130" s="11">
        <v>1468.5600000000002</v>
      </c>
      <c r="N130" s="11">
        <v>1277.0086956521741</v>
      </c>
      <c r="O130" s="11">
        <v>805.77531999999997</v>
      </c>
      <c r="P130" s="8">
        <v>23.452000000000002</v>
      </c>
      <c r="Q130" s="11">
        <v>471.23337565217412</v>
      </c>
      <c r="R130" s="11">
        <v>62.619819205185074</v>
      </c>
      <c r="S130" s="11">
        <v>54.452016700160932</v>
      </c>
      <c r="T130" s="11">
        <v>34.35849053385639</v>
      </c>
      <c r="U130" s="14">
        <v>36.901344310072467</v>
      </c>
      <c r="V130" s="36">
        <f>IFERROR(LOOKUP($C130,#REF!,#REF!),0)</f>
        <v>0</v>
      </c>
      <c r="W130" s="36">
        <f>IFERROR(LOOKUP($C130,#REF!,#REF!),0)</f>
        <v>0</v>
      </c>
      <c r="X130" s="36">
        <f>IFERROR(LOOKUP($C130,#REF!,#REF!),0)</f>
        <v>0</v>
      </c>
      <c r="Y130" s="36">
        <f>IFERROR(LOOKUP($C130,#REF!,#REF!),0)</f>
        <v>0</v>
      </c>
    </row>
    <row r="131" spans="1:25" ht="16.5" customHeight="1" x14ac:dyDescent="0.35">
      <c r="A131" s="3" t="s">
        <v>14</v>
      </c>
      <c r="B131" s="4">
        <v>106</v>
      </c>
      <c r="C131" s="5">
        <v>42296</v>
      </c>
      <c r="D131" s="3" t="s">
        <v>246</v>
      </c>
      <c r="E131" s="6">
        <v>4.99</v>
      </c>
      <c r="F131" s="16">
        <v>2.97</v>
      </c>
      <c r="G131" s="51">
        <v>0</v>
      </c>
      <c r="H131" s="52">
        <f t="shared" si="4"/>
        <v>0</v>
      </c>
      <c r="I131" s="52">
        <f t="shared" si="5"/>
        <v>0</v>
      </c>
      <c r="J131" s="52">
        <f t="shared" si="6"/>
        <v>0</v>
      </c>
      <c r="K131" s="53">
        <f t="shared" si="7"/>
        <v>0</v>
      </c>
      <c r="L131" s="36"/>
      <c r="M131" s="11">
        <v>1430</v>
      </c>
      <c r="N131" s="11">
        <v>1243.478260869565</v>
      </c>
      <c r="O131" s="11">
        <v>665.79999999999984</v>
      </c>
      <c r="P131" s="8">
        <v>18</v>
      </c>
      <c r="Q131" s="11">
        <v>577.67826086956541</v>
      </c>
      <c r="R131" s="11">
        <v>79.444444444444443</v>
      </c>
      <c r="S131" s="11">
        <v>69.082125603864725</v>
      </c>
      <c r="T131" s="11">
        <v>36.98888888888888</v>
      </c>
      <c r="U131" s="14">
        <v>46.456643356643376</v>
      </c>
      <c r="V131" s="36">
        <f>IFERROR(LOOKUP($C131,#REF!,#REF!),0)</f>
        <v>0</v>
      </c>
      <c r="W131" s="36">
        <f>IFERROR(LOOKUP($C131,#REF!,#REF!),0)</f>
        <v>0</v>
      </c>
      <c r="X131" s="36">
        <f>IFERROR(LOOKUP($C131,#REF!,#REF!),0)</f>
        <v>0</v>
      </c>
      <c r="Y131" s="36">
        <f>IFERROR(LOOKUP($C131,#REF!,#REF!),0)</f>
        <v>0</v>
      </c>
    </row>
    <row r="132" spans="1:25" ht="16.5" customHeight="1" x14ac:dyDescent="0.35">
      <c r="A132" s="3" t="s">
        <v>14</v>
      </c>
      <c r="B132" s="4">
        <v>101</v>
      </c>
      <c r="C132" s="5">
        <v>42401</v>
      </c>
      <c r="D132" s="3" t="s">
        <v>38</v>
      </c>
      <c r="E132" s="6">
        <v>14.99</v>
      </c>
      <c r="F132" s="16">
        <v>6.62</v>
      </c>
      <c r="G132" s="51">
        <v>0</v>
      </c>
      <c r="H132" s="52">
        <f t="shared" ref="H132:H195" si="8">E132*G132</f>
        <v>0</v>
      </c>
      <c r="I132" s="52">
        <f t="shared" ref="I132:I195" si="9">F132*G132</f>
        <v>0</v>
      </c>
      <c r="J132" s="52">
        <f t="shared" ref="J132:J195" si="10">H132-I132</f>
        <v>0</v>
      </c>
      <c r="K132" s="53">
        <f t="shared" si="7"/>
        <v>0</v>
      </c>
      <c r="L132" s="36"/>
      <c r="M132" s="11">
        <v>1374.9900000000002</v>
      </c>
      <c r="N132" s="11">
        <v>1195.6434782608699</v>
      </c>
      <c r="O132" s="11">
        <v>709.1400000000001</v>
      </c>
      <c r="P132" s="8">
        <v>106</v>
      </c>
      <c r="Q132" s="11">
        <v>486.50347826086977</v>
      </c>
      <c r="R132" s="11">
        <v>12.971603773584908</v>
      </c>
      <c r="S132" s="11">
        <v>11.279655455291225</v>
      </c>
      <c r="T132" s="11">
        <v>6.6900000000000013</v>
      </c>
      <c r="U132" s="14">
        <v>40.689677743110863</v>
      </c>
      <c r="V132" s="36">
        <f>IFERROR(LOOKUP($C132,#REF!,#REF!),0)</f>
        <v>0</v>
      </c>
      <c r="W132" s="36">
        <f>IFERROR(LOOKUP($C132,#REF!,#REF!),0)</f>
        <v>0</v>
      </c>
      <c r="X132" s="36">
        <f>IFERROR(LOOKUP($C132,#REF!,#REF!),0)</f>
        <v>0</v>
      </c>
      <c r="Y132" s="36">
        <f>IFERROR(LOOKUP($C132,#REF!,#REF!),0)</f>
        <v>0</v>
      </c>
    </row>
    <row r="133" spans="1:25" ht="16.5" customHeight="1" x14ac:dyDescent="0.35">
      <c r="A133" s="3" t="s">
        <v>371</v>
      </c>
      <c r="B133" s="4">
        <v>102</v>
      </c>
      <c r="C133" s="5">
        <v>42797</v>
      </c>
      <c r="D133" s="16" t="s">
        <v>99</v>
      </c>
      <c r="E133" s="16">
        <v>11.99</v>
      </c>
      <c r="F133" s="16">
        <v>4.968</v>
      </c>
      <c r="G133" s="51">
        <v>10</v>
      </c>
      <c r="H133" s="52">
        <f t="shared" si="8"/>
        <v>119.9</v>
      </c>
      <c r="I133" s="52">
        <f t="shared" si="9"/>
        <v>49.68</v>
      </c>
      <c r="J133" s="52">
        <f t="shared" si="10"/>
        <v>70.22</v>
      </c>
      <c r="K133" s="53">
        <f t="shared" ref="K133:K196" si="11">IFERROR(J133/H133*100,0)</f>
        <v>58.565471226021678</v>
      </c>
      <c r="L133" s="36"/>
      <c r="M133" s="11">
        <v>1287.08</v>
      </c>
      <c r="N133" s="11">
        <v>1119.2</v>
      </c>
      <c r="O133" s="11">
        <v>678.04</v>
      </c>
      <c r="P133" s="8">
        <v>92</v>
      </c>
      <c r="Q133" s="11">
        <v>441.16000000000008</v>
      </c>
      <c r="R133" s="11">
        <v>13.989999999999998</v>
      </c>
      <c r="S133" s="11">
        <v>12.165217391304349</v>
      </c>
      <c r="T133" s="11">
        <v>7.3699999999999992</v>
      </c>
      <c r="U133" s="14">
        <v>39.417441029306652</v>
      </c>
      <c r="V133" s="36">
        <f>IFERROR(LOOKUP($C133,#REF!,#REF!),0)</f>
        <v>0</v>
      </c>
      <c r="W133" s="36">
        <f>IFERROR(LOOKUP($C133,#REF!,#REF!),0)</f>
        <v>0</v>
      </c>
      <c r="X133" s="36">
        <f>IFERROR(LOOKUP($C133,#REF!,#REF!),0)</f>
        <v>0</v>
      </c>
      <c r="Y133" s="36">
        <f>IFERROR(LOOKUP($C133,#REF!,#REF!),0)</f>
        <v>0</v>
      </c>
    </row>
    <row r="134" spans="1:25" ht="16.5" customHeight="1" x14ac:dyDescent="0.35">
      <c r="A134" s="3" t="s">
        <v>14</v>
      </c>
      <c r="B134" s="4">
        <v>102</v>
      </c>
      <c r="C134" s="5">
        <v>42990</v>
      </c>
      <c r="D134" s="3" t="s">
        <v>93</v>
      </c>
      <c r="E134" s="6">
        <v>19.989999999999998</v>
      </c>
      <c r="F134" s="16">
        <v>10.85</v>
      </c>
      <c r="G134" s="51">
        <v>16</v>
      </c>
      <c r="H134" s="52">
        <f t="shared" si="8"/>
        <v>319.83999999999997</v>
      </c>
      <c r="I134" s="52">
        <f t="shared" si="9"/>
        <v>173.6</v>
      </c>
      <c r="J134" s="52">
        <f t="shared" si="10"/>
        <v>146.23999999999998</v>
      </c>
      <c r="K134" s="53">
        <f t="shared" si="11"/>
        <v>45.722861430715355</v>
      </c>
      <c r="L134" s="36"/>
      <c r="M134" s="11">
        <v>1102.69</v>
      </c>
      <c r="N134" s="11">
        <v>1098.911304347826</v>
      </c>
      <c r="O134" s="11">
        <v>633.03</v>
      </c>
      <c r="P134" s="8">
        <v>101</v>
      </c>
      <c r="Q134" s="11">
        <v>465.88130434782624</v>
      </c>
      <c r="R134" s="11">
        <v>10.917722772277228</v>
      </c>
      <c r="S134" s="11">
        <v>10.880309944037881</v>
      </c>
      <c r="T134" s="11">
        <v>6.2676237623762372</v>
      </c>
      <c r="U134" s="14">
        <v>42.394804976941614</v>
      </c>
      <c r="V134" s="36">
        <f>IFERROR(LOOKUP($C134,#REF!,#REF!),0)</f>
        <v>0</v>
      </c>
      <c r="W134" s="36">
        <f>IFERROR(LOOKUP($C134,#REF!,#REF!),0)</f>
        <v>0</v>
      </c>
      <c r="X134" s="36">
        <f>IFERROR(LOOKUP($C134,#REF!,#REF!),0)</f>
        <v>0</v>
      </c>
      <c r="Y134" s="36">
        <f>IFERROR(LOOKUP($C134,#REF!,#REF!),0)</f>
        <v>0</v>
      </c>
    </row>
    <row r="135" spans="1:25" ht="16.5" customHeight="1" x14ac:dyDescent="0.35">
      <c r="A135" s="3" t="s">
        <v>14</v>
      </c>
      <c r="B135" s="4">
        <v>104</v>
      </c>
      <c r="C135" s="5">
        <v>43309</v>
      </c>
      <c r="D135" s="3" t="s">
        <v>238</v>
      </c>
      <c r="E135" s="6">
        <v>13.99</v>
      </c>
      <c r="F135" s="16">
        <v>6.67</v>
      </c>
      <c r="G135" s="51">
        <v>0</v>
      </c>
      <c r="H135" s="52">
        <f t="shared" si="8"/>
        <v>0</v>
      </c>
      <c r="I135" s="52">
        <f t="shared" si="9"/>
        <v>0</v>
      </c>
      <c r="J135" s="52">
        <f t="shared" si="10"/>
        <v>0</v>
      </c>
      <c r="K135" s="53">
        <f t="shared" si="11"/>
        <v>0</v>
      </c>
      <c r="L135" s="36"/>
      <c r="M135" s="11">
        <v>1200</v>
      </c>
      <c r="N135" s="11">
        <v>1043.4782608695652</v>
      </c>
      <c r="O135" s="11">
        <v>760</v>
      </c>
      <c r="P135" s="8">
        <v>200</v>
      </c>
      <c r="Q135" s="11">
        <v>283.47826086956525</v>
      </c>
      <c r="R135" s="11">
        <v>6</v>
      </c>
      <c r="S135" s="11">
        <v>5.2173913043478262</v>
      </c>
      <c r="T135" s="11">
        <v>3.8</v>
      </c>
      <c r="U135" s="14">
        <v>27.166666666666668</v>
      </c>
      <c r="V135" s="36">
        <f>IFERROR(LOOKUP($C135,#REF!,#REF!),0)</f>
        <v>0</v>
      </c>
      <c r="W135" s="36">
        <f>IFERROR(LOOKUP($C135,#REF!,#REF!),0)</f>
        <v>0</v>
      </c>
      <c r="X135" s="36">
        <f>IFERROR(LOOKUP($C135,#REF!,#REF!),0)</f>
        <v>0</v>
      </c>
      <c r="Y135" s="36">
        <f>IFERROR(LOOKUP($C135,#REF!,#REF!),0)</f>
        <v>0</v>
      </c>
    </row>
    <row r="136" spans="1:25" ht="16.5" customHeight="1" x14ac:dyDescent="0.35">
      <c r="A136" s="3" t="s">
        <v>14</v>
      </c>
      <c r="B136" s="4">
        <v>113</v>
      </c>
      <c r="C136" s="5">
        <v>46072</v>
      </c>
      <c r="D136" s="3" t="s">
        <v>252</v>
      </c>
      <c r="E136" s="6">
        <v>44.99</v>
      </c>
      <c r="F136" s="16">
        <v>26.64</v>
      </c>
      <c r="G136" s="51">
        <v>0</v>
      </c>
      <c r="H136" s="52">
        <f t="shared" si="8"/>
        <v>0</v>
      </c>
      <c r="I136" s="52">
        <f t="shared" si="9"/>
        <v>0</v>
      </c>
      <c r="J136" s="52">
        <f t="shared" si="10"/>
        <v>0</v>
      </c>
      <c r="K136" s="53">
        <f t="shared" si="11"/>
        <v>0</v>
      </c>
      <c r="L136" s="36"/>
      <c r="M136" s="11">
        <v>1128</v>
      </c>
      <c r="N136" s="11">
        <v>980.86956521739148</v>
      </c>
      <c r="O136" s="11">
        <v>389.09289999999999</v>
      </c>
      <c r="P136" s="8">
        <v>113</v>
      </c>
      <c r="Q136" s="11">
        <v>591.77666521739138</v>
      </c>
      <c r="R136" s="11">
        <v>9.9823008849557517</v>
      </c>
      <c r="S136" s="11">
        <v>8.6802616390919596</v>
      </c>
      <c r="T136" s="11">
        <v>3.4432999999999998</v>
      </c>
      <c r="U136" s="14">
        <v>60.33184086879433</v>
      </c>
      <c r="V136" s="36">
        <f>IFERROR(LOOKUP($C136,#REF!,#REF!),0)</f>
        <v>0</v>
      </c>
      <c r="W136" s="36">
        <f>IFERROR(LOOKUP($C136,#REF!,#REF!),0)</f>
        <v>0</v>
      </c>
      <c r="X136" s="36">
        <f>IFERROR(LOOKUP($C136,#REF!,#REF!),0)</f>
        <v>0</v>
      </c>
      <c r="Y136" s="36">
        <f>IFERROR(LOOKUP($C136,#REF!,#REF!),0)</f>
        <v>0</v>
      </c>
    </row>
    <row r="137" spans="1:25" ht="16.5" customHeight="1" x14ac:dyDescent="0.35">
      <c r="A137" s="3" t="s">
        <v>14</v>
      </c>
      <c r="B137" s="4">
        <v>102</v>
      </c>
      <c r="C137" s="5">
        <v>46797</v>
      </c>
      <c r="D137" s="3" t="s">
        <v>161</v>
      </c>
      <c r="E137" s="6">
        <v>39.99</v>
      </c>
      <c r="F137" s="16">
        <v>25</v>
      </c>
      <c r="G137" s="51">
        <v>0</v>
      </c>
      <c r="H137" s="52">
        <f t="shared" si="8"/>
        <v>0</v>
      </c>
      <c r="I137" s="52">
        <f t="shared" si="9"/>
        <v>0</v>
      </c>
      <c r="J137" s="52">
        <f t="shared" si="10"/>
        <v>0</v>
      </c>
      <c r="K137" s="53">
        <f t="shared" si="11"/>
        <v>0</v>
      </c>
      <c r="L137" s="36"/>
      <c r="M137" s="11">
        <v>1125.1799999999998</v>
      </c>
      <c r="N137" s="11">
        <v>978.4173913043478</v>
      </c>
      <c r="O137" s="11">
        <v>366.6</v>
      </c>
      <c r="P137" s="8">
        <v>282</v>
      </c>
      <c r="Q137" s="11">
        <v>611.81739130434767</v>
      </c>
      <c r="R137" s="11">
        <v>3.9899999999999993</v>
      </c>
      <c r="S137" s="11">
        <v>3.4695652173913043</v>
      </c>
      <c r="T137" s="11">
        <v>1.3</v>
      </c>
      <c r="U137" s="14">
        <v>62.53132832080199</v>
      </c>
      <c r="V137" s="36">
        <f>IFERROR(LOOKUP($C137,#REF!,#REF!),0)</f>
        <v>0</v>
      </c>
      <c r="W137" s="36">
        <f>IFERROR(LOOKUP($C137,#REF!,#REF!),0)</f>
        <v>0</v>
      </c>
      <c r="X137" s="36">
        <f>IFERROR(LOOKUP($C137,#REF!,#REF!),0)</f>
        <v>0</v>
      </c>
      <c r="Y137" s="36">
        <f>IFERROR(LOOKUP($C137,#REF!,#REF!),0)</f>
        <v>0</v>
      </c>
    </row>
    <row r="138" spans="1:25" ht="16.5" customHeight="1" x14ac:dyDescent="0.35">
      <c r="A138" s="3" t="s">
        <v>14</v>
      </c>
      <c r="B138" s="4">
        <v>102</v>
      </c>
      <c r="C138" s="5">
        <v>50682</v>
      </c>
      <c r="D138" s="3" t="s">
        <v>132</v>
      </c>
      <c r="E138" s="6">
        <v>15.99</v>
      </c>
      <c r="F138" s="16">
        <v>7.86</v>
      </c>
      <c r="G138" s="51">
        <v>0</v>
      </c>
      <c r="H138" s="52">
        <f t="shared" si="8"/>
        <v>0</v>
      </c>
      <c r="I138" s="52">
        <f t="shared" si="9"/>
        <v>0</v>
      </c>
      <c r="J138" s="52">
        <f t="shared" si="10"/>
        <v>0</v>
      </c>
      <c r="K138" s="53">
        <f t="shared" si="11"/>
        <v>0</v>
      </c>
      <c r="L138" s="36"/>
      <c r="M138" s="11">
        <v>1119.2</v>
      </c>
      <c r="N138" s="11">
        <v>973.21739130434776</v>
      </c>
      <c r="O138" s="11">
        <v>435.2</v>
      </c>
      <c r="P138" s="8">
        <v>80</v>
      </c>
      <c r="Q138" s="11">
        <v>538.01739130434794</v>
      </c>
      <c r="R138" s="11">
        <v>13.99</v>
      </c>
      <c r="S138" s="11">
        <v>12.165217391304347</v>
      </c>
      <c r="T138" s="11">
        <v>5.4399999999999995</v>
      </c>
      <c r="U138" s="14">
        <v>55.282344531808448</v>
      </c>
      <c r="V138" s="36">
        <f>IFERROR(LOOKUP($C138,#REF!,#REF!),0)</f>
        <v>0</v>
      </c>
      <c r="W138" s="36">
        <f>IFERROR(LOOKUP($C138,#REF!,#REF!),0)</f>
        <v>0</v>
      </c>
      <c r="X138" s="36">
        <f>IFERROR(LOOKUP($C138,#REF!,#REF!),0)</f>
        <v>0</v>
      </c>
      <c r="Y138" s="36">
        <f>IFERROR(LOOKUP($C138,#REF!,#REF!),0)</f>
        <v>0</v>
      </c>
    </row>
    <row r="139" spans="1:25" ht="16.5" customHeight="1" x14ac:dyDescent="0.35">
      <c r="A139" s="3" t="s">
        <v>14</v>
      </c>
      <c r="B139" s="4">
        <v>102</v>
      </c>
      <c r="C139" s="5">
        <v>52943</v>
      </c>
      <c r="D139" s="3" t="s">
        <v>90</v>
      </c>
      <c r="E139" s="6">
        <v>31.99</v>
      </c>
      <c r="F139" s="16">
        <v>15.17</v>
      </c>
      <c r="G139" s="51">
        <v>213</v>
      </c>
      <c r="H139" s="52">
        <f t="shared" si="8"/>
        <v>6813.87</v>
      </c>
      <c r="I139" s="52">
        <f t="shared" si="9"/>
        <v>3231.21</v>
      </c>
      <c r="J139" s="52">
        <f t="shared" si="10"/>
        <v>3582.66</v>
      </c>
      <c r="K139" s="53">
        <f t="shared" si="11"/>
        <v>52.578930915911229</v>
      </c>
      <c r="L139" s="36"/>
      <c r="M139" s="11">
        <v>1103.5</v>
      </c>
      <c r="N139" s="11">
        <v>959.56521739130426</v>
      </c>
      <c r="O139" s="11">
        <v>519.35</v>
      </c>
      <c r="P139" s="8">
        <v>65</v>
      </c>
      <c r="Q139" s="11">
        <v>440.21521739130435</v>
      </c>
      <c r="R139" s="11">
        <v>16.976923076923075</v>
      </c>
      <c r="S139" s="11">
        <v>14.762541806020065</v>
      </c>
      <c r="T139" s="11">
        <v>7.99</v>
      </c>
      <c r="U139" s="14">
        <v>45.87652922519257</v>
      </c>
      <c r="V139" s="36">
        <f>IFERROR(LOOKUP($C139,#REF!,#REF!),0)</f>
        <v>0</v>
      </c>
      <c r="W139" s="36">
        <f>IFERROR(LOOKUP($C139,#REF!,#REF!),0)</f>
        <v>0</v>
      </c>
      <c r="X139" s="36">
        <f>IFERROR(LOOKUP($C139,#REF!,#REF!),0)</f>
        <v>0</v>
      </c>
      <c r="Y139" s="36">
        <f>IFERROR(LOOKUP($C139,#REF!,#REF!),0)</f>
        <v>0</v>
      </c>
    </row>
    <row r="140" spans="1:25" ht="16.5" customHeight="1" x14ac:dyDescent="0.35">
      <c r="A140" s="3" t="s">
        <v>14</v>
      </c>
      <c r="B140" s="4">
        <v>102</v>
      </c>
      <c r="C140" s="5">
        <v>53119</v>
      </c>
      <c r="D140" s="3" t="s">
        <v>147</v>
      </c>
      <c r="E140" s="6">
        <v>4.99</v>
      </c>
      <c r="F140" s="16">
        <v>1.29</v>
      </c>
      <c r="G140" s="51">
        <v>0</v>
      </c>
      <c r="H140" s="52">
        <f t="shared" si="8"/>
        <v>0</v>
      </c>
      <c r="I140" s="52">
        <f t="shared" si="9"/>
        <v>0</v>
      </c>
      <c r="J140" s="52">
        <f t="shared" si="10"/>
        <v>0</v>
      </c>
      <c r="K140" s="53">
        <f t="shared" si="11"/>
        <v>0</v>
      </c>
      <c r="L140" s="36"/>
      <c r="M140" s="11">
        <v>1071.8499999999999</v>
      </c>
      <c r="N140" s="11">
        <v>932.04347826086962</v>
      </c>
      <c r="O140" s="11">
        <v>278.64</v>
      </c>
      <c r="P140" s="8">
        <v>216</v>
      </c>
      <c r="Q140" s="11">
        <v>653.40347826086952</v>
      </c>
      <c r="R140" s="11">
        <v>4.9622685185185178</v>
      </c>
      <c r="S140" s="11">
        <v>4.3150161030595813</v>
      </c>
      <c r="T140" s="11">
        <v>1.29</v>
      </c>
      <c r="U140" s="14">
        <v>70.104398936418349</v>
      </c>
      <c r="V140" s="36">
        <f>IFERROR(LOOKUP($C140,#REF!,#REF!),0)</f>
        <v>0</v>
      </c>
      <c r="W140" s="36">
        <f>IFERROR(LOOKUP($C140,#REF!,#REF!),0)</f>
        <v>0</v>
      </c>
      <c r="X140" s="36">
        <f>IFERROR(LOOKUP($C140,#REF!,#REF!),0)</f>
        <v>0</v>
      </c>
      <c r="Y140" s="36">
        <f>IFERROR(LOOKUP($C140,#REF!,#REF!),0)</f>
        <v>0</v>
      </c>
    </row>
    <row r="141" spans="1:25" ht="16.5" customHeight="1" x14ac:dyDescent="0.35">
      <c r="A141" s="3" t="s">
        <v>14</v>
      </c>
      <c r="B141" s="4">
        <v>102</v>
      </c>
      <c r="C141" s="5">
        <v>53141</v>
      </c>
      <c r="D141" s="3" t="s">
        <v>137</v>
      </c>
      <c r="E141" s="6">
        <v>9.99</v>
      </c>
      <c r="F141" s="16">
        <v>3.26</v>
      </c>
      <c r="G141" s="51">
        <v>0</v>
      </c>
      <c r="H141" s="52">
        <f t="shared" si="8"/>
        <v>0</v>
      </c>
      <c r="I141" s="52">
        <f t="shared" si="9"/>
        <v>0</v>
      </c>
      <c r="J141" s="52">
        <f t="shared" si="10"/>
        <v>0</v>
      </c>
      <c r="K141" s="53">
        <f t="shared" si="11"/>
        <v>0</v>
      </c>
      <c r="L141" s="36"/>
      <c r="M141" s="11">
        <v>1065.6199999999999</v>
      </c>
      <c r="N141" s="11">
        <v>926.6260869565217</v>
      </c>
      <c r="O141" s="11">
        <v>551.79999999999995</v>
      </c>
      <c r="P141" s="8">
        <v>178</v>
      </c>
      <c r="Q141" s="11">
        <v>374.82608695652175</v>
      </c>
      <c r="R141" s="11">
        <v>5.9866292134831456</v>
      </c>
      <c r="S141" s="11">
        <v>5.2057645334636051</v>
      </c>
      <c r="T141" s="11">
        <v>3.0999999999999996</v>
      </c>
      <c r="U141" s="14">
        <v>40.450629680373865</v>
      </c>
      <c r="V141" s="36">
        <f>IFERROR(LOOKUP($C141,#REF!,#REF!),0)</f>
        <v>0</v>
      </c>
      <c r="W141" s="36">
        <f>IFERROR(LOOKUP($C141,#REF!,#REF!),0)</f>
        <v>0</v>
      </c>
      <c r="X141" s="36">
        <f>IFERROR(LOOKUP($C141,#REF!,#REF!),0)</f>
        <v>0</v>
      </c>
      <c r="Y141" s="36">
        <f>IFERROR(LOOKUP($C141,#REF!,#REF!),0)</f>
        <v>0</v>
      </c>
    </row>
    <row r="142" spans="1:25" ht="16.5" customHeight="1" x14ac:dyDescent="0.35">
      <c r="A142" s="3" t="s">
        <v>14</v>
      </c>
      <c r="B142" s="4">
        <v>102</v>
      </c>
      <c r="C142" s="5">
        <v>53210</v>
      </c>
      <c r="D142" s="3" t="s">
        <v>156</v>
      </c>
      <c r="E142" s="6">
        <v>100</v>
      </c>
      <c r="F142" s="16">
        <v>22.26</v>
      </c>
      <c r="G142" s="51">
        <v>0</v>
      </c>
      <c r="H142" s="52">
        <f t="shared" si="8"/>
        <v>0</v>
      </c>
      <c r="I142" s="52">
        <f t="shared" si="9"/>
        <v>0</v>
      </c>
      <c r="J142" s="52">
        <f t="shared" si="10"/>
        <v>0</v>
      </c>
      <c r="K142" s="53">
        <f t="shared" si="11"/>
        <v>0</v>
      </c>
      <c r="L142" s="36"/>
      <c r="M142" s="11">
        <v>1034.6500000000001</v>
      </c>
      <c r="N142" s="11">
        <v>899.69565217391312</v>
      </c>
      <c r="O142" s="11">
        <v>947.80000000000018</v>
      </c>
      <c r="P142" s="8">
        <v>35</v>
      </c>
      <c r="Q142" s="11">
        <v>-48.104347826087064</v>
      </c>
      <c r="R142" s="11">
        <v>29.561428571428575</v>
      </c>
      <c r="S142" s="11">
        <v>25.705590062111803</v>
      </c>
      <c r="T142" s="11">
        <v>27.080000000000005</v>
      </c>
      <c r="U142" s="14">
        <v>-5.3467356110762205</v>
      </c>
      <c r="V142" s="36">
        <f>IFERROR(LOOKUP($C142,#REF!,#REF!),0)</f>
        <v>0</v>
      </c>
      <c r="W142" s="36">
        <f>IFERROR(LOOKUP($C142,#REF!,#REF!),0)</f>
        <v>0</v>
      </c>
      <c r="X142" s="36">
        <f>IFERROR(LOOKUP($C142,#REF!,#REF!),0)</f>
        <v>0</v>
      </c>
      <c r="Y142" s="36">
        <f>IFERROR(LOOKUP($C142,#REF!,#REF!),0)</f>
        <v>0</v>
      </c>
    </row>
    <row r="143" spans="1:25" ht="16.5" customHeight="1" x14ac:dyDescent="0.35">
      <c r="A143" s="3" t="s">
        <v>14</v>
      </c>
      <c r="B143" s="4">
        <v>102</v>
      </c>
      <c r="C143" s="5">
        <v>53212</v>
      </c>
      <c r="D143" s="3" t="s">
        <v>125</v>
      </c>
      <c r="E143" s="6">
        <v>29.99</v>
      </c>
      <c r="F143" s="16">
        <v>15.38</v>
      </c>
      <c r="G143" s="51">
        <v>0</v>
      </c>
      <c r="H143" s="52">
        <f t="shared" si="8"/>
        <v>0</v>
      </c>
      <c r="I143" s="52">
        <f t="shared" si="9"/>
        <v>0</v>
      </c>
      <c r="J143" s="52">
        <f t="shared" si="10"/>
        <v>0</v>
      </c>
      <c r="K143" s="53">
        <f t="shared" si="11"/>
        <v>0</v>
      </c>
      <c r="L143" s="36"/>
      <c r="M143" s="11">
        <v>988</v>
      </c>
      <c r="N143" s="11">
        <v>859.13043478260863</v>
      </c>
      <c r="O143" s="11">
        <v>491.92000000000007</v>
      </c>
      <c r="P143" s="8">
        <v>26</v>
      </c>
      <c r="Q143" s="11">
        <v>367.21043478260867</v>
      </c>
      <c r="R143" s="11">
        <v>38</v>
      </c>
      <c r="S143" s="11">
        <v>33.043478260869563</v>
      </c>
      <c r="T143" s="11">
        <v>18.920000000000002</v>
      </c>
      <c r="U143" s="14">
        <v>42.742105263157889</v>
      </c>
      <c r="V143" s="36">
        <f>IFERROR(LOOKUP($C143,#REF!,#REF!),0)</f>
        <v>0</v>
      </c>
      <c r="W143" s="36">
        <f>IFERROR(LOOKUP($C143,#REF!,#REF!),0)</f>
        <v>0</v>
      </c>
      <c r="X143" s="36">
        <f>IFERROR(LOOKUP($C143,#REF!,#REF!),0)</f>
        <v>0</v>
      </c>
      <c r="Y143" s="36">
        <f>IFERROR(LOOKUP($C143,#REF!,#REF!),0)</f>
        <v>0</v>
      </c>
    </row>
    <row r="144" spans="1:25" ht="16.5" customHeight="1" x14ac:dyDescent="0.35">
      <c r="A144" s="3" t="s">
        <v>14</v>
      </c>
      <c r="B144" s="4">
        <v>102</v>
      </c>
      <c r="C144" s="5">
        <v>53225</v>
      </c>
      <c r="D144" s="3" t="s">
        <v>136</v>
      </c>
      <c r="E144" s="6">
        <v>17.989999999999998</v>
      </c>
      <c r="F144" s="16">
        <v>10.039999999999999</v>
      </c>
      <c r="G144" s="51">
        <v>0</v>
      </c>
      <c r="H144" s="52">
        <f t="shared" si="8"/>
        <v>0</v>
      </c>
      <c r="I144" s="52">
        <f t="shared" si="9"/>
        <v>0</v>
      </c>
      <c r="J144" s="52">
        <f t="shared" si="10"/>
        <v>0</v>
      </c>
      <c r="K144" s="53">
        <f t="shared" si="11"/>
        <v>0</v>
      </c>
      <c r="L144" s="36"/>
      <c r="M144" s="11">
        <v>963.22</v>
      </c>
      <c r="N144" s="11">
        <v>837.5826086956522</v>
      </c>
      <c r="O144" s="11">
        <v>524.4</v>
      </c>
      <c r="P144" s="8">
        <v>138</v>
      </c>
      <c r="Q144" s="11">
        <v>313.18260869565222</v>
      </c>
      <c r="R144" s="11">
        <v>6.979855072463768</v>
      </c>
      <c r="S144" s="11">
        <v>6.0694391934467546</v>
      </c>
      <c r="T144" s="11">
        <v>3.8</v>
      </c>
      <c r="U144" s="14">
        <v>37.391250181682281</v>
      </c>
      <c r="V144" s="36">
        <f>IFERROR(LOOKUP($C144,#REF!,#REF!),0)</f>
        <v>0</v>
      </c>
      <c r="W144" s="36">
        <f>IFERROR(LOOKUP($C144,#REF!,#REF!),0)</f>
        <v>0</v>
      </c>
      <c r="X144" s="36">
        <f>IFERROR(LOOKUP($C144,#REF!,#REF!),0)</f>
        <v>0</v>
      </c>
      <c r="Y144" s="36">
        <f>IFERROR(LOOKUP($C144,#REF!,#REF!),0)</f>
        <v>0</v>
      </c>
    </row>
    <row r="145" spans="1:25" ht="16.5" customHeight="1" x14ac:dyDescent="0.35">
      <c r="A145" s="3" t="s">
        <v>14</v>
      </c>
      <c r="B145" s="4">
        <v>102</v>
      </c>
      <c r="C145" s="5">
        <v>53226</v>
      </c>
      <c r="D145" s="3" t="s">
        <v>130</v>
      </c>
      <c r="E145" s="6">
        <v>15.99</v>
      </c>
      <c r="F145" s="16">
        <v>5.13</v>
      </c>
      <c r="G145" s="51">
        <v>0</v>
      </c>
      <c r="H145" s="52">
        <f t="shared" si="8"/>
        <v>0</v>
      </c>
      <c r="I145" s="52">
        <f t="shared" si="9"/>
        <v>0</v>
      </c>
      <c r="J145" s="52">
        <f t="shared" si="10"/>
        <v>0</v>
      </c>
      <c r="K145" s="53">
        <f t="shared" si="11"/>
        <v>0</v>
      </c>
      <c r="L145" s="36"/>
      <c r="M145" s="11">
        <v>957.76</v>
      </c>
      <c r="N145" s="11">
        <v>832.83478260869572</v>
      </c>
      <c r="O145" s="11">
        <v>415.83360000000005</v>
      </c>
      <c r="P145" s="8">
        <v>24</v>
      </c>
      <c r="Q145" s="11">
        <v>417.00118260869556</v>
      </c>
      <c r="R145" s="11">
        <v>39.906666666666666</v>
      </c>
      <c r="S145" s="11">
        <v>34.701449275362322</v>
      </c>
      <c r="T145" s="11">
        <v>17.326400000000003</v>
      </c>
      <c r="U145" s="14">
        <v>50.070096892749739</v>
      </c>
      <c r="V145" s="36">
        <f>IFERROR(LOOKUP($C145,#REF!,#REF!),0)</f>
        <v>0</v>
      </c>
      <c r="W145" s="36">
        <f>IFERROR(LOOKUP($C145,#REF!,#REF!),0)</f>
        <v>0</v>
      </c>
      <c r="X145" s="36">
        <f>IFERROR(LOOKUP($C145,#REF!,#REF!),0)</f>
        <v>0</v>
      </c>
      <c r="Y145" s="36">
        <f>IFERROR(LOOKUP($C145,#REF!,#REF!),0)</f>
        <v>0</v>
      </c>
    </row>
    <row r="146" spans="1:25" ht="16.5" customHeight="1" x14ac:dyDescent="0.35">
      <c r="A146" s="3" t="s">
        <v>14</v>
      </c>
      <c r="B146" s="4">
        <v>101</v>
      </c>
      <c r="C146" s="5">
        <v>53497</v>
      </c>
      <c r="D146" s="3" t="s">
        <v>61</v>
      </c>
      <c r="E146" s="6">
        <v>79.989999999999995</v>
      </c>
      <c r="F146" s="16">
        <v>32.200000000000003</v>
      </c>
      <c r="G146" s="51">
        <v>0</v>
      </c>
      <c r="H146" s="52">
        <f t="shared" si="8"/>
        <v>0</v>
      </c>
      <c r="I146" s="52">
        <f t="shared" si="9"/>
        <v>0</v>
      </c>
      <c r="J146" s="52">
        <f t="shared" si="10"/>
        <v>0</v>
      </c>
      <c r="K146" s="53">
        <f t="shared" si="11"/>
        <v>0</v>
      </c>
      <c r="L146" s="36"/>
      <c r="M146" s="11">
        <v>950</v>
      </c>
      <c r="N146" s="11">
        <v>826.08695652173913</v>
      </c>
      <c r="O146" s="11">
        <v>358.15000000000003</v>
      </c>
      <c r="P146" s="8">
        <v>95</v>
      </c>
      <c r="Q146" s="11">
        <v>467.93695652173898</v>
      </c>
      <c r="R146" s="11">
        <v>10</v>
      </c>
      <c r="S146" s="11">
        <v>8.695652173913043</v>
      </c>
      <c r="T146" s="11">
        <v>3.7700000000000005</v>
      </c>
      <c r="U146" s="14">
        <v>56.644999999999989</v>
      </c>
      <c r="V146" s="36">
        <f>IFERROR(LOOKUP($C146,#REF!,#REF!),0)</f>
        <v>0</v>
      </c>
      <c r="W146" s="36">
        <f>IFERROR(LOOKUP($C146,#REF!,#REF!),0)</f>
        <v>0</v>
      </c>
      <c r="X146" s="36">
        <f>IFERROR(LOOKUP($C146,#REF!,#REF!),0)</f>
        <v>0</v>
      </c>
      <c r="Y146" s="36">
        <f>IFERROR(LOOKUP($C146,#REF!,#REF!),0)</f>
        <v>0</v>
      </c>
    </row>
    <row r="147" spans="1:25" ht="16.5" customHeight="1" x14ac:dyDescent="0.35">
      <c r="A147" s="3" t="s">
        <v>14</v>
      </c>
      <c r="B147" s="4">
        <v>101</v>
      </c>
      <c r="C147" s="5">
        <v>53528</v>
      </c>
      <c r="D147" s="3" t="s">
        <v>59</v>
      </c>
      <c r="E147" s="6">
        <v>28.99</v>
      </c>
      <c r="F147" s="16">
        <v>14.86</v>
      </c>
      <c r="G147" s="51">
        <v>0</v>
      </c>
      <c r="H147" s="52">
        <f t="shared" si="8"/>
        <v>0</v>
      </c>
      <c r="I147" s="52">
        <f t="shared" si="9"/>
        <v>0</v>
      </c>
      <c r="J147" s="52">
        <f t="shared" si="10"/>
        <v>0</v>
      </c>
      <c r="K147" s="53">
        <f t="shared" si="11"/>
        <v>0</v>
      </c>
      <c r="L147" s="36"/>
      <c r="M147" s="11">
        <v>929.69</v>
      </c>
      <c r="N147" s="11">
        <v>808.42608695652177</v>
      </c>
      <c r="O147" s="11">
        <v>496.93000000000006</v>
      </c>
      <c r="P147" s="8">
        <v>31</v>
      </c>
      <c r="Q147" s="11">
        <v>311.49608695652182</v>
      </c>
      <c r="R147" s="11">
        <v>29.990000000000002</v>
      </c>
      <c r="S147" s="11">
        <v>26.07826086956522</v>
      </c>
      <c r="T147" s="11">
        <v>16.03</v>
      </c>
      <c r="U147" s="14">
        <v>38.531177059019676</v>
      </c>
      <c r="V147" s="36">
        <f>IFERROR(LOOKUP($C147,#REF!,#REF!),0)</f>
        <v>0</v>
      </c>
      <c r="W147" s="36">
        <f>IFERROR(LOOKUP($C147,#REF!,#REF!),0)</f>
        <v>0</v>
      </c>
      <c r="X147" s="36">
        <f>IFERROR(LOOKUP($C147,#REF!,#REF!),0)</f>
        <v>0</v>
      </c>
      <c r="Y147" s="36">
        <f>IFERROR(LOOKUP($C147,#REF!,#REF!),0)</f>
        <v>0</v>
      </c>
    </row>
    <row r="148" spans="1:25" ht="16.5" customHeight="1" x14ac:dyDescent="0.35">
      <c r="A148" s="3" t="s">
        <v>14</v>
      </c>
      <c r="B148" s="4">
        <v>106</v>
      </c>
      <c r="C148" s="5">
        <v>54018</v>
      </c>
      <c r="D148" s="3" t="s">
        <v>243</v>
      </c>
      <c r="E148" s="6">
        <v>18.989999999999998</v>
      </c>
      <c r="F148" s="16">
        <v>9.83</v>
      </c>
      <c r="G148" s="51">
        <v>93</v>
      </c>
      <c r="H148" s="52">
        <f t="shared" si="8"/>
        <v>1766.07</v>
      </c>
      <c r="I148" s="52">
        <f t="shared" si="9"/>
        <v>914.19</v>
      </c>
      <c r="J148" s="52">
        <f t="shared" si="10"/>
        <v>851.87999999999988</v>
      </c>
      <c r="K148" s="53">
        <f t="shared" si="11"/>
        <v>48.235913638757232</v>
      </c>
      <c r="L148" s="36"/>
      <c r="M148" s="11">
        <v>929.69</v>
      </c>
      <c r="N148" s="11">
        <v>808.42608695652166</v>
      </c>
      <c r="O148" s="11">
        <v>558</v>
      </c>
      <c r="P148" s="8">
        <v>31</v>
      </c>
      <c r="Q148" s="11">
        <v>250.42608695652189</v>
      </c>
      <c r="R148" s="11">
        <v>29.990000000000002</v>
      </c>
      <c r="S148" s="11">
        <v>26.078260869565216</v>
      </c>
      <c r="T148" s="11">
        <v>18</v>
      </c>
      <c r="U148" s="14">
        <v>30.976992330776937</v>
      </c>
      <c r="V148" s="36">
        <f>IFERROR(LOOKUP($C148,#REF!,#REF!),0)</f>
        <v>0</v>
      </c>
      <c r="W148" s="36">
        <f>IFERROR(LOOKUP($C148,#REF!,#REF!),0)</f>
        <v>0</v>
      </c>
      <c r="X148" s="36">
        <f>IFERROR(LOOKUP($C148,#REF!,#REF!),0)</f>
        <v>0</v>
      </c>
      <c r="Y148" s="36">
        <f>IFERROR(LOOKUP($C148,#REF!,#REF!),0)</f>
        <v>0</v>
      </c>
    </row>
    <row r="149" spans="1:25" ht="16.5" customHeight="1" x14ac:dyDescent="0.35">
      <c r="A149" s="3" t="s">
        <v>14</v>
      </c>
      <c r="B149" s="4">
        <v>106</v>
      </c>
      <c r="C149" s="5">
        <v>54019</v>
      </c>
      <c r="D149" s="3" t="s">
        <v>247</v>
      </c>
      <c r="E149" s="6">
        <v>23.99</v>
      </c>
      <c r="F149" s="16">
        <v>10.37</v>
      </c>
      <c r="G149" s="51">
        <v>0</v>
      </c>
      <c r="H149" s="52">
        <f t="shared" si="8"/>
        <v>0</v>
      </c>
      <c r="I149" s="52">
        <f t="shared" si="9"/>
        <v>0</v>
      </c>
      <c r="J149" s="52">
        <f t="shared" si="10"/>
        <v>0</v>
      </c>
      <c r="K149" s="53">
        <f t="shared" si="11"/>
        <v>0</v>
      </c>
      <c r="L149" s="36"/>
      <c r="M149" s="11">
        <v>840</v>
      </c>
      <c r="N149" s="11">
        <v>730.43478260869563</v>
      </c>
      <c r="O149" s="11">
        <v>555.59999999999991</v>
      </c>
      <c r="P149" s="8">
        <v>6</v>
      </c>
      <c r="Q149" s="11">
        <v>174.83478260869572</v>
      </c>
      <c r="R149" s="11">
        <v>140</v>
      </c>
      <c r="S149" s="11">
        <v>121.73913043478261</v>
      </c>
      <c r="T149" s="11">
        <v>92.59999999999998</v>
      </c>
      <c r="U149" s="14">
        <v>23.935714285714297</v>
      </c>
      <c r="V149" s="36">
        <f>IFERROR(LOOKUP($C149,#REF!,#REF!),0)</f>
        <v>0</v>
      </c>
      <c r="W149" s="36">
        <f>IFERROR(LOOKUP($C149,#REF!,#REF!),0)</f>
        <v>0</v>
      </c>
      <c r="X149" s="36">
        <f>IFERROR(LOOKUP($C149,#REF!,#REF!),0)</f>
        <v>0</v>
      </c>
      <c r="Y149" s="36">
        <f>IFERROR(LOOKUP($C149,#REF!,#REF!),0)</f>
        <v>0</v>
      </c>
    </row>
    <row r="150" spans="1:25" ht="16.5" customHeight="1" x14ac:dyDescent="0.35">
      <c r="A150" s="3" t="s">
        <v>14</v>
      </c>
      <c r="B150" s="4">
        <v>101</v>
      </c>
      <c r="C150" s="5">
        <v>54228</v>
      </c>
      <c r="D150" s="3" t="s">
        <v>62</v>
      </c>
      <c r="E150" s="6">
        <v>13.99</v>
      </c>
      <c r="F150" s="16">
        <v>7.37</v>
      </c>
      <c r="G150" s="51">
        <v>0</v>
      </c>
      <c r="H150" s="52">
        <f t="shared" si="8"/>
        <v>0</v>
      </c>
      <c r="I150" s="52">
        <f t="shared" si="9"/>
        <v>0</v>
      </c>
      <c r="J150" s="52">
        <f t="shared" si="10"/>
        <v>0</v>
      </c>
      <c r="K150" s="53">
        <f t="shared" si="11"/>
        <v>0</v>
      </c>
      <c r="L150" s="36"/>
      <c r="M150" s="11">
        <v>790.18000000000006</v>
      </c>
      <c r="N150" s="11">
        <v>687.11304347826081</v>
      </c>
      <c r="O150" s="11">
        <v>410.79599999999994</v>
      </c>
      <c r="P150" s="8">
        <v>72</v>
      </c>
      <c r="Q150" s="11">
        <v>276.31704347826098</v>
      </c>
      <c r="R150" s="11">
        <v>10.974722222222223</v>
      </c>
      <c r="S150" s="11">
        <v>9.5432367149758441</v>
      </c>
      <c r="T150" s="11">
        <v>5.7054999999999989</v>
      </c>
      <c r="U150" s="14">
        <v>40.214204358500609</v>
      </c>
      <c r="V150" s="36">
        <f>IFERROR(LOOKUP($C150,#REF!,#REF!),0)</f>
        <v>0</v>
      </c>
      <c r="W150" s="36">
        <f>IFERROR(LOOKUP($C150,#REF!,#REF!),0)</f>
        <v>0</v>
      </c>
      <c r="X150" s="36">
        <f>IFERROR(LOOKUP($C150,#REF!,#REF!),0)</f>
        <v>0</v>
      </c>
      <c r="Y150" s="36">
        <f>IFERROR(LOOKUP($C150,#REF!,#REF!),0)</f>
        <v>0</v>
      </c>
    </row>
    <row r="151" spans="1:25" ht="16.5" customHeight="1" x14ac:dyDescent="0.35">
      <c r="A151" s="3" t="s">
        <v>14</v>
      </c>
      <c r="B151" s="4">
        <v>102</v>
      </c>
      <c r="C151" s="5">
        <v>54430</v>
      </c>
      <c r="D151" s="3" t="s">
        <v>133</v>
      </c>
      <c r="E151" s="6">
        <v>21.99</v>
      </c>
      <c r="F151" s="16">
        <v>9.9600000000000009</v>
      </c>
      <c r="G151" s="51">
        <v>0</v>
      </c>
      <c r="H151" s="52">
        <f t="shared" si="8"/>
        <v>0</v>
      </c>
      <c r="I151" s="52">
        <f t="shared" si="9"/>
        <v>0</v>
      </c>
      <c r="J151" s="52">
        <f t="shared" si="10"/>
        <v>0</v>
      </c>
      <c r="K151" s="53">
        <f t="shared" si="11"/>
        <v>0</v>
      </c>
      <c r="L151" s="36"/>
      <c r="M151" s="11">
        <v>757.61999999999989</v>
      </c>
      <c r="N151" s="11">
        <v>658.79999999999984</v>
      </c>
      <c r="O151" s="11">
        <v>99.939999999999984</v>
      </c>
      <c r="P151" s="8">
        <v>38</v>
      </c>
      <c r="Q151" s="11">
        <v>558.86</v>
      </c>
      <c r="R151" s="11">
        <v>19.937368421052629</v>
      </c>
      <c r="S151" s="11">
        <v>17.336842105263155</v>
      </c>
      <c r="T151" s="11">
        <v>2.6299999999999994</v>
      </c>
      <c r="U151" s="14">
        <v>84.829993928354597</v>
      </c>
      <c r="V151" s="36">
        <f>IFERROR(LOOKUP($C151,#REF!,#REF!),0)</f>
        <v>0</v>
      </c>
      <c r="W151" s="36">
        <f>IFERROR(LOOKUP($C151,#REF!,#REF!),0)</f>
        <v>0</v>
      </c>
      <c r="X151" s="36">
        <f>IFERROR(LOOKUP($C151,#REF!,#REF!),0)</f>
        <v>0</v>
      </c>
      <c r="Y151" s="36">
        <f>IFERROR(LOOKUP($C151,#REF!,#REF!),0)</f>
        <v>0</v>
      </c>
    </row>
    <row r="152" spans="1:25" ht="16.5" customHeight="1" x14ac:dyDescent="0.35">
      <c r="A152" s="3" t="s">
        <v>14</v>
      </c>
      <c r="B152" s="4">
        <v>101</v>
      </c>
      <c r="C152" s="5">
        <v>54546</v>
      </c>
      <c r="D152" s="3" t="s">
        <v>75</v>
      </c>
      <c r="E152" s="6">
        <v>5.99</v>
      </c>
      <c r="F152" s="16">
        <v>2.5299999999999998</v>
      </c>
      <c r="G152" s="51">
        <v>0</v>
      </c>
      <c r="H152" s="52">
        <f t="shared" si="8"/>
        <v>0</v>
      </c>
      <c r="I152" s="52">
        <f t="shared" si="9"/>
        <v>0</v>
      </c>
      <c r="J152" s="52">
        <f t="shared" si="10"/>
        <v>0</v>
      </c>
      <c r="K152" s="53">
        <f t="shared" si="11"/>
        <v>0</v>
      </c>
      <c r="L152" s="36"/>
      <c r="M152" s="11">
        <v>731.78</v>
      </c>
      <c r="N152" s="11">
        <v>636.33043478260868</v>
      </c>
      <c r="O152" s="11">
        <v>394.10590000000002</v>
      </c>
      <c r="P152" s="8">
        <v>22</v>
      </c>
      <c r="Q152" s="11">
        <v>242.22453478260866</v>
      </c>
      <c r="R152" s="11">
        <v>33.262727272727268</v>
      </c>
      <c r="S152" s="11">
        <v>28.924110671936759</v>
      </c>
      <c r="T152" s="11">
        <v>17.913904545454546</v>
      </c>
      <c r="U152" s="14">
        <v>38.065841509743358</v>
      </c>
      <c r="V152" s="36">
        <f>IFERROR(LOOKUP($C152,#REF!,#REF!),0)</f>
        <v>0</v>
      </c>
      <c r="W152" s="36">
        <f>IFERROR(LOOKUP($C152,#REF!,#REF!),0)</f>
        <v>0</v>
      </c>
      <c r="X152" s="36">
        <f>IFERROR(LOOKUP($C152,#REF!,#REF!),0)</f>
        <v>0</v>
      </c>
      <c r="Y152" s="36">
        <f>IFERROR(LOOKUP($C152,#REF!,#REF!),0)</f>
        <v>0</v>
      </c>
    </row>
    <row r="153" spans="1:25" ht="16.5" customHeight="1" x14ac:dyDescent="0.35">
      <c r="A153" s="3" t="s">
        <v>14</v>
      </c>
      <c r="B153" s="4">
        <v>101</v>
      </c>
      <c r="C153" s="5">
        <v>54547</v>
      </c>
      <c r="D153" s="3" t="s">
        <v>49</v>
      </c>
      <c r="E153" s="6">
        <v>9.99</v>
      </c>
      <c r="F153" s="16">
        <v>3.23</v>
      </c>
      <c r="G153" s="51">
        <v>0</v>
      </c>
      <c r="H153" s="52">
        <f t="shared" si="8"/>
        <v>0</v>
      </c>
      <c r="I153" s="52">
        <f t="shared" si="9"/>
        <v>0</v>
      </c>
      <c r="J153" s="52">
        <f t="shared" si="10"/>
        <v>0</v>
      </c>
      <c r="K153" s="53">
        <f t="shared" si="11"/>
        <v>0</v>
      </c>
      <c r="L153" s="36"/>
      <c r="M153" s="11">
        <v>731.78</v>
      </c>
      <c r="N153" s="11">
        <v>636.33043478260868</v>
      </c>
      <c r="O153" s="11">
        <v>394.10590000000002</v>
      </c>
      <c r="P153" s="8">
        <v>22</v>
      </c>
      <c r="Q153" s="11">
        <v>242.22453478260866</v>
      </c>
      <c r="R153" s="11">
        <v>33.262727272727268</v>
      </c>
      <c r="S153" s="11">
        <v>28.924110671936759</v>
      </c>
      <c r="T153" s="11">
        <v>17.913904545454546</v>
      </c>
      <c r="U153" s="14">
        <v>38.065841509743358</v>
      </c>
      <c r="V153" s="36">
        <f>IFERROR(LOOKUP($C153,#REF!,#REF!),0)</f>
        <v>0</v>
      </c>
      <c r="W153" s="36">
        <f>IFERROR(LOOKUP($C153,#REF!,#REF!),0)</f>
        <v>0</v>
      </c>
      <c r="X153" s="36">
        <f>IFERROR(LOOKUP($C153,#REF!,#REF!),0)</f>
        <v>0</v>
      </c>
      <c r="Y153" s="36">
        <f>IFERROR(LOOKUP($C153,#REF!,#REF!),0)</f>
        <v>0</v>
      </c>
    </row>
    <row r="154" spans="1:25" ht="16.5" customHeight="1" x14ac:dyDescent="0.35">
      <c r="A154" s="3" t="s">
        <v>14</v>
      </c>
      <c r="B154" s="4">
        <v>101</v>
      </c>
      <c r="C154" s="5">
        <v>54617</v>
      </c>
      <c r="D154" s="3" t="s">
        <v>83</v>
      </c>
      <c r="E154" s="6">
        <v>30.99</v>
      </c>
      <c r="F154" s="16">
        <v>12.4</v>
      </c>
      <c r="G154" s="51">
        <v>0</v>
      </c>
      <c r="H154" s="52">
        <f t="shared" si="8"/>
        <v>0</v>
      </c>
      <c r="I154" s="52">
        <f t="shared" si="9"/>
        <v>0</v>
      </c>
      <c r="J154" s="52">
        <f t="shared" si="10"/>
        <v>0</v>
      </c>
      <c r="K154" s="53">
        <f t="shared" si="11"/>
        <v>0</v>
      </c>
      <c r="L154" s="36"/>
      <c r="M154" s="11">
        <v>724.5</v>
      </c>
      <c r="N154" s="11">
        <v>630</v>
      </c>
      <c r="O154" s="11">
        <v>270.83</v>
      </c>
      <c r="P154" s="8">
        <v>73</v>
      </c>
      <c r="Q154" s="11">
        <v>359.17</v>
      </c>
      <c r="R154" s="11">
        <v>9.9246575342465757</v>
      </c>
      <c r="S154" s="11">
        <v>8.6301369863013697</v>
      </c>
      <c r="T154" s="11">
        <v>3.71</v>
      </c>
      <c r="U154" s="14">
        <v>57.011111111111113</v>
      </c>
      <c r="V154" s="36">
        <f>IFERROR(LOOKUP($C154,#REF!,#REF!),0)</f>
        <v>0</v>
      </c>
      <c r="W154" s="36">
        <f>IFERROR(LOOKUP($C154,#REF!,#REF!),0)</f>
        <v>0</v>
      </c>
      <c r="X154" s="36">
        <f>IFERROR(LOOKUP($C154,#REF!,#REF!),0)</f>
        <v>0</v>
      </c>
      <c r="Y154" s="36">
        <f>IFERROR(LOOKUP($C154,#REF!,#REF!),0)</f>
        <v>0</v>
      </c>
    </row>
    <row r="155" spans="1:25" ht="16.5" customHeight="1" x14ac:dyDescent="0.35">
      <c r="A155" s="3" t="s">
        <v>14</v>
      </c>
      <c r="B155" s="4">
        <v>102</v>
      </c>
      <c r="C155" s="5">
        <v>55481</v>
      </c>
      <c r="D155" s="3" t="s">
        <v>105</v>
      </c>
      <c r="E155" s="6">
        <v>11.99</v>
      </c>
      <c r="F155" s="16">
        <v>5.0999999999999996</v>
      </c>
      <c r="G155" s="51">
        <v>6</v>
      </c>
      <c r="H155" s="52">
        <f t="shared" si="8"/>
        <v>71.94</v>
      </c>
      <c r="I155" s="52">
        <f t="shared" si="9"/>
        <v>30.599999999999998</v>
      </c>
      <c r="J155" s="52">
        <f t="shared" si="10"/>
        <v>41.34</v>
      </c>
      <c r="K155" s="53">
        <f t="shared" si="11"/>
        <v>57.46455379482903</v>
      </c>
      <c r="L155" s="36"/>
      <c r="M155" s="11">
        <v>719.6400000000001</v>
      </c>
      <c r="N155" s="11">
        <v>625.77391304347827</v>
      </c>
      <c r="O155" s="11">
        <v>267.47999999999996</v>
      </c>
      <c r="P155" s="8">
        <v>36</v>
      </c>
      <c r="Q155" s="11">
        <v>358.29391304347843</v>
      </c>
      <c r="R155" s="11">
        <v>19.990000000000002</v>
      </c>
      <c r="S155" s="11">
        <v>17.382608695652173</v>
      </c>
      <c r="T155" s="11">
        <v>7.4299999999999988</v>
      </c>
      <c r="U155" s="14">
        <v>57.256128064032033</v>
      </c>
      <c r="V155" s="36">
        <f>IFERROR(LOOKUP($C155,#REF!,#REF!),0)</f>
        <v>0</v>
      </c>
      <c r="W155" s="36">
        <f>IFERROR(LOOKUP($C155,#REF!,#REF!),0)</f>
        <v>0</v>
      </c>
      <c r="X155" s="36">
        <f>IFERROR(LOOKUP($C155,#REF!,#REF!),0)</f>
        <v>0</v>
      </c>
      <c r="Y155" s="36">
        <f>IFERROR(LOOKUP($C155,#REF!,#REF!),0)</f>
        <v>0</v>
      </c>
    </row>
    <row r="156" spans="1:25" ht="16.5" customHeight="1" x14ac:dyDescent="0.35">
      <c r="A156" s="3" t="s">
        <v>14</v>
      </c>
      <c r="B156" s="4">
        <v>102</v>
      </c>
      <c r="C156" s="5">
        <v>55482</v>
      </c>
      <c r="D156" s="3" t="s">
        <v>145</v>
      </c>
      <c r="E156" s="6">
        <v>13.99</v>
      </c>
      <c r="F156" s="16">
        <v>5.44</v>
      </c>
      <c r="G156" s="51">
        <v>0</v>
      </c>
      <c r="H156" s="52">
        <f t="shared" si="8"/>
        <v>0</v>
      </c>
      <c r="I156" s="52">
        <f t="shared" si="9"/>
        <v>0</v>
      </c>
      <c r="J156" s="52">
        <f t="shared" si="10"/>
        <v>0</v>
      </c>
      <c r="K156" s="53">
        <f t="shared" si="11"/>
        <v>0</v>
      </c>
      <c r="L156" s="36"/>
      <c r="M156" s="11">
        <v>666.83000000000015</v>
      </c>
      <c r="N156" s="11">
        <v>579.85217391304354</v>
      </c>
      <c r="O156" s="11">
        <v>344.38</v>
      </c>
      <c r="P156" s="8">
        <v>67</v>
      </c>
      <c r="Q156" s="11">
        <v>235.47217391304366</v>
      </c>
      <c r="R156" s="11">
        <v>9.9526865671641822</v>
      </c>
      <c r="S156" s="11">
        <v>8.6545100584036359</v>
      </c>
      <c r="T156" s="11">
        <v>5.14</v>
      </c>
      <c r="U156" s="14">
        <v>40.609000794805297</v>
      </c>
      <c r="V156" s="36">
        <f>IFERROR(LOOKUP($C156,#REF!,#REF!),0)</f>
        <v>0</v>
      </c>
      <c r="W156" s="36">
        <f>IFERROR(LOOKUP($C156,#REF!,#REF!),0)</f>
        <v>0</v>
      </c>
      <c r="X156" s="36">
        <f>IFERROR(LOOKUP($C156,#REF!,#REF!),0)</f>
        <v>0</v>
      </c>
      <c r="Y156" s="36">
        <f>IFERROR(LOOKUP($C156,#REF!,#REF!),0)</f>
        <v>0</v>
      </c>
    </row>
    <row r="157" spans="1:25" ht="16.5" customHeight="1" x14ac:dyDescent="0.35">
      <c r="A157" s="3" t="s">
        <v>14</v>
      </c>
      <c r="B157" s="4">
        <v>101</v>
      </c>
      <c r="C157" s="5">
        <v>56350</v>
      </c>
      <c r="D157" s="3" t="s">
        <v>69</v>
      </c>
      <c r="E157" s="6">
        <v>4.99</v>
      </c>
      <c r="F157" s="16">
        <v>2.61</v>
      </c>
      <c r="G157" s="51">
        <v>0</v>
      </c>
      <c r="H157" s="52">
        <f t="shared" si="8"/>
        <v>0</v>
      </c>
      <c r="I157" s="52">
        <f t="shared" si="9"/>
        <v>0</v>
      </c>
      <c r="J157" s="52">
        <f t="shared" si="10"/>
        <v>0</v>
      </c>
      <c r="K157" s="53">
        <f t="shared" si="11"/>
        <v>0</v>
      </c>
      <c r="L157" s="36"/>
      <c r="M157" s="11">
        <v>630</v>
      </c>
      <c r="N157" s="11">
        <v>547.82608695652175</v>
      </c>
      <c r="O157" s="11">
        <v>213.57</v>
      </c>
      <c r="P157" s="8">
        <v>63</v>
      </c>
      <c r="Q157" s="11">
        <v>334.25608695652176</v>
      </c>
      <c r="R157" s="11">
        <v>10</v>
      </c>
      <c r="S157" s="11">
        <v>8.695652173913043</v>
      </c>
      <c r="T157" s="11">
        <v>3.3899999999999997</v>
      </c>
      <c r="U157" s="14">
        <v>61.015000000000001</v>
      </c>
      <c r="V157" s="36">
        <f>IFERROR(LOOKUP($C157,#REF!,#REF!),0)</f>
        <v>0</v>
      </c>
      <c r="W157" s="36">
        <f>IFERROR(LOOKUP($C157,#REF!,#REF!),0)</f>
        <v>0</v>
      </c>
      <c r="X157" s="36">
        <f>IFERROR(LOOKUP($C157,#REF!,#REF!),0)</f>
        <v>0</v>
      </c>
      <c r="Y157" s="36">
        <f>IFERROR(LOOKUP($C157,#REF!,#REF!),0)</f>
        <v>0</v>
      </c>
    </row>
    <row r="158" spans="1:25" ht="16.5" customHeight="1" x14ac:dyDescent="0.35">
      <c r="A158" s="3" t="s">
        <v>14</v>
      </c>
      <c r="B158" s="4">
        <v>104</v>
      </c>
      <c r="C158" s="5">
        <v>56805</v>
      </c>
      <c r="D158" s="3" t="s">
        <v>241</v>
      </c>
      <c r="E158" s="6">
        <v>15</v>
      </c>
      <c r="F158" s="16">
        <v>29.47</v>
      </c>
      <c r="G158" s="51">
        <v>0</v>
      </c>
      <c r="H158" s="52">
        <f t="shared" si="8"/>
        <v>0</v>
      </c>
      <c r="I158" s="52">
        <f t="shared" si="9"/>
        <v>0</v>
      </c>
      <c r="J158" s="52">
        <f t="shared" si="10"/>
        <v>0</v>
      </c>
      <c r="K158" s="53">
        <f t="shared" si="11"/>
        <v>0</v>
      </c>
      <c r="L158" s="36"/>
      <c r="M158" s="11">
        <v>630</v>
      </c>
      <c r="N158" s="11">
        <v>547.82608695652175</v>
      </c>
      <c r="O158" s="11">
        <v>323.35000000000002</v>
      </c>
      <c r="P158" s="8">
        <v>5</v>
      </c>
      <c r="Q158" s="11">
        <v>224.47608695652173</v>
      </c>
      <c r="R158" s="11">
        <v>126</v>
      </c>
      <c r="S158" s="11">
        <v>109.56521739130434</v>
      </c>
      <c r="T158" s="11">
        <v>64.67</v>
      </c>
      <c r="U158" s="14">
        <v>40.975793650793648</v>
      </c>
      <c r="V158" s="36">
        <f>IFERROR(LOOKUP($C158,#REF!,#REF!),0)</f>
        <v>0</v>
      </c>
      <c r="W158" s="36">
        <f>IFERROR(LOOKUP($C158,#REF!,#REF!),0)</f>
        <v>0</v>
      </c>
      <c r="X158" s="36">
        <f>IFERROR(LOOKUP($C158,#REF!,#REF!),0)</f>
        <v>0</v>
      </c>
      <c r="Y158" s="36">
        <f>IFERROR(LOOKUP($C158,#REF!,#REF!),0)</f>
        <v>0</v>
      </c>
    </row>
    <row r="159" spans="1:25" ht="16.5" customHeight="1" x14ac:dyDescent="0.35">
      <c r="A159" s="3" t="s">
        <v>14</v>
      </c>
      <c r="B159" s="4">
        <v>101</v>
      </c>
      <c r="C159" s="5">
        <v>57071</v>
      </c>
      <c r="D159" s="3" t="s">
        <v>53</v>
      </c>
      <c r="E159" s="6">
        <v>29.99</v>
      </c>
      <c r="F159" s="16">
        <v>12.66</v>
      </c>
      <c r="G159" s="51">
        <v>0</v>
      </c>
      <c r="H159" s="52">
        <f t="shared" si="8"/>
        <v>0</v>
      </c>
      <c r="I159" s="52">
        <f t="shared" si="9"/>
        <v>0</v>
      </c>
      <c r="J159" s="52">
        <f t="shared" si="10"/>
        <v>0</v>
      </c>
      <c r="K159" s="53">
        <f t="shared" si="11"/>
        <v>0</v>
      </c>
      <c r="L159" s="36"/>
      <c r="M159" s="11">
        <v>569.80999999999995</v>
      </c>
      <c r="N159" s="11">
        <v>495.4869565217391</v>
      </c>
      <c r="O159" s="11">
        <v>550.04999999999995</v>
      </c>
      <c r="P159" s="8">
        <v>19</v>
      </c>
      <c r="Q159" s="11">
        <v>-54.563043478260909</v>
      </c>
      <c r="R159" s="11">
        <v>29.99</v>
      </c>
      <c r="S159" s="11">
        <v>26.078260869565216</v>
      </c>
      <c r="T159" s="11">
        <v>28.95</v>
      </c>
      <c r="U159" s="14">
        <v>-11.012004001333787</v>
      </c>
      <c r="V159" s="36">
        <f>IFERROR(LOOKUP($C159,#REF!,#REF!),0)</f>
        <v>0</v>
      </c>
      <c r="W159" s="36">
        <f>IFERROR(LOOKUP($C159,#REF!,#REF!),0)</f>
        <v>0</v>
      </c>
      <c r="X159" s="36">
        <f>IFERROR(LOOKUP($C159,#REF!,#REF!),0)</f>
        <v>0</v>
      </c>
      <c r="Y159" s="36">
        <f>IFERROR(LOOKUP($C159,#REF!,#REF!),0)</f>
        <v>0</v>
      </c>
    </row>
    <row r="160" spans="1:25" ht="16.5" customHeight="1" x14ac:dyDescent="0.35">
      <c r="A160" s="3" t="s">
        <v>14</v>
      </c>
      <c r="B160" s="4">
        <v>101</v>
      </c>
      <c r="C160" s="5">
        <v>57073</v>
      </c>
      <c r="D160" s="3" t="s">
        <v>21</v>
      </c>
      <c r="E160" s="6">
        <v>36.99</v>
      </c>
      <c r="F160" s="16">
        <v>16.05</v>
      </c>
      <c r="G160" s="51">
        <v>36</v>
      </c>
      <c r="H160" s="52">
        <f t="shared" si="8"/>
        <v>1331.64</v>
      </c>
      <c r="I160" s="52">
        <f t="shared" si="9"/>
        <v>577.80000000000007</v>
      </c>
      <c r="J160" s="52">
        <f t="shared" si="10"/>
        <v>753.84</v>
      </c>
      <c r="K160" s="53">
        <f t="shared" si="11"/>
        <v>56.609894566098937</v>
      </c>
      <c r="L160" s="36"/>
      <c r="M160" s="11">
        <v>559.72</v>
      </c>
      <c r="N160" s="11">
        <v>486.71304347826089</v>
      </c>
      <c r="O160" s="11">
        <v>367.64</v>
      </c>
      <c r="P160" s="8">
        <v>28</v>
      </c>
      <c r="Q160" s="11">
        <v>119.07304347826084</v>
      </c>
      <c r="R160" s="11">
        <v>19.990000000000002</v>
      </c>
      <c r="S160" s="11">
        <v>17.382608695652173</v>
      </c>
      <c r="T160" s="11">
        <v>13.129999999999999</v>
      </c>
      <c r="U160" s="14">
        <v>24.464732366183085</v>
      </c>
      <c r="V160" s="36">
        <f>IFERROR(LOOKUP($C160,#REF!,#REF!),0)</f>
        <v>0</v>
      </c>
      <c r="W160" s="36">
        <f>IFERROR(LOOKUP($C160,#REF!,#REF!),0)</f>
        <v>0</v>
      </c>
      <c r="X160" s="36">
        <f>IFERROR(LOOKUP($C160,#REF!,#REF!),0)</f>
        <v>0</v>
      </c>
      <c r="Y160" s="36">
        <f>IFERROR(LOOKUP($C160,#REF!,#REF!),0)</f>
        <v>0</v>
      </c>
    </row>
    <row r="161" spans="1:25" ht="16.5" customHeight="1" x14ac:dyDescent="0.35">
      <c r="A161" s="3" t="s">
        <v>14</v>
      </c>
      <c r="B161" s="4">
        <v>101</v>
      </c>
      <c r="C161" s="5">
        <v>57167</v>
      </c>
      <c r="D161" s="3" t="s">
        <v>32</v>
      </c>
      <c r="E161" s="6">
        <v>16.989999999999998</v>
      </c>
      <c r="F161" s="16">
        <v>7.4</v>
      </c>
      <c r="G161" s="51">
        <v>0</v>
      </c>
      <c r="H161" s="52">
        <f t="shared" si="8"/>
        <v>0</v>
      </c>
      <c r="I161" s="52">
        <f t="shared" si="9"/>
        <v>0</v>
      </c>
      <c r="J161" s="52">
        <f t="shared" si="10"/>
        <v>0</v>
      </c>
      <c r="K161" s="53">
        <f t="shared" si="11"/>
        <v>0</v>
      </c>
      <c r="L161" s="36"/>
      <c r="M161" s="11">
        <v>533.43000000000006</v>
      </c>
      <c r="N161" s="11">
        <v>463.85217391304343</v>
      </c>
      <c r="O161" s="11">
        <v>279.27</v>
      </c>
      <c r="P161" s="8">
        <v>107</v>
      </c>
      <c r="Q161" s="11">
        <v>184.5821739130435</v>
      </c>
      <c r="R161" s="11">
        <v>4.9853271028037387</v>
      </c>
      <c r="S161" s="11">
        <v>4.3350670459162934</v>
      </c>
      <c r="T161" s="11">
        <v>2.61</v>
      </c>
      <c r="U161" s="14">
        <v>39.793318710983641</v>
      </c>
      <c r="V161" s="36">
        <f>IFERROR(LOOKUP($C161,#REF!,#REF!),0)</f>
        <v>0</v>
      </c>
      <c r="W161" s="36">
        <f>IFERROR(LOOKUP($C161,#REF!,#REF!),0)</f>
        <v>0</v>
      </c>
      <c r="X161" s="36">
        <f>IFERROR(LOOKUP($C161,#REF!,#REF!),0)</f>
        <v>0</v>
      </c>
      <c r="Y161" s="36">
        <f>IFERROR(LOOKUP($C161,#REF!,#REF!),0)</f>
        <v>0</v>
      </c>
    </row>
    <row r="162" spans="1:25" ht="16.5" customHeight="1" x14ac:dyDescent="0.35">
      <c r="A162" s="3" t="s">
        <v>14</v>
      </c>
      <c r="B162" s="4">
        <v>102</v>
      </c>
      <c r="C162" s="5">
        <v>58045</v>
      </c>
      <c r="D162" s="3" t="s">
        <v>181</v>
      </c>
      <c r="E162" s="6">
        <v>2.5</v>
      </c>
      <c r="F162" s="16">
        <v>1.29</v>
      </c>
      <c r="G162" s="51">
        <v>0</v>
      </c>
      <c r="H162" s="52">
        <f t="shared" si="8"/>
        <v>0</v>
      </c>
      <c r="I162" s="52">
        <f t="shared" si="9"/>
        <v>0</v>
      </c>
      <c r="J162" s="52">
        <f t="shared" si="10"/>
        <v>0</v>
      </c>
      <c r="K162" s="53">
        <f t="shared" si="11"/>
        <v>0</v>
      </c>
      <c r="L162" s="36"/>
      <c r="M162" s="11">
        <v>500</v>
      </c>
      <c r="N162" s="11">
        <v>434.78260869565219</v>
      </c>
      <c r="O162" s="11">
        <v>111.30000000000001</v>
      </c>
      <c r="P162" s="8">
        <v>5</v>
      </c>
      <c r="Q162" s="11">
        <v>323.48260869565212</v>
      </c>
      <c r="R162" s="11">
        <v>100</v>
      </c>
      <c r="S162" s="11">
        <v>86.956521739130437</v>
      </c>
      <c r="T162" s="11">
        <v>22.26</v>
      </c>
      <c r="U162" s="14">
        <v>74.400999999999996</v>
      </c>
      <c r="V162" s="36">
        <f>IFERROR(LOOKUP($C162,#REF!,#REF!),0)</f>
        <v>0</v>
      </c>
      <c r="W162" s="36">
        <f>IFERROR(LOOKUP($C162,#REF!,#REF!),0)</f>
        <v>0</v>
      </c>
      <c r="X162" s="36">
        <f>IFERROR(LOOKUP($C162,#REF!,#REF!),0)</f>
        <v>0</v>
      </c>
      <c r="Y162" s="36">
        <f>IFERROR(LOOKUP($C162,#REF!,#REF!),0)</f>
        <v>0</v>
      </c>
    </row>
    <row r="163" spans="1:25" ht="16.5" customHeight="1" x14ac:dyDescent="0.35">
      <c r="A163" s="3" t="s">
        <v>14</v>
      </c>
      <c r="B163" s="4">
        <v>104</v>
      </c>
      <c r="C163" s="5">
        <v>58452</v>
      </c>
      <c r="D163" s="3" t="s">
        <v>242</v>
      </c>
      <c r="E163" s="6">
        <v>120</v>
      </c>
      <c r="F163" s="16">
        <v>58.51</v>
      </c>
      <c r="G163" s="51">
        <v>0</v>
      </c>
      <c r="H163" s="52">
        <f t="shared" si="8"/>
        <v>0</v>
      </c>
      <c r="I163" s="52">
        <f t="shared" si="9"/>
        <v>0</v>
      </c>
      <c r="J163" s="52">
        <f t="shared" si="10"/>
        <v>0</v>
      </c>
      <c r="K163" s="53">
        <f t="shared" si="11"/>
        <v>0</v>
      </c>
      <c r="L163" s="36"/>
      <c r="M163" s="11">
        <v>449.84999999999997</v>
      </c>
      <c r="N163" s="11">
        <v>391.17391304347819</v>
      </c>
      <c r="O163" s="11">
        <v>246.45000000000002</v>
      </c>
      <c r="P163" s="8">
        <v>15</v>
      </c>
      <c r="Q163" s="11">
        <v>144.72391304347823</v>
      </c>
      <c r="R163" s="11">
        <v>29.99</v>
      </c>
      <c r="S163" s="11">
        <v>26.078260869565213</v>
      </c>
      <c r="T163" s="11">
        <v>16.43</v>
      </c>
      <c r="U163" s="14">
        <v>36.997332444148043</v>
      </c>
      <c r="V163" s="36">
        <f>IFERROR(LOOKUP($C163,#REF!,#REF!),0)</f>
        <v>0</v>
      </c>
      <c r="W163" s="36">
        <f>IFERROR(LOOKUP($C163,#REF!,#REF!),0)</f>
        <v>0</v>
      </c>
      <c r="X163" s="36">
        <f>IFERROR(LOOKUP($C163,#REF!,#REF!),0)</f>
        <v>0</v>
      </c>
      <c r="Y163" s="36">
        <f>IFERROR(LOOKUP($C163,#REF!,#REF!),0)</f>
        <v>0</v>
      </c>
    </row>
    <row r="164" spans="1:25" ht="16.5" customHeight="1" x14ac:dyDescent="0.35">
      <c r="A164" s="3" t="s">
        <v>14</v>
      </c>
      <c r="B164" s="4">
        <v>101</v>
      </c>
      <c r="C164" s="5">
        <v>58512</v>
      </c>
      <c r="D164" s="3" t="s">
        <v>30</v>
      </c>
      <c r="E164" s="6">
        <v>26.99</v>
      </c>
      <c r="F164" s="16">
        <v>10.66</v>
      </c>
      <c r="G164" s="51">
        <v>0</v>
      </c>
      <c r="H164" s="52">
        <f t="shared" si="8"/>
        <v>0</v>
      </c>
      <c r="I164" s="52">
        <f t="shared" si="9"/>
        <v>0</v>
      </c>
      <c r="J164" s="52">
        <f t="shared" si="10"/>
        <v>0</v>
      </c>
      <c r="K164" s="53">
        <f t="shared" si="11"/>
        <v>0</v>
      </c>
      <c r="L164" s="36"/>
      <c r="M164" s="11">
        <v>446.85</v>
      </c>
      <c r="N164" s="11">
        <v>388.56521739130443</v>
      </c>
      <c r="O164" s="11">
        <v>232.50000000000003</v>
      </c>
      <c r="P164" s="8">
        <v>75</v>
      </c>
      <c r="Q164" s="11">
        <v>156.06521739130434</v>
      </c>
      <c r="R164" s="11">
        <v>5.9580000000000002</v>
      </c>
      <c r="S164" s="11">
        <v>5.1808695652173924</v>
      </c>
      <c r="T164" s="11">
        <v>3.1000000000000005</v>
      </c>
      <c r="U164" s="14">
        <v>40.164484726418259</v>
      </c>
      <c r="V164" s="36">
        <f>IFERROR(LOOKUP($C164,#REF!,#REF!),0)</f>
        <v>0</v>
      </c>
      <c r="W164" s="36">
        <f>IFERROR(LOOKUP($C164,#REF!,#REF!),0)</f>
        <v>0</v>
      </c>
      <c r="X164" s="36">
        <f>IFERROR(LOOKUP($C164,#REF!,#REF!),0)</f>
        <v>0</v>
      </c>
      <c r="Y164" s="36">
        <f>IFERROR(LOOKUP($C164,#REF!,#REF!),0)</f>
        <v>0</v>
      </c>
    </row>
    <row r="165" spans="1:25" ht="16.5" customHeight="1" x14ac:dyDescent="0.35">
      <c r="A165" s="3" t="s">
        <v>14</v>
      </c>
      <c r="B165" s="4">
        <v>101</v>
      </c>
      <c r="C165" s="5">
        <v>58763</v>
      </c>
      <c r="D165" s="3" t="s">
        <v>78</v>
      </c>
      <c r="E165" s="6">
        <v>3.2</v>
      </c>
      <c r="F165" s="16">
        <v>1.62</v>
      </c>
      <c r="G165" s="51">
        <v>0</v>
      </c>
      <c r="H165" s="52">
        <f t="shared" si="8"/>
        <v>0</v>
      </c>
      <c r="I165" s="52">
        <f t="shared" si="9"/>
        <v>0</v>
      </c>
      <c r="J165" s="52">
        <f t="shared" si="10"/>
        <v>0</v>
      </c>
      <c r="K165" s="53">
        <f t="shared" si="11"/>
        <v>0</v>
      </c>
      <c r="L165" s="36"/>
      <c r="M165" s="11">
        <v>430.93</v>
      </c>
      <c r="N165" s="11">
        <v>374.7217391304348</v>
      </c>
      <c r="O165" s="11">
        <v>218.97</v>
      </c>
      <c r="P165" s="8">
        <v>27</v>
      </c>
      <c r="Q165" s="11">
        <v>155.7517391304348</v>
      </c>
      <c r="R165" s="11">
        <v>15.96037037037037</v>
      </c>
      <c r="S165" s="11">
        <v>13.878582930756844</v>
      </c>
      <c r="T165" s="11">
        <v>8.11</v>
      </c>
      <c r="U165" s="14">
        <v>41.5646392685587</v>
      </c>
      <c r="V165" s="36">
        <f>IFERROR(LOOKUP($C165,#REF!,#REF!),0)</f>
        <v>0</v>
      </c>
      <c r="W165" s="36">
        <f>IFERROR(LOOKUP($C165,#REF!,#REF!),0)</f>
        <v>0</v>
      </c>
      <c r="X165" s="36">
        <f>IFERROR(LOOKUP($C165,#REF!,#REF!),0)</f>
        <v>0</v>
      </c>
      <c r="Y165" s="36">
        <f>IFERROR(LOOKUP($C165,#REF!,#REF!),0)</f>
        <v>0</v>
      </c>
    </row>
    <row r="166" spans="1:25" ht="16.5" customHeight="1" x14ac:dyDescent="0.35">
      <c r="A166" s="3" t="s">
        <v>14</v>
      </c>
      <c r="B166" s="4">
        <v>101</v>
      </c>
      <c r="C166" s="5">
        <v>58767</v>
      </c>
      <c r="D166" s="3" t="s">
        <v>27</v>
      </c>
      <c r="E166" s="6">
        <v>19.989999999999998</v>
      </c>
      <c r="F166" s="16">
        <v>7.04</v>
      </c>
      <c r="G166" s="51">
        <v>0</v>
      </c>
      <c r="H166" s="52">
        <f t="shared" si="8"/>
        <v>0</v>
      </c>
      <c r="I166" s="52">
        <f t="shared" si="9"/>
        <v>0</v>
      </c>
      <c r="J166" s="52">
        <f t="shared" si="10"/>
        <v>0</v>
      </c>
      <c r="K166" s="53">
        <f t="shared" si="11"/>
        <v>0</v>
      </c>
      <c r="L166" s="36"/>
      <c r="M166" s="11">
        <v>419.93</v>
      </c>
      <c r="N166" s="11">
        <v>365.15652173913043</v>
      </c>
      <c r="O166" s="11">
        <v>164.08</v>
      </c>
      <c r="P166" s="8">
        <v>7</v>
      </c>
      <c r="Q166" s="11">
        <v>201.07652173913041</v>
      </c>
      <c r="R166" s="11">
        <v>59.99</v>
      </c>
      <c r="S166" s="11">
        <v>52.165217391304346</v>
      </c>
      <c r="T166" s="11">
        <v>23.44</v>
      </c>
      <c r="U166" s="14">
        <v>55.065844307384559</v>
      </c>
      <c r="V166" s="36">
        <f>IFERROR(LOOKUP($C166,#REF!,#REF!),0)</f>
        <v>0</v>
      </c>
      <c r="W166" s="36">
        <f>IFERROR(LOOKUP($C166,#REF!,#REF!),0)</f>
        <v>0</v>
      </c>
      <c r="X166" s="36">
        <f>IFERROR(LOOKUP($C166,#REF!,#REF!),0)</f>
        <v>0</v>
      </c>
      <c r="Y166" s="36">
        <f>IFERROR(LOOKUP($C166,#REF!,#REF!),0)</f>
        <v>0</v>
      </c>
    </row>
    <row r="167" spans="1:25" ht="16.5" customHeight="1" x14ac:dyDescent="0.35">
      <c r="A167" s="3" t="s">
        <v>14</v>
      </c>
      <c r="B167" s="4">
        <v>102</v>
      </c>
      <c r="C167" s="5">
        <v>59058</v>
      </c>
      <c r="D167" s="3" t="s">
        <v>135</v>
      </c>
      <c r="E167" s="6">
        <v>5.99</v>
      </c>
      <c r="F167" s="16">
        <v>3.1</v>
      </c>
      <c r="G167" s="51">
        <v>0</v>
      </c>
      <c r="H167" s="52">
        <f t="shared" si="8"/>
        <v>0</v>
      </c>
      <c r="I167" s="52">
        <f t="shared" si="9"/>
        <v>0</v>
      </c>
      <c r="J167" s="52">
        <f t="shared" si="10"/>
        <v>0</v>
      </c>
      <c r="K167" s="53">
        <f t="shared" si="11"/>
        <v>0</v>
      </c>
      <c r="L167" s="36"/>
      <c r="M167" s="11">
        <v>419</v>
      </c>
      <c r="N167" s="11">
        <v>364.3478260869565</v>
      </c>
      <c r="O167" s="11">
        <v>217.00000000000003</v>
      </c>
      <c r="P167" s="8">
        <v>70</v>
      </c>
      <c r="Q167" s="11">
        <v>147.34782608695647</v>
      </c>
      <c r="R167" s="11">
        <v>5.9857142857142858</v>
      </c>
      <c r="S167" s="11">
        <v>5.2049689440993783</v>
      </c>
      <c r="T167" s="11">
        <v>3.1000000000000005</v>
      </c>
      <c r="U167" s="14">
        <v>40.441527446300704</v>
      </c>
      <c r="V167" s="36">
        <f>IFERROR(LOOKUP($C167,#REF!,#REF!),0)</f>
        <v>0</v>
      </c>
      <c r="W167" s="36">
        <f>IFERROR(LOOKUP($C167,#REF!,#REF!),0)</f>
        <v>0</v>
      </c>
      <c r="X167" s="36">
        <f>IFERROR(LOOKUP($C167,#REF!,#REF!),0)</f>
        <v>0</v>
      </c>
      <c r="Y167" s="36">
        <f>IFERROR(LOOKUP($C167,#REF!,#REF!),0)</f>
        <v>0</v>
      </c>
    </row>
    <row r="168" spans="1:25" ht="16.5" customHeight="1" x14ac:dyDescent="0.35">
      <c r="A168" s="3" t="s">
        <v>14</v>
      </c>
      <c r="B168" s="4">
        <v>102</v>
      </c>
      <c r="C168" s="5">
        <v>59220</v>
      </c>
      <c r="D168" s="3" t="s">
        <v>163</v>
      </c>
      <c r="E168" s="6">
        <v>5.99</v>
      </c>
      <c r="F168" s="16">
        <v>3.1</v>
      </c>
      <c r="G168" s="51">
        <v>0</v>
      </c>
      <c r="H168" s="52">
        <f t="shared" si="8"/>
        <v>0</v>
      </c>
      <c r="I168" s="52">
        <f t="shared" si="9"/>
        <v>0</v>
      </c>
      <c r="J168" s="52">
        <f t="shared" si="10"/>
        <v>0</v>
      </c>
      <c r="K168" s="53">
        <f t="shared" si="11"/>
        <v>0</v>
      </c>
      <c r="L168" s="36"/>
      <c r="M168" s="11">
        <v>405.85999999999996</v>
      </c>
      <c r="N168" s="11">
        <v>352.92173913043479</v>
      </c>
      <c r="O168" s="11">
        <v>204.57780000000002</v>
      </c>
      <c r="P168" s="8">
        <v>14</v>
      </c>
      <c r="Q168" s="11">
        <v>148.34393913043476</v>
      </c>
      <c r="R168" s="11">
        <v>28.99</v>
      </c>
      <c r="S168" s="11">
        <v>25.208695652173912</v>
      </c>
      <c r="T168" s="11">
        <v>14.612700000000002</v>
      </c>
      <c r="U168" s="14">
        <v>42.033097619868911</v>
      </c>
      <c r="V168" s="36">
        <f>IFERROR(LOOKUP($C168,#REF!,#REF!),0)</f>
        <v>0</v>
      </c>
      <c r="W168" s="36">
        <f>IFERROR(LOOKUP($C168,#REF!,#REF!),0)</f>
        <v>0</v>
      </c>
      <c r="X168" s="36">
        <f>IFERROR(LOOKUP($C168,#REF!,#REF!),0)</f>
        <v>0</v>
      </c>
      <c r="Y168" s="36">
        <f>IFERROR(LOOKUP($C168,#REF!,#REF!),0)</f>
        <v>0</v>
      </c>
    </row>
    <row r="169" spans="1:25" ht="16.5" customHeight="1" x14ac:dyDescent="0.35">
      <c r="A169" s="3" t="s">
        <v>14</v>
      </c>
      <c r="B169" s="4">
        <v>102</v>
      </c>
      <c r="C169" s="5">
        <v>59221</v>
      </c>
      <c r="D169" s="3" t="s">
        <v>158</v>
      </c>
      <c r="E169" s="6">
        <v>5.99</v>
      </c>
      <c r="F169" s="16">
        <v>3.1</v>
      </c>
      <c r="G169" s="51">
        <v>0</v>
      </c>
      <c r="H169" s="52">
        <f t="shared" si="8"/>
        <v>0</v>
      </c>
      <c r="I169" s="52">
        <f t="shared" si="9"/>
        <v>0</v>
      </c>
      <c r="J169" s="52">
        <f t="shared" si="10"/>
        <v>0</v>
      </c>
      <c r="K169" s="53">
        <f t="shared" si="11"/>
        <v>0</v>
      </c>
      <c r="L169" s="36"/>
      <c r="M169" s="11">
        <v>405.85999999999996</v>
      </c>
      <c r="N169" s="11">
        <v>352.92173913043479</v>
      </c>
      <c r="O169" s="11">
        <v>204.57780000000002</v>
      </c>
      <c r="P169" s="8">
        <v>14</v>
      </c>
      <c r="Q169" s="11">
        <v>148.34393913043476</v>
      </c>
      <c r="R169" s="11">
        <v>28.99</v>
      </c>
      <c r="S169" s="11">
        <v>25.208695652173912</v>
      </c>
      <c r="T169" s="11">
        <v>14.612700000000002</v>
      </c>
      <c r="U169" s="14">
        <v>42.033097619868911</v>
      </c>
      <c r="V169" s="36">
        <f>IFERROR(LOOKUP($C169,#REF!,#REF!),0)</f>
        <v>0</v>
      </c>
      <c r="W169" s="36">
        <f>IFERROR(LOOKUP($C169,#REF!,#REF!),0)</f>
        <v>0</v>
      </c>
      <c r="X169" s="36">
        <f>IFERROR(LOOKUP($C169,#REF!,#REF!),0)</f>
        <v>0</v>
      </c>
      <c r="Y169" s="36">
        <f>IFERROR(LOOKUP($C169,#REF!,#REF!),0)</f>
        <v>0</v>
      </c>
    </row>
    <row r="170" spans="1:25" ht="16.5" customHeight="1" x14ac:dyDescent="0.35">
      <c r="A170" s="3" t="s">
        <v>14</v>
      </c>
      <c r="B170" s="4">
        <v>102</v>
      </c>
      <c r="C170" s="5">
        <v>59222</v>
      </c>
      <c r="D170" s="3" t="s">
        <v>178</v>
      </c>
      <c r="E170" s="6">
        <v>5.99</v>
      </c>
      <c r="F170" s="16">
        <v>3.1</v>
      </c>
      <c r="G170" s="51">
        <v>0</v>
      </c>
      <c r="H170" s="52">
        <f t="shared" si="8"/>
        <v>0</v>
      </c>
      <c r="I170" s="52">
        <f t="shared" si="9"/>
        <v>0</v>
      </c>
      <c r="J170" s="52">
        <f t="shared" si="10"/>
        <v>0</v>
      </c>
      <c r="K170" s="53">
        <f t="shared" si="11"/>
        <v>0</v>
      </c>
      <c r="L170" s="36"/>
      <c r="M170" s="11">
        <v>375.16</v>
      </c>
      <c r="N170" s="11">
        <v>326.22608695652178</v>
      </c>
      <c r="O170" s="11">
        <v>198.1</v>
      </c>
      <c r="P170" s="8">
        <v>14</v>
      </c>
      <c r="Q170" s="11">
        <v>128.12608695652173</v>
      </c>
      <c r="R170" s="11">
        <v>26.797142857142859</v>
      </c>
      <c r="S170" s="11">
        <v>23.30186335403727</v>
      </c>
      <c r="T170" s="11">
        <v>14.15</v>
      </c>
      <c r="U170" s="14">
        <v>39.275242563173045</v>
      </c>
      <c r="V170" s="36">
        <f>IFERROR(LOOKUP($C170,#REF!,#REF!),0)</f>
        <v>0</v>
      </c>
      <c r="W170" s="36">
        <f>IFERROR(LOOKUP($C170,#REF!,#REF!),0)</f>
        <v>0</v>
      </c>
      <c r="X170" s="36">
        <f>IFERROR(LOOKUP($C170,#REF!,#REF!),0)</f>
        <v>0</v>
      </c>
      <c r="Y170" s="36">
        <f>IFERROR(LOOKUP($C170,#REF!,#REF!),0)</f>
        <v>0</v>
      </c>
    </row>
    <row r="171" spans="1:25" ht="16.5" customHeight="1" x14ac:dyDescent="0.35">
      <c r="A171" s="3" t="s">
        <v>14</v>
      </c>
      <c r="B171" s="4">
        <v>102</v>
      </c>
      <c r="C171" s="5">
        <v>59223</v>
      </c>
      <c r="D171" s="3" t="s">
        <v>179</v>
      </c>
      <c r="E171" s="6">
        <v>5.99</v>
      </c>
      <c r="F171" s="16">
        <v>3.1</v>
      </c>
      <c r="G171" s="51">
        <v>0</v>
      </c>
      <c r="H171" s="52">
        <f t="shared" si="8"/>
        <v>0</v>
      </c>
      <c r="I171" s="52">
        <f t="shared" si="9"/>
        <v>0</v>
      </c>
      <c r="J171" s="52">
        <f t="shared" si="10"/>
        <v>0</v>
      </c>
      <c r="K171" s="53">
        <f t="shared" si="11"/>
        <v>0</v>
      </c>
      <c r="L171" s="36"/>
      <c r="M171" s="11">
        <v>373.59999999999997</v>
      </c>
      <c r="N171" s="11">
        <v>324.86956521739125</v>
      </c>
      <c r="O171" s="11">
        <v>121.5</v>
      </c>
      <c r="P171" s="8">
        <v>15</v>
      </c>
      <c r="Q171" s="11">
        <v>203.36956521739125</v>
      </c>
      <c r="R171" s="11">
        <v>24.906666666666663</v>
      </c>
      <c r="S171" s="11">
        <v>21.657971014492752</v>
      </c>
      <c r="T171" s="11">
        <v>8.1</v>
      </c>
      <c r="U171" s="14">
        <v>62.600374732334039</v>
      </c>
      <c r="V171" s="36">
        <f>IFERROR(LOOKUP($C171,#REF!,#REF!),0)</f>
        <v>0</v>
      </c>
      <c r="W171" s="36">
        <f>IFERROR(LOOKUP($C171,#REF!,#REF!),0)</f>
        <v>0</v>
      </c>
      <c r="X171" s="36">
        <f>IFERROR(LOOKUP($C171,#REF!,#REF!),0)</f>
        <v>0</v>
      </c>
      <c r="Y171" s="36">
        <f>IFERROR(LOOKUP($C171,#REF!,#REF!),0)</f>
        <v>0</v>
      </c>
    </row>
    <row r="172" spans="1:25" ht="16.5" customHeight="1" x14ac:dyDescent="0.35">
      <c r="A172" s="3" t="s">
        <v>14</v>
      </c>
      <c r="B172" s="4">
        <v>101</v>
      </c>
      <c r="C172" s="5">
        <v>59381</v>
      </c>
      <c r="D172" s="3" t="s">
        <v>15</v>
      </c>
      <c r="E172" s="6">
        <v>13.99</v>
      </c>
      <c r="F172" s="16">
        <v>7.36</v>
      </c>
      <c r="G172" s="51">
        <v>780</v>
      </c>
      <c r="H172" s="52">
        <f t="shared" si="8"/>
        <v>10912.2</v>
      </c>
      <c r="I172" s="52">
        <f t="shared" si="9"/>
        <v>5740.8</v>
      </c>
      <c r="J172" s="52">
        <f t="shared" si="10"/>
        <v>5171.4000000000005</v>
      </c>
      <c r="K172" s="53">
        <f t="shared" si="11"/>
        <v>47.390993566833458</v>
      </c>
      <c r="L172" s="36"/>
      <c r="M172" s="11">
        <v>357.91</v>
      </c>
      <c r="N172" s="11">
        <v>311.22608695652173</v>
      </c>
      <c r="O172" s="11">
        <v>225</v>
      </c>
      <c r="P172" s="8">
        <v>9</v>
      </c>
      <c r="Q172" s="11">
        <v>86.226086956521783</v>
      </c>
      <c r="R172" s="11">
        <v>39.767777777777781</v>
      </c>
      <c r="S172" s="11">
        <v>34.580676328502413</v>
      </c>
      <c r="T172" s="11">
        <v>25</v>
      </c>
      <c r="U172" s="14">
        <v>27.705289039143928</v>
      </c>
      <c r="V172" s="36">
        <f>IFERROR(LOOKUP($C172,#REF!,#REF!),0)</f>
        <v>0</v>
      </c>
      <c r="W172" s="36">
        <f>IFERROR(LOOKUP($C172,#REF!,#REF!),0)</f>
        <v>0</v>
      </c>
      <c r="X172" s="36">
        <f>IFERROR(LOOKUP($C172,#REF!,#REF!),0)</f>
        <v>0</v>
      </c>
      <c r="Y172" s="36">
        <f>IFERROR(LOOKUP($C172,#REF!,#REF!),0)</f>
        <v>0</v>
      </c>
    </row>
    <row r="173" spans="1:25" ht="16.5" customHeight="1" x14ac:dyDescent="0.35">
      <c r="A173" s="3" t="s">
        <v>14</v>
      </c>
      <c r="B173" s="4">
        <v>101</v>
      </c>
      <c r="C173" s="5">
        <v>59425</v>
      </c>
      <c r="D173" s="3" t="s">
        <v>17</v>
      </c>
      <c r="E173" s="6">
        <v>10.99</v>
      </c>
      <c r="F173" s="16">
        <v>6.3</v>
      </c>
      <c r="G173" s="51">
        <v>240</v>
      </c>
      <c r="H173" s="52">
        <f t="shared" si="8"/>
        <v>2637.6</v>
      </c>
      <c r="I173" s="52">
        <f t="shared" si="9"/>
        <v>1512</v>
      </c>
      <c r="J173" s="52">
        <f t="shared" si="10"/>
        <v>1125.5999999999999</v>
      </c>
      <c r="K173" s="53">
        <f t="shared" si="11"/>
        <v>42.675159235668787</v>
      </c>
      <c r="L173" s="36"/>
      <c r="M173" s="11">
        <v>330.41</v>
      </c>
      <c r="N173" s="11">
        <v>287.31304347826085</v>
      </c>
      <c r="O173" s="11">
        <v>173.48351999999997</v>
      </c>
      <c r="P173" s="8">
        <v>1.5660000000000001</v>
      </c>
      <c r="Q173" s="11">
        <v>113.82952347826088</v>
      </c>
      <c r="R173" s="11">
        <v>210.98978288633461</v>
      </c>
      <c r="S173" s="11">
        <v>183.46937642289964</v>
      </c>
      <c r="T173" s="11">
        <v>110.78130268199232</v>
      </c>
      <c r="U173" s="14">
        <v>39.618641082291703</v>
      </c>
      <c r="V173" s="36">
        <f>IFERROR(LOOKUP($C173,#REF!,#REF!),0)</f>
        <v>0</v>
      </c>
      <c r="W173" s="36">
        <f>IFERROR(LOOKUP($C173,#REF!,#REF!),0)</f>
        <v>0</v>
      </c>
      <c r="X173" s="36">
        <f>IFERROR(LOOKUP($C173,#REF!,#REF!),0)</f>
        <v>0</v>
      </c>
      <c r="Y173" s="36">
        <f>IFERROR(LOOKUP($C173,#REF!,#REF!),0)</f>
        <v>0</v>
      </c>
    </row>
    <row r="174" spans="1:25" ht="16.5" customHeight="1" x14ac:dyDescent="0.35">
      <c r="A174" s="3" t="s">
        <v>14</v>
      </c>
      <c r="B174" s="4">
        <v>102</v>
      </c>
      <c r="C174" s="5">
        <v>59477</v>
      </c>
      <c r="D174" s="3" t="s">
        <v>159</v>
      </c>
      <c r="E174" s="6">
        <v>5.99</v>
      </c>
      <c r="F174" s="16">
        <v>3.1</v>
      </c>
      <c r="G174" s="51">
        <v>0</v>
      </c>
      <c r="H174" s="52">
        <f t="shared" si="8"/>
        <v>0</v>
      </c>
      <c r="I174" s="52">
        <f t="shared" si="9"/>
        <v>0</v>
      </c>
      <c r="J174" s="52">
        <f t="shared" si="10"/>
        <v>0</v>
      </c>
      <c r="K174" s="53">
        <f t="shared" si="11"/>
        <v>0</v>
      </c>
      <c r="L174" s="36"/>
      <c r="M174" s="11">
        <v>330</v>
      </c>
      <c r="N174" s="11">
        <v>286.95652173913044</v>
      </c>
      <c r="O174" s="11">
        <v>184.9</v>
      </c>
      <c r="P174" s="8">
        <v>13</v>
      </c>
      <c r="Q174" s="11">
        <v>102.05652173913043</v>
      </c>
      <c r="R174" s="11">
        <v>25.384615384615383</v>
      </c>
      <c r="S174" s="11">
        <v>22.073578595317727</v>
      </c>
      <c r="T174" s="11">
        <v>14.223076923076924</v>
      </c>
      <c r="U174" s="14">
        <v>35.565151515151513</v>
      </c>
      <c r="V174" s="36">
        <f>IFERROR(LOOKUP($C174,#REF!,#REF!),0)</f>
        <v>0</v>
      </c>
      <c r="W174" s="36">
        <f>IFERROR(LOOKUP($C174,#REF!,#REF!),0)</f>
        <v>0</v>
      </c>
      <c r="X174" s="36">
        <f>IFERROR(LOOKUP($C174,#REF!,#REF!),0)</f>
        <v>0</v>
      </c>
      <c r="Y174" s="36">
        <f>IFERROR(LOOKUP($C174,#REF!,#REF!),0)</f>
        <v>0</v>
      </c>
    </row>
    <row r="175" spans="1:25" ht="16.5" customHeight="1" x14ac:dyDescent="0.35">
      <c r="A175" s="3" t="s">
        <v>14</v>
      </c>
      <c r="B175" s="4">
        <v>119</v>
      </c>
      <c r="C175" s="5">
        <v>60694</v>
      </c>
      <c r="D175" s="3" t="s">
        <v>269</v>
      </c>
      <c r="E175" s="6">
        <v>160</v>
      </c>
      <c r="F175" s="16">
        <v>106.8</v>
      </c>
      <c r="G175" s="51">
        <v>0</v>
      </c>
      <c r="H175" s="52">
        <f t="shared" si="8"/>
        <v>0</v>
      </c>
      <c r="I175" s="52">
        <f t="shared" si="9"/>
        <v>0</v>
      </c>
      <c r="J175" s="52">
        <f t="shared" si="10"/>
        <v>0</v>
      </c>
      <c r="K175" s="53">
        <f t="shared" si="11"/>
        <v>0</v>
      </c>
      <c r="L175" s="36"/>
      <c r="M175" s="11">
        <v>330</v>
      </c>
      <c r="N175" s="11">
        <v>286.95652173913044</v>
      </c>
      <c r="O175" s="11">
        <v>162.35999999999999</v>
      </c>
      <c r="P175" s="8">
        <v>22</v>
      </c>
      <c r="Q175" s="11">
        <v>124.59652173913045</v>
      </c>
      <c r="R175" s="11">
        <v>15</v>
      </c>
      <c r="S175" s="11">
        <v>13.043478260869565</v>
      </c>
      <c r="T175" s="11">
        <v>7.379999999999999</v>
      </c>
      <c r="U175" s="14">
        <v>43.42</v>
      </c>
      <c r="V175" s="36">
        <f>IFERROR(LOOKUP($C175,#REF!,#REF!),0)</f>
        <v>0</v>
      </c>
      <c r="W175" s="36">
        <f>IFERROR(LOOKUP($C175,#REF!,#REF!),0)</f>
        <v>0</v>
      </c>
      <c r="X175" s="36">
        <f>IFERROR(LOOKUP($C175,#REF!,#REF!),0)</f>
        <v>0</v>
      </c>
      <c r="Y175" s="36">
        <f>IFERROR(LOOKUP($C175,#REF!,#REF!),0)</f>
        <v>0</v>
      </c>
    </row>
    <row r="176" spans="1:25" ht="16.5" customHeight="1" x14ac:dyDescent="0.35">
      <c r="A176" s="3" t="s">
        <v>14</v>
      </c>
      <c r="B176" s="4">
        <v>101</v>
      </c>
      <c r="C176" s="5">
        <v>60832</v>
      </c>
      <c r="D176" s="3" t="s">
        <v>41</v>
      </c>
      <c r="E176" s="6">
        <v>10</v>
      </c>
      <c r="F176" s="16">
        <v>7.36</v>
      </c>
      <c r="G176" s="51">
        <v>0</v>
      </c>
      <c r="H176" s="52">
        <f t="shared" si="8"/>
        <v>0</v>
      </c>
      <c r="I176" s="52">
        <f t="shared" si="9"/>
        <v>0</v>
      </c>
      <c r="J176" s="52">
        <f t="shared" si="10"/>
        <v>0</v>
      </c>
      <c r="K176" s="53">
        <f t="shared" si="11"/>
        <v>0</v>
      </c>
      <c r="L176" s="36"/>
      <c r="M176" s="11">
        <v>319.95999999999998</v>
      </c>
      <c r="N176" s="11">
        <v>278.22608695652173</v>
      </c>
      <c r="O176" s="11">
        <v>170.72</v>
      </c>
      <c r="P176" s="8">
        <v>4</v>
      </c>
      <c r="Q176" s="11">
        <v>107.50608695652173</v>
      </c>
      <c r="R176" s="11">
        <v>79.989999999999995</v>
      </c>
      <c r="S176" s="11">
        <v>69.556521739130432</v>
      </c>
      <c r="T176" s="11">
        <v>42.68</v>
      </c>
      <c r="U176" s="14">
        <v>38.639829978747343</v>
      </c>
      <c r="V176" s="36">
        <f>IFERROR(LOOKUP($C176,#REF!,#REF!),0)</f>
        <v>0</v>
      </c>
      <c r="W176" s="36">
        <f>IFERROR(LOOKUP($C176,#REF!,#REF!),0)</f>
        <v>0</v>
      </c>
      <c r="X176" s="36">
        <f>IFERROR(LOOKUP($C176,#REF!,#REF!),0)</f>
        <v>0</v>
      </c>
      <c r="Y176" s="36">
        <f>IFERROR(LOOKUP($C176,#REF!,#REF!),0)</f>
        <v>0</v>
      </c>
    </row>
    <row r="177" spans="1:25" ht="16.5" customHeight="1" x14ac:dyDescent="0.35">
      <c r="A177" s="3" t="s">
        <v>14</v>
      </c>
      <c r="B177" s="4">
        <v>102</v>
      </c>
      <c r="C177" s="5">
        <v>61014</v>
      </c>
      <c r="D177" s="3" t="s">
        <v>169</v>
      </c>
      <c r="E177" s="6">
        <v>5.99</v>
      </c>
      <c r="F177" s="16">
        <v>3.1</v>
      </c>
      <c r="G177" s="51">
        <v>0</v>
      </c>
      <c r="H177" s="52">
        <f t="shared" si="8"/>
        <v>0</v>
      </c>
      <c r="I177" s="52">
        <f t="shared" si="9"/>
        <v>0</v>
      </c>
      <c r="J177" s="52">
        <f t="shared" si="10"/>
        <v>0</v>
      </c>
      <c r="K177" s="53">
        <f t="shared" si="11"/>
        <v>0</v>
      </c>
      <c r="L177" s="36"/>
      <c r="M177" s="11">
        <v>319.5</v>
      </c>
      <c r="N177" s="11">
        <v>277.82608695652175</v>
      </c>
      <c r="O177" s="11">
        <v>198.08</v>
      </c>
      <c r="P177" s="8">
        <v>32</v>
      </c>
      <c r="Q177" s="11">
        <v>79.746086956521737</v>
      </c>
      <c r="R177" s="11">
        <v>9.984375</v>
      </c>
      <c r="S177" s="11">
        <v>8.6820652173913047</v>
      </c>
      <c r="T177" s="11">
        <v>6.19</v>
      </c>
      <c r="U177" s="14">
        <v>28.703599374021909</v>
      </c>
      <c r="V177" s="36">
        <f>IFERROR(LOOKUP($C177,#REF!,#REF!),0)</f>
        <v>0</v>
      </c>
      <c r="W177" s="36">
        <f>IFERROR(LOOKUP($C177,#REF!,#REF!),0)</f>
        <v>0</v>
      </c>
      <c r="X177" s="36">
        <f>IFERROR(LOOKUP($C177,#REF!,#REF!),0)</f>
        <v>0</v>
      </c>
      <c r="Y177" s="36">
        <f>IFERROR(LOOKUP($C177,#REF!,#REF!),0)</f>
        <v>0</v>
      </c>
    </row>
    <row r="178" spans="1:25" ht="16.5" customHeight="1" x14ac:dyDescent="0.35">
      <c r="A178" s="3" t="s">
        <v>14</v>
      </c>
      <c r="B178" s="4">
        <v>101</v>
      </c>
      <c r="C178" s="5">
        <v>61018</v>
      </c>
      <c r="D178" s="3" t="s">
        <v>82</v>
      </c>
      <c r="E178" s="6">
        <v>4</v>
      </c>
      <c r="F178" s="16">
        <v>2.2599999999999998</v>
      </c>
      <c r="G178" s="51">
        <v>0</v>
      </c>
      <c r="H178" s="52">
        <f t="shared" si="8"/>
        <v>0</v>
      </c>
      <c r="I178" s="52">
        <f t="shared" si="9"/>
        <v>0</v>
      </c>
      <c r="J178" s="52">
        <f t="shared" si="10"/>
        <v>0</v>
      </c>
      <c r="K178" s="53">
        <f t="shared" si="11"/>
        <v>0</v>
      </c>
      <c r="L178" s="36"/>
      <c r="M178" s="11">
        <v>312</v>
      </c>
      <c r="N178" s="11">
        <v>271.30434782608694</v>
      </c>
      <c r="O178" s="11">
        <v>163.82999999999998</v>
      </c>
      <c r="P178" s="8">
        <v>127</v>
      </c>
      <c r="Q178" s="11">
        <v>107.47434782608696</v>
      </c>
      <c r="R178" s="11">
        <v>2.4566929133858268</v>
      </c>
      <c r="S178" s="11">
        <v>2.1362547072920233</v>
      </c>
      <c r="T178" s="11">
        <v>1.2899999999999998</v>
      </c>
      <c r="U178" s="14">
        <v>39.613942307692305</v>
      </c>
      <c r="V178" s="36">
        <f>IFERROR(LOOKUP($C178,#REF!,#REF!),0)</f>
        <v>0</v>
      </c>
      <c r="W178" s="36">
        <f>IFERROR(LOOKUP($C178,#REF!,#REF!),0)</f>
        <v>0</v>
      </c>
      <c r="X178" s="36">
        <f>IFERROR(LOOKUP($C178,#REF!,#REF!),0)</f>
        <v>0</v>
      </c>
      <c r="Y178" s="36">
        <f>IFERROR(LOOKUP($C178,#REF!,#REF!),0)</f>
        <v>0</v>
      </c>
    </row>
    <row r="179" spans="1:25" ht="16.5" customHeight="1" x14ac:dyDescent="0.35">
      <c r="A179" s="3" t="s">
        <v>14</v>
      </c>
      <c r="B179" s="4">
        <v>117</v>
      </c>
      <c r="C179" s="5">
        <v>61814</v>
      </c>
      <c r="D179" s="3" t="s">
        <v>254</v>
      </c>
      <c r="E179" s="6">
        <v>10</v>
      </c>
      <c r="F179" s="16">
        <v>3.39</v>
      </c>
      <c r="G179" s="51">
        <v>0</v>
      </c>
      <c r="H179" s="52">
        <f t="shared" si="8"/>
        <v>0</v>
      </c>
      <c r="I179" s="52">
        <f t="shared" si="9"/>
        <v>0</v>
      </c>
      <c r="J179" s="52">
        <f t="shared" si="10"/>
        <v>0</v>
      </c>
      <c r="K179" s="53">
        <f t="shared" si="11"/>
        <v>0</v>
      </c>
      <c r="L179" s="36"/>
      <c r="M179" s="11">
        <v>299.89999999999998</v>
      </c>
      <c r="N179" s="11">
        <v>260.78260869565219</v>
      </c>
      <c r="O179" s="11">
        <v>218.3</v>
      </c>
      <c r="P179" s="8">
        <v>10</v>
      </c>
      <c r="Q179" s="11">
        <v>42.482608695652175</v>
      </c>
      <c r="R179" s="11">
        <v>29.99</v>
      </c>
      <c r="S179" s="11">
        <v>26.07826086956522</v>
      </c>
      <c r="T179" s="11">
        <v>21.830000000000002</v>
      </c>
      <c r="U179" s="14">
        <v>16.290430143381126</v>
      </c>
      <c r="V179" s="36">
        <f>IFERROR(LOOKUP($C179,#REF!,#REF!),0)</f>
        <v>0</v>
      </c>
      <c r="W179" s="36">
        <f>IFERROR(LOOKUP($C179,#REF!,#REF!),0)</f>
        <v>0</v>
      </c>
      <c r="X179" s="36">
        <f>IFERROR(LOOKUP($C179,#REF!,#REF!),0)</f>
        <v>0</v>
      </c>
      <c r="Y179" s="36">
        <f>IFERROR(LOOKUP($C179,#REF!,#REF!),0)</f>
        <v>0</v>
      </c>
    </row>
    <row r="180" spans="1:25" ht="16.5" customHeight="1" x14ac:dyDescent="0.35">
      <c r="A180" s="3" t="s">
        <v>14</v>
      </c>
      <c r="B180" s="4">
        <v>102</v>
      </c>
      <c r="C180" s="5">
        <v>61937</v>
      </c>
      <c r="D180" s="17" t="s">
        <v>122</v>
      </c>
      <c r="E180" s="16">
        <v>10</v>
      </c>
      <c r="F180" s="16">
        <v>2.67</v>
      </c>
      <c r="G180" s="51">
        <v>10</v>
      </c>
      <c r="H180" s="52">
        <f t="shared" si="8"/>
        <v>100</v>
      </c>
      <c r="I180" s="52">
        <f t="shared" si="9"/>
        <v>26.7</v>
      </c>
      <c r="J180" s="52">
        <f t="shared" si="10"/>
        <v>73.3</v>
      </c>
      <c r="K180" s="53">
        <f t="shared" si="11"/>
        <v>73.3</v>
      </c>
      <c r="L180" s="36"/>
      <c r="M180" s="11">
        <v>296.65000000000003</v>
      </c>
      <c r="N180" s="11">
        <v>257.95652173913044</v>
      </c>
      <c r="O180" s="11">
        <v>152.99180000000001</v>
      </c>
      <c r="P180" s="8">
        <v>4.2380000000000004</v>
      </c>
      <c r="Q180" s="11">
        <v>104.96472173913043</v>
      </c>
      <c r="R180" s="11">
        <v>69.997640396413402</v>
      </c>
      <c r="S180" s="11">
        <v>60.867513388185564</v>
      </c>
      <c r="T180" s="11">
        <v>36.1</v>
      </c>
      <c r="U180" s="14">
        <v>40.69085791336591</v>
      </c>
      <c r="V180" s="36">
        <f>IFERROR(LOOKUP($C180,#REF!,#REF!),0)</f>
        <v>0</v>
      </c>
      <c r="W180" s="36">
        <f>IFERROR(LOOKUP($C180,#REF!,#REF!),0)</f>
        <v>0</v>
      </c>
      <c r="X180" s="36">
        <f>IFERROR(LOOKUP($C180,#REF!,#REF!),0)</f>
        <v>0</v>
      </c>
      <c r="Y180" s="36">
        <f>IFERROR(LOOKUP($C180,#REF!,#REF!),0)</f>
        <v>0</v>
      </c>
    </row>
    <row r="181" spans="1:25" ht="16.5" customHeight="1" x14ac:dyDescent="0.35">
      <c r="A181" s="3" t="s">
        <v>14</v>
      </c>
      <c r="B181" s="4">
        <v>102</v>
      </c>
      <c r="C181" s="5">
        <v>61938</v>
      </c>
      <c r="D181" s="3" t="s">
        <v>124</v>
      </c>
      <c r="E181" s="6">
        <v>10</v>
      </c>
      <c r="F181" s="16">
        <v>3.43</v>
      </c>
      <c r="G181" s="51">
        <v>12</v>
      </c>
      <c r="H181" s="52">
        <f t="shared" si="8"/>
        <v>120</v>
      </c>
      <c r="I181" s="52">
        <f t="shared" si="9"/>
        <v>41.160000000000004</v>
      </c>
      <c r="J181" s="52">
        <f t="shared" si="10"/>
        <v>78.84</v>
      </c>
      <c r="K181" s="53">
        <f t="shared" si="11"/>
        <v>65.7</v>
      </c>
      <c r="L181" s="36"/>
      <c r="M181" s="11">
        <v>295.13</v>
      </c>
      <c r="N181" s="11">
        <v>256.63478260869567</v>
      </c>
      <c r="O181" s="11">
        <v>152.80200000000002</v>
      </c>
      <c r="P181" s="8">
        <v>2.6120000000000001</v>
      </c>
      <c r="Q181" s="11">
        <v>103.83278260869565</v>
      </c>
      <c r="R181" s="11">
        <v>112.99004594180704</v>
      </c>
      <c r="S181" s="11">
        <v>98.252213862440911</v>
      </c>
      <c r="T181" s="11">
        <v>58.500000000000007</v>
      </c>
      <c r="U181" s="14">
        <v>40.45935689357232</v>
      </c>
      <c r="V181" s="36">
        <f>IFERROR(LOOKUP($C181,#REF!,#REF!),0)</f>
        <v>0</v>
      </c>
      <c r="W181" s="36">
        <f>IFERROR(LOOKUP($C181,#REF!,#REF!),0)</f>
        <v>0</v>
      </c>
      <c r="X181" s="36">
        <f>IFERROR(LOOKUP($C181,#REF!,#REF!),0)</f>
        <v>0</v>
      </c>
      <c r="Y181" s="36">
        <f>IFERROR(LOOKUP($C181,#REF!,#REF!),0)</f>
        <v>0</v>
      </c>
    </row>
    <row r="182" spans="1:25" ht="16.5" customHeight="1" x14ac:dyDescent="0.35">
      <c r="A182" s="3" t="s">
        <v>14</v>
      </c>
      <c r="B182" s="4">
        <v>102</v>
      </c>
      <c r="C182" s="5">
        <v>61939</v>
      </c>
      <c r="D182" s="3" t="s">
        <v>101</v>
      </c>
      <c r="E182" s="6">
        <v>10</v>
      </c>
      <c r="F182" s="16">
        <v>5.09</v>
      </c>
      <c r="G182" s="51">
        <v>24</v>
      </c>
      <c r="H182" s="52">
        <f t="shared" si="8"/>
        <v>240</v>
      </c>
      <c r="I182" s="52">
        <f t="shared" si="9"/>
        <v>122.16</v>
      </c>
      <c r="J182" s="52">
        <f t="shared" si="10"/>
        <v>117.84</v>
      </c>
      <c r="K182" s="53">
        <f t="shared" si="11"/>
        <v>49.1</v>
      </c>
      <c r="L182" s="36"/>
      <c r="M182" s="11">
        <v>293.51</v>
      </c>
      <c r="N182" s="11">
        <v>255.22608695652173</v>
      </c>
      <c r="O182" s="11">
        <v>151.9</v>
      </c>
      <c r="P182" s="8">
        <v>49</v>
      </c>
      <c r="Q182" s="11">
        <v>103.32608695652172</v>
      </c>
      <c r="R182" s="11">
        <v>5.99</v>
      </c>
      <c r="S182" s="11">
        <v>5.2086956521739127</v>
      </c>
      <c r="T182" s="11">
        <v>3.1</v>
      </c>
      <c r="U182" s="14">
        <v>40.484140233722869</v>
      </c>
      <c r="V182" s="36">
        <f>IFERROR(LOOKUP($C182,#REF!,#REF!),0)</f>
        <v>0</v>
      </c>
      <c r="W182" s="36">
        <f>IFERROR(LOOKUP($C182,#REF!,#REF!),0)</f>
        <v>0</v>
      </c>
      <c r="X182" s="36">
        <f>IFERROR(LOOKUP($C182,#REF!,#REF!),0)</f>
        <v>0</v>
      </c>
      <c r="Y182" s="36">
        <f>IFERROR(LOOKUP($C182,#REF!,#REF!),0)</f>
        <v>0</v>
      </c>
    </row>
    <row r="183" spans="1:25" ht="16.5" customHeight="1" x14ac:dyDescent="0.35">
      <c r="A183" s="3" t="s">
        <v>14</v>
      </c>
      <c r="B183" s="4">
        <v>102</v>
      </c>
      <c r="C183" s="5">
        <v>61940</v>
      </c>
      <c r="D183" s="3" t="s">
        <v>117</v>
      </c>
      <c r="E183" s="6">
        <v>10</v>
      </c>
      <c r="F183" s="16">
        <v>3.28</v>
      </c>
      <c r="G183" s="51">
        <v>0</v>
      </c>
      <c r="H183" s="52">
        <f t="shared" si="8"/>
        <v>0</v>
      </c>
      <c r="I183" s="52">
        <f t="shared" si="9"/>
        <v>0</v>
      </c>
      <c r="J183" s="52">
        <f t="shared" si="10"/>
        <v>0</v>
      </c>
      <c r="K183" s="53">
        <f t="shared" si="11"/>
        <v>0</v>
      </c>
      <c r="L183" s="36"/>
      <c r="M183" s="11">
        <v>287.76</v>
      </c>
      <c r="N183" s="11">
        <v>250.22608695652173</v>
      </c>
      <c r="O183" s="11">
        <v>165</v>
      </c>
      <c r="P183" s="8">
        <v>33</v>
      </c>
      <c r="Q183" s="11">
        <v>85.226086956521726</v>
      </c>
      <c r="R183" s="11">
        <v>8.7199999999999989</v>
      </c>
      <c r="S183" s="11">
        <v>7.5826086956521737</v>
      </c>
      <c r="T183" s="11">
        <v>5</v>
      </c>
      <c r="U183" s="14">
        <v>34.059633027522935</v>
      </c>
      <c r="V183" s="36">
        <f>IFERROR(LOOKUP($C183,#REF!,#REF!),0)</f>
        <v>0</v>
      </c>
      <c r="W183" s="36">
        <f>IFERROR(LOOKUP($C183,#REF!,#REF!),0)</f>
        <v>0</v>
      </c>
      <c r="X183" s="36">
        <f>IFERROR(LOOKUP($C183,#REF!,#REF!),0)</f>
        <v>0</v>
      </c>
      <c r="Y183" s="36">
        <f>IFERROR(LOOKUP($C183,#REF!,#REF!),0)</f>
        <v>0</v>
      </c>
    </row>
    <row r="184" spans="1:25" ht="16.5" customHeight="1" x14ac:dyDescent="0.35">
      <c r="A184" s="3" t="s">
        <v>14</v>
      </c>
      <c r="B184" s="4">
        <v>102</v>
      </c>
      <c r="C184" s="5">
        <v>61941</v>
      </c>
      <c r="D184" s="3" t="s">
        <v>143</v>
      </c>
      <c r="E184" s="6">
        <v>10</v>
      </c>
      <c r="F184" s="16">
        <v>3.4432999999999998</v>
      </c>
      <c r="G184" s="51">
        <v>0</v>
      </c>
      <c r="H184" s="52">
        <f t="shared" si="8"/>
        <v>0</v>
      </c>
      <c r="I184" s="52">
        <f t="shared" si="9"/>
        <v>0</v>
      </c>
      <c r="J184" s="52">
        <f t="shared" si="10"/>
        <v>0</v>
      </c>
      <c r="K184" s="53">
        <f t="shared" si="11"/>
        <v>0</v>
      </c>
      <c r="L184" s="36"/>
      <c r="M184" s="11">
        <v>285.78000000000003</v>
      </c>
      <c r="N184" s="11">
        <v>248.50434782608696</v>
      </c>
      <c r="O184" s="11">
        <v>151.35999999999999</v>
      </c>
      <c r="P184" s="8">
        <v>22</v>
      </c>
      <c r="Q184" s="11">
        <v>97.144347826086971</v>
      </c>
      <c r="R184" s="11">
        <v>12.990000000000002</v>
      </c>
      <c r="S184" s="11">
        <v>11.295652173913043</v>
      </c>
      <c r="T184" s="11">
        <v>6.879999999999999</v>
      </c>
      <c r="U184" s="14">
        <v>39.091608929946119</v>
      </c>
      <c r="V184" s="36">
        <f>IFERROR(LOOKUP($C184,#REF!,#REF!),0)</f>
        <v>0</v>
      </c>
      <c r="W184" s="36">
        <f>IFERROR(LOOKUP($C184,#REF!,#REF!),0)</f>
        <v>0</v>
      </c>
      <c r="X184" s="36">
        <f>IFERROR(LOOKUP($C184,#REF!,#REF!),0)</f>
        <v>0</v>
      </c>
      <c r="Y184" s="36">
        <f>IFERROR(LOOKUP($C184,#REF!,#REF!),0)</f>
        <v>0</v>
      </c>
    </row>
    <row r="185" spans="1:25" ht="16.5" customHeight="1" x14ac:dyDescent="0.35">
      <c r="A185" s="3" t="s">
        <v>14</v>
      </c>
      <c r="B185" s="4">
        <v>102</v>
      </c>
      <c r="C185" s="5">
        <v>61942</v>
      </c>
      <c r="D185" s="3" t="s">
        <v>123</v>
      </c>
      <c r="E185" s="6">
        <v>10</v>
      </c>
      <c r="F185" s="16">
        <v>3.73</v>
      </c>
      <c r="G185" s="51">
        <v>0</v>
      </c>
      <c r="H185" s="52">
        <f t="shared" si="8"/>
        <v>0</v>
      </c>
      <c r="I185" s="52">
        <f t="shared" si="9"/>
        <v>0</v>
      </c>
      <c r="J185" s="52">
        <f t="shared" si="10"/>
        <v>0</v>
      </c>
      <c r="K185" s="53">
        <f t="shared" si="11"/>
        <v>0</v>
      </c>
      <c r="L185" s="36"/>
      <c r="M185" s="11">
        <v>285</v>
      </c>
      <c r="N185" s="11">
        <v>247.82608695652172</v>
      </c>
      <c r="O185" s="11">
        <v>156.91999999999999</v>
      </c>
      <c r="P185" s="8">
        <v>12</v>
      </c>
      <c r="Q185" s="11">
        <v>90.906086956521733</v>
      </c>
      <c r="R185" s="11">
        <v>23.75</v>
      </c>
      <c r="S185" s="11">
        <v>20.652173913043477</v>
      </c>
      <c r="T185" s="11">
        <v>13.076666666666666</v>
      </c>
      <c r="U185" s="14">
        <v>36.681403508771929</v>
      </c>
      <c r="V185" s="36">
        <f>IFERROR(LOOKUP($C185,#REF!,#REF!),0)</f>
        <v>0</v>
      </c>
      <c r="W185" s="36">
        <f>IFERROR(LOOKUP($C185,#REF!,#REF!),0)</f>
        <v>0</v>
      </c>
      <c r="X185" s="36">
        <f>IFERROR(LOOKUP($C185,#REF!,#REF!),0)</f>
        <v>0</v>
      </c>
      <c r="Y185" s="36">
        <f>IFERROR(LOOKUP($C185,#REF!,#REF!),0)</f>
        <v>0</v>
      </c>
    </row>
    <row r="186" spans="1:25" ht="16.5" customHeight="1" x14ac:dyDescent="0.35">
      <c r="A186" s="3" t="s">
        <v>14</v>
      </c>
      <c r="B186" s="4">
        <v>102</v>
      </c>
      <c r="C186" s="5">
        <v>61943</v>
      </c>
      <c r="D186" s="3" t="s">
        <v>154</v>
      </c>
      <c r="E186" s="6">
        <v>10</v>
      </c>
      <c r="F186" s="16">
        <v>3.71</v>
      </c>
      <c r="G186" s="51">
        <v>0</v>
      </c>
      <c r="H186" s="52">
        <f t="shared" si="8"/>
        <v>0</v>
      </c>
      <c r="I186" s="52">
        <f t="shared" si="9"/>
        <v>0</v>
      </c>
      <c r="J186" s="52">
        <f t="shared" si="10"/>
        <v>0</v>
      </c>
      <c r="K186" s="53">
        <f t="shared" si="11"/>
        <v>0</v>
      </c>
      <c r="L186" s="36"/>
      <c r="M186" s="11">
        <v>279.95999999999998</v>
      </c>
      <c r="N186" s="11">
        <v>243.44347826086954</v>
      </c>
      <c r="O186" s="11">
        <v>149.52000000000001</v>
      </c>
      <c r="P186" s="8">
        <v>4</v>
      </c>
      <c r="Q186" s="11">
        <v>93.923478260869558</v>
      </c>
      <c r="R186" s="11">
        <v>69.989999999999995</v>
      </c>
      <c r="S186" s="11">
        <v>60.860869565217385</v>
      </c>
      <c r="T186" s="11">
        <v>37.380000000000003</v>
      </c>
      <c r="U186" s="14">
        <v>38.581225889412771</v>
      </c>
      <c r="V186" s="36">
        <f>IFERROR(LOOKUP($C186,#REF!,#REF!),0)</f>
        <v>0</v>
      </c>
      <c r="W186" s="36">
        <f>IFERROR(LOOKUP($C186,#REF!,#REF!),0)</f>
        <v>0</v>
      </c>
      <c r="X186" s="36">
        <f>IFERROR(LOOKUP($C186,#REF!,#REF!),0)</f>
        <v>0</v>
      </c>
      <c r="Y186" s="36">
        <f>IFERROR(LOOKUP($C186,#REF!,#REF!),0)</f>
        <v>0</v>
      </c>
    </row>
    <row r="187" spans="1:25" ht="16.5" customHeight="1" x14ac:dyDescent="0.35">
      <c r="A187" s="3" t="s">
        <v>14</v>
      </c>
      <c r="B187" s="4">
        <v>101</v>
      </c>
      <c r="C187" s="5">
        <v>61947</v>
      </c>
      <c r="D187" s="3" t="s">
        <v>42</v>
      </c>
      <c r="E187" s="6">
        <v>28.99</v>
      </c>
      <c r="F187" s="16">
        <v>8.93</v>
      </c>
      <c r="G187" s="51">
        <v>8</v>
      </c>
      <c r="H187" s="52">
        <f t="shared" si="8"/>
        <v>231.92</v>
      </c>
      <c r="I187" s="52">
        <f t="shared" si="9"/>
        <v>71.44</v>
      </c>
      <c r="J187" s="52">
        <f t="shared" si="10"/>
        <v>160.47999999999999</v>
      </c>
      <c r="K187" s="53">
        <f t="shared" si="11"/>
        <v>69.196274577440491</v>
      </c>
      <c r="L187" s="36"/>
      <c r="M187" s="11">
        <v>271.03000000000003</v>
      </c>
      <c r="N187" s="11">
        <v>235.67826086956524</v>
      </c>
      <c r="O187" s="11">
        <v>141.27000000000001</v>
      </c>
      <c r="P187" s="8">
        <v>17</v>
      </c>
      <c r="Q187" s="11">
        <v>94.408260869565225</v>
      </c>
      <c r="R187" s="11">
        <v>15.94294117647059</v>
      </c>
      <c r="S187" s="11">
        <v>13.863427109974426</v>
      </c>
      <c r="T187" s="11">
        <v>8.31</v>
      </c>
      <c r="U187" s="14">
        <v>40.058111648157031</v>
      </c>
      <c r="V187" s="36">
        <f>IFERROR(LOOKUP($C187,#REF!,#REF!),0)</f>
        <v>0</v>
      </c>
      <c r="W187" s="36">
        <f>IFERROR(LOOKUP($C187,#REF!,#REF!),0)</f>
        <v>0</v>
      </c>
      <c r="X187" s="36">
        <f>IFERROR(LOOKUP($C187,#REF!,#REF!),0)</f>
        <v>0</v>
      </c>
      <c r="Y187" s="36">
        <f>IFERROR(LOOKUP($C187,#REF!,#REF!),0)</f>
        <v>0</v>
      </c>
    </row>
    <row r="188" spans="1:25" ht="16.5" customHeight="1" x14ac:dyDescent="0.35">
      <c r="A188" s="3" t="s">
        <v>14</v>
      </c>
      <c r="B188" s="4">
        <v>101</v>
      </c>
      <c r="C188" s="5">
        <v>61949</v>
      </c>
      <c r="D188" s="3" t="s">
        <v>84</v>
      </c>
      <c r="E188" s="6">
        <v>10</v>
      </c>
      <c r="F188" s="16">
        <v>6.28</v>
      </c>
      <c r="G188" s="51">
        <v>0</v>
      </c>
      <c r="H188" s="52">
        <f t="shared" si="8"/>
        <v>0</v>
      </c>
      <c r="I188" s="52">
        <f t="shared" si="9"/>
        <v>0</v>
      </c>
      <c r="J188" s="52">
        <f t="shared" si="10"/>
        <v>0</v>
      </c>
      <c r="K188" s="53">
        <f t="shared" si="11"/>
        <v>0</v>
      </c>
      <c r="L188" s="36"/>
      <c r="M188" s="11">
        <v>270</v>
      </c>
      <c r="N188" s="11">
        <v>234.78260869565219</v>
      </c>
      <c r="O188" s="11">
        <v>239.76</v>
      </c>
      <c r="P188" s="8">
        <v>9</v>
      </c>
      <c r="Q188" s="11">
        <v>-4.9773913043478046</v>
      </c>
      <c r="R188" s="11">
        <v>30</v>
      </c>
      <c r="S188" s="11">
        <v>26.086956521739133</v>
      </c>
      <c r="T188" s="11">
        <v>26.64</v>
      </c>
      <c r="U188" s="14">
        <v>-2.1199999999999908</v>
      </c>
      <c r="V188" s="36">
        <f>IFERROR(LOOKUP($C188,#REF!,#REF!),0)</f>
        <v>0</v>
      </c>
      <c r="W188" s="36">
        <f>IFERROR(LOOKUP($C188,#REF!,#REF!),0)</f>
        <v>0</v>
      </c>
      <c r="X188" s="36">
        <f>IFERROR(LOOKUP($C188,#REF!,#REF!),0)</f>
        <v>0</v>
      </c>
      <c r="Y188" s="36">
        <f>IFERROR(LOOKUP($C188,#REF!,#REF!),0)</f>
        <v>0</v>
      </c>
    </row>
    <row r="189" spans="1:25" ht="16.5" customHeight="1" x14ac:dyDescent="0.35">
      <c r="A189" s="3" t="s">
        <v>14</v>
      </c>
      <c r="B189" s="4">
        <v>101</v>
      </c>
      <c r="C189" s="5">
        <v>61950</v>
      </c>
      <c r="D189" s="3" t="s">
        <v>72</v>
      </c>
      <c r="E189" s="6">
        <v>10</v>
      </c>
      <c r="F189" s="16">
        <v>6.19</v>
      </c>
      <c r="G189" s="51">
        <v>0</v>
      </c>
      <c r="H189" s="52">
        <f t="shared" si="8"/>
        <v>0</v>
      </c>
      <c r="I189" s="52">
        <f t="shared" si="9"/>
        <v>0</v>
      </c>
      <c r="J189" s="52">
        <f t="shared" si="10"/>
        <v>0</v>
      </c>
      <c r="K189" s="53">
        <f t="shared" si="11"/>
        <v>0</v>
      </c>
      <c r="L189" s="36"/>
      <c r="M189" s="11">
        <v>269.90999999999997</v>
      </c>
      <c r="N189" s="11">
        <v>234.70434782608692</v>
      </c>
      <c r="O189" s="11">
        <v>260.55</v>
      </c>
      <c r="P189" s="8">
        <v>9</v>
      </c>
      <c r="Q189" s="11">
        <v>-25.845652173913066</v>
      </c>
      <c r="R189" s="11">
        <v>29.989999999999995</v>
      </c>
      <c r="S189" s="11">
        <v>26.078260869565213</v>
      </c>
      <c r="T189" s="11">
        <v>28.950000000000003</v>
      </c>
      <c r="U189" s="14">
        <v>-11.012004001333789</v>
      </c>
      <c r="V189" s="36">
        <f>IFERROR(LOOKUP($C189,#REF!,#REF!),0)</f>
        <v>0</v>
      </c>
      <c r="W189" s="36">
        <f>IFERROR(LOOKUP($C189,#REF!,#REF!),0)</f>
        <v>0</v>
      </c>
      <c r="X189" s="36">
        <f>IFERROR(LOOKUP($C189,#REF!,#REF!),0)</f>
        <v>0</v>
      </c>
      <c r="Y189" s="36">
        <f>IFERROR(LOOKUP($C189,#REF!,#REF!),0)</f>
        <v>0</v>
      </c>
    </row>
    <row r="190" spans="1:25" ht="16.5" customHeight="1" x14ac:dyDescent="0.35">
      <c r="A190" s="3" t="s">
        <v>14</v>
      </c>
      <c r="B190" s="4">
        <v>112</v>
      </c>
      <c r="C190" s="5">
        <v>61978</v>
      </c>
      <c r="D190" s="3" t="s">
        <v>251</v>
      </c>
      <c r="E190" s="6">
        <v>199.99</v>
      </c>
      <c r="F190" s="16">
        <v>126.16</v>
      </c>
      <c r="G190" s="51">
        <v>0</v>
      </c>
      <c r="H190" s="52">
        <f t="shared" si="8"/>
        <v>0</v>
      </c>
      <c r="I190" s="52">
        <f t="shared" si="9"/>
        <v>0</v>
      </c>
      <c r="J190" s="52">
        <f t="shared" si="10"/>
        <v>0</v>
      </c>
      <c r="K190" s="53">
        <f t="shared" si="11"/>
        <v>0</v>
      </c>
      <c r="L190" s="36"/>
      <c r="M190" s="11">
        <v>259.89999999999998</v>
      </c>
      <c r="N190" s="11">
        <v>225.99999999999997</v>
      </c>
      <c r="O190" s="11">
        <v>131.9</v>
      </c>
      <c r="P190" s="8">
        <v>10</v>
      </c>
      <c r="Q190" s="11">
        <v>94.099999999999966</v>
      </c>
      <c r="R190" s="11">
        <v>25.99</v>
      </c>
      <c r="S190" s="11">
        <v>22.599999999999998</v>
      </c>
      <c r="T190" s="11">
        <v>13.190000000000001</v>
      </c>
      <c r="U190" s="14">
        <v>41.637168141592909</v>
      </c>
      <c r="V190" s="36">
        <f>IFERROR(LOOKUP($C190,#REF!,#REF!),0)</f>
        <v>0</v>
      </c>
      <c r="W190" s="36">
        <f>IFERROR(LOOKUP($C190,#REF!,#REF!),0)</f>
        <v>0</v>
      </c>
      <c r="X190" s="36">
        <f>IFERROR(LOOKUP($C190,#REF!,#REF!),0)</f>
        <v>0</v>
      </c>
      <c r="Y190" s="36">
        <f>IFERROR(LOOKUP($C190,#REF!,#REF!),0)</f>
        <v>0</v>
      </c>
    </row>
    <row r="191" spans="1:25" ht="16.5" customHeight="1" x14ac:dyDescent="0.35">
      <c r="A191" s="3" t="s">
        <v>14</v>
      </c>
      <c r="B191" s="4">
        <v>102</v>
      </c>
      <c r="C191" s="5">
        <v>62290</v>
      </c>
      <c r="D191" s="3" t="s">
        <v>151</v>
      </c>
      <c r="E191" s="6">
        <v>10</v>
      </c>
      <c r="F191" s="16">
        <v>3.77</v>
      </c>
      <c r="G191" s="51">
        <v>0</v>
      </c>
      <c r="H191" s="52">
        <f t="shared" si="8"/>
        <v>0</v>
      </c>
      <c r="I191" s="52">
        <f t="shared" si="9"/>
        <v>0</v>
      </c>
      <c r="J191" s="52">
        <f t="shared" si="10"/>
        <v>0</v>
      </c>
      <c r="K191" s="53">
        <f t="shared" si="11"/>
        <v>0</v>
      </c>
      <c r="L191" s="36"/>
      <c r="M191" s="11">
        <v>244.5</v>
      </c>
      <c r="N191" s="11">
        <v>212.60869565217391</v>
      </c>
      <c r="O191" s="11">
        <v>96.17</v>
      </c>
      <c r="P191" s="8">
        <v>163</v>
      </c>
      <c r="Q191" s="11">
        <v>116.43869565217391</v>
      </c>
      <c r="R191" s="11">
        <v>1.5</v>
      </c>
      <c r="S191" s="11">
        <v>1.3043478260869565</v>
      </c>
      <c r="T191" s="11">
        <v>0.59</v>
      </c>
      <c r="U191" s="14">
        <v>54.766666666666666</v>
      </c>
      <c r="V191" s="36">
        <f>IFERROR(LOOKUP($C191,#REF!,#REF!),0)</f>
        <v>0</v>
      </c>
      <c r="W191" s="36">
        <f>IFERROR(LOOKUP($C191,#REF!,#REF!),0)</f>
        <v>0</v>
      </c>
      <c r="X191" s="36">
        <f>IFERROR(LOOKUP($C191,#REF!,#REF!),0)</f>
        <v>0</v>
      </c>
      <c r="Y191" s="36">
        <f>IFERROR(LOOKUP($C191,#REF!,#REF!),0)</f>
        <v>0</v>
      </c>
    </row>
    <row r="192" spans="1:25" ht="16.5" customHeight="1" x14ac:dyDescent="0.35">
      <c r="A192" s="3" t="s">
        <v>14</v>
      </c>
      <c r="B192" s="4">
        <v>101</v>
      </c>
      <c r="C192" s="5">
        <v>62390</v>
      </c>
      <c r="D192" s="3" t="s">
        <v>67</v>
      </c>
      <c r="E192" s="6">
        <v>19.989999999999998</v>
      </c>
      <c r="F192" s="16">
        <v>7.43</v>
      </c>
      <c r="G192" s="51">
        <v>0</v>
      </c>
      <c r="H192" s="52">
        <f t="shared" si="8"/>
        <v>0</v>
      </c>
      <c r="I192" s="52">
        <f t="shared" si="9"/>
        <v>0</v>
      </c>
      <c r="J192" s="52">
        <f t="shared" si="10"/>
        <v>0</v>
      </c>
      <c r="K192" s="53">
        <f t="shared" si="11"/>
        <v>0</v>
      </c>
      <c r="L192" s="36"/>
      <c r="M192" s="11">
        <v>215.64000000000001</v>
      </c>
      <c r="N192" s="11">
        <v>187.5130434782609</v>
      </c>
      <c r="O192" s="11">
        <v>91.08</v>
      </c>
      <c r="P192" s="8">
        <v>36</v>
      </c>
      <c r="Q192" s="11">
        <v>96.433043478260871</v>
      </c>
      <c r="R192" s="11">
        <v>5.99</v>
      </c>
      <c r="S192" s="11">
        <v>5.2086956521739136</v>
      </c>
      <c r="T192" s="11">
        <v>2.5299999999999998</v>
      </c>
      <c r="U192" s="14">
        <v>51.427378964941575</v>
      </c>
      <c r="V192" s="36">
        <f>IFERROR(LOOKUP($C192,#REF!,#REF!),0)</f>
        <v>0</v>
      </c>
      <c r="W192" s="36">
        <f>IFERROR(LOOKUP($C192,#REF!,#REF!),0)</f>
        <v>0</v>
      </c>
      <c r="X192" s="36">
        <f>IFERROR(LOOKUP($C192,#REF!,#REF!),0)</f>
        <v>0</v>
      </c>
      <c r="Y192" s="36">
        <f>IFERROR(LOOKUP($C192,#REF!,#REF!),0)</f>
        <v>0</v>
      </c>
    </row>
    <row r="193" spans="1:25" ht="16.5" customHeight="1" x14ac:dyDescent="0.35">
      <c r="A193" s="3" t="s">
        <v>14</v>
      </c>
      <c r="B193" s="4">
        <v>119</v>
      </c>
      <c r="C193" s="5">
        <v>62457</v>
      </c>
      <c r="D193" s="3" t="s">
        <v>270</v>
      </c>
      <c r="E193" s="6">
        <v>100</v>
      </c>
      <c r="F193" s="16">
        <v>53.89</v>
      </c>
      <c r="G193" s="51">
        <v>0</v>
      </c>
      <c r="H193" s="52">
        <f t="shared" si="8"/>
        <v>0</v>
      </c>
      <c r="I193" s="52">
        <f t="shared" si="9"/>
        <v>0</v>
      </c>
      <c r="J193" s="52">
        <f t="shared" si="10"/>
        <v>0</v>
      </c>
      <c r="K193" s="53">
        <f t="shared" si="11"/>
        <v>0</v>
      </c>
      <c r="L193" s="36"/>
      <c r="M193" s="11">
        <v>201.39999999999998</v>
      </c>
      <c r="N193" s="11">
        <v>175.13043478260869</v>
      </c>
      <c r="O193" s="11">
        <v>110.10538000000001</v>
      </c>
      <c r="P193" s="8">
        <v>2.0139999999999998</v>
      </c>
      <c r="Q193" s="11">
        <v>65.025054782608677</v>
      </c>
      <c r="R193" s="11">
        <v>99.999999999999972</v>
      </c>
      <c r="S193" s="11">
        <v>86.956521739130423</v>
      </c>
      <c r="T193" s="11">
        <v>54.67</v>
      </c>
      <c r="U193" s="14">
        <v>37.129499999999993</v>
      </c>
      <c r="V193" s="36">
        <f>IFERROR(LOOKUP($C193,#REF!,#REF!),0)</f>
        <v>0</v>
      </c>
      <c r="W193" s="36">
        <f>IFERROR(LOOKUP($C193,#REF!,#REF!),0)</f>
        <v>0</v>
      </c>
      <c r="X193" s="36">
        <f>IFERROR(LOOKUP($C193,#REF!,#REF!),0)</f>
        <v>0</v>
      </c>
      <c r="Y193" s="36">
        <f>IFERROR(LOOKUP($C193,#REF!,#REF!),0)</f>
        <v>0</v>
      </c>
    </row>
    <row r="194" spans="1:25" ht="16.5" customHeight="1" x14ac:dyDescent="0.35">
      <c r="A194" s="3" t="s">
        <v>14</v>
      </c>
      <c r="B194" s="4">
        <v>102</v>
      </c>
      <c r="C194" s="5">
        <v>62499</v>
      </c>
      <c r="D194" s="3" t="s">
        <v>142</v>
      </c>
      <c r="E194" s="6">
        <v>12.99</v>
      </c>
      <c r="F194" s="16">
        <v>6.69</v>
      </c>
      <c r="G194" s="51">
        <v>0</v>
      </c>
      <c r="H194" s="52">
        <f t="shared" si="8"/>
        <v>0</v>
      </c>
      <c r="I194" s="52">
        <f t="shared" si="9"/>
        <v>0</v>
      </c>
      <c r="J194" s="52">
        <f t="shared" si="10"/>
        <v>0</v>
      </c>
      <c r="K194" s="53">
        <f t="shared" si="11"/>
        <v>0</v>
      </c>
      <c r="L194" s="36"/>
      <c r="M194" s="11">
        <v>199.95000000000002</v>
      </c>
      <c r="N194" s="11">
        <v>173.86956521739131</v>
      </c>
      <c r="O194" s="11">
        <v>80.5</v>
      </c>
      <c r="P194" s="8">
        <v>5</v>
      </c>
      <c r="Q194" s="11">
        <v>93.369565217391312</v>
      </c>
      <c r="R194" s="11">
        <v>39.99</v>
      </c>
      <c r="S194" s="11">
        <v>34.77391304347826</v>
      </c>
      <c r="T194" s="11">
        <v>16.100000000000001</v>
      </c>
      <c r="U194" s="14">
        <v>53.700925231307828</v>
      </c>
      <c r="V194" s="36">
        <f>IFERROR(LOOKUP($C194,#REF!,#REF!),0)</f>
        <v>0</v>
      </c>
      <c r="W194" s="36">
        <f>IFERROR(LOOKUP($C194,#REF!,#REF!),0)</f>
        <v>0</v>
      </c>
      <c r="X194" s="36">
        <f>IFERROR(LOOKUP($C194,#REF!,#REF!),0)</f>
        <v>0</v>
      </c>
      <c r="Y194" s="36">
        <f>IFERROR(LOOKUP($C194,#REF!,#REF!),0)</f>
        <v>0</v>
      </c>
    </row>
    <row r="195" spans="1:25" ht="16.5" customHeight="1" x14ac:dyDescent="0.35">
      <c r="A195" s="3" t="s">
        <v>14</v>
      </c>
      <c r="B195" s="4">
        <v>120</v>
      </c>
      <c r="C195" s="5">
        <v>62585</v>
      </c>
      <c r="D195" s="3" t="s">
        <v>281</v>
      </c>
      <c r="E195" s="6">
        <v>60</v>
      </c>
      <c r="F195" s="16">
        <v>26.17</v>
      </c>
      <c r="G195" s="51">
        <v>0</v>
      </c>
      <c r="H195" s="52">
        <f t="shared" si="8"/>
        <v>0</v>
      </c>
      <c r="I195" s="52">
        <f t="shared" si="9"/>
        <v>0</v>
      </c>
      <c r="J195" s="52">
        <f t="shared" si="10"/>
        <v>0</v>
      </c>
      <c r="K195" s="53">
        <f t="shared" si="11"/>
        <v>0</v>
      </c>
      <c r="L195" s="36"/>
      <c r="M195" s="11">
        <v>199.9</v>
      </c>
      <c r="N195" s="11">
        <v>173.82608695652175</v>
      </c>
      <c r="O195" s="11">
        <v>153.9</v>
      </c>
      <c r="P195" s="8">
        <v>10</v>
      </c>
      <c r="Q195" s="11">
        <v>19.926086956521743</v>
      </c>
      <c r="R195" s="11">
        <v>19.990000000000002</v>
      </c>
      <c r="S195" s="11">
        <v>17.382608695652173</v>
      </c>
      <c r="T195" s="11">
        <v>15.39</v>
      </c>
      <c r="U195" s="14">
        <v>11.463231615807906</v>
      </c>
      <c r="V195" s="36">
        <f>IFERROR(LOOKUP($C195,#REF!,#REF!),0)</f>
        <v>0</v>
      </c>
      <c r="W195" s="36">
        <f>IFERROR(LOOKUP($C195,#REF!,#REF!),0)</f>
        <v>0</v>
      </c>
      <c r="X195" s="36">
        <f>IFERROR(LOOKUP($C195,#REF!,#REF!),0)</f>
        <v>0</v>
      </c>
      <c r="Y195" s="36">
        <f>IFERROR(LOOKUP($C195,#REF!,#REF!),0)</f>
        <v>0</v>
      </c>
    </row>
    <row r="196" spans="1:25" ht="16.5" customHeight="1" x14ac:dyDescent="0.35">
      <c r="A196" s="3" t="s">
        <v>14</v>
      </c>
      <c r="B196" s="4">
        <v>109</v>
      </c>
      <c r="C196" s="5">
        <v>62614</v>
      </c>
      <c r="D196" s="3" t="s">
        <v>249</v>
      </c>
      <c r="E196" s="6">
        <v>7.99</v>
      </c>
      <c r="F196" s="16">
        <v>5.54</v>
      </c>
      <c r="G196" s="51">
        <v>0</v>
      </c>
      <c r="H196" s="52">
        <f t="shared" ref="H196:H259" si="12">E196*G196</f>
        <v>0</v>
      </c>
      <c r="I196" s="52">
        <f t="shared" ref="I196:I259" si="13">F196*G196</f>
        <v>0</v>
      </c>
      <c r="J196" s="52">
        <f t="shared" ref="J196:J259" si="14">H196-I196</f>
        <v>0</v>
      </c>
      <c r="K196" s="53">
        <f t="shared" si="11"/>
        <v>0</v>
      </c>
      <c r="L196" s="36"/>
      <c r="M196" s="11">
        <v>197.67</v>
      </c>
      <c r="N196" s="11">
        <v>171.88695652173914</v>
      </c>
      <c r="O196" s="11">
        <v>102.30000000000001</v>
      </c>
      <c r="P196" s="8">
        <v>33</v>
      </c>
      <c r="Q196" s="11">
        <v>69.586956521739097</v>
      </c>
      <c r="R196" s="11">
        <v>5.9899999999999993</v>
      </c>
      <c r="S196" s="11">
        <v>5.2086956521739136</v>
      </c>
      <c r="T196" s="11">
        <v>3.1000000000000005</v>
      </c>
      <c r="U196" s="14">
        <v>40.484140233722862</v>
      </c>
      <c r="V196" s="36">
        <f>IFERROR(LOOKUP($C196,#REF!,#REF!),0)</f>
        <v>0</v>
      </c>
      <c r="W196" s="36">
        <f>IFERROR(LOOKUP($C196,#REF!,#REF!),0)</f>
        <v>0</v>
      </c>
      <c r="X196" s="36">
        <f>IFERROR(LOOKUP($C196,#REF!,#REF!),0)</f>
        <v>0</v>
      </c>
      <c r="Y196" s="36">
        <f>IFERROR(LOOKUP($C196,#REF!,#REF!),0)</f>
        <v>0</v>
      </c>
    </row>
    <row r="197" spans="1:25" ht="16.5" customHeight="1" x14ac:dyDescent="0.35">
      <c r="A197" s="3" t="s">
        <v>14</v>
      </c>
      <c r="B197" s="4">
        <v>119</v>
      </c>
      <c r="C197" s="5">
        <v>62620</v>
      </c>
      <c r="D197" s="3" t="s">
        <v>268</v>
      </c>
      <c r="E197" s="6">
        <v>65.989999999999995</v>
      </c>
      <c r="F197" s="16">
        <v>46.29</v>
      </c>
      <c r="G197" s="51">
        <v>0</v>
      </c>
      <c r="H197" s="52">
        <f t="shared" si="12"/>
        <v>0</v>
      </c>
      <c r="I197" s="52">
        <f t="shared" si="13"/>
        <v>0</v>
      </c>
      <c r="J197" s="52">
        <f t="shared" si="14"/>
        <v>0</v>
      </c>
      <c r="K197" s="53">
        <f t="shared" ref="K197:K260" si="15">IFERROR(J197/H197*100,0)</f>
        <v>0</v>
      </c>
      <c r="L197" s="36"/>
      <c r="M197" s="11">
        <v>186.92000000000002</v>
      </c>
      <c r="N197" s="11">
        <v>162.53913043478263</v>
      </c>
      <c r="O197" s="11">
        <v>101.17701</v>
      </c>
      <c r="P197" s="8">
        <v>14</v>
      </c>
      <c r="Q197" s="11">
        <v>61.362120434782639</v>
      </c>
      <c r="R197" s="11">
        <v>13.351428571428572</v>
      </c>
      <c r="S197" s="11">
        <v>11.609937888198759</v>
      </c>
      <c r="T197" s="11">
        <v>7.2269292857142853</v>
      </c>
      <c r="U197" s="14">
        <v>37.75221404879094</v>
      </c>
      <c r="V197" s="36">
        <f>IFERROR(LOOKUP($C197,#REF!,#REF!),0)</f>
        <v>0</v>
      </c>
      <c r="W197" s="36">
        <f>IFERROR(LOOKUP($C197,#REF!,#REF!),0)</f>
        <v>0</v>
      </c>
      <c r="X197" s="36">
        <f>IFERROR(LOOKUP($C197,#REF!,#REF!),0)</f>
        <v>0</v>
      </c>
      <c r="Y197" s="36">
        <f>IFERROR(LOOKUP($C197,#REF!,#REF!),0)</f>
        <v>0</v>
      </c>
    </row>
    <row r="198" spans="1:25" ht="16.5" customHeight="1" x14ac:dyDescent="0.35">
      <c r="A198" s="3" t="s">
        <v>14</v>
      </c>
      <c r="B198" s="4">
        <v>101</v>
      </c>
      <c r="C198" s="5">
        <v>62621</v>
      </c>
      <c r="D198" s="3" t="s">
        <v>79</v>
      </c>
      <c r="E198" s="6">
        <v>26.99</v>
      </c>
      <c r="F198" s="16">
        <v>14.15</v>
      </c>
      <c r="G198" s="51">
        <v>0</v>
      </c>
      <c r="H198" s="52">
        <f t="shared" si="12"/>
        <v>0</v>
      </c>
      <c r="I198" s="52">
        <f t="shared" si="13"/>
        <v>0</v>
      </c>
      <c r="J198" s="52">
        <f t="shared" si="14"/>
        <v>0</v>
      </c>
      <c r="K198" s="53">
        <f t="shared" si="15"/>
        <v>0</v>
      </c>
      <c r="L198" s="36"/>
      <c r="M198" s="11">
        <v>163.19999999999999</v>
      </c>
      <c r="N198" s="11">
        <v>141.91304347826087</v>
      </c>
      <c r="O198" s="11">
        <v>82.62</v>
      </c>
      <c r="P198" s="8">
        <v>51</v>
      </c>
      <c r="Q198" s="11">
        <v>59.293043478260842</v>
      </c>
      <c r="R198" s="11">
        <v>3.1999999999999997</v>
      </c>
      <c r="S198" s="11">
        <v>2.7826086956521738</v>
      </c>
      <c r="T198" s="11">
        <v>1.62</v>
      </c>
      <c r="U198" s="14">
        <v>41.781249999999986</v>
      </c>
      <c r="V198" s="36">
        <f>IFERROR(LOOKUP($C198,#REF!,#REF!),0)</f>
        <v>0</v>
      </c>
      <c r="W198" s="36">
        <f>IFERROR(LOOKUP($C198,#REF!,#REF!),0)</f>
        <v>0</v>
      </c>
      <c r="X198" s="36">
        <f>IFERROR(LOOKUP($C198,#REF!,#REF!),0)</f>
        <v>0</v>
      </c>
      <c r="Y198" s="36">
        <f>IFERROR(LOOKUP($C198,#REF!,#REF!),0)</f>
        <v>0</v>
      </c>
    </row>
    <row r="199" spans="1:25" ht="16.5" customHeight="1" x14ac:dyDescent="0.35">
      <c r="A199" s="3" t="s">
        <v>14</v>
      </c>
      <c r="B199" s="4">
        <v>101</v>
      </c>
      <c r="C199" s="5">
        <v>62622</v>
      </c>
      <c r="D199" s="3" t="s">
        <v>70</v>
      </c>
      <c r="E199" s="6">
        <v>26.99</v>
      </c>
      <c r="F199" s="16">
        <v>14.15</v>
      </c>
      <c r="G199" s="51">
        <v>0</v>
      </c>
      <c r="H199" s="52">
        <f t="shared" si="12"/>
        <v>0</v>
      </c>
      <c r="I199" s="52">
        <f t="shared" si="13"/>
        <v>0</v>
      </c>
      <c r="J199" s="52">
        <f t="shared" si="14"/>
        <v>0</v>
      </c>
      <c r="K199" s="53">
        <f t="shared" si="15"/>
        <v>0</v>
      </c>
      <c r="L199" s="36"/>
      <c r="M199" s="11">
        <v>160</v>
      </c>
      <c r="N199" s="11">
        <v>139.13043478260869</v>
      </c>
      <c r="O199" s="11">
        <v>72.88</v>
      </c>
      <c r="P199" s="8">
        <v>1</v>
      </c>
      <c r="Q199" s="11">
        <v>66.250434782608693</v>
      </c>
      <c r="R199" s="11">
        <v>160</v>
      </c>
      <c r="S199" s="11">
        <v>139.13043478260869</v>
      </c>
      <c r="T199" s="11">
        <v>72.88</v>
      </c>
      <c r="U199" s="14">
        <v>47.6175</v>
      </c>
      <c r="V199" s="36">
        <f>IFERROR(LOOKUP($C199,#REF!,#REF!),0)</f>
        <v>0</v>
      </c>
      <c r="W199" s="36">
        <f>IFERROR(LOOKUP($C199,#REF!,#REF!),0)</f>
        <v>0</v>
      </c>
      <c r="X199" s="36">
        <f>IFERROR(LOOKUP($C199,#REF!,#REF!),0)</f>
        <v>0</v>
      </c>
      <c r="Y199" s="36">
        <f>IFERROR(LOOKUP($C199,#REF!,#REF!),0)</f>
        <v>0</v>
      </c>
    </row>
    <row r="200" spans="1:25" ht="16.5" customHeight="1" x14ac:dyDescent="0.35">
      <c r="A200" s="3" t="s">
        <v>14</v>
      </c>
      <c r="B200" s="4">
        <v>102</v>
      </c>
      <c r="C200" s="5">
        <v>62623</v>
      </c>
      <c r="D200" s="3" t="s">
        <v>165</v>
      </c>
      <c r="E200" s="6">
        <v>15.99</v>
      </c>
      <c r="F200" s="16">
        <v>8.31</v>
      </c>
      <c r="G200" s="51">
        <v>0</v>
      </c>
      <c r="H200" s="52">
        <f t="shared" si="12"/>
        <v>0</v>
      </c>
      <c r="I200" s="52">
        <f t="shared" si="13"/>
        <v>0</v>
      </c>
      <c r="J200" s="52">
        <f t="shared" si="14"/>
        <v>0</v>
      </c>
      <c r="K200" s="53">
        <f t="shared" si="15"/>
        <v>0</v>
      </c>
      <c r="L200" s="36"/>
      <c r="M200" s="11">
        <v>159.97999999999999</v>
      </c>
      <c r="N200" s="11">
        <v>139.11304347826086</v>
      </c>
      <c r="O200" s="11">
        <v>89.24</v>
      </c>
      <c r="P200" s="8">
        <v>2</v>
      </c>
      <c r="Q200" s="11">
        <v>49.873043478260868</v>
      </c>
      <c r="R200" s="11">
        <v>79.989999999999995</v>
      </c>
      <c r="S200" s="11">
        <v>69.556521739130432</v>
      </c>
      <c r="T200" s="11">
        <v>44.62</v>
      </c>
      <c r="U200" s="14">
        <v>35.850731341417678</v>
      </c>
      <c r="V200" s="36">
        <f>IFERROR(LOOKUP($C200,#REF!,#REF!),0)</f>
        <v>0</v>
      </c>
      <c r="W200" s="36">
        <f>IFERROR(LOOKUP($C200,#REF!,#REF!),0)</f>
        <v>0</v>
      </c>
      <c r="X200" s="36">
        <f>IFERROR(LOOKUP($C200,#REF!,#REF!),0)</f>
        <v>0</v>
      </c>
      <c r="Y200" s="36">
        <f>IFERROR(LOOKUP($C200,#REF!,#REF!),0)</f>
        <v>0</v>
      </c>
    </row>
    <row r="201" spans="1:25" ht="16.5" customHeight="1" x14ac:dyDescent="0.35">
      <c r="A201" s="3" t="s">
        <v>14</v>
      </c>
      <c r="B201" s="4">
        <v>101</v>
      </c>
      <c r="C201" s="5">
        <v>62627</v>
      </c>
      <c r="D201" s="3" t="s">
        <v>80</v>
      </c>
      <c r="E201" s="6">
        <v>20.99</v>
      </c>
      <c r="F201" s="16">
        <v>12.88</v>
      </c>
      <c r="G201" s="51">
        <v>0</v>
      </c>
      <c r="H201" s="52">
        <f t="shared" si="12"/>
        <v>0</v>
      </c>
      <c r="I201" s="52">
        <f t="shared" si="13"/>
        <v>0</v>
      </c>
      <c r="J201" s="52">
        <f t="shared" si="14"/>
        <v>0</v>
      </c>
      <c r="K201" s="53">
        <f t="shared" si="15"/>
        <v>0</v>
      </c>
      <c r="L201" s="36"/>
      <c r="M201" s="11">
        <v>143.88</v>
      </c>
      <c r="N201" s="11">
        <v>125.11304347826086</v>
      </c>
      <c r="O201" s="11">
        <v>70.44</v>
      </c>
      <c r="P201" s="8">
        <v>12</v>
      </c>
      <c r="Q201" s="11">
        <v>54.673043478260865</v>
      </c>
      <c r="R201" s="11">
        <v>11.99</v>
      </c>
      <c r="S201" s="11">
        <v>10.426086956521738</v>
      </c>
      <c r="T201" s="11">
        <v>5.87</v>
      </c>
      <c r="U201" s="14">
        <v>43.69891576313595</v>
      </c>
      <c r="V201" s="36">
        <f>IFERROR(LOOKUP($C201,#REF!,#REF!),0)</f>
        <v>0</v>
      </c>
      <c r="W201" s="36">
        <f>IFERROR(LOOKUP($C201,#REF!,#REF!),0)</f>
        <v>0</v>
      </c>
      <c r="X201" s="36">
        <f>IFERROR(LOOKUP($C201,#REF!,#REF!),0)</f>
        <v>0</v>
      </c>
      <c r="Y201" s="36">
        <f>IFERROR(LOOKUP($C201,#REF!,#REF!),0)</f>
        <v>0</v>
      </c>
    </row>
    <row r="202" spans="1:25" ht="16.5" customHeight="1" x14ac:dyDescent="0.35">
      <c r="A202" s="3" t="s">
        <v>14</v>
      </c>
      <c r="B202" s="4">
        <v>120</v>
      </c>
      <c r="C202" s="5">
        <v>62629</v>
      </c>
      <c r="D202" s="3" t="s">
        <v>282</v>
      </c>
      <c r="E202" s="6">
        <v>60</v>
      </c>
      <c r="F202" s="16">
        <v>33.18</v>
      </c>
      <c r="G202" s="51">
        <v>0</v>
      </c>
      <c r="H202" s="52">
        <f t="shared" si="12"/>
        <v>0</v>
      </c>
      <c r="I202" s="52">
        <f t="shared" si="13"/>
        <v>0</v>
      </c>
      <c r="J202" s="52">
        <f t="shared" si="14"/>
        <v>0</v>
      </c>
      <c r="K202" s="53">
        <f t="shared" si="15"/>
        <v>0</v>
      </c>
      <c r="L202" s="36"/>
      <c r="M202" s="11">
        <v>134.94999999999999</v>
      </c>
      <c r="N202" s="11">
        <v>117.34782608695652</v>
      </c>
      <c r="O202" s="11">
        <v>70.75</v>
      </c>
      <c r="P202" s="8">
        <v>5</v>
      </c>
      <c r="Q202" s="11">
        <v>46.597826086956502</v>
      </c>
      <c r="R202" s="11">
        <v>26.99</v>
      </c>
      <c r="S202" s="11">
        <v>23.469565217391303</v>
      </c>
      <c r="T202" s="11">
        <v>14.15</v>
      </c>
      <c r="U202" s="14">
        <v>39.709151537606516</v>
      </c>
      <c r="V202" s="36">
        <f>IFERROR(LOOKUP($C202,#REF!,#REF!),0)</f>
        <v>0</v>
      </c>
      <c r="W202" s="36">
        <f>IFERROR(LOOKUP($C202,#REF!,#REF!),0)</f>
        <v>0</v>
      </c>
      <c r="X202" s="36">
        <f>IFERROR(LOOKUP($C202,#REF!,#REF!),0)</f>
        <v>0</v>
      </c>
      <c r="Y202" s="36">
        <f>IFERROR(LOOKUP($C202,#REF!,#REF!),0)</f>
        <v>0</v>
      </c>
    </row>
    <row r="203" spans="1:25" ht="16.5" customHeight="1" x14ac:dyDescent="0.35">
      <c r="A203" s="3" t="s">
        <v>14</v>
      </c>
      <c r="B203" s="4">
        <v>101</v>
      </c>
      <c r="C203" s="5">
        <v>62788</v>
      </c>
      <c r="D203" s="3" t="s">
        <v>46</v>
      </c>
      <c r="E203" s="6">
        <v>26.99</v>
      </c>
      <c r="F203" s="16">
        <v>10.66</v>
      </c>
      <c r="G203" s="51">
        <v>0</v>
      </c>
      <c r="H203" s="52">
        <f t="shared" si="12"/>
        <v>0</v>
      </c>
      <c r="I203" s="52">
        <f t="shared" si="13"/>
        <v>0</v>
      </c>
      <c r="J203" s="52">
        <f t="shared" si="14"/>
        <v>0</v>
      </c>
      <c r="K203" s="53">
        <f t="shared" si="15"/>
        <v>0</v>
      </c>
      <c r="L203" s="36"/>
      <c r="M203" s="11">
        <v>134.91</v>
      </c>
      <c r="N203" s="11">
        <v>117.31304347826087</v>
      </c>
      <c r="O203" s="11">
        <v>69.48</v>
      </c>
      <c r="P203" s="8">
        <v>9</v>
      </c>
      <c r="Q203" s="11">
        <v>47.833043478260848</v>
      </c>
      <c r="R203" s="11">
        <v>14.99</v>
      </c>
      <c r="S203" s="11">
        <v>13.034782608695652</v>
      </c>
      <c r="T203" s="11">
        <v>7.7200000000000006</v>
      </c>
      <c r="U203" s="14">
        <v>40.773849232821867</v>
      </c>
      <c r="V203" s="36">
        <f>IFERROR(LOOKUP($C203,#REF!,#REF!),0)</f>
        <v>0</v>
      </c>
      <c r="W203" s="36">
        <f>IFERROR(LOOKUP($C203,#REF!,#REF!),0)</f>
        <v>0</v>
      </c>
      <c r="X203" s="36">
        <f>IFERROR(LOOKUP($C203,#REF!,#REF!),0)</f>
        <v>0</v>
      </c>
      <c r="Y203" s="36">
        <f>IFERROR(LOOKUP($C203,#REF!,#REF!),0)</f>
        <v>0</v>
      </c>
    </row>
    <row r="204" spans="1:25" ht="16.5" customHeight="1" x14ac:dyDescent="0.35">
      <c r="A204" s="3" t="s">
        <v>14</v>
      </c>
      <c r="B204" s="4">
        <v>102</v>
      </c>
      <c r="C204" s="5">
        <v>63394</v>
      </c>
      <c r="D204" s="3" t="s">
        <v>138</v>
      </c>
      <c r="E204" s="6">
        <v>26.97</v>
      </c>
      <c r="F204" s="16">
        <v>13.68</v>
      </c>
      <c r="G204" s="51">
        <v>0</v>
      </c>
      <c r="H204" s="52">
        <f t="shared" si="12"/>
        <v>0</v>
      </c>
      <c r="I204" s="52">
        <f t="shared" si="13"/>
        <v>0</v>
      </c>
      <c r="J204" s="52">
        <f t="shared" si="14"/>
        <v>0</v>
      </c>
      <c r="K204" s="53">
        <f t="shared" si="15"/>
        <v>0</v>
      </c>
      <c r="L204" s="36"/>
      <c r="M204" s="11">
        <v>124.88999999999999</v>
      </c>
      <c r="N204" s="11">
        <v>108.6</v>
      </c>
      <c r="O204" s="11">
        <v>77.28</v>
      </c>
      <c r="P204" s="8">
        <v>6</v>
      </c>
      <c r="Q204" s="11">
        <v>31.319999999999979</v>
      </c>
      <c r="R204" s="11">
        <v>20.814999999999998</v>
      </c>
      <c r="S204" s="11">
        <v>18.099999999999998</v>
      </c>
      <c r="T204" s="11">
        <v>12.88</v>
      </c>
      <c r="U204" s="14">
        <v>28.839779005524846</v>
      </c>
      <c r="V204" s="36">
        <f>IFERROR(LOOKUP($C204,#REF!,#REF!),0)</f>
        <v>0</v>
      </c>
      <c r="W204" s="36">
        <f>IFERROR(LOOKUP($C204,#REF!,#REF!),0)</f>
        <v>0</v>
      </c>
      <c r="X204" s="36">
        <f>IFERROR(LOOKUP($C204,#REF!,#REF!),0)</f>
        <v>0</v>
      </c>
      <c r="Y204" s="36">
        <f>IFERROR(LOOKUP($C204,#REF!,#REF!),0)</f>
        <v>0</v>
      </c>
    </row>
    <row r="205" spans="1:25" ht="16.5" customHeight="1" x14ac:dyDescent="0.35">
      <c r="A205" s="3" t="s">
        <v>14</v>
      </c>
      <c r="B205" s="4">
        <v>119</v>
      </c>
      <c r="C205" s="5">
        <v>63798</v>
      </c>
      <c r="D205" s="3" t="s">
        <v>275</v>
      </c>
      <c r="E205" s="6">
        <v>79.989999999999995</v>
      </c>
      <c r="F205" s="16">
        <v>42.68</v>
      </c>
      <c r="G205" s="51">
        <v>0</v>
      </c>
      <c r="H205" s="52">
        <f t="shared" si="12"/>
        <v>0</v>
      </c>
      <c r="I205" s="52">
        <f t="shared" si="13"/>
        <v>0</v>
      </c>
      <c r="J205" s="52">
        <f t="shared" si="14"/>
        <v>0</v>
      </c>
      <c r="K205" s="53">
        <f t="shared" si="15"/>
        <v>0</v>
      </c>
      <c r="L205" s="36"/>
      <c r="M205" s="11">
        <v>120</v>
      </c>
      <c r="N205" s="11">
        <v>104.34782608695653</v>
      </c>
      <c r="O205" s="11">
        <v>61.38000000000001</v>
      </c>
      <c r="P205" s="8">
        <v>6</v>
      </c>
      <c r="Q205" s="11">
        <v>42.967826086956507</v>
      </c>
      <c r="R205" s="11">
        <v>20</v>
      </c>
      <c r="S205" s="11">
        <v>17.39130434782609</v>
      </c>
      <c r="T205" s="11">
        <v>10.230000000000002</v>
      </c>
      <c r="U205" s="14">
        <v>41.177499999999988</v>
      </c>
      <c r="V205" s="36">
        <f>IFERROR(LOOKUP($C205,#REF!,#REF!),0)</f>
        <v>0</v>
      </c>
      <c r="W205" s="36">
        <f>IFERROR(LOOKUP($C205,#REF!,#REF!),0)</f>
        <v>0</v>
      </c>
      <c r="X205" s="36">
        <f>IFERROR(LOOKUP($C205,#REF!,#REF!),0)</f>
        <v>0</v>
      </c>
      <c r="Y205" s="36">
        <f>IFERROR(LOOKUP($C205,#REF!,#REF!),0)</f>
        <v>0</v>
      </c>
    </row>
    <row r="206" spans="1:25" ht="16.5" customHeight="1" x14ac:dyDescent="0.35">
      <c r="A206" s="3" t="s">
        <v>14</v>
      </c>
      <c r="B206" s="4">
        <v>101</v>
      </c>
      <c r="C206" s="5">
        <v>63800</v>
      </c>
      <c r="D206" s="3" t="s">
        <v>88</v>
      </c>
      <c r="E206" s="6">
        <v>23.99</v>
      </c>
      <c r="F206" s="16">
        <v>11.87</v>
      </c>
      <c r="G206" s="51">
        <v>0</v>
      </c>
      <c r="H206" s="52">
        <f t="shared" si="12"/>
        <v>0</v>
      </c>
      <c r="I206" s="52">
        <f t="shared" si="13"/>
        <v>0</v>
      </c>
      <c r="J206" s="52">
        <f t="shared" si="14"/>
        <v>0</v>
      </c>
      <c r="K206" s="53">
        <f t="shared" si="15"/>
        <v>0</v>
      </c>
      <c r="L206" s="36"/>
      <c r="M206" s="11">
        <v>119.25</v>
      </c>
      <c r="N206" s="11">
        <v>103.69565217391303</v>
      </c>
      <c r="O206" s="11">
        <v>235.76</v>
      </c>
      <c r="P206" s="8">
        <v>8</v>
      </c>
      <c r="Q206" s="11">
        <v>-132.06434782608696</v>
      </c>
      <c r="R206" s="11">
        <v>14.90625</v>
      </c>
      <c r="S206" s="11">
        <v>12.961956521739129</v>
      </c>
      <c r="T206" s="11">
        <v>29.47</v>
      </c>
      <c r="U206" s="14">
        <v>-99.99</v>
      </c>
      <c r="V206" s="36">
        <f>IFERROR(LOOKUP($C206,#REF!,#REF!),0)</f>
        <v>0</v>
      </c>
      <c r="W206" s="36">
        <f>IFERROR(LOOKUP($C206,#REF!,#REF!),0)</f>
        <v>0</v>
      </c>
      <c r="X206" s="36">
        <f>IFERROR(LOOKUP($C206,#REF!,#REF!),0)</f>
        <v>0</v>
      </c>
      <c r="Y206" s="36">
        <f>IFERROR(LOOKUP($C206,#REF!,#REF!),0)</f>
        <v>0</v>
      </c>
    </row>
    <row r="207" spans="1:25" ht="16.5" customHeight="1" x14ac:dyDescent="0.35">
      <c r="A207" s="3" t="s">
        <v>14</v>
      </c>
      <c r="B207" s="4">
        <v>107</v>
      </c>
      <c r="C207" s="5">
        <v>64416</v>
      </c>
      <c r="D207" s="3" t="s">
        <v>248</v>
      </c>
      <c r="E207" s="6">
        <v>49.99</v>
      </c>
      <c r="F207" s="16">
        <v>32.549999999999997</v>
      </c>
      <c r="G207" s="51">
        <v>0</v>
      </c>
      <c r="H207" s="52">
        <f t="shared" si="12"/>
        <v>0</v>
      </c>
      <c r="I207" s="52">
        <f t="shared" si="13"/>
        <v>0</v>
      </c>
      <c r="J207" s="52">
        <f t="shared" si="14"/>
        <v>0</v>
      </c>
      <c r="K207" s="53">
        <f t="shared" si="15"/>
        <v>0</v>
      </c>
      <c r="L207" s="36"/>
      <c r="M207" s="11">
        <v>101.97</v>
      </c>
      <c r="N207" s="11">
        <v>88.669565217391309</v>
      </c>
      <c r="O207" s="11">
        <v>52.256399999999999</v>
      </c>
      <c r="P207" s="8">
        <v>3</v>
      </c>
      <c r="Q207" s="11">
        <v>36.413165217391295</v>
      </c>
      <c r="R207" s="11">
        <v>33.99</v>
      </c>
      <c r="S207" s="11">
        <v>29.556521739130435</v>
      </c>
      <c r="T207" s="11">
        <v>17.418800000000001</v>
      </c>
      <c r="U207" s="14">
        <v>41.066137099146808</v>
      </c>
      <c r="V207" s="36">
        <f>IFERROR(LOOKUP($C207,#REF!,#REF!),0)</f>
        <v>0</v>
      </c>
      <c r="W207" s="36">
        <f>IFERROR(LOOKUP($C207,#REF!,#REF!),0)</f>
        <v>0</v>
      </c>
      <c r="X207" s="36">
        <f>IFERROR(LOOKUP($C207,#REF!,#REF!),0)</f>
        <v>0</v>
      </c>
      <c r="Y207" s="36">
        <f>IFERROR(LOOKUP($C207,#REF!,#REF!),0)</f>
        <v>0</v>
      </c>
    </row>
    <row r="208" spans="1:25" ht="16.5" customHeight="1" x14ac:dyDescent="0.35">
      <c r="A208" s="3" t="s">
        <v>14</v>
      </c>
      <c r="B208" s="4">
        <v>119</v>
      </c>
      <c r="C208" s="5">
        <v>64632</v>
      </c>
      <c r="D208" s="3" t="s">
        <v>278</v>
      </c>
      <c r="E208" s="6">
        <v>140</v>
      </c>
      <c r="F208" s="16">
        <v>62.14</v>
      </c>
      <c r="G208" s="51">
        <v>0</v>
      </c>
      <c r="H208" s="52">
        <f t="shared" si="12"/>
        <v>0</v>
      </c>
      <c r="I208" s="52">
        <f t="shared" si="13"/>
        <v>0</v>
      </c>
      <c r="J208" s="52">
        <f t="shared" si="14"/>
        <v>0</v>
      </c>
      <c r="K208" s="53">
        <f t="shared" si="15"/>
        <v>0</v>
      </c>
      <c r="L208" s="36"/>
      <c r="M208" s="11">
        <v>97.93</v>
      </c>
      <c r="N208" s="11">
        <v>85.156521739130426</v>
      </c>
      <c r="O208" s="11">
        <v>63.980000000000004</v>
      </c>
      <c r="P208" s="8">
        <v>7</v>
      </c>
      <c r="Q208" s="11">
        <v>21.176521739130436</v>
      </c>
      <c r="R208" s="11">
        <v>13.99</v>
      </c>
      <c r="S208" s="11">
        <v>12.165217391304347</v>
      </c>
      <c r="T208" s="11">
        <v>9.14</v>
      </c>
      <c r="U208" s="14">
        <v>24.867762687634023</v>
      </c>
      <c r="V208" s="36">
        <f>IFERROR(LOOKUP($C208,#REF!,#REF!),0)</f>
        <v>0</v>
      </c>
      <c r="W208" s="36">
        <f>IFERROR(LOOKUP($C208,#REF!,#REF!),0)</f>
        <v>0</v>
      </c>
      <c r="X208" s="36">
        <f>IFERROR(LOOKUP($C208,#REF!,#REF!),0)</f>
        <v>0</v>
      </c>
      <c r="Y208" s="36">
        <f>IFERROR(LOOKUP($C208,#REF!,#REF!),0)</f>
        <v>0</v>
      </c>
    </row>
    <row r="209" spans="1:25" ht="16.5" customHeight="1" x14ac:dyDescent="0.35">
      <c r="A209" s="3" t="s">
        <v>14</v>
      </c>
      <c r="B209" s="4">
        <v>119</v>
      </c>
      <c r="C209" s="5">
        <v>64633</v>
      </c>
      <c r="D209" s="3" t="s">
        <v>271</v>
      </c>
      <c r="E209" s="6">
        <v>8.99</v>
      </c>
      <c r="F209" s="16">
        <v>3.8</v>
      </c>
      <c r="G209" s="51">
        <v>0</v>
      </c>
      <c r="H209" s="52">
        <f t="shared" si="12"/>
        <v>0</v>
      </c>
      <c r="I209" s="52">
        <f t="shared" si="13"/>
        <v>0</v>
      </c>
      <c r="J209" s="52">
        <f t="shared" si="14"/>
        <v>0</v>
      </c>
      <c r="K209" s="53">
        <f t="shared" si="15"/>
        <v>0</v>
      </c>
      <c r="L209" s="36"/>
      <c r="M209" s="11">
        <v>96</v>
      </c>
      <c r="N209" s="11">
        <v>83.478260869565219</v>
      </c>
      <c r="O209" s="11">
        <v>54.239999999999995</v>
      </c>
      <c r="P209" s="8">
        <v>24</v>
      </c>
      <c r="Q209" s="11">
        <v>29.238260869565224</v>
      </c>
      <c r="R209" s="11">
        <v>4</v>
      </c>
      <c r="S209" s="11">
        <v>3.4782608695652173</v>
      </c>
      <c r="T209" s="11">
        <v>2.2599999999999998</v>
      </c>
      <c r="U209" s="14">
        <v>35.025000000000006</v>
      </c>
      <c r="V209" s="36">
        <f>IFERROR(LOOKUP($C209,#REF!,#REF!),0)</f>
        <v>0</v>
      </c>
      <c r="W209" s="36">
        <f>IFERROR(LOOKUP($C209,#REF!,#REF!),0)</f>
        <v>0</v>
      </c>
      <c r="X209" s="36">
        <f>IFERROR(LOOKUP($C209,#REF!,#REF!),0)</f>
        <v>0</v>
      </c>
      <c r="Y209" s="36">
        <f>IFERROR(LOOKUP($C209,#REF!,#REF!),0)</f>
        <v>0</v>
      </c>
    </row>
    <row r="210" spans="1:25" ht="16.5" customHeight="1" x14ac:dyDescent="0.35">
      <c r="A210" s="3" t="s">
        <v>14</v>
      </c>
      <c r="B210" s="4">
        <v>119</v>
      </c>
      <c r="C210" s="5">
        <v>64635</v>
      </c>
      <c r="D210" s="3" t="s">
        <v>276</v>
      </c>
      <c r="E210" s="6">
        <v>160</v>
      </c>
      <c r="F210" s="16">
        <v>72.88</v>
      </c>
      <c r="G210" s="51">
        <v>0</v>
      </c>
      <c r="H210" s="52">
        <f t="shared" si="12"/>
        <v>0</v>
      </c>
      <c r="I210" s="52">
        <f t="shared" si="13"/>
        <v>0</v>
      </c>
      <c r="J210" s="52">
        <f t="shared" si="14"/>
        <v>0</v>
      </c>
      <c r="K210" s="53">
        <f t="shared" si="15"/>
        <v>0</v>
      </c>
      <c r="L210" s="36"/>
      <c r="M210" s="11">
        <v>95.98</v>
      </c>
      <c r="N210" s="11">
        <v>83.460869565217394</v>
      </c>
      <c r="O210" s="11">
        <v>20.88</v>
      </c>
      <c r="P210" s="8">
        <v>2</v>
      </c>
      <c r="Q210" s="11">
        <v>62.580869565217398</v>
      </c>
      <c r="R210" s="11">
        <v>47.99</v>
      </c>
      <c r="S210" s="11">
        <v>41.730434782608697</v>
      </c>
      <c r="T210" s="11">
        <v>10.44</v>
      </c>
      <c r="U210" s="14">
        <v>74.982287976661809</v>
      </c>
      <c r="V210" s="36">
        <f>IFERROR(LOOKUP($C210,#REF!,#REF!),0)</f>
        <v>0</v>
      </c>
      <c r="W210" s="36">
        <f>IFERROR(LOOKUP($C210,#REF!,#REF!),0)</f>
        <v>0</v>
      </c>
      <c r="X210" s="36">
        <f>IFERROR(LOOKUP($C210,#REF!,#REF!),0)</f>
        <v>0</v>
      </c>
      <c r="Y210" s="36">
        <f>IFERROR(LOOKUP($C210,#REF!,#REF!),0)</f>
        <v>0</v>
      </c>
    </row>
    <row r="211" spans="1:25" ht="16.5" customHeight="1" x14ac:dyDescent="0.35">
      <c r="A211" s="3" t="s">
        <v>14</v>
      </c>
      <c r="B211" s="4">
        <v>120</v>
      </c>
      <c r="C211" s="5">
        <v>64761</v>
      </c>
      <c r="D211" s="3" t="s">
        <v>286</v>
      </c>
      <c r="E211" s="6">
        <v>69.989999999999995</v>
      </c>
      <c r="F211" s="16">
        <v>42.18</v>
      </c>
      <c r="G211" s="51">
        <v>0</v>
      </c>
      <c r="H211" s="52">
        <f t="shared" si="12"/>
        <v>0</v>
      </c>
      <c r="I211" s="52">
        <f t="shared" si="13"/>
        <v>0</v>
      </c>
      <c r="J211" s="52">
        <f t="shared" si="14"/>
        <v>0</v>
      </c>
      <c r="K211" s="53">
        <f t="shared" si="15"/>
        <v>0</v>
      </c>
      <c r="L211" s="36"/>
      <c r="M211" s="11">
        <v>95.84</v>
      </c>
      <c r="N211" s="11">
        <v>83.339130434782604</v>
      </c>
      <c r="O211" s="11">
        <v>52.96</v>
      </c>
      <c r="P211" s="8">
        <v>16</v>
      </c>
      <c r="Q211" s="11">
        <v>30.379130434782617</v>
      </c>
      <c r="R211" s="11">
        <v>5.99</v>
      </c>
      <c r="S211" s="11">
        <v>5.2086956521739127</v>
      </c>
      <c r="T211" s="11">
        <v>3.31</v>
      </c>
      <c r="U211" s="14">
        <v>36.45242070116862</v>
      </c>
      <c r="V211" s="36">
        <f>IFERROR(LOOKUP($C211,#REF!,#REF!),0)</f>
        <v>0</v>
      </c>
      <c r="W211" s="36">
        <f>IFERROR(LOOKUP($C211,#REF!,#REF!),0)</f>
        <v>0</v>
      </c>
      <c r="X211" s="36">
        <f>IFERROR(LOOKUP($C211,#REF!,#REF!),0)</f>
        <v>0</v>
      </c>
      <c r="Y211" s="36">
        <f>IFERROR(LOOKUP($C211,#REF!,#REF!),0)</f>
        <v>0</v>
      </c>
    </row>
    <row r="212" spans="1:25" ht="16.5" customHeight="1" x14ac:dyDescent="0.35">
      <c r="A212" s="3" t="s">
        <v>14</v>
      </c>
      <c r="B212" s="4">
        <v>120</v>
      </c>
      <c r="C212" s="5">
        <v>64762</v>
      </c>
      <c r="D212" s="3" t="s">
        <v>285</v>
      </c>
      <c r="E212" s="6">
        <v>69.989999999999995</v>
      </c>
      <c r="F212" s="16">
        <v>37.380000000000003</v>
      </c>
      <c r="G212" s="51">
        <v>0</v>
      </c>
      <c r="H212" s="52">
        <f t="shared" si="12"/>
        <v>0</v>
      </c>
      <c r="I212" s="52">
        <f t="shared" si="13"/>
        <v>0</v>
      </c>
      <c r="J212" s="52">
        <f t="shared" si="14"/>
        <v>0</v>
      </c>
      <c r="K212" s="53">
        <f t="shared" si="15"/>
        <v>0</v>
      </c>
      <c r="L212" s="36"/>
      <c r="M212" s="11">
        <v>94.81</v>
      </c>
      <c r="N212" s="11">
        <v>82.443478260869568</v>
      </c>
      <c r="O212" s="11">
        <v>56.43</v>
      </c>
      <c r="P212" s="8">
        <v>19</v>
      </c>
      <c r="Q212" s="11">
        <v>26.013478260869569</v>
      </c>
      <c r="R212" s="11">
        <v>4.99</v>
      </c>
      <c r="S212" s="11">
        <v>4.339130434782609</v>
      </c>
      <c r="T212" s="11">
        <v>2.97</v>
      </c>
      <c r="U212" s="14">
        <v>31.553106212424854</v>
      </c>
      <c r="V212" s="36">
        <f>IFERROR(LOOKUP($C212,#REF!,#REF!),0)</f>
        <v>0</v>
      </c>
      <c r="W212" s="36">
        <f>IFERROR(LOOKUP($C212,#REF!,#REF!),0)</f>
        <v>0</v>
      </c>
      <c r="X212" s="36">
        <f>IFERROR(LOOKUP($C212,#REF!,#REF!),0)</f>
        <v>0</v>
      </c>
      <c r="Y212" s="36">
        <f>IFERROR(LOOKUP($C212,#REF!,#REF!),0)</f>
        <v>0</v>
      </c>
    </row>
    <row r="213" spans="1:25" ht="16.5" customHeight="1" x14ac:dyDescent="0.35">
      <c r="A213" s="3" t="s">
        <v>14</v>
      </c>
      <c r="B213" s="4">
        <v>120</v>
      </c>
      <c r="C213" s="5">
        <v>64763</v>
      </c>
      <c r="D213" s="3" t="s">
        <v>284</v>
      </c>
      <c r="E213" s="6">
        <v>38</v>
      </c>
      <c r="F213" s="16">
        <v>18.920000000000002</v>
      </c>
      <c r="G213" s="51">
        <v>0</v>
      </c>
      <c r="H213" s="52">
        <f t="shared" si="12"/>
        <v>0</v>
      </c>
      <c r="I213" s="52">
        <f t="shared" si="13"/>
        <v>0</v>
      </c>
      <c r="J213" s="52">
        <f t="shared" si="14"/>
        <v>0</v>
      </c>
      <c r="K213" s="53">
        <f t="shared" si="15"/>
        <v>0</v>
      </c>
      <c r="L213" s="36"/>
      <c r="M213" s="11">
        <v>92.97</v>
      </c>
      <c r="N213" s="11">
        <v>80.84347826086956</v>
      </c>
      <c r="O213" s="11">
        <v>37.200000000000003</v>
      </c>
      <c r="P213" s="8">
        <v>3</v>
      </c>
      <c r="Q213" s="11">
        <v>43.643478260869557</v>
      </c>
      <c r="R213" s="11">
        <v>30.99</v>
      </c>
      <c r="S213" s="11">
        <v>26.947826086956521</v>
      </c>
      <c r="T213" s="11">
        <v>12.4</v>
      </c>
      <c r="U213" s="14">
        <v>53.985156502097439</v>
      </c>
      <c r="V213" s="36">
        <f>IFERROR(LOOKUP($C213,#REF!,#REF!),0)</f>
        <v>0</v>
      </c>
      <c r="W213" s="36">
        <f>IFERROR(LOOKUP($C213,#REF!,#REF!),0)</f>
        <v>0</v>
      </c>
      <c r="X213" s="36">
        <f>IFERROR(LOOKUP($C213,#REF!,#REF!),0)</f>
        <v>0</v>
      </c>
      <c r="Y213" s="36">
        <f>IFERROR(LOOKUP($C213,#REF!,#REF!),0)</f>
        <v>0</v>
      </c>
    </row>
    <row r="214" spans="1:25" ht="16.5" customHeight="1" x14ac:dyDescent="0.35">
      <c r="A214" s="3" t="s">
        <v>14</v>
      </c>
      <c r="B214" s="4">
        <v>119</v>
      </c>
      <c r="C214" s="5">
        <v>65238</v>
      </c>
      <c r="D214" s="3" t="s">
        <v>279</v>
      </c>
      <c r="E214" s="6">
        <v>120</v>
      </c>
      <c r="F214" s="16">
        <v>82.1</v>
      </c>
      <c r="G214" s="51">
        <v>0</v>
      </c>
      <c r="H214" s="52">
        <f t="shared" si="12"/>
        <v>0</v>
      </c>
      <c r="I214" s="52">
        <f t="shared" si="13"/>
        <v>0</v>
      </c>
      <c r="J214" s="52">
        <f t="shared" si="14"/>
        <v>0</v>
      </c>
      <c r="K214" s="53">
        <f t="shared" si="15"/>
        <v>0</v>
      </c>
      <c r="L214" s="36"/>
      <c r="M214" s="11">
        <v>84.13</v>
      </c>
      <c r="N214" s="11">
        <v>73.15652173913044</v>
      </c>
      <c r="O214" s="11">
        <v>43.299372192</v>
      </c>
      <c r="P214" s="8">
        <v>0.38</v>
      </c>
      <c r="Q214" s="11">
        <v>29.857149547130426</v>
      </c>
      <c r="R214" s="11">
        <v>221.39473684210526</v>
      </c>
      <c r="S214" s="11">
        <v>192.51716247139589</v>
      </c>
      <c r="T214" s="11">
        <v>113.94571629473684</v>
      </c>
      <c r="U214" s="14">
        <v>40.812696991798404</v>
      </c>
      <c r="V214" s="36">
        <f>IFERROR(LOOKUP($C214,#REF!,#REF!),0)</f>
        <v>0</v>
      </c>
      <c r="W214" s="36">
        <f>IFERROR(LOOKUP($C214,#REF!,#REF!),0)</f>
        <v>0</v>
      </c>
      <c r="X214" s="36">
        <f>IFERROR(LOOKUP($C214,#REF!,#REF!),0)</f>
        <v>0</v>
      </c>
      <c r="Y214" s="36">
        <f>IFERROR(LOOKUP($C214,#REF!,#REF!),0)</f>
        <v>0</v>
      </c>
    </row>
    <row r="215" spans="1:25" ht="16.5" customHeight="1" x14ac:dyDescent="0.35">
      <c r="A215" s="3" t="s">
        <v>14</v>
      </c>
      <c r="B215" s="4">
        <v>119</v>
      </c>
      <c r="C215" s="5">
        <v>65239</v>
      </c>
      <c r="D215" s="3" t="s">
        <v>280</v>
      </c>
      <c r="E215" s="6">
        <v>70</v>
      </c>
      <c r="F215" s="16">
        <v>48.14</v>
      </c>
      <c r="G215" s="51">
        <v>0</v>
      </c>
      <c r="H215" s="52">
        <f t="shared" si="12"/>
        <v>0</v>
      </c>
      <c r="I215" s="52">
        <f t="shared" si="13"/>
        <v>0</v>
      </c>
      <c r="J215" s="52">
        <f t="shared" si="14"/>
        <v>0</v>
      </c>
      <c r="K215" s="53">
        <f t="shared" si="15"/>
        <v>0</v>
      </c>
      <c r="L215" s="36"/>
      <c r="M215" s="11">
        <v>79.989999999999995</v>
      </c>
      <c r="N215" s="11">
        <v>69.556521739130432</v>
      </c>
      <c r="O215" s="11">
        <v>44.62</v>
      </c>
      <c r="P215" s="8">
        <v>1</v>
      </c>
      <c r="Q215" s="11">
        <v>24.936521739130434</v>
      </c>
      <c r="R215" s="11">
        <v>79.989999999999995</v>
      </c>
      <c r="S215" s="11">
        <v>69.556521739130432</v>
      </c>
      <c r="T215" s="11">
        <v>44.62</v>
      </c>
      <c r="U215" s="14">
        <v>35.850731341417678</v>
      </c>
      <c r="V215" s="36">
        <f>IFERROR(LOOKUP($C215,#REF!,#REF!),0)</f>
        <v>0</v>
      </c>
      <c r="W215" s="36">
        <f>IFERROR(LOOKUP($C215,#REF!,#REF!),0)</f>
        <v>0</v>
      </c>
      <c r="X215" s="36">
        <f>IFERROR(LOOKUP($C215,#REF!,#REF!),0)</f>
        <v>0</v>
      </c>
      <c r="Y215" s="36">
        <f>IFERROR(LOOKUP($C215,#REF!,#REF!),0)</f>
        <v>0</v>
      </c>
    </row>
    <row r="216" spans="1:25" ht="16.5" customHeight="1" x14ac:dyDescent="0.35">
      <c r="A216" s="3" t="s">
        <v>14</v>
      </c>
      <c r="B216" s="4">
        <v>102</v>
      </c>
      <c r="C216" s="5">
        <v>65506</v>
      </c>
      <c r="D216" s="3" t="s">
        <v>172</v>
      </c>
      <c r="E216" s="6">
        <v>14.99</v>
      </c>
      <c r="F216" s="16">
        <v>7.72</v>
      </c>
      <c r="G216" s="51">
        <v>0</v>
      </c>
      <c r="H216" s="52">
        <f t="shared" si="12"/>
        <v>0</v>
      </c>
      <c r="I216" s="52">
        <f t="shared" si="13"/>
        <v>0</v>
      </c>
      <c r="J216" s="52">
        <f t="shared" si="14"/>
        <v>0</v>
      </c>
      <c r="K216" s="53">
        <f t="shared" si="15"/>
        <v>0</v>
      </c>
      <c r="L216" s="36"/>
      <c r="M216" s="11">
        <v>75</v>
      </c>
      <c r="N216" s="11">
        <v>65.217391304347828</v>
      </c>
      <c r="O216" s="11">
        <v>34.950000000000003</v>
      </c>
      <c r="P216" s="8">
        <v>5</v>
      </c>
      <c r="Q216" s="11">
        <v>30.267391304347825</v>
      </c>
      <c r="R216" s="11">
        <v>15</v>
      </c>
      <c r="S216" s="11">
        <v>13.043478260869566</v>
      </c>
      <c r="T216" s="11">
        <v>6.99</v>
      </c>
      <c r="U216" s="14">
        <v>46.41</v>
      </c>
      <c r="V216" s="36">
        <f>IFERROR(LOOKUP($C216,#REF!,#REF!),0)</f>
        <v>0</v>
      </c>
      <c r="W216" s="36">
        <f>IFERROR(LOOKUP($C216,#REF!,#REF!),0)</f>
        <v>0</v>
      </c>
      <c r="X216" s="36">
        <f>IFERROR(LOOKUP($C216,#REF!,#REF!),0)</f>
        <v>0</v>
      </c>
      <c r="Y216" s="36">
        <f>IFERROR(LOOKUP($C216,#REF!,#REF!),0)</f>
        <v>0</v>
      </c>
    </row>
    <row r="217" spans="1:25" ht="16.5" customHeight="1" x14ac:dyDescent="0.35">
      <c r="A217" s="3" t="s">
        <v>14</v>
      </c>
      <c r="B217" s="4">
        <v>101</v>
      </c>
      <c r="C217" s="5">
        <v>65681</v>
      </c>
      <c r="D217" s="3" t="s">
        <v>65</v>
      </c>
      <c r="E217" s="6">
        <v>29.99</v>
      </c>
      <c r="F217" s="16">
        <v>16.03</v>
      </c>
      <c r="G217" s="51">
        <v>0</v>
      </c>
      <c r="H217" s="52">
        <f t="shared" si="12"/>
        <v>0</v>
      </c>
      <c r="I217" s="52">
        <f t="shared" si="13"/>
        <v>0</v>
      </c>
      <c r="J217" s="52">
        <f t="shared" si="14"/>
        <v>0</v>
      </c>
      <c r="K217" s="53">
        <f t="shared" si="15"/>
        <v>0</v>
      </c>
      <c r="L217" s="36"/>
      <c r="M217" s="11">
        <v>75</v>
      </c>
      <c r="N217" s="11">
        <v>65.217391304347828</v>
      </c>
      <c r="O217" s="11">
        <v>34.14</v>
      </c>
      <c r="P217" s="8">
        <v>6</v>
      </c>
      <c r="Q217" s="11">
        <v>31.077391304347827</v>
      </c>
      <c r="R217" s="11">
        <v>12.5</v>
      </c>
      <c r="S217" s="11">
        <v>10.869565217391305</v>
      </c>
      <c r="T217" s="11">
        <v>5.69</v>
      </c>
      <c r="U217" s="14">
        <v>47.652000000000001</v>
      </c>
      <c r="V217" s="36">
        <f>IFERROR(LOOKUP($C217,#REF!,#REF!),0)</f>
        <v>0</v>
      </c>
      <c r="W217" s="36">
        <f>IFERROR(LOOKUP($C217,#REF!,#REF!),0)</f>
        <v>0</v>
      </c>
      <c r="X217" s="36">
        <f>IFERROR(LOOKUP($C217,#REF!,#REF!),0)</f>
        <v>0</v>
      </c>
      <c r="Y217" s="36">
        <f>IFERROR(LOOKUP($C217,#REF!,#REF!),0)</f>
        <v>0</v>
      </c>
    </row>
    <row r="218" spans="1:25" ht="16.5" customHeight="1" x14ac:dyDescent="0.35">
      <c r="A218" s="3" t="s">
        <v>14</v>
      </c>
      <c r="B218" s="4">
        <v>102</v>
      </c>
      <c r="C218" s="5">
        <v>66434</v>
      </c>
      <c r="D218" s="3" t="s">
        <v>173</v>
      </c>
      <c r="E218" s="6">
        <v>13.99</v>
      </c>
      <c r="F218" s="16">
        <v>9.14</v>
      </c>
      <c r="G218" s="51">
        <v>0</v>
      </c>
      <c r="H218" s="52">
        <f t="shared" si="12"/>
        <v>0</v>
      </c>
      <c r="I218" s="52">
        <f t="shared" si="13"/>
        <v>0</v>
      </c>
      <c r="J218" s="52">
        <f t="shared" si="14"/>
        <v>0</v>
      </c>
      <c r="K218" s="53">
        <f t="shared" si="15"/>
        <v>0</v>
      </c>
      <c r="L218" s="36"/>
      <c r="M218" s="11">
        <v>71.94</v>
      </c>
      <c r="N218" s="11">
        <v>62.556521739130432</v>
      </c>
      <c r="O218" s="11">
        <v>45.599999999999994</v>
      </c>
      <c r="P218" s="8">
        <v>6</v>
      </c>
      <c r="Q218" s="11">
        <v>16.956521739130437</v>
      </c>
      <c r="R218" s="11">
        <v>11.99</v>
      </c>
      <c r="S218" s="11">
        <v>10.426086956521738</v>
      </c>
      <c r="T218" s="11">
        <v>7.5999999999999988</v>
      </c>
      <c r="U218" s="14">
        <v>27.105921601334448</v>
      </c>
      <c r="V218" s="36">
        <f>IFERROR(LOOKUP($C218,#REF!,#REF!),0)</f>
        <v>0</v>
      </c>
      <c r="W218" s="36">
        <f>IFERROR(LOOKUP($C218,#REF!,#REF!),0)</f>
        <v>0</v>
      </c>
      <c r="X218" s="36">
        <f>IFERROR(LOOKUP($C218,#REF!,#REF!),0)</f>
        <v>0</v>
      </c>
      <c r="Y218" s="36">
        <f>IFERROR(LOOKUP($C218,#REF!,#REF!),0)</f>
        <v>0</v>
      </c>
    </row>
    <row r="219" spans="1:25" ht="16.5" customHeight="1" x14ac:dyDescent="0.35">
      <c r="A219" s="3" t="s">
        <v>14</v>
      </c>
      <c r="B219" s="4">
        <v>102</v>
      </c>
      <c r="C219" s="5">
        <v>66435</v>
      </c>
      <c r="D219" s="3" t="s">
        <v>177</v>
      </c>
      <c r="E219" s="6">
        <v>11.99</v>
      </c>
      <c r="F219" s="16">
        <v>7.6</v>
      </c>
      <c r="G219" s="51">
        <v>0</v>
      </c>
      <c r="H219" s="52">
        <f t="shared" si="12"/>
        <v>0</v>
      </c>
      <c r="I219" s="52">
        <f t="shared" si="13"/>
        <v>0</v>
      </c>
      <c r="J219" s="52">
        <f t="shared" si="14"/>
        <v>0</v>
      </c>
      <c r="K219" s="53">
        <f t="shared" si="15"/>
        <v>0</v>
      </c>
      <c r="L219" s="36"/>
      <c r="M219" s="11">
        <v>71.88</v>
      </c>
      <c r="N219" s="11">
        <v>62.504347826086956</v>
      </c>
      <c r="O219" s="11">
        <v>37.200000000000003</v>
      </c>
      <c r="P219" s="8">
        <v>12</v>
      </c>
      <c r="Q219" s="11">
        <v>25.304347826086946</v>
      </c>
      <c r="R219" s="11">
        <v>5.9899999999999993</v>
      </c>
      <c r="S219" s="11">
        <v>5.2086956521739127</v>
      </c>
      <c r="T219" s="11">
        <v>3.1</v>
      </c>
      <c r="U219" s="14">
        <v>40.484140233722862</v>
      </c>
      <c r="V219" s="36">
        <f>IFERROR(LOOKUP($C219,#REF!,#REF!),0)</f>
        <v>0</v>
      </c>
      <c r="W219" s="36">
        <f>IFERROR(LOOKUP($C219,#REF!,#REF!),0)</f>
        <v>0</v>
      </c>
      <c r="X219" s="36">
        <f>IFERROR(LOOKUP($C219,#REF!,#REF!),0)</f>
        <v>0</v>
      </c>
      <c r="Y219" s="36">
        <f>IFERROR(LOOKUP($C219,#REF!,#REF!),0)</f>
        <v>0</v>
      </c>
    </row>
    <row r="220" spans="1:25" ht="16.5" customHeight="1" x14ac:dyDescent="0.35">
      <c r="A220" s="3" t="s">
        <v>14</v>
      </c>
      <c r="B220" s="4">
        <v>102</v>
      </c>
      <c r="C220" s="5">
        <v>66950</v>
      </c>
      <c r="D220" s="3" t="s">
        <v>182</v>
      </c>
      <c r="E220" s="6">
        <v>29.99</v>
      </c>
      <c r="F220" s="16">
        <v>28.95</v>
      </c>
      <c r="G220" s="51">
        <v>0</v>
      </c>
      <c r="H220" s="52">
        <f t="shared" si="12"/>
        <v>0</v>
      </c>
      <c r="I220" s="52">
        <f t="shared" si="13"/>
        <v>0</v>
      </c>
      <c r="J220" s="52">
        <f t="shared" si="14"/>
        <v>0</v>
      </c>
      <c r="K220" s="53">
        <f t="shared" si="15"/>
        <v>0</v>
      </c>
      <c r="L220" s="36"/>
      <c r="M220" s="11">
        <v>60</v>
      </c>
      <c r="N220" s="11">
        <v>52.173913043478258</v>
      </c>
      <c r="O220" s="11">
        <v>37.68</v>
      </c>
      <c r="P220" s="8">
        <v>6</v>
      </c>
      <c r="Q220" s="11">
        <v>14.493913043478258</v>
      </c>
      <c r="R220" s="11">
        <v>10</v>
      </c>
      <c r="S220" s="11">
        <v>8.695652173913043</v>
      </c>
      <c r="T220" s="11">
        <v>6.28</v>
      </c>
      <c r="U220" s="14">
        <v>27.779999999999998</v>
      </c>
      <c r="V220" s="36">
        <f>IFERROR(LOOKUP($C220,#REF!,#REF!),0)</f>
        <v>0</v>
      </c>
      <c r="W220" s="36">
        <f>IFERROR(LOOKUP($C220,#REF!,#REF!),0)</f>
        <v>0</v>
      </c>
      <c r="X220" s="36">
        <f>IFERROR(LOOKUP($C220,#REF!,#REF!),0)</f>
        <v>0</v>
      </c>
      <c r="Y220" s="36">
        <f>IFERROR(LOOKUP($C220,#REF!,#REF!),0)</f>
        <v>0</v>
      </c>
    </row>
    <row r="221" spans="1:25" ht="16.5" customHeight="1" x14ac:dyDescent="0.35">
      <c r="A221" s="3" t="s">
        <v>14</v>
      </c>
      <c r="B221" s="4">
        <v>102</v>
      </c>
      <c r="C221" s="5">
        <v>66951</v>
      </c>
      <c r="D221" s="3" t="s">
        <v>166</v>
      </c>
      <c r="E221" s="6">
        <v>29.99</v>
      </c>
      <c r="F221" s="16">
        <v>28.95</v>
      </c>
      <c r="G221" s="51">
        <v>0</v>
      </c>
      <c r="H221" s="52">
        <f t="shared" si="12"/>
        <v>0</v>
      </c>
      <c r="I221" s="52">
        <f t="shared" si="13"/>
        <v>0</v>
      </c>
      <c r="J221" s="52">
        <f t="shared" si="14"/>
        <v>0</v>
      </c>
      <c r="K221" s="53">
        <f t="shared" si="15"/>
        <v>0</v>
      </c>
      <c r="L221" s="36"/>
      <c r="M221" s="11">
        <v>55.11</v>
      </c>
      <c r="N221" s="11">
        <v>47.92173913043478</v>
      </c>
      <c r="O221" s="11">
        <v>28.558732800000001</v>
      </c>
      <c r="P221" s="8">
        <v>0.49399999999999999</v>
      </c>
      <c r="Q221" s="11">
        <v>19.363006330434779</v>
      </c>
      <c r="R221" s="11">
        <v>111.55870445344129</v>
      </c>
      <c r="S221" s="11">
        <v>97.007569089948944</v>
      </c>
      <c r="T221" s="11">
        <v>57.811200000000007</v>
      </c>
      <c r="U221" s="14">
        <v>40.405475013609134</v>
      </c>
      <c r="V221" s="36">
        <f>IFERROR(LOOKUP($C221,#REF!,#REF!),0)</f>
        <v>0</v>
      </c>
      <c r="W221" s="36">
        <f>IFERROR(LOOKUP($C221,#REF!,#REF!),0)</f>
        <v>0</v>
      </c>
      <c r="X221" s="36">
        <f>IFERROR(LOOKUP($C221,#REF!,#REF!),0)</f>
        <v>0</v>
      </c>
      <c r="Y221" s="36">
        <f>IFERROR(LOOKUP($C221,#REF!,#REF!),0)</f>
        <v>0</v>
      </c>
    </row>
    <row r="222" spans="1:25" ht="16.5" customHeight="1" x14ac:dyDescent="0.35">
      <c r="A222" s="3" t="s">
        <v>14</v>
      </c>
      <c r="B222" s="4">
        <v>102</v>
      </c>
      <c r="C222" s="5">
        <v>66952</v>
      </c>
      <c r="D222" s="3" t="s">
        <v>155</v>
      </c>
      <c r="E222" s="6">
        <v>29.99</v>
      </c>
      <c r="F222" s="16">
        <v>28.95</v>
      </c>
      <c r="G222" s="51">
        <v>0</v>
      </c>
      <c r="H222" s="52">
        <f t="shared" si="12"/>
        <v>0</v>
      </c>
      <c r="I222" s="52">
        <f t="shared" si="13"/>
        <v>0</v>
      </c>
      <c r="J222" s="52">
        <f t="shared" si="14"/>
        <v>0</v>
      </c>
      <c r="K222" s="53">
        <f t="shared" si="15"/>
        <v>0</v>
      </c>
      <c r="L222" s="36"/>
      <c r="M222" s="11">
        <v>53.910000000000004</v>
      </c>
      <c r="N222" s="11">
        <v>46.878260869565224</v>
      </c>
      <c r="O222" s="11">
        <v>27.900000000000006</v>
      </c>
      <c r="P222" s="8">
        <v>9</v>
      </c>
      <c r="Q222" s="11">
        <v>18.978260869565212</v>
      </c>
      <c r="R222" s="11">
        <v>5.99</v>
      </c>
      <c r="S222" s="11">
        <v>5.2086956521739136</v>
      </c>
      <c r="T222" s="11">
        <v>3.1000000000000005</v>
      </c>
      <c r="U222" s="14">
        <v>40.484140233722862</v>
      </c>
      <c r="V222" s="36">
        <f>IFERROR(LOOKUP($C222,#REF!,#REF!),0)</f>
        <v>0</v>
      </c>
      <c r="W222" s="36">
        <f>IFERROR(LOOKUP($C222,#REF!,#REF!),0)</f>
        <v>0</v>
      </c>
      <c r="X222" s="36">
        <f>IFERROR(LOOKUP($C222,#REF!,#REF!),0)</f>
        <v>0</v>
      </c>
      <c r="Y222" s="36">
        <f>IFERROR(LOOKUP($C222,#REF!,#REF!),0)</f>
        <v>0</v>
      </c>
    </row>
    <row r="223" spans="1:25" ht="16.5" customHeight="1" x14ac:dyDescent="0.35">
      <c r="A223" s="3" t="s">
        <v>14</v>
      </c>
      <c r="B223" s="4">
        <v>101</v>
      </c>
      <c r="C223" s="5">
        <v>67140</v>
      </c>
      <c r="D223" s="3" t="s">
        <v>89</v>
      </c>
      <c r="E223" s="6">
        <v>2</v>
      </c>
      <c r="F223" s="16">
        <v>0.68</v>
      </c>
      <c r="G223" s="51">
        <v>0</v>
      </c>
      <c r="H223" s="52">
        <f t="shared" si="12"/>
        <v>0</v>
      </c>
      <c r="I223" s="52">
        <f t="shared" si="13"/>
        <v>0</v>
      </c>
      <c r="J223" s="52">
        <f t="shared" si="14"/>
        <v>0</v>
      </c>
      <c r="K223" s="53">
        <f t="shared" si="15"/>
        <v>0</v>
      </c>
      <c r="L223" s="36"/>
      <c r="M223" s="11">
        <v>39.99</v>
      </c>
      <c r="N223" s="11">
        <v>34.77391304347826</v>
      </c>
      <c r="O223" s="11">
        <v>29.01</v>
      </c>
      <c r="P223" s="8">
        <v>1</v>
      </c>
      <c r="Q223" s="11">
        <v>5.7639130434782579</v>
      </c>
      <c r="R223" s="11">
        <v>39.99</v>
      </c>
      <c r="S223" s="11">
        <v>34.77391304347826</v>
      </c>
      <c r="T223" s="11">
        <v>29.01</v>
      </c>
      <c r="U223" s="14">
        <v>16.57539384846211</v>
      </c>
      <c r="V223" s="36">
        <f>IFERROR(LOOKUP($C223,#REF!,#REF!),0)</f>
        <v>0</v>
      </c>
      <c r="W223" s="36">
        <f>IFERROR(LOOKUP($C223,#REF!,#REF!),0)</f>
        <v>0</v>
      </c>
      <c r="X223" s="36">
        <f>IFERROR(LOOKUP($C223,#REF!,#REF!),0)</f>
        <v>0</v>
      </c>
      <c r="Y223" s="36">
        <f>IFERROR(LOOKUP($C223,#REF!,#REF!),0)</f>
        <v>0</v>
      </c>
    </row>
    <row r="224" spans="1:25" ht="16.5" customHeight="1" x14ac:dyDescent="0.35">
      <c r="A224" s="3" t="s">
        <v>14</v>
      </c>
      <c r="B224" s="4">
        <v>102</v>
      </c>
      <c r="C224" s="5">
        <v>67241</v>
      </c>
      <c r="D224" s="3" t="s">
        <v>200</v>
      </c>
      <c r="E224" s="6">
        <v>15.99</v>
      </c>
      <c r="F224" s="16">
        <v>6.2</v>
      </c>
      <c r="G224" s="51">
        <v>0</v>
      </c>
      <c r="H224" s="52">
        <f t="shared" si="12"/>
        <v>0</v>
      </c>
      <c r="I224" s="52">
        <f t="shared" si="13"/>
        <v>0</v>
      </c>
      <c r="J224" s="52">
        <f t="shared" si="14"/>
        <v>0</v>
      </c>
      <c r="K224" s="53">
        <f t="shared" si="15"/>
        <v>0</v>
      </c>
      <c r="L224" s="36"/>
      <c r="M224" s="11">
        <v>35</v>
      </c>
      <c r="N224" s="11">
        <v>30.434782608695652</v>
      </c>
      <c r="O224" s="11">
        <v>18.060000000000002</v>
      </c>
      <c r="P224" s="8">
        <v>14</v>
      </c>
      <c r="Q224" s="11">
        <v>12.374782608695654</v>
      </c>
      <c r="R224" s="11">
        <v>2.5</v>
      </c>
      <c r="S224" s="11">
        <v>2.1739130434782608</v>
      </c>
      <c r="T224" s="11">
        <v>1.2900000000000003</v>
      </c>
      <c r="U224" s="14">
        <v>40.660000000000004</v>
      </c>
      <c r="V224" s="36">
        <f>IFERROR(LOOKUP($C224,#REF!,#REF!),0)</f>
        <v>0</v>
      </c>
      <c r="W224" s="36">
        <f>IFERROR(LOOKUP($C224,#REF!,#REF!),0)</f>
        <v>0</v>
      </c>
      <c r="X224" s="36">
        <f>IFERROR(LOOKUP($C224,#REF!,#REF!),0)</f>
        <v>0</v>
      </c>
      <c r="Y224" s="36">
        <f>IFERROR(LOOKUP($C224,#REF!,#REF!),0)</f>
        <v>0</v>
      </c>
    </row>
    <row r="225" spans="1:25" ht="16.5" customHeight="1" x14ac:dyDescent="0.35">
      <c r="A225" s="3" t="s">
        <v>14</v>
      </c>
      <c r="B225" s="4">
        <v>102</v>
      </c>
      <c r="C225" s="5">
        <v>67242</v>
      </c>
      <c r="D225" s="3" t="s">
        <v>201</v>
      </c>
      <c r="E225" s="6">
        <v>13.99</v>
      </c>
      <c r="F225" s="16">
        <v>3.8</v>
      </c>
      <c r="G225" s="51">
        <v>0</v>
      </c>
      <c r="H225" s="52">
        <f t="shared" si="12"/>
        <v>0</v>
      </c>
      <c r="I225" s="52">
        <f t="shared" si="13"/>
        <v>0</v>
      </c>
      <c r="J225" s="52">
        <f t="shared" si="14"/>
        <v>0</v>
      </c>
      <c r="K225" s="53">
        <f t="shared" si="15"/>
        <v>0</v>
      </c>
      <c r="L225" s="36"/>
      <c r="M225" s="11">
        <v>29.99</v>
      </c>
      <c r="N225" s="11">
        <v>29.99</v>
      </c>
      <c r="O225" s="11">
        <v>28.95</v>
      </c>
      <c r="P225" s="8">
        <v>1</v>
      </c>
      <c r="Q225" s="11">
        <v>1.0399999999999991</v>
      </c>
      <c r="R225" s="11">
        <v>29.99</v>
      </c>
      <c r="S225" s="11">
        <v>29.99</v>
      </c>
      <c r="T225" s="11">
        <v>28.95</v>
      </c>
      <c r="U225" s="14">
        <v>3.4678226075358429</v>
      </c>
      <c r="V225" s="36">
        <f>IFERROR(LOOKUP($C225,#REF!,#REF!),0)</f>
        <v>0</v>
      </c>
      <c r="W225" s="36">
        <f>IFERROR(LOOKUP($C225,#REF!,#REF!),0)</f>
        <v>0</v>
      </c>
      <c r="X225" s="36">
        <f>IFERROR(LOOKUP($C225,#REF!,#REF!),0)</f>
        <v>0</v>
      </c>
      <c r="Y225" s="36">
        <f>IFERROR(LOOKUP($C225,#REF!,#REF!),0)</f>
        <v>0</v>
      </c>
    </row>
    <row r="226" spans="1:25" ht="16.5" customHeight="1" x14ac:dyDescent="0.35">
      <c r="A226" s="3" t="s">
        <v>14</v>
      </c>
      <c r="B226" s="4">
        <v>102</v>
      </c>
      <c r="C226" s="5">
        <v>67243</v>
      </c>
      <c r="D226" s="3" t="s">
        <v>202</v>
      </c>
      <c r="E226" s="6">
        <v>30.99</v>
      </c>
      <c r="F226" s="16">
        <v>9.5</v>
      </c>
      <c r="G226" s="51">
        <v>0</v>
      </c>
      <c r="H226" s="52">
        <f t="shared" si="12"/>
        <v>0</v>
      </c>
      <c r="I226" s="52">
        <f t="shared" si="13"/>
        <v>0</v>
      </c>
      <c r="J226" s="52">
        <f t="shared" si="14"/>
        <v>0</v>
      </c>
      <c r="K226" s="53">
        <f t="shared" si="15"/>
        <v>0</v>
      </c>
      <c r="L226" s="36"/>
      <c r="M226" s="11">
        <v>15</v>
      </c>
      <c r="N226" s="11">
        <v>13.043478260869565</v>
      </c>
      <c r="O226" s="11">
        <v>10.23</v>
      </c>
      <c r="P226" s="8">
        <v>1</v>
      </c>
      <c r="Q226" s="11">
        <v>2.8134782608695641</v>
      </c>
      <c r="R226" s="11">
        <v>15</v>
      </c>
      <c r="S226" s="11">
        <v>13.043478260869565</v>
      </c>
      <c r="T226" s="11">
        <v>10.23</v>
      </c>
      <c r="U226" s="14">
        <v>21.569999999999993</v>
      </c>
      <c r="V226" s="36">
        <f>IFERROR(LOOKUP($C226,#REF!,#REF!),0)</f>
        <v>0</v>
      </c>
      <c r="W226" s="36">
        <f>IFERROR(LOOKUP($C226,#REF!,#REF!),0)</f>
        <v>0</v>
      </c>
      <c r="X226" s="36">
        <f>IFERROR(LOOKUP($C226,#REF!,#REF!),0)</f>
        <v>0</v>
      </c>
      <c r="Y226" s="36">
        <f>IFERROR(LOOKUP($C226,#REF!,#REF!),0)</f>
        <v>0</v>
      </c>
    </row>
    <row r="227" spans="1:25" ht="16.5" customHeight="1" x14ac:dyDescent="0.35">
      <c r="A227" s="3" t="s">
        <v>14</v>
      </c>
      <c r="B227" s="4">
        <v>102</v>
      </c>
      <c r="C227" s="5">
        <v>67244</v>
      </c>
      <c r="D227" s="3" t="s">
        <v>203</v>
      </c>
      <c r="E227" s="6">
        <v>35.99</v>
      </c>
      <c r="F227" s="16">
        <v>12.5</v>
      </c>
      <c r="G227" s="51">
        <v>0</v>
      </c>
      <c r="H227" s="52">
        <f t="shared" si="12"/>
        <v>0</v>
      </c>
      <c r="I227" s="52">
        <f t="shared" si="13"/>
        <v>0</v>
      </c>
      <c r="J227" s="52">
        <f t="shared" si="14"/>
        <v>0</v>
      </c>
      <c r="K227" s="53">
        <f t="shared" si="15"/>
        <v>0</v>
      </c>
      <c r="L227" s="36"/>
      <c r="M227" s="11">
        <v>15</v>
      </c>
      <c r="N227" s="11">
        <v>13.043478260869565</v>
      </c>
      <c r="O227" s="11">
        <v>7.77</v>
      </c>
      <c r="P227" s="8">
        <v>1</v>
      </c>
      <c r="Q227" s="11">
        <v>5.2734782608695649</v>
      </c>
      <c r="R227" s="11">
        <v>15</v>
      </c>
      <c r="S227" s="11">
        <v>13.043478260869565</v>
      </c>
      <c r="T227" s="11">
        <v>7.77</v>
      </c>
      <c r="U227" s="14">
        <v>40.43</v>
      </c>
      <c r="V227" s="36">
        <f>IFERROR(LOOKUP($C227,#REF!,#REF!),0)</f>
        <v>0</v>
      </c>
      <c r="W227" s="36">
        <f>IFERROR(LOOKUP($C227,#REF!,#REF!),0)</f>
        <v>0</v>
      </c>
      <c r="X227" s="36">
        <f>IFERROR(LOOKUP($C227,#REF!,#REF!),0)</f>
        <v>0</v>
      </c>
      <c r="Y227" s="36">
        <f>IFERROR(LOOKUP($C227,#REF!,#REF!),0)</f>
        <v>0</v>
      </c>
    </row>
    <row r="228" spans="1:25" ht="16.5" customHeight="1" x14ac:dyDescent="0.35">
      <c r="A228" s="3" t="s">
        <v>14</v>
      </c>
      <c r="B228" s="4">
        <v>102</v>
      </c>
      <c r="C228" s="5">
        <v>67245</v>
      </c>
      <c r="D228" s="3" t="s">
        <v>204</v>
      </c>
      <c r="E228" s="6">
        <v>26.99</v>
      </c>
      <c r="F228" s="16">
        <v>7.8</v>
      </c>
      <c r="G228" s="51">
        <v>0</v>
      </c>
      <c r="H228" s="52">
        <f t="shared" si="12"/>
        <v>0</v>
      </c>
      <c r="I228" s="52">
        <f t="shared" si="13"/>
        <v>0</v>
      </c>
      <c r="J228" s="52">
        <f t="shared" si="14"/>
        <v>0</v>
      </c>
      <c r="K228" s="53">
        <f t="shared" si="15"/>
        <v>0</v>
      </c>
      <c r="L228" s="36"/>
      <c r="M228" s="11">
        <v>10.98</v>
      </c>
      <c r="N228" s="11">
        <v>9.5478260869565226</v>
      </c>
      <c r="O228" s="11">
        <v>5.5768000000000004</v>
      </c>
      <c r="P228" s="8">
        <v>2</v>
      </c>
      <c r="Q228" s="11">
        <v>3.9710260869565221</v>
      </c>
      <c r="R228" s="11">
        <v>5.49</v>
      </c>
      <c r="S228" s="11">
        <v>4.7739130434782613</v>
      </c>
      <c r="T228" s="11">
        <v>2.7884000000000002</v>
      </c>
      <c r="U228" s="14">
        <v>41.590892531876136</v>
      </c>
      <c r="V228" s="36">
        <f>IFERROR(LOOKUP($C228,#REF!,#REF!),0)</f>
        <v>0</v>
      </c>
      <c r="W228" s="36">
        <f>IFERROR(LOOKUP($C228,#REF!,#REF!),0)</f>
        <v>0</v>
      </c>
      <c r="X228" s="36">
        <f>IFERROR(LOOKUP($C228,#REF!,#REF!),0)</f>
        <v>0</v>
      </c>
      <c r="Y228" s="36">
        <f>IFERROR(LOOKUP($C228,#REF!,#REF!),0)</f>
        <v>0</v>
      </c>
    </row>
    <row r="229" spans="1:25" ht="16.5" customHeight="1" x14ac:dyDescent="0.35">
      <c r="A229" s="3" t="s">
        <v>14</v>
      </c>
      <c r="B229" s="4">
        <v>102</v>
      </c>
      <c r="C229" s="5">
        <v>67246</v>
      </c>
      <c r="D229" s="3" t="s">
        <v>94</v>
      </c>
      <c r="E229" s="6">
        <v>26.99</v>
      </c>
      <c r="F229" s="16">
        <v>7.8</v>
      </c>
      <c r="G229" s="51">
        <v>0</v>
      </c>
      <c r="H229" s="52">
        <f t="shared" si="12"/>
        <v>0</v>
      </c>
      <c r="I229" s="52">
        <f t="shared" si="13"/>
        <v>0</v>
      </c>
      <c r="J229" s="52">
        <f t="shared" si="14"/>
        <v>0</v>
      </c>
      <c r="K229" s="53">
        <f t="shared" si="15"/>
        <v>0</v>
      </c>
      <c r="L229" s="36"/>
      <c r="M229" s="11">
        <v>10</v>
      </c>
      <c r="N229" s="11">
        <v>8.695652173913043</v>
      </c>
      <c r="O229" s="11">
        <v>5.04</v>
      </c>
      <c r="P229" s="8">
        <v>1</v>
      </c>
      <c r="Q229" s="11">
        <v>3.655652173913043</v>
      </c>
      <c r="R229" s="11">
        <v>10</v>
      </c>
      <c r="S229" s="11">
        <v>8.695652173913043</v>
      </c>
      <c r="T229" s="11">
        <v>5.04</v>
      </c>
      <c r="U229" s="14">
        <v>42.039999999999992</v>
      </c>
      <c r="V229" s="36">
        <f>IFERROR(LOOKUP($C229,#REF!,#REF!),0)</f>
        <v>0</v>
      </c>
      <c r="W229" s="36">
        <f>IFERROR(LOOKUP($C229,#REF!,#REF!),0)</f>
        <v>0</v>
      </c>
      <c r="X229" s="36">
        <f>IFERROR(LOOKUP($C229,#REF!,#REF!),0)</f>
        <v>0</v>
      </c>
      <c r="Y229" s="36">
        <f>IFERROR(LOOKUP($C229,#REF!,#REF!),0)</f>
        <v>0</v>
      </c>
    </row>
    <row r="230" spans="1:25" ht="16.5" customHeight="1" x14ac:dyDescent="0.35">
      <c r="A230" s="3" t="s">
        <v>14</v>
      </c>
      <c r="B230" s="4">
        <v>102</v>
      </c>
      <c r="C230" s="5">
        <v>67247</v>
      </c>
      <c r="D230" s="3" t="s">
        <v>205</v>
      </c>
      <c r="E230" s="6">
        <v>15.99</v>
      </c>
      <c r="F230" s="16">
        <v>8.0500000000000007</v>
      </c>
      <c r="G230" s="51">
        <v>0</v>
      </c>
      <c r="H230" s="52">
        <f t="shared" si="12"/>
        <v>0</v>
      </c>
      <c r="I230" s="52">
        <f t="shared" si="13"/>
        <v>0</v>
      </c>
      <c r="J230" s="52">
        <f t="shared" si="14"/>
        <v>0</v>
      </c>
      <c r="K230" s="53">
        <f t="shared" si="15"/>
        <v>0</v>
      </c>
      <c r="L230" s="36"/>
      <c r="M230" s="11">
        <v>7.99</v>
      </c>
      <c r="N230" s="11">
        <v>6.947826086956522</v>
      </c>
      <c r="O230" s="11">
        <v>5.54</v>
      </c>
      <c r="P230" s="8">
        <v>1</v>
      </c>
      <c r="Q230" s="11">
        <v>1.4078260869565229</v>
      </c>
      <c r="R230" s="11">
        <v>7.99</v>
      </c>
      <c r="S230" s="11">
        <v>6.947826086956522</v>
      </c>
      <c r="T230" s="11">
        <v>5.54</v>
      </c>
      <c r="U230" s="14">
        <v>20.262828535669598</v>
      </c>
      <c r="V230" s="36">
        <f>IFERROR(LOOKUP($C230,#REF!,#REF!),0)</f>
        <v>0</v>
      </c>
      <c r="W230" s="36">
        <f>IFERROR(LOOKUP($C230,#REF!,#REF!),0)</f>
        <v>0</v>
      </c>
      <c r="X230" s="36">
        <f>IFERROR(LOOKUP($C230,#REF!,#REF!),0)</f>
        <v>0</v>
      </c>
      <c r="Y230" s="36">
        <f>IFERROR(LOOKUP($C230,#REF!,#REF!),0)</f>
        <v>0</v>
      </c>
    </row>
    <row r="231" spans="1:25" ht="16.5" customHeight="1" x14ac:dyDescent="0.35">
      <c r="A231" s="3" t="s">
        <v>14</v>
      </c>
      <c r="B231" s="4">
        <v>102</v>
      </c>
      <c r="C231" s="5">
        <v>67301</v>
      </c>
      <c r="D231" s="3" t="s">
        <v>206</v>
      </c>
      <c r="E231" s="6">
        <v>15.99</v>
      </c>
      <c r="F231" s="16">
        <v>9.99</v>
      </c>
      <c r="G231" s="51">
        <v>0</v>
      </c>
      <c r="H231" s="52">
        <f t="shared" si="12"/>
        <v>0</v>
      </c>
      <c r="I231" s="52">
        <f t="shared" si="13"/>
        <v>0</v>
      </c>
      <c r="J231" s="52">
        <f t="shared" si="14"/>
        <v>0</v>
      </c>
      <c r="K231" s="53">
        <f t="shared" si="15"/>
        <v>0</v>
      </c>
      <c r="L231" s="36"/>
      <c r="M231" s="11">
        <v>0</v>
      </c>
      <c r="N231" s="11">
        <v>0</v>
      </c>
      <c r="O231" s="11">
        <v>0</v>
      </c>
      <c r="P231" s="8">
        <v>0</v>
      </c>
      <c r="Q231" s="11">
        <v>0</v>
      </c>
      <c r="R231" s="11">
        <v>0</v>
      </c>
      <c r="S231" s="11">
        <v>0</v>
      </c>
      <c r="T231" s="11">
        <v>0</v>
      </c>
      <c r="U231" s="14">
        <v>0</v>
      </c>
      <c r="V231" s="36">
        <f>IFERROR(LOOKUP($C231,#REF!,#REF!),0)</f>
        <v>0</v>
      </c>
      <c r="W231" s="36">
        <f>IFERROR(LOOKUP($C231,#REF!,#REF!),0)</f>
        <v>0</v>
      </c>
      <c r="X231" s="36">
        <f>IFERROR(LOOKUP($C231,#REF!,#REF!),0)</f>
        <v>0</v>
      </c>
      <c r="Y231" s="36">
        <f>IFERROR(LOOKUP($C231,#REF!,#REF!),0)</f>
        <v>0</v>
      </c>
    </row>
    <row r="232" spans="1:25" ht="16.5" customHeight="1" x14ac:dyDescent="0.35">
      <c r="A232" s="3" t="s">
        <v>14</v>
      </c>
      <c r="B232" s="4">
        <v>101</v>
      </c>
      <c r="C232" s="5">
        <v>32858</v>
      </c>
      <c r="D232" s="3" t="s">
        <v>34</v>
      </c>
      <c r="E232" s="6">
        <v>3.8</v>
      </c>
      <c r="F232" s="16">
        <v>1.3</v>
      </c>
      <c r="G232" s="51">
        <v>0</v>
      </c>
      <c r="H232" s="52">
        <f t="shared" si="12"/>
        <v>0</v>
      </c>
      <c r="I232" s="52">
        <f t="shared" si="13"/>
        <v>0</v>
      </c>
      <c r="J232" s="52">
        <f t="shared" si="14"/>
        <v>0</v>
      </c>
      <c r="K232" s="53">
        <f t="shared" si="15"/>
        <v>0</v>
      </c>
      <c r="L232" s="36"/>
      <c r="M232" s="11">
        <v>0</v>
      </c>
      <c r="N232" s="11">
        <v>0</v>
      </c>
      <c r="O232" s="11">
        <v>0</v>
      </c>
      <c r="P232" s="8">
        <v>0</v>
      </c>
      <c r="Q232" s="11">
        <v>0</v>
      </c>
      <c r="R232" s="11">
        <v>0</v>
      </c>
      <c r="S232" s="11">
        <v>0</v>
      </c>
      <c r="T232" s="11">
        <v>0</v>
      </c>
      <c r="U232" s="14">
        <v>0</v>
      </c>
      <c r="V232" s="36">
        <f>IFERROR(LOOKUP($C232,#REF!,#REF!),0)</f>
        <v>0</v>
      </c>
      <c r="W232" s="36">
        <f>IFERROR(LOOKUP($C232,#REF!,#REF!),0)</f>
        <v>0</v>
      </c>
      <c r="X232" s="36">
        <f>IFERROR(LOOKUP($C232,#REF!,#REF!),0)</f>
        <v>0</v>
      </c>
      <c r="Y232" s="36">
        <f>IFERROR(LOOKUP($C232,#REF!,#REF!),0)</f>
        <v>0</v>
      </c>
    </row>
    <row r="233" spans="1:25" ht="16.5" customHeight="1" x14ac:dyDescent="0.35">
      <c r="A233" s="3" t="s">
        <v>14</v>
      </c>
      <c r="B233" s="4">
        <v>101</v>
      </c>
      <c r="C233" s="5">
        <v>32859</v>
      </c>
      <c r="D233" s="3" t="s">
        <v>20</v>
      </c>
      <c r="E233" s="6">
        <v>20.99</v>
      </c>
      <c r="F233" s="16">
        <v>7.46</v>
      </c>
      <c r="G233" s="51">
        <v>104.666666666667</v>
      </c>
      <c r="H233" s="52">
        <f t="shared" si="12"/>
        <v>2196.9533333333402</v>
      </c>
      <c r="I233" s="52">
        <f t="shared" si="13"/>
        <v>780.81333333333578</v>
      </c>
      <c r="J233" s="52">
        <f t="shared" si="14"/>
        <v>1416.1400000000044</v>
      </c>
      <c r="K233" s="53">
        <f t="shared" si="15"/>
        <v>64.459266317293952</v>
      </c>
      <c r="L233" s="36"/>
      <c r="M233" s="11">
        <v>0</v>
      </c>
      <c r="N233" s="11">
        <v>0</v>
      </c>
      <c r="O233" s="11">
        <v>0</v>
      </c>
      <c r="P233" s="8">
        <v>0</v>
      </c>
      <c r="Q233" s="11">
        <v>0</v>
      </c>
      <c r="R233" s="11">
        <v>0</v>
      </c>
      <c r="S233" s="11">
        <v>0</v>
      </c>
      <c r="T233" s="11">
        <v>0</v>
      </c>
      <c r="U233" s="14">
        <v>0</v>
      </c>
      <c r="V233" s="36">
        <f>IFERROR(LOOKUP($C233,#REF!,#REF!),0)</f>
        <v>0</v>
      </c>
      <c r="W233" s="36">
        <f>IFERROR(LOOKUP($C233,#REF!,#REF!),0)</f>
        <v>0</v>
      </c>
      <c r="X233" s="36">
        <f>IFERROR(LOOKUP($C233,#REF!,#REF!),0)</f>
        <v>0</v>
      </c>
      <c r="Y233" s="36">
        <f>IFERROR(LOOKUP($C233,#REF!,#REF!),0)</f>
        <v>0</v>
      </c>
    </row>
    <row r="234" spans="1:25" ht="16.5" customHeight="1" x14ac:dyDescent="0.35">
      <c r="A234" s="3" t="s">
        <v>35</v>
      </c>
      <c r="B234" s="4">
        <v>102</v>
      </c>
      <c r="C234" s="5">
        <v>33032</v>
      </c>
      <c r="D234" s="3" t="s">
        <v>160</v>
      </c>
      <c r="E234" s="6">
        <v>28.99</v>
      </c>
      <c r="F234" s="16">
        <v>14.6126666666667</v>
      </c>
      <c r="G234" s="51">
        <v>0</v>
      </c>
      <c r="H234" s="52">
        <f t="shared" si="12"/>
        <v>0</v>
      </c>
      <c r="I234" s="52">
        <f t="shared" si="13"/>
        <v>0</v>
      </c>
      <c r="J234" s="52">
        <f t="shared" si="14"/>
        <v>0</v>
      </c>
      <c r="K234" s="53">
        <f t="shared" si="15"/>
        <v>0</v>
      </c>
      <c r="L234" s="36"/>
      <c r="M234" s="11">
        <v>0</v>
      </c>
      <c r="N234" s="11">
        <v>0</v>
      </c>
      <c r="O234" s="11">
        <v>0</v>
      </c>
      <c r="P234" s="8">
        <v>0</v>
      </c>
      <c r="Q234" s="11">
        <v>0</v>
      </c>
      <c r="R234" s="11">
        <v>0</v>
      </c>
      <c r="S234" s="11">
        <v>0</v>
      </c>
      <c r="T234" s="11">
        <v>0</v>
      </c>
      <c r="U234" s="14">
        <v>0</v>
      </c>
      <c r="V234" s="36">
        <f>IFERROR(LOOKUP($C234,#REF!,#REF!),0)</f>
        <v>0</v>
      </c>
      <c r="W234" s="36">
        <f>IFERROR(LOOKUP($C234,#REF!,#REF!),0)</f>
        <v>0</v>
      </c>
      <c r="X234" s="36">
        <f>IFERROR(LOOKUP($C234,#REF!,#REF!),0)</f>
        <v>0</v>
      </c>
      <c r="Y234" s="36">
        <f>IFERROR(LOOKUP($C234,#REF!,#REF!),0)</f>
        <v>0</v>
      </c>
    </row>
    <row r="235" spans="1:25" ht="16.5" customHeight="1" x14ac:dyDescent="0.35">
      <c r="A235" s="3" t="s">
        <v>19</v>
      </c>
      <c r="B235" s="4">
        <v>102</v>
      </c>
      <c r="C235" s="5">
        <v>34015</v>
      </c>
      <c r="D235" s="3" t="s">
        <v>106</v>
      </c>
      <c r="E235" s="6">
        <v>29.99</v>
      </c>
      <c r="F235" s="16">
        <v>3.1788888888888902</v>
      </c>
      <c r="G235" s="51">
        <v>6</v>
      </c>
      <c r="H235" s="52">
        <f t="shared" si="12"/>
        <v>179.94</v>
      </c>
      <c r="I235" s="52">
        <f t="shared" si="13"/>
        <v>19.073333333333341</v>
      </c>
      <c r="J235" s="52">
        <f t="shared" si="14"/>
        <v>160.86666666666665</v>
      </c>
      <c r="K235" s="53">
        <f t="shared" si="15"/>
        <v>89.400170427179418</v>
      </c>
      <c r="L235" s="36"/>
      <c r="M235" s="11">
        <v>0</v>
      </c>
      <c r="N235" s="11">
        <v>0</v>
      </c>
      <c r="O235" s="11">
        <v>0</v>
      </c>
      <c r="P235" s="8">
        <v>0</v>
      </c>
      <c r="Q235" s="11">
        <v>0</v>
      </c>
      <c r="R235" s="11">
        <v>0</v>
      </c>
      <c r="S235" s="11">
        <v>0</v>
      </c>
      <c r="T235" s="11">
        <v>0</v>
      </c>
      <c r="U235" s="14">
        <v>0</v>
      </c>
      <c r="V235" s="36">
        <f>IFERROR(LOOKUP($C235,#REF!,#REF!),0)</f>
        <v>0</v>
      </c>
      <c r="W235" s="36">
        <f>IFERROR(LOOKUP($C235,#REF!,#REF!),0)</f>
        <v>0</v>
      </c>
      <c r="X235" s="36">
        <f>IFERROR(LOOKUP($C235,#REF!,#REF!),0)</f>
        <v>0</v>
      </c>
      <c r="Y235" s="36">
        <f>IFERROR(LOOKUP($C235,#REF!,#REF!),0)</f>
        <v>0</v>
      </c>
    </row>
    <row r="236" spans="1:25" ht="16.5" customHeight="1" x14ac:dyDescent="0.35">
      <c r="A236" s="3" t="s">
        <v>19</v>
      </c>
      <c r="B236" s="4">
        <v>101</v>
      </c>
      <c r="C236" s="5">
        <v>34047</v>
      </c>
      <c r="D236" s="3" t="s">
        <v>87</v>
      </c>
      <c r="E236" s="6">
        <v>3.99</v>
      </c>
      <c r="F236" s="16">
        <v>2.120625</v>
      </c>
      <c r="G236" s="51">
        <v>0</v>
      </c>
      <c r="H236" s="52">
        <f t="shared" si="12"/>
        <v>0</v>
      </c>
      <c r="I236" s="52">
        <f t="shared" si="13"/>
        <v>0</v>
      </c>
      <c r="J236" s="52">
        <f t="shared" si="14"/>
        <v>0</v>
      </c>
      <c r="K236" s="53">
        <f t="shared" si="15"/>
        <v>0</v>
      </c>
      <c r="L236" s="36"/>
      <c r="M236" s="11">
        <v>0</v>
      </c>
      <c r="N236" s="11">
        <v>0</v>
      </c>
      <c r="O236" s="11">
        <v>0</v>
      </c>
      <c r="P236" s="8">
        <v>0</v>
      </c>
      <c r="Q236" s="11">
        <v>0</v>
      </c>
      <c r="R236" s="11">
        <v>0</v>
      </c>
      <c r="S236" s="11">
        <v>0</v>
      </c>
      <c r="T236" s="11">
        <v>0</v>
      </c>
      <c r="U236" s="14">
        <v>0</v>
      </c>
      <c r="V236" s="36">
        <f>IFERROR(LOOKUP($C236,#REF!,#REF!),0)</f>
        <v>0</v>
      </c>
      <c r="W236" s="36">
        <f>IFERROR(LOOKUP($C236,#REF!,#REF!),0)</f>
        <v>0</v>
      </c>
      <c r="X236" s="36">
        <f>IFERROR(LOOKUP($C236,#REF!,#REF!),0)</f>
        <v>0</v>
      </c>
      <c r="Y236" s="36">
        <f>IFERROR(LOOKUP($C236,#REF!,#REF!),0)</f>
        <v>0</v>
      </c>
    </row>
    <row r="237" spans="1:25" ht="16.5" customHeight="1" x14ac:dyDescent="0.35">
      <c r="A237" s="3" t="s">
        <v>19</v>
      </c>
      <c r="B237" s="4">
        <v>101</v>
      </c>
      <c r="C237" s="5">
        <v>34132</v>
      </c>
      <c r="D237" s="3" t="s">
        <v>55</v>
      </c>
      <c r="E237" s="6">
        <v>3.99</v>
      </c>
      <c r="F237" s="16">
        <v>2.1095999999999999</v>
      </c>
      <c r="G237" s="51">
        <v>0</v>
      </c>
      <c r="H237" s="52">
        <f t="shared" si="12"/>
        <v>0</v>
      </c>
      <c r="I237" s="52">
        <f t="shared" si="13"/>
        <v>0</v>
      </c>
      <c r="J237" s="52">
        <f t="shared" si="14"/>
        <v>0</v>
      </c>
      <c r="K237" s="53">
        <f t="shared" si="15"/>
        <v>0</v>
      </c>
      <c r="L237" s="36"/>
      <c r="M237" s="11">
        <v>0</v>
      </c>
      <c r="N237" s="11">
        <v>0</v>
      </c>
      <c r="O237" s="11">
        <v>0</v>
      </c>
      <c r="P237" s="8">
        <v>0</v>
      </c>
      <c r="Q237" s="11">
        <v>0</v>
      </c>
      <c r="R237" s="11">
        <v>0</v>
      </c>
      <c r="S237" s="11">
        <v>0</v>
      </c>
      <c r="T237" s="11">
        <v>0</v>
      </c>
      <c r="U237" s="14">
        <v>0</v>
      </c>
      <c r="V237" s="36">
        <f>IFERROR(LOOKUP($C237,#REF!,#REF!),0)</f>
        <v>0</v>
      </c>
      <c r="W237" s="36">
        <f>IFERROR(LOOKUP($C237,#REF!,#REF!),0)</f>
        <v>0</v>
      </c>
      <c r="X237" s="36">
        <f>IFERROR(LOOKUP($C237,#REF!,#REF!),0)</f>
        <v>0</v>
      </c>
      <c r="Y237" s="36">
        <f>IFERROR(LOOKUP($C237,#REF!,#REF!),0)</f>
        <v>0</v>
      </c>
    </row>
    <row r="238" spans="1:25" ht="16.5" customHeight="1" x14ac:dyDescent="0.35">
      <c r="A238" s="3" t="s">
        <v>19</v>
      </c>
      <c r="B238" s="4">
        <v>101</v>
      </c>
      <c r="C238" s="5">
        <v>34141</v>
      </c>
      <c r="D238" s="3" t="s">
        <v>24</v>
      </c>
      <c r="E238" s="6">
        <v>5</v>
      </c>
      <c r="F238" s="16">
        <v>3.3388749999999998</v>
      </c>
      <c r="G238" s="51">
        <v>144</v>
      </c>
      <c r="H238" s="52">
        <f t="shared" si="12"/>
        <v>720</v>
      </c>
      <c r="I238" s="52">
        <f t="shared" si="13"/>
        <v>480.798</v>
      </c>
      <c r="J238" s="52">
        <f t="shared" si="14"/>
        <v>239.202</v>
      </c>
      <c r="K238" s="53">
        <f t="shared" si="15"/>
        <v>33.222499999999997</v>
      </c>
      <c r="L238" s="36"/>
      <c r="M238" s="11">
        <v>0</v>
      </c>
      <c r="N238" s="11">
        <v>0</v>
      </c>
      <c r="O238" s="11">
        <v>0</v>
      </c>
      <c r="P238" s="8">
        <v>0</v>
      </c>
      <c r="Q238" s="11">
        <v>0</v>
      </c>
      <c r="R238" s="11">
        <v>0</v>
      </c>
      <c r="S238" s="11">
        <v>0</v>
      </c>
      <c r="T238" s="11">
        <v>0</v>
      </c>
      <c r="U238" s="14">
        <v>0</v>
      </c>
      <c r="V238" s="36">
        <f>IFERROR(LOOKUP($C238,#REF!,#REF!),0)</f>
        <v>0</v>
      </c>
      <c r="W238" s="36">
        <f>IFERROR(LOOKUP($C238,#REF!,#REF!),0)</f>
        <v>0</v>
      </c>
      <c r="X238" s="36">
        <f>IFERROR(LOOKUP($C238,#REF!,#REF!),0)</f>
        <v>0</v>
      </c>
      <c r="Y238" s="36">
        <f>IFERROR(LOOKUP($C238,#REF!,#REF!),0)</f>
        <v>0</v>
      </c>
    </row>
    <row r="239" spans="1:25" ht="16.5" customHeight="1" x14ac:dyDescent="0.35">
      <c r="A239" s="3" t="s">
        <v>14</v>
      </c>
      <c r="B239" s="4">
        <v>101</v>
      </c>
      <c r="C239" s="5">
        <v>34687</v>
      </c>
      <c r="D239" s="3" t="s">
        <v>40</v>
      </c>
      <c r="E239" s="6">
        <v>3</v>
      </c>
      <c r="F239" s="16">
        <v>1.53</v>
      </c>
      <c r="G239" s="51">
        <v>0</v>
      </c>
      <c r="H239" s="52">
        <f t="shared" si="12"/>
        <v>0</v>
      </c>
      <c r="I239" s="52">
        <f t="shared" si="13"/>
        <v>0</v>
      </c>
      <c r="J239" s="52">
        <f t="shared" si="14"/>
        <v>0</v>
      </c>
      <c r="K239" s="53">
        <f t="shared" si="15"/>
        <v>0</v>
      </c>
      <c r="L239" s="36"/>
      <c r="M239" s="11">
        <v>0</v>
      </c>
      <c r="N239" s="11">
        <v>0</v>
      </c>
      <c r="O239" s="11">
        <v>0</v>
      </c>
      <c r="P239" s="8">
        <v>0</v>
      </c>
      <c r="Q239" s="11">
        <v>0</v>
      </c>
      <c r="R239" s="11">
        <v>0</v>
      </c>
      <c r="S239" s="11">
        <v>0</v>
      </c>
      <c r="T239" s="11">
        <v>0</v>
      </c>
      <c r="U239" s="14">
        <v>0</v>
      </c>
      <c r="V239" s="36">
        <f>IFERROR(LOOKUP($C239,#REF!,#REF!),0)</f>
        <v>0</v>
      </c>
      <c r="W239" s="36">
        <f>IFERROR(LOOKUP($C239,#REF!,#REF!),0)</f>
        <v>0</v>
      </c>
      <c r="X239" s="36">
        <f>IFERROR(LOOKUP($C239,#REF!,#REF!),0)</f>
        <v>0</v>
      </c>
      <c r="Y239" s="36">
        <f>IFERROR(LOOKUP($C239,#REF!,#REF!),0)</f>
        <v>0</v>
      </c>
    </row>
    <row r="240" spans="1:25" ht="16.5" customHeight="1" x14ac:dyDescent="0.35">
      <c r="A240" s="3" t="s">
        <v>35</v>
      </c>
      <c r="B240" s="4">
        <v>102</v>
      </c>
      <c r="C240" s="5">
        <v>38815</v>
      </c>
      <c r="D240" s="3" t="s">
        <v>184</v>
      </c>
      <c r="E240" s="6">
        <v>10.85</v>
      </c>
      <c r="F240" s="16">
        <v>5.9984999999999999</v>
      </c>
      <c r="G240" s="51">
        <v>0</v>
      </c>
      <c r="H240" s="52">
        <f t="shared" si="12"/>
        <v>0</v>
      </c>
      <c r="I240" s="52">
        <f t="shared" si="13"/>
        <v>0</v>
      </c>
      <c r="J240" s="52">
        <f t="shared" si="14"/>
        <v>0</v>
      </c>
      <c r="K240" s="53">
        <f t="shared" si="15"/>
        <v>0</v>
      </c>
      <c r="L240" s="36"/>
      <c r="M240" s="11">
        <v>0</v>
      </c>
      <c r="N240" s="11">
        <v>0</v>
      </c>
      <c r="O240" s="11">
        <v>0</v>
      </c>
      <c r="P240" s="8">
        <v>0</v>
      </c>
      <c r="Q240" s="11">
        <v>0</v>
      </c>
      <c r="R240" s="11">
        <v>0</v>
      </c>
      <c r="S240" s="11">
        <v>0</v>
      </c>
      <c r="T240" s="11">
        <v>0</v>
      </c>
      <c r="U240" s="14">
        <v>0</v>
      </c>
      <c r="V240" s="36">
        <f>IFERROR(LOOKUP($C240,#REF!,#REF!),0)</f>
        <v>0</v>
      </c>
      <c r="W240" s="36">
        <f>IFERROR(LOOKUP($C240,#REF!,#REF!),0)</f>
        <v>0</v>
      </c>
      <c r="X240" s="36">
        <f>IFERROR(LOOKUP($C240,#REF!,#REF!),0)</f>
        <v>0</v>
      </c>
      <c r="Y240" s="36">
        <f>IFERROR(LOOKUP($C240,#REF!,#REF!),0)</f>
        <v>0</v>
      </c>
    </row>
    <row r="241" spans="1:25" ht="16.5" customHeight="1" x14ac:dyDescent="0.35">
      <c r="A241" s="3" t="s">
        <v>35</v>
      </c>
      <c r="B241" s="4">
        <v>102</v>
      </c>
      <c r="C241" s="5">
        <v>38816</v>
      </c>
      <c r="D241" s="3" t="s">
        <v>185</v>
      </c>
      <c r="E241" s="6">
        <v>7.99</v>
      </c>
      <c r="F241" s="16">
        <v>4.1159999999999997</v>
      </c>
      <c r="G241" s="51">
        <v>0</v>
      </c>
      <c r="H241" s="52">
        <f t="shared" si="12"/>
        <v>0</v>
      </c>
      <c r="I241" s="52">
        <f t="shared" si="13"/>
        <v>0</v>
      </c>
      <c r="J241" s="52">
        <f t="shared" si="14"/>
        <v>0</v>
      </c>
      <c r="K241" s="53">
        <f t="shared" si="15"/>
        <v>0</v>
      </c>
      <c r="L241" s="36"/>
      <c r="M241" s="11">
        <v>0</v>
      </c>
      <c r="N241" s="11">
        <v>0</v>
      </c>
      <c r="O241" s="11">
        <v>0</v>
      </c>
      <c r="P241" s="8">
        <v>0</v>
      </c>
      <c r="Q241" s="11">
        <v>0</v>
      </c>
      <c r="R241" s="11">
        <v>0</v>
      </c>
      <c r="S241" s="11">
        <v>0</v>
      </c>
      <c r="T241" s="11">
        <v>0</v>
      </c>
      <c r="U241" s="14">
        <v>0</v>
      </c>
      <c r="V241" s="36">
        <f>IFERROR(LOOKUP($C241,#REF!,#REF!),0)</f>
        <v>0</v>
      </c>
      <c r="W241" s="36">
        <f>IFERROR(LOOKUP($C241,#REF!,#REF!),0)</f>
        <v>0</v>
      </c>
      <c r="X241" s="36">
        <f>IFERROR(LOOKUP($C241,#REF!,#REF!),0)</f>
        <v>0</v>
      </c>
      <c r="Y241" s="36">
        <f>IFERROR(LOOKUP($C241,#REF!,#REF!),0)</f>
        <v>0</v>
      </c>
    </row>
    <row r="242" spans="1:25" ht="16.5" customHeight="1" x14ac:dyDescent="0.35">
      <c r="A242" s="3" t="s">
        <v>35</v>
      </c>
      <c r="B242" s="4">
        <v>102</v>
      </c>
      <c r="C242" s="5">
        <v>38908</v>
      </c>
      <c r="D242" s="3" t="s">
        <v>186</v>
      </c>
      <c r="E242" s="6">
        <v>7.99</v>
      </c>
      <c r="F242" s="16">
        <v>4.3630833333333303</v>
      </c>
      <c r="G242" s="51">
        <v>0</v>
      </c>
      <c r="H242" s="52">
        <f t="shared" si="12"/>
        <v>0</v>
      </c>
      <c r="I242" s="52">
        <f t="shared" si="13"/>
        <v>0</v>
      </c>
      <c r="J242" s="52">
        <f t="shared" si="14"/>
        <v>0</v>
      </c>
      <c r="K242" s="53">
        <f t="shared" si="15"/>
        <v>0</v>
      </c>
      <c r="L242" s="36"/>
      <c r="M242" s="11">
        <v>0</v>
      </c>
      <c r="N242" s="11">
        <v>0</v>
      </c>
      <c r="O242" s="11">
        <v>0</v>
      </c>
      <c r="P242" s="8">
        <v>0</v>
      </c>
      <c r="Q242" s="11">
        <v>0</v>
      </c>
      <c r="R242" s="11">
        <v>0</v>
      </c>
      <c r="S242" s="11">
        <v>0</v>
      </c>
      <c r="T242" s="11">
        <v>0</v>
      </c>
      <c r="U242" s="14">
        <v>0</v>
      </c>
      <c r="V242" s="36">
        <f>IFERROR(LOOKUP($C242,#REF!,#REF!),0)</f>
        <v>0</v>
      </c>
      <c r="W242" s="36">
        <f>IFERROR(LOOKUP($C242,#REF!,#REF!),0)</f>
        <v>0</v>
      </c>
      <c r="X242" s="36">
        <f>IFERROR(LOOKUP($C242,#REF!,#REF!),0)</f>
        <v>0</v>
      </c>
      <c r="Y242" s="36">
        <f>IFERROR(LOOKUP($C242,#REF!,#REF!),0)</f>
        <v>0</v>
      </c>
    </row>
    <row r="243" spans="1:25" ht="16.5" customHeight="1" x14ac:dyDescent="0.35">
      <c r="A243" s="3" t="s">
        <v>35</v>
      </c>
      <c r="B243" s="4">
        <v>102</v>
      </c>
      <c r="C243" s="5">
        <v>38983</v>
      </c>
      <c r="D243" s="3" t="s">
        <v>187</v>
      </c>
      <c r="E243" s="6">
        <v>10.85</v>
      </c>
      <c r="F243" s="16">
        <v>5.9984999999999999</v>
      </c>
      <c r="G243" s="51">
        <v>0</v>
      </c>
      <c r="H243" s="52">
        <f t="shared" si="12"/>
        <v>0</v>
      </c>
      <c r="I243" s="52">
        <f t="shared" si="13"/>
        <v>0</v>
      </c>
      <c r="J243" s="52">
        <f t="shared" si="14"/>
        <v>0</v>
      </c>
      <c r="K243" s="53">
        <f t="shared" si="15"/>
        <v>0</v>
      </c>
      <c r="L243" s="36"/>
      <c r="M243" s="11">
        <v>0</v>
      </c>
      <c r="N243" s="11">
        <v>0</v>
      </c>
      <c r="O243" s="11">
        <v>0</v>
      </c>
      <c r="P243" s="8">
        <v>0</v>
      </c>
      <c r="Q243" s="11">
        <v>0</v>
      </c>
      <c r="R243" s="11">
        <v>0</v>
      </c>
      <c r="S243" s="11">
        <v>0</v>
      </c>
      <c r="T243" s="11">
        <v>0</v>
      </c>
      <c r="U243" s="14">
        <v>0</v>
      </c>
      <c r="V243" s="36">
        <f>IFERROR(LOOKUP($C243,#REF!,#REF!),0)</f>
        <v>0</v>
      </c>
      <c r="W243" s="36">
        <f>IFERROR(LOOKUP($C243,#REF!,#REF!),0)</f>
        <v>0</v>
      </c>
      <c r="X243" s="36">
        <f>IFERROR(LOOKUP($C243,#REF!,#REF!),0)</f>
        <v>0</v>
      </c>
      <c r="Y243" s="36">
        <f>IFERROR(LOOKUP($C243,#REF!,#REF!),0)</f>
        <v>0</v>
      </c>
    </row>
    <row r="244" spans="1:25" ht="16.5" customHeight="1" x14ac:dyDescent="0.35">
      <c r="A244" s="3" t="s">
        <v>35</v>
      </c>
      <c r="B244" s="4">
        <v>102</v>
      </c>
      <c r="C244" s="5">
        <v>39025</v>
      </c>
      <c r="D244" s="3" t="s">
        <v>188</v>
      </c>
      <c r="E244" s="6">
        <v>330.99</v>
      </c>
      <c r="F244" s="16">
        <v>182.6</v>
      </c>
      <c r="G244" s="51">
        <v>0</v>
      </c>
      <c r="H244" s="52">
        <f t="shared" si="12"/>
        <v>0</v>
      </c>
      <c r="I244" s="52">
        <f t="shared" si="13"/>
        <v>0</v>
      </c>
      <c r="J244" s="52">
        <f t="shared" si="14"/>
        <v>0</v>
      </c>
      <c r="K244" s="53">
        <f t="shared" si="15"/>
        <v>0</v>
      </c>
      <c r="L244" s="36"/>
      <c r="M244" s="11">
        <v>0</v>
      </c>
      <c r="N244" s="11">
        <v>0</v>
      </c>
      <c r="O244" s="11">
        <v>0</v>
      </c>
      <c r="P244" s="8">
        <v>0</v>
      </c>
      <c r="Q244" s="11">
        <v>0</v>
      </c>
      <c r="R244" s="11">
        <v>0</v>
      </c>
      <c r="S244" s="11">
        <v>0</v>
      </c>
      <c r="T244" s="11">
        <v>0</v>
      </c>
      <c r="U244" s="14">
        <v>0</v>
      </c>
      <c r="V244" s="36">
        <f>IFERROR(LOOKUP($C244,#REF!,#REF!),0)</f>
        <v>0</v>
      </c>
      <c r="W244" s="36">
        <f>IFERROR(LOOKUP($C244,#REF!,#REF!),0)</f>
        <v>0</v>
      </c>
      <c r="X244" s="36">
        <f>IFERROR(LOOKUP($C244,#REF!,#REF!),0)</f>
        <v>0</v>
      </c>
      <c r="Y244" s="36">
        <f>IFERROR(LOOKUP($C244,#REF!,#REF!),0)</f>
        <v>0</v>
      </c>
    </row>
    <row r="245" spans="1:25" ht="16.5" customHeight="1" x14ac:dyDescent="0.35">
      <c r="A245" s="3" t="s">
        <v>35</v>
      </c>
      <c r="B245" s="4">
        <v>102</v>
      </c>
      <c r="C245" s="5">
        <v>39421</v>
      </c>
      <c r="D245" s="3" t="s">
        <v>189</v>
      </c>
      <c r="E245" s="6">
        <v>28.99</v>
      </c>
      <c r="F245" s="16">
        <v>16.567</v>
      </c>
      <c r="G245" s="51">
        <v>0</v>
      </c>
      <c r="H245" s="52">
        <f t="shared" si="12"/>
        <v>0</v>
      </c>
      <c r="I245" s="52">
        <f t="shared" si="13"/>
        <v>0</v>
      </c>
      <c r="J245" s="52">
        <f t="shared" si="14"/>
        <v>0</v>
      </c>
      <c r="K245" s="53">
        <f t="shared" si="15"/>
        <v>0</v>
      </c>
      <c r="L245" s="36"/>
      <c r="M245" s="11">
        <v>0</v>
      </c>
      <c r="N245" s="11">
        <v>0</v>
      </c>
      <c r="O245" s="11">
        <v>0</v>
      </c>
      <c r="P245" s="8">
        <v>0</v>
      </c>
      <c r="Q245" s="11">
        <v>0</v>
      </c>
      <c r="R245" s="11">
        <v>0</v>
      </c>
      <c r="S245" s="11">
        <v>0</v>
      </c>
      <c r="T245" s="11">
        <v>0</v>
      </c>
      <c r="U245" s="14">
        <v>0</v>
      </c>
      <c r="V245" s="36">
        <f>IFERROR(LOOKUP($C245,#REF!,#REF!),0)</f>
        <v>0</v>
      </c>
      <c r="W245" s="36">
        <f>IFERROR(LOOKUP($C245,#REF!,#REF!),0)</f>
        <v>0</v>
      </c>
      <c r="X245" s="36">
        <f>IFERROR(LOOKUP($C245,#REF!,#REF!),0)</f>
        <v>0</v>
      </c>
      <c r="Y245" s="36">
        <f>IFERROR(LOOKUP($C245,#REF!,#REF!),0)</f>
        <v>0</v>
      </c>
    </row>
    <row r="246" spans="1:25" ht="16.5" customHeight="1" x14ac:dyDescent="0.35">
      <c r="A246" s="3" t="s">
        <v>35</v>
      </c>
      <c r="B246" s="4">
        <v>102</v>
      </c>
      <c r="C246" s="5">
        <v>39963</v>
      </c>
      <c r="D246" s="3" t="s">
        <v>190</v>
      </c>
      <c r="E246" s="6">
        <v>5.4</v>
      </c>
      <c r="F246" s="16">
        <v>2.9407999999999999</v>
      </c>
      <c r="G246" s="51">
        <v>0</v>
      </c>
      <c r="H246" s="52">
        <f t="shared" si="12"/>
        <v>0</v>
      </c>
      <c r="I246" s="52">
        <f t="shared" si="13"/>
        <v>0</v>
      </c>
      <c r="J246" s="52">
        <f t="shared" si="14"/>
        <v>0</v>
      </c>
      <c r="K246" s="53">
        <f t="shared" si="15"/>
        <v>0</v>
      </c>
      <c r="L246" s="36"/>
      <c r="M246" s="11">
        <v>0</v>
      </c>
      <c r="N246" s="11">
        <v>0</v>
      </c>
      <c r="O246" s="11">
        <v>0</v>
      </c>
      <c r="P246" s="8">
        <v>0</v>
      </c>
      <c r="Q246" s="11">
        <v>0</v>
      </c>
      <c r="R246" s="11">
        <v>0</v>
      </c>
      <c r="S246" s="11">
        <v>0</v>
      </c>
      <c r="T246" s="11">
        <v>0</v>
      </c>
      <c r="U246" s="14">
        <v>0</v>
      </c>
      <c r="V246" s="36">
        <f>IFERROR(LOOKUP($C246,#REF!,#REF!),0)</f>
        <v>0</v>
      </c>
      <c r="W246" s="36">
        <f>IFERROR(LOOKUP($C246,#REF!,#REF!),0)</f>
        <v>0</v>
      </c>
      <c r="X246" s="36">
        <f>IFERROR(LOOKUP($C246,#REF!,#REF!),0)</f>
        <v>0</v>
      </c>
      <c r="Y246" s="36">
        <f>IFERROR(LOOKUP($C246,#REF!,#REF!),0)</f>
        <v>0</v>
      </c>
    </row>
    <row r="247" spans="1:25" ht="16.5" customHeight="1" x14ac:dyDescent="0.35">
      <c r="A247" s="3" t="s">
        <v>14</v>
      </c>
      <c r="B247" s="4">
        <v>101</v>
      </c>
      <c r="C247" s="5">
        <v>40158</v>
      </c>
      <c r="D247" s="3" t="s">
        <v>58</v>
      </c>
      <c r="E247" s="6">
        <v>11.99</v>
      </c>
      <c r="F247" s="16">
        <v>6.05</v>
      </c>
      <c r="G247" s="51">
        <v>0</v>
      </c>
      <c r="H247" s="52">
        <f t="shared" si="12"/>
        <v>0</v>
      </c>
      <c r="I247" s="52">
        <f t="shared" si="13"/>
        <v>0</v>
      </c>
      <c r="J247" s="52">
        <f t="shared" si="14"/>
        <v>0</v>
      </c>
      <c r="K247" s="53">
        <f t="shared" si="15"/>
        <v>0</v>
      </c>
      <c r="L247" s="36"/>
      <c r="M247" s="11">
        <v>0</v>
      </c>
      <c r="N247" s="11">
        <v>0</v>
      </c>
      <c r="O247" s="11">
        <v>0</v>
      </c>
      <c r="P247" s="8">
        <v>0</v>
      </c>
      <c r="Q247" s="11">
        <v>0</v>
      </c>
      <c r="R247" s="11">
        <v>0</v>
      </c>
      <c r="S247" s="11">
        <v>0</v>
      </c>
      <c r="T247" s="11">
        <v>0</v>
      </c>
      <c r="U247" s="14">
        <v>0</v>
      </c>
      <c r="V247" s="36">
        <f>IFERROR(LOOKUP($C247,#REF!,#REF!),0)</f>
        <v>0</v>
      </c>
      <c r="W247" s="36">
        <f>IFERROR(LOOKUP($C247,#REF!,#REF!),0)</f>
        <v>0</v>
      </c>
      <c r="X247" s="36">
        <f>IFERROR(LOOKUP($C247,#REF!,#REF!),0)</f>
        <v>0</v>
      </c>
      <c r="Y247" s="36">
        <f>IFERROR(LOOKUP($C247,#REF!,#REF!),0)</f>
        <v>0</v>
      </c>
    </row>
    <row r="248" spans="1:25" ht="16.5" customHeight="1" x14ac:dyDescent="0.35">
      <c r="A248" s="3" t="s">
        <v>35</v>
      </c>
      <c r="B248" s="4">
        <v>102</v>
      </c>
      <c r="C248" s="5">
        <v>40364</v>
      </c>
      <c r="D248" s="3" t="s">
        <v>191</v>
      </c>
      <c r="E248" s="6">
        <v>4.99</v>
      </c>
      <c r="F248" s="16">
        <v>2.8072499999999998</v>
      </c>
      <c r="G248" s="51">
        <v>0</v>
      </c>
      <c r="H248" s="52">
        <f t="shared" si="12"/>
        <v>0</v>
      </c>
      <c r="I248" s="52">
        <f t="shared" si="13"/>
        <v>0</v>
      </c>
      <c r="J248" s="52">
        <f t="shared" si="14"/>
        <v>0</v>
      </c>
      <c r="K248" s="53">
        <f t="shared" si="15"/>
        <v>0</v>
      </c>
      <c r="L248" s="36"/>
      <c r="M248" s="11">
        <v>0</v>
      </c>
      <c r="N248" s="11">
        <v>0</v>
      </c>
      <c r="O248" s="11">
        <v>0</v>
      </c>
      <c r="P248" s="8">
        <v>0</v>
      </c>
      <c r="Q248" s="11">
        <v>0</v>
      </c>
      <c r="R248" s="11">
        <v>0</v>
      </c>
      <c r="S248" s="11">
        <v>0</v>
      </c>
      <c r="T248" s="11">
        <v>0</v>
      </c>
      <c r="U248" s="14">
        <v>0</v>
      </c>
      <c r="V248" s="36">
        <f>IFERROR(LOOKUP($C248,#REF!,#REF!),0)</f>
        <v>0</v>
      </c>
      <c r="W248" s="36">
        <f>IFERROR(LOOKUP($C248,#REF!,#REF!),0)</f>
        <v>0</v>
      </c>
      <c r="X248" s="36">
        <f>IFERROR(LOOKUP($C248,#REF!,#REF!),0)</f>
        <v>0</v>
      </c>
      <c r="Y248" s="36">
        <f>IFERROR(LOOKUP($C248,#REF!,#REF!),0)</f>
        <v>0</v>
      </c>
    </row>
    <row r="249" spans="1:25" ht="16.5" customHeight="1" x14ac:dyDescent="0.35">
      <c r="A249" s="3" t="s">
        <v>19</v>
      </c>
      <c r="B249" s="4">
        <v>102</v>
      </c>
      <c r="C249" s="5">
        <v>42674</v>
      </c>
      <c r="D249" s="3" t="s">
        <v>183</v>
      </c>
      <c r="E249" s="6">
        <v>5.49</v>
      </c>
      <c r="F249" s="16">
        <v>2.7884166666666701</v>
      </c>
      <c r="G249" s="51">
        <v>0</v>
      </c>
      <c r="H249" s="52">
        <f t="shared" si="12"/>
        <v>0</v>
      </c>
      <c r="I249" s="52">
        <f t="shared" si="13"/>
        <v>0</v>
      </c>
      <c r="J249" s="52">
        <f t="shared" si="14"/>
        <v>0</v>
      </c>
      <c r="K249" s="53">
        <f t="shared" si="15"/>
        <v>0</v>
      </c>
      <c r="L249" s="36"/>
      <c r="M249" s="11">
        <v>0</v>
      </c>
      <c r="N249" s="11">
        <v>0</v>
      </c>
      <c r="O249" s="11">
        <v>0</v>
      </c>
      <c r="P249" s="8">
        <v>0</v>
      </c>
      <c r="Q249" s="11">
        <v>0</v>
      </c>
      <c r="R249" s="11">
        <v>0</v>
      </c>
      <c r="S249" s="11">
        <v>0</v>
      </c>
      <c r="T249" s="11">
        <v>0</v>
      </c>
      <c r="U249" s="14">
        <v>0</v>
      </c>
      <c r="V249" s="36">
        <f>IFERROR(LOOKUP($C249,#REF!,#REF!),0)</f>
        <v>0</v>
      </c>
      <c r="W249" s="36">
        <f>IFERROR(LOOKUP($C249,#REF!,#REF!),0)</f>
        <v>0</v>
      </c>
      <c r="X249" s="36">
        <f>IFERROR(LOOKUP($C249,#REF!,#REF!),0)</f>
        <v>0</v>
      </c>
      <c r="Y249" s="36">
        <f>IFERROR(LOOKUP($C249,#REF!,#REF!),0)</f>
        <v>0</v>
      </c>
    </row>
    <row r="250" spans="1:25" ht="16.5" customHeight="1" x14ac:dyDescent="0.35">
      <c r="A250" s="18" t="s">
        <v>371</v>
      </c>
      <c r="B250" s="19">
        <v>102</v>
      </c>
      <c r="C250" s="20">
        <v>42797</v>
      </c>
      <c r="D250" s="18" t="s">
        <v>99</v>
      </c>
      <c r="E250" s="21">
        <v>11.99</v>
      </c>
      <c r="F250" s="37">
        <v>4.968</v>
      </c>
      <c r="G250" s="51">
        <v>0</v>
      </c>
      <c r="H250" s="52">
        <f t="shared" si="12"/>
        <v>0</v>
      </c>
      <c r="I250" s="52">
        <f t="shared" si="13"/>
        <v>0</v>
      </c>
      <c r="J250" s="52">
        <f t="shared" si="14"/>
        <v>0</v>
      </c>
      <c r="K250" s="53">
        <f t="shared" si="15"/>
        <v>0</v>
      </c>
      <c r="L250" s="36"/>
      <c r="M250" s="11">
        <v>0</v>
      </c>
      <c r="N250" s="11">
        <v>0</v>
      </c>
      <c r="O250" s="11">
        <v>0</v>
      </c>
      <c r="P250" s="8">
        <v>0</v>
      </c>
      <c r="Q250" s="11">
        <v>0</v>
      </c>
      <c r="R250" s="11">
        <v>0</v>
      </c>
      <c r="S250" s="11">
        <v>0</v>
      </c>
      <c r="T250" s="11">
        <v>0</v>
      </c>
      <c r="U250" s="14">
        <v>0</v>
      </c>
      <c r="V250" s="36">
        <f>IFERROR(LOOKUP($C250,#REF!,#REF!),0)</f>
        <v>0</v>
      </c>
      <c r="W250" s="36">
        <f>IFERROR(LOOKUP($C250,#REF!,#REF!),0)</f>
        <v>0</v>
      </c>
      <c r="X250" s="36">
        <f>IFERROR(LOOKUP($C250,#REF!,#REF!),0)</f>
        <v>0</v>
      </c>
      <c r="Y250" s="36">
        <f>IFERROR(LOOKUP($C250,#REF!,#REF!),0)</f>
        <v>0</v>
      </c>
    </row>
    <row r="251" spans="1:25" ht="16.5" customHeight="1" x14ac:dyDescent="0.35">
      <c r="A251" s="3" t="s">
        <v>371</v>
      </c>
      <c r="B251" s="4">
        <v>101</v>
      </c>
      <c r="C251" s="5">
        <v>43420</v>
      </c>
      <c r="D251" s="3" t="s">
        <v>77</v>
      </c>
      <c r="E251" s="6">
        <v>13.99</v>
      </c>
      <c r="F251" s="16">
        <v>6.5</v>
      </c>
      <c r="G251" s="51">
        <v>0</v>
      </c>
      <c r="H251" s="52">
        <f t="shared" si="12"/>
        <v>0</v>
      </c>
      <c r="I251" s="52">
        <f t="shared" si="13"/>
        <v>0</v>
      </c>
      <c r="J251" s="52">
        <f t="shared" si="14"/>
        <v>0</v>
      </c>
      <c r="K251" s="53">
        <f t="shared" si="15"/>
        <v>0</v>
      </c>
      <c r="L251" s="36"/>
      <c r="M251" s="11">
        <v>0</v>
      </c>
      <c r="N251" s="11">
        <v>0</v>
      </c>
      <c r="O251" s="11">
        <v>0</v>
      </c>
      <c r="P251" s="8">
        <v>0</v>
      </c>
      <c r="Q251" s="11">
        <v>0</v>
      </c>
      <c r="R251" s="11">
        <v>0</v>
      </c>
      <c r="S251" s="11">
        <v>0</v>
      </c>
      <c r="T251" s="11">
        <v>0</v>
      </c>
      <c r="U251" s="14">
        <v>0</v>
      </c>
      <c r="V251" s="36">
        <f>IFERROR(LOOKUP($C251,#REF!,#REF!),0)</f>
        <v>0</v>
      </c>
      <c r="W251" s="36">
        <f>IFERROR(LOOKUP($C251,#REF!,#REF!),0)</f>
        <v>0</v>
      </c>
      <c r="X251" s="36">
        <f>IFERROR(LOOKUP($C251,#REF!,#REF!),0)</f>
        <v>0</v>
      </c>
      <c r="Y251" s="36">
        <f>IFERROR(LOOKUP($C251,#REF!,#REF!),0)</f>
        <v>0</v>
      </c>
    </row>
    <row r="252" spans="1:25" ht="16.5" customHeight="1" x14ac:dyDescent="0.35">
      <c r="A252" s="3" t="s">
        <v>19</v>
      </c>
      <c r="B252" s="4">
        <v>102</v>
      </c>
      <c r="C252" s="5">
        <v>46909</v>
      </c>
      <c r="D252" s="3" t="s">
        <v>152</v>
      </c>
      <c r="E252" s="6">
        <v>10.99</v>
      </c>
      <c r="F252" s="16">
        <v>5.7054999999999998</v>
      </c>
      <c r="G252" s="51">
        <v>0</v>
      </c>
      <c r="H252" s="52">
        <f t="shared" si="12"/>
        <v>0</v>
      </c>
      <c r="I252" s="52">
        <f t="shared" si="13"/>
        <v>0</v>
      </c>
      <c r="J252" s="52">
        <f t="shared" si="14"/>
        <v>0</v>
      </c>
      <c r="K252" s="53">
        <f t="shared" si="15"/>
        <v>0</v>
      </c>
      <c r="L252" s="36"/>
      <c r="M252" s="11">
        <v>0</v>
      </c>
      <c r="N252" s="11">
        <v>0</v>
      </c>
      <c r="O252" s="11">
        <v>0</v>
      </c>
      <c r="P252" s="8">
        <v>0</v>
      </c>
      <c r="Q252" s="11">
        <v>0</v>
      </c>
      <c r="R252" s="11">
        <v>0</v>
      </c>
      <c r="S252" s="11">
        <v>0</v>
      </c>
      <c r="T252" s="11">
        <v>0</v>
      </c>
      <c r="U252" s="14">
        <v>0</v>
      </c>
      <c r="V252" s="36">
        <f>IFERROR(LOOKUP($C252,#REF!,#REF!),0)</f>
        <v>0</v>
      </c>
      <c r="W252" s="36">
        <f>IFERROR(LOOKUP($C252,#REF!,#REF!),0)</f>
        <v>0</v>
      </c>
      <c r="X252" s="36">
        <f>IFERROR(LOOKUP($C252,#REF!,#REF!),0)</f>
        <v>0</v>
      </c>
      <c r="Y252" s="36">
        <f>IFERROR(LOOKUP($C252,#REF!,#REF!),0)</f>
        <v>0</v>
      </c>
    </row>
    <row r="253" spans="1:25" ht="16.5" customHeight="1" x14ac:dyDescent="0.35">
      <c r="A253" s="3" t="s">
        <v>19</v>
      </c>
      <c r="B253" s="4">
        <v>109</v>
      </c>
      <c r="C253" s="5">
        <v>48604</v>
      </c>
      <c r="D253" s="3" t="s">
        <v>250</v>
      </c>
      <c r="E253" s="6">
        <v>189.99</v>
      </c>
      <c r="F253" s="16">
        <v>107.69199999999999</v>
      </c>
      <c r="G253" s="51">
        <v>0</v>
      </c>
      <c r="H253" s="52">
        <f t="shared" si="12"/>
        <v>0</v>
      </c>
      <c r="I253" s="52">
        <f t="shared" si="13"/>
        <v>0</v>
      </c>
      <c r="J253" s="52">
        <f t="shared" si="14"/>
        <v>0</v>
      </c>
      <c r="K253" s="53">
        <f t="shared" si="15"/>
        <v>0</v>
      </c>
      <c r="L253" s="36"/>
      <c r="M253" s="11">
        <v>0</v>
      </c>
      <c r="N253" s="11">
        <v>0</v>
      </c>
      <c r="O253" s="11">
        <v>0</v>
      </c>
      <c r="P253" s="8">
        <v>0</v>
      </c>
      <c r="Q253" s="11">
        <v>0</v>
      </c>
      <c r="R253" s="11">
        <v>0</v>
      </c>
      <c r="S253" s="11">
        <v>0</v>
      </c>
      <c r="T253" s="11">
        <v>0</v>
      </c>
      <c r="U253" s="14">
        <v>0</v>
      </c>
      <c r="V253" s="36">
        <f>IFERROR(LOOKUP($C253,#REF!,#REF!),0)</f>
        <v>0</v>
      </c>
      <c r="W253" s="36">
        <f>IFERROR(LOOKUP($C253,#REF!,#REF!),0)</f>
        <v>0</v>
      </c>
      <c r="X253" s="36">
        <f>IFERROR(LOOKUP($C253,#REF!,#REF!),0)</f>
        <v>0</v>
      </c>
      <c r="Y253" s="36">
        <f>IFERROR(LOOKUP($C253,#REF!,#REF!),0)</f>
        <v>0</v>
      </c>
    </row>
    <row r="254" spans="1:25" ht="16.5" customHeight="1" x14ac:dyDescent="0.35">
      <c r="A254" s="3" t="s">
        <v>35</v>
      </c>
      <c r="B254" s="4">
        <v>102</v>
      </c>
      <c r="C254" s="5">
        <v>48620</v>
      </c>
      <c r="D254" s="3" t="s">
        <v>153</v>
      </c>
      <c r="E254" s="6">
        <v>37.99</v>
      </c>
      <c r="F254" s="16">
        <v>19.462499999999999</v>
      </c>
      <c r="G254" s="51">
        <v>0</v>
      </c>
      <c r="H254" s="52">
        <f t="shared" si="12"/>
        <v>0</v>
      </c>
      <c r="I254" s="52">
        <f t="shared" si="13"/>
        <v>0</v>
      </c>
      <c r="J254" s="52">
        <f t="shared" si="14"/>
        <v>0</v>
      </c>
      <c r="K254" s="53">
        <f t="shared" si="15"/>
        <v>0</v>
      </c>
      <c r="L254" s="36"/>
      <c r="M254" s="11">
        <v>0</v>
      </c>
      <c r="N254" s="11">
        <v>0</v>
      </c>
      <c r="O254" s="11">
        <v>0</v>
      </c>
      <c r="P254" s="8">
        <v>0</v>
      </c>
      <c r="Q254" s="11">
        <v>0</v>
      </c>
      <c r="R254" s="11">
        <v>0</v>
      </c>
      <c r="S254" s="11">
        <v>0</v>
      </c>
      <c r="T254" s="11">
        <v>0</v>
      </c>
      <c r="U254" s="14">
        <v>0</v>
      </c>
      <c r="V254" s="36">
        <f>IFERROR(LOOKUP($C254,#REF!,#REF!),0)</f>
        <v>0</v>
      </c>
      <c r="W254" s="36">
        <f>IFERROR(LOOKUP($C254,#REF!,#REF!),0)</f>
        <v>0</v>
      </c>
      <c r="X254" s="36">
        <f>IFERROR(LOOKUP($C254,#REF!,#REF!),0)</f>
        <v>0</v>
      </c>
      <c r="Y254" s="36">
        <f>IFERROR(LOOKUP($C254,#REF!,#REF!),0)</f>
        <v>0</v>
      </c>
    </row>
    <row r="255" spans="1:25" ht="16.5" customHeight="1" x14ac:dyDescent="0.35">
      <c r="A255" s="3" t="s">
        <v>35</v>
      </c>
      <c r="B255" s="4">
        <v>102</v>
      </c>
      <c r="C255" s="5">
        <v>48683</v>
      </c>
      <c r="D255" s="3" t="s">
        <v>192</v>
      </c>
      <c r="E255" s="6">
        <v>11.99</v>
      </c>
      <c r="F255" s="16">
        <v>7.0248571428571402</v>
      </c>
      <c r="G255" s="51">
        <v>0</v>
      </c>
      <c r="H255" s="52">
        <f t="shared" si="12"/>
        <v>0</v>
      </c>
      <c r="I255" s="52">
        <f t="shared" si="13"/>
        <v>0</v>
      </c>
      <c r="J255" s="52">
        <f t="shared" si="14"/>
        <v>0</v>
      </c>
      <c r="K255" s="53">
        <f t="shared" si="15"/>
        <v>0</v>
      </c>
      <c r="L255" s="36"/>
      <c r="M255" s="11">
        <v>0</v>
      </c>
      <c r="N255" s="11">
        <v>0</v>
      </c>
      <c r="O255" s="11">
        <v>0</v>
      </c>
      <c r="P255" s="8">
        <v>0</v>
      </c>
      <c r="Q255" s="11">
        <v>0</v>
      </c>
      <c r="R255" s="11">
        <v>0</v>
      </c>
      <c r="S255" s="11">
        <v>0</v>
      </c>
      <c r="T255" s="11">
        <v>0</v>
      </c>
      <c r="U255" s="14">
        <v>0</v>
      </c>
      <c r="V255" s="36">
        <f>IFERROR(LOOKUP($C255,#REF!,#REF!),0)</f>
        <v>0</v>
      </c>
      <c r="W255" s="36">
        <f>IFERROR(LOOKUP($C255,#REF!,#REF!),0)</f>
        <v>0</v>
      </c>
      <c r="X255" s="36">
        <f>IFERROR(LOOKUP($C255,#REF!,#REF!),0)</f>
        <v>0</v>
      </c>
      <c r="Y255" s="36">
        <f>IFERROR(LOOKUP($C255,#REF!,#REF!),0)</f>
        <v>0</v>
      </c>
    </row>
    <row r="256" spans="1:25" ht="16.5" customHeight="1" x14ac:dyDescent="0.35">
      <c r="A256" s="3" t="s">
        <v>19</v>
      </c>
      <c r="B256" s="4">
        <v>101</v>
      </c>
      <c r="C256" s="5">
        <v>50037</v>
      </c>
      <c r="D256" s="3" t="s">
        <v>22</v>
      </c>
      <c r="E256" s="6">
        <v>25.99</v>
      </c>
      <c r="F256" s="16">
        <v>13.4</v>
      </c>
      <c r="G256" s="51">
        <v>65</v>
      </c>
      <c r="H256" s="52">
        <f t="shared" si="12"/>
        <v>1689.35</v>
      </c>
      <c r="I256" s="52">
        <f t="shared" si="13"/>
        <v>871</v>
      </c>
      <c r="J256" s="52">
        <f t="shared" si="14"/>
        <v>818.34999999999991</v>
      </c>
      <c r="K256" s="53">
        <f t="shared" si="15"/>
        <v>48.441708349365136</v>
      </c>
      <c r="L256" s="36"/>
      <c r="M256" s="11">
        <v>0</v>
      </c>
      <c r="N256" s="11">
        <v>0</v>
      </c>
      <c r="O256" s="11">
        <v>0</v>
      </c>
      <c r="P256" s="8">
        <v>0</v>
      </c>
      <c r="Q256" s="11">
        <v>0</v>
      </c>
      <c r="R256" s="11">
        <v>0</v>
      </c>
      <c r="S256" s="11">
        <v>0</v>
      </c>
      <c r="T256" s="11">
        <v>0</v>
      </c>
      <c r="U256" s="14">
        <v>0</v>
      </c>
      <c r="V256" s="36">
        <f>IFERROR(LOOKUP($C256,#REF!,#REF!),0)</f>
        <v>0</v>
      </c>
      <c r="W256" s="36">
        <f>IFERROR(LOOKUP($C256,#REF!,#REF!),0)</f>
        <v>0</v>
      </c>
      <c r="X256" s="36">
        <f>IFERROR(LOOKUP($C256,#REF!,#REF!),0)</f>
        <v>0</v>
      </c>
      <c r="Y256" s="36">
        <f>IFERROR(LOOKUP($C256,#REF!,#REF!),0)</f>
        <v>0</v>
      </c>
    </row>
    <row r="257" spans="1:25" ht="16.5" customHeight="1" x14ac:dyDescent="0.35">
      <c r="A257" s="3" t="s">
        <v>19</v>
      </c>
      <c r="B257" s="4">
        <v>101</v>
      </c>
      <c r="C257" s="5">
        <v>51680</v>
      </c>
      <c r="D257" s="3" t="s">
        <v>33</v>
      </c>
      <c r="E257" s="6">
        <v>21.99</v>
      </c>
      <c r="F257" s="16">
        <v>12.14</v>
      </c>
      <c r="G257" s="51">
        <v>34</v>
      </c>
      <c r="H257" s="52">
        <f t="shared" si="12"/>
        <v>747.66</v>
      </c>
      <c r="I257" s="52">
        <f t="shared" si="13"/>
        <v>412.76</v>
      </c>
      <c r="J257" s="52">
        <f t="shared" si="14"/>
        <v>334.9</v>
      </c>
      <c r="K257" s="53">
        <f t="shared" si="15"/>
        <v>44.793087767166895</v>
      </c>
      <c r="L257" s="36"/>
      <c r="M257" s="11">
        <v>0</v>
      </c>
      <c r="N257" s="11">
        <v>0</v>
      </c>
      <c r="O257" s="11">
        <v>0</v>
      </c>
      <c r="P257" s="8">
        <v>0</v>
      </c>
      <c r="Q257" s="11">
        <v>0</v>
      </c>
      <c r="R257" s="11">
        <v>0</v>
      </c>
      <c r="S257" s="11">
        <v>0</v>
      </c>
      <c r="T257" s="11">
        <v>0</v>
      </c>
      <c r="U257" s="14">
        <v>0</v>
      </c>
      <c r="V257" s="36">
        <f>IFERROR(LOOKUP($C257,#REF!,#REF!),0)</f>
        <v>0</v>
      </c>
      <c r="W257" s="36">
        <f>IFERROR(LOOKUP($C257,#REF!,#REF!),0)</f>
        <v>0</v>
      </c>
      <c r="X257" s="36">
        <f>IFERROR(LOOKUP($C257,#REF!,#REF!),0)</f>
        <v>0</v>
      </c>
      <c r="Y257" s="36">
        <f>IFERROR(LOOKUP($C257,#REF!,#REF!),0)</f>
        <v>0</v>
      </c>
    </row>
    <row r="258" spans="1:25" ht="16.5" customHeight="1" x14ac:dyDescent="0.35">
      <c r="A258" s="3" t="s">
        <v>35</v>
      </c>
      <c r="B258" s="4">
        <v>102</v>
      </c>
      <c r="C258" s="5">
        <v>54652</v>
      </c>
      <c r="D258" s="3" t="s">
        <v>193</v>
      </c>
      <c r="E258" s="6">
        <v>21.99</v>
      </c>
      <c r="F258" s="16">
        <v>10.989750000000001</v>
      </c>
      <c r="G258" s="51">
        <v>0</v>
      </c>
      <c r="H258" s="52">
        <f t="shared" si="12"/>
        <v>0</v>
      </c>
      <c r="I258" s="52">
        <f t="shared" si="13"/>
        <v>0</v>
      </c>
      <c r="J258" s="52">
        <f t="shared" si="14"/>
        <v>0</v>
      </c>
      <c r="K258" s="53">
        <f t="shared" si="15"/>
        <v>0</v>
      </c>
      <c r="L258" s="36"/>
      <c r="M258" s="11">
        <v>0</v>
      </c>
      <c r="N258" s="11">
        <v>0</v>
      </c>
      <c r="O258" s="11">
        <v>0</v>
      </c>
      <c r="P258" s="8">
        <v>0</v>
      </c>
      <c r="Q258" s="11">
        <v>0</v>
      </c>
      <c r="R258" s="11">
        <v>0</v>
      </c>
      <c r="S258" s="11">
        <v>0</v>
      </c>
      <c r="T258" s="11">
        <v>0</v>
      </c>
      <c r="U258" s="14">
        <v>0</v>
      </c>
      <c r="V258" s="36">
        <f>IFERROR(LOOKUP($C258,#REF!,#REF!),0)</f>
        <v>0</v>
      </c>
      <c r="W258" s="36">
        <f>IFERROR(LOOKUP($C258,#REF!,#REF!),0)</f>
        <v>0</v>
      </c>
      <c r="X258" s="36">
        <f>IFERROR(LOOKUP($C258,#REF!,#REF!),0)</f>
        <v>0</v>
      </c>
      <c r="Y258" s="36">
        <f>IFERROR(LOOKUP($C258,#REF!,#REF!),0)</f>
        <v>0</v>
      </c>
    </row>
    <row r="259" spans="1:25" ht="16.5" customHeight="1" x14ac:dyDescent="0.35">
      <c r="A259" s="3" t="s">
        <v>19</v>
      </c>
      <c r="B259" s="4">
        <v>102</v>
      </c>
      <c r="C259" s="5">
        <v>56514</v>
      </c>
      <c r="D259" s="3" t="s">
        <v>194</v>
      </c>
      <c r="E259" s="6">
        <v>269.99</v>
      </c>
      <c r="F259" s="16">
        <v>141.47833333333301</v>
      </c>
      <c r="G259" s="51">
        <v>0</v>
      </c>
      <c r="H259" s="52">
        <f t="shared" si="12"/>
        <v>0</v>
      </c>
      <c r="I259" s="52">
        <f t="shared" si="13"/>
        <v>0</v>
      </c>
      <c r="J259" s="52">
        <f t="shared" si="14"/>
        <v>0</v>
      </c>
      <c r="K259" s="53">
        <f t="shared" si="15"/>
        <v>0</v>
      </c>
      <c r="L259" s="36"/>
      <c r="M259" s="11">
        <v>0</v>
      </c>
      <c r="N259" s="11">
        <v>0</v>
      </c>
      <c r="O259" s="11">
        <v>0</v>
      </c>
      <c r="P259" s="8">
        <v>0</v>
      </c>
      <c r="Q259" s="11">
        <v>0</v>
      </c>
      <c r="R259" s="11">
        <v>0</v>
      </c>
      <c r="S259" s="11">
        <v>0</v>
      </c>
      <c r="T259" s="11">
        <v>0</v>
      </c>
      <c r="U259" s="14">
        <v>0</v>
      </c>
      <c r="V259" s="36">
        <f>IFERROR(LOOKUP($C259,#REF!,#REF!),0)</f>
        <v>0</v>
      </c>
      <c r="W259" s="36">
        <f>IFERROR(LOOKUP($C259,#REF!,#REF!),0)</f>
        <v>0</v>
      </c>
      <c r="X259" s="36">
        <f>IFERROR(LOOKUP($C259,#REF!,#REF!),0)</f>
        <v>0</v>
      </c>
      <c r="Y259" s="36">
        <f>IFERROR(LOOKUP($C259,#REF!,#REF!),0)</f>
        <v>0</v>
      </c>
    </row>
    <row r="260" spans="1:25" ht="16.5" customHeight="1" x14ac:dyDescent="0.35">
      <c r="A260" s="3" t="s">
        <v>19</v>
      </c>
      <c r="B260" s="4">
        <v>1138</v>
      </c>
      <c r="C260" s="5">
        <v>57870</v>
      </c>
      <c r="D260" s="3" t="s">
        <v>287</v>
      </c>
      <c r="E260" s="6">
        <v>0</v>
      </c>
      <c r="F260" s="16">
        <v>120.14</v>
      </c>
      <c r="G260" s="51">
        <v>0</v>
      </c>
      <c r="H260" s="52">
        <f t="shared" ref="H260:H290" si="16">E260*G260</f>
        <v>0</v>
      </c>
      <c r="I260" s="52">
        <f t="shared" ref="I260:I290" si="17">F260*G260</f>
        <v>0</v>
      </c>
      <c r="J260" s="52">
        <f t="shared" ref="J260:J290" si="18">H260-I260</f>
        <v>0</v>
      </c>
      <c r="K260" s="53">
        <f t="shared" si="15"/>
        <v>0</v>
      </c>
      <c r="L260" s="36"/>
      <c r="M260" s="11">
        <v>0</v>
      </c>
      <c r="N260" s="11">
        <v>0</v>
      </c>
      <c r="O260" s="11">
        <v>0</v>
      </c>
      <c r="P260" s="8">
        <v>0</v>
      </c>
      <c r="Q260" s="11">
        <v>0</v>
      </c>
      <c r="R260" s="11">
        <v>0</v>
      </c>
      <c r="S260" s="11">
        <v>0</v>
      </c>
      <c r="T260" s="11">
        <v>0</v>
      </c>
      <c r="U260" s="14">
        <v>0</v>
      </c>
      <c r="V260" s="36">
        <f>IFERROR(LOOKUP($C260,#REF!,#REF!),0)</f>
        <v>0</v>
      </c>
      <c r="W260" s="36">
        <f>IFERROR(LOOKUP($C260,#REF!,#REF!),0)</f>
        <v>0</v>
      </c>
      <c r="X260" s="36">
        <f>IFERROR(LOOKUP($C260,#REF!,#REF!),0)</f>
        <v>0</v>
      </c>
      <c r="Y260" s="36">
        <f>IFERROR(LOOKUP($C260,#REF!,#REF!),0)</f>
        <v>0</v>
      </c>
    </row>
    <row r="261" spans="1:25" ht="16.5" customHeight="1" x14ac:dyDescent="0.35">
      <c r="A261" s="3" t="s">
        <v>19</v>
      </c>
      <c r="B261" s="4">
        <v>102</v>
      </c>
      <c r="C261" s="5">
        <v>61923</v>
      </c>
      <c r="D261" s="3" t="s">
        <v>195</v>
      </c>
      <c r="E261" s="6">
        <v>79.989999999999995</v>
      </c>
      <c r="F261" s="16">
        <v>41.475000000000001</v>
      </c>
      <c r="G261" s="51">
        <v>0</v>
      </c>
      <c r="H261" s="52">
        <f t="shared" si="16"/>
        <v>0</v>
      </c>
      <c r="I261" s="52">
        <f t="shared" si="17"/>
        <v>0</v>
      </c>
      <c r="J261" s="52">
        <f t="shared" si="18"/>
        <v>0</v>
      </c>
      <c r="K261" s="53">
        <f t="shared" ref="K261:K290" si="19">IFERROR(J261/H261*100,0)</f>
        <v>0</v>
      </c>
      <c r="L261" s="36"/>
      <c r="M261" s="11">
        <v>0</v>
      </c>
      <c r="N261" s="11">
        <v>0</v>
      </c>
      <c r="O261" s="11">
        <v>0</v>
      </c>
      <c r="P261" s="8">
        <v>0</v>
      </c>
      <c r="Q261" s="11">
        <v>0</v>
      </c>
      <c r="R261" s="11">
        <v>0</v>
      </c>
      <c r="S261" s="11">
        <v>0</v>
      </c>
      <c r="T261" s="11">
        <v>0</v>
      </c>
      <c r="U261" s="14">
        <v>0</v>
      </c>
      <c r="V261" s="36">
        <f>IFERROR(LOOKUP($C261,#REF!,#REF!),0)</f>
        <v>0</v>
      </c>
      <c r="W261" s="36">
        <f>IFERROR(LOOKUP($C261,#REF!,#REF!),0)</f>
        <v>0</v>
      </c>
      <c r="X261" s="36">
        <f>IFERROR(LOOKUP($C261,#REF!,#REF!),0)</f>
        <v>0</v>
      </c>
      <c r="Y261" s="36">
        <f>IFERROR(LOOKUP($C261,#REF!,#REF!),0)</f>
        <v>0</v>
      </c>
    </row>
    <row r="262" spans="1:25" ht="16.5" customHeight="1" x14ac:dyDescent="0.35">
      <c r="A262" s="3" t="s">
        <v>19</v>
      </c>
      <c r="B262" s="4">
        <v>102</v>
      </c>
      <c r="C262" s="5">
        <v>61925</v>
      </c>
      <c r="D262" s="3" t="s">
        <v>196</v>
      </c>
      <c r="E262" s="6">
        <v>79.989999999999995</v>
      </c>
      <c r="F262" s="16">
        <v>41.475000000000001</v>
      </c>
      <c r="G262" s="51">
        <v>0</v>
      </c>
      <c r="H262" s="52">
        <f t="shared" si="16"/>
        <v>0</v>
      </c>
      <c r="I262" s="52">
        <f t="shared" si="17"/>
        <v>0</v>
      </c>
      <c r="J262" s="52">
        <f t="shared" si="18"/>
        <v>0</v>
      </c>
      <c r="K262" s="53">
        <f t="shared" si="19"/>
        <v>0</v>
      </c>
      <c r="L262" s="36"/>
      <c r="M262" s="11">
        <v>0</v>
      </c>
      <c r="N262" s="11">
        <v>0</v>
      </c>
      <c r="O262" s="11">
        <v>0</v>
      </c>
      <c r="P262" s="8">
        <v>0</v>
      </c>
      <c r="Q262" s="11">
        <v>0</v>
      </c>
      <c r="R262" s="11">
        <v>0</v>
      </c>
      <c r="S262" s="11">
        <v>0</v>
      </c>
      <c r="T262" s="11">
        <v>0</v>
      </c>
      <c r="U262" s="14">
        <v>0</v>
      </c>
      <c r="V262" s="36">
        <f>IFERROR(LOOKUP($C262,#REF!,#REF!),0)</f>
        <v>0</v>
      </c>
      <c r="W262" s="36">
        <f>IFERROR(LOOKUP($C262,#REF!,#REF!),0)</f>
        <v>0</v>
      </c>
      <c r="X262" s="36">
        <f>IFERROR(LOOKUP($C262,#REF!,#REF!),0)</f>
        <v>0</v>
      </c>
      <c r="Y262" s="36">
        <f>IFERROR(LOOKUP($C262,#REF!,#REF!),0)</f>
        <v>0</v>
      </c>
    </row>
    <row r="263" spans="1:25" ht="16.5" customHeight="1" x14ac:dyDescent="0.35">
      <c r="A263" s="3" t="s">
        <v>19</v>
      </c>
      <c r="B263" s="4">
        <v>102</v>
      </c>
      <c r="C263" s="5">
        <v>61926</v>
      </c>
      <c r="D263" s="3" t="s">
        <v>197</v>
      </c>
      <c r="E263" s="6">
        <v>79.989999999999995</v>
      </c>
      <c r="F263" s="16">
        <v>41.475000000000001</v>
      </c>
      <c r="G263" s="51">
        <v>0</v>
      </c>
      <c r="H263" s="52">
        <f t="shared" si="16"/>
        <v>0</v>
      </c>
      <c r="I263" s="52">
        <f t="shared" si="17"/>
        <v>0</v>
      </c>
      <c r="J263" s="52">
        <f t="shared" si="18"/>
        <v>0</v>
      </c>
      <c r="K263" s="53">
        <f t="shared" si="19"/>
        <v>0</v>
      </c>
      <c r="L263" s="36"/>
      <c r="M263" s="11">
        <v>0</v>
      </c>
      <c r="N263" s="11">
        <v>0</v>
      </c>
      <c r="O263" s="11">
        <v>0</v>
      </c>
      <c r="P263" s="8">
        <v>0</v>
      </c>
      <c r="Q263" s="11">
        <v>0</v>
      </c>
      <c r="R263" s="11">
        <v>0</v>
      </c>
      <c r="S263" s="11">
        <v>0</v>
      </c>
      <c r="T263" s="11">
        <v>0</v>
      </c>
      <c r="U263" s="14">
        <v>0</v>
      </c>
      <c r="V263" s="36">
        <f>IFERROR(LOOKUP($C263,#REF!,#REF!),0)</f>
        <v>0</v>
      </c>
      <c r="W263" s="36">
        <f>IFERROR(LOOKUP($C263,#REF!,#REF!),0)</f>
        <v>0</v>
      </c>
      <c r="X263" s="36">
        <f>IFERROR(LOOKUP($C263,#REF!,#REF!),0)</f>
        <v>0</v>
      </c>
      <c r="Y263" s="36">
        <f>IFERROR(LOOKUP($C263,#REF!,#REF!),0)</f>
        <v>0</v>
      </c>
    </row>
    <row r="264" spans="1:25" ht="16.5" customHeight="1" x14ac:dyDescent="0.35">
      <c r="A264" s="3" t="s">
        <v>19</v>
      </c>
      <c r="B264" s="4">
        <v>102</v>
      </c>
      <c r="C264" s="5">
        <v>61928</v>
      </c>
      <c r="D264" s="3" t="s">
        <v>176</v>
      </c>
      <c r="E264" s="6">
        <v>79.989999999999995</v>
      </c>
      <c r="F264" s="16">
        <v>44.62</v>
      </c>
      <c r="G264" s="51">
        <v>0</v>
      </c>
      <c r="H264" s="52">
        <f t="shared" si="16"/>
        <v>0</v>
      </c>
      <c r="I264" s="52">
        <f t="shared" si="17"/>
        <v>0</v>
      </c>
      <c r="J264" s="52">
        <f t="shared" si="18"/>
        <v>0</v>
      </c>
      <c r="K264" s="53">
        <f t="shared" si="19"/>
        <v>0</v>
      </c>
      <c r="L264" s="36"/>
      <c r="M264" s="11">
        <v>0</v>
      </c>
      <c r="N264" s="11">
        <v>0</v>
      </c>
      <c r="O264" s="11">
        <v>0</v>
      </c>
      <c r="P264" s="8">
        <v>0</v>
      </c>
      <c r="Q264" s="11">
        <v>0</v>
      </c>
      <c r="R264" s="11">
        <v>0</v>
      </c>
      <c r="S264" s="11">
        <v>0</v>
      </c>
      <c r="T264" s="11">
        <v>0</v>
      </c>
      <c r="U264" s="14">
        <v>0</v>
      </c>
      <c r="V264" s="36">
        <f>IFERROR(LOOKUP($C264,#REF!,#REF!),0)</f>
        <v>0</v>
      </c>
      <c r="W264" s="36">
        <f>IFERROR(LOOKUP($C264,#REF!,#REF!),0)</f>
        <v>0</v>
      </c>
      <c r="X264" s="36">
        <f>IFERROR(LOOKUP($C264,#REF!,#REF!),0)</f>
        <v>0</v>
      </c>
      <c r="Y264" s="36">
        <f>IFERROR(LOOKUP($C264,#REF!,#REF!),0)</f>
        <v>0</v>
      </c>
    </row>
    <row r="265" spans="1:25" ht="16.5" customHeight="1" x14ac:dyDescent="0.35">
      <c r="A265" s="3" t="s">
        <v>19</v>
      </c>
      <c r="B265" s="4">
        <v>102</v>
      </c>
      <c r="C265" s="5">
        <v>61929</v>
      </c>
      <c r="D265" s="3" t="s">
        <v>170</v>
      </c>
      <c r="E265" s="6">
        <v>79.989999999999995</v>
      </c>
      <c r="F265" s="16">
        <v>44.62</v>
      </c>
      <c r="G265" s="51">
        <v>0</v>
      </c>
      <c r="H265" s="52">
        <f t="shared" si="16"/>
        <v>0</v>
      </c>
      <c r="I265" s="52">
        <f t="shared" si="17"/>
        <v>0</v>
      </c>
      <c r="J265" s="52">
        <f t="shared" si="18"/>
        <v>0</v>
      </c>
      <c r="K265" s="53">
        <f t="shared" si="19"/>
        <v>0</v>
      </c>
      <c r="L265" s="36"/>
      <c r="M265" s="11">
        <v>0</v>
      </c>
      <c r="N265" s="11">
        <v>0</v>
      </c>
      <c r="O265" s="11">
        <v>0</v>
      </c>
      <c r="P265" s="8">
        <v>0</v>
      </c>
      <c r="Q265" s="11">
        <v>0</v>
      </c>
      <c r="R265" s="11">
        <v>0</v>
      </c>
      <c r="S265" s="11">
        <v>0</v>
      </c>
      <c r="T265" s="11">
        <v>0</v>
      </c>
      <c r="U265" s="14">
        <v>0</v>
      </c>
      <c r="V265" s="36">
        <f>IFERROR(LOOKUP($C265,#REF!,#REF!),0)</f>
        <v>0</v>
      </c>
      <c r="W265" s="36">
        <f>IFERROR(LOOKUP($C265,#REF!,#REF!),0)</f>
        <v>0</v>
      </c>
      <c r="X265" s="36">
        <f>IFERROR(LOOKUP($C265,#REF!,#REF!),0)</f>
        <v>0</v>
      </c>
      <c r="Y265" s="36">
        <f>IFERROR(LOOKUP($C265,#REF!,#REF!),0)</f>
        <v>0</v>
      </c>
    </row>
    <row r="266" spans="1:25" ht="16.5" customHeight="1" x14ac:dyDescent="0.35">
      <c r="A266" s="3" t="s">
        <v>107</v>
      </c>
      <c r="B266" s="4">
        <v>102</v>
      </c>
      <c r="C266" s="5">
        <v>32863</v>
      </c>
      <c r="D266" s="3" t="s">
        <v>109</v>
      </c>
      <c r="E266" s="6">
        <v>17.989999999999998</v>
      </c>
      <c r="F266" s="16">
        <v>9.4</v>
      </c>
      <c r="G266" s="51">
        <v>0</v>
      </c>
      <c r="H266" s="52">
        <f t="shared" si="16"/>
        <v>0</v>
      </c>
      <c r="I266" s="52">
        <f t="shared" si="17"/>
        <v>0</v>
      </c>
      <c r="J266" s="52">
        <f t="shared" si="18"/>
        <v>0</v>
      </c>
      <c r="K266" s="53">
        <f t="shared" si="19"/>
        <v>0</v>
      </c>
      <c r="L266" s="36"/>
      <c r="M266" s="11">
        <v>0</v>
      </c>
      <c r="N266" s="11">
        <v>0</v>
      </c>
      <c r="O266" s="11">
        <v>0</v>
      </c>
      <c r="P266" s="8">
        <v>0</v>
      </c>
      <c r="Q266" s="11">
        <v>0</v>
      </c>
      <c r="R266" s="11">
        <v>0</v>
      </c>
      <c r="S266" s="11">
        <v>0</v>
      </c>
      <c r="T266" s="11">
        <v>0</v>
      </c>
      <c r="U266" s="14">
        <v>0</v>
      </c>
      <c r="V266" s="36">
        <f>IFERROR(LOOKUP($C266,#REF!,#REF!),0)</f>
        <v>0</v>
      </c>
      <c r="W266" s="36">
        <f>IFERROR(LOOKUP($C266,#REF!,#REF!),0)</f>
        <v>0</v>
      </c>
      <c r="X266" s="36">
        <f>IFERROR(LOOKUP($C266,#REF!,#REF!),0)</f>
        <v>0</v>
      </c>
      <c r="Y266" s="36">
        <f>IFERROR(LOOKUP($C266,#REF!,#REF!),0)</f>
        <v>0</v>
      </c>
    </row>
    <row r="267" spans="1:25" ht="16.5" customHeight="1" x14ac:dyDescent="0.35">
      <c r="A267" s="3" t="s">
        <v>107</v>
      </c>
      <c r="B267" s="4">
        <v>102</v>
      </c>
      <c r="C267" s="5">
        <v>32864</v>
      </c>
      <c r="D267" s="3" t="s">
        <v>108</v>
      </c>
      <c r="E267" s="6">
        <v>9.99</v>
      </c>
      <c r="F267" s="16">
        <v>5</v>
      </c>
      <c r="G267" s="51">
        <v>0</v>
      </c>
      <c r="H267" s="52">
        <f t="shared" si="16"/>
        <v>0</v>
      </c>
      <c r="I267" s="52">
        <f t="shared" si="17"/>
        <v>0</v>
      </c>
      <c r="J267" s="52">
        <f t="shared" si="18"/>
        <v>0</v>
      </c>
      <c r="K267" s="53">
        <f t="shared" si="19"/>
        <v>0</v>
      </c>
      <c r="L267" s="36"/>
      <c r="M267" s="11">
        <v>0</v>
      </c>
      <c r="N267" s="11">
        <v>0</v>
      </c>
      <c r="O267" s="11">
        <v>0</v>
      </c>
      <c r="P267" s="8">
        <v>0</v>
      </c>
      <c r="Q267" s="11">
        <v>0</v>
      </c>
      <c r="R267" s="11">
        <v>0</v>
      </c>
      <c r="S267" s="11">
        <v>0</v>
      </c>
      <c r="T267" s="11">
        <v>0</v>
      </c>
      <c r="U267" s="14">
        <v>0</v>
      </c>
      <c r="V267" s="36">
        <f>IFERROR(LOOKUP($C267,#REF!,#REF!),0)</f>
        <v>0</v>
      </c>
      <c r="W267" s="36">
        <f>IFERROR(LOOKUP($C267,#REF!,#REF!),0)</f>
        <v>0</v>
      </c>
      <c r="X267" s="36">
        <f>IFERROR(LOOKUP($C267,#REF!,#REF!),0)</f>
        <v>0</v>
      </c>
      <c r="Y267" s="36">
        <f>IFERROR(LOOKUP($C267,#REF!,#REF!),0)</f>
        <v>0</v>
      </c>
    </row>
    <row r="268" spans="1:25" ht="16.5" customHeight="1" x14ac:dyDescent="0.35">
      <c r="A268" s="3" t="s">
        <v>107</v>
      </c>
      <c r="B268" s="4">
        <v>1821</v>
      </c>
      <c r="C268" s="5">
        <v>33999</v>
      </c>
      <c r="D268" s="3" t="s">
        <v>288</v>
      </c>
      <c r="E268" s="6">
        <v>19.989999999999998</v>
      </c>
      <c r="F268" s="16">
        <v>17.149999999999999</v>
      </c>
      <c r="G268" s="51">
        <v>0</v>
      </c>
      <c r="H268" s="52">
        <f t="shared" si="16"/>
        <v>0</v>
      </c>
      <c r="I268" s="52">
        <f t="shared" si="17"/>
        <v>0</v>
      </c>
      <c r="J268" s="52">
        <f t="shared" si="18"/>
        <v>0</v>
      </c>
      <c r="K268" s="53">
        <f t="shared" si="19"/>
        <v>0</v>
      </c>
      <c r="L268" s="36"/>
      <c r="M268" s="11">
        <v>0</v>
      </c>
      <c r="N268" s="11">
        <v>0</v>
      </c>
      <c r="O268" s="11">
        <v>0</v>
      </c>
      <c r="P268" s="8">
        <v>0</v>
      </c>
      <c r="Q268" s="11">
        <v>0</v>
      </c>
      <c r="R268" s="11">
        <v>0</v>
      </c>
      <c r="S268" s="11">
        <v>0</v>
      </c>
      <c r="T268" s="11">
        <v>0</v>
      </c>
      <c r="U268" s="14">
        <v>0</v>
      </c>
      <c r="V268" s="36">
        <f>IFERROR(LOOKUP($C268,#REF!,#REF!),0)</f>
        <v>0</v>
      </c>
      <c r="W268" s="36">
        <f>IFERROR(LOOKUP($C268,#REF!,#REF!),0)</f>
        <v>0</v>
      </c>
      <c r="X268" s="36">
        <f>IFERROR(LOOKUP($C268,#REF!,#REF!),0)</f>
        <v>0</v>
      </c>
      <c r="Y268" s="36">
        <f>IFERROR(LOOKUP($C268,#REF!,#REF!),0)</f>
        <v>0</v>
      </c>
    </row>
    <row r="269" spans="1:25" ht="16.5" customHeight="1" x14ac:dyDescent="0.35">
      <c r="A269" s="3" t="s">
        <v>107</v>
      </c>
      <c r="B269" s="4">
        <v>1821</v>
      </c>
      <c r="C269" s="5">
        <v>40827</v>
      </c>
      <c r="D269" s="3" t="s">
        <v>289</v>
      </c>
      <c r="E269" s="6">
        <v>29.99</v>
      </c>
      <c r="F269" s="16">
        <v>29.25</v>
      </c>
      <c r="G269" s="51">
        <v>0</v>
      </c>
      <c r="H269" s="52">
        <f t="shared" si="16"/>
        <v>0</v>
      </c>
      <c r="I269" s="52">
        <f t="shared" si="17"/>
        <v>0</v>
      </c>
      <c r="J269" s="52">
        <f t="shared" si="18"/>
        <v>0</v>
      </c>
      <c r="K269" s="53">
        <f t="shared" si="19"/>
        <v>0</v>
      </c>
      <c r="L269" s="36"/>
      <c r="M269" s="11">
        <v>0</v>
      </c>
      <c r="N269" s="11">
        <v>0</v>
      </c>
      <c r="O269" s="11">
        <v>0</v>
      </c>
      <c r="P269" s="8">
        <v>0</v>
      </c>
      <c r="Q269" s="11">
        <v>0</v>
      </c>
      <c r="R269" s="11">
        <v>0</v>
      </c>
      <c r="S269" s="11">
        <v>0</v>
      </c>
      <c r="T269" s="11">
        <v>0</v>
      </c>
      <c r="U269" s="14">
        <v>0</v>
      </c>
      <c r="V269" s="36">
        <f>IFERROR(LOOKUP($C269,#REF!,#REF!),0)</f>
        <v>0</v>
      </c>
      <c r="W269" s="36">
        <f>IFERROR(LOOKUP($C269,#REF!,#REF!),0)</f>
        <v>0</v>
      </c>
      <c r="X269" s="36">
        <f>IFERROR(LOOKUP($C269,#REF!,#REF!),0)</f>
        <v>0</v>
      </c>
      <c r="Y269" s="36">
        <f>IFERROR(LOOKUP($C269,#REF!,#REF!),0)</f>
        <v>0</v>
      </c>
    </row>
    <row r="270" spans="1:25" ht="16.5" customHeight="1" x14ac:dyDescent="0.35">
      <c r="A270" s="3" t="s">
        <v>107</v>
      </c>
      <c r="B270" s="4">
        <v>102</v>
      </c>
      <c r="C270" s="5">
        <v>48861</v>
      </c>
      <c r="D270" s="3" t="s">
        <v>111</v>
      </c>
      <c r="E270" s="6">
        <v>50</v>
      </c>
      <c r="F270" s="16">
        <v>30</v>
      </c>
      <c r="G270" s="51">
        <v>0</v>
      </c>
      <c r="H270" s="52">
        <f t="shared" si="16"/>
        <v>0</v>
      </c>
      <c r="I270" s="52">
        <f t="shared" si="17"/>
        <v>0</v>
      </c>
      <c r="J270" s="52">
        <f t="shared" si="18"/>
        <v>0</v>
      </c>
      <c r="K270" s="53">
        <f t="shared" si="19"/>
        <v>0</v>
      </c>
      <c r="L270" s="36"/>
      <c r="M270" s="11">
        <v>0</v>
      </c>
      <c r="N270" s="11">
        <v>0</v>
      </c>
      <c r="O270" s="11">
        <v>0</v>
      </c>
      <c r="P270" s="8">
        <v>0</v>
      </c>
      <c r="Q270" s="11">
        <v>0</v>
      </c>
      <c r="R270" s="11">
        <v>0</v>
      </c>
      <c r="S270" s="11">
        <v>0</v>
      </c>
      <c r="T270" s="11">
        <v>0</v>
      </c>
      <c r="U270" s="14">
        <v>0</v>
      </c>
      <c r="V270" s="36">
        <f>IFERROR(LOOKUP($C270,#REF!,#REF!),0)</f>
        <v>0</v>
      </c>
      <c r="W270" s="36">
        <f>IFERROR(LOOKUP($C270,#REF!,#REF!),0)</f>
        <v>0</v>
      </c>
      <c r="X270" s="36">
        <f>IFERROR(LOOKUP($C270,#REF!,#REF!),0)</f>
        <v>0</v>
      </c>
      <c r="Y270" s="36">
        <f>IFERROR(LOOKUP($C270,#REF!,#REF!),0)</f>
        <v>0</v>
      </c>
    </row>
    <row r="271" spans="1:25" ht="16.5" customHeight="1" x14ac:dyDescent="0.35">
      <c r="A271" s="3" t="s">
        <v>107</v>
      </c>
      <c r="B271" s="4">
        <v>102</v>
      </c>
      <c r="C271" s="5">
        <v>53410</v>
      </c>
      <c r="D271" s="3" t="s">
        <v>126</v>
      </c>
      <c r="E271" s="6">
        <v>52</v>
      </c>
      <c r="F271" s="16">
        <v>28.2</v>
      </c>
      <c r="G271" s="51">
        <v>0</v>
      </c>
      <c r="H271" s="52">
        <f t="shared" si="16"/>
        <v>0</v>
      </c>
      <c r="I271" s="52">
        <f t="shared" si="17"/>
        <v>0</v>
      </c>
      <c r="J271" s="52">
        <f t="shared" si="18"/>
        <v>0</v>
      </c>
      <c r="K271" s="53">
        <f t="shared" si="19"/>
        <v>0</v>
      </c>
      <c r="L271" s="36"/>
      <c r="M271" s="11">
        <v>0</v>
      </c>
      <c r="N271" s="11">
        <v>0</v>
      </c>
      <c r="O271" s="11">
        <v>0</v>
      </c>
      <c r="P271" s="8">
        <v>0</v>
      </c>
      <c r="Q271" s="11">
        <v>0</v>
      </c>
      <c r="R271" s="11">
        <v>0</v>
      </c>
      <c r="S271" s="11">
        <v>0</v>
      </c>
      <c r="T271" s="11">
        <v>0</v>
      </c>
      <c r="U271" s="14">
        <v>0</v>
      </c>
      <c r="V271" s="36">
        <f>IFERROR(LOOKUP($C271,#REF!,#REF!),0)</f>
        <v>0</v>
      </c>
      <c r="W271" s="36">
        <f>IFERROR(LOOKUP($C271,#REF!,#REF!),0)</f>
        <v>0</v>
      </c>
      <c r="X271" s="36">
        <f>IFERROR(LOOKUP($C271,#REF!,#REF!),0)</f>
        <v>0</v>
      </c>
      <c r="Y271" s="36">
        <f>IFERROR(LOOKUP($C271,#REF!,#REF!),0)</f>
        <v>0</v>
      </c>
    </row>
    <row r="272" spans="1:25" ht="16.5" customHeight="1" x14ac:dyDescent="0.35">
      <c r="A272" s="3" t="s">
        <v>107</v>
      </c>
      <c r="B272" s="4">
        <v>102</v>
      </c>
      <c r="C272" s="5">
        <v>55095</v>
      </c>
      <c r="D272" s="3" t="s">
        <v>116</v>
      </c>
      <c r="E272" s="6">
        <v>5</v>
      </c>
      <c r="F272" s="16">
        <v>1.38</v>
      </c>
      <c r="G272" s="51">
        <v>0</v>
      </c>
      <c r="H272" s="52">
        <f t="shared" si="16"/>
        <v>0</v>
      </c>
      <c r="I272" s="52">
        <f t="shared" si="17"/>
        <v>0</v>
      </c>
      <c r="J272" s="52">
        <f t="shared" si="18"/>
        <v>0</v>
      </c>
      <c r="K272" s="53">
        <f t="shared" si="19"/>
        <v>0</v>
      </c>
      <c r="L272" s="36"/>
      <c r="M272" s="11">
        <v>0</v>
      </c>
      <c r="N272" s="11">
        <v>0</v>
      </c>
      <c r="O272" s="11">
        <v>0</v>
      </c>
      <c r="P272" s="8">
        <v>0</v>
      </c>
      <c r="Q272" s="11">
        <v>0</v>
      </c>
      <c r="R272" s="11">
        <v>0</v>
      </c>
      <c r="S272" s="11">
        <v>0</v>
      </c>
      <c r="T272" s="11">
        <v>0</v>
      </c>
      <c r="U272" s="14">
        <v>0</v>
      </c>
      <c r="V272" s="36">
        <f>IFERROR(LOOKUP($C272,#REF!,#REF!),0)</f>
        <v>0</v>
      </c>
      <c r="W272" s="36">
        <f>IFERROR(LOOKUP($C272,#REF!,#REF!),0)</f>
        <v>0</v>
      </c>
      <c r="X272" s="36">
        <f>IFERROR(LOOKUP($C272,#REF!,#REF!),0)</f>
        <v>0</v>
      </c>
      <c r="Y272" s="36">
        <f>IFERROR(LOOKUP($C272,#REF!,#REF!),0)</f>
        <v>0</v>
      </c>
    </row>
    <row r="273" spans="1:25" ht="16.5" customHeight="1" x14ac:dyDescent="0.35">
      <c r="A273" s="3" t="s">
        <v>107</v>
      </c>
      <c r="B273" s="4">
        <v>102</v>
      </c>
      <c r="C273" s="5">
        <v>58147</v>
      </c>
      <c r="D273" s="3" t="s">
        <v>146</v>
      </c>
      <c r="E273" s="6">
        <v>16.989999999999998</v>
      </c>
      <c r="F273" s="16">
        <v>7.99</v>
      </c>
      <c r="G273" s="51">
        <v>0</v>
      </c>
      <c r="H273" s="52">
        <f t="shared" si="16"/>
        <v>0</v>
      </c>
      <c r="I273" s="52">
        <f t="shared" si="17"/>
        <v>0</v>
      </c>
      <c r="J273" s="52">
        <f t="shared" si="18"/>
        <v>0</v>
      </c>
      <c r="K273" s="53">
        <f t="shared" si="19"/>
        <v>0</v>
      </c>
      <c r="L273" s="36"/>
      <c r="M273" s="11">
        <v>0</v>
      </c>
      <c r="N273" s="11">
        <v>0</v>
      </c>
      <c r="O273" s="11">
        <v>0</v>
      </c>
      <c r="P273" s="8">
        <v>0</v>
      </c>
      <c r="Q273" s="11">
        <v>0</v>
      </c>
      <c r="R273" s="11">
        <v>0</v>
      </c>
      <c r="S273" s="11">
        <v>0</v>
      </c>
      <c r="T273" s="11">
        <v>0</v>
      </c>
      <c r="U273" s="14">
        <v>0</v>
      </c>
      <c r="V273" s="36">
        <f>IFERROR(LOOKUP($C273,#REF!,#REF!),0)</f>
        <v>0</v>
      </c>
      <c r="W273" s="36">
        <f>IFERROR(LOOKUP($C273,#REF!,#REF!),0)</f>
        <v>0</v>
      </c>
      <c r="X273" s="36">
        <f>IFERROR(LOOKUP($C273,#REF!,#REF!),0)</f>
        <v>0</v>
      </c>
      <c r="Y273" s="36">
        <f>IFERROR(LOOKUP($C273,#REF!,#REF!),0)</f>
        <v>0</v>
      </c>
    </row>
    <row r="274" spans="1:25" ht="16.5" customHeight="1" x14ac:dyDescent="0.35">
      <c r="A274" s="3" t="s">
        <v>14</v>
      </c>
      <c r="B274" s="4">
        <v>101</v>
      </c>
      <c r="C274" s="5">
        <v>32858</v>
      </c>
      <c r="D274" s="3" t="s">
        <v>34</v>
      </c>
      <c r="E274" s="6">
        <v>3.8</v>
      </c>
      <c r="F274" s="16">
        <v>1.3</v>
      </c>
      <c r="G274" s="51">
        <v>0</v>
      </c>
      <c r="H274" s="52">
        <f t="shared" si="16"/>
        <v>0</v>
      </c>
      <c r="I274" s="52">
        <f t="shared" si="17"/>
        <v>0</v>
      </c>
      <c r="J274" s="52">
        <f t="shared" si="18"/>
        <v>0</v>
      </c>
      <c r="K274" s="53">
        <f t="shared" si="19"/>
        <v>0</v>
      </c>
      <c r="L274" s="36"/>
      <c r="M274" s="11">
        <v>0</v>
      </c>
      <c r="N274" s="11">
        <v>0</v>
      </c>
      <c r="O274" s="11">
        <v>0</v>
      </c>
      <c r="P274" s="8">
        <v>0</v>
      </c>
      <c r="Q274" s="11">
        <v>0</v>
      </c>
      <c r="R274" s="11">
        <v>0</v>
      </c>
      <c r="S274" s="11">
        <v>0</v>
      </c>
      <c r="T274" s="11">
        <v>0</v>
      </c>
      <c r="U274" s="14">
        <v>0</v>
      </c>
      <c r="V274" s="36">
        <f>IFERROR(LOOKUP($C274,#REF!,#REF!),0)</f>
        <v>0</v>
      </c>
      <c r="W274" s="36">
        <f>IFERROR(LOOKUP($C274,#REF!,#REF!),0)</f>
        <v>0</v>
      </c>
      <c r="X274" s="36">
        <f>IFERROR(LOOKUP($C274,#REF!,#REF!),0)</f>
        <v>0</v>
      </c>
      <c r="Y274" s="36">
        <f>IFERROR(LOOKUP($C274,#REF!,#REF!),0)</f>
        <v>0</v>
      </c>
    </row>
    <row r="275" spans="1:25" ht="16.5" customHeight="1" x14ac:dyDescent="0.35">
      <c r="A275" s="3" t="s">
        <v>35</v>
      </c>
      <c r="B275" s="4">
        <v>102</v>
      </c>
      <c r="C275" s="5">
        <v>33032</v>
      </c>
      <c r="D275" s="3" t="s">
        <v>160</v>
      </c>
      <c r="E275" s="6">
        <v>28.99</v>
      </c>
      <c r="F275" s="16">
        <v>14.6126666666667</v>
      </c>
      <c r="G275" s="51">
        <v>0</v>
      </c>
      <c r="H275" s="52">
        <f t="shared" si="16"/>
        <v>0</v>
      </c>
      <c r="I275" s="52">
        <f t="shared" si="17"/>
        <v>0</v>
      </c>
      <c r="J275" s="52">
        <f t="shared" si="18"/>
        <v>0</v>
      </c>
      <c r="K275" s="53">
        <f t="shared" si="19"/>
        <v>0</v>
      </c>
      <c r="L275" s="36"/>
      <c r="M275" s="11">
        <v>0</v>
      </c>
      <c r="N275" s="11">
        <v>0</v>
      </c>
      <c r="O275" s="11">
        <v>0</v>
      </c>
      <c r="P275" s="8">
        <v>0</v>
      </c>
      <c r="Q275" s="11">
        <v>0</v>
      </c>
      <c r="R275" s="11">
        <v>0</v>
      </c>
      <c r="S275" s="11">
        <v>0</v>
      </c>
      <c r="T275" s="11">
        <v>0</v>
      </c>
      <c r="U275" s="14">
        <v>0</v>
      </c>
      <c r="V275" s="36">
        <f>IFERROR(LOOKUP($C275,#REF!,#REF!),0)</f>
        <v>0</v>
      </c>
      <c r="W275" s="36">
        <f>IFERROR(LOOKUP($C275,#REF!,#REF!),0)</f>
        <v>0</v>
      </c>
      <c r="X275" s="36">
        <f>IFERROR(LOOKUP($C275,#REF!,#REF!),0)</f>
        <v>0</v>
      </c>
      <c r="Y275" s="36">
        <f>IFERROR(LOOKUP($C275,#REF!,#REF!),0)</f>
        <v>0</v>
      </c>
    </row>
    <row r="276" spans="1:25" ht="16.5" customHeight="1" x14ac:dyDescent="0.35">
      <c r="A276" s="3" t="s">
        <v>14</v>
      </c>
      <c r="B276" s="4">
        <v>101</v>
      </c>
      <c r="C276" s="5">
        <v>34687</v>
      </c>
      <c r="D276" s="3" t="s">
        <v>40</v>
      </c>
      <c r="E276" s="6">
        <v>3</v>
      </c>
      <c r="F276" s="16">
        <v>1.53</v>
      </c>
      <c r="G276" s="51">
        <v>0</v>
      </c>
      <c r="H276" s="52">
        <f t="shared" si="16"/>
        <v>0</v>
      </c>
      <c r="I276" s="52">
        <f t="shared" si="17"/>
        <v>0</v>
      </c>
      <c r="J276" s="52">
        <f t="shared" si="18"/>
        <v>0</v>
      </c>
      <c r="K276" s="53">
        <f t="shared" si="19"/>
        <v>0</v>
      </c>
      <c r="L276" s="36"/>
      <c r="M276" s="11">
        <v>0</v>
      </c>
      <c r="N276" s="11">
        <v>0</v>
      </c>
      <c r="O276" s="11">
        <v>0</v>
      </c>
      <c r="P276" s="8">
        <v>0</v>
      </c>
      <c r="Q276" s="11">
        <v>0</v>
      </c>
      <c r="R276" s="11">
        <v>0</v>
      </c>
      <c r="S276" s="11">
        <v>0</v>
      </c>
      <c r="T276" s="11">
        <v>0</v>
      </c>
      <c r="U276" s="14">
        <v>0</v>
      </c>
      <c r="V276" s="36">
        <f>IFERROR(LOOKUP($C276,#REF!,#REF!),0)</f>
        <v>0</v>
      </c>
      <c r="W276" s="36">
        <f>IFERROR(LOOKUP($C276,#REF!,#REF!),0)</f>
        <v>0</v>
      </c>
      <c r="X276" s="36">
        <f>IFERROR(LOOKUP($C276,#REF!,#REF!),0)</f>
        <v>0</v>
      </c>
      <c r="Y276" s="36">
        <f>IFERROR(LOOKUP($C276,#REF!,#REF!),0)</f>
        <v>0</v>
      </c>
    </row>
    <row r="277" spans="1:25" ht="16.5" customHeight="1" x14ac:dyDescent="0.35">
      <c r="A277" s="3" t="s">
        <v>35</v>
      </c>
      <c r="B277" s="4">
        <v>102</v>
      </c>
      <c r="C277" s="5">
        <v>38815</v>
      </c>
      <c r="D277" s="3" t="s">
        <v>184</v>
      </c>
      <c r="E277" s="6">
        <v>10.85</v>
      </c>
      <c r="F277" s="16">
        <v>5.9984999999999999</v>
      </c>
      <c r="G277" s="51">
        <v>0</v>
      </c>
      <c r="H277" s="52">
        <f t="shared" si="16"/>
        <v>0</v>
      </c>
      <c r="I277" s="52">
        <f t="shared" si="17"/>
        <v>0</v>
      </c>
      <c r="J277" s="52">
        <f t="shared" si="18"/>
        <v>0</v>
      </c>
      <c r="K277" s="53">
        <f t="shared" si="19"/>
        <v>0</v>
      </c>
      <c r="L277" s="36"/>
      <c r="M277" s="11">
        <v>0</v>
      </c>
      <c r="N277" s="11">
        <v>0</v>
      </c>
      <c r="O277" s="11">
        <v>0</v>
      </c>
      <c r="P277" s="8">
        <v>0</v>
      </c>
      <c r="Q277" s="11">
        <v>0</v>
      </c>
      <c r="R277" s="11">
        <v>0</v>
      </c>
      <c r="S277" s="11">
        <v>0</v>
      </c>
      <c r="T277" s="11">
        <v>0</v>
      </c>
      <c r="U277" s="14">
        <v>0</v>
      </c>
      <c r="V277" s="36">
        <f>IFERROR(LOOKUP($C277,#REF!,#REF!),0)</f>
        <v>0</v>
      </c>
      <c r="W277" s="36">
        <f>IFERROR(LOOKUP($C277,#REF!,#REF!),0)</f>
        <v>0</v>
      </c>
      <c r="X277" s="36">
        <f>IFERROR(LOOKUP($C277,#REF!,#REF!),0)</f>
        <v>0</v>
      </c>
      <c r="Y277" s="36">
        <f>IFERROR(LOOKUP($C277,#REF!,#REF!),0)</f>
        <v>0</v>
      </c>
    </row>
    <row r="278" spans="1:25" ht="16.5" customHeight="1" x14ac:dyDescent="0.35">
      <c r="A278" s="3" t="s">
        <v>35</v>
      </c>
      <c r="B278" s="4">
        <v>102</v>
      </c>
      <c r="C278" s="5">
        <v>38816</v>
      </c>
      <c r="D278" s="3" t="s">
        <v>185</v>
      </c>
      <c r="E278" s="6">
        <v>7.99</v>
      </c>
      <c r="F278" s="16">
        <v>4.1159999999999997</v>
      </c>
      <c r="G278" s="51">
        <v>0</v>
      </c>
      <c r="H278" s="52">
        <f t="shared" si="16"/>
        <v>0</v>
      </c>
      <c r="I278" s="52">
        <f t="shared" si="17"/>
        <v>0</v>
      </c>
      <c r="J278" s="52">
        <f t="shared" si="18"/>
        <v>0</v>
      </c>
      <c r="K278" s="53">
        <f t="shared" si="19"/>
        <v>0</v>
      </c>
      <c r="L278" s="36"/>
      <c r="M278" s="11">
        <v>0</v>
      </c>
      <c r="N278" s="11">
        <v>0</v>
      </c>
      <c r="O278" s="11">
        <v>0</v>
      </c>
      <c r="P278" s="8">
        <v>0</v>
      </c>
      <c r="Q278" s="11">
        <v>0</v>
      </c>
      <c r="R278" s="11">
        <v>0</v>
      </c>
      <c r="S278" s="11">
        <v>0</v>
      </c>
      <c r="T278" s="11">
        <v>0</v>
      </c>
      <c r="U278" s="14">
        <v>0</v>
      </c>
      <c r="V278" s="36">
        <f>IFERROR(LOOKUP($C278,#REF!,#REF!),0)</f>
        <v>0</v>
      </c>
      <c r="W278" s="36">
        <f>IFERROR(LOOKUP($C278,#REF!,#REF!),0)</f>
        <v>0</v>
      </c>
      <c r="X278" s="36">
        <f>IFERROR(LOOKUP($C278,#REF!,#REF!),0)</f>
        <v>0</v>
      </c>
      <c r="Y278" s="36">
        <f>IFERROR(LOOKUP($C278,#REF!,#REF!),0)</f>
        <v>0</v>
      </c>
    </row>
    <row r="279" spans="1:25" ht="16.5" customHeight="1" x14ac:dyDescent="0.35">
      <c r="A279" s="3" t="s">
        <v>35</v>
      </c>
      <c r="B279" s="4">
        <v>102</v>
      </c>
      <c r="C279" s="5">
        <v>38908</v>
      </c>
      <c r="D279" s="3" t="s">
        <v>186</v>
      </c>
      <c r="E279" s="6">
        <v>7.99</v>
      </c>
      <c r="F279" s="16">
        <v>4.3630833333333303</v>
      </c>
      <c r="G279" s="51">
        <v>0</v>
      </c>
      <c r="H279" s="52">
        <f t="shared" si="16"/>
        <v>0</v>
      </c>
      <c r="I279" s="52">
        <f t="shared" si="17"/>
        <v>0</v>
      </c>
      <c r="J279" s="52">
        <f t="shared" si="18"/>
        <v>0</v>
      </c>
      <c r="K279" s="53">
        <f t="shared" si="19"/>
        <v>0</v>
      </c>
      <c r="L279" s="36"/>
      <c r="M279" s="11">
        <v>0</v>
      </c>
      <c r="N279" s="11">
        <v>0</v>
      </c>
      <c r="O279" s="11">
        <v>0</v>
      </c>
      <c r="P279" s="8">
        <v>0</v>
      </c>
      <c r="Q279" s="11">
        <v>0</v>
      </c>
      <c r="R279" s="11">
        <v>0</v>
      </c>
      <c r="S279" s="11">
        <v>0</v>
      </c>
      <c r="T279" s="11">
        <v>0</v>
      </c>
      <c r="U279" s="14">
        <v>0</v>
      </c>
      <c r="V279" s="36">
        <f>IFERROR(LOOKUP($C279,#REF!,#REF!),0)</f>
        <v>0</v>
      </c>
      <c r="W279" s="36">
        <f>IFERROR(LOOKUP($C279,#REF!,#REF!),0)</f>
        <v>0</v>
      </c>
      <c r="X279" s="36">
        <f>IFERROR(LOOKUP($C279,#REF!,#REF!),0)</f>
        <v>0</v>
      </c>
      <c r="Y279" s="36">
        <f>IFERROR(LOOKUP($C279,#REF!,#REF!),0)</f>
        <v>0</v>
      </c>
    </row>
    <row r="280" spans="1:25" ht="16.5" customHeight="1" x14ac:dyDescent="0.35">
      <c r="A280" s="3" t="s">
        <v>35</v>
      </c>
      <c r="B280" s="4">
        <v>102</v>
      </c>
      <c r="C280" s="5">
        <v>38983</v>
      </c>
      <c r="D280" s="3" t="s">
        <v>187</v>
      </c>
      <c r="E280" s="6">
        <v>10.85</v>
      </c>
      <c r="F280" s="16">
        <v>5.9984999999999999</v>
      </c>
      <c r="G280" s="51">
        <v>0</v>
      </c>
      <c r="H280" s="52">
        <f t="shared" si="16"/>
        <v>0</v>
      </c>
      <c r="I280" s="52">
        <f t="shared" si="17"/>
        <v>0</v>
      </c>
      <c r="J280" s="52">
        <f t="shared" si="18"/>
        <v>0</v>
      </c>
      <c r="K280" s="53">
        <f t="shared" si="19"/>
        <v>0</v>
      </c>
      <c r="L280" s="36"/>
      <c r="M280" s="11">
        <v>0</v>
      </c>
      <c r="N280" s="11">
        <v>0</v>
      </c>
      <c r="O280" s="11">
        <v>0</v>
      </c>
      <c r="P280" s="8">
        <v>0</v>
      </c>
      <c r="Q280" s="11">
        <v>0</v>
      </c>
      <c r="R280" s="11">
        <v>0</v>
      </c>
      <c r="S280" s="11">
        <v>0</v>
      </c>
      <c r="T280" s="11">
        <v>0</v>
      </c>
      <c r="U280" s="14">
        <v>0</v>
      </c>
      <c r="V280" s="36">
        <f>IFERROR(LOOKUP($C280,#REF!,#REF!),0)</f>
        <v>0</v>
      </c>
      <c r="W280" s="36">
        <f>IFERROR(LOOKUP($C280,#REF!,#REF!),0)</f>
        <v>0</v>
      </c>
      <c r="X280" s="36">
        <f>IFERROR(LOOKUP($C280,#REF!,#REF!),0)</f>
        <v>0</v>
      </c>
      <c r="Y280" s="36">
        <f>IFERROR(LOOKUP($C280,#REF!,#REF!),0)</f>
        <v>0</v>
      </c>
    </row>
    <row r="281" spans="1:25" ht="16.5" customHeight="1" x14ac:dyDescent="0.35">
      <c r="A281" s="3" t="s">
        <v>35</v>
      </c>
      <c r="B281" s="4">
        <v>102</v>
      </c>
      <c r="C281" s="5">
        <v>39025</v>
      </c>
      <c r="D281" s="3" t="s">
        <v>188</v>
      </c>
      <c r="E281" s="6">
        <v>330.99</v>
      </c>
      <c r="F281" s="16">
        <v>182.6</v>
      </c>
      <c r="G281" s="51">
        <v>0</v>
      </c>
      <c r="H281" s="52">
        <f t="shared" si="16"/>
        <v>0</v>
      </c>
      <c r="I281" s="52">
        <f t="shared" si="17"/>
        <v>0</v>
      </c>
      <c r="J281" s="52">
        <f t="shared" si="18"/>
        <v>0</v>
      </c>
      <c r="K281" s="53">
        <f t="shared" si="19"/>
        <v>0</v>
      </c>
      <c r="L281" s="36"/>
      <c r="M281" s="11">
        <v>0</v>
      </c>
      <c r="N281" s="11">
        <v>0</v>
      </c>
      <c r="O281" s="11">
        <v>0</v>
      </c>
      <c r="P281" s="8">
        <v>0</v>
      </c>
      <c r="Q281" s="11">
        <v>0</v>
      </c>
      <c r="R281" s="11">
        <v>0</v>
      </c>
      <c r="S281" s="11">
        <v>0</v>
      </c>
      <c r="T281" s="11">
        <v>0</v>
      </c>
      <c r="U281" s="14">
        <v>0</v>
      </c>
      <c r="V281" s="36">
        <f>IFERROR(LOOKUP($C281,#REF!,#REF!),0)</f>
        <v>0</v>
      </c>
      <c r="W281" s="36">
        <f>IFERROR(LOOKUP($C281,#REF!,#REF!),0)</f>
        <v>0</v>
      </c>
      <c r="X281" s="36">
        <f>IFERROR(LOOKUP($C281,#REF!,#REF!),0)</f>
        <v>0</v>
      </c>
      <c r="Y281" s="36">
        <f>IFERROR(LOOKUP($C281,#REF!,#REF!),0)</f>
        <v>0</v>
      </c>
    </row>
    <row r="282" spans="1:25" ht="16.5" customHeight="1" x14ac:dyDescent="0.35">
      <c r="A282" s="3" t="s">
        <v>35</v>
      </c>
      <c r="B282" s="4">
        <v>102</v>
      </c>
      <c r="C282" s="5">
        <v>39421</v>
      </c>
      <c r="D282" s="3" t="s">
        <v>189</v>
      </c>
      <c r="E282" s="6">
        <v>28.99</v>
      </c>
      <c r="F282" s="16">
        <v>16.567</v>
      </c>
      <c r="G282" s="51">
        <v>0</v>
      </c>
      <c r="H282" s="52">
        <f t="shared" si="16"/>
        <v>0</v>
      </c>
      <c r="I282" s="52">
        <f t="shared" si="17"/>
        <v>0</v>
      </c>
      <c r="J282" s="52">
        <f t="shared" si="18"/>
        <v>0</v>
      </c>
      <c r="K282" s="53">
        <f t="shared" si="19"/>
        <v>0</v>
      </c>
      <c r="L282" s="36"/>
      <c r="M282" s="11">
        <v>0</v>
      </c>
      <c r="N282" s="11">
        <v>0</v>
      </c>
      <c r="O282" s="11">
        <v>0</v>
      </c>
      <c r="P282" s="8">
        <v>0</v>
      </c>
      <c r="Q282" s="11">
        <v>0</v>
      </c>
      <c r="R282" s="11">
        <v>0</v>
      </c>
      <c r="S282" s="11">
        <v>0</v>
      </c>
      <c r="T282" s="11">
        <v>0</v>
      </c>
      <c r="U282" s="14">
        <v>0</v>
      </c>
      <c r="V282" s="36">
        <f>IFERROR(LOOKUP($C282,#REF!,#REF!),0)</f>
        <v>0</v>
      </c>
      <c r="W282" s="36">
        <f>IFERROR(LOOKUP($C282,#REF!,#REF!),0)</f>
        <v>0</v>
      </c>
      <c r="X282" s="36">
        <f>IFERROR(LOOKUP($C282,#REF!,#REF!),0)</f>
        <v>0</v>
      </c>
      <c r="Y282" s="36">
        <f>IFERROR(LOOKUP($C282,#REF!,#REF!),0)</f>
        <v>0</v>
      </c>
    </row>
    <row r="283" spans="1:25" ht="16.5" customHeight="1" x14ac:dyDescent="0.35">
      <c r="A283" s="3" t="s">
        <v>35</v>
      </c>
      <c r="B283" s="4">
        <v>102</v>
      </c>
      <c r="C283" s="5">
        <v>39963</v>
      </c>
      <c r="D283" s="3" t="s">
        <v>190</v>
      </c>
      <c r="E283" s="6">
        <v>5.4</v>
      </c>
      <c r="F283" s="16">
        <v>2.9407999999999999</v>
      </c>
      <c r="G283" s="51">
        <v>0</v>
      </c>
      <c r="H283" s="52">
        <f t="shared" si="16"/>
        <v>0</v>
      </c>
      <c r="I283" s="52">
        <f t="shared" si="17"/>
        <v>0</v>
      </c>
      <c r="J283" s="52">
        <f t="shared" si="18"/>
        <v>0</v>
      </c>
      <c r="K283" s="53">
        <f t="shared" si="19"/>
        <v>0</v>
      </c>
      <c r="L283" s="36"/>
      <c r="M283" s="11">
        <v>0</v>
      </c>
      <c r="N283" s="11">
        <v>0</v>
      </c>
      <c r="O283" s="11">
        <v>0</v>
      </c>
      <c r="P283" s="8">
        <v>0</v>
      </c>
      <c r="Q283" s="11">
        <v>0</v>
      </c>
      <c r="R283" s="11">
        <v>0</v>
      </c>
      <c r="S283" s="11">
        <v>0</v>
      </c>
      <c r="T283" s="11">
        <v>0</v>
      </c>
      <c r="U283" s="14">
        <v>0</v>
      </c>
      <c r="V283" s="36">
        <f>IFERROR(LOOKUP($C283,#REF!,#REF!),0)</f>
        <v>0</v>
      </c>
      <c r="W283" s="36">
        <f>IFERROR(LOOKUP($C283,#REF!,#REF!),0)</f>
        <v>0</v>
      </c>
      <c r="X283" s="36">
        <f>IFERROR(LOOKUP($C283,#REF!,#REF!),0)</f>
        <v>0</v>
      </c>
      <c r="Y283" s="36">
        <f>IFERROR(LOOKUP($C283,#REF!,#REF!),0)</f>
        <v>0</v>
      </c>
    </row>
    <row r="284" spans="1:25" ht="16.5" customHeight="1" x14ac:dyDescent="0.35">
      <c r="A284" s="3" t="s">
        <v>35</v>
      </c>
      <c r="B284" s="4">
        <v>102</v>
      </c>
      <c r="C284" s="5">
        <v>40364</v>
      </c>
      <c r="D284" s="3" t="s">
        <v>191</v>
      </c>
      <c r="E284" s="6">
        <v>4.99</v>
      </c>
      <c r="F284" s="16">
        <v>2.8072499999999998</v>
      </c>
      <c r="G284" s="51">
        <v>0</v>
      </c>
      <c r="H284" s="52">
        <f t="shared" si="16"/>
        <v>0</v>
      </c>
      <c r="I284" s="52">
        <f t="shared" si="17"/>
        <v>0</v>
      </c>
      <c r="J284" s="52">
        <f t="shared" si="18"/>
        <v>0</v>
      </c>
      <c r="K284" s="53">
        <f t="shared" si="19"/>
        <v>0</v>
      </c>
      <c r="L284" s="36"/>
      <c r="M284" s="11">
        <v>0</v>
      </c>
      <c r="N284" s="11">
        <v>0</v>
      </c>
      <c r="O284" s="11">
        <v>0</v>
      </c>
      <c r="P284" s="8">
        <v>0</v>
      </c>
      <c r="Q284" s="11">
        <v>0</v>
      </c>
      <c r="R284" s="11">
        <v>0</v>
      </c>
      <c r="S284" s="11">
        <v>0</v>
      </c>
      <c r="T284" s="11">
        <v>0</v>
      </c>
      <c r="U284" s="14">
        <v>0</v>
      </c>
      <c r="V284" s="36">
        <f>IFERROR(LOOKUP($C284,#REF!,#REF!),0)</f>
        <v>0</v>
      </c>
      <c r="W284" s="36">
        <f>IFERROR(LOOKUP($C284,#REF!,#REF!),0)</f>
        <v>0</v>
      </c>
      <c r="X284" s="36">
        <f>IFERROR(LOOKUP($C284,#REF!,#REF!),0)</f>
        <v>0</v>
      </c>
      <c r="Y284" s="36">
        <f>IFERROR(LOOKUP($C284,#REF!,#REF!),0)</f>
        <v>0</v>
      </c>
    </row>
    <row r="285" spans="1:25" ht="16.5" customHeight="1" x14ac:dyDescent="0.35">
      <c r="A285" s="3" t="s">
        <v>35</v>
      </c>
      <c r="B285" s="4">
        <v>102</v>
      </c>
      <c r="C285" s="5">
        <v>48620</v>
      </c>
      <c r="D285" s="3" t="s">
        <v>153</v>
      </c>
      <c r="E285" s="6">
        <v>37.99</v>
      </c>
      <c r="F285" s="16">
        <v>19.462499999999999</v>
      </c>
      <c r="G285" s="51">
        <v>0</v>
      </c>
      <c r="H285" s="52">
        <f t="shared" si="16"/>
        <v>0</v>
      </c>
      <c r="I285" s="52">
        <f t="shared" si="17"/>
        <v>0</v>
      </c>
      <c r="J285" s="52">
        <f t="shared" si="18"/>
        <v>0</v>
      </c>
      <c r="K285" s="53">
        <f t="shared" si="19"/>
        <v>0</v>
      </c>
      <c r="L285" s="36"/>
      <c r="M285" s="11">
        <v>0</v>
      </c>
      <c r="N285" s="11">
        <v>0</v>
      </c>
      <c r="O285" s="11">
        <v>0</v>
      </c>
      <c r="P285" s="8">
        <v>0</v>
      </c>
      <c r="Q285" s="11">
        <v>0</v>
      </c>
      <c r="R285" s="11">
        <v>0</v>
      </c>
      <c r="S285" s="11">
        <v>0</v>
      </c>
      <c r="T285" s="11">
        <v>0</v>
      </c>
      <c r="U285" s="14">
        <v>0</v>
      </c>
      <c r="V285" s="36">
        <f>IFERROR(LOOKUP($C285,#REF!,#REF!),0)</f>
        <v>0</v>
      </c>
      <c r="W285" s="36">
        <f>IFERROR(LOOKUP($C285,#REF!,#REF!),0)</f>
        <v>0</v>
      </c>
      <c r="X285" s="36">
        <f>IFERROR(LOOKUP($C285,#REF!,#REF!),0)</f>
        <v>0</v>
      </c>
      <c r="Y285" s="36">
        <f>IFERROR(LOOKUP($C285,#REF!,#REF!),0)</f>
        <v>0</v>
      </c>
    </row>
    <row r="286" spans="1:25" ht="16.5" customHeight="1" x14ac:dyDescent="0.35">
      <c r="A286" s="3" t="s">
        <v>35</v>
      </c>
      <c r="B286" s="4">
        <v>102</v>
      </c>
      <c r="C286" s="5">
        <v>48683</v>
      </c>
      <c r="D286" s="3" t="s">
        <v>192</v>
      </c>
      <c r="E286" s="6">
        <v>11.99</v>
      </c>
      <c r="F286" s="16">
        <v>7.0248571428571402</v>
      </c>
      <c r="G286" s="51">
        <v>0</v>
      </c>
      <c r="H286" s="52">
        <f t="shared" si="16"/>
        <v>0</v>
      </c>
      <c r="I286" s="52">
        <f t="shared" si="17"/>
        <v>0</v>
      </c>
      <c r="J286" s="52">
        <f t="shared" si="18"/>
        <v>0</v>
      </c>
      <c r="K286" s="53">
        <f t="shared" si="19"/>
        <v>0</v>
      </c>
      <c r="L286" s="36"/>
      <c r="M286" s="11">
        <v>0</v>
      </c>
      <c r="N286" s="11">
        <v>0</v>
      </c>
      <c r="O286" s="11">
        <v>0</v>
      </c>
      <c r="P286" s="8">
        <v>0</v>
      </c>
      <c r="Q286" s="11">
        <v>0</v>
      </c>
      <c r="R286" s="11">
        <v>0</v>
      </c>
      <c r="S286" s="11">
        <v>0</v>
      </c>
      <c r="T286" s="11">
        <v>0</v>
      </c>
      <c r="U286" s="14">
        <v>0</v>
      </c>
      <c r="V286" s="36">
        <f>IFERROR(LOOKUP($C286,#REF!,#REF!),0)</f>
        <v>0</v>
      </c>
      <c r="W286" s="36">
        <f>IFERROR(LOOKUP($C286,#REF!,#REF!),0)</f>
        <v>0</v>
      </c>
      <c r="X286" s="36">
        <f>IFERROR(LOOKUP($C286,#REF!,#REF!),0)</f>
        <v>0</v>
      </c>
      <c r="Y286" s="36">
        <f>IFERROR(LOOKUP($C286,#REF!,#REF!),0)</f>
        <v>0</v>
      </c>
    </row>
    <row r="287" spans="1:25" ht="16.5" customHeight="1" x14ac:dyDescent="0.35">
      <c r="A287" s="3" t="s">
        <v>35</v>
      </c>
      <c r="B287" s="4">
        <v>102</v>
      </c>
      <c r="C287" s="5">
        <v>54652</v>
      </c>
      <c r="D287" s="3" t="s">
        <v>193</v>
      </c>
      <c r="E287" s="6">
        <v>21.99</v>
      </c>
      <c r="F287" s="16">
        <v>10.989750000000001</v>
      </c>
      <c r="G287" s="51">
        <v>0</v>
      </c>
      <c r="H287" s="52">
        <f t="shared" si="16"/>
        <v>0</v>
      </c>
      <c r="I287" s="52">
        <f t="shared" si="17"/>
        <v>0</v>
      </c>
      <c r="J287" s="52">
        <f t="shared" si="18"/>
        <v>0</v>
      </c>
      <c r="K287" s="53">
        <f t="shared" si="19"/>
        <v>0</v>
      </c>
      <c r="L287" s="36"/>
      <c r="M287" s="11">
        <v>0</v>
      </c>
      <c r="N287" s="11">
        <v>0</v>
      </c>
      <c r="O287" s="11">
        <v>0</v>
      </c>
      <c r="P287" s="8">
        <v>0</v>
      </c>
      <c r="Q287" s="11">
        <v>0</v>
      </c>
      <c r="R287" s="11">
        <v>0</v>
      </c>
      <c r="S287" s="11">
        <v>0</v>
      </c>
      <c r="T287" s="11">
        <v>0</v>
      </c>
      <c r="U287" s="14">
        <v>0</v>
      </c>
      <c r="V287" s="36">
        <f>IFERROR(LOOKUP($C287,#REF!,#REF!),0)</f>
        <v>0</v>
      </c>
      <c r="W287" s="36">
        <f>IFERROR(LOOKUP($C287,#REF!,#REF!),0)</f>
        <v>0</v>
      </c>
      <c r="X287" s="36">
        <f>IFERROR(LOOKUP($C287,#REF!,#REF!),0)</f>
        <v>0</v>
      </c>
      <c r="Y287" s="36">
        <f>IFERROR(LOOKUP($C287,#REF!,#REF!),0)</f>
        <v>0</v>
      </c>
    </row>
    <row r="288" spans="1:25" ht="16.5" customHeight="1" x14ac:dyDescent="0.35">
      <c r="A288" s="3" t="s">
        <v>35</v>
      </c>
      <c r="B288" s="4">
        <v>102</v>
      </c>
      <c r="C288" s="5">
        <v>63898</v>
      </c>
      <c r="D288" s="3" t="s">
        <v>198</v>
      </c>
      <c r="E288" s="6">
        <v>330.99</v>
      </c>
      <c r="F288" s="16">
        <v>179.16</v>
      </c>
      <c r="G288" s="51">
        <v>0</v>
      </c>
      <c r="H288" s="52">
        <f t="shared" si="16"/>
        <v>0</v>
      </c>
      <c r="I288" s="52">
        <f t="shared" si="17"/>
        <v>0</v>
      </c>
      <c r="J288" s="52">
        <f t="shared" si="18"/>
        <v>0</v>
      </c>
      <c r="K288" s="53">
        <f t="shared" si="19"/>
        <v>0</v>
      </c>
      <c r="L288" s="36"/>
      <c r="M288" s="11">
        <v>0</v>
      </c>
      <c r="N288" s="11">
        <v>0</v>
      </c>
      <c r="O288" s="11">
        <v>0</v>
      </c>
      <c r="P288" s="8">
        <v>0</v>
      </c>
      <c r="Q288" s="11">
        <v>0</v>
      </c>
      <c r="R288" s="11">
        <v>0</v>
      </c>
      <c r="S288" s="11">
        <v>0</v>
      </c>
      <c r="T288" s="11">
        <v>0</v>
      </c>
      <c r="U288" s="14">
        <v>0</v>
      </c>
      <c r="V288" s="36">
        <f>IFERROR(LOOKUP($C288,#REF!,#REF!),0)</f>
        <v>0</v>
      </c>
      <c r="W288" s="36">
        <f>IFERROR(LOOKUP($C288,#REF!,#REF!),0)</f>
        <v>0</v>
      </c>
      <c r="X288" s="36">
        <f>IFERROR(LOOKUP($C288,#REF!,#REF!),0)</f>
        <v>0</v>
      </c>
      <c r="Y288" s="36">
        <f>IFERROR(LOOKUP($C288,#REF!,#REF!),0)</f>
        <v>0</v>
      </c>
    </row>
    <row r="289" spans="1:25" ht="16.5" customHeight="1" x14ac:dyDescent="0.35">
      <c r="A289" s="3" t="s">
        <v>35</v>
      </c>
      <c r="B289" s="4">
        <v>102</v>
      </c>
      <c r="C289" s="5">
        <v>66308</v>
      </c>
      <c r="D289" s="3" t="s">
        <v>199</v>
      </c>
      <c r="E289" s="6">
        <v>10.85</v>
      </c>
      <c r="F289" s="16">
        <v>5.6589999999999998</v>
      </c>
      <c r="G289" s="51">
        <v>0</v>
      </c>
      <c r="H289" s="52">
        <f t="shared" si="16"/>
        <v>0</v>
      </c>
      <c r="I289" s="52">
        <f t="shared" si="17"/>
        <v>0</v>
      </c>
      <c r="J289" s="52">
        <f t="shared" si="18"/>
        <v>0</v>
      </c>
      <c r="K289" s="53">
        <f t="shared" si="19"/>
        <v>0</v>
      </c>
      <c r="L289" s="36"/>
      <c r="M289" s="11">
        <v>0</v>
      </c>
      <c r="N289" s="11">
        <v>0</v>
      </c>
      <c r="O289" s="11">
        <v>0</v>
      </c>
      <c r="P289" s="8">
        <v>0</v>
      </c>
      <c r="Q289" s="11">
        <v>0</v>
      </c>
      <c r="R289" s="11">
        <v>0</v>
      </c>
      <c r="S289" s="11">
        <v>0</v>
      </c>
      <c r="T289" s="11">
        <v>0</v>
      </c>
      <c r="U289" s="14">
        <v>0</v>
      </c>
      <c r="V289" s="36">
        <f>IFERROR(LOOKUP($C289,#REF!,#REF!),0)</f>
        <v>0</v>
      </c>
      <c r="W289" s="36">
        <f>IFERROR(LOOKUP($C289,#REF!,#REF!),0)</f>
        <v>0</v>
      </c>
      <c r="X289" s="36">
        <f>IFERROR(LOOKUP($C289,#REF!,#REF!),0)</f>
        <v>0</v>
      </c>
      <c r="Y289" s="36">
        <f>IFERROR(LOOKUP($C289,#REF!,#REF!),0)</f>
        <v>0</v>
      </c>
    </row>
    <row r="290" spans="1:25" ht="16.5" customHeight="1" x14ac:dyDescent="0.35">
      <c r="A290" s="3" t="s">
        <v>35</v>
      </c>
      <c r="B290" s="4">
        <v>101</v>
      </c>
      <c r="C290" s="5">
        <v>66806</v>
      </c>
      <c r="D290" s="3" t="s">
        <v>81</v>
      </c>
      <c r="E290" s="6">
        <v>33.99</v>
      </c>
      <c r="F290" s="16">
        <v>17.418749999999999</v>
      </c>
      <c r="G290" s="51">
        <v>0</v>
      </c>
      <c r="H290" s="52">
        <f t="shared" si="16"/>
        <v>0</v>
      </c>
      <c r="I290" s="52">
        <f t="shared" si="17"/>
        <v>0</v>
      </c>
      <c r="J290" s="52">
        <f t="shared" si="18"/>
        <v>0</v>
      </c>
      <c r="K290" s="53">
        <f t="shared" si="19"/>
        <v>0</v>
      </c>
      <c r="L290" s="36"/>
      <c r="M290" s="11">
        <v>0</v>
      </c>
      <c r="N290" s="11">
        <v>0</v>
      </c>
      <c r="O290" s="11">
        <v>0</v>
      </c>
      <c r="P290" s="8">
        <v>0</v>
      </c>
      <c r="Q290" s="11">
        <v>0</v>
      </c>
      <c r="R290" s="11">
        <v>0</v>
      </c>
      <c r="S290" s="11">
        <v>0</v>
      </c>
      <c r="T290" s="11">
        <v>0</v>
      </c>
      <c r="U290" s="14">
        <v>0</v>
      </c>
      <c r="V290" s="36">
        <f>IFERROR(LOOKUP($C290,#REF!,#REF!),0)</f>
        <v>0</v>
      </c>
      <c r="W290" s="36">
        <f>IFERROR(LOOKUP($C290,#REF!,#REF!),0)</f>
        <v>0</v>
      </c>
      <c r="X290" s="36">
        <f>IFERROR(LOOKUP($C290,#REF!,#REF!),0)</f>
        <v>0</v>
      </c>
      <c r="Y290" s="36">
        <f>IFERROR(LOOKUP($C290,#REF!,#REF!),0)</f>
        <v>0</v>
      </c>
    </row>
  </sheetData>
  <autoFilter ref="A3:L290" xr:uid="{77DF1547-A399-404D-B990-43D9D0B75869}"/>
  <sortState xmlns:xlrd2="http://schemas.microsoft.com/office/spreadsheetml/2017/richdata2" ref="A4:L290">
    <sortCondition ref="A4:A290"/>
  </sortState>
  <printOptions headings="1" gridLines="1"/>
  <pageMargins left="0.75" right="0.75" top="1" bottom="0" header="0" footer="0"/>
  <pageSetup paperSize="0" scale="0" orientation="portrait" usePrinterDefaults="0" blackAndWhite="1" horizontalDpi="0" verticalDpi="0" copies="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85D0C-E865-4EB3-A7B7-79CD3B8A0538}">
  <dimension ref="A1:O563"/>
  <sheetViews>
    <sheetView workbookViewId="0">
      <selection activeCell="A2" sqref="A2:O563"/>
    </sheetView>
  </sheetViews>
  <sheetFormatPr defaultRowHeight="13" x14ac:dyDescent="0.35"/>
  <cols>
    <col min="1" max="1" width="36.5" bestFit="1" customWidth="1"/>
    <col min="2" max="2" width="18.796875" bestFit="1" customWidth="1"/>
    <col min="3" max="3" width="16.5" bestFit="1" customWidth="1"/>
    <col min="4" max="4" width="41.8984375" bestFit="1" customWidth="1"/>
    <col min="5" max="5" width="6.8984375" bestFit="1" customWidth="1"/>
    <col min="6" max="6" width="11.8984375" bestFit="1" customWidth="1"/>
    <col min="7" max="7" width="22.19921875" bestFit="1" customWidth="1"/>
    <col min="8" max="8" width="16.796875" bestFit="1" customWidth="1"/>
    <col min="9" max="9" width="22.3984375" bestFit="1" customWidth="1"/>
    <col min="10" max="10" width="14.69921875" bestFit="1" customWidth="1"/>
    <col min="11" max="11" width="16.3984375" bestFit="1" customWidth="1"/>
    <col min="12" max="12" width="7.796875" bestFit="1" customWidth="1"/>
    <col min="13" max="13" width="11" bestFit="1" customWidth="1"/>
    <col min="14" max="14" width="18.59765625" bestFit="1" customWidth="1"/>
    <col min="15" max="15" width="17" bestFit="1" customWidth="1"/>
  </cols>
  <sheetData>
    <row r="1" spans="1:15" x14ac:dyDescent="0.35">
      <c r="A1" t="s">
        <v>0</v>
      </c>
      <c r="B1" t="s">
        <v>303</v>
      </c>
      <c r="C1" t="s">
        <v>1</v>
      </c>
      <c r="D1" t="s">
        <v>2</v>
      </c>
      <c r="E1" t="s">
        <v>3</v>
      </c>
      <c r="F1" t="s">
        <v>4</v>
      </c>
      <c r="G1" t="s">
        <v>961</v>
      </c>
      <c r="H1" t="s">
        <v>962</v>
      </c>
      <c r="I1" t="s">
        <v>963</v>
      </c>
      <c r="J1" t="s">
        <v>964</v>
      </c>
      <c r="K1" t="s">
        <v>305</v>
      </c>
      <c r="L1" t="s">
        <v>311</v>
      </c>
      <c r="M1" t="s">
        <v>312</v>
      </c>
      <c r="N1" t="s">
        <v>6</v>
      </c>
      <c r="O1" t="s">
        <v>8</v>
      </c>
    </row>
    <row r="2" spans="1:15" x14ac:dyDescent="0.35">
      <c r="A2" s="71" t="s">
        <v>14</v>
      </c>
      <c r="B2">
        <v>101</v>
      </c>
      <c r="C2">
        <v>59381</v>
      </c>
      <c r="D2" s="71" t="s">
        <v>15</v>
      </c>
      <c r="E2">
        <v>13.99</v>
      </c>
      <c r="F2">
        <v>7.36</v>
      </c>
      <c r="G2">
        <v>780</v>
      </c>
      <c r="H2">
        <v>10912.2</v>
      </c>
      <c r="I2">
        <v>5740.8</v>
      </c>
      <c r="J2">
        <v>5171.4000000000005</v>
      </c>
      <c r="K2">
        <v>47.390993566833458</v>
      </c>
      <c r="L2">
        <v>46188</v>
      </c>
      <c r="M2" s="71" t="s">
        <v>309</v>
      </c>
      <c r="N2">
        <v>1216.5217391304348</v>
      </c>
      <c r="O2">
        <v>100</v>
      </c>
    </row>
    <row r="3" spans="1:15" x14ac:dyDescent="0.35">
      <c r="A3" s="71" t="s">
        <v>14</v>
      </c>
      <c r="B3">
        <v>101</v>
      </c>
      <c r="C3">
        <v>59381</v>
      </c>
      <c r="D3" s="71" t="s">
        <v>15</v>
      </c>
      <c r="E3">
        <v>13.99</v>
      </c>
      <c r="F3">
        <v>7.36</v>
      </c>
      <c r="G3">
        <v>780</v>
      </c>
      <c r="H3">
        <v>10912.2</v>
      </c>
      <c r="I3">
        <v>5740.8</v>
      </c>
      <c r="J3">
        <v>5171.4000000000005</v>
      </c>
      <c r="K3">
        <v>47.390993566833458</v>
      </c>
      <c r="L3">
        <v>46189</v>
      </c>
      <c r="M3" s="71" t="s">
        <v>310</v>
      </c>
      <c r="N3">
        <v>1094.8695652173913</v>
      </c>
      <c r="O3">
        <v>90</v>
      </c>
    </row>
    <row r="4" spans="1:15" x14ac:dyDescent="0.35">
      <c r="A4" s="71" t="s">
        <v>14</v>
      </c>
      <c r="B4">
        <v>101</v>
      </c>
      <c r="C4">
        <v>59381</v>
      </c>
      <c r="D4" s="71" t="s">
        <v>15</v>
      </c>
      <c r="E4">
        <v>13.99</v>
      </c>
      <c r="F4">
        <v>7.36</v>
      </c>
      <c r="G4">
        <v>780</v>
      </c>
      <c r="H4">
        <v>10912.2</v>
      </c>
      <c r="I4">
        <v>5740.8</v>
      </c>
      <c r="J4">
        <v>5171.4000000000005</v>
      </c>
      <c r="K4">
        <v>47.390993566833458</v>
      </c>
      <c r="L4">
        <v>46190</v>
      </c>
      <c r="M4" s="71" t="s">
        <v>316</v>
      </c>
      <c r="N4">
        <v>1094.8608695652174</v>
      </c>
      <c r="O4">
        <v>91</v>
      </c>
    </row>
    <row r="5" spans="1:15" x14ac:dyDescent="0.35">
      <c r="A5" s="71" t="s">
        <v>14</v>
      </c>
      <c r="B5">
        <v>101</v>
      </c>
      <c r="C5">
        <v>59381</v>
      </c>
      <c r="D5" s="71" t="s">
        <v>15</v>
      </c>
      <c r="E5">
        <v>13.99</v>
      </c>
      <c r="F5">
        <v>7.36</v>
      </c>
      <c r="G5">
        <v>780</v>
      </c>
      <c r="H5">
        <v>10912.2</v>
      </c>
      <c r="I5">
        <v>5740.8</v>
      </c>
      <c r="J5">
        <v>5171.4000000000005</v>
      </c>
      <c r="K5">
        <v>47.390993566833458</v>
      </c>
      <c r="L5">
        <v>46191</v>
      </c>
      <c r="M5" s="71" t="s">
        <v>960</v>
      </c>
      <c r="N5">
        <v>1204.3565217391304</v>
      </c>
      <c r="O5">
        <v>99</v>
      </c>
    </row>
    <row r="6" spans="1:15" x14ac:dyDescent="0.35">
      <c r="A6" s="71" t="s">
        <v>14</v>
      </c>
      <c r="B6">
        <v>101</v>
      </c>
      <c r="C6">
        <v>59425</v>
      </c>
      <c r="D6" s="71" t="s">
        <v>17</v>
      </c>
      <c r="E6">
        <v>10.99</v>
      </c>
      <c r="F6">
        <v>6.3</v>
      </c>
      <c r="G6">
        <v>240</v>
      </c>
      <c r="H6">
        <v>2637.6</v>
      </c>
      <c r="I6">
        <v>1512</v>
      </c>
      <c r="J6">
        <v>1125.5999999999999</v>
      </c>
      <c r="K6">
        <v>42.675159235668787</v>
      </c>
      <c r="L6">
        <v>46188</v>
      </c>
      <c r="M6" s="71" t="s">
        <v>309</v>
      </c>
      <c r="N6">
        <v>659.4</v>
      </c>
      <c r="O6">
        <v>60</v>
      </c>
    </row>
    <row r="7" spans="1:15" x14ac:dyDescent="0.35">
      <c r="A7" s="71" t="s">
        <v>14</v>
      </c>
      <c r="B7">
        <v>101</v>
      </c>
      <c r="C7">
        <v>59425</v>
      </c>
      <c r="D7" s="71" t="s">
        <v>17</v>
      </c>
      <c r="E7">
        <v>10.99</v>
      </c>
      <c r="F7">
        <v>6.3</v>
      </c>
      <c r="G7">
        <v>240</v>
      </c>
      <c r="H7">
        <v>2637.6</v>
      </c>
      <c r="I7">
        <v>1512</v>
      </c>
      <c r="J7">
        <v>1125.5999999999999</v>
      </c>
      <c r="K7">
        <v>42.675159235668787</v>
      </c>
      <c r="L7">
        <v>46190</v>
      </c>
      <c r="M7" s="71" t="s">
        <v>316</v>
      </c>
      <c r="N7">
        <v>259.36</v>
      </c>
      <c r="O7">
        <v>24</v>
      </c>
    </row>
    <row r="8" spans="1:15" x14ac:dyDescent="0.35">
      <c r="A8" s="71" t="s">
        <v>14</v>
      </c>
      <c r="B8">
        <v>101</v>
      </c>
      <c r="C8">
        <v>59425</v>
      </c>
      <c r="D8" s="71" t="s">
        <v>17</v>
      </c>
      <c r="E8">
        <v>10.99</v>
      </c>
      <c r="F8">
        <v>6.3</v>
      </c>
      <c r="G8">
        <v>240</v>
      </c>
      <c r="H8">
        <v>2637.6</v>
      </c>
      <c r="I8">
        <v>1512</v>
      </c>
      <c r="J8">
        <v>1125.5999999999999</v>
      </c>
      <c r="K8">
        <v>42.675159235668787</v>
      </c>
      <c r="L8">
        <v>46191</v>
      </c>
      <c r="M8" s="71" t="s">
        <v>960</v>
      </c>
      <c r="N8">
        <v>164.85</v>
      </c>
      <c r="O8">
        <v>15</v>
      </c>
    </row>
    <row r="9" spans="1:15" x14ac:dyDescent="0.35">
      <c r="A9" s="71" t="s">
        <v>14</v>
      </c>
      <c r="B9">
        <v>101</v>
      </c>
      <c r="C9">
        <v>34690</v>
      </c>
      <c r="D9" s="71" t="s">
        <v>18</v>
      </c>
      <c r="E9">
        <v>16.989999999999998</v>
      </c>
      <c r="F9">
        <v>7.7</v>
      </c>
      <c r="G9">
        <v>184</v>
      </c>
      <c r="H9">
        <v>3126.16</v>
      </c>
      <c r="I9">
        <v>1416.8</v>
      </c>
      <c r="J9">
        <v>1709.36</v>
      </c>
      <c r="K9">
        <v>54.679223072395523</v>
      </c>
      <c r="L9">
        <v>46188</v>
      </c>
      <c r="M9" s="71" t="s">
        <v>309</v>
      </c>
      <c r="N9">
        <v>457.99130434782614</v>
      </c>
      <c r="O9">
        <v>31</v>
      </c>
    </row>
    <row r="10" spans="1:15" x14ac:dyDescent="0.35">
      <c r="A10" s="71" t="s">
        <v>14</v>
      </c>
      <c r="B10">
        <v>101</v>
      </c>
      <c r="C10">
        <v>34690</v>
      </c>
      <c r="D10" s="71" t="s">
        <v>18</v>
      </c>
      <c r="E10">
        <v>16.989999999999998</v>
      </c>
      <c r="F10">
        <v>7.7</v>
      </c>
      <c r="G10">
        <v>184</v>
      </c>
      <c r="H10">
        <v>3126.16</v>
      </c>
      <c r="I10">
        <v>1416.8</v>
      </c>
      <c r="J10">
        <v>1709.36</v>
      </c>
      <c r="K10">
        <v>54.679223072395523</v>
      </c>
      <c r="L10">
        <v>46189</v>
      </c>
      <c r="M10" s="71" t="s">
        <v>310</v>
      </c>
      <c r="N10">
        <v>398.89565217391305</v>
      </c>
      <c r="O10">
        <v>27</v>
      </c>
    </row>
    <row r="11" spans="1:15" x14ac:dyDescent="0.35">
      <c r="A11" s="71" t="s">
        <v>14</v>
      </c>
      <c r="B11">
        <v>101</v>
      </c>
      <c r="C11">
        <v>34690</v>
      </c>
      <c r="D11" s="71" t="s">
        <v>18</v>
      </c>
      <c r="E11">
        <v>16.989999999999998</v>
      </c>
      <c r="F11">
        <v>7.7</v>
      </c>
      <c r="G11">
        <v>184</v>
      </c>
      <c r="H11">
        <v>3126.16</v>
      </c>
      <c r="I11">
        <v>1416.8</v>
      </c>
      <c r="J11">
        <v>1709.36</v>
      </c>
      <c r="K11">
        <v>54.679223072395523</v>
      </c>
      <c r="L11">
        <v>46190</v>
      </c>
      <c r="M11" s="71" t="s">
        <v>316</v>
      </c>
      <c r="N11">
        <v>484.58260869565214</v>
      </c>
      <c r="O11">
        <v>33</v>
      </c>
    </row>
    <row r="12" spans="1:15" x14ac:dyDescent="0.35">
      <c r="A12" s="71" t="s">
        <v>14</v>
      </c>
      <c r="B12">
        <v>101</v>
      </c>
      <c r="C12">
        <v>34690</v>
      </c>
      <c r="D12" s="71" t="s">
        <v>18</v>
      </c>
      <c r="E12">
        <v>16.989999999999998</v>
      </c>
      <c r="F12">
        <v>7.7</v>
      </c>
      <c r="G12">
        <v>184</v>
      </c>
      <c r="H12">
        <v>3126.16</v>
      </c>
      <c r="I12">
        <v>1416.8</v>
      </c>
      <c r="J12">
        <v>1709.36</v>
      </c>
      <c r="K12">
        <v>54.679223072395523</v>
      </c>
      <c r="L12">
        <v>46191</v>
      </c>
      <c r="M12" s="71" t="s">
        <v>960</v>
      </c>
      <c r="N12">
        <v>457.99130434782614</v>
      </c>
      <c r="O12">
        <v>31</v>
      </c>
    </row>
    <row r="13" spans="1:15" x14ac:dyDescent="0.35">
      <c r="A13" s="71" t="s">
        <v>19</v>
      </c>
      <c r="B13">
        <v>101</v>
      </c>
      <c r="C13">
        <v>34141</v>
      </c>
      <c r="D13" s="71" t="s">
        <v>24</v>
      </c>
      <c r="E13">
        <v>5</v>
      </c>
      <c r="F13">
        <v>3.3388750000000003</v>
      </c>
      <c r="G13">
        <v>144</v>
      </c>
      <c r="H13">
        <v>720</v>
      </c>
      <c r="I13">
        <v>480.798</v>
      </c>
      <c r="J13">
        <v>239.202</v>
      </c>
      <c r="K13">
        <v>33.222499999999997</v>
      </c>
      <c r="L13">
        <v>46190</v>
      </c>
      <c r="M13" s="71" t="s">
        <v>316</v>
      </c>
      <c r="N13">
        <v>165.21739130434781</v>
      </c>
      <c r="O13">
        <v>40</v>
      </c>
    </row>
    <row r="14" spans="1:15" x14ac:dyDescent="0.35">
      <c r="A14" s="71" t="s">
        <v>14</v>
      </c>
      <c r="B14">
        <v>101</v>
      </c>
      <c r="C14">
        <v>32859</v>
      </c>
      <c r="D14" s="71" t="s">
        <v>20</v>
      </c>
      <c r="E14">
        <v>20.99</v>
      </c>
      <c r="F14">
        <v>7.46</v>
      </c>
      <c r="G14">
        <v>104.666666666667</v>
      </c>
      <c r="H14">
        <v>2196.9533333333402</v>
      </c>
      <c r="I14">
        <v>780.81333333333578</v>
      </c>
      <c r="J14">
        <v>1416.1400000000044</v>
      </c>
      <c r="K14">
        <v>64.459266317293952</v>
      </c>
      <c r="L14">
        <v>46188</v>
      </c>
      <c r="M14" s="71" t="s">
        <v>309</v>
      </c>
      <c r="N14">
        <v>146.01739130434785</v>
      </c>
      <c r="O14">
        <v>8</v>
      </c>
    </row>
    <row r="15" spans="1:15" x14ac:dyDescent="0.35">
      <c r="A15" s="71" t="s">
        <v>14</v>
      </c>
      <c r="B15">
        <v>101</v>
      </c>
      <c r="C15">
        <v>32859</v>
      </c>
      <c r="D15" s="71" t="s">
        <v>20</v>
      </c>
      <c r="E15">
        <v>20.99</v>
      </c>
      <c r="F15">
        <v>7.46</v>
      </c>
      <c r="G15">
        <v>104.666666666667</v>
      </c>
      <c r="H15">
        <v>2196.9533333333402</v>
      </c>
      <c r="I15">
        <v>780.81333333333578</v>
      </c>
      <c r="J15">
        <v>1416.1400000000044</v>
      </c>
      <c r="K15">
        <v>64.459266317293952</v>
      </c>
      <c r="L15">
        <v>46189</v>
      </c>
      <c r="M15" s="71" t="s">
        <v>310</v>
      </c>
      <c r="N15">
        <v>200.77391304347827</v>
      </c>
      <c r="O15">
        <v>11</v>
      </c>
    </row>
    <row r="16" spans="1:15" x14ac:dyDescent="0.35">
      <c r="A16" s="71" t="s">
        <v>14</v>
      </c>
      <c r="B16">
        <v>101</v>
      </c>
      <c r="C16">
        <v>32859</v>
      </c>
      <c r="D16" s="71" t="s">
        <v>20</v>
      </c>
      <c r="E16">
        <v>20.99</v>
      </c>
      <c r="F16">
        <v>7.46</v>
      </c>
      <c r="G16">
        <v>104.666666666667</v>
      </c>
      <c r="H16">
        <v>2196.9533333333402</v>
      </c>
      <c r="I16">
        <v>780.81333333333578</v>
      </c>
      <c r="J16">
        <v>1416.1400000000044</v>
      </c>
      <c r="K16">
        <v>64.459266317293952</v>
      </c>
      <c r="L16">
        <v>46190</v>
      </c>
      <c r="M16" s="71" t="s">
        <v>316</v>
      </c>
      <c r="N16">
        <v>177.97391304347826</v>
      </c>
      <c r="O16">
        <v>10</v>
      </c>
    </row>
    <row r="17" spans="1:15" x14ac:dyDescent="0.35">
      <c r="A17" s="71" t="s">
        <v>14</v>
      </c>
      <c r="B17">
        <v>101</v>
      </c>
      <c r="C17">
        <v>32859</v>
      </c>
      <c r="D17" s="71" t="s">
        <v>20</v>
      </c>
      <c r="E17">
        <v>20.99</v>
      </c>
      <c r="F17">
        <v>7.46</v>
      </c>
      <c r="G17">
        <v>104.666666666667</v>
      </c>
      <c r="H17">
        <v>2196.9533333333402</v>
      </c>
      <c r="I17">
        <v>780.81333333333578</v>
      </c>
      <c r="J17">
        <v>1416.1400000000044</v>
      </c>
      <c r="K17">
        <v>64.459266317293952</v>
      </c>
      <c r="L17">
        <v>46191</v>
      </c>
      <c r="M17" s="71" t="s">
        <v>960</v>
      </c>
      <c r="N17">
        <v>219.02608695652174</v>
      </c>
      <c r="O17">
        <v>12</v>
      </c>
    </row>
    <row r="18" spans="1:15" x14ac:dyDescent="0.35">
      <c r="A18" s="71" t="s">
        <v>14</v>
      </c>
      <c r="B18">
        <v>101</v>
      </c>
      <c r="C18">
        <v>34041</v>
      </c>
      <c r="D18" s="71" t="s">
        <v>43</v>
      </c>
      <c r="E18">
        <v>6.99</v>
      </c>
      <c r="F18">
        <v>3.15</v>
      </c>
      <c r="G18">
        <v>70</v>
      </c>
      <c r="H18">
        <v>489.3</v>
      </c>
      <c r="I18">
        <v>220.5</v>
      </c>
      <c r="J18">
        <v>268.8</v>
      </c>
      <c r="K18">
        <v>54.935622317596568</v>
      </c>
      <c r="L18">
        <v>46188</v>
      </c>
      <c r="M18" s="71" t="s">
        <v>309</v>
      </c>
      <c r="N18">
        <v>66.860869565217399</v>
      </c>
      <c r="O18">
        <v>11</v>
      </c>
    </row>
    <row r="19" spans="1:15" x14ac:dyDescent="0.35">
      <c r="A19" s="71" t="s">
        <v>14</v>
      </c>
      <c r="B19">
        <v>101</v>
      </c>
      <c r="C19">
        <v>34041</v>
      </c>
      <c r="D19" s="71" t="s">
        <v>43</v>
      </c>
      <c r="E19">
        <v>6.99</v>
      </c>
      <c r="F19">
        <v>3.15</v>
      </c>
      <c r="G19">
        <v>70</v>
      </c>
      <c r="H19">
        <v>489.3</v>
      </c>
      <c r="I19">
        <v>220.5</v>
      </c>
      <c r="J19">
        <v>268.8</v>
      </c>
      <c r="K19">
        <v>54.935622317596568</v>
      </c>
      <c r="L19">
        <v>46189</v>
      </c>
      <c r="M19" s="71" t="s">
        <v>310</v>
      </c>
      <c r="N19">
        <v>42.547826086956519</v>
      </c>
      <c r="O19">
        <v>7</v>
      </c>
    </row>
    <row r="20" spans="1:15" x14ac:dyDescent="0.35">
      <c r="A20" s="71" t="s">
        <v>14</v>
      </c>
      <c r="B20">
        <v>101</v>
      </c>
      <c r="C20">
        <v>34041</v>
      </c>
      <c r="D20" s="71" t="s">
        <v>43</v>
      </c>
      <c r="E20">
        <v>6.99</v>
      </c>
      <c r="F20">
        <v>3.15</v>
      </c>
      <c r="G20">
        <v>70</v>
      </c>
      <c r="H20">
        <v>489.3</v>
      </c>
      <c r="I20">
        <v>220.5</v>
      </c>
      <c r="J20">
        <v>268.8</v>
      </c>
      <c r="K20">
        <v>54.935622317596568</v>
      </c>
      <c r="L20">
        <v>46190</v>
      </c>
      <c r="M20" s="71" t="s">
        <v>316</v>
      </c>
      <c r="N20">
        <v>48.017391304347825</v>
      </c>
      <c r="O20">
        <v>8</v>
      </c>
    </row>
    <row r="21" spans="1:15" x14ac:dyDescent="0.35">
      <c r="A21" s="71" t="s">
        <v>14</v>
      </c>
      <c r="B21">
        <v>101</v>
      </c>
      <c r="C21">
        <v>34041</v>
      </c>
      <c r="D21" s="71" t="s">
        <v>43</v>
      </c>
      <c r="E21">
        <v>6.99</v>
      </c>
      <c r="F21">
        <v>3.15</v>
      </c>
      <c r="G21">
        <v>70</v>
      </c>
      <c r="H21">
        <v>489.3</v>
      </c>
      <c r="I21">
        <v>220.5</v>
      </c>
      <c r="J21">
        <v>268.8</v>
      </c>
      <c r="K21">
        <v>54.935622317596568</v>
      </c>
      <c r="L21">
        <v>46191</v>
      </c>
      <c r="M21" s="71" t="s">
        <v>960</v>
      </c>
      <c r="N21">
        <v>54.704347826086952</v>
      </c>
      <c r="O21">
        <v>9</v>
      </c>
    </row>
    <row r="22" spans="1:15" x14ac:dyDescent="0.35">
      <c r="A22" s="71" t="s">
        <v>19</v>
      </c>
      <c r="B22">
        <v>101</v>
      </c>
      <c r="C22">
        <v>50037</v>
      </c>
      <c r="D22" s="71" t="s">
        <v>22</v>
      </c>
      <c r="E22">
        <v>25.99</v>
      </c>
      <c r="F22">
        <v>13.4</v>
      </c>
      <c r="G22">
        <v>65</v>
      </c>
      <c r="H22">
        <v>1689.35</v>
      </c>
      <c r="I22">
        <v>871</v>
      </c>
      <c r="J22">
        <v>818.34999999999991</v>
      </c>
      <c r="K22">
        <v>48.441708349365136</v>
      </c>
      <c r="L22">
        <v>46188</v>
      </c>
      <c r="M22" s="71" t="s">
        <v>309</v>
      </c>
      <c r="N22">
        <v>158.20000000000002</v>
      </c>
      <c r="O22">
        <v>7</v>
      </c>
    </row>
    <row r="23" spans="1:15" x14ac:dyDescent="0.35">
      <c r="A23" s="71" t="s">
        <v>19</v>
      </c>
      <c r="B23">
        <v>101</v>
      </c>
      <c r="C23">
        <v>50037</v>
      </c>
      <c r="D23" s="71" t="s">
        <v>22</v>
      </c>
      <c r="E23">
        <v>25.99</v>
      </c>
      <c r="F23">
        <v>13.4</v>
      </c>
      <c r="G23">
        <v>65</v>
      </c>
      <c r="H23">
        <v>1689.35</v>
      </c>
      <c r="I23">
        <v>871</v>
      </c>
      <c r="J23">
        <v>818.34999999999991</v>
      </c>
      <c r="K23">
        <v>48.441708349365136</v>
      </c>
      <c r="L23">
        <v>46189</v>
      </c>
      <c r="M23" s="71" t="s">
        <v>310</v>
      </c>
      <c r="N23">
        <v>158.20000000000002</v>
      </c>
      <c r="O23">
        <v>7</v>
      </c>
    </row>
    <row r="24" spans="1:15" x14ac:dyDescent="0.35">
      <c r="A24" s="71" t="s">
        <v>19</v>
      </c>
      <c r="B24">
        <v>101</v>
      </c>
      <c r="C24">
        <v>50037</v>
      </c>
      <c r="D24" s="71" t="s">
        <v>22</v>
      </c>
      <c r="E24">
        <v>25.99</v>
      </c>
      <c r="F24">
        <v>13.4</v>
      </c>
      <c r="G24">
        <v>65</v>
      </c>
      <c r="H24">
        <v>1689.35</v>
      </c>
      <c r="I24">
        <v>871</v>
      </c>
      <c r="J24">
        <v>818.34999999999991</v>
      </c>
      <c r="K24">
        <v>48.441708349365136</v>
      </c>
      <c r="L24">
        <v>46190</v>
      </c>
      <c r="M24" s="71" t="s">
        <v>316</v>
      </c>
      <c r="N24">
        <v>178.53913043478261</v>
      </c>
      <c r="O24">
        <v>8</v>
      </c>
    </row>
    <row r="25" spans="1:15" x14ac:dyDescent="0.35">
      <c r="A25" s="71" t="s">
        <v>19</v>
      </c>
      <c r="B25">
        <v>101</v>
      </c>
      <c r="C25">
        <v>50037</v>
      </c>
      <c r="D25" s="71" t="s">
        <v>22</v>
      </c>
      <c r="E25">
        <v>25.99</v>
      </c>
      <c r="F25">
        <v>13.4</v>
      </c>
      <c r="G25">
        <v>65</v>
      </c>
      <c r="H25">
        <v>1689.35</v>
      </c>
      <c r="I25">
        <v>871</v>
      </c>
      <c r="J25">
        <v>818.34999999999991</v>
      </c>
      <c r="K25">
        <v>48.441708349365136</v>
      </c>
      <c r="L25">
        <v>46191</v>
      </c>
      <c r="M25" s="71" t="s">
        <v>960</v>
      </c>
      <c r="N25">
        <v>112.99999999999999</v>
      </c>
      <c r="O25">
        <v>5</v>
      </c>
    </row>
    <row r="26" spans="1:15" x14ac:dyDescent="0.35">
      <c r="A26" s="71" t="s">
        <v>14</v>
      </c>
      <c r="B26">
        <v>101</v>
      </c>
      <c r="C26">
        <v>34046</v>
      </c>
      <c r="D26" s="71" t="s">
        <v>37</v>
      </c>
      <c r="E26">
        <v>19.989999999999998</v>
      </c>
      <c r="F26">
        <v>12.2</v>
      </c>
      <c r="G26">
        <v>50</v>
      </c>
      <c r="H26">
        <v>999.49999999999989</v>
      </c>
      <c r="I26">
        <v>610</v>
      </c>
      <c r="J26">
        <v>389.49999999999989</v>
      </c>
      <c r="K26">
        <v>38.969484742371179</v>
      </c>
      <c r="L26">
        <v>46188</v>
      </c>
      <c r="M26" s="71" t="s">
        <v>309</v>
      </c>
      <c r="N26">
        <v>86.913043478260875</v>
      </c>
      <c r="O26">
        <v>5</v>
      </c>
    </row>
    <row r="27" spans="1:15" x14ac:dyDescent="0.35">
      <c r="A27" s="71" t="s">
        <v>14</v>
      </c>
      <c r="B27">
        <v>101</v>
      </c>
      <c r="C27">
        <v>34046</v>
      </c>
      <c r="D27" s="71" t="s">
        <v>37</v>
      </c>
      <c r="E27">
        <v>19.989999999999998</v>
      </c>
      <c r="F27">
        <v>12.2</v>
      </c>
      <c r="G27">
        <v>50</v>
      </c>
      <c r="H27">
        <v>999.49999999999989</v>
      </c>
      <c r="I27">
        <v>610</v>
      </c>
      <c r="J27">
        <v>389.49999999999989</v>
      </c>
      <c r="K27">
        <v>38.969484742371179</v>
      </c>
      <c r="L27">
        <v>46189</v>
      </c>
      <c r="M27" s="71" t="s">
        <v>310</v>
      </c>
      <c r="N27">
        <v>69.530434782608694</v>
      </c>
      <c r="O27">
        <v>4</v>
      </c>
    </row>
    <row r="28" spans="1:15" x14ac:dyDescent="0.35">
      <c r="A28" s="71" t="s">
        <v>14</v>
      </c>
      <c r="B28">
        <v>101</v>
      </c>
      <c r="C28">
        <v>34042</v>
      </c>
      <c r="D28" s="71" t="s">
        <v>31</v>
      </c>
      <c r="E28">
        <v>9.5</v>
      </c>
      <c r="F28">
        <v>4.1500000000000004</v>
      </c>
      <c r="G28">
        <v>48</v>
      </c>
      <c r="H28">
        <v>456</v>
      </c>
      <c r="I28">
        <v>199.20000000000002</v>
      </c>
      <c r="J28">
        <v>256.79999999999995</v>
      </c>
      <c r="K28">
        <v>56.315789473684198</v>
      </c>
      <c r="L28">
        <v>46188</v>
      </c>
      <c r="M28" s="71" t="s">
        <v>309</v>
      </c>
      <c r="N28">
        <v>49.565217391304344</v>
      </c>
      <c r="O28">
        <v>6</v>
      </c>
    </row>
    <row r="29" spans="1:15" x14ac:dyDescent="0.35">
      <c r="A29" s="71" t="s">
        <v>14</v>
      </c>
      <c r="B29">
        <v>101</v>
      </c>
      <c r="C29">
        <v>34042</v>
      </c>
      <c r="D29" s="71" t="s">
        <v>31</v>
      </c>
      <c r="E29">
        <v>9.5</v>
      </c>
      <c r="F29">
        <v>4.1500000000000004</v>
      </c>
      <c r="G29">
        <v>48</v>
      </c>
      <c r="H29">
        <v>456</v>
      </c>
      <c r="I29">
        <v>199.20000000000002</v>
      </c>
      <c r="J29">
        <v>256.79999999999995</v>
      </c>
      <c r="K29">
        <v>56.315789473684198</v>
      </c>
      <c r="L29">
        <v>46189</v>
      </c>
      <c r="M29" s="71" t="s">
        <v>310</v>
      </c>
      <c r="N29">
        <v>90.869565217391312</v>
      </c>
      <c r="O29">
        <v>11</v>
      </c>
    </row>
    <row r="30" spans="1:15" x14ac:dyDescent="0.35">
      <c r="A30" s="71" t="s">
        <v>14</v>
      </c>
      <c r="B30">
        <v>101</v>
      </c>
      <c r="C30">
        <v>34042</v>
      </c>
      <c r="D30" s="71" t="s">
        <v>31</v>
      </c>
      <c r="E30">
        <v>9.5</v>
      </c>
      <c r="F30">
        <v>4.1500000000000004</v>
      </c>
      <c r="G30">
        <v>48</v>
      </c>
      <c r="H30">
        <v>456</v>
      </c>
      <c r="I30">
        <v>199.20000000000002</v>
      </c>
      <c r="J30">
        <v>256.79999999999995</v>
      </c>
      <c r="K30">
        <v>56.315789473684198</v>
      </c>
      <c r="L30">
        <v>46190</v>
      </c>
      <c r="M30" s="71" t="s">
        <v>316</v>
      </c>
      <c r="N30">
        <v>97.052173913043475</v>
      </c>
      <c r="O30">
        <v>12</v>
      </c>
    </row>
    <row r="31" spans="1:15" x14ac:dyDescent="0.35">
      <c r="A31" s="71" t="s">
        <v>14</v>
      </c>
      <c r="B31">
        <v>101</v>
      </c>
      <c r="C31">
        <v>34042</v>
      </c>
      <c r="D31" s="71" t="s">
        <v>31</v>
      </c>
      <c r="E31">
        <v>9.5</v>
      </c>
      <c r="F31">
        <v>4.1500000000000004</v>
      </c>
      <c r="G31">
        <v>48</v>
      </c>
      <c r="H31">
        <v>456</v>
      </c>
      <c r="I31">
        <v>199.20000000000002</v>
      </c>
      <c r="J31">
        <v>256.79999999999995</v>
      </c>
      <c r="K31">
        <v>56.315789473684198</v>
      </c>
      <c r="L31">
        <v>46191</v>
      </c>
      <c r="M31" s="71" t="s">
        <v>960</v>
      </c>
      <c r="N31">
        <v>49.565217391304344</v>
      </c>
      <c r="O31">
        <v>6</v>
      </c>
    </row>
    <row r="32" spans="1:15" x14ac:dyDescent="0.35">
      <c r="A32" s="71" t="s">
        <v>14</v>
      </c>
      <c r="B32">
        <v>101</v>
      </c>
      <c r="C32">
        <v>34091</v>
      </c>
      <c r="D32" s="71" t="s">
        <v>28</v>
      </c>
      <c r="E32">
        <v>17.989999999999998</v>
      </c>
      <c r="F32">
        <v>12.24</v>
      </c>
      <c r="G32">
        <v>40</v>
      </c>
      <c r="H32">
        <v>719.59999999999991</v>
      </c>
      <c r="I32">
        <v>489.6</v>
      </c>
      <c r="J32">
        <v>229.99999999999989</v>
      </c>
      <c r="K32">
        <v>31.962201222901598</v>
      </c>
      <c r="L32">
        <v>46188</v>
      </c>
      <c r="M32" s="71" t="s">
        <v>309</v>
      </c>
      <c r="N32">
        <v>86.913043478260875</v>
      </c>
      <c r="O32">
        <v>5</v>
      </c>
    </row>
    <row r="33" spans="1:15" x14ac:dyDescent="0.35">
      <c r="A33" s="71" t="s">
        <v>14</v>
      </c>
      <c r="B33">
        <v>101</v>
      </c>
      <c r="C33">
        <v>34091</v>
      </c>
      <c r="D33" s="71" t="s">
        <v>28</v>
      </c>
      <c r="E33">
        <v>17.989999999999998</v>
      </c>
      <c r="F33">
        <v>12.24</v>
      </c>
      <c r="G33">
        <v>40</v>
      </c>
      <c r="H33">
        <v>719.59999999999991</v>
      </c>
      <c r="I33">
        <v>489.6</v>
      </c>
      <c r="J33">
        <v>229.99999999999989</v>
      </c>
      <c r="K33">
        <v>31.962201222901598</v>
      </c>
      <c r="L33">
        <v>46189</v>
      </c>
      <c r="M33" s="71" t="s">
        <v>310</v>
      </c>
      <c r="N33">
        <v>86.913043478260875</v>
      </c>
      <c r="O33">
        <v>5</v>
      </c>
    </row>
    <row r="34" spans="1:15" x14ac:dyDescent="0.35">
      <c r="A34" s="71" t="s">
        <v>14</v>
      </c>
      <c r="B34">
        <v>101</v>
      </c>
      <c r="C34">
        <v>34091</v>
      </c>
      <c r="D34" s="71" t="s">
        <v>28</v>
      </c>
      <c r="E34">
        <v>17.989999999999998</v>
      </c>
      <c r="F34">
        <v>12.24</v>
      </c>
      <c r="G34">
        <v>40</v>
      </c>
      <c r="H34">
        <v>719.59999999999991</v>
      </c>
      <c r="I34">
        <v>489.6</v>
      </c>
      <c r="J34">
        <v>229.99999999999989</v>
      </c>
      <c r="K34">
        <v>31.962201222901598</v>
      </c>
      <c r="L34">
        <v>46190</v>
      </c>
      <c r="M34" s="71" t="s">
        <v>316</v>
      </c>
      <c r="N34">
        <v>198.66956521739129</v>
      </c>
      <c r="O34">
        <v>13</v>
      </c>
    </row>
    <row r="35" spans="1:15" x14ac:dyDescent="0.35">
      <c r="A35" s="71" t="s">
        <v>14</v>
      </c>
      <c r="B35">
        <v>101</v>
      </c>
      <c r="C35">
        <v>34091</v>
      </c>
      <c r="D35" s="71" t="s">
        <v>28</v>
      </c>
      <c r="E35">
        <v>17.989999999999998</v>
      </c>
      <c r="F35">
        <v>12.24</v>
      </c>
      <c r="G35">
        <v>40</v>
      </c>
      <c r="H35">
        <v>719.59999999999991</v>
      </c>
      <c r="I35">
        <v>489.6</v>
      </c>
      <c r="J35">
        <v>229.99999999999989</v>
      </c>
      <c r="K35">
        <v>31.962201222901598</v>
      </c>
      <c r="L35">
        <v>46191</v>
      </c>
      <c r="M35" s="71" t="s">
        <v>960</v>
      </c>
      <c r="N35">
        <v>125.14782608695651</v>
      </c>
      <c r="O35">
        <v>8</v>
      </c>
    </row>
    <row r="36" spans="1:15" x14ac:dyDescent="0.35">
      <c r="A36" s="71" t="s">
        <v>14</v>
      </c>
      <c r="B36">
        <v>101</v>
      </c>
      <c r="C36">
        <v>34024</v>
      </c>
      <c r="D36" s="71" t="s">
        <v>23</v>
      </c>
      <c r="E36">
        <v>37.99</v>
      </c>
      <c r="F36">
        <v>16.5</v>
      </c>
      <c r="G36">
        <v>36</v>
      </c>
      <c r="H36">
        <v>1367.64</v>
      </c>
      <c r="I36">
        <v>594</v>
      </c>
      <c r="J36">
        <v>773.6400000000001</v>
      </c>
      <c r="K36">
        <v>56.567517767833642</v>
      </c>
      <c r="L36">
        <v>46188</v>
      </c>
      <c r="M36" s="71" t="s">
        <v>309</v>
      </c>
      <c r="N36">
        <v>165.17391304347825</v>
      </c>
      <c r="O36">
        <v>5</v>
      </c>
    </row>
    <row r="37" spans="1:15" x14ac:dyDescent="0.35">
      <c r="A37" s="71" t="s">
        <v>14</v>
      </c>
      <c r="B37">
        <v>101</v>
      </c>
      <c r="C37">
        <v>34024</v>
      </c>
      <c r="D37" s="71" t="s">
        <v>23</v>
      </c>
      <c r="E37">
        <v>37.99</v>
      </c>
      <c r="F37">
        <v>16.5</v>
      </c>
      <c r="G37">
        <v>36</v>
      </c>
      <c r="H37">
        <v>1367.64</v>
      </c>
      <c r="I37">
        <v>594</v>
      </c>
      <c r="J37">
        <v>773.6400000000001</v>
      </c>
      <c r="K37">
        <v>56.567517767833642</v>
      </c>
      <c r="L37">
        <v>46189</v>
      </c>
      <c r="M37" s="71" t="s">
        <v>310</v>
      </c>
      <c r="N37">
        <v>33.03478260869565</v>
      </c>
      <c r="O37">
        <v>1</v>
      </c>
    </row>
    <row r="38" spans="1:15" x14ac:dyDescent="0.35">
      <c r="A38" s="71" t="s">
        <v>14</v>
      </c>
      <c r="B38">
        <v>101</v>
      </c>
      <c r="C38">
        <v>34024</v>
      </c>
      <c r="D38" s="71" t="s">
        <v>23</v>
      </c>
      <c r="E38">
        <v>37.99</v>
      </c>
      <c r="F38">
        <v>16.5</v>
      </c>
      <c r="G38">
        <v>36</v>
      </c>
      <c r="H38">
        <v>1367.64</v>
      </c>
      <c r="I38">
        <v>594</v>
      </c>
      <c r="J38">
        <v>773.6400000000001</v>
      </c>
      <c r="K38">
        <v>56.567517767833642</v>
      </c>
      <c r="L38">
        <v>46190</v>
      </c>
      <c r="M38" s="71" t="s">
        <v>316</v>
      </c>
      <c r="N38">
        <v>165.17391304347825</v>
      </c>
      <c r="O38">
        <v>5</v>
      </c>
    </row>
    <row r="39" spans="1:15" x14ac:dyDescent="0.35">
      <c r="A39" s="71" t="s">
        <v>14</v>
      </c>
      <c r="B39">
        <v>101</v>
      </c>
      <c r="C39">
        <v>34024</v>
      </c>
      <c r="D39" s="71" t="s">
        <v>23</v>
      </c>
      <c r="E39">
        <v>37.99</v>
      </c>
      <c r="F39">
        <v>16.5</v>
      </c>
      <c r="G39">
        <v>36</v>
      </c>
      <c r="H39">
        <v>1367.64</v>
      </c>
      <c r="I39">
        <v>594</v>
      </c>
      <c r="J39">
        <v>773.6400000000001</v>
      </c>
      <c r="K39">
        <v>56.567517767833642</v>
      </c>
      <c r="L39">
        <v>46191</v>
      </c>
      <c r="M39" s="71" t="s">
        <v>960</v>
      </c>
      <c r="N39">
        <v>132.1391304347826</v>
      </c>
      <c r="O39">
        <v>4</v>
      </c>
    </row>
    <row r="40" spans="1:15" x14ac:dyDescent="0.35">
      <c r="A40" s="71" t="s">
        <v>14</v>
      </c>
      <c r="B40">
        <v>101</v>
      </c>
      <c r="C40">
        <v>57073</v>
      </c>
      <c r="D40" s="71" t="s">
        <v>21</v>
      </c>
      <c r="E40">
        <v>36.99</v>
      </c>
      <c r="F40">
        <v>16.05</v>
      </c>
      <c r="G40">
        <v>36</v>
      </c>
      <c r="H40">
        <v>1331.64</v>
      </c>
      <c r="I40">
        <v>577.80000000000007</v>
      </c>
      <c r="J40">
        <v>753.84</v>
      </c>
      <c r="K40">
        <v>56.609894566098937</v>
      </c>
      <c r="L40">
        <v>46188</v>
      </c>
      <c r="M40" s="71" t="s">
        <v>309</v>
      </c>
      <c r="N40">
        <v>225.15652173913043</v>
      </c>
      <c r="O40">
        <v>7</v>
      </c>
    </row>
    <row r="41" spans="1:15" x14ac:dyDescent="0.35">
      <c r="A41" s="71" t="s">
        <v>14</v>
      </c>
      <c r="B41">
        <v>101</v>
      </c>
      <c r="C41">
        <v>57073</v>
      </c>
      <c r="D41" s="71" t="s">
        <v>21</v>
      </c>
      <c r="E41">
        <v>36.99</v>
      </c>
      <c r="F41">
        <v>16.05</v>
      </c>
      <c r="G41">
        <v>36</v>
      </c>
      <c r="H41">
        <v>1331.64</v>
      </c>
      <c r="I41">
        <v>577.80000000000007</v>
      </c>
      <c r="J41">
        <v>753.84</v>
      </c>
      <c r="K41">
        <v>56.609894566098937</v>
      </c>
      <c r="L41">
        <v>46189</v>
      </c>
      <c r="M41" s="71" t="s">
        <v>310</v>
      </c>
      <c r="N41">
        <v>32.165217391304353</v>
      </c>
      <c r="O41">
        <v>1</v>
      </c>
    </row>
    <row r="42" spans="1:15" x14ac:dyDescent="0.35">
      <c r="A42" s="71" t="s">
        <v>14</v>
      </c>
      <c r="B42">
        <v>101</v>
      </c>
      <c r="C42">
        <v>57073</v>
      </c>
      <c r="D42" s="71" t="s">
        <v>21</v>
      </c>
      <c r="E42">
        <v>36.99</v>
      </c>
      <c r="F42">
        <v>16.05</v>
      </c>
      <c r="G42">
        <v>36</v>
      </c>
      <c r="H42">
        <v>1331.64</v>
      </c>
      <c r="I42">
        <v>577.80000000000007</v>
      </c>
      <c r="J42">
        <v>753.84</v>
      </c>
      <c r="K42">
        <v>56.609894566098937</v>
      </c>
      <c r="L42">
        <v>46191</v>
      </c>
      <c r="M42" s="71" t="s">
        <v>960</v>
      </c>
      <c r="N42">
        <v>192.99130434782609</v>
      </c>
      <c r="O42">
        <v>6</v>
      </c>
    </row>
    <row r="43" spans="1:15" x14ac:dyDescent="0.35">
      <c r="A43" s="71" t="s">
        <v>19</v>
      </c>
      <c r="B43">
        <v>101</v>
      </c>
      <c r="C43">
        <v>51680</v>
      </c>
      <c r="D43" s="71" t="s">
        <v>33</v>
      </c>
      <c r="E43">
        <v>21.99</v>
      </c>
      <c r="F43">
        <v>12.14</v>
      </c>
      <c r="G43">
        <v>34</v>
      </c>
      <c r="H43">
        <v>747.66</v>
      </c>
      <c r="I43">
        <v>412.76</v>
      </c>
      <c r="J43">
        <v>334.9</v>
      </c>
      <c r="K43">
        <v>44.793087767166895</v>
      </c>
      <c r="L43">
        <v>46188</v>
      </c>
      <c r="M43" s="71" t="s">
        <v>309</v>
      </c>
      <c r="N43">
        <v>57.365217391304348</v>
      </c>
      <c r="O43">
        <v>3</v>
      </c>
    </row>
    <row r="44" spans="1:15" x14ac:dyDescent="0.35">
      <c r="A44" s="71" t="s">
        <v>19</v>
      </c>
      <c r="B44">
        <v>101</v>
      </c>
      <c r="C44">
        <v>51680</v>
      </c>
      <c r="D44" s="71" t="s">
        <v>33</v>
      </c>
      <c r="E44">
        <v>21.99</v>
      </c>
      <c r="F44">
        <v>12.14</v>
      </c>
      <c r="G44">
        <v>34</v>
      </c>
      <c r="H44">
        <v>747.66</v>
      </c>
      <c r="I44">
        <v>412.76</v>
      </c>
      <c r="J44">
        <v>334.9</v>
      </c>
      <c r="K44">
        <v>44.793087767166895</v>
      </c>
      <c r="L44">
        <v>46189</v>
      </c>
      <c r="M44" s="71" t="s">
        <v>310</v>
      </c>
      <c r="N44">
        <v>19.121739130434783</v>
      </c>
      <c r="O44">
        <v>1</v>
      </c>
    </row>
    <row r="45" spans="1:15" x14ac:dyDescent="0.35">
      <c r="A45" s="71" t="s">
        <v>19</v>
      </c>
      <c r="B45">
        <v>101</v>
      </c>
      <c r="C45">
        <v>51680</v>
      </c>
      <c r="D45" s="71" t="s">
        <v>33</v>
      </c>
      <c r="E45">
        <v>21.99</v>
      </c>
      <c r="F45">
        <v>12.14</v>
      </c>
      <c r="G45">
        <v>34</v>
      </c>
      <c r="H45">
        <v>747.66</v>
      </c>
      <c r="I45">
        <v>412.76</v>
      </c>
      <c r="J45">
        <v>334.9</v>
      </c>
      <c r="K45">
        <v>44.793087767166895</v>
      </c>
      <c r="L45">
        <v>46190</v>
      </c>
      <c r="M45" s="71" t="s">
        <v>316</v>
      </c>
      <c r="N45">
        <v>19.121739130434783</v>
      </c>
      <c r="O45">
        <v>1</v>
      </c>
    </row>
    <row r="46" spans="1:15" x14ac:dyDescent="0.35">
      <c r="A46" s="71" t="s">
        <v>14</v>
      </c>
      <c r="B46">
        <v>101</v>
      </c>
      <c r="C46">
        <v>33997</v>
      </c>
      <c r="D46" s="71" t="s">
        <v>39</v>
      </c>
      <c r="E46">
        <v>14.99</v>
      </c>
      <c r="F46">
        <v>7.62</v>
      </c>
      <c r="G46">
        <v>30</v>
      </c>
      <c r="H46">
        <v>449.7</v>
      </c>
      <c r="I46">
        <v>228.6</v>
      </c>
      <c r="J46">
        <v>221.1</v>
      </c>
      <c r="K46">
        <v>49.166110740493664</v>
      </c>
      <c r="L46">
        <v>46188</v>
      </c>
      <c r="M46" s="71" t="s">
        <v>309</v>
      </c>
      <c r="N46">
        <v>39.104347826086958</v>
      </c>
      <c r="O46">
        <v>3</v>
      </c>
    </row>
    <row r="47" spans="1:15" x14ac:dyDescent="0.35">
      <c r="A47" s="71" t="s">
        <v>14</v>
      </c>
      <c r="B47">
        <v>101</v>
      </c>
      <c r="C47">
        <v>33997</v>
      </c>
      <c r="D47" s="71" t="s">
        <v>39</v>
      </c>
      <c r="E47">
        <v>14.99</v>
      </c>
      <c r="F47">
        <v>7.62</v>
      </c>
      <c r="G47">
        <v>30</v>
      </c>
      <c r="H47">
        <v>449.7</v>
      </c>
      <c r="I47">
        <v>228.6</v>
      </c>
      <c r="J47">
        <v>221.1</v>
      </c>
      <c r="K47">
        <v>49.166110740493664</v>
      </c>
      <c r="L47">
        <v>46189</v>
      </c>
      <c r="M47" s="71" t="s">
        <v>310</v>
      </c>
      <c r="N47">
        <v>52.139130434782608</v>
      </c>
      <c r="O47">
        <v>4</v>
      </c>
    </row>
    <row r="48" spans="1:15" x14ac:dyDescent="0.35">
      <c r="A48" s="71" t="s">
        <v>14</v>
      </c>
      <c r="B48">
        <v>101</v>
      </c>
      <c r="C48">
        <v>33997</v>
      </c>
      <c r="D48" s="71" t="s">
        <v>39</v>
      </c>
      <c r="E48">
        <v>14.99</v>
      </c>
      <c r="F48">
        <v>7.62</v>
      </c>
      <c r="G48">
        <v>30</v>
      </c>
      <c r="H48">
        <v>449.7</v>
      </c>
      <c r="I48">
        <v>228.6</v>
      </c>
      <c r="J48">
        <v>221.1</v>
      </c>
      <c r="K48">
        <v>49.166110740493664</v>
      </c>
      <c r="L48">
        <v>46190</v>
      </c>
      <c r="M48" s="71" t="s">
        <v>316</v>
      </c>
      <c r="N48">
        <v>39.104347826086958</v>
      </c>
      <c r="O48">
        <v>3</v>
      </c>
    </row>
    <row r="49" spans="1:15" x14ac:dyDescent="0.35">
      <c r="A49" s="71" t="s">
        <v>14</v>
      </c>
      <c r="B49">
        <v>101</v>
      </c>
      <c r="C49">
        <v>33997</v>
      </c>
      <c r="D49" s="71" t="s">
        <v>39</v>
      </c>
      <c r="E49">
        <v>14.99</v>
      </c>
      <c r="F49">
        <v>7.62</v>
      </c>
      <c r="G49">
        <v>30</v>
      </c>
      <c r="H49">
        <v>449.7</v>
      </c>
      <c r="I49">
        <v>228.6</v>
      </c>
      <c r="J49">
        <v>221.1</v>
      </c>
      <c r="K49">
        <v>49.166110740493664</v>
      </c>
      <c r="L49">
        <v>46191</v>
      </c>
      <c r="M49" s="71" t="s">
        <v>960</v>
      </c>
      <c r="N49">
        <v>143.38260869565215</v>
      </c>
      <c r="O49">
        <v>11</v>
      </c>
    </row>
    <row r="50" spans="1:15" x14ac:dyDescent="0.35">
      <c r="A50" s="71" t="s">
        <v>14</v>
      </c>
      <c r="B50">
        <v>101</v>
      </c>
      <c r="C50">
        <v>34023</v>
      </c>
      <c r="D50" s="71" t="s">
        <v>48</v>
      </c>
      <c r="E50">
        <v>6.99</v>
      </c>
      <c r="F50">
        <v>2.85</v>
      </c>
      <c r="G50">
        <v>28</v>
      </c>
      <c r="H50">
        <v>195.72</v>
      </c>
      <c r="I50">
        <v>79.8</v>
      </c>
      <c r="J50">
        <v>115.92</v>
      </c>
      <c r="K50">
        <v>59.227467811158796</v>
      </c>
      <c r="L50">
        <v>46188</v>
      </c>
      <c r="M50" s="71" t="s">
        <v>309</v>
      </c>
      <c r="N50">
        <v>30.39130434782609</v>
      </c>
      <c r="O50">
        <v>5</v>
      </c>
    </row>
    <row r="51" spans="1:15" x14ac:dyDescent="0.35">
      <c r="A51" s="71" t="s">
        <v>14</v>
      </c>
      <c r="B51">
        <v>101</v>
      </c>
      <c r="C51">
        <v>34023</v>
      </c>
      <c r="D51" s="71" t="s">
        <v>48</v>
      </c>
      <c r="E51">
        <v>6.99</v>
      </c>
      <c r="F51">
        <v>2.85</v>
      </c>
      <c r="G51">
        <v>28</v>
      </c>
      <c r="H51">
        <v>195.72</v>
      </c>
      <c r="I51">
        <v>79.8</v>
      </c>
      <c r="J51">
        <v>115.92</v>
      </c>
      <c r="K51">
        <v>59.227467811158796</v>
      </c>
      <c r="L51">
        <v>46189</v>
      </c>
      <c r="M51" s="71" t="s">
        <v>310</v>
      </c>
      <c r="N51">
        <v>24.31304347826087</v>
      </c>
      <c r="O51">
        <v>4</v>
      </c>
    </row>
    <row r="52" spans="1:15" x14ac:dyDescent="0.35">
      <c r="A52" s="71" t="s">
        <v>14</v>
      </c>
      <c r="B52">
        <v>101</v>
      </c>
      <c r="C52">
        <v>34023</v>
      </c>
      <c r="D52" s="71" t="s">
        <v>48</v>
      </c>
      <c r="E52">
        <v>6.99</v>
      </c>
      <c r="F52">
        <v>2.85</v>
      </c>
      <c r="G52">
        <v>28</v>
      </c>
      <c r="H52">
        <v>195.72</v>
      </c>
      <c r="I52">
        <v>79.8</v>
      </c>
      <c r="J52">
        <v>115.92</v>
      </c>
      <c r="K52">
        <v>59.227467811158796</v>
      </c>
      <c r="L52">
        <v>46190</v>
      </c>
      <c r="M52" s="71" t="s">
        <v>316</v>
      </c>
      <c r="N52">
        <v>24.008695652173913</v>
      </c>
      <c r="O52">
        <v>4</v>
      </c>
    </row>
    <row r="53" spans="1:15" x14ac:dyDescent="0.35">
      <c r="A53" s="71" t="s">
        <v>14</v>
      </c>
      <c r="B53">
        <v>101</v>
      </c>
      <c r="C53">
        <v>34023</v>
      </c>
      <c r="D53" s="71" t="s">
        <v>48</v>
      </c>
      <c r="E53">
        <v>6.99</v>
      </c>
      <c r="F53">
        <v>2.85</v>
      </c>
      <c r="G53">
        <v>28</v>
      </c>
      <c r="H53">
        <v>195.72</v>
      </c>
      <c r="I53">
        <v>79.8</v>
      </c>
      <c r="J53">
        <v>115.92</v>
      </c>
      <c r="K53">
        <v>59.227467811158796</v>
      </c>
      <c r="L53">
        <v>46191</v>
      </c>
      <c r="M53" s="71" t="s">
        <v>960</v>
      </c>
      <c r="N53">
        <v>24.31304347826087</v>
      </c>
      <c r="O53">
        <v>4</v>
      </c>
    </row>
    <row r="54" spans="1:15" x14ac:dyDescent="0.35">
      <c r="A54" s="71" t="s">
        <v>14</v>
      </c>
      <c r="B54">
        <v>101</v>
      </c>
      <c r="C54">
        <v>34022</v>
      </c>
      <c r="D54" s="71" t="s">
        <v>54</v>
      </c>
      <c r="E54">
        <v>5.99</v>
      </c>
      <c r="F54">
        <v>2.72</v>
      </c>
      <c r="G54">
        <v>24</v>
      </c>
      <c r="H54">
        <v>143.76</v>
      </c>
      <c r="I54">
        <v>65.28</v>
      </c>
      <c r="J54">
        <v>78.47999999999999</v>
      </c>
      <c r="K54">
        <v>54.590984974958253</v>
      </c>
      <c r="L54">
        <v>46188</v>
      </c>
      <c r="M54" s="71" t="s">
        <v>309</v>
      </c>
      <c r="N54">
        <v>26.043478260869563</v>
      </c>
      <c r="O54">
        <v>5</v>
      </c>
    </row>
    <row r="55" spans="1:15" x14ac:dyDescent="0.35">
      <c r="A55" s="71" t="s">
        <v>14</v>
      </c>
      <c r="B55">
        <v>101</v>
      </c>
      <c r="C55">
        <v>34022</v>
      </c>
      <c r="D55" s="71" t="s">
        <v>54</v>
      </c>
      <c r="E55">
        <v>5.99</v>
      </c>
      <c r="F55">
        <v>2.72</v>
      </c>
      <c r="G55">
        <v>24</v>
      </c>
      <c r="H55">
        <v>143.76</v>
      </c>
      <c r="I55">
        <v>65.28</v>
      </c>
      <c r="J55">
        <v>78.47999999999999</v>
      </c>
      <c r="K55">
        <v>54.590984974958253</v>
      </c>
      <c r="L55">
        <v>46190</v>
      </c>
      <c r="M55" s="71" t="s">
        <v>316</v>
      </c>
      <c r="N55">
        <v>10.417391304347827</v>
      </c>
      <c r="O55">
        <v>2</v>
      </c>
    </row>
    <row r="56" spans="1:15" x14ac:dyDescent="0.35">
      <c r="A56" s="71" t="s">
        <v>14</v>
      </c>
      <c r="B56">
        <v>101</v>
      </c>
      <c r="C56">
        <v>32067</v>
      </c>
      <c r="D56" s="71" t="s">
        <v>29</v>
      </c>
      <c r="E56">
        <v>34.99</v>
      </c>
      <c r="F56">
        <v>15.91</v>
      </c>
      <c r="G56">
        <v>8</v>
      </c>
      <c r="H56">
        <v>279.92</v>
      </c>
      <c r="I56">
        <v>127.28</v>
      </c>
      <c r="J56">
        <v>152.64000000000001</v>
      </c>
      <c r="K56">
        <v>54.529865675907409</v>
      </c>
      <c r="L56">
        <v>46189</v>
      </c>
      <c r="M56" s="71" t="s">
        <v>310</v>
      </c>
      <c r="N56">
        <v>121.70434782608696</v>
      </c>
      <c r="O56">
        <v>4</v>
      </c>
    </row>
    <row r="57" spans="1:15" x14ac:dyDescent="0.35">
      <c r="A57" s="71" t="s">
        <v>14</v>
      </c>
      <c r="B57">
        <v>101</v>
      </c>
      <c r="C57">
        <v>32067</v>
      </c>
      <c r="D57" s="71" t="s">
        <v>29</v>
      </c>
      <c r="E57">
        <v>34.99</v>
      </c>
      <c r="F57">
        <v>15.91</v>
      </c>
      <c r="G57">
        <v>8</v>
      </c>
      <c r="H57">
        <v>279.92</v>
      </c>
      <c r="I57">
        <v>127.28</v>
      </c>
      <c r="J57">
        <v>152.64000000000001</v>
      </c>
      <c r="K57">
        <v>54.529865675907409</v>
      </c>
      <c r="L57">
        <v>46190</v>
      </c>
      <c r="M57" s="71" t="s">
        <v>316</v>
      </c>
      <c r="N57">
        <v>117.13913043478261</v>
      </c>
      <c r="O57">
        <v>4</v>
      </c>
    </row>
    <row r="58" spans="1:15" x14ac:dyDescent="0.35">
      <c r="A58" s="71" t="s">
        <v>14</v>
      </c>
      <c r="B58">
        <v>101</v>
      </c>
      <c r="C58">
        <v>32067</v>
      </c>
      <c r="D58" s="71" t="s">
        <v>29</v>
      </c>
      <c r="E58">
        <v>34.99</v>
      </c>
      <c r="F58">
        <v>15.91</v>
      </c>
      <c r="G58">
        <v>8</v>
      </c>
      <c r="H58">
        <v>279.92</v>
      </c>
      <c r="I58">
        <v>127.28</v>
      </c>
      <c r="J58">
        <v>152.64000000000001</v>
      </c>
      <c r="K58">
        <v>54.529865675907409</v>
      </c>
      <c r="L58">
        <v>46191</v>
      </c>
      <c r="M58" s="71" t="s">
        <v>960</v>
      </c>
      <c r="N58">
        <v>30.42608695652174</v>
      </c>
      <c r="O58">
        <v>1</v>
      </c>
    </row>
    <row r="59" spans="1:15" x14ac:dyDescent="0.35">
      <c r="A59" s="71" t="s">
        <v>14</v>
      </c>
      <c r="B59">
        <v>101</v>
      </c>
      <c r="C59">
        <v>61947</v>
      </c>
      <c r="D59" s="71" t="s">
        <v>42</v>
      </c>
      <c r="E59">
        <v>28.99</v>
      </c>
      <c r="F59">
        <v>8.93</v>
      </c>
      <c r="G59">
        <v>8</v>
      </c>
      <c r="H59">
        <v>231.92</v>
      </c>
      <c r="I59">
        <v>71.44</v>
      </c>
      <c r="J59">
        <v>160.47999999999999</v>
      </c>
      <c r="K59">
        <v>69.196274577440491</v>
      </c>
      <c r="L59">
        <v>46188</v>
      </c>
      <c r="M59" s="71" t="s">
        <v>309</v>
      </c>
      <c r="N59">
        <v>25.208695652173912</v>
      </c>
      <c r="O59">
        <v>1</v>
      </c>
    </row>
    <row r="60" spans="1:15" x14ac:dyDescent="0.35">
      <c r="A60" s="71" t="s">
        <v>14</v>
      </c>
      <c r="B60">
        <v>101</v>
      </c>
      <c r="C60">
        <v>61947</v>
      </c>
      <c r="D60" s="71" t="s">
        <v>42</v>
      </c>
      <c r="E60">
        <v>28.99</v>
      </c>
      <c r="F60">
        <v>8.93</v>
      </c>
      <c r="G60">
        <v>8</v>
      </c>
      <c r="H60">
        <v>231.92</v>
      </c>
      <c r="I60">
        <v>71.44</v>
      </c>
      <c r="J60">
        <v>160.47999999999999</v>
      </c>
      <c r="K60">
        <v>69.196274577440491</v>
      </c>
      <c r="L60">
        <v>46189</v>
      </c>
      <c r="M60" s="71" t="s">
        <v>310</v>
      </c>
      <c r="N60">
        <v>25.208695652173912</v>
      </c>
      <c r="O60">
        <v>1</v>
      </c>
    </row>
    <row r="61" spans="1:15" x14ac:dyDescent="0.35">
      <c r="A61" s="71" t="s">
        <v>14</v>
      </c>
      <c r="B61">
        <v>101</v>
      </c>
      <c r="C61">
        <v>61947</v>
      </c>
      <c r="D61" s="71" t="s">
        <v>42</v>
      </c>
      <c r="E61">
        <v>28.99</v>
      </c>
      <c r="F61">
        <v>8.93</v>
      </c>
      <c r="G61">
        <v>8</v>
      </c>
      <c r="H61">
        <v>231.92</v>
      </c>
      <c r="I61">
        <v>71.44</v>
      </c>
      <c r="J61">
        <v>160.47999999999999</v>
      </c>
      <c r="K61">
        <v>69.196274577440491</v>
      </c>
      <c r="L61">
        <v>46190</v>
      </c>
      <c r="M61" s="71" t="s">
        <v>316</v>
      </c>
      <c r="N61">
        <v>75.626086956521732</v>
      </c>
      <c r="O61">
        <v>3</v>
      </c>
    </row>
    <row r="62" spans="1:15" x14ac:dyDescent="0.35">
      <c r="A62" s="71" t="s">
        <v>14</v>
      </c>
      <c r="B62">
        <v>101</v>
      </c>
      <c r="C62">
        <v>61947</v>
      </c>
      <c r="D62" s="71" t="s">
        <v>42</v>
      </c>
      <c r="E62">
        <v>28.99</v>
      </c>
      <c r="F62">
        <v>8.93</v>
      </c>
      <c r="G62">
        <v>8</v>
      </c>
      <c r="H62">
        <v>231.92</v>
      </c>
      <c r="I62">
        <v>71.44</v>
      </c>
      <c r="J62">
        <v>160.47999999999999</v>
      </c>
      <c r="K62">
        <v>69.196274577440491</v>
      </c>
      <c r="L62">
        <v>46191</v>
      </c>
      <c r="M62" s="71" t="s">
        <v>960</v>
      </c>
      <c r="N62">
        <v>50.417391304347824</v>
      </c>
      <c r="O62">
        <v>2</v>
      </c>
    </row>
    <row r="63" spans="1:15" x14ac:dyDescent="0.35">
      <c r="A63" s="71" t="s">
        <v>14</v>
      </c>
      <c r="B63">
        <v>101</v>
      </c>
      <c r="C63">
        <v>32062</v>
      </c>
      <c r="D63" s="71" t="s">
        <v>51</v>
      </c>
      <c r="E63">
        <v>24.99</v>
      </c>
      <c r="F63">
        <v>9.68</v>
      </c>
      <c r="G63">
        <v>6</v>
      </c>
      <c r="H63">
        <v>149.94</v>
      </c>
      <c r="I63">
        <v>58.08</v>
      </c>
      <c r="J63">
        <v>91.86</v>
      </c>
      <c r="K63">
        <v>61.264505802320933</v>
      </c>
      <c r="L63">
        <v>46190</v>
      </c>
      <c r="M63" s="71" t="s">
        <v>316</v>
      </c>
      <c r="N63">
        <v>43.460869565217386</v>
      </c>
      <c r="O63">
        <v>2</v>
      </c>
    </row>
    <row r="64" spans="1:15" x14ac:dyDescent="0.35">
      <c r="A64" s="71" t="s">
        <v>14</v>
      </c>
      <c r="B64">
        <v>101</v>
      </c>
      <c r="C64">
        <v>32063</v>
      </c>
      <c r="D64" s="71" t="s">
        <v>52</v>
      </c>
      <c r="E64">
        <v>19.989999999999998</v>
      </c>
      <c r="F64">
        <v>8.5</v>
      </c>
      <c r="G64">
        <v>6</v>
      </c>
      <c r="H64">
        <v>119.94</v>
      </c>
      <c r="I64">
        <v>51</v>
      </c>
      <c r="J64">
        <v>68.94</v>
      </c>
      <c r="K64">
        <v>57.478739369684838</v>
      </c>
      <c r="L64">
        <v>46190</v>
      </c>
      <c r="M64" s="71" t="s">
        <v>316</v>
      </c>
      <c r="N64">
        <v>34.765217391304347</v>
      </c>
      <c r="O64">
        <v>2</v>
      </c>
    </row>
    <row r="65" spans="1:15" x14ac:dyDescent="0.35">
      <c r="A65" s="71" t="s">
        <v>14</v>
      </c>
      <c r="B65">
        <v>101</v>
      </c>
      <c r="C65">
        <v>32063</v>
      </c>
      <c r="D65" s="71" t="s">
        <v>52</v>
      </c>
      <c r="E65">
        <v>19.989999999999998</v>
      </c>
      <c r="F65">
        <v>8.5</v>
      </c>
      <c r="G65">
        <v>6</v>
      </c>
      <c r="H65">
        <v>119.94</v>
      </c>
      <c r="I65">
        <v>51</v>
      </c>
      <c r="J65">
        <v>68.94</v>
      </c>
      <c r="K65">
        <v>57.478739369684838</v>
      </c>
      <c r="L65">
        <v>46191</v>
      </c>
      <c r="M65" s="71" t="s">
        <v>960</v>
      </c>
      <c r="N65">
        <v>17.382608695652173</v>
      </c>
      <c r="O65">
        <v>1</v>
      </c>
    </row>
    <row r="66" spans="1:15" x14ac:dyDescent="0.35">
      <c r="A66" s="71" t="s">
        <v>14</v>
      </c>
      <c r="B66">
        <v>101</v>
      </c>
      <c r="C66">
        <v>34011</v>
      </c>
      <c r="D66" s="71" t="s">
        <v>66</v>
      </c>
      <c r="E66">
        <v>19.989999999999998</v>
      </c>
      <c r="F66">
        <v>2.63</v>
      </c>
      <c r="G66">
        <v>6</v>
      </c>
      <c r="H66">
        <v>119.94</v>
      </c>
      <c r="I66">
        <v>15.78</v>
      </c>
      <c r="J66">
        <v>104.16</v>
      </c>
      <c r="K66">
        <v>86.843421710855424</v>
      </c>
      <c r="L66">
        <v>46190</v>
      </c>
      <c r="M66" s="71" t="s">
        <v>316</v>
      </c>
      <c r="N66">
        <v>17.382608695652173</v>
      </c>
      <c r="O66">
        <v>1</v>
      </c>
    </row>
    <row r="67" spans="1:15" x14ac:dyDescent="0.35">
      <c r="A67" s="71" t="s">
        <v>14</v>
      </c>
      <c r="B67">
        <v>101</v>
      </c>
      <c r="C67">
        <v>34011</v>
      </c>
      <c r="D67" s="71" t="s">
        <v>66</v>
      </c>
      <c r="E67">
        <v>19.989999999999998</v>
      </c>
      <c r="F67">
        <v>2.63</v>
      </c>
      <c r="G67">
        <v>6</v>
      </c>
      <c r="H67">
        <v>119.94</v>
      </c>
      <c r="I67">
        <v>15.78</v>
      </c>
      <c r="J67">
        <v>104.16</v>
      </c>
      <c r="K67">
        <v>86.843421710855424</v>
      </c>
      <c r="L67">
        <v>46191</v>
      </c>
      <c r="M67" s="71" t="s">
        <v>960</v>
      </c>
      <c r="N67">
        <v>17.382608695652173</v>
      </c>
      <c r="O67">
        <v>1</v>
      </c>
    </row>
    <row r="68" spans="1:15" x14ac:dyDescent="0.35">
      <c r="A68" s="71" t="s">
        <v>14</v>
      </c>
      <c r="B68">
        <v>101</v>
      </c>
      <c r="C68">
        <v>34053</v>
      </c>
      <c r="D68" s="71" t="s">
        <v>57</v>
      </c>
      <c r="E68">
        <v>15.99</v>
      </c>
      <c r="F68">
        <v>6.74</v>
      </c>
      <c r="G68">
        <v>6</v>
      </c>
      <c r="H68">
        <v>95.94</v>
      </c>
      <c r="I68">
        <v>40.44</v>
      </c>
      <c r="J68">
        <v>55.5</v>
      </c>
      <c r="K68">
        <v>57.848655409631021</v>
      </c>
      <c r="L68">
        <v>46188</v>
      </c>
      <c r="M68" s="71" t="s">
        <v>309</v>
      </c>
      <c r="N68">
        <v>41.713043478260872</v>
      </c>
      <c r="O68">
        <v>3</v>
      </c>
    </row>
    <row r="69" spans="1:15" x14ac:dyDescent="0.35">
      <c r="A69" s="71" t="s">
        <v>14</v>
      </c>
      <c r="B69">
        <v>101</v>
      </c>
      <c r="C69">
        <v>34053</v>
      </c>
      <c r="D69" s="71" t="s">
        <v>57</v>
      </c>
      <c r="E69">
        <v>15.99</v>
      </c>
      <c r="F69">
        <v>6.74</v>
      </c>
      <c r="G69">
        <v>6</v>
      </c>
      <c r="H69">
        <v>95.94</v>
      </c>
      <c r="I69">
        <v>40.44</v>
      </c>
      <c r="J69">
        <v>55.5</v>
      </c>
      <c r="K69">
        <v>57.848655409631021</v>
      </c>
      <c r="L69">
        <v>46189</v>
      </c>
      <c r="M69" s="71" t="s">
        <v>310</v>
      </c>
      <c r="N69">
        <v>55.617391304347827</v>
      </c>
      <c r="O69">
        <v>4</v>
      </c>
    </row>
    <row r="70" spans="1:15" x14ac:dyDescent="0.35">
      <c r="A70" s="71" t="s">
        <v>317</v>
      </c>
      <c r="B70">
        <v>101</v>
      </c>
      <c r="C70">
        <v>14857</v>
      </c>
      <c r="D70" s="71" t="s">
        <v>321</v>
      </c>
      <c r="E70">
        <v>69.989999999999995</v>
      </c>
      <c r="F70">
        <v>43.867849999999997</v>
      </c>
      <c r="G70">
        <v>0</v>
      </c>
      <c r="H70">
        <v>0</v>
      </c>
      <c r="I70">
        <v>0</v>
      </c>
      <c r="J70">
        <v>0</v>
      </c>
      <c r="K70">
        <v>0</v>
      </c>
      <c r="L70">
        <v>46190</v>
      </c>
      <c r="M70" s="71" t="s">
        <v>316</v>
      </c>
      <c r="N70">
        <v>57.817391304347822</v>
      </c>
      <c r="O70">
        <v>1</v>
      </c>
    </row>
    <row r="71" spans="1:15" x14ac:dyDescent="0.35">
      <c r="A71" s="71" t="s">
        <v>317</v>
      </c>
      <c r="B71">
        <v>101</v>
      </c>
      <c r="C71">
        <v>14858</v>
      </c>
      <c r="D71" s="71" t="s">
        <v>322</v>
      </c>
      <c r="E71">
        <v>69.989999999999995</v>
      </c>
      <c r="F71">
        <v>43.867849999999997</v>
      </c>
      <c r="G71">
        <v>0</v>
      </c>
      <c r="H71">
        <v>0</v>
      </c>
      <c r="I71">
        <v>0</v>
      </c>
      <c r="J71">
        <v>0</v>
      </c>
      <c r="K71">
        <v>0</v>
      </c>
      <c r="L71">
        <v>46188</v>
      </c>
      <c r="M71" s="71" t="s">
        <v>309</v>
      </c>
      <c r="N71">
        <v>60.860869565217385</v>
      </c>
      <c r="O71">
        <v>1</v>
      </c>
    </row>
    <row r="72" spans="1:15" x14ac:dyDescent="0.35">
      <c r="A72" s="71" t="s">
        <v>317</v>
      </c>
      <c r="B72">
        <v>101</v>
      </c>
      <c r="C72">
        <v>14858</v>
      </c>
      <c r="D72" s="71" t="s">
        <v>322</v>
      </c>
      <c r="E72">
        <v>69.989999999999995</v>
      </c>
      <c r="F72">
        <v>43.867849999999997</v>
      </c>
      <c r="G72">
        <v>0</v>
      </c>
      <c r="H72">
        <v>0</v>
      </c>
      <c r="I72">
        <v>0</v>
      </c>
      <c r="J72">
        <v>0</v>
      </c>
      <c r="K72">
        <v>0</v>
      </c>
      <c r="L72">
        <v>46190</v>
      </c>
      <c r="M72" s="71" t="s">
        <v>316</v>
      </c>
      <c r="N72">
        <v>60.860869565217385</v>
      </c>
      <c r="O72">
        <v>1</v>
      </c>
    </row>
    <row r="73" spans="1:15" x14ac:dyDescent="0.35">
      <c r="A73" s="71" t="s">
        <v>317</v>
      </c>
      <c r="B73">
        <v>101</v>
      </c>
      <c r="C73">
        <v>14860</v>
      </c>
      <c r="D73" s="71" t="s">
        <v>323</v>
      </c>
      <c r="E73">
        <v>69.989999999999995</v>
      </c>
      <c r="F73">
        <v>43.867849999999997</v>
      </c>
      <c r="G73">
        <v>0</v>
      </c>
      <c r="H73">
        <v>0</v>
      </c>
      <c r="I73">
        <v>0</v>
      </c>
      <c r="J73">
        <v>0</v>
      </c>
      <c r="K73">
        <v>0</v>
      </c>
      <c r="L73">
        <v>46191</v>
      </c>
      <c r="M73" s="71" t="s">
        <v>960</v>
      </c>
      <c r="N73">
        <v>60.860869565217385</v>
      </c>
      <c r="O73">
        <v>1</v>
      </c>
    </row>
    <row r="74" spans="1:15" x14ac:dyDescent="0.35">
      <c r="A74" s="71" t="s">
        <v>317</v>
      </c>
      <c r="B74">
        <v>101</v>
      </c>
      <c r="C74">
        <v>14976</v>
      </c>
      <c r="D74" s="71" t="s">
        <v>324</v>
      </c>
      <c r="E74">
        <v>62.99</v>
      </c>
      <c r="F74">
        <v>39.031133333333337</v>
      </c>
      <c r="G74">
        <v>0</v>
      </c>
      <c r="H74">
        <v>0</v>
      </c>
      <c r="I74">
        <v>0</v>
      </c>
      <c r="J74">
        <v>0</v>
      </c>
      <c r="K74">
        <v>0</v>
      </c>
      <c r="L74">
        <v>46189</v>
      </c>
      <c r="M74" s="71" t="s">
        <v>310</v>
      </c>
      <c r="N74">
        <v>54.77391304347826</v>
      </c>
      <c r="O74">
        <v>1</v>
      </c>
    </row>
    <row r="75" spans="1:15" x14ac:dyDescent="0.35">
      <c r="A75" s="71" t="s">
        <v>317</v>
      </c>
      <c r="B75">
        <v>101</v>
      </c>
      <c r="C75">
        <v>14976</v>
      </c>
      <c r="D75" s="71" t="s">
        <v>324</v>
      </c>
      <c r="E75">
        <v>62.99</v>
      </c>
      <c r="F75">
        <v>39.031133333333337</v>
      </c>
      <c r="G75">
        <v>0</v>
      </c>
      <c r="H75">
        <v>0</v>
      </c>
      <c r="I75">
        <v>0</v>
      </c>
      <c r="J75">
        <v>0</v>
      </c>
      <c r="K75">
        <v>0</v>
      </c>
      <c r="L75">
        <v>46190</v>
      </c>
      <c r="M75" s="71" t="s">
        <v>316</v>
      </c>
      <c r="N75">
        <v>109.54782608695652</v>
      </c>
      <c r="O75">
        <v>2</v>
      </c>
    </row>
    <row r="76" spans="1:15" x14ac:dyDescent="0.35">
      <c r="A76" s="71" t="s">
        <v>317</v>
      </c>
      <c r="B76">
        <v>101</v>
      </c>
      <c r="C76">
        <v>14976</v>
      </c>
      <c r="D76" s="71" t="s">
        <v>324</v>
      </c>
      <c r="E76">
        <v>62.99</v>
      </c>
      <c r="F76">
        <v>39.031133333333337</v>
      </c>
      <c r="G76">
        <v>0</v>
      </c>
      <c r="H76">
        <v>0</v>
      </c>
      <c r="I76">
        <v>0</v>
      </c>
      <c r="J76">
        <v>0</v>
      </c>
      <c r="K76">
        <v>0</v>
      </c>
      <c r="L76">
        <v>46191</v>
      </c>
      <c r="M76" s="71" t="s">
        <v>960</v>
      </c>
      <c r="N76">
        <v>109.54782608695652</v>
      </c>
      <c r="O76">
        <v>2</v>
      </c>
    </row>
    <row r="77" spans="1:15" x14ac:dyDescent="0.35">
      <c r="A77" s="71" t="s">
        <v>317</v>
      </c>
      <c r="B77">
        <v>101</v>
      </c>
      <c r="C77">
        <v>15305</v>
      </c>
      <c r="D77" s="71" t="s">
        <v>328</v>
      </c>
      <c r="E77">
        <v>71.989999999999995</v>
      </c>
      <c r="F77">
        <v>44.50665</v>
      </c>
      <c r="G77">
        <v>0</v>
      </c>
      <c r="H77">
        <v>0</v>
      </c>
      <c r="I77">
        <v>0</v>
      </c>
      <c r="J77">
        <v>0</v>
      </c>
      <c r="K77">
        <v>0</v>
      </c>
      <c r="L77">
        <v>46189</v>
      </c>
      <c r="M77" s="71" t="s">
        <v>310</v>
      </c>
      <c r="N77">
        <v>62.599999999999994</v>
      </c>
      <c r="O77">
        <v>1</v>
      </c>
    </row>
    <row r="78" spans="1:15" x14ac:dyDescent="0.35">
      <c r="A78" s="71" t="s">
        <v>317</v>
      </c>
      <c r="B78">
        <v>101</v>
      </c>
      <c r="C78">
        <v>16067</v>
      </c>
      <c r="D78" s="71" t="s">
        <v>349</v>
      </c>
      <c r="E78">
        <v>26.99</v>
      </c>
      <c r="F78">
        <v>16.816925000000001</v>
      </c>
      <c r="G78">
        <v>0</v>
      </c>
      <c r="H78">
        <v>0</v>
      </c>
      <c r="I78">
        <v>0</v>
      </c>
      <c r="J78">
        <v>0</v>
      </c>
      <c r="K78">
        <v>0</v>
      </c>
      <c r="L78">
        <v>46188</v>
      </c>
      <c r="M78" s="71" t="s">
        <v>309</v>
      </c>
      <c r="N78">
        <v>23.469565217391303</v>
      </c>
      <c r="O78">
        <v>1</v>
      </c>
    </row>
    <row r="79" spans="1:15" x14ac:dyDescent="0.35">
      <c r="A79" s="71" t="s">
        <v>317</v>
      </c>
      <c r="B79">
        <v>101</v>
      </c>
      <c r="C79">
        <v>16067</v>
      </c>
      <c r="D79" s="71" t="s">
        <v>349</v>
      </c>
      <c r="E79">
        <v>26.99</v>
      </c>
      <c r="F79">
        <v>16.816925000000001</v>
      </c>
      <c r="G79">
        <v>0</v>
      </c>
      <c r="H79">
        <v>0</v>
      </c>
      <c r="I79">
        <v>0</v>
      </c>
      <c r="J79">
        <v>0</v>
      </c>
      <c r="K79">
        <v>0</v>
      </c>
      <c r="L79">
        <v>46189</v>
      </c>
      <c r="M79" s="71" t="s">
        <v>310</v>
      </c>
      <c r="N79">
        <v>23.469565217391303</v>
      </c>
      <c r="O79">
        <v>1</v>
      </c>
    </row>
    <row r="80" spans="1:15" x14ac:dyDescent="0.35">
      <c r="A80" s="71" t="s">
        <v>14</v>
      </c>
      <c r="B80">
        <v>101</v>
      </c>
      <c r="C80">
        <v>32858</v>
      </c>
      <c r="D80" s="71" t="s">
        <v>34</v>
      </c>
      <c r="E80">
        <v>3.8</v>
      </c>
      <c r="F80">
        <v>1.3</v>
      </c>
      <c r="G80">
        <v>0</v>
      </c>
      <c r="H80">
        <v>0</v>
      </c>
      <c r="I80">
        <v>0</v>
      </c>
      <c r="J80">
        <v>0</v>
      </c>
      <c r="K80">
        <v>0</v>
      </c>
      <c r="L80">
        <v>46188</v>
      </c>
      <c r="M80" s="71" t="s">
        <v>309</v>
      </c>
      <c r="N80">
        <v>19.826086956521738</v>
      </c>
      <c r="O80">
        <v>6</v>
      </c>
    </row>
    <row r="81" spans="1:15" x14ac:dyDescent="0.35">
      <c r="A81" s="71" t="s">
        <v>14</v>
      </c>
      <c r="B81">
        <v>101</v>
      </c>
      <c r="C81">
        <v>32858</v>
      </c>
      <c r="D81" s="71" t="s">
        <v>34</v>
      </c>
      <c r="E81">
        <v>3.8</v>
      </c>
      <c r="F81">
        <v>1.3</v>
      </c>
      <c r="G81">
        <v>0</v>
      </c>
      <c r="H81">
        <v>0</v>
      </c>
      <c r="I81">
        <v>0</v>
      </c>
      <c r="J81">
        <v>0</v>
      </c>
      <c r="K81">
        <v>0</v>
      </c>
      <c r="L81">
        <v>46189</v>
      </c>
      <c r="M81" s="71" t="s">
        <v>310</v>
      </c>
      <c r="N81">
        <v>102.43478260869566</v>
      </c>
      <c r="O81">
        <v>31</v>
      </c>
    </row>
    <row r="82" spans="1:15" x14ac:dyDescent="0.35">
      <c r="A82" s="71" t="s">
        <v>14</v>
      </c>
      <c r="B82">
        <v>101</v>
      </c>
      <c r="C82">
        <v>32858</v>
      </c>
      <c r="D82" s="71" t="s">
        <v>34</v>
      </c>
      <c r="E82">
        <v>3.8</v>
      </c>
      <c r="F82">
        <v>1.3</v>
      </c>
      <c r="G82">
        <v>0</v>
      </c>
      <c r="H82">
        <v>0</v>
      </c>
      <c r="I82">
        <v>0</v>
      </c>
      <c r="J82">
        <v>0</v>
      </c>
      <c r="K82">
        <v>0</v>
      </c>
      <c r="L82">
        <v>46190</v>
      </c>
      <c r="M82" s="71" t="s">
        <v>316</v>
      </c>
      <c r="N82">
        <v>194.46086956521739</v>
      </c>
      <c r="O82">
        <v>59</v>
      </c>
    </row>
    <row r="83" spans="1:15" x14ac:dyDescent="0.35">
      <c r="A83" s="71" t="s">
        <v>14</v>
      </c>
      <c r="B83">
        <v>101</v>
      </c>
      <c r="C83">
        <v>32858</v>
      </c>
      <c r="D83" s="71" t="s">
        <v>34</v>
      </c>
      <c r="E83">
        <v>3.8</v>
      </c>
      <c r="F83">
        <v>1.3</v>
      </c>
      <c r="G83">
        <v>0</v>
      </c>
      <c r="H83">
        <v>0</v>
      </c>
      <c r="I83">
        <v>0</v>
      </c>
      <c r="J83">
        <v>0</v>
      </c>
      <c r="K83">
        <v>0</v>
      </c>
      <c r="L83">
        <v>46191</v>
      </c>
      <c r="M83" s="71" t="s">
        <v>960</v>
      </c>
      <c r="N83">
        <v>29.739130434782609</v>
      </c>
      <c r="O83">
        <v>9</v>
      </c>
    </row>
    <row r="84" spans="1:15" x14ac:dyDescent="0.35">
      <c r="A84" s="71" t="s">
        <v>14</v>
      </c>
      <c r="B84">
        <v>101</v>
      </c>
      <c r="C84">
        <v>32860</v>
      </c>
      <c r="D84" s="71" t="s">
        <v>16</v>
      </c>
      <c r="E84">
        <v>18</v>
      </c>
      <c r="F84">
        <v>8.44</v>
      </c>
      <c r="G84">
        <v>0</v>
      </c>
      <c r="H84">
        <v>0</v>
      </c>
      <c r="I84">
        <v>0</v>
      </c>
      <c r="J84">
        <v>0</v>
      </c>
      <c r="K84">
        <v>0</v>
      </c>
      <c r="L84">
        <v>46188</v>
      </c>
      <c r="M84" s="71" t="s">
        <v>309</v>
      </c>
      <c r="N84">
        <v>365.04347826086956</v>
      </c>
      <c r="O84">
        <v>20</v>
      </c>
    </row>
    <row r="85" spans="1:15" x14ac:dyDescent="0.35">
      <c r="A85" s="71" t="s">
        <v>14</v>
      </c>
      <c r="B85">
        <v>101</v>
      </c>
      <c r="C85">
        <v>32860</v>
      </c>
      <c r="D85" s="71" t="s">
        <v>16</v>
      </c>
      <c r="E85">
        <v>18</v>
      </c>
      <c r="F85">
        <v>8.44</v>
      </c>
      <c r="G85">
        <v>0</v>
      </c>
      <c r="H85">
        <v>0</v>
      </c>
      <c r="I85">
        <v>0</v>
      </c>
      <c r="J85">
        <v>0</v>
      </c>
      <c r="K85">
        <v>0</v>
      </c>
      <c r="L85">
        <v>46189</v>
      </c>
      <c r="M85" s="71" t="s">
        <v>310</v>
      </c>
      <c r="N85">
        <v>200.77391304347825</v>
      </c>
      <c r="O85">
        <v>11</v>
      </c>
    </row>
    <row r="86" spans="1:15" x14ac:dyDescent="0.35">
      <c r="A86" s="71" t="s">
        <v>14</v>
      </c>
      <c r="B86">
        <v>101</v>
      </c>
      <c r="C86">
        <v>32860</v>
      </c>
      <c r="D86" s="71" t="s">
        <v>16</v>
      </c>
      <c r="E86">
        <v>18</v>
      </c>
      <c r="F86">
        <v>8.44</v>
      </c>
      <c r="G86">
        <v>0</v>
      </c>
      <c r="H86">
        <v>0</v>
      </c>
      <c r="I86">
        <v>0</v>
      </c>
      <c r="J86">
        <v>0</v>
      </c>
      <c r="K86">
        <v>0</v>
      </c>
      <c r="L86">
        <v>46190</v>
      </c>
      <c r="M86" s="71" t="s">
        <v>316</v>
      </c>
      <c r="N86">
        <v>199.8608695652174</v>
      </c>
      <c r="O86">
        <v>11</v>
      </c>
    </row>
    <row r="87" spans="1:15" x14ac:dyDescent="0.35">
      <c r="A87" s="71" t="s">
        <v>14</v>
      </c>
      <c r="B87">
        <v>101</v>
      </c>
      <c r="C87">
        <v>32860</v>
      </c>
      <c r="D87" s="71" t="s">
        <v>16</v>
      </c>
      <c r="E87">
        <v>18</v>
      </c>
      <c r="F87">
        <v>8.44</v>
      </c>
      <c r="G87">
        <v>0</v>
      </c>
      <c r="H87">
        <v>0</v>
      </c>
      <c r="I87">
        <v>0</v>
      </c>
      <c r="J87">
        <v>0</v>
      </c>
      <c r="K87">
        <v>0</v>
      </c>
      <c r="L87">
        <v>46191</v>
      </c>
      <c r="M87" s="71" t="s">
        <v>960</v>
      </c>
      <c r="N87">
        <v>419.79999999999995</v>
      </c>
      <c r="O87">
        <v>23</v>
      </c>
    </row>
    <row r="88" spans="1:15" x14ac:dyDescent="0.35">
      <c r="A88" s="71" t="s">
        <v>14</v>
      </c>
      <c r="B88">
        <v>101</v>
      </c>
      <c r="C88">
        <v>34004</v>
      </c>
      <c r="D88" s="71" t="s">
        <v>50</v>
      </c>
      <c r="E88">
        <v>1</v>
      </c>
      <c r="F88">
        <v>0.65</v>
      </c>
      <c r="G88">
        <v>0</v>
      </c>
      <c r="H88">
        <v>0</v>
      </c>
      <c r="I88">
        <v>0</v>
      </c>
      <c r="J88">
        <v>0</v>
      </c>
      <c r="K88">
        <v>0</v>
      </c>
      <c r="L88">
        <v>46188</v>
      </c>
      <c r="M88" s="71" t="s">
        <v>309</v>
      </c>
      <c r="N88">
        <v>30.434782608695652</v>
      </c>
      <c r="O88">
        <v>35</v>
      </c>
    </row>
    <row r="89" spans="1:15" x14ac:dyDescent="0.35">
      <c r="A89" s="71" t="s">
        <v>14</v>
      </c>
      <c r="B89">
        <v>101</v>
      </c>
      <c r="C89">
        <v>34004</v>
      </c>
      <c r="D89" s="71" t="s">
        <v>50</v>
      </c>
      <c r="E89">
        <v>1</v>
      </c>
      <c r="F89">
        <v>0.65</v>
      </c>
      <c r="G89">
        <v>0</v>
      </c>
      <c r="H89">
        <v>0</v>
      </c>
      <c r="I89">
        <v>0</v>
      </c>
      <c r="J89">
        <v>0</v>
      </c>
      <c r="K89">
        <v>0</v>
      </c>
      <c r="L89">
        <v>46189</v>
      </c>
      <c r="M89" s="71" t="s">
        <v>310</v>
      </c>
      <c r="N89">
        <v>6.9565217391304346</v>
      </c>
      <c r="O89">
        <v>8</v>
      </c>
    </row>
    <row r="90" spans="1:15" x14ac:dyDescent="0.35">
      <c r="A90" s="71" t="s">
        <v>14</v>
      </c>
      <c r="B90">
        <v>101</v>
      </c>
      <c r="C90">
        <v>34004</v>
      </c>
      <c r="D90" s="71" t="s">
        <v>50</v>
      </c>
      <c r="E90">
        <v>1</v>
      </c>
      <c r="F90">
        <v>0.65</v>
      </c>
      <c r="G90">
        <v>0</v>
      </c>
      <c r="H90">
        <v>0</v>
      </c>
      <c r="I90">
        <v>0</v>
      </c>
      <c r="J90">
        <v>0</v>
      </c>
      <c r="K90">
        <v>0</v>
      </c>
      <c r="L90">
        <v>46190</v>
      </c>
      <c r="M90" s="71" t="s">
        <v>316</v>
      </c>
      <c r="N90">
        <v>13.043478260869565</v>
      </c>
      <c r="O90">
        <v>15</v>
      </c>
    </row>
    <row r="91" spans="1:15" x14ac:dyDescent="0.35">
      <c r="A91" s="71" t="s">
        <v>14</v>
      </c>
      <c r="B91">
        <v>101</v>
      </c>
      <c r="C91">
        <v>34004</v>
      </c>
      <c r="D91" s="71" t="s">
        <v>50</v>
      </c>
      <c r="E91">
        <v>1</v>
      </c>
      <c r="F91">
        <v>0.65</v>
      </c>
      <c r="G91">
        <v>0</v>
      </c>
      <c r="H91">
        <v>0</v>
      </c>
      <c r="I91">
        <v>0</v>
      </c>
      <c r="J91">
        <v>0</v>
      </c>
      <c r="K91">
        <v>0</v>
      </c>
      <c r="L91">
        <v>46191</v>
      </c>
      <c r="M91" s="71" t="s">
        <v>960</v>
      </c>
      <c r="N91">
        <v>16.521739130434781</v>
      </c>
      <c r="O91">
        <v>19</v>
      </c>
    </row>
    <row r="92" spans="1:15" x14ac:dyDescent="0.35">
      <c r="A92" s="71" t="s">
        <v>14</v>
      </c>
      <c r="B92">
        <v>101</v>
      </c>
      <c r="C92">
        <v>34059</v>
      </c>
      <c r="D92" s="71" t="s">
        <v>64</v>
      </c>
      <c r="E92">
        <v>6.99</v>
      </c>
      <c r="F92">
        <v>3.8</v>
      </c>
      <c r="G92">
        <v>0</v>
      </c>
      <c r="H92">
        <v>0</v>
      </c>
      <c r="I92">
        <v>0</v>
      </c>
      <c r="J92">
        <v>0</v>
      </c>
      <c r="K92">
        <v>0</v>
      </c>
      <c r="L92">
        <v>46191</v>
      </c>
      <c r="M92" s="71" t="s">
        <v>960</v>
      </c>
      <c r="N92">
        <v>42.547826086956519</v>
      </c>
      <c r="O92">
        <v>7</v>
      </c>
    </row>
    <row r="93" spans="1:15" x14ac:dyDescent="0.35">
      <c r="A93" s="71" t="s">
        <v>14</v>
      </c>
      <c r="B93">
        <v>101</v>
      </c>
      <c r="C93">
        <v>34068</v>
      </c>
      <c r="D93" s="71" t="s">
        <v>74</v>
      </c>
      <c r="E93">
        <v>1.5</v>
      </c>
      <c r="F93">
        <v>0.59</v>
      </c>
      <c r="G93">
        <v>0</v>
      </c>
      <c r="H93">
        <v>0</v>
      </c>
      <c r="I93">
        <v>0</v>
      </c>
      <c r="J93">
        <v>0</v>
      </c>
      <c r="K93">
        <v>0</v>
      </c>
      <c r="L93">
        <v>46188</v>
      </c>
      <c r="M93" s="71" t="s">
        <v>309</v>
      </c>
      <c r="N93">
        <v>20.869565217391305</v>
      </c>
      <c r="O93">
        <v>16</v>
      </c>
    </row>
    <row r="94" spans="1:15" x14ac:dyDescent="0.35">
      <c r="A94" s="71" t="s">
        <v>14</v>
      </c>
      <c r="B94">
        <v>101</v>
      </c>
      <c r="C94">
        <v>34070</v>
      </c>
      <c r="D94" s="71" t="s">
        <v>26</v>
      </c>
      <c r="E94">
        <v>12.99</v>
      </c>
      <c r="F94">
        <v>6.81</v>
      </c>
      <c r="G94">
        <v>0</v>
      </c>
      <c r="H94">
        <v>0</v>
      </c>
      <c r="I94">
        <v>0</v>
      </c>
      <c r="J94">
        <v>0</v>
      </c>
      <c r="K94">
        <v>0</v>
      </c>
      <c r="L94">
        <v>46188</v>
      </c>
      <c r="M94" s="71" t="s">
        <v>309</v>
      </c>
      <c r="N94">
        <v>169.43478260869566</v>
      </c>
      <c r="O94">
        <v>15</v>
      </c>
    </row>
    <row r="95" spans="1:15" x14ac:dyDescent="0.35">
      <c r="A95" s="71" t="s">
        <v>14</v>
      </c>
      <c r="B95">
        <v>101</v>
      </c>
      <c r="C95">
        <v>34070</v>
      </c>
      <c r="D95" s="71" t="s">
        <v>26</v>
      </c>
      <c r="E95">
        <v>12.99</v>
      </c>
      <c r="F95">
        <v>6.81</v>
      </c>
      <c r="G95">
        <v>0</v>
      </c>
      <c r="H95">
        <v>0</v>
      </c>
      <c r="I95">
        <v>0</v>
      </c>
      <c r="J95">
        <v>0</v>
      </c>
      <c r="K95">
        <v>0</v>
      </c>
      <c r="L95">
        <v>46189</v>
      </c>
      <c r="M95" s="71" t="s">
        <v>310</v>
      </c>
      <c r="N95">
        <v>101.66086956521738</v>
      </c>
      <c r="O95">
        <v>9</v>
      </c>
    </row>
    <row r="96" spans="1:15" x14ac:dyDescent="0.35">
      <c r="A96" s="71" t="s">
        <v>14</v>
      </c>
      <c r="B96">
        <v>101</v>
      </c>
      <c r="C96">
        <v>34070</v>
      </c>
      <c r="D96" s="71" t="s">
        <v>26</v>
      </c>
      <c r="E96">
        <v>12.99</v>
      </c>
      <c r="F96">
        <v>6.81</v>
      </c>
      <c r="G96">
        <v>0</v>
      </c>
      <c r="H96">
        <v>0</v>
      </c>
      <c r="I96">
        <v>0</v>
      </c>
      <c r="J96">
        <v>0</v>
      </c>
      <c r="K96">
        <v>0</v>
      </c>
      <c r="L96">
        <v>46190</v>
      </c>
      <c r="M96" s="71" t="s">
        <v>316</v>
      </c>
      <c r="N96">
        <v>111.26086956521739</v>
      </c>
      <c r="O96">
        <v>10</v>
      </c>
    </row>
    <row r="97" spans="1:15" x14ac:dyDescent="0.35">
      <c r="A97" s="71" t="s">
        <v>14</v>
      </c>
      <c r="B97">
        <v>101</v>
      </c>
      <c r="C97">
        <v>34070</v>
      </c>
      <c r="D97" s="71" t="s">
        <v>26</v>
      </c>
      <c r="E97">
        <v>12.99</v>
      </c>
      <c r="F97">
        <v>6.81</v>
      </c>
      <c r="G97">
        <v>0</v>
      </c>
      <c r="H97">
        <v>0</v>
      </c>
      <c r="I97">
        <v>0</v>
      </c>
      <c r="J97">
        <v>0</v>
      </c>
      <c r="K97">
        <v>0</v>
      </c>
      <c r="L97">
        <v>46191</v>
      </c>
      <c r="M97" s="71" t="s">
        <v>960</v>
      </c>
      <c r="N97">
        <v>395.3478260869565</v>
      </c>
      <c r="O97">
        <v>35</v>
      </c>
    </row>
    <row r="98" spans="1:15" x14ac:dyDescent="0.35">
      <c r="A98" s="71" t="s">
        <v>14</v>
      </c>
      <c r="B98">
        <v>101</v>
      </c>
      <c r="C98">
        <v>34086</v>
      </c>
      <c r="D98" s="71" t="s">
        <v>60</v>
      </c>
      <c r="E98">
        <v>29.99</v>
      </c>
      <c r="F98">
        <v>10</v>
      </c>
      <c r="G98">
        <v>0</v>
      </c>
      <c r="H98">
        <v>0</v>
      </c>
      <c r="I98">
        <v>0</v>
      </c>
      <c r="J98">
        <v>0</v>
      </c>
      <c r="K98">
        <v>0</v>
      </c>
      <c r="L98">
        <v>46188</v>
      </c>
      <c r="M98" s="71" t="s">
        <v>309</v>
      </c>
      <c r="N98">
        <v>5.2695652173913041</v>
      </c>
      <c r="O98">
        <v>0</v>
      </c>
    </row>
    <row r="99" spans="1:15" x14ac:dyDescent="0.35">
      <c r="A99" s="71" t="s">
        <v>14</v>
      </c>
      <c r="B99">
        <v>101</v>
      </c>
      <c r="C99">
        <v>34086</v>
      </c>
      <c r="D99" s="71" t="s">
        <v>60</v>
      </c>
      <c r="E99">
        <v>29.99</v>
      </c>
      <c r="F99">
        <v>10</v>
      </c>
      <c r="G99">
        <v>0</v>
      </c>
      <c r="H99">
        <v>0</v>
      </c>
      <c r="I99">
        <v>0</v>
      </c>
      <c r="J99">
        <v>0</v>
      </c>
      <c r="K99">
        <v>0</v>
      </c>
      <c r="L99">
        <v>46190</v>
      </c>
      <c r="M99" s="71" t="s">
        <v>316</v>
      </c>
      <c r="N99">
        <v>9.5739130434782602</v>
      </c>
      <c r="O99">
        <v>0</v>
      </c>
    </row>
    <row r="100" spans="1:15" x14ac:dyDescent="0.35">
      <c r="A100" s="71" t="s">
        <v>14</v>
      </c>
      <c r="B100">
        <v>101</v>
      </c>
      <c r="C100">
        <v>34088</v>
      </c>
      <c r="D100" s="71" t="s">
        <v>44</v>
      </c>
      <c r="E100">
        <v>1.5</v>
      </c>
      <c r="F100">
        <v>0.68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46189</v>
      </c>
      <c r="M100" s="71" t="s">
        <v>310</v>
      </c>
      <c r="N100">
        <v>117.39130434782609</v>
      </c>
      <c r="O100">
        <v>90</v>
      </c>
    </row>
    <row r="101" spans="1:15" x14ac:dyDescent="0.35">
      <c r="A101" s="71" t="s">
        <v>14</v>
      </c>
      <c r="B101">
        <v>101</v>
      </c>
      <c r="C101">
        <v>34092</v>
      </c>
      <c r="D101" s="71" t="s">
        <v>47</v>
      </c>
      <c r="E101">
        <v>4.99</v>
      </c>
      <c r="F101">
        <v>2.52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46188</v>
      </c>
      <c r="M101" s="71" t="s">
        <v>309</v>
      </c>
      <c r="N101">
        <v>30.373913043478261</v>
      </c>
      <c r="O101">
        <v>7</v>
      </c>
    </row>
    <row r="102" spans="1:15" x14ac:dyDescent="0.35">
      <c r="A102" s="71" t="s">
        <v>14</v>
      </c>
      <c r="B102">
        <v>101</v>
      </c>
      <c r="C102">
        <v>34092</v>
      </c>
      <c r="D102" s="71" t="s">
        <v>47</v>
      </c>
      <c r="E102">
        <v>4.99</v>
      </c>
      <c r="F102">
        <v>2.52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46189</v>
      </c>
      <c r="M102" s="71" t="s">
        <v>310</v>
      </c>
      <c r="N102">
        <v>8.6782608695652179</v>
      </c>
      <c r="O102">
        <v>2</v>
      </c>
    </row>
    <row r="103" spans="1:15" x14ac:dyDescent="0.35">
      <c r="A103" s="71" t="s">
        <v>14</v>
      </c>
      <c r="B103">
        <v>101</v>
      </c>
      <c r="C103">
        <v>34119</v>
      </c>
      <c r="D103" s="71" t="s">
        <v>36</v>
      </c>
      <c r="E103">
        <v>3.3</v>
      </c>
      <c r="F103">
        <v>1.85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46188</v>
      </c>
      <c r="M103" s="71" t="s">
        <v>309</v>
      </c>
      <c r="N103">
        <v>229.56521739130434</v>
      </c>
      <c r="O103">
        <v>80</v>
      </c>
    </row>
    <row r="104" spans="1:15" x14ac:dyDescent="0.35">
      <c r="A104" s="71" t="s">
        <v>14</v>
      </c>
      <c r="B104">
        <v>101</v>
      </c>
      <c r="C104">
        <v>34121</v>
      </c>
      <c r="D104" s="71" t="s">
        <v>25</v>
      </c>
      <c r="E104">
        <v>3.3</v>
      </c>
      <c r="F104">
        <v>1.85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46191</v>
      </c>
      <c r="M104" s="71" t="s">
        <v>960</v>
      </c>
      <c r="N104">
        <v>143.47826086956522</v>
      </c>
      <c r="O104">
        <v>50</v>
      </c>
    </row>
    <row r="105" spans="1:15" x14ac:dyDescent="0.35">
      <c r="A105" s="71" t="s">
        <v>14</v>
      </c>
      <c r="B105">
        <v>101</v>
      </c>
      <c r="C105">
        <v>34687</v>
      </c>
      <c r="D105" s="71" t="s">
        <v>40</v>
      </c>
      <c r="E105">
        <v>3</v>
      </c>
      <c r="F105">
        <v>1.53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46188</v>
      </c>
      <c r="M105" s="71" t="s">
        <v>309</v>
      </c>
      <c r="N105">
        <v>19.826086956521738</v>
      </c>
      <c r="O105">
        <v>6</v>
      </c>
    </row>
    <row r="106" spans="1:15" x14ac:dyDescent="0.35">
      <c r="A106" s="71" t="s">
        <v>14</v>
      </c>
      <c r="B106">
        <v>101</v>
      </c>
      <c r="C106">
        <v>34687</v>
      </c>
      <c r="D106" s="71" t="s">
        <v>40</v>
      </c>
      <c r="E106">
        <v>3</v>
      </c>
      <c r="F106">
        <v>1.53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46189</v>
      </c>
      <c r="M106" s="71" t="s">
        <v>310</v>
      </c>
      <c r="N106">
        <v>3.3043478260869565</v>
      </c>
      <c r="O106">
        <v>1</v>
      </c>
    </row>
    <row r="107" spans="1:15" x14ac:dyDescent="0.35">
      <c r="A107" s="71" t="s">
        <v>14</v>
      </c>
      <c r="B107">
        <v>101</v>
      </c>
      <c r="C107">
        <v>34687</v>
      </c>
      <c r="D107" s="71" t="s">
        <v>40</v>
      </c>
      <c r="E107">
        <v>3</v>
      </c>
      <c r="F107">
        <v>1.53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46190</v>
      </c>
      <c r="M107" s="71" t="s">
        <v>316</v>
      </c>
      <c r="N107">
        <v>23.130434782608695</v>
      </c>
      <c r="O107">
        <v>7</v>
      </c>
    </row>
    <row r="108" spans="1:15" x14ac:dyDescent="0.35">
      <c r="A108" s="71" t="s">
        <v>14</v>
      </c>
      <c r="B108">
        <v>101</v>
      </c>
      <c r="C108">
        <v>42401</v>
      </c>
      <c r="D108" s="71" t="s">
        <v>38</v>
      </c>
      <c r="E108">
        <v>14.99</v>
      </c>
      <c r="F108">
        <v>6.62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46189</v>
      </c>
      <c r="M108" s="71" t="s">
        <v>310</v>
      </c>
      <c r="N108">
        <v>130.34782608695653</v>
      </c>
      <c r="O108">
        <v>10</v>
      </c>
    </row>
    <row r="109" spans="1:15" x14ac:dyDescent="0.35">
      <c r="A109" s="71" t="s">
        <v>14</v>
      </c>
      <c r="B109">
        <v>101</v>
      </c>
      <c r="C109">
        <v>42401</v>
      </c>
      <c r="D109" s="71" t="s">
        <v>38</v>
      </c>
      <c r="E109">
        <v>14.99</v>
      </c>
      <c r="F109">
        <v>6.62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46190</v>
      </c>
      <c r="M109" s="71" t="s">
        <v>316</v>
      </c>
      <c r="N109">
        <v>37.799999999999997</v>
      </c>
      <c r="O109">
        <v>3</v>
      </c>
    </row>
    <row r="110" spans="1:15" x14ac:dyDescent="0.35">
      <c r="A110" s="71" t="s">
        <v>14</v>
      </c>
      <c r="B110">
        <v>101</v>
      </c>
      <c r="C110">
        <v>42401</v>
      </c>
      <c r="D110" s="71" t="s">
        <v>38</v>
      </c>
      <c r="E110">
        <v>14.99</v>
      </c>
      <c r="F110">
        <v>6.62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46191</v>
      </c>
      <c r="M110" s="71" t="s">
        <v>960</v>
      </c>
      <c r="N110">
        <v>65.173913043478265</v>
      </c>
      <c r="O110">
        <v>5</v>
      </c>
    </row>
    <row r="111" spans="1:15" x14ac:dyDescent="0.35">
      <c r="A111" s="71" t="s">
        <v>14</v>
      </c>
      <c r="B111">
        <v>101</v>
      </c>
      <c r="C111">
        <v>57071</v>
      </c>
      <c r="D111" s="71" t="s">
        <v>53</v>
      </c>
      <c r="E111">
        <v>29.99</v>
      </c>
      <c r="F111">
        <v>12.66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46190</v>
      </c>
      <c r="M111" s="71" t="s">
        <v>316</v>
      </c>
      <c r="N111">
        <v>26.078260869565216</v>
      </c>
      <c r="O111">
        <v>1</v>
      </c>
    </row>
    <row r="112" spans="1:15" x14ac:dyDescent="0.35">
      <c r="A112" s="71" t="s">
        <v>14</v>
      </c>
      <c r="B112">
        <v>101</v>
      </c>
      <c r="C112">
        <v>57071</v>
      </c>
      <c r="D112" s="71" t="s">
        <v>53</v>
      </c>
      <c r="E112">
        <v>29.99</v>
      </c>
      <c r="F112">
        <v>12.66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46191</v>
      </c>
      <c r="M112" s="71" t="s">
        <v>960</v>
      </c>
      <c r="N112">
        <v>104.31304347826087</v>
      </c>
      <c r="O112">
        <v>4</v>
      </c>
    </row>
    <row r="113" spans="1:15" x14ac:dyDescent="0.35">
      <c r="A113" s="71" t="s">
        <v>14</v>
      </c>
      <c r="B113">
        <v>101</v>
      </c>
      <c r="C113">
        <v>58512</v>
      </c>
      <c r="D113" s="71" t="s">
        <v>30</v>
      </c>
      <c r="E113">
        <v>26.99</v>
      </c>
      <c r="F113">
        <v>10.66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46188</v>
      </c>
      <c r="M113" s="71" t="s">
        <v>309</v>
      </c>
      <c r="N113">
        <v>70.408695652173918</v>
      </c>
      <c r="O113">
        <v>3</v>
      </c>
    </row>
    <row r="114" spans="1:15" x14ac:dyDescent="0.35">
      <c r="A114" s="71" t="s">
        <v>14</v>
      </c>
      <c r="B114">
        <v>101</v>
      </c>
      <c r="C114">
        <v>58512</v>
      </c>
      <c r="D114" s="71" t="s">
        <v>30</v>
      </c>
      <c r="E114">
        <v>26.99</v>
      </c>
      <c r="F114">
        <v>10.66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46189</v>
      </c>
      <c r="M114" s="71" t="s">
        <v>310</v>
      </c>
      <c r="N114">
        <v>70.408695652173918</v>
      </c>
      <c r="O114">
        <v>3</v>
      </c>
    </row>
    <row r="115" spans="1:15" x14ac:dyDescent="0.35">
      <c r="A115" s="71" t="s">
        <v>14</v>
      </c>
      <c r="B115">
        <v>101</v>
      </c>
      <c r="C115">
        <v>58512</v>
      </c>
      <c r="D115" s="71" t="s">
        <v>30</v>
      </c>
      <c r="E115">
        <v>26.99</v>
      </c>
      <c r="F115">
        <v>10.66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46190</v>
      </c>
      <c r="M115" s="71" t="s">
        <v>316</v>
      </c>
      <c r="N115">
        <v>70.408695652173918</v>
      </c>
      <c r="O115">
        <v>3</v>
      </c>
    </row>
    <row r="116" spans="1:15" x14ac:dyDescent="0.35">
      <c r="A116" s="71" t="s">
        <v>14</v>
      </c>
      <c r="B116">
        <v>101</v>
      </c>
      <c r="C116">
        <v>58767</v>
      </c>
      <c r="D116" s="71" t="s">
        <v>27</v>
      </c>
      <c r="E116">
        <v>19.989999999999998</v>
      </c>
      <c r="F116">
        <v>7.04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46188</v>
      </c>
      <c r="M116" s="71" t="s">
        <v>309</v>
      </c>
      <c r="N116">
        <v>121.67826086956522</v>
      </c>
      <c r="O116">
        <v>7</v>
      </c>
    </row>
    <row r="117" spans="1:15" x14ac:dyDescent="0.35">
      <c r="A117" s="71" t="s">
        <v>14</v>
      </c>
      <c r="B117">
        <v>101</v>
      </c>
      <c r="C117">
        <v>58767</v>
      </c>
      <c r="D117" s="71" t="s">
        <v>27</v>
      </c>
      <c r="E117">
        <v>19.989999999999998</v>
      </c>
      <c r="F117">
        <v>7.04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46189</v>
      </c>
      <c r="M117" s="71" t="s">
        <v>310</v>
      </c>
      <c r="N117">
        <v>52.14782608695652</v>
      </c>
      <c r="O117">
        <v>3</v>
      </c>
    </row>
    <row r="118" spans="1:15" x14ac:dyDescent="0.35">
      <c r="A118" s="71" t="s">
        <v>14</v>
      </c>
      <c r="B118">
        <v>101</v>
      </c>
      <c r="C118">
        <v>58767</v>
      </c>
      <c r="D118" s="71" t="s">
        <v>27</v>
      </c>
      <c r="E118">
        <v>19.989999999999998</v>
      </c>
      <c r="F118">
        <v>7.04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46190</v>
      </c>
      <c r="M118" s="71" t="s">
        <v>316</v>
      </c>
      <c r="N118">
        <v>34.765217391304347</v>
      </c>
      <c r="O118">
        <v>2</v>
      </c>
    </row>
    <row r="119" spans="1:15" x14ac:dyDescent="0.35">
      <c r="A119" s="71" t="s">
        <v>14</v>
      </c>
      <c r="B119">
        <v>101</v>
      </c>
      <c r="C119">
        <v>58767</v>
      </c>
      <c r="D119" s="71" t="s">
        <v>27</v>
      </c>
      <c r="E119">
        <v>19.989999999999998</v>
      </c>
      <c r="F119">
        <v>7.04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46191</v>
      </c>
      <c r="M119" s="71" t="s">
        <v>960</v>
      </c>
      <c r="N119">
        <v>52.14782608695652</v>
      </c>
      <c r="O119">
        <v>3</v>
      </c>
    </row>
    <row r="120" spans="1:15" x14ac:dyDescent="0.35">
      <c r="A120" s="71" t="s">
        <v>317</v>
      </c>
      <c r="B120">
        <v>101</v>
      </c>
      <c r="C120">
        <v>59274</v>
      </c>
      <c r="D120" s="71" t="s">
        <v>409</v>
      </c>
      <c r="E120">
        <v>21.99</v>
      </c>
      <c r="F120">
        <v>13.344114285714285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46191</v>
      </c>
      <c r="M120" s="71" t="s">
        <v>960</v>
      </c>
      <c r="N120">
        <v>19.121739130434783</v>
      </c>
      <c r="O120">
        <v>1</v>
      </c>
    </row>
    <row r="121" spans="1:15" x14ac:dyDescent="0.35">
      <c r="A121" s="71" t="s">
        <v>317</v>
      </c>
      <c r="B121">
        <v>101</v>
      </c>
      <c r="C121">
        <v>62319</v>
      </c>
      <c r="D121" s="71" t="s">
        <v>422</v>
      </c>
      <c r="E121">
        <v>49.99</v>
      </c>
      <c r="F121">
        <v>29.528099999999998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46188</v>
      </c>
      <c r="M121" s="71" t="s">
        <v>309</v>
      </c>
      <c r="N121">
        <v>43.469565217391306</v>
      </c>
      <c r="O121">
        <v>1</v>
      </c>
    </row>
    <row r="122" spans="1:15" x14ac:dyDescent="0.35">
      <c r="A122" s="71" t="s">
        <v>317</v>
      </c>
      <c r="B122">
        <v>101</v>
      </c>
      <c r="C122">
        <v>62319</v>
      </c>
      <c r="D122" s="71" t="s">
        <v>422</v>
      </c>
      <c r="E122">
        <v>49.99</v>
      </c>
      <c r="F122">
        <v>29.528099999999998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46189</v>
      </c>
      <c r="M122" s="71" t="s">
        <v>310</v>
      </c>
      <c r="N122">
        <v>86.939130434782612</v>
      </c>
      <c r="O122">
        <v>2</v>
      </c>
    </row>
    <row r="123" spans="1:15" x14ac:dyDescent="0.35">
      <c r="A123" s="71" t="s">
        <v>317</v>
      </c>
      <c r="B123">
        <v>101</v>
      </c>
      <c r="C123">
        <v>62326</v>
      </c>
      <c r="D123" s="71" t="s">
        <v>424</v>
      </c>
      <c r="E123">
        <v>189.99</v>
      </c>
      <c r="F123">
        <v>118.89879999999999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46190</v>
      </c>
      <c r="M123" s="71" t="s">
        <v>316</v>
      </c>
      <c r="N123">
        <v>165.20869565217393</v>
      </c>
      <c r="O123">
        <v>1</v>
      </c>
    </row>
    <row r="124" spans="1:15" x14ac:dyDescent="0.35">
      <c r="A124" s="71" t="s">
        <v>317</v>
      </c>
      <c r="B124">
        <v>101</v>
      </c>
      <c r="C124">
        <v>62333</v>
      </c>
      <c r="D124" s="71" t="s">
        <v>426</v>
      </c>
      <c r="E124">
        <v>69.989999999999995</v>
      </c>
      <c r="F124">
        <v>40.963850000000001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46189</v>
      </c>
      <c r="M124" s="71" t="s">
        <v>310</v>
      </c>
      <c r="N124">
        <v>60.860869565217385</v>
      </c>
      <c r="O124">
        <v>1</v>
      </c>
    </row>
    <row r="125" spans="1:15" x14ac:dyDescent="0.35">
      <c r="A125" s="71" t="s">
        <v>14</v>
      </c>
      <c r="B125">
        <v>101</v>
      </c>
      <c r="C125">
        <v>62622</v>
      </c>
      <c r="D125" s="71" t="s">
        <v>70</v>
      </c>
      <c r="E125">
        <v>26.99</v>
      </c>
      <c r="F125">
        <v>14.15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46188</v>
      </c>
      <c r="M125" s="71" t="s">
        <v>309</v>
      </c>
      <c r="N125">
        <v>70.408695652173918</v>
      </c>
      <c r="O125">
        <v>3</v>
      </c>
    </row>
    <row r="126" spans="1:15" x14ac:dyDescent="0.35">
      <c r="A126" s="71" t="s">
        <v>14</v>
      </c>
      <c r="B126">
        <v>101</v>
      </c>
      <c r="C126">
        <v>62622</v>
      </c>
      <c r="D126" s="71" t="s">
        <v>70</v>
      </c>
      <c r="E126">
        <v>26.99</v>
      </c>
      <c r="F126">
        <v>14.15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46190</v>
      </c>
      <c r="M126" s="71" t="s">
        <v>316</v>
      </c>
      <c r="N126">
        <v>91.530434782608694</v>
      </c>
      <c r="O126">
        <v>4</v>
      </c>
    </row>
    <row r="127" spans="1:15" x14ac:dyDescent="0.35">
      <c r="A127" s="71" t="s">
        <v>14</v>
      </c>
      <c r="B127">
        <v>101</v>
      </c>
      <c r="C127">
        <v>62622</v>
      </c>
      <c r="D127" s="71" t="s">
        <v>70</v>
      </c>
      <c r="E127">
        <v>26.99</v>
      </c>
      <c r="F127">
        <v>14.15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46191</v>
      </c>
      <c r="M127" s="71" t="s">
        <v>960</v>
      </c>
      <c r="N127">
        <v>23.469565217391303</v>
      </c>
      <c r="O127">
        <v>1</v>
      </c>
    </row>
    <row r="128" spans="1:15" x14ac:dyDescent="0.35">
      <c r="A128" s="71" t="s">
        <v>317</v>
      </c>
      <c r="B128">
        <v>101</v>
      </c>
      <c r="C128">
        <v>62692</v>
      </c>
      <c r="D128" s="71" t="s">
        <v>434</v>
      </c>
      <c r="E128">
        <v>69.989999999999995</v>
      </c>
      <c r="F128">
        <v>43.867849999999997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46190</v>
      </c>
      <c r="M128" s="71" t="s">
        <v>316</v>
      </c>
      <c r="N128">
        <v>57.817391304347822</v>
      </c>
      <c r="O128">
        <v>1</v>
      </c>
    </row>
    <row r="129" spans="1:15" x14ac:dyDescent="0.35">
      <c r="A129" s="71" t="s">
        <v>317</v>
      </c>
      <c r="B129">
        <v>101</v>
      </c>
      <c r="C129">
        <v>64596</v>
      </c>
      <c r="D129" s="71" t="s">
        <v>444</v>
      </c>
      <c r="E129">
        <v>42.99</v>
      </c>
      <c r="F129">
        <v>27.290666666666667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46188</v>
      </c>
      <c r="M129" s="71" t="s">
        <v>309</v>
      </c>
      <c r="N129">
        <v>74.765217391304347</v>
      </c>
      <c r="O129">
        <v>2</v>
      </c>
    </row>
    <row r="130" spans="1:15" x14ac:dyDescent="0.35">
      <c r="A130" s="71" t="s">
        <v>317</v>
      </c>
      <c r="B130">
        <v>101</v>
      </c>
      <c r="C130">
        <v>64596</v>
      </c>
      <c r="D130" s="71" t="s">
        <v>444</v>
      </c>
      <c r="E130">
        <v>42.99</v>
      </c>
      <c r="F130">
        <v>27.290666666666667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46190</v>
      </c>
      <c r="M130" s="71" t="s">
        <v>316</v>
      </c>
      <c r="N130">
        <v>37.382608695652173</v>
      </c>
      <c r="O130">
        <v>1</v>
      </c>
    </row>
    <row r="131" spans="1:15" x14ac:dyDescent="0.35">
      <c r="A131" s="71" t="s">
        <v>317</v>
      </c>
      <c r="B131">
        <v>101</v>
      </c>
      <c r="C131">
        <v>66653</v>
      </c>
      <c r="D131" s="71" t="s">
        <v>460</v>
      </c>
      <c r="E131">
        <v>49.99</v>
      </c>
      <c r="F131">
        <v>30.655766666666665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46190</v>
      </c>
      <c r="M131" s="71" t="s">
        <v>316</v>
      </c>
      <c r="N131">
        <v>82.591304347826096</v>
      </c>
      <c r="O131">
        <v>2</v>
      </c>
    </row>
    <row r="132" spans="1:15" x14ac:dyDescent="0.35">
      <c r="A132" s="71" t="s">
        <v>317</v>
      </c>
      <c r="B132">
        <v>101</v>
      </c>
      <c r="C132">
        <v>66653</v>
      </c>
      <c r="D132" s="71" t="s">
        <v>460</v>
      </c>
      <c r="E132">
        <v>49.99</v>
      </c>
      <c r="F132">
        <v>30.655766666666665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46191</v>
      </c>
      <c r="M132" s="71" t="s">
        <v>960</v>
      </c>
      <c r="N132">
        <v>173.87826086956522</v>
      </c>
      <c r="O132">
        <v>4</v>
      </c>
    </row>
    <row r="133" spans="1:15" x14ac:dyDescent="0.35">
      <c r="A133" s="71" t="s">
        <v>14</v>
      </c>
      <c r="B133">
        <v>102</v>
      </c>
      <c r="C133">
        <v>52943</v>
      </c>
      <c r="D133" s="71" t="s">
        <v>90</v>
      </c>
      <c r="E133">
        <v>31.99</v>
      </c>
      <c r="F133">
        <v>15.17</v>
      </c>
      <c r="G133">
        <v>213</v>
      </c>
      <c r="H133">
        <v>6813.87</v>
      </c>
      <c r="I133">
        <v>3231.21</v>
      </c>
      <c r="J133">
        <v>3582.66</v>
      </c>
      <c r="K133">
        <v>52.578930915911229</v>
      </c>
      <c r="L133">
        <v>46188</v>
      </c>
      <c r="M133" s="71" t="s">
        <v>309</v>
      </c>
      <c r="N133">
        <v>194.04347826086956</v>
      </c>
      <c r="O133">
        <v>7</v>
      </c>
    </row>
    <row r="134" spans="1:15" x14ac:dyDescent="0.35">
      <c r="A134" s="71" t="s">
        <v>14</v>
      </c>
      <c r="B134">
        <v>102</v>
      </c>
      <c r="C134">
        <v>52943</v>
      </c>
      <c r="D134" s="71" t="s">
        <v>90</v>
      </c>
      <c r="E134">
        <v>31.99</v>
      </c>
      <c r="F134">
        <v>15.17</v>
      </c>
      <c r="G134">
        <v>213</v>
      </c>
      <c r="H134">
        <v>6813.87</v>
      </c>
      <c r="I134">
        <v>3231.21</v>
      </c>
      <c r="J134">
        <v>3582.66</v>
      </c>
      <c r="K134">
        <v>52.578930915911229</v>
      </c>
      <c r="L134">
        <v>46189</v>
      </c>
      <c r="M134" s="71" t="s">
        <v>310</v>
      </c>
      <c r="N134">
        <v>133.09565217391304</v>
      </c>
      <c r="O134">
        <v>5</v>
      </c>
    </row>
    <row r="135" spans="1:15" x14ac:dyDescent="0.35">
      <c r="A135" s="71" t="s">
        <v>14</v>
      </c>
      <c r="B135">
        <v>102</v>
      </c>
      <c r="C135">
        <v>52943</v>
      </c>
      <c r="D135" s="71" t="s">
        <v>90</v>
      </c>
      <c r="E135">
        <v>31.99</v>
      </c>
      <c r="F135">
        <v>15.17</v>
      </c>
      <c r="G135">
        <v>213</v>
      </c>
      <c r="H135">
        <v>6813.87</v>
      </c>
      <c r="I135">
        <v>3231.21</v>
      </c>
      <c r="J135">
        <v>3582.66</v>
      </c>
      <c r="K135">
        <v>52.578930915911229</v>
      </c>
      <c r="L135">
        <v>46190</v>
      </c>
      <c r="M135" s="71" t="s">
        <v>316</v>
      </c>
      <c r="N135">
        <v>359.66956521739132</v>
      </c>
      <c r="O135">
        <v>13</v>
      </c>
    </row>
    <row r="136" spans="1:15" x14ac:dyDescent="0.35">
      <c r="A136" s="71" t="s">
        <v>14</v>
      </c>
      <c r="B136">
        <v>102</v>
      </c>
      <c r="C136">
        <v>52943</v>
      </c>
      <c r="D136" s="71" t="s">
        <v>90</v>
      </c>
      <c r="E136">
        <v>31.99</v>
      </c>
      <c r="F136">
        <v>15.17</v>
      </c>
      <c r="G136">
        <v>213</v>
      </c>
      <c r="H136">
        <v>6813.87</v>
      </c>
      <c r="I136">
        <v>3231.21</v>
      </c>
      <c r="J136">
        <v>3582.66</v>
      </c>
      <c r="K136">
        <v>52.578930915911229</v>
      </c>
      <c r="L136">
        <v>46191</v>
      </c>
      <c r="M136" s="71" t="s">
        <v>960</v>
      </c>
      <c r="N136">
        <v>127.41739130434783</v>
      </c>
      <c r="O136">
        <v>5</v>
      </c>
    </row>
    <row r="137" spans="1:15" x14ac:dyDescent="0.35">
      <c r="A137" s="71" t="s">
        <v>14</v>
      </c>
      <c r="B137">
        <v>102</v>
      </c>
      <c r="C137">
        <v>32127</v>
      </c>
      <c r="D137" s="71" t="s">
        <v>92</v>
      </c>
      <c r="E137">
        <v>11.99</v>
      </c>
      <c r="F137">
        <v>6.02</v>
      </c>
      <c r="G137">
        <v>32</v>
      </c>
      <c r="H137">
        <v>383.68</v>
      </c>
      <c r="I137">
        <v>192.64</v>
      </c>
      <c r="J137">
        <v>191.04000000000002</v>
      </c>
      <c r="K137">
        <v>49.791492910758976</v>
      </c>
      <c r="L137">
        <v>46188</v>
      </c>
      <c r="M137" s="71" t="s">
        <v>309</v>
      </c>
      <c r="N137">
        <v>125.11304347826086</v>
      </c>
      <c r="O137">
        <v>12</v>
      </c>
    </row>
    <row r="138" spans="1:15" x14ac:dyDescent="0.35">
      <c r="A138" s="71" t="s">
        <v>14</v>
      </c>
      <c r="B138">
        <v>102</v>
      </c>
      <c r="C138">
        <v>32127</v>
      </c>
      <c r="D138" s="71" t="s">
        <v>92</v>
      </c>
      <c r="E138">
        <v>11.99</v>
      </c>
      <c r="F138">
        <v>6.02</v>
      </c>
      <c r="G138">
        <v>32</v>
      </c>
      <c r="H138">
        <v>383.68</v>
      </c>
      <c r="I138">
        <v>192.64</v>
      </c>
      <c r="J138">
        <v>191.04000000000002</v>
      </c>
      <c r="K138">
        <v>49.791492910758976</v>
      </c>
      <c r="L138">
        <v>46189</v>
      </c>
      <c r="M138" s="71" t="s">
        <v>310</v>
      </c>
      <c r="N138">
        <v>93.834782608695647</v>
      </c>
      <c r="O138">
        <v>9</v>
      </c>
    </row>
    <row r="139" spans="1:15" x14ac:dyDescent="0.35">
      <c r="A139" s="71" t="s">
        <v>14</v>
      </c>
      <c r="B139">
        <v>102</v>
      </c>
      <c r="C139">
        <v>32127</v>
      </c>
      <c r="D139" s="71" t="s">
        <v>92</v>
      </c>
      <c r="E139">
        <v>11.99</v>
      </c>
      <c r="F139">
        <v>6.02</v>
      </c>
      <c r="G139">
        <v>32</v>
      </c>
      <c r="H139">
        <v>383.68</v>
      </c>
      <c r="I139">
        <v>192.64</v>
      </c>
      <c r="J139">
        <v>191.04000000000002</v>
      </c>
      <c r="K139">
        <v>49.791492910758976</v>
      </c>
      <c r="L139">
        <v>46190</v>
      </c>
      <c r="M139" s="71" t="s">
        <v>316</v>
      </c>
      <c r="N139">
        <v>83.408695652173918</v>
      </c>
      <c r="O139">
        <v>8</v>
      </c>
    </row>
    <row r="140" spans="1:15" x14ac:dyDescent="0.35">
      <c r="A140" s="71" t="s">
        <v>14</v>
      </c>
      <c r="B140">
        <v>102</v>
      </c>
      <c r="C140">
        <v>32127</v>
      </c>
      <c r="D140" s="71" t="s">
        <v>92</v>
      </c>
      <c r="E140">
        <v>11.99</v>
      </c>
      <c r="F140">
        <v>6.02</v>
      </c>
      <c r="G140">
        <v>32</v>
      </c>
      <c r="H140">
        <v>383.68</v>
      </c>
      <c r="I140">
        <v>192.64</v>
      </c>
      <c r="J140">
        <v>191.04000000000002</v>
      </c>
      <c r="K140">
        <v>49.791492910758976</v>
      </c>
      <c r="L140">
        <v>46191</v>
      </c>
      <c r="M140" s="71" t="s">
        <v>960</v>
      </c>
      <c r="N140">
        <v>145.96521739130435</v>
      </c>
      <c r="O140">
        <v>14</v>
      </c>
    </row>
    <row r="141" spans="1:15" x14ac:dyDescent="0.35">
      <c r="A141" s="71" t="s">
        <v>14</v>
      </c>
      <c r="B141">
        <v>102</v>
      </c>
      <c r="C141">
        <v>61939</v>
      </c>
      <c r="D141" s="71" t="s">
        <v>101</v>
      </c>
      <c r="E141">
        <v>10</v>
      </c>
      <c r="F141">
        <v>5.09</v>
      </c>
      <c r="G141">
        <v>24</v>
      </c>
      <c r="H141">
        <v>240</v>
      </c>
      <c r="I141">
        <v>122.16</v>
      </c>
      <c r="J141">
        <v>117.84</v>
      </c>
      <c r="K141">
        <v>49.1</v>
      </c>
      <c r="L141">
        <v>46189</v>
      </c>
      <c r="M141" s="71" t="s">
        <v>310</v>
      </c>
      <c r="N141">
        <v>147.82608695652175</v>
      </c>
      <c r="O141">
        <v>17</v>
      </c>
    </row>
    <row r="142" spans="1:15" x14ac:dyDescent="0.35">
      <c r="A142" s="71" t="s">
        <v>14</v>
      </c>
      <c r="B142">
        <v>102</v>
      </c>
      <c r="C142">
        <v>61939</v>
      </c>
      <c r="D142" s="71" t="s">
        <v>101</v>
      </c>
      <c r="E142">
        <v>10</v>
      </c>
      <c r="F142">
        <v>5.09</v>
      </c>
      <c r="G142">
        <v>24</v>
      </c>
      <c r="H142">
        <v>240</v>
      </c>
      <c r="I142">
        <v>122.16</v>
      </c>
      <c r="J142">
        <v>117.84</v>
      </c>
      <c r="K142">
        <v>49.1</v>
      </c>
      <c r="L142">
        <v>46190</v>
      </c>
      <c r="M142" s="71" t="s">
        <v>316</v>
      </c>
      <c r="N142">
        <v>164.78260869565219</v>
      </c>
      <c r="O142">
        <v>19</v>
      </c>
    </row>
    <row r="143" spans="1:15" x14ac:dyDescent="0.35">
      <c r="A143" s="71" t="s">
        <v>14</v>
      </c>
      <c r="B143">
        <v>102</v>
      </c>
      <c r="C143">
        <v>61939</v>
      </c>
      <c r="D143" s="71" t="s">
        <v>101</v>
      </c>
      <c r="E143">
        <v>10</v>
      </c>
      <c r="F143">
        <v>5.09</v>
      </c>
      <c r="G143">
        <v>24</v>
      </c>
      <c r="H143">
        <v>240</v>
      </c>
      <c r="I143">
        <v>122.16</v>
      </c>
      <c r="J143">
        <v>117.84</v>
      </c>
      <c r="K143">
        <v>49.1</v>
      </c>
      <c r="L143">
        <v>46191</v>
      </c>
      <c r="M143" s="71" t="s">
        <v>960</v>
      </c>
      <c r="N143">
        <v>69.565217391304344</v>
      </c>
      <c r="O143">
        <v>8</v>
      </c>
    </row>
    <row r="144" spans="1:15" x14ac:dyDescent="0.35">
      <c r="A144" s="71" t="s">
        <v>14</v>
      </c>
      <c r="B144">
        <v>102</v>
      </c>
      <c r="C144">
        <v>33995</v>
      </c>
      <c r="D144" s="71" t="s">
        <v>91</v>
      </c>
      <c r="E144">
        <v>15.99</v>
      </c>
      <c r="F144">
        <v>8.2200000000000006</v>
      </c>
      <c r="G144">
        <v>16</v>
      </c>
      <c r="H144">
        <v>255.84</v>
      </c>
      <c r="I144">
        <v>131.52000000000001</v>
      </c>
      <c r="J144">
        <v>124.32</v>
      </c>
      <c r="K144">
        <v>48.592870544090054</v>
      </c>
      <c r="L144">
        <v>46188</v>
      </c>
      <c r="M144" s="71" t="s">
        <v>309</v>
      </c>
      <c r="N144">
        <v>278.08695652173913</v>
      </c>
      <c r="O144">
        <v>20</v>
      </c>
    </row>
    <row r="145" spans="1:15" x14ac:dyDescent="0.35">
      <c r="A145" s="71" t="s">
        <v>14</v>
      </c>
      <c r="B145">
        <v>102</v>
      </c>
      <c r="C145">
        <v>33995</v>
      </c>
      <c r="D145" s="71" t="s">
        <v>91</v>
      </c>
      <c r="E145">
        <v>15.99</v>
      </c>
      <c r="F145">
        <v>8.2200000000000006</v>
      </c>
      <c r="G145">
        <v>16</v>
      </c>
      <c r="H145">
        <v>255.84</v>
      </c>
      <c r="I145">
        <v>131.52000000000001</v>
      </c>
      <c r="J145">
        <v>124.32</v>
      </c>
      <c r="K145">
        <v>48.592870544090054</v>
      </c>
      <c r="L145">
        <v>46189</v>
      </c>
      <c r="M145" s="71" t="s">
        <v>310</v>
      </c>
      <c r="N145">
        <v>97.330434782608705</v>
      </c>
      <c r="O145">
        <v>7</v>
      </c>
    </row>
    <row r="146" spans="1:15" x14ac:dyDescent="0.35">
      <c r="A146" s="71" t="s">
        <v>14</v>
      </c>
      <c r="B146">
        <v>102</v>
      </c>
      <c r="C146">
        <v>33995</v>
      </c>
      <c r="D146" s="71" t="s">
        <v>91</v>
      </c>
      <c r="E146">
        <v>15.99</v>
      </c>
      <c r="F146">
        <v>8.2200000000000006</v>
      </c>
      <c r="G146">
        <v>16</v>
      </c>
      <c r="H146">
        <v>255.84</v>
      </c>
      <c r="I146">
        <v>131.52000000000001</v>
      </c>
      <c r="J146">
        <v>124.32</v>
      </c>
      <c r="K146">
        <v>48.592870544090054</v>
      </c>
      <c r="L146">
        <v>46190</v>
      </c>
      <c r="M146" s="71" t="s">
        <v>316</v>
      </c>
      <c r="N146">
        <v>97.330434782608705</v>
      </c>
      <c r="O146">
        <v>7</v>
      </c>
    </row>
    <row r="147" spans="1:15" x14ac:dyDescent="0.35">
      <c r="A147" s="71" t="s">
        <v>14</v>
      </c>
      <c r="B147">
        <v>102</v>
      </c>
      <c r="C147">
        <v>33995</v>
      </c>
      <c r="D147" s="71" t="s">
        <v>91</v>
      </c>
      <c r="E147">
        <v>15.99</v>
      </c>
      <c r="F147">
        <v>8.2200000000000006</v>
      </c>
      <c r="G147">
        <v>16</v>
      </c>
      <c r="H147">
        <v>255.84</v>
      </c>
      <c r="I147">
        <v>131.52000000000001</v>
      </c>
      <c r="J147">
        <v>124.32</v>
      </c>
      <c r="K147">
        <v>48.592870544090054</v>
      </c>
      <c r="L147">
        <v>46191</v>
      </c>
      <c r="M147" s="71" t="s">
        <v>960</v>
      </c>
      <c r="N147">
        <v>139.04347826086956</v>
      </c>
      <c r="O147">
        <v>10</v>
      </c>
    </row>
    <row r="148" spans="1:15" x14ac:dyDescent="0.35">
      <c r="A148" s="71" t="s">
        <v>14</v>
      </c>
      <c r="B148">
        <v>102</v>
      </c>
      <c r="C148">
        <v>42990</v>
      </c>
      <c r="D148" s="71" t="s">
        <v>93</v>
      </c>
      <c r="E148">
        <v>19.989999999999998</v>
      </c>
      <c r="F148">
        <v>10.85</v>
      </c>
      <c r="G148">
        <v>16</v>
      </c>
      <c r="H148">
        <v>319.83999999999997</v>
      </c>
      <c r="I148">
        <v>173.6</v>
      </c>
      <c r="J148">
        <v>146.23999999999998</v>
      </c>
      <c r="K148">
        <v>45.722861430715355</v>
      </c>
      <c r="L148">
        <v>46188</v>
      </c>
      <c r="M148" s="71" t="s">
        <v>309</v>
      </c>
      <c r="N148">
        <v>121.67826086956522</v>
      </c>
      <c r="O148">
        <v>7</v>
      </c>
    </row>
    <row r="149" spans="1:15" x14ac:dyDescent="0.35">
      <c r="A149" s="71" t="s">
        <v>14</v>
      </c>
      <c r="B149">
        <v>102</v>
      </c>
      <c r="C149">
        <v>42990</v>
      </c>
      <c r="D149" s="71" t="s">
        <v>93</v>
      </c>
      <c r="E149">
        <v>19.989999999999998</v>
      </c>
      <c r="F149">
        <v>10.85</v>
      </c>
      <c r="G149">
        <v>16</v>
      </c>
      <c r="H149">
        <v>319.83999999999997</v>
      </c>
      <c r="I149">
        <v>173.6</v>
      </c>
      <c r="J149">
        <v>146.23999999999998</v>
      </c>
      <c r="K149">
        <v>45.722861430715355</v>
      </c>
      <c r="L149">
        <v>46189</v>
      </c>
      <c r="M149" s="71" t="s">
        <v>310</v>
      </c>
      <c r="N149">
        <v>173.82608695652175</v>
      </c>
      <c r="O149">
        <v>10</v>
      </c>
    </row>
    <row r="150" spans="1:15" x14ac:dyDescent="0.35">
      <c r="A150" s="71" t="s">
        <v>14</v>
      </c>
      <c r="B150">
        <v>102</v>
      </c>
      <c r="C150">
        <v>42990</v>
      </c>
      <c r="D150" s="71" t="s">
        <v>93</v>
      </c>
      <c r="E150">
        <v>19.989999999999998</v>
      </c>
      <c r="F150">
        <v>10.85</v>
      </c>
      <c r="G150">
        <v>16</v>
      </c>
      <c r="H150">
        <v>319.83999999999997</v>
      </c>
      <c r="I150">
        <v>173.6</v>
      </c>
      <c r="J150">
        <v>146.23999999999998</v>
      </c>
      <c r="K150">
        <v>45.722861430715355</v>
      </c>
      <c r="L150">
        <v>46190</v>
      </c>
      <c r="M150" s="71" t="s">
        <v>316</v>
      </c>
      <c r="N150">
        <v>86.043478260869563</v>
      </c>
      <c r="O150">
        <v>5</v>
      </c>
    </row>
    <row r="151" spans="1:15" x14ac:dyDescent="0.35">
      <c r="A151" s="71" t="s">
        <v>14</v>
      </c>
      <c r="B151">
        <v>102</v>
      </c>
      <c r="C151">
        <v>42990</v>
      </c>
      <c r="D151" s="71" t="s">
        <v>93</v>
      </c>
      <c r="E151">
        <v>19.989999999999998</v>
      </c>
      <c r="F151">
        <v>10.85</v>
      </c>
      <c r="G151">
        <v>16</v>
      </c>
      <c r="H151">
        <v>319.83999999999997</v>
      </c>
      <c r="I151">
        <v>173.6</v>
      </c>
      <c r="J151">
        <v>146.23999999999998</v>
      </c>
      <c r="K151">
        <v>45.722861430715355</v>
      </c>
      <c r="L151">
        <v>46191</v>
      </c>
      <c r="M151" s="71" t="s">
        <v>960</v>
      </c>
      <c r="N151">
        <v>191.2086956521739</v>
      </c>
      <c r="O151">
        <v>11</v>
      </c>
    </row>
    <row r="152" spans="1:15" x14ac:dyDescent="0.35">
      <c r="A152" s="71" t="s">
        <v>14</v>
      </c>
      <c r="B152">
        <v>102</v>
      </c>
      <c r="C152">
        <v>34008</v>
      </c>
      <c r="D152" s="71" t="s">
        <v>104</v>
      </c>
      <c r="E152">
        <v>5.99</v>
      </c>
      <c r="F152">
        <v>4.32</v>
      </c>
      <c r="G152">
        <v>12</v>
      </c>
      <c r="H152">
        <v>71.88</v>
      </c>
      <c r="I152">
        <v>51.84</v>
      </c>
      <c r="J152">
        <v>20.039999999999992</v>
      </c>
      <c r="K152">
        <v>27.879799666110173</v>
      </c>
      <c r="L152">
        <v>46188</v>
      </c>
      <c r="M152" s="71" t="s">
        <v>309</v>
      </c>
      <c r="N152">
        <v>72.921739130434787</v>
      </c>
      <c r="O152">
        <v>14</v>
      </c>
    </row>
    <row r="153" spans="1:15" x14ac:dyDescent="0.35">
      <c r="A153" s="71" t="s">
        <v>14</v>
      </c>
      <c r="B153">
        <v>102</v>
      </c>
      <c r="C153">
        <v>34008</v>
      </c>
      <c r="D153" s="71" t="s">
        <v>104</v>
      </c>
      <c r="E153">
        <v>5.99</v>
      </c>
      <c r="F153">
        <v>4.32</v>
      </c>
      <c r="G153">
        <v>12</v>
      </c>
      <c r="H153">
        <v>71.88</v>
      </c>
      <c r="I153">
        <v>51.84</v>
      </c>
      <c r="J153">
        <v>20.039999999999992</v>
      </c>
      <c r="K153">
        <v>27.879799666110173</v>
      </c>
      <c r="L153">
        <v>46189</v>
      </c>
      <c r="M153" s="71" t="s">
        <v>310</v>
      </c>
      <c r="N153">
        <v>67.713043478260872</v>
      </c>
      <c r="O153">
        <v>13</v>
      </c>
    </row>
    <row r="154" spans="1:15" x14ac:dyDescent="0.35">
      <c r="A154" s="71" t="s">
        <v>14</v>
      </c>
      <c r="B154">
        <v>102</v>
      </c>
      <c r="C154">
        <v>34008</v>
      </c>
      <c r="D154" s="71" t="s">
        <v>104</v>
      </c>
      <c r="E154">
        <v>5.99</v>
      </c>
      <c r="F154">
        <v>4.32</v>
      </c>
      <c r="G154">
        <v>12</v>
      </c>
      <c r="H154">
        <v>71.88</v>
      </c>
      <c r="I154">
        <v>51.84</v>
      </c>
      <c r="J154">
        <v>20.039999999999992</v>
      </c>
      <c r="K154">
        <v>27.879799666110173</v>
      </c>
      <c r="L154">
        <v>46190</v>
      </c>
      <c r="M154" s="71" t="s">
        <v>316</v>
      </c>
      <c r="N154">
        <v>83.339130434782618</v>
      </c>
      <c r="O154">
        <v>16</v>
      </c>
    </row>
    <row r="155" spans="1:15" x14ac:dyDescent="0.35">
      <c r="A155" s="71" t="s">
        <v>14</v>
      </c>
      <c r="B155">
        <v>102</v>
      </c>
      <c r="C155">
        <v>34008</v>
      </c>
      <c r="D155" s="71" t="s">
        <v>104</v>
      </c>
      <c r="E155">
        <v>5.99</v>
      </c>
      <c r="F155">
        <v>4.32</v>
      </c>
      <c r="G155">
        <v>12</v>
      </c>
      <c r="H155">
        <v>71.88</v>
      </c>
      <c r="I155">
        <v>51.84</v>
      </c>
      <c r="J155">
        <v>20.039999999999992</v>
      </c>
      <c r="K155">
        <v>27.879799666110173</v>
      </c>
      <c r="L155">
        <v>46191</v>
      </c>
      <c r="M155" s="71" t="s">
        <v>960</v>
      </c>
      <c r="N155">
        <v>83.339130434782618</v>
      </c>
      <c r="O155">
        <v>16</v>
      </c>
    </row>
    <row r="156" spans="1:15" x14ac:dyDescent="0.35">
      <c r="A156" s="71" t="s">
        <v>14</v>
      </c>
      <c r="B156">
        <v>102</v>
      </c>
      <c r="C156">
        <v>61938</v>
      </c>
      <c r="D156" s="71" t="s">
        <v>124</v>
      </c>
      <c r="E156">
        <v>10</v>
      </c>
      <c r="F156">
        <v>3.43</v>
      </c>
      <c r="G156">
        <v>12</v>
      </c>
      <c r="H156">
        <v>120</v>
      </c>
      <c r="I156">
        <v>41.160000000000004</v>
      </c>
      <c r="J156">
        <v>78.84</v>
      </c>
      <c r="K156">
        <v>65.7</v>
      </c>
      <c r="L156">
        <v>46188</v>
      </c>
      <c r="M156" s="71" t="s">
        <v>309</v>
      </c>
      <c r="N156">
        <v>26.086956521739129</v>
      </c>
      <c r="O156">
        <v>3</v>
      </c>
    </row>
    <row r="157" spans="1:15" x14ac:dyDescent="0.35">
      <c r="A157" s="71" t="s">
        <v>14</v>
      </c>
      <c r="B157">
        <v>102</v>
      </c>
      <c r="C157">
        <v>61938</v>
      </c>
      <c r="D157" s="71" t="s">
        <v>124</v>
      </c>
      <c r="E157">
        <v>10</v>
      </c>
      <c r="F157">
        <v>3.43</v>
      </c>
      <c r="G157">
        <v>12</v>
      </c>
      <c r="H157">
        <v>120</v>
      </c>
      <c r="I157">
        <v>41.160000000000004</v>
      </c>
      <c r="J157">
        <v>78.84</v>
      </c>
      <c r="K157">
        <v>65.7</v>
      </c>
      <c r="L157">
        <v>46190</v>
      </c>
      <c r="M157" s="71" t="s">
        <v>316</v>
      </c>
      <c r="N157">
        <v>8.695652173913043</v>
      </c>
      <c r="O157">
        <v>1</v>
      </c>
    </row>
    <row r="158" spans="1:15" x14ac:dyDescent="0.35">
      <c r="A158" s="71" t="s">
        <v>371</v>
      </c>
      <c r="B158">
        <v>102</v>
      </c>
      <c r="C158">
        <v>42797</v>
      </c>
      <c r="D158" s="71" t="s">
        <v>99</v>
      </c>
      <c r="E158">
        <v>11.99</v>
      </c>
      <c r="F158">
        <v>4.968</v>
      </c>
      <c r="G158">
        <v>10</v>
      </c>
      <c r="H158">
        <v>119.9</v>
      </c>
      <c r="I158">
        <v>49.68</v>
      </c>
      <c r="J158">
        <v>70.22</v>
      </c>
      <c r="K158">
        <v>58.565471226021678</v>
      </c>
      <c r="L158">
        <v>46188</v>
      </c>
      <c r="M158" s="71" t="s">
        <v>309</v>
      </c>
      <c r="N158">
        <v>125.11304347826086</v>
      </c>
      <c r="O158">
        <v>12</v>
      </c>
    </row>
    <row r="159" spans="1:15" x14ac:dyDescent="0.35">
      <c r="A159" s="71" t="s">
        <v>371</v>
      </c>
      <c r="B159">
        <v>102</v>
      </c>
      <c r="C159">
        <v>42797</v>
      </c>
      <c r="D159" s="71" t="s">
        <v>99</v>
      </c>
      <c r="E159">
        <v>11.99</v>
      </c>
      <c r="F159">
        <v>4.968</v>
      </c>
      <c r="G159">
        <v>10</v>
      </c>
      <c r="H159">
        <v>119.9</v>
      </c>
      <c r="I159">
        <v>49.68</v>
      </c>
      <c r="J159">
        <v>70.22</v>
      </c>
      <c r="K159">
        <v>58.565471226021678</v>
      </c>
      <c r="L159">
        <v>46189</v>
      </c>
      <c r="M159" s="71" t="s">
        <v>310</v>
      </c>
      <c r="N159">
        <v>72.982608695652175</v>
      </c>
      <c r="O159">
        <v>7</v>
      </c>
    </row>
    <row r="160" spans="1:15" x14ac:dyDescent="0.35">
      <c r="A160" s="71" t="s">
        <v>371</v>
      </c>
      <c r="B160">
        <v>102</v>
      </c>
      <c r="C160">
        <v>42797</v>
      </c>
      <c r="D160" s="71" t="s">
        <v>99</v>
      </c>
      <c r="E160">
        <v>11.99</v>
      </c>
      <c r="F160">
        <v>4.968</v>
      </c>
      <c r="G160">
        <v>10</v>
      </c>
      <c r="H160">
        <v>119.9</v>
      </c>
      <c r="I160">
        <v>49.68</v>
      </c>
      <c r="J160">
        <v>70.22</v>
      </c>
      <c r="K160">
        <v>58.565471226021678</v>
      </c>
      <c r="L160">
        <v>46190</v>
      </c>
      <c r="M160" s="71" t="s">
        <v>316</v>
      </c>
      <c r="N160">
        <v>83.408695652173918</v>
      </c>
      <c r="O160">
        <v>8</v>
      </c>
    </row>
    <row r="161" spans="1:15" x14ac:dyDescent="0.35">
      <c r="A161" s="71" t="s">
        <v>371</v>
      </c>
      <c r="B161">
        <v>102</v>
      </c>
      <c r="C161">
        <v>42797</v>
      </c>
      <c r="D161" s="71" t="s">
        <v>99</v>
      </c>
      <c r="E161">
        <v>11.99</v>
      </c>
      <c r="F161">
        <v>4.968</v>
      </c>
      <c r="G161">
        <v>10</v>
      </c>
      <c r="H161">
        <v>119.9</v>
      </c>
      <c r="I161">
        <v>49.68</v>
      </c>
      <c r="J161">
        <v>70.22</v>
      </c>
      <c r="K161">
        <v>58.565471226021678</v>
      </c>
      <c r="L161">
        <v>46191</v>
      </c>
      <c r="M161" s="71" t="s">
        <v>960</v>
      </c>
      <c r="N161">
        <v>104.26086956521739</v>
      </c>
      <c r="O161">
        <v>10</v>
      </c>
    </row>
    <row r="162" spans="1:15" x14ac:dyDescent="0.35">
      <c r="A162" s="71" t="s">
        <v>14</v>
      </c>
      <c r="B162">
        <v>102</v>
      </c>
      <c r="C162">
        <v>61937</v>
      </c>
      <c r="D162" s="71" t="s">
        <v>122</v>
      </c>
      <c r="E162">
        <v>10</v>
      </c>
      <c r="F162">
        <v>2.67</v>
      </c>
      <c r="G162">
        <v>10</v>
      </c>
      <c r="H162">
        <v>100</v>
      </c>
      <c r="I162">
        <v>26.7</v>
      </c>
      <c r="J162">
        <v>73.3</v>
      </c>
      <c r="K162">
        <v>73.3</v>
      </c>
      <c r="L162">
        <v>46188</v>
      </c>
      <c r="M162" s="71" t="s">
        <v>309</v>
      </c>
      <c r="N162">
        <v>104.34782608695652</v>
      </c>
      <c r="O162">
        <v>12</v>
      </c>
    </row>
    <row r="163" spans="1:15" x14ac:dyDescent="0.35">
      <c r="A163" s="71" t="s">
        <v>14</v>
      </c>
      <c r="B163">
        <v>102</v>
      </c>
      <c r="C163">
        <v>32131</v>
      </c>
      <c r="D163" s="71" t="s">
        <v>94</v>
      </c>
      <c r="E163">
        <v>18.989999999999998</v>
      </c>
      <c r="F163">
        <v>9.1300000000000008</v>
      </c>
      <c r="G163">
        <v>8</v>
      </c>
      <c r="H163">
        <v>151.91999999999999</v>
      </c>
      <c r="I163">
        <v>73.040000000000006</v>
      </c>
      <c r="J163">
        <v>78.879999999999981</v>
      </c>
      <c r="K163">
        <v>51.922064244339118</v>
      </c>
      <c r="L163">
        <v>46190</v>
      </c>
      <c r="M163" s="71" t="s">
        <v>316</v>
      </c>
      <c r="N163">
        <v>115.5913043478261</v>
      </c>
      <c r="O163">
        <v>7</v>
      </c>
    </row>
    <row r="164" spans="1:15" x14ac:dyDescent="0.35">
      <c r="A164" s="71" t="s">
        <v>14</v>
      </c>
      <c r="B164">
        <v>102</v>
      </c>
      <c r="C164">
        <v>32131</v>
      </c>
      <c r="D164" s="71" t="s">
        <v>94</v>
      </c>
      <c r="E164">
        <v>18.989999999999998</v>
      </c>
      <c r="F164">
        <v>9.1300000000000008</v>
      </c>
      <c r="G164">
        <v>8</v>
      </c>
      <c r="H164">
        <v>151.91999999999999</v>
      </c>
      <c r="I164">
        <v>73.040000000000006</v>
      </c>
      <c r="J164">
        <v>78.879999999999981</v>
      </c>
      <c r="K164">
        <v>51.922064244339118</v>
      </c>
      <c r="L164">
        <v>46191</v>
      </c>
      <c r="M164" s="71" t="s">
        <v>960</v>
      </c>
      <c r="N164">
        <v>280.7217391304348</v>
      </c>
      <c r="O164">
        <v>17</v>
      </c>
    </row>
    <row r="165" spans="1:15" x14ac:dyDescent="0.35">
      <c r="A165" s="71" t="s">
        <v>14</v>
      </c>
      <c r="B165">
        <v>102</v>
      </c>
      <c r="C165">
        <v>32872</v>
      </c>
      <c r="D165" s="71" t="s">
        <v>98</v>
      </c>
      <c r="E165">
        <v>29.99</v>
      </c>
      <c r="F165">
        <v>11.79</v>
      </c>
      <c r="G165">
        <v>8</v>
      </c>
      <c r="H165">
        <v>239.92</v>
      </c>
      <c r="I165">
        <v>94.32</v>
      </c>
      <c r="J165">
        <v>145.6</v>
      </c>
      <c r="K165">
        <v>60.686895631877292</v>
      </c>
      <c r="L165">
        <v>46188</v>
      </c>
      <c r="M165" s="71" t="s">
        <v>309</v>
      </c>
      <c r="N165">
        <v>69.547826086956519</v>
      </c>
      <c r="O165">
        <v>2</v>
      </c>
    </row>
    <row r="166" spans="1:15" x14ac:dyDescent="0.35">
      <c r="A166" s="71" t="s">
        <v>14</v>
      </c>
      <c r="B166">
        <v>102</v>
      </c>
      <c r="C166">
        <v>32872</v>
      </c>
      <c r="D166" s="71" t="s">
        <v>98</v>
      </c>
      <c r="E166">
        <v>29.99</v>
      </c>
      <c r="F166">
        <v>11.79</v>
      </c>
      <c r="G166">
        <v>8</v>
      </c>
      <c r="H166">
        <v>239.92</v>
      </c>
      <c r="I166">
        <v>94.32</v>
      </c>
      <c r="J166">
        <v>145.6</v>
      </c>
      <c r="K166">
        <v>60.686895631877292</v>
      </c>
      <c r="L166">
        <v>46190</v>
      </c>
      <c r="M166" s="71" t="s">
        <v>316</v>
      </c>
      <c r="N166">
        <v>206.01739130434783</v>
      </c>
      <c r="O166">
        <v>8</v>
      </c>
    </row>
    <row r="167" spans="1:15" x14ac:dyDescent="0.35">
      <c r="A167" s="71" t="s">
        <v>14</v>
      </c>
      <c r="B167">
        <v>102</v>
      </c>
      <c r="C167">
        <v>32872</v>
      </c>
      <c r="D167" s="71" t="s">
        <v>98</v>
      </c>
      <c r="E167">
        <v>29.99</v>
      </c>
      <c r="F167">
        <v>11.79</v>
      </c>
      <c r="G167">
        <v>8</v>
      </c>
      <c r="H167">
        <v>239.92</v>
      </c>
      <c r="I167">
        <v>94.32</v>
      </c>
      <c r="J167">
        <v>145.6</v>
      </c>
      <c r="K167">
        <v>60.686895631877292</v>
      </c>
      <c r="L167">
        <v>46191</v>
      </c>
      <c r="M167" s="71" t="s">
        <v>960</v>
      </c>
      <c r="N167">
        <v>286.8608695652174</v>
      </c>
      <c r="O167">
        <v>11</v>
      </c>
    </row>
    <row r="168" spans="1:15" x14ac:dyDescent="0.35">
      <c r="A168" s="71" t="s">
        <v>14</v>
      </c>
      <c r="B168">
        <v>102</v>
      </c>
      <c r="C168">
        <v>33031</v>
      </c>
      <c r="D168" s="71" t="s">
        <v>97</v>
      </c>
      <c r="E168">
        <v>17.989999999999998</v>
      </c>
      <c r="F168">
        <v>9.1199999999999992</v>
      </c>
      <c r="G168">
        <v>8</v>
      </c>
      <c r="H168">
        <v>143.91999999999999</v>
      </c>
      <c r="I168">
        <v>72.959999999999994</v>
      </c>
      <c r="J168">
        <v>70.959999999999994</v>
      </c>
      <c r="K168">
        <v>49.305169538632576</v>
      </c>
      <c r="L168">
        <v>46188</v>
      </c>
      <c r="M168" s="71" t="s">
        <v>309</v>
      </c>
      <c r="N168">
        <v>140.7913043478261</v>
      </c>
      <c r="O168">
        <v>9</v>
      </c>
    </row>
    <row r="169" spans="1:15" x14ac:dyDescent="0.35">
      <c r="A169" s="71" t="s">
        <v>14</v>
      </c>
      <c r="B169">
        <v>102</v>
      </c>
      <c r="C169">
        <v>33031</v>
      </c>
      <c r="D169" s="71" t="s">
        <v>97</v>
      </c>
      <c r="E169">
        <v>17.989999999999998</v>
      </c>
      <c r="F169">
        <v>9.1199999999999992</v>
      </c>
      <c r="G169">
        <v>8</v>
      </c>
      <c r="H169">
        <v>143.91999999999999</v>
      </c>
      <c r="I169">
        <v>72.959999999999994</v>
      </c>
      <c r="J169">
        <v>70.959999999999994</v>
      </c>
      <c r="K169">
        <v>49.305169538632576</v>
      </c>
      <c r="L169">
        <v>46191</v>
      </c>
      <c r="M169" s="71" t="s">
        <v>960</v>
      </c>
      <c r="N169">
        <v>46.930434782608693</v>
      </c>
      <c r="O169">
        <v>3</v>
      </c>
    </row>
    <row r="170" spans="1:15" x14ac:dyDescent="0.35">
      <c r="A170" s="71" t="s">
        <v>14</v>
      </c>
      <c r="B170">
        <v>102</v>
      </c>
      <c r="C170">
        <v>32152</v>
      </c>
      <c r="D170" s="71" t="s">
        <v>100</v>
      </c>
      <c r="E170">
        <v>12.99</v>
      </c>
      <c r="F170">
        <v>6.77</v>
      </c>
      <c r="G170">
        <v>6</v>
      </c>
      <c r="H170">
        <v>77.94</v>
      </c>
      <c r="I170">
        <v>40.619999999999997</v>
      </c>
      <c r="J170">
        <v>37.32</v>
      </c>
      <c r="K170">
        <v>47.882986913010015</v>
      </c>
      <c r="L170">
        <v>46188</v>
      </c>
      <c r="M170" s="71" t="s">
        <v>309</v>
      </c>
      <c r="N170">
        <v>67.77391304347826</v>
      </c>
      <c r="O170">
        <v>6</v>
      </c>
    </row>
    <row r="171" spans="1:15" x14ac:dyDescent="0.35">
      <c r="A171" s="71" t="s">
        <v>14</v>
      </c>
      <c r="B171">
        <v>102</v>
      </c>
      <c r="C171">
        <v>32152</v>
      </c>
      <c r="D171" s="71" t="s">
        <v>100</v>
      </c>
      <c r="E171">
        <v>12.99</v>
      </c>
      <c r="F171">
        <v>6.77</v>
      </c>
      <c r="G171">
        <v>6</v>
      </c>
      <c r="H171">
        <v>77.94</v>
      </c>
      <c r="I171">
        <v>40.619999999999997</v>
      </c>
      <c r="J171">
        <v>37.32</v>
      </c>
      <c r="K171">
        <v>47.882986913010015</v>
      </c>
      <c r="L171">
        <v>46189</v>
      </c>
      <c r="M171" s="71" t="s">
        <v>310</v>
      </c>
      <c r="N171">
        <v>22.591304347826089</v>
      </c>
      <c r="O171">
        <v>2</v>
      </c>
    </row>
    <row r="172" spans="1:15" x14ac:dyDescent="0.35">
      <c r="A172" s="71" t="s">
        <v>14</v>
      </c>
      <c r="B172">
        <v>102</v>
      </c>
      <c r="C172">
        <v>32152</v>
      </c>
      <c r="D172" s="71" t="s">
        <v>100</v>
      </c>
      <c r="E172">
        <v>12.99</v>
      </c>
      <c r="F172">
        <v>6.77</v>
      </c>
      <c r="G172">
        <v>6</v>
      </c>
      <c r="H172">
        <v>77.94</v>
      </c>
      <c r="I172">
        <v>40.619999999999997</v>
      </c>
      <c r="J172">
        <v>37.32</v>
      </c>
      <c r="K172">
        <v>47.882986913010015</v>
      </c>
      <c r="L172">
        <v>46190</v>
      </c>
      <c r="M172" s="71" t="s">
        <v>316</v>
      </c>
      <c r="N172">
        <v>56.478260869565219</v>
      </c>
      <c r="O172">
        <v>5</v>
      </c>
    </row>
    <row r="173" spans="1:15" x14ac:dyDescent="0.35">
      <c r="A173" s="71" t="s">
        <v>14</v>
      </c>
      <c r="B173">
        <v>102</v>
      </c>
      <c r="C173">
        <v>32152</v>
      </c>
      <c r="D173" s="71" t="s">
        <v>100</v>
      </c>
      <c r="E173">
        <v>12.99</v>
      </c>
      <c r="F173">
        <v>6.77</v>
      </c>
      <c r="G173">
        <v>6</v>
      </c>
      <c r="H173">
        <v>77.94</v>
      </c>
      <c r="I173">
        <v>40.619999999999997</v>
      </c>
      <c r="J173">
        <v>37.32</v>
      </c>
      <c r="K173">
        <v>47.882986913010015</v>
      </c>
      <c r="L173">
        <v>46191</v>
      </c>
      <c r="M173" s="71" t="s">
        <v>960</v>
      </c>
      <c r="N173">
        <v>33.88695652173913</v>
      </c>
      <c r="O173">
        <v>3</v>
      </c>
    </row>
    <row r="174" spans="1:15" x14ac:dyDescent="0.35">
      <c r="A174" s="71" t="s">
        <v>14</v>
      </c>
      <c r="B174">
        <v>102</v>
      </c>
      <c r="C174">
        <v>32855</v>
      </c>
      <c r="D174" s="71" t="s">
        <v>110</v>
      </c>
      <c r="E174">
        <v>17.989999999999998</v>
      </c>
      <c r="F174">
        <v>9.14</v>
      </c>
      <c r="G174">
        <v>6</v>
      </c>
      <c r="H174">
        <v>107.94</v>
      </c>
      <c r="I174">
        <v>54.84</v>
      </c>
      <c r="J174">
        <v>53.099999999999994</v>
      </c>
      <c r="K174">
        <v>49.193996664813781</v>
      </c>
      <c r="L174">
        <v>46188</v>
      </c>
      <c r="M174" s="71" t="s">
        <v>309</v>
      </c>
      <c r="N174">
        <v>46.930434782608693</v>
      </c>
      <c r="O174">
        <v>3</v>
      </c>
    </row>
    <row r="175" spans="1:15" x14ac:dyDescent="0.35">
      <c r="A175" s="71" t="s">
        <v>14</v>
      </c>
      <c r="B175">
        <v>102</v>
      </c>
      <c r="C175">
        <v>32855</v>
      </c>
      <c r="D175" s="71" t="s">
        <v>110</v>
      </c>
      <c r="E175">
        <v>17.989999999999998</v>
      </c>
      <c r="F175">
        <v>9.14</v>
      </c>
      <c r="G175">
        <v>6</v>
      </c>
      <c r="H175">
        <v>107.94</v>
      </c>
      <c r="I175">
        <v>54.84</v>
      </c>
      <c r="J175">
        <v>53.099999999999994</v>
      </c>
      <c r="K175">
        <v>49.193996664813781</v>
      </c>
      <c r="L175">
        <v>46189</v>
      </c>
      <c r="M175" s="71" t="s">
        <v>310</v>
      </c>
      <c r="N175">
        <v>31.286956521739128</v>
      </c>
      <c r="O175">
        <v>2</v>
      </c>
    </row>
    <row r="176" spans="1:15" x14ac:dyDescent="0.35">
      <c r="A176" s="71" t="s">
        <v>14</v>
      </c>
      <c r="B176">
        <v>102</v>
      </c>
      <c r="C176">
        <v>32855</v>
      </c>
      <c r="D176" s="71" t="s">
        <v>110</v>
      </c>
      <c r="E176">
        <v>17.989999999999998</v>
      </c>
      <c r="F176">
        <v>9.14</v>
      </c>
      <c r="G176">
        <v>6</v>
      </c>
      <c r="H176">
        <v>107.94</v>
      </c>
      <c r="I176">
        <v>54.84</v>
      </c>
      <c r="J176">
        <v>53.099999999999994</v>
      </c>
      <c r="K176">
        <v>49.193996664813781</v>
      </c>
      <c r="L176">
        <v>46190</v>
      </c>
      <c r="M176" s="71" t="s">
        <v>316</v>
      </c>
      <c r="N176">
        <v>46.930434782608693</v>
      </c>
      <c r="O176">
        <v>3</v>
      </c>
    </row>
    <row r="177" spans="1:15" x14ac:dyDescent="0.35">
      <c r="A177" s="71" t="s">
        <v>14</v>
      </c>
      <c r="B177">
        <v>102</v>
      </c>
      <c r="C177">
        <v>32855</v>
      </c>
      <c r="D177" s="71" t="s">
        <v>110</v>
      </c>
      <c r="E177">
        <v>17.989999999999998</v>
      </c>
      <c r="F177">
        <v>9.14</v>
      </c>
      <c r="G177">
        <v>6</v>
      </c>
      <c r="H177">
        <v>107.94</v>
      </c>
      <c r="I177">
        <v>54.84</v>
      </c>
      <c r="J177">
        <v>53.099999999999994</v>
      </c>
      <c r="K177">
        <v>49.193996664813781</v>
      </c>
      <c r="L177">
        <v>46191</v>
      </c>
      <c r="M177" s="71" t="s">
        <v>960</v>
      </c>
      <c r="N177">
        <v>15.643478260869564</v>
      </c>
      <c r="O177">
        <v>1</v>
      </c>
    </row>
    <row r="178" spans="1:15" x14ac:dyDescent="0.35">
      <c r="A178" s="71" t="s">
        <v>19</v>
      </c>
      <c r="B178">
        <v>102</v>
      </c>
      <c r="C178">
        <v>34015</v>
      </c>
      <c r="D178" s="71" t="s">
        <v>106</v>
      </c>
      <c r="E178">
        <v>29.99</v>
      </c>
      <c r="F178">
        <v>3.1788888888888889</v>
      </c>
      <c r="G178">
        <v>6</v>
      </c>
      <c r="H178">
        <v>179.94</v>
      </c>
      <c r="I178">
        <v>19.073333333333341</v>
      </c>
      <c r="J178">
        <v>160.86666666666665</v>
      </c>
      <c r="K178">
        <v>89.400170427179418</v>
      </c>
      <c r="L178">
        <v>46188</v>
      </c>
      <c r="M178" s="71" t="s">
        <v>309</v>
      </c>
      <c r="N178">
        <v>78.234782608695653</v>
      </c>
      <c r="O178">
        <v>3</v>
      </c>
    </row>
    <row r="179" spans="1:15" x14ac:dyDescent="0.35">
      <c r="A179" s="71" t="s">
        <v>19</v>
      </c>
      <c r="B179">
        <v>102</v>
      </c>
      <c r="C179">
        <v>34015</v>
      </c>
      <c r="D179" s="71" t="s">
        <v>106</v>
      </c>
      <c r="E179">
        <v>29.99</v>
      </c>
      <c r="F179">
        <v>3.1788888888888889</v>
      </c>
      <c r="G179">
        <v>6</v>
      </c>
      <c r="H179">
        <v>179.94</v>
      </c>
      <c r="I179">
        <v>19.073333333333341</v>
      </c>
      <c r="J179">
        <v>160.86666666666665</v>
      </c>
      <c r="K179">
        <v>89.400170427179418</v>
      </c>
      <c r="L179">
        <v>46189</v>
      </c>
      <c r="M179" s="71" t="s">
        <v>310</v>
      </c>
      <c r="N179">
        <v>26.078260869565216</v>
      </c>
      <c r="O179">
        <v>1</v>
      </c>
    </row>
    <row r="180" spans="1:15" x14ac:dyDescent="0.35">
      <c r="A180" s="71" t="s">
        <v>19</v>
      </c>
      <c r="B180">
        <v>102</v>
      </c>
      <c r="C180">
        <v>34015</v>
      </c>
      <c r="D180" s="71" t="s">
        <v>106</v>
      </c>
      <c r="E180">
        <v>29.99</v>
      </c>
      <c r="F180">
        <v>3.1788888888888889</v>
      </c>
      <c r="G180">
        <v>6</v>
      </c>
      <c r="H180">
        <v>179.94</v>
      </c>
      <c r="I180">
        <v>19.073333333333341</v>
      </c>
      <c r="J180">
        <v>160.86666666666665</v>
      </c>
      <c r="K180">
        <v>89.400170427179418</v>
      </c>
      <c r="L180">
        <v>46190</v>
      </c>
      <c r="M180" s="71" t="s">
        <v>316</v>
      </c>
      <c r="N180">
        <v>208.62608695652173</v>
      </c>
      <c r="O180">
        <v>8</v>
      </c>
    </row>
    <row r="181" spans="1:15" x14ac:dyDescent="0.35">
      <c r="A181" s="71" t="s">
        <v>19</v>
      </c>
      <c r="B181">
        <v>102</v>
      </c>
      <c r="C181">
        <v>34015</v>
      </c>
      <c r="D181" s="71" t="s">
        <v>106</v>
      </c>
      <c r="E181">
        <v>29.99</v>
      </c>
      <c r="F181">
        <v>3.1788888888888889</v>
      </c>
      <c r="G181">
        <v>6</v>
      </c>
      <c r="H181">
        <v>179.94</v>
      </c>
      <c r="I181">
        <v>19.073333333333341</v>
      </c>
      <c r="J181">
        <v>160.86666666666665</v>
      </c>
      <c r="K181">
        <v>89.400170427179418</v>
      </c>
      <c r="L181">
        <v>46191</v>
      </c>
      <c r="M181" s="71" t="s">
        <v>960</v>
      </c>
      <c r="N181">
        <v>156.46956521739131</v>
      </c>
      <c r="O181">
        <v>6</v>
      </c>
    </row>
    <row r="182" spans="1:15" x14ac:dyDescent="0.35">
      <c r="A182" s="71" t="s">
        <v>14</v>
      </c>
      <c r="B182">
        <v>102</v>
      </c>
      <c r="C182">
        <v>39422</v>
      </c>
      <c r="D182" s="71" t="s">
        <v>120</v>
      </c>
      <c r="E182">
        <v>15.99</v>
      </c>
      <c r="F182">
        <v>8.3000000000000007</v>
      </c>
      <c r="G182">
        <v>6</v>
      </c>
      <c r="H182">
        <v>95.94</v>
      </c>
      <c r="I182">
        <v>49.800000000000004</v>
      </c>
      <c r="J182">
        <v>46.139999999999993</v>
      </c>
      <c r="K182">
        <v>48.092557848655403</v>
      </c>
      <c r="L182">
        <v>46188</v>
      </c>
      <c r="M182" s="71" t="s">
        <v>309</v>
      </c>
      <c r="N182">
        <v>13.904347826086957</v>
      </c>
      <c r="O182">
        <v>1</v>
      </c>
    </row>
    <row r="183" spans="1:15" x14ac:dyDescent="0.35">
      <c r="A183" s="71" t="s">
        <v>14</v>
      </c>
      <c r="B183">
        <v>102</v>
      </c>
      <c r="C183">
        <v>39422</v>
      </c>
      <c r="D183" s="71" t="s">
        <v>120</v>
      </c>
      <c r="E183">
        <v>15.99</v>
      </c>
      <c r="F183">
        <v>8.3000000000000007</v>
      </c>
      <c r="G183">
        <v>6</v>
      </c>
      <c r="H183">
        <v>95.94</v>
      </c>
      <c r="I183">
        <v>49.800000000000004</v>
      </c>
      <c r="J183">
        <v>46.139999999999993</v>
      </c>
      <c r="K183">
        <v>48.092557848655403</v>
      </c>
      <c r="L183">
        <v>46189</v>
      </c>
      <c r="M183" s="71" t="s">
        <v>310</v>
      </c>
      <c r="N183">
        <v>13.904347826086957</v>
      </c>
      <c r="O183">
        <v>1</v>
      </c>
    </row>
    <row r="184" spans="1:15" x14ac:dyDescent="0.35">
      <c r="A184" s="71" t="s">
        <v>14</v>
      </c>
      <c r="B184">
        <v>102</v>
      </c>
      <c r="C184">
        <v>55481</v>
      </c>
      <c r="D184" s="71" t="s">
        <v>105</v>
      </c>
      <c r="E184">
        <v>11.99</v>
      </c>
      <c r="F184">
        <v>5.0999999999999996</v>
      </c>
      <c r="G184">
        <v>6</v>
      </c>
      <c r="H184">
        <v>71.94</v>
      </c>
      <c r="I184">
        <v>30.599999999999998</v>
      </c>
      <c r="J184">
        <v>41.34</v>
      </c>
      <c r="K184">
        <v>57.46455379482903</v>
      </c>
      <c r="L184">
        <v>46188</v>
      </c>
      <c r="M184" s="71" t="s">
        <v>309</v>
      </c>
      <c r="N184">
        <v>83.408695652173918</v>
      </c>
      <c r="O184">
        <v>8</v>
      </c>
    </row>
    <row r="185" spans="1:15" x14ac:dyDescent="0.35">
      <c r="A185" s="71" t="s">
        <v>14</v>
      </c>
      <c r="B185">
        <v>102</v>
      </c>
      <c r="C185">
        <v>55481</v>
      </c>
      <c r="D185" s="71" t="s">
        <v>105</v>
      </c>
      <c r="E185">
        <v>11.99</v>
      </c>
      <c r="F185">
        <v>5.0999999999999996</v>
      </c>
      <c r="G185">
        <v>6</v>
      </c>
      <c r="H185">
        <v>71.94</v>
      </c>
      <c r="I185">
        <v>30.599999999999998</v>
      </c>
      <c r="J185">
        <v>41.34</v>
      </c>
      <c r="K185">
        <v>57.46455379482903</v>
      </c>
      <c r="L185">
        <v>46189</v>
      </c>
      <c r="M185" s="71" t="s">
        <v>310</v>
      </c>
      <c r="N185">
        <v>52.130434782608695</v>
      </c>
      <c r="O185">
        <v>5</v>
      </c>
    </row>
    <row r="186" spans="1:15" x14ac:dyDescent="0.35">
      <c r="A186" s="71" t="s">
        <v>14</v>
      </c>
      <c r="B186">
        <v>102</v>
      </c>
      <c r="C186">
        <v>55481</v>
      </c>
      <c r="D186" s="71" t="s">
        <v>105</v>
      </c>
      <c r="E186">
        <v>11.99</v>
      </c>
      <c r="F186">
        <v>5.0999999999999996</v>
      </c>
      <c r="G186">
        <v>6</v>
      </c>
      <c r="H186">
        <v>71.94</v>
      </c>
      <c r="I186">
        <v>30.599999999999998</v>
      </c>
      <c r="J186">
        <v>41.34</v>
      </c>
      <c r="K186">
        <v>57.46455379482903</v>
      </c>
      <c r="L186">
        <v>46190</v>
      </c>
      <c r="M186" s="71" t="s">
        <v>316</v>
      </c>
      <c r="N186">
        <v>10.42608695652174</v>
      </c>
      <c r="O186">
        <v>1</v>
      </c>
    </row>
    <row r="187" spans="1:15" x14ac:dyDescent="0.35">
      <c r="A187" s="71" t="s">
        <v>14</v>
      </c>
      <c r="B187">
        <v>102</v>
      </c>
      <c r="C187">
        <v>32066</v>
      </c>
      <c r="D187" s="71" t="s">
        <v>114</v>
      </c>
      <c r="E187">
        <v>10</v>
      </c>
      <c r="F187">
        <v>4.5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46190</v>
      </c>
      <c r="M187" s="71" t="s">
        <v>316</v>
      </c>
      <c r="N187">
        <v>52.173913043478258</v>
      </c>
      <c r="O187">
        <v>6</v>
      </c>
    </row>
    <row r="188" spans="1:15" x14ac:dyDescent="0.35">
      <c r="A188" s="71" t="s">
        <v>14</v>
      </c>
      <c r="B188">
        <v>102</v>
      </c>
      <c r="C188">
        <v>32128</v>
      </c>
      <c r="D188" s="71" t="s">
        <v>96</v>
      </c>
      <c r="E188">
        <v>18.989999999999998</v>
      </c>
      <c r="F188">
        <v>11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46191</v>
      </c>
      <c r="M188" s="71" t="s">
        <v>960</v>
      </c>
      <c r="N188">
        <v>181.64347826086956</v>
      </c>
      <c r="O188">
        <v>11</v>
      </c>
    </row>
    <row r="189" spans="1:15" x14ac:dyDescent="0.35">
      <c r="A189" s="71" t="s">
        <v>14</v>
      </c>
      <c r="B189">
        <v>102</v>
      </c>
      <c r="C189">
        <v>32149</v>
      </c>
      <c r="D189" s="71" t="s">
        <v>118</v>
      </c>
      <c r="E189">
        <v>24.99</v>
      </c>
      <c r="F189">
        <v>13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46191</v>
      </c>
      <c r="M189" s="71" t="s">
        <v>960</v>
      </c>
      <c r="N189">
        <v>86.921739130434773</v>
      </c>
      <c r="O189">
        <v>4</v>
      </c>
    </row>
    <row r="190" spans="1:15" x14ac:dyDescent="0.35">
      <c r="A190" s="71" t="s">
        <v>14</v>
      </c>
      <c r="B190">
        <v>102</v>
      </c>
      <c r="C190">
        <v>32153</v>
      </c>
      <c r="D190" s="71" t="s">
        <v>102</v>
      </c>
      <c r="E190">
        <v>8.99</v>
      </c>
      <c r="F190">
        <v>4.5599999999999996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46188</v>
      </c>
      <c r="M190" s="71" t="s">
        <v>309</v>
      </c>
      <c r="N190">
        <v>46.904347826086955</v>
      </c>
      <c r="O190">
        <v>6</v>
      </c>
    </row>
    <row r="191" spans="1:15" x14ac:dyDescent="0.35">
      <c r="A191" s="71" t="s">
        <v>14</v>
      </c>
      <c r="B191">
        <v>102</v>
      </c>
      <c r="C191">
        <v>32153</v>
      </c>
      <c r="D191" s="71" t="s">
        <v>102</v>
      </c>
      <c r="E191">
        <v>8.99</v>
      </c>
      <c r="F191">
        <v>4.5599999999999996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46189</v>
      </c>
      <c r="M191" s="71" t="s">
        <v>310</v>
      </c>
      <c r="N191">
        <v>62.539130434782606</v>
      </c>
      <c r="O191">
        <v>8</v>
      </c>
    </row>
    <row r="192" spans="1:15" x14ac:dyDescent="0.35">
      <c r="A192" s="71" t="s">
        <v>14</v>
      </c>
      <c r="B192">
        <v>102</v>
      </c>
      <c r="C192">
        <v>32153</v>
      </c>
      <c r="D192" s="71" t="s">
        <v>102</v>
      </c>
      <c r="E192">
        <v>8.99</v>
      </c>
      <c r="F192">
        <v>4.5599999999999996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46190</v>
      </c>
      <c r="M192" s="71" t="s">
        <v>316</v>
      </c>
      <c r="N192">
        <v>39.086956521739133</v>
      </c>
      <c r="O192">
        <v>5</v>
      </c>
    </row>
    <row r="193" spans="1:15" x14ac:dyDescent="0.35">
      <c r="A193" s="71" t="s">
        <v>14</v>
      </c>
      <c r="B193">
        <v>102</v>
      </c>
      <c r="C193">
        <v>32153</v>
      </c>
      <c r="D193" s="71" t="s">
        <v>102</v>
      </c>
      <c r="E193">
        <v>8.99</v>
      </c>
      <c r="F193">
        <v>4.5599999999999996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46191</v>
      </c>
      <c r="M193" s="71" t="s">
        <v>960</v>
      </c>
      <c r="N193">
        <v>109.44347826086957</v>
      </c>
      <c r="O193">
        <v>14</v>
      </c>
    </row>
    <row r="194" spans="1:15" x14ac:dyDescent="0.35">
      <c r="A194" s="71" t="s">
        <v>14</v>
      </c>
      <c r="B194">
        <v>102</v>
      </c>
      <c r="C194">
        <v>32857</v>
      </c>
      <c r="D194" s="71" t="s">
        <v>127</v>
      </c>
      <c r="E194">
        <v>130</v>
      </c>
      <c r="F194">
        <v>68.680000000000007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46188</v>
      </c>
      <c r="M194" s="71" t="s">
        <v>309</v>
      </c>
      <c r="N194">
        <v>113.04347826086956</v>
      </c>
      <c r="O194">
        <v>1</v>
      </c>
    </row>
    <row r="195" spans="1:15" x14ac:dyDescent="0.35">
      <c r="A195" s="71" t="s">
        <v>14</v>
      </c>
      <c r="B195">
        <v>102</v>
      </c>
      <c r="C195">
        <v>32857</v>
      </c>
      <c r="D195" s="71" t="s">
        <v>127</v>
      </c>
      <c r="E195">
        <v>130</v>
      </c>
      <c r="F195">
        <v>68.680000000000007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46190</v>
      </c>
      <c r="M195" s="71" t="s">
        <v>316</v>
      </c>
      <c r="N195">
        <v>113.04347826086956</v>
      </c>
      <c r="O195">
        <v>1</v>
      </c>
    </row>
    <row r="196" spans="1:15" x14ac:dyDescent="0.35">
      <c r="A196" s="71" t="s">
        <v>107</v>
      </c>
      <c r="B196">
        <v>102</v>
      </c>
      <c r="C196">
        <v>32863</v>
      </c>
      <c r="D196" s="71" t="s">
        <v>109</v>
      </c>
      <c r="E196">
        <v>17.989999999999998</v>
      </c>
      <c r="F196">
        <v>9.4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46188</v>
      </c>
      <c r="M196" s="71" t="s">
        <v>309</v>
      </c>
      <c r="N196">
        <v>78.217391304347828</v>
      </c>
      <c r="O196">
        <v>5</v>
      </c>
    </row>
    <row r="197" spans="1:15" x14ac:dyDescent="0.35">
      <c r="A197" s="71" t="s">
        <v>107</v>
      </c>
      <c r="B197">
        <v>102</v>
      </c>
      <c r="C197">
        <v>32863</v>
      </c>
      <c r="D197" s="71" t="s">
        <v>109</v>
      </c>
      <c r="E197">
        <v>17.989999999999998</v>
      </c>
      <c r="F197">
        <v>9.4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46189</v>
      </c>
      <c r="M197" s="71" t="s">
        <v>310</v>
      </c>
      <c r="N197">
        <v>62.573913043478257</v>
      </c>
      <c r="O197">
        <v>4</v>
      </c>
    </row>
    <row r="198" spans="1:15" x14ac:dyDescent="0.35">
      <c r="A198" s="71" t="s">
        <v>107</v>
      </c>
      <c r="B198">
        <v>102</v>
      </c>
      <c r="C198">
        <v>32863</v>
      </c>
      <c r="D198" s="71" t="s">
        <v>109</v>
      </c>
      <c r="E198">
        <v>17.989999999999998</v>
      </c>
      <c r="F198">
        <v>9.4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46190</v>
      </c>
      <c r="M198" s="71" t="s">
        <v>316</v>
      </c>
      <c r="N198">
        <v>15.643478260869564</v>
      </c>
      <c r="O198">
        <v>1</v>
      </c>
    </row>
    <row r="199" spans="1:15" x14ac:dyDescent="0.35">
      <c r="A199" s="71" t="s">
        <v>107</v>
      </c>
      <c r="B199">
        <v>102</v>
      </c>
      <c r="C199">
        <v>32863</v>
      </c>
      <c r="D199" s="71" t="s">
        <v>109</v>
      </c>
      <c r="E199">
        <v>17.989999999999998</v>
      </c>
      <c r="F199">
        <v>9.4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46191</v>
      </c>
      <c r="M199" s="71" t="s">
        <v>960</v>
      </c>
      <c r="N199">
        <v>93.860869565217385</v>
      </c>
      <c r="O199">
        <v>6</v>
      </c>
    </row>
    <row r="200" spans="1:15" x14ac:dyDescent="0.35">
      <c r="A200" s="71" t="s">
        <v>107</v>
      </c>
      <c r="B200">
        <v>102</v>
      </c>
      <c r="C200">
        <v>32864</v>
      </c>
      <c r="D200" s="71" t="s">
        <v>108</v>
      </c>
      <c r="E200">
        <v>9.99</v>
      </c>
      <c r="F200">
        <v>5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46189</v>
      </c>
      <c r="M200" s="71" t="s">
        <v>310</v>
      </c>
      <c r="N200">
        <v>34.747826086956522</v>
      </c>
      <c r="O200">
        <v>4</v>
      </c>
    </row>
    <row r="201" spans="1:15" x14ac:dyDescent="0.35">
      <c r="A201" s="71" t="s">
        <v>107</v>
      </c>
      <c r="B201">
        <v>102</v>
      </c>
      <c r="C201">
        <v>32864</v>
      </c>
      <c r="D201" s="71" t="s">
        <v>108</v>
      </c>
      <c r="E201">
        <v>9.99</v>
      </c>
      <c r="F201">
        <v>5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46190</v>
      </c>
      <c r="M201" s="71" t="s">
        <v>316</v>
      </c>
      <c r="N201">
        <v>43.434782608695656</v>
      </c>
      <c r="O201">
        <v>5</v>
      </c>
    </row>
    <row r="202" spans="1:15" x14ac:dyDescent="0.35">
      <c r="A202" s="71" t="s">
        <v>107</v>
      </c>
      <c r="B202">
        <v>102</v>
      </c>
      <c r="C202">
        <v>32864</v>
      </c>
      <c r="D202" s="71" t="s">
        <v>108</v>
      </c>
      <c r="E202">
        <v>9.99</v>
      </c>
      <c r="F202">
        <v>5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46191</v>
      </c>
      <c r="M202" s="71" t="s">
        <v>960</v>
      </c>
      <c r="N202">
        <v>17.373913043478261</v>
      </c>
      <c r="O202">
        <v>2</v>
      </c>
    </row>
    <row r="203" spans="1:15" x14ac:dyDescent="0.35">
      <c r="A203" s="71" t="s">
        <v>356</v>
      </c>
      <c r="B203">
        <v>102</v>
      </c>
      <c r="C203">
        <v>33011</v>
      </c>
      <c r="D203" s="71" t="s">
        <v>361</v>
      </c>
      <c r="E203">
        <v>3.99</v>
      </c>
      <c r="F203">
        <v>2.83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46188</v>
      </c>
      <c r="M203" s="71" t="s">
        <v>309</v>
      </c>
      <c r="N203">
        <v>41.634782608695652</v>
      </c>
      <c r="O203">
        <v>12</v>
      </c>
    </row>
    <row r="204" spans="1:15" x14ac:dyDescent="0.35">
      <c r="A204" s="71" t="s">
        <v>14</v>
      </c>
      <c r="B204">
        <v>102</v>
      </c>
      <c r="C204">
        <v>33013</v>
      </c>
      <c r="D204" s="71" t="s">
        <v>148</v>
      </c>
      <c r="E204">
        <v>5.99</v>
      </c>
      <c r="F204">
        <v>3.1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46189</v>
      </c>
      <c r="M204" s="71" t="s">
        <v>310</v>
      </c>
      <c r="N204">
        <v>15.626086956521739</v>
      </c>
      <c r="O204">
        <v>3</v>
      </c>
    </row>
    <row r="205" spans="1:15" x14ac:dyDescent="0.35">
      <c r="A205" s="71" t="s">
        <v>14</v>
      </c>
      <c r="B205">
        <v>102</v>
      </c>
      <c r="C205">
        <v>33019</v>
      </c>
      <c r="D205" s="71" t="s">
        <v>112</v>
      </c>
      <c r="E205">
        <v>14.99</v>
      </c>
      <c r="F205">
        <v>5.5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46189</v>
      </c>
      <c r="M205" s="71" t="s">
        <v>310</v>
      </c>
      <c r="N205">
        <v>26.069565217391304</v>
      </c>
      <c r="O205">
        <v>2</v>
      </c>
    </row>
    <row r="206" spans="1:15" x14ac:dyDescent="0.35">
      <c r="A206" s="71" t="s">
        <v>14</v>
      </c>
      <c r="B206">
        <v>102</v>
      </c>
      <c r="C206">
        <v>33019</v>
      </c>
      <c r="D206" s="71" t="s">
        <v>112</v>
      </c>
      <c r="E206">
        <v>14.99</v>
      </c>
      <c r="F206">
        <v>5.5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46190</v>
      </c>
      <c r="M206" s="71" t="s">
        <v>316</v>
      </c>
      <c r="N206">
        <v>13.034782608695652</v>
      </c>
      <c r="O206">
        <v>1</v>
      </c>
    </row>
    <row r="207" spans="1:15" x14ac:dyDescent="0.35">
      <c r="A207" s="71" t="s">
        <v>14</v>
      </c>
      <c r="B207">
        <v>102</v>
      </c>
      <c r="C207">
        <v>33019</v>
      </c>
      <c r="D207" s="71" t="s">
        <v>112</v>
      </c>
      <c r="E207">
        <v>14.99</v>
      </c>
      <c r="F207">
        <v>5.5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46191</v>
      </c>
      <c r="M207" s="71" t="s">
        <v>960</v>
      </c>
      <c r="N207">
        <v>104.27826086956522</v>
      </c>
      <c r="O207">
        <v>8</v>
      </c>
    </row>
    <row r="208" spans="1:15" x14ac:dyDescent="0.35">
      <c r="A208" s="71" t="s">
        <v>14</v>
      </c>
      <c r="B208">
        <v>102</v>
      </c>
      <c r="C208">
        <v>33023</v>
      </c>
      <c r="D208" s="71" t="s">
        <v>113</v>
      </c>
      <c r="E208">
        <v>19.989999999999998</v>
      </c>
      <c r="F208">
        <v>10.23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46191</v>
      </c>
      <c r="M208" s="71" t="s">
        <v>960</v>
      </c>
      <c r="N208">
        <v>17.382608695652173</v>
      </c>
      <c r="O208">
        <v>1</v>
      </c>
    </row>
    <row r="209" spans="1:15" x14ac:dyDescent="0.35">
      <c r="A209" s="71" t="s">
        <v>35</v>
      </c>
      <c r="B209">
        <v>102</v>
      </c>
      <c r="C209">
        <v>33032</v>
      </c>
      <c r="D209" s="71" t="s">
        <v>160</v>
      </c>
      <c r="E209">
        <v>28.99</v>
      </c>
      <c r="F209">
        <v>14.612666666666666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46190</v>
      </c>
      <c r="M209" s="71" t="s">
        <v>316</v>
      </c>
      <c r="N209">
        <v>25.208695652173912</v>
      </c>
      <c r="O209">
        <v>1</v>
      </c>
    </row>
    <row r="210" spans="1:15" x14ac:dyDescent="0.35">
      <c r="A210" s="71" t="s">
        <v>35</v>
      </c>
      <c r="B210">
        <v>102</v>
      </c>
      <c r="C210">
        <v>33032</v>
      </c>
      <c r="D210" s="71" t="s">
        <v>160</v>
      </c>
      <c r="E210">
        <v>28.99</v>
      </c>
      <c r="F210">
        <v>14.612666666666666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46191</v>
      </c>
      <c r="M210" s="71" t="s">
        <v>960</v>
      </c>
      <c r="N210">
        <v>75.626086956521732</v>
      </c>
      <c r="O210">
        <v>3</v>
      </c>
    </row>
    <row r="211" spans="1:15" x14ac:dyDescent="0.35">
      <c r="A211" s="71" t="s">
        <v>14</v>
      </c>
      <c r="B211">
        <v>102</v>
      </c>
      <c r="C211">
        <v>34102</v>
      </c>
      <c r="D211" s="71" t="s">
        <v>129</v>
      </c>
      <c r="E211">
        <v>9.99</v>
      </c>
      <c r="F211">
        <v>4.99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46189</v>
      </c>
      <c r="M211" s="71" t="s">
        <v>310</v>
      </c>
      <c r="N211">
        <v>43.434782608695656</v>
      </c>
      <c r="O211">
        <v>5</v>
      </c>
    </row>
    <row r="212" spans="1:15" x14ac:dyDescent="0.35">
      <c r="A212" s="71" t="s">
        <v>14</v>
      </c>
      <c r="B212">
        <v>102</v>
      </c>
      <c r="C212">
        <v>34102</v>
      </c>
      <c r="D212" s="71" t="s">
        <v>129</v>
      </c>
      <c r="E212">
        <v>9.99</v>
      </c>
      <c r="F212">
        <v>4.99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46190</v>
      </c>
      <c r="M212" s="71" t="s">
        <v>316</v>
      </c>
      <c r="N212">
        <v>26.060869565217391</v>
      </c>
      <c r="O212">
        <v>3</v>
      </c>
    </row>
    <row r="213" spans="1:15" x14ac:dyDescent="0.35">
      <c r="A213" s="71" t="s">
        <v>14</v>
      </c>
      <c r="B213">
        <v>102</v>
      </c>
      <c r="C213">
        <v>34122</v>
      </c>
      <c r="D213" s="71" t="s">
        <v>167</v>
      </c>
      <c r="E213">
        <v>25.99</v>
      </c>
      <c r="F213">
        <v>13.19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46190</v>
      </c>
      <c r="M213" s="71" t="s">
        <v>316</v>
      </c>
      <c r="N213">
        <v>21.469565217391306</v>
      </c>
      <c r="O213">
        <v>1</v>
      </c>
    </row>
    <row r="214" spans="1:15" x14ac:dyDescent="0.35">
      <c r="A214" s="71" t="s">
        <v>14</v>
      </c>
      <c r="B214">
        <v>102</v>
      </c>
      <c r="C214">
        <v>38977</v>
      </c>
      <c r="D214" s="71" t="s">
        <v>95</v>
      </c>
      <c r="E214">
        <v>18.989999999999998</v>
      </c>
      <c r="F214">
        <v>9.6999999999999993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46188</v>
      </c>
      <c r="M214" s="71" t="s">
        <v>309</v>
      </c>
      <c r="N214">
        <v>132.10434782608695</v>
      </c>
      <c r="O214">
        <v>8</v>
      </c>
    </row>
    <row r="215" spans="1:15" x14ac:dyDescent="0.35">
      <c r="A215" s="71" t="s">
        <v>14</v>
      </c>
      <c r="B215">
        <v>102</v>
      </c>
      <c r="C215">
        <v>38977</v>
      </c>
      <c r="D215" s="71" t="s">
        <v>95</v>
      </c>
      <c r="E215">
        <v>18.989999999999998</v>
      </c>
      <c r="F215">
        <v>9.6999999999999993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46189</v>
      </c>
      <c r="M215" s="71" t="s">
        <v>310</v>
      </c>
      <c r="N215">
        <v>132.10434782608695</v>
      </c>
      <c r="O215">
        <v>8</v>
      </c>
    </row>
    <row r="216" spans="1:15" x14ac:dyDescent="0.35">
      <c r="A216" s="71" t="s">
        <v>14</v>
      </c>
      <c r="B216">
        <v>102</v>
      </c>
      <c r="C216">
        <v>38977</v>
      </c>
      <c r="D216" s="71" t="s">
        <v>95</v>
      </c>
      <c r="E216">
        <v>18.989999999999998</v>
      </c>
      <c r="F216">
        <v>9.6999999999999993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46190</v>
      </c>
      <c r="M216" s="71" t="s">
        <v>316</v>
      </c>
      <c r="N216">
        <v>132.10434782608695</v>
      </c>
      <c r="O216">
        <v>8</v>
      </c>
    </row>
    <row r="217" spans="1:15" x14ac:dyDescent="0.35">
      <c r="A217" s="71" t="s">
        <v>14</v>
      </c>
      <c r="B217">
        <v>102</v>
      </c>
      <c r="C217">
        <v>38977</v>
      </c>
      <c r="D217" s="71" t="s">
        <v>95</v>
      </c>
      <c r="E217">
        <v>18.989999999999998</v>
      </c>
      <c r="F217">
        <v>9.6999999999999993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46191</v>
      </c>
      <c r="M217" s="71" t="s">
        <v>960</v>
      </c>
      <c r="N217">
        <v>115.5913043478261</v>
      </c>
      <c r="O217">
        <v>7</v>
      </c>
    </row>
    <row r="218" spans="1:15" x14ac:dyDescent="0.35">
      <c r="A218" s="71" t="s">
        <v>35</v>
      </c>
      <c r="B218">
        <v>102</v>
      </c>
      <c r="C218">
        <v>48620</v>
      </c>
      <c r="D218" s="71" t="s">
        <v>153</v>
      </c>
      <c r="E218">
        <v>37.99</v>
      </c>
      <c r="F218">
        <v>19.462499999999999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46189</v>
      </c>
      <c r="M218" s="71" t="s">
        <v>310</v>
      </c>
      <c r="N218">
        <v>33.03478260869565</v>
      </c>
      <c r="O218">
        <v>1</v>
      </c>
    </row>
    <row r="219" spans="1:15" x14ac:dyDescent="0.35">
      <c r="A219" s="71" t="s">
        <v>35</v>
      </c>
      <c r="B219">
        <v>102</v>
      </c>
      <c r="C219">
        <v>48620</v>
      </c>
      <c r="D219" s="71" t="s">
        <v>153</v>
      </c>
      <c r="E219">
        <v>37.99</v>
      </c>
      <c r="F219">
        <v>19.462499999999999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46190</v>
      </c>
      <c r="M219" s="71" t="s">
        <v>316</v>
      </c>
      <c r="N219">
        <v>66.0695652173913</v>
      </c>
      <c r="O219">
        <v>2</v>
      </c>
    </row>
    <row r="220" spans="1:15" x14ac:dyDescent="0.35">
      <c r="A220" s="71" t="s">
        <v>107</v>
      </c>
      <c r="B220">
        <v>102</v>
      </c>
      <c r="C220">
        <v>55095</v>
      </c>
      <c r="D220" s="71" t="s">
        <v>116</v>
      </c>
      <c r="E220">
        <v>5</v>
      </c>
      <c r="F220">
        <v>1.38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46189</v>
      </c>
      <c r="M220" s="71" t="s">
        <v>310</v>
      </c>
      <c r="N220">
        <v>30.434782608695652</v>
      </c>
      <c r="O220">
        <v>7</v>
      </c>
    </row>
    <row r="221" spans="1:15" x14ac:dyDescent="0.35">
      <c r="A221" s="71" t="s">
        <v>107</v>
      </c>
      <c r="B221">
        <v>102</v>
      </c>
      <c r="C221">
        <v>55095</v>
      </c>
      <c r="D221" s="71" t="s">
        <v>116</v>
      </c>
      <c r="E221">
        <v>5</v>
      </c>
      <c r="F221">
        <v>1.38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46190</v>
      </c>
      <c r="M221" s="71" t="s">
        <v>316</v>
      </c>
      <c r="N221">
        <v>99.565217391304344</v>
      </c>
      <c r="O221">
        <v>23</v>
      </c>
    </row>
    <row r="222" spans="1:15" x14ac:dyDescent="0.35">
      <c r="A222" s="71" t="s">
        <v>107</v>
      </c>
      <c r="B222">
        <v>102</v>
      </c>
      <c r="C222">
        <v>55095</v>
      </c>
      <c r="D222" s="71" t="s">
        <v>116</v>
      </c>
      <c r="E222">
        <v>5</v>
      </c>
      <c r="F222">
        <v>1.38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46191</v>
      </c>
      <c r="M222" s="71" t="s">
        <v>960</v>
      </c>
      <c r="N222">
        <v>17.391304347826086</v>
      </c>
      <c r="O222">
        <v>4</v>
      </c>
    </row>
    <row r="223" spans="1:15" x14ac:dyDescent="0.35">
      <c r="A223" s="71" t="s">
        <v>367</v>
      </c>
      <c r="B223">
        <v>102</v>
      </c>
      <c r="C223">
        <v>56175</v>
      </c>
      <c r="D223" s="71" t="s">
        <v>396</v>
      </c>
      <c r="E223">
        <v>15.99</v>
      </c>
      <c r="F223">
        <v>8.11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46188</v>
      </c>
      <c r="M223" s="71" t="s">
        <v>309</v>
      </c>
      <c r="N223">
        <v>27.808695652173913</v>
      </c>
      <c r="O223">
        <v>2</v>
      </c>
    </row>
    <row r="224" spans="1:15" x14ac:dyDescent="0.35">
      <c r="A224" s="71" t="s">
        <v>367</v>
      </c>
      <c r="B224">
        <v>102</v>
      </c>
      <c r="C224">
        <v>56267</v>
      </c>
      <c r="D224" s="71" t="s">
        <v>399</v>
      </c>
      <c r="E224">
        <v>15.99</v>
      </c>
      <c r="F224">
        <v>8.11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46189</v>
      </c>
      <c r="M224" s="71" t="s">
        <v>310</v>
      </c>
      <c r="N224">
        <v>13.904347826086957</v>
      </c>
      <c r="O224">
        <v>1</v>
      </c>
    </row>
    <row r="225" spans="1:15" x14ac:dyDescent="0.35">
      <c r="A225" s="71" t="s">
        <v>367</v>
      </c>
      <c r="B225">
        <v>102</v>
      </c>
      <c r="C225">
        <v>56594</v>
      </c>
      <c r="D225" s="71" t="s">
        <v>400</v>
      </c>
      <c r="E225">
        <v>15.99</v>
      </c>
      <c r="F225">
        <v>8.11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46188</v>
      </c>
      <c r="M225" s="71" t="s">
        <v>309</v>
      </c>
      <c r="N225">
        <v>13.904347826086957</v>
      </c>
      <c r="O225">
        <v>1</v>
      </c>
    </row>
    <row r="226" spans="1:15" x14ac:dyDescent="0.35">
      <c r="A226" s="71" t="s">
        <v>367</v>
      </c>
      <c r="B226">
        <v>102</v>
      </c>
      <c r="C226">
        <v>56914</v>
      </c>
      <c r="D226" s="71" t="s">
        <v>403</v>
      </c>
      <c r="E226">
        <v>15.99</v>
      </c>
      <c r="F226">
        <v>8.11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46189</v>
      </c>
      <c r="M226" s="71" t="s">
        <v>310</v>
      </c>
      <c r="N226">
        <v>13.904347826086957</v>
      </c>
      <c r="O226">
        <v>1</v>
      </c>
    </row>
    <row r="227" spans="1:15" x14ac:dyDescent="0.35">
      <c r="A227" s="71" t="s">
        <v>107</v>
      </c>
      <c r="B227">
        <v>102</v>
      </c>
      <c r="C227">
        <v>58147</v>
      </c>
      <c r="D227" s="71" t="s">
        <v>146</v>
      </c>
      <c r="E227">
        <v>16.989999999999998</v>
      </c>
      <c r="F227">
        <v>7.99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46188</v>
      </c>
      <c r="M227" s="71" t="s">
        <v>309</v>
      </c>
      <c r="N227">
        <v>14.77391304347826</v>
      </c>
      <c r="O227">
        <v>1</v>
      </c>
    </row>
    <row r="228" spans="1:15" x14ac:dyDescent="0.35">
      <c r="A228" s="71" t="s">
        <v>14</v>
      </c>
      <c r="B228">
        <v>102</v>
      </c>
      <c r="C228">
        <v>59477</v>
      </c>
      <c r="D228" s="71" t="s">
        <v>159</v>
      </c>
      <c r="E228">
        <v>5.99</v>
      </c>
      <c r="F228">
        <v>3.1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46189</v>
      </c>
      <c r="M228" s="71" t="s">
        <v>310</v>
      </c>
      <c r="N228">
        <v>10.417391304347827</v>
      </c>
      <c r="O228">
        <v>2</v>
      </c>
    </row>
    <row r="229" spans="1:15" x14ac:dyDescent="0.35">
      <c r="A229" s="71" t="s">
        <v>14</v>
      </c>
      <c r="B229">
        <v>102</v>
      </c>
      <c r="C229">
        <v>59477</v>
      </c>
      <c r="D229" s="71" t="s">
        <v>159</v>
      </c>
      <c r="E229">
        <v>5.99</v>
      </c>
      <c r="F229">
        <v>3.1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46190</v>
      </c>
      <c r="M229" s="71" t="s">
        <v>316</v>
      </c>
      <c r="N229">
        <v>20.834782608695654</v>
      </c>
      <c r="O229">
        <v>4</v>
      </c>
    </row>
    <row r="230" spans="1:15" x14ac:dyDescent="0.35">
      <c r="A230" s="71" t="s">
        <v>14</v>
      </c>
      <c r="B230">
        <v>102</v>
      </c>
      <c r="C230">
        <v>59477</v>
      </c>
      <c r="D230" s="71" t="s">
        <v>159</v>
      </c>
      <c r="E230">
        <v>5.99</v>
      </c>
      <c r="F230">
        <v>3.1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46191</v>
      </c>
      <c r="M230" s="71" t="s">
        <v>960</v>
      </c>
      <c r="N230">
        <v>15.626086956521739</v>
      </c>
      <c r="O230">
        <v>3</v>
      </c>
    </row>
    <row r="231" spans="1:15" x14ac:dyDescent="0.35">
      <c r="A231" s="71" t="s">
        <v>14</v>
      </c>
      <c r="B231">
        <v>102</v>
      </c>
      <c r="C231">
        <v>61942</v>
      </c>
      <c r="D231" s="71" t="s">
        <v>123</v>
      </c>
      <c r="E231">
        <v>10</v>
      </c>
      <c r="F231">
        <v>3.73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46191</v>
      </c>
      <c r="M231" s="71" t="s">
        <v>960</v>
      </c>
      <c r="N231">
        <v>8.695652173913043</v>
      </c>
      <c r="O231">
        <v>1</v>
      </c>
    </row>
    <row r="232" spans="1:15" x14ac:dyDescent="0.35">
      <c r="A232" s="71" t="s">
        <v>359</v>
      </c>
      <c r="B232">
        <v>103</v>
      </c>
      <c r="C232">
        <v>32056</v>
      </c>
      <c r="D232" s="71" t="s">
        <v>673</v>
      </c>
      <c r="E232">
        <v>359</v>
      </c>
      <c r="F232">
        <v>191.73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46190</v>
      </c>
      <c r="M232" s="71" t="s">
        <v>316</v>
      </c>
      <c r="N232">
        <v>9.3652173913043484</v>
      </c>
      <c r="O232">
        <v>0</v>
      </c>
    </row>
    <row r="233" spans="1:15" x14ac:dyDescent="0.35">
      <c r="A233" s="71" t="s">
        <v>359</v>
      </c>
      <c r="B233">
        <v>103</v>
      </c>
      <c r="C233">
        <v>32056</v>
      </c>
      <c r="D233" s="71" t="s">
        <v>673</v>
      </c>
      <c r="E233">
        <v>359</v>
      </c>
      <c r="F233">
        <v>191.73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46191</v>
      </c>
      <c r="M233" s="71" t="s">
        <v>960</v>
      </c>
      <c r="N233">
        <v>6.2434782608695647</v>
      </c>
      <c r="O233">
        <v>0</v>
      </c>
    </row>
    <row r="234" spans="1:15" x14ac:dyDescent="0.35">
      <c r="A234" s="71" t="s">
        <v>413</v>
      </c>
      <c r="B234">
        <v>103</v>
      </c>
      <c r="C234">
        <v>34142</v>
      </c>
      <c r="D234" s="71" t="s">
        <v>208</v>
      </c>
      <c r="E234">
        <v>70.989999999999995</v>
      </c>
      <c r="F234">
        <v>36.56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46190</v>
      </c>
      <c r="M234" s="71" t="s">
        <v>316</v>
      </c>
      <c r="N234">
        <v>10</v>
      </c>
      <c r="O234">
        <v>0</v>
      </c>
    </row>
    <row r="235" spans="1:15" x14ac:dyDescent="0.35">
      <c r="A235" s="71" t="s">
        <v>413</v>
      </c>
      <c r="B235">
        <v>103</v>
      </c>
      <c r="C235">
        <v>34142</v>
      </c>
      <c r="D235" s="71" t="s">
        <v>208</v>
      </c>
      <c r="E235">
        <v>70.989999999999995</v>
      </c>
      <c r="F235">
        <v>36.56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46191</v>
      </c>
      <c r="M235" s="71" t="s">
        <v>960</v>
      </c>
      <c r="N235">
        <v>9.3826086956521735</v>
      </c>
      <c r="O235">
        <v>0</v>
      </c>
    </row>
    <row r="236" spans="1:15" x14ac:dyDescent="0.35">
      <c r="A236" s="71" t="s">
        <v>371</v>
      </c>
      <c r="B236">
        <v>103</v>
      </c>
      <c r="C236">
        <v>59233</v>
      </c>
      <c r="D236" s="71" t="s">
        <v>700</v>
      </c>
      <c r="E236">
        <v>14.99</v>
      </c>
      <c r="F236">
        <v>7.9799999999999995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46188</v>
      </c>
      <c r="M236" s="71" t="s">
        <v>309</v>
      </c>
      <c r="N236">
        <v>13.034782608695652</v>
      </c>
      <c r="O236">
        <v>1</v>
      </c>
    </row>
    <row r="237" spans="1:15" x14ac:dyDescent="0.35">
      <c r="A237" s="71" t="s">
        <v>371</v>
      </c>
      <c r="B237">
        <v>103</v>
      </c>
      <c r="C237">
        <v>59233</v>
      </c>
      <c r="D237" s="71" t="s">
        <v>700</v>
      </c>
      <c r="E237">
        <v>14.99</v>
      </c>
      <c r="F237">
        <v>7.9799999999999995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46189</v>
      </c>
      <c r="M237" s="71" t="s">
        <v>310</v>
      </c>
      <c r="N237">
        <v>26.069565217391304</v>
      </c>
      <c r="O237">
        <v>2</v>
      </c>
    </row>
    <row r="238" spans="1:15" x14ac:dyDescent="0.35">
      <c r="A238" s="71" t="s">
        <v>371</v>
      </c>
      <c r="B238">
        <v>103</v>
      </c>
      <c r="C238">
        <v>59233</v>
      </c>
      <c r="D238" s="71" t="s">
        <v>700</v>
      </c>
      <c r="E238">
        <v>14.99</v>
      </c>
      <c r="F238">
        <v>7.9799999999999995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46191</v>
      </c>
      <c r="M238" s="71" t="s">
        <v>960</v>
      </c>
      <c r="N238">
        <v>26.069565217391304</v>
      </c>
      <c r="O238">
        <v>2</v>
      </c>
    </row>
    <row r="239" spans="1:15" x14ac:dyDescent="0.35">
      <c r="A239" s="71" t="s">
        <v>371</v>
      </c>
      <c r="B239">
        <v>103</v>
      </c>
      <c r="C239">
        <v>60811</v>
      </c>
      <c r="D239" s="71" t="s">
        <v>873</v>
      </c>
      <c r="E239">
        <v>3</v>
      </c>
      <c r="F239">
        <v>1.59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46190</v>
      </c>
      <c r="M239" s="71" t="s">
        <v>316</v>
      </c>
      <c r="N239">
        <v>10.434782608695652</v>
      </c>
      <c r="O239">
        <v>4</v>
      </c>
    </row>
    <row r="240" spans="1:15" x14ac:dyDescent="0.35">
      <c r="A240" s="71" t="s">
        <v>371</v>
      </c>
      <c r="B240">
        <v>103</v>
      </c>
      <c r="C240">
        <v>60813</v>
      </c>
      <c r="D240" s="71" t="s">
        <v>874</v>
      </c>
      <c r="E240">
        <v>12.99</v>
      </c>
      <c r="F240">
        <v>6.8199999999999994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46188</v>
      </c>
      <c r="M240" s="71" t="s">
        <v>309</v>
      </c>
      <c r="N240">
        <v>79.069565217391315</v>
      </c>
      <c r="O240">
        <v>7</v>
      </c>
    </row>
    <row r="241" spans="1:15" x14ac:dyDescent="0.35">
      <c r="A241" s="71" t="s">
        <v>371</v>
      </c>
      <c r="B241">
        <v>103</v>
      </c>
      <c r="C241">
        <v>60813</v>
      </c>
      <c r="D241" s="71" t="s">
        <v>874</v>
      </c>
      <c r="E241">
        <v>12.99</v>
      </c>
      <c r="F241">
        <v>6.8199999999999994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46189</v>
      </c>
      <c r="M241" s="71" t="s">
        <v>310</v>
      </c>
      <c r="N241">
        <v>45.182608695652178</v>
      </c>
      <c r="O241">
        <v>4</v>
      </c>
    </row>
    <row r="242" spans="1:15" x14ac:dyDescent="0.35">
      <c r="A242" s="71" t="s">
        <v>371</v>
      </c>
      <c r="B242">
        <v>103</v>
      </c>
      <c r="C242">
        <v>60813</v>
      </c>
      <c r="D242" s="71" t="s">
        <v>874</v>
      </c>
      <c r="E242">
        <v>12.99</v>
      </c>
      <c r="F242">
        <v>6.8199999999999994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46190</v>
      </c>
      <c r="M242" s="71" t="s">
        <v>316</v>
      </c>
      <c r="N242">
        <v>33.88695652173913</v>
      </c>
      <c r="O242">
        <v>3</v>
      </c>
    </row>
    <row r="243" spans="1:15" x14ac:dyDescent="0.35">
      <c r="A243" s="71" t="s">
        <v>371</v>
      </c>
      <c r="B243">
        <v>103</v>
      </c>
      <c r="C243">
        <v>60813</v>
      </c>
      <c r="D243" s="71" t="s">
        <v>874</v>
      </c>
      <c r="E243">
        <v>12.99</v>
      </c>
      <c r="F243">
        <v>6.8199999999999994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46191</v>
      </c>
      <c r="M243" s="71" t="s">
        <v>960</v>
      </c>
      <c r="N243">
        <v>22.591304347826089</v>
      </c>
      <c r="O243">
        <v>2</v>
      </c>
    </row>
    <row r="244" spans="1:15" x14ac:dyDescent="0.35">
      <c r="A244" s="71" t="s">
        <v>14</v>
      </c>
      <c r="B244">
        <v>104</v>
      </c>
      <c r="C244">
        <v>34095</v>
      </c>
      <c r="D244" s="71" t="s">
        <v>235</v>
      </c>
      <c r="E244">
        <v>29.99</v>
      </c>
      <c r="F244">
        <v>12.52</v>
      </c>
      <c r="G244">
        <v>15</v>
      </c>
      <c r="H244">
        <v>449.84999999999997</v>
      </c>
      <c r="I244">
        <v>187.79999999999998</v>
      </c>
      <c r="J244">
        <v>262.04999999999995</v>
      </c>
      <c r="K244">
        <v>58.252750916972317</v>
      </c>
      <c r="L244">
        <v>46191</v>
      </c>
      <c r="M244" s="71" t="s">
        <v>960</v>
      </c>
      <c r="N244">
        <v>104.31304347826087</v>
      </c>
      <c r="O244">
        <v>4</v>
      </c>
    </row>
    <row r="245" spans="1:15" x14ac:dyDescent="0.35">
      <c r="A245" s="71" t="s">
        <v>14</v>
      </c>
      <c r="B245">
        <v>104</v>
      </c>
      <c r="C245">
        <v>34083</v>
      </c>
      <c r="D245" s="71" t="s">
        <v>233</v>
      </c>
      <c r="E245">
        <v>55</v>
      </c>
      <c r="F245">
        <v>25.97</v>
      </c>
      <c r="G245">
        <v>10</v>
      </c>
      <c r="H245">
        <v>550</v>
      </c>
      <c r="I245">
        <v>259.7</v>
      </c>
      <c r="J245">
        <v>290.3</v>
      </c>
      <c r="K245">
        <v>52.781818181818188</v>
      </c>
      <c r="L245">
        <v>46188</v>
      </c>
      <c r="M245" s="71" t="s">
        <v>309</v>
      </c>
      <c r="N245">
        <v>43.469565217391306</v>
      </c>
      <c r="O245">
        <v>1</v>
      </c>
    </row>
    <row r="246" spans="1:15" x14ac:dyDescent="0.35">
      <c r="A246" s="71" t="s">
        <v>14</v>
      </c>
      <c r="B246">
        <v>104</v>
      </c>
      <c r="C246">
        <v>34083</v>
      </c>
      <c r="D246" s="71" t="s">
        <v>233</v>
      </c>
      <c r="E246">
        <v>55</v>
      </c>
      <c r="F246">
        <v>25.97</v>
      </c>
      <c r="G246">
        <v>10</v>
      </c>
      <c r="H246">
        <v>550</v>
      </c>
      <c r="I246">
        <v>259.7</v>
      </c>
      <c r="J246">
        <v>290.3</v>
      </c>
      <c r="K246">
        <v>52.781818181818188</v>
      </c>
      <c r="L246">
        <v>46189</v>
      </c>
      <c r="M246" s="71" t="s">
        <v>310</v>
      </c>
      <c r="N246">
        <v>130.40869565217392</v>
      </c>
      <c r="O246">
        <v>3</v>
      </c>
    </row>
    <row r="247" spans="1:15" x14ac:dyDescent="0.35">
      <c r="A247" s="71" t="s">
        <v>14</v>
      </c>
      <c r="B247">
        <v>104</v>
      </c>
      <c r="C247">
        <v>34083</v>
      </c>
      <c r="D247" s="71" t="s">
        <v>233</v>
      </c>
      <c r="E247">
        <v>55</v>
      </c>
      <c r="F247">
        <v>25.97</v>
      </c>
      <c r="G247">
        <v>10</v>
      </c>
      <c r="H247">
        <v>550</v>
      </c>
      <c r="I247">
        <v>259.7</v>
      </c>
      <c r="J247">
        <v>290.3</v>
      </c>
      <c r="K247">
        <v>52.781818181818188</v>
      </c>
      <c r="L247">
        <v>46190</v>
      </c>
      <c r="M247" s="71" t="s">
        <v>316</v>
      </c>
      <c r="N247">
        <v>130.40869565217392</v>
      </c>
      <c r="O247">
        <v>3</v>
      </c>
    </row>
    <row r="248" spans="1:15" x14ac:dyDescent="0.35">
      <c r="A248" s="71" t="s">
        <v>14</v>
      </c>
      <c r="B248">
        <v>104</v>
      </c>
      <c r="C248">
        <v>34083</v>
      </c>
      <c r="D248" s="71" t="s">
        <v>233</v>
      </c>
      <c r="E248">
        <v>55</v>
      </c>
      <c r="F248">
        <v>25.97</v>
      </c>
      <c r="G248">
        <v>10</v>
      </c>
      <c r="H248">
        <v>550</v>
      </c>
      <c r="I248">
        <v>259.7</v>
      </c>
      <c r="J248">
        <v>290.3</v>
      </c>
      <c r="K248">
        <v>52.781818181818188</v>
      </c>
      <c r="L248">
        <v>46191</v>
      </c>
      <c r="M248" s="71" t="s">
        <v>960</v>
      </c>
      <c r="N248">
        <v>43.469565217391306</v>
      </c>
      <c r="O248">
        <v>1</v>
      </c>
    </row>
    <row r="249" spans="1:15" x14ac:dyDescent="0.35">
      <c r="A249" s="71" t="s">
        <v>14</v>
      </c>
      <c r="B249">
        <v>104</v>
      </c>
      <c r="C249">
        <v>34079</v>
      </c>
      <c r="D249" s="71" t="s">
        <v>236</v>
      </c>
      <c r="E249">
        <v>60</v>
      </c>
      <c r="F249">
        <v>29.14</v>
      </c>
      <c r="G249">
        <v>3</v>
      </c>
      <c r="H249">
        <v>180</v>
      </c>
      <c r="I249">
        <v>87.42</v>
      </c>
      <c r="J249">
        <v>92.58</v>
      </c>
      <c r="K249">
        <v>51.43333333333333</v>
      </c>
      <c r="L249">
        <v>46191</v>
      </c>
      <c r="M249" s="71" t="s">
        <v>960</v>
      </c>
      <c r="N249">
        <v>43.469565217391306</v>
      </c>
      <c r="O249">
        <v>1</v>
      </c>
    </row>
    <row r="250" spans="1:15" x14ac:dyDescent="0.35">
      <c r="A250" s="71" t="s">
        <v>14</v>
      </c>
      <c r="B250">
        <v>104</v>
      </c>
      <c r="C250">
        <v>34080</v>
      </c>
      <c r="D250" s="71" t="s">
        <v>234</v>
      </c>
      <c r="E250">
        <v>55</v>
      </c>
      <c r="F250">
        <v>24.25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46189</v>
      </c>
      <c r="M250" s="71" t="s">
        <v>310</v>
      </c>
      <c r="N250">
        <v>43.469565217391306</v>
      </c>
      <c r="O250">
        <v>1</v>
      </c>
    </row>
    <row r="251" spans="1:15" x14ac:dyDescent="0.35">
      <c r="A251" s="71" t="s">
        <v>14</v>
      </c>
      <c r="B251">
        <v>104</v>
      </c>
      <c r="C251">
        <v>34080</v>
      </c>
      <c r="D251" s="71" t="s">
        <v>234</v>
      </c>
      <c r="E251">
        <v>55</v>
      </c>
      <c r="F251">
        <v>24.25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46191</v>
      </c>
      <c r="M251" s="71" t="s">
        <v>960</v>
      </c>
      <c r="N251">
        <v>86.939130434782612</v>
      </c>
      <c r="O251">
        <v>2</v>
      </c>
    </row>
    <row r="252" spans="1:15" x14ac:dyDescent="0.35">
      <c r="A252" s="71" t="s">
        <v>14</v>
      </c>
      <c r="B252">
        <v>104</v>
      </c>
      <c r="C252">
        <v>34118</v>
      </c>
      <c r="D252" s="71" t="s">
        <v>231</v>
      </c>
      <c r="E252">
        <v>29.99</v>
      </c>
      <c r="F252">
        <v>7.38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46189</v>
      </c>
      <c r="M252" s="71" t="s">
        <v>310</v>
      </c>
      <c r="N252">
        <v>130.39130434782606</v>
      </c>
      <c r="O252">
        <v>5</v>
      </c>
    </row>
    <row r="253" spans="1:15" x14ac:dyDescent="0.35">
      <c r="A253" s="71" t="s">
        <v>14</v>
      </c>
      <c r="B253">
        <v>104</v>
      </c>
      <c r="C253">
        <v>34118</v>
      </c>
      <c r="D253" s="71" t="s">
        <v>231</v>
      </c>
      <c r="E253">
        <v>29.99</v>
      </c>
      <c r="F253">
        <v>7.38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46190</v>
      </c>
      <c r="M253" s="71" t="s">
        <v>316</v>
      </c>
      <c r="N253">
        <v>204.71304347826086</v>
      </c>
      <c r="O253">
        <v>8</v>
      </c>
    </row>
    <row r="254" spans="1:15" x14ac:dyDescent="0.35">
      <c r="A254" s="71" t="s">
        <v>14</v>
      </c>
      <c r="B254">
        <v>104</v>
      </c>
      <c r="C254">
        <v>43309</v>
      </c>
      <c r="D254" s="71" t="s">
        <v>238</v>
      </c>
      <c r="E254">
        <v>13.99</v>
      </c>
      <c r="F254">
        <v>6.67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46188</v>
      </c>
      <c r="M254" s="71" t="s">
        <v>309</v>
      </c>
      <c r="N254">
        <v>48.660869565217389</v>
      </c>
      <c r="O254">
        <v>4</v>
      </c>
    </row>
    <row r="255" spans="1:15" x14ac:dyDescent="0.35">
      <c r="A255" s="71" t="s">
        <v>14</v>
      </c>
      <c r="B255">
        <v>104</v>
      </c>
      <c r="C255">
        <v>43309</v>
      </c>
      <c r="D255" s="71" t="s">
        <v>238</v>
      </c>
      <c r="E255">
        <v>13.99</v>
      </c>
      <c r="F255">
        <v>6.67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46189</v>
      </c>
      <c r="M255" s="71" t="s">
        <v>310</v>
      </c>
      <c r="N255">
        <v>12.165217391304347</v>
      </c>
      <c r="O255">
        <v>1</v>
      </c>
    </row>
    <row r="256" spans="1:15" x14ac:dyDescent="0.35">
      <c r="A256" s="71" t="s">
        <v>14</v>
      </c>
      <c r="B256">
        <v>104</v>
      </c>
      <c r="C256">
        <v>43309</v>
      </c>
      <c r="D256" s="71" t="s">
        <v>238</v>
      </c>
      <c r="E256">
        <v>13.99</v>
      </c>
      <c r="F256">
        <v>6.67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46190</v>
      </c>
      <c r="M256" s="71" t="s">
        <v>316</v>
      </c>
      <c r="N256">
        <v>24.330434782608695</v>
      </c>
      <c r="O256">
        <v>2</v>
      </c>
    </row>
    <row r="257" spans="1:15" x14ac:dyDescent="0.35">
      <c r="A257" s="71" t="s">
        <v>14</v>
      </c>
      <c r="B257">
        <v>104</v>
      </c>
      <c r="C257">
        <v>43309</v>
      </c>
      <c r="D257" s="71" t="s">
        <v>238</v>
      </c>
      <c r="E257">
        <v>13.99</v>
      </c>
      <c r="F257">
        <v>6.67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46191</v>
      </c>
      <c r="M257" s="71" t="s">
        <v>960</v>
      </c>
      <c r="N257">
        <v>24.330434782608695</v>
      </c>
      <c r="O257">
        <v>2</v>
      </c>
    </row>
    <row r="258" spans="1:15" x14ac:dyDescent="0.35">
      <c r="A258" s="71" t="s">
        <v>804</v>
      </c>
      <c r="B258">
        <v>104</v>
      </c>
      <c r="C258">
        <v>66092</v>
      </c>
      <c r="D258" s="71" t="s">
        <v>931</v>
      </c>
      <c r="E258">
        <v>19.989999999999998</v>
      </c>
      <c r="F258">
        <v>12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46188</v>
      </c>
      <c r="M258" s="71" t="s">
        <v>309</v>
      </c>
      <c r="N258">
        <v>17.382608695652173</v>
      </c>
      <c r="O258">
        <v>1</v>
      </c>
    </row>
    <row r="259" spans="1:15" x14ac:dyDescent="0.35">
      <c r="A259" s="71" t="s">
        <v>804</v>
      </c>
      <c r="B259">
        <v>104</v>
      </c>
      <c r="C259">
        <v>66092</v>
      </c>
      <c r="D259" s="71" t="s">
        <v>931</v>
      </c>
      <c r="E259">
        <v>19.989999999999998</v>
      </c>
      <c r="F259">
        <v>12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46190</v>
      </c>
      <c r="M259" s="71" t="s">
        <v>316</v>
      </c>
      <c r="N259">
        <v>16.513043478260869</v>
      </c>
      <c r="O259">
        <v>1</v>
      </c>
    </row>
    <row r="260" spans="1:15" x14ac:dyDescent="0.35">
      <c r="A260" s="71" t="s">
        <v>804</v>
      </c>
      <c r="B260">
        <v>104</v>
      </c>
      <c r="C260">
        <v>66092</v>
      </c>
      <c r="D260" s="71" t="s">
        <v>931</v>
      </c>
      <c r="E260">
        <v>19.989999999999998</v>
      </c>
      <c r="F260">
        <v>12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46191</v>
      </c>
      <c r="M260" s="71" t="s">
        <v>960</v>
      </c>
      <c r="N260">
        <v>52.14782608695652</v>
      </c>
      <c r="O260">
        <v>3</v>
      </c>
    </row>
    <row r="261" spans="1:15" x14ac:dyDescent="0.35">
      <c r="A261" s="71" t="s">
        <v>804</v>
      </c>
      <c r="B261">
        <v>104</v>
      </c>
      <c r="C261">
        <v>66093</v>
      </c>
      <c r="D261" s="71" t="s">
        <v>932</v>
      </c>
      <c r="E261">
        <v>19.989999999999998</v>
      </c>
      <c r="F261">
        <v>13.25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46188</v>
      </c>
      <c r="M261" s="71" t="s">
        <v>309</v>
      </c>
      <c r="N261">
        <v>17.382608695652173</v>
      </c>
      <c r="O261">
        <v>1</v>
      </c>
    </row>
    <row r="262" spans="1:15" x14ac:dyDescent="0.35">
      <c r="A262" s="71" t="s">
        <v>804</v>
      </c>
      <c r="B262">
        <v>104</v>
      </c>
      <c r="C262">
        <v>66093</v>
      </c>
      <c r="D262" s="71" t="s">
        <v>932</v>
      </c>
      <c r="E262">
        <v>19.989999999999998</v>
      </c>
      <c r="F262">
        <v>13.25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46189</v>
      </c>
      <c r="M262" s="71" t="s">
        <v>310</v>
      </c>
      <c r="N262">
        <v>34.765217391304347</v>
      </c>
      <c r="O262">
        <v>2</v>
      </c>
    </row>
    <row r="263" spans="1:15" x14ac:dyDescent="0.35">
      <c r="A263" s="71" t="s">
        <v>804</v>
      </c>
      <c r="B263">
        <v>104</v>
      </c>
      <c r="C263">
        <v>66093</v>
      </c>
      <c r="D263" s="71" t="s">
        <v>932</v>
      </c>
      <c r="E263">
        <v>19.989999999999998</v>
      </c>
      <c r="F263">
        <v>13.25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46190</v>
      </c>
      <c r="M263" s="71" t="s">
        <v>316</v>
      </c>
      <c r="N263">
        <v>33.026086956521738</v>
      </c>
      <c r="O263">
        <v>2</v>
      </c>
    </row>
    <row r="264" spans="1:15" x14ac:dyDescent="0.35">
      <c r="A264" s="71" t="s">
        <v>804</v>
      </c>
      <c r="B264">
        <v>104</v>
      </c>
      <c r="C264">
        <v>66093</v>
      </c>
      <c r="D264" s="71" t="s">
        <v>932</v>
      </c>
      <c r="E264">
        <v>19.989999999999998</v>
      </c>
      <c r="F264">
        <v>13.25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46191</v>
      </c>
      <c r="M264" s="71" t="s">
        <v>960</v>
      </c>
      <c r="N264">
        <v>86.913043478260875</v>
      </c>
      <c r="O264">
        <v>5</v>
      </c>
    </row>
    <row r="265" spans="1:15" x14ac:dyDescent="0.35">
      <c r="A265" s="71" t="s">
        <v>317</v>
      </c>
      <c r="B265">
        <v>105</v>
      </c>
      <c r="C265">
        <v>14934</v>
      </c>
      <c r="D265" s="71" t="s">
        <v>507</v>
      </c>
      <c r="E265">
        <v>32.99</v>
      </c>
      <c r="F265">
        <v>22.271466666666669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46188</v>
      </c>
      <c r="M265" s="71" t="s">
        <v>309</v>
      </c>
      <c r="N265">
        <v>143.43478260869563</v>
      </c>
      <c r="O265">
        <v>5</v>
      </c>
    </row>
    <row r="266" spans="1:15" x14ac:dyDescent="0.35">
      <c r="A266" s="71" t="s">
        <v>317</v>
      </c>
      <c r="B266">
        <v>105</v>
      </c>
      <c r="C266">
        <v>14934</v>
      </c>
      <c r="D266" s="71" t="s">
        <v>507</v>
      </c>
      <c r="E266">
        <v>32.99</v>
      </c>
      <c r="F266">
        <v>22.271466666666669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46189</v>
      </c>
      <c r="M266" s="71" t="s">
        <v>310</v>
      </c>
      <c r="N266">
        <v>86.060869565217388</v>
      </c>
      <c r="O266">
        <v>3</v>
      </c>
    </row>
    <row r="267" spans="1:15" x14ac:dyDescent="0.35">
      <c r="A267" s="71" t="s">
        <v>317</v>
      </c>
      <c r="B267">
        <v>105</v>
      </c>
      <c r="C267">
        <v>14934</v>
      </c>
      <c r="D267" s="71" t="s">
        <v>507</v>
      </c>
      <c r="E267">
        <v>32.99</v>
      </c>
      <c r="F267">
        <v>22.271466666666669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46190</v>
      </c>
      <c r="M267" s="71" t="s">
        <v>316</v>
      </c>
      <c r="N267">
        <v>57.373913043478268</v>
      </c>
      <c r="O267">
        <v>2</v>
      </c>
    </row>
    <row r="268" spans="1:15" x14ac:dyDescent="0.35">
      <c r="A268" s="71" t="s">
        <v>317</v>
      </c>
      <c r="B268">
        <v>105</v>
      </c>
      <c r="C268">
        <v>14934</v>
      </c>
      <c r="D268" s="71" t="s">
        <v>507</v>
      </c>
      <c r="E268">
        <v>32.99</v>
      </c>
      <c r="F268">
        <v>22.271466666666669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46191</v>
      </c>
      <c r="M268" s="71" t="s">
        <v>960</v>
      </c>
      <c r="N268">
        <v>86.060869565217388</v>
      </c>
      <c r="O268">
        <v>3</v>
      </c>
    </row>
    <row r="269" spans="1:15" x14ac:dyDescent="0.35">
      <c r="A269" s="71" t="s">
        <v>317</v>
      </c>
      <c r="B269">
        <v>105</v>
      </c>
      <c r="C269">
        <v>14937</v>
      </c>
      <c r="D269" s="71" t="s">
        <v>509</v>
      </c>
      <c r="E269">
        <v>24.99</v>
      </c>
      <c r="F269">
        <v>15.529409999999999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46188</v>
      </c>
      <c r="M269" s="71" t="s">
        <v>309</v>
      </c>
      <c r="N269">
        <v>43.460869565217386</v>
      </c>
      <c r="O269">
        <v>2</v>
      </c>
    </row>
    <row r="270" spans="1:15" x14ac:dyDescent="0.35">
      <c r="A270" s="71" t="s">
        <v>317</v>
      </c>
      <c r="B270">
        <v>105</v>
      </c>
      <c r="C270">
        <v>14937</v>
      </c>
      <c r="D270" s="71" t="s">
        <v>509</v>
      </c>
      <c r="E270">
        <v>24.99</v>
      </c>
      <c r="F270">
        <v>15.529409999999999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46189</v>
      </c>
      <c r="M270" s="71" t="s">
        <v>310</v>
      </c>
      <c r="N270">
        <v>173.84347826086955</v>
      </c>
      <c r="O270">
        <v>8</v>
      </c>
    </row>
    <row r="271" spans="1:15" x14ac:dyDescent="0.35">
      <c r="A271" s="71" t="s">
        <v>317</v>
      </c>
      <c r="B271">
        <v>105</v>
      </c>
      <c r="C271">
        <v>14937</v>
      </c>
      <c r="D271" s="71" t="s">
        <v>509</v>
      </c>
      <c r="E271">
        <v>24.99</v>
      </c>
      <c r="F271">
        <v>15.529409999999999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46190</v>
      </c>
      <c r="M271" s="71" t="s">
        <v>316</v>
      </c>
      <c r="N271">
        <v>107.56521739130434</v>
      </c>
      <c r="O271">
        <v>5</v>
      </c>
    </row>
    <row r="272" spans="1:15" x14ac:dyDescent="0.35">
      <c r="A272" s="71" t="s">
        <v>317</v>
      </c>
      <c r="B272">
        <v>105</v>
      </c>
      <c r="C272">
        <v>14937</v>
      </c>
      <c r="D272" s="71" t="s">
        <v>509</v>
      </c>
      <c r="E272">
        <v>24.99</v>
      </c>
      <c r="F272">
        <v>15.529409999999999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46191</v>
      </c>
      <c r="M272" s="71" t="s">
        <v>960</v>
      </c>
      <c r="N272">
        <v>293.35652173913047</v>
      </c>
      <c r="O272">
        <v>14</v>
      </c>
    </row>
    <row r="273" spans="1:15" x14ac:dyDescent="0.35">
      <c r="A273" s="71" t="s">
        <v>317</v>
      </c>
      <c r="B273">
        <v>105</v>
      </c>
      <c r="C273">
        <v>14942</v>
      </c>
      <c r="D273" s="71" t="s">
        <v>512</v>
      </c>
      <c r="E273">
        <v>26.99</v>
      </c>
      <c r="F273">
        <v>17.327516666666668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46189</v>
      </c>
      <c r="M273" s="71" t="s">
        <v>310</v>
      </c>
      <c r="N273">
        <v>23.469565217391303</v>
      </c>
      <c r="O273">
        <v>1</v>
      </c>
    </row>
    <row r="274" spans="1:15" x14ac:dyDescent="0.35">
      <c r="A274" s="71" t="s">
        <v>317</v>
      </c>
      <c r="B274">
        <v>105</v>
      </c>
      <c r="C274">
        <v>14942</v>
      </c>
      <c r="D274" s="71" t="s">
        <v>512</v>
      </c>
      <c r="E274">
        <v>26.99</v>
      </c>
      <c r="F274">
        <v>17.327516666666668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46190</v>
      </c>
      <c r="M274" s="71" t="s">
        <v>316</v>
      </c>
      <c r="N274">
        <v>69.234782608695653</v>
      </c>
      <c r="O274">
        <v>3</v>
      </c>
    </row>
    <row r="275" spans="1:15" x14ac:dyDescent="0.35">
      <c r="A275" s="71" t="s">
        <v>317</v>
      </c>
      <c r="B275">
        <v>105</v>
      </c>
      <c r="C275">
        <v>14942</v>
      </c>
      <c r="D275" s="71" t="s">
        <v>512</v>
      </c>
      <c r="E275">
        <v>26.99</v>
      </c>
      <c r="F275">
        <v>17.327516666666668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46191</v>
      </c>
      <c r="M275" s="71" t="s">
        <v>960</v>
      </c>
      <c r="N275">
        <v>46.939130434782605</v>
      </c>
      <c r="O275">
        <v>2</v>
      </c>
    </row>
    <row r="276" spans="1:15" x14ac:dyDescent="0.35">
      <c r="A276" s="71" t="s">
        <v>317</v>
      </c>
      <c r="B276">
        <v>105</v>
      </c>
      <c r="C276">
        <v>14944</v>
      </c>
      <c r="D276" s="71" t="s">
        <v>513</v>
      </c>
      <c r="E276">
        <v>29.99</v>
      </c>
      <c r="F276">
        <v>18.186512499999999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46189</v>
      </c>
      <c r="M276" s="71" t="s">
        <v>310</v>
      </c>
      <c r="N276">
        <v>26.078260869565216</v>
      </c>
      <c r="O276">
        <v>1</v>
      </c>
    </row>
    <row r="277" spans="1:15" x14ac:dyDescent="0.35">
      <c r="A277" s="71" t="s">
        <v>317</v>
      </c>
      <c r="B277">
        <v>105</v>
      </c>
      <c r="C277">
        <v>14944</v>
      </c>
      <c r="D277" s="71" t="s">
        <v>513</v>
      </c>
      <c r="E277">
        <v>29.99</v>
      </c>
      <c r="F277">
        <v>18.186512499999999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46190</v>
      </c>
      <c r="M277" s="71" t="s">
        <v>316</v>
      </c>
      <c r="N277">
        <v>52.156521739130433</v>
      </c>
      <c r="O277">
        <v>2</v>
      </c>
    </row>
    <row r="278" spans="1:15" x14ac:dyDescent="0.35">
      <c r="A278" s="71" t="s">
        <v>317</v>
      </c>
      <c r="B278">
        <v>105</v>
      </c>
      <c r="C278">
        <v>14944</v>
      </c>
      <c r="D278" s="71" t="s">
        <v>513</v>
      </c>
      <c r="E278">
        <v>29.99</v>
      </c>
      <c r="F278">
        <v>18.186512499999999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46191</v>
      </c>
      <c r="M278" s="71" t="s">
        <v>960</v>
      </c>
      <c r="N278">
        <v>26.078260869565216</v>
      </c>
      <c r="O278">
        <v>1</v>
      </c>
    </row>
    <row r="279" spans="1:15" x14ac:dyDescent="0.35">
      <c r="A279" s="71" t="s">
        <v>317</v>
      </c>
      <c r="B279">
        <v>105</v>
      </c>
      <c r="C279">
        <v>14959</v>
      </c>
      <c r="D279" s="71" t="s">
        <v>520</v>
      </c>
      <c r="E279">
        <v>24.99</v>
      </c>
      <c r="F279">
        <v>15.246979999999999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46190</v>
      </c>
      <c r="M279" s="71" t="s">
        <v>316</v>
      </c>
      <c r="N279">
        <v>41.286956521739128</v>
      </c>
      <c r="O279">
        <v>2</v>
      </c>
    </row>
    <row r="280" spans="1:15" x14ac:dyDescent="0.35">
      <c r="A280" s="71" t="s">
        <v>317</v>
      </c>
      <c r="B280">
        <v>105</v>
      </c>
      <c r="C280">
        <v>14959</v>
      </c>
      <c r="D280" s="71" t="s">
        <v>520</v>
      </c>
      <c r="E280">
        <v>24.99</v>
      </c>
      <c r="F280">
        <v>15.246979999999999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46191</v>
      </c>
      <c r="M280" s="71" t="s">
        <v>960</v>
      </c>
      <c r="N280">
        <v>65.19130434782609</v>
      </c>
      <c r="O280">
        <v>3</v>
      </c>
    </row>
    <row r="281" spans="1:15" x14ac:dyDescent="0.35">
      <c r="A281" s="71" t="s">
        <v>317</v>
      </c>
      <c r="B281">
        <v>105</v>
      </c>
      <c r="C281">
        <v>14961</v>
      </c>
      <c r="D281" s="71" t="s">
        <v>522</v>
      </c>
      <c r="E281">
        <v>15.99</v>
      </c>
      <c r="F281">
        <v>9.5993916666666674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46189</v>
      </c>
      <c r="M281" s="71" t="s">
        <v>310</v>
      </c>
      <c r="N281">
        <v>13.904347826086957</v>
      </c>
      <c r="O281">
        <v>1</v>
      </c>
    </row>
    <row r="282" spans="1:15" x14ac:dyDescent="0.35">
      <c r="A282" s="71" t="s">
        <v>317</v>
      </c>
      <c r="B282">
        <v>105</v>
      </c>
      <c r="C282">
        <v>14961</v>
      </c>
      <c r="D282" s="71" t="s">
        <v>522</v>
      </c>
      <c r="E282">
        <v>15.99</v>
      </c>
      <c r="F282">
        <v>9.5993916666666674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46190</v>
      </c>
      <c r="M282" s="71" t="s">
        <v>316</v>
      </c>
      <c r="N282">
        <v>13.904347826086957</v>
      </c>
      <c r="O282">
        <v>1</v>
      </c>
    </row>
    <row r="283" spans="1:15" x14ac:dyDescent="0.35">
      <c r="A283" s="71" t="s">
        <v>317</v>
      </c>
      <c r="B283">
        <v>105</v>
      </c>
      <c r="C283">
        <v>14961</v>
      </c>
      <c r="D283" s="71" t="s">
        <v>522</v>
      </c>
      <c r="E283">
        <v>15.99</v>
      </c>
      <c r="F283">
        <v>9.5993916666666674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46191</v>
      </c>
      <c r="M283" s="71" t="s">
        <v>960</v>
      </c>
      <c r="N283">
        <v>13.904347826086957</v>
      </c>
      <c r="O283">
        <v>1</v>
      </c>
    </row>
    <row r="284" spans="1:15" x14ac:dyDescent="0.35">
      <c r="A284" s="71" t="s">
        <v>317</v>
      </c>
      <c r="B284">
        <v>105</v>
      </c>
      <c r="C284">
        <v>14965</v>
      </c>
      <c r="D284" s="71" t="s">
        <v>526</v>
      </c>
      <c r="E284">
        <v>21.99</v>
      </c>
      <c r="F284">
        <v>14.908975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46189</v>
      </c>
      <c r="M284" s="71" t="s">
        <v>310</v>
      </c>
      <c r="N284">
        <v>21.99</v>
      </c>
      <c r="O284">
        <v>1</v>
      </c>
    </row>
    <row r="285" spans="1:15" x14ac:dyDescent="0.35">
      <c r="A285" s="71" t="s">
        <v>317</v>
      </c>
      <c r="B285">
        <v>105</v>
      </c>
      <c r="C285">
        <v>14965</v>
      </c>
      <c r="D285" s="71" t="s">
        <v>526</v>
      </c>
      <c r="E285">
        <v>21.99</v>
      </c>
      <c r="F285">
        <v>14.908975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46190</v>
      </c>
      <c r="M285" s="71" t="s">
        <v>316</v>
      </c>
      <c r="N285">
        <v>21.99</v>
      </c>
      <c r="O285">
        <v>1</v>
      </c>
    </row>
    <row r="286" spans="1:15" x14ac:dyDescent="0.35">
      <c r="A286" s="71" t="s">
        <v>317</v>
      </c>
      <c r="B286">
        <v>105</v>
      </c>
      <c r="C286">
        <v>14967</v>
      </c>
      <c r="D286" s="71" t="s">
        <v>527</v>
      </c>
      <c r="E286">
        <v>22.99</v>
      </c>
      <c r="F286">
        <v>14.118466666666668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46189</v>
      </c>
      <c r="M286" s="71" t="s">
        <v>310</v>
      </c>
      <c r="N286">
        <v>99.956521739130437</v>
      </c>
      <c r="O286">
        <v>5</v>
      </c>
    </row>
    <row r="287" spans="1:15" x14ac:dyDescent="0.35">
      <c r="A287" s="71" t="s">
        <v>317</v>
      </c>
      <c r="B287">
        <v>105</v>
      </c>
      <c r="C287">
        <v>14967</v>
      </c>
      <c r="D287" s="71" t="s">
        <v>527</v>
      </c>
      <c r="E287">
        <v>22.99</v>
      </c>
      <c r="F287">
        <v>14.118466666666668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46190</v>
      </c>
      <c r="M287" s="71" t="s">
        <v>316</v>
      </c>
      <c r="N287">
        <v>39.982608695652175</v>
      </c>
      <c r="O287">
        <v>2</v>
      </c>
    </row>
    <row r="288" spans="1:15" x14ac:dyDescent="0.35">
      <c r="A288" s="71" t="s">
        <v>317</v>
      </c>
      <c r="B288">
        <v>105</v>
      </c>
      <c r="C288">
        <v>14971</v>
      </c>
      <c r="D288" s="71" t="s">
        <v>530</v>
      </c>
      <c r="E288">
        <v>13.99</v>
      </c>
      <c r="F288">
        <v>9.5773250000000001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46189</v>
      </c>
      <c r="M288" s="71" t="s">
        <v>310</v>
      </c>
      <c r="N288">
        <v>12.165217391304347</v>
      </c>
      <c r="O288">
        <v>1</v>
      </c>
    </row>
    <row r="289" spans="1:15" x14ac:dyDescent="0.35">
      <c r="A289" s="71" t="s">
        <v>317</v>
      </c>
      <c r="B289">
        <v>105</v>
      </c>
      <c r="C289">
        <v>16078</v>
      </c>
      <c r="D289" s="71" t="s">
        <v>611</v>
      </c>
      <c r="E289">
        <v>37.99</v>
      </c>
      <c r="F289">
        <v>23.413162499999999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46189</v>
      </c>
      <c r="M289" s="71" t="s">
        <v>310</v>
      </c>
      <c r="N289">
        <v>33.03478260869565</v>
      </c>
      <c r="O289">
        <v>1</v>
      </c>
    </row>
    <row r="290" spans="1:15" x14ac:dyDescent="0.35">
      <c r="A290" s="71" t="s">
        <v>317</v>
      </c>
      <c r="B290">
        <v>105</v>
      </c>
      <c r="C290">
        <v>16078</v>
      </c>
      <c r="D290" s="71" t="s">
        <v>611</v>
      </c>
      <c r="E290">
        <v>37.99</v>
      </c>
      <c r="F290">
        <v>23.413162499999999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46190</v>
      </c>
      <c r="M290" s="71" t="s">
        <v>316</v>
      </c>
      <c r="N290">
        <v>33.03478260869565</v>
      </c>
      <c r="O290">
        <v>1</v>
      </c>
    </row>
    <row r="291" spans="1:15" x14ac:dyDescent="0.35">
      <c r="A291" s="71" t="s">
        <v>632</v>
      </c>
      <c r="B291">
        <v>105</v>
      </c>
      <c r="C291">
        <v>24081</v>
      </c>
      <c r="D291" s="71" t="s">
        <v>633</v>
      </c>
      <c r="E291">
        <v>17.989999999999998</v>
      </c>
      <c r="F291">
        <v>14.44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46188</v>
      </c>
      <c r="M291" s="71" t="s">
        <v>309</v>
      </c>
      <c r="N291">
        <v>233.87</v>
      </c>
      <c r="O291">
        <v>13</v>
      </c>
    </row>
    <row r="292" spans="1:15" x14ac:dyDescent="0.35">
      <c r="A292" s="71" t="s">
        <v>632</v>
      </c>
      <c r="B292">
        <v>105</v>
      </c>
      <c r="C292">
        <v>24081</v>
      </c>
      <c r="D292" s="71" t="s">
        <v>633</v>
      </c>
      <c r="E292">
        <v>17.989999999999998</v>
      </c>
      <c r="F292">
        <v>14.44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46189</v>
      </c>
      <c r="M292" s="71" t="s">
        <v>310</v>
      </c>
      <c r="N292">
        <v>107.94</v>
      </c>
      <c r="O292">
        <v>6</v>
      </c>
    </row>
    <row r="293" spans="1:15" x14ac:dyDescent="0.35">
      <c r="A293" s="71" t="s">
        <v>632</v>
      </c>
      <c r="B293">
        <v>105</v>
      </c>
      <c r="C293">
        <v>24081</v>
      </c>
      <c r="D293" s="71" t="s">
        <v>633</v>
      </c>
      <c r="E293">
        <v>17.989999999999998</v>
      </c>
      <c r="F293">
        <v>14.44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46190</v>
      </c>
      <c r="M293" s="71" t="s">
        <v>316</v>
      </c>
      <c r="N293">
        <v>232.07</v>
      </c>
      <c r="O293">
        <v>13</v>
      </c>
    </row>
    <row r="294" spans="1:15" x14ac:dyDescent="0.35">
      <c r="A294" s="71" t="s">
        <v>632</v>
      </c>
      <c r="B294">
        <v>105</v>
      </c>
      <c r="C294">
        <v>24081</v>
      </c>
      <c r="D294" s="71" t="s">
        <v>633</v>
      </c>
      <c r="E294">
        <v>17.989999999999998</v>
      </c>
      <c r="F294">
        <v>14.44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46191</v>
      </c>
      <c r="M294" s="71" t="s">
        <v>960</v>
      </c>
      <c r="N294">
        <v>53.97</v>
      </c>
      <c r="O294">
        <v>3</v>
      </c>
    </row>
    <row r="295" spans="1:15" x14ac:dyDescent="0.35">
      <c r="A295" s="71" t="s">
        <v>632</v>
      </c>
      <c r="B295">
        <v>105</v>
      </c>
      <c r="C295">
        <v>24083</v>
      </c>
      <c r="D295" s="71" t="s">
        <v>634</v>
      </c>
      <c r="E295">
        <v>19.989999999999998</v>
      </c>
      <c r="F295">
        <v>14.77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46188</v>
      </c>
      <c r="M295" s="71" t="s">
        <v>309</v>
      </c>
      <c r="N295">
        <v>434.56521739130437</v>
      </c>
      <c r="O295">
        <v>25</v>
      </c>
    </row>
    <row r="296" spans="1:15" x14ac:dyDescent="0.35">
      <c r="A296" s="71" t="s">
        <v>632</v>
      </c>
      <c r="B296">
        <v>105</v>
      </c>
      <c r="C296">
        <v>24083</v>
      </c>
      <c r="D296" s="71" t="s">
        <v>634</v>
      </c>
      <c r="E296">
        <v>19.989999999999998</v>
      </c>
      <c r="F296">
        <v>14.77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46189</v>
      </c>
      <c r="M296" s="71" t="s">
        <v>310</v>
      </c>
      <c r="N296">
        <v>417.18260869565222</v>
      </c>
      <c r="O296">
        <v>24</v>
      </c>
    </row>
    <row r="297" spans="1:15" x14ac:dyDescent="0.35">
      <c r="A297" s="71" t="s">
        <v>632</v>
      </c>
      <c r="B297">
        <v>105</v>
      </c>
      <c r="C297">
        <v>24083</v>
      </c>
      <c r="D297" s="71" t="s">
        <v>634</v>
      </c>
      <c r="E297">
        <v>19.989999999999998</v>
      </c>
      <c r="F297">
        <v>14.77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46190</v>
      </c>
      <c r="M297" s="71" t="s">
        <v>316</v>
      </c>
      <c r="N297">
        <v>206.85217391304349</v>
      </c>
      <c r="O297">
        <v>12</v>
      </c>
    </row>
    <row r="298" spans="1:15" x14ac:dyDescent="0.35">
      <c r="A298" s="71" t="s">
        <v>632</v>
      </c>
      <c r="B298">
        <v>105</v>
      </c>
      <c r="C298">
        <v>24083</v>
      </c>
      <c r="D298" s="71" t="s">
        <v>634</v>
      </c>
      <c r="E298">
        <v>19.989999999999998</v>
      </c>
      <c r="F298">
        <v>14.77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46191</v>
      </c>
      <c r="M298" s="71" t="s">
        <v>960</v>
      </c>
      <c r="N298">
        <v>278.12173913043478</v>
      </c>
      <c r="O298">
        <v>16</v>
      </c>
    </row>
    <row r="299" spans="1:15" x14ac:dyDescent="0.35">
      <c r="A299" s="71" t="s">
        <v>635</v>
      </c>
      <c r="B299">
        <v>105</v>
      </c>
      <c r="C299">
        <v>24084</v>
      </c>
      <c r="D299" s="71" t="s">
        <v>636</v>
      </c>
      <c r="E299">
        <v>29.49</v>
      </c>
      <c r="F299">
        <v>23.65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46188</v>
      </c>
      <c r="M299" s="71" t="s">
        <v>309</v>
      </c>
      <c r="N299">
        <v>117.96</v>
      </c>
      <c r="O299">
        <v>4</v>
      </c>
    </row>
    <row r="300" spans="1:15" x14ac:dyDescent="0.35">
      <c r="A300" s="71" t="s">
        <v>635</v>
      </c>
      <c r="B300">
        <v>105</v>
      </c>
      <c r="C300">
        <v>24084</v>
      </c>
      <c r="D300" s="71" t="s">
        <v>636</v>
      </c>
      <c r="E300">
        <v>29.49</v>
      </c>
      <c r="F300">
        <v>23.65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46189</v>
      </c>
      <c r="M300" s="71" t="s">
        <v>310</v>
      </c>
      <c r="N300">
        <v>235.92</v>
      </c>
      <c r="O300">
        <v>8</v>
      </c>
    </row>
    <row r="301" spans="1:15" x14ac:dyDescent="0.35">
      <c r="A301" s="71" t="s">
        <v>635</v>
      </c>
      <c r="B301">
        <v>105</v>
      </c>
      <c r="C301">
        <v>24084</v>
      </c>
      <c r="D301" s="71" t="s">
        <v>636</v>
      </c>
      <c r="E301">
        <v>29.49</v>
      </c>
      <c r="F301">
        <v>23.65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46190</v>
      </c>
      <c r="M301" s="71" t="s">
        <v>316</v>
      </c>
      <c r="N301">
        <v>87</v>
      </c>
      <c r="O301">
        <v>3</v>
      </c>
    </row>
    <row r="302" spans="1:15" x14ac:dyDescent="0.35">
      <c r="A302" s="71" t="s">
        <v>635</v>
      </c>
      <c r="B302">
        <v>105</v>
      </c>
      <c r="C302">
        <v>24084</v>
      </c>
      <c r="D302" s="71" t="s">
        <v>636</v>
      </c>
      <c r="E302">
        <v>29.49</v>
      </c>
      <c r="F302">
        <v>23.65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46191</v>
      </c>
      <c r="M302" s="71" t="s">
        <v>960</v>
      </c>
      <c r="N302">
        <v>58.98</v>
      </c>
      <c r="O302">
        <v>2</v>
      </c>
    </row>
    <row r="303" spans="1:15" x14ac:dyDescent="0.35">
      <c r="A303" s="71" t="s">
        <v>635</v>
      </c>
      <c r="B303">
        <v>105</v>
      </c>
      <c r="C303">
        <v>24086</v>
      </c>
      <c r="D303" s="71" t="s">
        <v>637</v>
      </c>
      <c r="E303">
        <v>19.989999999999998</v>
      </c>
      <c r="F303">
        <v>18.32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46188</v>
      </c>
      <c r="M303" s="71" t="s">
        <v>309</v>
      </c>
      <c r="N303">
        <v>199.9</v>
      </c>
      <c r="O303">
        <v>10</v>
      </c>
    </row>
    <row r="304" spans="1:15" x14ac:dyDescent="0.35">
      <c r="A304" s="71" t="s">
        <v>635</v>
      </c>
      <c r="B304">
        <v>105</v>
      </c>
      <c r="C304">
        <v>24086</v>
      </c>
      <c r="D304" s="71" t="s">
        <v>637</v>
      </c>
      <c r="E304">
        <v>19.989999999999998</v>
      </c>
      <c r="F304">
        <v>18.32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46189</v>
      </c>
      <c r="M304" s="71" t="s">
        <v>310</v>
      </c>
      <c r="N304">
        <v>139.93</v>
      </c>
      <c r="O304">
        <v>7</v>
      </c>
    </row>
    <row r="305" spans="1:15" x14ac:dyDescent="0.35">
      <c r="A305" s="71" t="s">
        <v>635</v>
      </c>
      <c r="B305">
        <v>105</v>
      </c>
      <c r="C305">
        <v>24086</v>
      </c>
      <c r="D305" s="71" t="s">
        <v>637</v>
      </c>
      <c r="E305">
        <v>19.989999999999998</v>
      </c>
      <c r="F305">
        <v>18.32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46190</v>
      </c>
      <c r="M305" s="71" t="s">
        <v>316</v>
      </c>
      <c r="N305">
        <v>38.979999999999997</v>
      </c>
      <c r="O305">
        <v>2</v>
      </c>
    </row>
    <row r="306" spans="1:15" x14ac:dyDescent="0.35">
      <c r="A306" s="71" t="s">
        <v>635</v>
      </c>
      <c r="B306">
        <v>105</v>
      </c>
      <c r="C306">
        <v>24086</v>
      </c>
      <c r="D306" s="71" t="s">
        <v>637</v>
      </c>
      <c r="E306">
        <v>19.989999999999998</v>
      </c>
      <c r="F306">
        <v>18.32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46191</v>
      </c>
      <c r="M306" s="71" t="s">
        <v>960</v>
      </c>
      <c r="N306">
        <v>59.97</v>
      </c>
      <c r="O306">
        <v>3</v>
      </c>
    </row>
    <row r="307" spans="1:15" x14ac:dyDescent="0.35">
      <c r="A307" s="71" t="s">
        <v>635</v>
      </c>
      <c r="B307">
        <v>105</v>
      </c>
      <c r="C307">
        <v>24088</v>
      </c>
      <c r="D307" s="71" t="s">
        <v>638</v>
      </c>
      <c r="E307">
        <v>16.489999999999998</v>
      </c>
      <c r="F307">
        <v>17.82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46188</v>
      </c>
      <c r="M307" s="71" t="s">
        <v>309</v>
      </c>
      <c r="N307">
        <v>428.74</v>
      </c>
      <c r="O307">
        <v>26</v>
      </c>
    </row>
    <row r="308" spans="1:15" x14ac:dyDescent="0.35">
      <c r="A308" s="71" t="s">
        <v>635</v>
      </c>
      <c r="B308">
        <v>105</v>
      </c>
      <c r="C308">
        <v>24088</v>
      </c>
      <c r="D308" s="71" t="s">
        <v>638</v>
      </c>
      <c r="E308">
        <v>16.489999999999998</v>
      </c>
      <c r="F308">
        <v>17.82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46189</v>
      </c>
      <c r="M308" s="71" t="s">
        <v>310</v>
      </c>
      <c r="N308">
        <v>478.21</v>
      </c>
      <c r="O308">
        <v>29</v>
      </c>
    </row>
    <row r="309" spans="1:15" x14ac:dyDescent="0.35">
      <c r="A309" s="71" t="s">
        <v>635</v>
      </c>
      <c r="B309">
        <v>105</v>
      </c>
      <c r="C309">
        <v>24088</v>
      </c>
      <c r="D309" s="71" t="s">
        <v>638</v>
      </c>
      <c r="E309">
        <v>16.489999999999998</v>
      </c>
      <c r="F309">
        <v>17.82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46190</v>
      </c>
      <c r="M309" s="71" t="s">
        <v>316</v>
      </c>
      <c r="N309">
        <v>771.75</v>
      </c>
      <c r="O309">
        <v>48</v>
      </c>
    </row>
    <row r="310" spans="1:15" x14ac:dyDescent="0.35">
      <c r="A310" s="71" t="s">
        <v>635</v>
      </c>
      <c r="B310">
        <v>105</v>
      </c>
      <c r="C310">
        <v>24088</v>
      </c>
      <c r="D310" s="71" t="s">
        <v>638</v>
      </c>
      <c r="E310">
        <v>16.489999999999998</v>
      </c>
      <c r="F310">
        <v>17.82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46191</v>
      </c>
      <c r="M310" s="71" t="s">
        <v>960</v>
      </c>
      <c r="N310">
        <v>395.76</v>
      </c>
      <c r="O310">
        <v>24</v>
      </c>
    </row>
    <row r="311" spans="1:15" x14ac:dyDescent="0.35">
      <c r="A311" s="71" t="s">
        <v>635</v>
      </c>
      <c r="B311">
        <v>105</v>
      </c>
      <c r="C311">
        <v>24089</v>
      </c>
      <c r="D311" s="71" t="s">
        <v>639</v>
      </c>
      <c r="E311">
        <v>23.99</v>
      </c>
      <c r="F311">
        <v>18.82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46188</v>
      </c>
      <c r="M311" s="71" t="s">
        <v>309</v>
      </c>
      <c r="N311">
        <v>71.97</v>
      </c>
      <c r="O311">
        <v>3</v>
      </c>
    </row>
    <row r="312" spans="1:15" x14ac:dyDescent="0.35">
      <c r="A312" s="71" t="s">
        <v>635</v>
      </c>
      <c r="B312">
        <v>105</v>
      </c>
      <c r="C312">
        <v>24089</v>
      </c>
      <c r="D312" s="71" t="s">
        <v>639</v>
      </c>
      <c r="E312">
        <v>23.99</v>
      </c>
      <c r="F312">
        <v>18.82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46189</v>
      </c>
      <c r="M312" s="71" t="s">
        <v>310</v>
      </c>
      <c r="N312">
        <v>95.96</v>
      </c>
      <c r="O312">
        <v>4</v>
      </c>
    </row>
    <row r="313" spans="1:15" x14ac:dyDescent="0.35">
      <c r="A313" s="71" t="s">
        <v>635</v>
      </c>
      <c r="B313">
        <v>105</v>
      </c>
      <c r="C313">
        <v>24089</v>
      </c>
      <c r="D313" s="71" t="s">
        <v>639</v>
      </c>
      <c r="E313">
        <v>23.99</v>
      </c>
      <c r="F313">
        <v>18.82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46190</v>
      </c>
      <c r="M313" s="71" t="s">
        <v>316</v>
      </c>
      <c r="N313">
        <v>211.11</v>
      </c>
      <c r="O313">
        <v>9</v>
      </c>
    </row>
    <row r="314" spans="1:15" x14ac:dyDescent="0.35">
      <c r="A314" s="71" t="s">
        <v>635</v>
      </c>
      <c r="B314">
        <v>105</v>
      </c>
      <c r="C314">
        <v>24089</v>
      </c>
      <c r="D314" s="71" t="s">
        <v>639</v>
      </c>
      <c r="E314">
        <v>23.99</v>
      </c>
      <c r="F314">
        <v>18.82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46191</v>
      </c>
      <c r="M314" s="71" t="s">
        <v>960</v>
      </c>
      <c r="N314">
        <v>23.99</v>
      </c>
      <c r="O314">
        <v>1</v>
      </c>
    </row>
    <row r="315" spans="1:15" x14ac:dyDescent="0.35">
      <c r="A315" s="71" t="s">
        <v>635</v>
      </c>
      <c r="B315">
        <v>105</v>
      </c>
      <c r="C315">
        <v>24090</v>
      </c>
      <c r="D315" s="71" t="s">
        <v>640</v>
      </c>
      <c r="E315">
        <v>21.99</v>
      </c>
      <c r="F315">
        <v>18.32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46188</v>
      </c>
      <c r="M315" s="71" t="s">
        <v>309</v>
      </c>
      <c r="N315">
        <v>133.85217391304349</v>
      </c>
      <c r="O315">
        <v>7</v>
      </c>
    </row>
    <row r="316" spans="1:15" x14ac:dyDescent="0.35">
      <c r="A316" s="71" t="s">
        <v>635</v>
      </c>
      <c r="B316">
        <v>105</v>
      </c>
      <c r="C316">
        <v>24090</v>
      </c>
      <c r="D316" s="71" t="s">
        <v>640</v>
      </c>
      <c r="E316">
        <v>21.99</v>
      </c>
      <c r="F316">
        <v>18.32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46189</v>
      </c>
      <c r="M316" s="71" t="s">
        <v>310</v>
      </c>
      <c r="N316">
        <v>133.85217391304349</v>
      </c>
      <c r="O316">
        <v>7</v>
      </c>
    </row>
    <row r="317" spans="1:15" x14ac:dyDescent="0.35">
      <c r="A317" s="71" t="s">
        <v>635</v>
      </c>
      <c r="B317">
        <v>105</v>
      </c>
      <c r="C317">
        <v>24090</v>
      </c>
      <c r="D317" s="71" t="s">
        <v>640</v>
      </c>
      <c r="E317">
        <v>21.99</v>
      </c>
      <c r="F317">
        <v>18.32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46190</v>
      </c>
      <c r="M317" s="71" t="s">
        <v>316</v>
      </c>
      <c r="N317">
        <v>207.46956521739131</v>
      </c>
      <c r="O317">
        <v>11</v>
      </c>
    </row>
    <row r="318" spans="1:15" x14ac:dyDescent="0.35">
      <c r="A318" s="71" t="s">
        <v>635</v>
      </c>
      <c r="B318">
        <v>105</v>
      </c>
      <c r="C318">
        <v>24090</v>
      </c>
      <c r="D318" s="71" t="s">
        <v>640</v>
      </c>
      <c r="E318">
        <v>21.99</v>
      </c>
      <c r="F318">
        <v>18.32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46191</v>
      </c>
      <c r="M318" s="71" t="s">
        <v>960</v>
      </c>
      <c r="N318">
        <v>191.21739130434784</v>
      </c>
      <c r="O318">
        <v>10</v>
      </c>
    </row>
    <row r="319" spans="1:15" x14ac:dyDescent="0.35">
      <c r="A319" s="71" t="s">
        <v>635</v>
      </c>
      <c r="B319">
        <v>105</v>
      </c>
      <c r="C319">
        <v>24092</v>
      </c>
      <c r="D319" s="71" t="s">
        <v>641</v>
      </c>
      <c r="E319">
        <v>17.989999999999998</v>
      </c>
      <c r="F319">
        <v>17.420000000000002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46188</v>
      </c>
      <c r="M319" s="71" t="s">
        <v>309</v>
      </c>
      <c r="N319">
        <v>1868.5304347826082</v>
      </c>
      <c r="O319">
        <v>119</v>
      </c>
    </row>
    <row r="320" spans="1:15" x14ac:dyDescent="0.35">
      <c r="A320" s="71" t="s">
        <v>635</v>
      </c>
      <c r="B320">
        <v>105</v>
      </c>
      <c r="C320">
        <v>24092</v>
      </c>
      <c r="D320" s="71" t="s">
        <v>641</v>
      </c>
      <c r="E320">
        <v>17.989999999999998</v>
      </c>
      <c r="F320">
        <v>17.420000000000002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46189</v>
      </c>
      <c r="M320" s="71" t="s">
        <v>310</v>
      </c>
      <c r="N320">
        <v>1626.9217391304348</v>
      </c>
      <c r="O320">
        <v>104</v>
      </c>
    </row>
    <row r="321" spans="1:15" x14ac:dyDescent="0.35">
      <c r="A321" s="71" t="s">
        <v>635</v>
      </c>
      <c r="B321">
        <v>105</v>
      </c>
      <c r="C321">
        <v>24092</v>
      </c>
      <c r="D321" s="71" t="s">
        <v>641</v>
      </c>
      <c r="E321">
        <v>17.989999999999998</v>
      </c>
      <c r="F321">
        <v>17.420000000000002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46190</v>
      </c>
      <c r="M321" s="71" t="s">
        <v>316</v>
      </c>
      <c r="N321">
        <v>2036.7652173913045</v>
      </c>
      <c r="O321">
        <v>132</v>
      </c>
    </row>
    <row r="322" spans="1:15" x14ac:dyDescent="0.35">
      <c r="A322" s="71" t="s">
        <v>635</v>
      </c>
      <c r="B322">
        <v>105</v>
      </c>
      <c r="C322">
        <v>24092</v>
      </c>
      <c r="D322" s="71" t="s">
        <v>641</v>
      </c>
      <c r="E322">
        <v>17.989999999999998</v>
      </c>
      <c r="F322">
        <v>17.420000000000002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46191</v>
      </c>
      <c r="M322" s="71" t="s">
        <v>960</v>
      </c>
      <c r="N322">
        <v>1628.6608695652174</v>
      </c>
      <c r="O322">
        <v>104</v>
      </c>
    </row>
    <row r="323" spans="1:15" x14ac:dyDescent="0.35">
      <c r="A323" s="71" t="s">
        <v>635</v>
      </c>
      <c r="B323">
        <v>105</v>
      </c>
      <c r="C323">
        <v>24093</v>
      </c>
      <c r="D323" s="71" t="s">
        <v>642</v>
      </c>
      <c r="E323">
        <v>29.99</v>
      </c>
      <c r="F323">
        <v>23.32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46188</v>
      </c>
      <c r="M323" s="71" t="s">
        <v>309</v>
      </c>
      <c r="N323">
        <v>104.31304347826087</v>
      </c>
      <c r="O323">
        <v>4</v>
      </c>
    </row>
    <row r="324" spans="1:15" x14ac:dyDescent="0.35">
      <c r="A324" s="71" t="s">
        <v>635</v>
      </c>
      <c r="B324">
        <v>105</v>
      </c>
      <c r="C324">
        <v>24093</v>
      </c>
      <c r="D324" s="71" t="s">
        <v>642</v>
      </c>
      <c r="E324">
        <v>29.99</v>
      </c>
      <c r="F324">
        <v>23.32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46189</v>
      </c>
      <c r="M324" s="71" t="s">
        <v>310</v>
      </c>
      <c r="N324">
        <v>52.156521739130433</v>
      </c>
      <c r="O324">
        <v>2</v>
      </c>
    </row>
    <row r="325" spans="1:15" x14ac:dyDescent="0.35">
      <c r="A325" s="71" t="s">
        <v>635</v>
      </c>
      <c r="B325">
        <v>105</v>
      </c>
      <c r="C325">
        <v>24093</v>
      </c>
      <c r="D325" s="71" t="s">
        <v>642</v>
      </c>
      <c r="E325">
        <v>29.99</v>
      </c>
      <c r="F325">
        <v>23.32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46190</v>
      </c>
      <c r="M325" s="71" t="s">
        <v>316</v>
      </c>
      <c r="N325">
        <v>155.16521739130434</v>
      </c>
      <c r="O325">
        <v>6</v>
      </c>
    </row>
    <row r="326" spans="1:15" x14ac:dyDescent="0.35">
      <c r="A326" s="71" t="s">
        <v>635</v>
      </c>
      <c r="B326">
        <v>105</v>
      </c>
      <c r="C326">
        <v>24093</v>
      </c>
      <c r="D326" s="71" t="s">
        <v>642</v>
      </c>
      <c r="E326">
        <v>29.99</v>
      </c>
      <c r="F326">
        <v>23.32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46191</v>
      </c>
      <c r="M326" s="71" t="s">
        <v>960</v>
      </c>
      <c r="N326">
        <v>78.234782608695653</v>
      </c>
      <c r="O326">
        <v>3</v>
      </c>
    </row>
    <row r="327" spans="1:15" x14ac:dyDescent="0.35">
      <c r="A327" s="71" t="s">
        <v>635</v>
      </c>
      <c r="B327">
        <v>105</v>
      </c>
      <c r="C327">
        <v>24105</v>
      </c>
      <c r="D327" s="71" t="s">
        <v>646</v>
      </c>
      <c r="E327">
        <v>30.49</v>
      </c>
      <c r="F327">
        <v>24.57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46188</v>
      </c>
      <c r="M327" s="71" t="s">
        <v>309</v>
      </c>
      <c r="N327">
        <v>60.98</v>
      </c>
      <c r="O327">
        <v>2</v>
      </c>
    </row>
    <row r="328" spans="1:15" x14ac:dyDescent="0.35">
      <c r="A328" s="71" t="s">
        <v>635</v>
      </c>
      <c r="B328">
        <v>105</v>
      </c>
      <c r="C328">
        <v>24105</v>
      </c>
      <c r="D328" s="71" t="s">
        <v>646</v>
      </c>
      <c r="E328">
        <v>30.49</v>
      </c>
      <c r="F328">
        <v>24.57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46190</v>
      </c>
      <c r="M328" s="71" t="s">
        <v>316</v>
      </c>
      <c r="N328">
        <v>89.95</v>
      </c>
      <c r="O328">
        <v>3</v>
      </c>
    </row>
    <row r="329" spans="1:15" x14ac:dyDescent="0.35">
      <c r="A329" s="71" t="s">
        <v>635</v>
      </c>
      <c r="B329">
        <v>105</v>
      </c>
      <c r="C329">
        <v>24108</v>
      </c>
      <c r="D329" s="71" t="s">
        <v>647</v>
      </c>
      <c r="E329">
        <v>24.99</v>
      </c>
      <c r="F329">
        <v>18.18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46188</v>
      </c>
      <c r="M329" s="71" t="s">
        <v>309</v>
      </c>
      <c r="N329">
        <v>43.460869565217386</v>
      </c>
      <c r="O329">
        <v>2</v>
      </c>
    </row>
    <row r="330" spans="1:15" x14ac:dyDescent="0.35">
      <c r="A330" s="71" t="s">
        <v>635</v>
      </c>
      <c r="B330">
        <v>105</v>
      </c>
      <c r="C330">
        <v>24108</v>
      </c>
      <c r="D330" s="71" t="s">
        <v>647</v>
      </c>
      <c r="E330">
        <v>24.99</v>
      </c>
      <c r="F330">
        <v>18.18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46189</v>
      </c>
      <c r="M330" s="71" t="s">
        <v>310</v>
      </c>
      <c r="N330">
        <v>86.921739130434773</v>
      </c>
      <c r="O330">
        <v>4</v>
      </c>
    </row>
    <row r="331" spans="1:15" x14ac:dyDescent="0.35">
      <c r="A331" s="71" t="s">
        <v>635</v>
      </c>
      <c r="B331">
        <v>105</v>
      </c>
      <c r="C331">
        <v>24108</v>
      </c>
      <c r="D331" s="71" t="s">
        <v>647</v>
      </c>
      <c r="E331">
        <v>24.99</v>
      </c>
      <c r="F331">
        <v>18.18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46190</v>
      </c>
      <c r="M331" s="71" t="s">
        <v>316</v>
      </c>
      <c r="N331">
        <v>583.46086956521742</v>
      </c>
      <c r="O331">
        <v>28</v>
      </c>
    </row>
    <row r="332" spans="1:15" x14ac:dyDescent="0.35">
      <c r="A332" s="71" t="s">
        <v>635</v>
      </c>
      <c r="B332">
        <v>105</v>
      </c>
      <c r="C332">
        <v>24108</v>
      </c>
      <c r="D332" s="71" t="s">
        <v>647</v>
      </c>
      <c r="E332">
        <v>24.99</v>
      </c>
      <c r="F332">
        <v>18.18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46191</v>
      </c>
      <c r="M332" s="71" t="s">
        <v>960</v>
      </c>
      <c r="N332">
        <v>173.84347826086955</v>
      </c>
      <c r="O332">
        <v>8</v>
      </c>
    </row>
    <row r="333" spans="1:15" x14ac:dyDescent="0.35">
      <c r="A333" s="71" t="s">
        <v>635</v>
      </c>
      <c r="B333">
        <v>105</v>
      </c>
      <c r="C333">
        <v>24109</v>
      </c>
      <c r="D333" s="71" t="s">
        <v>648</v>
      </c>
      <c r="E333">
        <v>24.99</v>
      </c>
      <c r="F333">
        <v>17.98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46188</v>
      </c>
      <c r="M333" s="71" t="s">
        <v>309</v>
      </c>
      <c r="N333">
        <v>152.11304347826086</v>
      </c>
      <c r="O333">
        <v>7</v>
      </c>
    </row>
    <row r="334" spans="1:15" x14ac:dyDescent="0.35">
      <c r="A334" s="71" t="s">
        <v>635</v>
      </c>
      <c r="B334">
        <v>105</v>
      </c>
      <c r="C334">
        <v>24109</v>
      </c>
      <c r="D334" s="71" t="s">
        <v>648</v>
      </c>
      <c r="E334">
        <v>24.99</v>
      </c>
      <c r="F334">
        <v>17.98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46189</v>
      </c>
      <c r="M334" s="71" t="s">
        <v>310</v>
      </c>
      <c r="N334">
        <v>108.65217391304348</v>
      </c>
      <c r="O334">
        <v>5</v>
      </c>
    </row>
    <row r="335" spans="1:15" x14ac:dyDescent="0.35">
      <c r="A335" s="71" t="s">
        <v>635</v>
      </c>
      <c r="B335">
        <v>105</v>
      </c>
      <c r="C335">
        <v>24109</v>
      </c>
      <c r="D335" s="71" t="s">
        <v>648</v>
      </c>
      <c r="E335">
        <v>24.99</v>
      </c>
      <c r="F335">
        <v>17.98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46190</v>
      </c>
      <c r="M335" s="71" t="s">
        <v>316</v>
      </c>
      <c r="N335">
        <v>21.730434782608693</v>
      </c>
      <c r="O335">
        <v>1</v>
      </c>
    </row>
    <row r="336" spans="1:15" x14ac:dyDescent="0.35">
      <c r="A336" s="71" t="s">
        <v>635</v>
      </c>
      <c r="B336">
        <v>105</v>
      </c>
      <c r="C336">
        <v>24109</v>
      </c>
      <c r="D336" s="71" t="s">
        <v>648</v>
      </c>
      <c r="E336">
        <v>24.99</v>
      </c>
      <c r="F336">
        <v>17.98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46191</v>
      </c>
      <c r="M336" s="71" t="s">
        <v>960</v>
      </c>
      <c r="N336">
        <v>130.38260869565218</v>
      </c>
      <c r="O336">
        <v>6</v>
      </c>
    </row>
    <row r="337" spans="1:15" x14ac:dyDescent="0.35">
      <c r="A337" s="71" t="s">
        <v>632</v>
      </c>
      <c r="B337">
        <v>105</v>
      </c>
      <c r="C337">
        <v>24286</v>
      </c>
      <c r="D337" s="71" t="s">
        <v>650</v>
      </c>
      <c r="E337">
        <v>21.99</v>
      </c>
      <c r="F337">
        <v>15.52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46188</v>
      </c>
      <c r="M337" s="71" t="s">
        <v>309</v>
      </c>
      <c r="N337">
        <v>57.365217391304348</v>
      </c>
      <c r="O337">
        <v>3</v>
      </c>
    </row>
    <row r="338" spans="1:15" x14ac:dyDescent="0.35">
      <c r="A338" s="71" t="s">
        <v>632</v>
      </c>
      <c r="B338">
        <v>105</v>
      </c>
      <c r="C338">
        <v>24286</v>
      </c>
      <c r="D338" s="71" t="s">
        <v>650</v>
      </c>
      <c r="E338">
        <v>21.99</v>
      </c>
      <c r="F338">
        <v>15.52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46189</v>
      </c>
      <c r="M338" s="71" t="s">
        <v>310</v>
      </c>
      <c r="N338">
        <v>57.365217391304348</v>
      </c>
      <c r="O338">
        <v>3</v>
      </c>
    </row>
    <row r="339" spans="1:15" x14ac:dyDescent="0.35">
      <c r="A339" s="71" t="s">
        <v>632</v>
      </c>
      <c r="B339">
        <v>105</v>
      </c>
      <c r="C339">
        <v>24286</v>
      </c>
      <c r="D339" s="71" t="s">
        <v>650</v>
      </c>
      <c r="E339">
        <v>21.99</v>
      </c>
      <c r="F339">
        <v>15.52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46191</v>
      </c>
      <c r="M339" s="71" t="s">
        <v>960</v>
      </c>
      <c r="N339">
        <v>95.608695652173921</v>
      </c>
      <c r="O339">
        <v>5</v>
      </c>
    </row>
    <row r="340" spans="1:15" x14ac:dyDescent="0.35">
      <c r="A340" s="71" t="s">
        <v>632</v>
      </c>
      <c r="B340">
        <v>105</v>
      </c>
      <c r="C340">
        <v>24291</v>
      </c>
      <c r="D340" s="71" t="s">
        <v>651</v>
      </c>
      <c r="E340">
        <v>19.989999999999998</v>
      </c>
      <c r="F340">
        <v>15.3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46188</v>
      </c>
      <c r="M340" s="71" t="s">
        <v>309</v>
      </c>
      <c r="N340">
        <v>59.97</v>
      </c>
      <c r="O340">
        <v>3</v>
      </c>
    </row>
    <row r="341" spans="1:15" x14ac:dyDescent="0.35">
      <c r="A341" s="71" t="s">
        <v>632</v>
      </c>
      <c r="B341">
        <v>105</v>
      </c>
      <c r="C341">
        <v>24291</v>
      </c>
      <c r="D341" s="71" t="s">
        <v>651</v>
      </c>
      <c r="E341">
        <v>19.989999999999998</v>
      </c>
      <c r="F341">
        <v>15.3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46190</v>
      </c>
      <c r="M341" s="71" t="s">
        <v>316</v>
      </c>
      <c r="N341">
        <v>39.979999999999997</v>
      </c>
      <c r="O341">
        <v>2</v>
      </c>
    </row>
    <row r="342" spans="1:15" x14ac:dyDescent="0.35">
      <c r="A342" s="71" t="s">
        <v>632</v>
      </c>
      <c r="B342">
        <v>105</v>
      </c>
      <c r="C342">
        <v>24291</v>
      </c>
      <c r="D342" s="71" t="s">
        <v>651</v>
      </c>
      <c r="E342">
        <v>19.989999999999998</v>
      </c>
      <c r="F342">
        <v>15.3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46191</v>
      </c>
      <c r="M342" s="71" t="s">
        <v>960</v>
      </c>
      <c r="N342">
        <v>79.959999999999994</v>
      </c>
      <c r="O342">
        <v>4</v>
      </c>
    </row>
    <row r="343" spans="1:15" x14ac:dyDescent="0.35">
      <c r="A343" s="71" t="s">
        <v>632</v>
      </c>
      <c r="B343">
        <v>105</v>
      </c>
      <c r="C343">
        <v>24298</v>
      </c>
      <c r="D343" s="71" t="s">
        <v>653</v>
      </c>
      <c r="E343">
        <v>20.99</v>
      </c>
      <c r="F343">
        <v>15.19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46188</v>
      </c>
      <c r="M343" s="71" t="s">
        <v>309</v>
      </c>
      <c r="N343">
        <v>292.03478260869565</v>
      </c>
      <c r="O343">
        <v>16</v>
      </c>
    </row>
    <row r="344" spans="1:15" x14ac:dyDescent="0.35">
      <c r="A344" s="71" t="s">
        <v>632</v>
      </c>
      <c r="B344">
        <v>105</v>
      </c>
      <c r="C344">
        <v>24298</v>
      </c>
      <c r="D344" s="71" t="s">
        <v>653</v>
      </c>
      <c r="E344">
        <v>20.99</v>
      </c>
      <c r="F344">
        <v>15.19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46189</v>
      </c>
      <c r="M344" s="71" t="s">
        <v>310</v>
      </c>
      <c r="N344">
        <v>273.78260869565219</v>
      </c>
      <c r="O344">
        <v>15</v>
      </c>
    </row>
    <row r="345" spans="1:15" x14ac:dyDescent="0.35">
      <c r="A345" s="71" t="s">
        <v>632</v>
      </c>
      <c r="B345">
        <v>105</v>
      </c>
      <c r="C345">
        <v>24298</v>
      </c>
      <c r="D345" s="71" t="s">
        <v>653</v>
      </c>
      <c r="E345">
        <v>20.99</v>
      </c>
      <c r="F345">
        <v>15.19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46190</v>
      </c>
      <c r="M345" s="71" t="s">
        <v>316</v>
      </c>
      <c r="N345">
        <v>180.69565217391306</v>
      </c>
      <c r="O345">
        <v>10</v>
      </c>
    </row>
    <row r="346" spans="1:15" x14ac:dyDescent="0.35">
      <c r="A346" s="71" t="s">
        <v>632</v>
      </c>
      <c r="B346">
        <v>105</v>
      </c>
      <c r="C346">
        <v>24298</v>
      </c>
      <c r="D346" s="71" t="s">
        <v>653</v>
      </c>
      <c r="E346">
        <v>20.99</v>
      </c>
      <c r="F346">
        <v>15.19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46191</v>
      </c>
      <c r="M346" s="71" t="s">
        <v>960</v>
      </c>
      <c r="N346">
        <v>127.76521739130436</v>
      </c>
      <c r="O346">
        <v>7</v>
      </c>
    </row>
    <row r="347" spans="1:15" x14ac:dyDescent="0.35">
      <c r="A347" s="71" t="s">
        <v>632</v>
      </c>
      <c r="B347">
        <v>105</v>
      </c>
      <c r="C347">
        <v>24303</v>
      </c>
      <c r="D347" s="71" t="s">
        <v>654</v>
      </c>
      <c r="E347">
        <v>20.99</v>
      </c>
      <c r="F347">
        <v>16.39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46188</v>
      </c>
      <c r="M347" s="71" t="s">
        <v>309</v>
      </c>
      <c r="N347">
        <v>41.98</v>
      </c>
      <c r="O347">
        <v>2</v>
      </c>
    </row>
    <row r="348" spans="1:15" x14ac:dyDescent="0.35">
      <c r="A348" s="71" t="s">
        <v>632</v>
      </c>
      <c r="B348">
        <v>105</v>
      </c>
      <c r="C348">
        <v>24303</v>
      </c>
      <c r="D348" s="71" t="s">
        <v>654</v>
      </c>
      <c r="E348">
        <v>20.99</v>
      </c>
      <c r="F348">
        <v>16.39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46189</v>
      </c>
      <c r="M348" s="71" t="s">
        <v>310</v>
      </c>
      <c r="N348">
        <v>41.98</v>
      </c>
      <c r="O348">
        <v>2</v>
      </c>
    </row>
    <row r="349" spans="1:15" x14ac:dyDescent="0.35">
      <c r="A349" s="71" t="s">
        <v>632</v>
      </c>
      <c r="B349">
        <v>105</v>
      </c>
      <c r="C349">
        <v>24303</v>
      </c>
      <c r="D349" s="71" t="s">
        <v>654</v>
      </c>
      <c r="E349">
        <v>20.99</v>
      </c>
      <c r="F349">
        <v>16.39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46190</v>
      </c>
      <c r="M349" s="71" t="s">
        <v>316</v>
      </c>
      <c r="N349">
        <v>40.93</v>
      </c>
      <c r="O349">
        <v>2</v>
      </c>
    </row>
    <row r="350" spans="1:15" x14ac:dyDescent="0.35">
      <c r="A350" s="71" t="s">
        <v>632</v>
      </c>
      <c r="B350">
        <v>105</v>
      </c>
      <c r="C350">
        <v>24303</v>
      </c>
      <c r="D350" s="71" t="s">
        <v>654</v>
      </c>
      <c r="E350">
        <v>20.99</v>
      </c>
      <c r="F350">
        <v>16.39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46191</v>
      </c>
      <c r="M350" s="71" t="s">
        <v>960</v>
      </c>
      <c r="N350">
        <v>41.98</v>
      </c>
      <c r="O350">
        <v>2</v>
      </c>
    </row>
    <row r="351" spans="1:15" x14ac:dyDescent="0.35">
      <c r="A351" s="71" t="s">
        <v>632</v>
      </c>
      <c r="B351">
        <v>105</v>
      </c>
      <c r="C351">
        <v>24304</v>
      </c>
      <c r="D351" s="71" t="s">
        <v>655</v>
      </c>
      <c r="E351">
        <v>13.99</v>
      </c>
      <c r="F351">
        <v>9.0299999999999994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46189</v>
      </c>
      <c r="M351" s="71" t="s">
        <v>310</v>
      </c>
      <c r="N351">
        <v>12.165217391304347</v>
      </c>
      <c r="O351">
        <v>1</v>
      </c>
    </row>
    <row r="352" spans="1:15" x14ac:dyDescent="0.35">
      <c r="A352" s="71" t="s">
        <v>632</v>
      </c>
      <c r="B352">
        <v>105</v>
      </c>
      <c r="C352">
        <v>24304</v>
      </c>
      <c r="D352" s="71" t="s">
        <v>655</v>
      </c>
      <c r="E352">
        <v>13.99</v>
      </c>
      <c r="F352">
        <v>9.0299999999999994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46190</v>
      </c>
      <c r="M352" s="71" t="s">
        <v>316</v>
      </c>
      <c r="N352">
        <v>23.721739130434784</v>
      </c>
      <c r="O352">
        <v>2</v>
      </c>
    </row>
    <row r="353" spans="1:15" x14ac:dyDescent="0.35">
      <c r="A353" s="71" t="s">
        <v>632</v>
      </c>
      <c r="B353">
        <v>105</v>
      </c>
      <c r="C353">
        <v>24304</v>
      </c>
      <c r="D353" s="71" t="s">
        <v>655</v>
      </c>
      <c r="E353">
        <v>13.99</v>
      </c>
      <c r="F353">
        <v>9.0299999999999994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46191</v>
      </c>
      <c r="M353" s="71" t="s">
        <v>960</v>
      </c>
      <c r="N353">
        <v>12.165217391304347</v>
      </c>
      <c r="O353">
        <v>1</v>
      </c>
    </row>
    <row r="354" spans="1:15" x14ac:dyDescent="0.35">
      <c r="A354" s="71" t="s">
        <v>632</v>
      </c>
      <c r="B354">
        <v>105</v>
      </c>
      <c r="C354">
        <v>24305</v>
      </c>
      <c r="D354" s="71" t="s">
        <v>656</v>
      </c>
      <c r="E354">
        <v>13.99</v>
      </c>
      <c r="F354">
        <v>9.0299999999999994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46189</v>
      </c>
      <c r="M354" s="71" t="s">
        <v>310</v>
      </c>
      <c r="N354">
        <v>12.165217391304347</v>
      </c>
      <c r="O354">
        <v>1</v>
      </c>
    </row>
    <row r="355" spans="1:15" x14ac:dyDescent="0.35">
      <c r="A355" s="71" t="s">
        <v>632</v>
      </c>
      <c r="B355">
        <v>105</v>
      </c>
      <c r="C355">
        <v>24305</v>
      </c>
      <c r="D355" s="71" t="s">
        <v>656</v>
      </c>
      <c r="E355">
        <v>13.99</v>
      </c>
      <c r="F355">
        <v>9.0299999999999994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46190</v>
      </c>
      <c r="M355" s="71" t="s">
        <v>316</v>
      </c>
      <c r="N355">
        <v>36.495652173913044</v>
      </c>
      <c r="O355">
        <v>3</v>
      </c>
    </row>
    <row r="356" spans="1:15" x14ac:dyDescent="0.35">
      <c r="A356" s="71" t="s">
        <v>632</v>
      </c>
      <c r="B356">
        <v>105</v>
      </c>
      <c r="C356">
        <v>24306</v>
      </c>
      <c r="D356" s="71" t="s">
        <v>657</v>
      </c>
      <c r="E356">
        <v>13.99</v>
      </c>
      <c r="F356">
        <v>9.0299999999999994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46188</v>
      </c>
      <c r="M356" s="71" t="s">
        <v>309</v>
      </c>
      <c r="N356">
        <v>12.165217391304347</v>
      </c>
      <c r="O356">
        <v>1</v>
      </c>
    </row>
    <row r="357" spans="1:15" x14ac:dyDescent="0.35">
      <c r="A357" s="71" t="s">
        <v>632</v>
      </c>
      <c r="B357">
        <v>105</v>
      </c>
      <c r="C357">
        <v>24306</v>
      </c>
      <c r="D357" s="71" t="s">
        <v>657</v>
      </c>
      <c r="E357">
        <v>13.99</v>
      </c>
      <c r="F357">
        <v>9.0299999999999994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46189</v>
      </c>
      <c r="M357" s="71" t="s">
        <v>310</v>
      </c>
      <c r="N357">
        <v>24.330434782608695</v>
      </c>
      <c r="O357">
        <v>2</v>
      </c>
    </row>
    <row r="358" spans="1:15" x14ac:dyDescent="0.35">
      <c r="A358" s="71" t="s">
        <v>632</v>
      </c>
      <c r="B358">
        <v>105</v>
      </c>
      <c r="C358">
        <v>24306</v>
      </c>
      <c r="D358" s="71" t="s">
        <v>657</v>
      </c>
      <c r="E358">
        <v>13.99</v>
      </c>
      <c r="F358">
        <v>9.0299999999999994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46190</v>
      </c>
      <c r="M358" s="71" t="s">
        <v>316</v>
      </c>
      <c r="N358">
        <v>11.556521739130433</v>
      </c>
      <c r="O358">
        <v>1</v>
      </c>
    </row>
    <row r="359" spans="1:15" x14ac:dyDescent="0.35">
      <c r="A359" s="71" t="s">
        <v>632</v>
      </c>
      <c r="B359">
        <v>105</v>
      </c>
      <c r="C359">
        <v>24307</v>
      </c>
      <c r="D359" s="71" t="s">
        <v>658</v>
      </c>
      <c r="E359">
        <v>13.99</v>
      </c>
      <c r="F359">
        <v>9.0299999999999994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46189</v>
      </c>
      <c r="M359" s="71" t="s">
        <v>310</v>
      </c>
      <c r="N359">
        <v>12.165217391304347</v>
      </c>
      <c r="O359">
        <v>1</v>
      </c>
    </row>
    <row r="360" spans="1:15" x14ac:dyDescent="0.35">
      <c r="A360" s="71" t="s">
        <v>632</v>
      </c>
      <c r="B360">
        <v>105</v>
      </c>
      <c r="C360">
        <v>24308</v>
      </c>
      <c r="D360" s="71" t="s">
        <v>659</v>
      </c>
      <c r="E360">
        <v>24.99</v>
      </c>
      <c r="F360">
        <v>16.059999999999999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46188</v>
      </c>
      <c r="M360" s="71" t="s">
        <v>309</v>
      </c>
      <c r="N360">
        <v>43.460869565217386</v>
      </c>
      <c r="O360">
        <v>2</v>
      </c>
    </row>
    <row r="361" spans="1:15" x14ac:dyDescent="0.35">
      <c r="A361" s="71" t="s">
        <v>632</v>
      </c>
      <c r="B361">
        <v>105</v>
      </c>
      <c r="C361">
        <v>24308</v>
      </c>
      <c r="D361" s="71" t="s">
        <v>659</v>
      </c>
      <c r="E361">
        <v>24.99</v>
      </c>
      <c r="F361">
        <v>16.059999999999999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46189</v>
      </c>
      <c r="M361" s="71" t="s">
        <v>310</v>
      </c>
      <c r="N361">
        <v>43.460869565217386</v>
      </c>
      <c r="O361">
        <v>2</v>
      </c>
    </row>
    <row r="362" spans="1:15" x14ac:dyDescent="0.35">
      <c r="A362" s="71" t="s">
        <v>632</v>
      </c>
      <c r="B362">
        <v>105</v>
      </c>
      <c r="C362">
        <v>24308</v>
      </c>
      <c r="D362" s="71" t="s">
        <v>659</v>
      </c>
      <c r="E362">
        <v>24.99</v>
      </c>
      <c r="F362">
        <v>16.059999999999999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46190</v>
      </c>
      <c r="M362" s="71" t="s">
        <v>316</v>
      </c>
      <c r="N362">
        <v>20.643478260869564</v>
      </c>
      <c r="O362">
        <v>1</v>
      </c>
    </row>
    <row r="363" spans="1:15" x14ac:dyDescent="0.35">
      <c r="A363" s="71" t="s">
        <v>632</v>
      </c>
      <c r="B363">
        <v>105</v>
      </c>
      <c r="C363">
        <v>24308</v>
      </c>
      <c r="D363" s="71" t="s">
        <v>659</v>
      </c>
      <c r="E363">
        <v>24.99</v>
      </c>
      <c r="F363">
        <v>16.059999999999999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46191</v>
      </c>
      <c r="M363" s="71" t="s">
        <v>960</v>
      </c>
      <c r="N363">
        <v>65.19130434782609</v>
      </c>
      <c r="O363">
        <v>3</v>
      </c>
    </row>
    <row r="364" spans="1:15" x14ac:dyDescent="0.35">
      <c r="A364" s="71" t="s">
        <v>476</v>
      </c>
      <c r="B364">
        <v>105</v>
      </c>
      <c r="C364">
        <v>24619</v>
      </c>
      <c r="D364" s="71" t="s">
        <v>660</v>
      </c>
      <c r="E364">
        <v>21.99</v>
      </c>
      <c r="F364">
        <v>15.39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46188</v>
      </c>
      <c r="M364" s="71" t="s">
        <v>309</v>
      </c>
      <c r="N364">
        <v>57.365217391304348</v>
      </c>
      <c r="O364">
        <v>3</v>
      </c>
    </row>
    <row r="365" spans="1:15" x14ac:dyDescent="0.35">
      <c r="A365" s="71" t="s">
        <v>476</v>
      </c>
      <c r="B365">
        <v>105</v>
      </c>
      <c r="C365">
        <v>24619</v>
      </c>
      <c r="D365" s="71" t="s">
        <v>660</v>
      </c>
      <c r="E365">
        <v>21.99</v>
      </c>
      <c r="F365">
        <v>15.39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46189</v>
      </c>
      <c r="M365" s="71" t="s">
        <v>310</v>
      </c>
      <c r="N365">
        <v>133.85217391304349</v>
      </c>
      <c r="O365">
        <v>7</v>
      </c>
    </row>
    <row r="366" spans="1:15" x14ac:dyDescent="0.35">
      <c r="A366" s="71" t="s">
        <v>476</v>
      </c>
      <c r="B366">
        <v>105</v>
      </c>
      <c r="C366">
        <v>24619</v>
      </c>
      <c r="D366" s="71" t="s">
        <v>660</v>
      </c>
      <c r="E366">
        <v>21.99</v>
      </c>
      <c r="F366">
        <v>15.39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46190</v>
      </c>
      <c r="M366" s="71" t="s">
        <v>316</v>
      </c>
      <c r="N366">
        <v>76.486956521739131</v>
      </c>
      <c r="O366">
        <v>4</v>
      </c>
    </row>
    <row r="367" spans="1:15" x14ac:dyDescent="0.35">
      <c r="A367" s="71" t="s">
        <v>476</v>
      </c>
      <c r="B367">
        <v>105</v>
      </c>
      <c r="C367">
        <v>24619</v>
      </c>
      <c r="D367" s="71" t="s">
        <v>660</v>
      </c>
      <c r="E367">
        <v>21.99</v>
      </c>
      <c r="F367">
        <v>15.39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46191</v>
      </c>
      <c r="M367" s="71" t="s">
        <v>960</v>
      </c>
      <c r="N367">
        <v>133.85217391304349</v>
      </c>
      <c r="O367">
        <v>7</v>
      </c>
    </row>
    <row r="368" spans="1:15" x14ac:dyDescent="0.35">
      <c r="A368" s="71" t="s">
        <v>476</v>
      </c>
      <c r="B368">
        <v>105</v>
      </c>
      <c r="C368">
        <v>24620</v>
      </c>
      <c r="D368" s="71" t="s">
        <v>661</v>
      </c>
      <c r="E368">
        <v>18.989999999999998</v>
      </c>
      <c r="F368">
        <v>15.7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46188</v>
      </c>
      <c r="M368" s="71" t="s">
        <v>309</v>
      </c>
      <c r="N368">
        <v>75.959999999999994</v>
      </c>
      <c r="O368">
        <v>4</v>
      </c>
    </row>
    <row r="369" spans="1:15" x14ac:dyDescent="0.35">
      <c r="A369" s="71" t="s">
        <v>476</v>
      </c>
      <c r="B369">
        <v>105</v>
      </c>
      <c r="C369">
        <v>24620</v>
      </c>
      <c r="D369" s="71" t="s">
        <v>661</v>
      </c>
      <c r="E369">
        <v>18.989999999999998</v>
      </c>
      <c r="F369">
        <v>15.7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46189</v>
      </c>
      <c r="M369" s="71" t="s">
        <v>310</v>
      </c>
      <c r="N369">
        <v>94.95</v>
      </c>
      <c r="O369">
        <v>5</v>
      </c>
    </row>
    <row r="370" spans="1:15" x14ac:dyDescent="0.35">
      <c r="A370" s="71" t="s">
        <v>476</v>
      </c>
      <c r="B370">
        <v>105</v>
      </c>
      <c r="C370">
        <v>24620</v>
      </c>
      <c r="D370" s="71" t="s">
        <v>661</v>
      </c>
      <c r="E370">
        <v>18.989999999999998</v>
      </c>
      <c r="F370">
        <v>15.7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46190</v>
      </c>
      <c r="M370" s="71" t="s">
        <v>316</v>
      </c>
      <c r="N370">
        <v>149.07</v>
      </c>
      <c r="O370">
        <v>8</v>
      </c>
    </row>
    <row r="371" spans="1:15" x14ac:dyDescent="0.35">
      <c r="A371" s="71" t="s">
        <v>476</v>
      </c>
      <c r="B371">
        <v>105</v>
      </c>
      <c r="C371">
        <v>24620</v>
      </c>
      <c r="D371" s="71" t="s">
        <v>661</v>
      </c>
      <c r="E371">
        <v>18.989999999999998</v>
      </c>
      <c r="F371">
        <v>15.7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46191</v>
      </c>
      <c r="M371" s="71" t="s">
        <v>960</v>
      </c>
      <c r="N371">
        <v>56.97</v>
      </c>
      <c r="O371">
        <v>3</v>
      </c>
    </row>
    <row r="372" spans="1:15" x14ac:dyDescent="0.35">
      <c r="A372" s="71" t="s">
        <v>476</v>
      </c>
      <c r="B372">
        <v>105</v>
      </c>
      <c r="C372">
        <v>24621</v>
      </c>
      <c r="D372" s="71" t="s">
        <v>662</v>
      </c>
      <c r="E372">
        <v>25.99</v>
      </c>
      <c r="F372">
        <v>19.2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46188</v>
      </c>
      <c r="M372" s="71" t="s">
        <v>309</v>
      </c>
      <c r="N372">
        <v>155.94</v>
      </c>
      <c r="O372">
        <v>6</v>
      </c>
    </row>
    <row r="373" spans="1:15" x14ac:dyDescent="0.35">
      <c r="A373" s="71" t="s">
        <v>476</v>
      </c>
      <c r="B373">
        <v>105</v>
      </c>
      <c r="C373">
        <v>24621</v>
      </c>
      <c r="D373" s="71" t="s">
        <v>662</v>
      </c>
      <c r="E373">
        <v>25.99</v>
      </c>
      <c r="F373">
        <v>19.2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46191</v>
      </c>
      <c r="M373" s="71" t="s">
        <v>960</v>
      </c>
      <c r="N373">
        <v>51.98</v>
      </c>
      <c r="O373">
        <v>2</v>
      </c>
    </row>
    <row r="374" spans="1:15" x14ac:dyDescent="0.35">
      <c r="A374" s="71" t="s">
        <v>476</v>
      </c>
      <c r="B374">
        <v>105</v>
      </c>
      <c r="C374">
        <v>24626</v>
      </c>
      <c r="D374" s="71" t="s">
        <v>663</v>
      </c>
      <c r="E374">
        <v>25.99</v>
      </c>
      <c r="F374">
        <v>16.350000000000001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46188</v>
      </c>
      <c r="M374" s="71" t="s">
        <v>309</v>
      </c>
      <c r="N374">
        <v>67.8</v>
      </c>
      <c r="O374">
        <v>3</v>
      </c>
    </row>
    <row r="375" spans="1:15" x14ac:dyDescent="0.35">
      <c r="A375" s="71" t="s">
        <v>476</v>
      </c>
      <c r="B375">
        <v>105</v>
      </c>
      <c r="C375">
        <v>24626</v>
      </c>
      <c r="D375" s="71" t="s">
        <v>663</v>
      </c>
      <c r="E375">
        <v>25.99</v>
      </c>
      <c r="F375">
        <v>16.350000000000001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46189</v>
      </c>
      <c r="M375" s="71" t="s">
        <v>310</v>
      </c>
      <c r="N375">
        <v>45.199999999999996</v>
      </c>
      <c r="O375">
        <v>2</v>
      </c>
    </row>
    <row r="376" spans="1:15" x14ac:dyDescent="0.35">
      <c r="A376" s="71" t="s">
        <v>476</v>
      </c>
      <c r="B376">
        <v>105</v>
      </c>
      <c r="C376">
        <v>24626</v>
      </c>
      <c r="D376" s="71" t="s">
        <v>663</v>
      </c>
      <c r="E376">
        <v>25.99</v>
      </c>
      <c r="F376">
        <v>16.350000000000001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46190</v>
      </c>
      <c r="M376" s="71" t="s">
        <v>316</v>
      </c>
      <c r="N376">
        <v>154.80869565217392</v>
      </c>
      <c r="O376">
        <v>7</v>
      </c>
    </row>
    <row r="377" spans="1:15" x14ac:dyDescent="0.35">
      <c r="A377" s="71" t="s">
        <v>476</v>
      </c>
      <c r="B377">
        <v>105</v>
      </c>
      <c r="C377">
        <v>24626</v>
      </c>
      <c r="D377" s="71" t="s">
        <v>663</v>
      </c>
      <c r="E377">
        <v>25.99</v>
      </c>
      <c r="F377">
        <v>16.350000000000001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46191</v>
      </c>
      <c r="M377" s="71" t="s">
        <v>960</v>
      </c>
      <c r="N377">
        <v>158.20000000000002</v>
      </c>
      <c r="O377">
        <v>7</v>
      </c>
    </row>
    <row r="378" spans="1:15" x14ac:dyDescent="0.35">
      <c r="A378" s="71" t="s">
        <v>476</v>
      </c>
      <c r="B378">
        <v>105</v>
      </c>
      <c r="C378">
        <v>24631</v>
      </c>
      <c r="D378" s="71" t="s">
        <v>664</v>
      </c>
      <c r="E378">
        <v>23.99</v>
      </c>
      <c r="F378">
        <v>18.8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46188</v>
      </c>
      <c r="M378" s="71" t="s">
        <v>309</v>
      </c>
      <c r="N378">
        <v>167.93</v>
      </c>
      <c r="O378">
        <v>7</v>
      </c>
    </row>
    <row r="379" spans="1:15" x14ac:dyDescent="0.35">
      <c r="A379" s="71" t="s">
        <v>476</v>
      </c>
      <c r="B379">
        <v>105</v>
      </c>
      <c r="C379">
        <v>24631</v>
      </c>
      <c r="D379" s="71" t="s">
        <v>664</v>
      </c>
      <c r="E379">
        <v>23.99</v>
      </c>
      <c r="F379">
        <v>18.8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46189</v>
      </c>
      <c r="M379" s="71" t="s">
        <v>310</v>
      </c>
      <c r="N379">
        <v>47.98</v>
      </c>
      <c r="O379">
        <v>2</v>
      </c>
    </row>
    <row r="380" spans="1:15" x14ac:dyDescent="0.35">
      <c r="A380" s="71" t="s">
        <v>476</v>
      </c>
      <c r="B380">
        <v>105</v>
      </c>
      <c r="C380">
        <v>24631</v>
      </c>
      <c r="D380" s="71" t="s">
        <v>664</v>
      </c>
      <c r="E380">
        <v>23.99</v>
      </c>
      <c r="F380">
        <v>18.8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46190</v>
      </c>
      <c r="M380" s="71" t="s">
        <v>316</v>
      </c>
      <c r="N380">
        <v>70.77</v>
      </c>
      <c r="O380">
        <v>3</v>
      </c>
    </row>
    <row r="381" spans="1:15" x14ac:dyDescent="0.35">
      <c r="A381" s="71" t="s">
        <v>476</v>
      </c>
      <c r="B381">
        <v>105</v>
      </c>
      <c r="C381">
        <v>24631</v>
      </c>
      <c r="D381" s="71" t="s">
        <v>664</v>
      </c>
      <c r="E381">
        <v>23.99</v>
      </c>
      <c r="F381">
        <v>18.8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46191</v>
      </c>
      <c r="M381" s="71" t="s">
        <v>960</v>
      </c>
      <c r="N381">
        <v>119.95</v>
      </c>
      <c r="O381">
        <v>5</v>
      </c>
    </row>
    <row r="382" spans="1:15" x14ac:dyDescent="0.35">
      <c r="A382" s="71" t="s">
        <v>476</v>
      </c>
      <c r="B382">
        <v>105</v>
      </c>
      <c r="C382">
        <v>24633</v>
      </c>
      <c r="D382" s="71" t="s">
        <v>665</v>
      </c>
      <c r="E382">
        <v>25.99</v>
      </c>
      <c r="F382">
        <v>17.57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46188</v>
      </c>
      <c r="M382" s="71" t="s">
        <v>309</v>
      </c>
      <c r="N382">
        <v>45.199999999999996</v>
      </c>
      <c r="O382">
        <v>2</v>
      </c>
    </row>
    <row r="383" spans="1:15" x14ac:dyDescent="0.35">
      <c r="A383" s="71" t="s">
        <v>476</v>
      </c>
      <c r="B383">
        <v>105</v>
      </c>
      <c r="C383">
        <v>24633</v>
      </c>
      <c r="D383" s="71" t="s">
        <v>665</v>
      </c>
      <c r="E383">
        <v>25.99</v>
      </c>
      <c r="F383">
        <v>17.57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46189</v>
      </c>
      <c r="M383" s="71" t="s">
        <v>310</v>
      </c>
      <c r="N383">
        <v>67.8</v>
      </c>
      <c r="O383">
        <v>3</v>
      </c>
    </row>
    <row r="384" spans="1:15" x14ac:dyDescent="0.35">
      <c r="A384" s="71" t="s">
        <v>476</v>
      </c>
      <c r="B384">
        <v>105</v>
      </c>
      <c r="C384">
        <v>24633</v>
      </c>
      <c r="D384" s="71" t="s">
        <v>665</v>
      </c>
      <c r="E384">
        <v>25.99</v>
      </c>
      <c r="F384">
        <v>17.57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46190</v>
      </c>
      <c r="M384" s="71" t="s">
        <v>316</v>
      </c>
      <c r="N384">
        <v>21.469565217391306</v>
      </c>
      <c r="O384">
        <v>1</v>
      </c>
    </row>
    <row r="385" spans="1:15" x14ac:dyDescent="0.35">
      <c r="A385" s="71" t="s">
        <v>476</v>
      </c>
      <c r="B385">
        <v>105</v>
      </c>
      <c r="C385">
        <v>24634</v>
      </c>
      <c r="D385" s="71" t="s">
        <v>666</v>
      </c>
      <c r="E385">
        <v>18.989999999999998</v>
      </c>
      <c r="F385">
        <v>14.5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46188</v>
      </c>
      <c r="M385" s="71" t="s">
        <v>309</v>
      </c>
      <c r="N385">
        <v>75.959999999999994</v>
      </c>
      <c r="O385">
        <v>4</v>
      </c>
    </row>
    <row r="386" spans="1:15" x14ac:dyDescent="0.35">
      <c r="A386" s="71" t="s">
        <v>476</v>
      </c>
      <c r="B386">
        <v>105</v>
      </c>
      <c r="C386">
        <v>24634</v>
      </c>
      <c r="D386" s="71" t="s">
        <v>666</v>
      </c>
      <c r="E386">
        <v>18.989999999999998</v>
      </c>
      <c r="F386">
        <v>14.5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46189</v>
      </c>
      <c r="M386" s="71" t="s">
        <v>310</v>
      </c>
      <c r="N386">
        <v>132.93</v>
      </c>
      <c r="O386">
        <v>7</v>
      </c>
    </row>
    <row r="387" spans="1:15" x14ac:dyDescent="0.35">
      <c r="A387" s="71" t="s">
        <v>476</v>
      </c>
      <c r="B387">
        <v>105</v>
      </c>
      <c r="C387">
        <v>24634</v>
      </c>
      <c r="D387" s="71" t="s">
        <v>666</v>
      </c>
      <c r="E387">
        <v>18.989999999999998</v>
      </c>
      <c r="F387">
        <v>14.5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46190</v>
      </c>
      <c r="M387" s="71" t="s">
        <v>316</v>
      </c>
      <c r="N387">
        <v>56.02</v>
      </c>
      <c r="O387">
        <v>3</v>
      </c>
    </row>
    <row r="388" spans="1:15" x14ac:dyDescent="0.35">
      <c r="A388" s="71" t="s">
        <v>476</v>
      </c>
      <c r="B388">
        <v>105</v>
      </c>
      <c r="C388">
        <v>24634</v>
      </c>
      <c r="D388" s="71" t="s">
        <v>666</v>
      </c>
      <c r="E388">
        <v>18.989999999999998</v>
      </c>
      <c r="F388">
        <v>14.5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46191</v>
      </c>
      <c r="M388" s="71" t="s">
        <v>960</v>
      </c>
      <c r="N388">
        <v>37.979999999999997</v>
      </c>
      <c r="O388">
        <v>2</v>
      </c>
    </row>
    <row r="389" spans="1:15" x14ac:dyDescent="0.35">
      <c r="A389" s="71" t="s">
        <v>476</v>
      </c>
      <c r="B389">
        <v>105</v>
      </c>
      <c r="C389">
        <v>24635</v>
      </c>
      <c r="D389" s="71" t="s">
        <v>667</v>
      </c>
      <c r="E389">
        <v>19.989999999999998</v>
      </c>
      <c r="F389">
        <v>14.35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46188</v>
      </c>
      <c r="M389" s="71" t="s">
        <v>309</v>
      </c>
      <c r="N389">
        <v>139.06086956521739</v>
      </c>
      <c r="O389">
        <v>8</v>
      </c>
    </row>
    <row r="390" spans="1:15" x14ac:dyDescent="0.35">
      <c r="A390" s="71" t="s">
        <v>476</v>
      </c>
      <c r="B390">
        <v>105</v>
      </c>
      <c r="C390">
        <v>24635</v>
      </c>
      <c r="D390" s="71" t="s">
        <v>667</v>
      </c>
      <c r="E390">
        <v>19.989999999999998</v>
      </c>
      <c r="F390">
        <v>14.35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46189</v>
      </c>
      <c r="M390" s="71" t="s">
        <v>310</v>
      </c>
      <c r="N390">
        <v>260.73913043478262</v>
      </c>
      <c r="O390">
        <v>15</v>
      </c>
    </row>
    <row r="391" spans="1:15" x14ac:dyDescent="0.35">
      <c r="A391" s="71" t="s">
        <v>476</v>
      </c>
      <c r="B391">
        <v>105</v>
      </c>
      <c r="C391">
        <v>24635</v>
      </c>
      <c r="D391" s="71" t="s">
        <v>667</v>
      </c>
      <c r="E391">
        <v>19.989999999999998</v>
      </c>
      <c r="F391">
        <v>14.35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46190</v>
      </c>
      <c r="M391" s="71" t="s">
        <v>316</v>
      </c>
      <c r="N391">
        <v>172.95652173913044</v>
      </c>
      <c r="O391">
        <v>10</v>
      </c>
    </row>
    <row r="392" spans="1:15" x14ac:dyDescent="0.35">
      <c r="A392" s="71" t="s">
        <v>476</v>
      </c>
      <c r="B392">
        <v>105</v>
      </c>
      <c r="C392">
        <v>24635</v>
      </c>
      <c r="D392" s="71" t="s">
        <v>667</v>
      </c>
      <c r="E392">
        <v>19.989999999999998</v>
      </c>
      <c r="F392">
        <v>14.35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46191</v>
      </c>
      <c r="M392" s="71" t="s">
        <v>960</v>
      </c>
      <c r="N392">
        <v>104.29565217391304</v>
      </c>
      <c r="O392">
        <v>6</v>
      </c>
    </row>
    <row r="393" spans="1:15" x14ac:dyDescent="0.35">
      <c r="A393" s="71" t="s">
        <v>476</v>
      </c>
      <c r="B393">
        <v>105</v>
      </c>
      <c r="C393">
        <v>24636</v>
      </c>
      <c r="D393" s="71" t="s">
        <v>668</v>
      </c>
      <c r="E393">
        <v>25.99</v>
      </c>
      <c r="F393">
        <v>16.36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46190</v>
      </c>
      <c r="M393" s="71" t="s">
        <v>316</v>
      </c>
      <c r="N393">
        <v>45.199999999999996</v>
      </c>
      <c r="O393">
        <v>2</v>
      </c>
    </row>
    <row r="394" spans="1:15" x14ac:dyDescent="0.35">
      <c r="A394" s="71" t="s">
        <v>476</v>
      </c>
      <c r="B394">
        <v>105</v>
      </c>
      <c r="C394">
        <v>24639</v>
      </c>
      <c r="D394" s="71" t="s">
        <v>670</v>
      </c>
      <c r="E394">
        <v>25.99</v>
      </c>
      <c r="F394">
        <v>16.36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46188</v>
      </c>
      <c r="M394" s="71" t="s">
        <v>309</v>
      </c>
      <c r="N394">
        <v>22.599999999999998</v>
      </c>
      <c r="O394">
        <v>1</v>
      </c>
    </row>
    <row r="395" spans="1:15" x14ac:dyDescent="0.35">
      <c r="A395" s="71" t="s">
        <v>476</v>
      </c>
      <c r="B395">
        <v>105</v>
      </c>
      <c r="C395">
        <v>24652</v>
      </c>
      <c r="D395" s="71" t="s">
        <v>671</v>
      </c>
      <c r="E395">
        <v>22.99</v>
      </c>
      <c r="F395">
        <v>14.35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46188</v>
      </c>
      <c r="M395" s="71" t="s">
        <v>309</v>
      </c>
      <c r="N395">
        <v>279.87826086956522</v>
      </c>
      <c r="O395">
        <v>14</v>
      </c>
    </row>
    <row r="396" spans="1:15" x14ac:dyDescent="0.35">
      <c r="A396" s="71" t="s">
        <v>476</v>
      </c>
      <c r="B396">
        <v>105</v>
      </c>
      <c r="C396">
        <v>24652</v>
      </c>
      <c r="D396" s="71" t="s">
        <v>671</v>
      </c>
      <c r="E396">
        <v>22.99</v>
      </c>
      <c r="F396">
        <v>14.35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46189</v>
      </c>
      <c r="M396" s="71" t="s">
        <v>310</v>
      </c>
      <c r="N396">
        <v>259.88695652173914</v>
      </c>
      <c r="O396">
        <v>13</v>
      </c>
    </row>
    <row r="397" spans="1:15" x14ac:dyDescent="0.35">
      <c r="A397" s="71" t="s">
        <v>476</v>
      </c>
      <c r="B397">
        <v>105</v>
      </c>
      <c r="C397">
        <v>24652</v>
      </c>
      <c r="D397" s="71" t="s">
        <v>671</v>
      </c>
      <c r="E397">
        <v>22.99</v>
      </c>
      <c r="F397">
        <v>14.35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46190</v>
      </c>
      <c r="M397" s="71" t="s">
        <v>316</v>
      </c>
      <c r="N397">
        <v>197.91304347826087</v>
      </c>
      <c r="O397">
        <v>10</v>
      </c>
    </row>
    <row r="398" spans="1:15" x14ac:dyDescent="0.35">
      <c r="A398" s="71" t="s">
        <v>476</v>
      </c>
      <c r="B398">
        <v>105</v>
      </c>
      <c r="C398">
        <v>24652</v>
      </c>
      <c r="D398" s="71" t="s">
        <v>671</v>
      </c>
      <c r="E398">
        <v>22.99</v>
      </c>
      <c r="F398">
        <v>14.35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46191</v>
      </c>
      <c r="M398" s="71" t="s">
        <v>960</v>
      </c>
      <c r="N398">
        <v>59.973913043478262</v>
      </c>
      <c r="O398">
        <v>3</v>
      </c>
    </row>
    <row r="399" spans="1:15" x14ac:dyDescent="0.35">
      <c r="A399" s="71" t="s">
        <v>476</v>
      </c>
      <c r="B399">
        <v>105</v>
      </c>
      <c r="C399">
        <v>24653</v>
      </c>
      <c r="D399" s="71" t="s">
        <v>672</v>
      </c>
      <c r="E399">
        <v>18.989999999999998</v>
      </c>
      <c r="F399">
        <v>14.5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46188</v>
      </c>
      <c r="M399" s="71" t="s">
        <v>309</v>
      </c>
      <c r="N399">
        <v>37.979999999999997</v>
      </c>
      <c r="O399">
        <v>2</v>
      </c>
    </row>
    <row r="400" spans="1:15" x14ac:dyDescent="0.35">
      <c r="A400" s="71" t="s">
        <v>476</v>
      </c>
      <c r="B400">
        <v>105</v>
      </c>
      <c r="C400">
        <v>24653</v>
      </c>
      <c r="D400" s="71" t="s">
        <v>672</v>
      </c>
      <c r="E400">
        <v>18.989999999999998</v>
      </c>
      <c r="F400">
        <v>14.5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46189</v>
      </c>
      <c r="M400" s="71" t="s">
        <v>310</v>
      </c>
      <c r="N400">
        <v>37.979999999999997</v>
      </c>
      <c r="O400">
        <v>2</v>
      </c>
    </row>
    <row r="401" spans="1:15" x14ac:dyDescent="0.35">
      <c r="A401" s="71" t="s">
        <v>476</v>
      </c>
      <c r="B401">
        <v>105</v>
      </c>
      <c r="C401">
        <v>24653</v>
      </c>
      <c r="D401" s="71" t="s">
        <v>672</v>
      </c>
      <c r="E401">
        <v>18.989999999999998</v>
      </c>
      <c r="F401">
        <v>14.5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46190</v>
      </c>
      <c r="M401" s="71" t="s">
        <v>316</v>
      </c>
      <c r="N401">
        <v>18.04</v>
      </c>
      <c r="O401">
        <v>1</v>
      </c>
    </row>
    <row r="402" spans="1:15" x14ac:dyDescent="0.35">
      <c r="A402" s="71" t="s">
        <v>476</v>
      </c>
      <c r="B402">
        <v>105</v>
      </c>
      <c r="C402">
        <v>24653</v>
      </c>
      <c r="D402" s="71" t="s">
        <v>672</v>
      </c>
      <c r="E402">
        <v>18.989999999999998</v>
      </c>
      <c r="F402">
        <v>14.5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46191</v>
      </c>
      <c r="M402" s="71" t="s">
        <v>960</v>
      </c>
      <c r="N402">
        <v>18.989999999999998</v>
      </c>
      <c r="O402">
        <v>1</v>
      </c>
    </row>
    <row r="403" spans="1:15" x14ac:dyDescent="0.35">
      <c r="A403" s="71" t="s">
        <v>635</v>
      </c>
      <c r="B403">
        <v>105</v>
      </c>
      <c r="C403">
        <v>34727</v>
      </c>
      <c r="D403" s="71" t="s">
        <v>675</v>
      </c>
      <c r="E403">
        <v>30.49</v>
      </c>
      <c r="F403">
        <v>23.32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46188</v>
      </c>
      <c r="M403" s="71" t="s">
        <v>309</v>
      </c>
      <c r="N403">
        <v>91.47</v>
      </c>
      <c r="O403">
        <v>3</v>
      </c>
    </row>
    <row r="404" spans="1:15" x14ac:dyDescent="0.35">
      <c r="A404" s="71" t="s">
        <v>635</v>
      </c>
      <c r="B404">
        <v>105</v>
      </c>
      <c r="C404">
        <v>34727</v>
      </c>
      <c r="D404" s="71" t="s">
        <v>675</v>
      </c>
      <c r="E404">
        <v>30.49</v>
      </c>
      <c r="F404">
        <v>23.32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46189</v>
      </c>
      <c r="M404" s="71" t="s">
        <v>310</v>
      </c>
      <c r="N404">
        <v>182.94</v>
      </c>
      <c r="O404">
        <v>6</v>
      </c>
    </row>
    <row r="405" spans="1:15" x14ac:dyDescent="0.35">
      <c r="A405" s="71" t="s">
        <v>635</v>
      </c>
      <c r="B405">
        <v>105</v>
      </c>
      <c r="C405">
        <v>34727</v>
      </c>
      <c r="D405" s="71" t="s">
        <v>675</v>
      </c>
      <c r="E405">
        <v>30.49</v>
      </c>
      <c r="F405">
        <v>23.32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46190</v>
      </c>
      <c r="M405" s="71" t="s">
        <v>316</v>
      </c>
      <c r="N405">
        <v>60.98</v>
      </c>
      <c r="O405">
        <v>2</v>
      </c>
    </row>
    <row r="406" spans="1:15" x14ac:dyDescent="0.35">
      <c r="A406" s="71" t="s">
        <v>635</v>
      </c>
      <c r="B406">
        <v>105</v>
      </c>
      <c r="C406">
        <v>34727</v>
      </c>
      <c r="D406" s="71" t="s">
        <v>675</v>
      </c>
      <c r="E406">
        <v>30.49</v>
      </c>
      <c r="F406">
        <v>23.32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46191</v>
      </c>
      <c r="M406" s="71" t="s">
        <v>960</v>
      </c>
      <c r="N406">
        <v>121.96</v>
      </c>
      <c r="O406">
        <v>4</v>
      </c>
    </row>
    <row r="407" spans="1:15" x14ac:dyDescent="0.35">
      <c r="A407" s="71" t="s">
        <v>317</v>
      </c>
      <c r="B407">
        <v>105</v>
      </c>
      <c r="C407">
        <v>58843</v>
      </c>
      <c r="D407" s="71" t="s">
        <v>511</v>
      </c>
      <c r="E407">
        <v>24.99</v>
      </c>
      <c r="F407">
        <v>15.529409999999999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46188</v>
      </c>
      <c r="M407" s="71" t="s">
        <v>309</v>
      </c>
      <c r="N407">
        <v>65.19130434782609</v>
      </c>
      <c r="O407">
        <v>3</v>
      </c>
    </row>
    <row r="408" spans="1:15" x14ac:dyDescent="0.35">
      <c r="A408" s="71" t="s">
        <v>317</v>
      </c>
      <c r="B408">
        <v>105</v>
      </c>
      <c r="C408">
        <v>58843</v>
      </c>
      <c r="D408" s="71" t="s">
        <v>511</v>
      </c>
      <c r="E408">
        <v>24.99</v>
      </c>
      <c r="F408">
        <v>15.529409999999999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46189</v>
      </c>
      <c r="M408" s="71" t="s">
        <v>310</v>
      </c>
      <c r="N408">
        <v>369.41739130434786</v>
      </c>
      <c r="O408">
        <v>17</v>
      </c>
    </row>
    <row r="409" spans="1:15" x14ac:dyDescent="0.35">
      <c r="A409" s="71" t="s">
        <v>317</v>
      </c>
      <c r="B409">
        <v>105</v>
      </c>
      <c r="C409">
        <v>58843</v>
      </c>
      <c r="D409" s="71" t="s">
        <v>511</v>
      </c>
      <c r="E409">
        <v>24.99</v>
      </c>
      <c r="F409">
        <v>15.529409999999999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46190</v>
      </c>
      <c r="M409" s="71" t="s">
        <v>316</v>
      </c>
      <c r="N409">
        <v>173.84347826086957</v>
      </c>
      <c r="O409">
        <v>8</v>
      </c>
    </row>
    <row r="410" spans="1:15" x14ac:dyDescent="0.35">
      <c r="A410" s="71" t="s">
        <v>317</v>
      </c>
      <c r="B410">
        <v>105</v>
      </c>
      <c r="C410">
        <v>58843</v>
      </c>
      <c r="D410" s="71" t="s">
        <v>511</v>
      </c>
      <c r="E410">
        <v>24.99</v>
      </c>
      <c r="F410">
        <v>15.529409999999999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46191</v>
      </c>
      <c r="M410" s="71" t="s">
        <v>960</v>
      </c>
      <c r="N410">
        <v>733.4</v>
      </c>
      <c r="O410">
        <v>35</v>
      </c>
    </row>
    <row r="411" spans="1:15" x14ac:dyDescent="0.35">
      <c r="A411" s="71" t="s">
        <v>14</v>
      </c>
      <c r="B411">
        <v>106</v>
      </c>
      <c r="C411">
        <v>54018</v>
      </c>
      <c r="D411" s="71" t="s">
        <v>243</v>
      </c>
      <c r="E411">
        <v>18.989999999999998</v>
      </c>
      <c r="F411">
        <v>9.83</v>
      </c>
      <c r="G411">
        <v>93</v>
      </c>
      <c r="H411">
        <v>1766.07</v>
      </c>
      <c r="I411">
        <v>914.19</v>
      </c>
      <c r="J411">
        <v>851.87999999999988</v>
      </c>
      <c r="K411">
        <v>48.235913638757232</v>
      </c>
      <c r="L411">
        <v>46188</v>
      </c>
      <c r="M411" s="71" t="s">
        <v>309</v>
      </c>
      <c r="N411">
        <v>132.10434782608695</v>
      </c>
      <c r="O411">
        <v>8</v>
      </c>
    </row>
    <row r="412" spans="1:15" x14ac:dyDescent="0.35">
      <c r="A412" s="71" t="s">
        <v>14</v>
      </c>
      <c r="B412">
        <v>106</v>
      </c>
      <c r="C412">
        <v>54018</v>
      </c>
      <c r="D412" s="71" t="s">
        <v>243</v>
      </c>
      <c r="E412">
        <v>18.989999999999998</v>
      </c>
      <c r="F412">
        <v>9.83</v>
      </c>
      <c r="G412">
        <v>93</v>
      </c>
      <c r="H412">
        <v>1766.07</v>
      </c>
      <c r="I412">
        <v>914.19</v>
      </c>
      <c r="J412">
        <v>851.87999999999988</v>
      </c>
      <c r="K412">
        <v>48.235913638757232</v>
      </c>
      <c r="L412">
        <v>46189</v>
      </c>
      <c r="M412" s="71" t="s">
        <v>310</v>
      </c>
      <c r="N412">
        <v>49.539130434782606</v>
      </c>
      <c r="O412">
        <v>3</v>
      </c>
    </row>
    <row r="413" spans="1:15" x14ac:dyDescent="0.35">
      <c r="A413" s="71" t="s">
        <v>14</v>
      </c>
      <c r="B413">
        <v>106</v>
      </c>
      <c r="C413">
        <v>54018</v>
      </c>
      <c r="D413" s="71" t="s">
        <v>243</v>
      </c>
      <c r="E413">
        <v>18.989999999999998</v>
      </c>
      <c r="F413">
        <v>9.83</v>
      </c>
      <c r="G413">
        <v>93</v>
      </c>
      <c r="H413">
        <v>1766.07</v>
      </c>
      <c r="I413">
        <v>914.19</v>
      </c>
      <c r="J413">
        <v>851.87999999999988</v>
      </c>
      <c r="K413">
        <v>48.235913638757232</v>
      </c>
      <c r="L413">
        <v>46190</v>
      </c>
      <c r="M413" s="71" t="s">
        <v>316</v>
      </c>
      <c r="N413">
        <v>99.078260869565213</v>
      </c>
      <c r="O413">
        <v>6</v>
      </c>
    </row>
    <row r="414" spans="1:15" x14ac:dyDescent="0.35">
      <c r="A414" s="71" t="s">
        <v>14</v>
      </c>
      <c r="B414">
        <v>106</v>
      </c>
      <c r="C414">
        <v>54018</v>
      </c>
      <c r="D414" s="71" t="s">
        <v>243</v>
      </c>
      <c r="E414">
        <v>18.989999999999998</v>
      </c>
      <c r="F414">
        <v>9.83</v>
      </c>
      <c r="G414">
        <v>93</v>
      </c>
      <c r="H414">
        <v>1766.07</v>
      </c>
      <c r="I414">
        <v>914.19</v>
      </c>
      <c r="J414">
        <v>851.87999999999988</v>
      </c>
      <c r="K414">
        <v>48.235913638757232</v>
      </c>
      <c r="L414">
        <v>46191</v>
      </c>
      <c r="M414" s="71" t="s">
        <v>960</v>
      </c>
      <c r="N414">
        <v>198.15652173913043</v>
      </c>
      <c r="O414">
        <v>12</v>
      </c>
    </row>
    <row r="415" spans="1:15" x14ac:dyDescent="0.35">
      <c r="A415" s="71" t="s">
        <v>317</v>
      </c>
      <c r="B415">
        <v>106</v>
      </c>
      <c r="C415">
        <v>14582</v>
      </c>
      <c r="D415" s="71" t="s">
        <v>482</v>
      </c>
      <c r="E415">
        <v>22.99</v>
      </c>
      <c r="F415">
        <v>13.88095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46191</v>
      </c>
      <c r="M415" s="71" t="s">
        <v>960</v>
      </c>
      <c r="N415">
        <v>19.991304347826087</v>
      </c>
      <c r="O415">
        <v>1</v>
      </c>
    </row>
    <row r="416" spans="1:15" x14ac:dyDescent="0.35">
      <c r="A416" s="71" t="s">
        <v>317</v>
      </c>
      <c r="B416">
        <v>106</v>
      </c>
      <c r="C416">
        <v>14712</v>
      </c>
      <c r="D416" s="71" t="s">
        <v>483</v>
      </c>
      <c r="E416">
        <v>51.99</v>
      </c>
      <c r="F416">
        <v>32.214849999999998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46188</v>
      </c>
      <c r="M416" s="71" t="s">
        <v>309</v>
      </c>
      <c r="N416">
        <v>90.417391304347831</v>
      </c>
      <c r="O416">
        <v>2</v>
      </c>
    </row>
    <row r="417" spans="1:15" x14ac:dyDescent="0.35">
      <c r="A417" s="71" t="s">
        <v>317</v>
      </c>
      <c r="B417">
        <v>106</v>
      </c>
      <c r="C417">
        <v>14713</v>
      </c>
      <c r="D417" s="71" t="s">
        <v>484</v>
      </c>
      <c r="E417">
        <v>39.99</v>
      </c>
      <c r="F417">
        <v>25.062649999999998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46188</v>
      </c>
      <c r="M417" s="71" t="s">
        <v>309</v>
      </c>
      <c r="N417">
        <v>34.77391304347826</v>
      </c>
      <c r="O417">
        <v>1</v>
      </c>
    </row>
    <row r="418" spans="1:15" x14ac:dyDescent="0.35">
      <c r="A418" s="71" t="s">
        <v>317</v>
      </c>
      <c r="B418">
        <v>106</v>
      </c>
      <c r="C418">
        <v>14713</v>
      </c>
      <c r="D418" s="71" t="s">
        <v>484</v>
      </c>
      <c r="E418">
        <v>39.99</v>
      </c>
      <c r="F418">
        <v>25.062649999999998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46189</v>
      </c>
      <c r="M418" s="71" t="s">
        <v>310</v>
      </c>
      <c r="N418">
        <v>173.86956521739128</v>
      </c>
      <c r="O418">
        <v>5</v>
      </c>
    </row>
    <row r="419" spans="1:15" x14ac:dyDescent="0.35">
      <c r="A419" s="71" t="s">
        <v>317</v>
      </c>
      <c r="B419">
        <v>106</v>
      </c>
      <c r="C419">
        <v>14713</v>
      </c>
      <c r="D419" s="71" t="s">
        <v>484</v>
      </c>
      <c r="E419">
        <v>39.99</v>
      </c>
      <c r="F419">
        <v>25.062649999999998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46190</v>
      </c>
      <c r="M419" s="71" t="s">
        <v>316</v>
      </c>
      <c r="N419">
        <v>34.77391304347826</v>
      </c>
      <c r="O419">
        <v>1</v>
      </c>
    </row>
    <row r="420" spans="1:15" x14ac:dyDescent="0.35">
      <c r="A420" s="71" t="s">
        <v>317</v>
      </c>
      <c r="B420">
        <v>106</v>
      </c>
      <c r="C420">
        <v>14713</v>
      </c>
      <c r="D420" s="71" t="s">
        <v>484</v>
      </c>
      <c r="E420">
        <v>39.99</v>
      </c>
      <c r="F420">
        <v>25.062649999999998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46191</v>
      </c>
      <c r="M420" s="71" t="s">
        <v>960</v>
      </c>
      <c r="N420">
        <v>34.77391304347826</v>
      </c>
      <c r="O420">
        <v>1</v>
      </c>
    </row>
    <row r="421" spans="1:15" x14ac:dyDescent="0.35">
      <c r="A421" s="71" t="s">
        <v>317</v>
      </c>
      <c r="B421">
        <v>106</v>
      </c>
      <c r="C421">
        <v>14714</v>
      </c>
      <c r="D421" s="71" t="s">
        <v>485</v>
      </c>
      <c r="E421">
        <v>43.99</v>
      </c>
      <c r="F421">
        <v>27.177240000000001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46188</v>
      </c>
      <c r="M421" s="71" t="s">
        <v>309</v>
      </c>
      <c r="N421">
        <v>38.252173913043478</v>
      </c>
      <c r="O421">
        <v>1</v>
      </c>
    </row>
    <row r="422" spans="1:15" x14ac:dyDescent="0.35">
      <c r="A422" s="71" t="s">
        <v>317</v>
      </c>
      <c r="B422">
        <v>106</v>
      </c>
      <c r="C422">
        <v>14716</v>
      </c>
      <c r="D422" s="71" t="s">
        <v>487</v>
      </c>
      <c r="E422">
        <v>43.99</v>
      </c>
      <c r="F422">
        <v>27.177240000000001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46188</v>
      </c>
      <c r="M422" s="71" t="s">
        <v>309</v>
      </c>
      <c r="N422">
        <v>114.75652173913043</v>
      </c>
      <c r="O422">
        <v>3</v>
      </c>
    </row>
    <row r="423" spans="1:15" x14ac:dyDescent="0.35">
      <c r="A423" s="71" t="s">
        <v>317</v>
      </c>
      <c r="B423">
        <v>106</v>
      </c>
      <c r="C423">
        <v>14716</v>
      </c>
      <c r="D423" s="71" t="s">
        <v>487</v>
      </c>
      <c r="E423">
        <v>43.99</v>
      </c>
      <c r="F423">
        <v>27.177240000000001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46191</v>
      </c>
      <c r="M423" s="71" t="s">
        <v>960</v>
      </c>
      <c r="N423">
        <v>76.504347826086956</v>
      </c>
      <c r="O423">
        <v>2</v>
      </c>
    </row>
    <row r="424" spans="1:15" x14ac:dyDescent="0.35">
      <c r="A424" s="71" t="s">
        <v>317</v>
      </c>
      <c r="B424">
        <v>106</v>
      </c>
      <c r="C424">
        <v>14721</v>
      </c>
      <c r="D424" s="71" t="s">
        <v>492</v>
      </c>
      <c r="E424">
        <v>42.99</v>
      </c>
      <c r="F424">
        <v>26.658679999999997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46188</v>
      </c>
      <c r="M424" s="71" t="s">
        <v>309</v>
      </c>
      <c r="N424">
        <v>37.382608695652173</v>
      </c>
      <c r="O424">
        <v>1</v>
      </c>
    </row>
    <row r="425" spans="1:15" x14ac:dyDescent="0.35">
      <c r="A425" s="71" t="s">
        <v>317</v>
      </c>
      <c r="B425">
        <v>106</v>
      </c>
      <c r="C425">
        <v>14723</v>
      </c>
      <c r="D425" s="71" t="s">
        <v>494</v>
      </c>
      <c r="E425">
        <v>57.99</v>
      </c>
      <c r="F425">
        <v>36.126940000000005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46189</v>
      </c>
      <c r="M425" s="71" t="s">
        <v>310</v>
      </c>
      <c r="N425">
        <v>50.426086956521743</v>
      </c>
      <c r="O425">
        <v>1</v>
      </c>
    </row>
    <row r="426" spans="1:15" x14ac:dyDescent="0.35">
      <c r="A426" s="71" t="s">
        <v>317</v>
      </c>
      <c r="B426">
        <v>106</v>
      </c>
      <c r="C426">
        <v>14728</v>
      </c>
      <c r="D426" s="71" t="s">
        <v>497</v>
      </c>
      <c r="E426">
        <v>51.99</v>
      </c>
      <c r="F426">
        <v>32.159280000000003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46188</v>
      </c>
      <c r="M426" s="71" t="s">
        <v>309</v>
      </c>
      <c r="N426">
        <v>180.83478260869566</v>
      </c>
      <c r="O426">
        <v>4</v>
      </c>
    </row>
    <row r="427" spans="1:15" x14ac:dyDescent="0.35">
      <c r="A427" s="71" t="s">
        <v>317</v>
      </c>
      <c r="B427">
        <v>106</v>
      </c>
      <c r="C427">
        <v>14984</v>
      </c>
      <c r="D427" s="71" t="s">
        <v>531</v>
      </c>
      <c r="E427">
        <v>38.99</v>
      </c>
      <c r="F427">
        <v>24.260149999999999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46188</v>
      </c>
      <c r="M427" s="71" t="s">
        <v>309</v>
      </c>
      <c r="N427">
        <v>33.904347826086962</v>
      </c>
      <c r="O427">
        <v>1</v>
      </c>
    </row>
    <row r="428" spans="1:15" x14ac:dyDescent="0.35">
      <c r="A428" s="71" t="s">
        <v>317</v>
      </c>
      <c r="B428">
        <v>106</v>
      </c>
      <c r="C428">
        <v>15780</v>
      </c>
      <c r="D428" s="71" t="s">
        <v>581</v>
      </c>
      <c r="E428">
        <v>59.99</v>
      </c>
      <c r="F428">
        <v>36.994506250000001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46188</v>
      </c>
      <c r="M428" s="71" t="s">
        <v>309</v>
      </c>
      <c r="N428">
        <v>52.165217391304353</v>
      </c>
      <c r="O428">
        <v>1</v>
      </c>
    </row>
    <row r="429" spans="1:15" x14ac:dyDescent="0.35">
      <c r="A429" s="71" t="s">
        <v>317</v>
      </c>
      <c r="B429">
        <v>106</v>
      </c>
      <c r="C429">
        <v>15780</v>
      </c>
      <c r="D429" s="71" t="s">
        <v>581</v>
      </c>
      <c r="E429">
        <v>59.99</v>
      </c>
      <c r="F429">
        <v>36.994506250000001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46189</v>
      </c>
      <c r="M429" s="71" t="s">
        <v>310</v>
      </c>
      <c r="N429">
        <v>104.33043478260871</v>
      </c>
      <c r="O429">
        <v>2</v>
      </c>
    </row>
    <row r="430" spans="1:15" x14ac:dyDescent="0.35">
      <c r="A430" s="71" t="s">
        <v>317</v>
      </c>
      <c r="B430">
        <v>106</v>
      </c>
      <c r="C430">
        <v>15780</v>
      </c>
      <c r="D430" s="71" t="s">
        <v>581</v>
      </c>
      <c r="E430">
        <v>59.99</v>
      </c>
      <c r="F430">
        <v>36.994506250000001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46191</v>
      </c>
      <c r="M430" s="71" t="s">
        <v>960</v>
      </c>
      <c r="N430">
        <v>156.49565217391304</v>
      </c>
      <c r="O430">
        <v>3</v>
      </c>
    </row>
    <row r="431" spans="1:15" x14ac:dyDescent="0.35">
      <c r="A431" s="71" t="s">
        <v>317</v>
      </c>
      <c r="B431">
        <v>106</v>
      </c>
      <c r="C431">
        <v>15822</v>
      </c>
      <c r="D431" s="71" t="s">
        <v>585</v>
      </c>
      <c r="E431">
        <v>59.99</v>
      </c>
      <c r="F431">
        <v>36.994506250000001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46188</v>
      </c>
      <c r="M431" s="71" t="s">
        <v>309</v>
      </c>
      <c r="N431">
        <v>52.165217391304353</v>
      </c>
      <c r="O431">
        <v>1</v>
      </c>
    </row>
    <row r="432" spans="1:15" x14ac:dyDescent="0.35">
      <c r="A432" s="71" t="s">
        <v>14</v>
      </c>
      <c r="B432">
        <v>106</v>
      </c>
      <c r="C432">
        <v>34027</v>
      </c>
      <c r="D432" s="71" t="s">
        <v>245</v>
      </c>
      <c r="E432">
        <v>27.99</v>
      </c>
      <c r="F432">
        <v>15.41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46190</v>
      </c>
      <c r="M432" s="71" t="s">
        <v>316</v>
      </c>
      <c r="N432">
        <v>24.339130434782607</v>
      </c>
      <c r="O432">
        <v>1</v>
      </c>
    </row>
    <row r="433" spans="1:15" x14ac:dyDescent="0.35">
      <c r="A433" s="71" t="s">
        <v>14</v>
      </c>
      <c r="B433">
        <v>106</v>
      </c>
      <c r="C433">
        <v>34027</v>
      </c>
      <c r="D433" s="71" t="s">
        <v>245</v>
      </c>
      <c r="E433">
        <v>27.99</v>
      </c>
      <c r="F433">
        <v>15.41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46191</v>
      </c>
      <c r="M433" s="71" t="s">
        <v>960</v>
      </c>
      <c r="N433">
        <v>48.678260869565214</v>
      </c>
      <c r="O433">
        <v>2</v>
      </c>
    </row>
    <row r="434" spans="1:15" x14ac:dyDescent="0.35">
      <c r="A434" s="71" t="s">
        <v>317</v>
      </c>
      <c r="B434">
        <v>106</v>
      </c>
      <c r="C434">
        <v>46182</v>
      </c>
      <c r="D434" s="71" t="s">
        <v>797</v>
      </c>
      <c r="E434">
        <v>59.99</v>
      </c>
      <c r="F434">
        <v>36.994506250000001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46188</v>
      </c>
      <c r="M434" s="71" t="s">
        <v>309</v>
      </c>
      <c r="N434">
        <v>52.165217391304353</v>
      </c>
      <c r="O434">
        <v>1</v>
      </c>
    </row>
    <row r="435" spans="1:15" x14ac:dyDescent="0.35">
      <c r="A435" s="71" t="s">
        <v>317</v>
      </c>
      <c r="B435">
        <v>106</v>
      </c>
      <c r="C435">
        <v>46182</v>
      </c>
      <c r="D435" s="71" t="s">
        <v>797</v>
      </c>
      <c r="E435">
        <v>59.99</v>
      </c>
      <c r="F435">
        <v>36.994506250000001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46189</v>
      </c>
      <c r="M435" s="71" t="s">
        <v>310</v>
      </c>
      <c r="N435">
        <v>104.33043478260871</v>
      </c>
      <c r="O435">
        <v>2</v>
      </c>
    </row>
    <row r="436" spans="1:15" x14ac:dyDescent="0.35">
      <c r="A436" s="71" t="s">
        <v>317</v>
      </c>
      <c r="B436">
        <v>106</v>
      </c>
      <c r="C436">
        <v>46182</v>
      </c>
      <c r="D436" s="71" t="s">
        <v>797</v>
      </c>
      <c r="E436">
        <v>59.99</v>
      </c>
      <c r="F436">
        <v>36.994506250000001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46190</v>
      </c>
      <c r="M436" s="71" t="s">
        <v>316</v>
      </c>
      <c r="N436">
        <v>101.72173913043478</v>
      </c>
      <c r="O436">
        <v>2</v>
      </c>
    </row>
    <row r="437" spans="1:15" x14ac:dyDescent="0.35">
      <c r="A437" s="71" t="s">
        <v>317</v>
      </c>
      <c r="B437">
        <v>107</v>
      </c>
      <c r="C437">
        <v>14936</v>
      </c>
      <c r="D437" s="71" t="s">
        <v>508</v>
      </c>
      <c r="E437">
        <v>44.99</v>
      </c>
      <c r="F437">
        <v>27.607716666666665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46190</v>
      </c>
      <c r="M437" s="71" t="s">
        <v>316</v>
      </c>
      <c r="N437">
        <v>37.165217391304353</v>
      </c>
      <c r="O437">
        <v>1</v>
      </c>
    </row>
    <row r="438" spans="1:15" x14ac:dyDescent="0.35">
      <c r="A438" s="71" t="s">
        <v>317</v>
      </c>
      <c r="B438">
        <v>107</v>
      </c>
      <c r="C438">
        <v>14936</v>
      </c>
      <c r="D438" s="71" t="s">
        <v>508</v>
      </c>
      <c r="E438">
        <v>44.99</v>
      </c>
      <c r="F438">
        <v>27.607716666666665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46191</v>
      </c>
      <c r="M438" s="71" t="s">
        <v>960</v>
      </c>
      <c r="N438">
        <v>39.121739130434783</v>
      </c>
      <c r="O438">
        <v>1</v>
      </c>
    </row>
    <row r="439" spans="1:15" x14ac:dyDescent="0.35">
      <c r="A439" s="71" t="s">
        <v>317</v>
      </c>
      <c r="B439">
        <v>107</v>
      </c>
      <c r="C439">
        <v>14970</v>
      </c>
      <c r="D439" s="71" t="s">
        <v>529</v>
      </c>
      <c r="E439">
        <v>19.989999999999998</v>
      </c>
      <c r="F439">
        <v>12.326425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46190</v>
      </c>
      <c r="M439" s="71" t="s">
        <v>316</v>
      </c>
      <c r="N439">
        <v>34.765217391304347</v>
      </c>
      <c r="O439">
        <v>2</v>
      </c>
    </row>
    <row r="440" spans="1:15" x14ac:dyDescent="0.35">
      <c r="A440" s="71" t="s">
        <v>317</v>
      </c>
      <c r="B440">
        <v>107</v>
      </c>
      <c r="C440">
        <v>14970</v>
      </c>
      <c r="D440" s="71" t="s">
        <v>529</v>
      </c>
      <c r="E440">
        <v>19.989999999999998</v>
      </c>
      <c r="F440">
        <v>12.326425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46191</v>
      </c>
      <c r="M440" s="71" t="s">
        <v>960</v>
      </c>
      <c r="N440">
        <v>34.765217391304347</v>
      </c>
      <c r="O440">
        <v>2</v>
      </c>
    </row>
    <row r="441" spans="1:15" x14ac:dyDescent="0.35">
      <c r="A441" s="71" t="s">
        <v>317</v>
      </c>
      <c r="B441">
        <v>107</v>
      </c>
      <c r="C441">
        <v>15080</v>
      </c>
      <c r="D441" s="71" t="s">
        <v>537</v>
      </c>
      <c r="E441">
        <v>117.99</v>
      </c>
      <c r="F441">
        <v>73.990016666666662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46189</v>
      </c>
      <c r="M441" s="71" t="s">
        <v>310</v>
      </c>
      <c r="N441">
        <v>102.6</v>
      </c>
      <c r="O441">
        <v>1</v>
      </c>
    </row>
    <row r="442" spans="1:15" x14ac:dyDescent="0.35">
      <c r="A442" s="71" t="s">
        <v>317</v>
      </c>
      <c r="B442">
        <v>107</v>
      </c>
      <c r="C442">
        <v>15097</v>
      </c>
      <c r="D442" s="71" t="s">
        <v>541</v>
      </c>
      <c r="E442">
        <v>45.99</v>
      </c>
      <c r="F442">
        <v>28.530116666666668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46191</v>
      </c>
      <c r="M442" s="71" t="s">
        <v>960</v>
      </c>
      <c r="N442">
        <v>79.982608695652175</v>
      </c>
      <c r="O442">
        <v>2</v>
      </c>
    </row>
    <row r="443" spans="1:15" x14ac:dyDescent="0.35">
      <c r="A443" s="71" t="s">
        <v>317</v>
      </c>
      <c r="B443">
        <v>107</v>
      </c>
      <c r="C443">
        <v>15283</v>
      </c>
      <c r="D443" s="71" t="s">
        <v>563</v>
      </c>
      <c r="E443">
        <v>71.989999999999995</v>
      </c>
      <c r="F443">
        <v>44.50665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46190</v>
      </c>
      <c r="M443" s="71" t="s">
        <v>316</v>
      </c>
      <c r="N443">
        <v>62.599999999999994</v>
      </c>
      <c r="O443">
        <v>1</v>
      </c>
    </row>
    <row r="444" spans="1:15" x14ac:dyDescent="0.35">
      <c r="A444" s="71" t="s">
        <v>317</v>
      </c>
      <c r="B444">
        <v>107</v>
      </c>
      <c r="C444">
        <v>15285</v>
      </c>
      <c r="D444" s="71" t="s">
        <v>565</v>
      </c>
      <c r="E444">
        <v>71.989999999999995</v>
      </c>
      <c r="F444">
        <v>44.50665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46190</v>
      </c>
      <c r="M444" s="71" t="s">
        <v>316</v>
      </c>
      <c r="N444">
        <v>62.599999999999994</v>
      </c>
      <c r="O444">
        <v>1</v>
      </c>
    </row>
    <row r="445" spans="1:15" x14ac:dyDescent="0.35">
      <c r="A445" s="71" t="s">
        <v>317</v>
      </c>
      <c r="B445">
        <v>107</v>
      </c>
      <c r="C445">
        <v>15297</v>
      </c>
      <c r="D445" s="71" t="s">
        <v>571</v>
      </c>
      <c r="E445">
        <v>49.99</v>
      </c>
      <c r="F445">
        <v>30.655766666666665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46189</v>
      </c>
      <c r="M445" s="71" t="s">
        <v>310</v>
      </c>
      <c r="N445">
        <v>43.469565217391306</v>
      </c>
      <c r="O445">
        <v>1</v>
      </c>
    </row>
    <row r="446" spans="1:15" x14ac:dyDescent="0.35">
      <c r="A446" s="71" t="s">
        <v>317</v>
      </c>
      <c r="B446">
        <v>107</v>
      </c>
      <c r="C446">
        <v>15297</v>
      </c>
      <c r="D446" s="71" t="s">
        <v>571</v>
      </c>
      <c r="E446">
        <v>49.99</v>
      </c>
      <c r="F446">
        <v>30.655766666666665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46191</v>
      </c>
      <c r="M446" s="71" t="s">
        <v>960</v>
      </c>
      <c r="N446">
        <v>43.469565217391306</v>
      </c>
      <c r="O446">
        <v>1</v>
      </c>
    </row>
    <row r="447" spans="1:15" x14ac:dyDescent="0.35">
      <c r="A447" s="71" t="s">
        <v>317</v>
      </c>
      <c r="B447">
        <v>107</v>
      </c>
      <c r="C447">
        <v>15306</v>
      </c>
      <c r="D447" s="71" t="s">
        <v>572</v>
      </c>
      <c r="E447">
        <v>71.989999999999995</v>
      </c>
      <c r="F447">
        <v>44.50665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46189</v>
      </c>
      <c r="M447" s="71" t="s">
        <v>310</v>
      </c>
      <c r="N447">
        <v>62.599999999999994</v>
      </c>
      <c r="O447">
        <v>1</v>
      </c>
    </row>
    <row r="448" spans="1:15" x14ac:dyDescent="0.35">
      <c r="A448" s="71" t="s">
        <v>317</v>
      </c>
      <c r="B448">
        <v>107</v>
      </c>
      <c r="C448">
        <v>15988</v>
      </c>
      <c r="D448" s="71" t="s">
        <v>599</v>
      </c>
      <c r="E448">
        <v>179.99</v>
      </c>
      <c r="F448">
        <v>113.3473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46189</v>
      </c>
      <c r="M448" s="71" t="s">
        <v>310</v>
      </c>
      <c r="N448">
        <v>156.51304347826087</v>
      </c>
      <c r="O448">
        <v>1</v>
      </c>
    </row>
    <row r="449" spans="1:15" x14ac:dyDescent="0.35">
      <c r="A449" s="71" t="s">
        <v>317</v>
      </c>
      <c r="B449">
        <v>107</v>
      </c>
      <c r="C449">
        <v>16091</v>
      </c>
      <c r="D449" s="71" t="s">
        <v>618</v>
      </c>
      <c r="E449">
        <v>59.99</v>
      </c>
      <c r="F449">
        <v>38.153199999999998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46189</v>
      </c>
      <c r="M449" s="71" t="s">
        <v>310</v>
      </c>
      <c r="N449">
        <v>52.165217391304353</v>
      </c>
      <c r="O449">
        <v>1</v>
      </c>
    </row>
    <row r="450" spans="1:15" x14ac:dyDescent="0.35">
      <c r="A450" s="71" t="s">
        <v>317</v>
      </c>
      <c r="B450">
        <v>107</v>
      </c>
      <c r="C450">
        <v>16123</v>
      </c>
      <c r="D450" s="71" t="s">
        <v>627</v>
      </c>
      <c r="E450">
        <v>89.99</v>
      </c>
      <c r="F450">
        <v>56.233649999999997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46188</v>
      </c>
      <c r="M450" s="71" t="s">
        <v>309</v>
      </c>
      <c r="N450">
        <v>84.339130434782604</v>
      </c>
      <c r="O450">
        <v>1</v>
      </c>
    </row>
    <row r="451" spans="1:15" x14ac:dyDescent="0.35">
      <c r="A451" s="71" t="s">
        <v>317</v>
      </c>
      <c r="B451">
        <v>107</v>
      </c>
      <c r="C451">
        <v>16519</v>
      </c>
      <c r="D451" s="71" t="s">
        <v>631</v>
      </c>
      <c r="E451">
        <v>41.99</v>
      </c>
      <c r="F451">
        <v>26.324400000000001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46188</v>
      </c>
      <c r="M451" s="71" t="s">
        <v>309</v>
      </c>
      <c r="N451">
        <v>73.026086956521738</v>
      </c>
      <c r="O451">
        <v>2</v>
      </c>
    </row>
    <row r="452" spans="1:15" x14ac:dyDescent="0.35">
      <c r="A452" s="71" t="s">
        <v>317</v>
      </c>
      <c r="B452">
        <v>107</v>
      </c>
      <c r="C452">
        <v>16519</v>
      </c>
      <c r="D452" s="71" t="s">
        <v>631</v>
      </c>
      <c r="E452">
        <v>41.99</v>
      </c>
      <c r="F452">
        <v>26.324400000000001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46189</v>
      </c>
      <c r="M452" s="71" t="s">
        <v>310</v>
      </c>
      <c r="N452">
        <v>109.53913043478261</v>
      </c>
      <c r="O452">
        <v>3</v>
      </c>
    </row>
    <row r="453" spans="1:15" x14ac:dyDescent="0.35">
      <c r="A453" s="71" t="s">
        <v>317</v>
      </c>
      <c r="B453">
        <v>107</v>
      </c>
      <c r="C453">
        <v>16519</v>
      </c>
      <c r="D453" s="71" t="s">
        <v>631</v>
      </c>
      <c r="E453">
        <v>41.99</v>
      </c>
      <c r="F453">
        <v>26.324400000000001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46190</v>
      </c>
      <c r="M453" s="71" t="s">
        <v>316</v>
      </c>
      <c r="N453">
        <v>36.513043478260869</v>
      </c>
      <c r="O453">
        <v>1</v>
      </c>
    </row>
    <row r="454" spans="1:15" x14ac:dyDescent="0.35">
      <c r="A454" s="71" t="s">
        <v>317</v>
      </c>
      <c r="B454">
        <v>107</v>
      </c>
      <c r="C454">
        <v>50651</v>
      </c>
      <c r="D454" s="71" t="s">
        <v>826</v>
      </c>
      <c r="E454">
        <v>79.989999999999995</v>
      </c>
      <c r="F454">
        <v>48.031500000000001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46189</v>
      </c>
      <c r="M454" s="71" t="s">
        <v>310</v>
      </c>
      <c r="N454">
        <v>139.11304347826086</v>
      </c>
      <c r="O454">
        <v>2</v>
      </c>
    </row>
    <row r="455" spans="1:15" x14ac:dyDescent="0.35">
      <c r="A455" s="71" t="s">
        <v>317</v>
      </c>
      <c r="B455">
        <v>107</v>
      </c>
      <c r="C455">
        <v>50651</v>
      </c>
      <c r="D455" s="71" t="s">
        <v>826</v>
      </c>
      <c r="E455">
        <v>79.989999999999995</v>
      </c>
      <c r="F455">
        <v>48.031500000000001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46190</v>
      </c>
      <c r="M455" s="71" t="s">
        <v>316</v>
      </c>
      <c r="N455">
        <v>69.556521739130432</v>
      </c>
      <c r="O455">
        <v>1</v>
      </c>
    </row>
    <row r="456" spans="1:15" x14ac:dyDescent="0.35">
      <c r="A456" s="71" t="s">
        <v>317</v>
      </c>
      <c r="B456">
        <v>107</v>
      </c>
      <c r="C456">
        <v>61786</v>
      </c>
      <c r="D456" s="71" t="s">
        <v>884</v>
      </c>
      <c r="E456">
        <v>21.99</v>
      </c>
      <c r="F456">
        <v>13.11445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46189</v>
      </c>
      <c r="M456" s="71" t="s">
        <v>310</v>
      </c>
      <c r="N456">
        <v>57.365217391304348</v>
      </c>
      <c r="O456">
        <v>3</v>
      </c>
    </row>
    <row r="457" spans="1:15" x14ac:dyDescent="0.35">
      <c r="A457" s="71" t="s">
        <v>317</v>
      </c>
      <c r="B457">
        <v>107</v>
      </c>
      <c r="C457">
        <v>61786</v>
      </c>
      <c r="D457" s="71" t="s">
        <v>884</v>
      </c>
      <c r="E457">
        <v>21.99</v>
      </c>
      <c r="F457">
        <v>13.11445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46190</v>
      </c>
      <c r="M457" s="71" t="s">
        <v>316</v>
      </c>
      <c r="N457">
        <v>37.286956521739128</v>
      </c>
      <c r="O457">
        <v>2</v>
      </c>
    </row>
    <row r="458" spans="1:15" x14ac:dyDescent="0.35">
      <c r="A458" s="71" t="s">
        <v>317</v>
      </c>
      <c r="B458">
        <v>107</v>
      </c>
      <c r="C458">
        <v>61786</v>
      </c>
      <c r="D458" s="71" t="s">
        <v>884</v>
      </c>
      <c r="E458">
        <v>21.99</v>
      </c>
      <c r="F458">
        <v>13.11445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46191</v>
      </c>
      <c r="M458" s="71" t="s">
        <v>960</v>
      </c>
      <c r="N458">
        <v>76.486956521739131</v>
      </c>
      <c r="O458">
        <v>4</v>
      </c>
    </row>
    <row r="459" spans="1:15" x14ac:dyDescent="0.35">
      <c r="A459" s="71" t="s">
        <v>317</v>
      </c>
      <c r="B459">
        <v>108</v>
      </c>
      <c r="C459">
        <v>14834</v>
      </c>
      <c r="D459" s="71" t="s">
        <v>499</v>
      </c>
      <c r="E459">
        <v>67.989999999999995</v>
      </c>
      <c r="F459">
        <v>41.68047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46189</v>
      </c>
      <c r="M459" s="71" t="s">
        <v>310</v>
      </c>
      <c r="N459">
        <v>59.121739130434776</v>
      </c>
      <c r="O459">
        <v>1</v>
      </c>
    </row>
    <row r="460" spans="1:15" x14ac:dyDescent="0.35">
      <c r="A460" s="71" t="s">
        <v>317</v>
      </c>
      <c r="B460">
        <v>108</v>
      </c>
      <c r="C460">
        <v>14835</v>
      </c>
      <c r="D460" s="71" t="s">
        <v>500</v>
      </c>
      <c r="E460">
        <v>67.989999999999995</v>
      </c>
      <c r="F460">
        <v>41.68047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46191</v>
      </c>
      <c r="M460" s="71" t="s">
        <v>960</v>
      </c>
      <c r="N460">
        <v>59.121739130434776</v>
      </c>
      <c r="O460">
        <v>1</v>
      </c>
    </row>
    <row r="461" spans="1:15" x14ac:dyDescent="0.35">
      <c r="A461" s="71" t="s">
        <v>317</v>
      </c>
      <c r="B461">
        <v>108</v>
      </c>
      <c r="C461">
        <v>14846</v>
      </c>
      <c r="D461" s="71" t="s">
        <v>501</v>
      </c>
      <c r="E461">
        <v>109.99</v>
      </c>
      <c r="F461">
        <v>67.861333333333334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46189</v>
      </c>
      <c r="M461" s="71" t="s">
        <v>310</v>
      </c>
      <c r="N461">
        <v>95.643478260869557</v>
      </c>
      <c r="O461">
        <v>1</v>
      </c>
    </row>
    <row r="462" spans="1:15" x14ac:dyDescent="0.35">
      <c r="A462" s="71" t="s">
        <v>317</v>
      </c>
      <c r="B462">
        <v>108</v>
      </c>
      <c r="C462">
        <v>14847</v>
      </c>
      <c r="D462" s="71" t="s">
        <v>502</v>
      </c>
      <c r="E462">
        <v>109.99</v>
      </c>
      <c r="F462">
        <v>67.861333333333334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46188</v>
      </c>
      <c r="M462" s="71" t="s">
        <v>309</v>
      </c>
      <c r="N462">
        <v>191.28695652173911</v>
      </c>
      <c r="O462">
        <v>2</v>
      </c>
    </row>
    <row r="463" spans="1:15" x14ac:dyDescent="0.35">
      <c r="A463" s="71" t="s">
        <v>317</v>
      </c>
      <c r="B463">
        <v>108</v>
      </c>
      <c r="C463">
        <v>14847</v>
      </c>
      <c r="D463" s="71" t="s">
        <v>502</v>
      </c>
      <c r="E463">
        <v>109.99</v>
      </c>
      <c r="F463">
        <v>67.861333333333334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46189</v>
      </c>
      <c r="M463" s="71" t="s">
        <v>310</v>
      </c>
      <c r="N463">
        <v>95.643478260869557</v>
      </c>
      <c r="O463">
        <v>1</v>
      </c>
    </row>
    <row r="464" spans="1:15" x14ac:dyDescent="0.35">
      <c r="A464" s="71" t="s">
        <v>317</v>
      </c>
      <c r="B464">
        <v>108</v>
      </c>
      <c r="C464">
        <v>14847</v>
      </c>
      <c r="D464" s="71" t="s">
        <v>502</v>
      </c>
      <c r="E464">
        <v>109.99</v>
      </c>
      <c r="F464">
        <v>67.861333333333334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46191</v>
      </c>
      <c r="M464" s="71" t="s">
        <v>960</v>
      </c>
      <c r="N464">
        <v>95.643478260869557</v>
      </c>
      <c r="O464">
        <v>1</v>
      </c>
    </row>
    <row r="465" spans="1:15" x14ac:dyDescent="0.35">
      <c r="A465" s="71" t="s">
        <v>317</v>
      </c>
      <c r="B465">
        <v>108</v>
      </c>
      <c r="C465">
        <v>14848</v>
      </c>
      <c r="D465" s="71" t="s">
        <v>503</v>
      </c>
      <c r="E465">
        <v>67.989999999999995</v>
      </c>
      <c r="F465">
        <v>41.68047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46191</v>
      </c>
      <c r="M465" s="71" t="s">
        <v>960</v>
      </c>
      <c r="N465">
        <v>59.121739130434776</v>
      </c>
      <c r="O465">
        <v>1</v>
      </c>
    </row>
    <row r="466" spans="1:15" x14ac:dyDescent="0.35">
      <c r="A466" s="71" t="s">
        <v>317</v>
      </c>
      <c r="B466">
        <v>108</v>
      </c>
      <c r="C466">
        <v>14854</v>
      </c>
      <c r="D466" s="71" t="s">
        <v>505</v>
      </c>
      <c r="E466">
        <v>69.989999999999995</v>
      </c>
      <c r="F466">
        <v>43.867849999999997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46188</v>
      </c>
      <c r="M466" s="71" t="s">
        <v>309</v>
      </c>
      <c r="N466">
        <v>60.860869565217385</v>
      </c>
      <c r="O466">
        <v>1</v>
      </c>
    </row>
    <row r="467" spans="1:15" x14ac:dyDescent="0.35">
      <c r="A467" s="71" t="s">
        <v>317</v>
      </c>
      <c r="B467">
        <v>108</v>
      </c>
      <c r="C467">
        <v>14854</v>
      </c>
      <c r="D467" s="71" t="s">
        <v>505</v>
      </c>
      <c r="E467">
        <v>69.989999999999995</v>
      </c>
      <c r="F467">
        <v>43.867849999999997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46190</v>
      </c>
      <c r="M467" s="71" t="s">
        <v>316</v>
      </c>
      <c r="N467">
        <v>57.817391304347822</v>
      </c>
      <c r="O467">
        <v>1</v>
      </c>
    </row>
    <row r="468" spans="1:15" x14ac:dyDescent="0.35">
      <c r="A468" s="71" t="s">
        <v>317</v>
      </c>
      <c r="B468">
        <v>108</v>
      </c>
      <c r="C468">
        <v>14859</v>
      </c>
      <c r="D468" s="71" t="s">
        <v>506</v>
      </c>
      <c r="E468">
        <v>69.989999999999995</v>
      </c>
      <c r="F468">
        <v>43.867849999999997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46189</v>
      </c>
      <c r="M468" s="71" t="s">
        <v>310</v>
      </c>
      <c r="N468">
        <v>60.860869565217385</v>
      </c>
      <c r="O468">
        <v>1</v>
      </c>
    </row>
    <row r="469" spans="1:15" x14ac:dyDescent="0.35">
      <c r="A469" s="71" t="s">
        <v>680</v>
      </c>
      <c r="B469">
        <v>108</v>
      </c>
      <c r="C469">
        <v>35048</v>
      </c>
      <c r="D469" s="71" t="s">
        <v>685</v>
      </c>
      <c r="E469">
        <v>85.99</v>
      </c>
      <c r="F469">
        <v>45.3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46188</v>
      </c>
      <c r="M469" s="71" t="s">
        <v>309</v>
      </c>
      <c r="N469">
        <v>74.77391304347826</v>
      </c>
      <c r="O469">
        <v>1</v>
      </c>
    </row>
    <row r="470" spans="1:15" x14ac:dyDescent="0.35">
      <c r="A470" s="71" t="s">
        <v>680</v>
      </c>
      <c r="B470">
        <v>108</v>
      </c>
      <c r="C470">
        <v>38809</v>
      </c>
      <c r="D470" s="71" t="s">
        <v>691</v>
      </c>
      <c r="E470">
        <v>85.99</v>
      </c>
      <c r="F470">
        <v>45.3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46188</v>
      </c>
      <c r="M470" s="71" t="s">
        <v>309</v>
      </c>
      <c r="N470">
        <v>74.77391304347826</v>
      </c>
      <c r="O470">
        <v>1</v>
      </c>
    </row>
    <row r="471" spans="1:15" x14ac:dyDescent="0.35">
      <c r="A471" s="71" t="s">
        <v>476</v>
      </c>
      <c r="B471">
        <v>109</v>
      </c>
      <c r="C471">
        <v>8913</v>
      </c>
      <c r="D471" s="71" t="s">
        <v>477</v>
      </c>
      <c r="E471">
        <v>9.99</v>
      </c>
      <c r="F471">
        <v>5.7391666666666667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46188</v>
      </c>
      <c r="M471" s="71" t="s">
        <v>309</v>
      </c>
      <c r="N471">
        <v>26.060869565217391</v>
      </c>
      <c r="O471">
        <v>3</v>
      </c>
    </row>
    <row r="472" spans="1:15" x14ac:dyDescent="0.35">
      <c r="A472" s="71" t="s">
        <v>476</v>
      </c>
      <c r="B472">
        <v>109</v>
      </c>
      <c r="C472">
        <v>8913</v>
      </c>
      <c r="D472" s="71" t="s">
        <v>477</v>
      </c>
      <c r="E472">
        <v>9.99</v>
      </c>
      <c r="F472">
        <v>5.7391666666666667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46189</v>
      </c>
      <c r="M472" s="71" t="s">
        <v>310</v>
      </c>
      <c r="N472">
        <v>26.060869565217391</v>
      </c>
      <c r="O472">
        <v>3</v>
      </c>
    </row>
    <row r="473" spans="1:15" x14ac:dyDescent="0.35">
      <c r="A473" s="71" t="s">
        <v>476</v>
      </c>
      <c r="B473">
        <v>109</v>
      </c>
      <c r="C473">
        <v>8913</v>
      </c>
      <c r="D473" s="71" t="s">
        <v>477</v>
      </c>
      <c r="E473">
        <v>9.99</v>
      </c>
      <c r="F473">
        <v>5.7391666666666667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46191</v>
      </c>
      <c r="M473" s="71" t="s">
        <v>960</v>
      </c>
      <c r="N473">
        <v>8.6869565217391305</v>
      </c>
      <c r="O473">
        <v>1</v>
      </c>
    </row>
    <row r="474" spans="1:15" x14ac:dyDescent="0.35">
      <c r="A474" s="71" t="s">
        <v>476</v>
      </c>
      <c r="B474">
        <v>109</v>
      </c>
      <c r="C474">
        <v>8915</v>
      </c>
      <c r="D474" s="71" t="s">
        <v>478</v>
      </c>
      <c r="E474">
        <v>9.99</v>
      </c>
      <c r="F474">
        <v>5.7391666666666667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46188</v>
      </c>
      <c r="M474" s="71" t="s">
        <v>309</v>
      </c>
      <c r="N474">
        <v>8.6869565217391305</v>
      </c>
      <c r="O474">
        <v>1</v>
      </c>
    </row>
    <row r="475" spans="1:15" x14ac:dyDescent="0.35">
      <c r="A475" s="71" t="s">
        <v>476</v>
      </c>
      <c r="B475">
        <v>109</v>
      </c>
      <c r="C475">
        <v>8915</v>
      </c>
      <c r="D475" s="71" t="s">
        <v>478</v>
      </c>
      <c r="E475">
        <v>9.99</v>
      </c>
      <c r="F475">
        <v>5.7391666666666667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46190</v>
      </c>
      <c r="M475" s="71" t="s">
        <v>316</v>
      </c>
      <c r="N475">
        <v>17.373913043478261</v>
      </c>
      <c r="O475">
        <v>2</v>
      </c>
    </row>
    <row r="476" spans="1:15" x14ac:dyDescent="0.35">
      <c r="A476" s="71" t="s">
        <v>317</v>
      </c>
      <c r="B476">
        <v>109</v>
      </c>
      <c r="C476">
        <v>14963</v>
      </c>
      <c r="D476" s="71" t="s">
        <v>524</v>
      </c>
      <c r="E476">
        <v>24.99</v>
      </c>
      <c r="F476">
        <v>12.880108333333332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46189</v>
      </c>
      <c r="M476" s="71" t="s">
        <v>310</v>
      </c>
      <c r="N476">
        <v>21.730434782608693</v>
      </c>
      <c r="O476">
        <v>1</v>
      </c>
    </row>
    <row r="477" spans="1:15" x14ac:dyDescent="0.35">
      <c r="A477" s="71" t="s">
        <v>317</v>
      </c>
      <c r="B477">
        <v>109</v>
      </c>
      <c r="C477">
        <v>14963</v>
      </c>
      <c r="D477" s="71" t="s">
        <v>524</v>
      </c>
      <c r="E477">
        <v>24.99</v>
      </c>
      <c r="F477">
        <v>12.880108333333332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46191</v>
      </c>
      <c r="M477" s="71" t="s">
        <v>960</v>
      </c>
      <c r="N477">
        <v>43.460869565217386</v>
      </c>
      <c r="O477">
        <v>2</v>
      </c>
    </row>
    <row r="478" spans="1:15" x14ac:dyDescent="0.35">
      <c r="A478" s="71" t="s">
        <v>317</v>
      </c>
      <c r="B478">
        <v>109</v>
      </c>
      <c r="C478">
        <v>14964</v>
      </c>
      <c r="D478" s="71" t="s">
        <v>525</v>
      </c>
      <c r="E478">
        <v>24.99</v>
      </c>
      <c r="F478">
        <v>12.880108333333332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46188</v>
      </c>
      <c r="M478" s="71" t="s">
        <v>309</v>
      </c>
      <c r="N478">
        <v>43.460869565217386</v>
      </c>
      <c r="O478">
        <v>2</v>
      </c>
    </row>
    <row r="479" spans="1:15" x14ac:dyDescent="0.35">
      <c r="A479" s="71" t="s">
        <v>317</v>
      </c>
      <c r="B479">
        <v>109</v>
      </c>
      <c r="C479">
        <v>14964</v>
      </c>
      <c r="D479" s="71" t="s">
        <v>525</v>
      </c>
      <c r="E479">
        <v>24.99</v>
      </c>
      <c r="F479">
        <v>12.880108333333332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46189</v>
      </c>
      <c r="M479" s="71" t="s">
        <v>310</v>
      </c>
      <c r="N479">
        <v>21.730434782608693</v>
      </c>
      <c r="O479">
        <v>1</v>
      </c>
    </row>
    <row r="480" spans="1:15" x14ac:dyDescent="0.35">
      <c r="A480" s="71" t="s">
        <v>317</v>
      </c>
      <c r="B480">
        <v>109</v>
      </c>
      <c r="C480">
        <v>14964</v>
      </c>
      <c r="D480" s="71" t="s">
        <v>525</v>
      </c>
      <c r="E480">
        <v>24.99</v>
      </c>
      <c r="F480">
        <v>12.880108333333332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46190</v>
      </c>
      <c r="M480" s="71" t="s">
        <v>316</v>
      </c>
      <c r="N480">
        <v>63.017391304347825</v>
      </c>
      <c r="O480">
        <v>3</v>
      </c>
    </row>
    <row r="481" spans="1:15" x14ac:dyDescent="0.35">
      <c r="A481" s="71" t="s">
        <v>317</v>
      </c>
      <c r="B481">
        <v>109</v>
      </c>
      <c r="C481">
        <v>15287</v>
      </c>
      <c r="D481" s="71" t="s">
        <v>567</v>
      </c>
      <c r="E481">
        <v>43.99</v>
      </c>
      <c r="F481">
        <v>27.522083333333331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46188</v>
      </c>
      <c r="M481" s="71" t="s">
        <v>309</v>
      </c>
      <c r="N481">
        <v>76.504347826086956</v>
      </c>
      <c r="O481">
        <v>2</v>
      </c>
    </row>
    <row r="482" spans="1:15" x14ac:dyDescent="0.35">
      <c r="A482" s="71" t="s">
        <v>317</v>
      </c>
      <c r="B482">
        <v>109</v>
      </c>
      <c r="C482">
        <v>15290</v>
      </c>
      <c r="D482" s="71" t="s">
        <v>570</v>
      </c>
      <c r="E482">
        <v>54.99</v>
      </c>
      <c r="F482">
        <v>34.594366666666666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46191</v>
      </c>
      <c r="M482" s="71" t="s">
        <v>960</v>
      </c>
      <c r="N482">
        <v>47.817391304347829</v>
      </c>
      <c r="O482">
        <v>1</v>
      </c>
    </row>
    <row r="483" spans="1:15" x14ac:dyDescent="0.35">
      <c r="A483" s="71" t="s">
        <v>317</v>
      </c>
      <c r="B483">
        <v>109</v>
      </c>
      <c r="C483">
        <v>16045</v>
      </c>
      <c r="D483" s="71" t="s">
        <v>603</v>
      </c>
      <c r="E483">
        <v>84.99</v>
      </c>
      <c r="F483">
        <v>53.668624999999999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46188</v>
      </c>
      <c r="M483" s="71" t="s">
        <v>309</v>
      </c>
      <c r="N483">
        <v>147.8086956521739</v>
      </c>
      <c r="O483">
        <v>2</v>
      </c>
    </row>
    <row r="484" spans="1:15" x14ac:dyDescent="0.35">
      <c r="A484" s="71" t="s">
        <v>317</v>
      </c>
      <c r="B484">
        <v>109</v>
      </c>
      <c r="C484">
        <v>16047</v>
      </c>
      <c r="D484" s="71" t="s">
        <v>605</v>
      </c>
      <c r="E484">
        <v>84.99</v>
      </c>
      <c r="F484">
        <v>53.668624999999999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46188</v>
      </c>
      <c r="M484" s="71" t="s">
        <v>309</v>
      </c>
      <c r="N484">
        <v>73.904347826086948</v>
      </c>
      <c r="O484">
        <v>1</v>
      </c>
    </row>
    <row r="485" spans="1:15" x14ac:dyDescent="0.35">
      <c r="A485" s="71" t="s">
        <v>317</v>
      </c>
      <c r="B485">
        <v>109</v>
      </c>
      <c r="C485">
        <v>16047</v>
      </c>
      <c r="D485" s="71" t="s">
        <v>605</v>
      </c>
      <c r="E485">
        <v>84.99</v>
      </c>
      <c r="F485">
        <v>53.668624999999999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46189</v>
      </c>
      <c r="M485" s="71" t="s">
        <v>310</v>
      </c>
      <c r="N485">
        <v>73.904347826086948</v>
      </c>
      <c r="O485">
        <v>1</v>
      </c>
    </row>
    <row r="486" spans="1:15" x14ac:dyDescent="0.35">
      <c r="A486" s="71" t="s">
        <v>317</v>
      </c>
      <c r="B486">
        <v>109</v>
      </c>
      <c r="C486">
        <v>16048</v>
      </c>
      <c r="D486" s="71" t="s">
        <v>606</v>
      </c>
      <c r="E486">
        <v>84.99</v>
      </c>
      <c r="F486">
        <v>53.668624999999999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46188</v>
      </c>
      <c r="M486" s="71" t="s">
        <v>309</v>
      </c>
      <c r="N486">
        <v>73.904347826086948</v>
      </c>
      <c r="O486">
        <v>1</v>
      </c>
    </row>
    <row r="487" spans="1:15" x14ac:dyDescent="0.35">
      <c r="A487" s="71" t="s">
        <v>476</v>
      </c>
      <c r="B487">
        <v>109</v>
      </c>
      <c r="C487">
        <v>34931</v>
      </c>
      <c r="D487" s="71" t="s">
        <v>676</v>
      </c>
      <c r="E487">
        <v>9.99</v>
      </c>
      <c r="F487">
        <v>5.7391666666666667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46188</v>
      </c>
      <c r="M487" s="71" t="s">
        <v>309</v>
      </c>
      <c r="N487">
        <v>34.747826086956522</v>
      </c>
      <c r="O487">
        <v>4</v>
      </c>
    </row>
    <row r="488" spans="1:15" x14ac:dyDescent="0.35">
      <c r="A488" s="71" t="s">
        <v>476</v>
      </c>
      <c r="B488">
        <v>109</v>
      </c>
      <c r="C488">
        <v>34931</v>
      </c>
      <c r="D488" s="71" t="s">
        <v>676</v>
      </c>
      <c r="E488">
        <v>9.99</v>
      </c>
      <c r="F488">
        <v>5.7391666666666667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46189</v>
      </c>
      <c r="M488" s="71" t="s">
        <v>310</v>
      </c>
      <c r="N488">
        <v>8.6869565217391305</v>
      </c>
      <c r="O488">
        <v>1</v>
      </c>
    </row>
    <row r="489" spans="1:15" x14ac:dyDescent="0.35">
      <c r="A489" s="71" t="s">
        <v>476</v>
      </c>
      <c r="B489">
        <v>109</v>
      </c>
      <c r="C489">
        <v>34931</v>
      </c>
      <c r="D489" s="71" t="s">
        <v>676</v>
      </c>
      <c r="E489">
        <v>9.99</v>
      </c>
      <c r="F489">
        <v>5.7391666666666667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46190</v>
      </c>
      <c r="M489" s="71" t="s">
        <v>316</v>
      </c>
      <c r="N489">
        <v>17.373913043478261</v>
      </c>
      <c r="O489">
        <v>2</v>
      </c>
    </row>
    <row r="490" spans="1:15" x14ac:dyDescent="0.35">
      <c r="A490" s="71" t="s">
        <v>476</v>
      </c>
      <c r="B490">
        <v>109</v>
      </c>
      <c r="C490">
        <v>34931</v>
      </c>
      <c r="D490" s="71" t="s">
        <v>676</v>
      </c>
      <c r="E490">
        <v>9.99</v>
      </c>
      <c r="F490">
        <v>5.7391666666666667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46191</v>
      </c>
      <c r="M490" s="71" t="s">
        <v>960</v>
      </c>
      <c r="N490">
        <v>34.747826086956522</v>
      </c>
      <c r="O490">
        <v>4</v>
      </c>
    </row>
    <row r="491" spans="1:15" x14ac:dyDescent="0.35">
      <c r="A491" s="71" t="s">
        <v>476</v>
      </c>
      <c r="B491">
        <v>109</v>
      </c>
      <c r="C491">
        <v>34932</v>
      </c>
      <c r="D491" s="71" t="s">
        <v>677</v>
      </c>
      <c r="E491">
        <v>9.99</v>
      </c>
      <c r="F491">
        <v>5.7391666666666667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46188</v>
      </c>
      <c r="M491" s="71" t="s">
        <v>309</v>
      </c>
      <c r="N491">
        <v>8.6869565217391305</v>
      </c>
      <c r="O491">
        <v>1</v>
      </c>
    </row>
    <row r="492" spans="1:15" x14ac:dyDescent="0.35">
      <c r="A492" s="71" t="s">
        <v>476</v>
      </c>
      <c r="B492">
        <v>109</v>
      </c>
      <c r="C492">
        <v>34932</v>
      </c>
      <c r="D492" s="71" t="s">
        <v>677</v>
      </c>
      <c r="E492">
        <v>9.99</v>
      </c>
      <c r="F492">
        <v>5.7391666666666667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46189</v>
      </c>
      <c r="M492" s="71" t="s">
        <v>310</v>
      </c>
      <c r="N492">
        <v>26.060869565217391</v>
      </c>
      <c r="O492">
        <v>3</v>
      </c>
    </row>
    <row r="493" spans="1:15" x14ac:dyDescent="0.35">
      <c r="A493" s="71" t="s">
        <v>476</v>
      </c>
      <c r="B493">
        <v>109</v>
      </c>
      <c r="C493">
        <v>34932</v>
      </c>
      <c r="D493" s="71" t="s">
        <v>677</v>
      </c>
      <c r="E493">
        <v>9.99</v>
      </c>
      <c r="F493">
        <v>5.7391666666666667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46190</v>
      </c>
      <c r="M493" s="71" t="s">
        <v>316</v>
      </c>
      <c r="N493">
        <v>8.6869565217391305</v>
      </c>
      <c r="O493">
        <v>1</v>
      </c>
    </row>
    <row r="494" spans="1:15" x14ac:dyDescent="0.35">
      <c r="A494" s="71" t="s">
        <v>476</v>
      </c>
      <c r="B494">
        <v>109</v>
      </c>
      <c r="C494">
        <v>34932</v>
      </c>
      <c r="D494" s="71" t="s">
        <v>677</v>
      </c>
      <c r="E494">
        <v>9.99</v>
      </c>
      <c r="F494">
        <v>5.7391666666666667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46191</v>
      </c>
      <c r="M494" s="71" t="s">
        <v>960</v>
      </c>
      <c r="N494">
        <v>17.373913043478261</v>
      </c>
      <c r="O494">
        <v>2</v>
      </c>
    </row>
    <row r="495" spans="1:15" x14ac:dyDescent="0.35">
      <c r="A495" s="71" t="s">
        <v>476</v>
      </c>
      <c r="B495">
        <v>109</v>
      </c>
      <c r="C495">
        <v>34934</v>
      </c>
      <c r="D495" s="71" t="s">
        <v>678</v>
      </c>
      <c r="E495">
        <v>9.99</v>
      </c>
      <c r="F495">
        <v>5.7391666666666667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46188</v>
      </c>
      <c r="M495" s="71" t="s">
        <v>309</v>
      </c>
      <c r="N495">
        <v>34.747826086956522</v>
      </c>
      <c r="O495">
        <v>4</v>
      </c>
    </row>
    <row r="496" spans="1:15" x14ac:dyDescent="0.35">
      <c r="A496" s="71" t="s">
        <v>476</v>
      </c>
      <c r="B496">
        <v>109</v>
      </c>
      <c r="C496">
        <v>34934</v>
      </c>
      <c r="D496" s="71" t="s">
        <v>678</v>
      </c>
      <c r="E496">
        <v>9.99</v>
      </c>
      <c r="F496">
        <v>5.7391666666666667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46189</v>
      </c>
      <c r="M496" s="71" t="s">
        <v>310</v>
      </c>
      <c r="N496">
        <v>52.121739130434783</v>
      </c>
      <c r="O496">
        <v>6</v>
      </c>
    </row>
    <row r="497" spans="1:15" x14ac:dyDescent="0.35">
      <c r="A497" s="71" t="s">
        <v>476</v>
      </c>
      <c r="B497">
        <v>109</v>
      </c>
      <c r="C497">
        <v>34934</v>
      </c>
      <c r="D497" s="71" t="s">
        <v>678</v>
      </c>
      <c r="E497">
        <v>9.99</v>
      </c>
      <c r="F497">
        <v>5.7391666666666667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46190</v>
      </c>
      <c r="M497" s="71" t="s">
        <v>316</v>
      </c>
      <c r="N497">
        <v>17.373913043478261</v>
      </c>
      <c r="O497">
        <v>2</v>
      </c>
    </row>
    <row r="498" spans="1:15" x14ac:dyDescent="0.35">
      <c r="A498" s="71" t="s">
        <v>476</v>
      </c>
      <c r="B498">
        <v>109</v>
      </c>
      <c r="C498">
        <v>34934</v>
      </c>
      <c r="D498" s="71" t="s">
        <v>678</v>
      </c>
      <c r="E498">
        <v>9.99</v>
      </c>
      <c r="F498">
        <v>5.7391666666666667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46191</v>
      </c>
      <c r="M498" s="71" t="s">
        <v>960</v>
      </c>
      <c r="N498">
        <v>26.060869565217391</v>
      </c>
      <c r="O498">
        <v>3</v>
      </c>
    </row>
    <row r="499" spans="1:15" x14ac:dyDescent="0.35">
      <c r="A499" s="71" t="s">
        <v>476</v>
      </c>
      <c r="B499">
        <v>109</v>
      </c>
      <c r="C499">
        <v>34935</v>
      </c>
      <c r="D499" s="71" t="s">
        <v>679</v>
      </c>
      <c r="E499">
        <v>9.99</v>
      </c>
      <c r="F499">
        <v>5.7391666666666667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46188</v>
      </c>
      <c r="M499" s="71" t="s">
        <v>309</v>
      </c>
      <c r="N499">
        <v>17.373913043478261</v>
      </c>
      <c r="O499">
        <v>2</v>
      </c>
    </row>
    <row r="500" spans="1:15" x14ac:dyDescent="0.35">
      <c r="A500" s="71" t="s">
        <v>476</v>
      </c>
      <c r="B500">
        <v>109</v>
      </c>
      <c r="C500">
        <v>34935</v>
      </c>
      <c r="D500" s="71" t="s">
        <v>679</v>
      </c>
      <c r="E500">
        <v>9.99</v>
      </c>
      <c r="F500">
        <v>5.7391666666666667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46189</v>
      </c>
      <c r="M500" s="71" t="s">
        <v>310</v>
      </c>
      <c r="N500">
        <v>8.6869565217391305</v>
      </c>
      <c r="O500">
        <v>1</v>
      </c>
    </row>
    <row r="501" spans="1:15" x14ac:dyDescent="0.35">
      <c r="A501" s="71" t="s">
        <v>476</v>
      </c>
      <c r="B501">
        <v>109</v>
      </c>
      <c r="C501">
        <v>34935</v>
      </c>
      <c r="D501" s="71" t="s">
        <v>679</v>
      </c>
      <c r="E501">
        <v>9.99</v>
      </c>
      <c r="F501">
        <v>5.7391666666666667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46190</v>
      </c>
      <c r="M501" s="71" t="s">
        <v>316</v>
      </c>
      <c r="N501">
        <v>17.373913043478261</v>
      </c>
      <c r="O501">
        <v>2</v>
      </c>
    </row>
    <row r="502" spans="1:15" x14ac:dyDescent="0.35">
      <c r="A502" s="71" t="s">
        <v>476</v>
      </c>
      <c r="B502">
        <v>109</v>
      </c>
      <c r="C502">
        <v>34935</v>
      </c>
      <c r="D502" s="71" t="s">
        <v>679</v>
      </c>
      <c r="E502">
        <v>9.99</v>
      </c>
      <c r="F502">
        <v>5.7391666666666667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46191</v>
      </c>
      <c r="M502" s="71" t="s">
        <v>960</v>
      </c>
      <c r="N502">
        <v>26.060869565217391</v>
      </c>
      <c r="O502">
        <v>3</v>
      </c>
    </row>
    <row r="503" spans="1:15" x14ac:dyDescent="0.35">
      <c r="A503" s="71" t="s">
        <v>317</v>
      </c>
      <c r="B503">
        <v>109</v>
      </c>
      <c r="C503">
        <v>50652</v>
      </c>
      <c r="D503" s="71" t="s">
        <v>827</v>
      </c>
      <c r="E503">
        <v>79.989999999999995</v>
      </c>
      <c r="F503">
        <v>48.031500000000001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46188</v>
      </c>
      <c r="M503" s="71" t="s">
        <v>309</v>
      </c>
      <c r="N503">
        <v>69.556521739130432</v>
      </c>
      <c r="O503">
        <v>1</v>
      </c>
    </row>
    <row r="504" spans="1:15" x14ac:dyDescent="0.35">
      <c r="A504" s="71" t="s">
        <v>317</v>
      </c>
      <c r="B504">
        <v>109</v>
      </c>
      <c r="C504">
        <v>50652</v>
      </c>
      <c r="D504" s="71" t="s">
        <v>827</v>
      </c>
      <c r="E504">
        <v>79.989999999999995</v>
      </c>
      <c r="F504">
        <v>48.031500000000001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46191</v>
      </c>
      <c r="M504" s="71" t="s">
        <v>960</v>
      </c>
      <c r="N504">
        <v>69.556521739130432</v>
      </c>
      <c r="O504">
        <v>1</v>
      </c>
    </row>
    <row r="505" spans="1:15" x14ac:dyDescent="0.35">
      <c r="A505" s="71" t="s">
        <v>317</v>
      </c>
      <c r="B505">
        <v>109</v>
      </c>
      <c r="C505">
        <v>61787</v>
      </c>
      <c r="D505" s="71" t="s">
        <v>885</v>
      </c>
      <c r="E505">
        <v>23.99</v>
      </c>
      <c r="F505">
        <v>14.221549999999999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46188</v>
      </c>
      <c r="M505" s="71" t="s">
        <v>309</v>
      </c>
      <c r="N505">
        <v>104.30434782608695</v>
      </c>
      <c r="O505">
        <v>5</v>
      </c>
    </row>
    <row r="506" spans="1:15" x14ac:dyDescent="0.35">
      <c r="A506" s="71" t="s">
        <v>317</v>
      </c>
      <c r="B506">
        <v>109</v>
      </c>
      <c r="C506">
        <v>62327</v>
      </c>
      <c r="D506" s="71" t="s">
        <v>892</v>
      </c>
      <c r="E506">
        <v>104.99</v>
      </c>
      <c r="F506">
        <v>65.781599999999997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46188</v>
      </c>
      <c r="M506" s="71" t="s">
        <v>309</v>
      </c>
      <c r="N506">
        <v>91.295652173913041</v>
      </c>
      <c r="O506">
        <v>1</v>
      </c>
    </row>
    <row r="507" spans="1:15" x14ac:dyDescent="0.35">
      <c r="A507" s="71" t="s">
        <v>317</v>
      </c>
      <c r="B507">
        <v>109</v>
      </c>
      <c r="C507">
        <v>62328</v>
      </c>
      <c r="D507" s="71" t="s">
        <v>893</v>
      </c>
      <c r="E507">
        <v>69.989999999999995</v>
      </c>
      <c r="F507">
        <v>40.963850000000001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46188</v>
      </c>
      <c r="M507" s="71" t="s">
        <v>309</v>
      </c>
      <c r="N507">
        <v>60.860869565217385</v>
      </c>
      <c r="O507">
        <v>1</v>
      </c>
    </row>
    <row r="508" spans="1:15" x14ac:dyDescent="0.35">
      <c r="A508" s="71" t="s">
        <v>317</v>
      </c>
      <c r="B508">
        <v>109</v>
      </c>
      <c r="C508">
        <v>62328</v>
      </c>
      <c r="D508" s="71" t="s">
        <v>893</v>
      </c>
      <c r="E508">
        <v>69.989999999999995</v>
      </c>
      <c r="F508">
        <v>40.963850000000001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46190</v>
      </c>
      <c r="M508" s="71" t="s">
        <v>316</v>
      </c>
      <c r="N508">
        <v>60.860869565217385</v>
      </c>
      <c r="O508">
        <v>1</v>
      </c>
    </row>
    <row r="509" spans="1:15" x14ac:dyDescent="0.35">
      <c r="A509" s="71" t="s">
        <v>317</v>
      </c>
      <c r="B509">
        <v>109</v>
      </c>
      <c r="C509">
        <v>62329</v>
      </c>
      <c r="D509" s="71" t="s">
        <v>894</v>
      </c>
      <c r="E509">
        <v>69.989999999999995</v>
      </c>
      <c r="F509">
        <v>40.963850000000001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46189</v>
      </c>
      <c r="M509" s="71" t="s">
        <v>310</v>
      </c>
      <c r="N509">
        <v>60.860869565217385</v>
      </c>
      <c r="O509">
        <v>1</v>
      </c>
    </row>
    <row r="510" spans="1:15" x14ac:dyDescent="0.35">
      <c r="A510" s="71" t="s">
        <v>317</v>
      </c>
      <c r="B510">
        <v>109</v>
      </c>
      <c r="C510">
        <v>64321</v>
      </c>
      <c r="D510" s="71" t="s">
        <v>919</v>
      </c>
      <c r="E510">
        <v>31.99</v>
      </c>
      <c r="F510">
        <v>19.7093375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46189</v>
      </c>
      <c r="M510" s="71" t="s">
        <v>310</v>
      </c>
      <c r="N510">
        <v>27.817391304347826</v>
      </c>
      <c r="O510">
        <v>1</v>
      </c>
    </row>
    <row r="511" spans="1:15" x14ac:dyDescent="0.35">
      <c r="A511" s="71" t="s">
        <v>317</v>
      </c>
      <c r="B511">
        <v>109</v>
      </c>
      <c r="C511">
        <v>64321</v>
      </c>
      <c r="D511" s="71" t="s">
        <v>919</v>
      </c>
      <c r="E511">
        <v>31.99</v>
      </c>
      <c r="F511">
        <v>19.7093375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46190</v>
      </c>
      <c r="M511" s="71" t="s">
        <v>316</v>
      </c>
      <c r="N511">
        <v>54.243478260869566</v>
      </c>
      <c r="O511">
        <v>2</v>
      </c>
    </row>
    <row r="512" spans="1:15" x14ac:dyDescent="0.35">
      <c r="A512" s="71" t="s">
        <v>317</v>
      </c>
      <c r="B512">
        <v>109</v>
      </c>
      <c r="C512">
        <v>64321</v>
      </c>
      <c r="D512" s="71" t="s">
        <v>919</v>
      </c>
      <c r="E512">
        <v>31.99</v>
      </c>
      <c r="F512">
        <v>19.7093375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46191</v>
      </c>
      <c r="M512" s="71" t="s">
        <v>960</v>
      </c>
      <c r="N512">
        <v>111.2695652173913</v>
      </c>
      <c r="O512">
        <v>4</v>
      </c>
    </row>
    <row r="513" spans="1:15" x14ac:dyDescent="0.35">
      <c r="A513" s="71" t="s">
        <v>317</v>
      </c>
      <c r="B513">
        <v>110</v>
      </c>
      <c r="C513">
        <v>15800</v>
      </c>
      <c r="D513" s="71" t="s">
        <v>583</v>
      </c>
      <c r="E513">
        <v>56.99</v>
      </c>
      <c r="F513">
        <v>35.372916666666669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46191</v>
      </c>
      <c r="M513" s="71" t="s">
        <v>960</v>
      </c>
      <c r="N513">
        <v>99.113043478260877</v>
      </c>
      <c r="O513">
        <v>2</v>
      </c>
    </row>
    <row r="514" spans="1:15" x14ac:dyDescent="0.35">
      <c r="A514" s="71" t="s">
        <v>317</v>
      </c>
      <c r="B514">
        <v>110</v>
      </c>
      <c r="C514">
        <v>49803</v>
      </c>
      <c r="D514" s="71" t="s">
        <v>817</v>
      </c>
      <c r="E514">
        <v>99.99</v>
      </c>
      <c r="F514">
        <v>62.066974999999999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46190</v>
      </c>
      <c r="M514" s="71" t="s">
        <v>316</v>
      </c>
      <c r="N514">
        <v>86.947826086956525</v>
      </c>
      <c r="O514">
        <v>1</v>
      </c>
    </row>
    <row r="515" spans="1:15" x14ac:dyDescent="0.35">
      <c r="A515" s="71" t="s">
        <v>317</v>
      </c>
      <c r="B515">
        <v>110</v>
      </c>
      <c r="C515">
        <v>49803</v>
      </c>
      <c r="D515" s="71" t="s">
        <v>817</v>
      </c>
      <c r="E515">
        <v>99.99</v>
      </c>
      <c r="F515">
        <v>62.066974999999999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46191</v>
      </c>
      <c r="M515" s="71" t="s">
        <v>960</v>
      </c>
      <c r="N515">
        <v>86.947826086956525</v>
      </c>
      <c r="O515">
        <v>1</v>
      </c>
    </row>
    <row r="516" spans="1:15" x14ac:dyDescent="0.35">
      <c r="A516" s="71" t="s">
        <v>317</v>
      </c>
      <c r="B516">
        <v>110</v>
      </c>
      <c r="C516">
        <v>49804</v>
      </c>
      <c r="D516" s="71" t="s">
        <v>818</v>
      </c>
      <c r="E516">
        <v>99.99</v>
      </c>
      <c r="F516">
        <v>60.204949999999997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46190</v>
      </c>
      <c r="M516" s="71" t="s">
        <v>316</v>
      </c>
      <c r="N516">
        <v>86.947826086956525</v>
      </c>
      <c r="O516">
        <v>1</v>
      </c>
    </row>
    <row r="517" spans="1:15" x14ac:dyDescent="0.35">
      <c r="A517" s="71" t="s">
        <v>317</v>
      </c>
      <c r="B517">
        <v>110</v>
      </c>
      <c r="C517">
        <v>49805</v>
      </c>
      <c r="D517" s="71" t="s">
        <v>819</v>
      </c>
      <c r="E517">
        <v>86.99</v>
      </c>
      <c r="F517">
        <v>54.272500000000001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46191</v>
      </c>
      <c r="M517" s="71" t="s">
        <v>960</v>
      </c>
      <c r="N517">
        <v>75.643478260869557</v>
      </c>
      <c r="O517">
        <v>1</v>
      </c>
    </row>
    <row r="518" spans="1:15" x14ac:dyDescent="0.35">
      <c r="A518" s="71" t="s">
        <v>317</v>
      </c>
      <c r="B518">
        <v>110</v>
      </c>
      <c r="C518">
        <v>49807</v>
      </c>
      <c r="D518" s="71" t="s">
        <v>820</v>
      </c>
      <c r="E518">
        <v>99.99</v>
      </c>
      <c r="F518">
        <v>62.066974999999999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46189</v>
      </c>
      <c r="M518" s="71" t="s">
        <v>310</v>
      </c>
      <c r="N518">
        <v>173.89565217391305</v>
      </c>
      <c r="O518">
        <v>2</v>
      </c>
    </row>
    <row r="519" spans="1:15" x14ac:dyDescent="0.35">
      <c r="A519" s="71" t="s">
        <v>317</v>
      </c>
      <c r="B519">
        <v>110</v>
      </c>
      <c r="C519">
        <v>49809</v>
      </c>
      <c r="D519" s="71" t="s">
        <v>821</v>
      </c>
      <c r="E519">
        <v>99.99</v>
      </c>
      <c r="F519">
        <v>62.066974999999999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46189</v>
      </c>
      <c r="M519" s="71" t="s">
        <v>310</v>
      </c>
      <c r="N519">
        <v>86.947826086956525</v>
      </c>
      <c r="O519">
        <v>1</v>
      </c>
    </row>
    <row r="520" spans="1:15" x14ac:dyDescent="0.35">
      <c r="A520" s="71" t="s">
        <v>317</v>
      </c>
      <c r="B520">
        <v>110</v>
      </c>
      <c r="C520">
        <v>49809</v>
      </c>
      <c r="D520" s="71" t="s">
        <v>821</v>
      </c>
      <c r="E520">
        <v>99.99</v>
      </c>
      <c r="F520">
        <v>62.066974999999999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46190</v>
      </c>
      <c r="M520" s="71" t="s">
        <v>316</v>
      </c>
      <c r="N520">
        <v>86.947826086956525</v>
      </c>
      <c r="O520">
        <v>1</v>
      </c>
    </row>
    <row r="521" spans="1:15" x14ac:dyDescent="0.35">
      <c r="A521" s="71" t="s">
        <v>317</v>
      </c>
      <c r="B521">
        <v>111</v>
      </c>
      <c r="C521">
        <v>14947</v>
      </c>
      <c r="D521" s="71" t="s">
        <v>514</v>
      </c>
      <c r="E521">
        <v>37.99</v>
      </c>
      <c r="F521">
        <v>23.431950000000001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46188</v>
      </c>
      <c r="M521" s="71" t="s">
        <v>309</v>
      </c>
      <c r="N521">
        <v>165.17391304347825</v>
      </c>
      <c r="O521">
        <v>5</v>
      </c>
    </row>
    <row r="522" spans="1:15" x14ac:dyDescent="0.35">
      <c r="A522" s="71" t="s">
        <v>317</v>
      </c>
      <c r="B522">
        <v>111</v>
      </c>
      <c r="C522">
        <v>14947</v>
      </c>
      <c r="D522" s="71" t="s">
        <v>514</v>
      </c>
      <c r="E522">
        <v>37.99</v>
      </c>
      <c r="F522">
        <v>23.431950000000001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46189</v>
      </c>
      <c r="M522" s="71" t="s">
        <v>310</v>
      </c>
      <c r="N522">
        <v>33.03478260869565</v>
      </c>
      <c r="O522">
        <v>1</v>
      </c>
    </row>
    <row r="523" spans="1:15" x14ac:dyDescent="0.35">
      <c r="A523" s="71" t="s">
        <v>317</v>
      </c>
      <c r="B523">
        <v>111</v>
      </c>
      <c r="C523">
        <v>14947</v>
      </c>
      <c r="D523" s="71" t="s">
        <v>514</v>
      </c>
      <c r="E523">
        <v>37.99</v>
      </c>
      <c r="F523">
        <v>23.431950000000001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46191</v>
      </c>
      <c r="M523" s="71" t="s">
        <v>960</v>
      </c>
      <c r="N523">
        <v>33.03478260869565</v>
      </c>
      <c r="O523">
        <v>1</v>
      </c>
    </row>
    <row r="524" spans="1:15" x14ac:dyDescent="0.35">
      <c r="A524" s="71" t="s">
        <v>804</v>
      </c>
      <c r="B524">
        <v>111</v>
      </c>
      <c r="C524">
        <v>49316</v>
      </c>
      <c r="D524" s="71" t="s">
        <v>811</v>
      </c>
      <c r="E524">
        <v>22.99</v>
      </c>
      <c r="F524">
        <v>15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46189</v>
      </c>
      <c r="M524" s="71" t="s">
        <v>310</v>
      </c>
      <c r="N524">
        <v>19.991304347826087</v>
      </c>
      <c r="O524">
        <v>1</v>
      </c>
    </row>
    <row r="525" spans="1:15" x14ac:dyDescent="0.35">
      <c r="A525" s="71" t="s">
        <v>804</v>
      </c>
      <c r="B525">
        <v>111</v>
      </c>
      <c r="C525">
        <v>49316</v>
      </c>
      <c r="D525" s="71" t="s">
        <v>811</v>
      </c>
      <c r="E525">
        <v>22.99</v>
      </c>
      <c r="F525">
        <v>15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46191</v>
      </c>
      <c r="M525" s="71" t="s">
        <v>960</v>
      </c>
      <c r="N525">
        <v>39.982608695652175</v>
      </c>
      <c r="O525">
        <v>2</v>
      </c>
    </row>
    <row r="526" spans="1:15" x14ac:dyDescent="0.35">
      <c r="A526" s="71" t="s">
        <v>724</v>
      </c>
      <c r="B526">
        <v>112</v>
      </c>
      <c r="C526">
        <v>42767</v>
      </c>
      <c r="D526" s="71" t="s">
        <v>734</v>
      </c>
      <c r="E526">
        <v>79.989999999999995</v>
      </c>
      <c r="F526">
        <v>49.382599999999996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46190</v>
      </c>
      <c r="M526" s="71" t="s">
        <v>316</v>
      </c>
      <c r="N526">
        <v>139.11304347826086</v>
      </c>
      <c r="O526">
        <v>2</v>
      </c>
    </row>
    <row r="527" spans="1:15" x14ac:dyDescent="0.35">
      <c r="A527" s="71" t="s">
        <v>724</v>
      </c>
      <c r="B527">
        <v>112</v>
      </c>
      <c r="C527">
        <v>42767</v>
      </c>
      <c r="D527" s="71" t="s">
        <v>734</v>
      </c>
      <c r="E527">
        <v>79.989999999999995</v>
      </c>
      <c r="F527">
        <v>49.382599999999996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46191</v>
      </c>
      <c r="M527" s="71" t="s">
        <v>960</v>
      </c>
      <c r="N527">
        <v>208.66956521739129</v>
      </c>
      <c r="O527">
        <v>3</v>
      </c>
    </row>
    <row r="528" spans="1:15" x14ac:dyDescent="0.35">
      <c r="A528" s="71" t="s">
        <v>724</v>
      </c>
      <c r="B528">
        <v>112</v>
      </c>
      <c r="C528">
        <v>42768</v>
      </c>
      <c r="D528" s="71" t="s">
        <v>735</v>
      </c>
      <c r="E528">
        <v>169.99</v>
      </c>
      <c r="F528">
        <v>104.9478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46190</v>
      </c>
      <c r="M528" s="71" t="s">
        <v>316</v>
      </c>
      <c r="N528">
        <v>147.81739130434784</v>
      </c>
      <c r="O528">
        <v>1</v>
      </c>
    </row>
    <row r="529" spans="1:15" x14ac:dyDescent="0.35">
      <c r="A529" s="71" t="s">
        <v>724</v>
      </c>
      <c r="B529">
        <v>112</v>
      </c>
      <c r="C529">
        <v>42769</v>
      </c>
      <c r="D529" s="71" t="s">
        <v>736</v>
      </c>
      <c r="E529">
        <v>67.989999999999995</v>
      </c>
      <c r="F529">
        <v>41.9739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46188</v>
      </c>
      <c r="M529" s="71" t="s">
        <v>309</v>
      </c>
      <c r="N529">
        <v>59.121739130434776</v>
      </c>
      <c r="O529">
        <v>1</v>
      </c>
    </row>
    <row r="530" spans="1:15" x14ac:dyDescent="0.35">
      <c r="A530" s="71" t="s">
        <v>724</v>
      </c>
      <c r="B530">
        <v>112</v>
      </c>
      <c r="C530">
        <v>42871</v>
      </c>
      <c r="D530" s="71" t="s">
        <v>748</v>
      </c>
      <c r="E530">
        <v>96.99</v>
      </c>
      <c r="F530">
        <v>59.8782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46190</v>
      </c>
      <c r="M530" s="71" t="s">
        <v>316</v>
      </c>
      <c r="N530">
        <v>168.67826086956521</v>
      </c>
      <c r="O530">
        <v>2</v>
      </c>
    </row>
    <row r="531" spans="1:15" x14ac:dyDescent="0.35">
      <c r="A531" s="71" t="s">
        <v>724</v>
      </c>
      <c r="B531">
        <v>112</v>
      </c>
      <c r="C531">
        <v>42871</v>
      </c>
      <c r="D531" s="71" t="s">
        <v>748</v>
      </c>
      <c r="E531">
        <v>96.99</v>
      </c>
      <c r="F531">
        <v>59.8782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46191</v>
      </c>
      <c r="M531" s="71" t="s">
        <v>960</v>
      </c>
      <c r="N531">
        <v>84.339130434782604</v>
      </c>
      <c r="O531">
        <v>1</v>
      </c>
    </row>
    <row r="532" spans="1:15" x14ac:dyDescent="0.35">
      <c r="A532" s="71" t="s">
        <v>724</v>
      </c>
      <c r="B532">
        <v>112</v>
      </c>
      <c r="C532">
        <v>42873</v>
      </c>
      <c r="D532" s="71" t="s">
        <v>749</v>
      </c>
      <c r="E532">
        <v>44.99</v>
      </c>
      <c r="F532">
        <v>27.773900000000001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46190</v>
      </c>
      <c r="M532" s="71" t="s">
        <v>316</v>
      </c>
      <c r="N532">
        <v>117.36521739130436</v>
      </c>
      <c r="O532">
        <v>3</v>
      </c>
    </row>
    <row r="533" spans="1:15" x14ac:dyDescent="0.35">
      <c r="A533" s="71" t="s">
        <v>724</v>
      </c>
      <c r="B533">
        <v>112</v>
      </c>
      <c r="C533">
        <v>42875</v>
      </c>
      <c r="D533" s="71" t="s">
        <v>750</v>
      </c>
      <c r="E533">
        <v>169.99</v>
      </c>
      <c r="F533">
        <v>104.9478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46191</v>
      </c>
      <c r="M533" s="71" t="s">
        <v>960</v>
      </c>
      <c r="N533">
        <v>147.81739130434784</v>
      </c>
      <c r="O533">
        <v>1</v>
      </c>
    </row>
    <row r="534" spans="1:15" x14ac:dyDescent="0.35">
      <c r="A534" s="71" t="s">
        <v>724</v>
      </c>
      <c r="B534">
        <v>112</v>
      </c>
      <c r="C534">
        <v>42883</v>
      </c>
      <c r="D534" s="71" t="s">
        <v>751</v>
      </c>
      <c r="E534">
        <v>154.99</v>
      </c>
      <c r="F534">
        <v>95.686899999999994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46190</v>
      </c>
      <c r="M534" s="71" t="s">
        <v>316</v>
      </c>
      <c r="N534">
        <v>943.41739130434792</v>
      </c>
      <c r="O534">
        <v>7</v>
      </c>
    </row>
    <row r="535" spans="1:15" x14ac:dyDescent="0.35">
      <c r="A535" s="71" t="s">
        <v>724</v>
      </c>
      <c r="B535">
        <v>112</v>
      </c>
      <c r="C535">
        <v>42899</v>
      </c>
      <c r="D535" s="71" t="s">
        <v>754</v>
      </c>
      <c r="E535">
        <v>61.99</v>
      </c>
      <c r="F535">
        <v>38.269500000000001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46190</v>
      </c>
      <c r="M535" s="71" t="s">
        <v>316</v>
      </c>
      <c r="N535">
        <v>107.80869565217392</v>
      </c>
      <c r="O535">
        <v>2</v>
      </c>
    </row>
    <row r="536" spans="1:15" x14ac:dyDescent="0.35">
      <c r="A536" s="71" t="s">
        <v>724</v>
      </c>
      <c r="B536">
        <v>112</v>
      </c>
      <c r="C536">
        <v>42899</v>
      </c>
      <c r="D536" s="71" t="s">
        <v>754</v>
      </c>
      <c r="E536">
        <v>61.99</v>
      </c>
      <c r="F536">
        <v>38.269500000000001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46191</v>
      </c>
      <c r="M536" s="71" t="s">
        <v>960</v>
      </c>
      <c r="N536">
        <v>53.904347826086962</v>
      </c>
      <c r="O536">
        <v>1</v>
      </c>
    </row>
    <row r="537" spans="1:15" x14ac:dyDescent="0.35">
      <c r="A537" s="71" t="s">
        <v>724</v>
      </c>
      <c r="B537">
        <v>112</v>
      </c>
      <c r="C537">
        <v>42901</v>
      </c>
      <c r="D537" s="71" t="s">
        <v>756</v>
      </c>
      <c r="E537">
        <v>67.989999999999995</v>
      </c>
      <c r="F537">
        <v>41.9739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46190</v>
      </c>
      <c r="M537" s="71" t="s">
        <v>316</v>
      </c>
      <c r="N537">
        <v>354.73043478260871</v>
      </c>
      <c r="O537">
        <v>6</v>
      </c>
    </row>
    <row r="538" spans="1:15" x14ac:dyDescent="0.35">
      <c r="A538" s="71" t="s">
        <v>724</v>
      </c>
      <c r="B538">
        <v>112</v>
      </c>
      <c r="C538">
        <v>42906</v>
      </c>
      <c r="D538" s="71" t="s">
        <v>758</v>
      </c>
      <c r="E538">
        <v>65.989999999999995</v>
      </c>
      <c r="F538">
        <v>40.739100000000001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46190</v>
      </c>
      <c r="M538" s="71" t="s">
        <v>316</v>
      </c>
      <c r="N538">
        <v>114.76521739130433</v>
      </c>
      <c r="O538">
        <v>2</v>
      </c>
    </row>
    <row r="539" spans="1:15" x14ac:dyDescent="0.35">
      <c r="A539" s="71" t="s">
        <v>724</v>
      </c>
      <c r="B539">
        <v>112</v>
      </c>
      <c r="C539">
        <v>42909</v>
      </c>
      <c r="D539" s="71" t="s">
        <v>761</v>
      </c>
      <c r="E539">
        <v>64.989999999999995</v>
      </c>
      <c r="F539">
        <v>40.121699999999997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46191</v>
      </c>
      <c r="M539" s="71" t="s">
        <v>960</v>
      </c>
      <c r="N539">
        <v>56.513043478260869</v>
      </c>
      <c r="O539">
        <v>1</v>
      </c>
    </row>
    <row r="540" spans="1:15" x14ac:dyDescent="0.35">
      <c r="A540" s="71" t="s">
        <v>724</v>
      </c>
      <c r="B540">
        <v>112</v>
      </c>
      <c r="C540">
        <v>42912</v>
      </c>
      <c r="D540" s="71" t="s">
        <v>764</v>
      </c>
      <c r="E540">
        <v>64.989999999999995</v>
      </c>
      <c r="F540">
        <v>40.121699999999997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46190</v>
      </c>
      <c r="M540" s="71" t="s">
        <v>316</v>
      </c>
      <c r="N540">
        <v>56.513043478260869</v>
      </c>
      <c r="O540">
        <v>1</v>
      </c>
    </row>
    <row r="541" spans="1:15" x14ac:dyDescent="0.35">
      <c r="A541" s="71" t="s">
        <v>724</v>
      </c>
      <c r="B541">
        <v>112</v>
      </c>
      <c r="C541">
        <v>42920</v>
      </c>
      <c r="D541" s="71" t="s">
        <v>769</v>
      </c>
      <c r="E541">
        <v>106.99</v>
      </c>
      <c r="F541">
        <v>66.052099999999996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46189</v>
      </c>
      <c r="M541" s="71" t="s">
        <v>310</v>
      </c>
      <c r="N541">
        <v>93.03478260869565</v>
      </c>
      <c r="O541">
        <v>1</v>
      </c>
    </row>
    <row r="542" spans="1:15" x14ac:dyDescent="0.35">
      <c r="A542" s="71" t="s">
        <v>724</v>
      </c>
      <c r="B542">
        <v>112</v>
      </c>
      <c r="C542">
        <v>42922</v>
      </c>
      <c r="D542" s="71" t="s">
        <v>279</v>
      </c>
      <c r="E542">
        <v>134.99</v>
      </c>
      <c r="F542">
        <v>83.339100000000002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46189</v>
      </c>
      <c r="M542" s="71" t="s">
        <v>310</v>
      </c>
      <c r="N542">
        <v>117.38260869565218</v>
      </c>
      <c r="O542">
        <v>1</v>
      </c>
    </row>
    <row r="543" spans="1:15" x14ac:dyDescent="0.35">
      <c r="A543" s="71" t="s">
        <v>724</v>
      </c>
      <c r="B543">
        <v>112</v>
      </c>
      <c r="C543">
        <v>42924</v>
      </c>
      <c r="D543" s="71" t="s">
        <v>772</v>
      </c>
      <c r="E543">
        <v>103.99</v>
      </c>
      <c r="F543">
        <v>64.2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46190</v>
      </c>
      <c r="M543" s="71" t="s">
        <v>316</v>
      </c>
      <c r="N543">
        <v>180.85217391304346</v>
      </c>
      <c r="O543">
        <v>2</v>
      </c>
    </row>
    <row r="544" spans="1:15" x14ac:dyDescent="0.35">
      <c r="A544" s="71" t="s">
        <v>724</v>
      </c>
      <c r="B544">
        <v>112</v>
      </c>
      <c r="C544">
        <v>42924</v>
      </c>
      <c r="D544" s="71" t="s">
        <v>772</v>
      </c>
      <c r="E544">
        <v>103.99</v>
      </c>
      <c r="F544">
        <v>64.2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46191</v>
      </c>
      <c r="M544" s="71" t="s">
        <v>960</v>
      </c>
      <c r="N544">
        <v>90.426086956521729</v>
      </c>
      <c r="O544">
        <v>1</v>
      </c>
    </row>
    <row r="545" spans="1:15" x14ac:dyDescent="0.35">
      <c r="A545" s="71" t="s">
        <v>724</v>
      </c>
      <c r="B545">
        <v>112</v>
      </c>
      <c r="C545">
        <v>43028</v>
      </c>
      <c r="D545" s="71" t="s">
        <v>776</v>
      </c>
      <c r="E545">
        <v>59.99</v>
      </c>
      <c r="F545">
        <v>37.034700000000001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46190</v>
      </c>
      <c r="M545" s="71" t="s">
        <v>316</v>
      </c>
      <c r="N545">
        <v>104.33043478260871</v>
      </c>
      <c r="O545">
        <v>2</v>
      </c>
    </row>
    <row r="546" spans="1:15" x14ac:dyDescent="0.35">
      <c r="A546" s="71" t="s">
        <v>724</v>
      </c>
      <c r="B546">
        <v>112</v>
      </c>
      <c r="C546">
        <v>43127</v>
      </c>
      <c r="D546" s="71" t="s">
        <v>780</v>
      </c>
      <c r="E546">
        <v>62.99</v>
      </c>
      <c r="F546">
        <v>38.886899999999997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46190</v>
      </c>
      <c r="M546" s="71" t="s">
        <v>316</v>
      </c>
      <c r="N546">
        <v>54.77391304347826</v>
      </c>
      <c r="O546">
        <v>1</v>
      </c>
    </row>
    <row r="547" spans="1:15" x14ac:dyDescent="0.35">
      <c r="A547" s="71" t="s">
        <v>724</v>
      </c>
      <c r="B547">
        <v>112</v>
      </c>
      <c r="C547">
        <v>43127</v>
      </c>
      <c r="D547" s="71" t="s">
        <v>780</v>
      </c>
      <c r="E547">
        <v>62.99</v>
      </c>
      <c r="F547">
        <v>38.886899999999997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46191</v>
      </c>
      <c r="M547" s="71" t="s">
        <v>960</v>
      </c>
      <c r="N547">
        <v>54.77391304347826</v>
      </c>
      <c r="O547">
        <v>1</v>
      </c>
    </row>
    <row r="548" spans="1:15" x14ac:dyDescent="0.35">
      <c r="A548" s="71" t="s">
        <v>724</v>
      </c>
      <c r="B548">
        <v>112</v>
      </c>
      <c r="C548">
        <v>43618</v>
      </c>
      <c r="D548" s="71" t="s">
        <v>785</v>
      </c>
      <c r="E548">
        <v>62.99</v>
      </c>
      <c r="F548">
        <v>38.886899999999997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46191</v>
      </c>
      <c r="M548" s="71" t="s">
        <v>960</v>
      </c>
      <c r="N548">
        <v>109.54782608695652</v>
      </c>
      <c r="O548">
        <v>2</v>
      </c>
    </row>
    <row r="549" spans="1:15" x14ac:dyDescent="0.35">
      <c r="A549" s="71" t="s">
        <v>724</v>
      </c>
      <c r="B549">
        <v>112</v>
      </c>
      <c r="C549">
        <v>43829</v>
      </c>
      <c r="D549" s="71" t="s">
        <v>788</v>
      </c>
      <c r="E549">
        <v>119.99</v>
      </c>
      <c r="F549">
        <v>74.078199999999995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46191</v>
      </c>
      <c r="M549" s="71" t="s">
        <v>960</v>
      </c>
      <c r="N549">
        <v>104.3391304347826</v>
      </c>
      <c r="O549">
        <v>1</v>
      </c>
    </row>
    <row r="550" spans="1:15" x14ac:dyDescent="0.35">
      <c r="A550" s="71" t="s">
        <v>724</v>
      </c>
      <c r="B550">
        <v>112</v>
      </c>
      <c r="C550">
        <v>45161</v>
      </c>
      <c r="D550" s="71" t="s">
        <v>792</v>
      </c>
      <c r="E550">
        <v>67.989999999999995</v>
      </c>
      <c r="F550">
        <v>41.9739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46190</v>
      </c>
      <c r="M550" s="71" t="s">
        <v>316</v>
      </c>
      <c r="N550">
        <v>59.121739130434776</v>
      </c>
      <c r="O550">
        <v>1</v>
      </c>
    </row>
    <row r="551" spans="1:15" x14ac:dyDescent="0.35">
      <c r="A551" s="71" t="s">
        <v>724</v>
      </c>
      <c r="B551">
        <v>112</v>
      </c>
      <c r="C551">
        <v>46388</v>
      </c>
      <c r="D551" s="71" t="s">
        <v>798</v>
      </c>
      <c r="E551">
        <v>75.989999999999995</v>
      </c>
      <c r="F551">
        <v>46.912999999999997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46191</v>
      </c>
      <c r="M551" s="71" t="s">
        <v>960</v>
      </c>
      <c r="N551">
        <v>66.078260869565213</v>
      </c>
      <c r="O551">
        <v>1</v>
      </c>
    </row>
    <row r="552" spans="1:15" x14ac:dyDescent="0.35">
      <c r="A552" s="71" t="s">
        <v>724</v>
      </c>
      <c r="B552">
        <v>112</v>
      </c>
      <c r="C552">
        <v>66728</v>
      </c>
      <c r="D552" s="71" t="s">
        <v>945</v>
      </c>
      <c r="E552">
        <v>79.989999999999995</v>
      </c>
      <c r="F552">
        <v>49.382599999999996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46190</v>
      </c>
      <c r="M552" s="71" t="s">
        <v>316</v>
      </c>
      <c r="N552">
        <v>69.556521739130432</v>
      </c>
      <c r="O552">
        <v>1</v>
      </c>
    </row>
    <row r="553" spans="1:15" x14ac:dyDescent="0.35">
      <c r="A553" s="71" t="s">
        <v>14</v>
      </c>
      <c r="B553">
        <v>117</v>
      </c>
      <c r="C553">
        <v>41620</v>
      </c>
      <c r="D553" s="71" t="s">
        <v>255</v>
      </c>
      <c r="E553">
        <v>15.99</v>
      </c>
      <c r="F553">
        <v>8.11</v>
      </c>
      <c r="G553">
        <v>6</v>
      </c>
      <c r="H553">
        <v>95.94</v>
      </c>
      <c r="I553">
        <v>48.66</v>
      </c>
      <c r="J553">
        <v>47.28</v>
      </c>
      <c r="K553">
        <v>49.280800500312701</v>
      </c>
      <c r="L553">
        <v>46190</v>
      </c>
      <c r="M553" s="71" t="s">
        <v>316</v>
      </c>
      <c r="N553">
        <v>13.904347826086957</v>
      </c>
      <c r="O553">
        <v>1</v>
      </c>
    </row>
    <row r="554" spans="1:15" x14ac:dyDescent="0.35">
      <c r="A554" s="71" t="s">
        <v>14</v>
      </c>
      <c r="B554">
        <v>118</v>
      </c>
      <c r="C554">
        <v>34014</v>
      </c>
      <c r="D554" s="71" t="s">
        <v>258</v>
      </c>
      <c r="E554">
        <v>100</v>
      </c>
      <c r="F554">
        <v>52.03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46188</v>
      </c>
      <c r="M554" s="71" t="s">
        <v>309</v>
      </c>
      <c r="N554">
        <v>86.956521739130437</v>
      </c>
      <c r="O554">
        <v>1</v>
      </c>
    </row>
    <row r="555" spans="1:15" x14ac:dyDescent="0.35">
      <c r="A555" s="71" t="s">
        <v>14</v>
      </c>
      <c r="B555">
        <v>118</v>
      </c>
      <c r="C555">
        <v>34033</v>
      </c>
      <c r="D555" s="71" t="s">
        <v>256</v>
      </c>
      <c r="E555">
        <v>120</v>
      </c>
      <c r="F555">
        <v>64.849999999999994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46188</v>
      </c>
      <c r="M555" s="71" t="s">
        <v>309</v>
      </c>
      <c r="N555">
        <v>104.34782608695652</v>
      </c>
      <c r="O555">
        <v>1</v>
      </c>
    </row>
    <row r="556" spans="1:15" x14ac:dyDescent="0.35">
      <c r="A556" s="71" t="s">
        <v>14</v>
      </c>
      <c r="B556">
        <v>118</v>
      </c>
      <c r="C556">
        <v>34033</v>
      </c>
      <c r="D556" s="71" t="s">
        <v>256</v>
      </c>
      <c r="E556">
        <v>120</v>
      </c>
      <c r="F556">
        <v>64.849999999999994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46189</v>
      </c>
      <c r="M556" s="71" t="s">
        <v>310</v>
      </c>
      <c r="N556">
        <v>104.34782608695652</v>
      </c>
      <c r="O556">
        <v>1</v>
      </c>
    </row>
    <row r="557" spans="1:15" x14ac:dyDescent="0.35">
      <c r="A557" s="71" t="s">
        <v>14</v>
      </c>
      <c r="B557">
        <v>118</v>
      </c>
      <c r="C557">
        <v>40305</v>
      </c>
      <c r="D557" s="71" t="s">
        <v>257</v>
      </c>
      <c r="E557">
        <v>9.99</v>
      </c>
      <c r="F557">
        <v>4.53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46188</v>
      </c>
      <c r="M557" s="71" t="s">
        <v>309</v>
      </c>
      <c r="N557">
        <v>17.373913043478261</v>
      </c>
      <c r="O557">
        <v>2</v>
      </c>
    </row>
    <row r="558" spans="1:15" x14ac:dyDescent="0.35">
      <c r="A558" s="71" t="s">
        <v>14</v>
      </c>
      <c r="B558">
        <v>118</v>
      </c>
      <c r="C558">
        <v>40305</v>
      </c>
      <c r="D558" s="71" t="s">
        <v>257</v>
      </c>
      <c r="E558">
        <v>9.99</v>
      </c>
      <c r="F558">
        <v>4.53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46189</v>
      </c>
      <c r="M558" s="71" t="s">
        <v>310</v>
      </c>
      <c r="N558">
        <v>86.869565217391312</v>
      </c>
      <c r="O558">
        <v>10</v>
      </c>
    </row>
    <row r="559" spans="1:15" x14ac:dyDescent="0.35">
      <c r="A559" s="71" t="s">
        <v>14</v>
      </c>
      <c r="B559">
        <v>118</v>
      </c>
      <c r="C559">
        <v>40305</v>
      </c>
      <c r="D559" s="71" t="s">
        <v>257</v>
      </c>
      <c r="E559">
        <v>9.99</v>
      </c>
      <c r="F559">
        <v>4.53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46190</v>
      </c>
      <c r="M559" s="71" t="s">
        <v>316</v>
      </c>
      <c r="N559">
        <v>8.6869565217391305</v>
      </c>
      <c r="O559">
        <v>1</v>
      </c>
    </row>
    <row r="560" spans="1:15" x14ac:dyDescent="0.35">
      <c r="A560" s="71" t="s">
        <v>14</v>
      </c>
      <c r="B560">
        <v>119</v>
      </c>
      <c r="C560">
        <v>34105</v>
      </c>
      <c r="D560" s="71" t="s">
        <v>265</v>
      </c>
      <c r="E560">
        <v>79.989999999999995</v>
      </c>
      <c r="F560">
        <v>54.64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46188</v>
      </c>
      <c r="M560" s="71" t="s">
        <v>309</v>
      </c>
      <c r="N560">
        <v>69.556521739130432</v>
      </c>
      <c r="O560">
        <v>1</v>
      </c>
    </row>
    <row r="561" spans="1:15" x14ac:dyDescent="0.35">
      <c r="A561" s="71" t="s">
        <v>14</v>
      </c>
      <c r="B561">
        <v>119</v>
      </c>
      <c r="C561">
        <v>34105</v>
      </c>
      <c r="D561" s="71" t="s">
        <v>265</v>
      </c>
      <c r="E561">
        <v>79.989999999999995</v>
      </c>
      <c r="F561">
        <v>54.64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46190</v>
      </c>
      <c r="M561" s="71" t="s">
        <v>316</v>
      </c>
      <c r="N561">
        <v>208.66956521739129</v>
      </c>
      <c r="O561">
        <v>3</v>
      </c>
    </row>
    <row r="562" spans="1:15" x14ac:dyDescent="0.35">
      <c r="A562" s="71" t="s">
        <v>14</v>
      </c>
      <c r="B562">
        <v>120</v>
      </c>
      <c r="C562">
        <v>62585</v>
      </c>
      <c r="D562" s="71" t="s">
        <v>281</v>
      </c>
      <c r="E562">
        <v>60</v>
      </c>
      <c r="F562">
        <v>26.17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46189</v>
      </c>
      <c r="M562" s="71" t="s">
        <v>310</v>
      </c>
      <c r="N562">
        <v>6217.391304347826</v>
      </c>
      <c r="O562">
        <v>130</v>
      </c>
    </row>
    <row r="563" spans="1:15" x14ac:dyDescent="0.35">
      <c r="A563" s="71" t="s">
        <v>14</v>
      </c>
      <c r="B563">
        <v>120</v>
      </c>
      <c r="C563">
        <v>62629</v>
      </c>
      <c r="D563" s="71" t="s">
        <v>282</v>
      </c>
      <c r="E563">
        <v>60</v>
      </c>
      <c r="F563">
        <v>33.18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46189</v>
      </c>
      <c r="M563" s="71" t="s">
        <v>310</v>
      </c>
      <c r="N563">
        <v>1043.4782608695652</v>
      </c>
      <c r="O563">
        <v>20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F0E7A-C2E7-4746-8935-EC61B11829F2}">
  <dimension ref="A3:Q309"/>
  <sheetViews>
    <sheetView tabSelected="1" workbookViewId="0">
      <selection activeCell="G4" sqref="G4"/>
    </sheetView>
  </sheetViews>
  <sheetFormatPr defaultRowHeight="13" x14ac:dyDescent="0.35"/>
  <cols>
    <col min="1" max="1" width="11" customWidth="1"/>
    <col min="2" max="2" width="11.796875" bestFit="1" customWidth="1"/>
    <col min="3" max="3" width="41.8984375" bestFit="1" customWidth="1"/>
    <col min="4" max="4" width="6.8984375" style="77" bestFit="1" customWidth="1"/>
    <col min="5" max="5" width="11.8984375" bestFit="1" customWidth="1"/>
    <col min="6" max="6" width="9.8984375" style="42" customWidth="1"/>
    <col min="7" max="7" width="22.69921875" bestFit="1" customWidth="1"/>
    <col min="8" max="15" width="11" bestFit="1" customWidth="1"/>
    <col min="16" max="16" width="8.8984375" bestFit="1" customWidth="1"/>
    <col min="17" max="17" width="7.69921875" bestFit="1" customWidth="1"/>
  </cols>
  <sheetData>
    <row r="3" spans="1:17" s="22" customFormat="1" x14ac:dyDescent="0.35">
      <c r="A3" s="43"/>
      <c r="B3" s="44"/>
      <c r="C3" s="44"/>
      <c r="D3" s="44"/>
      <c r="E3" s="44"/>
      <c r="F3" s="44"/>
      <c r="G3" s="44"/>
      <c r="H3" s="45" t="s">
        <v>311</v>
      </c>
      <c r="I3" s="56" t="s">
        <v>312</v>
      </c>
      <c r="J3" s="56" t="s">
        <v>965</v>
      </c>
      <c r="K3" s="44"/>
      <c r="L3" s="44"/>
      <c r="M3" s="44"/>
      <c r="N3" s="44"/>
      <c r="O3" s="44"/>
      <c r="P3" s="44"/>
      <c r="Q3" s="46"/>
    </row>
    <row r="4" spans="1:17" ht="39" x14ac:dyDescent="0.35">
      <c r="A4" s="54"/>
      <c r="B4" s="55"/>
      <c r="C4" s="55"/>
      <c r="D4" s="55"/>
      <c r="E4" s="55"/>
      <c r="F4" s="55"/>
      <c r="G4" s="55"/>
      <c r="H4" s="57">
        <v>46188</v>
      </c>
      <c r="I4" s="65"/>
      <c r="J4" s="57">
        <v>46189</v>
      </c>
      <c r="K4" s="65"/>
      <c r="L4" s="57">
        <v>46190</v>
      </c>
      <c r="M4" s="65"/>
      <c r="N4" s="57">
        <v>46191</v>
      </c>
      <c r="O4" s="65"/>
      <c r="P4" s="74" t="s">
        <v>313</v>
      </c>
      <c r="Q4" s="74" t="s">
        <v>966</v>
      </c>
    </row>
    <row r="5" spans="1:17" s="39" customFormat="1" x14ac:dyDescent="0.35">
      <c r="A5" s="54"/>
      <c r="B5" s="55"/>
      <c r="C5" s="55"/>
      <c r="D5" s="55"/>
      <c r="E5" s="55"/>
      <c r="F5" s="55"/>
      <c r="G5" s="55"/>
      <c r="H5" s="43" t="s">
        <v>309</v>
      </c>
      <c r="I5" s="44"/>
      <c r="J5" s="43" t="s">
        <v>310</v>
      </c>
      <c r="K5" s="44"/>
      <c r="L5" s="43" t="s">
        <v>316</v>
      </c>
      <c r="M5" s="44"/>
      <c r="N5" s="43" t="s">
        <v>960</v>
      </c>
      <c r="O5" s="44"/>
      <c r="P5" s="75"/>
      <c r="Q5" s="75"/>
    </row>
    <row r="6" spans="1:17" s="69" customFormat="1" ht="48.5" customHeight="1" x14ac:dyDescent="0.35">
      <c r="A6" s="66" t="s">
        <v>303</v>
      </c>
      <c r="B6" s="66" t="s">
        <v>1</v>
      </c>
      <c r="C6" s="66" t="s">
        <v>2</v>
      </c>
      <c r="D6" s="66" t="s">
        <v>3</v>
      </c>
      <c r="E6" s="66" t="s">
        <v>4</v>
      </c>
      <c r="F6" s="66" t="s">
        <v>962</v>
      </c>
      <c r="G6" s="66" t="s">
        <v>961</v>
      </c>
      <c r="H6" s="67" t="s">
        <v>314</v>
      </c>
      <c r="I6" s="68" t="s">
        <v>967</v>
      </c>
      <c r="J6" s="67" t="s">
        <v>314</v>
      </c>
      <c r="K6" s="68" t="s">
        <v>967</v>
      </c>
      <c r="L6" s="67" t="s">
        <v>314</v>
      </c>
      <c r="M6" s="68" t="s">
        <v>967</v>
      </c>
      <c r="N6" s="67" t="s">
        <v>314</v>
      </c>
      <c r="O6" s="68" t="s">
        <v>967</v>
      </c>
      <c r="P6" s="75"/>
      <c r="Q6" s="75"/>
    </row>
    <row r="7" spans="1:17" x14ac:dyDescent="0.35">
      <c r="A7" s="43">
        <v>101</v>
      </c>
      <c r="B7" s="43">
        <v>14857</v>
      </c>
      <c r="C7" s="43" t="s">
        <v>321</v>
      </c>
      <c r="D7" s="73">
        <v>69.989999999999995</v>
      </c>
      <c r="E7" s="58">
        <v>43.867849999999997</v>
      </c>
      <c r="F7" s="58">
        <v>0</v>
      </c>
      <c r="G7" s="76">
        <v>0</v>
      </c>
      <c r="H7" s="58"/>
      <c r="I7" s="59"/>
      <c r="J7" s="58"/>
      <c r="K7" s="59"/>
      <c r="L7" s="58">
        <v>57.817391304347822</v>
      </c>
      <c r="M7" s="59">
        <v>1</v>
      </c>
      <c r="N7" s="58"/>
      <c r="O7" s="59"/>
      <c r="P7" s="58">
        <v>57.817391304347822</v>
      </c>
      <c r="Q7" s="60">
        <v>1</v>
      </c>
    </row>
    <row r="8" spans="1:17" x14ac:dyDescent="0.35">
      <c r="A8" s="54"/>
      <c r="B8" s="43">
        <v>14858</v>
      </c>
      <c r="C8" s="43" t="s">
        <v>322</v>
      </c>
      <c r="D8" s="58">
        <v>69.989999999999995</v>
      </c>
      <c r="E8" s="58">
        <v>43.867849999999997</v>
      </c>
      <c r="F8" s="58">
        <v>0</v>
      </c>
      <c r="G8" s="76">
        <v>0</v>
      </c>
      <c r="H8" s="58">
        <v>60.860869565217385</v>
      </c>
      <c r="I8" s="59">
        <v>1</v>
      </c>
      <c r="J8" s="58"/>
      <c r="K8" s="59"/>
      <c r="L8" s="58">
        <v>60.860869565217385</v>
      </c>
      <c r="M8" s="59">
        <v>1</v>
      </c>
      <c r="N8" s="58"/>
      <c r="O8" s="59"/>
      <c r="P8" s="58">
        <v>121.72173913043477</v>
      </c>
      <c r="Q8" s="60">
        <v>2</v>
      </c>
    </row>
    <row r="9" spans="1:17" x14ac:dyDescent="0.35">
      <c r="A9" s="54"/>
      <c r="B9" s="43">
        <v>14860</v>
      </c>
      <c r="C9" s="43" t="s">
        <v>323</v>
      </c>
      <c r="D9" s="58">
        <v>69.989999999999995</v>
      </c>
      <c r="E9" s="58">
        <v>43.867849999999997</v>
      </c>
      <c r="F9" s="58">
        <v>0</v>
      </c>
      <c r="G9" s="76">
        <v>0</v>
      </c>
      <c r="H9" s="58"/>
      <c r="I9" s="59"/>
      <c r="J9" s="58"/>
      <c r="K9" s="59"/>
      <c r="L9" s="58"/>
      <c r="M9" s="59"/>
      <c r="N9" s="58">
        <v>60.860869565217385</v>
      </c>
      <c r="O9" s="59">
        <v>1</v>
      </c>
      <c r="P9" s="58">
        <v>60.860869565217385</v>
      </c>
      <c r="Q9" s="60">
        <v>1</v>
      </c>
    </row>
    <row r="10" spans="1:17" x14ac:dyDescent="0.35">
      <c r="A10" s="54"/>
      <c r="B10" s="43">
        <v>14976</v>
      </c>
      <c r="C10" s="43" t="s">
        <v>324</v>
      </c>
      <c r="D10" s="73">
        <v>62.99</v>
      </c>
      <c r="E10" s="58">
        <v>39.031133333333337</v>
      </c>
      <c r="F10" s="58">
        <v>0</v>
      </c>
      <c r="G10" s="76">
        <v>0</v>
      </c>
      <c r="H10" s="58"/>
      <c r="I10" s="59"/>
      <c r="J10" s="58">
        <v>54.77391304347826</v>
      </c>
      <c r="K10" s="59">
        <v>1</v>
      </c>
      <c r="L10" s="58">
        <v>109.54782608695652</v>
      </c>
      <c r="M10" s="59">
        <v>2</v>
      </c>
      <c r="N10" s="58">
        <v>109.54782608695652</v>
      </c>
      <c r="O10" s="59">
        <v>2</v>
      </c>
      <c r="P10" s="58">
        <v>273.86956521739125</v>
      </c>
      <c r="Q10" s="60">
        <v>5</v>
      </c>
    </row>
    <row r="11" spans="1:17" x14ac:dyDescent="0.35">
      <c r="A11" s="54"/>
      <c r="B11" s="43">
        <v>15305</v>
      </c>
      <c r="C11" s="43" t="s">
        <v>328</v>
      </c>
      <c r="D11" s="73">
        <v>71.989999999999995</v>
      </c>
      <c r="E11" s="58">
        <v>44.50665</v>
      </c>
      <c r="F11" s="58">
        <v>0</v>
      </c>
      <c r="G11" s="76">
        <v>0</v>
      </c>
      <c r="H11" s="58"/>
      <c r="I11" s="59"/>
      <c r="J11" s="58">
        <v>62.599999999999994</v>
      </c>
      <c r="K11" s="59">
        <v>1</v>
      </c>
      <c r="L11" s="58"/>
      <c r="M11" s="59"/>
      <c r="N11" s="58"/>
      <c r="O11" s="59"/>
      <c r="P11" s="58">
        <v>62.599999999999994</v>
      </c>
      <c r="Q11" s="60">
        <v>1</v>
      </c>
    </row>
    <row r="12" spans="1:17" x14ac:dyDescent="0.35">
      <c r="A12" s="54"/>
      <c r="B12" s="43">
        <v>16067</v>
      </c>
      <c r="C12" s="43" t="s">
        <v>349</v>
      </c>
      <c r="D12" s="73">
        <v>26.99</v>
      </c>
      <c r="E12" s="58">
        <v>16.816925000000001</v>
      </c>
      <c r="F12" s="58">
        <v>0</v>
      </c>
      <c r="G12" s="76">
        <v>0</v>
      </c>
      <c r="H12" s="58">
        <v>23.469565217391303</v>
      </c>
      <c r="I12" s="59">
        <v>1</v>
      </c>
      <c r="J12" s="58">
        <v>23.469565217391303</v>
      </c>
      <c r="K12" s="59">
        <v>1</v>
      </c>
      <c r="L12" s="58"/>
      <c r="M12" s="59"/>
      <c r="N12" s="58"/>
      <c r="O12" s="59"/>
      <c r="P12" s="58">
        <v>46.939130434782605</v>
      </c>
      <c r="Q12" s="60">
        <v>2</v>
      </c>
    </row>
    <row r="13" spans="1:17" x14ac:dyDescent="0.35">
      <c r="A13" s="54"/>
      <c r="B13" s="43">
        <v>32062</v>
      </c>
      <c r="C13" s="43" t="s">
        <v>51</v>
      </c>
      <c r="D13" s="72">
        <v>24.99</v>
      </c>
      <c r="E13" s="58">
        <v>9.68</v>
      </c>
      <c r="F13" s="58">
        <v>149.94</v>
      </c>
      <c r="G13" s="76">
        <v>6</v>
      </c>
      <c r="H13" s="58"/>
      <c r="I13" s="59"/>
      <c r="J13" s="58"/>
      <c r="K13" s="59"/>
      <c r="L13" s="58">
        <v>43.460869565217386</v>
      </c>
      <c r="M13" s="59">
        <v>2</v>
      </c>
      <c r="N13" s="58"/>
      <c r="O13" s="59"/>
      <c r="P13" s="58">
        <v>43.460869565217386</v>
      </c>
      <c r="Q13" s="60">
        <v>2</v>
      </c>
    </row>
    <row r="14" spans="1:17" x14ac:dyDescent="0.35">
      <c r="A14" s="54"/>
      <c r="B14" s="43">
        <v>32063</v>
      </c>
      <c r="C14" s="43" t="s">
        <v>52</v>
      </c>
      <c r="D14" s="72">
        <v>19.989999999999998</v>
      </c>
      <c r="E14" s="58">
        <v>8.5</v>
      </c>
      <c r="F14" s="58">
        <v>119.94</v>
      </c>
      <c r="G14" s="76">
        <v>6</v>
      </c>
      <c r="H14" s="58"/>
      <c r="I14" s="59"/>
      <c r="J14" s="58"/>
      <c r="K14" s="59"/>
      <c r="L14" s="58">
        <v>34.765217391304347</v>
      </c>
      <c r="M14" s="59">
        <v>2</v>
      </c>
      <c r="N14" s="58">
        <v>17.382608695652173</v>
      </c>
      <c r="O14" s="59">
        <v>1</v>
      </c>
      <c r="P14" s="58">
        <v>52.14782608695652</v>
      </c>
      <c r="Q14" s="60">
        <v>3</v>
      </c>
    </row>
    <row r="15" spans="1:17" x14ac:dyDescent="0.35">
      <c r="A15" s="54"/>
      <c r="B15" s="43">
        <v>32067</v>
      </c>
      <c r="C15" s="43" t="s">
        <v>29</v>
      </c>
      <c r="D15" s="72">
        <v>34.99</v>
      </c>
      <c r="E15" s="58">
        <v>15.91</v>
      </c>
      <c r="F15" s="58">
        <v>279.92</v>
      </c>
      <c r="G15" s="76">
        <v>8</v>
      </c>
      <c r="H15" s="58"/>
      <c r="I15" s="59"/>
      <c r="J15" s="58">
        <v>121.70434782608696</v>
      </c>
      <c r="K15" s="59">
        <v>4</v>
      </c>
      <c r="L15" s="58">
        <v>117.13913043478261</v>
      </c>
      <c r="M15" s="59">
        <v>4</v>
      </c>
      <c r="N15" s="58">
        <v>30.42608695652174</v>
      </c>
      <c r="O15" s="59">
        <v>1</v>
      </c>
      <c r="P15" s="58">
        <v>269.26956521739129</v>
      </c>
      <c r="Q15" s="60">
        <v>9</v>
      </c>
    </row>
    <row r="16" spans="1:17" x14ac:dyDescent="0.35">
      <c r="A16" s="54"/>
      <c r="B16" s="43">
        <v>32858</v>
      </c>
      <c r="C16" s="43" t="s">
        <v>34</v>
      </c>
      <c r="D16" s="72">
        <v>3.8</v>
      </c>
      <c r="E16" s="58">
        <v>1.3</v>
      </c>
      <c r="F16" s="58">
        <v>0</v>
      </c>
      <c r="G16" s="76">
        <v>0</v>
      </c>
      <c r="H16" s="58">
        <v>19.826086956521738</v>
      </c>
      <c r="I16" s="59">
        <v>6</v>
      </c>
      <c r="J16" s="58">
        <v>102.43478260869566</v>
      </c>
      <c r="K16" s="59">
        <v>31</v>
      </c>
      <c r="L16" s="58">
        <v>194.46086956521739</v>
      </c>
      <c r="M16" s="59">
        <v>59</v>
      </c>
      <c r="N16" s="58">
        <v>29.739130434782609</v>
      </c>
      <c r="O16" s="59">
        <v>9</v>
      </c>
      <c r="P16" s="58">
        <v>346.46086956521742</v>
      </c>
      <c r="Q16" s="60">
        <v>105</v>
      </c>
    </row>
    <row r="17" spans="1:17" x14ac:dyDescent="0.35">
      <c r="A17" s="54"/>
      <c r="B17" s="43">
        <v>32859</v>
      </c>
      <c r="C17" s="43" t="s">
        <v>20</v>
      </c>
      <c r="D17" s="72">
        <v>20.99</v>
      </c>
      <c r="E17" s="58">
        <v>7.46</v>
      </c>
      <c r="F17" s="58">
        <v>2196.9533333333402</v>
      </c>
      <c r="G17" s="76">
        <v>104.666666666667</v>
      </c>
      <c r="H17" s="58">
        <v>146.01739130434785</v>
      </c>
      <c r="I17" s="59">
        <v>8</v>
      </c>
      <c r="J17" s="58">
        <v>200.77391304347827</v>
      </c>
      <c r="K17" s="59">
        <v>11</v>
      </c>
      <c r="L17" s="58">
        <v>177.97391304347826</v>
      </c>
      <c r="M17" s="59">
        <v>10</v>
      </c>
      <c r="N17" s="58">
        <v>219.02608695652174</v>
      </c>
      <c r="O17" s="59">
        <v>12</v>
      </c>
      <c r="P17" s="58">
        <v>743.7913043478261</v>
      </c>
      <c r="Q17" s="60">
        <v>41</v>
      </c>
    </row>
    <row r="18" spans="1:17" x14ac:dyDescent="0.35">
      <c r="A18" s="54"/>
      <c r="B18" s="43">
        <v>32860</v>
      </c>
      <c r="C18" s="43" t="s">
        <v>16</v>
      </c>
      <c r="D18" s="72">
        <v>18</v>
      </c>
      <c r="E18" s="58">
        <v>8.44</v>
      </c>
      <c r="F18" s="58">
        <v>0</v>
      </c>
      <c r="G18" s="76">
        <v>0</v>
      </c>
      <c r="H18" s="58">
        <v>365.04347826086956</v>
      </c>
      <c r="I18" s="59">
        <v>20</v>
      </c>
      <c r="J18" s="58">
        <v>200.77391304347825</v>
      </c>
      <c r="K18" s="59">
        <v>11</v>
      </c>
      <c r="L18" s="58">
        <v>199.8608695652174</v>
      </c>
      <c r="M18" s="59">
        <v>11</v>
      </c>
      <c r="N18" s="58">
        <v>419.79999999999995</v>
      </c>
      <c r="O18" s="59">
        <v>23</v>
      </c>
      <c r="P18" s="58">
        <v>1185.478260869565</v>
      </c>
      <c r="Q18" s="60">
        <v>65</v>
      </c>
    </row>
    <row r="19" spans="1:17" x14ac:dyDescent="0.35">
      <c r="A19" s="54"/>
      <c r="B19" s="43">
        <v>33997</v>
      </c>
      <c r="C19" s="43" t="s">
        <v>39</v>
      </c>
      <c r="D19" s="72">
        <v>14.99</v>
      </c>
      <c r="E19" s="58">
        <v>7.62</v>
      </c>
      <c r="F19" s="58">
        <v>449.7</v>
      </c>
      <c r="G19" s="76">
        <v>30</v>
      </c>
      <c r="H19" s="58">
        <v>39.104347826086958</v>
      </c>
      <c r="I19" s="59">
        <v>3</v>
      </c>
      <c r="J19" s="58">
        <v>52.139130434782608</v>
      </c>
      <c r="K19" s="59">
        <v>4</v>
      </c>
      <c r="L19" s="58">
        <v>39.104347826086958</v>
      </c>
      <c r="M19" s="59">
        <v>3</v>
      </c>
      <c r="N19" s="58">
        <v>143.38260869565215</v>
      </c>
      <c r="O19" s="59">
        <v>11</v>
      </c>
      <c r="P19" s="58">
        <v>273.73043478260865</v>
      </c>
      <c r="Q19" s="60">
        <v>21</v>
      </c>
    </row>
    <row r="20" spans="1:17" x14ac:dyDescent="0.35">
      <c r="A20" s="54"/>
      <c r="B20" s="43">
        <v>34004</v>
      </c>
      <c r="C20" s="43" t="s">
        <v>50</v>
      </c>
      <c r="D20" s="72">
        <v>1</v>
      </c>
      <c r="E20" s="58">
        <v>0.65</v>
      </c>
      <c r="F20" s="58">
        <v>0</v>
      </c>
      <c r="G20" s="76">
        <v>0</v>
      </c>
      <c r="H20" s="58">
        <v>30.434782608695652</v>
      </c>
      <c r="I20" s="59">
        <v>35</v>
      </c>
      <c r="J20" s="58">
        <v>6.9565217391304346</v>
      </c>
      <c r="K20" s="59">
        <v>8</v>
      </c>
      <c r="L20" s="58">
        <v>13.043478260869565</v>
      </c>
      <c r="M20" s="59">
        <v>15</v>
      </c>
      <c r="N20" s="58">
        <v>16.521739130434781</v>
      </c>
      <c r="O20" s="59">
        <v>19</v>
      </c>
      <c r="P20" s="58">
        <v>66.956521739130437</v>
      </c>
      <c r="Q20" s="60">
        <v>77</v>
      </c>
    </row>
    <row r="21" spans="1:17" x14ac:dyDescent="0.35">
      <c r="A21" s="54"/>
      <c r="B21" s="43">
        <v>34011</v>
      </c>
      <c r="C21" s="43" t="s">
        <v>66</v>
      </c>
      <c r="D21" s="72">
        <v>19.989999999999998</v>
      </c>
      <c r="E21" s="58">
        <v>2.63</v>
      </c>
      <c r="F21" s="58">
        <v>119.94</v>
      </c>
      <c r="G21" s="76">
        <v>6</v>
      </c>
      <c r="H21" s="58"/>
      <c r="I21" s="59"/>
      <c r="J21" s="58"/>
      <c r="K21" s="59"/>
      <c r="L21" s="58">
        <v>17.382608695652173</v>
      </c>
      <c r="M21" s="59">
        <v>1</v>
      </c>
      <c r="N21" s="58">
        <v>17.382608695652173</v>
      </c>
      <c r="O21" s="59">
        <v>1</v>
      </c>
      <c r="P21" s="58">
        <v>34.765217391304347</v>
      </c>
      <c r="Q21" s="60">
        <v>2</v>
      </c>
    </row>
    <row r="22" spans="1:17" x14ac:dyDescent="0.35">
      <c r="A22" s="54"/>
      <c r="B22" s="43">
        <v>34022</v>
      </c>
      <c r="C22" s="43" t="s">
        <v>54</v>
      </c>
      <c r="D22" s="72">
        <v>5.99</v>
      </c>
      <c r="E22" s="58">
        <v>2.72</v>
      </c>
      <c r="F22" s="58">
        <v>143.76</v>
      </c>
      <c r="G22" s="76">
        <v>24</v>
      </c>
      <c r="H22" s="58">
        <v>26.043478260869563</v>
      </c>
      <c r="I22" s="59">
        <v>5</v>
      </c>
      <c r="J22" s="58"/>
      <c r="K22" s="59"/>
      <c r="L22" s="58">
        <v>10.417391304347827</v>
      </c>
      <c r="M22" s="59">
        <v>2</v>
      </c>
      <c r="N22" s="58"/>
      <c r="O22" s="59"/>
      <c r="P22" s="58">
        <v>36.460869565217394</v>
      </c>
      <c r="Q22" s="60">
        <v>7</v>
      </c>
    </row>
    <row r="23" spans="1:17" x14ac:dyDescent="0.35">
      <c r="A23" s="54"/>
      <c r="B23" s="43">
        <v>34023</v>
      </c>
      <c r="C23" s="43" t="s">
        <v>48</v>
      </c>
      <c r="D23" s="72">
        <v>6.99</v>
      </c>
      <c r="E23" s="58">
        <v>2.85</v>
      </c>
      <c r="F23" s="58">
        <v>195.72</v>
      </c>
      <c r="G23" s="76">
        <v>28</v>
      </c>
      <c r="H23" s="58">
        <v>30.39130434782609</v>
      </c>
      <c r="I23" s="59">
        <v>5</v>
      </c>
      <c r="J23" s="58">
        <v>24.31304347826087</v>
      </c>
      <c r="K23" s="59">
        <v>4</v>
      </c>
      <c r="L23" s="58">
        <v>24.008695652173913</v>
      </c>
      <c r="M23" s="59">
        <v>4</v>
      </c>
      <c r="N23" s="58">
        <v>24.31304347826087</v>
      </c>
      <c r="O23" s="59">
        <v>4</v>
      </c>
      <c r="P23" s="58">
        <v>103.02608695652174</v>
      </c>
      <c r="Q23" s="60">
        <v>17</v>
      </c>
    </row>
    <row r="24" spans="1:17" x14ac:dyDescent="0.35">
      <c r="A24" s="54"/>
      <c r="B24" s="43">
        <v>34024</v>
      </c>
      <c r="C24" s="43" t="s">
        <v>23</v>
      </c>
      <c r="D24" s="72">
        <v>37.99</v>
      </c>
      <c r="E24" s="58">
        <v>16.5</v>
      </c>
      <c r="F24" s="58">
        <v>1367.64</v>
      </c>
      <c r="G24" s="76">
        <v>36</v>
      </c>
      <c r="H24" s="58">
        <v>165.17391304347825</v>
      </c>
      <c r="I24" s="59">
        <v>5</v>
      </c>
      <c r="J24" s="58">
        <v>33.03478260869565</v>
      </c>
      <c r="K24" s="59">
        <v>1</v>
      </c>
      <c r="L24" s="58">
        <v>165.17391304347825</v>
      </c>
      <c r="M24" s="59">
        <v>5</v>
      </c>
      <c r="N24" s="58">
        <v>132.1391304347826</v>
      </c>
      <c r="O24" s="59">
        <v>4</v>
      </c>
      <c r="P24" s="58">
        <v>495.52173913043475</v>
      </c>
      <c r="Q24" s="60">
        <v>15</v>
      </c>
    </row>
    <row r="25" spans="1:17" x14ac:dyDescent="0.35">
      <c r="A25" s="54"/>
      <c r="B25" s="43">
        <v>34041</v>
      </c>
      <c r="C25" s="43" t="s">
        <v>43</v>
      </c>
      <c r="D25" s="72">
        <v>6.99</v>
      </c>
      <c r="E25" s="58">
        <v>3.15</v>
      </c>
      <c r="F25" s="58">
        <v>489.3</v>
      </c>
      <c r="G25" s="76">
        <v>70</v>
      </c>
      <c r="H25" s="58">
        <v>66.860869565217399</v>
      </c>
      <c r="I25" s="59">
        <v>11</v>
      </c>
      <c r="J25" s="58">
        <v>42.547826086956519</v>
      </c>
      <c r="K25" s="59">
        <v>7</v>
      </c>
      <c r="L25" s="58">
        <v>48.017391304347825</v>
      </c>
      <c r="M25" s="59">
        <v>8</v>
      </c>
      <c r="N25" s="58">
        <v>54.704347826086952</v>
      </c>
      <c r="O25" s="59">
        <v>9</v>
      </c>
      <c r="P25" s="58">
        <v>212.13043478260869</v>
      </c>
      <c r="Q25" s="60">
        <v>35</v>
      </c>
    </row>
    <row r="26" spans="1:17" x14ac:dyDescent="0.35">
      <c r="A26" s="54"/>
      <c r="B26" s="43">
        <v>34042</v>
      </c>
      <c r="C26" s="43" t="s">
        <v>31</v>
      </c>
      <c r="D26" s="72">
        <v>9.5</v>
      </c>
      <c r="E26" s="58">
        <v>4.1500000000000004</v>
      </c>
      <c r="F26" s="58">
        <v>456</v>
      </c>
      <c r="G26" s="76">
        <v>48</v>
      </c>
      <c r="H26" s="58">
        <v>49.565217391304344</v>
      </c>
      <c r="I26" s="59">
        <v>6</v>
      </c>
      <c r="J26" s="58">
        <v>90.869565217391312</v>
      </c>
      <c r="K26" s="59">
        <v>11</v>
      </c>
      <c r="L26" s="58">
        <v>97.052173913043475</v>
      </c>
      <c r="M26" s="59">
        <v>12</v>
      </c>
      <c r="N26" s="58">
        <v>49.565217391304344</v>
      </c>
      <c r="O26" s="59">
        <v>6</v>
      </c>
      <c r="P26" s="58">
        <v>287.05217391304348</v>
      </c>
      <c r="Q26" s="60">
        <v>35</v>
      </c>
    </row>
    <row r="27" spans="1:17" x14ac:dyDescent="0.35">
      <c r="A27" s="54"/>
      <c r="B27" s="43">
        <v>34046</v>
      </c>
      <c r="C27" s="43" t="s">
        <v>37</v>
      </c>
      <c r="D27" s="72">
        <v>19.989999999999998</v>
      </c>
      <c r="E27" s="58">
        <v>12.2</v>
      </c>
      <c r="F27" s="58">
        <v>999.49999999999989</v>
      </c>
      <c r="G27" s="76">
        <v>50</v>
      </c>
      <c r="H27" s="58">
        <v>86.913043478260875</v>
      </c>
      <c r="I27" s="59">
        <v>5</v>
      </c>
      <c r="J27" s="58">
        <v>69.530434782608694</v>
      </c>
      <c r="K27" s="59">
        <v>4</v>
      </c>
      <c r="L27" s="58"/>
      <c r="M27" s="59"/>
      <c r="N27" s="58"/>
      <c r="O27" s="59"/>
      <c r="P27" s="58">
        <v>156.44347826086957</v>
      </c>
      <c r="Q27" s="60">
        <v>9</v>
      </c>
    </row>
    <row r="28" spans="1:17" x14ac:dyDescent="0.35">
      <c r="A28" s="54"/>
      <c r="B28" s="43">
        <v>34053</v>
      </c>
      <c r="C28" s="43" t="s">
        <v>57</v>
      </c>
      <c r="D28" s="72">
        <v>15.99</v>
      </c>
      <c r="E28" s="58">
        <v>6.74</v>
      </c>
      <c r="F28" s="58">
        <v>95.94</v>
      </c>
      <c r="G28" s="76">
        <v>6</v>
      </c>
      <c r="H28" s="58">
        <v>41.713043478260872</v>
      </c>
      <c r="I28" s="59">
        <v>3</v>
      </c>
      <c r="J28" s="58">
        <v>55.617391304347827</v>
      </c>
      <c r="K28" s="59">
        <v>4</v>
      </c>
      <c r="L28" s="58"/>
      <c r="M28" s="59"/>
      <c r="N28" s="58"/>
      <c r="O28" s="59"/>
      <c r="P28" s="58">
        <v>97.330434782608705</v>
      </c>
      <c r="Q28" s="60">
        <v>7</v>
      </c>
    </row>
    <row r="29" spans="1:17" x14ac:dyDescent="0.35">
      <c r="A29" s="54"/>
      <c r="B29" s="43">
        <v>34059</v>
      </c>
      <c r="C29" s="43" t="s">
        <v>64</v>
      </c>
      <c r="D29" s="72">
        <v>6.99</v>
      </c>
      <c r="E29" s="58">
        <v>3.8</v>
      </c>
      <c r="F29" s="58">
        <v>0</v>
      </c>
      <c r="G29" s="76">
        <v>0</v>
      </c>
      <c r="H29" s="58"/>
      <c r="I29" s="59"/>
      <c r="J29" s="58"/>
      <c r="K29" s="59"/>
      <c r="L29" s="58"/>
      <c r="M29" s="59"/>
      <c r="N29" s="58">
        <v>42.547826086956519</v>
      </c>
      <c r="O29" s="59">
        <v>7</v>
      </c>
      <c r="P29" s="58">
        <v>42.547826086956519</v>
      </c>
      <c r="Q29" s="60">
        <v>7</v>
      </c>
    </row>
    <row r="30" spans="1:17" x14ac:dyDescent="0.35">
      <c r="A30" s="54"/>
      <c r="B30" s="43">
        <v>34068</v>
      </c>
      <c r="C30" s="43" t="s">
        <v>74</v>
      </c>
      <c r="D30" s="72">
        <v>1.5</v>
      </c>
      <c r="E30" s="58">
        <v>0.59</v>
      </c>
      <c r="F30" s="58">
        <v>0</v>
      </c>
      <c r="G30" s="76">
        <v>0</v>
      </c>
      <c r="H30" s="58">
        <v>20.869565217391305</v>
      </c>
      <c r="I30" s="59">
        <v>16</v>
      </c>
      <c r="J30" s="58"/>
      <c r="K30" s="59"/>
      <c r="L30" s="58"/>
      <c r="M30" s="59"/>
      <c r="N30" s="58"/>
      <c r="O30" s="59"/>
      <c r="P30" s="58">
        <v>20.869565217391305</v>
      </c>
      <c r="Q30" s="60">
        <v>16</v>
      </c>
    </row>
    <row r="31" spans="1:17" x14ac:dyDescent="0.35">
      <c r="A31" s="54"/>
      <c r="B31" s="43">
        <v>34070</v>
      </c>
      <c r="C31" s="43" t="s">
        <v>26</v>
      </c>
      <c r="D31" s="72">
        <v>12.99</v>
      </c>
      <c r="E31" s="58">
        <v>6.81</v>
      </c>
      <c r="F31" s="58">
        <v>0</v>
      </c>
      <c r="G31" s="76">
        <v>0</v>
      </c>
      <c r="H31" s="58">
        <v>169.43478260869566</v>
      </c>
      <c r="I31" s="59">
        <v>15</v>
      </c>
      <c r="J31" s="58">
        <v>101.66086956521738</v>
      </c>
      <c r="K31" s="59">
        <v>9</v>
      </c>
      <c r="L31" s="58">
        <v>111.26086956521739</v>
      </c>
      <c r="M31" s="59">
        <v>10</v>
      </c>
      <c r="N31" s="58">
        <v>395.3478260869565</v>
      </c>
      <c r="O31" s="59">
        <v>35</v>
      </c>
      <c r="P31" s="58">
        <v>777.70434782608686</v>
      </c>
      <c r="Q31" s="60">
        <v>69</v>
      </c>
    </row>
    <row r="32" spans="1:17" x14ac:dyDescent="0.35">
      <c r="A32" s="54"/>
      <c r="B32" s="43">
        <v>34086</v>
      </c>
      <c r="C32" s="43" t="s">
        <v>60</v>
      </c>
      <c r="D32" s="72">
        <v>29.99</v>
      </c>
      <c r="E32" s="58">
        <v>10</v>
      </c>
      <c r="F32" s="58">
        <v>0</v>
      </c>
      <c r="G32" s="76">
        <v>0</v>
      </c>
      <c r="H32" s="58">
        <v>5.2695652173913041</v>
      </c>
      <c r="I32" s="59">
        <v>0</v>
      </c>
      <c r="J32" s="58"/>
      <c r="K32" s="59"/>
      <c r="L32" s="58">
        <v>9.5739130434782602</v>
      </c>
      <c r="M32" s="59">
        <v>0</v>
      </c>
      <c r="N32" s="58"/>
      <c r="O32" s="59"/>
      <c r="P32" s="58">
        <v>14.843478260869563</v>
      </c>
      <c r="Q32" s="60">
        <v>0</v>
      </c>
    </row>
    <row r="33" spans="1:17" x14ac:dyDescent="0.35">
      <c r="A33" s="54"/>
      <c r="B33" s="43">
        <v>34088</v>
      </c>
      <c r="C33" s="43" t="s">
        <v>44</v>
      </c>
      <c r="D33" s="72">
        <v>1.5</v>
      </c>
      <c r="E33" s="58">
        <v>0.68</v>
      </c>
      <c r="F33" s="58">
        <v>0</v>
      </c>
      <c r="G33" s="76">
        <v>0</v>
      </c>
      <c r="H33" s="58"/>
      <c r="I33" s="59"/>
      <c r="J33" s="58">
        <v>117.39130434782609</v>
      </c>
      <c r="K33" s="59">
        <v>90</v>
      </c>
      <c r="L33" s="58"/>
      <c r="M33" s="59"/>
      <c r="N33" s="58"/>
      <c r="O33" s="59"/>
      <c r="P33" s="58">
        <v>117.39130434782609</v>
      </c>
      <c r="Q33" s="60">
        <v>90</v>
      </c>
    </row>
    <row r="34" spans="1:17" x14ac:dyDescent="0.35">
      <c r="A34" s="54"/>
      <c r="B34" s="43">
        <v>34091</v>
      </c>
      <c r="C34" s="43" t="s">
        <v>28</v>
      </c>
      <c r="D34" s="72">
        <v>17.989999999999998</v>
      </c>
      <c r="E34" s="58">
        <v>12.24</v>
      </c>
      <c r="F34" s="58">
        <v>719.59999999999991</v>
      </c>
      <c r="G34" s="76">
        <v>40</v>
      </c>
      <c r="H34" s="58">
        <v>86.913043478260875</v>
      </c>
      <c r="I34" s="59">
        <v>5</v>
      </c>
      <c r="J34" s="58">
        <v>86.913043478260875</v>
      </c>
      <c r="K34" s="59">
        <v>5</v>
      </c>
      <c r="L34" s="58">
        <v>198.66956521739129</v>
      </c>
      <c r="M34" s="59">
        <v>13</v>
      </c>
      <c r="N34" s="58">
        <v>125.14782608695651</v>
      </c>
      <c r="O34" s="59">
        <v>8</v>
      </c>
      <c r="P34" s="58">
        <v>497.64347826086959</v>
      </c>
      <c r="Q34" s="60">
        <v>31</v>
      </c>
    </row>
    <row r="35" spans="1:17" x14ac:dyDescent="0.35">
      <c r="A35" s="54"/>
      <c r="B35" s="43">
        <v>34092</v>
      </c>
      <c r="C35" s="43" t="s">
        <v>47</v>
      </c>
      <c r="D35" s="72">
        <v>4.99</v>
      </c>
      <c r="E35" s="58">
        <v>2.52</v>
      </c>
      <c r="F35" s="58">
        <v>0</v>
      </c>
      <c r="G35" s="76">
        <v>0</v>
      </c>
      <c r="H35" s="58">
        <v>30.373913043478261</v>
      </c>
      <c r="I35" s="59">
        <v>7</v>
      </c>
      <c r="J35" s="58">
        <v>8.6782608695652179</v>
      </c>
      <c r="K35" s="59">
        <v>2</v>
      </c>
      <c r="L35" s="58"/>
      <c r="M35" s="59"/>
      <c r="N35" s="58"/>
      <c r="O35" s="59"/>
      <c r="P35" s="58">
        <v>39.052173913043475</v>
      </c>
      <c r="Q35" s="60">
        <v>9</v>
      </c>
    </row>
    <row r="36" spans="1:17" x14ac:dyDescent="0.35">
      <c r="A36" s="54"/>
      <c r="B36" s="43">
        <v>34119</v>
      </c>
      <c r="C36" s="43" t="s">
        <v>36</v>
      </c>
      <c r="D36" s="72">
        <v>3.3</v>
      </c>
      <c r="E36" s="58">
        <v>1.85</v>
      </c>
      <c r="F36" s="58">
        <v>0</v>
      </c>
      <c r="G36" s="76">
        <v>0</v>
      </c>
      <c r="H36" s="58">
        <v>229.56521739130434</v>
      </c>
      <c r="I36" s="59">
        <v>80</v>
      </c>
      <c r="J36" s="58"/>
      <c r="K36" s="59"/>
      <c r="L36" s="58"/>
      <c r="M36" s="59"/>
      <c r="N36" s="58"/>
      <c r="O36" s="59"/>
      <c r="P36" s="58">
        <v>229.56521739130434</v>
      </c>
      <c r="Q36" s="60">
        <v>80</v>
      </c>
    </row>
    <row r="37" spans="1:17" x14ac:dyDescent="0.35">
      <c r="A37" s="54"/>
      <c r="B37" s="43">
        <v>34121</v>
      </c>
      <c r="C37" s="43" t="s">
        <v>25</v>
      </c>
      <c r="D37" s="58">
        <v>3.3</v>
      </c>
      <c r="E37" s="58">
        <v>1.85</v>
      </c>
      <c r="F37" s="58">
        <v>0</v>
      </c>
      <c r="G37" s="76">
        <v>0</v>
      </c>
      <c r="H37" s="58"/>
      <c r="I37" s="59"/>
      <c r="J37" s="58"/>
      <c r="K37" s="59"/>
      <c r="L37" s="58"/>
      <c r="M37" s="59"/>
      <c r="N37" s="58">
        <v>143.47826086956522</v>
      </c>
      <c r="O37" s="59">
        <v>50</v>
      </c>
      <c r="P37" s="58">
        <v>143.47826086956522</v>
      </c>
      <c r="Q37" s="60">
        <v>50</v>
      </c>
    </row>
    <row r="38" spans="1:17" x14ac:dyDescent="0.35">
      <c r="A38" s="54"/>
      <c r="B38" s="43">
        <v>34141</v>
      </c>
      <c r="C38" s="43" t="s">
        <v>24</v>
      </c>
      <c r="D38" s="72">
        <v>5</v>
      </c>
      <c r="E38" s="58">
        <v>3.3388750000000003</v>
      </c>
      <c r="F38" s="58">
        <v>720</v>
      </c>
      <c r="G38" s="76">
        <v>144</v>
      </c>
      <c r="H38" s="58"/>
      <c r="I38" s="59"/>
      <c r="J38" s="58"/>
      <c r="K38" s="59"/>
      <c r="L38" s="58">
        <v>165.21739130434781</v>
      </c>
      <c r="M38" s="59">
        <v>40</v>
      </c>
      <c r="N38" s="58"/>
      <c r="O38" s="59"/>
      <c r="P38" s="58">
        <v>165.21739130434781</v>
      </c>
      <c r="Q38" s="60">
        <v>40</v>
      </c>
    </row>
    <row r="39" spans="1:17" x14ac:dyDescent="0.35">
      <c r="A39" s="54"/>
      <c r="B39" s="43">
        <v>34687</v>
      </c>
      <c r="C39" s="43" t="s">
        <v>40</v>
      </c>
      <c r="D39" s="72">
        <v>3</v>
      </c>
      <c r="E39" s="58">
        <v>1.53</v>
      </c>
      <c r="F39" s="58">
        <v>0</v>
      </c>
      <c r="G39" s="76">
        <v>0</v>
      </c>
      <c r="H39" s="58">
        <v>19.826086956521738</v>
      </c>
      <c r="I39" s="59">
        <v>6</v>
      </c>
      <c r="J39" s="58">
        <v>3.3043478260869565</v>
      </c>
      <c r="K39" s="59">
        <v>1</v>
      </c>
      <c r="L39" s="58">
        <v>23.130434782608695</v>
      </c>
      <c r="M39" s="59">
        <v>7</v>
      </c>
      <c r="N39" s="58"/>
      <c r="O39" s="59"/>
      <c r="P39" s="58">
        <v>46.260869565217391</v>
      </c>
      <c r="Q39" s="60">
        <v>14</v>
      </c>
    </row>
    <row r="40" spans="1:17" x14ac:dyDescent="0.35">
      <c r="A40" s="54"/>
      <c r="B40" s="43">
        <v>34690</v>
      </c>
      <c r="C40" s="43" t="s">
        <v>18</v>
      </c>
      <c r="D40" s="72">
        <v>16.989999999999998</v>
      </c>
      <c r="E40" s="58">
        <v>7.7</v>
      </c>
      <c r="F40" s="58">
        <v>3126.16</v>
      </c>
      <c r="G40" s="76">
        <v>184</v>
      </c>
      <c r="H40" s="58">
        <v>457.99130434782614</v>
      </c>
      <c r="I40" s="59">
        <v>31</v>
      </c>
      <c r="J40" s="58">
        <v>398.89565217391305</v>
      </c>
      <c r="K40" s="59">
        <v>27</v>
      </c>
      <c r="L40" s="58">
        <v>484.58260869565214</v>
      </c>
      <c r="M40" s="59">
        <v>33</v>
      </c>
      <c r="N40" s="58">
        <v>457.99130434782614</v>
      </c>
      <c r="O40" s="59">
        <v>31</v>
      </c>
      <c r="P40" s="58">
        <v>1799.4608695652175</v>
      </c>
      <c r="Q40" s="60">
        <v>122</v>
      </c>
    </row>
    <row r="41" spans="1:17" x14ac:dyDescent="0.35">
      <c r="A41" s="54"/>
      <c r="B41" s="43">
        <v>42401</v>
      </c>
      <c r="C41" s="43" t="s">
        <v>38</v>
      </c>
      <c r="D41" s="72">
        <v>14.99</v>
      </c>
      <c r="E41" s="58">
        <v>6.62</v>
      </c>
      <c r="F41" s="58">
        <v>0</v>
      </c>
      <c r="G41" s="76">
        <v>0</v>
      </c>
      <c r="H41" s="58"/>
      <c r="I41" s="59"/>
      <c r="J41" s="58">
        <v>130.34782608695653</v>
      </c>
      <c r="K41" s="59">
        <v>10</v>
      </c>
      <c r="L41" s="58">
        <v>37.799999999999997</v>
      </c>
      <c r="M41" s="59">
        <v>3</v>
      </c>
      <c r="N41" s="58">
        <v>65.173913043478265</v>
      </c>
      <c r="O41" s="59">
        <v>5</v>
      </c>
      <c r="P41" s="58">
        <v>233.32173913043476</v>
      </c>
      <c r="Q41" s="60">
        <v>18</v>
      </c>
    </row>
    <row r="42" spans="1:17" x14ac:dyDescent="0.35">
      <c r="A42" s="54"/>
      <c r="B42" s="43">
        <v>50037</v>
      </c>
      <c r="C42" s="43" t="s">
        <v>22</v>
      </c>
      <c r="D42" s="72">
        <v>25.99</v>
      </c>
      <c r="E42" s="58">
        <v>13.4</v>
      </c>
      <c r="F42" s="58">
        <v>1689.35</v>
      </c>
      <c r="G42" s="76">
        <v>65</v>
      </c>
      <c r="H42" s="58">
        <v>158.20000000000002</v>
      </c>
      <c r="I42" s="59">
        <v>7</v>
      </c>
      <c r="J42" s="58">
        <v>158.20000000000002</v>
      </c>
      <c r="K42" s="59">
        <v>7</v>
      </c>
      <c r="L42" s="58">
        <v>178.53913043478261</v>
      </c>
      <c r="M42" s="59">
        <v>8</v>
      </c>
      <c r="N42" s="58">
        <v>112.99999999999999</v>
      </c>
      <c r="O42" s="59">
        <v>5</v>
      </c>
      <c r="P42" s="58">
        <v>607.93913043478267</v>
      </c>
      <c r="Q42" s="60">
        <v>27</v>
      </c>
    </row>
    <row r="43" spans="1:17" x14ac:dyDescent="0.35">
      <c r="A43" s="54"/>
      <c r="B43" s="43">
        <v>51680</v>
      </c>
      <c r="C43" s="43" t="s">
        <v>33</v>
      </c>
      <c r="D43" s="72">
        <v>21.99</v>
      </c>
      <c r="E43" s="58">
        <v>12.14</v>
      </c>
      <c r="F43" s="58">
        <v>747.66</v>
      </c>
      <c r="G43" s="76">
        <v>34</v>
      </c>
      <c r="H43" s="58">
        <v>57.365217391304348</v>
      </c>
      <c r="I43" s="59">
        <v>3</v>
      </c>
      <c r="J43" s="58">
        <v>19.121739130434783</v>
      </c>
      <c r="K43" s="59">
        <v>1</v>
      </c>
      <c r="L43" s="58">
        <v>19.121739130434783</v>
      </c>
      <c r="M43" s="59">
        <v>1</v>
      </c>
      <c r="N43" s="58"/>
      <c r="O43" s="59"/>
      <c r="P43" s="58">
        <v>95.608695652173907</v>
      </c>
      <c r="Q43" s="60">
        <v>5</v>
      </c>
    </row>
    <row r="44" spans="1:17" x14ac:dyDescent="0.35">
      <c r="A44" s="54"/>
      <c r="B44" s="43">
        <v>57071</v>
      </c>
      <c r="C44" s="43" t="s">
        <v>53</v>
      </c>
      <c r="D44" s="72">
        <v>29.99</v>
      </c>
      <c r="E44" s="58">
        <v>12.66</v>
      </c>
      <c r="F44" s="58">
        <v>0</v>
      </c>
      <c r="G44" s="76">
        <v>0</v>
      </c>
      <c r="H44" s="58"/>
      <c r="I44" s="59"/>
      <c r="J44" s="58"/>
      <c r="K44" s="59"/>
      <c r="L44" s="58">
        <v>26.078260869565216</v>
      </c>
      <c r="M44" s="59">
        <v>1</v>
      </c>
      <c r="N44" s="58">
        <v>104.31304347826087</v>
      </c>
      <c r="O44" s="59">
        <v>4</v>
      </c>
      <c r="P44" s="58">
        <v>130.39130434782609</v>
      </c>
      <c r="Q44" s="60">
        <v>5</v>
      </c>
    </row>
    <row r="45" spans="1:17" x14ac:dyDescent="0.35">
      <c r="A45" s="54"/>
      <c r="B45" s="43">
        <v>57073</v>
      </c>
      <c r="C45" s="43" t="s">
        <v>21</v>
      </c>
      <c r="D45" s="72">
        <v>36.99</v>
      </c>
      <c r="E45" s="58">
        <v>16.05</v>
      </c>
      <c r="F45" s="58">
        <v>1331.64</v>
      </c>
      <c r="G45" s="76">
        <v>36</v>
      </c>
      <c r="H45" s="58">
        <v>225.15652173913043</v>
      </c>
      <c r="I45" s="59">
        <v>7</v>
      </c>
      <c r="J45" s="58">
        <v>32.165217391304353</v>
      </c>
      <c r="K45" s="59">
        <v>1</v>
      </c>
      <c r="L45" s="58"/>
      <c r="M45" s="59"/>
      <c r="N45" s="58">
        <v>192.99130434782609</v>
      </c>
      <c r="O45" s="59">
        <v>6</v>
      </c>
      <c r="P45" s="58">
        <v>450.31304347826085</v>
      </c>
      <c r="Q45" s="60">
        <v>14</v>
      </c>
    </row>
    <row r="46" spans="1:17" x14ac:dyDescent="0.35">
      <c r="A46" s="54"/>
      <c r="B46" s="43">
        <v>58512</v>
      </c>
      <c r="C46" s="43" t="s">
        <v>30</v>
      </c>
      <c r="D46" s="72">
        <v>26.99</v>
      </c>
      <c r="E46" s="58">
        <v>10.66</v>
      </c>
      <c r="F46" s="58">
        <v>0</v>
      </c>
      <c r="G46" s="76">
        <v>0</v>
      </c>
      <c r="H46" s="58">
        <v>70.408695652173918</v>
      </c>
      <c r="I46" s="59">
        <v>3</v>
      </c>
      <c r="J46" s="58">
        <v>70.408695652173918</v>
      </c>
      <c r="K46" s="59">
        <v>3</v>
      </c>
      <c r="L46" s="58">
        <v>70.408695652173918</v>
      </c>
      <c r="M46" s="59">
        <v>3</v>
      </c>
      <c r="N46" s="58"/>
      <c r="O46" s="59"/>
      <c r="P46" s="58">
        <v>211.22608695652175</v>
      </c>
      <c r="Q46" s="60">
        <v>9</v>
      </c>
    </row>
    <row r="47" spans="1:17" x14ac:dyDescent="0.35">
      <c r="A47" s="54"/>
      <c r="B47" s="43">
        <v>58767</v>
      </c>
      <c r="C47" s="43" t="s">
        <v>27</v>
      </c>
      <c r="D47" s="72">
        <v>19.989999999999998</v>
      </c>
      <c r="E47" s="58">
        <v>7.04</v>
      </c>
      <c r="F47" s="58">
        <v>0</v>
      </c>
      <c r="G47" s="76">
        <v>0</v>
      </c>
      <c r="H47" s="58">
        <v>121.67826086956522</v>
      </c>
      <c r="I47" s="59">
        <v>7</v>
      </c>
      <c r="J47" s="58">
        <v>52.14782608695652</v>
      </c>
      <c r="K47" s="59">
        <v>3</v>
      </c>
      <c r="L47" s="58">
        <v>34.765217391304347</v>
      </c>
      <c r="M47" s="59">
        <v>2</v>
      </c>
      <c r="N47" s="58">
        <v>52.14782608695652</v>
      </c>
      <c r="O47" s="59">
        <v>3</v>
      </c>
      <c r="P47" s="58">
        <v>260.73913043478262</v>
      </c>
      <c r="Q47" s="60">
        <v>15</v>
      </c>
    </row>
    <row r="48" spans="1:17" x14ac:dyDescent="0.35">
      <c r="A48" s="54"/>
      <c r="B48" s="43">
        <v>59274</v>
      </c>
      <c r="C48" s="43" t="s">
        <v>409</v>
      </c>
      <c r="D48" s="72">
        <v>21.99</v>
      </c>
      <c r="E48" s="58">
        <v>13.344114285714285</v>
      </c>
      <c r="F48" s="58">
        <v>0</v>
      </c>
      <c r="G48" s="76">
        <v>0</v>
      </c>
      <c r="H48" s="58"/>
      <c r="I48" s="59"/>
      <c r="J48" s="58"/>
      <c r="K48" s="59"/>
      <c r="L48" s="58"/>
      <c r="M48" s="59"/>
      <c r="N48" s="58">
        <v>19.121739130434783</v>
      </c>
      <c r="O48" s="59">
        <v>1</v>
      </c>
      <c r="P48" s="58">
        <v>19.121739130434783</v>
      </c>
      <c r="Q48" s="60">
        <v>1</v>
      </c>
    </row>
    <row r="49" spans="1:17" x14ac:dyDescent="0.35">
      <c r="A49" s="54"/>
      <c r="B49" s="43">
        <v>59381</v>
      </c>
      <c r="C49" s="43" t="s">
        <v>15</v>
      </c>
      <c r="D49" s="72">
        <v>13.99</v>
      </c>
      <c r="E49" s="58">
        <v>7.36</v>
      </c>
      <c r="F49" s="58">
        <v>10912.2</v>
      </c>
      <c r="G49" s="76">
        <v>780</v>
      </c>
      <c r="H49" s="58">
        <v>1216.5217391304348</v>
      </c>
      <c r="I49" s="59">
        <v>100</v>
      </c>
      <c r="J49" s="58">
        <v>1094.8695652173913</v>
      </c>
      <c r="K49" s="59">
        <v>90</v>
      </c>
      <c r="L49" s="58">
        <v>1094.8608695652174</v>
      </c>
      <c r="M49" s="59">
        <v>91</v>
      </c>
      <c r="N49" s="58">
        <v>1204.3565217391304</v>
      </c>
      <c r="O49" s="59">
        <v>99</v>
      </c>
      <c r="P49" s="58">
        <v>4610.608695652174</v>
      </c>
      <c r="Q49" s="60">
        <v>380</v>
      </c>
    </row>
    <row r="50" spans="1:17" x14ac:dyDescent="0.35">
      <c r="A50" s="54"/>
      <c r="B50" s="43">
        <v>59425</v>
      </c>
      <c r="C50" s="43" t="s">
        <v>17</v>
      </c>
      <c r="D50" s="72">
        <v>10.99</v>
      </c>
      <c r="E50" s="58">
        <v>6.3</v>
      </c>
      <c r="F50" s="58">
        <v>2637.6</v>
      </c>
      <c r="G50" s="76">
        <v>240</v>
      </c>
      <c r="H50" s="58">
        <v>659.4</v>
      </c>
      <c r="I50" s="59">
        <v>60</v>
      </c>
      <c r="J50" s="58"/>
      <c r="K50" s="59"/>
      <c r="L50" s="58">
        <v>259.36</v>
      </c>
      <c r="M50" s="59">
        <v>24</v>
      </c>
      <c r="N50" s="58">
        <v>164.85</v>
      </c>
      <c r="O50" s="59">
        <v>15</v>
      </c>
      <c r="P50" s="58">
        <v>1083.6099999999999</v>
      </c>
      <c r="Q50" s="60">
        <v>99</v>
      </c>
    </row>
    <row r="51" spans="1:17" x14ac:dyDescent="0.35">
      <c r="A51" s="54"/>
      <c r="B51" s="43">
        <v>61947</v>
      </c>
      <c r="C51" s="43" t="s">
        <v>42</v>
      </c>
      <c r="D51" s="72">
        <v>28.99</v>
      </c>
      <c r="E51" s="58">
        <v>8.93</v>
      </c>
      <c r="F51" s="58">
        <v>231.92</v>
      </c>
      <c r="G51" s="76">
        <v>8</v>
      </c>
      <c r="H51" s="58">
        <v>25.208695652173912</v>
      </c>
      <c r="I51" s="59">
        <v>1</v>
      </c>
      <c r="J51" s="58">
        <v>25.208695652173912</v>
      </c>
      <c r="K51" s="59">
        <v>1</v>
      </c>
      <c r="L51" s="58">
        <v>75.626086956521732</v>
      </c>
      <c r="M51" s="59">
        <v>3</v>
      </c>
      <c r="N51" s="58">
        <v>50.417391304347824</v>
      </c>
      <c r="O51" s="59">
        <v>2</v>
      </c>
      <c r="P51" s="58">
        <v>176.46086956521739</v>
      </c>
      <c r="Q51" s="60">
        <v>7</v>
      </c>
    </row>
    <row r="52" spans="1:17" x14ac:dyDescent="0.35">
      <c r="A52" s="54"/>
      <c r="B52" s="43">
        <v>62319</v>
      </c>
      <c r="C52" s="43" t="s">
        <v>422</v>
      </c>
      <c r="D52" s="72">
        <v>49.99</v>
      </c>
      <c r="E52" s="58">
        <v>29.528099999999998</v>
      </c>
      <c r="F52" s="58">
        <v>0</v>
      </c>
      <c r="G52" s="76">
        <v>0</v>
      </c>
      <c r="H52" s="58">
        <v>43.469565217391306</v>
      </c>
      <c r="I52" s="59">
        <v>1</v>
      </c>
      <c r="J52" s="58">
        <v>86.939130434782612</v>
      </c>
      <c r="K52" s="59">
        <v>2</v>
      </c>
      <c r="L52" s="58"/>
      <c r="M52" s="59"/>
      <c r="N52" s="58"/>
      <c r="O52" s="59"/>
      <c r="P52" s="58">
        <v>130.40869565217392</v>
      </c>
      <c r="Q52" s="60">
        <v>3</v>
      </c>
    </row>
    <row r="53" spans="1:17" x14ac:dyDescent="0.35">
      <c r="A53" s="54"/>
      <c r="B53" s="43">
        <v>62326</v>
      </c>
      <c r="C53" s="43" t="s">
        <v>424</v>
      </c>
      <c r="D53" s="72">
        <v>189.99</v>
      </c>
      <c r="E53" s="58">
        <v>118.89879999999999</v>
      </c>
      <c r="F53" s="58">
        <v>0</v>
      </c>
      <c r="G53" s="76">
        <v>0</v>
      </c>
      <c r="H53" s="58"/>
      <c r="I53" s="59"/>
      <c r="J53" s="58"/>
      <c r="K53" s="59"/>
      <c r="L53" s="58">
        <v>165.20869565217393</v>
      </c>
      <c r="M53" s="59">
        <v>1</v>
      </c>
      <c r="N53" s="58"/>
      <c r="O53" s="59"/>
      <c r="P53" s="58">
        <v>165.20869565217393</v>
      </c>
      <c r="Q53" s="60">
        <v>1</v>
      </c>
    </row>
    <row r="54" spans="1:17" x14ac:dyDescent="0.35">
      <c r="A54" s="54"/>
      <c r="B54" s="43">
        <v>62333</v>
      </c>
      <c r="C54" s="43" t="s">
        <v>426</v>
      </c>
      <c r="D54" s="72">
        <v>69.989999999999995</v>
      </c>
      <c r="E54" s="58">
        <v>40.963850000000001</v>
      </c>
      <c r="F54" s="58">
        <v>0</v>
      </c>
      <c r="G54" s="76">
        <v>0</v>
      </c>
      <c r="H54" s="58"/>
      <c r="I54" s="59"/>
      <c r="J54" s="58">
        <v>60.860869565217385</v>
      </c>
      <c r="K54" s="59">
        <v>1</v>
      </c>
      <c r="L54" s="58"/>
      <c r="M54" s="59"/>
      <c r="N54" s="58"/>
      <c r="O54" s="59"/>
      <c r="P54" s="58">
        <v>60.860869565217385</v>
      </c>
      <c r="Q54" s="60">
        <v>1</v>
      </c>
    </row>
    <row r="55" spans="1:17" x14ac:dyDescent="0.35">
      <c r="A55" s="54"/>
      <c r="B55" s="43">
        <v>62622</v>
      </c>
      <c r="C55" s="43" t="s">
        <v>70</v>
      </c>
      <c r="D55" s="72">
        <v>26.99</v>
      </c>
      <c r="E55" s="58">
        <v>14.15</v>
      </c>
      <c r="F55" s="58">
        <v>0</v>
      </c>
      <c r="G55" s="76">
        <v>0</v>
      </c>
      <c r="H55" s="58">
        <v>70.408695652173918</v>
      </c>
      <c r="I55" s="59">
        <v>3</v>
      </c>
      <c r="J55" s="58"/>
      <c r="K55" s="59"/>
      <c r="L55" s="58">
        <v>91.530434782608694</v>
      </c>
      <c r="M55" s="59">
        <v>4</v>
      </c>
      <c r="N55" s="58">
        <v>23.469565217391303</v>
      </c>
      <c r="O55" s="59">
        <v>1</v>
      </c>
      <c r="P55" s="58">
        <v>185.40869565217392</v>
      </c>
      <c r="Q55" s="60">
        <v>8</v>
      </c>
    </row>
    <row r="56" spans="1:17" x14ac:dyDescent="0.35">
      <c r="A56" s="54"/>
      <c r="B56" s="43">
        <v>62692</v>
      </c>
      <c r="C56" s="43" t="s">
        <v>434</v>
      </c>
      <c r="D56" s="72">
        <v>69.989999999999995</v>
      </c>
      <c r="E56" s="58">
        <v>43.867849999999997</v>
      </c>
      <c r="F56" s="58">
        <v>0</v>
      </c>
      <c r="G56" s="76">
        <v>0</v>
      </c>
      <c r="H56" s="58"/>
      <c r="I56" s="59"/>
      <c r="J56" s="58"/>
      <c r="K56" s="59"/>
      <c r="L56" s="58">
        <v>57.817391304347822</v>
      </c>
      <c r="M56" s="59">
        <v>1</v>
      </c>
      <c r="N56" s="58"/>
      <c r="O56" s="59"/>
      <c r="P56" s="58">
        <v>57.817391304347822</v>
      </c>
      <c r="Q56" s="60">
        <v>1</v>
      </c>
    </row>
    <row r="57" spans="1:17" x14ac:dyDescent="0.35">
      <c r="A57" s="54"/>
      <c r="B57" s="43">
        <v>64596</v>
      </c>
      <c r="C57" s="43" t="s">
        <v>444</v>
      </c>
      <c r="D57" s="72">
        <v>42.99</v>
      </c>
      <c r="E57" s="58">
        <v>27.290666666666667</v>
      </c>
      <c r="F57" s="58">
        <v>0</v>
      </c>
      <c r="G57" s="76">
        <v>0</v>
      </c>
      <c r="H57" s="58">
        <v>74.765217391304347</v>
      </c>
      <c r="I57" s="59">
        <v>2</v>
      </c>
      <c r="J57" s="58"/>
      <c r="K57" s="59"/>
      <c r="L57" s="58">
        <v>37.382608695652173</v>
      </c>
      <c r="M57" s="59">
        <v>1</v>
      </c>
      <c r="N57" s="58"/>
      <c r="O57" s="59"/>
      <c r="P57" s="58">
        <v>112.14782608695651</v>
      </c>
      <c r="Q57" s="60">
        <v>3</v>
      </c>
    </row>
    <row r="58" spans="1:17" x14ac:dyDescent="0.35">
      <c r="A58" s="54"/>
      <c r="B58" s="43">
        <v>66653</v>
      </c>
      <c r="C58" s="43" t="s">
        <v>460</v>
      </c>
      <c r="D58" s="72">
        <v>49.99</v>
      </c>
      <c r="E58" s="58">
        <v>30.655766666666665</v>
      </c>
      <c r="F58" s="58">
        <v>0</v>
      </c>
      <c r="G58" s="76">
        <v>0</v>
      </c>
      <c r="H58" s="58"/>
      <c r="I58" s="59"/>
      <c r="J58" s="58"/>
      <c r="K58" s="59"/>
      <c r="L58" s="58">
        <v>82.591304347826096</v>
      </c>
      <c r="M58" s="59">
        <v>2</v>
      </c>
      <c r="N58" s="58">
        <v>173.87826086956522</v>
      </c>
      <c r="O58" s="59">
        <v>4</v>
      </c>
      <c r="P58" s="58">
        <v>256.46956521739133</v>
      </c>
      <c r="Q58" s="60">
        <v>6</v>
      </c>
    </row>
    <row r="59" spans="1:17" x14ac:dyDescent="0.35">
      <c r="A59" s="43">
        <v>102</v>
      </c>
      <c r="B59" s="43">
        <v>32066</v>
      </c>
      <c r="C59" s="43" t="s">
        <v>114</v>
      </c>
      <c r="D59" s="72">
        <v>10</v>
      </c>
      <c r="E59" s="58">
        <v>4.5</v>
      </c>
      <c r="F59" s="58">
        <v>0</v>
      </c>
      <c r="G59" s="76">
        <v>0</v>
      </c>
      <c r="H59" s="58"/>
      <c r="I59" s="59"/>
      <c r="J59" s="58"/>
      <c r="K59" s="59"/>
      <c r="L59" s="58">
        <v>52.173913043478258</v>
      </c>
      <c r="M59" s="59">
        <v>6</v>
      </c>
      <c r="N59" s="58"/>
      <c r="O59" s="59"/>
      <c r="P59" s="58">
        <v>52.173913043478258</v>
      </c>
      <c r="Q59" s="60">
        <v>6</v>
      </c>
    </row>
    <row r="60" spans="1:17" x14ac:dyDescent="0.35">
      <c r="A60" s="54"/>
      <c r="B60" s="43">
        <v>32127</v>
      </c>
      <c r="C60" s="43" t="s">
        <v>92</v>
      </c>
      <c r="D60" s="72">
        <v>11.99</v>
      </c>
      <c r="E60" s="58">
        <v>6.02</v>
      </c>
      <c r="F60" s="58">
        <v>383.68</v>
      </c>
      <c r="G60" s="76">
        <v>32</v>
      </c>
      <c r="H60" s="58">
        <v>125.11304347826086</v>
      </c>
      <c r="I60" s="59">
        <v>12</v>
      </c>
      <c r="J60" s="58">
        <v>93.834782608695647</v>
      </c>
      <c r="K60" s="59">
        <v>9</v>
      </c>
      <c r="L60" s="58">
        <v>83.408695652173918</v>
      </c>
      <c r="M60" s="59">
        <v>8</v>
      </c>
      <c r="N60" s="58">
        <v>145.96521739130435</v>
      </c>
      <c r="O60" s="59">
        <v>14</v>
      </c>
      <c r="P60" s="58">
        <v>448.32173913043482</v>
      </c>
      <c r="Q60" s="60">
        <v>43</v>
      </c>
    </row>
    <row r="61" spans="1:17" x14ac:dyDescent="0.35">
      <c r="A61" s="54"/>
      <c r="B61" s="43">
        <v>32128</v>
      </c>
      <c r="C61" s="43" t="s">
        <v>96</v>
      </c>
      <c r="D61" s="72">
        <v>18.989999999999998</v>
      </c>
      <c r="E61" s="58">
        <v>11</v>
      </c>
      <c r="F61" s="58">
        <v>0</v>
      </c>
      <c r="G61" s="76">
        <v>0</v>
      </c>
      <c r="H61" s="58"/>
      <c r="I61" s="59"/>
      <c r="J61" s="58"/>
      <c r="K61" s="59"/>
      <c r="L61" s="58"/>
      <c r="M61" s="59"/>
      <c r="N61" s="58">
        <v>181.64347826086956</v>
      </c>
      <c r="O61" s="59">
        <v>11</v>
      </c>
      <c r="P61" s="58">
        <v>181.64347826086956</v>
      </c>
      <c r="Q61" s="60">
        <v>11</v>
      </c>
    </row>
    <row r="62" spans="1:17" x14ac:dyDescent="0.35">
      <c r="A62" s="54"/>
      <c r="B62" s="43">
        <v>32131</v>
      </c>
      <c r="C62" s="43" t="s">
        <v>94</v>
      </c>
      <c r="D62" s="58">
        <v>18.989999999999998</v>
      </c>
      <c r="E62" s="58">
        <v>9.1300000000000008</v>
      </c>
      <c r="F62" s="58">
        <v>151.91999999999999</v>
      </c>
      <c r="G62" s="76">
        <v>8</v>
      </c>
      <c r="H62" s="58"/>
      <c r="I62" s="59"/>
      <c r="J62" s="58"/>
      <c r="K62" s="59"/>
      <c r="L62" s="58">
        <v>115.5913043478261</v>
      </c>
      <c r="M62" s="59">
        <v>7</v>
      </c>
      <c r="N62" s="58">
        <v>280.7217391304348</v>
      </c>
      <c r="O62" s="59">
        <v>17</v>
      </c>
      <c r="P62" s="58">
        <v>396.31304347826091</v>
      </c>
      <c r="Q62" s="60">
        <v>24</v>
      </c>
    </row>
    <row r="63" spans="1:17" x14ac:dyDescent="0.35">
      <c r="A63" s="54"/>
      <c r="B63" s="43">
        <v>32149</v>
      </c>
      <c r="C63" s="43" t="s">
        <v>118</v>
      </c>
      <c r="D63" s="72">
        <v>24.99</v>
      </c>
      <c r="E63" s="58">
        <v>13</v>
      </c>
      <c r="F63" s="58">
        <v>0</v>
      </c>
      <c r="G63" s="76">
        <v>0</v>
      </c>
      <c r="H63" s="58"/>
      <c r="I63" s="59"/>
      <c r="J63" s="58"/>
      <c r="K63" s="59"/>
      <c r="L63" s="58"/>
      <c r="M63" s="59"/>
      <c r="N63" s="58">
        <v>86.921739130434773</v>
      </c>
      <c r="O63" s="59">
        <v>4</v>
      </c>
      <c r="P63" s="58">
        <v>86.921739130434773</v>
      </c>
      <c r="Q63" s="60">
        <v>4</v>
      </c>
    </row>
    <row r="64" spans="1:17" x14ac:dyDescent="0.35">
      <c r="A64" s="54"/>
      <c r="B64" s="43">
        <v>32152</v>
      </c>
      <c r="C64" s="43" t="s">
        <v>100</v>
      </c>
      <c r="D64" s="72">
        <v>12.99</v>
      </c>
      <c r="E64" s="58">
        <v>6.77</v>
      </c>
      <c r="F64" s="58">
        <v>77.94</v>
      </c>
      <c r="G64" s="76">
        <v>6</v>
      </c>
      <c r="H64" s="58">
        <v>67.77391304347826</v>
      </c>
      <c r="I64" s="59">
        <v>6</v>
      </c>
      <c r="J64" s="58">
        <v>22.591304347826089</v>
      </c>
      <c r="K64" s="59">
        <v>2</v>
      </c>
      <c r="L64" s="58">
        <v>56.478260869565219</v>
      </c>
      <c r="M64" s="59">
        <v>5</v>
      </c>
      <c r="N64" s="58">
        <v>33.88695652173913</v>
      </c>
      <c r="O64" s="59">
        <v>3</v>
      </c>
      <c r="P64" s="58">
        <v>180.73043478260871</v>
      </c>
      <c r="Q64" s="60">
        <v>16</v>
      </c>
    </row>
    <row r="65" spans="1:17" x14ac:dyDescent="0.35">
      <c r="A65" s="54"/>
      <c r="B65" s="43">
        <v>32153</v>
      </c>
      <c r="C65" s="43" t="s">
        <v>102</v>
      </c>
      <c r="D65" s="72">
        <v>8.99</v>
      </c>
      <c r="E65" s="58">
        <v>4.5599999999999996</v>
      </c>
      <c r="F65" s="58">
        <v>0</v>
      </c>
      <c r="G65" s="76">
        <v>0</v>
      </c>
      <c r="H65" s="58">
        <v>46.904347826086955</v>
      </c>
      <c r="I65" s="59">
        <v>6</v>
      </c>
      <c r="J65" s="58">
        <v>62.539130434782606</v>
      </c>
      <c r="K65" s="59">
        <v>8</v>
      </c>
      <c r="L65" s="58">
        <v>39.086956521739133</v>
      </c>
      <c r="M65" s="59">
        <v>5</v>
      </c>
      <c r="N65" s="58">
        <v>109.44347826086957</v>
      </c>
      <c r="O65" s="59">
        <v>14</v>
      </c>
      <c r="P65" s="58">
        <v>257.97391304347826</v>
      </c>
      <c r="Q65" s="60">
        <v>33</v>
      </c>
    </row>
    <row r="66" spans="1:17" x14ac:dyDescent="0.35">
      <c r="A66" s="54"/>
      <c r="B66" s="43">
        <v>32855</v>
      </c>
      <c r="C66" s="43" t="s">
        <v>110</v>
      </c>
      <c r="D66" s="72">
        <v>17.989999999999998</v>
      </c>
      <c r="E66" s="58">
        <v>9.14</v>
      </c>
      <c r="F66" s="58">
        <v>107.94</v>
      </c>
      <c r="G66" s="76">
        <v>6</v>
      </c>
      <c r="H66" s="58">
        <v>46.930434782608693</v>
      </c>
      <c r="I66" s="59">
        <v>3</v>
      </c>
      <c r="J66" s="58">
        <v>31.286956521739128</v>
      </c>
      <c r="K66" s="59">
        <v>2</v>
      </c>
      <c r="L66" s="58">
        <v>46.930434782608693</v>
      </c>
      <c r="M66" s="59">
        <v>3</v>
      </c>
      <c r="N66" s="58">
        <v>15.643478260869564</v>
      </c>
      <c r="O66" s="59">
        <v>1</v>
      </c>
      <c r="P66" s="58">
        <v>140.79130434782607</v>
      </c>
      <c r="Q66" s="60">
        <v>9</v>
      </c>
    </row>
    <row r="67" spans="1:17" x14ac:dyDescent="0.35">
      <c r="A67" s="54"/>
      <c r="B67" s="43">
        <v>32857</v>
      </c>
      <c r="C67" s="43" t="s">
        <v>127</v>
      </c>
      <c r="D67" s="72">
        <v>130</v>
      </c>
      <c r="E67" s="58">
        <v>68.680000000000007</v>
      </c>
      <c r="F67" s="58">
        <v>0</v>
      </c>
      <c r="G67" s="76">
        <v>0</v>
      </c>
      <c r="H67" s="58">
        <v>113.04347826086956</v>
      </c>
      <c r="I67" s="59">
        <v>1</v>
      </c>
      <c r="J67" s="58"/>
      <c r="K67" s="59"/>
      <c r="L67" s="58">
        <v>113.04347826086956</v>
      </c>
      <c r="M67" s="59">
        <v>1</v>
      </c>
      <c r="N67" s="58"/>
      <c r="O67" s="59"/>
      <c r="P67" s="58">
        <v>226.08695652173913</v>
      </c>
      <c r="Q67" s="60">
        <v>2</v>
      </c>
    </row>
    <row r="68" spans="1:17" x14ac:dyDescent="0.35">
      <c r="A68" s="54"/>
      <c r="B68" s="43">
        <v>32863</v>
      </c>
      <c r="C68" s="43" t="s">
        <v>109</v>
      </c>
      <c r="D68" s="72">
        <v>17.989999999999998</v>
      </c>
      <c r="E68" s="58">
        <v>9.4</v>
      </c>
      <c r="F68" s="58">
        <v>0</v>
      </c>
      <c r="G68" s="76">
        <v>0</v>
      </c>
      <c r="H68" s="58">
        <v>78.217391304347828</v>
      </c>
      <c r="I68" s="59">
        <v>5</v>
      </c>
      <c r="J68" s="58">
        <v>62.573913043478257</v>
      </c>
      <c r="K68" s="59">
        <v>4</v>
      </c>
      <c r="L68" s="58">
        <v>15.643478260869564</v>
      </c>
      <c r="M68" s="59">
        <v>1</v>
      </c>
      <c r="N68" s="58">
        <v>93.860869565217385</v>
      </c>
      <c r="O68" s="59">
        <v>6</v>
      </c>
      <c r="P68" s="58">
        <v>250.29565217391303</v>
      </c>
      <c r="Q68" s="60">
        <v>16</v>
      </c>
    </row>
    <row r="69" spans="1:17" x14ac:dyDescent="0.35">
      <c r="A69" s="54"/>
      <c r="B69" s="43">
        <v>32864</v>
      </c>
      <c r="C69" s="43" t="s">
        <v>108</v>
      </c>
      <c r="D69" s="72">
        <v>9.99</v>
      </c>
      <c r="E69" s="58">
        <v>5</v>
      </c>
      <c r="F69" s="58">
        <v>0</v>
      </c>
      <c r="G69" s="76">
        <v>0</v>
      </c>
      <c r="H69" s="58"/>
      <c r="I69" s="59"/>
      <c r="J69" s="58">
        <v>34.747826086956522</v>
      </c>
      <c r="K69" s="59">
        <v>4</v>
      </c>
      <c r="L69" s="58">
        <v>43.434782608695656</v>
      </c>
      <c r="M69" s="59">
        <v>5</v>
      </c>
      <c r="N69" s="58">
        <v>17.373913043478261</v>
      </c>
      <c r="O69" s="59">
        <v>2</v>
      </c>
      <c r="P69" s="58">
        <v>95.556521739130432</v>
      </c>
      <c r="Q69" s="60">
        <v>11</v>
      </c>
    </row>
    <row r="70" spans="1:17" x14ac:dyDescent="0.35">
      <c r="A70" s="54"/>
      <c r="B70" s="43">
        <v>32872</v>
      </c>
      <c r="C70" s="43" t="s">
        <v>98</v>
      </c>
      <c r="D70" s="72">
        <v>29.99</v>
      </c>
      <c r="E70" s="58">
        <v>11.79</v>
      </c>
      <c r="F70" s="58">
        <v>239.92</v>
      </c>
      <c r="G70" s="76">
        <v>8</v>
      </c>
      <c r="H70" s="58">
        <v>69.547826086956519</v>
      </c>
      <c r="I70" s="59">
        <v>2</v>
      </c>
      <c r="J70" s="58"/>
      <c r="K70" s="59"/>
      <c r="L70" s="58">
        <v>206.01739130434783</v>
      </c>
      <c r="M70" s="59">
        <v>8</v>
      </c>
      <c r="N70" s="58">
        <v>286.8608695652174</v>
      </c>
      <c r="O70" s="59">
        <v>11</v>
      </c>
      <c r="P70" s="58">
        <v>562.42608695652177</v>
      </c>
      <c r="Q70" s="60">
        <v>21</v>
      </c>
    </row>
    <row r="71" spans="1:17" x14ac:dyDescent="0.35">
      <c r="A71" s="54"/>
      <c r="B71" s="43">
        <v>33011</v>
      </c>
      <c r="C71" s="43" t="s">
        <v>361</v>
      </c>
      <c r="D71" s="72">
        <v>3.99</v>
      </c>
      <c r="E71" s="58">
        <v>2.83</v>
      </c>
      <c r="F71" s="58">
        <v>0</v>
      </c>
      <c r="G71" s="76">
        <v>0</v>
      </c>
      <c r="H71" s="58">
        <v>41.634782608695652</v>
      </c>
      <c r="I71" s="59">
        <v>12</v>
      </c>
      <c r="J71" s="58"/>
      <c r="K71" s="59"/>
      <c r="L71" s="58"/>
      <c r="M71" s="59"/>
      <c r="N71" s="58"/>
      <c r="O71" s="59"/>
      <c r="P71" s="58">
        <v>41.634782608695652</v>
      </c>
      <c r="Q71" s="60">
        <v>12</v>
      </c>
    </row>
    <row r="72" spans="1:17" x14ac:dyDescent="0.35">
      <c r="A72" s="54"/>
      <c r="B72" s="43">
        <v>33013</v>
      </c>
      <c r="C72" s="43" t="s">
        <v>148</v>
      </c>
      <c r="D72" s="72">
        <v>5.99</v>
      </c>
      <c r="E72" s="58">
        <v>3.1</v>
      </c>
      <c r="F72" s="58">
        <v>0</v>
      </c>
      <c r="G72" s="76">
        <v>0</v>
      </c>
      <c r="H72" s="58"/>
      <c r="I72" s="59"/>
      <c r="J72" s="58">
        <v>15.626086956521739</v>
      </c>
      <c r="K72" s="59">
        <v>3</v>
      </c>
      <c r="L72" s="58"/>
      <c r="M72" s="59"/>
      <c r="N72" s="58"/>
      <c r="O72" s="59"/>
      <c r="P72" s="58">
        <v>15.626086956521739</v>
      </c>
      <c r="Q72" s="60">
        <v>3</v>
      </c>
    </row>
    <row r="73" spans="1:17" x14ac:dyDescent="0.35">
      <c r="A73" s="54"/>
      <c r="B73" s="43">
        <v>33019</v>
      </c>
      <c r="C73" s="43" t="s">
        <v>112</v>
      </c>
      <c r="D73" s="72">
        <v>14.99</v>
      </c>
      <c r="E73" s="58">
        <v>5.5</v>
      </c>
      <c r="F73" s="58">
        <v>0</v>
      </c>
      <c r="G73" s="76">
        <v>0</v>
      </c>
      <c r="H73" s="58"/>
      <c r="I73" s="59"/>
      <c r="J73" s="58">
        <v>26.069565217391304</v>
      </c>
      <c r="K73" s="59">
        <v>2</v>
      </c>
      <c r="L73" s="58">
        <v>13.034782608695652</v>
      </c>
      <c r="M73" s="59">
        <v>1</v>
      </c>
      <c r="N73" s="58">
        <v>104.27826086956522</v>
      </c>
      <c r="O73" s="59">
        <v>8</v>
      </c>
      <c r="P73" s="58">
        <v>143.38260869565218</v>
      </c>
      <c r="Q73" s="60">
        <v>11</v>
      </c>
    </row>
    <row r="74" spans="1:17" x14ac:dyDescent="0.35">
      <c r="A74" s="54"/>
      <c r="B74" s="43">
        <v>33023</v>
      </c>
      <c r="C74" s="43" t="s">
        <v>113</v>
      </c>
      <c r="D74" s="72">
        <v>19.989999999999998</v>
      </c>
      <c r="E74" s="58">
        <v>10.23</v>
      </c>
      <c r="F74" s="58">
        <v>0</v>
      </c>
      <c r="G74" s="76">
        <v>0</v>
      </c>
      <c r="H74" s="58"/>
      <c r="I74" s="59"/>
      <c r="J74" s="58"/>
      <c r="K74" s="59"/>
      <c r="L74" s="58"/>
      <c r="M74" s="59"/>
      <c r="N74" s="58">
        <v>17.382608695652173</v>
      </c>
      <c r="O74" s="59">
        <v>1</v>
      </c>
      <c r="P74" s="58">
        <v>17.382608695652173</v>
      </c>
      <c r="Q74" s="60">
        <v>1</v>
      </c>
    </row>
    <row r="75" spans="1:17" x14ac:dyDescent="0.35">
      <c r="A75" s="54"/>
      <c r="B75" s="43">
        <v>33031</v>
      </c>
      <c r="C75" s="43" t="s">
        <v>97</v>
      </c>
      <c r="D75" s="72">
        <v>17.989999999999998</v>
      </c>
      <c r="E75" s="58">
        <v>9.1199999999999992</v>
      </c>
      <c r="F75" s="58">
        <v>143.91999999999999</v>
      </c>
      <c r="G75" s="76">
        <v>8</v>
      </c>
      <c r="H75" s="58">
        <v>140.7913043478261</v>
      </c>
      <c r="I75" s="59">
        <v>9</v>
      </c>
      <c r="J75" s="58"/>
      <c r="K75" s="59"/>
      <c r="L75" s="58"/>
      <c r="M75" s="59"/>
      <c r="N75" s="58">
        <v>46.930434782608693</v>
      </c>
      <c r="O75" s="59">
        <v>3</v>
      </c>
      <c r="P75" s="58">
        <v>187.7217391304348</v>
      </c>
      <c r="Q75" s="60">
        <v>12</v>
      </c>
    </row>
    <row r="76" spans="1:17" x14ac:dyDescent="0.35">
      <c r="A76" s="54"/>
      <c r="B76" s="43">
        <v>33032</v>
      </c>
      <c r="C76" s="43" t="s">
        <v>160</v>
      </c>
      <c r="D76" s="72">
        <v>28.99</v>
      </c>
      <c r="E76" s="58">
        <v>14.612666666666666</v>
      </c>
      <c r="F76" s="58">
        <v>0</v>
      </c>
      <c r="G76" s="76">
        <v>0</v>
      </c>
      <c r="H76" s="58"/>
      <c r="I76" s="59"/>
      <c r="J76" s="58"/>
      <c r="K76" s="59"/>
      <c r="L76" s="58">
        <v>25.208695652173912</v>
      </c>
      <c r="M76" s="59">
        <v>1</v>
      </c>
      <c r="N76" s="58">
        <v>75.626086956521732</v>
      </c>
      <c r="O76" s="59">
        <v>3</v>
      </c>
      <c r="P76" s="58">
        <v>100.83478260869565</v>
      </c>
      <c r="Q76" s="60">
        <v>4</v>
      </c>
    </row>
    <row r="77" spans="1:17" x14ac:dyDescent="0.35">
      <c r="A77" s="54"/>
      <c r="B77" s="43">
        <v>33995</v>
      </c>
      <c r="C77" s="43" t="s">
        <v>91</v>
      </c>
      <c r="D77" s="72">
        <v>15.99</v>
      </c>
      <c r="E77" s="58">
        <v>8.2200000000000006</v>
      </c>
      <c r="F77" s="58">
        <v>255.84</v>
      </c>
      <c r="G77" s="76">
        <v>16</v>
      </c>
      <c r="H77" s="58">
        <v>278.08695652173913</v>
      </c>
      <c r="I77" s="59">
        <v>20</v>
      </c>
      <c r="J77" s="58">
        <v>97.330434782608705</v>
      </c>
      <c r="K77" s="59">
        <v>7</v>
      </c>
      <c r="L77" s="58">
        <v>97.330434782608705</v>
      </c>
      <c r="M77" s="59">
        <v>7</v>
      </c>
      <c r="N77" s="58">
        <v>139.04347826086956</v>
      </c>
      <c r="O77" s="59">
        <v>10</v>
      </c>
      <c r="P77" s="58">
        <v>611.7913043478261</v>
      </c>
      <c r="Q77" s="60">
        <v>44</v>
      </c>
    </row>
    <row r="78" spans="1:17" x14ac:dyDescent="0.35">
      <c r="A78" s="54"/>
      <c r="B78" s="43">
        <v>34008</v>
      </c>
      <c r="C78" s="43" t="s">
        <v>104</v>
      </c>
      <c r="D78" s="72">
        <v>5.99</v>
      </c>
      <c r="E78" s="58">
        <v>4.32</v>
      </c>
      <c r="F78" s="58">
        <v>71.88</v>
      </c>
      <c r="G78" s="76">
        <v>12</v>
      </c>
      <c r="H78" s="58">
        <v>72.921739130434787</v>
      </c>
      <c r="I78" s="59">
        <v>14</v>
      </c>
      <c r="J78" s="58">
        <v>67.713043478260872</v>
      </c>
      <c r="K78" s="59">
        <v>13</v>
      </c>
      <c r="L78" s="58">
        <v>83.339130434782618</v>
      </c>
      <c r="M78" s="59">
        <v>16</v>
      </c>
      <c r="N78" s="58">
        <v>83.339130434782618</v>
      </c>
      <c r="O78" s="59">
        <v>16</v>
      </c>
      <c r="P78" s="58">
        <v>307.31304347826091</v>
      </c>
      <c r="Q78" s="60">
        <v>59</v>
      </c>
    </row>
    <row r="79" spans="1:17" x14ac:dyDescent="0.35">
      <c r="A79" s="54"/>
      <c r="B79" s="43">
        <v>34015</v>
      </c>
      <c r="C79" s="43" t="s">
        <v>106</v>
      </c>
      <c r="D79" s="72">
        <v>29.99</v>
      </c>
      <c r="E79" s="58">
        <v>3.1788888888888889</v>
      </c>
      <c r="F79" s="58">
        <v>179.94</v>
      </c>
      <c r="G79" s="76">
        <v>6</v>
      </c>
      <c r="H79" s="58">
        <v>78.234782608695653</v>
      </c>
      <c r="I79" s="59">
        <v>3</v>
      </c>
      <c r="J79" s="58">
        <v>26.078260869565216</v>
      </c>
      <c r="K79" s="59">
        <v>1</v>
      </c>
      <c r="L79" s="58">
        <v>208.62608695652173</v>
      </c>
      <c r="M79" s="59">
        <v>8</v>
      </c>
      <c r="N79" s="58">
        <v>156.46956521739131</v>
      </c>
      <c r="O79" s="59">
        <v>6</v>
      </c>
      <c r="P79" s="58">
        <v>469.40869565217395</v>
      </c>
      <c r="Q79" s="60">
        <v>18</v>
      </c>
    </row>
    <row r="80" spans="1:17" x14ac:dyDescent="0.35">
      <c r="A80" s="54"/>
      <c r="B80" s="43">
        <v>34102</v>
      </c>
      <c r="C80" s="43" t="s">
        <v>129</v>
      </c>
      <c r="D80" s="72">
        <v>9.99</v>
      </c>
      <c r="E80" s="58">
        <v>4.99</v>
      </c>
      <c r="F80" s="58">
        <v>0</v>
      </c>
      <c r="G80" s="76">
        <v>0</v>
      </c>
      <c r="H80" s="58"/>
      <c r="I80" s="59"/>
      <c r="J80" s="58">
        <v>43.434782608695656</v>
      </c>
      <c r="K80" s="59">
        <v>5</v>
      </c>
      <c r="L80" s="58">
        <v>26.060869565217391</v>
      </c>
      <c r="M80" s="59">
        <v>3</v>
      </c>
      <c r="N80" s="58"/>
      <c r="O80" s="59"/>
      <c r="P80" s="58">
        <v>69.495652173913044</v>
      </c>
      <c r="Q80" s="60">
        <v>8</v>
      </c>
    </row>
    <row r="81" spans="1:17" x14ac:dyDescent="0.35">
      <c r="A81" s="54"/>
      <c r="B81" s="43">
        <v>34122</v>
      </c>
      <c r="C81" s="43" t="s">
        <v>167</v>
      </c>
      <c r="D81" s="72">
        <v>25.99</v>
      </c>
      <c r="E81" s="58">
        <v>13.19</v>
      </c>
      <c r="F81" s="58">
        <v>0</v>
      </c>
      <c r="G81" s="76">
        <v>0</v>
      </c>
      <c r="H81" s="58"/>
      <c r="I81" s="59"/>
      <c r="J81" s="58"/>
      <c r="K81" s="59"/>
      <c r="L81" s="58">
        <v>21.469565217391306</v>
      </c>
      <c r="M81" s="59">
        <v>1</v>
      </c>
      <c r="N81" s="58"/>
      <c r="O81" s="59"/>
      <c r="P81" s="58">
        <v>21.469565217391306</v>
      </c>
      <c r="Q81" s="60">
        <v>1</v>
      </c>
    </row>
    <row r="82" spans="1:17" x14ac:dyDescent="0.35">
      <c r="A82" s="54"/>
      <c r="B82" s="43">
        <v>38977</v>
      </c>
      <c r="C82" s="43" t="s">
        <v>95</v>
      </c>
      <c r="D82" s="72">
        <v>18.989999999999998</v>
      </c>
      <c r="E82" s="58">
        <v>9.6999999999999993</v>
      </c>
      <c r="F82" s="58">
        <v>0</v>
      </c>
      <c r="G82" s="76">
        <v>0</v>
      </c>
      <c r="H82" s="58">
        <v>132.10434782608695</v>
      </c>
      <c r="I82" s="59">
        <v>8</v>
      </c>
      <c r="J82" s="58">
        <v>132.10434782608695</v>
      </c>
      <c r="K82" s="59">
        <v>8</v>
      </c>
      <c r="L82" s="58">
        <v>132.10434782608695</v>
      </c>
      <c r="M82" s="59">
        <v>8</v>
      </c>
      <c r="N82" s="58">
        <v>115.5913043478261</v>
      </c>
      <c r="O82" s="59">
        <v>7</v>
      </c>
      <c r="P82" s="58">
        <v>511.90434782608696</v>
      </c>
      <c r="Q82" s="60">
        <v>31</v>
      </c>
    </row>
    <row r="83" spans="1:17" x14ac:dyDescent="0.35">
      <c r="A83" s="54"/>
      <c r="B83" s="43">
        <v>39422</v>
      </c>
      <c r="C83" s="43" t="s">
        <v>120</v>
      </c>
      <c r="D83" s="72">
        <v>15.99</v>
      </c>
      <c r="E83" s="58">
        <v>8.3000000000000007</v>
      </c>
      <c r="F83" s="58">
        <v>95.94</v>
      </c>
      <c r="G83" s="76">
        <v>6</v>
      </c>
      <c r="H83" s="58">
        <v>13.904347826086957</v>
      </c>
      <c r="I83" s="59">
        <v>1</v>
      </c>
      <c r="J83" s="58">
        <v>13.904347826086957</v>
      </c>
      <c r="K83" s="59">
        <v>1</v>
      </c>
      <c r="L83" s="58"/>
      <c r="M83" s="59"/>
      <c r="N83" s="58"/>
      <c r="O83" s="59"/>
      <c r="P83" s="58">
        <v>27.808695652173913</v>
      </c>
      <c r="Q83" s="60">
        <v>2</v>
      </c>
    </row>
    <row r="84" spans="1:17" x14ac:dyDescent="0.35">
      <c r="A84" s="54"/>
      <c r="B84" s="43">
        <v>42797</v>
      </c>
      <c r="C84" s="43" t="s">
        <v>99</v>
      </c>
      <c r="D84" s="72">
        <v>11.99</v>
      </c>
      <c r="E84" s="58">
        <v>4.968</v>
      </c>
      <c r="F84" s="58">
        <v>119.9</v>
      </c>
      <c r="G84" s="76">
        <v>10</v>
      </c>
      <c r="H84" s="58">
        <v>125.11304347826086</v>
      </c>
      <c r="I84" s="59">
        <v>12</v>
      </c>
      <c r="J84" s="58">
        <v>72.982608695652175</v>
      </c>
      <c r="K84" s="59">
        <v>7</v>
      </c>
      <c r="L84" s="58">
        <v>83.408695652173918</v>
      </c>
      <c r="M84" s="59">
        <v>8</v>
      </c>
      <c r="N84" s="58">
        <v>104.26086956521739</v>
      </c>
      <c r="O84" s="59">
        <v>10</v>
      </c>
      <c r="P84" s="58">
        <v>385.7652173913043</v>
      </c>
      <c r="Q84" s="60">
        <v>37</v>
      </c>
    </row>
    <row r="85" spans="1:17" x14ac:dyDescent="0.35">
      <c r="A85" s="54"/>
      <c r="B85" s="43">
        <v>42990</v>
      </c>
      <c r="C85" s="43" t="s">
        <v>93</v>
      </c>
      <c r="D85" s="72">
        <v>19.989999999999998</v>
      </c>
      <c r="E85" s="58">
        <v>10.85</v>
      </c>
      <c r="F85" s="58">
        <v>319.83999999999997</v>
      </c>
      <c r="G85" s="76">
        <v>16</v>
      </c>
      <c r="H85" s="58">
        <v>121.67826086956522</v>
      </c>
      <c r="I85" s="59">
        <v>7</v>
      </c>
      <c r="J85" s="58">
        <v>173.82608695652175</v>
      </c>
      <c r="K85" s="59">
        <v>10</v>
      </c>
      <c r="L85" s="58">
        <v>86.043478260869563</v>
      </c>
      <c r="M85" s="59">
        <v>5</v>
      </c>
      <c r="N85" s="58">
        <v>191.2086956521739</v>
      </c>
      <c r="O85" s="59">
        <v>11</v>
      </c>
      <c r="P85" s="58">
        <v>572.75652173913045</v>
      </c>
      <c r="Q85" s="60">
        <v>33</v>
      </c>
    </row>
    <row r="86" spans="1:17" x14ac:dyDescent="0.35">
      <c r="A86" s="54"/>
      <c r="B86" s="43">
        <v>48620</v>
      </c>
      <c r="C86" s="43" t="s">
        <v>153</v>
      </c>
      <c r="D86" s="72">
        <v>37.99</v>
      </c>
      <c r="E86" s="58">
        <v>19.462499999999999</v>
      </c>
      <c r="F86" s="58">
        <v>0</v>
      </c>
      <c r="G86" s="76">
        <v>0</v>
      </c>
      <c r="H86" s="58"/>
      <c r="I86" s="59"/>
      <c r="J86" s="58">
        <v>33.03478260869565</v>
      </c>
      <c r="K86" s="59">
        <v>1</v>
      </c>
      <c r="L86" s="58">
        <v>66.0695652173913</v>
      </c>
      <c r="M86" s="59">
        <v>2</v>
      </c>
      <c r="N86" s="58"/>
      <c r="O86" s="59"/>
      <c r="P86" s="58">
        <v>99.104347826086951</v>
      </c>
      <c r="Q86" s="60">
        <v>3</v>
      </c>
    </row>
    <row r="87" spans="1:17" x14ac:dyDescent="0.35">
      <c r="A87" s="54"/>
      <c r="B87" s="43">
        <v>52943</v>
      </c>
      <c r="C87" s="43" t="s">
        <v>90</v>
      </c>
      <c r="D87" s="72">
        <v>31.99</v>
      </c>
      <c r="E87" s="58">
        <v>15.17</v>
      </c>
      <c r="F87" s="58">
        <v>6813.87</v>
      </c>
      <c r="G87" s="76">
        <v>213</v>
      </c>
      <c r="H87" s="58">
        <v>194.04347826086956</v>
      </c>
      <c r="I87" s="59">
        <v>7</v>
      </c>
      <c r="J87" s="58">
        <v>133.09565217391304</v>
      </c>
      <c r="K87" s="59">
        <v>5</v>
      </c>
      <c r="L87" s="58">
        <v>359.66956521739132</v>
      </c>
      <c r="M87" s="59">
        <v>13</v>
      </c>
      <c r="N87" s="58">
        <v>127.41739130434783</v>
      </c>
      <c r="O87" s="59">
        <v>5</v>
      </c>
      <c r="P87" s="58">
        <v>814.22608695652173</v>
      </c>
      <c r="Q87" s="60">
        <v>30</v>
      </c>
    </row>
    <row r="88" spans="1:17" x14ac:dyDescent="0.35">
      <c r="A88" s="54"/>
      <c r="B88" s="43">
        <v>55095</v>
      </c>
      <c r="C88" s="43" t="s">
        <v>116</v>
      </c>
      <c r="D88" s="72">
        <v>5</v>
      </c>
      <c r="E88" s="58">
        <v>1.38</v>
      </c>
      <c r="F88" s="58">
        <v>0</v>
      </c>
      <c r="G88" s="76">
        <v>0</v>
      </c>
      <c r="H88" s="58"/>
      <c r="I88" s="59"/>
      <c r="J88" s="58">
        <v>30.434782608695652</v>
      </c>
      <c r="K88" s="59">
        <v>7</v>
      </c>
      <c r="L88" s="58">
        <v>99.565217391304344</v>
      </c>
      <c r="M88" s="59">
        <v>23</v>
      </c>
      <c r="N88" s="58">
        <v>17.391304347826086</v>
      </c>
      <c r="O88" s="59">
        <v>4</v>
      </c>
      <c r="P88" s="58">
        <v>147.39130434782609</v>
      </c>
      <c r="Q88" s="60">
        <v>34</v>
      </c>
    </row>
    <row r="89" spans="1:17" x14ac:dyDescent="0.35">
      <c r="A89" s="54"/>
      <c r="B89" s="43">
        <v>55481</v>
      </c>
      <c r="C89" s="43" t="s">
        <v>105</v>
      </c>
      <c r="D89" s="72">
        <v>11.99</v>
      </c>
      <c r="E89" s="58">
        <v>5.0999999999999996</v>
      </c>
      <c r="F89" s="58">
        <v>71.94</v>
      </c>
      <c r="G89" s="76">
        <v>6</v>
      </c>
      <c r="H89" s="58">
        <v>83.408695652173918</v>
      </c>
      <c r="I89" s="59">
        <v>8</v>
      </c>
      <c r="J89" s="58">
        <v>52.130434782608695</v>
      </c>
      <c r="K89" s="59">
        <v>5</v>
      </c>
      <c r="L89" s="58">
        <v>10.42608695652174</v>
      </c>
      <c r="M89" s="59">
        <v>1</v>
      </c>
      <c r="N89" s="58"/>
      <c r="O89" s="59"/>
      <c r="P89" s="58">
        <v>145.96521739130435</v>
      </c>
      <c r="Q89" s="60">
        <v>14</v>
      </c>
    </row>
    <row r="90" spans="1:17" x14ac:dyDescent="0.35">
      <c r="A90" s="54"/>
      <c r="B90" s="43">
        <v>56175</v>
      </c>
      <c r="C90" s="43" t="s">
        <v>396</v>
      </c>
      <c r="D90" s="72">
        <v>15.99</v>
      </c>
      <c r="E90" s="58">
        <v>8.11</v>
      </c>
      <c r="F90" s="58">
        <v>0</v>
      </c>
      <c r="G90" s="76">
        <v>0</v>
      </c>
      <c r="H90" s="58">
        <v>27.808695652173913</v>
      </c>
      <c r="I90" s="59">
        <v>2</v>
      </c>
      <c r="J90" s="58"/>
      <c r="K90" s="59"/>
      <c r="L90" s="58"/>
      <c r="M90" s="59"/>
      <c r="N90" s="58"/>
      <c r="O90" s="59"/>
      <c r="P90" s="58">
        <v>27.808695652173913</v>
      </c>
      <c r="Q90" s="60">
        <v>2</v>
      </c>
    </row>
    <row r="91" spans="1:17" x14ac:dyDescent="0.35">
      <c r="A91" s="54"/>
      <c r="B91" s="43">
        <v>56267</v>
      </c>
      <c r="C91" s="43" t="s">
        <v>399</v>
      </c>
      <c r="D91" s="58">
        <v>15.99</v>
      </c>
      <c r="E91" s="58">
        <v>8.11</v>
      </c>
      <c r="F91" s="58">
        <v>0</v>
      </c>
      <c r="G91" s="76">
        <v>0</v>
      </c>
      <c r="H91" s="58"/>
      <c r="I91" s="59"/>
      <c r="J91" s="58">
        <v>13.904347826086957</v>
      </c>
      <c r="K91" s="59">
        <v>1</v>
      </c>
      <c r="L91" s="58"/>
      <c r="M91" s="59"/>
      <c r="N91" s="58"/>
      <c r="O91" s="59"/>
      <c r="P91" s="58">
        <v>13.904347826086957</v>
      </c>
      <c r="Q91" s="60">
        <v>1</v>
      </c>
    </row>
    <row r="92" spans="1:17" x14ac:dyDescent="0.35">
      <c r="A92" s="54"/>
      <c r="B92" s="43">
        <v>56594</v>
      </c>
      <c r="C92" s="43" t="s">
        <v>400</v>
      </c>
      <c r="D92" s="58">
        <v>15.99</v>
      </c>
      <c r="E92" s="58">
        <v>8.11</v>
      </c>
      <c r="F92" s="58">
        <v>0</v>
      </c>
      <c r="G92" s="76">
        <v>0</v>
      </c>
      <c r="H92" s="58">
        <v>13.904347826086957</v>
      </c>
      <c r="I92" s="59">
        <v>1</v>
      </c>
      <c r="J92" s="58"/>
      <c r="K92" s="59"/>
      <c r="L92" s="58"/>
      <c r="M92" s="59"/>
      <c r="N92" s="58"/>
      <c r="O92" s="59"/>
      <c r="P92" s="58">
        <v>13.904347826086957</v>
      </c>
      <c r="Q92" s="60">
        <v>1</v>
      </c>
    </row>
    <row r="93" spans="1:17" x14ac:dyDescent="0.35">
      <c r="A93" s="54"/>
      <c r="B93" s="43">
        <v>56914</v>
      </c>
      <c r="C93" s="43" t="s">
        <v>403</v>
      </c>
      <c r="D93" s="58">
        <v>15.99</v>
      </c>
      <c r="E93" s="58">
        <v>8.11</v>
      </c>
      <c r="F93" s="58">
        <v>0</v>
      </c>
      <c r="G93" s="76">
        <v>0</v>
      </c>
      <c r="H93" s="58"/>
      <c r="I93" s="59"/>
      <c r="J93" s="58">
        <v>13.904347826086957</v>
      </c>
      <c r="K93" s="59">
        <v>1</v>
      </c>
      <c r="L93" s="58"/>
      <c r="M93" s="59"/>
      <c r="N93" s="58"/>
      <c r="O93" s="59"/>
      <c r="P93" s="58">
        <v>13.904347826086957</v>
      </c>
      <c r="Q93" s="60">
        <v>1</v>
      </c>
    </row>
    <row r="94" spans="1:17" x14ac:dyDescent="0.35">
      <c r="A94" s="54"/>
      <c r="B94" s="43">
        <v>58147</v>
      </c>
      <c r="C94" s="43" t="s">
        <v>146</v>
      </c>
      <c r="D94" s="72">
        <v>16.989999999999998</v>
      </c>
      <c r="E94" s="58">
        <v>7.99</v>
      </c>
      <c r="F94" s="58">
        <v>0</v>
      </c>
      <c r="G94" s="76">
        <v>0</v>
      </c>
      <c r="H94" s="58">
        <v>14.77391304347826</v>
      </c>
      <c r="I94" s="59">
        <v>1</v>
      </c>
      <c r="J94" s="58"/>
      <c r="K94" s="59"/>
      <c r="L94" s="58"/>
      <c r="M94" s="59"/>
      <c r="N94" s="58"/>
      <c r="O94" s="59"/>
      <c r="P94" s="58">
        <v>14.77391304347826</v>
      </c>
      <c r="Q94" s="60">
        <v>1</v>
      </c>
    </row>
    <row r="95" spans="1:17" x14ac:dyDescent="0.35">
      <c r="A95" s="54"/>
      <c r="B95" s="43">
        <v>59477</v>
      </c>
      <c r="C95" s="43" t="s">
        <v>159</v>
      </c>
      <c r="D95" s="72">
        <v>5.99</v>
      </c>
      <c r="E95" s="58">
        <v>3.1</v>
      </c>
      <c r="F95" s="58">
        <v>0</v>
      </c>
      <c r="G95" s="76">
        <v>0</v>
      </c>
      <c r="H95" s="58"/>
      <c r="I95" s="59"/>
      <c r="J95" s="58">
        <v>10.417391304347827</v>
      </c>
      <c r="K95" s="59">
        <v>2</v>
      </c>
      <c r="L95" s="58">
        <v>20.834782608695654</v>
      </c>
      <c r="M95" s="59">
        <v>4</v>
      </c>
      <c r="N95" s="58">
        <v>15.626086956521739</v>
      </c>
      <c r="O95" s="59">
        <v>3</v>
      </c>
      <c r="P95" s="58">
        <v>46.878260869565224</v>
      </c>
      <c r="Q95" s="60">
        <v>9</v>
      </c>
    </row>
    <row r="96" spans="1:17" x14ac:dyDescent="0.35">
      <c r="A96" s="54"/>
      <c r="B96" s="43">
        <v>61937</v>
      </c>
      <c r="C96" s="43" t="s">
        <v>122</v>
      </c>
      <c r="D96" s="72">
        <v>10</v>
      </c>
      <c r="E96" s="58">
        <v>2.67</v>
      </c>
      <c r="F96" s="58">
        <v>100</v>
      </c>
      <c r="G96" s="76">
        <v>10</v>
      </c>
      <c r="H96" s="58">
        <v>104.34782608695652</v>
      </c>
      <c r="I96" s="59">
        <v>12</v>
      </c>
      <c r="J96" s="58"/>
      <c r="K96" s="59"/>
      <c r="L96" s="58"/>
      <c r="M96" s="59"/>
      <c r="N96" s="58"/>
      <c r="O96" s="59"/>
      <c r="P96" s="58">
        <v>104.34782608695652</v>
      </c>
      <c r="Q96" s="60">
        <v>12</v>
      </c>
    </row>
    <row r="97" spans="1:17" x14ac:dyDescent="0.35">
      <c r="A97" s="54"/>
      <c r="B97" s="43">
        <v>61938</v>
      </c>
      <c r="C97" s="43" t="s">
        <v>124</v>
      </c>
      <c r="D97" s="58">
        <v>10</v>
      </c>
      <c r="E97" s="58">
        <v>3.43</v>
      </c>
      <c r="F97" s="58">
        <v>120</v>
      </c>
      <c r="G97" s="76">
        <v>12</v>
      </c>
      <c r="H97" s="58">
        <v>26.086956521739129</v>
      </c>
      <c r="I97" s="59">
        <v>3</v>
      </c>
      <c r="J97" s="58"/>
      <c r="K97" s="59"/>
      <c r="L97" s="58">
        <v>8.695652173913043</v>
      </c>
      <c r="M97" s="59">
        <v>1</v>
      </c>
      <c r="N97" s="58"/>
      <c r="O97" s="59"/>
      <c r="P97" s="58">
        <v>34.782608695652172</v>
      </c>
      <c r="Q97" s="60">
        <v>4</v>
      </c>
    </row>
    <row r="98" spans="1:17" x14ac:dyDescent="0.35">
      <c r="A98" s="54"/>
      <c r="B98" s="43">
        <v>61939</v>
      </c>
      <c r="C98" s="43" t="s">
        <v>101</v>
      </c>
      <c r="D98" s="58">
        <v>10</v>
      </c>
      <c r="E98" s="58">
        <v>5.09</v>
      </c>
      <c r="F98" s="58">
        <v>240</v>
      </c>
      <c r="G98" s="76">
        <v>24</v>
      </c>
      <c r="H98" s="58"/>
      <c r="I98" s="59"/>
      <c r="J98" s="58">
        <v>147.82608695652175</v>
      </c>
      <c r="K98" s="59">
        <v>17</v>
      </c>
      <c r="L98" s="58">
        <v>164.78260869565219</v>
      </c>
      <c r="M98" s="59">
        <v>19</v>
      </c>
      <c r="N98" s="58">
        <v>69.565217391304344</v>
      </c>
      <c r="O98" s="59">
        <v>8</v>
      </c>
      <c r="P98" s="58">
        <v>382.17391304347825</v>
      </c>
      <c r="Q98" s="60">
        <v>44</v>
      </c>
    </row>
    <row r="99" spans="1:17" x14ac:dyDescent="0.35">
      <c r="A99" s="54"/>
      <c r="B99" s="43">
        <v>61942</v>
      </c>
      <c r="C99" s="43" t="s">
        <v>123</v>
      </c>
      <c r="D99" s="58">
        <v>10</v>
      </c>
      <c r="E99" s="58">
        <v>3.73</v>
      </c>
      <c r="F99" s="58">
        <v>0</v>
      </c>
      <c r="G99" s="76">
        <v>0</v>
      </c>
      <c r="H99" s="58"/>
      <c r="I99" s="59"/>
      <c r="J99" s="58"/>
      <c r="K99" s="59"/>
      <c r="L99" s="58"/>
      <c r="M99" s="59"/>
      <c r="N99" s="58">
        <v>8.695652173913043</v>
      </c>
      <c r="O99" s="59">
        <v>1</v>
      </c>
      <c r="P99" s="58">
        <v>8.695652173913043</v>
      </c>
      <c r="Q99" s="60">
        <v>1</v>
      </c>
    </row>
    <row r="100" spans="1:17" x14ac:dyDescent="0.35">
      <c r="A100" s="43">
        <v>103</v>
      </c>
      <c r="B100" s="43">
        <v>32056</v>
      </c>
      <c r="C100" s="43" t="s">
        <v>673</v>
      </c>
      <c r="D100" s="72">
        <v>359</v>
      </c>
      <c r="E100" s="58">
        <v>191.73</v>
      </c>
      <c r="F100" s="58">
        <v>0</v>
      </c>
      <c r="G100" s="76">
        <v>0</v>
      </c>
      <c r="H100" s="58"/>
      <c r="I100" s="59"/>
      <c r="J100" s="58"/>
      <c r="K100" s="59"/>
      <c r="L100" s="58">
        <v>9.3652173913043484</v>
      </c>
      <c r="M100" s="59">
        <v>0</v>
      </c>
      <c r="N100" s="58">
        <v>6.2434782608695647</v>
      </c>
      <c r="O100" s="59">
        <v>0</v>
      </c>
      <c r="P100" s="58">
        <v>15.608695652173914</v>
      </c>
      <c r="Q100" s="60">
        <v>0</v>
      </c>
    </row>
    <row r="101" spans="1:17" x14ac:dyDescent="0.35">
      <c r="A101" s="54"/>
      <c r="B101" s="43">
        <v>34142</v>
      </c>
      <c r="C101" s="43" t="s">
        <v>208</v>
      </c>
      <c r="D101" s="72">
        <v>70.989999999999995</v>
      </c>
      <c r="E101" s="58">
        <v>36.56</v>
      </c>
      <c r="F101" s="58">
        <v>0</v>
      </c>
      <c r="G101" s="76">
        <v>0</v>
      </c>
      <c r="H101" s="58"/>
      <c r="I101" s="59"/>
      <c r="J101" s="58"/>
      <c r="K101" s="59"/>
      <c r="L101" s="58">
        <v>10</v>
      </c>
      <c r="M101" s="59">
        <v>0</v>
      </c>
      <c r="N101" s="58">
        <v>9.3826086956521735</v>
      </c>
      <c r="O101" s="59">
        <v>0</v>
      </c>
      <c r="P101" s="58">
        <v>19.382608695652173</v>
      </c>
      <c r="Q101" s="60">
        <v>0</v>
      </c>
    </row>
    <row r="102" spans="1:17" x14ac:dyDescent="0.35">
      <c r="A102" s="54"/>
      <c r="B102" s="43">
        <v>59233</v>
      </c>
      <c r="C102" s="43" t="s">
        <v>700</v>
      </c>
      <c r="D102" s="72">
        <v>14.99</v>
      </c>
      <c r="E102" s="58">
        <v>7.9799999999999995</v>
      </c>
      <c r="F102" s="58">
        <v>0</v>
      </c>
      <c r="G102" s="76">
        <v>0</v>
      </c>
      <c r="H102" s="58">
        <v>13.034782608695652</v>
      </c>
      <c r="I102" s="59">
        <v>1</v>
      </c>
      <c r="J102" s="58">
        <v>26.069565217391304</v>
      </c>
      <c r="K102" s="59">
        <v>2</v>
      </c>
      <c r="L102" s="58"/>
      <c r="M102" s="59"/>
      <c r="N102" s="58">
        <v>26.069565217391304</v>
      </c>
      <c r="O102" s="59">
        <v>2</v>
      </c>
      <c r="P102" s="58">
        <v>65.173913043478265</v>
      </c>
      <c r="Q102" s="60">
        <v>5</v>
      </c>
    </row>
    <row r="103" spans="1:17" x14ac:dyDescent="0.35">
      <c r="A103" s="54"/>
      <c r="B103" s="43">
        <v>60811</v>
      </c>
      <c r="C103" s="43" t="s">
        <v>873</v>
      </c>
      <c r="D103" s="72">
        <v>3</v>
      </c>
      <c r="E103" s="58">
        <v>1.59</v>
      </c>
      <c r="F103" s="58">
        <v>0</v>
      </c>
      <c r="G103" s="76">
        <v>0</v>
      </c>
      <c r="H103" s="58"/>
      <c r="I103" s="59"/>
      <c r="J103" s="58"/>
      <c r="K103" s="59"/>
      <c r="L103" s="58">
        <v>10.434782608695652</v>
      </c>
      <c r="M103" s="59">
        <v>4</v>
      </c>
      <c r="N103" s="58"/>
      <c r="O103" s="59"/>
      <c r="P103" s="58">
        <v>10.434782608695652</v>
      </c>
      <c r="Q103" s="60">
        <v>4</v>
      </c>
    </row>
    <row r="104" spans="1:17" x14ac:dyDescent="0.35">
      <c r="A104" s="54"/>
      <c r="B104" s="43">
        <v>60813</v>
      </c>
      <c r="C104" s="43" t="s">
        <v>874</v>
      </c>
      <c r="D104" s="72">
        <v>12.99</v>
      </c>
      <c r="E104" s="58">
        <v>6.8199999999999994</v>
      </c>
      <c r="F104" s="58">
        <v>0</v>
      </c>
      <c r="G104" s="76">
        <v>0</v>
      </c>
      <c r="H104" s="58">
        <v>79.069565217391315</v>
      </c>
      <c r="I104" s="59">
        <v>7</v>
      </c>
      <c r="J104" s="58">
        <v>45.182608695652178</v>
      </c>
      <c r="K104" s="59">
        <v>4</v>
      </c>
      <c r="L104" s="58">
        <v>33.88695652173913</v>
      </c>
      <c r="M104" s="59">
        <v>3</v>
      </c>
      <c r="N104" s="58">
        <v>22.591304347826089</v>
      </c>
      <c r="O104" s="59">
        <v>2</v>
      </c>
      <c r="P104" s="58">
        <v>180.73043478260871</v>
      </c>
      <c r="Q104" s="60">
        <v>16</v>
      </c>
    </row>
    <row r="105" spans="1:17" x14ac:dyDescent="0.35">
      <c r="A105" s="43">
        <v>104</v>
      </c>
      <c r="B105" s="43">
        <v>34079</v>
      </c>
      <c r="C105" s="43" t="s">
        <v>236</v>
      </c>
      <c r="D105" s="72">
        <v>60</v>
      </c>
      <c r="E105" s="58">
        <v>29.14</v>
      </c>
      <c r="F105" s="58">
        <v>180</v>
      </c>
      <c r="G105" s="76">
        <v>3</v>
      </c>
      <c r="H105" s="58"/>
      <c r="I105" s="59"/>
      <c r="J105" s="58"/>
      <c r="K105" s="59"/>
      <c r="L105" s="58"/>
      <c r="M105" s="59"/>
      <c r="N105" s="58">
        <v>43.469565217391306</v>
      </c>
      <c r="O105" s="59">
        <v>1</v>
      </c>
      <c r="P105" s="58">
        <v>43.469565217391306</v>
      </c>
      <c r="Q105" s="60">
        <v>1</v>
      </c>
    </row>
    <row r="106" spans="1:17" x14ac:dyDescent="0.35">
      <c r="A106" s="54"/>
      <c r="B106" s="43">
        <v>34080</v>
      </c>
      <c r="C106" s="43" t="s">
        <v>234</v>
      </c>
      <c r="D106" s="72">
        <v>55</v>
      </c>
      <c r="E106" s="58">
        <v>24.25</v>
      </c>
      <c r="F106" s="58">
        <v>0</v>
      </c>
      <c r="G106" s="76">
        <v>0</v>
      </c>
      <c r="H106" s="58"/>
      <c r="I106" s="59"/>
      <c r="J106" s="58">
        <v>43.469565217391306</v>
      </c>
      <c r="K106" s="59">
        <v>1</v>
      </c>
      <c r="L106" s="58"/>
      <c r="M106" s="59"/>
      <c r="N106" s="58">
        <v>86.939130434782612</v>
      </c>
      <c r="O106" s="59">
        <v>2</v>
      </c>
      <c r="P106" s="58">
        <v>130.40869565217392</v>
      </c>
      <c r="Q106" s="60">
        <v>3</v>
      </c>
    </row>
    <row r="107" spans="1:17" x14ac:dyDescent="0.35">
      <c r="A107" s="54"/>
      <c r="B107" s="43">
        <v>34083</v>
      </c>
      <c r="C107" s="43" t="s">
        <v>233</v>
      </c>
      <c r="D107" s="58">
        <v>55</v>
      </c>
      <c r="E107" s="58">
        <v>25.97</v>
      </c>
      <c r="F107" s="58">
        <v>550</v>
      </c>
      <c r="G107" s="76">
        <v>10</v>
      </c>
      <c r="H107" s="58">
        <v>43.469565217391306</v>
      </c>
      <c r="I107" s="59">
        <v>1</v>
      </c>
      <c r="J107" s="58">
        <v>130.40869565217392</v>
      </c>
      <c r="K107" s="59">
        <v>3</v>
      </c>
      <c r="L107" s="58">
        <v>130.40869565217392</v>
      </c>
      <c r="M107" s="59">
        <v>3</v>
      </c>
      <c r="N107" s="58">
        <v>43.469565217391306</v>
      </c>
      <c r="O107" s="59">
        <v>1</v>
      </c>
      <c r="P107" s="58">
        <v>347.75652173913045</v>
      </c>
      <c r="Q107" s="60">
        <v>8</v>
      </c>
    </row>
    <row r="108" spans="1:17" x14ac:dyDescent="0.35">
      <c r="A108" s="54"/>
      <c r="B108" s="43">
        <v>34095</v>
      </c>
      <c r="C108" s="43" t="s">
        <v>235</v>
      </c>
      <c r="D108" s="72">
        <v>29.99</v>
      </c>
      <c r="E108" s="58">
        <v>12.52</v>
      </c>
      <c r="F108" s="58">
        <v>449.84999999999997</v>
      </c>
      <c r="G108" s="76">
        <v>15</v>
      </c>
      <c r="H108" s="58"/>
      <c r="I108" s="59"/>
      <c r="J108" s="58"/>
      <c r="K108" s="59"/>
      <c r="L108" s="58"/>
      <c r="M108" s="59"/>
      <c r="N108" s="58">
        <v>104.31304347826087</v>
      </c>
      <c r="O108" s="59">
        <v>4</v>
      </c>
      <c r="P108" s="58">
        <v>104.31304347826087</v>
      </c>
      <c r="Q108" s="60">
        <v>4</v>
      </c>
    </row>
    <row r="109" spans="1:17" x14ac:dyDescent="0.35">
      <c r="A109" s="54"/>
      <c r="B109" s="43">
        <v>34118</v>
      </c>
      <c r="C109" s="43" t="s">
        <v>231</v>
      </c>
      <c r="D109" s="58">
        <v>29.99</v>
      </c>
      <c r="E109" s="58">
        <v>7.38</v>
      </c>
      <c r="F109" s="58">
        <v>0</v>
      </c>
      <c r="G109" s="76">
        <v>0</v>
      </c>
      <c r="H109" s="58"/>
      <c r="I109" s="59"/>
      <c r="J109" s="58">
        <v>130.39130434782606</v>
      </c>
      <c r="K109" s="59">
        <v>5</v>
      </c>
      <c r="L109" s="58">
        <v>204.71304347826086</v>
      </c>
      <c r="M109" s="59">
        <v>8</v>
      </c>
      <c r="N109" s="58"/>
      <c r="O109" s="59"/>
      <c r="P109" s="58">
        <v>335.10434782608695</v>
      </c>
      <c r="Q109" s="60">
        <v>13</v>
      </c>
    </row>
    <row r="110" spans="1:17" x14ac:dyDescent="0.35">
      <c r="A110" s="54"/>
      <c r="B110" s="43">
        <v>43309</v>
      </c>
      <c r="C110" s="43" t="s">
        <v>238</v>
      </c>
      <c r="D110" s="72">
        <v>13.99</v>
      </c>
      <c r="E110" s="58">
        <v>6.67</v>
      </c>
      <c r="F110" s="58">
        <v>0</v>
      </c>
      <c r="G110" s="76">
        <v>0</v>
      </c>
      <c r="H110" s="58">
        <v>48.660869565217389</v>
      </c>
      <c r="I110" s="59">
        <v>4</v>
      </c>
      <c r="J110" s="58">
        <v>12.165217391304347</v>
      </c>
      <c r="K110" s="59">
        <v>1</v>
      </c>
      <c r="L110" s="58">
        <v>24.330434782608695</v>
      </c>
      <c r="M110" s="59">
        <v>2</v>
      </c>
      <c r="N110" s="58">
        <v>24.330434782608695</v>
      </c>
      <c r="O110" s="59">
        <v>2</v>
      </c>
      <c r="P110" s="58">
        <v>109.48695652173912</v>
      </c>
      <c r="Q110" s="60">
        <v>9</v>
      </c>
    </row>
    <row r="111" spans="1:17" x14ac:dyDescent="0.35">
      <c r="A111" s="54"/>
      <c r="B111" s="43">
        <v>66092</v>
      </c>
      <c r="C111" s="43" t="s">
        <v>931</v>
      </c>
      <c r="D111" s="72">
        <v>19.989999999999998</v>
      </c>
      <c r="E111" s="58">
        <v>12</v>
      </c>
      <c r="F111" s="58">
        <v>0</v>
      </c>
      <c r="G111" s="76">
        <v>0</v>
      </c>
      <c r="H111" s="58">
        <v>17.382608695652173</v>
      </c>
      <c r="I111" s="59">
        <v>1</v>
      </c>
      <c r="J111" s="58"/>
      <c r="K111" s="59"/>
      <c r="L111" s="58">
        <v>16.513043478260869</v>
      </c>
      <c r="M111" s="59">
        <v>1</v>
      </c>
      <c r="N111" s="58">
        <v>52.14782608695652</v>
      </c>
      <c r="O111" s="59">
        <v>3</v>
      </c>
      <c r="P111" s="58">
        <v>86.043478260869563</v>
      </c>
      <c r="Q111" s="60">
        <v>5</v>
      </c>
    </row>
    <row r="112" spans="1:17" x14ac:dyDescent="0.35">
      <c r="A112" s="54"/>
      <c r="B112" s="43">
        <v>66093</v>
      </c>
      <c r="C112" s="43" t="s">
        <v>932</v>
      </c>
      <c r="D112" s="58">
        <v>19.989999999999998</v>
      </c>
      <c r="E112" s="58">
        <v>13.25</v>
      </c>
      <c r="F112" s="58">
        <v>0</v>
      </c>
      <c r="G112" s="76">
        <v>0</v>
      </c>
      <c r="H112" s="58">
        <v>17.382608695652173</v>
      </c>
      <c r="I112" s="59">
        <v>1</v>
      </c>
      <c r="J112" s="58">
        <v>34.765217391304347</v>
      </c>
      <c r="K112" s="59">
        <v>2</v>
      </c>
      <c r="L112" s="58">
        <v>33.026086956521738</v>
      </c>
      <c r="M112" s="59">
        <v>2</v>
      </c>
      <c r="N112" s="58">
        <v>86.913043478260875</v>
      </c>
      <c r="O112" s="59">
        <v>5</v>
      </c>
      <c r="P112" s="58">
        <v>172.08695652173913</v>
      </c>
      <c r="Q112" s="60">
        <v>10</v>
      </c>
    </row>
    <row r="113" spans="1:17" x14ac:dyDescent="0.35">
      <c r="A113" s="43">
        <v>105</v>
      </c>
      <c r="B113" s="43">
        <v>14934</v>
      </c>
      <c r="C113" s="43" t="s">
        <v>507</v>
      </c>
      <c r="D113" s="72">
        <v>32.99</v>
      </c>
      <c r="E113" s="58">
        <v>22.271466666666669</v>
      </c>
      <c r="F113" s="58">
        <v>0</v>
      </c>
      <c r="G113" s="76">
        <v>0</v>
      </c>
      <c r="H113" s="58">
        <v>143.43478260869563</v>
      </c>
      <c r="I113" s="59">
        <v>5</v>
      </c>
      <c r="J113" s="58">
        <v>86.060869565217388</v>
      </c>
      <c r="K113" s="59">
        <v>3</v>
      </c>
      <c r="L113" s="58">
        <v>57.373913043478268</v>
      </c>
      <c r="M113" s="59">
        <v>2</v>
      </c>
      <c r="N113" s="58">
        <v>86.060869565217388</v>
      </c>
      <c r="O113" s="59">
        <v>3</v>
      </c>
      <c r="P113" s="58">
        <v>372.93043478260864</v>
      </c>
      <c r="Q113" s="60">
        <v>13</v>
      </c>
    </row>
    <row r="114" spans="1:17" x14ac:dyDescent="0.35">
      <c r="A114" s="54"/>
      <c r="B114" s="43">
        <v>14937</v>
      </c>
      <c r="C114" s="43" t="s">
        <v>509</v>
      </c>
      <c r="D114" s="72">
        <v>24.99</v>
      </c>
      <c r="E114" s="58">
        <v>15.529409999999999</v>
      </c>
      <c r="F114" s="58">
        <v>0</v>
      </c>
      <c r="G114" s="76">
        <v>0</v>
      </c>
      <c r="H114" s="58">
        <v>43.460869565217386</v>
      </c>
      <c r="I114" s="59">
        <v>2</v>
      </c>
      <c r="J114" s="58">
        <v>173.84347826086955</v>
      </c>
      <c r="K114" s="59">
        <v>8</v>
      </c>
      <c r="L114" s="58">
        <v>107.56521739130434</v>
      </c>
      <c r="M114" s="59">
        <v>5</v>
      </c>
      <c r="N114" s="58">
        <v>293.35652173913047</v>
      </c>
      <c r="O114" s="59">
        <v>14</v>
      </c>
      <c r="P114" s="58">
        <v>618.22608695652173</v>
      </c>
      <c r="Q114" s="60">
        <v>29</v>
      </c>
    </row>
    <row r="115" spans="1:17" x14ac:dyDescent="0.35">
      <c r="A115" s="54"/>
      <c r="B115" s="43">
        <v>14942</v>
      </c>
      <c r="C115" s="43" t="s">
        <v>512</v>
      </c>
      <c r="D115" s="72">
        <v>26.99</v>
      </c>
      <c r="E115" s="58">
        <v>17.327516666666668</v>
      </c>
      <c r="F115" s="58">
        <v>0</v>
      </c>
      <c r="G115" s="76">
        <v>0</v>
      </c>
      <c r="H115" s="58"/>
      <c r="I115" s="59"/>
      <c r="J115" s="58">
        <v>23.469565217391303</v>
      </c>
      <c r="K115" s="59">
        <v>1</v>
      </c>
      <c r="L115" s="58">
        <v>69.234782608695653</v>
      </c>
      <c r="M115" s="59">
        <v>3</v>
      </c>
      <c r="N115" s="58">
        <v>46.939130434782605</v>
      </c>
      <c r="O115" s="59">
        <v>2</v>
      </c>
      <c r="P115" s="58">
        <v>139.64347826086956</v>
      </c>
      <c r="Q115" s="60">
        <v>6</v>
      </c>
    </row>
    <row r="116" spans="1:17" x14ac:dyDescent="0.35">
      <c r="A116" s="54"/>
      <c r="B116" s="43">
        <v>14944</v>
      </c>
      <c r="C116" s="43" t="s">
        <v>513</v>
      </c>
      <c r="D116" s="72">
        <v>29.99</v>
      </c>
      <c r="E116" s="58">
        <v>18.186512499999999</v>
      </c>
      <c r="F116" s="58">
        <v>0</v>
      </c>
      <c r="G116" s="76">
        <v>0</v>
      </c>
      <c r="H116" s="58"/>
      <c r="I116" s="59"/>
      <c r="J116" s="58">
        <v>26.078260869565216</v>
      </c>
      <c r="K116" s="59">
        <v>1</v>
      </c>
      <c r="L116" s="58">
        <v>52.156521739130433</v>
      </c>
      <c r="M116" s="59">
        <v>2</v>
      </c>
      <c r="N116" s="58">
        <v>26.078260869565216</v>
      </c>
      <c r="O116" s="59">
        <v>1</v>
      </c>
      <c r="P116" s="58">
        <v>104.31304347826087</v>
      </c>
      <c r="Q116" s="60">
        <v>4</v>
      </c>
    </row>
    <row r="117" spans="1:17" x14ac:dyDescent="0.35">
      <c r="A117" s="54"/>
      <c r="B117" s="43">
        <v>14959</v>
      </c>
      <c r="C117" s="43" t="s">
        <v>520</v>
      </c>
      <c r="D117" s="72">
        <v>24.99</v>
      </c>
      <c r="E117" s="58">
        <v>15.246979999999999</v>
      </c>
      <c r="F117" s="58">
        <v>0</v>
      </c>
      <c r="G117" s="76">
        <v>0</v>
      </c>
      <c r="H117" s="58"/>
      <c r="I117" s="59"/>
      <c r="J117" s="58"/>
      <c r="K117" s="59"/>
      <c r="L117" s="58">
        <v>41.286956521739128</v>
      </c>
      <c r="M117" s="59">
        <v>2</v>
      </c>
      <c r="N117" s="58">
        <v>65.19130434782609</v>
      </c>
      <c r="O117" s="59">
        <v>3</v>
      </c>
      <c r="P117" s="58">
        <v>106.47826086956522</v>
      </c>
      <c r="Q117" s="60">
        <v>5</v>
      </c>
    </row>
    <row r="118" spans="1:17" x14ac:dyDescent="0.35">
      <c r="A118" s="54"/>
      <c r="B118" s="43">
        <v>14961</v>
      </c>
      <c r="C118" s="43" t="s">
        <v>522</v>
      </c>
      <c r="D118" s="72">
        <v>15.99</v>
      </c>
      <c r="E118" s="58">
        <v>9.5993916666666674</v>
      </c>
      <c r="F118" s="58">
        <v>0</v>
      </c>
      <c r="G118" s="76">
        <v>0</v>
      </c>
      <c r="H118" s="58"/>
      <c r="I118" s="59"/>
      <c r="J118" s="58">
        <v>13.904347826086957</v>
      </c>
      <c r="K118" s="59">
        <v>1</v>
      </c>
      <c r="L118" s="58">
        <v>13.904347826086957</v>
      </c>
      <c r="M118" s="59">
        <v>1</v>
      </c>
      <c r="N118" s="58">
        <v>13.904347826086957</v>
      </c>
      <c r="O118" s="59">
        <v>1</v>
      </c>
      <c r="P118" s="58">
        <v>41.713043478260872</v>
      </c>
      <c r="Q118" s="60">
        <v>3</v>
      </c>
    </row>
    <row r="119" spans="1:17" x14ac:dyDescent="0.35">
      <c r="A119" s="54"/>
      <c r="B119" s="43">
        <v>14965</v>
      </c>
      <c r="C119" s="43" t="s">
        <v>526</v>
      </c>
      <c r="D119" s="72">
        <v>21.99</v>
      </c>
      <c r="E119" s="58">
        <v>14.908975</v>
      </c>
      <c r="F119" s="58">
        <v>0</v>
      </c>
      <c r="G119" s="76">
        <v>0</v>
      </c>
      <c r="H119" s="58"/>
      <c r="I119" s="59"/>
      <c r="J119" s="58">
        <v>21.99</v>
      </c>
      <c r="K119" s="59">
        <v>1</v>
      </c>
      <c r="L119" s="58">
        <v>21.99</v>
      </c>
      <c r="M119" s="59">
        <v>1</v>
      </c>
      <c r="N119" s="58"/>
      <c r="O119" s="59"/>
      <c r="P119" s="58">
        <v>43.98</v>
      </c>
      <c r="Q119" s="60">
        <v>2</v>
      </c>
    </row>
    <row r="120" spans="1:17" x14ac:dyDescent="0.35">
      <c r="A120" s="54"/>
      <c r="B120" s="43">
        <v>14967</v>
      </c>
      <c r="C120" s="43" t="s">
        <v>527</v>
      </c>
      <c r="D120" s="72">
        <v>22.99</v>
      </c>
      <c r="E120" s="58">
        <v>14.118466666666668</v>
      </c>
      <c r="F120" s="58">
        <v>0</v>
      </c>
      <c r="G120" s="76">
        <v>0</v>
      </c>
      <c r="H120" s="58"/>
      <c r="I120" s="59"/>
      <c r="J120" s="58">
        <v>99.956521739130437</v>
      </c>
      <c r="K120" s="59">
        <v>5</v>
      </c>
      <c r="L120" s="58">
        <v>39.982608695652175</v>
      </c>
      <c r="M120" s="59">
        <v>2</v>
      </c>
      <c r="N120" s="58"/>
      <c r="O120" s="59"/>
      <c r="P120" s="58">
        <v>139.93913043478261</v>
      </c>
      <c r="Q120" s="60">
        <v>7</v>
      </c>
    </row>
    <row r="121" spans="1:17" x14ac:dyDescent="0.35">
      <c r="A121" s="54"/>
      <c r="B121" s="43">
        <v>14971</v>
      </c>
      <c r="C121" s="43" t="s">
        <v>530</v>
      </c>
      <c r="D121" s="72">
        <v>13.99</v>
      </c>
      <c r="E121" s="58">
        <v>9.5773250000000001</v>
      </c>
      <c r="F121" s="58">
        <v>0</v>
      </c>
      <c r="G121" s="76">
        <v>0</v>
      </c>
      <c r="H121" s="58"/>
      <c r="I121" s="59"/>
      <c r="J121" s="58">
        <v>12.165217391304347</v>
      </c>
      <c r="K121" s="59">
        <v>1</v>
      </c>
      <c r="L121" s="58"/>
      <c r="M121" s="59"/>
      <c r="N121" s="58"/>
      <c r="O121" s="59"/>
      <c r="P121" s="58">
        <v>12.165217391304347</v>
      </c>
      <c r="Q121" s="60">
        <v>1</v>
      </c>
    </row>
    <row r="122" spans="1:17" x14ac:dyDescent="0.35">
      <c r="A122" s="54"/>
      <c r="B122" s="43">
        <v>16078</v>
      </c>
      <c r="C122" s="43" t="s">
        <v>611</v>
      </c>
      <c r="D122" s="72">
        <v>37.99</v>
      </c>
      <c r="E122" s="58">
        <v>23.413162499999999</v>
      </c>
      <c r="F122" s="58">
        <v>0</v>
      </c>
      <c r="G122" s="76">
        <v>0</v>
      </c>
      <c r="H122" s="58"/>
      <c r="I122" s="59"/>
      <c r="J122" s="58">
        <v>33.03478260869565</v>
      </c>
      <c r="K122" s="59">
        <v>1</v>
      </c>
      <c r="L122" s="58">
        <v>33.03478260869565</v>
      </c>
      <c r="M122" s="59">
        <v>1</v>
      </c>
      <c r="N122" s="58"/>
      <c r="O122" s="59"/>
      <c r="P122" s="58">
        <v>66.0695652173913</v>
      </c>
      <c r="Q122" s="60">
        <v>2</v>
      </c>
    </row>
    <row r="123" spans="1:17" x14ac:dyDescent="0.35">
      <c r="A123" s="54"/>
      <c r="B123" s="43">
        <v>24081</v>
      </c>
      <c r="C123" s="43" t="s">
        <v>633</v>
      </c>
      <c r="D123" s="72">
        <v>17.989999999999998</v>
      </c>
      <c r="E123" s="58">
        <v>14.44</v>
      </c>
      <c r="F123" s="58">
        <v>0</v>
      </c>
      <c r="G123" s="76">
        <v>0</v>
      </c>
      <c r="H123" s="58">
        <v>233.87</v>
      </c>
      <c r="I123" s="59">
        <v>13</v>
      </c>
      <c r="J123" s="58">
        <v>107.94</v>
      </c>
      <c r="K123" s="59">
        <v>6</v>
      </c>
      <c r="L123" s="58">
        <v>232.07</v>
      </c>
      <c r="M123" s="59">
        <v>13</v>
      </c>
      <c r="N123" s="58">
        <v>53.97</v>
      </c>
      <c r="O123" s="59">
        <v>3</v>
      </c>
      <c r="P123" s="58">
        <v>627.85</v>
      </c>
      <c r="Q123" s="60">
        <v>35</v>
      </c>
    </row>
    <row r="124" spans="1:17" x14ac:dyDescent="0.35">
      <c r="A124" s="54"/>
      <c r="B124" s="43">
        <v>24083</v>
      </c>
      <c r="C124" s="43" t="s">
        <v>634</v>
      </c>
      <c r="D124" s="72">
        <v>19.989999999999998</v>
      </c>
      <c r="E124" s="58">
        <v>14.77</v>
      </c>
      <c r="F124" s="58">
        <v>0</v>
      </c>
      <c r="G124" s="76">
        <v>0</v>
      </c>
      <c r="H124" s="58">
        <v>434.56521739130437</v>
      </c>
      <c r="I124" s="59">
        <v>25</v>
      </c>
      <c r="J124" s="58">
        <v>417.18260869565222</v>
      </c>
      <c r="K124" s="59">
        <v>24</v>
      </c>
      <c r="L124" s="58">
        <v>206.85217391304349</v>
      </c>
      <c r="M124" s="59">
        <v>12</v>
      </c>
      <c r="N124" s="58">
        <v>278.12173913043478</v>
      </c>
      <c r="O124" s="59">
        <v>16</v>
      </c>
      <c r="P124" s="58">
        <v>1336.7217391304348</v>
      </c>
      <c r="Q124" s="60">
        <v>77</v>
      </c>
    </row>
    <row r="125" spans="1:17" x14ac:dyDescent="0.35">
      <c r="A125" s="54"/>
      <c r="B125" s="43">
        <v>24084</v>
      </c>
      <c r="C125" s="43" t="s">
        <v>636</v>
      </c>
      <c r="D125" s="72">
        <v>29.49</v>
      </c>
      <c r="E125" s="58">
        <v>23.65</v>
      </c>
      <c r="F125" s="58">
        <v>0</v>
      </c>
      <c r="G125" s="76">
        <v>0</v>
      </c>
      <c r="H125" s="58">
        <v>117.96</v>
      </c>
      <c r="I125" s="59">
        <v>4</v>
      </c>
      <c r="J125" s="58">
        <v>235.92</v>
      </c>
      <c r="K125" s="59">
        <v>8</v>
      </c>
      <c r="L125" s="58">
        <v>87</v>
      </c>
      <c r="M125" s="59">
        <v>3</v>
      </c>
      <c r="N125" s="58">
        <v>58.98</v>
      </c>
      <c r="O125" s="59">
        <v>2</v>
      </c>
      <c r="P125" s="58">
        <v>499.86</v>
      </c>
      <c r="Q125" s="60">
        <v>17</v>
      </c>
    </row>
    <row r="126" spans="1:17" x14ac:dyDescent="0.35">
      <c r="A126" s="54"/>
      <c r="B126" s="43">
        <v>24086</v>
      </c>
      <c r="C126" s="43" t="s">
        <v>637</v>
      </c>
      <c r="D126" s="72">
        <v>19.989999999999998</v>
      </c>
      <c r="E126" s="58">
        <v>18.32</v>
      </c>
      <c r="F126" s="58">
        <v>0</v>
      </c>
      <c r="G126" s="76">
        <v>0</v>
      </c>
      <c r="H126" s="58">
        <v>199.9</v>
      </c>
      <c r="I126" s="59">
        <v>10</v>
      </c>
      <c r="J126" s="58">
        <v>139.93</v>
      </c>
      <c r="K126" s="59">
        <v>7</v>
      </c>
      <c r="L126" s="58">
        <v>38.979999999999997</v>
      </c>
      <c r="M126" s="59">
        <v>2</v>
      </c>
      <c r="N126" s="58">
        <v>59.97</v>
      </c>
      <c r="O126" s="59">
        <v>3</v>
      </c>
      <c r="P126" s="58">
        <v>438.78000000000009</v>
      </c>
      <c r="Q126" s="60">
        <v>22</v>
      </c>
    </row>
    <row r="127" spans="1:17" x14ac:dyDescent="0.35">
      <c r="A127" s="54"/>
      <c r="B127" s="43">
        <v>24088</v>
      </c>
      <c r="C127" s="43" t="s">
        <v>638</v>
      </c>
      <c r="D127" s="72">
        <v>16.489999999999998</v>
      </c>
      <c r="E127" s="58">
        <v>17.82</v>
      </c>
      <c r="F127" s="58">
        <v>0</v>
      </c>
      <c r="G127" s="76">
        <v>0</v>
      </c>
      <c r="H127" s="58">
        <v>428.74</v>
      </c>
      <c r="I127" s="59">
        <v>26</v>
      </c>
      <c r="J127" s="58">
        <v>478.21</v>
      </c>
      <c r="K127" s="59">
        <v>29</v>
      </c>
      <c r="L127" s="58">
        <v>771.75</v>
      </c>
      <c r="M127" s="59">
        <v>48</v>
      </c>
      <c r="N127" s="58">
        <v>395.76</v>
      </c>
      <c r="O127" s="59">
        <v>24</v>
      </c>
      <c r="P127" s="58">
        <v>2074.46</v>
      </c>
      <c r="Q127" s="60">
        <v>127</v>
      </c>
    </row>
    <row r="128" spans="1:17" x14ac:dyDescent="0.35">
      <c r="A128" s="54"/>
      <c r="B128" s="43">
        <v>24089</v>
      </c>
      <c r="C128" s="43" t="s">
        <v>639</v>
      </c>
      <c r="D128" s="72">
        <v>23.99</v>
      </c>
      <c r="E128" s="58">
        <v>18.82</v>
      </c>
      <c r="F128" s="58">
        <v>0</v>
      </c>
      <c r="G128" s="76">
        <v>0</v>
      </c>
      <c r="H128" s="58">
        <v>71.97</v>
      </c>
      <c r="I128" s="59">
        <v>3</v>
      </c>
      <c r="J128" s="58">
        <v>95.96</v>
      </c>
      <c r="K128" s="59">
        <v>4</v>
      </c>
      <c r="L128" s="58">
        <v>211.11</v>
      </c>
      <c r="M128" s="59">
        <v>9</v>
      </c>
      <c r="N128" s="58">
        <v>23.99</v>
      </c>
      <c r="O128" s="59">
        <v>1</v>
      </c>
      <c r="P128" s="58">
        <v>403.03000000000003</v>
      </c>
      <c r="Q128" s="60">
        <v>17</v>
      </c>
    </row>
    <row r="129" spans="1:17" x14ac:dyDescent="0.35">
      <c r="A129" s="54"/>
      <c r="B129" s="43">
        <v>24090</v>
      </c>
      <c r="C129" s="43" t="s">
        <v>640</v>
      </c>
      <c r="D129" s="72">
        <v>21.99</v>
      </c>
      <c r="E129" s="58">
        <v>18.32</v>
      </c>
      <c r="F129" s="58">
        <v>0</v>
      </c>
      <c r="G129" s="76">
        <v>0</v>
      </c>
      <c r="H129" s="58">
        <v>133.85217391304349</v>
      </c>
      <c r="I129" s="59">
        <v>7</v>
      </c>
      <c r="J129" s="58">
        <v>133.85217391304349</v>
      </c>
      <c r="K129" s="59">
        <v>7</v>
      </c>
      <c r="L129" s="58">
        <v>207.46956521739131</v>
      </c>
      <c r="M129" s="59">
        <v>11</v>
      </c>
      <c r="N129" s="58">
        <v>191.21739130434784</v>
      </c>
      <c r="O129" s="59">
        <v>10</v>
      </c>
      <c r="P129" s="58">
        <v>666.39130434782612</v>
      </c>
      <c r="Q129" s="60">
        <v>35</v>
      </c>
    </row>
    <row r="130" spans="1:17" x14ac:dyDescent="0.35">
      <c r="A130" s="54"/>
      <c r="B130" s="43">
        <v>24092</v>
      </c>
      <c r="C130" s="43" t="s">
        <v>641</v>
      </c>
      <c r="D130" s="72">
        <v>17.989999999999998</v>
      </c>
      <c r="E130" s="58">
        <v>17.420000000000002</v>
      </c>
      <c r="F130" s="58">
        <v>0</v>
      </c>
      <c r="G130" s="76">
        <v>0</v>
      </c>
      <c r="H130" s="58">
        <v>1868.5304347826082</v>
      </c>
      <c r="I130" s="59">
        <v>119</v>
      </c>
      <c r="J130" s="58">
        <v>1626.9217391304348</v>
      </c>
      <c r="K130" s="59">
        <v>104</v>
      </c>
      <c r="L130" s="58">
        <v>2036.7652173913045</v>
      </c>
      <c r="M130" s="59">
        <v>132</v>
      </c>
      <c r="N130" s="58">
        <v>1628.6608695652174</v>
      </c>
      <c r="O130" s="59">
        <v>104</v>
      </c>
      <c r="P130" s="58">
        <v>7160.8782608695656</v>
      </c>
      <c r="Q130" s="60">
        <v>459</v>
      </c>
    </row>
    <row r="131" spans="1:17" x14ac:dyDescent="0.35">
      <c r="A131" s="54"/>
      <c r="B131" s="43">
        <v>24093</v>
      </c>
      <c r="C131" s="43" t="s">
        <v>642</v>
      </c>
      <c r="D131" s="72">
        <v>29.99</v>
      </c>
      <c r="E131" s="58">
        <v>23.32</v>
      </c>
      <c r="F131" s="58">
        <v>0</v>
      </c>
      <c r="G131" s="76">
        <v>0</v>
      </c>
      <c r="H131" s="58">
        <v>104.31304347826087</v>
      </c>
      <c r="I131" s="59">
        <v>4</v>
      </c>
      <c r="J131" s="58">
        <v>52.156521739130433</v>
      </c>
      <c r="K131" s="59">
        <v>2</v>
      </c>
      <c r="L131" s="58">
        <v>155.16521739130434</v>
      </c>
      <c r="M131" s="59">
        <v>6</v>
      </c>
      <c r="N131" s="58">
        <v>78.234782608695653</v>
      </c>
      <c r="O131" s="59">
        <v>3</v>
      </c>
      <c r="P131" s="58">
        <v>389.86956521739131</v>
      </c>
      <c r="Q131" s="60">
        <v>15</v>
      </c>
    </row>
    <row r="132" spans="1:17" x14ac:dyDescent="0.35">
      <c r="A132" s="54"/>
      <c r="B132" s="43">
        <v>24105</v>
      </c>
      <c r="C132" s="43" t="s">
        <v>646</v>
      </c>
      <c r="D132" s="72">
        <v>30.49</v>
      </c>
      <c r="E132" s="58">
        <v>24.57</v>
      </c>
      <c r="F132" s="58">
        <v>0</v>
      </c>
      <c r="G132" s="76">
        <v>0</v>
      </c>
      <c r="H132" s="58">
        <v>60.98</v>
      </c>
      <c r="I132" s="59">
        <v>2</v>
      </c>
      <c r="J132" s="58"/>
      <c r="K132" s="59"/>
      <c r="L132" s="58">
        <v>89.95</v>
      </c>
      <c r="M132" s="59">
        <v>3</v>
      </c>
      <c r="N132" s="58"/>
      <c r="O132" s="59"/>
      <c r="P132" s="58">
        <v>150.93</v>
      </c>
      <c r="Q132" s="60">
        <v>5</v>
      </c>
    </row>
    <row r="133" spans="1:17" x14ac:dyDescent="0.35">
      <c r="A133" s="54"/>
      <c r="B133" s="43">
        <v>24108</v>
      </c>
      <c r="C133" s="43" t="s">
        <v>647</v>
      </c>
      <c r="D133" s="72">
        <v>24.99</v>
      </c>
      <c r="E133" s="58">
        <v>18.18</v>
      </c>
      <c r="F133" s="58">
        <v>0</v>
      </c>
      <c r="G133" s="76">
        <v>0</v>
      </c>
      <c r="H133" s="58">
        <v>43.460869565217386</v>
      </c>
      <c r="I133" s="59">
        <v>2</v>
      </c>
      <c r="J133" s="58">
        <v>86.921739130434773</v>
      </c>
      <c r="K133" s="59">
        <v>4</v>
      </c>
      <c r="L133" s="58">
        <v>583.46086956521742</v>
      </c>
      <c r="M133" s="59">
        <v>28</v>
      </c>
      <c r="N133" s="58">
        <v>173.84347826086955</v>
      </c>
      <c r="O133" s="59">
        <v>8</v>
      </c>
      <c r="P133" s="58">
        <v>887.68695652173915</v>
      </c>
      <c r="Q133" s="60">
        <v>42</v>
      </c>
    </row>
    <row r="134" spans="1:17" x14ac:dyDescent="0.35">
      <c r="A134" s="54"/>
      <c r="B134" s="43">
        <v>24109</v>
      </c>
      <c r="C134" s="43" t="s">
        <v>648</v>
      </c>
      <c r="D134" s="58">
        <v>24.99</v>
      </c>
      <c r="E134" s="58">
        <v>17.98</v>
      </c>
      <c r="F134" s="58">
        <v>0</v>
      </c>
      <c r="G134" s="76">
        <v>0</v>
      </c>
      <c r="H134" s="58">
        <v>152.11304347826086</v>
      </c>
      <c r="I134" s="59">
        <v>7</v>
      </c>
      <c r="J134" s="58">
        <v>108.65217391304348</v>
      </c>
      <c r="K134" s="59">
        <v>5</v>
      </c>
      <c r="L134" s="58">
        <v>21.730434782608693</v>
      </c>
      <c r="M134" s="59">
        <v>1</v>
      </c>
      <c r="N134" s="58">
        <v>130.38260869565218</v>
      </c>
      <c r="O134" s="59">
        <v>6</v>
      </c>
      <c r="P134" s="58">
        <v>412.87826086956522</v>
      </c>
      <c r="Q134" s="60">
        <v>19</v>
      </c>
    </row>
    <row r="135" spans="1:17" x14ac:dyDescent="0.35">
      <c r="A135" s="54"/>
      <c r="B135" s="43">
        <v>24286</v>
      </c>
      <c r="C135" s="43" t="s">
        <v>650</v>
      </c>
      <c r="D135" s="72">
        <v>21.99</v>
      </c>
      <c r="E135" s="58">
        <v>15.52</v>
      </c>
      <c r="F135" s="58">
        <v>0</v>
      </c>
      <c r="G135" s="76">
        <v>0</v>
      </c>
      <c r="H135" s="58">
        <v>57.365217391304348</v>
      </c>
      <c r="I135" s="59">
        <v>3</v>
      </c>
      <c r="J135" s="58">
        <v>57.365217391304348</v>
      </c>
      <c r="K135" s="59">
        <v>3</v>
      </c>
      <c r="L135" s="58"/>
      <c r="M135" s="59"/>
      <c r="N135" s="58">
        <v>95.608695652173921</v>
      </c>
      <c r="O135" s="59">
        <v>5</v>
      </c>
      <c r="P135" s="58">
        <v>210.33913043478262</v>
      </c>
      <c r="Q135" s="60">
        <v>11</v>
      </c>
    </row>
    <row r="136" spans="1:17" x14ac:dyDescent="0.35">
      <c r="A136" s="54"/>
      <c r="B136" s="43">
        <v>24291</v>
      </c>
      <c r="C136" s="43" t="s">
        <v>651</v>
      </c>
      <c r="D136" s="72">
        <v>19.989999999999998</v>
      </c>
      <c r="E136" s="58">
        <v>15.3</v>
      </c>
      <c r="F136" s="58">
        <v>0</v>
      </c>
      <c r="G136" s="76">
        <v>0</v>
      </c>
      <c r="H136" s="58">
        <v>59.97</v>
      </c>
      <c r="I136" s="59">
        <v>3</v>
      </c>
      <c r="J136" s="58"/>
      <c r="K136" s="59"/>
      <c r="L136" s="58">
        <v>39.979999999999997</v>
      </c>
      <c r="M136" s="59">
        <v>2</v>
      </c>
      <c r="N136" s="58">
        <v>79.959999999999994</v>
      </c>
      <c r="O136" s="59">
        <v>4</v>
      </c>
      <c r="P136" s="58">
        <v>179.90999999999997</v>
      </c>
      <c r="Q136" s="60">
        <v>9</v>
      </c>
    </row>
    <row r="137" spans="1:17" x14ac:dyDescent="0.35">
      <c r="A137" s="54"/>
      <c r="B137" s="43">
        <v>24298</v>
      </c>
      <c r="C137" s="43" t="s">
        <v>653</v>
      </c>
      <c r="D137" s="72">
        <v>20.99</v>
      </c>
      <c r="E137" s="58">
        <v>15.19</v>
      </c>
      <c r="F137" s="58">
        <v>0</v>
      </c>
      <c r="G137" s="76">
        <v>0</v>
      </c>
      <c r="H137" s="58">
        <v>292.03478260869565</v>
      </c>
      <c r="I137" s="59">
        <v>16</v>
      </c>
      <c r="J137" s="58">
        <v>273.78260869565219</v>
      </c>
      <c r="K137" s="59">
        <v>15</v>
      </c>
      <c r="L137" s="58">
        <v>180.69565217391306</v>
      </c>
      <c r="M137" s="59">
        <v>10</v>
      </c>
      <c r="N137" s="58">
        <v>127.76521739130436</v>
      </c>
      <c r="O137" s="59">
        <v>7</v>
      </c>
      <c r="P137" s="58">
        <v>874.2782608695652</v>
      </c>
      <c r="Q137" s="60">
        <v>48</v>
      </c>
    </row>
    <row r="138" spans="1:17" x14ac:dyDescent="0.35">
      <c r="A138" s="54"/>
      <c r="B138" s="43">
        <v>24303</v>
      </c>
      <c r="C138" s="43" t="s">
        <v>654</v>
      </c>
      <c r="D138" s="58">
        <v>20.99</v>
      </c>
      <c r="E138" s="58">
        <v>16.39</v>
      </c>
      <c r="F138" s="58">
        <v>0</v>
      </c>
      <c r="G138" s="76">
        <v>0</v>
      </c>
      <c r="H138" s="58">
        <v>41.98</v>
      </c>
      <c r="I138" s="59">
        <v>2</v>
      </c>
      <c r="J138" s="58">
        <v>41.98</v>
      </c>
      <c r="K138" s="59">
        <v>2</v>
      </c>
      <c r="L138" s="58">
        <v>40.93</v>
      </c>
      <c r="M138" s="59">
        <v>2</v>
      </c>
      <c r="N138" s="58">
        <v>41.98</v>
      </c>
      <c r="O138" s="59">
        <v>2</v>
      </c>
      <c r="P138" s="58">
        <v>166.86999999999998</v>
      </c>
      <c r="Q138" s="60">
        <v>8</v>
      </c>
    </row>
    <row r="139" spans="1:17" x14ac:dyDescent="0.35">
      <c r="A139" s="54"/>
      <c r="B139" s="43">
        <v>24304</v>
      </c>
      <c r="C139" s="43" t="s">
        <v>655</v>
      </c>
      <c r="D139" s="72">
        <v>13.99</v>
      </c>
      <c r="E139" s="58">
        <v>9.0299999999999994</v>
      </c>
      <c r="F139" s="58">
        <v>0</v>
      </c>
      <c r="G139" s="76">
        <v>0</v>
      </c>
      <c r="H139" s="58"/>
      <c r="I139" s="59"/>
      <c r="J139" s="58">
        <v>12.165217391304347</v>
      </c>
      <c r="K139" s="59">
        <v>1</v>
      </c>
      <c r="L139" s="58">
        <v>23.721739130434784</v>
      </c>
      <c r="M139" s="59">
        <v>2</v>
      </c>
      <c r="N139" s="58">
        <v>12.165217391304347</v>
      </c>
      <c r="O139" s="59">
        <v>1</v>
      </c>
      <c r="P139" s="58">
        <v>48.052173913043475</v>
      </c>
      <c r="Q139" s="60">
        <v>4</v>
      </c>
    </row>
    <row r="140" spans="1:17" x14ac:dyDescent="0.35">
      <c r="A140" s="54"/>
      <c r="B140" s="43">
        <v>24305</v>
      </c>
      <c r="C140" s="43" t="s">
        <v>656</v>
      </c>
      <c r="D140" s="58">
        <v>13.99</v>
      </c>
      <c r="E140" s="58">
        <v>9.0299999999999994</v>
      </c>
      <c r="F140" s="58">
        <v>0</v>
      </c>
      <c r="G140" s="76">
        <v>0</v>
      </c>
      <c r="H140" s="58"/>
      <c r="I140" s="59"/>
      <c r="J140" s="58">
        <v>12.165217391304347</v>
      </c>
      <c r="K140" s="59">
        <v>1</v>
      </c>
      <c r="L140" s="58">
        <v>36.495652173913044</v>
      </c>
      <c r="M140" s="59">
        <v>3</v>
      </c>
      <c r="N140" s="58"/>
      <c r="O140" s="59"/>
      <c r="P140" s="58">
        <v>48.660869565217389</v>
      </c>
      <c r="Q140" s="60">
        <v>4</v>
      </c>
    </row>
    <row r="141" spans="1:17" x14ac:dyDescent="0.35">
      <c r="A141" s="54"/>
      <c r="B141" s="43">
        <v>24306</v>
      </c>
      <c r="C141" s="43" t="s">
        <v>657</v>
      </c>
      <c r="D141" s="58">
        <v>13.99</v>
      </c>
      <c r="E141" s="58">
        <v>9.0299999999999994</v>
      </c>
      <c r="F141" s="58">
        <v>0</v>
      </c>
      <c r="G141" s="76">
        <v>0</v>
      </c>
      <c r="H141" s="58">
        <v>12.165217391304347</v>
      </c>
      <c r="I141" s="59">
        <v>1</v>
      </c>
      <c r="J141" s="58">
        <v>24.330434782608695</v>
      </c>
      <c r="K141" s="59">
        <v>2</v>
      </c>
      <c r="L141" s="58">
        <v>11.556521739130433</v>
      </c>
      <c r="M141" s="59">
        <v>1</v>
      </c>
      <c r="N141" s="58"/>
      <c r="O141" s="59"/>
      <c r="P141" s="58">
        <v>48.052173913043475</v>
      </c>
      <c r="Q141" s="60">
        <v>4</v>
      </c>
    </row>
    <row r="142" spans="1:17" x14ac:dyDescent="0.35">
      <c r="A142" s="54"/>
      <c r="B142" s="43">
        <v>24307</v>
      </c>
      <c r="C142" s="43" t="s">
        <v>658</v>
      </c>
      <c r="D142" s="58">
        <v>13.99</v>
      </c>
      <c r="E142" s="58">
        <v>9.0299999999999994</v>
      </c>
      <c r="F142" s="58">
        <v>0</v>
      </c>
      <c r="G142" s="76">
        <v>0</v>
      </c>
      <c r="H142" s="58"/>
      <c r="I142" s="59"/>
      <c r="J142" s="58">
        <v>12.165217391304347</v>
      </c>
      <c r="K142" s="59">
        <v>1</v>
      </c>
      <c r="L142" s="58"/>
      <c r="M142" s="59"/>
      <c r="N142" s="58"/>
      <c r="O142" s="59"/>
      <c r="P142" s="58">
        <v>12.165217391304347</v>
      </c>
      <c r="Q142" s="60">
        <v>1</v>
      </c>
    </row>
    <row r="143" spans="1:17" x14ac:dyDescent="0.35">
      <c r="A143" s="54"/>
      <c r="B143" s="43">
        <v>24308</v>
      </c>
      <c r="C143" s="43" t="s">
        <v>659</v>
      </c>
      <c r="D143" s="72">
        <v>24.99</v>
      </c>
      <c r="E143" s="58">
        <v>16.059999999999999</v>
      </c>
      <c r="F143" s="58">
        <v>0</v>
      </c>
      <c r="G143" s="76">
        <v>0</v>
      </c>
      <c r="H143" s="58">
        <v>43.460869565217386</v>
      </c>
      <c r="I143" s="59">
        <v>2</v>
      </c>
      <c r="J143" s="58">
        <v>43.460869565217386</v>
      </c>
      <c r="K143" s="59">
        <v>2</v>
      </c>
      <c r="L143" s="58">
        <v>20.643478260869564</v>
      </c>
      <c r="M143" s="59">
        <v>1</v>
      </c>
      <c r="N143" s="58">
        <v>65.19130434782609</v>
      </c>
      <c r="O143" s="59">
        <v>3</v>
      </c>
      <c r="P143" s="58">
        <v>172.75652173913045</v>
      </c>
      <c r="Q143" s="60">
        <v>8</v>
      </c>
    </row>
    <row r="144" spans="1:17" x14ac:dyDescent="0.35">
      <c r="A144" s="54"/>
      <c r="B144" s="43">
        <v>24619</v>
      </c>
      <c r="C144" s="43" t="s">
        <v>660</v>
      </c>
      <c r="D144" s="72">
        <v>21.99</v>
      </c>
      <c r="E144" s="58">
        <v>15.39</v>
      </c>
      <c r="F144" s="58">
        <v>0</v>
      </c>
      <c r="G144" s="76">
        <v>0</v>
      </c>
      <c r="H144" s="58">
        <v>57.365217391304348</v>
      </c>
      <c r="I144" s="59">
        <v>3</v>
      </c>
      <c r="J144" s="58">
        <v>133.85217391304349</v>
      </c>
      <c r="K144" s="59">
        <v>7</v>
      </c>
      <c r="L144" s="58">
        <v>76.486956521739131</v>
      </c>
      <c r="M144" s="59">
        <v>4</v>
      </c>
      <c r="N144" s="58">
        <v>133.85217391304349</v>
      </c>
      <c r="O144" s="59">
        <v>7</v>
      </c>
      <c r="P144" s="58">
        <v>401.55652173913046</v>
      </c>
      <c r="Q144" s="60">
        <v>21</v>
      </c>
    </row>
    <row r="145" spans="1:17" x14ac:dyDescent="0.35">
      <c r="A145" s="54"/>
      <c r="B145" s="43">
        <v>24620</v>
      </c>
      <c r="C145" s="43" t="s">
        <v>661</v>
      </c>
      <c r="D145" s="72">
        <v>18.989999999999998</v>
      </c>
      <c r="E145" s="58">
        <v>15.7</v>
      </c>
      <c r="F145" s="58">
        <v>0</v>
      </c>
      <c r="G145" s="76">
        <v>0</v>
      </c>
      <c r="H145" s="58">
        <v>75.959999999999994</v>
      </c>
      <c r="I145" s="59">
        <v>4</v>
      </c>
      <c r="J145" s="58">
        <v>94.95</v>
      </c>
      <c r="K145" s="59">
        <v>5</v>
      </c>
      <c r="L145" s="58">
        <v>149.07</v>
      </c>
      <c r="M145" s="59">
        <v>8</v>
      </c>
      <c r="N145" s="58">
        <v>56.97</v>
      </c>
      <c r="O145" s="59">
        <v>3</v>
      </c>
      <c r="P145" s="58">
        <v>376.95000000000005</v>
      </c>
      <c r="Q145" s="60">
        <v>20</v>
      </c>
    </row>
    <row r="146" spans="1:17" x14ac:dyDescent="0.35">
      <c r="A146" s="54"/>
      <c r="B146" s="43">
        <v>24621</v>
      </c>
      <c r="C146" s="43" t="s">
        <v>662</v>
      </c>
      <c r="D146" s="72">
        <v>25.99</v>
      </c>
      <c r="E146" s="58">
        <v>19.2</v>
      </c>
      <c r="F146" s="58">
        <v>0</v>
      </c>
      <c r="G146" s="76">
        <v>0</v>
      </c>
      <c r="H146" s="58">
        <v>155.94</v>
      </c>
      <c r="I146" s="59">
        <v>6</v>
      </c>
      <c r="J146" s="58"/>
      <c r="K146" s="59"/>
      <c r="L146" s="58"/>
      <c r="M146" s="59"/>
      <c r="N146" s="58">
        <v>51.98</v>
      </c>
      <c r="O146" s="59">
        <v>2</v>
      </c>
      <c r="P146" s="58">
        <v>207.92</v>
      </c>
      <c r="Q146" s="60">
        <v>8</v>
      </c>
    </row>
    <row r="147" spans="1:17" x14ac:dyDescent="0.35">
      <c r="A147" s="54"/>
      <c r="B147" s="43">
        <v>24626</v>
      </c>
      <c r="C147" s="43" t="s">
        <v>663</v>
      </c>
      <c r="D147" s="58">
        <v>25.99</v>
      </c>
      <c r="E147" s="58">
        <v>16.350000000000001</v>
      </c>
      <c r="F147" s="58">
        <v>0</v>
      </c>
      <c r="G147" s="76">
        <v>0</v>
      </c>
      <c r="H147" s="58">
        <v>67.8</v>
      </c>
      <c r="I147" s="59">
        <v>3</v>
      </c>
      <c r="J147" s="58">
        <v>45.199999999999996</v>
      </c>
      <c r="K147" s="59">
        <v>2</v>
      </c>
      <c r="L147" s="58">
        <v>154.80869565217392</v>
      </c>
      <c r="M147" s="59">
        <v>7</v>
      </c>
      <c r="N147" s="58">
        <v>158.20000000000002</v>
      </c>
      <c r="O147" s="59">
        <v>7</v>
      </c>
      <c r="P147" s="58">
        <v>426.00869565217397</v>
      </c>
      <c r="Q147" s="60">
        <v>19</v>
      </c>
    </row>
    <row r="148" spans="1:17" x14ac:dyDescent="0.35">
      <c r="A148" s="54"/>
      <c r="B148" s="43">
        <v>24631</v>
      </c>
      <c r="C148" s="43" t="s">
        <v>664</v>
      </c>
      <c r="D148" s="72">
        <v>23.99</v>
      </c>
      <c r="E148" s="58">
        <v>18.8</v>
      </c>
      <c r="F148" s="58">
        <v>0</v>
      </c>
      <c r="G148" s="76">
        <v>0</v>
      </c>
      <c r="H148" s="58">
        <v>167.93</v>
      </c>
      <c r="I148" s="59">
        <v>7</v>
      </c>
      <c r="J148" s="58">
        <v>47.98</v>
      </c>
      <c r="K148" s="59">
        <v>2</v>
      </c>
      <c r="L148" s="58">
        <v>70.77</v>
      </c>
      <c r="M148" s="59">
        <v>3</v>
      </c>
      <c r="N148" s="58">
        <v>119.95</v>
      </c>
      <c r="O148" s="59">
        <v>5</v>
      </c>
      <c r="P148" s="58">
        <v>406.63</v>
      </c>
      <c r="Q148" s="60">
        <v>17</v>
      </c>
    </row>
    <row r="149" spans="1:17" x14ac:dyDescent="0.35">
      <c r="A149" s="54"/>
      <c r="B149" s="43">
        <v>24633</v>
      </c>
      <c r="C149" s="43" t="s">
        <v>665</v>
      </c>
      <c r="D149" s="72">
        <v>25.99</v>
      </c>
      <c r="E149" s="58">
        <v>17.57</v>
      </c>
      <c r="F149" s="58">
        <v>0</v>
      </c>
      <c r="G149" s="76">
        <v>0</v>
      </c>
      <c r="H149" s="58">
        <v>45.199999999999996</v>
      </c>
      <c r="I149" s="59">
        <v>2</v>
      </c>
      <c r="J149" s="58">
        <v>67.8</v>
      </c>
      <c r="K149" s="59">
        <v>3</v>
      </c>
      <c r="L149" s="58">
        <v>21.469565217391306</v>
      </c>
      <c r="M149" s="59">
        <v>1</v>
      </c>
      <c r="N149" s="58"/>
      <c r="O149" s="59"/>
      <c r="P149" s="58">
        <v>134.46956521739131</v>
      </c>
      <c r="Q149" s="60">
        <v>6</v>
      </c>
    </row>
    <row r="150" spans="1:17" x14ac:dyDescent="0.35">
      <c r="A150" s="54"/>
      <c r="B150" s="43">
        <v>24634</v>
      </c>
      <c r="C150" s="43" t="s">
        <v>666</v>
      </c>
      <c r="D150" s="72">
        <v>18.989999999999998</v>
      </c>
      <c r="E150" s="58">
        <v>14.5</v>
      </c>
      <c r="F150" s="58">
        <v>0</v>
      </c>
      <c r="G150" s="76">
        <v>0</v>
      </c>
      <c r="H150" s="58">
        <v>75.959999999999994</v>
      </c>
      <c r="I150" s="59">
        <v>4</v>
      </c>
      <c r="J150" s="58">
        <v>132.93</v>
      </c>
      <c r="K150" s="59">
        <v>7</v>
      </c>
      <c r="L150" s="58">
        <v>56.02</v>
      </c>
      <c r="M150" s="59">
        <v>3</v>
      </c>
      <c r="N150" s="58">
        <v>37.979999999999997</v>
      </c>
      <c r="O150" s="59">
        <v>2</v>
      </c>
      <c r="P150" s="58">
        <v>302.89</v>
      </c>
      <c r="Q150" s="60">
        <v>16</v>
      </c>
    </row>
    <row r="151" spans="1:17" x14ac:dyDescent="0.35">
      <c r="A151" s="54"/>
      <c r="B151" s="43">
        <v>24635</v>
      </c>
      <c r="C151" s="43" t="s">
        <v>667</v>
      </c>
      <c r="D151" s="72">
        <v>19.989999999999998</v>
      </c>
      <c r="E151" s="58">
        <v>14.35</v>
      </c>
      <c r="F151" s="58">
        <v>0</v>
      </c>
      <c r="G151" s="76">
        <v>0</v>
      </c>
      <c r="H151" s="58">
        <v>139.06086956521739</v>
      </c>
      <c r="I151" s="59">
        <v>8</v>
      </c>
      <c r="J151" s="58">
        <v>260.73913043478262</v>
      </c>
      <c r="K151" s="59">
        <v>15</v>
      </c>
      <c r="L151" s="58">
        <v>172.95652173913044</v>
      </c>
      <c r="M151" s="59">
        <v>10</v>
      </c>
      <c r="N151" s="58">
        <v>104.29565217391304</v>
      </c>
      <c r="O151" s="59">
        <v>6</v>
      </c>
      <c r="P151" s="58">
        <v>677.05217391304348</v>
      </c>
      <c r="Q151" s="60">
        <v>39</v>
      </c>
    </row>
    <row r="152" spans="1:17" x14ac:dyDescent="0.35">
      <c r="A152" s="54"/>
      <c r="B152" s="43">
        <v>24636</v>
      </c>
      <c r="C152" s="43" t="s">
        <v>668</v>
      </c>
      <c r="D152" s="72">
        <v>25.99</v>
      </c>
      <c r="E152" s="58">
        <v>16.36</v>
      </c>
      <c r="F152" s="58">
        <v>0</v>
      </c>
      <c r="G152" s="76">
        <v>0</v>
      </c>
      <c r="H152" s="58"/>
      <c r="I152" s="59"/>
      <c r="J152" s="58"/>
      <c r="K152" s="59"/>
      <c r="L152" s="58">
        <v>45.199999999999996</v>
      </c>
      <c r="M152" s="59">
        <v>2</v>
      </c>
      <c r="N152" s="58"/>
      <c r="O152" s="59"/>
      <c r="P152" s="58">
        <v>45.199999999999996</v>
      </c>
      <c r="Q152" s="60">
        <v>2</v>
      </c>
    </row>
    <row r="153" spans="1:17" x14ac:dyDescent="0.35">
      <c r="A153" s="54"/>
      <c r="B153" s="43">
        <v>24639</v>
      </c>
      <c r="C153" s="43" t="s">
        <v>670</v>
      </c>
      <c r="D153" s="58">
        <v>25.99</v>
      </c>
      <c r="E153" s="58">
        <v>16.36</v>
      </c>
      <c r="F153" s="58">
        <v>0</v>
      </c>
      <c r="G153" s="76">
        <v>0</v>
      </c>
      <c r="H153" s="58">
        <v>22.599999999999998</v>
      </c>
      <c r="I153" s="59">
        <v>1</v>
      </c>
      <c r="J153" s="58"/>
      <c r="K153" s="59"/>
      <c r="L153" s="58"/>
      <c r="M153" s="59"/>
      <c r="N153" s="58"/>
      <c r="O153" s="59"/>
      <c r="P153" s="58">
        <v>22.599999999999998</v>
      </c>
      <c r="Q153" s="60">
        <v>1</v>
      </c>
    </row>
    <row r="154" spans="1:17" x14ac:dyDescent="0.35">
      <c r="A154" s="54"/>
      <c r="B154" s="43">
        <v>24652</v>
      </c>
      <c r="C154" s="43" t="s">
        <v>671</v>
      </c>
      <c r="D154" s="72">
        <v>22.99</v>
      </c>
      <c r="E154" s="58">
        <v>14.35</v>
      </c>
      <c r="F154" s="58">
        <v>0</v>
      </c>
      <c r="G154" s="76">
        <v>0</v>
      </c>
      <c r="H154" s="58">
        <v>279.87826086956522</v>
      </c>
      <c r="I154" s="59">
        <v>14</v>
      </c>
      <c r="J154" s="58">
        <v>259.88695652173914</v>
      </c>
      <c r="K154" s="59">
        <v>13</v>
      </c>
      <c r="L154" s="58">
        <v>197.91304347826087</v>
      </c>
      <c r="M154" s="59">
        <v>10</v>
      </c>
      <c r="N154" s="58">
        <v>59.973913043478262</v>
      </c>
      <c r="O154" s="59">
        <v>3</v>
      </c>
      <c r="P154" s="58">
        <v>797.6521739130435</v>
      </c>
      <c r="Q154" s="60">
        <v>40</v>
      </c>
    </row>
    <row r="155" spans="1:17" x14ac:dyDescent="0.35">
      <c r="A155" s="54"/>
      <c r="B155" s="43">
        <v>24653</v>
      </c>
      <c r="C155" s="43" t="s">
        <v>672</v>
      </c>
      <c r="D155" s="72">
        <v>18.989999999999998</v>
      </c>
      <c r="E155" s="58">
        <v>14.5</v>
      </c>
      <c r="F155" s="58">
        <v>0</v>
      </c>
      <c r="G155" s="76">
        <v>0</v>
      </c>
      <c r="H155" s="58">
        <v>37.979999999999997</v>
      </c>
      <c r="I155" s="59">
        <v>2</v>
      </c>
      <c r="J155" s="58">
        <v>37.979999999999997</v>
      </c>
      <c r="K155" s="59">
        <v>2</v>
      </c>
      <c r="L155" s="58">
        <v>18.04</v>
      </c>
      <c r="M155" s="59">
        <v>1</v>
      </c>
      <c r="N155" s="58">
        <v>18.989999999999998</v>
      </c>
      <c r="O155" s="59">
        <v>1</v>
      </c>
      <c r="P155" s="58">
        <v>112.99</v>
      </c>
      <c r="Q155" s="60">
        <v>6</v>
      </c>
    </row>
    <row r="156" spans="1:17" x14ac:dyDescent="0.35">
      <c r="A156" s="54"/>
      <c r="B156" s="43">
        <v>34727</v>
      </c>
      <c r="C156" s="43" t="s">
        <v>675</v>
      </c>
      <c r="D156" s="72">
        <v>30.49</v>
      </c>
      <c r="E156" s="58">
        <v>23.32</v>
      </c>
      <c r="F156" s="58">
        <v>0</v>
      </c>
      <c r="G156" s="76">
        <v>0</v>
      </c>
      <c r="H156" s="58">
        <v>91.47</v>
      </c>
      <c r="I156" s="59">
        <v>3</v>
      </c>
      <c r="J156" s="58">
        <v>182.94</v>
      </c>
      <c r="K156" s="59">
        <v>6</v>
      </c>
      <c r="L156" s="58">
        <v>60.98</v>
      </c>
      <c r="M156" s="59">
        <v>2</v>
      </c>
      <c r="N156" s="58">
        <v>121.96</v>
      </c>
      <c r="O156" s="59">
        <v>4</v>
      </c>
      <c r="P156" s="58">
        <v>457.34999999999997</v>
      </c>
      <c r="Q156" s="60">
        <v>15</v>
      </c>
    </row>
    <row r="157" spans="1:17" x14ac:dyDescent="0.35">
      <c r="A157" s="54"/>
      <c r="B157" s="43">
        <v>58843</v>
      </c>
      <c r="C157" s="43" t="s">
        <v>511</v>
      </c>
      <c r="D157" s="72">
        <v>24.99</v>
      </c>
      <c r="E157" s="58">
        <v>15.529409999999999</v>
      </c>
      <c r="F157" s="58">
        <v>0</v>
      </c>
      <c r="G157" s="76">
        <v>0</v>
      </c>
      <c r="H157" s="58">
        <v>65.19130434782609</v>
      </c>
      <c r="I157" s="59">
        <v>3</v>
      </c>
      <c r="J157" s="58">
        <v>369.41739130434786</v>
      </c>
      <c r="K157" s="59">
        <v>17</v>
      </c>
      <c r="L157" s="58">
        <v>173.84347826086957</v>
      </c>
      <c r="M157" s="59">
        <v>8</v>
      </c>
      <c r="N157" s="58">
        <v>733.4</v>
      </c>
      <c r="O157" s="59">
        <v>35</v>
      </c>
      <c r="P157" s="58">
        <v>1341.8521739130433</v>
      </c>
      <c r="Q157" s="60">
        <v>63</v>
      </c>
    </row>
    <row r="158" spans="1:17" x14ac:dyDescent="0.35">
      <c r="A158" s="43">
        <v>106</v>
      </c>
      <c r="B158" s="43">
        <v>14582</v>
      </c>
      <c r="C158" s="43" t="s">
        <v>482</v>
      </c>
      <c r="D158" s="72">
        <v>22.99</v>
      </c>
      <c r="E158" s="58">
        <v>13.88095</v>
      </c>
      <c r="F158" s="58">
        <v>0</v>
      </c>
      <c r="G158" s="76">
        <v>0</v>
      </c>
      <c r="H158" s="58"/>
      <c r="I158" s="59"/>
      <c r="J158" s="58"/>
      <c r="K158" s="59"/>
      <c r="L158" s="58"/>
      <c r="M158" s="59"/>
      <c r="N158" s="58">
        <v>19.991304347826087</v>
      </c>
      <c r="O158" s="59">
        <v>1</v>
      </c>
      <c r="P158" s="58">
        <v>19.991304347826087</v>
      </c>
      <c r="Q158" s="60">
        <v>1</v>
      </c>
    </row>
    <row r="159" spans="1:17" x14ac:dyDescent="0.35">
      <c r="A159" s="54"/>
      <c r="B159" s="43">
        <v>14712</v>
      </c>
      <c r="C159" s="43" t="s">
        <v>483</v>
      </c>
      <c r="D159" s="72">
        <v>51.99</v>
      </c>
      <c r="E159" s="58">
        <v>32.214849999999998</v>
      </c>
      <c r="F159" s="58">
        <v>0</v>
      </c>
      <c r="G159" s="76">
        <v>0</v>
      </c>
      <c r="H159" s="58">
        <v>90.417391304347831</v>
      </c>
      <c r="I159" s="59">
        <v>2</v>
      </c>
      <c r="J159" s="58"/>
      <c r="K159" s="59"/>
      <c r="L159" s="58"/>
      <c r="M159" s="59"/>
      <c r="N159" s="58"/>
      <c r="O159" s="59"/>
      <c r="P159" s="58">
        <v>90.417391304347831</v>
      </c>
      <c r="Q159" s="60">
        <v>2</v>
      </c>
    </row>
    <row r="160" spans="1:17" x14ac:dyDescent="0.35">
      <c r="A160" s="54"/>
      <c r="B160" s="43">
        <v>14713</v>
      </c>
      <c r="C160" s="43" t="s">
        <v>484</v>
      </c>
      <c r="D160" s="72">
        <v>39.99</v>
      </c>
      <c r="E160" s="58">
        <v>25.062649999999998</v>
      </c>
      <c r="F160" s="58">
        <v>0</v>
      </c>
      <c r="G160" s="76">
        <v>0</v>
      </c>
      <c r="H160" s="58">
        <v>34.77391304347826</v>
      </c>
      <c r="I160" s="59">
        <v>1</v>
      </c>
      <c r="J160" s="58">
        <v>173.86956521739128</v>
      </c>
      <c r="K160" s="59">
        <v>5</v>
      </c>
      <c r="L160" s="58">
        <v>34.77391304347826</v>
      </c>
      <c r="M160" s="59">
        <v>1</v>
      </c>
      <c r="N160" s="58">
        <v>34.77391304347826</v>
      </c>
      <c r="O160" s="59">
        <v>1</v>
      </c>
      <c r="P160" s="58">
        <v>278.19130434782608</v>
      </c>
      <c r="Q160" s="60">
        <v>8</v>
      </c>
    </row>
    <row r="161" spans="1:17" x14ac:dyDescent="0.35">
      <c r="A161" s="54"/>
      <c r="B161" s="43">
        <v>14714</v>
      </c>
      <c r="C161" s="43" t="s">
        <v>485</v>
      </c>
      <c r="D161" s="72">
        <v>43.99</v>
      </c>
      <c r="E161" s="58">
        <v>27.177240000000001</v>
      </c>
      <c r="F161" s="58">
        <v>0</v>
      </c>
      <c r="G161" s="76">
        <v>0</v>
      </c>
      <c r="H161" s="58">
        <v>38.252173913043478</v>
      </c>
      <c r="I161" s="59">
        <v>1</v>
      </c>
      <c r="J161" s="58"/>
      <c r="K161" s="59"/>
      <c r="L161" s="58"/>
      <c r="M161" s="59"/>
      <c r="N161" s="58"/>
      <c r="O161" s="59"/>
      <c r="P161" s="58">
        <v>38.252173913043478</v>
      </c>
      <c r="Q161" s="60">
        <v>1</v>
      </c>
    </row>
    <row r="162" spans="1:17" x14ac:dyDescent="0.35">
      <c r="A162" s="54"/>
      <c r="B162" s="43">
        <v>14716</v>
      </c>
      <c r="C162" s="43" t="s">
        <v>487</v>
      </c>
      <c r="D162" s="58">
        <v>43.99</v>
      </c>
      <c r="E162" s="58">
        <v>27.177240000000001</v>
      </c>
      <c r="F162" s="58">
        <v>0</v>
      </c>
      <c r="G162" s="76">
        <v>0</v>
      </c>
      <c r="H162" s="58">
        <v>114.75652173913043</v>
      </c>
      <c r="I162" s="59">
        <v>3</v>
      </c>
      <c r="J162" s="58"/>
      <c r="K162" s="59"/>
      <c r="L162" s="58"/>
      <c r="M162" s="59"/>
      <c r="N162" s="58">
        <v>76.504347826086956</v>
      </c>
      <c r="O162" s="59">
        <v>2</v>
      </c>
      <c r="P162" s="58">
        <v>191.26086956521738</v>
      </c>
      <c r="Q162" s="60">
        <v>5</v>
      </c>
    </row>
    <row r="163" spans="1:17" x14ac:dyDescent="0.35">
      <c r="A163" s="54"/>
      <c r="B163" s="43">
        <v>14721</v>
      </c>
      <c r="C163" s="43" t="s">
        <v>492</v>
      </c>
      <c r="D163" s="72">
        <v>42.99</v>
      </c>
      <c r="E163" s="58">
        <v>26.658679999999997</v>
      </c>
      <c r="F163" s="58">
        <v>0</v>
      </c>
      <c r="G163" s="76">
        <v>0</v>
      </c>
      <c r="H163" s="58">
        <v>37.382608695652173</v>
      </c>
      <c r="I163" s="59">
        <v>1</v>
      </c>
      <c r="J163" s="58"/>
      <c r="K163" s="59"/>
      <c r="L163" s="58"/>
      <c r="M163" s="59"/>
      <c r="N163" s="58"/>
      <c r="O163" s="59"/>
      <c r="P163" s="58">
        <v>37.382608695652173</v>
      </c>
      <c r="Q163" s="60">
        <v>1</v>
      </c>
    </row>
    <row r="164" spans="1:17" x14ac:dyDescent="0.35">
      <c r="A164" s="54"/>
      <c r="B164" s="43">
        <v>14723</v>
      </c>
      <c r="C164" s="43" t="s">
        <v>494</v>
      </c>
      <c r="D164" s="72">
        <v>57.99</v>
      </c>
      <c r="E164" s="58">
        <v>36.126940000000005</v>
      </c>
      <c r="F164" s="58">
        <v>0</v>
      </c>
      <c r="G164" s="76">
        <v>0</v>
      </c>
      <c r="H164" s="58"/>
      <c r="I164" s="59"/>
      <c r="J164" s="58">
        <v>50.426086956521743</v>
      </c>
      <c r="K164" s="59">
        <v>1</v>
      </c>
      <c r="L164" s="58"/>
      <c r="M164" s="59"/>
      <c r="N164" s="58"/>
      <c r="O164" s="59"/>
      <c r="P164" s="58">
        <v>50.426086956521743</v>
      </c>
      <c r="Q164" s="60">
        <v>1</v>
      </c>
    </row>
    <row r="165" spans="1:17" x14ac:dyDescent="0.35">
      <c r="A165" s="54"/>
      <c r="B165" s="43">
        <v>14728</v>
      </c>
      <c r="C165" s="43" t="s">
        <v>497</v>
      </c>
      <c r="D165" s="72">
        <v>51.99</v>
      </c>
      <c r="E165" s="58">
        <v>32.159280000000003</v>
      </c>
      <c r="F165" s="58">
        <v>0</v>
      </c>
      <c r="G165" s="76">
        <v>0</v>
      </c>
      <c r="H165" s="58">
        <v>180.83478260869566</v>
      </c>
      <c r="I165" s="59">
        <v>4</v>
      </c>
      <c r="J165" s="58"/>
      <c r="K165" s="59"/>
      <c r="L165" s="58"/>
      <c r="M165" s="59"/>
      <c r="N165" s="58"/>
      <c r="O165" s="59"/>
      <c r="P165" s="58">
        <v>180.83478260869566</v>
      </c>
      <c r="Q165" s="60">
        <v>4</v>
      </c>
    </row>
    <row r="166" spans="1:17" x14ac:dyDescent="0.35">
      <c r="A166" s="54"/>
      <c r="B166" s="43">
        <v>14984</v>
      </c>
      <c r="C166" s="43" t="s">
        <v>531</v>
      </c>
      <c r="D166" s="72">
        <v>38.99</v>
      </c>
      <c r="E166" s="58">
        <v>24.260149999999999</v>
      </c>
      <c r="F166" s="58">
        <v>0</v>
      </c>
      <c r="G166" s="76">
        <v>0</v>
      </c>
      <c r="H166" s="58">
        <v>33.904347826086962</v>
      </c>
      <c r="I166" s="59">
        <v>1</v>
      </c>
      <c r="J166" s="58"/>
      <c r="K166" s="59"/>
      <c r="L166" s="58"/>
      <c r="M166" s="59"/>
      <c r="N166" s="58"/>
      <c r="O166" s="59"/>
      <c r="P166" s="58">
        <v>33.904347826086962</v>
      </c>
      <c r="Q166" s="60">
        <v>1</v>
      </c>
    </row>
    <row r="167" spans="1:17" x14ac:dyDescent="0.35">
      <c r="A167" s="54"/>
      <c r="B167" s="43">
        <v>15780</v>
      </c>
      <c r="C167" s="43" t="s">
        <v>581</v>
      </c>
      <c r="D167" s="72">
        <v>59.99</v>
      </c>
      <c r="E167" s="58">
        <v>36.994506250000001</v>
      </c>
      <c r="F167" s="58">
        <v>0</v>
      </c>
      <c r="G167" s="76">
        <v>0</v>
      </c>
      <c r="H167" s="58">
        <v>52.165217391304353</v>
      </c>
      <c r="I167" s="59">
        <v>1</v>
      </c>
      <c r="J167" s="58">
        <v>104.33043478260871</v>
      </c>
      <c r="K167" s="59">
        <v>2</v>
      </c>
      <c r="L167" s="58"/>
      <c r="M167" s="59"/>
      <c r="N167" s="58">
        <v>156.49565217391304</v>
      </c>
      <c r="O167" s="59">
        <v>3</v>
      </c>
      <c r="P167" s="58">
        <v>312.99130434782614</v>
      </c>
      <c r="Q167" s="60">
        <v>6</v>
      </c>
    </row>
    <row r="168" spans="1:17" x14ac:dyDescent="0.35">
      <c r="A168" s="54"/>
      <c r="B168" s="43">
        <v>15822</v>
      </c>
      <c r="C168" s="43" t="s">
        <v>585</v>
      </c>
      <c r="D168" s="58">
        <v>59.99</v>
      </c>
      <c r="E168" s="58">
        <v>36.994506250000001</v>
      </c>
      <c r="F168" s="58">
        <v>0</v>
      </c>
      <c r="G168" s="76">
        <v>0</v>
      </c>
      <c r="H168" s="58">
        <v>52.165217391304353</v>
      </c>
      <c r="I168" s="59">
        <v>1</v>
      </c>
      <c r="J168" s="58"/>
      <c r="K168" s="59"/>
      <c r="L168" s="58"/>
      <c r="M168" s="59"/>
      <c r="N168" s="58"/>
      <c r="O168" s="59"/>
      <c r="P168" s="58">
        <v>52.165217391304353</v>
      </c>
      <c r="Q168" s="60">
        <v>1</v>
      </c>
    </row>
    <row r="169" spans="1:17" x14ac:dyDescent="0.35">
      <c r="A169" s="54"/>
      <c r="B169" s="43">
        <v>34027</v>
      </c>
      <c r="C169" s="43" t="s">
        <v>245</v>
      </c>
      <c r="D169" s="72">
        <v>27.99</v>
      </c>
      <c r="E169" s="58">
        <v>15.41</v>
      </c>
      <c r="F169" s="58">
        <v>0</v>
      </c>
      <c r="G169" s="76">
        <v>0</v>
      </c>
      <c r="H169" s="58"/>
      <c r="I169" s="59"/>
      <c r="J169" s="58"/>
      <c r="K169" s="59"/>
      <c r="L169" s="58">
        <v>24.339130434782607</v>
      </c>
      <c r="M169" s="59">
        <v>1</v>
      </c>
      <c r="N169" s="58">
        <v>48.678260869565214</v>
      </c>
      <c r="O169" s="59">
        <v>2</v>
      </c>
      <c r="P169" s="58">
        <v>73.017391304347825</v>
      </c>
      <c r="Q169" s="60">
        <v>3</v>
      </c>
    </row>
    <row r="170" spans="1:17" x14ac:dyDescent="0.35">
      <c r="A170" s="54"/>
      <c r="B170" s="43">
        <v>46182</v>
      </c>
      <c r="C170" s="43" t="s">
        <v>797</v>
      </c>
      <c r="D170" s="72">
        <v>59.99</v>
      </c>
      <c r="E170" s="58">
        <v>36.994506250000001</v>
      </c>
      <c r="F170" s="58">
        <v>0</v>
      </c>
      <c r="G170" s="76">
        <v>0</v>
      </c>
      <c r="H170" s="58">
        <v>52.165217391304353</v>
      </c>
      <c r="I170" s="59">
        <v>1</v>
      </c>
      <c r="J170" s="58">
        <v>104.33043478260871</v>
      </c>
      <c r="K170" s="59">
        <v>2</v>
      </c>
      <c r="L170" s="58">
        <v>101.72173913043478</v>
      </c>
      <c r="M170" s="59">
        <v>2</v>
      </c>
      <c r="N170" s="58"/>
      <c r="O170" s="59"/>
      <c r="P170" s="58">
        <v>258.21739130434787</v>
      </c>
      <c r="Q170" s="60">
        <v>5</v>
      </c>
    </row>
    <row r="171" spans="1:17" x14ac:dyDescent="0.35">
      <c r="A171" s="54"/>
      <c r="B171" s="43">
        <v>54018</v>
      </c>
      <c r="C171" s="43" t="s">
        <v>243</v>
      </c>
      <c r="D171" s="72">
        <v>18.989999999999998</v>
      </c>
      <c r="E171" s="58">
        <v>9.83</v>
      </c>
      <c r="F171" s="58">
        <v>1766.07</v>
      </c>
      <c r="G171" s="76">
        <v>93</v>
      </c>
      <c r="H171" s="58">
        <v>132.10434782608695</v>
      </c>
      <c r="I171" s="59">
        <v>8</v>
      </c>
      <c r="J171" s="58">
        <v>49.539130434782606</v>
      </c>
      <c r="K171" s="59">
        <v>3</v>
      </c>
      <c r="L171" s="58">
        <v>99.078260869565213</v>
      </c>
      <c r="M171" s="59">
        <v>6</v>
      </c>
      <c r="N171" s="58">
        <v>198.15652173913043</v>
      </c>
      <c r="O171" s="59">
        <v>12</v>
      </c>
      <c r="P171" s="58">
        <v>478.87826086956522</v>
      </c>
      <c r="Q171" s="60">
        <v>29</v>
      </c>
    </row>
    <row r="172" spans="1:17" x14ac:dyDescent="0.35">
      <c r="A172" s="43">
        <v>107</v>
      </c>
      <c r="B172" s="43">
        <v>14936</v>
      </c>
      <c r="C172" s="43" t="s">
        <v>508</v>
      </c>
      <c r="D172" s="72">
        <v>44.99</v>
      </c>
      <c r="E172" s="58">
        <v>27.607716666666665</v>
      </c>
      <c r="F172" s="58">
        <v>0</v>
      </c>
      <c r="G172" s="76">
        <v>0</v>
      </c>
      <c r="H172" s="58"/>
      <c r="I172" s="59"/>
      <c r="J172" s="58"/>
      <c r="K172" s="59"/>
      <c r="L172" s="58">
        <v>37.165217391304353</v>
      </c>
      <c r="M172" s="59">
        <v>1</v>
      </c>
      <c r="N172" s="58">
        <v>39.121739130434783</v>
      </c>
      <c r="O172" s="59">
        <v>1</v>
      </c>
      <c r="P172" s="58">
        <v>76.286956521739143</v>
      </c>
      <c r="Q172" s="60">
        <v>2</v>
      </c>
    </row>
    <row r="173" spans="1:17" x14ac:dyDescent="0.35">
      <c r="A173" s="54"/>
      <c r="B173" s="43">
        <v>14970</v>
      </c>
      <c r="C173" s="43" t="s">
        <v>529</v>
      </c>
      <c r="D173" s="72">
        <v>19.989999999999998</v>
      </c>
      <c r="E173" s="58">
        <v>12.326425</v>
      </c>
      <c r="F173" s="58">
        <v>0</v>
      </c>
      <c r="G173" s="76">
        <v>0</v>
      </c>
      <c r="H173" s="58"/>
      <c r="I173" s="59"/>
      <c r="J173" s="58"/>
      <c r="K173" s="59"/>
      <c r="L173" s="58">
        <v>34.765217391304347</v>
      </c>
      <c r="M173" s="59">
        <v>2</v>
      </c>
      <c r="N173" s="58">
        <v>34.765217391304347</v>
      </c>
      <c r="O173" s="59">
        <v>2</v>
      </c>
      <c r="P173" s="58">
        <v>69.530434782608694</v>
      </c>
      <c r="Q173" s="60">
        <v>4</v>
      </c>
    </row>
    <row r="174" spans="1:17" x14ac:dyDescent="0.35">
      <c r="A174" s="54"/>
      <c r="B174" s="43">
        <v>15080</v>
      </c>
      <c r="C174" s="43" t="s">
        <v>537</v>
      </c>
      <c r="D174" s="72">
        <v>117.99</v>
      </c>
      <c r="E174" s="58">
        <v>73.990016666666662</v>
      </c>
      <c r="F174" s="58">
        <v>0</v>
      </c>
      <c r="G174" s="76">
        <v>0</v>
      </c>
      <c r="H174" s="58"/>
      <c r="I174" s="59"/>
      <c r="J174" s="58">
        <v>102.6</v>
      </c>
      <c r="K174" s="59">
        <v>1</v>
      </c>
      <c r="L174" s="58"/>
      <c r="M174" s="59"/>
      <c r="N174" s="58"/>
      <c r="O174" s="59"/>
      <c r="P174" s="58">
        <v>102.6</v>
      </c>
      <c r="Q174" s="60">
        <v>1</v>
      </c>
    </row>
    <row r="175" spans="1:17" x14ac:dyDescent="0.35">
      <c r="A175" s="54"/>
      <c r="B175" s="43">
        <v>15097</v>
      </c>
      <c r="C175" s="43" t="s">
        <v>541</v>
      </c>
      <c r="D175" s="72">
        <v>45.99</v>
      </c>
      <c r="E175" s="58">
        <v>28.530116666666668</v>
      </c>
      <c r="F175" s="58">
        <v>0</v>
      </c>
      <c r="G175" s="76">
        <v>0</v>
      </c>
      <c r="H175" s="58"/>
      <c r="I175" s="59"/>
      <c r="J175" s="58"/>
      <c r="K175" s="59"/>
      <c r="L175" s="58"/>
      <c r="M175" s="59"/>
      <c r="N175" s="58">
        <v>79.982608695652175</v>
      </c>
      <c r="O175" s="59">
        <v>2</v>
      </c>
      <c r="P175" s="58">
        <v>79.982608695652175</v>
      </c>
      <c r="Q175" s="60">
        <v>2</v>
      </c>
    </row>
    <row r="176" spans="1:17" x14ac:dyDescent="0.35">
      <c r="A176" s="54"/>
      <c r="B176" s="43">
        <v>15283</v>
      </c>
      <c r="C176" s="43" t="s">
        <v>563</v>
      </c>
      <c r="D176" s="72">
        <v>71.989999999999995</v>
      </c>
      <c r="E176" s="58">
        <v>44.50665</v>
      </c>
      <c r="F176" s="58">
        <v>0</v>
      </c>
      <c r="G176" s="76">
        <v>0</v>
      </c>
      <c r="H176" s="58"/>
      <c r="I176" s="59"/>
      <c r="J176" s="58"/>
      <c r="K176" s="59"/>
      <c r="L176" s="58">
        <v>62.599999999999994</v>
      </c>
      <c r="M176" s="59">
        <v>1</v>
      </c>
      <c r="N176" s="58"/>
      <c r="O176" s="59"/>
      <c r="P176" s="58">
        <v>62.599999999999994</v>
      </c>
      <c r="Q176" s="60">
        <v>1</v>
      </c>
    </row>
    <row r="177" spans="1:17" x14ac:dyDescent="0.35">
      <c r="A177" s="54"/>
      <c r="B177" s="43">
        <v>15285</v>
      </c>
      <c r="C177" s="43" t="s">
        <v>565</v>
      </c>
      <c r="D177" s="58">
        <v>71.989999999999995</v>
      </c>
      <c r="E177" s="58">
        <v>44.50665</v>
      </c>
      <c r="F177" s="58">
        <v>0</v>
      </c>
      <c r="G177" s="76">
        <v>0</v>
      </c>
      <c r="H177" s="58"/>
      <c r="I177" s="59"/>
      <c r="J177" s="58"/>
      <c r="K177" s="59"/>
      <c r="L177" s="58">
        <v>62.599999999999994</v>
      </c>
      <c r="M177" s="59">
        <v>1</v>
      </c>
      <c r="N177" s="58"/>
      <c r="O177" s="59"/>
      <c r="P177" s="58">
        <v>62.599999999999994</v>
      </c>
      <c r="Q177" s="60">
        <v>1</v>
      </c>
    </row>
    <row r="178" spans="1:17" x14ac:dyDescent="0.35">
      <c r="A178" s="54"/>
      <c r="B178" s="43">
        <v>15297</v>
      </c>
      <c r="C178" s="43" t="s">
        <v>571</v>
      </c>
      <c r="D178" s="72">
        <v>49.99</v>
      </c>
      <c r="E178" s="58">
        <v>30.655766666666665</v>
      </c>
      <c r="F178" s="58">
        <v>0</v>
      </c>
      <c r="G178" s="76">
        <v>0</v>
      </c>
      <c r="H178" s="58"/>
      <c r="I178" s="59"/>
      <c r="J178" s="58">
        <v>43.469565217391306</v>
      </c>
      <c r="K178" s="59">
        <v>1</v>
      </c>
      <c r="L178" s="58"/>
      <c r="M178" s="59"/>
      <c r="N178" s="58">
        <v>43.469565217391306</v>
      </c>
      <c r="O178" s="59">
        <v>1</v>
      </c>
      <c r="P178" s="58">
        <v>86.939130434782612</v>
      </c>
      <c r="Q178" s="60">
        <v>2</v>
      </c>
    </row>
    <row r="179" spans="1:17" x14ac:dyDescent="0.35">
      <c r="A179" s="54"/>
      <c r="B179" s="43">
        <v>15306</v>
      </c>
      <c r="C179" s="43" t="s">
        <v>572</v>
      </c>
      <c r="D179" s="72">
        <v>71.989999999999995</v>
      </c>
      <c r="E179" s="58">
        <v>44.50665</v>
      </c>
      <c r="F179" s="58">
        <v>0</v>
      </c>
      <c r="G179" s="76">
        <v>0</v>
      </c>
      <c r="H179" s="58"/>
      <c r="I179" s="59"/>
      <c r="J179" s="58">
        <v>62.599999999999994</v>
      </c>
      <c r="K179" s="59">
        <v>1</v>
      </c>
      <c r="L179" s="58"/>
      <c r="M179" s="59"/>
      <c r="N179" s="58"/>
      <c r="O179" s="59"/>
      <c r="P179" s="58">
        <v>62.599999999999994</v>
      </c>
      <c r="Q179" s="60">
        <v>1</v>
      </c>
    </row>
    <row r="180" spans="1:17" x14ac:dyDescent="0.35">
      <c r="A180" s="54"/>
      <c r="B180" s="43">
        <v>15988</v>
      </c>
      <c r="C180" s="43" t="s">
        <v>599</v>
      </c>
      <c r="D180" s="72">
        <v>179.99</v>
      </c>
      <c r="E180" s="58">
        <v>113.3473</v>
      </c>
      <c r="F180" s="58">
        <v>0</v>
      </c>
      <c r="G180" s="76">
        <v>0</v>
      </c>
      <c r="H180" s="58"/>
      <c r="I180" s="59"/>
      <c r="J180" s="58">
        <v>156.51304347826087</v>
      </c>
      <c r="K180" s="59">
        <v>1</v>
      </c>
      <c r="L180" s="58"/>
      <c r="M180" s="59"/>
      <c r="N180" s="58"/>
      <c r="O180" s="59"/>
      <c r="P180" s="58">
        <v>156.51304347826087</v>
      </c>
      <c r="Q180" s="60">
        <v>1</v>
      </c>
    </row>
    <row r="181" spans="1:17" x14ac:dyDescent="0.35">
      <c r="A181" s="54"/>
      <c r="B181" s="43">
        <v>16091</v>
      </c>
      <c r="C181" s="43" t="s">
        <v>618</v>
      </c>
      <c r="D181" s="72">
        <v>59.99</v>
      </c>
      <c r="E181" s="58">
        <v>38.153199999999998</v>
      </c>
      <c r="F181" s="58">
        <v>0</v>
      </c>
      <c r="G181" s="76">
        <v>0</v>
      </c>
      <c r="H181" s="58"/>
      <c r="I181" s="59"/>
      <c r="J181" s="58">
        <v>52.165217391304353</v>
      </c>
      <c r="K181" s="59">
        <v>1</v>
      </c>
      <c r="L181" s="58"/>
      <c r="M181" s="59"/>
      <c r="N181" s="58"/>
      <c r="O181" s="59"/>
      <c r="P181" s="58">
        <v>52.165217391304353</v>
      </c>
      <c r="Q181" s="60">
        <v>1</v>
      </c>
    </row>
    <row r="182" spans="1:17" x14ac:dyDescent="0.35">
      <c r="A182" s="54"/>
      <c r="B182" s="43">
        <v>16123</v>
      </c>
      <c r="C182" s="43" t="s">
        <v>627</v>
      </c>
      <c r="D182" s="72">
        <v>89.99</v>
      </c>
      <c r="E182" s="58">
        <v>56.233649999999997</v>
      </c>
      <c r="F182" s="58">
        <v>0</v>
      </c>
      <c r="G182" s="76">
        <v>0</v>
      </c>
      <c r="H182" s="58">
        <v>84.339130434782604</v>
      </c>
      <c r="I182" s="59">
        <v>1</v>
      </c>
      <c r="J182" s="58"/>
      <c r="K182" s="59"/>
      <c r="L182" s="58"/>
      <c r="M182" s="59"/>
      <c r="N182" s="58"/>
      <c r="O182" s="59"/>
      <c r="P182" s="58">
        <v>84.339130434782604</v>
      </c>
      <c r="Q182" s="60">
        <v>1</v>
      </c>
    </row>
    <row r="183" spans="1:17" x14ac:dyDescent="0.35">
      <c r="A183" s="54"/>
      <c r="B183" s="43">
        <v>16519</v>
      </c>
      <c r="C183" s="43" t="s">
        <v>631</v>
      </c>
      <c r="D183" s="72">
        <v>41.99</v>
      </c>
      <c r="E183" s="58">
        <v>26.324400000000001</v>
      </c>
      <c r="F183" s="58">
        <v>0</v>
      </c>
      <c r="G183" s="76">
        <v>0</v>
      </c>
      <c r="H183" s="58">
        <v>73.026086956521738</v>
      </c>
      <c r="I183" s="59">
        <v>2</v>
      </c>
      <c r="J183" s="58">
        <v>109.53913043478261</v>
      </c>
      <c r="K183" s="59">
        <v>3</v>
      </c>
      <c r="L183" s="58">
        <v>36.513043478260869</v>
      </c>
      <c r="M183" s="59">
        <v>1</v>
      </c>
      <c r="N183" s="58"/>
      <c r="O183" s="59"/>
      <c r="P183" s="58">
        <v>219.07826086956521</v>
      </c>
      <c r="Q183" s="60">
        <v>6</v>
      </c>
    </row>
    <row r="184" spans="1:17" x14ac:dyDescent="0.35">
      <c r="A184" s="54"/>
      <c r="B184" s="43">
        <v>50651</v>
      </c>
      <c r="C184" s="43" t="s">
        <v>826</v>
      </c>
      <c r="D184" s="72">
        <v>79.989999999999995</v>
      </c>
      <c r="E184" s="58">
        <v>48.031500000000001</v>
      </c>
      <c r="F184" s="58">
        <v>0</v>
      </c>
      <c r="G184" s="76">
        <v>0</v>
      </c>
      <c r="H184" s="58"/>
      <c r="I184" s="59"/>
      <c r="J184" s="58">
        <v>139.11304347826086</v>
      </c>
      <c r="K184" s="59">
        <v>2</v>
      </c>
      <c r="L184" s="58">
        <v>69.556521739130432</v>
      </c>
      <c r="M184" s="59">
        <v>1</v>
      </c>
      <c r="N184" s="58"/>
      <c r="O184" s="59"/>
      <c r="P184" s="58">
        <v>208.66956521739129</v>
      </c>
      <c r="Q184" s="60">
        <v>3</v>
      </c>
    </row>
    <row r="185" spans="1:17" x14ac:dyDescent="0.35">
      <c r="A185" s="54"/>
      <c r="B185" s="43">
        <v>61786</v>
      </c>
      <c r="C185" s="43" t="s">
        <v>884</v>
      </c>
      <c r="D185" s="72">
        <v>21.99</v>
      </c>
      <c r="E185" s="58">
        <v>13.11445</v>
      </c>
      <c r="F185" s="58">
        <v>0</v>
      </c>
      <c r="G185" s="76">
        <v>0</v>
      </c>
      <c r="H185" s="58"/>
      <c r="I185" s="59"/>
      <c r="J185" s="58">
        <v>57.365217391304348</v>
      </c>
      <c r="K185" s="59">
        <v>3</v>
      </c>
      <c r="L185" s="58">
        <v>37.286956521739128</v>
      </c>
      <c r="M185" s="59">
        <v>2</v>
      </c>
      <c r="N185" s="58">
        <v>76.486956521739131</v>
      </c>
      <c r="O185" s="59">
        <v>4</v>
      </c>
      <c r="P185" s="58">
        <v>171.1391304347826</v>
      </c>
      <c r="Q185" s="60">
        <v>9</v>
      </c>
    </row>
    <row r="186" spans="1:17" x14ac:dyDescent="0.35">
      <c r="A186" s="43">
        <v>108</v>
      </c>
      <c r="B186" s="43">
        <v>14834</v>
      </c>
      <c r="C186" s="43" t="s">
        <v>499</v>
      </c>
      <c r="D186" s="72">
        <v>67.989999999999995</v>
      </c>
      <c r="E186" s="58">
        <v>41.68047</v>
      </c>
      <c r="F186" s="58">
        <v>0</v>
      </c>
      <c r="G186" s="76">
        <v>0</v>
      </c>
      <c r="H186" s="58"/>
      <c r="I186" s="59"/>
      <c r="J186" s="58">
        <v>59.121739130434776</v>
      </c>
      <c r="K186" s="59">
        <v>1</v>
      </c>
      <c r="L186" s="58"/>
      <c r="M186" s="59"/>
      <c r="N186" s="58"/>
      <c r="O186" s="59"/>
      <c r="P186" s="58">
        <v>59.121739130434776</v>
      </c>
      <c r="Q186" s="60">
        <v>1</v>
      </c>
    </row>
    <row r="187" spans="1:17" x14ac:dyDescent="0.35">
      <c r="A187" s="54"/>
      <c r="B187" s="43">
        <v>14835</v>
      </c>
      <c r="C187" s="43" t="s">
        <v>500</v>
      </c>
      <c r="D187" s="58">
        <v>67.989999999999995</v>
      </c>
      <c r="E187" s="58">
        <v>41.68047</v>
      </c>
      <c r="F187" s="58">
        <v>0</v>
      </c>
      <c r="G187" s="76">
        <v>0</v>
      </c>
      <c r="H187" s="58"/>
      <c r="I187" s="59"/>
      <c r="J187" s="58"/>
      <c r="K187" s="59"/>
      <c r="L187" s="58"/>
      <c r="M187" s="59"/>
      <c r="N187" s="58">
        <v>59.121739130434776</v>
      </c>
      <c r="O187" s="59">
        <v>1</v>
      </c>
      <c r="P187" s="58">
        <v>59.121739130434776</v>
      </c>
      <c r="Q187" s="60">
        <v>1</v>
      </c>
    </row>
    <row r="188" spans="1:17" x14ac:dyDescent="0.35">
      <c r="A188" s="54"/>
      <c r="B188" s="43">
        <v>14846</v>
      </c>
      <c r="C188" s="43" t="s">
        <v>501</v>
      </c>
      <c r="D188" s="72">
        <v>109.99</v>
      </c>
      <c r="E188" s="58">
        <v>67.861333333333334</v>
      </c>
      <c r="F188" s="58">
        <v>0</v>
      </c>
      <c r="G188" s="76">
        <v>0</v>
      </c>
      <c r="H188" s="58"/>
      <c r="I188" s="59"/>
      <c r="J188" s="58">
        <v>95.643478260869557</v>
      </c>
      <c r="K188" s="59">
        <v>1</v>
      </c>
      <c r="L188" s="58"/>
      <c r="M188" s="59"/>
      <c r="N188" s="58"/>
      <c r="O188" s="59"/>
      <c r="P188" s="58">
        <v>95.643478260869557</v>
      </c>
      <c r="Q188" s="60">
        <v>1</v>
      </c>
    </row>
    <row r="189" spans="1:17" x14ac:dyDescent="0.35">
      <c r="A189" s="54"/>
      <c r="B189" s="43">
        <v>14847</v>
      </c>
      <c r="C189" s="43" t="s">
        <v>502</v>
      </c>
      <c r="D189" s="58">
        <v>109.99</v>
      </c>
      <c r="E189" s="58">
        <v>67.861333333333334</v>
      </c>
      <c r="F189" s="58">
        <v>0</v>
      </c>
      <c r="G189" s="76">
        <v>0</v>
      </c>
      <c r="H189" s="58">
        <v>191.28695652173911</v>
      </c>
      <c r="I189" s="59">
        <v>2</v>
      </c>
      <c r="J189" s="58">
        <v>95.643478260869557</v>
      </c>
      <c r="K189" s="59">
        <v>1</v>
      </c>
      <c r="L189" s="58"/>
      <c r="M189" s="59"/>
      <c r="N189" s="58">
        <v>95.643478260869557</v>
      </c>
      <c r="O189" s="59">
        <v>1</v>
      </c>
      <c r="P189" s="58">
        <v>382.57391304347823</v>
      </c>
      <c r="Q189" s="60">
        <v>4</v>
      </c>
    </row>
    <row r="190" spans="1:17" x14ac:dyDescent="0.35">
      <c r="A190" s="54"/>
      <c r="B190" s="43">
        <v>14848</v>
      </c>
      <c r="C190" s="43" t="s">
        <v>503</v>
      </c>
      <c r="D190" s="72">
        <v>67.989999999999995</v>
      </c>
      <c r="E190" s="58">
        <v>41.68047</v>
      </c>
      <c r="F190" s="58">
        <v>0</v>
      </c>
      <c r="G190" s="76">
        <v>0</v>
      </c>
      <c r="H190" s="58"/>
      <c r="I190" s="59"/>
      <c r="J190" s="58"/>
      <c r="K190" s="59"/>
      <c r="L190" s="58"/>
      <c r="M190" s="59"/>
      <c r="N190" s="58">
        <v>59.121739130434776</v>
      </c>
      <c r="O190" s="59">
        <v>1</v>
      </c>
      <c r="P190" s="58">
        <v>59.121739130434776</v>
      </c>
      <c r="Q190" s="60">
        <v>1</v>
      </c>
    </row>
    <row r="191" spans="1:17" x14ac:dyDescent="0.35">
      <c r="A191" s="54"/>
      <c r="B191" s="43">
        <v>14854</v>
      </c>
      <c r="C191" s="43" t="s">
        <v>505</v>
      </c>
      <c r="D191" s="72">
        <v>69.989999999999995</v>
      </c>
      <c r="E191" s="58">
        <v>43.867849999999997</v>
      </c>
      <c r="F191" s="58">
        <v>0</v>
      </c>
      <c r="G191" s="76">
        <v>0</v>
      </c>
      <c r="H191" s="58">
        <v>60.860869565217385</v>
      </c>
      <c r="I191" s="59">
        <v>1</v>
      </c>
      <c r="J191" s="58"/>
      <c r="K191" s="59"/>
      <c r="L191" s="58">
        <v>57.817391304347822</v>
      </c>
      <c r="M191" s="59">
        <v>1</v>
      </c>
      <c r="N191" s="58"/>
      <c r="O191" s="59"/>
      <c r="P191" s="58">
        <v>118.67826086956521</v>
      </c>
      <c r="Q191" s="60">
        <v>2</v>
      </c>
    </row>
    <row r="192" spans="1:17" x14ac:dyDescent="0.35">
      <c r="A192" s="54"/>
      <c r="B192" s="43">
        <v>14859</v>
      </c>
      <c r="C192" s="43" t="s">
        <v>506</v>
      </c>
      <c r="D192" s="58">
        <v>69.989999999999995</v>
      </c>
      <c r="E192" s="58">
        <v>43.867849999999997</v>
      </c>
      <c r="F192" s="58">
        <v>0</v>
      </c>
      <c r="G192" s="76">
        <v>0</v>
      </c>
      <c r="H192" s="58"/>
      <c r="I192" s="59"/>
      <c r="J192" s="58">
        <v>60.860869565217385</v>
      </c>
      <c r="K192" s="59">
        <v>1</v>
      </c>
      <c r="L192" s="58"/>
      <c r="M192" s="59"/>
      <c r="N192" s="58"/>
      <c r="O192" s="59"/>
      <c r="P192" s="58">
        <v>60.860869565217385</v>
      </c>
      <c r="Q192" s="60">
        <v>1</v>
      </c>
    </row>
    <row r="193" spans="1:17" x14ac:dyDescent="0.35">
      <c r="A193" s="54"/>
      <c r="B193" s="43">
        <v>35048</v>
      </c>
      <c r="C193" s="43" t="s">
        <v>685</v>
      </c>
      <c r="D193" s="72">
        <v>85.99</v>
      </c>
      <c r="E193" s="58">
        <v>45.3</v>
      </c>
      <c r="F193" s="58">
        <v>0</v>
      </c>
      <c r="G193" s="76">
        <v>0</v>
      </c>
      <c r="H193" s="58">
        <v>74.77391304347826</v>
      </c>
      <c r="I193" s="59">
        <v>1</v>
      </c>
      <c r="J193" s="58"/>
      <c r="K193" s="59"/>
      <c r="L193" s="58"/>
      <c r="M193" s="59"/>
      <c r="N193" s="58"/>
      <c r="O193" s="59"/>
      <c r="P193" s="58">
        <v>74.77391304347826</v>
      </c>
      <c r="Q193" s="60">
        <v>1</v>
      </c>
    </row>
    <row r="194" spans="1:17" x14ac:dyDescent="0.35">
      <c r="A194" s="54"/>
      <c r="B194" s="43">
        <v>38809</v>
      </c>
      <c r="C194" s="43" t="s">
        <v>691</v>
      </c>
      <c r="D194" s="58">
        <v>85.99</v>
      </c>
      <c r="E194" s="58">
        <v>45.3</v>
      </c>
      <c r="F194" s="58">
        <v>0</v>
      </c>
      <c r="G194" s="76">
        <v>0</v>
      </c>
      <c r="H194" s="58">
        <v>74.77391304347826</v>
      </c>
      <c r="I194" s="59">
        <v>1</v>
      </c>
      <c r="J194" s="58"/>
      <c r="K194" s="59"/>
      <c r="L194" s="58"/>
      <c r="M194" s="59"/>
      <c r="N194" s="58"/>
      <c r="O194" s="59"/>
      <c r="P194" s="58">
        <v>74.77391304347826</v>
      </c>
      <c r="Q194" s="60">
        <v>1</v>
      </c>
    </row>
    <row r="195" spans="1:17" x14ac:dyDescent="0.35">
      <c r="A195" s="43">
        <v>109</v>
      </c>
      <c r="B195" s="43">
        <v>8913</v>
      </c>
      <c r="C195" s="43" t="s">
        <v>477</v>
      </c>
      <c r="D195" s="72">
        <v>9.99</v>
      </c>
      <c r="E195" s="58">
        <v>5.7391666666666667</v>
      </c>
      <c r="F195" s="58">
        <v>0</v>
      </c>
      <c r="G195" s="76">
        <v>0</v>
      </c>
      <c r="H195" s="58">
        <v>26.060869565217391</v>
      </c>
      <c r="I195" s="59">
        <v>3</v>
      </c>
      <c r="J195" s="58">
        <v>26.060869565217391</v>
      </c>
      <c r="K195" s="59">
        <v>3</v>
      </c>
      <c r="L195" s="58"/>
      <c r="M195" s="59"/>
      <c r="N195" s="58">
        <v>8.6869565217391305</v>
      </c>
      <c r="O195" s="59">
        <v>1</v>
      </c>
      <c r="P195" s="58">
        <v>60.80869565217391</v>
      </c>
      <c r="Q195" s="60">
        <v>7</v>
      </c>
    </row>
    <row r="196" spans="1:17" x14ac:dyDescent="0.35">
      <c r="A196" s="54"/>
      <c r="B196" s="43">
        <v>8915</v>
      </c>
      <c r="C196" s="43" t="s">
        <v>478</v>
      </c>
      <c r="D196" s="58">
        <v>9.99</v>
      </c>
      <c r="E196" s="58">
        <v>5.7391666666666667</v>
      </c>
      <c r="F196" s="58">
        <v>0</v>
      </c>
      <c r="G196" s="76">
        <v>0</v>
      </c>
      <c r="H196" s="58">
        <v>8.6869565217391305</v>
      </c>
      <c r="I196" s="59">
        <v>1</v>
      </c>
      <c r="J196" s="58"/>
      <c r="K196" s="59"/>
      <c r="L196" s="58">
        <v>17.373913043478261</v>
      </c>
      <c r="M196" s="59">
        <v>2</v>
      </c>
      <c r="N196" s="58"/>
      <c r="O196" s="59"/>
      <c r="P196" s="58">
        <v>26.060869565217391</v>
      </c>
      <c r="Q196" s="60">
        <v>3</v>
      </c>
    </row>
    <row r="197" spans="1:17" x14ac:dyDescent="0.35">
      <c r="A197" s="54"/>
      <c r="B197" s="43">
        <v>14963</v>
      </c>
      <c r="C197" s="43" t="s">
        <v>524</v>
      </c>
      <c r="D197" s="72">
        <v>24.99</v>
      </c>
      <c r="E197" s="58">
        <v>12.880108333333332</v>
      </c>
      <c r="F197" s="58">
        <v>0</v>
      </c>
      <c r="G197" s="76">
        <v>0</v>
      </c>
      <c r="H197" s="58"/>
      <c r="I197" s="59"/>
      <c r="J197" s="58">
        <v>21.730434782608693</v>
      </c>
      <c r="K197" s="59">
        <v>1</v>
      </c>
      <c r="L197" s="58"/>
      <c r="M197" s="59"/>
      <c r="N197" s="58">
        <v>43.460869565217386</v>
      </c>
      <c r="O197" s="59">
        <v>2</v>
      </c>
      <c r="P197" s="58">
        <v>65.191304347826076</v>
      </c>
      <c r="Q197" s="60">
        <v>3</v>
      </c>
    </row>
    <row r="198" spans="1:17" x14ac:dyDescent="0.35">
      <c r="A198" s="54"/>
      <c r="B198" s="43">
        <v>14964</v>
      </c>
      <c r="C198" s="43" t="s">
        <v>525</v>
      </c>
      <c r="D198" s="58">
        <v>24.99</v>
      </c>
      <c r="E198" s="58">
        <v>12.880108333333332</v>
      </c>
      <c r="F198" s="58">
        <v>0</v>
      </c>
      <c r="G198" s="76">
        <v>0</v>
      </c>
      <c r="H198" s="58">
        <v>43.460869565217386</v>
      </c>
      <c r="I198" s="59">
        <v>2</v>
      </c>
      <c r="J198" s="58">
        <v>21.730434782608693</v>
      </c>
      <c r="K198" s="59">
        <v>1</v>
      </c>
      <c r="L198" s="58">
        <v>63.017391304347825</v>
      </c>
      <c r="M198" s="59">
        <v>3</v>
      </c>
      <c r="N198" s="58"/>
      <c r="O198" s="59"/>
      <c r="P198" s="58">
        <v>128.2086956521739</v>
      </c>
      <c r="Q198" s="60">
        <v>6</v>
      </c>
    </row>
    <row r="199" spans="1:17" x14ac:dyDescent="0.35">
      <c r="A199" s="54"/>
      <c r="B199" s="43">
        <v>15287</v>
      </c>
      <c r="C199" s="43" t="s">
        <v>567</v>
      </c>
      <c r="D199" s="72">
        <v>43.99</v>
      </c>
      <c r="E199" s="58">
        <v>27.522083333333331</v>
      </c>
      <c r="F199" s="58">
        <v>0</v>
      </c>
      <c r="G199" s="76">
        <v>0</v>
      </c>
      <c r="H199" s="58">
        <v>76.504347826086956</v>
      </c>
      <c r="I199" s="59">
        <v>2</v>
      </c>
      <c r="J199" s="58"/>
      <c r="K199" s="59"/>
      <c r="L199" s="58"/>
      <c r="M199" s="59"/>
      <c r="N199" s="58"/>
      <c r="O199" s="59"/>
      <c r="P199" s="58">
        <v>76.504347826086956</v>
      </c>
      <c r="Q199" s="60">
        <v>2</v>
      </c>
    </row>
    <row r="200" spans="1:17" x14ac:dyDescent="0.35">
      <c r="A200" s="54"/>
      <c r="B200" s="43">
        <v>15290</v>
      </c>
      <c r="C200" s="43" t="s">
        <v>570</v>
      </c>
      <c r="D200" s="72">
        <v>54.99</v>
      </c>
      <c r="E200" s="58">
        <v>34.594366666666666</v>
      </c>
      <c r="F200" s="58">
        <v>0</v>
      </c>
      <c r="G200" s="76">
        <v>0</v>
      </c>
      <c r="H200" s="58"/>
      <c r="I200" s="59"/>
      <c r="J200" s="58"/>
      <c r="K200" s="59"/>
      <c r="L200" s="58"/>
      <c r="M200" s="59"/>
      <c r="N200" s="58">
        <v>47.817391304347829</v>
      </c>
      <c r="O200" s="59">
        <v>1</v>
      </c>
      <c r="P200" s="58">
        <v>47.817391304347829</v>
      </c>
      <c r="Q200" s="60">
        <v>1</v>
      </c>
    </row>
    <row r="201" spans="1:17" x14ac:dyDescent="0.35">
      <c r="A201" s="54"/>
      <c r="B201" s="43">
        <v>16045</v>
      </c>
      <c r="C201" s="43" t="s">
        <v>603</v>
      </c>
      <c r="D201" s="72">
        <v>84.99</v>
      </c>
      <c r="E201" s="58">
        <v>53.668624999999999</v>
      </c>
      <c r="F201" s="58">
        <v>0</v>
      </c>
      <c r="G201" s="76">
        <v>0</v>
      </c>
      <c r="H201" s="58">
        <v>147.8086956521739</v>
      </c>
      <c r="I201" s="59">
        <v>2</v>
      </c>
      <c r="J201" s="58"/>
      <c r="K201" s="59"/>
      <c r="L201" s="58"/>
      <c r="M201" s="59"/>
      <c r="N201" s="58"/>
      <c r="O201" s="59"/>
      <c r="P201" s="58">
        <v>147.8086956521739</v>
      </c>
      <c r="Q201" s="60">
        <v>2</v>
      </c>
    </row>
    <row r="202" spans="1:17" x14ac:dyDescent="0.35">
      <c r="A202" s="54"/>
      <c r="B202" s="43">
        <v>16047</v>
      </c>
      <c r="C202" s="43" t="s">
        <v>605</v>
      </c>
      <c r="D202" s="58">
        <v>84.99</v>
      </c>
      <c r="E202" s="58">
        <v>53.668624999999999</v>
      </c>
      <c r="F202" s="58">
        <v>0</v>
      </c>
      <c r="G202" s="76">
        <v>0</v>
      </c>
      <c r="H202" s="58">
        <v>73.904347826086948</v>
      </c>
      <c r="I202" s="59">
        <v>1</v>
      </c>
      <c r="J202" s="58">
        <v>73.904347826086948</v>
      </c>
      <c r="K202" s="59">
        <v>1</v>
      </c>
      <c r="L202" s="58"/>
      <c r="M202" s="59"/>
      <c r="N202" s="58"/>
      <c r="O202" s="59"/>
      <c r="P202" s="58">
        <v>147.8086956521739</v>
      </c>
      <c r="Q202" s="60">
        <v>2</v>
      </c>
    </row>
    <row r="203" spans="1:17" x14ac:dyDescent="0.35">
      <c r="A203" s="54"/>
      <c r="B203" s="43">
        <v>16048</v>
      </c>
      <c r="C203" s="43" t="s">
        <v>606</v>
      </c>
      <c r="D203" s="58">
        <v>84.99</v>
      </c>
      <c r="E203" s="58">
        <v>53.668624999999999</v>
      </c>
      <c r="F203" s="58">
        <v>0</v>
      </c>
      <c r="G203" s="76">
        <v>0</v>
      </c>
      <c r="H203" s="58">
        <v>73.904347826086948</v>
      </c>
      <c r="I203" s="59">
        <v>1</v>
      </c>
      <c r="J203" s="58"/>
      <c r="K203" s="59"/>
      <c r="L203" s="58"/>
      <c r="M203" s="59"/>
      <c r="N203" s="58"/>
      <c r="O203" s="59"/>
      <c r="P203" s="58">
        <v>73.904347826086948</v>
      </c>
      <c r="Q203" s="60">
        <v>1</v>
      </c>
    </row>
    <row r="204" spans="1:17" x14ac:dyDescent="0.35">
      <c r="A204" s="54"/>
      <c r="B204" s="43">
        <v>34931</v>
      </c>
      <c r="C204" s="43" t="s">
        <v>676</v>
      </c>
      <c r="D204" s="72">
        <v>9.99</v>
      </c>
      <c r="E204" s="58">
        <v>5.7391666666666667</v>
      </c>
      <c r="F204" s="58">
        <v>0</v>
      </c>
      <c r="G204" s="76">
        <v>0</v>
      </c>
      <c r="H204" s="58">
        <v>34.747826086956522</v>
      </c>
      <c r="I204" s="59">
        <v>4</v>
      </c>
      <c r="J204" s="58">
        <v>8.6869565217391305</v>
      </c>
      <c r="K204" s="59">
        <v>1</v>
      </c>
      <c r="L204" s="58">
        <v>17.373913043478261</v>
      </c>
      <c r="M204" s="59">
        <v>2</v>
      </c>
      <c r="N204" s="58">
        <v>34.747826086956522</v>
      </c>
      <c r="O204" s="59">
        <v>4</v>
      </c>
      <c r="P204" s="58">
        <v>95.556521739130432</v>
      </c>
      <c r="Q204" s="60">
        <v>11</v>
      </c>
    </row>
    <row r="205" spans="1:17" x14ac:dyDescent="0.35">
      <c r="A205" s="54"/>
      <c r="B205" s="43">
        <v>34932</v>
      </c>
      <c r="C205" s="43" t="s">
        <v>677</v>
      </c>
      <c r="D205" s="58">
        <v>9.99</v>
      </c>
      <c r="E205" s="58">
        <v>5.7391666666666667</v>
      </c>
      <c r="F205" s="58">
        <v>0</v>
      </c>
      <c r="G205" s="76">
        <v>0</v>
      </c>
      <c r="H205" s="58">
        <v>8.6869565217391305</v>
      </c>
      <c r="I205" s="59">
        <v>1</v>
      </c>
      <c r="J205" s="58">
        <v>26.060869565217391</v>
      </c>
      <c r="K205" s="59">
        <v>3</v>
      </c>
      <c r="L205" s="58">
        <v>8.6869565217391305</v>
      </c>
      <c r="M205" s="59">
        <v>1</v>
      </c>
      <c r="N205" s="58">
        <v>17.373913043478261</v>
      </c>
      <c r="O205" s="59">
        <v>2</v>
      </c>
      <c r="P205" s="58">
        <v>60.808695652173917</v>
      </c>
      <c r="Q205" s="60">
        <v>7</v>
      </c>
    </row>
    <row r="206" spans="1:17" x14ac:dyDescent="0.35">
      <c r="A206" s="54"/>
      <c r="B206" s="43">
        <v>34934</v>
      </c>
      <c r="C206" s="43" t="s">
        <v>678</v>
      </c>
      <c r="D206" s="58">
        <v>9.99</v>
      </c>
      <c r="E206" s="58">
        <v>5.7391666666666667</v>
      </c>
      <c r="F206" s="58">
        <v>0</v>
      </c>
      <c r="G206" s="76">
        <v>0</v>
      </c>
      <c r="H206" s="58">
        <v>34.747826086956522</v>
      </c>
      <c r="I206" s="59">
        <v>4</v>
      </c>
      <c r="J206" s="58">
        <v>52.121739130434783</v>
      </c>
      <c r="K206" s="59">
        <v>6</v>
      </c>
      <c r="L206" s="58">
        <v>17.373913043478261</v>
      </c>
      <c r="M206" s="59">
        <v>2</v>
      </c>
      <c r="N206" s="58">
        <v>26.060869565217391</v>
      </c>
      <c r="O206" s="59">
        <v>3</v>
      </c>
      <c r="P206" s="58">
        <v>130.30434782608697</v>
      </c>
      <c r="Q206" s="60">
        <v>15</v>
      </c>
    </row>
    <row r="207" spans="1:17" x14ac:dyDescent="0.35">
      <c r="A207" s="54"/>
      <c r="B207" s="43">
        <v>34935</v>
      </c>
      <c r="C207" s="43" t="s">
        <v>679</v>
      </c>
      <c r="D207" s="58">
        <v>9.99</v>
      </c>
      <c r="E207" s="58">
        <v>5.7391666666666667</v>
      </c>
      <c r="F207" s="58">
        <v>0</v>
      </c>
      <c r="G207" s="76">
        <v>0</v>
      </c>
      <c r="H207" s="58">
        <v>17.373913043478261</v>
      </c>
      <c r="I207" s="59">
        <v>2</v>
      </c>
      <c r="J207" s="58">
        <v>8.6869565217391305</v>
      </c>
      <c r="K207" s="59">
        <v>1</v>
      </c>
      <c r="L207" s="58">
        <v>17.373913043478261</v>
      </c>
      <c r="M207" s="59">
        <v>2</v>
      </c>
      <c r="N207" s="58">
        <v>26.060869565217391</v>
      </c>
      <c r="O207" s="59">
        <v>3</v>
      </c>
      <c r="P207" s="58">
        <v>69.495652173913044</v>
      </c>
      <c r="Q207" s="60">
        <v>8</v>
      </c>
    </row>
    <row r="208" spans="1:17" x14ac:dyDescent="0.35">
      <c r="A208" s="54"/>
      <c r="B208" s="43">
        <v>50652</v>
      </c>
      <c r="C208" s="43" t="s">
        <v>827</v>
      </c>
      <c r="D208" s="72">
        <v>79.989999999999995</v>
      </c>
      <c r="E208" s="58">
        <v>48.031500000000001</v>
      </c>
      <c r="F208" s="58">
        <v>0</v>
      </c>
      <c r="G208" s="76">
        <v>0</v>
      </c>
      <c r="H208" s="58">
        <v>69.556521739130432</v>
      </c>
      <c r="I208" s="59">
        <v>1</v>
      </c>
      <c r="J208" s="58"/>
      <c r="K208" s="59"/>
      <c r="L208" s="58"/>
      <c r="M208" s="59"/>
      <c r="N208" s="58">
        <v>69.556521739130432</v>
      </c>
      <c r="O208" s="59">
        <v>1</v>
      </c>
      <c r="P208" s="58">
        <v>139.11304347826086</v>
      </c>
      <c r="Q208" s="60">
        <v>2</v>
      </c>
    </row>
    <row r="209" spans="1:17" x14ac:dyDescent="0.35">
      <c r="A209" s="54"/>
      <c r="B209" s="43">
        <v>61787</v>
      </c>
      <c r="C209" s="43" t="s">
        <v>885</v>
      </c>
      <c r="D209" s="72">
        <v>23.99</v>
      </c>
      <c r="E209" s="58">
        <v>14.221549999999999</v>
      </c>
      <c r="F209" s="58">
        <v>0</v>
      </c>
      <c r="G209" s="76">
        <v>0</v>
      </c>
      <c r="H209" s="58">
        <v>104.30434782608695</v>
      </c>
      <c r="I209" s="59">
        <v>5</v>
      </c>
      <c r="J209" s="58"/>
      <c r="K209" s="59"/>
      <c r="L209" s="58"/>
      <c r="M209" s="59"/>
      <c r="N209" s="58"/>
      <c r="O209" s="59"/>
      <c r="P209" s="58">
        <v>104.30434782608695</v>
      </c>
      <c r="Q209" s="60">
        <v>5</v>
      </c>
    </row>
    <row r="210" spans="1:17" x14ac:dyDescent="0.35">
      <c r="A210" s="54"/>
      <c r="B210" s="43">
        <v>62327</v>
      </c>
      <c r="C210" s="43" t="s">
        <v>892</v>
      </c>
      <c r="D210" s="72">
        <v>104.99</v>
      </c>
      <c r="E210" s="58">
        <v>65.781599999999997</v>
      </c>
      <c r="F210" s="58">
        <v>0</v>
      </c>
      <c r="G210" s="76">
        <v>0</v>
      </c>
      <c r="H210" s="58">
        <v>91.295652173913041</v>
      </c>
      <c r="I210" s="59">
        <v>1</v>
      </c>
      <c r="J210" s="58"/>
      <c r="K210" s="59"/>
      <c r="L210" s="58"/>
      <c r="M210" s="59"/>
      <c r="N210" s="58"/>
      <c r="O210" s="59"/>
      <c r="P210" s="58">
        <v>91.295652173913041</v>
      </c>
      <c r="Q210" s="60">
        <v>1</v>
      </c>
    </row>
    <row r="211" spans="1:17" x14ac:dyDescent="0.35">
      <c r="A211" s="54"/>
      <c r="B211" s="43">
        <v>62328</v>
      </c>
      <c r="C211" s="43" t="s">
        <v>893</v>
      </c>
      <c r="D211" s="72">
        <v>69.989999999999995</v>
      </c>
      <c r="E211" s="58">
        <v>40.963850000000001</v>
      </c>
      <c r="F211" s="58">
        <v>0</v>
      </c>
      <c r="G211" s="76">
        <v>0</v>
      </c>
      <c r="H211" s="58">
        <v>60.860869565217385</v>
      </c>
      <c r="I211" s="59">
        <v>1</v>
      </c>
      <c r="J211" s="58"/>
      <c r="K211" s="59"/>
      <c r="L211" s="58">
        <v>60.860869565217385</v>
      </c>
      <c r="M211" s="59">
        <v>1</v>
      </c>
      <c r="N211" s="58"/>
      <c r="O211" s="59"/>
      <c r="P211" s="58">
        <v>121.72173913043477</v>
      </c>
      <c r="Q211" s="60">
        <v>2</v>
      </c>
    </row>
    <row r="212" spans="1:17" x14ac:dyDescent="0.35">
      <c r="A212" s="54"/>
      <c r="B212" s="43">
        <v>62329</v>
      </c>
      <c r="C212" s="43" t="s">
        <v>894</v>
      </c>
      <c r="D212" s="58">
        <v>69.989999999999995</v>
      </c>
      <c r="E212" s="58">
        <v>40.963850000000001</v>
      </c>
      <c r="F212" s="58">
        <v>0</v>
      </c>
      <c r="G212" s="76">
        <v>0</v>
      </c>
      <c r="H212" s="58"/>
      <c r="I212" s="59"/>
      <c r="J212" s="58">
        <v>60.860869565217385</v>
      </c>
      <c r="K212" s="59">
        <v>1</v>
      </c>
      <c r="L212" s="58"/>
      <c r="M212" s="59"/>
      <c r="N212" s="58"/>
      <c r="O212" s="59"/>
      <c r="P212" s="58">
        <v>60.860869565217385</v>
      </c>
      <c r="Q212" s="60">
        <v>1</v>
      </c>
    </row>
    <row r="213" spans="1:17" x14ac:dyDescent="0.35">
      <c r="A213" s="54"/>
      <c r="B213" s="43">
        <v>64321</v>
      </c>
      <c r="C213" s="43" t="s">
        <v>919</v>
      </c>
      <c r="D213" s="72">
        <v>31.99</v>
      </c>
      <c r="E213" s="58">
        <v>19.7093375</v>
      </c>
      <c r="F213" s="58">
        <v>0</v>
      </c>
      <c r="G213" s="76">
        <v>0</v>
      </c>
      <c r="H213" s="58"/>
      <c r="I213" s="59"/>
      <c r="J213" s="58">
        <v>27.817391304347826</v>
      </c>
      <c r="K213" s="59">
        <v>1</v>
      </c>
      <c r="L213" s="58">
        <v>54.243478260869566</v>
      </c>
      <c r="M213" s="59">
        <v>2</v>
      </c>
      <c r="N213" s="58">
        <v>111.2695652173913</v>
      </c>
      <c r="O213" s="59">
        <v>4</v>
      </c>
      <c r="P213" s="58">
        <v>193.33043478260868</v>
      </c>
      <c r="Q213" s="60">
        <v>7</v>
      </c>
    </row>
    <row r="214" spans="1:17" x14ac:dyDescent="0.35">
      <c r="A214" s="43">
        <v>110</v>
      </c>
      <c r="B214" s="43">
        <v>15800</v>
      </c>
      <c r="C214" s="43" t="s">
        <v>583</v>
      </c>
      <c r="D214" s="72">
        <v>56.99</v>
      </c>
      <c r="E214" s="58">
        <v>35.372916666666669</v>
      </c>
      <c r="F214" s="58">
        <v>0</v>
      </c>
      <c r="G214" s="76">
        <v>0</v>
      </c>
      <c r="H214" s="58"/>
      <c r="I214" s="59"/>
      <c r="J214" s="58"/>
      <c r="K214" s="59"/>
      <c r="L214" s="58"/>
      <c r="M214" s="59"/>
      <c r="N214" s="58">
        <v>99.113043478260877</v>
      </c>
      <c r="O214" s="59">
        <v>2</v>
      </c>
      <c r="P214" s="58">
        <v>99.113043478260877</v>
      </c>
      <c r="Q214" s="60">
        <v>2</v>
      </c>
    </row>
    <row r="215" spans="1:17" x14ac:dyDescent="0.35">
      <c r="A215" s="54"/>
      <c r="B215" s="43">
        <v>49803</v>
      </c>
      <c r="C215" s="43" t="s">
        <v>817</v>
      </c>
      <c r="D215" s="72">
        <v>99.99</v>
      </c>
      <c r="E215" s="58">
        <v>62.066974999999999</v>
      </c>
      <c r="F215" s="58">
        <v>0</v>
      </c>
      <c r="G215" s="76">
        <v>0</v>
      </c>
      <c r="H215" s="58"/>
      <c r="I215" s="59"/>
      <c r="J215" s="58"/>
      <c r="K215" s="59"/>
      <c r="L215" s="58">
        <v>86.947826086956525</v>
      </c>
      <c r="M215" s="59">
        <v>1</v>
      </c>
      <c r="N215" s="58">
        <v>86.947826086956525</v>
      </c>
      <c r="O215" s="59">
        <v>1</v>
      </c>
      <c r="P215" s="58">
        <v>173.89565217391305</v>
      </c>
      <c r="Q215" s="60">
        <v>2</v>
      </c>
    </row>
    <row r="216" spans="1:17" x14ac:dyDescent="0.35">
      <c r="A216" s="54"/>
      <c r="B216" s="43">
        <v>49804</v>
      </c>
      <c r="C216" s="43" t="s">
        <v>818</v>
      </c>
      <c r="D216" s="58">
        <v>99.99</v>
      </c>
      <c r="E216" s="58">
        <v>60.204949999999997</v>
      </c>
      <c r="F216" s="58">
        <v>0</v>
      </c>
      <c r="G216" s="76">
        <v>0</v>
      </c>
      <c r="H216" s="58"/>
      <c r="I216" s="59"/>
      <c r="J216" s="58"/>
      <c r="K216" s="59"/>
      <c r="L216" s="58">
        <v>86.947826086956525</v>
      </c>
      <c r="M216" s="59">
        <v>1</v>
      </c>
      <c r="N216" s="58"/>
      <c r="O216" s="59"/>
      <c r="P216" s="58">
        <v>86.947826086956525</v>
      </c>
      <c r="Q216" s="60">
        <v>1</v>
      </c>
    </row>
    <row r="217" spans="1:17" x14ac:dyDescent="0.35">
      <c r="A217" s="54"/>
      <c r="B217" s="43">
        <v>49805</v>
      </c>
      <c r="C217" s="43" t="s">
        <v>819</v>
      </c>
      <c r="D217" s="72">
        <v>86.99</v>
      </c>
      <c r="E217" s="58">
        <v>54.272500000000001</v>
      </c>
      <c r="F217" s="58">
        <v>0</v>
      </c>
      <c r="G217" s="76">
        <v>0</v>
      </c>
      <c r="H217" s="58"/>
      <c r="I217" s="59"/>
      <c r="J217" s="58"/>
      <c r="K217" s="59"/>
      <c r="L217" s="58"/>
      <c r="M217" s="59"/>
      <c r="N217" s="58">
        <v>75.643478260869557</v>
      </c>
      <c r="O217" s="59">
        <v>1</v>
      </c>
      <c r="P217" s="58">
        <v>75.643478260869557</v>
      </c>
      <c r="Q217" s="60">
        <v>1</v>
      </c>
    </row>
    <row r="218" spans="1:17" x14ac:dyDescent="0.35">
      <c r="A218" s="54"/>
      <c r="B218" s="43">
        <v>49807</v>
      </c>
      <c r="C218" s="43" t="s">
        <v>820</v>
      </c>
      <c r="D218" s="72">
        <v>99.99</v>
      </c>
      <c r="E218" s="58">
        <v>62.066974999999999</v>
      </c>
      <c r="F218" s="58">
        <v>0</v>
      </c>
      <c r="G218" s="76">
        <v>0</v>
      </c>
      <c r="H218" s="58"/>
      <c r="I218" s="59"/>
      <c r="J218" s="58">
        <v>173.89565217391305</v>
      </c>
      <c r="K218" s="59">
        <v>2</v>
      </c>
      <c r="L218" s="58"/>
      <c r="M218" s="59"/>
      <c r="N218" s="58"/>
      <c r="O218" s="59"/>
      <c r="P218" s="58">
        <v>173.89565217391305</v>
      </c>
      <c r="Q218" s="60">
        <v>2</v>
      </c>
    </row>
    <row r="219" spans="1:17" x14ac:dyDescent="0.35">
      <c r="A219" s="54"/>
      <c r="B219" s="43">
        <v>49809</v>
      </c>
      <c r="C219" s="43" t="s">
        <v>821</v>
      </c>
      <c r="D219" s="58">
        <v>99.99</v>
      </c>
      <c r="E219" s="58">
        <v>62.066974999999999</v>
      </c>
      <c r="F219" s="58">
        <v>0</v>
      </c>
      <c r="G219" s="76">
        <v>0</v>
      </c>
      <c r="H219" s="58"/>
      <c r="I219" s="59"/>
      <c r="J219" s="58">
        <v>86.947826086956525</v>
      </c>
      <c r="K219" s="59">
        <v>1</v>
      </c>
      <c r="L219" s="58">
        <v>86.947826086956525</v>
      </c>
      <c r="M219" s="59">
        <v>1</v>
      </c>
      <c r="N219" s="58"/>
      <c r="O219" s="59"/>
      <c r="P219" s="58">
        <v>173.89565217391305</v>
      </c>
      <c r="Q219" s="60">
        <v>2</v>
      </c>
    </row>
    <row r="220" spans="1:17" x14ac:dyDescent="0.35">
      <c r="A220" s="43">
        <v>111</v>
      </c>
      <c r="B220" s="43">
        <v>14947</v>
      </c>
      <c r="C220" s="43" t="s">
        <v>514</v>
      </c>
      <c r="D220" s="72">
        <v>37.99</v>
      </c>
      <c r="E220" s="58">
        <v>23.431950000000001</v>
      </c>
      <c r="F220" s="58">
        <v>0</v>
      </c>
      <c r="G220" s="76">
        <v>0</v>
      </c>
      <c r="H220" s="58">
        <v>165.17391304347825</v>
      </c>
      <c r="I220" s="59">
        <v>5</v>
      </c>
      <c r="J220" s="58">
        <v>33.03478260869565</v>
      </c>
      <c r="K220" s="59">
        <v>1</v>
      </c>
      <c r="L220" s="58"/>
      <c r="M220" s="59"/>
      <c r="N220" s="58">
        <v>33.03478260869565</v>
      </c>
      <c r="O220" s="59">
        <v>1</v>
      </c>
      <c r="P220" s="58">
        <v>231.24347826086955</v>
      </c>
      <c r="Q220" s="60">
        <v>7</v>
      </c>
    </row>
    <row r="221" spans="1:17" x14ac:dyDescent="0.35">
      <c r="A221" s="54"/>
      <c r="B221" s="43">
        <v>49316</v>
      </c>
      <c r="C221" s="43" t="s">
        <v>811</v>
      </c>
      <c r="D221" s="72">
        <v>22.99</v>
      </c>
      <c r="E221" s="58">
        <v>15</v>
      </c>
      <c r="F221" s="58">
        <v>0</v>
      </c>
      <c r="G221" s="76">
        <v>0</v>
      </c>
      <c r="H221" s="58"/>
      <c r="I221" s="59"/>
      <c r="J221" s="58">
        <v>19.991304347826087</v>
      </c>
      <c r="K221" s="59">
        <v>1</v>
      </c>
      <c r="L221" s="58"/>
      <c r="M221" s="59"/>
      <c r="N221" s="58">
        <v>39.982608695652175</v>
      </c>
      <c r="O221" s="59">
        <v>2</v>
      </c>
      <c r="P221" s="58">
        <v>59.973913043478262</v>
      </c>
      <c r="Q221" s="60">
        <v>3</v>
      </c>
    </row>
    <row r="222" spans="1:17" x14ac:dyDescent="0.35">
      <c r="A222" s="43">
        <v>112</v>
      </c>
      <c r="B222" s="43">
        <v>42767</v>
      </c>
      <c r="C222" s="43" t="s">
        <v>734</v>
      </c>
      <c r="D222" s="72">
        <v>79.989999999999995</v>
      </c>
      <c r="E222" s="58">
        <v>49.382599999999996</v>
      </c>
      <c r="F222" s="58">
        <v>0</v>
      </c>
      <c r="G222" s="76">
        <v>0</v>
      </c>
      <c r="H222" s="58"/>
      <c r="I222" s="59"/>
      <c r="J222" s="58"/>
      <c r="K222" s="59"/>
      <c r="L222" s="58">
        <v>139.11304347826086</v>
      </c>
      <c r="M222" s="59">
        <v>2</v>
      </c>
      <c r="N222" s="58">
        <v>208.66956521739129</v>
      </c>
      <c r="O222" s="59">
        <v>3</v>
      </c>
      <c r="P222" s="58">
        <v>347.78260869565213</v>
      </c>
      <c r="Q222" s="60">
        <v>5</v>
      </c>
    </row>
    <row r="223" spans="1:17" x14ac:dyDescent="0.35">
      <c r="A223" s="54"/>
      <c r="B223" s="43">
        <v>42768</v>
      </c>
      <c r="C223" s="43" t="s">
        <v>735</v>
      </c>
      <c r="D223" s="72">
        <v>169.99</v>
      </c>
      <c r="E223" s="58">
        <v>104.9478</v>
      </c>
      <c r="F223" s="58">
        <v>0</v>
      </c>
      <c r="G223" s="76">
        <v>0</v>
      </c>
      <c r="H223" s="58"/>
      <c r="I223" s="59"/>
      <c r="J223" s="58"/>
      <c r="K223" s="59"/>
      <c r="L223" s="58">
        <v>147.81739130434784</v>
      </c>
      <c r="M223" s="59">
        <v>1</v>
      </c>
      <c r="N223" s="58"/>
      <c r="O223" s="59"/>
      <c r="P223" s="58">
        <v>147.81739130434784</v>
      </c>
      <c r="Q223" s="60">
        <v>1</v>
      </c>
    </row>
    <row r="224" spans="1:17" x14ac:dyDescent="0.35">
      <c r="A224" s="54"/>
      <c r="B224" s="43">
        <v>42769</v>
      </c>
      <c r="C224" s="43" t="s">
        <v>736</v>
      </c>
      <c r="D224" s="72">
        <v>67.989999999999995</v>
      </c>
      <c r="E224" s="58">
        <v>41.9739</v>
      </c>
      <c r="F224" s="58">
        <v>0</v>
      </c>
      <c r="G224" s="76">
        <v>0</v>
      </c>
      <c r="H224" s="58">
        <v>59.121739130434776</v>
      </c>
      <c r="I224" s="59">
        <v>1</v>
      </c>
      <c r="J224" s="58"/>
      <c r="K224" s="59"/>
      <c r="L224" s="58"/>
      <c r="M224" s="59"/>
      <c r="N224" s="58"/>
      <c r="O224" s="59"/>
      <c r="P224" s="58">
        <v>59.121739130434776</v>
      </c>
      <c r="Q224" s="60">
        <v>1</v>
      </c>
    </row>
    <row r="225" spans="1:17" x14ac:dyDescent="0.35">
      <c r="A225" s="54"/>
      <c r="B225" s="43">
        <v>42871</v>
      </c>
      <c r="C225" s="43" t="s">
        <v>748</v>
      </c>
      <c r="D225" s="72">
        <v>96.99</v>
      </c>
      <c r="E225" s="58">
        <v>59.8782</v>
      </c>
      <c r="F225" s="58">
        <v>0</v>
      </c>
      <c r="G225" s="76">
        <v>0</v>
      </c>
      <c r="H225" s="58"/>
      <c r="I225" s="59"/>
      <c r="J225" s="58"/>
      <c r="K225" s="59"/>
      <c r="L225" s="58">
        <v>168.67826086956521</v>
      </c>
      <c r="M225" s="59">
        <v>2</v>
      </c>
      <c r="N225" s="58">
        <v>84.339130434782604</v>
      </c>
      <c r="O225" s="59">
        <v>1</v>
      </c>
      <c r="P225" s="58">
        <v>253.01739130434783</v>
      </c>
      <c r="Q225" s="60">
        <v>3</v>
      </c>
    </row>
    <row r="226" spans="1:17" x14ac:dyDescent="0.35">
      <c r="A226" s="54"/>
      <c r="B226" s="43">
        <v>42873</v>
      </c>
      <c r="C226" s="43" t="s">
        <v>749</v>
      </c>
      <c r="D226" s="72">
        <v>44.99</v>
      </c>
      <c r="E226" s="58">
        <v>27.773900000000001</v>
      </c>
      <c r="F226" s="58">
        <v>0</v>
      </c>
      <c r="G226" s="76">
        <v>0</v>
      </c>
      <c r="H226" s="58"/>
      <c r="I226" s="59"/>
      <c r="J226" s="58"/>
      <c r="K226" s="59"/>
      <c r="L226" s="58">
        <v>117.36521739130436</v>
      </c>
      <c r="M226" s="59">
        <v>3</v>
      </c>
      <c r="N226" s="58"/>
      <c r="O226" s="59"/>
      <c r="P226" s="58">
        <v>117.36521739130436</v>
      </c>
      <c r="Q226" s="60">
        <v>3</v>
      </c>
    </row>
    <row r="227" spans="1:17" x14ac:dyDescent="0.35">
      <c r="A227" s="54"/>
      <c r="B227" s="43">
        <v>42875</v>
      </c>
      <c r="C227" s="43" t="s">
        <v>750</v>
      </c>
      <c r="D227" s="72">
        <v>169.99</v>
      </c>
      <c r="E227" s="58">
        <v>104.9478</v>
      </c>
      <c r="F227" s="58">
        <v>0</v>
      </c>
      <c r="G227" s="76">
        <v>0</v>
      </c>
      <c r="H227" s="58"/>
      <c r="I227" s="59"/>
      <c r="J227" s="58"/>
      <c r="K227" s="59"/>
      <c r="L227" s="58"/>
      <c r="M227" s="59"/>
      <c r="N227" s="58">
        <v>147.81739130434784</v>
      </c>
      <c r="O227" s="59">
        <v>1</v>
      </c>
      <c r="P227" s="58">
        <v>147.81739130434784</v>
      </c>
      <c r="Q227" s="60">
        <v>1</v>
      </c>
    </row>
    <row r="228" spans="1:17" x14ac:dyDescent="0.35">
      <c r="A228" s="54"/>
      <c r="B228" s="43">
        <v>42883</v>
      </c>
      <c r="C228" s="43" t="s">
        <v>751</v>
      </c>
      <c r="D228" s="72">
        <v>154.99</v>
      </c>
      <c r="E228" s="58">
        <v>95.686899999999994</v>
      </c>
      <c r="F228" s="58">
        <v>0</v>
      </c>
      <c r="G228" s="76">
        <v>0</v>
      </c>
      <c r="H228" s="58"/>
      <c r="I228" s="59"/>
      <c r="J228" s="58"/>
      <c r="K228" s="59"/>
      <c r="L228" s="58">
        <v>943.41739130434792</v>
      </c>
      <c r="M228" s="59">
        <v>7</v>
      </c>
      <c r="N228" s="58"/>
      <c r="O228" s="59"/>
      <c r="P228" s="58">
        <v>943.41739130434792</v>
      </c>
      <c r="Q228" s="60">
        <v>7</v>
      </c>
    </row>
    <row r="229" spans="1:17" x14ac:dyDescent="0.35">
      <c r="A229" s="54"/>
      <c r="B229" s="43">
        <v>42899</v>
      </c>
      <c r="C229" s="43" t="s">
        <v>754</v>
      </c>
      <c r="D229" s="72">
        <v>61.99</v>
      </c>
      <c r="E229" s="58">
        <v>38.269500000000001</v>
      </c>
      <c r="F229" s="58">
        <v>0</v>
      </c>
      <c r="G229" s="76">
        <v>0</v>
      </c>
      <c r="H229" s="58"/>
      <c r="I229" s="59"/>
      <c r="J229" s="58"/>
      <c r="K229" s="59"/>
      <c r="L229" s="58">
        <v>107.80869565217392</v>
      </c>
      <c r="M229" s="59">
        <v>2</v>
      </c>
      <c r="N229" s="58">
        <v>53.904347826086962</v>
      </c>
      <c r="O229" s="59">
        <v>1</v>
      </c>
      <c r="P229" s="58">
        <v>161.71304347826089</v>
      </c>
      <c r="Q229" s="60">
        <v>3</v>
      </c>
    </row>
    <row r="230" spans="1:17" x14ac:dyDescent="0.35">
      <c r="A230" s="54"/>
      <c r="B230" s="43">
        <v>42901</v>
      </c>
      <c r="C230" s="43" t="s">
        <v>756</v>
      </c>
      <c r="D230" s="72">
        <v>67.989999999999995</v>
      </c>
      <c r="E230" s="58">
        <v>41.9739</v>
      </c>
      <c r="F230" s="58">
        <v>0</v>
      </c>
      <c r="G230" s="76">
        <v>0</v>
      </c>
      <c r="H230" s="58"/>
      <c r="I230" s="59"/>
      <c r="J230" s="58"/>
      <c r="K230" s="59"/>
      <c r="L230" s="58">
        <v>354.73043478260871</v>
      </c>
      <c r="M230" s="59">
        <v>6</v>
      </c>
      <c r="N230" s="58"/>
      <c r="O230" s="59"/>
      <c r="P230" s="58">
        <v>354.73043478260871</v>
      </c>
      <c r="Q230" s="60">
        <v>6</v>
      </c>
    </row>
    <row r="231" spans="1:17" x14ac:dyDescent="0.35">
      <c r="A231" s="54"/>
      <c r="B231" s="43">
        <v>42906</v>
      </c>
      <c r="C231" s="43" t="s">
        <v>758</v>
      </c>
      <c r="D231" s="72">
        <v>65.989999999999995</v>
      </c>
      <c r="E231" s="58">
        <v>40.739100000000001</v>
      </c>
      <c r="F231" s="58">
        <v>0</v>
      </c>
      <c r="G231" s="76">
        <v>0</v>
      </c>
      <c r="H231" s="58"/>
      <c r="I231" s="59"/>
      <c r="J231" s="58"/>
      <c r="K231" s="59"/>
      <c r="L231" s="58">
        <v>114.76521739130433</v>
      </c>
      <c r="M231" s="59">
        <v>2</v>
      </c>
      <c r="N231" s="58"/>
      <c r="O231" s="59"/>
      <c r="P231" s="58">
        <v>114.76521739130433</v>
      </c>
      <c r="Q231" s="60">
        <v>2</v>
      </c>
    </row>
    <row r="232" spans="1:17" x14ac:dyDescent="0.35">
      <c r="A232" s="54"/>
      <c r="B232" s="43">
        <v>42909</v>
      </c>
      <c r="C232" s="43" t="s">
        <v>761</v>
      </c>
      <c r="D232" s="72">
        <v>64.989999999999995</v>
      </c>
      <c r="E232" s="58">
        <v>40.121699999999997</v>
      </c>
      <c r="F232" s="58">
        <v>0</v>
      </c>
      <c r="G232" s="76">
        <v>0</v>
      </c>
      <c r="H232" s="58"/>
      <c r="I232" s="59"/>
      <c r="J232" s="58"/>
      <c r="K232" s="59"/>
      <c r="L232" s="58"/>
      <c r="M232" s="59"/>
      <c r="N232" s="58">
        <v>56.513043478260869</v>
      </c>
      <c r="O232" s="59">
        <v>1</v>
      </c>
      <c r="P232" s="58">
        <v>56.513043478260869</v>
      </c>
      <c r="Q232" s="60">
        <v>1</v>
      </c>
    </row>
    <row r="233" spans="1:17" x14ac:dyDescent="0.35">
      <c r="A233" s="54"/>
      <c r="B233" s="43">
        <v>42912</v>
      </c>
      <c r="C233" s="43" t="s">
        <v>764</v>
      </c>
      <c r="D233" s="58">
        <v>64.989999999999995</v>
      </c>
      <c r="E233" s="58">
        <v>40.121699999999997</v>
      </c>
      <c r="F233" s="58">
        <v>0</v>
      </c>
      <c r="G233" s="76">
        <v>0</v>
      </c>
      <c r="H233" s="58"/>
      <c r="I233" s="59"/>
      <c r="J233" s="58"/>
      <c r="K233" s="59"/>
      <c r="L233" s="58">
        <v>56.513043478260869</v>
      </c>
      <c r="M233" s="59">
        <v>1</v>
      </c>
      <c r="N233" s="58"/>
      <c r="O233" s="59"/>
      <c r="P233" s="58">
        <v>56.513043478260869</v>
      </c>
      <c r="Q233" s="60">
        <v>1</v>
      </c>
    </row>
    <row r="234" spans="1:17" x14ac:dyDescent="0.35">
      <c r="A234" s="54"/>
      <c r="B234" s="43">
        <v>42920</v>
      </c>
      <c r="C234" s="43" t="s">
        <v>769</v>
      </c>
      <c r="D234" s="72">
        <v>106.99</v>
      </c>
      <c r="E234" s="58">
        <v>66.052099999999996</v>
      </c>
      <c r="F234" s="58">
        <v>0</v>
      </c>
      <c r="G234" s="76">
        <v>0</v>
      </c>
      <c r="H234" s="58"/>
      <c r="I234" s="59"/>
      <c r="J234" s="58">
        <v>93.03478260869565</v>
      </c>
      <c r="K234" s="59">
        <v>1</v>
      </c>
      <c r="L234" s="58"/>
      <c r="M234" s="59"/>
      <c r="N234" s="58"/>
      <c r="O234" s="59"/>
      <c r="P234" s="58">
        <v>93.03478260869565</v>
      </c>
      <c r="Q234" s="60">
        <v>1</v>
      </c>
    </row>
    <row r="235" spans="1:17" x14ac:dyDescent="0.35">
      <c r="A235" s="54"/>
      <c r="B235" s="43">
        <v>42922</v>
      </c>
      <c r="C235" s="43" t="s">
        <v>279</v>
      </c>
      <c r="D235" s="72">
        <v>134.99</v>
      </c>
      <c r="E235" s="58">
        <v>83.339100000000002</v>
      </c>
      <c r="F235" s="58">
        <v>0</v>
      </c>
      <c r="G235" s="76">
        <v>0</v>
      </c>
      <c r="H235" s="58"/>
      <c r="I235" s="59"/>
      <c r="J235" s="58">
        <v>117.38260869565218</v>
      </c>
      <c r="K235" s="59">
        <v>1</v>
      </c>
      <c r="L235" s="58"/>
      <c r="M235" s="59"/>
      <c r="N235" s="58"/>
      <c r="O235" s="59"/>
      <c r="P235" s="58">
        <v>117.38260869565218</v>
      </c>
      <c r="Q235" s="60">
        <v>1</v>
      </c>
    </row>
    <row r="236" spans="1:17" x14ac:dyDescent="0.35">
      <c r="A236" s="54"/>
      <c r="B236" s="43">
        <v>42924</v>
      </c>
      <c r="C236" s="43" t="s">
        <v>772</v>
      </c>
      <c r="D236" s="72">
        <v>103.99</v>
      </c>
      <c r="E236" s="58">
        <v>64.2</v>
      </c>
      <c r="F236" s="58">
        <v>0</v>
      </c>
      <c r="G236" s="76">
        <v>0</v>
      </c>
      <c r="H236" s="58"/>
      <c r="I236" s="59"/>
      <c r="J236" s="58"/>
      <c r="K236" s="59"/>
      <c r="L236" s="58">
        <v>180.85217391304346</v>
      </c>
      <c r="M236" s="59">
        <v>2</v>
      </c>
      <c r="N236" s="58">
        <v>90.426086956521729</v>
      </c>
      <c r="O236" s="59">
        <v>1</v>
      </c>
      <c r="P236" s="58">
        <v>271.2782608695652</v>
      </c>
      <c r="Q236" s="60">
        <v>3</v>
      </c>
    </row>
    <row r="237" spans="1:17" x14ac:dyDescent="0.35">
      <c r="A237" s="54"/>
      <c r="B237" s="43">
        <v>43028</v>
      </c>
      <c r="C237" s="43" t="s">
        <v>776</v>
      </c>
      <c r="D237" s="72">
        <v>59.99</v>
      </c>
      <c r="E237" s="58">
        <v>37.034700000000001</v>
      </c>
      <c r="F237" s="58">
        <v>0</v>
      </c>
      <c r="G237" s="76">
        <v>0</v>
      </c>
      <c r="H237" s="58"/>
      <c r="I237" s="59"/>
      <c r="J237" s="58"/>
      <c r="K237" s="59"/>
      <c r="L237" s="58">
        <v>104.33043478260871</v>
      </c>
      <c r="M237" s="59">
        <v>2</v>
      </c>
      <c r="N237" s="58"/>
      <c r="O237" s="59"/>
      <c r="P237" s="58">
        <v>104.33043478260871</v>
      </c>
      <c r="Q237" s="60">
        <v>2</v>
      </c>
    </row>
    <row r="238" spans="1:17" x14ac:dyDescent="0.35">
      <c r="A238" s="54"/>
      <c r="B238" s="43">
        <v>43127</v>
      </c>
      <c r="C238" s="43" t="s">
        <v>780</v>
      </c>
      <c r="D238" s="72">
        <v>62.99</v>
      </c>
      <c r="E238" s="58">
        <v>38.886899999999997</v>
      </c>
      <c r="F238" s="58">
        <v>0</v>
      </c>
      <c r="G238" s="76">
        <v>0</v>
      </c>
      <c r="H238" s="58"/>
      <c r="I238" s="59"/>
      <c r="J238" s="58"/>
      <c r="K238" s="59"/>
      <c r="L238" s="58">
        <v>54.77391304347826</v>
      </c>
      <c r="M238" s="59">
        <v>1</v>
      </c>
      <c r="N238" s="58">
        <v>54.77391304347826</v>
      </c>
      <c r="O238" s="59">
        <v>1</v>
      </c>
      <c r="P238" s="58">
        <v>109.54782608695652</v>
      </c>
      <c r="Q238" s="60">
        <v>2</v>
      </c>
    </row>
    <row r="239" spans="1:17" x14ac:dyDescent="0.35">
      <c r="A239" s="54"/>
      <c r="B239" s="43">
        <v>43618</v>
      </c>
      <c r="C239" s="43" t="s">
        <v>785</v>
      </c>
      <c r="D239" s="58">
        <v>62.99</v>
      </c>
      <c r="E239" s="58">
        <v>38.886899999999997</v>
      </c>
      <c r="F239" s="58">
        <v>0</v>
      </c>
      <c r="G239" s="76">
        <v>0</v>
      </c>
      <c r="H239" s="58"/>
      <c r="I239" s="59"/>
      <c r="J239" s="58"/>
      <c r="K239" s="59"/>
      <c r="L239" s="58"/>
      <c r="M239" s="59"/>
      <c r="N239" s="58">
        <v>109.54782608695652</v>
      </c>
      <c r="O239" s="59">
        <v>2</v>
      </c>
      <c r="P239" s="58">
        <v>109.54782608695652</v>
      </c>
      <c r="Q239" s="60">
        <v>2</v>
      </c>
    </row>
    <row r="240" spans="1:17" x14ac:dyDescent="0.35">
      <c r="A240" s="54"/>
      <c r="B240" s="43">
        <v>43829</v>
      </c>
      <c r="C240" s="43" t="s">
        <v>788</v>
      </c>
      <c r="D240" s="72">
        <v>119.99</v>
      </c>
      <c r="E240" s="58">
        <v>74.078199999999995</v>
      </c>
      <c r="F240" s="58">
        <v>0</v>
      </c>
      <c r="G240" s="76">
        <v>0</v>
      </c>
      <c r="H240" s="58"/>
      <c r="I240" s="59"/>
      <c r="J240" s="58"/>
      <c r="K240" s="59"/>
      <c r="L240" s="58"/>
      <c r="M240" s="59"/>
      <c r="N240" s="58">
        <v>104.3391304347826</v>
      </c>
      <c r="O240" s="59">
        <v>1</v>
      </c>
      <c r="P240" s="58">
        <v>104.3391304347826</v>
      </c>
      <c r="Q240" s="60">
        <v>1</v>
      </c>
    </row>
    <row r="241" spans="1:17" x14ac:dyDescent="0.35">
      <c r="A241" s="54"/>
      <c r="B241" s="43">
        <v>45161</v>
      </c>
      <c r="C241" s="43" t="s">
        <v>792</v>
      </c>
      <c r="D241" s="72">
        <v>67.989999999999995</v>
      </c>
      <c r="E241" s="58">
        <v>41.9739</v>
      </c>
      <c r="F241" s="58">
        <v>0</v>
      </c>
      <c r="G241" s="76">
        <v>0</v>
      </c>
      <c r="H241" s="58"/>
      <c r="I241" s="59"/>
      <c r="J241" s="58"/>
      <c r="K241" s="59"/>
      <c r="L241" s="58">
        <v>59.121739130434776</v>
      </c>
      <c r="M241" s="59">
        <v>1</v>
      </c>
      <c r="N241" s="58"/>
      <c r="O241" s="59"/>
      <c r="P241" s="58">
        <v>59.121739130434776</v>
      </c>
      <c r="Q241" s="60">
        <v>1</v>
      </c>
    </row>
    <row r="242" spans="1:17" x14ac:dyDescent="0.35">
      <c r="A242" s="54"/>
      <c r="B242" s="43">
        <v>46388</v>
      </c>
      <c r="C242" s="43" t="s">
        <v>798</v>
      </c>
      <c r="D242" s="72">
        <v>75.989999999999995</v>
      </c>
      <c r="E242" s="58">
        <v>46.912999999999997</v>
      </c>
      <c r="F242" s="58">
        <v>0</v>
      </c>
      <c r="G242" s="76">
        <v>0</v>
      </c>
      <c r="H242" s="58"/>
      <c r="I242" s="59"/>
      <c r="J242" s="58"/>
      <c r="K242" s="59"/>
      <c r="L242" s="58"/>
      <c r="M242" s="59"/>
      <c r="N242" s="58">
        <v>66.078260869565213</v>
      </c>
      <c r="O242" s="59">
        <v>1</v>
      </c>
      <c r="P242" s="58">
        <v>66.078260869565213</v>
      </c>
      <c r="Q242" s="60">
        <v>1</v>
      </c>
    </row>
    <row r="243" spans="1:17" x14ac:dyDescent="0.35">
      <c r="A243" s="54"/>
      <c r="B243" s="43">
        <v>66728</v>
      </c>
      <c r="C243" s="43" t="s">
        <v>945</v>
      </c>
      <c r="D243" s="72">
        <v>79.989999999999995</v>
      </c>
      <c r="E243" s="58">
        <v>49.382599999999996</v>
      </c>
      <c r="F243" s="58">
        <v>0</v>
      </c>
      <c r="G243" s="76">
        <v>0</v>
      </c>
      <c r="H243" s="58"/>
      <c r="I243" s="59"/>
      <c r="J243" s="58"/>
      <c r="K243" s="59"/>
      <c r="L243" s="58">
        <v>69.556521739130432</v>
      </c>
      <c r="M243" s="59">
        <v>1</v>
      </c>
      <c r="N243" s="58"/>
      <c r="O243" s="59"/>
      <c r="P243" s="58">
        <v>69.556521739130432</v>
      </c>
      <c r="Q243" s="60">
        <v>1</v>
      </c>
    </row>
    <row r="244" spans="1:17" x14ac:dyDescent="0.35">
      <c r="A244" s="43">
        <v>117</v>
      </c>
      <c r="B244" s="43">
        <v>41620</v>
      </c>
      <c r="C244" s="43" t="s">
        <v>255</v>
      </c>
      <c r="D244" s="72">
        <v>15.99</v>
      </c>
      <c r="E244" s="58">
        <v>8.11</v>
      </c>
      <c r="F244" s="58">
        <v>95.94</v>
      </c>
      <c r="G244" s="76">
        <v>6</v>
      </c>
      <c r="H244" s="58"/>
      <c r="I244" s="59"/>
      <c r="J244" s="58"/>
      <c r="K244" s="59"/>
      <c r="L244" s="58">
        <v>13.904347826086957</v>
      </c>
      <c r="M244" s="59">
        <v>1</v>
      </c>
      <c r="N244" s="58"/>
      <c r="O244" s="59"/>
      <c r="P244" s="58">
        <v>13.904347826086957</v>
      </c>
      <c r="Q244" s="60">
        <v>1</v>
      </c>
    </row>
    <row r="245" spans="1:17" x14ac:dyDescent="0.35">
      <c r="A245" s="43">
        <v>118</v>
      </c>
      <c r="B245" s="43">
        <v>34014</v>
      </c>
      <c r="C245" s="43" t="s">
        <v>258</v>
      </c>
      <c r="D245" s="72">
        <v>100</v>
      </c>
      <c r="E245" s="58">
        <v>52.03</v>
      </c>
      <c r="F245" s="58">
        <v>0</v>
      </c>
      <c r="G245" s="76">
        <v>0</v>
      </c>
      <c r="H245" s="58">
        <v>86.956521739130437</v>
      </c>
      <c r="I245" s="59">
        <v>1</v>
      </c>
      <c r="J245" s="58"/>
      <c r="K245" s="59"/>
      <c r="L245" s="58"/>
      <c r="M245" s="59"/>
      <c r="N245" s="58"/>
      <c r="O245" s="59"/>
      <c r="P245" s="58">
        <v>86.956521739130437</v>
      </c>
      <c r="Q245" s="60">
        <v>1</v>
      </c>
    </row>
    <row r="246" spans="1:17" x14ac:dyDescent="0.35">
      <c r="A246" s="54"/>
      <c r="B246" s="43">
        <v>34033</v>
      </c>
      <c r="C246" s="43" t="s">
        <v>256</v>
      </c>
      <c r="D246" s="72">
        <v>120</v>
      </c>
      <c r="E246" s="58">
        <v>64.849999999999994</v>
      </c>
      <c r="F246" s="58">
        <v>0</v>
      </c>
      <c r="G246" s="76">
        <v>0</v>
      </c>
      <c r="H246" s="58">
        <v>104.34782608695652</v>
      </c>
      <c r="I246" s="59">
        <v>1</v>
      </c>
      <c r="J246" s="58">
        <v>104.34782608695652</v>
      </c>
      <c r="K246" s="59">
        <v>1</v>
      </c>
      <c r="L246" s="58"/>
      <c r="M246" s="59"/>
      <c r="N246" s="58"/>
      <c r="O246" s="59"/>
      <c r="P246" s="58">
        <v>208.69565217391303</v>
      </c>
      <c r="Q246" s="60">
        <v>2</v>
      </c>
    </row>
    <row r="247" spans="1:17" x14ac:dyDescent="0.35">
      <c r="A247" s="54"/>
      <c r="B247" s="43">
        <v>40305</v>
      </c>
      <c r="C247" s="43" t="s">
        <v>257</v>
      </c>
      <c r="D247" s="72">
        <v>9.99</v>
      </c>
      <c r="E247" s="58">
        <v>4.53</v>
      </c>
      <c r="F247" s="58">
        <v>0</v>
      </c>
      <c r="G247" s="76">
        <v>0</v>
      </c>
      <c r="H247" s="58">
        <v>17.373913043478261</v>
      </c>
      <c r="I247" s="59">
        <v>2</v>
      </c>
      <c r="J247" s="58">
        <v>86.869565217391312</v>
      </c>
      <c r="K247" s="59">
        <v>10</v>
      </c>
      <c r="L247" s="58">
        <v>8.6869565217391305</v>
      </c>
      <c r="M247" s="59">
        <v>1</v>
      </c>
      <c r="N247" s="58"/>
      <c r="O247" s="59"/>
      <c r="P247" s="58">
        <v>112.93043478260871</v>
      </c>
      <c r="Q247" s="60">
        <v>13</v>
      </c>
    </row>
    <row r="248" spans="1:17" x14ac:dyDescent="0.35">
      <c r="A248" s="43">
        <v>119</v>
      </c>
      <c r="B248" s="43">
        <v>34105</v>
      </c>
      <c r="C248" s="43" t="s">
        <v>265</v>
      </c>
      <c r="D248" s="72">
        <v>79.989999999999995</v>
      </c>
      <c r="E248" s="58">
        <v>54.64</v>
      </c>
      <c r="F248" s="58">
        <v>0</v>
      </c>
      <c r="G248" s="76">
        <v>0</v>
      </c>
      <c r="H248" s="58">
        <v>69.556521739130432</v>
      </c>
      <c r="I248" s="59">
        <v>1</v>
      </c>
      <c r="J248" s="58"/>
      <c r="K248" s="59"/>
      <c r="L248" s="58">
        <v>208.66956521739129</v>
      </c>
      <c r="M248" s="59">
        <v>3</v>
      </c>
      <c r="N248" s="58"/>
      <c r="O248" s="59"/>
      <c r="P248" s="58">
        <v>278.22608695652173</v>
      </c>
      <c r="Q248" s="60">
        <v>4</v>
      </c>
    </row>
    <row r="249" spans="1:17" x14ac:dyDescent="0.35">
      <c r="A249" s="43">
        <v>120</v>
      </c>
      <c r="B249" s="43">
        <v>62585</v>
      </c>
      <c r="C249" s="43" t="s">
        <v>281</v>
      </c>
      <c r="D249" s="72">
        <v>60</v>
      </c>
      <c r="E249" s="58">
        <v>26.17</v>
      </c>
      <c r="F249" s="58">
        <v>0</v>
      </c>
      <c r="G249" s="76">
        <v>0</v>
      </c>
      <c r="H249" s="58"/>
      <c r="I249" s="59"/>
      <c r="J249" s="58">
        <v>6217.391304347826</v>
      </c>
      <c r="K249" s="59">
        <v>130</v>
      </c>
      <c r="L249" s="58"/>
      <c r="M249" s="59"/>
      <c r="N249" s="58"/>
      <c r="O249" s="59"/>
      <c r="P249" s="58">
        <v>6217.391304347826</v>
      </c>
      <c r="Q249" s="60">
        <v>130</v>
      </c>
    </row>
    <row r="250" spans="1:17" x14ac:dyDescent="0.35">
      <c r="A250" s="54"/>
      <c r="B250" s="43">
        <v>62629</v>
      </c>
      <c r="C250" s="43" t="s">
        <v>282</v>
      </c>
      <c r="D250" s="58">
        <v>60</v>
      </c>
      <c r="E250" s="58">
        <v>33.18</v>
      </c>
      <c r="F250" s="58">
        <v>0</v>
      </c>
      <c r="G250" s="76">
        <v>0</v>
      </c>
      <c r="H250" s="58"/>
      <c r="I250" s="59"/>
      <c r="J250" s="58">
        <v>1043.4782608695652</v>
      </c>
      <c r="K250" s="59">
        <v>20</v>
      </c>
      <c r="L250" s="58"/>
      <c r="M250" s="59"/>
      <c r="N250" s="58"/>
      <c r="O250" s="59"/>
      <c r="P250" s="58">
        <v>1043.4782608695652</v>
      </c>
      <c r="Q250" s="60">
        <v>20</v>
      </c>
    </row>
    <row r="251" spans="1:17" x14ac:dyDescent="0.35">
      <c r="A251" s="61" t="s">
        <v>295</v>
      </c>
      <c r="B251" s="47"/>
      <c r="C251" s="47"/>
      <c r="D251" s="47"/>
      <c r="E251" s="47"/>
      <c r="F251" s="47"/>
      <c r="G251" s="47"/>
      <c r="H251" s="62">
        <v>15708.496956521731</v>
      </c>
      <c r="I251" s="63">
        <v>1028</v>
      </c>
      <c r="J251" s="62">
        <v>21328.90130434783</v>
      </c>
      <c r="K251" s="63">
        <v>1044</v>
      </c>
      <c r="L251" s="62">
        <v>18040.652173913048</v>
      </c>
      <c r="M251" s="63">
        <v>1026</v>
      </c>
      <c r="N251" s="62">
        <v>16027.403043478256</v>
      </c>
      <c r="O251" s="63">
        <v>956</v>
      </c>
      <c r="P251" s="62">
        <v>71105.453478260883</v>
      </c>
      <c r="Q251" s="64">
        <v>4054</v>
      </c>
    </row>
    <row r="252" spans="1:17" x14ac:dyDescent="0.35">
      <c r="D252"/>
      <c r="F252"/>
    </row>
    <row r="253" spans="1:17" x14ac:dyDescent="0.35">
      <c r="D253"/>
      <c r="F253"/>
    </row>
    <row r="254" spans="1:17" x14ac:dyDescent="0.35">
      <c r="D254"/>
      <c r="F254"/>
    </row>
    <row r="255" spans="1:17" x14ac:dyDescent="0.35">
      <c r="D255"/>
      <c r="F255"/>
    </row>
    <row r="256" spans="1:17" x14ac:dyDescent="0.35">
      <c r="D256"/>
      <c r="F256"/>
    </row>
    <row r="257" spans="4:6" x14ac:dyDescent="0.35">
      <c r="D257"/>
      <c r="F257"/>
    </row>
    <row r="258" spans="4:6" x14ac:dyDescent="0.35">
      <c r="D258"/>
      <c r="F258"/>
    </row>
    <row r="259" spans="4:6" x14ac:dyDescent="0.35">
      <c r="D259"/>
      <c r="F259"/>
    </row>
    <row r="260" spans="4:6" x14ac:dyDescent="0.35">
      <c r="D260"/>
      <c r="F260"/>
    </row>
    <row r="261" spans="4:6" x14ac:dyDescent="0.35">
      <c r="D261"/>
      <c r="F261"/>
    </row>
    <row r="262" spans="4:6" x14ac:dyDescent="0.35">
      <c r="D262"/>
      <c r="F262"/>
    </row>
    <row r="263" spans="4:6" x14ac:dyDescent="0.35">
      <c r="D263"/>
      <c r="F263"/>
    </row>
    <row r="264" spans="4:6" x14ac:dyDescent="0.35">
      <c r="D264"/>
      <c r="F264"/>
    </row>
    <row r="265" spans="4:6" x14ac:dyDescent="0.35">
      <c r="D265"/>
      <c r="F265"/>
    </row>
    <row r="266" spans="4:6" x14ac:dyDescent="0.35">
      <c r="D266"/>
      <c r="F266"/>
    </row>
    <row r="267" spans="4:6" x14ac:dyDescent="0.35">
      <c r="D267"/>
      <c r="F267"/>
    </row>
    <row r="268" spans="4:6" x14ac:dyDescent="0.35">
      <c r="D268"/>
      <c r="F268"/>
    </row>
    <row r="269" spans="4:6" x14ac:dyDescent="0.35">
      <c r="D269"/>
      <c r="F269"/>
    </row>
    <row r="270" spans="4:6" x14ac:dyDescent="0.35">
      <c r="D270"/>
      <c r="F270"/>
    </row>
    <row r="271" spans="4:6" x14ac:dyDescent="0.35">
      <c r="D271"/>
      <c r="F271"/>
    </row>
    <row r="272" spans="4:6" x14ac:dyDescent="0.35">
      <c r="D272"/>
      <c r="F272"/>
    </row>
    <row r="273" spans="4:6" x14ac:dyDescent="0.35">
      <c r="D273"/>
      <c r="F273"/>
    </row>
    <row r="274" spans="4:6" x14ac:dyDescent="0.35">
      <c r="D274"/>
      <c r="F274"/>
    </row>
    <row r="275" spans="4:6" x14ac:dyDescent="0.35">
      <c r="D275"/>
      <c r="F275"/>
    </row>
    <row r="276" spans="4:6" x14ac:dyDescent="0.35">
      <c r="D276"/>
      <c r="F276"/>
    </row>
    <row r="277" spans="4:6" x14ac:dyDescent="0.35">
      <c r="D277"/>
      <c r="F277"/>
    </row>
    <row r="278" spans="4:6" x14ac:dyDescent="0.35">
      <c r="D278"/>
      <c r="F278"/>
    </row>
    <row r="279" spans="4:6" x14ac:dyDescent="0.35">
      <c r="D279"/>
      <c r="F279"/>
    </row>
    <row r="280" spans="4:6" x14ac:dyDescent="0.35">
      <c r="D280"/>
      <c r="F280"/>
    </row>
    <row r="281" spans="4:6" x14ac:dyDescent="0.35">
      <c r="D281"/>
      <c r="F281"/>
    </row>
    <row r="282" spans="4:6" x14ac:dyDescent="0.35">
      <c r="D282"/>
      <c r="F282"/>
    </row>
    <row r="283" spans="4:6" x14ac:dyDescent="0.35">
      <c r="D283"/>
      <c r="F283"/>
    </row>
    <row r="284" spans="4:6" x14ac:dyDescent="0.35">
      <c r="D284"/>
      <c r="F284"/>
    </row>
    <row r="285" spans="4:6" x14ac:dyDescent="0.35">
      <c r="D285"/>
      <c r="F285"/>
    </row>
    <row r="286" spans="4:6" x14ac:dyDescent="0.35">
      <c r="D286"/>
      <c r="F286"/>
    </row>
    <row r="287" spans="4:6" x14ac:dyDescent="0.35">
      <c r="D287"/>
      <c r="F287"/>
    </row>
    <row r="288" spans="4:6" x14ac:dyDescent="0.35">
      <c r="D288"/>
      <c r="F288"/>
    </row>
    <row r="289" spans="4:6" x14ac:dyDescent="0.35">
      <c r="D289"/>
      <c r="F289"/>
    </row>
    <row r="290" spans="4:6" x14ac:dyDescent="0.35">
      <c r="D290"/>
      <c r="F290"/>
    </row>
    <row r="291" spans="4:6" x14ac:dyDescent="0.35">
      <c r="D291"/>
      <c r="F291"/>
    </row>
    <row r="292" spans="4:6" x14ac:dyDescent="0.35">
      <c r="D292"/>
      <c r="F292"/>
    </row>
    <row r="293" spans="4:6" x14ac:dyDescent="0.35">
      <c r="D293"/>
      <c r="F293"/>
    </row>
    <row r="294" spans="4:6" x14ac:dyDescent="0.35">
      <c r="D294"/>
      <c r="F294"/>
    </row>
    <row r="295" spans="4:6" x14ac:dyDescent="0.35">
      <c r="D295"/>
      <c r="F295"/>
    </row>
    <row r="296" spans="4:6" x14ac:dyDescent="0.35">
      <c r="D296"/>
      <c r="F296"/>
    </row>
    <row r="297" spans="4:6" x14ac:dyDescent="0.35">
      <c r="D297"/>
      <c r="F297"/>
    </row>
    <row r="298" spans="4:6" x14ac:dyDescent="0.35">
      <c r="D298"/>
      <c r="F298"/>
    </row>
    <row r="299" spans="4:6" x14ac:dyDescent="0.35">
      <c r="D299"/>
      <c r="F299"/>
    </row>
    <row r="300" spans="4:6" x14ac:dyDescent="0.35">
      <c r="D300"/>
      <c r="F300"/>
    </row>
    <row r="301" spans="4:6" x14ac:dyDescent="0.35">
      <c r="D301"/>
      <c r="F301"/>
    </row>
    <row r="302" spans="4:6" x14ac:dyDescent="0.35">
      <c r="D302"/>
      <c r="F302"/>
    </row>
    <row r="303" spans="4:6" x14ac:dyDescent="0.35">
      <c r="D303"/>
      <c r="F303"/>
    </row>
    <row r="304" spans="4:6" x14ac:dyDescent="0.35">
      <c r="D304"/>
      <c r="F304"/>
    </row>
    <row r="305" spans="4:6" x14ac:dyDescent="0.35">
      <c r="D305"/>
      <c r="F305"/>
    </row>
    <row r="306" spans="4:6" x14ac:dyDescent="0.35">
      <c r="D306"/>
      <c r="F306"/>
    </row>
    <row r="307" spans="4:6" x14ac:dyDescent="0.35">
      <c r="D307"/>
      <c r="F307"/>
    </row>
    <row r="308" spans="4:6" x14ac:dyDescent="0.35">
      <c r="D308"/>
      <c r="F308"/>
    </row>
    <row r="309" spans="4:6" x14ac:dyDescent="0.35">
      <c r="D309"/>
      <c r="F30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20B6C-4071-457B-87DF-4EA022CCBA03}">
  <dimension ref="A1:J563"/>
  <sheetViews>
    <sheetView topLeftCell="A2" workbookViewId="0">
      <selection activeCell="A2" sqref="A2:J563"/>
    </sheetView>
  </sheetViews>
  <sheetFormatPr defaultRowHeight="13" x14ac:dyDescent="0.35"/>
  <cols>
    <col min="1" max="1" width="36.5" bestFit="1" customWidth="1"/>
    <col min="2" max="2" width="18.796875" bestFit="1" customWidth="1"/>
    <col min="3" max="3" width="16.5" bestFit="1" customWidth="1"/>
    <col min="4" max="4" width="41.8984375" bestFit="1" customWidth="1"/>
    <col min="5" max="5" width="6.8984375" bestFit="1" customWidth="1"/>
    <col min="6" max="6" width="11.8984375" bestFit="1" customWidth="1"/>
    <col min="7" max="7" width="7.796875" bestFit="1" customWidth="1"/>
    <col min="8" max="8" width="11" bestFit="1" customWidth="1"/>
    <col min="9" max="9" width="18.59765625" bestFit="1" customWidth="1"/>
    <col min="10" max="10" width="17" bestFit="1" customWidth="1"/>
  </cols>
  <sheetData>
    <row r="1" spans="1:10" x14ac:dyDescent="0.35">
      <c r="A1" t="s">
        <v>0</v>
      </c>
      <c r="B1" t="s">
        <v>303</v>
      </c>
      <c r="C1" t="s">
        <v>1</v>
      </c>
      <c r="D1" t="s">
        <v>2</v>
      </c>
      <c r="E1" t="s">
        <v>3</v>
      </c>
      <c r="F1" t="s">
        <v>4</v>
      </c>
      <c r="G1" t="s">
        <v>311</v>
      </c>
      <c r="H1" t="s">
        <v>312</v>
      </c>
      <c r="I1" t="s">
        <v>6</v>
      </c>
      <c r="J1" t="s">
        <v>8</v>
      </c>
    </row>
    <row r="2" spans="1:10" x14ac:dyDescent="0.35">
      <c r="A2" t="s">
        <v>476</v>
      </c>
      <c r="B2">
        <v>109</v>
      </c>
      <c r="C2">
        <v>8913</v>
      </c>
      <c r="D2" t="s">
        <v>477</v>
      </c>
      <c r="E2">
        <v>9.99</v>
      </c>
      <c r="F2">
        <v>5.7391666666666667</v>
      </c>
      <c r="G2">
        <v>46188</v>
      </c>
      <c r="H2" t="s">
        <v>309</v>
      </c>
      <c r="I2">
        <v>26.060869565217391</v>
      </c>
      <c r="J2">
        <v>3</v>
      </c>
    </row>
    <row r="3" spans="1:10" x14ac:dyDescent="0.35">
      <c r="A3" t="s">
        <v>476</v>
      </c>
      <c r="B3">
        <v>109</v>
      </c>
      <c r="C3">
        <v>8913</v>
      </c>
      <c r="D3" t="s">
        <v>477</v>
      </c>
      <c r="E3">
        <v>9.99</v>
      </c>
      <c r="F3">
        <v>5.7391666666666667</v>
      </c>
      <c r="G3">
        <v>46189</v>
      </c>
      <c r="H3" t="s">
        <v>310</v>
      </c>
      <c r="I3">
        <v>26.060869565217391</v>
      </c>
      <c r="J3">
        <v>3</v>
      </c>
    </row>
    <row r="4" spans="1:10" x14ac:dyDescent="0.35">
      <c r="A4" t="s">
        <v>476</v>
      </c>
      <c r="B4">
        <v>109</v>
      </c>
      <c r="C4">
        <v>8913</v>
      </c>
      <c r="D4" t="s">
        <v>477</v>
      </c>
      <c r="E4">
        <v>9.99</v>
      </c>
      <c r="F4">
        <v>5.7391666666666667</v>
      </c>
      <c r="G4">
        <v>46191</v>
      </c>
      <c r="H4" t="s">
        <v>960</v>
      </c>
      <c r="I4">
        <v>8.6869565217391305</v>
      </c>
      <c r="J4">
        <v>1</v>
      </c>
    </row>
    <row r="5" spans="1:10" x14ac:dyDescent="0.35">
      <c r="A5" t="s">
        <v>476</v>
      </c>
      <c r="B5">
        <v>109</v>
      </c>
      <c r="C5">
        <v>8915</v>
      </c>
      <c r="D5" t="s">
        <v>478</v>
      </c>
      <c r="E5">
        <v>9.99</v>
      </c>
      <c r="F5">
        <v>5.7391666666666667</v>
      </c>
      <c r="G5">
        <v>46188</v>
      </c>
      <c r="H5" t="s">
        <v>309</v>
      </c>
      <c r="I5">
        <v>8.6869565217391305</v>
      </c>
      <c r="J5">
        <v>1</v>
      </c>
    </row>
    <row r="6" spans="1:10" x14ac:dyDescent="0.35">
      <c r="A6" t="s">
        <v>476</v>
      </c>
      <c r="B6">
        <v>109</v>
      </c>
      <c r="C6">
        <v>8915</v>
      </c>
      <c r="D6" t="s">
        <v>478</v>
      </c>
      <c r="E6">
        <v>9.99</v>
      </c>
      <c r="F6">
        <v>5.7391666666666667</v>
      </c>
      <c r="G6">
        <v>46190</v>
      </c>
      <c r="H6" t="s">
        <v>316</v>
      </c>
      <c r="I6">
        <v>17.373913043478261</v>
      </c>
      <c r="J6">
        <v>2</v>
      </c>
    </row>
    <row r="7" spans="1:10" x14ac:dyDescent="0.35">
      <c r="A7" t="s">
        <v>317</v>
      </c>
      <c r="B7">
        <v>106</v>
      </c>
      <c r="C7">
        <v>14582</v>
      </c>
      <c r="D7" t="s">
        <v>482</v>
      </c>
      <c r="E7">
        <v>22.99</v>
      </c>
      <c r="F7">
        <v>13.88095</v>
      </c>
      <c r="G7">
        <v>46191</v>
      </c>
      <c r="H7" t="s">
        <v>960</v>
      </c>
      <c r="I7">
        <v>19.991304347826087</v>
      </c>
      <c r="J7">
        <v>1</v>
      </c>
    </row>
    <row r="8" spans="1:10" x14ac:dyDescent="0.35">
      <c r="A8" t="s">
        <v>317</v>
      </c>
      <c r="B8">
        <v>106</v>
      </c>
      <c r="C8">
        <v>14712</v>
      </c>
      <c r="D8" t="s">
        <v>483</v>
      </c>
      <c r="E8">
        <v>51.99</v>
      </c>
      <c r="F8">
        <v>32.214849999999998</v>
      </c>
      <c r="G8">
        <v>46188</v>
      </c>
      <c r="H8" t="s">
        <v>309</v>
      </c>
      <c r="I8">
        <v>90.417391304347831</v>
      </c>
      <c r="J8">
        <v>2</v>
      </c>
    </row>
    <row r="9" spans="1:10" x14ac:dyDescent="0.35">
      <c r="A9" t="s">
        <v>317</v>
      </c>
      <c r="B9">
        <v>106</v>
      </c>
      <c r="C9">
        <v>14713</v>
      </c>
      <c r="D9" t="s">
        <v>484</v>
      </c>
      <c r="E9">
        <v>39.99</v>
      </c>
      <c r="F9">
        <v>25.062649999999998</v>
      </c>
      <c r="G9">
        <v>46188</v>
      </c>
      <c r="H9" t="s">
        <v>309</v>
      </c>
      <c r="I9">
        <v>34.77391304347826</v>
      </c>
      <c r="J9">
        <v>1</v>
      </c>
    </row>
    <row r="10" spans="1:10" x14ac:dyDescent="0.35">
      <c r="A10" t="s">
        <v>317</v>
      </c>
      <c r="B10">
        <v>106</v>
      </c>
      <c r="C10">
        <v>14713</v>
      </c>
      <c r="D10" t="s">
        <v>484</v>
      </c>
      <c r="E10">
        <v>39.99</v>
      </c>
      <c r="F10">
        <v>25.062649999999998</v>
      </c>
      <c r="G10">
        <v>46189</v>
      </c>
      <c r="H10" t="s">
        <v>310</v>
      </c>
      <c r="I10">
        <v>173.86956521739128</v>
      </c>
      <c r="J10">
        <v>5</v>
      </c>
    </row>
    <row r="11" spans="1:10" x14ac:dyDescent="0.35">
      <c r="A11" t="s">
        <v>317</v>
      </c>
      <c r="B11">
        <v>106</v>
      </c>
      <c r="C11">
        <v>14713</v>
      </c>
      <c r="D11" t="s">
        <v>484</v>
      </c>
      <c r="E11">
        <v>39.99</v>
      </c>
      <c r="F11">
        <v>25.062649999999998</v>
      </c>
      <c r="G11">
        <v>46190</v>
      </c>
      <c r="H11" t="s">
        <v>316</v>
      </c>
      <c r="I11">
        <v>34.77391304347826</v>
      </c>
      <c r="J11">
        <v>1</v>
      </c>
    </row>
    <row r="12" spans="1:10" x14ac:dyDescent="0.35">
      <c r="A12" t="s">
        <v>317</v>
      </c>
      <c r="B12">
        <v>106</v>
      </c>
      <c r="C12">
        <v>14713</v>
      </c>
      <c r="D12" t="s">
        <v>484</v>
      </c>
      <c r="E12">
        <v>39.99</v>
      </c>
      <c r="F12">
        <v>25.062649999999998</v>
      </c>
      <c r="G12">
        <v>46191</v>
      </c>
      <c r="H12" t="s">
        <v>960</v>
      </c>
      <c r="I12">
        <v>34.77391304347826</v>
      </c>
      <c r="J12">
        <v>1</v>
      </c>
    </row>
    <row r="13" spans="1:10" x14ac:dyDescent="0.35">
      <c r="A13" t="s">
        <v>317</v>
      </c>
      <c r="B13">
        <v>106</v>
      </c>
      <c r="C13">
        <v>14714</v>
      </c>
      <c r="D13" t="s">
        <v>485</v>
      </c>
      <c r="E13">
        <v>43.99</v>
      </c>
      <c r="F13">
        <v>27.177240000000001</v>
      </c>
      <c r="G13">
        <v>46188</v>
      </c>
      <c r="H13" t="s">
        <v>309</v>
      </c>
      <c r="I13">
        <v>38.252173913043478</v>
      </c>
      <c r="J13">
        <v>1</v>
      </c>
    </row>
    <row r="14" spans="1:10" x14ac:dyDescent="0.35">
      <c r="A14" t="s">
        <v>317</v>
      </c>
      <c r="B14">
        <v>106</v>
      </c>
      <c r="C14">
        <v>14716</v>
      </c>
      <c r="D14" t="s">
        <v>487</v>
      </c>
      <c r="E14">
        <v>43.99</v>
      </c>
      <c r="F14">
        <v>27.177240000000001</v>
      </c>
      <c r="G14">
        <v>46188</v>
      </c>
      <c r="H14" t="s">
        <v>309</v>
      </c>
      <c r="I14">
        <v>114.75652173913043</v>
      </c>
      <c r="J14">
        <v>3</v>
      </c>
    </row>
    <row r="15" spans="1:10" x14ac:dyDescent="0.35">
      <c r="A15" t="s">
        <v>317</v>
      </c>
      <c r="B15">
        <v>106</v>
      </c>
      <c r="C15">
        <v>14716</v>
      </c>
      <c r="D15" t="s">
        <v>487</v>
      </c>
      <c r="E15">
        <v>43.99</v>
      </c>
      <c r="F15">
        <v>27.177240000000001</v>
      </c>
      <c r="G15">
        <v>46191</v>
      </c>
      <c r="H15" t="s">
        <v>960</v>
      </c>
      <c r="I15">
        <v>76.504347826086956</v>
      </c>
      <c r="J15">
        <v>2</v>
      </c>
    </row>
    <row r="16" spans="1:10" x14ac:dyDescent="0.35">
      <c r="A16" t="s">
        <v>317</v>
      </c>
      <c r="B16">
        <v>106</v>
      </c>
      <c r="C16">
        <v>14721</v>
      </c>
      <c r="D16" t="s">
        <v>492</v>
      </c>
      <c r="E16">
        <v>42.99</v>
      </c>
      <c r="F16">
        <v>26.658679999999997</v>
      </c>
      <c r="G16">
        <v>46188</v>
      </c>
      <c r="H16" t="s">
        <v>309</v>
      </c>
      <c r="I16">
        <v>37.382608695652173</v>
      </c>
      <c r="J16">
        <v>1</v>
      </c>
    </row>
    <row r="17" spans="1:10" x14ac:dyDescent="0.35">
      <c r="A17" t="s">
        <v>317</v>
      </c>
      <c r="B17">
        <v>106</v>
      </c>
      <c r="C17">
        <v>14723</v>
      </c>
      <c r="D17" t="s">
        <v>494</v>
      </c>
      <c r="E17">
        <v>57.99</v>
      </c>
      <c r="F17">
        <v>36.126940000000005</v>
      </c>
      <c r="G17">
        <v>46189</v>
      </c>
      <c r="H17" t="s">
        <v>310</v>
      </c>
      <c r="I17">
        <v>50.426086956521743</v>
      </c>
      <c r="J17">
        <v>1</v>
      </c>
    </row>
    <row r="18" spans="1:10" x14ac:dyDescent="0.35">
      <c r="A18" t="s">
        <v>317</v>
      </c>
      <c r="B18">
        <v>106</v>
      </c>
      <c r="C18">
        <v>14728</v>
      </c>
      <c r="D18" t="s">
        <v>497</v>
      </c>
      <c r="E18">
        <v>51.99</v>
      </c>
      <c r="F18">
        <v>32.159280000000003</v>
      </c>
      <c r="G18">
        <v>46188</v>
      </c>
      <c r="H18" t="s">
        <v>309</v>
      </c>
      <c r="I18">
        <v>180.83478260869566</v>
      </c>
      <c r="J18">
        <v>4</v>
      </c>
    </row>
    <row r="19" spans="1:10" x14ac:dyDescent="0.35">
      <c r="A19" t="s">
        <v>317</v>
      </c>
      <c r="B19">
        <v>108</v>
      </c>
      <c r="C19">
        <v>14834</v>
      </c>
      <c r="D19" t="s">
        <v>499</v>
      </c>
      <c r="E19">
        <v>67.989999999999995</v>
      </c>
      <c r="F19">
        <v>41.68047</v>
      </c>
      <c r="G19">
        <v>46189</v>
      </c>
      <c r="H19" t="s">
        <v>310</v>
      </c>
      <c r="I19">
        <v>59.121739130434776</v>
      </c>
      <c r="J19">
        <v>1</v>
      </c>
    </row>
    <row r="20" spans="1:10" x14ac:dyDescent="0.35">
      <c r="A20" t="s">
        <v>317</v>
      </c>
      <c r="B20">
        <v>108</v>
      </c>
      <c r="C20">
        <v>14835</v>
      </c>
      <c r="D20" t="s">
        <v>500</v>
      </c>
      <c r="E20">
        <v>67.989999999999995</v>
      </c>
      <c r="F20">
        <v>41.68047</v>
      </c>
      <c r="G20">
        <v>46191</v>
      </c>
      <c r="H20" t="s">
        <v>960</v>
      </c>
      <c r="I20">
        <v>59.121739130434776</v>
      </c>
      <c r="J20">
        <v>1</v>
      </c>
    </row>
    <row r="21" spans="1:10" x14ac:dyDescent="0.35">
      <c r="A21" t="s">
        <v>317</v>
      </c>
      <c r="B21">
        <v>108</v>
      </c>
      <c r="C21">
        <v>14846</v>
      </c>
      <c r="D21" t="s">
        <v>501</v>
      </c>
      <c r="E21">
        <v>109.99</v>
      </c>
      <c r="F21">
        <v>67.861333333333334</v>
      </c>
      <c r="G21">
        <v>46189</v>
      </c>
      <c r="H21" t="s">
        <v>310</v>
      </c>
      <c r="I21">
        <v>95.643478260869557</v>
      </c>
      <c r="J21">
        <v>1</v>
      </c>
    </row>
    <row r="22" spans="1:10" x14ac:dyDescent="0.35">
      <c r="A22" t="s">
        <v>317</v>
      </c>
      <c r="B22">
        <v>108</v>
      </c>
      <c r="C22">
        <v>14847</v>
      </c>
      <c r="D22" t="s">
        <v>502</v>
      </c>
      <c r="E22">
        <v>109.99</v>
      </c>
      <c r="F22">
        <v>67.861333333333334</v>
      </c>
      <c r="G22">
        <v>46188</v>
      </c>
      <c r="H22" t="s">
        <v>309</v>
      </c>
      <c r="I22">
        <v>191.28695652173911</v>
      </c>
      <c r="J22">
        <v>2</v>
      </c>
    </row>
    <row r="23" spans="1:10" x14ac:dyDescent="0.35">
      <c r="A23" t="s">
        <v>317</v>
      </c>
      <c r="B23">
        <v>108</v>
      </c>
      <c r="C23">
        <v>14847</v>
      </c>
      <c r="D23" t="s">
        <v>502</v>
      </c>
      <c r="E23">
        <v>109.99</v>
      </c>
      <c r="F23">
        <v>67.861333333333334</v>
      </c>
      <c r="G23">
        <v>46189</v>
      </c>
      <c r="H23" t="s">
        <v>310</v>
      </c>
      <c r="I23">
        <v>95.643478260869557</v>
      </c>
      <c r="J23">
        <v>1</v>
      </c>
    </row>
    <row r="24" spans="1:10" x14ac:dyDescent="0.35">
      <c r="A24" t="s">
        <v>317</v>
      </c>
      <c r="B24">
        <v>108</v>
      </c>
      <c r="C24">
        <v>14847</v>
      </c>
      <c r="D24" t="s">
        <v>502</v>
      </c>
      <c r="E24">
        <v>109.99</v>
      </c>
      <c r="F24">
        <v>67.861333333333334</v>
      </c>
      <c r="G24">
        <v>46191</v>
      </c>
      <c r="H24" t="s">
        <v>960</v>
      </c>
      <c r="I24">
        <v>95.643478260869557</v>
      </c>
      <c r="J24">
        <v>1</v>
      </c>
    </row>
    <row r="25" spans="1:10" x14ac:dyDescent="0.35">
      <c r="A25" t="s">
        <v>317</v>
      </c>
      <c r="B25">
        <v>108</v>
      </c>
      <c r="C25">
        <v>14848</v>
      </c>
      <c r="D25" t="s">
        <v>503</v>
      </c>
      <c r="E25">
        <v>67.989999999999995</v>
      </c>
      <c r="F25">
        <v>41.68047</v>
      </c>
      <c r="G25">
        <v>46191</v>
      </c>
      <c r="H25" t="s">
        <v>960</v>
      </c>
      <c r="I25">
        <v>59.121739130434776</v>
      </c>
      <c r="J25">
        <v>1</v>
      </c>
    </row>
    <row r="26" spans="1:10" x14ac:dyDescent="0.35">
      <c r="A26" t="s">
        <v>317</v>
      </c>
      <c r="B26">
        <v>108</v>
      </c>
      <c r="C26">
        <v>14854</v>
      </c>
      <c r="D26" t="s">
        <v>505</v>
      </c>
      <c r="E26">
        <v>69.989999999999995</v>
      </c>
      <c r="F26">
        <v>43.867849999999997</v>
      </c>
      <c r="G26">
        <v>46188</v>
      </c>
      <c r="H26" t="s">
        <v>309</v>
      </c>
      <c r="I26">
        <v>60.860869565217385</v>
      </c>
      <c r="J26">
        <v>1</v>
      </c>
    </row>
    <row r="27" spans="1:10" x14ac:dyDescent="0.35">
      <c r="A27" t="s">
        <v>317</v>
      </c>
      <c r="B27">
        <v>108</v>
      </c>
      <c r="C27">
        <v>14854</v>
      </c>
      <c r="D27" t="s">
        <v>505</v>
      </c>
      <c r="E27">
        <v>69.989999999999995</v>
      </c>
      <c r="F27">
        <v>43.867849999999997</v>
      </c>
      <c r="G27">
        <v>46190</v>
      </c>
      <c r="H27" t="s">
        <v>316</v>
      </c>
      <c r="I27">
        <v>57.817391304347822</v>
      </c>
      <c r="J27">
        <v>1</v>
      </c>
    </row>
    <row r="28" spans="1:10" x14ac:dyDescent="0.35">
      <c r="A28" t="s">
        <v>317</v>
      </c>
      <c r="B28">
        <v>101</v>
      </c>
      <c r="C28">
        <v>14857</v>
      </c>
      <c r="D28" t="s">
        <v>321</v>
      </c>
      <c r="E28">
        <v>69.989999999999995</v>
      </c>
      <c r="F28">
        <v>43.867849999999997</v>
      </c>
      <c r="G28">
        <v>46190</v>
      </c>
      <c r="H28" t="s">
        <v>316</v>
      </c>
      <c r="I28">
        <v>57.817391304347822</v>
      </c>
      <c r="J28">
        <v>1</v>
      </c>
    </row>
    <row r="29" spans="1:10" x14ac:dyDescent="0.35">
      <c r="A29" t="s">
        <v>317</v>
      </c>
      <c r="B29">
        <v>101</v>
      </c>
      <c r="C29">
        <v>14858</v>
      </c>
      <c r="D29" t="s">
        <v>322</v>
      </c>
      <c r="E29">
        <v>69.989999999999995</v>
      </c>
      <c r="F29">
        <v>43.867849999999997</v>
      </c>
      <c r="G29">
        <v>46188</v>
      </c>
      <c r="H29" t="s">
        <v>309</v>
      </c>
      <c r="I29">
        <v>60.860869565217385</v>
      </c>
      <c r="J29">
        <v>1</v>
      </c>
    </row>
    <row r="30" spans="1:10" x14ac:dyDescent="0.35">
      <c r="A30" t="s">
        <v>317</v>
      </c>
      <c r="B30">
        <v>101</v>
      </c>
      <c r="C30">
        <v>14858</v>
      </c>
      <c r="D30" t="s">
        <v>322</v>
      </c>
      <c r="E30">
        <v>69.989999999999995</v>
      </c>
      <c r="F30">
        <v>43.867849999999997</v>
      </c>
      <c r="G30">
        <v>46190</v>
      </c>
      <c r="H30" t="s">
        <v>316</v>
      </c>
      <c r="I30">
        <v>60.860869565217385</v>
      </c>
      <c r="J30">
        <v>1</v>
      </c>
    </row>
    <row r="31" spans="1:10" x14ac:dyDescent="0.35">
      <c r="A31" t="s">
        <v>317</v>
      </c>
      <c r="B31">
        <v>108</v>
      </c>
      <c r="C31">
        <v>14859</v>
      </c>
      <c r="D31" t="s">
        <v>506</v>
      </c>
      <c r="E31">
        <v>69.989999999999995</v>
      </c>
      <c r="F31">
        <v>43.867849999999997</v>
      </c>
      <c r="G31">
        <v>46189</v>
      </c>
      <c r="H31" t="s">
        <v>310</v>
      </c>
      <c r="I31">
        <v>60.860869565217385</v>
      </c>
      <c r="J31">
        <v>1</v>
      </c>
    </row>
    <row r="32" spans="1:10" x14ac:dyDescent="0.35">
      <c r="A32" t="s">
        <v>317</v>
      </c>
      <c r="B32">
        <v>101</v>
      </c>
      <c r="C32">
        <v>14860</v>
      </c>
      <c r="D32" t="s">
        <v>323</v>
      </c>
      <c r="E32">
        <v>69.989999999999995</v>
      </c>
      <c r="F32">
        <v>43.867849999999997</v>
      </c>
      <c r="G32">
        <v>46191</v>
      </c>
      <c r="H32" t="s">
        <v>960</v>
      </c>
      <c r="I32">
        <v>60.860869565217385</v>
      </c>
      <c r="J32">
        <v>1</v>
      </c>
    </row>
    <row r="33" spans="1:10" x14ac:dyDescent="0.35">
      <c r="A33" t="s">
        <v>317</v>
      </c>
      <c r="B33">
        <v>105</v>
      </c>
      <c r="C33">
        <v>14934</v>
      </c>
      <c r="D33" t="s">
        <v>507</v>
      </c>
      <c r="E33">
        <v>32.99</v>
      </c>
      <c r="F33">
        <v>22.271466666666669</v>
      </c>
      <c r="G33">
        <v>46188</v>
      </c>
      <c r="H33" t="s">
        <v>309</v>
      </c>
      <c r="I33">
        <v>143.43478260869563</v>
      </c>
      <c r="J33">
        <v>5</v>
      </c>
    </row>
    <row r="34" spans="1:10" x14ac:dyDescent="0.35">
      <c r="A34" t="s">
        <v>317</v>
      </c>
      <c r="B34">
        <v>105</v>
      </c>
      <c r="C34">
        <v>14934</v>
      </c>
      <c r="D34" t="s">
        <v>507</v>
      </c>
      <c r="E34">
        <v>32.99</v>
      </c>
      <c r="F34">
        <v>22.271466666666669</v>
      </c>
      <c r="G34">
        <v>46189</v>
      </c>
      <c r="H34" t="s">
        <v>310</v>
      </c>
      <c r="I34">
        <v>86.060869565217388</v>
      </c>
      <c r="J34">
        <v>3</v>
      </c>
    </row>
    <row r="35" spans="1:10" x14ac:dyDescent="0.35">
      <c r="A35" t="s">
        <v>317</v>
      </c>
      <c r="B35">
        <v>105</v>
      </c>
      <c r="C35">
        <v>14934</v>
      </c>
      <c r="D35" t="s">
        <v>507</v>
      </c>
      <c r="E35">
        <v>32.99</v>
      </c>
      <c r="F35">
        <v>22.271466666666669</v>
      </c>
      <c r="G35">
        <v>46190</v>
      </c>
      <c r="H35" t="s">
        <v>316</v>
      </c>
      <c r="I35">
        <v>57.373913043478268</v>
      </c>
      <c r="J35">
        <v>2</v>
      </c>
    </row>
    <row r="36" spans="1:10" x14ac:dyDescent="0.35">
      <c r="A36" t="s">
        <v>317</v>
      </c>
      <c r="B36">
        <v>105</v>
      </c>
      <c r="C36">
        <v>14934</v>
      </c>
      <c r="D36" t="s">
        <v>507</v>
      </c>
      <c r="E36">
        <v>32.99</v>
      </c>
      <c r="F36">
        <v>22.271466666666669</v>
      </c>
      <c r="G36">
        <v>46191</v>
      </c>
      <c r="H36" t="s">
        <v>960</v>
      </c>
      <c r="I36">
        <v>86.060869565217388</v>
      </c>
      <c r="J36">
        <v>3</v>
      </c>
    </row>
    <row r="37" spans="1:10" x14ac:dyDescent="0.35">
      <c r="A37" t="s">
        <v>317</v>
      </c>
      <c r="B37">
        <v>107</v>
      </c>
      <c r="C37">
        <v>14936</v>
      </c>
      <c r="D37" t="s">
        <v>508</v>
      </c>
      <c r="E37">
        <v>44.99</v>
      </c>
      <c r="F37">
        <v>27.607716666666665</v>
      </c>
      <c r="G37">
        <v>46190</v>
      </c>
      <c r="H37" t="s">
        <v>316</v>
      </c>
      <c r="I37">
        <v>37.165217391304353</v>
      </c>
      <c r="J37">
        <v>1</v>
      </c>
    </row>
    <row r="38" spans="1:10" x14ac:dyDescent="0.35">
      <c r="A38" t="s">
        <v>317</v>
      </c>
      <c r="B38">
        <v>107</v>
      </c>
      <c r="C38">
        <v>14936</v>
      </c>
      <c r="D38" t="s">
        <v>508</v>
      </c>
      <c r="E38">
        <v>44.99</v>
      </c>
      <c r="F38">
        <v>27.607716666666665</v>
      </c>
      <c r="G38">
        <v>46191</v>
      </c>
      <c r="H38" t="s">
        <v>960</v>
      </c>
      <c r="I38">
        <v>39.121739130434783</v>
      </c>
      <c r="J38">
        <v>1</v>
      </c>
    </row>
    <row r="39" spans="1:10" x14ac:dyDescent="0.35">
      <c r="A39" t="s">
        <v>317</v>
      </c>
      <c r="B39">
        <v>105</v>
      </c>
      <c r="C39">
        <v>14937</v>
      </c>
      <c r="D39" t="s">
        <v>509</v>
      </c>
      <c r="E39">
        <v>24.99</v>
      </c>
      <c r="F39">
        <v>15.529409999999999</v>
      </c>
      <c r="G39">
        <v>46188</v>
      </c>
      <c r="H39" t="s">
        <v>309</v>
      </c>
      <c r="I39">
        <v>43.460869565217386</v>
      </c>
      <c r="J39">
        <v>2</v>
      </c>
    </row>
    <row r="40" spans="1:10" x14ac:dyDescent="0.35">
      <c r="A40" t="s">
        <v>317</v>
      </c>
      <c r="B40">
        <v>105</v>
      </c>
      <c r="C40">
        <v>14937</v>
      </c>
      <c r="D40" t="s">
        <v>509</v>
      </c>
      <c r="E40">
        <v>24.99</v>
      </c>
      <c r="F40">
        <v>15.529409999999999</v>
      </c>
      <c r="G40">
        <v>46189</v>
      </c>
      <c r="H40" t="s">
        <v>310</v>
      </c>
      <c r="I40">
        <v>173.84347826086955</v>
      </c>
      <c r="J40">
        <v>8</v>
      </c>
    </row>
    <row r="41" spans="1:10" x14ac:dyDescent="0.35">
      <c r="A41" t="s">
        <v>317</v>
      </c>
      <c r="B41">
        <v>105</v>
      </c>
      <c r="C41">
        <v>14937</v>
      </c>
      <c r="D41" t="s">
        <v>509</v>
      </c>
      <c r="E41">
        <v>24.99</v>
      </c>
      <c r="F41">
        <v>15.529409999999999</v>
      </c>
      <c r="G41">
        <v>46190</v>
      </c>
      <c r="H41" t="s">
        <v>316</v>
      </c>
      <c r="I41">
        <v>107.56521739130434</v>
      </c>
      <c r="J41">
        <v>5</v>
      </c>
    </row>
    <row r="42" spans="1:10" x14ac:dyDescent="0.35">
      <c r="A42" t="s">
        <v>317</v>
      </c>
      <c r="B42">
        <v>105</v>
      </c>
      <c r="C42">
        <v>14937</v>
      </c>
      <c r="D42" t="s">
        <v>509</v>
      </c>
      <c r="E42">
        <v>24.99</v>
      </c>
      <c r="F42">
        <v>15.529409999999999</v>
      </c>
      <c r="G42">
        <v>46191</v>
      </c>
      <c r="H42" t="s">
        <v>960</v>
      </c>
      <c r="I42">
        <v>293.35652173913047</v>
      </c>
      <c r="J42">
        <v>14</v>
      </c>
    </row>
    <row r="43" spans="1:10" x14ac:dyDescent="0.35">
      <c r="A43" t="s">
        <v>317</v>
      </c>
      <c r="B43">
        <v>105</v>
      </c>
      <c r="C43">
        <v>14942</v>
      </c>
      <c r="D43" t="s">
        <v>512</v>
      </c>
      <c r="E43">
        <v>26.99</v>
      </c>
      <c r="F43">
        <v>17.327516666666668</v>
      </c>
      <c r="G43">
        <v>46189</v>
      </c>
      <c r="H43" t="s">
        <v>310</v>
      </c>
      <c r="I43">
        <v>23.469565217391303</v>
      </c>
      <c r="J43">
        <v>1</v>
      </c>
    </row>
    <row r="44" spans="1:10" x14ac:dyDescent="0.35">
      <c r="A44" t="s">
        <v>317</v>
      </c>
      <c r="B44">
        <v>105</v>
      </c>
      <c r="C44">
        <v>14942</v>
      </c>
      <c r="D44" t="s">
        <v>512</v>
      </c>
      <c r="E44">
        <v>26.99</v>
      </c>
      <c r="F44">
        <v>17.327516666666668</v>
      </c>
      <c r="G44">
        <v>46190</v>
      </c>
      <c r="H44" t="s">
        <v>316</v>
      </c>
      <c r="I44">
        <v>69.234782608695653</v>
      </c>
      <c r="J44">
        <v>3</v>
      </c>
    </row>
    <row r="45" spans="1:10" x14ac:dyDescent="0.35">
      <c r="A45" t="s">
        <v>317</v>
      </c>
      <c r="B45">
        <v>105</v>
      </c>
      <c r="C45">
        <v>14942</v>
      </c>
      <c r="D45" t="s">
        <v>512</v>
      </c>
      <c r="E45">
        <v>26.99</v>
      </c>
      <c r="F45">
        <v>17.327516666666668</v>
      </c>
      <c r="G45">
        <v>46191</v>
      </c>
      <c r="H45" t="s">
        <v>960</v>
      </c>
      <c r="I45">
        <v>46.939130434782605</v>
      </c>
      <c r="J45">
        <v>2</v>
      </c>
    </row>
    <row r="46" spans="1:10" x14ac:dyDescent="0.35">
      <c r="A46" t="s">
        <v>317</v>
      </c>
      <c r="B46">
        <v>105</v>
      </c>
      <c r="C46">
        <v>14944</v>
      </c>
      <c r="D46" t="s">
        <v>513</v>
      </c>
      <c r="E46">
        <v>29.99</v>
      </c>
      <c r="F46">
        <v>18.186512499999999</v>
      </c>
      <c r="G46">
        <v>46189</v>
      </c>
      <c r="H46" t="s">
        <v>310</v>
      </c>
      <c r="I46">
        <v>26.078260869565216</v>
      </c>
      <c r="J46">
        <v>1</v>
      </c>
    </row>
    <row r="47" spans="1:10" x14ac:dyDescent="0.35">
      <c r="A47" t="s">
        <v>317</v>
      </c>
      <c r="B47">
        <v>105</v>
      </c>
      <c r="C47">
        <v>14944</v>
      </c>
      <c r="D47" t="s">
        <v>513</v>
      </c>
      <c r="E47">
        <v>29.99</v>
      </c>
      <c r="F47">
        <v>18.186512499999999</v>
      </c>
      <c r="G47">
        <v>46190</v>
      </c>
      <c r="H47" t="s">
        <v>316</v>
      </c>
      <c r="I47">
        <v>52.156521739130433</v>
      </c>
      <c r="J47">
        <v>2</v>
      </c>
    </row>
    <row r="48" spans="1:10" x14ac:dyDescent="0.35">
      <c r="A48" t="s">
        <v>317</v>
      </c>
      <c r="B48">
        <v>105</v>
      </c>
      <c r="C48">
        <v>14944</v>
      </c>
      <c r="D48" t="s">
        <v>513</v>
      </c>
      <c r="E48">
        <v>29.99</v>
      </c>
      <c r="F48">
        <v>18.186512499999999</v>
      </c>
      <c r="G48">
        <v>46191</v>
      </c>
      <c r="H48" t="s">
        <v>960</v>
      </c>
      <c r="I48">
        <v>26.078260869565216</v>
      </c>
      <c r="J48">
        <v>1</v>
      </c>
    </row>
    <row r="49" spans="1:10" x14ac:dyDescent="0.35">
      <c r="A49" t="s">
        <v>317</v>
      </c>
      <c r="B49">
        <v>111</v>
      </c>
      <c r="C49">
        <v>14947</v>
      </c>
      <c r="D49" t="s">
        <v>514</v>
      </c>
      <c r="E49">
        <v>37.99</v>
      </c>
      <c r="F49">
        <v>23.431950000000001</v>
      </c>
      <c r="G49">
        <v>46188</v>
      </c>
      <c r="H49" t="s">
        <v>309</v>
      </c>
      <c r="I49">
        <v>165.17391304347825</v>
      </c>
      <c r="J49">
        <v>5</v>
      </c>
    </row>
    <row r="50" spans="1:10" x14ac:dyDescent="0.35">
      <c r="A50" t="s">
        <v>317</v>
      </c>
      <c r="B50">
        <v>111</v>
      </c>
      <c r="C50">
        <v>14947</v>
      </c>
      <c r="D50" t="s">
        <v>514</v>
      </c>
      <c r="E50">
        <v>37.99</v>
      </c>
      <c r="F50">
        <v>23.431950000000001</v>
      </c>
      <c r="G50">
        <v>46189</v>
      </c>
      <c r="H50" t="s">
        <v>310</v>
      </c>
      <c r="I50">
        <v>33.03478260869565</v>
      </c>
      <c r="J50">
        <v>1</v>
      </c>
    </row>
    <row r="51" spans="1:10" x14ac:dyDescent="0.35">
      <c r="A51" t="s">
        <v>317</v>
      </c>
      <c r="B51">
        <v>111</v>
      </c>
      <c r="C51">
        <v>14947</v>
      </c>
      <c r="D51" t="s">
        <v>514</v>
      </c>
      <c r="E51">
        <v>37.99</v>
      </c>
      <c r="F51">
        <v>23.431950000000001</v>
      </c>
      <c r="G51">
        <v>46191</v>
      </c>
      <c r="H51" t="s">
        <v>960</v>
      </c>
      <c r="I51">
        <v>33.03478260869565</v>
      </c>
      <c r="J51">
        <v>1</v>
      </c>
    </row>
    <row r="52" spans="1:10" x14ac:dyDescent="0.35">
      <c r="A52" t="s">
        <v>317</v>
      </c>
      <c r="B52">
        <v>105</v>
      </c>
      <c r="C52">
        <v>14959</v>
      </c>
      <c r="D52" t="s">
        <v>520</v>
      </c>
      <c r="E52">
        <v>24.99</v>
      </c>
      <c r="F52">
        <v>15.246979999999999</v>
      </c>
      <c r="G52">
        <v>46190</v>
      </c>
      <c r="H52" t="s">
        <v>316</v>
      </c>
      <c r="I52">
        <v>41.286956521739128</v>
      </c>
      <c r="J52">
        <v>2</v>
      </c>
    </row>
    <row r="53" spans="1:10" x14ac:dyDescent="0.35">
      <c r="A53" t="s">
        <v>317</v>
      </c>
      <c r="B53">
        <v>105</v>
      </c>
      <c r="C53">
        <v>14959</v>
      </c>
      <c r="D53" t="s">
        <v>520</v>
      </c>
      <c r="E53">
        <v>24.99</v>
      </c>
      <c r="F53">
        <v>15.246979999999999</v>
      </c>
      <c r="G53">
        <v>46191</v>
      </c>
      <c r="H53" t="s">
        <v>960</v>
      </c>
      <c r="I53">
        <v>65.19130434782609</v>
      </c>
      <c r="J53">
        <v>3</v>
      </c>
    </row>
    <row r="54" spans="1:10" x14ac:dyDescent="0.35">
      <c r="A54" t="s">
        <v>317</v>
      </c>
      <c r="B54">
        <v>105</v>
      </c>
      <c r="C54">
        <v>14961</v>
      </c>
      <c r="D54" t="s">
        <v>522</v>
      </c>
      <c r="E54">
        <v>15.99</v>
      </c>
      <c r="F54">
        <v>9.5993916666666674</v>
      </c>
      <c r="G54">
        <v>46189</v>
      </c>
      <c r="H54" t="s">
        <v>310</v>
      </c>
      <c r="I54">
        <v>13.904347826086957</v>
      </c>
      <c r="J54">
        <v>1</v>
      </c>
    </row>
    <row r="55" spans="1:10" x14ac:dyDescent="0.35">
      <c r="A55" t="s">
        <v>317</v>
      </c>
      <c r="B55">
        <v>105</v>
      </c>
      <c r="C55">
        <v>14961</v>
      </c>
      <c r="D55" t="s">
        <v>522</v>
      </c>
      <c r="E55">
        <v>15.99</v>
      </c>
      <c r="F55">
        <v>9.5993916666666674</v>
      </c>
      <c r="G55">
        <v>46190</v>
      </c>
      <c r="H55" t="s">
        <v>316</v>
      </c>
      <c r="I55">
        <v>13.904347826086957</v>
      </c>
      <c r="J55">
        <v>1</v>
      </c>
    </row>
    <row r="56" spans="1:10" x14ac:dyDescent="0.35">
      <c r="A56" t="s">
        <v>317</v>
      </c>
      <c r="B56">
        <v>105</v>
      </c>
      <c r="C56">
        <v>14961</v>
      </c>
      <c r="D56" t="s">
        <v>522</v>
      </c>
      <c r="E56">
        <v>15.99</v>
      </c>
      <c r="F56">
        <v>9.5993916666666674</v>
      </c>
      <c r="G56">
        <v>46191</v>
      </c>
      <c r="H56" t="s">
        <v>960</v>
      </c>
      <c r="I56">
        <v>13.904347826086957</v>
      </c>
      <c r="J56">
        <v>1</v>
      </c>
    </row>
    <row r="57" spans="1:10" x14ac:dyDescent="0.35">
      <c r="A57" t="s">
        <v>317</v>
      </c>
      <c r="B57">
        <v>109</v>
      </c>
      <c r="C57">
        <v>14963</v>
      </c>
      <c r="D57" t="s">
        <v>524</v>
      </c>
      <c r="E57">
        <v>24.99</v>
      </c>
      <c r="F57">
        <v>12.880108333333332</v>
      </c>
      <c r="G57">
        <v>46189</v>
      </c>
      <c r="H57" t="s">
        <v>310</v>
      </c>
      <c r="I57">
        <v>21.730434782608693</v>
      </c>
      <c r="J57">
        <v>1</v>
      </c>
    </row>
    <row r="58" spans="1:10" x14ac:dyDescent="0.35">
      <c r="A58" t="s">
        <v>317</v>
      </c>
      <c r="B58">
        <v>109</v>
      </c>
      <c r="C58">
        <v>14963</v>
      </c>
      <c r="D58" t="s">
        <v>524</v>
      </c>
      <c r="E58">
        <v>24.99</v>
      </c>
      <c r="F58">
        <v>12.880108333333332</v>
      </c>
      <c r="G58">
        <v>46191</v>
      </c>
      <c r="H58" t="s">
        <v>960</v>
      </c>
      <c r="I58">
        <v>43.460869565217386</v>
      </c>
      <c r="J58">
        <v>2</v>
      </c>
    </row>
    <row r="59" spans="1:10" x14ac:dyDescent="0.35">
      <c r="A59" t="s">
        <v>317</v>
      </c>
      <c r="B59">
        <v>109</v>
      </c>
      <c r="C59">
        <v>14964</v>
      </c>
      <c r="D59" t="s">
        <v>525</v>
      </c>
      <c r="E59">
        <v>24.99</v>
      </c>
      <c r="F59">
        <v>12.880108333333332</v>
      </c>
      <c r="G59">
        <v>46188</v>
      </c>
      <c r="H59" t="s">
        <v>309</v>
      </c>
      <c r="I59">
        <v>43.460869565217386</v>
      </c>
      <c r="J59">
        <v>2</v>
      </c>
    </row>
    <row r="60" spans="1:10" x14ac:dyDescent="0.35">
      <c r="A60" t="s">
        <v>317</v>
      </c>
      <c r="B60">
        <v>109</v>
      </c>
      <c r="C60">
        <v>14964</v>
      </c>
      <c r="D60" t="s">
        <v>525</v>
      </c>
      <c r="E60">
        <v>24.99</v>
      </c>
      <c r="F60">
        <v>12.880108333333332</v>
      </c>
      <c r="G60">
        <v>46189</v>
      </c>
      <c r="H60" t="s">
        <v>310</v>
      </c>
      <c r="I60">
        <v>21.730434782608693</v>
      </c>
      <c r="J60">
        <v>1</v>
      </c>
    </row>
    <row r="61" spans="1:10" x14ac:dyDescent="0.35">
      <c r="A61" t="s">
        <v>317</v>
      </c>
      <c r="B61">
        <v>109</v>
      </c>
      <c r="C61">
        <v>14964</v>
      </c>
      <c r="D61" t="s">
        <v>525</v>
      </c>
      <c r="E61">
        <v>24.99</v>
      </c>
      <c r="F61">
        <v>12.880108333333332</v>
      </c>
      <c r="G61">
        <v>46190</v>
      </c>
      <c r="H61" t="s">
        <v>316</v>
      </c>
      <c r="I61">
        <v>63.017391304347825</v>
      </c>
      <c r="J61">
        <v>3</v>
      </c>
    </row>
    <row r="62" spans="1:10" x14ac:dyDescent="0.35">
      <c r="A62" t="s">
        <v>317</v>
      </c>
      <c r="B62">
        <v>105</v>
      </c>
      <c r="C62">
        <v>14965</v>
      </c>
      <c r="D62" t="s">
        <v>526</v>
      </c>
      <c r="E62">
        <v>21.99</v>
      </c>
      <c r="F62">
        <v>14.908975</v>
      </c>
      <c r="G62">
        <v>46189</v>
      </c>
      <c r="H62" t="s">
        <v>310</v>
      </c>
      <c r="I62">
        <v>21.99</v>
      </c>
      <c r="J62">
        <v>1</v>
      </c>
    </row>
    <row r="63" spans="1:10" x14ac:dyDescent="0.35">
      <c r="A63" t="s">
        <v>317</v>
      </c>
      <c r="B63">
        <v>105</v>
      </c>
      <c r="C63">
        <v>14965</v>
      </c>
      <c r="D63" t="s">
        <v>526</v>
      </c>
      <c r="E63">
        <v>21.99</v>
      </c>
      <c r="F63">
        <v>14.908975</v>
      </c>
      <c r="G63">
        <v>46190</v>
      </c>
      <c r="H63" t="s">
        <v>316</v>
      </c>
      <c r="I63">
        <v>21.99</v>
      </c>
      <c r="J63">
        <v>1</v>
      </c>
    </row>
    <row r="64" spans="1:10" x14ac:dyDescent="0.35">
      <c r="A64" t="s">
        <v>317</v>
      </c>
      <c r="B64">
        <v>105</v>
      </c>
      <c r="C64">
        <v>14967</v>
      </c>
      <c r="D64" t="s">
        <v>527</v>
      </c>
      <c r="E64">
        <v>22.99</v>
      </c>
      <c r="F64">
        <v>14.118466666666668</v>
      </c>
      <c r="G64">
        <v>46189</v>
      </c>
      <c r="H64" t="s">
        <v>310</v>
      </c>
      <c r="I64">
        <v>99.956521739130437</v>
      </c>
      <c r="J64">
        <v>5</v>
      </c>
    </row>
    <row r="65" spans="1:10" x14ac:dyDescent="0.35">
      <c r="A65" t="s">
        <v>317</v>
      </c>
      <c r="B65">
        <v>105</v>
      </c>
      <c r="C65">
        <v>14967</v>
      </c>
      <c r="D65" t="s">
        <v>527</v>
      </c>
      <c r="E65">
        <v>22.99</v>
      </c>
      <c r="F65">
        <v>14.118466666666668</v>
      </c>
      <c r="G65">
        <v>46190</v>
      </c>
      <c r="H65" t="s">
        <v>316</v>
      </c>
      <c r="I65">
        <v>39.982608695652175</v>
      </c>
      <c r="J65">
        <v>2</v>
      </c>
    </row>
    <row r="66" spans="1:10" x14ac:dyDescent="0.35">
      <c r="A66" t="s">
        <v>317</v>
      </c>
      <c r="B66">
        <v>107</v>
      </c>
      <c r="C66">
        <v>14970</v>
      </c>
      <c r="D66" t="s">
        <v>529</v>
      </c>
      <c r="E66">
        <v>19.989999999999998</v>
      </c>
      <c r="F66">
        <v>12.326425</v>
      </c>
      <c r="G66">
        <v>46190</v>
      </c>
      <c r="H66" t="s">
        <v>316</v>
      </c>
      <c r="I66">
        <v>34.765217391304347</v>
      </c>
      <c r="J66">
        <v>2</v>
      </c>
    </row>
    <row r="67" spans="1:10" x14ac:dyDescent="0.35">
      <c r="A67" t="s">
        <v>317</v>
      </c>
      <c r="B67">
        <v>107</v>
      </c>
      <c r="C67">
        <v>14970</v>
      </c>
      <c r="D67" t="s">
        <v>529</v>
      </c>
      <c r="E67">
        <v>19.989999999999998</v>
      </c>
      <c r="F67">
        <v>12.326425</v>
      </c>
      <c r="G67">
        <v>46191</v>
      </c>
      <c r="H67" t="s">
        <v>960</v>
      </c>
      <c r="I67">
        <v>34.765217391304347</v>
      </c>
      <c r="J67">
        <v>2</v>
      </c>
    </row>
    <row r="68" spans="1:10" x14ac:dyDescent="0.35">
      <c r="A68" t="s">
        <v>317</v>
      </c>
      <c r="B68">
        <v>105</v>
      </c>
      <c r="C68">
        <v>14971</v>
      </c>
      <c r="D68" t="s">
        <v>530</v>
      </c>
      <c r="E68">
        <v>13.99</v>
      </c>
      <c r="F68">
        <v>9.5773250000000001</v>
      </c>
      <c r="G68">
        <v>46189</v>
      </c>
      <c r="H68" t="s">
        <v>310</v>
      </c>
      <c r="I68">
        <v>12.165217391304347</v>
      </c>
      <c r="J68">
        <v>1</v>
      </c>
    </row>
    <row r="69" spans="1:10" x14ac:dyDescent="0.35">
      <c r="A69" t="s">
        <v>317</v>
      </c>
      <c r="B69">
        <v>101</v>
      </c>
      <c r="C69">
        <v>14976</v>
      </c>
      <c r="D69" t="s">
        <v>324</v>
      </c>
      <c r="E69">
        <v>62.99</v>
      </c>
      <c r="F69">
        <v>39.031133333333337</v>
      </c>
      <c r="G69">
        <v>46189</v>
      </c>
      <c r="H69" t="s">
        <v>310</v>
      </c>
      <c r="I69">
        <v>54.77391304347826</v>
      </c>
      <c r="J69">
        <v>1</v>
      </c>
    </row>
    <row r="70" spans="1:10" x14ac:dyDescent="0.35">
      <c r="A70" t="s">
        <v>317</v>
      </c>
      <c r="B70">
        <v>101</v>
      </c>
      <c r="C70">
        <v>14976</v>
      </c>
      <c r="D70" t="s">
        <v>324</v>
      </c>
      <c r="E70">
        <v>62.99</v>
      </c>
      <c r="F70">
        <v>39.031133333333337</v>
      </c>
      <c r="G70">
        <v>46190</v>
      </c>
      <c r="H70" t="s">
        <v>316</v>
      </c>
      <c r="I70">
        <v>109.54782608695652</v>
      </c>
      <c r="J70">
        <v>2</v>
      </c>
    </row>
    <row r="71" spans="1:10" x14ac:dyDescent="0.35">
      <c r="A71" t="s">
        <v>317</v>
      </c>
      <c r="B71">
        <v>101</v>
      </c>
      <c r="C71">
        <v>14976</v>
      </c>
      <c r="D71" t="s">
        <v>324</v>
      </c>
      <c r="E71">
        <v>62.99</v>
      </c>
      <c r="F71">
        <v>39.031133333333337</v>
      </c>
      <c r="G71">
        <v>46191</v>
      </c>
      <c r="H71" t="s">
        <v>960</v>
      </c>
      <c r="I71">
        <v>109.54782608695652</v>
      </c>
      <c r="J71">
        <v>2</v>
      </c>
    </row>
    <row r="72" spans="1:10" x14ac:dyDescent="0.35">
      <c r="A72" t="s">
        <v>317</v>
      </c>
      <c r="B72">
        <v>106</v>
      </c>
      <c r="C72">
        <v>14984</v>
      </c>
      <c r="D72" t="s">
        <v>531</v>
      </c>
      <c r="E72">
        <v>38.99</v>
      </c>
      <c r="F72">
        <v>24.260149999999999</v>
      </c>
      <c r="G72">
        <v>46188</v>
      </c>
      <c r="H72" t="s">
        <v>309</v>
      </c>
      <c r="I72">
        <v>33.904347826086962</v>
      </c>
      <c r="J72">
        <v>1</v>
      </c>
    </row>
    <row r="73" spans="1:10" x14ac:dyDescent="0.35">
      <c r="A73" t="s">
        <v>317</v>
      </c>
      <c r="B73">
        <v>107</v>
      </c>
      <c r="C73">
        <v>15080</v>
      </c>
      <c r="D73" t="s">
        <v>537</v>
      </c>
      <c r="E73">
        <v>117.99</v>
      </c>
      <c r="F73">
        <v>73.990016666666662</v>
      </c>
      <c r="G73">
        <v>46189</v>
      </c>
      <c r="H73" t="s">
        <v>310</v>
      </c>
      <c r="I73">
        <v>102.6</v>
      </c>
      <c r="J73">
        <v>1</v>
      </c>
    </row>
    <row r="74" spans="1:10" x14ac:dyDescent="0.35">
      <c r="A74" t="s">
        <v>317</v>
      </c>
      <c r="B74">
        <v>107</v>
      </c>
      <c r="C74">
        <v>15097</v>
      </c>
      <c r="D74" t="s">
        <v>541</v>
      </c>
      <c r="E74">
        <v>45.99</v>
      </c>
      <c r="F74">
        <v>28.530116666666668</v>
      </c>
      <c r="G74">
        <v>46191</v>
      </c>
      <c r="H74" t="s">
        <v>960</v>
      </c>
      <c r="I74">
        <v>79.982608695652175</v>
      </c>
      <c r="J74">
        <v>2</v>
      </c>
    </row>
    <row r="75" spans="1:10" x14ac:dyDescent="0.35">
      <c r="A75" t="s">
        <v>317</v>
      </c>
      <c r="B75">
        <v>107</v>
      </c>
      <c r="C75">
        <v>15283</v>
      </c>
      <c r="D75" t="s">
        <v>563</v>
      </c>
      <c r="E75">
        <v>71.989999999999995</v>
      </c>
      <c r="F75">
        <v>44.50665</v>
      </c>
      <c r="G75">
        <v>46190</v>
      </c>
      <c r="H75" t="s">
        <v>316</v>
      </c>
      <c r="I75">
        <v>62.599999999999994</v>
      </c>
      <c r="J75">
        <v>1</v>
      </c>
    </row>
    <row r="76" spans="1:10" x14ac:dyDescent="0.35">
      <c r="A76" t="s">
        <v>317</v>
      </c>
      <c r="B76">
        <v>107</v>
      </c>
      <c r="C76">
        <v>15285</v>
      </c>
      <c r="D76" t="s">
        <v>565</v>
      </c>
      <c r="E76">
        <v>71.989999999999995</v>
      </c>
      <c r="F76">
        <v>44.50665</v>
      </c>
      <c r="G76">
        <v>46190</v>
      </c>
      <c r="H76" t="s">
        <v>316</v>
      </c>
      <c r="I76">
        <v>62.599999999999994</v>
      </c>
      <c r="J76">
        <v>1</v>
      </c>
    </row>
    <row r="77" spans="1:10" x14ac:dyDescent="0.35">
      <c r="A77" t="s">
        <v>317</v>
      </c>
      <c r="B77">
        <v>109</v>
      </c>
      <c r="C77">
        <v>15287</v>
      </c>
      <c r="D77" t="s">
        <v>567</v>
      </c>
      <c r="E77">
        <v>43.99</v>
      </c>
      <c r="F77">
        <v>27.522083333333331</v>
      </c>
      <c r="G77">
        <v>46188</v>
      </c>
      <c r="H77" t="s">
        <v>309</v>
      </c>
      <c r="I77">
        <v>76.504347826086956</v>
      </c>
      <c r="J77">
        <v>2</v>
      </c>
    </row>
    <row r="78" spans="1:10" x14ac:dyDescent="0.35">
      <c r="A78" t="s">
        <v>317</v>
      </c>
      <c r="B78">
        <v>109</v>
      </c>
      <c r="C78">
        <v>15290</v>
      </c>
      <c r="D78" t="s">
        <v>570</v>
      </c>
      <c r="E78">
        <v>54.99</v>
      </c>
      <c r="F78">
        <v>34.594366666666666</v>
      </c>
      <c r="G78">
        <v>46191</v>
      </c>
      <c r="H78" t="s">
        <v>960</v>
      </c>
      <c r="I78">
        <v>47.817391304347829</v>
      </c>
      <c r="J78">
        <v>1</v>
      </c>
    </row>
    <row r="79" spans="1:10" x14ac:dyDescent="0.35">
      <c r="A79" t="s">
        <v>317</v>
      </c>
      <c r="B79">
        <v>107</v>
      </c>
      <c r="C79">
        <v>15297</v>
      </c>
      <c r="D79" t="s">
        <v>571</v>
      </c>
      <c r="E79">
        <v>49.99</v>
      </c>
      <c r="F79">
        <v>30.655766666666665</v>
      </c>
      <c r="G79">
        <v>46189</v>
      </c>
      <c r="H79" t="s">
        <v>310</v>
      </c>
      <c r="I79">
        <v>43.469565217391306</v>
      </c>
      <c r="J79">
        <v>1</v>
      </c>
    </row>
    <row r="80" spans="1:10" x14ac:dyDescent="0.35">
      <c r="A80" t="s">
        <v>317</v>
      </c>
      <c r="B80">
        <v>107</v>
      </c>
      <c r="C80">
        <v>15297</v>
      </c>
      <c r="D80" t="s">
        <v>571</v>
      </c>
      <c r="E80">
        <v>49.99</v>
      </c>
      <c r="F80">
        <v>30.655766666666665</v>
      </c>
      <c r="G80">
        <v>46191</v>
      </c>
      <c r="H80" t="s">
        <v>960</v>
      </c>
      <c r="I80">
        <v>43.469565217391306</v>
      </c>
      <c r="J80">
        <v>1</v>
      </c>
    </row>
    <row r="81" spans="1:10" x14ac:dyDescent="0.35">
      <c r="A81" t="s">
        <v>317</v>
      </c>
      <c r="B81">
        <v>101</v>
      </c>
      <c r="C81">
        <v>15305</v>
      </c>
      <c r="D81" t="s">
        <v>328</v>
      </c>
      <c r="E81">
        <v>71.989999999999995</v>
      </c>
      <c r="F81">
        <v>44.50665</v>
      </c>
      <c r="G81">
        <v>46189</v>
      </c>
      <c r="H81" t="s">
        <v>310</v>
      </c>
      <c r="I81">
        <v>62.599999999999994</v>
      </c>
      <c r="J81">
        <v>1</v>
      </c>
    </row>
    <row r="82" spans="1:10" x14ac:dyDescent="0.35">
      <c r="A82" t="s">
        <v>317</v>
      </c>
      <c r="B82">
        <v>107</v>
      </c>
      <c r="C82">
        <v>15306</v>
      </c>
      <c r="D82" t="s">
        <v>572</v>
      </c>
      <c r="E82">
        <v>71.989999999999995</v>
      </c>
      <c r="F82">
        <v>44.50665</v>
      </c>
      <c r="G82">
        <v>46189</v>
      </c>
      <c r="H82" t="s">
        <v>310</v>
      </c>
      <c r="I82">
        <v>62.599999999999994</v>
      </c>
      <c r="J82">
        <v>1</v>
      </c>
    </row>
    <row r="83" spans="1:10" x14ac:dyDescent="0.35">
      <c r="A83" t="s">
        <v>317</v>
      </c>
      <c r="B83">
        <v>106</v>
      </c>
      <c r="C83">
        <v>15780</v>
      </c>
      <c r="D83" t="s">
        <v>581</v>
      </c>
      <c r="E83">
        <v>59.99</v>
      </c>
      <c r="F83">
        <v>36.994506250000001</v>
      </c>
      <c r="G83">
        <v>46188</v>
      </c>
      <c r="H83" t="s">
        <v>309</v>
      </c>
      <c r="I83">
        <v>52.165217391304353</v>
      </c>
      <c r="J83">
        <v>1</v>
      </c>
    </row>
    <row r="84" spans="1:10" x14ac:dyDescent="0.35">
      <c r="A84" t="s">
        <v>317</v>
      </c>
      <c r="B84">
        <v>106</v>
      </c>
      <c r="C84">
        <v>15780</v>
      </c>
      <c r="D84" t="s">
        <v>581</v>
      </c>
      <c r="E84">
        <v>59.99</v>
      </c>
      <c r="F84">
        <v>36.994506250000001</v>
      </c>
      <c r="G84">
        <v>46189</v>
      </c>
      <c r="H84" t="s">
        <v>310</v>
      </c>
      <c r="I84">
        <v>104.33043478260871</v>
      </c>
      <c r="J84">
        <v>2</v>
      </c>
    </row>
    <row r="85" spans="1:10" x14ac:dyDescent="0.35">
      <c r="A85" t="s">
        <v>317</v>
      </c>
      <c r="B85">
        <v>106</v>
      </c>
      <c r="C85">
        <v>15780</v>
      </c>
      <c r="D85" t="s">
        <v>581</v>
      </c>
      <c r="E85">
        <v>59.99</v>
      </c>
      <c r="F85">
        <v>36.994506250000001</v>
      </c>
      <c r="G85">
        <v>46191</v>
      </c>
      <c r="H85" t="s">
        <v>960</v>
      </c>
      <c r="I85">
        <v>156.49565217391304</v>
      </c>
      <c r="J85">
        <v>3</v>
      </c>
    </row>
    <row r="86" spans="1:10" x14ac:dyDescent="0.35">
      <c r="A86" t="s">
        <v>317</v>
      </c>
      <c r="B86">
        <v>110</v>
      </c>
      <c r="C86">
        <v>15800</v>
      </c>
      <c r="D86" t="s">
        <v>583</v>
      </c>
      <c r="E86">
        <v>56.99</v>
      </c>
      <c r="F86">
        <v>35.372916666666669</v>
      </c>
      <c r="G86">
        <v>46191</v>
      </c>
      <c r="H86" t="s">
        <v>960</v>
      </c>
      <c r="I86">
        <v>99.113043478260877</v>
      </c>
      <c r="J86">
        <v>2</v>
      </c>
    </row>
    <row r="87" spans="1:10" x14ac:dyDescent="0.35">
      <c r="A87" t="s">
        <v>317</v>
      </c>
      <c r="B87">
        <v>106</v>
      </c>
      <c r="C87">
        <v>15822</v>
      </c>
      <c r="D87" t="s">
        <v>585</v>
      </c>
      <c r="E87">
        <v>59.99</v>
      </c>
      <c r="F87">
        <v>36.994506250000001</v>
      </c>
      <c r="G87">
        <v>46188</v>
      </c>
      <c r="H87" t="s">
        <v>309</v>
      </c>
      <c r="I87">
        <v>52.165217391304353</v>
      </c>
      <c r="J87">
        <v>1</v>
      </c>
    </row>
    <row r="88" spans="1:10" x14ac:dyDescent="0.35">
      <c r="A88" t="s">
        <v>317</v>
      </c>
      <c r="B88">
        <v>107</v>
      </c>
      <c r="C88">
        <v>15988</v>
      </c>
      <c r="D88" t="s">
        <v>599</v>
      </c>
      <c r="E88">
        <v>179.99</v>
      </c>
      <c r="F88">
        <v>113.3473</v>
      </c>
      <c r="G88">
        <v>46189</v>
      </c>
      <c r="H88" t="s">
        <v>310</v>
      </c>
      <c r="I88">
        <v>156.51304347826087</v>
      </c>
      <c r="J88">
        <v>1</v>
      </c>
    </row>
    <row r="89" spans="1:10" x14ac:dyDescent="0.35">
      <c r="A89" t="s">
        <v>317</v>
      </c>
      <c r="B89">
        <v>109</v>
      </c>
      <c r="C89">
        <v>16045</v>
      </c>
      <c r="D89" t="s">
        <v>603</v>
      </c>
      <c r="E89">
        <v>84.99</v>
      </c>
      <c r="F89">
        <v>53.668624999999999</v>
      </c>
      <c r="G89">
        <v>46188</v>
      </c>
      <c r="H89" t="s">
        <v>309</v>
      </c>
      <c r="I89">
        <v>147.8086956521739</v>
      </c>
      <c r="J89">
        <v>2</v>
      </c>
    </row>
    <row r="90" spans="1:10" x14ac:dyDescent="0.35">
      <c r="A90" t="s">
        <v>317</v>
      </c>
      <c r="B90">
        <v>109</v>
      </c>
      <c r="C90">
        <v>16047</v>
      </c>
      <c r="D90" t="s">
        <v>605</v>
      </c>
      <c r="E90">
        <v>84.99</v>
      </c>
      <c r="F90">
        <v>53.668624999999999</v>
      </c>
      <c r="G90">
        <v>46188</v>
      </c>
      <c r="H90" t="s">
        <v>309</v>
      </c>
      <c r="I90">
        <v>73.904347826086948</v>
      </c>
      <c r="J90">
        <v>1</v>
      </c>
    </row>
    <row r="91" spans="1:10" x14ac:dyDescent="0.35">
      <c r="A91" t="s">
        <v>317</v>
      </c>
      <c r="B91">
        <v>109</v>
      </c>
      <c r="C91">
        <v>16047</v>
      </c>
      <c r="D91" t="s">
        <v>605</v>
      </c>
      <c r="E91">
        <v>84.99</v>
      </c>
      <c r="F91">
        <v>53.668624999999999</v>
      </c>
      <c r="G91">
        <v>46189</v>
      </c>
      <c r="H91" t="s">
        <v>310</v>
      </c>
      <c r="I91">
        <v>73.904347826086948</v>
      </c>
      <c r="J91">
        <v>1</v>
      </c>
    </row>
    <row r="92" spans="1:10" x14ac:dyDescent="0.35">
      <c r="A92" t="s">
        <v>317</v>
      </c>
      <c r="B92">
        <v>109</v>
      </c>
      <c r="C92">
        <v>16048</v>
      </c>
      <c r="D92" t="s">
        <v>606</v>
      </c>
      <c r="E92">
        <v>84.99</v>
      </c>
      <c r="F92">
        <v>53.668624999999999</v>
      </c>
      <c r="G92">
        <v>46188</v>
      </c>
      <c r="H92" t="s">
        <v>309</v>
      </c>
      <c r="I92">
        <v>73.904347826086948</v>
      </c>
      <c r="J92">
        <v>1</v>
      </c>
    </row>
    <row r="93" spans="1:10" x14ac:dyDescent="0.35">
      <c r="A93" t="s">
        <v>317</v>
      </c>
      <c r="B93">
        <v>101</v>
      </c>
      <c r="C93">
        <v>16067</v>
      </c>
      <c r="D93" t="s">
        <v>349</v>
      </c>
      <c r="E93">
        <v>26.99</v>
      </c>
      <c r="F93">
        <v>16.816925000000001</v>
      </c>
      <c r="G93">
        <v>46188</v>
      </c>
      <c r="H93" t="s">
        <v>309</v>
      </c>
      <c r="I93">
        <v>23.469565217391303</v>
      </c>
      <c r="J93">
        <v>1</v>
      </c>
    </row>
    <row r="94" spans="1:10" x14ac:dyDescent="0.35">
      <c r="A94" t="s">
        <v>317</v>
      </c>
      <c r="B94">
        <v>101</v>
      </c>
      <c r="C94">
        <v>16067</v>
      </c>
      <c r="D94" t="s">
        <v>349</v>
      </c>
      <c r="E94">
        <v>26.99</v>
      </c>
      <c r="F94">
        <v>16.816925000000001</v>
      </c>
      <c r="G94">
        <v>46189</v>
      </c>
      <c r="H94" t="s">
        <v>310</v>
      </c>
      <c r="I94">
        <v>23.469565217391303</v>
      </c>
      <c r="J94">
        <v>1</v>
      </c>
    </row>
    <row r="95" spans="1:10" x14ac:dyDescent="0.35">
      <c r="A95" t="s">
        <v>317</v>
      </c>
      <c r="B95">
        <v>105</v>
      </c>
      <c r="C95">
        <v>16078</v>
      </c>
      <c r="D95" t="s">
        <v>611</v>
      </c>
      <c r="E95">
        <v>37.99</v>
      </c>
      <c r="F95">
        <v>23.413162499999999</v>
      </c>
      <c r="G95">
        <v>46189</v>
      </c>
      <c r="H95" t="s">
        <v>310</v>
      </c>
      <c r="I95">
        <v>33.03478260869565</v>
      </c>
      <c r="J95">
        <v>1</v>
      </c>
    </row>
    <row r="96" spans="1:10" x14ac:dyDescent="0.35">
      <c r="A96" t="s">
        <v>317</v>
      </c>
      <c r="B96">
        <v>105</v>
      </c>
      <c r="C96">
        <v>16078</v>
      </c>
      <c r="D96" t="s">
        <v>611</v>
      </c>
      <c r="E96">
        <v>37.99</v>
      </c>
      <c r="F96">
        <v>23.413162499999999</v>
      </c>
      <c r="G96">
        <v>46190</v>
      </c>
      <c r="H96" t="s">
        <v>316</v>
      </c>
      <c r="I96">
        <v>33.03478260869565</v>
      </c>
      <c r="J96">
        <v>1</v>
      </c>
    </row>
    <row r="97" spans="1:10" x14ac:dyDescent="0.35">
      <c r="A97" t="s">
        <v>317</v>
      </c>
      <c r="B97">
        <v>107</v>
      </c>
      <c r="C97">
        <v>16091</v>
      </c>
      <c r="D97" t="s">
        <v>618</v>
      </c>
      <c r="E97">
        <v>59.99</v>
      </c>
      <c r="F97">
        <v>38.153199999999998</v>
      </c>
      <c r="G97">
        <v>46189</v>
      </c>
      <c r="H97" t="s">
        <v>310</v>
      </c>
      <c r="I97">
        <v>52.165217391304353</v>
      </c>
      <c r="J97">
        <v>1</v>
      </c>
    </row>
    <row r="98" spans="1:10" x14ac:dyDescent="0.35">
      <c r="A98" t="s">
        <v>317</v>
      </c>
      <c r="B98">
        <v>107</v>
      </c>
      <c r="C98">
        <v>16123</v>
      </c>
      <c r="D98" t="s">
        <v>627</v>
      </c>
      <c r="E98">
        <v>89.99</v>
      </c>
      <c r="F98">
        <v>56.233649999999997</v>
      </c>
      <c r="G98">
        <v>46188</v>
      </c>
      <c r="H98" t="s">
        <v>309</v>
      </c>
      <c r="I98">
        <v>84.339130434782604</v>
      </c>
      <c r="J98">
        <v>1</v>
      </c>
    </row>
    <row r="99" spans="1:10" x14ac:dyDescent="0.35">
      <c r="A99" t="s">
        <v>317</v>
      </c>
      <c r="B99">
        <v>107</v>
      </c>
      <c r="C99">
        <v>16519</v>
      </c>
      <c r="D99" t="s">
        <v>631</v>
      </c>
      <c r="E99">
        <v>41.99</v>
      </c>
      <c r="F99">
        <v>26.324400000000001</v>
      </c>
      <c r="G99">
        <v>46188</v>
      </c>
      <c r="H99" t="s">
        <v>309</v>
      </c>
      <c r="I99">
        <v>73.026086956521738</v>
      </c>
      <c r="J99">
        <v>2</v>
      </c>
    </row>
    <row r="100" spans="1:10" x14ac:dyDescent="0.35">
      <c r="A100" t="s">
        <v>317</v>
      </c>
      <c r="B100">
        <v>107</v>
      </c>
      <c r="C100">
        <v>16519</v>
      </c>
      <c r="D100" t="s">
        <v>631</v>
      </c>
      <c r="E100">
        <v>41.99</v>
      </c>
      <c r="F100">
        <v>26.324400000000001</v>
      </c>
      <c r="G100">
        <v>46189</v>
      </c>
      <c r="H100" t="s">
        <v>310</v>
      </c>
      <c r="I100">
        <v>109.53913043478261</v>
      </c>
      <c r="J100">
        <v>3</v>
      </c>
    </row>
    <row r="101" spans="1:10" x14ac:dyDescent="0.35">
      <c r="A101" t="s">
        <v>317</v>
      </c>
      <c r="B101">
        <v>107</v>
      </c>
      <c r="C101">
        <v>16519</v>
      </c>
      <c r="D101" t="s">
        <v>631</v>
      </c>
      <c r="E101">
        <v>41.99</v>
      </c>
      <c r="F101">
        <v>26.324400000000001</v>
      </c>
      <c r="G101">
        <v>46190</v>
      </c>
      <c r="H101" t="s">
        <v>316</v>
      </c>
      <c r="I101">
        <v>36.513043478260869</v>
      </c>
      <c r="J101">
        <v>1</v>
      </c>
    </row>
    <row r="102" spans="1:10" x14ac:dyDescent="0.35">
      <c r="A102" t="s">
        <v>632</v>
      </c>
      <c r="B102">
        <v>105</v>
      </c>
      <c r="C102">
        <v>24081</v>
      </c>
      <c r="D102" t="s">
        <v>633</v>
      </c>
      <c r="E102">
        <v>17.989999999999998</v>
      </c>
      <c r="F102">
        <v>14.44</v>
      </c>
      <c r="G102">
        <v>46188</v>
      </c>
      <c r="H102" t="s">
        <v>309</v>
      </c>
      <c r="I102">
        <v>233.87</v>
      </c>
      <c r="J102">
        <v>13</v>
      </c>
    </row>
    <row r="103" spans="1:10" x14ac:dyDescent="0.35">
      <c r="A103" t="s">
        <v>632</v>
      </c>
      <c r="B103">
        <v>105</v>
      </c>
      <c r="C103">
        <v>24081</v>
      </c>
      <c r="D103" t="s">
        <v>633</v>
      </c>
      <c r="E103">
        <v>17.989999999999998</v>
      </c>
      <c r="F103">
        <v>14.44</v>
      </c>
      <c r="G103">
        <v>46189</v>
      </c>
      <c r="H103" t="s">
        <v>310</v>
      </c>
      <c r="I103">
        <v>107.94</v>
      </c>
      <c r="J103">
        <v>6</v>
      </c>
    </row>
    <row r="104" spans="1:10" x14ac:dyDescent="0.35">
      <c r="A104" t="s">
        <v>632</v>
      </c>
      <c r="B104">
        <v>105</v>
      </c>
      <c r="C104">
        <v>24081</v>
      </c>
      <c r="D104" t="s">
        <v>633</v>
      </c>
      <c r="E104">
        <v>17.989999999999998</v>
      </c>
      <c r="F104">
        <v>14.44</v>
      </c>
      <c r="G104">
        <v>46190</v>
      </c>
      <c r="H104" t="s">
        <v>316</v>
      </c>
      <c r="I104">
        <v>232.07</v>
      </c>
      <c r="J104">
        <v>13</v>
      </c>
    </row>
    <row r="105" spans="1:10" x14ac:dyDescent="0.35">
      <c r="A105" t="s">
        <v>632</v>
      </c>
      <c r="B105">
        <v>105</v>
      </c>
      <c r="C105">
        <v>24081</v>
      </c>
      <c r="D105" t="s">
        <v>633</v>
      </c>
      <c r="E105">
        <v>17.989999999999998</v>
      </c>
      <c r="F105">
        <v>14.44</v>
      </c>
      <c r="G105">
        <v>46191</v>
      </c>
      <c r="H105" t="s">
        <v>960</v>
      </c>
      <c r="I105">
        <v>53.97</v>
      </c>
      <c r="J105">
        <v>3</v>
      </c>
    </row>
    <row r="106" spans="1:10" x14ac:dyDescent="0.35">
      <c r="A106" t="s">
        <v>632</v>
      </c>
      <c r="B106">
        <v>105</v>
      </c>
      <c r="C106">
        <v>24083</v>
      </c>
      <c r="D106" t="s">
        <v>634</v>
      </c>
      <c r="E106">
        <v>19.989999999999998</v>
      </c>
      <c r="F106">
        <v>14.77</v>
      </c>
      <c r="G106">
        <v>46188</v>
      </c>
      <c r="H106" t="s">
        <v>309</v>
      </c>
      <c r="I106">
        <v>434.56521739130437</v>
      </c>
      <c r="J106">
        <v>25</v>
      </c>
    </row>
    <row r="107" spans="1:10" x14ac:dyDescent="0.35">
      <c r="A107" t="s">
        <v>632</v>
      </c>
      <c r="B107">
        <v>105</v>
      </c>
      <c r="C107">
        <v>24083</v>
      </c>
      <c r="D107" t="s">
        <v>634</v>
      </c>
      <c r="E107">
        <v>19.989999999999998</v>
      </c>
      <c r="F107">
        <v>14.77</v>
      </c>
      <c r="G107">
        <v>46189</v>
      </c>
      <c r="H107" t="s">
        <v>310</v>
      </c>
      <c r="I107">
        <v>417.18260869565222</v>
      </c>
      <c r="J107">
        <v>24</v>
      </c>
    </row>
    <row r="108" spans="1:10" x14ac:dyDescent="0.35">
      <c r="A108" t="s">
        <v>632</v>
      </c>
      <c r="B108">
        <v>105</v>
      </c>
      <c r="C108">
        <v>24083</v>
      </c>
      <c r="D108" t="s">
        <v>634</v>
      </c>
      <c r="E108">
        <v>19.989999999999998</v>
      </c>
      <c r="F108">
        <v>14.77</v>
      </c>
      <c r="G108">
        <v>46190</v>
      </c>
      <c r="H108" t="s">
        <v>316</v>
      </c>
      <c r="I108">
        <v>206.85217391304349</v>
      </c>
      <c r="J108">
        <v>12</v>
      </c>
    </row>
    <row r="109" spans="1:10" x14ac:dyDescent="0.35">
      <c r="A109" t="s">
        <v>632</v>
      </c>
      <c r="B109">
        <v>105</v>
      </c>
      <c r="C109">
        <v>24083</v>
      </c>
      <c r="D109" t="s">
        <v>634</v>
      </c>
      <c r="E109">
        <v>19.989999999999998</v>
      </c>
      <c r="F109">
        <v>14.77</v>
      </c>
      <c r="G109">
        <v>46191</v>
      </c>
      <c r="H109" t="s">
        <v>960</v>
      </c>
      <c r="I109">
        <v>278.12173913043478</v>
      </c>
      <c r="J109">
        <v>16</v>
      </c>
    </row>
    <row r="110" spans="1:10" x14ac:dyDescent="0.35">
      <c r="A110" t="s">
        <v>635</v>
      </c>
      <c r="B110">
        <v>105</v>
      </c>
      <c r="C110">
        <v>24084</v>
      </c>
      <c r="D110" t="s">
        <v>636</v>
      </c>
      <c r="E110">
        <v>29.49</v>
      </c>
      <c r="F110">
        <v>23.65</v>
      </c>
      <c r="G110">
        <v>46188</v>
      </c>
      <c r="H110" t="s">
        <v>309</v>
      </c>
      <c r="I110">
        <v>117.96</v>
      </c>
      <c r="J110">
        <v>4</v>
      </c>
    </row>
    <row r="111" spans="1:10" x14ac:dyDescent="0.35">
      <c r="A111" t="s">
        <v>635</v>
      </c>
      <c r="B111">
        <v>105</v>
      </c>
      <c r="C111">
        <v>24084</v>
      </c>
      <c r="D111" t="s">
        <v>636</v>
      </c>
      <c r="E111">
        <v>29.49</v>
      </c>
      <c r="F111">
        <v>23.65</v>
      </c>
      <c r="G111">
        <v>46189</v>
      </c>
      <c r="H111" t="s">
        <v>310</v>
      </c>
      <c r="I111">
        <v>235.92</v>
      </c>
      <c r="J111">
        <v>8</v>
      </c>
    </row>
    <row r="112" spans="1:10" x14ac:dyDescent="0.35">
      <c r="A112" t="s">
        <v>635</v>
      </c>
      <c r="B112">
        <v>105</v>
      </c>
      <c r="C112">
        <v>24084</v>
      </c>
      <c r="D112" t="s">
        <v>636</v>
      </c>
      <c r="E112">
        <v>29.49</v>
      </c>
      <c r="F112">
        <v>23.65</v>
      </c>
      <c r="G112">
        <v>46190</v>
      </c>
      <c r="H112" t="s">
        <v>316</v>
      </c>
      <c r="I112">
        <v>87</v>
      </c>
      <c r="J112">
        <v>3</v>
      </c>
    </row>
    <row r="113" spans="1:10" x14ac:dyDescent="0.35">
      <c r="A113" t="s">
        <v>635</v>
      </c>
      <c r="B113">
        <v>105</v>
      </c>
      <c r="C113">
        <v>24084</v>
      </c>
      <c r="D113" t="s">
        <v>636</v>
      </c>
      <c r="E113">
        <v>29.49</v>
      </c>
      <c r="F113">
        <v>23.65</v>
      </c>
      <c r="G113">
        <v>46191</v>
      </c>
      <c r="H113" t="s">
        <v>960</v>
      </c>
      <c r="I113">
        <v>58.98</v>
      </c>
      <c r="J113">
        <v>2</v>
      </c>
    </row>
    <row r="114" spans="1:10" x14ac:dyDescent="0.35">
      <c r="A114" t="s">
        <v>635</v>
      </c>
      <c r="B114">
        <v>105</v>
      </c>
      <c r="C114">
        <v>24086</v>
      </c>
      <c r="D114" t="s">
        <v>637</v>
      </c>
      <c r="E114">
        <v>19.989999999999998</v>
      </c>
      <c r="F114">
        <v>18.32</v>
      </c>
      <c r="G114">
        <v>46188</v>
      </c>
      <c r="H114" t="s">
        <v>309</v>
      </c>
      <c r="I114">
        <v>199.9</v>
      </c>
      <c r="J114">
        <v>10</v>
      </c>
    </row>
    <row r="115" spans="1:10" x14ac:dyDescent="0.35">
      <c r="A115" t="s">
        <v>635</v>
      </c>
      <c r="B115">
        <v>105</v>
      </c>
      <c r="C115">
        <v>24086</v>
      </c>
      <c r="D115" t="s">
        <v>637</v>
      </c>
      <c r="E115">
        <v>19.989999999999998</v>
      </c>
      <c r="F115">
        <v>18.32</v>
      </c>
      <c r="G115">
        <v>46189</v>
      </c>
      <c r="H115" t="s">
        <v>310</v>
      </c>
      <c r="I115">
        <v>139.93</v>
      </c>
      <c r="J115">
        <v>7</v>
      </c>
    </row>
    <row r="116" spans="1:10" x14ac:dyDescent="0.35">
      <c r="A116" t="s">
        <v>635</v>
      </c>
      <c r="B116">
        <v>105</v>
      </c>
      <c r="C116">
        <v>24086</v>
      </c>
      <c r="D116" t="s">
        <v>637</v>
      </c>
      <c r="E116">
        <v>19.989999999999998</v>
      </c>
      <c r="F116">
        <v>18.32</v>
      </c>
      <c r="G116">
        <v>46190</v>
      </c>
      <c r="H116" t="s">
        <v>316</v>
      </c>
      <c r="I116">
        <v>38.979999999999997</v>
      </c>
      <c r="J116">
        <v>2</v>
      </c>
    </row>
    <row r="117" spans="1:10" x14ac:dyDescent="0.35">
      <c r="A117" t="s">
        <v>635</v>
      </c>
      <c r="B117">
        <v>105</v>
      </c>
      <c r="C117">
        <v>24086</v>
      </c>
      <c r="D117" t="s">
        <v>637</v>
      </c>
      <c r="E117">
        <v>19.989999999999998</v>
      </c>
      <c r="F117">
        <v>18.32</v>
      </c>
      <c r="G117">
        <v>46191</v>
      </c>
      <c r="H117" t="s">
        <v>960</v>
      </c>
      <c r="I117">
        <v>59.97</v>
      </c>
      <c r="J117">
        <v>3</v>
      </c>
    </row>
    <row r="118" spans="1:10" x14ac:dyDescent="0.35">
      <c r="A118" t="s">
        <v>635</v>
      </c>
      <c r="B118">
        <v>105</v>
      </c>
      <c r="C118">
        <v>24088</v>
      </c>
      <c r="D118" t="s">
        <v>638</v>
      </c>
      <c r="E118">
        <v>16.489999999999998</v>
      </c>
      <c r="F118">
        <v>17.82</v>
      </c>
      <c r="G118">
        <v>46188</v>
      </c>
      <c r="H118" t="s">
        <v>309</v>
      </c>
      <c r="I118">
        <v>428.74</v>
      </c>
      <c r="J118">
        <v>26</v>
      </c>
    </row>
    <row r="119" spans="1:10" x14ac:dyDescent="0.35">
      <c r="A119" t="s">
        <v>635</v>
      </c>
      <c r="B119">
        <v>105</v>
      </c>
      <c r="C119">
        <v>24088</v>
      </c>
      <c r="D119" t="s">
        <v>638</v>
      </c>
      <c r="E119">
        <v>16.489999999999998</v>
      </c>
      <c r="F119">
        <v>17.82</v>
      </c>
      <c r="G119">
        <v>46189</v>
      </c>
      <c r="H119" t="s">
        <v>310</v>
      </c>
      <c r="I119">
        <v>478.21</v>
      </c>
      <c r="J119">
        <v>29</v>
      </c>
    </row>
    <row r="120" spans="1:10" x14ac:dyDescent="0.35">
      <c r="A120" t="s">
        <v>635</v>
      </c>
      <c r="B120">
        <v>105</v>
      </c>
      <c r="C120">
        <v>24088</v>
      </c>
      <c r="D120" t="s">
        <v>638</v>
      </c>
      <c r="E120">
        <v>16.489999999999998</v>
      </c>
      <c r="F120">
        <v>17.82</v>
      </c>
      <c r="G120">
        <v>46190</v>
      </c>
      <c r="H120" t="s">
        <v>316</v>
      </c>
      <c r="I120">
        <v>771.75</v>
      </c>
      <c r="J120">
        <v>48</v>
      </c>
    </row>
    <row r="121" spans="1:10" x14ac:dyDescent="0.35">
      <c r="A121" t="s">
        <v>635</v>
      </c>
      <c r="B121">
        <v>105</v>
      </c>
      <c r="C121">
        <v>24088</v>
      </c>
      <c r="D121" t="s">
        <v>638</v>
      </c>
      <c r="E121">
        <v>16.489999999999998</v>
      </c>
      <c r="F121">
        <v>17.82</v>
      </c>
      <c r="G121">
        <v>46191</v>
      </c>
      <c r="H121" t="s">
        <v>960</v>
      </c>
      <c r="I121">
        <v>395.76</v>
      </c>
      <c r="J121">
        <v>24</v>
      </c>
    </row>
    <row r="122" spans="1:10" x14ac:dyDescent="0.35">
      <c r="A122" t="s">
        <v>635</v>
      </c>
      <c r="B122">
        <v>105</v>
      </c>
      <c r="C122">
        <v>24089</v>
      </c>
      <c r="D122" t="s">
        <v>639</v>
      </c>
      <c r="E122">
        <v>23.99</v>
      </c>
      <c r="F122">
        <v>18.82</v>
      </c>
      <c r="G122">
        <v>46188</v>
      </c>
      <c r="H122" t="s">
        <v>309</v>
      </c>
      <c r="I122">
        <v>71.97</v>
      </c>
      <c r="J122">
        <v>3</v>
      </c>
    </row>
    <row r="123" spans="1:10" x14ac:dyDescent="0.35">
      <c r="A123" t="s">
        <v>635</v>
      </c>
      <c r="B123">
        <v>105</v>
      </c>
      <c r="C123">
        <v>24089</v>
      </c>
      <c r="D123" t="s">
        <v>639</v>
      </c>
      <c r="E123">
        <v>23.99</v>
      </c>
      <c r="F123">
        <v>18.82</v>
      </c>
      <c r="G123">
        <v>46189</v>
      </c>
      <c r="H123" t="s">
        <v>310</v>
      </c>
      <c r="I123">
        <v>95.96</v>
      </c>
      <c r="J123">
        <v>4</v>
      </c>
    </row>
    <row r="124" spans="1:10" x14ac:dyDescent="0.35">
      <c r="A124" t="s">
        <v>635</v>
      </c>
      <c r="B124">
        <v>105</v>
      </c>
      <c r="C124">
        <v>24089</v>
      </c>
      <c r="D124" t="s">
        <v>639</v>
      </c>
      <c r="E124">
        <v>23.99</v>
      </c>
      <c r="F124">
        <v>18.82</v>
      </c>
      <c r="G124">
        <v>46190</v>
      </c>
      <c r="H124" t="s">
        <v>316</v>
      </c>
      <c r="I124">
        <v>211.11</v>
      </c>
      <c r="J124">
        <v>9</v>
      </c>
    </row>
    <row r="125" spans="1:10" x14ac:dyDescent="0.35">
      <c r="A125" t="s">
        <v>635</v>
      </c>
      <c r="B125">
        <v>105</v>
      </c>
      <c r="C125">
        <v>24089</v>
      </c>
      <c r="D125" t="s">
        <v>639</v>
      </c>
      <c r="E125">
        <v>23.99</v>
      </c>
      <c r="F125">
        <v>18.82</v>
      </c>
      <c r="G125">
        <v>46191</v>
      </c>
      <c r="H125" t="s">
        <v>960</v>
      </c>
      <c r="I125">
        <v>23.99</v>
      </c>
      <c r="J125">
        <v>1</v>
      </c>
    </row>
    <row r="126" spans="1:10" x14ac:dyDescent="0.35">
      <c r="A126" t="s">
        <v>635</v>
      </c>
      <c r="B126">
        <v>105</v>
      </c>
      <c r="C126">
        <v>24090</v>
      </c>
      <c r="D126" t="s">
        <v>640</v>
      </c>
      <c r="E126">
        <v>21.99</v>
      </c>
      <c r="F126">
        <v>18.32</v>
      </c>
      <c r="G126">
        <v>46188</v>
      </c>
      <c r="H126" t="s">
        <v>309</v>
      </c>
      <c r="I126">
        <v>133.85217391304349</v>
      </c>
      <c r="J126">
        <v>7</v>
      </c>
    </row>
    <row r="127" spans="1:10" x14ac:dyDescent="0.35">
      <c r="A127" t="s">
        <v>635</v>
      </c>
      <c r="B127">
        <v>105</v>
      </c>
      <c r="C127">
        <v>24090</v>
      </c>
      <c r="D127" t="s">
        <v>640</v>
      </c>
      <c r="E127">
        <v>21.99</v>
      </c>
      <c r="F127">
        <v>18.32</v>
      </c>
      <c r="G127">
        <v>46189</v>
      </c>
      <c r="H127" t="s">
        <v>310</v>
      </c>
      <c r="I127">
        <v>133.85217391304349</v>
      </c>
      <c r="J127">
        <v>7</v>
      </c>
    </row>
    <row r="128" spans="1:10" x14ac:dyDescent="0.35">
      <c r="A128" t="s">
        <v>635</v>
      </c>
      <c r="B128">
        <v>105</v>
      </c>
      <c r="C128">
        <v>24090</v>
      </c>
      <c r="D128" t="s">
        <v>640</v>
      </c>
      <c r="E128">
        <v>21.99</v>
      </c>
      <c r="F128">
        <v>18.32</v>
      </c>
      <c r="G128">
        <v>46190</v>
      </c>
      <c r="H128" t="s">
        <v>316</v>
      </c>
      <c r="I128">
        <v>207.46956521739131</v>
      </c>
      <c r="J128">
        <v>11</v>
      </c>
    </row>
    <row r="129" spans="1:10" x14ac:dyDescent="0.35">
      <c r="A129" t="s">
        <v>635</v>
      </c>
      <c r="B129">
        <v>105</v>
      </c>
      <c r="C129">
        <v>24090</v>
      </c>
      <c r="D129" t="s">
        <v>640</v>
      </c>
      <c r="E129">
        <v>21.99</v>
      </c>
      <c r="F129">
        <v>18.32</v>
      </c>
      <c r="G129">
        <v>46191</v>
      </c>
      <c r="H129" t="s">
        <v>960</v>
      </c>
      <c r="I129">
        <v>191.21739130434784</v>
      </c>
      <c r="J129">
        <v>10</v>
      </c>
    </row>
    <row r="130" spans="1:10" x14ac:dyDescent="0.35">
      <c r="A130" t="s">
        <v>635</v>
      </c>
      <c r="B130">
        <v>105</v>
      </c>
      <c r="C130">
        <v>24092</v>
      </c>
      <c r="D130" t="s">
        <v>641</v>
      </c>
      <c r="E130">
        <v>17.989999999999998</v>
      </c>
      <c r="F130">
        <v>17.420000000000002</v>
      </c>
      <c r="G130">
        <v>46188</v>
      </c>
      <c r="H130" t="s">
        <v>309</v>
      </c>
      <c r="I130">
        <v>1868.5304347826082</v>
      </c>
      <c r="J130">
        <v>119</v>
      </c>
    </row>
    <row r="131" spans="1:10" x14ac:dyDescent="0.35">
      <c r="A131" t="s">
        <v>635</v>
      </c>
      <c r="B131">
        <v>105</v>
      </c>
      <c r="C131">
        <v>24092</v>
      </c>
      <c r="D131" t="s">
        <v>641</v>
      </c>
      <c r="E131">
        <v>17.989999999999998</v>
      </c>
      <c r="F131">
        <v>17.420000000000002</v>
      </c>
      <c r="G131">
        <v>46189</v>
      </c>
      <c r="H131" t="s">
        <v>310</v>
      </c>
      <c r="I131">
        <v>1626.9217391304348</v>
      </c>
      <c r="J131">
        <v>104</v>
      </c>
    </row>
    <row r="132" spans="1:10" x14ac:dyDescent="0.35">
      <c r="A132" t="s">
        <v>635</v>
      </c>
      <c r="B132">
        <v>105</v>
      </c>
      <c r="C132">
        <v>24092</v>
      </c>
      <c r="D132" t="s">
        <v>641</v>
      </c>
      <c r="E132">
        <v>17.989999999999998</v>
      </c>
      <c r="F132">
        <v>17.420000000000002</v>
      </c>
      <c r="G132">
        <v>46190</v>
      </c>
      <c r="H132" t="s">
        <v>316</v>
      </c>
      <c r="I132">
        <v>2036.7652173913045</v>
      </c>
      <c r="J132">
        <v>132</v>
      </c>
    </row>
    <row r="133" spans="1:10" x14ac:dyDescent="0.35">
      <c r="A133" t="s">
        <v>635</v>
      </c>
      <c r="B133">
        <v>105</v>
      </c>
      <c r="C133">
        <v>24092</v>
      </c>
      <c r="D133" t="s">
        <v>641</v>
      </c>
      <c r="E133">
        <v>17.989999999999998</v>
      </c>
      <c r="F133">
        <v>17.420000000000002</v>
      </c>
      <c r="G133">
        <v>46191</v>
      </c>
      <c r="H133" t="s">
        <v>960</v>
      </c>
      <c r="I133">
        <v>1628.6608695652174</v>
      </c>
      <c r="J133">
        <v>104</v>
      </c>
    </row>
    <row r="134" spans="1:10" x14ac:dyDescent="0.35">
      <c r="A134" t="s">
        <v>635</v>
      </c>
      <c r="B134">
        <v>105</v>
      </c>
      <c r="C134">
        <v>24093</v>
      </c>
      <c r="D134" t="s">
        <v>642</v>
      </c>
      <c r="E134">
        <v>29.99</v>
      </c>
      <c r="F134">
        <v>23.32</v>
      </c>
      <c r="G134">
        <v>46188</v>
      </c>
      <c r="H134" t="s">
        <v>309</v>
      </c>
      <c r="I134">
        <v>104.31304347826087</v>
      </c>
      <c r="J134">
        <v>4</v>
      </c>
    </row>
    <row r="135" spans="1:10" x14ac:dyDescent="0.35">
      <c r="A135" t="s">
        <v>635</v>
      </c>
      <c r="B135">
        <v>105</v>
      </c>
      <c r="C135">
        <v>24093</v>
      </c>
      <c r="D135" t="s">
        <v>642</v>
      </c>
      <c r="E135">
        <v>29.99</v>
      </c>
      <c r="F135">
        <v>23.32</v>
      </c>
      <c r="G135">
        <v>46189</v>
      </c>
      <c r="H135" t="s">
        <v>310</v>
      </c>
      <c r="I135">
        <v>52.156521739130433</v>
      </c>
      <c r="J135">
        <v>2</v>
      </c>
    </row>
    <row r="136" spans="1:10" x14ac:dyDescent="0.35">
      <c r="A136" t="s">
        <v>635</v>
      </c>
      <c r="B136">
        <v>105</v>
      </c>
      <c r="C136">
        <v>24093</v>
      </c>
      <c r="D136" t="s">
        <v>642</v>
      </c>
      <c r="E136">
        <v>29.99</v>
      </c>
      <c r="F136">
        <v>23.32</v>
      </c>
      <c r="G136">
        <v>46190</v>
      </c>
      <c r="H136" t="s">
        <v>316</v>
      </c>
      <c r="I136">
        <v>155.16521739130434</v>
      </c>
      <c r="J136">
        <v>6</v>
      </c>
    </row>
    <row r="137" spans="1:10" x14ac:dyDescent="0.35">
      <c r="A137" t="s">
        <v>635</v>
      </c>
      <c r="B137">
        <v>105</v>
      </c>
      <c r="C137">
        <v>24093</v>
      </c>
      <c r="D137" t="s">
        <v>642</v>
      </c>
      <c r="E137">
        <v>29.99</v>
      </c>
      <c r="F137">
        <v>23.32</v>
      </c>
      <c r="G137">
        <v>46191</v>
      </c>
      <c r="H137" t="s">
        <v>960</v>
      </c>
      <c r="I137">
        <v>78.234782608695653</v>
      </c>
      <c r="J137">
        <v>3</v>
      </c>
    </row>
    <row r="138" spans="1:10" x14ac:dyDescent="0.35">
      <c r="A138" t="s">
        <v>635</v>
      </c>
      <c r="B138">
        <v>105</v>
      </c>
      <c r="C138">
        <v>24105</v>
      </c>
      <c r="D138" t="s">
        <v>646</v>
      </c>
      <c r="E138">
        <v>30.49</v>
      </c>
      <c r="F138">
        <v>24.57</v>
      </c>
      <c r="G138">
        <v>46188</v>
      </c>
      <c r="H138" t="s">
        <v>309</v>
      </c>
      <c r="I138">
        <v>60.98</v>
      </c>
      <c r="J138">
        <v>2</v>
      </c>
    </row>
    <row r="139" spans="1:10" x14ac:dyDescent="0.35">
      <c r="A139" t="s">
        <v>635</v>
      </c>
      <c r="B139">
        <v>105</v>
      </c>
      <c r="C139">
        <v>24105</v>
      </c>
      <c r="D139" t="s">
        <v>646</v>
      </c>
      <c r="E139">
        <v>30.49</v>
      </c>
      <c r="F139">
        <v>24.57</v>
      </c>
      <c r="G139">
        <v>46190</v>
      </c>
      <c r="H139" t="s">
        <v>316</v>
      </c>
      <c r="I139">
        <v>89.95</v>
      </c>
      <c r="J139">
        <v>3</v>
      </c>
    </row>
    <row r="140" spans="1:10" x14ac:dyDescent="0.35">
      <c r="A140" t="s">
        <v>635</v>
      </c>
      <c r="B140">
        <v>105</v>
      </c>
      <c r="C140">
        <v>24108</v>
      </c>
      <c r="D140" t="s">
        <v>647</v>
      </c>
      <c r="E140">
        <v>24.99</v>
      </c>
      <c r="F140">
        <v>18.18</v>
      </c>
      <c r="G140">
        <v>46188</v>
      </c>
      <c r="H140" t="s">
        <v>309</v>
      </c>
      <c r="I140">
        <v>43.460869565217386</v>
      </c>
      <c r="J140">
        <v>2</v>
      </c>
    </row>
    <row r="141" spans="1:10" x14ac:dyDescent="0.35">
      <c r="A141" t="s">
        <v>635</v>
      </c>
      <c r="B141">
        <v>105</v>
      </c>
      <c r="C141">
        <v>24108</v>
      </c>
      <c r="D141" t="s">
        <v>647</v>
      </c>
      <c r="E141">
        <v>24.99</v>
      </c>
      <c r="F141">
        <v>18.18</v>
      </c>
      <c r="G141">
        <v>46189</v>
      </c>
      <c r="H141" t="s">
        <v>310</v>
      </c>
      <c r="I141">
        <v>86.921739130434773</v>
      </c>
      <c r="J141">
        <v>4</v>
      </c>
    </row>
    <row r="142" spans="1:10" x14ac:dyDescent="0.35">
      <c r="A142" t="s">
        <v>635</v>
      </c>
      <c r="B142">
        <v>105</v>
      </c>
      <c r="C142">
        <v>24108</v>
      </c>
      <c r="D142" t="s">
        <v>647</v>
      </c>
      <c r="E142">
        <v>24.99</v>
      </c>
      <c r="F142">
        <v>18.18</v>
      </c>
      <c r="G142">
        <v>46190</v>
      </c>
      <c r="H142" t="s">
        <v>316</v>
      </c>
      <c r="I142">
        <v>583.46086956521742</v>
      </c>
      <c r="J142">
        <v>28</v>
      </c>
    </row>
    <row r="143" spans="1:10" x14ac:dyDescent="0.35">
      <c r="A143" t="s">
        <v>635</v>
      </c>
      <c r="B143">
        <v>105</v>
      </c>
      <c r="C143">
        <v>24108</v>
      </c>
      <c r="D143" t="s">
        <v>647</v>
      </c>
      <c r="E143">
        <v>24.99</v>
      </c>
      <c r="F143">
        <v>18.18</v>
      </c>
      <c r="G143">
        <v>46191</v>
      </c>
      <c r="H143" t="s">
        <v>960</v>
      </c>
      <c r="I143">
        <v>173.84347826086955</v>
      </c>
      <c r="J143">
        <v>8</v>
      </c>
    </row>
    <row r="144" spans="1:10" x14ac:dyDescent="0.35">
      <c r="A144" t="s">
        <v>635</v>
      </c>
      <c r="B144">
        <v>105</v>
      </c>
      <c r="C144">
        <v>24109</v>
      </c>
      <c r="D144" t="s">
        <v>648</v>
      </c>
      <c r="E144">
        <v>24.99</v>
      </c>
      <c r="F144">
        <v>17.98</v>
      </c>
      <c r="G144">
        <v>46188</v>
      </c>
      <c r="H144" t="s">
        <v>309</v>
      </c>
      <c r="I144">
        <v>152.11304347826086</v>
      </c>
      <c r="J144">
        <v>7</v>
      </c>
    </row>
    <row r="145" spans="1:10" x14ac:dyDescent="0.35">
      <c r="A145" t="s">
        <v>635</v>
      </c>
      <c r="B145">
        <v>105</v>
      </c>
      <c r="C145">
        <v>24109</v>
      </c>
      <c r="D145" t="s">
        <v>648</v>
      </c>
      <c r="E145">
        <v>24.99</v>
      </c>
      <c r="F145">
        <v>17.98</v>
      </c>
      <c r="G145">
        <v>46189</v>
      </c>
      <c r="H145" t="s">
        <v>310</v>
      </c>
      <c r="I145">
        <v>108.65217391304348</v>
      </c>
      <c r="J145">
        <v>5</v>
      </c>
    </row>
    <row r="146" spans="1:10" x14ac:dyDescent="0.35">
      <c r="A146" t="s">
        <v>635</v>
      </c>
      <c r="B146">
        <v>105</v>
      </c>
      <c r="C146">
        <v>24109</v>
      </c>
      <c r="D146" t="s">
        <v>648</v>
      </c>
      <c r="E146">
        <v>24.99</v>
      </c>
      <c r="F146">
        <v>17.98</v>
      </c>
      <c r="G146">
        <v>46190</v>
      </c>
      <c r="H146" t="s">
        <v>316</v>
      </c>
      <c r="I146">
        <v>21.730434782608693</v>
      </c>
      <c r="J146">
        <v>1</v>
      </c>
    </row>
    <row r="147" spans="1:10" x14ac:dyDescent="0.35">
      <c r="A147" t="s">
        <v>635</v>
      </c>
      <c r="B147">
        <v>105</v>
      </c>
      <c r="C147">
        <v>24109</v>
      </c>
      <c r="D147" t="s">
        <v>648</v>
      </c>
      <c r="E147">
        <v>24.99</v>
      </c>
      <c r="F147">
        <v>17.98</v>
      </c>
      <c r="G147">
        <v>46191</v>
      </c>
      <c r="H147" t="s">
        <v>960</v>
      </c>
      <c r="I147">
        <v>130.38260869565218</v>
      </c>
      <c r="J147">
        <v>6</v>
      </c>
    </row>
    <row r="148" spans="1:10" x14ac:dyDescent="0.35">
      <c r="A148" t="s">
        <v>632</v>
      </c>
      <c r="B148">
        <v>105</v>
      </c>
      <c r="C148">
        <v>24286</v>
      </c>
      <c r="D148" t="s">
        <v>650</v>
      </c>
      <c r="E148">
        <v>21.99</v>
      </c>
      <c r="F148">
        <v>15.52</v>
      </c>
      <c r="G148">
        <v>46188</v>
      </c>
      <c r="H148" t="s">
        <v>309</v>
      </c>
      <c r="I148">
        <v>57.365217391304348</v>
      </c>
      <c r="J148">
        <v>3</v>
      </c>
    </row>
    <row r="149" spans="1:10" x14ac:dyDescent="0.35">
      <c r="A149" t="s">
        <v>632</v>
      </c>
      <c r="B149">
        <v>105</v>
      </c>
      <c r="C149">
        <v>24286</v>
      </c>
      <c r="D149" t="s">
        <v>650</v>
      </c>
      <c r="E149">
        <v>21.99</v>
      </c>
      <c r="F149">
        <v>15.52</v>
      </c>
      <c r="G149">
        <v>46189</v>
      </c>
      <c r="H149" t="s">
        <v>310</v>
      </c>
      <c r="I149">
        <v>57.365217391304348</v>
      </c>
      <c r="J149">
        <v>3</v>
      </c>
    </row>
    <row r="150" spans="1:10" x14ac:dyDescent="0.35">
      <c r="A150" t="s">
        <v>632</v>
      </c>
      <c r="B150">
        <v>105</v>
      </c>
      <c r="C150">
        <v>24286</v>
      </c>
      <c r="D150" t="s">
        <v>650</v>
      </c>
      <c r="E150">
        <v>21.99</v>
      </c>
      <c r="F150">
        <v>15.52</v>
      </c>
      <c r="G150">
        <v>46191</v>
      </c>
      <c r="H150" t="s">
        <v>960</v>
      </c>
      <c r="I150">
        <v>95.608695652173921</v>
      </c>
      <c r="J150">
        <v>5</v>
      </c>
    </row>
    <row r="151" spans="1:10" x14ac:dyDescent="0.35">
      <c r="A151" t="s">
        <v>632</v>
      </c>
      <c r="B151">
        <v>105</v>
      </c>
      <c r="C151">
        <v>24291</v>
      </c>
      <c r="D151" t="s">
        <v>651</v>
      </c>
      <c r="E151">
        <v>19.989999999999998</v>
      </c>
      <c r="F151">
        <v>15.3</v>
      </c>
      <c r="G151">
        <v>46188</v>
      </c>
      <c r="H151" t="s">
        <v>309</v>
      </c>
      <c r="I151">
        <v>59.97</v>
      </c>
      <c r="J151">
        <v>3</v>
      </c>
    </row>
    <row r="152" spans="1:10" x14ac:dyDescent="0.35">
      <c r="A152" t="s">
        <v>632</v>
      </c>
      <c r="B152">
        <v>105</v>
      </c>
      <c r="C152">
        <v>24291</v>
      </c>
      <c r="D152" t="s">
        <v>651</v>
      </c>
      <c r="E152">
        <v>19.989999999999998</v>
      </c>
      <c r="F152">
        <v>15.3</v>
      </c>
      <c r="G152">
        <v>46190</v>
      </c>
      <c r="H152" t="s">
        <v>316</v>
      </c>
      <c r="I152">
        <v>39.979999999999997</v>
      </c>
      <c r="J152">
        <v>2</v>
      </c>
    </row>
    <row r="153" spans="1:10" x14ac:dyDescent="0.35">
      <c r="A153" t="s">
        <v>632</v>
      </c>
      <c r="B153">
        <v>105</v>
      </c>
      <c r="C153">
        <v>24291</v>
      </c>
      <c r="D153" t="s">
        <v>651</v>
      </c>
      <c r="E153">
        <v>19.989999999999998</v>
      </c>
      <c r="F153">
        <v>15.3</v>
      </c>
      <c r="G153">
        <v>46191</v>
      </c>
      <c r="H153" t="s">
        <v>960</v>
      </c>
      <c r="I153">
        <v>79.959999999999994</v>
      </c>
      <c r="J153">
        <v>4</v>
      </c>
    </row>
    <row r="154" spans="1:10" x14ac:dyDescent="0.35">
      <c r="A154" t="s">
        <v>632</v>
      </c>
      <c r="B154">
        <v>105</v>
      </c>
      <c r="C154">
        <v>24298</v>
      </c>
      <c r="D154" t="s">
        <v>653</v>
      </c>
      <c r="E154">
        <v>20.99</v>
      </c>
      <c r="F154">
        <v>15.19</v>
      </c>
      <c r="G154">
        <v>46188</v>
      </c>
      <c r="H154" t="s">
        <v>309</v>
      </c>
      <c r="I154">
        <v>292.03478260869565</v>
      </c>
      <c r="J154">
        <v>16</v>
      </c>
    </row>
    <row r="155" spans="1:10" x14ac:dyDescent="0.35">
      <c r="A155" t="s">
        <v>632</v>
      </c>
      <c r="B155">
        <v>105</v>
      </c>
      <c r="C155">
        <v>24298</v>
      </c>
      <c r="D155" t="s">
        <v>653</v>
      </c>
      <c r="E155">
        <v>20.99</v>
      </c>
      <c r="F155">
        <v>15.19</v>
      </c>
      <c r="G155">
        <v>46189</v>
      </c>
      <c r="H155" t="s">
        <v>310</v>
      </c>
      <c r="I155">
        <v>273.78260869565219</v>
      </c>
      <c r="J155">
        <v>15</v>
      </c>
    </row>
    <row r="156" spans="1:10" x14ac:dyDescent="0.35">
      <c r="A156" t="s">
        <v>632</v>
      </c>
      <c r="B156">
        <v>105</v>
      </c>
      <c r="C156">
        <v>24298</v>
      </c>
      <c r="D156" t="s">
        <v>653</v>
      </c>
      <c r="E156">
        <v>20.99</v>
      </c>
      <c r="F156">
        <v>15.19</v>
      </c>
      <c r="G156">
        <v>46190</v>
      </c>
      <c r="H156" t="s">
        <v>316</v>
      </c>
      <c r="I156">
        <v>180.69565217391306</v>
      </c>
      <c r="J156">
        <v>10</v>
      </c>
    </row>
    <row r="157" spans="1:10" x14ac:dyDescent="0.35">
      <c r="A157" t="s">
        <v>632</v>
      </c>
      <c r="B157">
        <v>105</v>
      </c>
      <c r="C157">
        <v>24298</v>
      </c>
      <c r="D157" t="s">
        <v>653</v>
      </c>
      <c r="E157">
        <v>20.99</v>
      </c>
      <c r="F157">
        <v>15.19</v>
      </c>
      <c r="G157">
        <v>46191</v>
      </c>
      <c r="H157" t="s">
        <v>960</v>
      </c>
      <c r="I157">
        <v>127.76521739130436</v>
      </c>
      <c r="J157">
        <v>7</v>
      </c>
    </row>
    <row r="158" spans="1:10" x14ac:dyDescent="0.35">
      <c r="A158" t="s">
        <v>632</v>
      </c>
      <c r="B158">
        <v>105</v>
      </c>
      <c r="C158">
        <v>24303</v>
      </c>
      <c r="D158" t="s">
        <v>654</v>
      </c>
      <c r="E158">
        <v>20.99</v>
      </c>
      <c r="F158">
        <v>16.39</v>
      </c>
      <c r="G158">
        <v>46188</v>
      </c>
      <c r="H158" t="s">
        <v>309</v>
      </c>
      <c r="I158">
        <v>41.98</v>
      </c>
      <c r="J158">
        <v>2</v>
      </c>
    </row>
    <row r="159" spans="1:10" x14ac:dyDescent="0.35">
      <c r="A159" t="s">
        <v>632</v>
      </c>
      <c r="B159">
        <v>105</v>
      </c>
      <c r="C159">
        <v>24303</v>
      </c>
      <c r="D159" t="s">
        <v>654</v>
      </c>
      <c r="E159">
        <v>20.99</v>
      </c>
      <c r="F159">
        <v>16.39</v>
      </c>
      <c r="G159">
        <v>46189</v>
      </c>
      <c r="H159" t="s">
        <v>310</v>
      </c>
      <c r="I159">
        <v>41.98</v>
      </c>
      <c r="J159">
        <v>2</v>
      </c>
    </row>
    <row r="160" spans="1:10" x14ac:dyDescent="0.35">
      <c r="A160" t="s">
        <v>632</v>
      </c>
      <c r="B160">
        <v>105</v>
      </c>
      <c r="C160">
        <v>24303</v>
      </c>
      <c r="D160" t="s">
        <v>654</v>
      </c>
      <c r="E160">
        <v>20.99</v>
      </c>
      <c r="F160">
        <v>16.39</v>
      </c>
      <c r="G160">
        <v>46190</v>
      </c>
      <c r="H160" t="s">
        <v>316</v>
      </c>
      <c r="I160">
        <v>40.93</v>
      </c>
      <c r="J160">
        <v>2</v>
      </c>
    </row>
    <row r="161" spans="1:10" x14ac:dyDescent="0.35">
      <c r="A161" t="s">
        <v>632</v>
      </c>
      <c r="B161">
        <v>105</v>
      </c>
      <c r="C161">
        <v>24303</v>
      </c>
      <c r="D161" t="s">
        <v>654</v>
      </c>
      <c r="E161">
        <v>20.99</v>
      </c>
      <c r="F161">
        <v>16.39</v>
      </c>
      <c r="G161">
        <v>46191</v>
      </c>
      <c r="H161" t="s">
        <v>960</v>
      </c>
      <c r="I161">
        <v>41.98</v>
      </c>
      <c r="J161">
        <v>2</v>
      </c>
    </row>
    <row r="162" spans="1:10" x14ac:dyDescent="0.35">
      <c r="A162" t="s">
        <v>632</v>
      </c>
      <c r="B162">
        <v>105</v>
      </c>
      <c r="C162">
        <v>24304</v>
      </c>
      <c r="D162" t="s">
        <v>655</v>
      </c>
      <c r="E162">
        <v>13.99</v>
      </c>
      <c r="F162">
        <v>9.0299999999999994</v>
      </c>
      <c r="G162">
        <v>46189</v>
      </c>
      <c r="H162" t="s">
        <v>310</v>
      </c>
      <c r="I162">
        <v>12.165217391304347</v>
      </c>
      <c r="J162">
        <v>1</v>
      </c>
    </row>
    <row r="163" spans="1:10" x14ac:dyDescent="0.35">
      <c r="A163" t="s">
        <v>632</v>
      </c>
      <c r="B163">
        <v>105</v>
      </c>
      <c r="C163">
        <v>24304</v>
      </c>
      <c r="D163" t="s">
        <v>655</v>
      </c>
      <c r="E163">
        <v>13.99</v>
      </c>
      <c r="F163">
        <v>9.0299999999999994</v>
      </c>
      <c r="G163">
        <v>46190</v>
      </c>
      <c r="H163" t="s">
        <v>316</v>
      </c>
      <c r="I163">
        <v>23.721739130434784</v>
      </c>
      <c r="J163">
        <v>2</v>
      </c>
    </row>
    <row r="164" spans="1:10" x14ac:dyDescent="0.35">
      <c r="A164" t="s">
        <v>632</v>
      </c>
      <c r="B164">
        <v>105</v>
      </c>
      <c r="C164">
        <v>24304</v>
      </c>
      <c r="D164" t="s">
        <v>655</v>
      </c>
      <c r="E164">
        <v>13.99</v>
      </c>
      <c r="F164">
        <v>9.0299999999999994</v>
      </c>
      <c r="G164">
        <v>46191</v>
      </c>
      <c r="H164" t="s">
        <v>960</v>
      </c>
      <c r="I164">
        <v>12.165217391304347</v>
      </c>
      <c r="J164">
        <v>1</v>
      </c>
    </row>
    <row r="165" spans="1:10" x14ac:dyDescent="0.35">
      <c r="A165" t="s">
        <v>632</v>
      </c>
      <c r="B165">
        <v>105</v>
      </c>
      <c r="C165">
        <v>24305</v>
      </c>
      <c r="D165" t="s">
        <v>656</v>
      </c>
      <c r="E165">
        <v>13.99</v>
      </c>
      <c r="F165">
        <v>9.0299999999999994</v>
      </c>
      <c r="G165">
        <v>46189</v>
      </c>
      <c r="H165" t="s">
        <v>310</v>
      </c>
      <c r="I165">
        <v>12.165217391304347</v>
      </c>
      <c r="J165">
        <v>1</v>
      </c>
    </row>
    <row r="166" spans="1:10" x14ac:dyDescent="0.35">
      <c r="A166" t="s">
        <v>632</v>
      </c>
      <c r="B166">
        <v>105</v>
      </c>
      <c r="C166">
        <v>24305</v>
      </c>
      <c r="D166" t="s">
        <v>656</v>
      </c>
      <c r="E166">
        <v>13.99</v>
      </c>
      <c r="F166">
        <v>9.0299999999999994</v>
      </c>
      <c r="G166">
        <v>46190</v>
      </c>
      <c r="H166" t="s">
        <v>316</v>
      </c>
      <c r="I166">
        <v>36.495652173913044</v>
      </c>
      <c r="J166">
        <v>3</v>
      </c>
    </row>
    <row r="167" spans="1:10" x14ac:dyDescent="0.35">
      <c r="A167" t="s">
        <v>632</v>
      </c>
      <c r="B167">
        <v>105</v>
      </c>
      <c r="C167">
        <v>24306</v>
      </c>
      <c r="D167" t="s">
        <v>657</v>
      </c>
      <c r="E167">
        <v>13.99</v>
      </c>
      <c r="F167">
        <v>9.0299999999999994</v>
      </c>
      <c r="G167">
        <v>46188</v>
      </c>
      <c r="H167" t="s">
        <v>309</v>
      </c>
      <c r="I167">
        <v>12.165217391304347</v>
      </c>
      <c r="J167">
        <v>1</v>
      </c>
    </row>
    <row r="168" spans="1:10" x14ac:dyDescent="0.35">
      <c r="A168" t="s">
        <v>632</v>
      </c>
      <c r="B168">
        <v>105</v>
      </c>
      <c r="C168">
        <v>24306</v>
      </c>
      <c r="D168" t="s">
        <v>657</v>
      </c>
      <c r="E168">
        <v>13.99</v>
      </c>
      <c r="F168">
        <v>9.0299999999999994</v>
      </c>
      <c r="G168">
        <v>46189</v>
      </c>
      <c r="H168" t="s">
        <v>310</v>
      </c>
      <c r="I168">
        <v>24.330434782608695</v>
      </c>
      <c r="J168">
        <v>2</v>
      </c>
    </row>
    <row r="169" spans="1:10" x14ac:dyDescent="0.35">
      <c r="A169" t="s">
        <v>632</v>
      </c>
      <c r="B169">
        <v>105</v>
      </c>
      <c r="C169">
        <v>24306</v>
      </c>
      <c r="D169" t="s">
        <v>657</v>
      </c>
      <c r="E169">
        <v>13.99</v>
      </c>
      <c r="F169">
        <v>9.0299999999999994</v>
      </c>
      <c r="G169">
        <v>46190</v>
      </c>
      <c r="H169" t="s">
        <v>316</v>
      </c>
      <c r="I169">
        <v>11.556521739130433</v>
      </c>
      <c r="J169">
        <v>1</v>
      </c>
    </row>
    <row r="170" spans="1:10" x14ac:dyDescent="0.35">
      <c r="A170" t="s">
        <v>632</v>
      </c>
      <c r="B170">
        <v>105</v>
      </c>
      <c r="C170">
        <v>24307</v>
      </c>
      <c r="D170" t="s">
        <v>658</v>
      </c>
      <c r="E170">
        <v>13.99</v>
      </c>
      <c r="F170">
        <v>9.0299999999999994</v>
      </c>
      <c r="G170">
        <v>46189</v>
      </c>
      <c r="H170" t="s">
        <v>310</v>
      </c>
      <c r="I170">
        <v>12.165217391304347</v>
      </c>
      <c r="J170">
        <v>1</v>
      </c>
    </row>
    <row r="171" spans="1:10" x14ac:dyDescent="0.35">
      <c r="A171" t="s">
        <v>632</v>
      </c>
      <c r="B171">
        <v>105</v>
      </c>
      <c r="C171">
        <v>24308</v>
      </c>
      <c r="D171" t="s">
        <v>659</v>
      </c>
      <c r="E171">
        <v>24.99</v>
      </c>
      <c r="F171">
        <v>16.059999999999999</v>
      </c>
      <c r="G171">
        <v>46188</v>
      </c>
      <c r="H171" t="s">
        <v>309</v>
      </c>
      <c r="I171">
        <v>43.460869565217386</v>
      </c>
      <c r="J171">
        <v>2</v>
      </c>
    </row>
    <row r="172" spans="1:10" x14ac:dyDescent="0.35">
      <c r="A172" t="s">
        <v>632</v>
      </c>
      <c r="B172">
        <v>105</v>
      </c>
      <c r="C172">
        <v>24308</v>
      </c>
      <c r="D172" t="s">
        <v>659</v>
      </c>
      <c r="E172">
        <v>24.99</v>
      </c>
      <c r="F172">
        <v>16.059999999999999</v>
      </c>
      <c r="G172">
        <v>46189</v>
      </c>
      <c r="H172" t="s">
        <v>310</v>
      </c>
      <c r="I172">
        <v>43.460869565217386</v>
      </c>
      <c r="J172">
        <v>2</v>
      </c>
    </row>
    <row r="173" spans="1:10" x14ac:dyDescent="0.35">
      <c r="A173" t="s">
        <v>632</v>
      </c>
      <c r="B173">
        <v>105</v>
      </c>
      <c r="C173">
        <v>24308</v>
      </c>
      <c r="D173" t="s">
        <v>659</v>
      </c>
      <c r="E173">
        <v>24.99</v>
      </c>
      <c r="F173">
        <v>16.059999999999999</v>
      </c>
      <c r="G173">
        <v>46190</v>
      </c>
      <c r="H173" t="s">
        <v>316</v>
      </c>
      <c r="I173">
        <v>20.643478260869564</v>
      </c>
      <c r="J173">
        <v>1</v>
      </c>
    </row>
    <row r="174" spans="1:10" x14ac:dyDescent="0.35">
      <c r="A174" t="s">
        <v>632</v>
      </c>
      <c r="B174">
        <v>105</v>
      </c>
      <c r="C174">
        <v>24308</v>
      </c>
      <c r="D174" t="s">
        <v>659</v>
      </c>
      <c r="E174">
        <v>24.99</v>
      </c>
      <c r="F174">
        <v>16.059999999999999</v>
      </c>
      <c r="G174">
        <v>46191</v>
      </c>
      <c r="H174" t="s">
        <v>960</v>
      </c>
      <c r="I174">
        <v>65.19130434782609</v>
      </c>
      <c r="J174">
        <v>3</v>
      </c>
    </row>
    <row r="175" spans="1:10" x14ac:dyDescent="0.35">
      <c r="A175" t="s">
        <v>476</v>
      </c>
      <c r="B175">
        <v>105</v>
      </c>
      <c r="C175">
        <v>24619</v>
      </c>
      <c r="D175" t="s">
        <v>660</v>
      </c>
      <c r="E175">
        <v>21.99</v>
      </c>
      <c r="F175">
        <v>15.39</v>
      </c>
      <c r="G175">
        <v>46188</v>
      </c>
      <c r="H175" t="s">
        <v>309</v>
      </c>
      <c r="I175">
        <v>57.365217391304348</v>
      </c>
      <c r="J175">
        <v>3</v>
      </c>
    </row>
    <row r="176" spans="1:10" x14ac:dyDescent="0.35">
      <c r="A176" t="s">
        <v>476</v>
      </c>
      <c r="B176">
        <v>105</v>
      </c>
      <c r="C176">
        <v>24619</v>
      </c>
      <c r="D176" t="s">
        <v>660</v>
      </c>
      <c r="E176">
        <v>21.99</v>
      </c>
      <c r="F176">
        <v>15.39</v>
      </c>
      <c r="G176">
        <v>46189</v>
      </c>
      <c r="H176" t="s">
        <v>310</v>
      </c>
      <c r="I176">
        <v>133.85217391304349</v>
      </c>
      <c r="J176">
        <v>7</v>
      </c>
    </row>
    <row r="177" spans="1:10" x14ac:dyDescent="0.35">
      <c r="A177" t="s">
        <v>476</v>
      </c>
      <c r="B177">
        <v>105</v>
      </c>
      <c r="C177">
        <v>24619</v>
      </c>
      <c r="D177" t="s">
        <v>660</v>
      </c>
      <c r="E177">
        <v>21.99</v>
      </c>
      <c r="F177">
        <v>15.39</v>
      </c>
      <c r="G177">
        <v>46190</v>
      </c>
      <c r="H177" t="s">
        <v>316</v>
      </c>
      <c r="I177">
        <v>76.486956521739131</v>
      </c>
      <c r="J177">
        <v>4</v>
      </c>
    </row>
    <row r="178" spans="1:10" x14ac:dyDescent="0.35">
      <c r="A178" t="s">
        <v>476</v>
      </c>
      <c r="B178">
        <v>105</v>
      </c>
      <c r="C178">
        <v>24619</v>
      </c>
      <c r="D178" t="s">
        <v>660</v>
      </c>
      <c r="E178">
        <v>21.99</v>
      </c>
      <c r="F178">
        <v>15.39</v>
      </c>
      <c r="G178">
        <v>46191</v>
      </c>
      <c r="H178" t="s">
        <v>960</v>
      </c>
      <c r="I178">
        <v>133.85217391304349</v>
      </c>
      <c r="J178">
        <v>7</v>
      </c>
    </row>
    <row r="179" spans="1:10" x14ac:dyDescent="0.35">
      <c r="A179" t="s">
        <v>476</v>
      </c>
      <c r="B179">
        <v>105</v>
      </c>
      <c r="C179">
        <v>24620</v>
      </c>
      <c r="D179" t="s">
        <v>661</v>
      </c>
      <c r="E179">
        <v>18.989999999999998</v>
      </c>
      <c r="F179">
        <v>15.7</v>
      </c>
      <c r="G179">
        <v>46188</v>
      </c>
      <c r="H179" t="s">
        <v>309</v>
      </c>
      <c r="I179">
        <v>75.959999999999994</v>
      </c>
      <c r="J179">
        <v>4</v>
      </c>
    </row>
    <row r="180" spans="1:10" x14ac:dyDescent="0.35">
      <c r="A180" t="s">
        <v>476</v>
      </c>
      <c r="B180">
        <v>105</v>
      </c>
      <c r="C180">
        <v>24620</v>
      </c>
      <c r="D180" t="s">
        <v>661</v>
      </c>
      <c r="E180">
        <v>18.989999999999998</v>
      </c>
      <c r="F180">
        <v>15.7</v>
      </c>
      <c r="G180">
        <v>46189</v>
      </c>
      <c r="H180" t="s">
        <v>310</v>
      </c>
      <c r="I180">
        <v>94.95</v>
      </c>
      <c r="J180">
        <v>5</v>
      </c>
    </row>
    <row r="181" spans="1:10" x14ac:dyDescent="0.35">
      <c r="A181" t="s">
        <v>476</v>
      </c>
      <c r="B181">
        <v>105</v>
      </c>
      <c r="C181">
        <v>24620</v>
      </c>
      <c r="D181" t="s">
        <v>661</v>
      </c>
      <c r="E181">
        <v>18.989999999999998</v>
      </c>
      <c r="F181">
        <v>15.7</v>
      </c>
      <c r="G181">
        <v>46190</v>
      </c>
      <c r="H181" t="s">
        <v>316</v>
      </c>
      <c r="I181">
        <v>149.07</v>
      </c>
      <c r="J181">
        <v>8</v>
      </c>
    </row>
    <row r="182" spans="1:10" x14ac:dyDescent="0.35">
      <c r="A182" t="s">
        <v>476</v>
      </c>
      <c r="B182">
        <v>105</v>
      </c>
      <c r="C182">
        <v>24620</v>
      </c>
      <c r="D182" t="s">
        <v>661</v>
      </c>
      <c r="E182">
        <v>18.989999999999998</v>
      </c>
      <c r="F182">
        <v>15.7</v>
      </c>
      <c r="G182">
        <v>46191</v>
      </c>
      <c r="H182" t="s">
        <v>960</v>
      </c>
      <c r="I182">
        <v>56.97</v>
      </c>
      <c r="J182">
        <v>3</v>
      </c>
    </row>
    <row r="183" spans="1:10" x14ac:dyDescent="0.35">
      <c r="A183" t="s">
        <v>476</v>
      </c>
      <c r="B183">
        <v>105</v>
      </c>
      <c r="C183">
        <v>24621</v>
      </c>
      <c r="D183" t="s">
        <v>662</v>
      </c>
      <c r="E183">
        <v>25.99</v>
      </c>
      <c r="F183">
        <v>19.2</v>
      </c>
      <c r="G183">
        <v>46188</v>
      </c>
      <c r="H183" t="s">
        <v>309</v>
      </c>
      <c r="I183">
        <v>155.94</v>
      </c>
      <c r="J183">
        <v>6</v>
      </c>
    </row>
    <row r="184" spans="1:10" x14ac:dyDescent="0.35">
      <c r="A184" t="s">
        <v>476</v>
      </c>
      <c r="B184">
        <v>105</v>
      </c>
      <c r="C184">
        <v>24621</v>
      </c>
      <c r="D184" t="s">
        <v>662</v>
      </c>
      <c r="E184">
        <v>25.99</v>
      </c>
      <c r="F184">
        <v>19.2</v>
      </c>
      <c r="G184">
        <v>46191</v>
      </c>
      <c r="H184" t="s">
        <v>960</v>
      </c>
      <c r="I184">
        <v>51.98</v>
      </c>
      <c r="J184">
        <v>2</v>
      </c>
    </row>
    <row r="185" spans="1:10" x14ac:dyDescent="0.35">
      <c r="A185" t="s">
        <v>476</v>
      </c>
      <c r="B185">
        <v>105</v>
      </c>
      <c r="C185">
        <v>24626</v>
      </c>
      <c r="D185" t="s">
        <v>663</v>
      </c>
      <c r="E185">
        <v>25.99</v>
      </c>
      <c r="F185">
        <v>16.350000000000001</v>
      </c>
      <c r="G185">
        <v>46188</v>
      </c>
      <c r="H185" t="s">
        <v>309</v>
      </c>
      <c r="I185">
        <v>67.8</v>
      </c>
      <c r="J185">
        <v>3</v>
      </c>
    </row>
    <row r="186" spans="1:10" x14ac:dyDescent="0.35">
      <c r="A186" t="s">
        <v>476</v>
      </c>
      <c r="B186">
        <v>105</v>
      </c>
      <c r="C186">
        <v>24626</v>
      </c>
      <c r="D186" t="s">
        <v>663</v>
      </c>
      <c r="E186">
        <v>25.99</v>
      </c>
      <c r="F186">
        <v>16.350000000000001</v>
      </c>
      <c r="G186">
        <v>46189</v>
      </c>
      <c r="H186" t="s">
        <v>310</v>
      </c>
      <c r="I186">
        <v>45.199999999999996</v>
      </c>
      <c r="J186">
        <v>2</v>
      </c>
    </row>
    <row r="187" spans="1:10" x14ac:dyDescent="0.35">
      <c r="A187" t="s">
        <v>476</v>
      </c>
      <c r="B187">
        <v>105</v>
      </c>
      <c r="C187">
        <v>24626</v>
      </c>
      <c r="D187" t="s">
        <v>663</v>
      </c>
      <c r="E187">
        <v>25.99</v>
      </c>
      <c r="F187">
        <v>16.350000000000001</v>
      </c>
      <c r="G187">
        <v>46190</v>
      </c>
      <c r="H187" t="s">
        <v>316</v>
      </c>
      <c r="I187">
        <v>154.80869565217392</v>
      </c>
      <c r="J187">
        <v>7</v>
      </c>
    </row>
    <row r="188" spans="1:10" x14ac:dyDescent="0.35">
      <c r="A188" t="s">
        <v>476</v>
      </c>
      <c r="B188">
        <v>105</v>
      </c>
      <c r="C188">
        <v>24626</v>
      </c>
      <c r="D188" t="s">
        <v>663</v>
      </c>
      <c r="E188">
        <v>25.99</v>
      </c>
      <c r="F188">
        <v>16.350000000000001</v>
      </c>
      <c r="G188">
        <v>46191</v>
      </c>
      <c r="H188" t="s">
        <v>960</v>
      </c>
      <c r="I188">
        <v>158.20000000000002</v>
      </c>
      <c r="J188">
        <v>7</v>
      </c>
    </row>
    <row r="189" spans="1:10" x14ac:dyDescent="0.35">
      <c r="A189" t="s">
        <v>476</v>
      </c>
      <c r="B189">
        <v>105</v>
      </c>
      <c r="C189">
        <v>24631</v>
      </c>
      <c r="D189" t="s">
        <v>664</v>
      </c>
      <c r="E189">
        <v>23.99</v>
      </c>
      <c r="F189">
        <v>18.8</v>
      </c>
      <c r="G189">
        <v>46188</v>
      </c>
      <c r="H189" t="s">
        <v>309</v>
      </c>
      <c r="I189">
        <v>167.93</v>
      </c>
      <c r="J189">
        <v>7</v>
      </c>
    </row>
    <row r="190" spans="1:10" x14ac:dyDescent="0.35">
      <c r="A190" t="s">
        <v>476</v>
      </c>
      <c r="B190">
        <v>105</v>
      </c>
      <c r="C190">
        <v>24631</v>
      </c>
      <c r="D190" t="s">
        <v>664</v>
      </c>
      <c r="E190">
        <v>23.99</v>
      </c>
      <c r="F190">
        <v>18.8</v>
      </c>
      <c r="G190">
        <v>46189</v>
      </c>
      <c r="H190" t="s">
        <v>310</v>
      </c>
      <c r="I190">
        <v>47.98</v>
      </c>
      <c r="J190">
        <v>2</v>
      </c>
    </row>
    <row r="191" spans="1:10" x14ac:dyDescent="0.35">
      <c r="A191" t="s">
        <v>476</v>
      </c>
      <c r="B191">
        <v>105</v>
      </c>
      <c r="C191">
        <v>24631</v>
      </c>
      <c r="D191" t="s">
        <v>664</v>
      </c>
      <c r="E191">
        <v>23.99</v>
      </c>
      <c r="F191">
        <v>18.8</v>
      </c>
      <c r="G191">
        <v>46190</v>
      </c>
      <c r="H191" t="s">
        <v>316</v>
      </c>
      <c r="I191">
        <v>70.77</v>
      </c>
      <c r="J191">
        <v>3</v>
      </c>
    </row>
    <row r="192" spans="1:10" x14ac:dyDescent="0.35">
      <c r="A192" t="s">
        <v>476</v>
      </c>
      <c r="B192">
        <v>105</v>
      </c>
      <c r="C192">
        <v>24631</v>
      </c>
      <c r="D192" t="s">
        <v>664</v>
      </c>
      <c r="E192">
        <v>23.99</v>
      </c>
      <c r="F192">
        <v>18.8</v>
      </c>
      <c r="G192">
        <v>46191</v>
      </c>
      <c r="H192" t="s">
        <v>960</v>
      </c>
      <c r="I192">
        <v>119.95</v>
      </c>
      <c r="J192">
        <v>5</v>
      </c>
    </row>
    <row r="193" spans="1:10" x14ac:dyDescent="0.35">
      <c r="A193" t="s">
        <v>476</v>
      </c>
      <c r="B193">
        <v>105</v>
      </c>
      <c r="C193">
        <v>24633</v>
      </c>
      <c r="D193" t="s">
        <v>665</v>
      </c>
      <c r="E193">
        <v>25.99</v>
      </c>
      <c r="F193">
        <v>17.57</v>
      </c>
      <c r="G193">
        <v>46188</v>
      </c>
      <c r="H193" t="s">
        <v>309</v>
      </c>
      <c r="I193">
        <v>45.199999999999996</v>
      </c>
      <c r="J193">
        <v>2</v>
      </c>
    </row>
    <row r="194" spans="1:10" x14ac:dyDescent="0.35">
      <c r="A194" t="s">
        <v>476</v>
      </c>
      <c r="B194">
        <v>105</v>
      </c>
      <c r="C194">
        <v>24633</v>
      </c>
      <c r="D194" t="s">
        <v>665</v>
      </c>
      <c r="E194">
        <v>25.99</v>
      </c>
      <c r="F194">
        <v>17.57</v>
      </c>
      <c r="G194">
        <v>46189</v>
      </c>
      <c r="H194" t="s">
        <v>310</v>
      </c>
      <c r="I194">
        <v>67.8</v>
      </c>
      <c r="J194">
        <v>3</v>
      </c>
    </row>
    <row r="195" spans="1:10" x14ac:dyDescent="0.35">
      <c r="A195" t="s">
        <v>476</v>
      </c>
      <c r="B195">
        <v>105</v>
      </c>
      <c r="C195">
        <v>24633</v>
      </c>
      <c r="D195" t="s">
        <v>665</v>
      </c>
      <c r="E195">
        <v>25.99</v>
      </c>
      <c r="F195">
        <v>17.57</v>
      </c>
      <c r="G195">
        <v>46190</v>
      </c>
      <c r="H195" t="s">
        <v>316</v>
      </c>
      <c r="I195">
        <v>21.469565217391306</v>
      </c>
      <c r="J195">
        <v>1</v>
      </c>
    </row>
    <row r="196" spans="1:10" x14ac:dyDescent="0.35">
      <c r="A196" t="s">
        <v>476</v>
      </c>
      <c r="B196">
        <v>105</v>
      </c>
      <c r="C196">
        <v>24634</v>
      </c>
      <c r="D196" t="s">
        <v>666</v>
      </c>
      <c r="E196">
        <v>18.989999999999998</v>
      </c>
      <c r="F196">
        <v>14.5</v>
      </c>
      <c r="G196">
        <v>46188</v>
      </c>
      <c r="H196" t="s">
        <v>309</v>
      </c>
      <c r="I196">
        <v>75.959999999999994</v>
      </c>
      <c r="J196">
        <v>4</v>
      </c>
    </row>
    <row r="197" spans="1:10" x14ac:dyDescent="0.35">
      <c r="A197" t="s">
        <v>476</v>
      </c>
      <c r="B197">
        <v>105</v>
      </c>
      <c r="C197">
        <v>24634</v>
      </c>
      <c r="D197" t="s">
        <v>666</v>
      </c>
      <c r="E197">
        <v>18.989999999999998</v>
      </c>
      <c r="F197">
        <v>14.5</v>
      </c>
      <c r="G197">
        <v>46189</v>
      </c>
      <c r="H197" t="s">
        <v>310</v>
      </c>
      <c r="I197">
        <v>132.93</v>
      </c>
      <c r="J197">
        <v>7</v>
      </c>
    </row>
    <row r="198" spans="1:10" x14ac:dyDescent="0.35">
      <c r="A198" t="s">
        <v>476</v>
      </c>
      <c r="B198">
        <v>105</v>
      </c>
      <c r="C198">
        <v>24634</v>
      </c>
      <c r="D198" t="s">
        <v>666</v>
      </c>
      <c r="E198">
        <v>18.989999999999998</v>
      </c>
      <c r="F198">
        <v>14.5</v>
      </c>
      <c r="G198">
        <v>46190</v>
      </c>
      <c r="H198" t="s">
        <v>316</v>
      </c>
      <c r="I198">
        <v>56.02</v>
      </c>
      <c r="J198">
        <v>3</v>
      </c>
    </row>
    <row r="199" spans="1:10" x14ac:dyDescent="0.35">
      <c r="A199" t="s">
        <v>476</v>
      </c>
      <c r="B199">
        <v>105</v>
      </c>
      <c r="C199">
        <v>24634</v>
      </c>
      <c r="D199" t="s">
        <v>666</v>
      </c>
      <c r="E199">
        <v>18.989999999999998</v>
      </c>
      <c r="F199">
        <v>14.5</v>
      </c>
      <c r="G199">
        <v>46191</v>
      </c>
      <c r="H199" t="s">
        <v>960</v>
      </c>
      <c r="I199">
        <v>37.979999999999997</v>
      </c>
      <c r="J199">
        <v>2</v>
      </c>
    </row>
    <row r="200" spans="1:10" x14ac:dyDescent="0.35">
      <c r="A200" t="s">
        <v>476</v>
      </c>
      <c r="B200">
        <v>105</v>
      </c>
      <c r="C200">
        <v>24635</v>
      </c>
      <c r="D200" t="s">
        <v>667</v>
      </c>
      <c r="E200">
        <v>19.989999999999998</v>
      </c>
      <c r="F200">
        <v>14.35</v>
      </c>
      <c r="G200">
        <v>46188</v>
      </c>
      <c r="H200" t="s">
        <v>309</v>
      </c>
      <c r="I200">
        <v>139.06086956521739</v>
      </c>
      <c r="J200">
        <v>8</v>
      </c>
    </row>
    <row r="201" spans="1:10" x14ac:dyDescent="0.35">
      <c r="A201" t="s">
        <v>476</v>
      </c>
      <c r="B201">
        <v>105</v>
      </c>
      <c r="C201">
        <v>24635</v>
      </c>
      <c r="D201" t="s">
        <v>667</v>
      </c>
      <c r="E201">
        <v>19.989999999999998</v>
      </c>
      <c r="F201">
        <v>14.35</v>
      </c>
      <c r="G201">
        <v>46189</v>
      </c>
      <c r="H201" t="s">
        <v>310</v>
      </c>
      <c r="I201">
        <v>260.73913043478262</v>
      </c>
      <c r="J201">
        <v>15</v>
      </c>
    </row>
    <row r="202" spans="1:10" x14ac:dyDescent="0.35">
      <c r="A202" t="s">
        <v>476</v>
      </c>
      <c r="B202">
        <v>105</v>
      </c>
      <c r="C202">
        <v>24635</v>
      </c>
      <c r="D202" t="s">
        <v>667</v>
      </c>
      <c r="E202">
        <v>19.989999999999998</v>
      </c>
      <c r="F202">
        <v>14.35</v>
      </c>
      <c r="G202">
        <v>46190</v>
      </c>
      <c r="H202" t="s">
        <v>316</v>
      </c>
      <c r="I202">
        <v>172.95652173913044</v>
      </c>
      <c r="J202">
        <v>10</v>
      </c>
    </row>
    <row r="203" spans="1:10" x14ac:dyDescent="0.35">
      <c r="A203" t="s">
        <v>476</v>
      </c>
      <c r="B203">
        <v>105</v>
      </c>
      <c r="C203">
        <v>24635</v>
      </c>
      <c r="D203" t="s">
        <v>667</v>
      </c>
      <c r="E203">
        <v>19.989999999999998</v>
      </c>
      <c r="F203">
        <v>14.35</v>
      </c>
      <c r="G203">
        <v>46191</v>
      </c>
      <c r="H203" t="s">
        <v>960</v>
      </c>
      <c r="I203">
        <v>104.29565217391304</v>
      </c>
      <c r="J203">
        <v>6</v>
      </c>
    </row>
    <row r="204" spans="1:10" x14ac:dyDescent="0.35">
      <c r="A204" t="s">
        <v>476</v>
      </c>
      <c r="B204">
        <v>105</v>
      </c>
      <c r="C204">
        <v>24636</v>
      </c>
      <c r="D204" t="s">
        <v>668</v>
      </c>
      <c r="E204">
        <v>25.99</v>
      </c>
      <c r="F204">
        <v>16.36</v>
      </c>
      <c r="G204">
        <v>46190</v>
      </c>
      <c r="H204" t="s">
        <v>316</v>
      </c>
      <c r="I204">
        <v>45.199999999999996</v>
      </c>
      <c r="J204">
        <v>2</v>
      </c>
    </row>
    <row r="205" spans="1:10" x14ac:dyDescent="0.35">
      <c r="A205" t="s">
        <v>476</v>
      </c>
      <c r="B205">
        <v>105</v>
      </c>
      <c r="C205">
        <v>24639</v>
      </c>
      <c r="D205" t="s">
        <v>670</v>
      </c>
      <c r="E205">
        <v>25.99</v>
      </c>
      <c r="F205">
        <v>16.36</v>
      </c>
      <c r="G205">
        <v>46188</v>
      </c>
      <c r="H205" t="s">
        <v>309</v>
      </c>
      <c r="I205">
        <v>22.599999999999998</v>
      </c>
      <c r="J205">
        <v>1</v>
      </c>
    </row>
    <row r="206" spans="1:10" x14ac:dyDescent="0.35">
      <c r="A206" t="s">
        <v>476</v>
      </c>
      <c r="B206">
        <v>105</v>
      </c>
      <c r="C206">
        <v>24652</v>
      </c>
      <c r="D206" t="s">
        <v>671</v>
      </c>
      <c r="E206">
        <v>22.99</v>
      </c>
      <c r="F206">
        <v>14.35</v>
      </c>
      <c r="G206">
        <v>46188</v>
      </c>
      <c r="H206" t="s">
        <v>309</v>
      </c>
      <c r="I206">
        <v>279.87826086956522</v>
      </c>
      <c r="J206">
        <v>14</v>
      </c>
    </row>
    <row r="207" spans="1:10" x14ac:dyDescent="0.35">
      <c r="A207" t="s">
        <v>476</v>
      </c>
      <c r="B207">
        <v>105</v>
      </c>
      <c r="C207">
        <v>24652</v>
      </c>
      <c r="D207" t="s">
        <v>671</v>
      </c>
      <c r="E207">
        <v>22.99</v>
      </c>
      <c r="F207">
        <v>14.35</v>
      </c>
      <c r="G207">
        <v>46189</v>
      </c>
      <c r="H207" t="s">
        <v>310</v>
      </c>
      <c r="I207">
        <v>259.88695652173914</v>
      </c>
      <c r="J207">
        <v>13</v>
      </c>
    </row>
    <row r="208" spans="1:10" x14ac:dyDescent="0.35">
      <c r="A208" t="s">
        <v>476</v>
      </c>
      <c r="B208">
        <v>105</v>
      </c>
      <c r="C208">
        <v>24652</v>
      </c>
      <c r="D208" t="s">
        <v>671</v>
      </c>
      <c r="E208">
        <v>22.99</v>
      </c>
      <c r="F208">
        <v>14.35</v>
      </c>
      <c r="G208">
        <v>46190</v>
      </c>
      <c r="H208" t="s">
        <v>316</v>
      </c>
      <c r="I208">
        <v>197.91304347826087</v>
      </c>
      <c r="J208">
        <v>10</v>
      </c>
    </row>
    <row r="209" spans="1:10" x14ac:dyDescent="0.35">
      <c r="A209" t="s">
        <v>476</v>
      </c>
      <c r="B209">
        <v>105</v>
      </c>
      <c r="C209">
        <v>24652</v>
      </c>
      <c r="D209" t="s">
        <v>671</v>
      </c>
      <c r="E209">
        <v>22.99</v>
      </c>
      <c r="F209">
        <v>14.35</v>
      </c>
      <c r="G209">
        <v>46191</v>
      </c>
      <c r="H209" t="s">
        <v>960</v>
      </c>
      <c r="I209">
        <v>59.973913043478262</v>
      </c>
      <c r="J209">
        <v>3</v>
      </c>
    </row>
    <row r="210" spans="1:10" x14ac:dyDescent="0.35">
      <c r="A210" t="s">
        <v>476</v>
      </c>
      <c r="B210">
        <v>105</v>
      </c>
      <c r="C210">
        <v>24653</v>
      </c>
      <c r="D210" t="s">
        <v>672</v>
      </c>
      <c r="E210">
        <v>18.989999999999998</v>
      </c>
      <c r="F210">
        <v>14.5</v>
      </c>
      <c r="G210">
        <v>46188</v>
      </c>
      <c r="H210" t="s">
        <v>309</v>
      </c>
      <c r="I210">
        <v>37.979999999999997</v>
      </c>
      <c r="J210">
        <v>2</v>
      </c>
    </row>
    <row r="211" spans="1:10" x14ac:dyDescent="0.35">
      <c r="A211" t="s">
        <v>476</v>
      </c>
      <c r="B211">
        <v>105</v>
      </c>
      <c r="C211">
        <v>24653</v>
      </c>
      <c r="D211" t="s">
        <v>672</v>
      </c>
      <c r="E211">
        <v>18.989999999999998</v>
      </c>
      <c r="F211">
        <v>14.5</v>
      </c>
      <c r="G211">
        <v>46189</v>
      </c>
      <c r="H211" t="s">
        <v>310</v>
      </c>
      <c r="I211">
        <v>37.979999999999997</v>
      </c>
      <c r="J211">
        <v>2</v>
      </c>
    </row>
    <row r="212" spans="1:10" x14ac:dyDescent="0.35">
      <c r="A212" t="s">
        <v>476</v>
      </c>
      <c r="B212">
        <v>105</v>
      </c>
      <c r="C212">
        <v>24653</v>
      </c>
      <c r="D212" t="s">
        <v>672</v>
      </c>
      <c r="E212">
        <v>18.989999999999998</v>
      </c>
      <c r="F212">
        <v>14.5</v>
      </c>
      <c r="G212">
        <v>46190</v>
      </c>
      <c r="H212" t="s">
        <v>316</v>
      </c>
      <c r="I212">
        <v>18.04</v>
      </c>
      <c r="J212">
        <v>1</v>
      </c>
    </row>
    <row r="213" spans="1:10" x14ac:dyDescent="0.35">
      <c r="A213" t="s">
        <v>476</v>
      </c>
      <c r="B213">
        <v>105</v>
      </c>
      <c r="C213">
        <v>24653</v>
      </c>
      <c r="D213" t="s">
        <v>672</v>
      </c>
      <c r="E213">
        <v>18.989999999999998</v>
      </c>
      <c r="F213">
        <v>14.5</v>
      </c>
      <c r="G213">
        <v>46191</v>
      </c>
      <c r="H213" t="s">
        <v>960</v>
      </c>
      <c r="I213">
        <v>18.989999999999998</v>
      </c>
      <c r="J213">
        <v>1</v>
      </c>
    </row>
    <row r="214" spans="1:10" x14ac:dyDescent="0.35">
      <c r="A214" t="s">
        <v>359</v>
      </c>
      <c r="B214">
        <v>103</v>
      </c>
      <c r="C214">
        <v>32056</v>
      </c>
      <c r="D214" t="s">
        <v>673</v>
      </c>
      <c r="E214">
        <v>359</v>
      </c>
      <c r="F214">
        <v>191.73</v>
      </c>
      <c r="G214">
        <v>46190</v>
      </c>
      <c r="H214" t="s">
        <v>316</v>
      </c>
      <c r="I214">
        <v>9.3652173913043484</v>
      </c>
      <c r="J214">
        <v>0</v>
      </c>
    </row>
    <row r="215" spans="1:10" x14ac:dyDescent="0.35">
      <c r="A215" t="s">
        <v>359</v>
      </c>
      <c r="B215">
        <v>103</v>
      </c>
      <c r="C215">
        <v>32056</v>
      </c>
      <c r="D215" t="s">
        <v>673</v>
      </c>
      <c r="E215">
        <v>359</v>
      </c>
      <c r="F215">
        <v>191.73</v>
      </c>
      <c r="G215">
        <v>46191</v>
      </c>
      <c r="H215" t="s">
        <v>960</v>
      </c>
      <c r="I215">
        <v>6.2434782608695647</v>
      </c>
      <c r="J215">
        <v>0</v>
      </c>
    </row>
    <row r="216" spans="1:10" x14ac:dyDescent="0.35">
      <c r="A216" t="s">
        <v>14</v>
      </c>
      <c r="B216">
        <v>101</v>
      </c>
      <c r="C216">
        <v>32062</v>
      </c>
      <c r="D216" t="s">
        <v>51</v>
      </c>
      <c r="E216">
        <v>24.99</v>
      </c>
      <c r="F216">
        <v>9.68</v>
      </c>
      <c r="G216">
        <v>46190</v>
      </c>
      <c r="H216" t="s">
        <v>316</v>
      </c>
      <c r="I216">
        <v>43.460869565217386</v>
      </c>
      <c r="J216">
        <v>2</v>
      </c>
    </row>
    <row r="217" spans="1:10" x14ac:dyDescent="0.35">
      <c r="A217" t="s">
        <v>14</v>
      </c>
      <c r="B217">
        <v>101</v>
      </c>
      <c r="C217">
        <v>32063</v>
      </c>
      <c r="D217" t="s">
        <v>52</v>
      </c>
      <c r="E217">
        <v>19.989999999999998</v>
      </c>
      <c r="F217">
        <v>8.5</v>
      </c>
      <c r="G217">
        <v>46190</v>
      </c>
      <c r="H217" t="s">
        <v>316</v>
      </c>
      <c r="I217">
        <v>34.765217391304347</v>
      </c>
      <c r="J217">
        <v>2</v>
      </c>
    </row>
    <row r="218" spans="1:10" x14ac:dyDescent="0.35">
      <c r="A218" t="s">
        <v>14</v>
      </c>
      <c r="B218">
        <v>101</v>
      </c>
      <c r="C218">
        <v>32063</v>
      </c>
      <c r="D218" t="s">
        <v>52</v>
      </c>
      <c r="E218">
        <v>19.989999999999998</v>
      </c>
      <c r="F218">
        <v>8.5</v>
      </c>
      <c r="G218">
        <v>46191</v>
      </c>
      <c r="H218" t="s">
        <v>960</v>
      </c>
      <c r="I218">
        <v>17.382608695652173</v>
      </c>
      <c r="J218">
        <v>1</v>
      </c>
    </row>
    <row r="219" spans="1:10" x14ac:dyDescent="0.35">
      <c r="A219" t="s">
        <v>14</v>
      </c>
      <c r="B219">
        <v>102</v>
      </c>
      <c r="C219">
        <v>32066</v>
      </c>
      <c r="D219" t="s">
        <v>114</v>
      </c>
      <c r="E219">
        <v>10</v>
      </c>
      <c r="F219">
        <v>4.5</v>
      </c>
      <c r="G219">
        <v>46190</v>
      </c>
      <c r="H219" t="s">
        <v>316</v>
      </c>
      <c r="I219">
        <v>52.173913043478258</v>
      </c>
      <c r="J219">
        <v>6</v>
      </c>
    </row>
    <row r="220" spans="1:10" x14ac:dyDescent="0.35">
      <c r="A220" t="s">
        <v>14</v>
      </c>
      <c r="B220">
        <v>101</v>
      </c>
      <c r="C220">
        <v>32067</v>
      </c>
      <c r="D220" t="s">
        <v>29</v>
      </c>
      <c r="E220">
        <v>34.99</v>
      </c>
      <c r="F220">
        <v>15.91</v>
      </c>
      <c r="G220">
        <v>46189</v>
      </c>
      <c r="H220" t="s">
        <v>310</v>
      </c>
      <c r="I220">
        <v>121.70434782608696</v>
      </c>
      <c r="J220">
        <v>4</v>
      </c>
    </row>
    <row r="221" spans="1:10" x14ac:dyDescent="0.35">
      <c r="A221" t="s">
        <v>14</v>
      </c>
      <c r="B221">
        <v>101</v>
      </c>
      <c r="C221">
        <v>32067</v>
      </c>
      <c r="D221" t="s">
        <v>29</v>
      </c>
      <c r="E221">
        <v>34.99</v>
      </c>
      <c r="F221">
        <v>15.91</v>
      </c>
      <c r="G221">
        <v>46190</v>
      </c>
      <c r="H221" t="s">
        <v>316</v>
      </c>
      <c r="I221">
        <v>117.13913043478261</v>
      </c>
      <c r="J221">
        <v>4</v>
      </c>
    </row>
    <row r="222" spans="1:10" x14ac:dyDescent="0.35">
      <c r="A222" t="s">
        <v>14</v>
      </c>
      <c r="B222">
        <v>101</v>
      </c>
      <c r="C222">
        <v>32067</v>
      </c>
      <c r="D222" t="s">
        <v>29</v>
      </c>
      <c r="E222">
        <v>34.99</v>
      </c>
      <c r="F222">
        <v>15.91</v>
      </c>
      <c r="G222">
        <v>46191</v>
      </c>
      <c r="H222" t="s">
        <v>960</v>
      </c>
      <c r="I222">
        <v>30.42608695652174</v>
      </c>
      <c r="J222">
        <v>1</v>
      </c>
    </row>
    <row r="223" spans="1:10" x14ac:dyDescent="0.35">
      <c r="A223" t="s">
        <v>14</v>
      </c>
      <c r="B223">
        <v>102</v>
      </c>
      <c r="C223">
        <v>32127</v>
      </c>
      <c r="D223" t="s">
        <v>92</v>
      </c>
      <c r="E223">
        <v>11.99</v>
      </c>
      <c r="F223">
        <v>6.02</v>
      </c>
      <c r="G223">
        <v>46188</v>
      </c>
      <c r="H223" t="s">
        <v>309</v>
      </c>
      <c r="I223">
        <v>125.11304347826086</v>
      </c>
      <c r="J223">
        <v>12</v>
      </c>
    </row>
    <row r="224" spans="1:10" x14ac:dyDescent="0.35">
      <c r="A224" t="s">
        <v>14</v>
      </c>
      <c r="B224">
        <v>102</v>
      </c>
      <c r="C224">
        <v>32127</v>
      </c>
      <c r="D224" t="s">
        <v>92</v>
      </c>
      <c r="E224">
        <v>11.99</v>
      </c>
      <c r="F224">
        <v>6.02</v>
      </c>
      <c r="G224">
        <v>46189</v>
      </c>
      <c r="H224" t="s">
        <v>310</v>
      </c>
      <c r="I224">
        <v>93.834782608695647</v>
      </c>
      <c r="J224">
        <v>9</v>
      </c>
    </row>
    <row r="225" spans="1:10" x14ac:dyDescent="0.35">
      <c r="A225" t="s">
        <v>14</v>
      </c>
      <c r="B225">
        <v>102</v>
      </c>
      <c r="C225">
        <v>32127</v>
      </c>
      <c r="D225" t="s">
        <v>92</v>
      </c>
      <c r="E225">
        <v>11.99</v>
      </c>
      <c r="F225">
        <v>6.02</v>
      </c>
      <c r="G225">
        <v>46190</v>
      </c>
      <c r="H225" t="s">
        <v>316</v>
      </c>
      <c r="I225">
        <v>83.408695652173918</v>
      </c>
      <c r="J225">
        <v>8</v>
      </c>
    </row>
    <row r="226" spans="1:10" x14ac:dyDescent="0.35">
      <c r="A226" t="s">
        <v>14</v>
      </c>
      <c r="B226">
        <v>102</v>
      </c>
      <c r="C226">
        <v>32127</v>
      </c>
      <c r="D226" t="s">
        <v>92</v>
      </c>
      <c r="E226">
        <v>11.99</v>
      </c>
      <c r="F226">
        <v>6.02</v>
      </c>
      <c r="G226">
        <v>46191</v>
      </c>
      <c r="H226" t="s">
        <v>960</v>
      </c>
      <c r="I226">
        <v>145.96521739130435</v>
      </c>
      <c r="J226">
        <v>14</v>
      </c>
    </row>
    <row r="227" spans="1:10" x14ac:dyDescent="0.35">
      <c r="A227" t="s">
        <v>14</v>
      </c>
      <c r="B227">
        <v>102</v>
      </c>
      <c r="C227">
        <v>32128</v>
      </c>
      <c r="D227" t="s">
        <v>96</v>
      </c>
      <c r="E227">
        <v>18.989999999999998</v>
      </c>
      <c r="F227">
        <v>11</v>
      </c>
      <c r="G227">
        <v>46191</v>
      </c>
      <c r="H227" t="s">
        <v>960</v>
      </c>
      <c r="I227">
        <v>181.64347826086956</v>
      </c>
      <c r="J227">
        <v>11</v>
      </c>
    </row>
    <row r="228" spans="1:10" x14ac:dyDescent="0.35">
      <c r="A228" t="s">
        <v>14</v>
      </c>
      <c r="B228">
        <v>102</v>
      </c>
      <c r="C228">
        <v>32131</v>
      </c>
      <c r="D228" t="s">
        <v>94</v>
      </c>
      <c r="E228">
        <v>18.989999999999998</v>
      </c>
      <c r="F228">
        <v>9.1300000000000008</v>
      </c>
      <c r="G228">
        <v>46190</v>
      </c>
      <c r="H228" t="s">
        <v>316</v>
      </c>
      <c r="I228">
        <v>115.5913043478261</v>
      </c>
      <c r="J228">
        <v>7</v>
      </c>
    </row>
    <row r="229" spans="1:10" x14ac:dyDescent="0.35">
      <c r="A229" t="s">
        <v>14</v>
      </c>
      <c r="B229">
        <v>102</v>
      </c>
      <c r="C229">
        <v>32131</v>
      </c>
      <c r="D229" t="s">
        <v>94</v>
      </c>
      <c r="E229">
        <v>18.989999999999998</v>
      </c>
      <c r="F229">
        <v>9.1300000000000008</v>
      </c>
      <c r="G229">
        <v>46191</v>
      </c>
      <c r="H229" t="s">
        <v>960</v>
      </c>
      <c r="I229">
        <v>280.7217391304348</v>
      </c>
      <c r="J229">
        <v>17</v>
      </c>
    </row>
    <row r="230" spans="1:10" x14ac:dyDescent="0.35">
      <c r="A230" t="s">
        <v>14</v>
      </c>
      <c r="B230">
        <v>102</v>
      </c>
      <c r="C230">
        <v>32149</v>
      </c>
      <c r="D230" t="s">
        <v>118</v>
      </c>
      <c r="E230">
        <v>24.99</v>
      </c>
      <c r="F230">
        <v>13</v>
      </c>
      <c r="G230">
        <v>46191</v>
      </c>
      <c r="H230" t="s">
        <v>960</v>
      </c>
      <c r="I230">
        <v>86.921739130434773</v>
      </c>
      <c r="J230">
        <v>4</v>
      </c>
    </row>
    <row r="231" spans="1:10" x14ac:dyDescent="0.35">
      <c r="A231" t="s">
        <v>14</v>
      </c>
      <c r="B231">
        <v>102</v>
      </c>
      <c r="C231">
        <v>32152</v>
      </c>
      <c r="D231" t="s">
        <v>100</v>
      </c>
      <c r="E231">
        <v>12.99</v>
      </c>
      <c r="F231">
        <v>6.77</v>
      </c>
      <c r="G231">
        <v>46188</v>
      </c>
      <c r="H231" t="s">
        <v>309</v>
      </c>
      <c r="I231">
        <v>67.77391304347826</v>
      </c>
      <c r="J231">
        <v>6</v>
      </c>
    </row>
    <row r="232" spans="1:10" x14ac:dyDescent="0.35">
      <c r="A232" t="s">
        <v>14</v>
      </c>
      <c r="B232">
        <v>102</v>
      </c>
      <c r="C232">
        <v>32152</v>
      </c>
      <c r="D232" t="s">
        <v>100</v>
      </c>
      <c r="E232">
        <v>12.99</v>
      </c>
      <c r="F232">
        <v>6.77</v>
      </c>
      <c r="G232">
        <v>46189</v>
      </c>
      <c r="H232" t="s">
        <v>310</v>
      </c>
      <c r="I232">
        <v>22.591304347826089</v>
      </c>
      <c r="J232">
        <v>2</v>
      </c>
    </row>
    <row r="233" spans="1:10" x14ac:dyDescent="0.35">
      <c r="A233" t="s">
        <v>14</v>
      </c>
      <c r="B233">
        <v>102</v>
      </c>
      <c r="C233">
        <v>32152</v>
      </c>
      <c r="D233" t="s">
        <v>100</v>
      </c>
      <c r="E233">
        <v>12.99</v>
      </c>
      <c r="F233">
        <v>6.77</v>
      </c>
      <c r="G233">
        <v>46190</v>
      </c>
      <c r="H233" t="s">
        <v>316</v>
      </c>
      <c r="I233">
        <v>56.478260869565219</v>
      </c>
      <c r="J233">
        <v>5</v>
      </c>
    </row>
    <row r="234" spans="1:10" x14ac:dyDescent="0.35">
      <c r="A234" t="s">
        <v>14</v>
      </c>
      <c r="B234">
        <v>102</v>
      </c>
      <c r="C234">
        <v>32152</v>
      </c>
      <c r="D234" t="s">
        <v>100</v>
      </c>
      <c r="E234">
        <v>12.99</v>
      </c>
      <c r="F234">
        <v>6.77</v>
      </c>
      <c r="G234">
        <v>46191</v>
      </c>
      <c r="H234" t="s">
        <v>960</v>
      </c>
      <c r="I234">
        <v>33.88695652173913</v>
      </c>
      <c r="J234">
        <v>3</v>
      </c>
    </row>
    <row r="235" spans="1:10" x14ac:dyDescent="0.35">
      <c r="A235" t="s">
        <v>14</v>
      </c>
      <c r="B235">
        <v>102</v>
      </c>
      <c r="C235">
        <v>32153</v>
      </c>
      <c r="D235" t="s">
        <v>102</v>
      </c>
      <c r="E235">
        <v>8.99</v>
      </c>
      <c r="F235">
        <v>4.5599999999999996</v>
      </c>
      <c r="G235">
        <v>46188</v>
      </c>
      <c r="H235" t="s">
        <v>309</v>
      </c>
      <c r="I235">
        <v>46.904347826086955</v>
      </c>
      <c r="J235">
        <v>6</v>
      </c>
    </row>
    <row r="236" spans="1:10" x14ac:dyDescent="0.35">
      <c r="A236" t="s">
        <v>14</v>
      </c>
      <c r="B236">
        <v>102</v>
      </c>
      <c r="C236">
        <v>32153</v>
      </c>
      <c r="D236" t="s">
        <v>102</v>
      </c>
      <c r="E236">
        <v>8.99</v>
      </c>
      <c r="F236">
        <v>4.5599999999999996</v>
      </c>
      <c r="G236">
        <v>46189</v>
      </c>
      <c r="H236" t="s">
        <v>310</v>
      </c>
      <c r="I236">
        <v>62.539130434782606</v>
      </c>
      <c r="J236">
        <v>8</v>
      </c>
    </row>
    <row r="237" spans="1:10" x14ac:dyDescent="0.35">
      <c r="A237" t="s">
        <v>14</v>
      </c>
      <c r="B237">
        <v>102</v>
      </c>
      <c r="C237">
        <v>32153</v>
      </c>
      <c r="D237" t="s">
        <v>102</v>
      </c>
      <c r="E237">
        <v>8.99</v>
      </c>
      <c r="F237">
        <v>4.5599999999999996</v>
      </c>
      <c r="G237">
        <v>46190</v>
      </c>
      <c r="H237" t="s">
        <v>316</v>
      </c>
      <c r="I237">
        <v>39.086956521739133</v>
      </c>
      <c r="J237">
        <v>5</v>
      </c>
    </row>
    <row r="238" spans="1:10" x14ac:dyDescent="0.35">
      <c r="A238" t="s">
        <v>14</v>
      </c>
      <c r="B238">
        <v>102</v>
      </c>
      <c r="C238">
        <v>32153</v>
      </c>
      <c r="D238" t="s">
        <v>102</v>
      </c>
      <c r="E238">
        <v>8.99</v>
      </c>
      <c r="F238">
        <v>4.5599999999999996</v>
      </c>
      <c r="G238">
        <v>46191</v>
      </c>
      <c r="H238" t="s">
        <v>960</v>
      </c>
      <c r="I238">
        <v>109.44347826086957</v>
      </c>
      <c r="J238">
        <v>14</v>
      </c>
    </row>
    <row r="239" spans="1:10" x14ac:dyDescent="0.35">
      <c r="A239" t="s">
        <v>14</v>
      </c>
      <c r="B239">
        <v>102</v>
      </c>
      <c r="C239">
        <v>32855</v>
      </c>
      <c r="D239" t="s">
        <v>110</v>
      </c>
      <c r="E239">
        <v>17.989999999999998</v>
      </c>
      <c r="F239">
        <v>9.14</v>
      </c>
      <c r="G239">
        <v>46188</v>
      </c>
      <c r="H239" t="s">
        <v>309</v>
      </c>
      <c r="I239">
        <v>46.930434782608693</v>
      </c>
      <c r="J239">
        <v>3</v>
      </c>
    </row>
    <row r="240" spans="1:10" x14ac:dyDescent="0.35">
      <c r="A240" t="s">
        <v>14</v>
      </c>
      <c r="B240">
        <v>102</v>
      </c>
      <c r="C240">
        <v>32855</v>
      </c>
      <c r="D240" t="s">
        <v>110</v>
      </c>
      <c r="E240">
        <v>17.989999999999998</v>
      </c>
      <c r="F240">
        <v>9.14</v>
      </c>
      <c r="G240">
        <v>46189</v>
      </c>
      <c r="H240" t="s">
        <v>310</v>
      </c>
      <c r="I240">
        <v>31.286956521739128</v>
      </c>
      <c r="J240">
        <v>2</v>
      </c>
    </row>
    <row r="241" spans="1:10" x14ac:dyDescent="0.35">
      <c r="A241" t="s">
        <v>14</v>
      </c>
      <c r="B241">
        <v>102</v>
      </c>
      <c r="C241">
        <v>32855</v>
      </c>
      <c r="D241" t="s">
        <v>110</v>
      </c>
      <c r="E241">
        <v>17.989999999999998</v>
      </c>
      <c r="F241">
        <v>9.14</v>
      </c>
      <c r="G241">
        <v>46190</v>
      </c>
      <c r="H241" t="s">
        <v>316</v>
      </c>
      <c r="I241">
        <v>46.930434782608693</v>
      </c>
      <c r="J241">
        <v>3</v>
      </c>
    </row>
    <row r="242" spans="1:10" x14ac:dyDescent="0.35">
      <c r="A242" t="s">
        <v>14</v>
      </c>
      <c r="B242">
        <v>102</v>
      </c>
      <c r="C242">
        <v>32855</v>
      </c>
      <c r="D242" t="s">
        <v>110</v>
      </c>
      <c r="E242">
        <v>17.989999999999998</v>
      </c>
      <c r="F242">
        <v>9.14</v>
      </c>
      <c r="G242">
        <v>46191</v>
      </c>
      <c r="H242" t="s">
        <v>960</v>
      </c>
      <c r="I242">
        <v>15.643478260869564</v>
      </c>
      <c r="J242">
        <v>1</v>
      </c>
    </row>
    <row r="243" spans="1:10" x14ac:dyDescent="0.35">
      <c r="A243" t="s">
        <v>14</v>
      </c>
      <c r="B243">
        <v>102</v>
      </c>
      <c r="C243">
        <v>32857</v>
      </c>
      <c r="D243" t="s">
        <v>127</v>
      </c>
      <c r="E243">
        <v>130</v>
      </c>
      <c r="F243">
        <v>68.680000000000007</v>
      </c>
      <c r="G243">
        <v>46188</v>
      </c>
      <c r="H243" t="s">
        <v>309</v>
      </c>
      <c r="I243">
        <v>113.04347826086956</v>
      </c>
      <c r="J243">
        <v>1</v>
      </c>
    </row>
    <row r="244" spans="1:10" x14ac:dyDescent="0.35">
      <c r="A244" t="s">
        <v>14</v>
      </c>
      <c r="B244">
        <v>102</v>
      </c>
      <c r="C244">
        <v>32857</v>
      </c>
      <c r="D244" t="s">
        <v>127</v>
      </c>
      <c r="E244">
        <v>130</v>
      </c>
      <c r="F244">
        <v>68.680000000000007</v>
      </c>
      <c r="G244">
        <v>46190</v>
      </c>
      <c r="H244" t="s">
        <v>316</v>
      </c>
      <c r="I244">
        <v>113.04347826086956</v>
      </c>
      <c r="J244">
        <v>1</v>
      </c>
    </row>
    <row r="245" spans="1:10" x14ac:dyDescent="0.35">
      <c r="A245" t="s">
        <v>14</v>
      </c>
      <c r="B245">
        <v>101</v>
      </c>
      <c r="C245">
        <v>32858</v>
      </c>
      <c r="D245" t="s">
        <v>34</v>
      </c>
      <c r="E245">
        <v>3.8</v>
      </c>
      <c r="F245">
        <v>1.3</v>
      </c>
      <c r="G245">
        <v>46188</v>
      </c>
      <c r="H245" t="s">
        <v>309</v>
      </c>
      <c r="I245">
        <v>19.826086956521738</v>
      </c>
      <c r="J245">
        <v>6</v>
      </c>
    </row>
    <row r="246" spans="1:10" x14ac:dyDescent="0.35">
      <c r="A246" t="s">
        <v>14</v>
      </c>
      <c r="B246">
        <v>101</v>
      </c>
      <c r="C246">
        <v>32858</v>
      </c>
      <c r="D246" t="s">
        <v>34</v>
      </c>
      <c r="E246">
        <v>3.8</v>
      </c>
      <c r="F246">
        <v>1.3</v>
      </c>
      <c r="G246">
        <v>46189</v>
      </c>
      <c r="H246" t="s">
        <v>310</v>
      </c>
      <c r="I246">
        <v>102.43478260869566</v>
      </c>
      <c r="J246">
        <v>31</v>
      </c>
    </row>
    <row r="247" spans="1:10" x14ac:dyDescent="0.35">
      <c r="A247" t="s">
        <v>14</v>
      </c>
      <c r="B247">
        <v>101</v>
      </c>
      <c r="C247">
        <v>32858</v>
      </c>
      <c r="D247" t="s">
        <v>34</v>
      </c>
      <c r="E247">
        <v>3.8</v>
      </c>
      <c r="F247">
        <v>1.3</v>
      </c>
      <c r="G247">
        <v>46190</v>
      </c>
      <c r="H247" t="s">
        <v>316</v>
      </c>
      <c r="I247">
        <v>194.46086956521739</v>
      </c>
      <c r="J247">
        <v>59</v>
      </c>
    </row>
    <row r="248" spans="1:10" x14ac:dyDescent="0.35">
      <c r="A248" t="s">
        <v>14</v>
      </c>
      <c r="B248">
        <v>101</v>
      </c>
      <c r="C248">
        <v>32858</v>
      </c>
      <c r="D248" t="s">
        <v>34</v>
      </c>
      <c r="E248">
        <v>3.8</v>
      </c>
      <c r="F248">
        <v>1.3</v>
      </c>
      <c r="G248">
        <v>46191</v>
      </c>
      <c r="H248" t="s">
        <v>960</v>
      </c>
      <c r="I248">
        <v>29.739130434782609</v>
      </c>
      <c r="J248">
        <v>9</v>
      </c>
    </row>
    <row r="249" spans="1:10" x14ac:dyDescent="0.35">
      <c r="A249" t="s">
        <v>14</v>
      </c>
      <c r="B249">
        <v>101</v>
      </c>
      <c r="C249">
        <v>32859</v>
      </c>
      <c r="D249" t="s">
        <v>20</v>
      </c>
      <c r="E249">
        <v>20.99</v>
      </c>
      <c r="F249">
        <v>7.46</v>
      </c>
      <c r="G249">
        <v>46188</v>
      </c>
      <c r="H249" t="s">
        <v>309</v>
      </c>
      <c r="I249">
        <v>146.01739130434785</v>
      </c>
      <c r="J249">
        <v>8</v>
      </c>
    </row>
    <row r="250" spans="1:10" x14ac:dyDescent="0.35">
      <c r="A250" t="s">
        <v>14</v>
      </c>
      <c r="B250">
        <v>101</v>
      </c>
      <c r="C250">
        <v>32859</v>
      </c>
      <c r="D250" t="s">
        <v>20</v>
      </c>
      <c r="E250">
        <v>20.99</v>
      </c>
      <c r="F250">
        <v>7.46</v>
      </c>
      <c r="G250">
        <v>46189</v>
      </c>
      <c r="H250" t="s">
        <v>310</v>
      </c>
      <c r="I250">
        <v>200.77391304347827</v>
      </c>
      <c r="J250">
        <v>11</v>
      </c>
    </row>
    <row r="251" spans="1:10" x14ac:dyDescent="0.35">
      <c r="A251" t="s">
        <v>14</v>
      </c>
      <c r="B251">
        <v>101</v>
      </c>
      <c r="C251">
        <v>32859</v>
      </c>
      <c r="D251" t="s">
        <v>20</v>
      </c>
      <c r="E251">
        <v>20.99</v>
      </c>
      <c r="F251">
        <v>7.46</v>
      </c>
      <c r="G251">
        <v>46190</v>
      </c>
      <c r="H251" t="s">
        <v>316</v>
      </c>
      <c r="I251">
        <v>177.97391304347826</v>
      </c>
      <c r="J251">
        <v>10</v>
      </c>
    </row>
    <row r="252" spans="1:10" x14ac:dyDescent="0.35">
      <c r="A252" t="s">
        <v>14</v>
      </c>
      <c r="B252">
        <v>101</v>
      </c>
      <c r="C252">
        <v>32859</v>
      </c>
      <c r="D252" t="s">
        <v>20</v>
      </c>
      <c r="E252">
        <v>20.99</v>
      </c>
      <c r="F252">
        <v>7.46</v>
      </c>
      <c r="G252">
        <v>46191</v>
      </c>
      <c r="H252" t="s">
        <v>960</v>
      </c>
      <c r="I252">
        <v>219.02608695652174</v>
      </c>
      <c r="J252">
        <v>12</v>
      </c>
    </row>
    <row r="253" spans="1:10" x14ac:dyDescent="0.35">
      <c r="A253" t="s">
        <v>14</v>
      </c>
      <c r="B253">
        <v>101</v>
      </c>
      <c r="C253">
        <v>32860</v>
      </c>
      <c r="D253" t="s">
        <v>16</v>
      </c>
      <c r="E253">
        <v>18</v>
      </c>
      <c r="F253">
        <v>8.44</v>
      </c>
      <c r="G253">
        <v>46188</v>
      </c>
      <c r="H253" t="s">
        <v>309</v>
      </c>
      <c r="I253">
        <v>365.04347826086956</v>
      </c>
      <c r="J253">
        <v>20</v>
      </c>
    </row>
    <row r="254" spans="1:10" x14ac:dyDescent="0.35">
      <c r="A254" t="s">
        <v>14</v>
      </c>
      <c r="B254">
        <v>101</v>
      </c>
      <c r="C254">
        <v>32860</v>
      </c>
      <c r="D254" t="s">
        <v>16</v>
      </c>
      <c r="E254">
        <v>18</v>
      </c>
      <c r="F254">
        <v>8.44</v>
      </c>
      <c r="G254">
        <v>46189</v>
      </c>
      <c r="H254" t="s">
        <v>310</v>
      </c>
      <c r="I254">
        <v>200.77391304347825</v>
      </c>
      <c r="J254">
        <v>11</v>
      </c>
    </row>
    <row r="255" spans="1:10" x14ac:dyDescent="0.35">
      <c r="A255" t="s">
        <v>14</v>
      </c>
      <c r="B255">
        <v>101</v>
      </c>
      <c r="C255">
        <v>32860</v>
      </c>
      <c r="D255" t="s">
        <v>16</v>
      </c>
      <c r="E255">
        <v>18</v>
      </c>
      <c r="F255">
        <v>8.44</v>
      </c>
      <c r="G255">
        <v>46190</v>
      </c>
      <c r="H255" t="s">
        <v>316</v>
      </c>
      <c r="I255">
        <v>199.8608695652174</v>
      </c>
      <c r="J255">
        <v>11</v>
      </c>
    </row>
    <row r="256" spans="1:10" x14ac:dyDescent="0.35">
      <c r="A256" t="s">
        <v>14</v>
      </c>
      <c r="B256">
        <v>101</v>
      </c>
      <c r="C256">
        <v>32860</v>
      </c>
      <c r="D256" t="s">
        <v>16</v>
      </c>
      <c r="E256">
        <v>18</v>
      </c>
      <c r="F256">
        <v>8.44</v>
      </c>
      <c r="G256">
        <v>46191</v>
      </c>
      <c r="H256" t="s">
        <v>960</v>
      </c>
      <c r="I256">
        <v>419.79999999999995</v>
      </c>
      <c r="J256">
        <v>23</v>
      </c>
    </row>
    <row r="257" spans="1:10" x14ac:dyDescent="0.35">
      <c r="A257" t="s">
        <v>107</v>
      </c>
      <c r="B257">
        <v>102</v>
      </c>
      <c r="C257">
        <v>32863</v>
      </c>
      <c r="D257" t="s">
        <v>109</v>
      </c>
      <c r="E257">
        <v>17.989999999999998</v>
      </c>
      <c r="F257">
        <v>9.4</v>
      </c>
      <c r="G257">
        <v>46188</v>
      </c>
      <c r="H257" t="s">
        <v>309</v>
      </c>
      <c r="I257">
        <v>78.217391304347828</v>
      </c>
      <c r="J257">
        <v>5</v>
      </c>
    </row>
    <row r="258" spans="1:10" x14ac:dyDescent="0.35">
      <c r="A258" t="s">
        <v>107</v>
      </c>
      <c r="B258">
        <v>102</v>
      </c>
      <c r="C258">
        <v>32863</v>
      </c>
      <c r="D258" t="s">
        <v>109</v>
      </c>
      <c r="E258">
        <v>17.989999999999998</v>
      </c>
      <c r="F258">
        <v>9.4</v>
      </c>
      <c r="G258">
        <v>46189</v>
      </c>
      <c r="H258" t="s">
        <v>310</v>
      </c>
      <c r="I258">
        <v>62.573913043478257</v>
      </c>
      <c r="J258">
        <v>4</v>
      </c>
    </row>
    <row r="259" spans="1:10" x14ac:dyDescent="0.35">
      <c r="A259" t="s">
        <v>107</v>
      </c>
      <c r="B259">
        <v>102</v>
      </c>
      <c r="C259">
        <v>32863</v>
      </c>
      <c r="D259" t="s">
        <v>109</v>
      </c>
      <c r="E259">
        <v>17.989999999999998</v>
      </c>
      <c r="F259">
        <v>9.4</v>
      </c>
      <c r="G259">
        <v>46190</v>
      </c>
      <c r="H259" t="s">
        <v>316</v>
      </c>
      <c r="I259">
        <v>15.643478260869564</v>
      </c>
      <c r="J259">
        <v>1</v>
      </c>
    </row>
    <row r="260" spans="1:10" x14ac:dyDescent="0.35">
      <c r="A260" t="s">
        <v>107</v>
      </c>
      <c r="B260">
        <v>102</v>
      </c>
      <c r="C260">
        <v>32863</v>
      </c>
      <c r="D260" t="s">
        <v>109</v>
      </c>
      <c r="E260">
        <v>17.989999999999998</v>
      </c>
      <c r="F260">
        <v>9.4</v>
      </c>
      <c r="G260">
        <v>46191</v>
      </c>
      <c r="H260" t="s">
        <v>960</v>
      </c>
      <c r="I260">
        <v>93.860869565217385</v>
      </c>
      <c r="J260">
        <v>6</v>
      </c>
    </row>
    <row r="261" spans="1:10" x14ac:dyDescent="0.35">
      <c r="A261" t="s">
        <v>107</v>
      </c>
      <c r="B261">
        <v>102</v>
      </c>
      <c r="C261">
        <v>32864</v>
      </c>
      <c r="D261" t="s">
        <v>108</v>
      </c>
      <c r="E261">
        <v>9.99</v>
      </c>
      <c r="F261">
        <v>5</v>
      </c>
      <c r="G261">
        <v>46189</v>
      </c>
      <c r="H261" t="s">
        <v>310</v>
      </c>
      <c r="I261">
        <v>34.747826086956522</v>
      </c>
      <c r="J261">
        <v>4</v>
      </c>
    </row>
    <row r="262" spans="1:10" x14ac:dyDescent="0.35">
      <c r="A262" t="s">
        <v>107</v>
      </c>
      <c r="B262">
        <v>102</v>
      </c>
      <c r="C262">
        <v>32864</v>
      </c>
      <c r="D262" t="s">
        <v>108</v>
      </c>
      <c r="E262">
        <v>9.99</v>
      </c>
      <c r="F262">
        <v>5</v>
      </c>
      <c r="G262">
        <v>46190</v>
      </c>
      <c r="H262" t="s">
        <v>316</v>
      </c>
      <c r="I262">
        <v>43.434782608695656</v>
      </c>
      <c r="J262">
        <v>5</v>
      </c>
    </row>
    <row r="263" spans="1:10" x14ac:dyDescent="0.35">
      <c r="A263" t="s">
        <v>107</v>
      </c>
      <c r="B263">
        <v>102</v>
      </c>
      <c r="C263">
        <v>32864</v>
      </c>
      <c r="D263" t="s">
        <v>108</v>
      </c>
      <c r="E263">
        <v>9.99</v>
      </c>
      <c r="F263">
        <v>5</v>
      </c>
      <c r="G263">
        <v>46191</v>
      </c>
      <c r="H263" t="s">
        <v>960</v>
      </c>
      <c r="I263">
        <v>17.373913043478261</v>
      </c>
      <c r="J263">
        <v>2</v>
      </c>
    </row>
    <row r="264" spans="1:10" x14ac:dyDescent="0.35">
      <c r="A264" t="s">
        <v>14</v>
      </c>
      <c r="B264">
        <v>102</v>
      </c>
      <c r="C264">
        <v>32872</v>
      </c>
      <c r="D264" t="s">
        <v>98</v>
      </c>
      <c r="E264">
        <v>29.99</v>
      </c>
      <c r="F264">
        <v>11.79</v>
      </c>
      <c r="G264">
        <v>46188</v>
      </c>
      <c r="H264" t="s">
        <v>309</v>
      </c>
      <c r="I264">
        <v>69.547826086956519</v>
      </c>
      <c r="J264">
        <v>2</v>
      </c>
    </row>
    <row r="265" spans="1:10" x14ac:dyDescent="0.35">
      <c r="A265" t="s">
        <v>14</v>
      </c>
      <c r="B265">
        <v>102</v>
      </c>
      <c r="C265">
        <v>32872</v>
      </c>
      <c r="D265" t="s">
        <v>98</v>
      </c>
      <c r="E265">
        <v>29.99</v>
      </c>
      <c r="F265">
        <v>11.79</v>
      </c>
      <c r="G265">
        <v>46190</v>
      </c>
      <c r="H265" t="s">
        <v>316</v>
      </c>
      <c r="I265">
        <v>206.01739130434783</v>
      </c>
      <c r="J265">
        <v>8</v>
      </c>
    </row>
    <row r="266" spans="1:10" x14ac:dyDescent="0.35">
      <c r="A266" t="s">
        <v>14</v>
      </c>
      <c r="B266">
        <v>102</v>
      </c>
      <c r="C266">
        <v>32872</v>
      </c>
      <c r="D266" t="s">
        <v>98</v>
      </c>
      <c r="E266">
        <v>29.99</v>
      </c>
      <c r="F266">
        <v>11.79</v>
      </c>
      <c r="G266">
        <v>46191</v>
      </c>
      <c r="H266" t="s">
        <v>960</v>
      </c>
      <c r="I266">
        <v>286.8608695652174</v>
      </c>
      <c r="J266">
        <v>11</v>
      </c>
    </row>
    <row r="267" spans="1:10" x14ac:dyDescent="0.35">
      <c r="A267" t="s">
        <v>356</v>
      </c>
      <c r="B267">
        <v>102</v>
      </c>
      <c r="C267">
        <v>33011</v>
      </c>
      <c r="D267" t="s">
        <v>361</v>
      </c>
      <c r="E267">
        <v>3.99</v>
      </c>
      <c r="F267">
        <v>2.83</v>
      </c>
      <c r="G267">
        <v>46188</v>
      </c>
      <c r="H267" t="s">
        <v>309</v>
      </c>
      <c r="I267">
        <v>41.634782608695652</v>
      </c>
      <c r="J267">
        <v>12</v>
      </c>
    </row>
    <row r="268" spans="1:10" x14ac:dyDescent="0.35">
      <c r="A268" t="s">
        <v>14</v>
      </c>
      <c r="B268">
        <v>102</v>
      </c>
      <c r="C268">
        <v>33013</v>
      </c>
      <c r="D268" t="s">
        <v>148</v>
      </c>
      <c r="E268">
        <v>5.99</v>
      </c>
      <c r="F268">
        <v>3.1</v>
      </c>
      <c r="G268">
        <v>46189</v>
      </c>
      <c r="H268" t="s">
        <v>310</v>
      </c>
      <c r="I268">
        <v>15.626086956521739</v>
      </c>
      <c r="J268">
        <v>3</v>
      </c>
    </row>
    <row r="269" spans="1:10" x14ac:dyDescent="0.35">
      <c r="A269" t="s">
        <v>14</v>
      </c>
      <c r="B269">
        <v>102</v>
      </c>
      <c r="C269">
        <v>33019</v>
      </c>
      <c r="D269" t="s">
        <v>112</v>
      </c>
      <c r="E269">
        <v>14.99</v>
      </c>
      <c r="F269">
        <v>5.5</v>
      </c>
      <c r="G269">
        <v>46189</v>
      </c>
      <c r="H269" t="s">
        <v>310</v>
      </c>
      <c r="I269">
        <v>26.069565217391304</v>
      </c>
      <c r="J269">
        <v>2</v>
      </c>
    </row>
    <row r="270" spans="1:10" x14ac:dyDescent="0.35">
      <c r="A270" t="s">
        <v>14</v>
      </c>
      <c r="B270">
        <v>102</v>
      </c>
      <c r="C270">
        <v>33019</v>
      </c>
      <c r="D270" t="s">
        <v>112</v>
      </c>
      <c r="E270">
        <v>14.99</v>
      </c>
      <c r="F270">
        <v>5.5</v>
      </c>
      <c r="G270">
        <v>46190</v>
      </c>
      <c r="H270" t="s">
        <v>316</v>
      </c>
      <c r="I270">
        <v>13.034782608695652</v>
      </c>
      <c r="J270">
        <v>1</v>
      </c>
    </row>
    <row r="271" spans="1:10" x14ac:dyDescent="0.35">
      <c r="A271" t="s">
        <v>14</v>
      </c>
      <c r="B271">
        <v>102</v>
      </c>
      <c r="C271">
        <v>33019</v>
      </c>
      <c r="D271" t="s">
        <v>112</v>
      </c>
      <c r="E271">
        <v>14.99</v>
      </c>
      <c r="F271">
        <v>5.5</v>
      </c>
      <c r="G271">
        <v>46191</v>
      </c>
      <c r="H271" t="s">
        <v>960</v>
      </c>
      <c r="I271">
        <v>104.27826086956522</v>
      </c>
      <c r="J271">
        <v>8</v>
      </c>
    </row>
    <row r="272" spans="1:10" x14ac:dyDescent="0.35">
      <c r="A272" t="s">
        <v>14</v>
      </c>
      <c r="B272">
        <v>102</v>
      </c>
      <c r="C272">
        <v>33023</v>
      </c>
      <c r="D272" t="s">
        <v>113</v>
      </c>
      <c r="E272">
        <v>19.989999999999998</v>
      </c>
      <c r="F272">
        <v>10.23</v>
      </c>
      <c r="G272">
        <v>46191</v>
      </c>
      <c r="H272" t="s">
        <v>960</v>
      </c>
      <c r="I272">
        <v>17.382608695652173</v>
      </c>
      <c r="J272">
        <v>1</v>
      </c>
    </row>
    <row r="273" spans="1:10" x14ac:dyDescent="0.35">
      <c r="A273" t="s">
        <v>14</v>
      </c>
      <c r="B273">
        <v>102</v>
      </c>
      <c r="C273">
        <v>33031</v>
      </c>
      <c r="D273" t="s">
        <v>97</v>
      </c>
      <c r="E273">
        <v>17.989999999999998</v>
      </c>
      <c r="F273">
        <v>9.1199999999999992</v>
      </c>
      <c r="G273">
        <v>46188</v>
      </c>
      <c r="H273" t="s">
        <v>309</v>
      </c>
      <c r="I273">
        <v>140.7913043478261</v>
      </c>
      <c r="J273">
        <v>9</v>
      </c>
    </row>
    <row r="274" spans="1:10" x14ac:dyDescent="0.35">
      <c r="A274" t="s">
        <v>14</v>
      </c>
      <c r="B274">
        <v>102</v>
      </c>
      <c r="C274">
        <v>33031</v>
      </c>
      <c r="D274" t="s">
        <v>97</v>
      </c>
      <c r="E274">
        <v>17.989999999999998</v>
      </c>
      <c r="F274">
        <v>9.1199999999999992</v>
      </c>
      <c r="G274">
        <v>46191</v>
      </c>
      <c r="H274" t="s">
        <v>960</v>
      </c>
      <c r="I274">
        <v>46.930434782608693</v>
      </c>
      <c r="J274">
        <v>3</v>
      </c>
    </row>
    <row r="275" spans="1:10" x14ac:dyDescent="0.35">
      <c r="A275" t="s">
        <v>35</v>
      </c>
      <c r="B275">
        <v>102</v>
      </c>
      <c r="C275">
        <v>33032</v>
      </c>
      <c r="D275" t="s">
        <v>160</v>
      </c>
      <c r="E275">
        <v>28.99</v>
      </c>
      <c r="F275">
        <v>14.612666666666666</v>
      </c>
      <c r="G275">
        <v>46190</v>
      </c>
      <c r="H275" t="s">
        <v>316</v>
      </c>
      <c r="I275">
        <v>25.208695652173912</v>
      </c>
      <c r="J275">
        <v>1</v>
      </c>
    </row>
    <row r="276" spans="1:10" x14ac:dyDescent="0.35">
      <c r="A276" t="s">
        <v>35</v>
      </c>
      <c r="B276">
        <v>102</v>
      </c>
      <c r="C276">
        <v>33032</v>
      </c>
      <c r="D276" t="s">
        <v>160</v>
      </c>
      <c r="E276">
        <v>28.99</v>
      </c>
      <c r="F276">
        <v>14.612666666666666</v>
      </c>
      <c r="G276">
        <v>46191</v>
      </c>
      <c r="H276" t="s">
        <v>960</v>
      </c>
      <c r="I276">
        <v>75.626086956521732</v>
      </c>
      <c r="J276">
        <v>3</v>
      </c>
    </row>
    <row r="277" spans="1:10" x14ac:dyDescent="0.35">
      <c r="A277" t="s">
        <v>14</v>
      </c>
      <c r="B277">
        <v>102</v>
      </c>
      <c r="C277">
        <v>33995</v>
      </c>
      <c r="D277" t="s">
        <v>91</v>
      </c>
      <c r="E277">
        <v>15.99</v>
      </c>
      <c r="F277">
        <v>8.2200000000000006</v>
      </c>
      <c r="G277">
        <v>46188</v>
      </c>
      <c r="H277" t="s">
        <v>309</v>
      </c>
      <c r="I277">
        <v>278.08695652173913</v>
      </c>
      <c r="J277">
        <v>20</v>
      </c>
    </row>
    <row r="278" spans="1:10" x14ac:dyDescent="0.35">
      <c r="A278" t="s">
        <v>14</v>
      </c>
      <c r="B278">
        <v>102</v>
      </c>
      <c r="C278">
        <v>33995</v>
      </c>
      <c r="D278" t="s">
        <v>91</v>
      </c>
      <c r="E278">
        <v>15.99</v>
      </c>
      <c r="F278">
        <v>8.2200000000000006</v>
      </c>
      <c r="G278">
        <v>46189</v>
      </c>
      <c r="H278" t="s">
        <v>310</v>
      </c>
      <c r="I278">
        <v>97.330434782608705</v>
      </c>
      <c r="J278">
        <v>7</v>
      </c>
    </row>
    <row r="279" spans="1:10" x14ac:dyDescent="0.35">
      <c r="A279" t="s">
        <v>14</v>
      </c>
      <c r="B279">
        <v>102</v>
      </c>
      <c r="C279">
        <v>33995</v>
      </c>
      <c r="D279" t="s">
        <v>91</v>
      </c>
      <c r="E279">
        <v>15.99</v>
      </c>
      <c r="F279">
        <v>8.2200000000000006</v>
      </c>
      <c r="G279">
        <v>46190</v>
      </c>
      <c r="H279" t="s">
        <v>316</v>
      </c>
      <c r="I279">
        <v>97.330434782608705</v>
      </c>
      <c r="J279">
        <v>7</v>
      </c>
    </row>
    <row r="280" spans="1:10" x14ac:dyDescent="0.35">
      <c r="A280" t="s">
        <v>14</v>
      </c>
      <c r="B280">
        <v>102</v>
      </c>
      <c r="C280">
        <v>33995</v>
      </c>
      <c r="D280" t="s">
        <v>91</v>
      </c>
      <c r="E280">
        <v>15.99</v>
      </c>
      <c r="F280">
        <v>8.2200000000000006</v>
      </c>
      <c r="G280">
        <v>46191</v>
      </c>
      <c r="H280" t="s">
        <v>960</v>
      </c>
      <c r="I280">
        <v>139.04347826086956</v>
      </c>
      <c r="J280">
        <v>10</v>
      </c>
    </row>
    <row r="281" spans="1:10" x14ac:dyDescent="0.35">
      <c r="A281" t="s">
        <v>14</v>
      </c>
      <c r="B281">
        <v>101</v>
      </c>
      <c r="C281">
        <v>33997</v>
      </c>
      <c r="D281" t="s">
        <v>39</v>
      </c>
      <c r="E281">
        <v>14.99</v>
      </c>
      <c r="F281">
        <v>7.62</v>
      </c>
      <c r="G281">
        <v>46188</v>
      </c>
      <c r="H281" t="s">
        <v>309</v>
      </c>
      <c r="I281">
        <v>39.104347826086958</v>
      </c>
      <c r="J281">
        <v>3</v>
      </c>
    </row>
    <row r="282" spans="1:10" x14ac:dyDescent="0.35">
      <c r="A282" t="s">
        <v>14</v>
      </c>
      <c r="B282">
        <v>101</v>
      </c>
      <c r="C282">
        <v>33997</v>
      </c>
      <c r="D282" t="s">
        <v>39</v>
      </c>
      <c r="E282">
        <v>14.99</v>
      </c>
      <c r="F282">
        <v>7.62</v>
      </c>
      <c r="G282">
        <v>46189</v>
      </c>
      <c r="H282" t="s">
        <v>310</v>
      </c>
      <c r="I282">
        <v>52.139130434782608</v>
      </c>
      <c r="J282">
        <v>4</v>
      </c>
    </row>
    <row r="283" spans="1:10" x14ac:dyDescent="0.35">
      <c r="A283" t="s">
        <v>14</v>
      </c>
      <c r="B283">
        <v>101</v>
      </c>
      <c r="C283">
        <v>33997</v>
      </c>
      <c r="D283" t="s">
        <v>39</v>
      </c>
      <c r="E283">
        <v>14.99</v>
      </c>
      <c r="F283">
        <v>7.62</v>
      </c>
      <c r="G283">
        <v>46190</v>
      </c>
      <c r="H283" t="s">
        <v>316</v>
      </c>
      <c r="I283">
        <v>39.104347826086958</v>
      </c>
      <c r="J283">
        <v>3</v>
      </c>
    </row>
    <row r="284" spans="1:10" x14ac:dyDescent="0.35">
      <c r="A284" t="s">
        <v>14</v>
      </c>
      <c r="B284">
        <v>101</v>
      </c>
      <c r="C284">
        <v>33997</v>
      </c>
      <c r="D284" t="s">
        <v>39</v>
      </c>
      <c r="E284">
        <v>14.99</v>
      </c>
      <c r="F284">
        <v>7.62</v>
      </c>
      <c r="G284">
        <v>46191</v>
      </c>
      <c r="H284" t="s">
        <v>960</v>
      </c>
      <c r="I284">
        <v>143.38260869565215</v>
      </c>
      <c r="J284">
        <v>11</v>
      </c>
    </row>
    <row r="285" spans="1:10" x14ac:dyDescent="0.35">
      <c r="A285" t="s">
        <v>14</v>
      </c>
      <c r="B285">
        <v>101</v>
      </c>
      <c r="C285">
        <v>34004</v>
      </c>
      <c r="D285" t="s">
        <v>50</v>
      </c>
      <c r="E285">
        <v>1</v>
      </c>
      <c r="F285">
        <v>0.65</v>
      </c>
      <c r="G285">
        <v>46188</v>
      </c>
      <c r="H285" t="s">
        <v>309</v>
      </c>
      <c r="I285">
        <v>30.434782608695652</v>
      </c>
      <c r="J285">
        <v>35</v>
      </c>
    </row>
    <row r="286" spans="1:10" x14ac:dyDescent="0.35">
      <c r="A286" t="s">
        <v>14</v>
      </c>
      <c r="B286">
        <v>101</v>
      </c>
      <c r="C286">
        <v>34004</v>
      </c>
      <c r="D286" t="s">
        <v>50</v>
      </c>
      <c r="E286">
        <v>1</v>
      </c>
      <c r="F286">
        <v>0.65</v>
      </c>
      <c r="G286">
        <v>46189</v>
      </c>
      <c r="H286" t="s">
        <v>310</v>
      </c>
      <c r="I286">
        <v>6.9565217391304346</v>
      </c>
      <c r="J286">
        <v>8</v>
      </c>
    </row>
    <row r="287" spans="1:10" x14ac:dyDescent="0.35">
      <c r="A287" t="s">
        <v>14</v>
      </c>
      <c r="B287">
        <v>101</v>
      </c>
      <c r="C287">
        <v>34004</v>
      </c>
      <c r="D287" t="s">
        <v>50</v>
      </c>
      <c r="E287">
        <v>1</v>
      </c>
      <c r="F287">
        <v>0.65</v>
      </c>
      <c r="G287">
        <v>46190</v>
      </c>
      <c r="H287" t="s">
        <v>316</v>
      </c>
      <c r="I287">
        <v>13.043478260869565</v>
      </c>
      <c r="J287">
        <v>15</v>
      </c>
    </row>
    <row r="288" spans="1:10" x14ac:dyDescent="0.35">
      <c r="A288" t="s">
        <v>14</v>
      </c>
      <c r="B288">
        <v>101</v>
      </c>
      <c r="C288">
        <v>34004</v>
      </c>
      <c r="D288" t="s">
        <v>50</v>
      </c>
      <c r="E288">
        <v>1</v>
      </c>
      <c r="F288">
        <v>0.65</v>
      </c>
      <c r="G288">
        <v>46191</v>
      </c>
      <c r="H288" t="s">
        <v>960</v>
      </c>
      <c r="I288">
        <v>16.521739130434781</v>
      </c>
      <c r="J288">
        <v>19</v>
      </c>
    </row>
    <row r="289" spans="1:10" x14ac:dyDescent="0.35">
      <c r="A289" t="s">
        <v>14</v>
      </c>
      <c r="B289">
        <v>102</v>
      </c>
      <c r="C289">
        <v>34008</v>
      </c>
      <c r="D289" t="s">
        <v>104</v>
      </c>
      <c r="E289">
        <v>5.99</v>
      </c>
      <c r="F289">
        <v>4.32</v>
      </c>
      <c r="G289">
        <v>46188</v>
      </c>
      <c r="H289" t="s">
        <v>309</v>
      </c>
      <c r="I289">
        <v>72.921739130434787</v>
      </c>
      <c r="J289">
        <v>14</v>
      </c>
    </row>
    <row r="290" spans="1:10" x14ac:dyDescent="0.35">
      <c r="A290" t="s">
        <v>14</v>
      </c>
      <c r="B290">
        <v>102</v>
      </c>
      <c r="C290">
        <v>34008</v>
      </c>
      <c r="D290" t="s">
        <v>104</v>
      </c>
      <c r="E290">
        <v>5.99</v>
      </c>
      <c r="F290">
        <v>4.32</v>
      </c>
      <c r="G290">
        <v>46189</v>
      </c>
      <c r="H290" t="s">
        <v>310</v>
      </c>
      <c r="I290">
        <v>67.713043478260872</v>
      </c>
      <c r="J290">
        <v>13</v>
      </c>
    </row>
    <row r="291" spans="1:10" x14ac:dyDescent="0.35">
      <c r="A291" t="s">
        <v>14</v>
      </c>
      <c r="B291">
        <v>102</v>
      </c>
      <c r="C291">
        <v>34008</v>
      </c>
      <c r="D291" t="s">
        <v>104</v>
      </c>
      <c r="E291">
        <v>5.99</v>
      </c>
      <c r="F291">
        <v>4.32</v>
      </c>
      <c r="G291">
        <v>46190</v>
      </c>
      <c r="H291" t="s">
        <v>316</v>
      </c>
      <c r="I291">
        <v>83.339130434782618</v>
      </c>
      <c r="J291">
        <v>16</v>
      </c>
    </row>
    <row r="292" spans="1:10" x14ac:dyDescent="0.35">
      <c r="A292" t="s">
        <v>14</v>
      </c>
      <c r="B292">
        <v>102</v>
      </c>
      <c r="C292">
        <v>34008</v>
      </c>
      <c r="D292" t="s">
        <v>104</v>
      </c>
      <c r="E292">
        <v>5.99</v>
      </c>
      <c r="F292">
        <v>4.32</v>
      </c>
      <c r="G292">
        <v>46191</v>
      </c>
      <c r="H292" t="s">
        <v>960</v>
      </c>
      <c r="I292">
        <v>83.339130434782618</v>
      </c>
      <c r="J292">
        <v>16</v>
      </c>
    </row>
    <row r="293" spans="1:10" x14ac:dyDescent="0.35">
      <c r="A293" t="s">
        <v>14</v>
      </c>
      <c r="B293">
        <v>101</v>
      </c>
      <c r="C293">
        <v>34011</v>
      </c>
      <c r="D293" t="s">
        <v>66</v>
      </c>
      <c r="E293">
        <v>19.989999999999998</v>
      </c>
      <c r="F293">
        <v>2.63</v>
      </c>
      <c r="G293">
        <v>46190</v>
      </c>
      <c r="H293" t="s">
        <v>316</v>
      </c>
      <c r="I293">
        <v>17.382608695652173</v>
      </c>
      <c r="J293">
        <v>1</v>
      </c>
    </row>
    <row r="294" spans="1:10" x14ac:dyDescent="0.35">
      <c r="A294" t="s">
        <v>14</v>
      </c>
      <c r="B294">
        <v>101</v>
      </c>
      <c r="C294">
        <v>34011</v>
      </c>
      <c r="D294" t="s">
        <v>66</v>
      </c>
      <c r="E294">
        <v>19.989999999999998</v>
      </c>
      <c r="F294">
        <v>2.63</v>
      </c>
      <c r="G294">
        <v>46191</v>
      </c>
      <c r="H294" t="s">
        <v>960</v>
      </c>
      <c r="I294">
        <v>17.382608695652173</v>
      </c>
      <c r="J294">
        <v>1</v>
      </c>
    </row>
    <row r="295" spans="1:10" x14ac:dyDescent="0.35">
      <c r="A295" t="s">
        <v>14</v>
      </c>
      <c r="B295">
        <v>118</v>
      </c>
      <c r="C295">
        <v>34014</v>
      </c>
      <c r="D295" t="s">
        <v>258</v>
      </c>
      <c r="E295">
        <v>100</v>
      </c>
      <c r="F295">
        <v>52.03</v>
      </c>
      <c r="G295">
        <v>46188</v>
      </c>
      <c r="H295" t="s">
        <v>309</v>
      </c>
      <c r="I295">
        <v>86.956521739130437</v>
      </c>
      <c r="J295">
        <v>1</v>
      </c>
    </row>
    <row r="296" spans="1:10" x14ac:dyDescent="0.35">
      <c r="A296" t="s">
        <v>19</v>
      </c>
      <c r="B296">
        <v>102</v>
      </c>
      <c r="C296">
        <v>34015</v>
      </c>
      <c r="D296" t="s">
        <v>106</v>
      </c>
      <c r="E296">
        <v>29.99</v>
      </c>
      <c r="F296">
        <v>3.1788888888888889</v>
      </c>
      <c r="G296">
        <v>46188</v>
      </c>
      <c r="H296" t="s">
        <v>309</v>
      </c>
      <c r="I296">
        <v>78.234782608695653</v>
      </c>
      <c r="J296">
        <v>3</v>
      </c>
    </row>
    <row r="297" spans="1:10" x14ac:dyDescent="0.35">
      <c r="A297" t="s">
        <v>19</v>
      </c>
      <c r="B297">
        <v>102</v>
      </c>
      <c r="C297">
        <v>34015</v>
      </c>
      <c r="D297" t="s">
        <v>106</v>
      </c>
      <c r="E297">
        <v>29.99</v>
      </c>
      <c r="F297">
        <v>3.1788888888888889</v>
      </c>
      <c r="G297">
        <v>46189</v>
      </c>
      <c r="H297" t="s">
        <v>310</v>
      </c>
      <c r="I297">
        <v>26.078260869565216</v>
      </c>
      <c r="J297">
        <v>1</v>
      </c>
    </row>
    <row r="298" spans="1:10" x14ac:dyDescent="0.35">
      <c r="A298" t="s">
        <v>19</v>
      </c>
      <c r="B298">
        <v>102</v>
      </c>
      <c r="C298">
        <v>34015</v>
      </c>
      <c r="D298" t="s">
        <v>106</v>
      </c>
      <c r="E298">
        <v>29.99</v>
      </c>
      <c r="F298">
        <v>3.1788888888888889</v>
      </c>
      <c r="G298">
        <v>46190</v>
      </c>
      <c r="H298" t="s">
        <v>316</v>
      </c>
      <c r="I298">
        <v>208.62608695652173</v>
      </c>
      <c r="J298">
        <v>8</v>
      </c>
    </row>
    <row r="299" spans="1:10" x14ac:dyDescent="0.35">
      <c r="A299" t="s">
        <v>19</v>
      </c>
      <c r="B299">
        <v>102</v>
      </c>
      <c r="C299">
        <v>34015</v>
      </c>
      <c r="D299" t="s">
        <v>106</v>
      </c>
      <c r="E299">
        <v>29.99</v>
      </c>
      <c r="F299">
        <v>3.1788888888888889</v>
      </c>
      <c r="G299">
        <v>46191</v>
      </c>
      <c r="H299" t="s">
        <v>960</v>
      </c>
      <c r="I299">
        <v>156.46956521739131</v>
      </c>
      <c r="J299">
        <v>6</v>
      </c>
    </row>
    <row r="300" spans="1:10" x14ac:dyDescent="0.35">
      <c r="A300" t="s">
        <v>14</v>
      </c>
      <c r="B300">
        <v>101</v>
      </c>
      <c r="C300">
        <v>34022</v>
      </c>
      <c r="D300" t="s">
        <v>54</v>
      </c>
      <c r="E300">
        <v>5.99</v>
      </c>
      <c r="F300">
        <v>2.72</v>
      </c>
      <c r="G300">
        <v>46188</v>
      </c>
      <c r="H300" t="s">
        <v>309</v>
      </c>
      <c r="I300">
        <v>26.043478260869563</v>
      </c>
      <c r="J300">
        <v>5</v>
      </c>
    </row>
    <row r="301" spans="1:10" x14ac:dyDescent="0.35">
      <c r="A301" t="s">
        <v>14</v>
      </c>
      <c r="B301">
        <v>101</v>
      </c>
      <c r="C301">
        <v>34022</v>
      </c>
      <c r="D301" t="s">
        <v>54</v>
      </c>
      <c r="E301">
        <v>5.99</v>
      </c>
      <c r="F301">
        <v>2.72</v>
      </c>
      <c r="G301">
        <v>46190</v>
      </c>
      <c r="H301" t="s">
        <v>316</v>
      </c>
      <c r="I301">
        <v>10.417391304347827</v>
      </c>
      <c r="J301">
        <v>2</v>
      </c>
    </row>
    <row r="302" spans="1:10" x14ac:dyDescent="0.35">
      <c r="A302" t="s">
        <v>14</v>
      </c>
      <c r="B302">
        <v>101</v>
      </c>
      <c r="C302">
        <v>34023</v>
      </c>
      <c r="D302" t="s">
        <v>48</v>
      </c>
      <c r="E302">
        <v>6.99</v>
      </c>
      <c r="F302">
        <v>2.85</v>
      </c>
      <c r="G302">
        <v>46188</v>
      </c>
      <c r="H302" t="s">
        <v>309</v>
      </c>
      <c r="I302">
        <v>30.39130434782609</v>
      </c>
      <c r="J302">
        <v>5</v>
      </c>
    </row>
    <row r="303" spans="1:10" x14ac:dyDescent="0.35">
      <c r="A303" t="s">
        <v>14</v>
      </c>
      <c r="B303">
        <v>101</v>
      </c>
      <c r="C303">
        <v>34023</v>
      </c>
      <c r="D303" t="s">
        <v>48</v>
      </c>
      <c r="E303">
        <v>6.99</v>
      </c>
      <c r="F303">
        <v>2.85</v>
      </c>
      <c r="G303">
        <v>46189</v>
      </c>
      <c r="H303" t="s">
        <v>310</v>
      </c>
      <c r="I303">
        <v>24.31304347826087</v>
      </c>
      <c r="J303">
        <v>4</v>
      </c>
    </row>
    <row r="304" spans="1:10" x14ac:dyDescent="0.35">
      <c r="A304" t="s">
        <v>14</v>
      </c>
      <c r="B304">
        <v>101</v>
      </c>
      <c r="C304">
        <v>34023</v>
      </c>
      <c r="D304" t="s">
        <v>48</v>
      </c>
      <c r="E304">
        <v>6.99</v>
      </c>
      <c r="F304">
        <v>2.85</v>
      </c>
      <c r="G304">
        <v>46190</v>
      </c>
      <c r="H304" t="s">
        <v>316</v>
      </c>
      <c r="I304">
        <v>24.008695652173913</v>
      </c>
      <c r="J304">
        <v>4</v>
      </c>
    </row>
    <row r="305" spans="1:10" x14ac:dyDescent="0.35">
      <c r="A305" t="s">
        <v>14</v>
      </c>
      <c r="B305">
        <v>101</v>
      </c>
      <c r="C305">
        <v>34023</v>
      </c>
      <c r="D305" t="s">
        <v>48</v>
      </c>
      <c r="E305">
        <v>6.99</v>
      </c>
      <c r="F305">
        <v>2.85</v>
      </c>
      <c r="G305">
        <v>46191</v>
      </c>
      <c r="H305" t="s">
        <v>960</v>
      </c>
      <c r="I305">
        <v>24.31304347826087</v>
      </c>
      <c r="J305">
        <v>4</v>
      </c>
    </row>
    <row r="306" spans="1:10" x14ac:dyDescent="0.35">
      <c r="A306" t="s">
        <v>14</v>
      </c>
      <c r="B306">
        <v>101</v>
      </c>
      <c r="C306">
        <v>34024</v>
      </c>
      <c r="D306" t="s">
        <v>23</v>
      </c>
      <c r="E306">
        <v>37.99</v>
      </c>
      <c r="F306">
        <v>16.5</v>
      </c>
      <c r="G306">
        <v>46188</v>
      </c>
      <c r="H306" t="s">
        <v>309</v>
      </c>
      <c r="I306">
        <v>165.17391304347825</v>
      </c>
      <c r="J306">
        <v>5</v>
      </c>
    </row>
    <row r="307" spans="1:10" x14ac:dyDescent="0.35">
      <c r="A307" t="s">
        <v>14</v>
      </c>
      <c r="B307">
        <v>101</v>
      </c>
      <c r="C307">
        <v>34024</v>
      </c>
      <c r="D307" t="s">
        <v>23</v>
      </c>
      <c r="E307">
        <v>37.99</v>
      </c>
      <c r="F307">
        <v>16.5</v>
      </c>
      <c r="G307">
        <v>46189</v>
      </c>
      <c r="H307" t="s">
        <v>310</v>
      </c>
      <c r="I307">
        <v>33.03478260869565</v>
      </c>
      <c r="J307">
        <v>1</v>
      </c>
    </row>
    <row r="308" spans="1:10" x14ac:dyDescent="0.35">
      <c r="A308" t="s">
        <v>14</v>
      </c>
      <c r="B308">
        <v>101</v>
      </c>
      <c r="C308">
        <v>34024</v>
      </c>
      <c r="D308" t="s">
        <v>23</v>
      </c>
      <c r="E308">
        <v>37.99</v>
      </c>
      <c r="F308">
        <v>16.5</v>
      </c>
      <c r="G308">
        <v>46190</v>
      </c>
      <c r="H308" t="s">
        <v>316</v>
      </c>
      <c r="I308">
        <v>165.17391304347825</v>
      </c>
      <c r="J308">
        <v>5</v>
      </c>
    </row>
    <row r="309" spans="1:10" x14ac:dyDescent="0.35">
      <c r="A309" t="s">
        <v>14</v>
      </c>
      <c r="B309">
        <v>101</v>
      </c>
      <c r="C309">
        <v>34024</v>
      </c>
      <c r="D309" t="s">
        <v>23</v>
      </c>
      <c r="E309">
        <v>37.99</v>
      </c>
      <c r="F309">
        <v>16.5</v>
      </c>
      <c r="G309">
        <v>46191</v>
      </c>
      <c r="H309" t="s">
        <v>960</v>
      </c>
      <c r="I309">
        <v>132.1391304347826</v>
      </c>
      <c r="J309">
        <v>4</v>
      </c>
    </row>
    <row r="310" spans="1:10" x14ac:dyDescent="0.35">
      <c r="A310" t="s">
        <v>14</v>
      </c>
      <c r="B310">
        <v>106</v>
      </c>
      <c r="C310">
        <v>34027</v>
      </c>
      <c r="D310" t="s">
        <v>245</v>
      </c>
      <c r="E310">
        <v>27.99</v>
      </c>
      <c r="F310">
        <v>15.41</v>
      </c>
      <c r="G310">
        <v>46190</v>
      </c>
      <c r="H310" t="s">
        <v>316</v>
      </c>
      <c r="I310">
        <v>24.339130434782607</v>
      </c>
      <c r="J310">
        <v>1</v>
      </c>
    </row>
    <row r="311" spans="1:10" x14ac:dyDescent="0.35">
      <c r="A311" t="s">
        <v>14</v>
      </c>
      <c r="B311">
        <v>106</v>
      </c>
      <c r="C311">
        <v>34027</v>
      </c>
      <c r="D311" t="s">
        <v>245</v>
      </c>
      <c r="E311">
        <v>27.99</v>
      </c>
      <c r="F311">
        <v>15.41</v>
      </c>
      <c r="G311">
        <v>46191</v>
      </c>
      <c r="H311" t="s">
        <v>960</v>
      </c>
      <c r="I311">
        <v>48.678260869565214</v>
      </c>
      <c r="J311">
        <v>2</v>
      </c>
    </row>
    <row r="312" spans="1:10" x14ac:dyDescent="0.35">
      <c r="A312" t="s">
        <v>14</v>
      </c>
      <c r="B312">
        <v>118</v>
      </c>
      <c r="C312">
        <v>34033</v>
      </c>
      <c r="D312" t="s">
        <v>256</v>
      </c>
      <c r="E312">
        <v>120</v>
      </c>
      <c r="F312">
        <v>64.849999999999994</v>
      </c>
      <c r="G312">
        <v>46188</v>
      </c>
      <c r="H312" t="s">
        <v>309</v>
      </c>
      <c r="I312">
        <v>104.34782608695652</v>
      </c>
      <c r="J312">
        <v>1</v>
      </c>
    </row>
    <row r="313" spans="1:10" x14ac:dyDescent="0.35">
      <c r="A313" t="s">
        <v>14</v>
      </c>
      <c r="B313">
        <v>118</v>
      </c>
      <c r="C313">
        <v>34033</v>
      </c>
      <c r="D313" t="s">
        <v>256</v>
      </c>
      <c r="E313">
        <v>120</v>
      </c>
      <c r="F313">
        <v>64.849999999999994</v>
      </c>
      <c r="G313">
        <v>46189</v>
      </c>
      <c r="H313" t="s">
        <v>310</v>
      </c>
      <c r="I313">
        <v>104.34782608695652</v>
      </c>
      <c r="J313">
        <v>1</v>
      </c>
    </row>
    <row r="314" spans="1:10" x14ac:dyDescent="0.35">
      <c r="A314" t="s">
        <v>14</v>
      </c>
      <c r="B314">
        <v>101</v>
      </c>
      <c r="C314">
        <v>34041</v>
      </c>
      <c r="D314" t="s">
        <v>43</v>
      </c>
      <c r="E314">
        <v>6.99</v>
      </c>
      <c r="F314">
        <v>3.15</v>
      </c>
      <c r="G314">
        <v>46188</v>
      </c>
      <c r="H314" t="s">
        <v>309</v>
      </c>
      <c r="I314">
        <v>66.860869565217399</v>
      </c>
      <c r="J314">
        <v>11</v>
      </c>
    </row>
    <row r="315" spans="1:10" x14ac:dyDescent="0.35">
      <c r="A315" t="s">
        <v>14</v>
      </c>
      <c r="B315">
        <v>101</v>
      </c>
      <c r="C315">
        <v>34041</v>
      </c>
      <c r="D315" t="s">
        <v>43</v>
      </c>
      <c r="E315">
        <v>6.99</v>
      </c>
      <c r="F315">
        <v>3.15</v>
      </c>
      <c r="G315">
        <v>46189</v>
      </c>
      <c r="H315" t="s">
        <v>310</v>
      </c>
      <c r="I315">
        <v>42.547826086956519</v>
      </c>
      <c r="J315">
        <v>7</v>
      </c>
    </row>
    <row r="316" spans="1:10" x14ac:dyDescent="0.35">
      <c r="A316" t="s">
        <v>14</v>
      </c>
      <c r="B316">
        <v>101</v>
      </c>
      <c r="C316">
        <v>34041</v>
      </c>
      <c r="D316" t="s">
        <v>43</v>
      </c>
      <c r="E316">
        <v>6.99</v>
      </c>
      <c r="F316">
        <v>3.15</v>
      </c>
      <c r="G316">
        <v>46190</v>
      </c>
      <c r="H316" t="s">
        <v>316</v>
      </c>
      <c r="I316">
        <v>48.017391304347825</v>
      </c>
      <c r="J316">
        <v>8</v>
      </c>
    </row>
    <row r="317" spans="1:10" x14ac:dyDescent="0.35">
      <c r="A317" t="s">
        <v>14</v>
      </c>
      <c r="B317">
        <v>101</v>
      </c>
      <c r="C317">
        <v>34041</v>
      </c>
      <c r="D317" t="s">
        <v>43</v>
      </c>
      <c r="E317">
        <v>6.99</v>
      </c>
      <c r="F317">
        <v>3.15</v>
      </c>
      <c r="G317">
        <v>46191</v>
      </c>
      <c r="H317" t="s">
        <v>960</v>
      </c>
      <c r="I317">
        <v>54.704347826086952</v>
      </c>
      <c r="J317">
        <v>9</v>
      </c>
    </row>
    <row r="318" spans="1:10" x14ac:dyDescent="0.35">
      <c r="A318" t="s">
        <v>14</v>
      </c>
      <c r="B318">
        <v>101</v>
      </c>
      <c r="C318">
        <v>34042</v>
      </c>
      <c r="D318" t="s">
        <v>31</v>
      </c>
      <c r="E318">
        <v>9.5</v>
      </c>
      <c r="F318">
        <v>4.1500000000000004</v>
      </c>
      <c r="G318">
        <v>46188</v>
      </c>
      <c r="H318" t="s">
        <v>309</v>
      </c>
      <c r="I318">
        <v>49.565217391304344</v>
      </c>
      <c r="J318">
        <v>6</v>
      </c>
    </row>
    <row r="319" spans="1:10" x14ac:dyDescent="0.35">
      <c r="A319" t="s">
        <v>14</v>
      </c>
      <c r="B319">
        <v>101</v>
      </c>
      <c r="C319">
        <v>34042</v>
      </c>
      <c r="D319" t="s">
        <v>31</v>
      </c>
      <c r="E319">
        <v>9.5</v>
      </c>
      <c r="F319">
        <v>4.1500000000000004</v>
      </c>
      <c r="G319">
        <v>46189</v>
      </c>
      <c r="H319" t="s">
        <v>310</v>
      </c>
      <c r="I319">
        <v>90.869565217391312</v>
      </c>
      <c r="J319">
        <v>11</v>
      </c>
    </row>
    <row r="320" spans="1:10" x14ac:dyDescent="0.35">
      <c r="A320" t="s">
        <v>14</v>
      </c>
      <c r="B320">
        <v>101</v>
      </c>
      <c r="C320">
        <v>34042</v>
      </c>
      <c r="D320" t="s">
        <v>31</v>
      </c>
      <c r="E320">
        <v>9.5</v>
      </c>
      <c r="F320">
        <v>4.1500000000000004</v>
      </c>
      <c r="G320">
        <v>46190</v>
      </c>
      <c r="H320" t="s">
        <v>316</v>
      </c>
      <c r="I320">
        <v>97.052173913043475</v>
      </c>
      <c r="J320">
        <v>12</v>
      </c>
    </row>
    <row r="321" spans="1:10" x14ac:dyDescent="0.35">
      <c r="A321" t="s">
        <v>14</v>
      </c>
      <c r="B321">
        <v>101</v>
      </c>
      <c r="C321">
        <v>34042</v>
      </c>
      <c r="D321" t="s">
        <v>31</v>
      </c>
      <c r="E321">
        <v>9.5</v>
      </c>
      <c r="F321">
        <v>4.1500000000000004</v>
      </c>
      <c r="G321">
        <v>46191</v>
      </c>
      <c r="H321" t="s">
        <v>960</v>
      </c>
      <c r="I321">
        <v>49.565217391304344</v>
      </c>
      <c r="J321">
        <v>6</v>
      </c>
    </row>
    <row r="322" spans="1:10" x14ac:dyDescent="0.35">
      <c r="A322" t="s">
        <v>14</v>
      </c>
      <c r="B322">
        <v>101</v>
      </c>
      <c r="C322">
        <v>34046</v>
      </c>
      <c r="D322" t="s">
        <v>37</v>
      </c>
      <c r="E322">
        <v>19.989999999999998</v>
      </c>
      <c r="F322">
        <v>12.2</v>
      </c>
      <c r="G322">
        <v>46188</v>
      </c>
      <c r="H322" t="s">
        <v>309</v>
      </c>
      <c r="I322">
        <v>86.913043478260875</v>
      </c>
      <c r="J322">
        <v>5</v>
      </c>
    </row>
    <row r="323" spans="1:10" x14ac:dyDescent="0.35">
      <c r="A323" t="s">
        <v>14</v>
      </c>
      <c r="B323">
        <v>101</v>
      </c>
      <c r="C323">
        <v>34046</v>
      </c>
      <c r="D323" t="s">
        <v>37</v>
      </c>
      <c r="E323">
        <v>19.989999999999998</v>
      </c>
      <c r="F323">
        <v>12.2</v>
      </c>
      <c r="G323">
        <v>46189</v>
      </c>
      <c r="H323" t="s">
        <v>310</v>
      </c>
      <c r="I323">
        <v>69.530434782608694</v>
      </c>
      <c r="J323">
        <v>4</v>
      </c>
    </row>
    <row r="324" spans="1:10" x14ac:dyDescent="0.35">
      <c r="A324" t="s">
        <v>14</v>
      </c>
      <c r="B324">
        <v>101</v>
      </c>
      <c r="C324">
        <v>34053</v>
      </c>
      <c r="D324" t="s">
        <v>57</v>
      </c>
      <c r="E324">
        <v>15.99</v>
      </c>
      <c r="F324">
        <v>6.74</v>
      </c>
      <c r="G324">
        <v>46188</v>
      </c>
      <c r="H324" t="s">
        <v>309</v>
      </c>
      <c r="I324">
        <v>41.713043478260872</v>
      </c>
      <c r="J324">
        <v>3</v>
      </c>
    </row>
    <row r="325" spans="1:10" x14ac:dyDescent="0.35">
      <c r="A325" t="s">
        <v>14</v>
      </c>
      <c r="B325">
        <v>101</v>
      </c>
      <c r="C325">
        <v>34053</v>
      </c>
      <c r="D325" t="s">
        <v>57</v>
      </c>
      <c r="E325">
        <v>15.99</v>
      </c>
      <c r="F325">
        <v>6.74</v>
      </c>
      <c r="G325">
        <v>46189</v>
      </c>
      <c r="H325" t="s">
        <v>310</v>
      </c>
      <c r="I325">
        <v>55.617391304347827</v>
      </c>
      <c r="J325">
        <v>4</v>
      </c>
    </row>
    <row r="326" spans="1:10" x14ac:dyDescent="0.35">
      <c r="A326" t="s">
        <v>14</v>
      </c>
      <c r="B326">
        <v>101</v>
      </c>
      <c r="C326">
        <v>34059</v>
      </c>
      <c r="D326" t="s">
        <v>64</v>
      </c>
      <c r="E326">
        <v>6.99</v>
      </c>
      <c r="F326">
        <v>3.8</v>
      </c>
      <c r="G326">
        <v>46191</v>
      </c>
      <c r="H326" t="s">
        <v>960</v>
      </c>
      <c r="I326">
        <v>42.547826086956519</v>
      </c>
      <c r="J326">
        <v>7</v>
      </c>
    </row>
    <row r="327" spans="1:10" x14ac:dyDescent="0.35">
      <c r="A327" t="s">
        <v>14</v>
      </c>
      <c r="B327">
        <v>101</v>
      </c>
      <c r="C327">
        <v>34068</v>
      </c>
      <c r="D327" t="s">
        <v>74</v>
      </c>
      <c r="E327">
        <v>1.5</v>
      </c>
      <c r="F327">
        <v>0.59</v>
      </c>
      <c r="G327">
        <v>46188</v>
      </c>
      <c r="H327" t="s">
        <v>309</v>
      </c>
      <c r="I327">
        <v>20.869565217391305</v>
      </c>
      <c r="J327">
        <v>16</v>
      </c>
    </row>
    <row r="328" spans="1:10" x14ac:dyDescent="0.35">
      <c r="A328" t="s">
        <v>14</v>
      </c>
      <c r="B328">
        <v>101</v>
      </c>
      <c r="C328">
        <v>34070</v>
      </c>
      <c r="D328" t="s">
        <v>26</v>
      </c>
      <c r="E328">
        <v>12.99</v>
      </c>
      <c r="F328">
        <v>6.81</v>
      </c>
      <c r="G328">
        <v>46188</v>
      </c>
      <c r="H328" t="s">
        <v>309</v>
      </c>
      <c r="I328">
        <v>169.43478260869566</v>
      </c>
      <c r="J328">
        <v>15</v>
      </c>
    </row>
    <row r="329" spans="1:10" x14ac:dyDescent="0.35">
      <c r="A329" t="s">
        <v>14</v>
      </c>
      <c r="B329">
        <v>101</v>
      </c>
      <c r="C329">
        <v>34070</v>
      </c>
      <c r="D329" t="s">
        <v>26</v>
      </c>
      <c r="E329">
        <v>12.99</v>
      </c>
      <c r="F329">
        <v>6.81</v>
      </c>
      <c r="G329">
        <v>46189</v>
      </c>
      <c r="H329" t="s">
        <v>310</v>
      </c>
      <c r="I329">
        <v>101.66086956521738</v>
      </c>
      <c r="J329">
        <v>9</v>
      </c>
    </row>
    <row r="330" spans="1:10" x14ac:dyDescent="0.35">
      <c r="A330" t="s">
        <v>14</v>
      </c>
      <c r="B330">
        <v>101</v>
      </c>
      <c r="C330">
        <v>34070</v>
      </c>
      <c r="D330" t="s">
        <v>26</v>
      </c>
      <c r="E330">
        <v>12.99</v>
      </c>
      <c r="F330">
        <v>6.81</v>
      </c>
      <c r="G330">
        <v>46190</v>
      </c>
      <c r="H330" t="s">
        <v>316</v>
      </c>
      <c r="I330">
        <v>111.26086956521739</v>
      </c>
      <c r="J330">
        <v>10</v>
      </c>
    </row>
    <row r="331" spans="1:10" x14ac:dyDescent="0.35">
      <c r="A331" t="s">
        <v>14</v>
      </c>
      <c r="B331">
        <v>101</v>
      </c>
      <c r="C331">
        <v>34070</v>
      </c>
      <c r="D331" t="s">
        <v>26</v>
      </c>
      <c r="E331">
        <v>12.99</v>
      </c>
      <c r="F331">
        <v>6.81</v>
      </c>
      <c r="G331">
        <v>46191</v>
      </c>
      <c r="H331" t="s">
        <v>960</v>
      </c>
      <c r="I331">
        <v>395.3478260869565</v>
      </c>
      <c r="J331">
        <v>35</v>
      </c>
    </row>
    <row r="332" spans="1:10" x14ac:dyDescent="0.35">
      <c r="A332" t="s">
        <v>14</v>
      </c>
      <c r="B332">
        <v>104</v>
      </c>
      <c r="C332">
        <v>34079</v>
      </c>
      <c r="D332" t="s">
        <v>236</v>
      </c>
      <c r="E332">
        <v>60</v>
      </c>
      <c r="F332">
        <v>29.14</v>
      </c>
      <c r="G332">
        <v>46191</v>
      </c>
      <c r="H332" t="s">
        <v>960</v>
      </c>
      <c r="I332">
        <v>43.469565217391306</v>
      </c>
      <c r="J332">
        <v>1</v>
      </c>
    </row>
    <row r="333" spans="1:10" x14ac:dyDescent="0.35">
      <c r="A333" t="s">
        <v>14</v>
      </c>
      <c r="B333">
        <v>104</v>
      </c>
      <c r="C333">
        <v>34080</v>
      </c>
      <c r="D333" t="s">
        <v>234</v>
      </c>
      <c r="E333">
        <v>55</v>
      </c>
      <c r="F333">
        <v>24.25</v>
      </c>
      <c r="G333">
        <v>46189</v>
      </c>
      <c r="H333" t="s">
        <v>310</v>
      </c>
      <c r="I333">
        <v>43.469565217391306</v>
      </c>
      <c r="J333">
        <v>1</v>
      </c>
    </row>
    <row r="334" spans="1:10" x14ac:dyDescent="0.35">
      <c r="A334" t="s">
        <v>14</v>
      </c>
      <c r="B334">
        <v>104</v>
      </c>
      <c r="C334">
        <v>34080</v>
      </c>
      <c r="D334" t="s">
        <v>234</v>
      </c>
      <c r="E334">
        <v>55</v>
      </c>
      <c r="F334">
        <v>24.25</v>
      </c>
      <c r="G334">
        <v>46191</v>
      </c>
      <c r="H334" t="s">
        <v>960</v>
      </c>
      <c r="I334">
        <v>86.939130434782612</v>
      </c>
      <c r="J334">
        <v>2</v>
      </c>
    </row>
    <row r="335" spans="1:10" x14ac:dyDescent="0.35">
      <c r="A335" t="s">
        <v>14</v>
      </c>
      <c r="B335">
        <v>104</v>
      </c>
      <c r="C335">
        <v>34083</v>
      </c>
      <c r="D335" t="s">
        <v>233</v>
      </c>
      <c r="E335">
        <v>55</v>
      </c>
      <c r="F335">
        <v>25.97</v>
      </c>
      <c r="G335">
        <v>46188</v>
      </c>
      <c r="H335" t="s">
        <v>309</v>
      </c>
      <c r="I335">
        <v>43.469565217391306</v>
      </c>
      <c r="J335">
        <v>1</v>
      </c>
    </row>
    <row r="336" spans="1:10" x14ac:dyDescent="0.35">
      <c r="A336" t="s">
        <v>14</v>
      </c>
      <c r="B336">
        <v>104</v>
      </c>
      <c r="C336">
        <v>34083</v>
      </c>
      <c r="D336" t="s">
        <v>233</v>
      </c>
      <c r="E336">
        <v>55</v>
      </c>
      <c r="F336">
        <v>25.97</v>
      </c>
      <c r="G336">
        <v>46189</v>
      </c>
      <c r="H336" t="s">
        <v>310</v>
      </c>
      <c r="I336">
        <v>130.40869565217392</v>
      </c>
      <c r="J336">
        <v>3</v>
      </c>
    </row>
    <row r="337" spans="1:10" x14ac:dyDescent="0.35">
      <c r="A337" t="s">
        <v>14</v>
      </c>
      <c r="B337">
        <v>104</v>
      </c>
      <c r="C337">
        <v>34083</v>
      </c>
      <c r="D337" t="s">
        <v>233</v>
      </c>
      <c r="E337">
        <v>55</v>
      </c>
      <c r="F337">
        <v>25.97</v>
      </c>
      <c r="G337">
        <v>46190</v>
      </c>
      <c r="H337" t="s">
        <v>316</v>
      </c>
      <c r="I337">
        <v>130.40869565217392</v>
      </c>
      <c r="J337">
        <v>3</v>
      </c>
    </row>
    <row r="338" spans="1:10" x14ac:dyDescent="0.35">
      <c r="A338" t="s">
        <v>14</v>
      </c>
      <c r="B338">
        <v>104</v>
      </c>
      <c r="C338">
        <v>34083</v>
      </c>
      <c r="D338" t="s">
        <v>233</v>
      </c>
      <c r="E338">
        <v>55</v>
      </c>
      <c r="F338">
        <v>25.97</v>
      </c>
      <c r="G338">
        <v>46191</v>
      </c>
      <c r="H338" t="s">
        <v>960</v>
      </c>
      <c r="I338">
        <v>43.469565217391306</v>
      </c>
      <c r="J338">
        <v>1</v>
      </c>
    </row>
    <row r="339" spans="1:10" x14ac:dyDescent="0.35">
      <c r="A339" t="s">
        <v>14</v>
      </c>
      <c r="B339">
        <v>101</v>
      </c>
      <c r="C339">
        <v>34086</v>
      </c>
      <c r="D339" t="s">
        <v>60</v>
      </c>
      <c r="E339">
        <v>29.99</v>
      </c>
      <c r="F339">
        <v>10</v>
      </c>
      <c r="G339">
        <v>46188</v>
      </c>
      <c r="H339" t="s">
        <v>309</v>
      </c>
      <c r="I339">
        <v>5.2695652173913041</v>
      </c>
      <c r="J339">
        <v>0</v>
      </c>
    </row>
    <row r="340" spans="1:10" x14ac:dyDescent="0.35">
      <c r="A340" t="s">
        <v>14</v>
      </c>
      <c r="B340">
        <v>101</v>
      </c>
      <c r="C340">
        <v>34086</v>
      </c>
      <c r="D340" t="s">
        <v>60</v>
      </c>
      <c r="E340">
        <v>29.99</v>
      </c>
      <c r="F340">
        <v>10</v>
      </c>
      <c r="G340">
        <v>46190</v>
      </c>
      <c r="H340" t="s">
        <v>316</v>
      </c>
      <c r="I340">
        <v>9.5739130434782602</v>
      </c>
      <c r="J340">
        <v>0</v>
      </c>
    </row>
    <row r="341" spans="1:10" x14ac:dyDescent="0.35">
      <c r="A341" t="s">
        <v>14</v>
      </c>
      <c r="B341">
        <v>101</v>
      </c>
      <c r="C341">
        <v>34088</v>
      </c>
      <c r="D341" t="s">
        <v>44</v>
      </c>
      <c r="E341">
        <v>1.5</v>
      </c>
      <c r="F341">
        <v>0.68</v>
      </c>
      <c r="G341">
        <v>46189</v>
      </c>
      <c r="H341" t="s">
        <v>310</v>
      </c>
      <c r="I341">
        <v>117.39130434782609</v>
      </c>
      <c r="J341">
        <v>90</v>
      </c>
    </row>
    <row r="342" spans="1:10" x14ac:dyDescent="0.35">
      <c r="A342" t="s">
        <v>14</v>
      </c>
      <c r="B342">
        <v>101</v>
      </c>
      <c r="C342">
        <v>34091</v>
      </c>
      <c r="D342" t="s">
        <v>28</v>
      </c>
      <c r="E342">
        <v>17.989999999999998</v>
      </c>
      <c r="F342">
        <v>12.24</v>
      </c>
      <c r="G342">
        <v>46188</v>
      </c>
      <c r="H342" t="s">
        <v>309</v>
      </c>
      <c r="I342">
        <v>86.913043478260875</v>
      </c>
      <c r="J342">
        <v>5</v>
      </c>
    </row>
    <row r="343" spans="1:10" x14ac:dyDescent="0.35">
      <c r="A343" t="s">
        <v>14</v>
      </c>
      <c r="B343">
        <v>101</v>
      </c>
      <c r="C343">
        <v>34091</v>
      </c>
      <c r="D343" t="s">
        <v>28</v>
      </c>
      <c r="E343">
        <v>17.989999999999998</v>
      </c>
      <c r="F343">
        <v>12.24</v>
      </c>
      <c r="G343">
        <v>46189</v>
      </c>
      <c r="H343" t="s">
        <v>310</v>
      </c>
      <c r="I343">
        <v>86.913043478260875</v>
      </c>
      <c r="J343">
        <v>5</v>
      </c>
    </row>
    <row r="344" spans="1:10" x14ac:dyDescent="0.35">
      <c r="A344" t="s">
        <v>14</v>
      </c>
      <c r="B344">
        <v>101</v>
      </c>
      <c r="C344">
        <v>34091</v>
      </c>
      <c r="D344" t="s">
        <v>28</v>
      </c>
      <c r="E344">
        <v>17.989999999999998</v>
      </c>
      <c r="F344">
        <v>12.24</v>
      </c>
      <c r="G344">
        <v>46190</v>
      </c>
      <c r="H344" t="s">
        <v>316</v>
      </c>
      <c r="I344">
        <v>198.66956521739129</v>
      </c>
      <c r="J344">
        <v>13</v>
      </c>
    </row>
    <row r="345" spans="1:10" x14ac:dyDescent="0.35">
      <c r="A345" t="s">
        <v>14</v>
      </c>
      <c r="B345">
        <v>101</v>
      </c>
      <c r="C345">
        <v>34091</v>
      </c>
      <c r="D345" t="s">
        <v>28</v>
      </c>
      <c r="E345">
        <v>17.989999999999998</v>
      </c>
      <c r="F345">
        <v>12.24</v>
      </c>
      <c r="G345">
        <v>46191</v>
      </c>
      <c r="H345" t="s">
        <v>960</v>
      </c>
      <c r="I345">
        <v>125.14782608695651</v>
      </c>
      <c r="J345">
        <v>8</v>
      </c>
    </row>
    <row r="346" spans="1:10" x14ac:dyDescent="0.35">
      <c r="A346" t="s">
        <v>14</v>
      </c>
      <c r="B346">
        <v>101</v>
      </c>
      <c r="C346">
        <v>34092</v>
      </c>
      <c r="D346" t="s">
        <v>47</v>
      </c>
      <c r="E346">
        <v>4.99</v>
      </c>
      <c r="F346">
        <v>2.52</v>
      </c>
      <c r="G346">
        <v>46188</v>
      </c>
      <c r="H346" t="s">
        <v>309</v>
      </c>
      <c r="I346">
        <v>30.373913043478261</v>
      </c>
      <c r="J346">
        <v>7</v>
      </c>
    </row>
    <row r="347" spans="1:10" x14ac:dyDescent="0.35">
      <c r="A347" t="s">
        <v>14</v>
      </c>
      <c r="B347">
        <v>101</v>
      </c>
      <c r="C347">
        <v>34092</v>
      </c>
      <c r="D347" t="s">
        <v>47</v>
      </c>
      <c r="E347">
        <v>4.99</v>
      </c>
      <c r="F347">
        <v>2.52</v>
      </c>
      <c r="G347">
        <v>46189</v>
      </c>
      <c r="H347" t="s">
        <v>310</v>
      </c>
      <c r="I347">
        <v>8.6782608695652179</v>
      </c>
      <c r="J347">
        <v>2</v>
      </c>
    </row>
    <row r="348" spans="1:10" x14ac:dyDescent="0.35">
      <c r="A348" t="s">
        <v>14</v>
      </c>
      <c r="B348">
        <v>104</v>
      </c>
      <c r="C348">
        <v>34095</v>
      </c>
      <c r="D348" t="s">
        <v>235</v>
      </c>
      <c r="E348">
        <v>29.99</v>
      </c>
      <c r="F348">
        <v>12.52</v>
      </c>
      <c r="G348">
        <v>46191</v>
      </c>
      <c r="H348" t="s">
        <v>960</v>
      </c>
      <c r="I348">
        <v>104.31304347826087</v>
      </c>
      <c r="J348">
        <v>4</v>
      </c>
    </row>
    <row r="349" spans="1:10" x14ac:dyDescent="0.35">
      <c r="A349" t="s">
        <v>14</v>
      </c>
      <c r="B349">
        <v>102</v>
      </c>
      <c r="C349">
        <v>34102</v>
      </c>
      <c r="D349" t="s">
        <v>129</v>
      </c>
      <c r="E349">
        <v>9.99</v>
      </c>
      <c r="F349">
        <v>4.99</v>
      </c>
      <c r="G349">
        <v>46189</v>
      </c>
      <c r="H349" t="s">
        <v>310</v>
      </c>
      <c r="I349">
        <v>43.434782608695656</v>
      </c>
      <c r="J349">
        <v>5</v>
      </c>
    </row>
    <row r="350" spans="1:10" x14ac:dyDescent="0.35">
      <c r="A350" t="s">
        <v>14</v>
      </c>
      <c r="B350">
        <v>102</v>
      </c>
      <c r="C350">
        <v>34102</v>
      </c>
      <c r="D350" t="s">
        <v>129</v>
      </c>
      <c r="E350">
        <v>9.99</v>
      </c>
      <c r="F350">
        <v>4.99</v>
      </c>
      <c r="G350">
        <v>46190</v>
      </c>
      <c r="H350" t="s">
        <v>316</v>
      </c>
      <c r="I350">
        <v>26.060869565217391</v>
      </c>
      <c r="J350">
        <v>3</v>
      </c>
    </row>
    <row r="351" spans="1:10" x14ac:dyDescent="0.35">
      <c r="A351" t="s">
        <v>14</v>
      </c>
      <c r="B351">
        <v>119</v>
      </c>
      <c r="C351">
        <v>34105</v>
      </c>
      <c r="D351" t="s">
        <v>265</v>
      </c>
      <c r="E351">
        <v>79.989999999999995</v>
      </c>
      <c r="F351">
        <v>54.64</v>
      </c>
      <c r="G351">
        <v>46188</v>
      </c>
      <c r="H351" t="s">
        <v>309</v>
      </c>
      <c r="I351">
        <v>69.556521739130432</v>
      </c>
      <c r="J351">
        <v>1</v>
      </c>
    </row>
    <row r="352" spans="1:10" x14ac:dyDescent="0.35">
      <c r="A352" t="s">
        <v>14</v>
      </c>
      <c r="B352">
        <v>119</v>
      </c>
      <c r="C352">
        <v>34105</v>
      </c>
      <c r="D352" t="s">
        <v>265</v>
      </c>
      <c r="E352">
        <v>79.989999999999995</v>
      </c>
      <c r="F352">
        <v>54.64</v>
      </c>
      <c r="G352">
        <v>46190</v>
      </c>
      <c r="H352" t="s">
        <v>316</v>
      </c>
      <c r="I352">
        <v>208.66956521739129</v>
      </c>
      <c r="J352">
        <v>3</v>
      </c>
    </row>
    <row r="353" spans="1:10" x14ac:dyDescent="0.35">
      <c r="A353" t="s">
        <v>14</v>
      </c>
      <c r="B353">
        <v>104</v>
      </c>
      <c r="C353">
        <v>34118</v>
      </c>
      <c r="D353" t="s">
        <v>231</v>
      </c>
      <c r="E353">
        <v>29.99</v>
      </c>
      <c r="F353">
        <v>7.38</v>
      </c>
      <c r="G353">
        <v>46189</v>
      </c>
      <c r="H353" t="s">
        <v>310</v>
      </c>
      <c r="I353">
        <v>130.39130434782606</v>
      </c>
      <c r="J353">
        <v>5</v>
      </c>
    </row>
    <row r="354" spans="1:10" x14ac:dyDescent="0.35">
      <c r="A354" t="s">
        <v>14</v>
      </c>
      <c r="B354">
        <v>104</v>
      </c>
      <c r="C354">
        <v>34118</v>
      </c>
      <c r="D354" t="s">
        <v>231</v>
      </c>
      <c r="E354">
        <v>29.99</v>
      </c>
      <c r="F354">
        <v>7.38</v>
      </c>
      <c r="G354">
        <v>46190</v>
      </c>
      <c r="H354" t="s">
        <v>316</v>
      </c>
      <c r="I354">
        <v>204.71304347826086</v>
      </c>
      <c r="J354">
        <v>8</v>
      </c>
    </row>
    <row r="355" spans="1:10" x14ac:dyDescent="0.35">
      <c r="A355" t="s">
        <v>14</v>
      </c>
      <c r="B355">
        <v>101</v>
      </c>
      <c r="C355">
        <v>34119</v>
      </c>
      <c r="D355" t="s">
        <v>36</v>
      </c>
      <c r="E355">
        <v>3.3</v>
      </c>
      <c r="F355">
        <v>1.85</v>
      </c>
      <c r="G355">
        <v>46188</v>
      </c>
      <c r="H355" t="s">
        <v>309</v>
      </c>
      <c r="I355">
        <v>229.56521739130434</v>
      </c>
      <c r="J355">
        <v>80</v>
      </c>
    </row>
    <row r="356" spans="1:10" x14ac:dyDescent="0.35">
      <c r="A356" t="s">
        <v>14</v>
      </c>
      <c r="B356">
        <v>101</v>
      </c>
      <c r="C356">
        <v>34121</v>
      </c>
      <c r="D356" t="s">
        <v>25</v>
      </c>
      <c r="E356">
        <v>3.3</v>
      </c>
      <c r="F356">
        <v>1.85</v>
      </c>
      <c r="G356">
        <v>46191</v>
      </c>
      <c r="H356" t="s">
        <v>960</v>
      </c>
      <c r="I356">
        <v>143.47826086956522</v>
      </c>
      <c r="J356">
        <v>50</v>
      </c>
    </row>
    <row r="357" spans="1:10" x14ac:dyDescent="0.35">
      <c r="A357" t="s">
        <v>14</v>
      </c>
      <c r="B357">
        <v>102</v>
      </c>
      <c r="C357">
        <v>34122</v>
      </c>
      <c r="D357" t="s">
        <v>167</v>
      </c>
      <c r="E357">
        <v>25.99</v>
      </c>
      <c r="F357">
        <v>13.19</v>
      </c>
      <c r="G357">
        <v>46190</v>
      </c>
      <c r="H357" t="s">
        <v>316</v>
      </c>
      <c r="I357">
        <v>21.469565217391306</v>
      </c>
      <c r="J357">
        <v>1</v>
      </c>
    </row>
    <row r="358" spans="1:10" x14ac:dyDescent="0.35">
      <c r="A358" t="s">
        <v>19</v>
      </c>
      <c r="B358">
        <v>101</v>
      </c>
      <c r="C358">
        <v>34141</v>
      </c>
      <c r="D358" t="s">
        <v>24</v>
      </c>
      <c r="E358">
        <v>5</v>
      </c>
      <c r="F358">
        <v>3.3388750000000003</v>
      </c>
      <c r="G358">
        <v>46190</v>
      </c>
      <c r="H358" t="s">
        <v>316</v>
      </c>
      <c r="I358">
        <v>165.21739130434781</v>
      </c>
      <c r="J358">
        <v>40</v>
      </c>
    </row>
    <row r="359" spans="1:10" x14ac:dyDescent="0.35">
      <c r="A359" t="s">
        <v>413</v>
      </c>
      <c r="B359">
        <v>103</v>
      </c>
      <c r="C359">
        <v>34142</v>
      </c>
      <c r="D359" t="s">
        <v>208</v>
      </c>
      <c r="E359">
        <v>70.989999999999995</v>
      </c>
      <c r="F359">
        <v>36.56</v>
      </c>
      <c r="G359">
        <v>46190</v>
      </c>
      <c r="H359" t="s">
        <v>316</v>
      </c>
      <c r="I359">
        <v>10</v>
      </c>
      <c r="J359">
        <v>0</v>
      </c>
    </row>
    <row r="360" spans="1:10" x14ac:dyDescent="0.35">
      <c r="A360" t="s">
        <v>413</v>
      </c>
      <c r="B360">
        <v>103</v>
      </c>
      <c r="C360">
        <v>34142</v>
      </c>
      <c r="D360" t="s">
        <v>208</v>
      </c>
      <c r="E360">
        <v>70.989999999999995</v>
      </c>
      <c r="F360">
        <v>36.56</v>
      </c>
      <c r="G360">
        <v>46191</v>
      </c>
      <c r="H360" t="s">
        <v>960</v>
      </c>
      <c r="I360">
        <v>9.3826086956521735</v>
      </c>
      <c r="J360">
        <v>0</v>
      </c>
    </row>
    <row r="361" spans="1:10" x14ac:dyDescent="0.35">
      <c r="A361" t="s">
        <v>14</v>
      </c>
      <c r="B361">
        <v>101</v>
      </c>
      <c r="C361">
        <v>34687</v>
      </c>
      <c r="D361" t="s">
        <v>40</v>
      </c>
      <c r="E361">
        <v>3</v>
      </c>
      <c r="F361">
        <v>1.53</v>
      </c>
      <c r="G361">
        <v>46188</v>
      </c>
      <c r="H361" t="s">
        <v>309</v>
      </c>
      <c r="I361">
        <v>19.826086956521738</v>
      </c>
      <c r="J361">
        <v>6</v>
      </c>
    </row>
    <row r="362" spans="1:10" x14ac:dyDescent="0.35">
      <c r="A362" t="s">
        <v>14</v>
      </c>
      <c r="B362">
        <v>101</v>
      </c>
      <c r="C362">
        <v>34687</v>
      </c>
      <c r="D362" t="s">
        <v>40</v>
      </c>
      <c r="E362">
        <v>3</v>
      </c>
      <c r="F362">
        <v>1.53</v>
      </c>
      <c r="G362">
        <v>46189</v>
      </c>
      <c r="H362" t="s">
        <v>310</v>
      </c>
      <c r="I362">
        <v>3.3043478260869565</v>
      </c>
      <c r="J362">
        <v>1</v>
      </c>
    </row>
    <row r="363" spans="1:10" x14ac:dyDescent="0.35">
      <c r="A363" t="s">
        <v>14</v>
      </c>
      <c r="B363">
        <v>101</v>
      </c>
      <c r="C363">
        <v>34687</v>
      </c>
      <c r="D363" t="s">
        <v>40</v>
      </c>
      <c r="E363">
        <v>3</v>
      </c>
      <c r="F363">
        <v>1.53</v>
      </c>
      <c r="G363">
        <v>46190</v>
      </c>
      <c r="H363" t="s">
        <v>316</v>
      </c>
      <c r="I363">
        <v>23.130434782608695</v>
      </c>
      <c r="J363">
        <v>7</v>
      </c>
    </row>
    <row r="364" spans="1:10" x14ac:dyDescent="0.35">
      <c r="A364" t="s">
        <v>14</v>
      </c>
      <c r="B364">
        <v>101</v>
      </c>
      <c r="C364">
        <v>34690</v>
      </c>
      <c r="D364" t="s">
        <v>18</v>
      </c>
      <c r="E364">
        <v>16.989999999999998</v>
      </c>
      <c r="F364">
        <v>7.7</v>
      </c>
      <c r="G364">
        <v>46188</v>
      </c>
      <c r="H364" t="s">
        <v>309</v>
      </c>
      <c r="I364">
        <v>457.99130434782614</v>
      </c>
      <c r="J364">
        <v>31</v>
      </c>
    </row>
    <row r="365" spans="1:10" x14ac:dyDescent="0.35">
      <c r="A365" t="s">
        <v>14</v>
      </c>
      <c r="B365">
        <v>101</v>
      </c>
      <c r="C365">
        <v>34690</v>
      </c>
      <c r="D365" t="s">
        <v>18</v>
      </c>
      <c r="E365">
        <v>16.989999999999998</v>
      </c>
      <c r="F365">
        <v>7.7</v>
      </c>
      <c r="G365">
        <v>46189</v>
      </c>
      <c r="H365" t="s">
        <v>310</v>
      </c>
      <c r="I365">
        <v>398.89565217391305</v>
      </c>
      <c r="J365">
        <v>27</v>
      </c>
    </row>
    <row r="366" spans="1:10" x14ac:dyDescent="0.35">
      <c r="A366" t="s">
        <v>14</v>
      </c>
      <c r="B366">
        <v>101</v>
      </c>
      <c r="C366">
        <v>34690</v>
      </c>
      <c r="D366" t="s">
        <v>18</v>
      </c>
      <c r="E366">
        <v>16.989999999999998</v>
      </c>
      <c r="F366">
        <v>7.7</v>
      </c>
      <c r="G366">
        <v>46190</v>
      </c>
      <c r="H366" t="s">
        <v>316</v>
      </c>
      <c r="I366">
        <v>484.58260869565214</v>
      </c>
      <c r="J366">
        <v>33</v>
      </c>
    </row>
    <row r="367" spans="1:10" x14ac:dyDescent="0.35">
      <c r="A367" t="s">
        <v>14</v>
      </c>
      <c r="B367">
        <v>101</v>
      </c>
      <c r="C367">
        <v>34690</v>
      </c>
      <c r="D367" t="s">
        <v>18</v>
      </c>
      <c r="E367">
        <v>16.989999999999998</v>
      </c>
      <c r="F367">
        <v>7.7</v>
      </c>
      <c r="G367">
        <v>46191</v>
      </c>
      <c r="H367" t="s">
        <v>960</v>
      </c>
      <c r="I367">
        <v>457.99130434782614</v>
      </c>
      <c r="J367">
        <v>31</v>
      </c>
    </row>
    <row r="368" spans="1:10" x14ac:dyDescent="0.35">
      <c r="A368" t="s">
        <v>635</v>
      </c>
      <c r="B368">
        <v>105</v>
      </c>
      <c r="C368">
        <v>34727</v>
      </c>
      <c r="D368" t="s">
        <v>675</v>
      </c>
      <c r="E368">
        <v>30.49</v>
      </c>
      <c r="F368">
        <v>23.32</v>
      </c>
      <c r="G368">
        <v>46188</v>
      </c>
      <c r="H368" t="s">
        <v>309</v>
      </c>
      <c r="I368">
        <v>91.47</v>
      </c>
      <c r="J368">
        <v>3</v>
      </c>
    </row>
    <row r="369" spans="1:10" x14ac:dyDescent="0.35">
      <c r="A369" t="s">
        <v>635</v>
      </c>
      <c r="B369">
        <v>105</v>
      </c>
      <c r="C369">
        <v>34727</v>
      </c>
      <c r="D369" t="s">
        <v>675</v>
      </c>
      <c r="E369">
        <v>30.49</v>
      </c>
      <c r="F369">
        <v>23.32</v>
      </c>
      <c r="G369">
        <v>46189</v>
      </c>
      <c r="H369" t="s">
        <v>310</v>
      </c>
      <c r="I369">
        <v>182.94</v>
      </c>
      <c r="J369">
        <v>6</v>
      </c>
    </row>
    <row r="370" spans="1:10" x14ac:dyDescent="0.35">
      <c r="A370" t="s">
        <v>635</v>
      </c>
      <c r="B370">
        <v>105</v>
      </c>
      <c r="C370">
        <v>34727</v>
      </c>
      <c r="D370" t="s">
        <v>675</v>
      </c>
      <c r="E370">
        <v>30.49</v>
      </c>
      <c r="F370">
        <v>23.32</v>
      </c>
      <c r="G370">
        <v>46190</v>
      </c>
      <c r="H370" t="s">
        <v>316</v>
      </c>
      <c r="I370">
        <v>60.98</v>
      </c>
      <c r="J370">
        <v>2</v>
      </c>
    </row>
    <row r="371" spans="1:10" x14ac:dyDescent="0.35">
      <c r="A371" t="s">
        <v>635</v>
      </c>
      <c r="B371">
        <v>105</v>
      </c>
      <c r="C371">
        <v>34727</v>
      </c>
      <c r="D371" t="s">
        <v>675</v>
      </c>
      <c r="E371">
        <v>30.49</v>
      </c>
      <c r="F371">
        <v>23.32</v>
      </c>
      <c r="G371">
        <v>46191</v>
      </c>
      <c r="H371" t="s">
        <v>960</v>
      </c>
      <c r="I371">
        <v>121.96</v>
      </c>
      <c r="J371">
        <v>4</v>
      </c>
    </row>
    <row r="372" spans="1:10" x14ac:dyDescent="0.35">
      <c r="A372" t="s">
        <v>476</v>
      </c>
      <c r="B372">
        <v>109</v>
      </c>
      <c r="C372">
        <v>34931</v>
      </c>
      <c r="D372" t="s">
        <v>676</v>
      </c>
      <c r="E372">
        <v>9.99</v>
      </c>
      <c r="F372">
        <v>5.7391666666666667</v>
      </c>
      <c r="G372">
        <v>46188</v>
      </c>
      <c r="H372" t="s">
        <v>309</v>
      </c>
      <c r="I372">
        <v>34.747826086956522</v>
      </c>
      <c r="J372">
        <v>4</v>
      </c>
    </row>
    <row r="373" spans="1:10" x14ac:dyDescent="0.35">
      <c r="A373" t="s">
        <v>476</v>
      </c>
      <c r="B373">
        <v>109</v>
      </c>
      <c r="C373">
        <v>34931</v>
      </c>
      <c r="D373" t="s">
        <v>676</v>
      </c>
      <c r="E373">
        <v>9.99</v>
      </c>
      <c r="F373">
        <v>5.7391666666666667</v>
      </c>
      <c r="G373">
        <v>46189</v>
      </c>
      <c r="H373" t="s">
        <v>310</v>
      </c>
      <c r="I373">
        <v>8.6869565217391305</v>
      </c>
      <c r="J373">
        <v>1</v>
      </c>
    </row>
    <row r="374" spans="1:10" x14ac:dyDescent="0.35">
      <c r="A374" t="s">
        <v>476</v>
      </c>
      <c r="B374">
        <v>109</v>
      </c>
      <c r="C374">
        <v>34931</v>
      </c>
      <c r="D374" t="s">
        <v>676</v>
      </c>
      <c r="E374">
        <v>9.99</v>
      </c>
      <c r="F374">
        <v>5.7391666666666667</v>
      </c>
      <c r="G374">
        <v>46190</v>
      </c>
      <c r="H374" t="s">
        <v>316</v>
      </c>
      <c r="I374">
        <v>17.373913043478261</v>
      </c>
      <c r="J374">
        <v>2</v>
      </c>
    </row>
    <row r="375" spans="1:10" x14ac:dyDescent="0.35">
      <c r="A375" t="s">
        <v>476</v>
      </c>
      <c r="B375">
        <v>109</v>
      </c>
      <c r="C375">
        <v>34931</v>
      </c>
      <c r="D375" t="s">
        <v>676</v>
      </c>
      <c r="E375">
        <v>9.99</v>
      </c>
      <c r="F375">
        <v>5.7391666666666667</v>
      </c>
      <c r="G375">
        <v>46191</v>
      </c>
      <c r="H375" t="s">
        <v>960</v>
      </c>
      <c r="I375">
        <v>34.747826086956522</v>
      </c>
      <c r="J375">
        <v>4</v>
      </c>
    </row>
    <row r="376" spans="1:10" x14ac:dyDescent="0.35">
      <c r="A376" t="s">
        <v>476</v>
      </c>
      <c r="B376">
        <v>109</v>
      </c>
      <c r="C376">
        <v>34932</v>
      </c>
      <c r="D376" t="s">
        <v>677</v>
      </c>
      <c r="E376">
        <v>9.99</v>
      </c>
      <c r="F376">
        <v>5.7391666666666667</v>
      </c>
      <c r="G376">
        <v>46188</v>
      </c>
      <c r="H376" t="s">
        <v>309</v>
      </c>
      <c r="I376">
        <v>8.6869565217391305</v>
      </c>
      <c r="J376">
        <v>1</v>
      </c>
    </row>
    <row r="377" spans="1:10" x14ac:dyDescent="0.35">
      <c r="A377" t="s">
        <v>476</v>
      </c>
      <c r="B377">
        <v>109</v>
      </c>
      <c r="C377">
        <v>34932</v>
      </c>
      <c r="D377" t="s">
        <v>677</v>
      </c>
      <c r="E377">
        <v>9.99</v>
      </c>
      <c r="F377">
        <v>5.7391666666666667</v>
      </c>
      <c r="G377">
        <v>46189</v>
      </c>
      <c r="H377" t="s">
        <v>310</v>
      </c>
      <c r="I377">
        <v>26.060869565217391</v>
      </c>
      <c r="J377">
        <v>3</v>
      </c>
    </row>
    <row r="378" spans="1:10" x14ac:dyDescent="0.35">
      <c r="A378" t="s">
        <v>476</v>
      </c>
      <c r="B378">
        <v>109</v>
      </c>
      <c r="C378">
        <v>34932</v>
      </c>
      <c r="D378" t="s">
        <v>677</v>
      </c>
      <c r="E378">
        <v>9.99</v>
      </c>
      <c r="F378">
        <v>5.7391666666666667</v>
      </c>
      <c r="G378">
        <v>46190</v>
      </c>
      <c r="H378" t="s">
        <v>316</v>
      </c>
      <c r="I378">
        <v>8.6869565217391305</v>
      </c>
      <c r="J378">
        <v>1</v>
      </c>
    </row>
    <row r="379" spans="1:10" x14ac:dyDescent="0.35">
      <c r="A379" t="s">
        <v>476</v>
      </c>
      <c r="B379">
        <v>109</v>
      </c>
      <c r="C379">
        <v>34932</v>
      </c>
      <c r="D379" t="s">
        <v>677</v>
      </c>
      <c r="E379">
        <v>9.99</v>
      </c>
      <c r="F379">
        <v>5.7391666666666667</v>
      </c>
      <c r="G379">
        <v>46191</v>
      </c>
      <c r="H379" t="s">
        <v>960</v>
      </c>
      <c r="I379">
        <v>17.373913043478261</v>
      </c>
      <c r="J379">
        <v>2</v>
      </c>
    </row>
    <row r="380" spans="1:10" x14ac:dyDescent="0.35">
      <c r="A380" t="s">
        <v>476</v>
      </c>
      <c r="B380">
        <v>109</v>
      </c>
      <c r="C380">
        <v>34934</v>
      </c>
      <c r="D380" t="s">
        <v>678</v>
      </c>
      <c r="E380">
        <v>9.99</v>
      </c>
      <c r="F380">
        <v>5.7391666666666667</v>
      </c>
      <c r="G380">
        <v>46188</v>
      </c>
      <c r="H380" t="s">
        <v>309</v>
      </c>
      <c r="I380">
        <v>34.747826086956522</v>
      </c>
      <c r="J380">
        <v>4</v>
      </c>
    </row>
    <row r="381" spans="1:10" x14ac:dyDescent="0.35">
      <c r="A381" t="s">
        <v>476</v>
      </c>
      <c r="B381">
        <v>109</v>
      </c>
      <c r="C381">
        <v>34934</v>
      </c>
      <c r="D381" t="s">
        <v>678</v>
      </c>
      <c r="E381">
        <v>9.99</v>
      </c>
      <c r="F381">
        <v>5.7391666666666667</v>
      </c>
      <c r="G381">
        <v>46189</v>
      </c>
      <c r="H381" t="s">
        <v>310</v>
      </c>
      <c r="I381">
        <v>52.121739130434783</v>
      </c>
      <c r="J381">
        <v>6</v>
      </c>
    </row>
    <row r="382" spans="1:10" x14ac:dyDescent="0.35">
      <c r="A382" t="s">
        <v>476</v>
      </c>
      <c r="B382">
        <v>109</v>
      </c>
      <c r="C382">
        <v>34934</v>
      </c>
      <c r="D382" t="s">
        <v>678</v>
      </c>
      <c r="E382">
        <v>9.99</v>
      </c>
      <c r="F382">
        <v>5.7391666666666667</v>
      </c>
      <c r="G382">
        <v>46190</v>
      </c>
      <c r="H382" t="s">
        <v>316</v>
      </c>
      <c r="I382">
        <v>17.373913043478261</v>
      </c>
      <c r="J382">
        <v>2</v>
      </c>
    </row>
    <row r="383" spans="1:10" x14ac:dyDescent="0.35">
      <c r="A383" t="s">
        <v>476</v>
      </c>
      <c r="B383">
        <v>109</v>
      </c>
      <c r="C383">
        <v>34934</v>
      </c>
      <c r="D383" t="s">
        <v>678</v>
      </c>
      <c r="E383">
        <v>9.99</v>
      </c>
      <c r="F383">
        <v>5.7391666666666667</v>
      </c>
      <c r="G383">
        <v>46191</v>
      </c>
      <c r="H383" t="s">
        <v>960</v>
      </c>
      <c r="I383">
        <v>26.060869565217391</v>
      </c>
      <c r="J383">
        <v>3</v>
      </c>
    </row>
    <row r="384" spans="1:10" x14ac:dyDescent="0.35">
      <c r="A384" t="s">
        <v>476</v>
      </c>
      <c r="B384">
        <v>109</v>
      </c>
      <c r="C384">
        <v>34935</v>
      </c>
      <c r="D384" t="s">
        <v>679</v>
      </c>
      <c r="E384">
        <v>9.99</v>
      </c>
      <c r="F384">
        <v>5.7391666666666667</v>
      </c>
      <c r="G384">
        <v>46188</v>
      </c>
      <c r="H384" t="s">
        <v>309</v>
      </c>
      <c r="I384">
        <v>17.373913043478261</v>
      </c>
      <c r="J384">
        <v>2</v>
      </c>
    </row>
    <row r="385" spans="1:10" x14ac:dyDescent="0.35">
      <c r="A385" t="s">
        <v>476</v>
      </c>
      <c r="B385">
        <v>109</v>
      </c>
      <c r="C385">
        <v>34935</v>
      </c>
      <c r="D385" t="s">
        <v>679</v>
      </c>
      <c r="E385">
        <v>9.99</v>
      </c>
      <c r="F385">
        <v>5.7391666666666667</v>
      </c>
      <c r="G385">
        <v>46189</v>
      </c>
      <c r="H385" t="s">
        <v>310</v>
      </c>
      <c r="I385">
        <v>8.6869565217391305</v>
      </c>
      <c r="J385">
        <v>1</v>
      </c>
    </row>
    <row r="386" spans="1:10" x14ac:dyDescent="0.35">
      <c r="A386" t="s">
        <v>476</v>
      </c>
      <c r="B386">
        <v>109</v>
      </c>
      <c r="C386">
        <v>34935</v>
      </c>
      <c r="D386" t="s">
        <v>679</v>
      </c>
      <c r="E386">
        <v>9.99</v>
      </c>
      <c r="F386">
        <v>5.7391666666666667</v>
      </c>
      <c r="G386">
        <v>46190</v>
      </c>
      <c r="H386" t="s">
        <v>316</v>
      </c>
      <c r="I386">
        <v>17.373913043478261</v>
      </c>
      <c r="J386">
        <v>2</v>
      </c>
    </row>
    <row r="387" spans="1:10" x14ac:dyDescent="0.35">
      <c r="A387" t="s">
        <v>476</v>
      </c>
      <c r="B387">
        <v>109</v>
      </c>
      <c r="C387">
        <v>34935</v>
      </c>
      <c r="D387" t="s">
        <v>679</v>
      </c>
      <c r="E387">
        <v>9.99</v>
      </c>
      <c r="F387">
        <v>5.7391666666666667</v>
      </c>
      <c r="G387">
        <v>46191</v>
      </c>
      <c r="H387" t="s">
        <v>960</v>
      </c>
      <c r="I387">
        <v>26.060869565217391</v>
      </c>
      <c r="J387">
        <v>3</v>
      </c>
    </row>
    <row r="388" spans="1:10" x14ac:dyDescent="0.35">
      <c r="A388" t="s">
        <v>680</v>
      </c>
      <c r="B388">
        <v>108</v>
      </c>
      <c r="C388">
        <v>35048</v>
      </c>
      <c r="D388" t="s">
        <v>685</v>
      </c>
      <c r="E388">
        <v>85.99</v>
      </c>
      <c r="F388">
        <v>45.3</v>
      </c>
      <c r="G388">
        <v>46188</v>
      </c>
      <c r="H388" t="s">
        <v>309</v>
      </c>
      <c r="I388">
        <v>74.77391304347826</v>
      </c>
      <c r="J388">
        <v>1</v>
      </c>
    </row>
    <row r="389" spans="1:10" x14ac:dyDescent="0.35">
      <c r="A389" t="s">
        <v>680</v>
      </c>
      <c r="B389">
        <v>108</v>
      </c>
      <c r="C389">
        <v>38809</v>
      </c>
      <c r="D389" t="s">
        <v>691</v>
      </c>
      <c r="E389">
        <v>85.99</v>
      </c>
      <c r="F389">
        <v>45.3</v>
      </c>
      <c r="G389">
        <v>46188</v>
      </c>
      <c r="H389" t="s">
        <v>309</v>
      </c>
      <c r="I389">
        <v>74.77391304347826</v>
      </c>
      <c r="J389">
        <v>1</v>
      </c>
    </row>
    <row r="390" spans="1:10" x14ac:dyDescent="0.35">
      <c r="A390" t="s">
        <v>14</v>
      </c>
      <c r="B390">
        <v>102</v>
      </c>
      <c r="C390">
        <v>38977</v>
      </c>
      <c r="D390" t="s">
        <v>95</v>
      </c>
      <c r="E390">
        <v>18.989999999999998</v>
      </c>
      <c r="F390">
        <v>9.6999999999999993</v>
      </c>
      <c r="G390">
        <v>46188</v>
      </c>
      <c r="H390" t="s">
        <v>309</v>
      </c>
      <c r="I390">
        <v>132.10434782608695</v>
      </c>
      <c r="J390">
        <v>8</v>
      </c>
    </row>
    <row r="391" spans="1:10" x14ac:dyDescent="0.35">
      <c r="A391" t="s">
        <v>14</v>
      </c>
      <c r="B391">
        <v>102</v>
      </c>
      <c r="C391">
        <v>38977</v>
      </c>
      <c r="D391" t="s">
        <v>95</v>
      </c>
      <c r="E391">
        <v>18.989999999999998</v>
      </c>
      <c r="F391">
        <v>9.6999999999999993</v>
      </c>
      <c r="G391">
        <v>46189</v>
      </c>
      <c r="H391" t="s">
        <v>310</v>
      </c>
      <c r="I391">
        <v>132.10434782608695</v>
      </c>
      <c r="J391">
        <v>8</v>
      </c>
    </row>
    <row r="392" spans="1:10" x14ac:dyDescent="0.35">
      <c r="A392" t="s">
        <v>14</v>
      </c>
      <c r="B392">
        <v>102</v>
      </c>
      <c r="C392">
        <v>38977</v>
      </c>
      <c r="D392" t="s">
        <v>95</v>
      </c>
      <c r="E392">
        <v>18.989999999999998</v>
      </c>
      <c r="F392">
        <v>9.6999999999999993</v>
      </c>
      <c r="G392">
        <v>46190</v>
      </c>
      <c r="H392" t="s">
        <v>316</v>
      </c>
      <c r="I392">
        <v>132.10434782608695</v>
      </c>
      <c r="J392">
        <v>8</v>
      </c>
    </row>
    <row r="393" spans="1:10" x14ac:dyDescent="0.35">
      <c r="A393" t="s">
        <v>14</v>
      </c>
      <c r="B393">
        <v>102</v>
      </c>
      <c r="C393">
        <v>38977</v>
      </c>
      <c r="D393" t="s">
        <v>95</v>
      </c>
      <c r="E393">
        <v>18.989999999999998</v>
      </c>
      <c r="F393">
        <v>9.6999999999999993</v>
      </c>
      <c r="G393">
        <v>46191</v>
      </c>
      <c r="H393" t="s">
        <v>960</v>
      </c>
      <c r="I393">
        <v>115.5913043478261</v>
      </c>
      <c r="J393">
        <v>7</v>
      </c>
    </row>
    <row r="394" spans="1:10" x14ac:dyDescent="0.35">
      <c r="A394" t="s">
        <v>14</v>
      </c>
      <c r="B394">
        <v>102</v>
      </c>
      <c r="C394">
        <v>39422</v>
      </c>
      <c r="D394" t="s">
        <v>120</v>
      </c>
      <c r="E394">
        <v>15.99</v>
      </c>
      <c r="F394">
        <v>8.3000000000000007</v>
      </c>
      <c r="G394">
        <v>46188</v>
      </c>
      <c r="H394" t="s">
        <v>309</v>
      </c>
      <c r="I394">
        <v>13.904347826086957</v>
      </c>
      <c r="J394">
        <v>1</v>
      </c>
    </row>
    <row r="395" spans="1:10" x14ac:dyDescent="0.35">
      <c r="A395" t="s">
        <v>14</v>
      </c>
      <c r="B395">
        <v>102</v>
      </c>
      <c r="C395">
        <v>39422</v>
      </c>
      <c r="D395" t="s">
        <v>120</v>
      </c>
      <c r="E395">
        <v>15.99</v>
      </c>
      <c r="F395">
        <v>8.3000000000000007</v>
      </c>
      <c r="G395">
        <v>46189</v>
      </c>
      <c r="H395" t="s">
        <v>310</v>
      </c>
      <c r="I395">
        <v>13.904347826086957</v>
      </c>
      <c r="J395">
        <v>1</v>
      </c>
    </row>
    <row r="396" spans="1:10" x14ac:dyDescent="0.35">
      <c r="A396" t="s">
        <v>14</v>
      </c>
      <c r="B396">
        <v>118</v>
      </c>
      <c r="C396">
        <v>40305</v>
      </c>
      <c r="D396" t="s">
        <v>257</v>
      </c>
      <c r="E396">
        <v>9.99</v>
      </c>
      <c r="F396">
        <v>4.53</v>
      </c>
      <c r="G396">
        <v>46188</v>
      </c>
      <c r="H396" t="s">
        <v>309</v>
      </c>
      <c r="I396">
        <v>17.373913043478261</v>
      </c>
      <c r="J396">
        <v>2</v>
      </c>
    </row>
    <row r="397" spans="1:10" x14ac:dyDescent="0.35">
      <c r="A397" t="s">
        <v>14</v>
      </c>
      <c r="B397">
        <v>118</v>
      </c>
      <c r="C397">
        <v>40305</v>
      </c>
      <c r="D397" t="s">
        <v>257</v>
      </c>
      <c r="E397">
        <v>9.99</v>
      </c>
      <c r="F397">
        <v>4.53</v>
      </c>
      <c r="G397">
        <v>46189</v>
      </c>
      <c r="H397" t="s">
        <v>310</v>
      </c>
      <c r="I397">
        <v>86.869565217391312</v>
      </c>
      <c r="J397">
        <v>10</v>
      </c>
    </row>
    <row r="398" spans="1:10" x14ac:dyDescent="0.35">
      <c r="A398" t="s">
        <v>14</v>
      </c>
      <c r="B398">
        <v>118</v>
      </c>
      <c r="C398">
        <v>40305</v>
      </c>
      <c r="D398" t="s">
        <v>257</v>
      </c>
      <c r="E398">
        <v>9.99</v>
      </c>
      <c r="F398">
        <v>4.53</v>
      </c>
      <c r="G398">
        <v>46190</v>
      </c>
      <c r="H398" t="s">
        <v>316</v>
      </c>
      <c r="I398">
        <v>8.6869565217391305</v>
      </c>
      <c r="J398">
        <v>1</v>
      </c>
    </row>
    <row r="399" spans="1:10" x14ac:dyDescent="0.35">
      <c r="A399" t="s">
        <v>14</v>
      </c>
      <c r="B399">
        <v>117</v>
      </c>
      <c r="C399">
        <v>41620</v>
      </c>
      <c r="D399" t="s">
        <v>255</v>
      </c>
      <c r="E399">
        <v>15.99</v>
      </c>
      <c r="F399">
        <v>8.11</v>
      </c>
      <c r="G399">
        <v>46190</v>
      </c>
      <c r="H399" t="s">
        <v>316</v>
      </c>
      <c r="I399">
        <v>13.904347826086957</v>
      </c>
      <c r="J399">
        <v>1</v>
      </c>
    </row>
    <row r="400" spans="1:10" x14ac:dyDescent="0.35">
      <c r="A400" t="s">
        <v>14</v>
      </c>
      <c r="B400">
        <v>101</v>
      </c>
      <c r="C400">
        <v>42401</v>
      </c>
      <c r="D400" t="s">
        <v>38</v>
      </c>
      <c r="E400">
        <v>14.99</v>
      </c>
      <c r="F400">
        <v>6.62</v>
      </c>
      <c r="G400">
        <v>46189</v>
      </c>
      <c r="H400" t="s">
        <v>310</v>
      </c>
      <c r="I400">
        <v>130.34782608695653</v>
      </c>
      <c r="J400">
        <v>10</v>
      </c>
    </row>
    <row r="401" spans="1:10" x14ac:dyDescent="0.35">
      <c r="A401" t="s">
        <v>14</v>
      </c>
      <c r="B401">
        <v>101</v>
      </c>
      <c r="C401">
        <v>42401</v>
      </c>
      <c r="D401" t="s">
        <v>38</v>
      </c>
      <c r="E401">
        <v>14.99</v>
      </c>
      <c r="F401">
        <v>6.62</v>
      </c>
      <c r="G401">
        <v>46190</v>
      </c>
      <c r="H401" t="s">
        <v>316</v>
      </c>
      <c r="I401">
        <v>37.799999999999997</v>
      </c>
      <c r="J401">
        <v>3</v>
      </c>
    </row>
    <row r="402" spans="1:10" x14ac:dyDescent="0.35">
      <c r="A402" t="s">
        <v>14</v>
      </c>
      <c r="B402">
        <v>101</v>
      </c>
      <c r="C402">
        <v>42401</v>
      </c>
      <c r="D402" t="s">
        <v>38</v>
      </c>
      <c r="E402">
        <v>14.99</v>
      </c>
      <c r="F402">
        <v>6.62</v>
      </c>
      <c r="G402">
        <v>46191</v>
      </c>
      <c r="H402" t="s">
        <v>960</v>
      </c>
      <c r="I402">
        <v>65.173913043478265</v>
      </c>
      <c r="J402">
        <v>5</v>
      </c>
    </row>
    <row r="403" spans="1:10" x14ac:dyDescent="0.35">
      <c r="A403" t="s">
        <v>724</v>
      </c>
      <c r="B403">
        <v>112</v>
      </c>
      <c r="C403">
        <v>42767</v>
      </c>
      <c r="D403" t="s">
        <v>734</v>
      </c>
      <c r="E403">
        <v>79.989999999999995</v>
      </c>
      <c r="F403">
        <v>49.382599999999996</v>
      </c>
      <c r="G403">
        <v>46190</v>
      </c>
      <c r="H403" t="s">
        <v>316</v>
      </c>
      <c r="I403">
        <v>139.11304347826086</v>
      </c>
      <c r="J403">
        <v>2</v>
      </c>
    </row>
    <row r="404" spans="1:10" x14ac:dyDescent="0.35">
      <c r="A404" t="s">
        <v>724</v>
      </c>
      <c r="B404">
        <v>112</v>
      </c>
      <c r="C404">
        <v>42767</v>
      </c>
      <c r="D404" t="s">
        <v>734</v>
      </c>
      <c r="E404">
        <v>79.989999999999995</v>
      </c>
      <c r="F404">
        <v>49.382599999999996</v>
      </c>
      <c r="G404">
        <v>46191</v>
      </c>
      <c r="H404" t="s">
        <v>960</v>
      </c>
      <c r="I404">
        <v>208.66956521739129</v>
      </c>
      <c r="J404">
        <v>3</v>
      </c>
    </row>
    <row r="405" spans="1:10" x14ac:dyDescent="0.35">
      <c r="A405" t="s">
        <v>724</v>
      </c>
      <c r="B405">
        <v>112</v>
      </c>
      <c r="C405">
        <v>42768</v>
      </c>
      <c r="D405" t="s">
        <v>735</v>
      </c>
      <c r="E405">
        <v>169.99</v>
      </c>
      <c r="F405">
        <v>104.9478</v>
      </c>
      <c r="G405">
        <v>46190</v>
      </c>
      <c r="H405" t="s">
        <v>316</v>
      </c>
      <c r="I405">
        <v>147.81739130434784</v>
      </c>
      <c r="J405">
        <v>1</v>
      </c>
    </row>
    <row r="406" spans="1:10" x14ac:dyDescent="0.35">
      <c r="A406" t="s">
        <v>724</v>
      </c>
      <c r="B406">
        <v>112</v>
      </c>
      <c r="C406">
        <v>42769</v>
      </c>
      <c r="D406" t="s">
        <v>736</v>
      </c>
      <c r="E406">
        <v>67.989999999999995</v>
      </c>
      <c r="F406">
        <v>41.9739</v>
      </c>
      <c r="G406">
        <v>46188</v>
      </c>
      <c r="H406" t="s">
        <v>309</v>
      </c>
      <c r="I406">
        <v>59.121739130434776</v>
      </c>
      <c r="J406">
        <v>1</v>
      </c>
    </row>
    <row r="407" spans="1:10" x14ac:dyDescent="0.35">
      <c r="A407" t="s">
        <v>371</v>
      </c>
      <c r="B407">
        <v>102</v>
      </c>
      <c r="C407">
        <v>42797</v>
      </c>
      <c r="D407" t="s">
        <v>99</v>
      </c>
      <c r="E407">
        <v>11.99</v>
      </c>
      <c r="F407">
        <v>4.968</v>
      </c>
      <c r="G407">
        <v>46188</v>
      </c>
      <c r="H407" t="s">
        <v>309</v>
      </c>
      <c r="I407">
        <v>125.11304347826086</v>
      </c>
      <c r="J407">
        <v>12</v>
      </c>
    </row>
    <row r="408" spans="1:10" x14ac:dyDescent="0.35">
      <c r="A408" t="s">
        <v>371</v>
      </c>
      <c r="B408">
        <v>102</v>
      </c>
      <c r="C408">
        <v>42797</v>
      </c>
      <c r="D408" t="s">
        <v>99</v>
      </c>
      <c r="E408">
        <v>11.99</v>
      </c>
      <c r="F408">
        <v>4.968</v>
      </c>
      <c r="G408">
        <v>46189</v>
      </c>
      <c r="H408" t="s">
        <v>310</v>
      </c>
      <c r="I408">
        <v>72.982608695652175</v>
      </c>
      <c r="J408">
        <v>7</v>
      </c>
    </row>
    <row r="409" spans="1:10" x14ac:dyDescent="0.35">
      <c r="A409" t="s">
        <v>371</v>
      </c>
      <c r="B409">
        <v>102</v>
      </c>
      <c r="C409">
        <v>42797</v>
      </c>
      <c r="D409" t="s">
        <v>99</v>
      </c>
      <c r="E409">
        <v>11.99</v>
      </c>
      <c r="F409">
        <v>4.968</v>
      </c>
      <c r="G409">
        <v>46190</v>
      </c>
      <c r="H409" t="s">
        <v>316</v>
      </c>
      <c r="I409">
        <v>83.408695652173918</v>
      </c>
      <c r="J409">
        <v>8</v>
      </c>
    </row>
    <row r="410" spans="1:10" x14ac:dyDescent="0.35">
      <c r="A410" t="s">
        <v>371</v>
      </c>
      <c r="B410">
        <v>102</v>
      </c>
      <c r="C410">
        <v>42797</v>
      </c>
      <c r="D410" t="s">
        <v>99</v>
      </c>
      <c r="E410">
        <v>11.99</v>
      </c>
      <c r="F410">
        <v>4.968</v>
      </c>
      <c r="G410">
        <v>46191</v>
      </c>
      <c r="H410" t="s">
        <v>960</v>
      </c>
      <c r="I410">
        <v>104.26086956521739</v>
      </c>
      <c r="J410">
        <v>10</v>
      </c>
    </row>
    <row r="411" spans="1:10" x14ac:dyDescent="0.35">
      <c r="A411" t="s">
        <v>724</v>
      </c>
      <c r="B411">
        <v>112</v>
      </c>
      <c r="C411">
        <v>42871</v>
      </c>
      <c r="D411" t="s">
        <v>748</v>
      </c>
      <c r="E411">
        <v>96.99</v>
      </c>
      <c r="F411">
        <v>59.8782</v>
      </c>
      <c r="G411">
        <v>46190</v>
      </c>
      <c r="H411" t="s">
        <v>316</v>
      </c>
      <c r="I411">
        <v>168.67826086956521</v>
      </c>
      <c r="J411">
        <v>2</v>
      </c>
    </row>
    <row r="412" spans="1:10" x14ac:dyDescent="0.35">
      <c r="A412" t="s">
        <v>724</v>
      </c>
      <c r="B412">
        <v>112</v>
      </c>
      <c r="C412">
        <v>42871</v>
      </c>
      <c r="D412" t="s">
        <v>748</v>
      </c>
      <c r="E412">
        <v>96.99</v>
      </c>
      <c r="F412">
        <v>59.8782</v>
      </c>
      <c r="G412">
        <v>46191</v>
      </c>
      <c r="H412" t="s">
        <v>960</v>
      </c>
      <c r="I412">
        <v>84.339130434782604</v>
      </c>
      <c r="J412">
        <v>1</v>
      </c>
    </row>
    <row r="413" spans="1:10" x14ac:dyDescent="0.35">
      <c r="A413" t="s">
        <v>724</v>
      </c>
      <c r="B413">
        <v>112</v>
      </c>
      <c r="C413">
        <v>42873</v>
      </c>
      <c r="D413" t="s">
        <v>749</v>
      </c>
      <c r="E413">
        <v>44.99</v>
      </c>
      <c r="F413">
        <v>27.773900000000001</v>
      </c>
      <c r="G413">
        <v>46190</v>
      </c>
      <c r="H413" t="s">
        <v>316</v>
      </c>
      <c r="I413">
        <v>117.36521739130436</v>
      </c>
      <c r="J413">
        <v>3</v>
      </c>
    </row>
    <row r="414" spans="1:10" x14ac:dyDescent="0.35">
      <c r="A414" t="s">
        <v>724</v>
      </c>
      <c r="B414">
        <v>112</v>
      </c>
      <c r="C414">
        <v>42875</v>
      </c>
      <c r="D414" t="s">
        <v>750</v>
      </c>
      <c r="E414">
        <v>169.99</v>
      </c>
      <c r="F414">
        <v>104.9478</v>
      </c>
      <c r="G414">
        <v>46191</v>
      </c>
      <c r="H414" t="s">
        <v>960</v>
      </c>
      <c r="I414">
        <v>147.81739130434784</v>
      </c>
      <c r="J414">
        <v>1</v>
      </c>
    </row>
    <row r="415" spans="1:10" x14ac:dyDescent="0.35">
      <c r="A415" t="s">
        <v>724</v>
      </c>
      <c r="B415">
        <v>112</v>
      </c>
      <c r="C415">
        <v>42883</v>
      </c>
      <c r="D415" t="s">
        <v>751</v>
      </c>
      <c r="E415">
        <v>154.99</v>
      </c>
      <c r="F415">
        <v>95.686899999999994</v>
      </c>
      <c r="G415">
        <v>46190</v>
      </c>
      <c r="H415" t="s">
        <v>316</v>
      </c>
      <c r="I415">
        <v>943.41739130434792</v>
      </c>
      <c r="J415">
        <v>7</v>
      </c>
    </row>
    <row r="416" spans="1:10" x14ac:dyDescent="0.35">
      <c r="A416" t="s">
        <v>724</v>
      </c>
      <c r="B416">
        <v>112</v>
      </c>
      <c r="C416">
        <v>42899</v>
      </c>
      <c r="D416" t="s">
        <v>754</v>
      </c>
      <c r="E416">
        <v>61.99</v>
      </c>
      <c r="F416">
        <v>38.269500000000001</v>
      </c>
      <c r="G416">
        <v>46190</v>
      </c>
      <c r="H416" t="s">
        <v>316</v>
      </c>
      <c r="I416">
        <v>107.80869565217392</v>
      </c>
      <c r="J416">
        <v>2</v>
      </c>
    </row>
    <row r="417" spans="1:10" x14ac:dyDescent="0.35">
      <c r="A417" t="s">
        <v>724</v>
      </c>
      <c r="B417">
        <v>112</v>
      </c>
      <c r="C417">
        <v>42899</v>
      </c>
      <c r="D417" t="s">
        <v>754</v>
      </c>
      <c r="E417">
        <v>61.99</v>
      </c>
      <c r="F417">
        <v>38.269500000000001</v>
      </c>
      <c r="G417">
        <v>46191</v>
      </c>
      <c r="H417" t="s">
        <v>960</v>
      </c>
      <c r="I417">
        <v>53.904347826086962</v>
      </c>
      <c r="J417">
        <v>1</v>
      </c>
    </row>
    <row r="418" spans="1:10" x14ac:dyDescent="0.35">
      <c r="A418" t="s">
        <v>724</v>
      </c>
      <c r="B418">
        <v>112</v>
      </c>
      <c r="C418">
        <v>42901</v>
      </c>
      <c r="D418" t="s">
        <v>756</v>
      </c>
      <c r="E418">
        <v>67.989999999999995</v>
      </c>
      <c r="F418">
        <v>41.9739</v>
      </c>
      <c r="G418">
        <v>46190</v>
      </c>
      <c r="H418" t="s">
        <v>316</v>
      </c>
      <c r="I418">
        <v>354.73043478260871</v>
      </c>
      <c r="J418">
        <v>6</v>
      </c>
    </row>
    <row r="419" spans="1:10" x14ac:dyDescent="0.35">
      <c r="A419" t="s">
        <v>724</v>
      </c>
      <c r="B419">
        <v>112</v>
      </c>
      <c r="C419">
        <v>42906</v>
      </c>
      <c r="D419" t="s">
        <v>758</v>
      </c>
      <c r="E419">
        <v>65.989999999999995</v>
      </c>
      <c r="F419">
        <v>40.739100000000001</v>
      </c>
      <c r="G419">
        <v>46190</v>
      </c>
      <c r="H419" t="s">
        <v>316</v>
      </c>
      <c r="I419">
        <v>114.76521739130433</v>
      </c>
      <c r="J419">
        <v>2</v>
      </c>
    </row>
    <row r="420" spans="1:10" x14ac:dyDescent="0.35">
      <c r="A420" t="s">
        <v>724</v>
      </c>
      <c r="B420">
        <v>112</v>
      </c>
      <c r="C420">
        <v>42909</v>
      </c>
      <c r="D420" t="s">
        <v>761</v>
      </c>
      <c r="E420">
        <v>64.989999999999995</v>
      </c>
      <c r="F420">
        <v>40.121699999999997</v>
      </c>
      <c r="G420">
        <v>46191</v>
      </c>
      <c r="H420" t="s">
        <v>960</v>
      </c>
      <c r="I420">
        <v>56.513043478260869</v>
      </c>
      <c r="J420">
        <v>1</v>
      </c>
    </row>
    <row r="421" spans="1:10" x14ac:dyDescent="0.35">
      <c r="A421" t="s">
        <v>724</v>
      </c>
      <c r="B421">
        <v>112</v>
      </c>
      <c r="C421">
        <v>42912</v>
      </c>
      <c r="D421" t="s">
        <v>764</v>
      </c>
      <c r="E421">
        <v>64.989999999999995</v>
      </c>
      <c r="F421">
        <v>40.121699999999997</v>
      </c>
      <c r="G421">
        <v>46190</v>
      </c>
      <c r="H421" t="s">
        <v>316</v>
      </c>
      <c r="I421">
        <v>56.513043478260869</v>
      </c>
      <c r="J421">
        <v>1</v>
      </c>
    </row>
    <row r="422" spans="1:10" x14ac:dyDescent="0.35">
      <c r="A422" t="s">
        <v>724</v>
      </c>
      <c r="B422">
        <v>112</v>
      </c>
      <c r="C422">
        <v>42920</v>
      </c>
      <c r="D422" t="s">
        <v>769</v>
      </c>
      <c r="E422">
        <v>106.99</v>
      </c>
      <c r="F422">
        <v>66.052099999999996</v>
      </c>
      <c r="G422">
        <v>46189</v>
      </c>
      <c r="H422" t="s">
        <v>310</v>
      </c>
      <c r="I422">
        <v>93.03478260869565</v>
      </c>
      <c r="J422">
        <v>1</v>
      </c>
    </row>
    <row r="423" spans="1:10" x14ac:dyDescent="0.35">
      <c r="A423" t="s">
        <v>724</v>
      </c>
      <c r="B423">
        <v>112</v>
      </c>
      <c r="C423">
        <v>42922</v>
      </c>
      <c r="D423" t="s">
        <v>279</v>
      </c>
      <c r="E423">
        <v>134.99</v>
      </c>
      <c r="F423">
        <v>83.339100000000002</v>
      </c>
      <c r="G423">
        <v>46189</v>
      </c>
      <c r="H423" t="s">
        <v>310</v>
      </c>
      <c r="I423">
        <v>117.38260869565218</v>
      </c>
      <c r="J423">
        <v>1</v>
      </c>
    </row>
    <row r="424" spans="1:10" x14ac:dyDescent="0.35">
      <c r="A424" t="s">
        <v>724</v>
      </c>
      <c r="B424">
        <v>112</v>
      </c>
      <c r="C424">
        <v>42924</v>
      </c>
      <c r="D424" t="s">
        <v>772</v>
      </c>
      <c r="E424">
        <v>103.99</v>
      </c>
      <c r="F424">
        <v>64.2</v>
      </c>
      <c r="G424">
        <v>46190</v>
      </c>
      <c r="H424" t="s">
        <v>316</v>
      </c>
      <c r="I424">
        <v>180.85217391304346</v>
      </c>
      <c r="J424">
        <v>2</v>
      </c>
    </row>
    <row r="425" spans="1:10" x14ac:dyDescent="0.35">
      <c r="A425" t="s">
        <v>724</v>
      </c>
      <c r="B425">
        <v>112</v>
      </c>
      <c r="C425">
        <v>42924</v>
      </c>
      <c r="D425" t="s">
        <v>772</v>
      </c>
      <c r="E425">
        <v>103.99</v>
      </c>
      <c r="F425">
        <v>64.2</v>
      </c>
      <c r="G425">
        <v>46191</v>
      </c>
      <c r="H425" t="s">
        <v>960</v>
      </c>
      <c r="I425">
        <v>90.426086956521729</v>
      </c>
      <c r="J425">
        <v>1</v>
      </c>
    </row>
    <row r="426" spans="1:10" x14ac:dyDescent="0.35">
      <c r="A426" t="s">
        <v>14</v>
      </c>
      <c r="B426">
        <v>102</v>
      </c>
      <c r="C426">
        <v>42990</v>
      </c>
      <c r="D426" t="s">
        <v>93</v>
      </c>
      <c r="E426">
        <v>19.989999999999998</v>
      </c>
      <c r="F426">
        <v>10.85</v>
      </c>
      <c r="G426">
        <v>46188</v>
      </c>
      <c r="H426" t="s">
        <v>309</v>
      </c>
      <c r="I426">
        <v>121.67826086956522</v>
      </c>
      <c r="J426">
        <v>7</v>
      </c>
    </row>
    <row r="427" spans="1:10" x14ac:dyDescent="0.35">
      <c r="A427" t="s">
        <v>14</v>
      </c>
      <c r="B427">
        <v>102</v>
      </c>
      <c r="C427">
        <v>42990</v>
      </c>
      <c r="D427" t="s">
        <v>93</v>
      </c>
      <c r="E427">
        <v>19.989999999999998</v>
      </c>
      <c r="F427">
        <v>10.85</v>
      </c>
      <c r="G427">
        <v>46189</v>
      </c>
      <c r="H427" t="s">
        <v>310</v>
      </c>
      <c r="I427">
        <v>173.82608695652175</v>
      </c>
      <c r="J427">
        <v>10</v>
      </c>
    </row>
    <row r="428" spans="1:10" x14ac:dyDescent="0.35">
      <c r="A428" t="s">
        <v>14</v>
      </c>
      <c r="B428">
        <v>102</v>
      </c>
      <c r="C428">
        <v>42990</v>
      </c>
      <c r="D428" t="s">
        <v>93</v>
      </c>
      <c r="E428">
        <v>19.989999999999998</v>
      </c>
      <c r="F428">
        <v>10.85</v>
      </c>
      <c r="G428">
        <v>46190</v>
      </c>
      <c r="H428" t="s">
        <v>316</v>
      </c>
      <c r="I428">
        <v>86.043478260869563</v>
      </c>
      <c r="J428">
        <v>5</v>
      </c>
    </row>
    <row r="429" spans="1:10" x14ac:dyDescent="0.35">
      <c r="A429" t="s">
        <v>14</v>
      </c>
      <c r="B429">
        <v>102</v>
      </c>
      <c r="C429">
        <v>42990</v>
      </c>
      <c r="D429" t="s">
        <v>93</v>
      </c>
      <c r="E429">
        <v>19.989999999999998</v>
      </c>
      <c r="F429">
        <v>10.85</v>
      </c>
      <c r="G429">
        <v>46191</v>
      </c>
      <c r="H429" t="s">
        <v>960</v>
      </c>
      <c r="I429">
        <v>191.2086956521739</v>
      </c>
      <c r="J429">
        <v>11</v>
      </c>
    </row>
    <row r="430" spans="1:10" x14ac:dyDescent="0.35">
      <c r="A430" t="s">
        <v>724</v>
      </c>
      <c r="B430">
        <v>112</v>
      </c>
      <c r="C430">
        <v>43028</v>
      </c>
      <c r="D430" t="s">
        <v>776</v>
      </c>
      <c r="E430">
        <v>59.99</v>
      </c>
      <c r="F430">
        <v>37.034700000000001</v>
      </c>
      <c r="G430">
        <v>46190</v>
      </c>
      <c r="H430" t="s">
        <v>316</v>
      </c>
      <c r="I430">
        <v>104.33043478260871</v>
      </c>
      <c r="J430">
        <v>2</v>
      </c>
    </row>
    <row r="431" spans="1:10" x14ac:dyDescent="0.35">
      <c r="A431" t="s">
        <v>724</v>
      </c>
      <c r="B431">
        <v>112</v>
      </c>
      <c r="C431">
        <v>43127</v>
      </c>
      <c r="D431" t="s">
        <v>780</v>
      </c>
      <c r="E431">
        <v>62.99</v>
      </c>
      <c r="F431">
        <v>38.886899999999997</v>
      </c>
      <c r="G431">
        <v>46190</v>
      </c>
      <c r="H431" t="s">
        <v>316</v>
      </c>
      <c r="I431">
        <v>54.77391304347826</v>
      </c>
      <c r="J431">
        <v>1</v>
      </c>
    </row>
    <row r="432" spans="1:10" x14ac:dyDescent="0.35">
      <c r="A432" t="s">
        <v>724</v>
      </c>
      <c r="B432">
        <v>112</v>
      </c>
      <c r="C432">
        <v>43127</v>
      </c>
      <c r="D432" t="s">
        <v>780</v>
      </c>
      <c r="E432">
        <v>62.99</v>
      </c>
      <c r="F432">
        <v>38.886899999999997</v>
      </c>
      <c r="G432">
        <v>46191</v>
      </c>
      <c r="H432" t="s">
        <v>960</v>
      </c>
      <c r="I432">
        <v>54.77391304347826</v>
      </c>
      <c r="J432">
        <v>1</v>
      </c>
    </row>
    <row r="433" spans="1:10" x14ac:dyDescent="0.35">
      <c r="A433" t="s">
        <v>14</v>
      </c>
      <c r="B433">
        <v>104</v>
      </c>
      <c r="C433">
        <v>43309</v>
      </c>
      <c r="D433" t="s">
        <v>238</v>
      </c>
      <c r="E433">
        <v>13.99</v>
      </c>
      <c r="F433">
        <v>6.67</v>
      </c>
      <c r="G433">
        <v>46188</v>
      </c>
      <c r="H433" t="s">
        <v>309</v>
      </c>
      <c r="I433">
        <v>48.660869565217389</v>
      </c>
      <c r="J433">
        <v>4</v>
      </c>
    </row>
    <row r="434" spans="1:10" x14ac:dyDescent="0.35">
      <c r="A434" t="s">
        <v>14</v>
      </c>
      <c r="B434">
        <v>104</v>
      </c>
      <c r="C434">
        <v>43309</v>
      </c>
      <c r="D434" t="s">
        <v>238</v>
      </c>
      <c r="E434">
        <v>13.99</v>
      </c>
      <c r="F434">
        <v>6.67</v>
      </c>
      <c r="G434">
        <v>46189</v>
      </c>
      <c r="H434" t="s">
        <v>310</v>
      </c>
      <c r="I434">
        <v>12.165217391304347</v>
      </c>
      <c r="J434">
        <v>1</v>
      </c>
    </row>
    <row r="435" spans="1:10" x14ac:dyDescent="0.35">
      <c r="A435" t="s">
        <v>14</v>
      </c>
      <c r="B435">
        <v>104</v>
      </c>
      <c r="C435">
        <v>43309</v>
      </c>
      <c r="D435" t="s">
        <v>238</v>
      </c>
      <c r="E435">
        <v>13.99</v>
      </c>
      <c r="F435">
        <v>6.67</v>
      </c>
      <c r="G435">
        <v>46190</v>
      </c>
      <c r="H435" t="s">
        <v>316</v>
      </c>
      <c r="I435">
        <v>24.330434782608695</v>
      </c>
      <c r="J435">
        <v>2</v>
      </c>
    </row>
    <row r="436" spans="1:10" x14ac:dyDescent="0.35">
      <c r="A436" t="s">
        <v>14</v>
      </c>
      <c r="B436">
        <v>104</v>
      </c>
      <c r="C436">
        <v>43309</v>
      </c>
      <c r="D436" t="s">
        <v>238</v>
      </c>
      <c r="E436">
        <v>13.99</v>
      </c>
      <c r="F436">
        <v>6.67</v>
      </c>
      <c r="G436">
        <v>46191</v>
      </c>
      <c r="H436" t="s">
        <v>960</v>
      </c>
      <c r="I436">
        <v>24.330434782608695</v>
      </c>
      <c r="J436">
        <v>2</v>
      </c>
    </row>
    <row r="437" spans="1:10" x14ac:dyDescent="0.35">
      <c r="A437" t="s">
        <v>724</v>
      </c>
      <c r="B437">
        <v>112</v>
      </c>
      <c r="C437">
        <v>43618</v>
      </c>
      <c r="D437" t="s">
        <v>785</v>
      </c>
      <c r="E437">
        <v>62.99</v>
      </c>
      <c r="F437">
        <v>38.886899999999997</v>
      </c>
      <c r="G437">
        <v>46191</v>
      </c>
      <c r="H437" t="s">
        <v>960</v>
      </c>
      <c r="I437">
        <v>109.54782608695652</v>
      </c>
      <c r="J437">
        <v>2</v>
      </c>
    </row>
    <row r="438" spans="1:10" x14ac:dyDescent="0.35">
      <c r="A438" t="s">
        <v>724</v>
      </c>
      <c r="B438">
        <v>112</v>
      </c>
      <c r="C438">
        <v>43829</v>
      </c>
      <c r="D438" t="s">
        <v>788</v>
      </c>
      <c r="E438">
        <v>119.99</v>
      </c>
      <c r="F438">
        <v>74.078199999999995</v>
      </c>
      <c r="G438">
        <v>46191</v>
      </c>
      <c r="H438" t="s">
        <v>960</v>
      </c>
      <c r="I438">
        <v>104.3391304347826</v>
      </c>
      <c r="J438">
        <v>1</v>
      </c>
    </row>
    <row r="439" spans="1:10" x14ac:dyDescent="0.35">
      <c r="A439" t="s">
        <v>724</v>
      </c>
      <c r="B439">
        <v>112</v>
      </c>
      <c r="C439">
        <v>45161</v>
      </c>
      <c r="D439" t="s">
        <v>792</v>
      </c>
      <c r="E439">
        <v>67.989999999999995</v>
      </c>
      <c r="F439">
        <v>41.9739</v>
      </c>
      <c r="G439">
        <v>46190</v>
      </c>
      <c r="H439" t="s">
        <v>316</v>
      </c>
      <c r="I439">
        <v>59.121739130434776</v>
      </c>
      <c r="J439">
        <v>1</v>
      </c>
    </row>
    <row r="440" spans="1:10" x14ac:dyDescent="0.35">
      <c r="A440" t="s">
        <v>317</v>
      </c>
      <c r="B440">
        <v>106</v>
      </c>
      <c r="C440">
        <v>46182</v>
      </c>
      <c r="D440" t="s">
        <v>797</v>
      </c>
      <c r="E440">
        <v>59.99</v>
      </c>
      <c r="F440">
        <v>36.994506250000001</v>
      </c>
      <c r="G440">
        <v>46188</v>
      </c>
      <c r="H440" t="s">
        <v>309</v>
      </c>
      <c r="I440">
        <v>52.165217391304353</v>
      </c>
      <c r="J440">
        <v>1</v>
      </c>
    </row>
    <row r="441" spans="1:10" x14ac:dyDescent="0.35">
      <c r="A441" t="s">
        <v>317</v>
      </c>
      <c r="B441">
        <v>106</v>
      </c>
      <c r="C441">
        <v>46182</v>
      </c>
      <c r="D441" t="s">
        <v>797</v>
      </c>
      <c r="E441">
        <v>59.99</v>
      </c>
      <c r="F441">
        <v>36.994506250000001</v>
      </c>
      <c r="G441">
        <v>46189</v>
      </c>
      <c r="H441" t="s">
        <v>310</v>
      </c>
      <c r="I441">
        <v>104.33043478260871</v>
      </c>
      <c r="J441">
        <v>2</v>
      </c>
    </row>
    <row r="442" spans="1:10" x14ac:dyDescent="0.35">
      <c r="A442" t="s">
        <v>317</v>
      </c>
      <c r="B442">
        <v>106</v>
      </c>
      <c r="C442">
        <v>46182</v>
      </c>
      <c r="D442" t="s">
        <v>797</v>
      </c>
      <c r="E442">
        <v>59.99</v>
      </c>
      <c r="F442">
        <v>36.994506250000001</v>
      </c>
      <c r="G442">
        <v>46190</v>
      </c>
      <c r="H442" t="s">
        <v>316</v>
      </c>
      <c r="I442">
        <v>101.72173913043478</v>
      </c>
      <c r="J442">
        <v>2</v>
      </c>
    </row>
    <row r="443" spans="1:10" x14ac:dyDescent="0.35">
      <c r="A443" t="s">
        <v>724</v>
      </c>
      <c r="B443">
        <v>112</v>
      </c>
      <c r="C443">
        <v>46388</v>
      </c>
      <c r="D443" t="s">
        <v>798</v>
      </c>
      <c r="E443">
        <v>75.989999999999995</v>
      </c>
      <c r="F443">
        <v>46.912999999999997</v>
      </c>
      <c r="G443">
        <v>46191</v>
      </c>
      <c r="H443" t="s">
        <v>960</v>
      </c>
      <c r="I443">
        <v>66.078260869565213</v>
      </c>
      <c r="J443">
        <v>1</v>
      </c>
    </row>
    <row r="444" spans="1:10" x14ac:dyDescent="0.35">
      <c r="A444" t="s">
        <v>35</v>
      </c>
      <c r="B444">
        <v>102</v>
      </c>
      <c r="C444">
        <v>48620</v>
      </c>
      <c r="D444" t="s">
        <v>153</v>
      </c>
      <c r="E444">
        <v>37.99</v>
      </c>
      <c r="F444">
        <v>19.462499999999999</v>
      </c>
      <c r="G444">
        <v>46189</v>
      </c>
      <c r="H444" t="s">
        <v>310</v>
      </c>
      <c r="I444">
        <v>33.03478260869565</v>
      </c>
      <c r="J444">
        <v>1</v>
      </c>
    </row>
    <row r="445" spans="1:10" x14ac:dyDescent="0.35">
      <c r="A445" t="s">
        <v>35</v>
      </c>
      <c r="B445">
        <v>102</v>
      </c>
      <c r="C445">
        <v>48620</v>
      </c>
      <c r="D445" t="s">
        <v>153</v>
      </c>
      <c r="E445">
        <v>37.99</v>
      </c>
      <c r="F445">
        <v>19.462499999999999</v>
      </c>
      <c r="G445">
        <v>46190</v>
      </c>
      <c r="H445" t="s">
        <v>316</v>
      </c>
      <c r="I445">
        <v>66.0695652173913</v>
      </c>
      <c r="J445">
        <v>2</v>
      </c>
    </row>
    <row r="446" spans="1:10" x14ac:dyDescent="0.35">
      <c r="A446" t="s">
        <v>804</v>
      </c>
      <c r="B446">
        <v>111</v>
      </c>
      <c r="C446">
        <v>49316</v>
      </c>
      <c r="D446" t="s">
        <v>811</v>
      </c>
      <c r="E446">
        <v>22.99</v>
      </c>
      <c r="F446">
        <v>15</v>
      </c>
      <c r="G446">
        <v>46189</v>
      </c>
      <c r="H446" t="s">
        <v>310</v>
      </c>
      <c r="I446">
        <v>19.991304347826087</v>
      </c>
      <c r="J446">
        <v>1</v>
      </c>
    </row>
    <row r="447" spans="1:10" x14ac:dyDescent="0.35">
      <c r="A447" t="s">
        <v>804</v>
      </c>
      <c r="B447">
        <v>111</v>
      </c>
      <c r="C447">
        <v>49316</v>
      </c>
      <c r="D447" t="s">
        <v>811</v>
      </c>
      <c r="E447">
        <v>22.99</v>
      </c>
      <c r="F447">
        <v>15</v>
      </c>
      <c r="G447">
        <v>46191</v>
      </c>
      <c r="H447" t="s">
        <v>960</v>
      </c>
      <c r="I447">
        <v>39.982608695652175</v>
      </c>
      <c r="J447">
        <v>2</v>
      </c>
    </row>
    <row r="448" spans="1:10" x14ac:dyDescent="0.35">
      <c r="A448" t="s">
        <v>317</v>
      </c>
      <c r="B448">
        <v>110</v>
      </c>
      <c r="C448">
        <v>49803</v>
      </c>
      <c r="D448" t="s">
        <v>817</v>
      </c>
      <c r="E448">
        <v>99.99</v>
      </c>
      <c r="F448">
        <v>62.066974999999999</v>
      </c>
      <c r="G448">
        <v>46190</v>
      </c>
      <c r="H448" t="s">
        <v>316</v>
      </c>
      <c r="I448">
        <v>86.947826086956525</v>
      </c>
      <c r="J448">
        <v>1</v>
      </c>
    </row>
    <row r="449" spans="1:10" x14ac:dyDescent="0.35">
      <c r="A449" t="s">
        <v>317</v>
      </c>
      <c r="B449">
        <v>110</v>
      </c>
      <c r="C449">
        <v>49803</v>
      </c>
      <c r="D449" t="s">
        <v>817</v>
      </c>
      <c r="E449">
        <v>99.99</v>
      </c>
      <c r="F449">
        <v>62.066974999999999</v>
      </c>
      <c r="G449">
        <v>46191</v>
      </c>
      <c r="H449" t="s">
        <v>960</v>
      </c>
      <c r="I449">
        <v>86.947826086956525</v>
      </c>
      <c r="J449">
        <v>1</v>
      </c>
    </row>
    <row r="450" spans="1:10" x14ac:dyDescent="0.35">
      <c r="A450" t="s">
        <v>317</v>
      </c>
      <c r="B450">
        <v>110</v>
      </c>
      <c r="C450">
        <v>49804</v>
      </c>
      <c r="D450" t="s">
        <v>818</v>
      </c>
      <c r="E450">
        <v>99.99</v>
      </c>
      <c r="F450">
        <v>60.204949999999997</v>
      </c>
      <c r="G450">
        <v>46190</v>
      </c>
      <c r="H450" t="s">
        <v>316</v>
      </c>
      <c r="I450">
        <v>86.947826086956525</v>
      </c>
      <c r="J450">
        <v>1</v>
      </c>
    </row>
    <row r="451" spans="1:10" x14ac:dyDescent="0.35">
      <c r="A451" t="s">
        <v>317</v>
      </c>
      <c r="B451">
        <v>110</v>
      </c>
      <c r="C451">
        <v>49805</v>
      </c>
      <c r="D451" t="s">
        <v>819</v>
      </c>
      <c r="E451">
        <v>86.99</v>
      </c>
      <c r="F451">
        <v>54.272500000000001</v>
      </c>
      <c r="G451">
        <v>46191</v>
      </c>
      <c r="H451" t="s">
        <v>960</v>
      </c>
      <c r="I451">
        <v>75.643478260869557</v>
      </c>
      <c r="J451">
        <v>1</v>
      </c>
    </row>
    <row r="452" spans="1:10" x14ac:dyDescent="0.35">
      <c r="A452" t="s">
        <v>317</v>
      </c>
      <c r="B452">
        <v>110</v>
      </c>
      <c r="C452">
        <v>49807</v>
      </c>
      <c r="D452" t="s">
        <v>820</v>
      </c>
      <c r="E452">
        <v>99.99</v>
      </c>
      <c r="F452">
        <v>62.066974999999999</v>
      </c>
      <c r="G452">
        <v>46189</v>
      </c>
      <c r="H452" t="s">
        <v>310</v>
      </c>
      <c r="I452">
        <v>173.89565217391305</v>
      </c>
      <c r="J452">
        <v>2</v>
      </c>
    </row>
    <row r="453" spans="1:10" x14ac:dyDescent="0.35">
      <c r="A453" t="s">
        <v>317</v>
      </c>
      <c r="B453">
        <v>110</v>
      </c>
      <c r="C453">
        <v>49809</v>
      </c>
      <c r="D453" t="s">
        <v>821</v>
      </c>
      <c r="E453">
        <v>99.99</v>
      </c>
      <c r="F453">
        <v>62.066974999999999</v>
      </c>
      <c r="G453">
        <v>46189</v>
      </c>
      <c r="H453" t="s">
        <v>310</v>
      </c>
      <c r="I453">
        <v>86.947826086956525</v>
      </c>
      <c r="J453">
        <v>1</v>
      </c>
    </row>
    <row r="454" spans="1:10" x14ac:dyDescent="0.35">
      <c r="A454" t="s">
        <v>317</v>
      </c>
      <c r="B454">
        <v>110</v>
      </c>
      <c r="C454">
        <v>49809</v>
      </c>
      <c r="D454" t="s">
        <v>821</v>
      </c>
      <c r="E454">
        <v>99.99</v>
      </c>
      <c r="F454">
        <v>62.066974999999999</v>
      </c>
      <c r="G454">
        <v>46190</v>
      </c>
      <c r="H454" t="s">
        <v>316</v>
      </c>
      <c r="I454">
        <v>86.947826086956525</v>
      </c>
      <c r="J454">
        <v>1</v>
      </c>
    </row>
    <row r="455" spans="1:10" x14ac:dyDescent="0.35">
      <c r="A455" t="s">
        <v>19</v>
      </c>
      <c r="B455">
        <v>101</v>
      </c>
      <c r="C455">
        <v>50037</v>
      </c>
      <c r="D455" t="s">
        <v>22</v>
      </c>
      <c r="E455">
        <v>25.99</v>
      </c>
      <c r="F455">
        <v>13.4</v>
      </c>
      <c r="G455">
        <v>46188</v>
      </c>
      <c r="H455" t="s">
        <v>309</v>
      </c>
      <c r="I455">
        <v>158.20000000000002</v>
      </c>
      <c r="J455">
        <v>7</v>
      </c>
    </row>
    <row r="456" spans="1:10" x14ac:dyDescent="0.35">
      <c r="A456" t="s">
        <v>19</v>
      </c>
      <c r="B456">
        <v>101</v>
      </c>
      <c r="C456">
        <v>50037</v>
      </c>
      <c r="D456" t="s">
        <v>22</v>
      </c>
      <c r="E456">
        <v>25.99</v>
      </c>
      <c r="F456">
        <v>13.4</v>
      </c>
      <c r="G456">
        <v>46189</v>
      </c>
      <c r="H456" t="s">
        <v>310</v>
      </c>
      <c r="I456">
        <v>158.20000000000002</v>
      </c>
      <c r="J456">
        <v>7</v>
      </c>
    </row>
    <row r="457" spans="1:10" x14ac:dyDescent="0.35">
      <c r="A457" t="s">
        <v>19</v>
      </c>
      <c r="B457">
        <v>101</v>
      </c>
      <c r="C457">
        <v>50037</v>
      </c>
      <c r="D457" t="s">
        <v>22</v>
      </c>
      <c r="E457">
        <v>25.99</v>
      </c>
      <c r="F457">
        <v>13.4</v>
      </c>
      <c r="G457">
        <v>46190</v>
      </c>
      <c r="H457" t="s">
        <v>316</v>
      </c>
      <c r="I457">
        <v>178.53913043478261</v>
      </c>
      <c r="J457">
        <v>8</v>
      </c>
    </row>
    <row r="458" spans="1:10" x14ac:dyDescent="0.35">
      <c r="A458" t="s">
        <v>19</v>
      </c>
      <c r="B458">
        <v>101</v>
      </c>
      <c r="C458">
        <v>50037</v>
      </c>
      <c r="D458" t="s">
        <v>22</v>
      </c>
      <c r="E458">
        <v>25.99</v>
      </c>
      <c r="F458">
        <v>13.4</v>
      </c>
      <c r="G458">
        <v>46191</v>
      </c>
      <c r="H458" t="s">
        <v>960</v>
      </c>
      <c r="I458">
        <v>112.99999999999999</v>
      </c>
      <c r="J458">
        <v>5</v>
      </c>
    </row>
    <row r="459" spans="1:10" x14ac:dyDescent="0.35">
      <c r="A459" t="s">
        <v>317</v>
      </c>
      <c r="B459">
        <v>107</v>
      </c>
      <c r="C459">
        <v>50651</v>
      </c>
      <c r="D459" t="s">
        <v>826</v>
      </c>
      <c r="E459">
        <v>79.989999999999995</v>
      </c>
      <c r="F459">
        <v>48.031500000000001</v>
      </c>
      <c r="G459">
        <v>46189</v>
      </c>
      <c r="H459" t="s">
        <v>310</v>
      </c>
      <c r="I459">
        <v>139.11304347826086</v>
      </c>
      <c r="J459">
        <v>2</v>
      </c>
    </row>
    <row r="460" spans="1:10" x14ac:dyDescent="0.35">
      <c r="A460" t="s">
        <v>317</v>
      </c>
      <c r="B460">
        <v>107</v>
      </c>
      <c r="C460">
        <v>50651</v>
      </c>
      <c r="D460" t="s">
        <v>826</v>
      </c>
      <c r="E460">
        <v>79.989999999999995</v>
      </c>
      <c r="F460">
        <v>48.031500000000001</v>
      </c>
      <c r="G460">
        <v>46190</v>
      </c>
      <c r="H460" t="s">
        <v>316</v>
      </c>
      <c r="I460">
        <v>69.556521739130432</v>
      </c>
      <c r="J460">
        <v>1</v>
      </c>
    </row>
    <row r="461" spans="1:10" x14ac:dyDescent="0.35">
      <c r="A461" t="s">
        <v>317</v>
      </c>
      <c r="B461">
        <v>109</v>
      </c>
      <c r="C461">
        <v>50652</v>
      </c>
      <c r="D461" t="s">
        <v>827</v>
      </c>
      <c r="E461">
        <v>79.989999999999995</v>
      </c>
      <c r="F461">
        <v>48.031500000000001</v>
      </c>
      <c r="G461">
        <v>46188</v>
      </c>
      <c r="H461" t="s">
        <v>309</v>
      </c>
      <c r="I461">
        <v>69.556521739130432</v>
      </c>
      <c r="J461">
        <v>1</v>
      </c>
    </row>
    <row r="462" spans="1:10" x14ac:dyDescent="0.35">
      <c r="A462" t="s">
        <v>317</v>
      </c>
      <c r="B462">
        <v>109</v>
      </c>
      <c r="C462">
        <v>50652</v>
      </c>
      <c r="D462" t="s">
        <v>827</v>
      </c>
      <c r="E462">
        <v>79.989999999999995</v>
      </c>
      <c r="F462">
        <v>48.031500000000001</v>
      </c>
      <c r="G462">
        <v>46191</v>
      </c>
      <c r="H462" t="s">
        <v>960</v>
      </c>
      <c r="I462">
        <v>69.556521739130432</v>
      </c>
      <c r="J462">
        <v>1</v>
      </c>
    </row>
    <row r="463" spans="1:10" x14ac:dyDescent="0.35">
      <c r="A463" t="s">
        <v>19</v>
      </c>
      <c r="B463">
        <v>101</v>
      </c>
      <c r="C463">
        <v>51680</v>
      </c>
      <c r="D463" t="s">
        <v>33</v>
      </c>
      <c r="E463">
        <v>21.99</v>
      </c>
      <c r="F463">
        <v>12.14</v>
      </c>
      <c r="G463">
        <v>46188</v>
      </c>
      <c r="H463" t="s">
        <v>309</v>
      </c>
      <c r="I463">
        <v>57.365217391304348</v>
      </c>
      <c r="J463">
        <v>3</v>
      </c>
    </row>
    <row r="464" spans="1:10" x14ac:dyDescent="0.35">
      <c r="A464" t="s">
        <v>19</v>
      </c>
      <c r="B464">
        <v>101</v>
      </c>
      <c r="C464">
        <v>51680</v>
      </c>
      <c r="D464" t="s">
        <v>33</v>
      </c>
      <c r="E464">
        <v>21.99</v>
      </c>
      <c r="F464">
        <v>12.14</v>
      </c>
      <c r="G464">
        <v>46189</v>
      </c>
      <c r="H464" t="s">
        <v>310</v>
      </c>
      <c r="I464">
        <v>19.121739130434783</v>
      </c>
      <c r="J464">
        <v>1</v>
      </c>
    </row>
    <row r="465" spans="1:10" x14ac:dyDescent="0.35">
      <c r="A465" t="s">
        <v>19</v>
      </c>
      <c r="B465">
        <v>101</v>
      </c>
      <c r="C465">
        <v>51680</v>
      </c>
      <c r="D465" t="s">
        <v>33</v>
      </c>
      <c r="E465">
        <v>21.99</v>
      </c>
      <c r="F465">
        <v>12.14</v>
      </c>
      <c r="G465">
        <v>46190</v>
      </c>
      <c r="H465" t="s">
        <v>316</v>
      </c>
      <c r="I465">
        <v>19.121739130434783</v>
      </c>
      <c r="J465">
        <v>1</v>
      </c>
    </row>
    <row r="466" spans="1:10" x14ac:dyDescent="0.35">
      <c r="A466" t="s">
        <v>14</v>
      </c>
      <c r="B466">
        <v>102</v>
      </c>
      <c r="C466">
        <v>52943</v>
      </c>
      <c r="D466" t="s">
        <v>90</v>
      </c>
      <c r="E466">
        <v>31.99</v>
      </c>
      <c r="F466">
        <v>15.17</v>
      </c>
      <c r="G466">
        <v>46188</v>
      </c>
      <c r="H466" t="s">
        <v>309</v>
      </c>
      <c r="I466">
        <v>194.04347826086956</v>
      </c>
      <c r="J466">
        <v>7</v>
      </c>
    </row>
    <row r="467" spans="1:10" x14ac:dyDescent="0.35">
      <c r="A467" t="s">
        <v>14</v>
      </c>
      <c r="B467">
        <v>102</v>
      </c>
      <c r="C467">
        <v>52943</v>
      </c>
      <c r="D467" t="s">
        <v>90</v>
      </c>
      <c r="E467">
        <v>31.99</v>
      </c>
      <c r="F467">
        <v>15.17</v>
      </c>
      <c r="G467">
        <v>46189</v>
      </c>
      <c r="H467" t="s">
        <v>310</v>
      </c>
      <c r="I467">
        <v>133.09565217391304</v>
      </c>
      <c r="J467">
        <v>5</v>
      </c>
    </row>
    <row r="468" spans="1:10" x14ac:dyDescent="0.35">
      <c r="A468" t="s">
        <v>14</v>
      </c>
      <c r="B468">
        <v>102</v>
      </c>
      <c r="C468">
        <v>52943</v>
      </c>
      <c r="D468" t="s">
        <v>90</v>
      </c>
      <c r="E468">
        <v>31.99</v>
      </c>
      <c r="F468">
        <v>15.17</v>
      </c>
      <c r="G468">
        <v>46190</v>
      </c>
      <c r="H468" t="s">
        <v>316</v>
      </c>
      <c r="I468">
        <v>359.66956521739132</v>
      </c>
      <c r="J468">
        <v>13</v>
      </c>
    </row>
    <row r="469" spans="1:10" x14ac:dyDescent="0.35">
      <c r="A469" t="s">
        <v>14</v>
      </c>
      <c r="B469">
        <v>102</v>
      </c>
      <c r="C469">
        <v>52943</v>
      </c>
      <c r="D469" t="s">
        <v>90</v>
      </c>
      <c r="E469">
        <v>31.99</v>
      </c>
      <c r="F469">
        <v>15.17</v>
      </c>
      <c r="G469">
        <v>46191</v>
      </c>
      <c r="H469" t="s">
        <v>960</v>
      </c>
      <c r="I469">
        <v>127.41739130434783</v>
      </c>
      <c r="J469">
        <v>5</v>
      </c>
    </row>
    <row r="470" spans="1:10" x14ac:dyDescent="0.35">
      <c r="A470" t="s">
        <v>14</v>
      </c>
      <c r="B470">
        <v>106</v>
      </c>
      <c r="C470">
        <v>54018</v>
      </c>
      <c r="D470" t="s">
        <v>243</v>
      </c>
      <c r="E470">
        <v>18.989999999999998</v>
      </c>
      <c r="F470">
        <v>9.83</v>
      </c>
      <c r="G470">
        <v>46188</v>
      </c>
      <c r="H470" t="s">
        <v>309</v>
      </c>
      <c r="I470">
        <v>132.10434782608695</v>
      </c>
      <c r="J470">
        <v>8</v>
      </c>
    </row>
    <row r="471" spans="1:10" x14ac:dyDescent="0.35">
      <c r="A471" t="s">
        <v>14</v>
      </c>
      <c r="B471">
        <v>106</v>
      </c>
      <c r="C471">
        <v>54018</v>
      </c>
      <c r="D471" t="s">
        <v>243</v>
      </c>
      <c r="E471">
        <v>18.989999999999998</v>
      </c>
      <c r="F471">
        <v>9.83</v>
      </c>
      <c r="G471">
        <v>46189</v>
      </c>
      <c r="H471" t="s">
        <v>310</v>
      </c>
      <c r="I471">
        <v>49.539130434782606</v>
      </c>
      <c r="J471">
        <v>3</v>
      </c>
    </row>
    <row r="472" spans="1:10" x14ac:dyDescent="0.35">
      <c r="A472" t="s">
        <v>14</v>
      </c>
      <c r="B472">
        <v>106</v>
      </c>
      <c r="C472">
        <v>54018</v>
      </c>
      <c r="D472" t="s">
        <v>243</v>
      </c>
      <c r="E472">
        <v>18.989999999999998</v>
      </c>
      <c r="F472">
        <v>9.83</v>
      </c>
      <c r="G472">
        <v>46190</v>
      </c>
      <c r="H472" t="s">
        <v>316</v>
      </c>
      <c r="I472">
        <v>99.078260869565213</v>
      </c>
      <c r="J472">
        <v>6</v>
      </c>
    </row>
    <row r="473" spans="1:10" x14ac:dyDescent="0.35">
      <c r="A473" t="s">
        <v>14</v>
      </c>
      <c r="B473">
        <v>106</v>
      </c>
      <c r="C473">
        <v>54018</v>
      </c>
      <c r="D473" t="s">
        <v>243</v>
      </c>
      <c r="E473">
        <v>18.989999999999998</v>
      </c>
      <c r="F473">
        <v>9.83</v>
      </c>
      <c r="G473">
        <v>46191</v>
      </c>
      <c r="H473" t="s">
        <v>960</v>
      </c>
      <c r="I473">
        <v>198.15652173913043</v>
      </c>
      <c r="J473">
        <v>12</v>
      </c>
    </row>
    <row r="474" spans="1:10" x14ac:dyDescent="0.35">
      <c r="A474" t="s">
        <v>107</v>
      </c>
      <c r="B474">
        <v>102</v>
      </c>
      <c r="C474">
        <v>55095</v>
      </c>
      <c r="D474" t="s">
        <v>116</v>
      </c>
      <c r="E474">
        <v>5</v>
      </c>
      <c r="F474">
        <v>1.38</v>
      </c>
      <c r="G474">
        <v>46189</v>
      </c>
      <c r="H474" t="s">
        <v>310</v>
      </c>
      <c r="I474">
        <v>30.434782608695652</v>
      </c>
      <c r="J474">
        <v>7</v>
      </c>
    </row>
    <row r="475" spans="1:10" x14ac:dyDescent="0.35">
      <c r="A475" t="s">
        <v>107</v>
      </c>
      <c r="B475">
        <v>102</v>
      </c>
      <c r="C475">
        <v>55095</v>
      </c>
      <c r="D475" t="s">
        <v>116</v>
      </c>
      <c r="E475">
        <v>5</v>
      </c>
      <c r="F475">
        <v>1.38</v>
      </c>
      <c r="G475">
        <v>46190</v>
      </c>
      <c r="H475" t="s">
        <v>316</v>
      </c>
      <c r="I475">
        <v>99.565217391304344</v>
      </c>
      <c r="J475">
        <v>23</v>
      </c>
    </row>
    <row r="476" spans="1:10" x14ac:dyDescent="0.35">
      <c r="A476" t="s">
        <v>107</v>
      </c>
      <c r="B476">
        <v>102</v>
      </c>
      <c r="C476">
        <v>55095</v>
      </c>
      <c r="D476" t="s">
        <v>116</v>
      </c>
      <c r="E476">
        <v>5</v>
      </c>
      <c r="F476">
        <v>1.38</v>
      </c>
      <c r="G476">
        <v>46191</v>
      </c>
      <c r="H476" t="s">
        <v>960</v>
      </c>
      <c r="I476">
        <v>17.391304347826086</v>
      </c>
      <c r="J476">
        <v>4</v>
      </c>
    </row>
    <row r="477" spans="1:10" x14ac:dyDescent="0.35">
      <c r="A477" t="s">
        <v>14</v>
      </c>
      <c r="B477">
        <v>102</v>
      </c>
      <c r="C477">
        <v>55481</v>
      </c>
      <c r="D477" t="s">
        <v>105</v>
      </c>
      <c r="E477">
        <v>11.99</v>
      </c>
      <c r="F477">
        <v>5.0999999999999996</v>
      </c>
      <c r="G477">
        <v>46188</v>
      </c>
      <c r="H477" t="s">
        <v>309</v>
      </c>
      <c r="I477">
        <v>83.408695652173918</v>
      </c>
      <c r="J477">
        <v>8</v>
      </c>
    </row>
    <row r="478" spans="1:10" x14ac:dyDescent="0.35">
      <c r="A478" t="s">
        <v>14</v>
      </c>
      <c r="B478">
        <v>102</v>
      </c>
      <c r="C478">
        <v>55481</v>
      </c>
      <c r="D478" t="s">
        <v>105</v>
      </c>
      <c r="E478">
        <v>11.99</v>
      </c>
      <c r="F478">
        <v>5.0999999999999996</v>
      </c>
      <c r="G478">
        <v>46189</v>
      </c>
      <c r="H478" t="s">
        <v>310</v>
      </c>
      <c r="I478">
        <v>52.130434782608695</v>
      </c>
      <c r="J478">
        <v>5</v>
      </c>
    </row>
    <row r="479" spans="1:10" x14ac:dyDescent="0.35">
      <c r="A479" t="s">
        <v>14</v>
      </c>
      <c r="B479">
        <v>102</v>
      </c>
      <c r="C479">
        <v>55481</v>
      </c>
      <c r="D479" t="s">
        <v>105</v>
      </c>
      <c r="E479">
        <v>11.99</v>
      </c>
      <c r="F479">
        <v>5.0999999999999996</v>
      </c>
      <c r="G479">
        <v>46190</v>
      </c>
      <c r="H479" t="s">
        <v>316</v>
      </c>
      <c r="I479">
        <v>10.42608695652174</v>
      </c>
      <c r="J479">
        <v>1</v>
      </c>
    </row>
    <row r="480" spans="1:10" x14ac:dyDescent="0.35">
      <c r="A480" t="s">
        <v>367</v>
      </c>
      <c r="B480">
        <v>102</v>
      </c>
      <c r="C480">
        <v>56175</v>
      </c>
      <c r="D480" t="s">
        <v>396</v>
      </c>
      <c r="E480">
        <v>15.99</v>
      </c>
      <c r="F480">
        <v>8.11</v>
      </c>
      <c r="G480">
        <v>46188</v>
      </c>
      <c r="H480" t="s">
        <v>309</v>
      </c>
      <c r="I480">
        <v>27.808695652173913</v>
      </c>
      <c r="J480">
        <v>2</v>
      </c>
    </row>
    <row r="481" spans="1:10" x14ac:dyDescent="0.35">
      <c r="A481" t="s">
        <v>367</v>
      </c>
      <c r="B481">
        <v>102</v>
      </c>
      <c r="C481">
        <v>56267</v>
      </c>
      <c r="D481" t="s">
        <v>399</v>
      </c>
      <c r="E481">
        <v>15.99</v>
      </c>
      <c r="F481">
        <v>8.11</v>
      </c>
      <c r="G481">
        <v>46189</v>
      </c>
      <c r="H481" t="s">
        <v>310</v>
      </c>
      <c r="I481">
        <v>13.904347826086957</v>
      </c>
      <c r="J481">
        <v>1</v>
      </c>
    </row>
    <row r="482" spans="1:10" x14ac:dyDescent="0.35">
      <c r="A482" t="s">
        <v>367</v>
      </c>
      <c r="B482">
        <v>102</v>
      </c>
      <c r="C482">
        <v>56594</v>
      </c>
      <c r="D482" t="s">
        <v>400</v>
      </c>
      <c r="E482">
        <v>15.99</v>
      </c>
      <c r="F482">
        <v>8.11</v>
      </c>
      <c r="G482">
        <v>46188</v>
      </c>
      <c r="H482" t="s">
        <v>309</v>
      </c>
      <c r="I482">
        <v>13.904347826086957</v>
      </c>
      <c r="J482">
        <v>1</v>
      </c>
    </row>
    <row r="483" spans="1:10" x14ac:dyDescent="0.35">
      <c r="A483" t="s">
        <v>367</v>
      </c>
      <c r="B483">
        <v>102</v>
      </c>
      <c r="C483">
        <v>56914</v>
      </c>
      <c r="D483" t="s">
        <v>403</v>
      </c>
      <c r="E483">
        <v>15.99</v>
      </c>
      <c r="F483">
        <v>8.11</v>
      </c>
      <c r="G483">
        <v>46189</v>
      </c>
      <c r="H483" t="s">
        <v>310</v>
      </c>
      <c r="I483">
        <v>13.904347826086957</v>
      </c>
      <c r="J483">
        <v>1</v>
      </c>
    </row>
    <row r="484" spans="1:10" x14ac:dyDescent="0.35">
      <c r="A484" t="s">
        <v>14</v>
      </c>
      <c r="B484">
        <v>101</v>
      </c>
      <c r="C484">
        <v>57071</v>
      </c>
      <c r="D484" t="s">
        <v>53</v>
      </c>
      <c r="E484">
        <v>29.99</v>
      </c>
      <c r="F484">
        <v>12.66</v>
      </c>
      <c r="G484">
        <v>46190</v>
      </c>
      <c r="H484" t="s">
        <v>316</v>
      </c>
      <c r="I484">
        <v>26.078260869565216</v>
      </c>
      <c r="J484">
        <v>1</v>
      </c>
    </row>
    <row r="485" spans="1:10" x14ac:dyDescent="0.35">
      <c r="A485" t="s">
        <v>14</v>
      </c>
      <c r="B485">
        <v>101</v>
      </c>
      <c r="C485">
        <v>57071</v>
      </c>
      <c r="D485" t="s">
        <v>53</v>
      </c>
      <c r="E485">
        <v>29.99</v>
      </c>
      <c r="F485">
        <v>12.66</v>
      </c>
      <c r="G485">
        <v>46191</v>
      </c>
      <c r="H485" t="s">
        <v>960</v>
      </c>
      <c r="I485">
        <v>104.31304347826087</v>
      </c>
      <c r="J485">
        <v>4</v>
      </c>
    </row>
    <row r="486" spans="1:10" x14ac:dyDescent="0.35">
      <c r="A486" t="s">
        <v>14</v>
      </c>
      <c r="B486">
        <v>101</v>
      </c>
      <c r="C486">
        <v>57073</v>
      </c>
      <c r="D486" t="s">
        <v>21</v>
      </c>
      <c r="E486">
        <v>36.99</v>
      </c>
      <c r="F486">
        <v>16.05</v>
      </c>
      <c r="G486">
        <v>46188</v>
      </c>
      <c r="H486" t="s">
        <v>309</v>
      </c>
      <c r="I486">
        <v>225.15652173913043</v>
      </c>
      <c r="J486">
        <v>7</v>
      </c>
    </row>
    <row r="487" spans="1:10" x14ac:dyDescent="0.35">
      <c r="A487" t="s">
        <v>14</v>
      </c>
      <c r="B487">
        <v>101</v>
      </c>
      <c r="C487">
        <v>57073</v>
      </c>
      <c r="D487" t="s">
        <v>21</v>
      </c>
      <c r="E487">
        <v>36.99</v>
      </c>
      <c r="F487">
        <v>16.05</v>
      </c>
      <c r="G487">
        <v>46189</v>
      </c>
      <c r="H487" t="s">
        <v>310</v>
      </c>
      <c r="I487">
        <v>32.165217391304353</v>
      </c>
      <c r="J487">
        <v>1</v>
      </c>
    </row>
    <row r="488" spans="1:10" x14ac:dyDescent="0.35">
      <c r="A488" t="s">
        <v>14</v>
      </c>
      <c r="B488">
        <v>101</v>
      </c>
      <c r="C488">
        <v>57073</v>
      </c>
      <c r="D488" t="s">
        <v>21</v>
      </c>
      <c r="E488">
        <v>36.99</v>
      </c>
      <c r="F488">
        <v>16.05</v>
      </c>
      <c r="G488">
        <v>46191</v>
      </c>
      <c r="H488" t="s">
        <v>960</v>
      </c>
      <c r="I488">
        <v>192.99130434782609</v>
      </c>
      <c r="J488">
        <v>6</v>
      </c>
    </row>
    <row r="489" spans="1:10" x14ac:dyDescent="0.35">
      <c r="A489" t="s">
        <v>107</v>
      </c>
      <c r="B489">
        <v>102</v>
      </c>
      <c r="C489">
        <v>58147</v>
      </c>
      <c r="D489" t="s">
        <v>146</v>
      </c>
      <c r="E489">
        <v>16.989999999999998</v>
      </c>
      <c r="F489">
        <v>7.99</v>
      </c>
      <c r="G489">
        <v>46188</v>
      </c>
      <c r="H489" t="s">
        <v>309</v>
      </c>
      <c r="I489">
        <v>14.77391304347826</v>
      </c>
      <c r="J489">
        <v>1</v>
      </c>
    </row>
    <row r="490" spans="1:10" x14ac:dyDescent="0.35">
      <c r="A490" t="s">
        <v>14</v>
      </c>
      <c r="B490">
        <v>101</v>
      </c>
      <c r="C490">
        <v>58512</v>
      </c>
      <c r="D490" t="s">
        <v>30</v>
      </c>
      <c r="E490">
        <v>26.99</v>
      </c>
      <c r="F490">
        <v>10.66</v>
      </c>
      <c r="G490">
        <v>46188</v>
      </c>
      <c r="H490" t="s">
        <v>309</v>
      </c>
      <c r="I490">
        <v>70.408695652173918</v>
      </c>
      <c r="J490">
        <v>3</v>
      </c>
    </row>
    <row r="491" spans="1:10" x14ac:dyDescent="0.35">
      <c r="A491" t="s">
        <v>14</v>
      </c>
      <c r="B491">
        <v>101</v>
      </c>
      <c r="C491">
        <v>58512</v>
      </c>
      <c r="D491" t="s">
        <v>30</v>
      </c>
      <c r="E491">
        <v>26.99</v>
      </c>
      <c r="F491">
        <v>10.66</v>
      </c>
      <c r="G491">
        <v>46189</v>
      </c>
      <c r="H491" t="s">
        <v>310</v>
      </c>
      <c r="I491">
        <v>70.408695652173918</v>
      </c>
      <c r="J491">
        <v>3</v>
      </c>
    </row>
    <row r="492" spans="1:10" x14ac:dyDescent="0.35">
      <c r="A492" t="s">
        <v>14</v>
      </c>
      <c r="B492">
        <v>101</v>
      </c>
      <c r="C492">
        <v>58512</v>
      </c>
      <c r="D492" t="s">
        <v>30</v>
      </c>
      <c r="E492">
        <v>26.99</v>
      </c>
      <c r="F492">
        <v>10.66</v>
      </c>
      <c r="G492">
        <v>46190</v>
      </c>
      <c r="H492" t="s">
        <v>316</v>
      </c>
      <c r="I492">
        <v>70.408695652173918</v>
      </c>
      <c r="J492">
        <v>3</v>
      </c>
    </row>
    <row r="493" spans="1:10" x14ac:dyDescent="0.35">
      <c r="A493" t="s">
        <v>14</v>
      </c>
      <c r="B493">
        <v>101</v>
      </c>
      <c r="C493">
        <v>58767</v>
      </c>
      <c r="D493" t="s">
        <v>27</v>
      </c>
      <c r="E493">
        <v>19.989999999999998</v>
      </c>
      <c r="F493">
        <v>7.04</v>
      </c>
      <c r="G493">
        <v>46188</v>
      </c>
      <c r="H493" t="s">
        <v>309</v>
      </c>
      <c r="I493">
        <v>121.67826086956522</v>
      </c>
      <c r="J493">
        <v>7</v>
      </c>
    </row>
    <row r="494" spans="1:10" x14ac:dyDescent="0.35">
      <c r="A494" t="s">
        <v>14</v>
      </c>
      <c r="B494">
        <v>101</v>
      </c>
      <c r="C494">
        <v>58767</v>
      </c>
      <c r="D494" t="s">
        <v>27</v>
      </c>
      <c r="E494">
        <v>19.989999999999998</v>
      </c>
      <c r="F494">
        <v>7.04</v>
      </c>
      <c r="G494">
        <v>46189</v>
      </c>
      <c r="H494" t="s">
        <v>310</v>
      </c>
      <c r="I494">
        <v>52.14782608695652</v>
      </c>
      <c r="J494">
        <v>3</v>
      </c>
    </row>
    <row r="495" spans="1:10" x14ac:dyDescent="0.35">
      <c r="A495" t="s">
        <v>14</v>
      </c>
      <c r="B495">
        <v>101</v>
      </c>
      <c r="C495">
        <v>58767</v>
      </c>
      <c r="D495" t="s">
        <v>27</v>
      </c>
      <c r="E495">
        <v>19.989999999999998</v>
      </c>
      <c r="F495">
        <v>7.04</v>
      </c>
      <c r="G495">
        <v>46190</v>
      </c>
      <c r="H495" t="s">
        <v>316</v>
      </c>
      <c r="I495">
        <v>34.765217391304347</v>
      </c>
      <c r="J495">
        <v>2</v>
      </c>
    </row>
    <row r="496" spans="1:10" x14ac:dyDescent="0.35">
      <c r="A496" t="s">
        <v>14</v>
      </c>
      <c r="B496">
        <v>101</v>
      </c>
      <c r="C496">
        <v>58767</v>
      </c>
      <c r="D496" t="s">
        <v>27</v>
      </c>
      <c r="E496">
        <v>19.989999999999998</v>
      </c>
      <c r="F496">
        <v>7.04</v>
      </c>
      <c r="G496">
        <v>46191</v>
      </c>
      <c r="H496" t="s">
        <v>960</v>
      </c>
      <c r="I496">
        <v>52.14782608695652</v>
      </c>
      <c r="J496">
        <v>3</v>
      </c>
    </row>
    <row r="497" spans="1:10" x14ac:dyDescent="0.35">
      <c r="A497" t="s">
        <v>317</v>
      </c>
      <c r="B497">
        <v>105</v>
      </c>
      <c r="C497">
        <v>58843</v>
      </c>
      <c r="D497" t="s">
        <v>511</v>
      </c>
      <c r="E497">
        <v>24.99</v>
      </c>
      <c r="F497">
        <v>15.529409999999999</v>
      </c>
      <c r="G497">
        <v>46188</v>
      </c>
      <c r="H497" t="s">
        <v>309</v>
      </c>
      <c r="I497">
        <v>65.19130434782609</v>
      </c>
      <c r="J497">
        <v>3</v>
      </c>
    </row>
    <row r="498" spans="1:10" x14ac:dyDescent="0.35">
      <c r="A498" t="s">
        <v>317</v>
      </c>
      <c r="B498">
        <v>105</v>
      </c>
      <c r="C498">
        <v>58843</v>
      </c>
      <c r="D498" t="s">
        <v>511</v>
      </c>
      <c r="E498">
        <v>24.99</v>
      </c>
      <c r="F498">
        <v>15.529409999999999</v>
      </c>
      <c r="G498">
        <v>46189</v>
      </c>
      <c r="H498" t="s">
        <v>310</v>
      </c>
      <c r="I498">
        <v>369.41739130434786</v>
      </c>
      <c r="J498">
        <v>17</v>
      </c>
    </row>
    <row r="499" spans="1:10" x14ac:dyDescent="0.35">
      <c r="A499" t="s">
        <v>317</v>
      </c>
      <c r="B499">
        <v>105</v>
      </c>
      <c r="C499">
        <v>58843</v>
      </c>
      <c r="D499" t="s">
        <v>511</v>
      </c>
      <c r="E499">
        <v>24.99</v>
      </c>
      <c r="F499">
        <v>15.529409999999999</v>
      </c>
      <c r="G499">
        <v>46190</v>
      </c>
      <c r="H499" t="s">
        <v>316</v>
      </c>
      <c r="I499">
        <v>173.84347826086957</v>
      </c>
      <c r="J499">
        <v>8</v>
      </c>
    </row>
    <row r="500" spans="1:10" x14ac:dyDescent="0.35">
      <c r="A500" t="s">
        <v>317</v>
      </c>
      <c r="B500">
        <v>105</v>
      </c>
      <c r="C500">
        <v>58843</v>
      </c>
      <c r="D500" t="s">
        <v>511</v>
      </c>
      <c r="E500">
        <v>24.99</v>
      </c>
      <c r="F500">
        <v>15.529409999999999</v>
      </c>
      <c r="G500">
        <v>46191</v>
      </c>
      <c r="H500" t="s">
        <v>960</v>
      </c>
      <c r="I500">
        <v>733.4</v>
      </c>
      <c r="J500">
        <v>35</v>
      </c>
    </row>
    <row r="501" spans="1:10" x14ac:dyDescent="0.35">
      <c r="A501" t="s">
        <v>371</v>
      </c>
      <c r="B501">
        <v>103</v>
      </c>
      <c r="C501">
        <v>59233</v>
      </c>
      <c r="D501" t="s">
        <v>700</v>
      </c>
      <c r="E501">
        <v>14.99</v>
      </c>
      <c r="F501">
        <v>7.9799999999999995</v>
      </c>
      <c r="G501">
        <v>46188</v>
      </c>
      <c r="H501" t="s">
        <v>309</v>
      </c>
      <c r="I501">
        <v>13.034782608695652</v>
      </c>
      <c r="J501">
        <v>1</v>
      </c>
    </row>
    <row r="502" spans="1:10" x14ac:dyDescent="0.35">
      <c r="A502" t="s">
        <v>371</v>
      </c>
      <c r="B502">
        <v>103</v>
      </c>
      <c r="C502">
        <v>59233</v>
      </c>
      <c r="D502" t="s">
        <v>700</v>
      </c>
      <c r="E502">
        <v>14.99</v>
      </c>
      <c r="F502">
        <v>7.9799999999999995</v>
      </c>
      <c r="G502">
        <v>46189</v>
      </c>
      <c r="H502" t="s">
        <v>310</v>
      </c>
      <c r="I502">
        <v>26.069565217391304</v>
      </c>
      <c r="J502">
        <v>2</v>
      </c>
    </row>
    <row r="503" spans="1:10" x14ac:dyDescent="0.35">
      <c r="A503" t="s">
        <v>371</v>
      </c>
      <c r="B503">
        <v>103</v>
      </c>
      <c r="C503">
        <v>59233</v>
      </c>
      <c r="D503" t="s">
        <v>700</v>
      </c>
      <c r="E503">
        <v>14.99</v>
      </c>
      <c r="F503">
        <v>7.9799999999999995</v>
      </c>
      <c r="G503">
        <v>46191</v>
      </c>
      <c r="H503" t="s">
        <v>960</v>
      </c>
      <c r="I503">
        <v>26.069565217391304</v>
      </c>
      <c r="J503">
        <v>2</v>
      </c>
    </row>
    <row r="504" spans="1:10" x14ac:dyDescent="0.35">
      <c r="A504" t="s">
        <v>317</v>
      </c>
      <c r="B504">
        <v>101</v>
      </c>
      <c r="C504">
        <v>59274</v>
      </c>
      <c r="D504" t="s">
        <v>409</v>
      </c>
      <c r="E504">
        <v>21.99</v>
      </c>
      <c r="F504">
        <v>13.344114285714285</v>
      </c>
      <c r="G504">
        <v>46191</v>
      </c>
      <c r="H504" t="s">
        <v>960</v>
      </c>
      <c r="I504">
        <v>19.121739130434783</v>
      </c>
      <c r="J504">
        <v>1</v>
      </c>
    </row>
    <row r="505" spans="1:10" x14ac:dyDescent="0.35">
      <c r="A505" t="s">
        <v>14</v>
      </c>
      <c r="B505">
        <v>101</v>
      </c>
      <c r="C505">
        <v>59381</v>
      </c>
      <c r="D505" t="s">
        <v>15</v>
      </c>
      <c r="E505">
        <v>13.99</v>
      </c>
      <c r="F505">
        <v>7.36</v>
      </c>
      <c r="G505">
        <v>46188</v>
      </c>
      <c r="H505" t="s">
        <v>309</v>
      </c>
      <c r="I505">
        <v>1216.5217391304348</v>
      </c>
      <c r="J505">
        <v>100</v>
      </c>
    </row>
    <row r="506" spans="1:10" x14ac:dyDescent="0.35">
      <c r="A506" t="s">
        <v>14</v>
      </c>
      <c r="B506">
        <v>101</v>
      </c>
      <c r="C506">
        <v>59381</v>
      </c>
      <c r="D506" t="s">
        <v>15</v>
      </c>
      <c r="E506">
        <v>13.99</v>
      </c>
      <c r="F506">
        <v>7.36</v>
      </c>
      <c r="G506">
        <v>46189</v>
      </c>
      <c r="H506" t="s">
        <v>310</v>
      </c>
      <c r="I506">
        <v>1094.8695652173913</v>
      </c>
      <c r="J506">
        <v>90</v>
      </c>
    </row>
    <row r="507" spans="1:10" x14ac:dyDescent="0.35">
      <c r="A507" t="s">
        <v>14</v>
      </c>
      <c r="B507">
        <v>101</v>
      </c>
      <c r="C507">
        <v>59381</v>
      </c>
      <c r="D507" t="s">
        <v>15</v>
      </c>
      <c r="E507">
        <v>13.99</v>
      </c>
      <c r="F507">
        <v>7.36</v>
      </c>
      <c r="G507">
        <v>46190</v>
      </c>
      <c r="H507" t="s">
        <v>316</v>
      </c>
      <c r="I507">
        <v>1094.8608695652174</v>
      </c>
      <c r="J507">
        <v>91</v>
      </c>
    </row>
    <row r="508" spans="1:10" x14ac:dyDescent="0.35">
      <c r="A508" t="s">
        <v>14</v>
      </c>
      <c r="B508">
        <v>101</v>
      </c>
      <c r="C508">
        <v>59381</v>
      </c>
      <c r="D508" t="s">
        <v>15</v>
      </c>
      <c r="E508">
        <v>13.99</v>
      </c>
      <c r="F508">
        <v>7.36</v>
      </c>
      <c r="G508">
        <v>46191</v>
      </c>
      <c r="H508" t="s">
        <v>960</v>
      </c>
      <c r="I508">
        <v>1204.3565217391304</v>
      </c>
      <c r="J508">
        <v>99</v>
      </c>
    </row>
    <row r="509" spans="1:10" x14ac:dyDescent="0.35">
      <c r="A509" t="s">
        <v>14</v>
      </c>
      <c r="B509">
        <v>101</v>
      </c>
      <c r="C509">
        <v>59425</v>
      </c>
      <c r="D509" t="s">
        <v>17</v>
      </c>
      <c r="E509">
        <v>10.99</v>
      </c>
      <c r="F509">
        <v>6.3</v>
      </c>
      <c r="G509">
        <v>46188</v>
      </c>
      <c r="H509" t="s">
        <v>309</v>
      </c>
      <c r="I509">
        <v>659.4</v>
      </c>
      <c r="J509">
        <v>60</v>
      </c>
    </row>
    <row r="510" spans="1:10" x14ac:dyDescent="0.35">
      <c r="A510" t="s">
        <v>14</v>
      </c>
      <c r="B510">
        <v>101</v>
      </c>
      <c r="C510">
        <v>59425</v>
      </c>
      <c r="D510" t="s">
        <v>17</v>
      </c>
      <c r="E510">
        <v>10.99</v>
      </c>
      <c r="F510">
        <v>6.3</v>
      </c>
      <c r="G510">
        <v>46190</v>
      </c>
      <c r="H510" t="s">
        <v>316</v>
      </c>
      <c r="I510">
        <v>259.36</v>
      </c>
      <c r="J510">
        <v>24</v>
      </c>
    </row>
    <row r="511" spans="1:10" x14ac:dyDescent="0.35">
      <c r="A511" t="s">
        <v>14</v>
      </c>
      <c r="B511">
        <v>101</v>
      </c>
      <c r="C511">
        <v>59425</v>
      </c>
      <c r="D511" t="s">
        <v>17</v>
      </c>
      <c r="E511">
        <v>10.99</v>
      </c>
      <c r="F511">
        <v>6.3</v>
      </c>
      <c r="G511">
        <v>46191</v>
      </c>
      <c r="H511" t="s">
        <v>960</v>
      </c>
      <c r="I511">
        <v>164.85</v>
      </c>
      <c r="J511">
        <v>15</v>
      </c>
    </row>
    <row r="512" spans="1:10" x14ac:dyDescent="0.35">
      <c r="A512" t="s">
        <v>14</v>
      </c>
      <c r="B512">
        <v>102</v>
      </c>
      <c r="C512">
        <v>59477</v>
      </c>
      <c r="D512" t="s">
        <v>159</v>
      </c>
      <c r="E512">
        <v>5.99</v>
      </c>
      <c r="F512">
        <v>3.1</v>
      </c>
      <c r="G512">
        <v>46189</v>
      </c>
      <c r="H512" t="s">
        <v>310</v>
      </c>
      <c r="I512">
        <v>10.417391304347827</v>
      </c>
      <c r="J512">
        <v>2</v>
      </c>
    </row>
    <row r="513" spans="1:10" x14ac:dyDescent="0.35">
      <c r="A513" t="s">
        <v>14</v>
      </c>
      <c r="B513">
        <v>102</v>
      </c>
      <c r="C513">
        <v>59477</v>
      </c>
      <c r="D513" t="s">
        <v>159</v>
      </c>
      <c r="E513">
        <v>5.99</v>
      </c>
      <c r="F513">
        <v>3.1</v>
      </c>
      <c r="G513">
        <v>46190</v>
      </c>
      <c r="H513" t="s">
        <v>316</v>
      </c>
      <c r="I513">
        <v>20.834782608695654</v>
      </c>
      <c r="J513">
        <v>4</v>
      </c>
    </row>
    <row r="514" spans="1:10" x14ac:dyDescent="0.35">
      <c r="A514" t="s">
        <v>14</v>
      </c>
      <c r="B514">
        <v>102</v>
      </c>
      <c r="C514">
        <v>59477</v>
      </c>
      <c r="D514" t="s">
        <v>159</v>
      </c>
      <c r="E514">
        <v>5.99</v>
      </c>
      <c r="F514">
        <v>3.1</v>
      </c>
      <c r="G514">
        <v>46191</v>
      </c>
      <c r="H514" t="s">
        <v>960</v>
      </c>
      <c r="I514">
        <v>15.626086956521739</v>
      </c>
      <c r="J514">
        <v>3</v>
      </c>
    </row>
    <row r="515" spans="1:10" x14ac:dyDescent="0.35">
      <c r="A515" t="s">
        <v>371</v>
      </c>
      <c r="B515">
        <v>103</v>
      </c>
      <c r="C515">
        <v>60811</v>
      </c>
      <c r="D515" t="s">
        <v>873</v>
      </c>
      <c r="E515">
        <v>3</v>
      </c>
      <c r="F515">
        <v>1.59</v>
      </c>
      <c r="G515">
        <v>46190</v>
      </c>
      <c r="H515" t="s">
        <v>316</v>
      </c>
      <c r="I515">
        <v>10.434782608695652</v>
      </c>
      <c r="J515">
        <v>4</v>
      </c>
    </row>
    <row r="516" spans="1:10" x14ac:dyDescent="0.35">
      <c r="A516" t="s">
        <v>371</v>
      </c>
      <c r="B516">
        <v>103</v>
      </c>
      <c r="C516">
        <v>60813</v>
      </c>
      <c r="D516" t="s">
        <v>874</v>
      </c>
      <c r="E516">
        <v>12.99</v>
      </c>
      <c r="F516">
        <v>6.8199999999999994</v>
      </c>
      <c r="G516">
        <v>46188</v>
      </c>
      <c r="H516" t="s">
        <v>309</v>
      </c>
      <c r="I516">
        <v>79.069565217391315</v>
      </c>
      <c r="J516">
        <v>7</v>
      </c>
    </row>
    <row r="517" spans="1:10" x14ac:dyDescent="0.35">
      <c r="A517" t="s">
        <v>371</v>
      </c>
      <c r="B517">
        <v>103</v>
      </c>
      <c r="C517">
        <v>60813</v>
      </c>
      <c r="D517" t="s">
        <v>874</v>
      </c>
      <c r="E517">
        <v>12.99</v>
      </c>
      <c r="F517">
        <v>6.8199999999999994</v>
      </c>
      <c r="G517">
        <v>46189</v>
      </c>
      <c r="H517" t="s">
        <v>310</v>
      </c>
      <c r="I517">
        <v>45.182608695652178</v>
      </c>
      <c r="J517">
        <v>4</v>
      </c>
    </row>
    <row r="518" spans="1:10" x14ac:dyDescent="0.35">
      <c r="A518" t="s">
        <v>371</v>
      </c>
      <c r="B518">
        <v>103</v>
      </c>
      <c r="C518">
        <v>60813</v>
      </c>
      <c r="D518" t="s">
        <v>874</v>
      </c>
      <c r="E518">
        <v>12.99</v>
      </c>
      <c r="F518">
        <v>6.8199999999999994</v>
      </c>
      <c r="G518">
        <v>46190</v>
      </c>
      <c r="H518" t="s">
        <v>316</v>
      </c>
      <c r="I518">
        <v>33.88695652173913</v>
      </c>
      <c r="J518">
        <v>3</v>
      </c>
    </row>
    <row r="519" spans="1:10" x14ac:dyDescent="0.35">
      <c r="A519" t="s">
        <v>371</v>
      </c>
      <c r="B519">
        <v>103</v>
      </c>
      <c r="C519">
        <v>60813</v>
      </c>
      <c r="D519" t="s">
        <v>874</v>
      </c>
      <c r="E519">
        <v>12.99</v>
      </c>
      <c r="F519">
        <v>6.8199999999999994</v>
      </c>
      <c r="G519">
        <v>46191</v>
      </c>
      <c r="H519" t="s">
        <v>960</v>
      </c>
      <c r="I519">
        <v>22.591304347826089</v>
      </c>
      <c r="J519">
        <v>2</v>
      </c>
    </row>
    <row r="520" spans="1:10" x14ac:dyDescent="0.35">
      <c r="A520" t="s">
        <v>317</v>
      </c>
      <c r="B520">
        <v>107</v>
      </c>
      <c r="C520">
        <v>61786</v>
      </c>
      <c r="D520" t="s">
        <v>884</v>
      </c>
      <c r="E520">
        <v>21.99</v>
      </c>
      <c r="F520">
        <v>13.11445</v>
      </c>
      <c r="G520">
        <v>46189</v>
      </c>
      <c r="H520" t="s">
        <v>310</v>
      </c>
      <c r="I520">
        <v>57.365217391304348</v>
      </c>
      <c r="J520">
        <v>3</v>
      </c>
    </row>
    <row r="521" spans="1:10" x14ac:dyDescent="0.35">
      <c r="A521" t="s">
        <v>317</v>
      </c>
      <c r="B521">
        <v>107</v>
      </c>
      <c r="C521">
        <v>61786</v>
      </c>
      <c r="D521" t="s">
        <v>884</v>
      </c>
      <c r="E521">
        <v>21.99</v>
      </c>
      <c r="F521">
        <v>13.11445</v>
      </c>
      <c r="G521">
        <v>46190</v>
      </c>
      <c r="H521" t="s">
        <v>316</v>
      </c>
      <c r="I521">
        <v>37.286956521739128</v>
      </c>
      <c r="J521">
        <v>2</v>
      </c>
    </row>
    <row r="522" spans="1:10" x14ac:dyDescent="0.35">
      <c r="A522" t="s">
        <v>317</v>
      </c>
      <c r="B522">
        <v>107</v>
      </c>
      <c r="C522">
        <v>61786</v>
      </c>
      <c r="D522" t="s">
        <v>884</v>
      </c>
      <c r="E522">
        <v>21.99</v>
      </c>
      <c r="F522">
        <v>13.11445</v>
      </c>
      <c r="G522">
        <v>46191</v>
      </c>
      <c r="H522" t="s">
        <v>960</v>
      </c>
      <c r="I522">
        <v>76.486956521739131</v>
      </c>
      <c r="J522">
        <v>4</v>
      </c>
    </row>
    <row r="523" spans="1:10" x14ac:dyDescent="0.35">
      <c r="A523" t="s">
        <v>317</v>
      </c>
      <c r="B523">
        <v>109</v>
      </c>
      <c r="C523">
        <v>61787</v>
      </c>
      <c r="D523" t="s">
        <v>885</v>
      </c>
      <c r="E523">
        <v>23.99</v>
      </c>
      <c r="F523">
        <v>14.221549999999999</v>
      </c>
      <c r="G523">
        <v>46188</v>
      </c>
      <c r="H523" t="s">
        <v>309</v>
      </c>
      <c r="I523">
        <v>104.30434782608695</v>
      </c>
      <c r="J523">
        <v>5</v>
      </c>
    </row>
    <row r="524" spans="1:10" x14ac:dyDescent="0.35">
      <c r="A524" t="s">
        <v>14</v>
      </c>
      <c r="B524">
        <v>102</v>
      </c>
      <c r="C524">
        <v>61937</v>
      </c>
      <c r="D524" t="s">
        <v>122</v>
      </c>
      <c r="E524">
        <v>10</v>
      </c>
      <c r="F524">
        <v>2.67</v>
      </c>
      <c r="G524">
        <v>46188</v>
      </c>
      <c r="H524" t="s">
        <v>309</v>
      </c>
      <c r="I524">
        <v>104.34782608695652</v>
      </c>
      <c r="J524">
        <v>12</v>
      </c>
    </row>
    <row r="525" spans="1:10" x14ac:dyDescent="0.35">
      <c r="A525" t="s">
        <v>14</v>
      </c>
      <c r="B525">
        <v>102</v>
      </c>
      <c r="C525">
        <v>61938</v>
      </c>
      <c r="D525" t="s">
        <v>124</v>
      </c>
      <c r="E525">
        <v>10</v>
      </c>
      <c r="F525">
        <v>3.43</v>
      </c>
      <c r="G525">
        <v>46188</v>
      </c>
      <c r="H525" t="s">
        <v>309</v>
      </c>
      <c r="I525">
        <v>26.086956521739129</v>
      </c>
      <c r="J525">
        <v>3</v>
      </c>
    </row>
    <row r="526" spans="1:10" x14ac:dyDescent="0.35">
      <c r="A526" t="s">
        <v>14</v>
      </c>
      <c r="B526">
        <v>102</v>
      </c>
      <c r="C526">
        <v>61938</v>
      </c>
      <c r="D526" t="s">
        <v>124</v>
      </c>
      <c r="E526">
        <v>10</v>
      </c>
      <c r="F526">
        <v>3.43</v>
      </c>
      <c r="G526">
        <v>46190</v>
      </c>
      <c r="H526" t="s">
        <v>316</v>
      </c>
      <c r="I526">
        <v>8.695652173913043</v>
      </c>
      <c r="J526">
        <v>1</v>
      </c>
    </row>
    <row r="527" spans="1:10" x14ac:dyDescent="0.35">
      <c r="A527" t="s">
        <v>14</v>
      </c>
      <c r="B527">
        <v>102</v>
      </c>
      <c r="C527">
        <v>61939</v>
      </c>
      <c r="D527" t="s">
        <v>101</v>
      </c>
      <c r="E527">
        <v>10</v>
      </c>
      <c r="F527">
        <v>5.09</v>
      </c>
      <c r="G527">
        <v>46189</v>
      </c>
      <c r="H527" t="s">
        <v>310</v>
      </c>
      <c r="I527">
        <v>147.82608695652175</v>
      </c>
      <c r="J527">
        <v>17</v>
      </c>
    </row>
    <row r="528" spans="1:10" x14ac:dyDescent="0.35">
      <c r="A528" t="s">
        <v>14</v>
      </c>
      <c r="B528">
        <v>102</v>
      </c>
      <c r="C528">
        <v>61939</v>
      </c>
      <c r="D528" t="s">
        <v>101</v>
      </c>
      <c r="E528">
        <v>10</v>
      </c>
      <c r="F528">
        <v>5.09</v>
      </c>
      <c r="G528">
        <v>46190</v>
      </c>
      <c r="H528" t="s">
        <v>316</v>
      </c>
      <c r="I528">
        <v>164.78260869565219</v>
      </c>
      <c r="J528">
        <v>19</v>
      </c>
    </row>
    <row r="529" spans="1:10" x14ac:dyDescent="0.35">
      <c r="A529" t="s">
        <v>14</v>
      </c>
      <c r="B529">
        <v>102</v>
      </c>
      <c r="C529">
        <v>61939</v>
      </c>
      <c r="D529" t="s">
        <v>101</v>
      </c>
      <c r="E529">
        <v>10</v>
      </c>
      <c r="F529">
        <v>5.09</v>
      </c>
      <c r="G529">
        <v>46191</v>
      </c>
      <c r="H529" t="s">
        <v>960</v>
      </c>
      <c r="I529">
        <v>69.565217391304344</v>
      </c>
      <c r="J529">
        <v>8</v>
      </c>
    </row>
    <row r="530" spans="1:10" x14ac:dyDescent="0.35">
      <c r="A530" t="s">
        <v>14</v>
      </c>
      <c r="B530">
        <v>102</v>
      </c>
      <c r="C530">
        <v>61942</v>
      </c>
      <c r="D530" t="s">
        <v>123</v>
      </c>
      <c r="E530">
        <v>10</v>
      </c>
      <c r="F530">
        <v>3.73</v>
      </c>
      <c r="G530">
        <v>46191</v>
      </c>
      <c r="H530" t="s">
        <v>960</v>
      </c>
      <c r="I530">
        <v>8.695652173913043</v>
      </c>
      <c r="J530">
        <v>1</v>
      </c>
    </row>
    <row r="531" spans="1:10" x14ac:dyDescent="0.35">
      <c r="A531" t="s">
        <v>14</v>
      </c>
      <c r="B531">
        <v>101</v>
      </c>
      <c r="C531">
        <v>61947</v>
      </c>
      <c r="D531" t="s">
        <v>42</v>
      </c>
      <c r="E531">
        <v>28.99</v>
      </c>
      <c r="F531">
        <v>8.93</v>
      </c>
      <c r="G531">
        <v>46188</v>
      </c>
      <c r="H531" t="s">
        <v>309</v>
      </c>
      <c r="I531">
        <v>25.208695652173912</v>
      </c>
      <c r="J531">
        <v>1</v>
      </c>
    </row>
    <row r="532" spans="1:10" x14ac:dyDescent="0.35">
      <c r="A532" t="s">
        <v>14</v>
      </c>
      <c r="B532">
        <v>101</v>
      </c>
      <c r="C532">
        <v>61947</v>
      </c>
      <c r="D532" t="s">
        <v>42</v>
      </c>
      <c r="E532">
        <v>28.99</v>
      </c>
      <c r="F532">
        <v>8.93</v>
      </c>
      <c r="G532">
        <v>46189</v>
      </c>
      <c r="H532" t="s">
        <v>310</v>
      </c>
      <c r="I532">
        <v>25.208695652173912</v>
      </c>
      <c r="J532">
        <v>1</v>
      </c>
    </row>
    <row r="533" spans="1:10" x14ac:dyDescent="0.35">
      <c r="A533" t="s">
        <v>14</v>
      </c>
      <c r="B533">
        <v>101</v>
      </c>
      <c r="C533">
        <v>61947</v>
      </c>
      <c r="D533" t="s">
        <v>42</v>
      </c>
      <c r="E533">
        <v>28.99</v>
      </c>
      <c r="F533">
        <v>8.93</v>
      </c>
      <c r="G533">
        <v>46190</v>
      </c>
      <c r="H533" t="s">
        <v>316</v>
      </c>
      <c r="I533">
        <v>75.626086956521732</v>
      </c>
      <c r="J533">
        <v>3</v>
      </c>
    </row>
    <row r="534" spans="1:10" x14ac:dyDescent="0.35">
      <c r="A534" t="s">
        <v>14</v>
      </c>
      <c r="B534">
        <v>101</v>
      </c>
      <c r="C534">
        <v>61947</v>
      </c>
      <c r="D534" t="s">
        <v>42</v>
      </c>
      <c r="E534">
        <v>28.99</v>
      </c>
      <c r="F534">
        <v>8.93</v>
      </c>
      <c r="G534">
        <v>46191</v>
      </c>
      <c r="H534" t="s">
        <v>960</v>
      </c>
      <c r="I534">
        <v>50.417391304347824</v>
      </c>
      <c r="J534">
        <v>2</v>
      </c>
    </row>
    <row r="535" spans="1:10" x14ac:dyDescent="0.35">
      <c r="A535" t="s">
        <v>317</v>
      </c>
      <c r="B535">
        <v>101</v>
      </c>
      <c r="C535">
        <v>62319</v>
      </c>
      <c r="D535" t="s">
        <v>422</v>
      </c>
      <c r="E535">
        <v>49.99</v>
      </c>
      <c r="F535">
        <v>29.528099999999998</v>
      </c>
      <c r="G535">
        <v>46188</v>
      </c>
      <c r="H535" t="s">
        <v>309</v>
      </c>
      <c r="I535">
        <v>43.469565217391306</v>
      </c>
      <c r="J535">
        <v>1</v>
      </c>
    </row>
    <row r="536" spans="1:10" x14ac:dyDescent="0.35">
      <c r="A536" t="s">
        <v>317</v>
      </c>
      <c r="B536">
        <v>101</v>
      </c>
      <c r="C536">
        <v>62319</v>
      </c>
      <c r="D536" t="s">
        <v>422</v>
      </c>
      <c r="E536">
        <v>49.99</v>
      </c>
      <c r="F536">
        <v>29.528099999999998</v>
      </c>
      <c r="G536">
        <v>46189</v>
      </c>
      <c r="H536" t="s">
        <v>310</v>
      </c>
      <c r="I536">
        <v>86.939130434782612</v>
      </c>
      <c r="J536">
        <v>2</v>
      </c>
    </row>
    <row r="537" spans="1:10" x14ac:dyDescent="0.35">
      <c r="A537" t="s">
        <v>317</v>
      </c>
      <c r="B537">
        <v>101</v>
      </c>
      <c r="C537">
        <v>62326</v>
      </c>
      <c r="D537" t="s">
        <v>424</v>
      </c>
      <c r="E537">
        <v>189.99</v>
      </c>
      <c r="F537">
        <v>118.89879999999999</v>
      </c>
      <c r="G537">
        <v>46190</v>
      </c>
      <c r="H537" t="s">
        <v>316</v>
      </c>
      <c r="I537">
        <v>165.20869565217393</v>
      </c>
      <c r="J537">
        <v>1</v>
      </c>
    </row>
    <row r="538" spans="1:10" x14ac:dyDescent="0.35">
      <c r="A538" t="s">
        <v>317</v>
      </c>
      <c r="B538">
        <v>109</v>
      </c>
      <c r="C538">
        <v>62327</v>
      </c>
      <c r="D538" t="s">
        <v>892</v>
      </c>
      <c r="E538">
        <v>104.99</v>
      </c>
      <c r="F538">
        <v>65.781599999999997</v>
      </c>
      <c r="G538">
        <v>46188</v>
      </c>
      <c r="H538" t="s">
        <v>309</v>
      </c>
      <c r="I538">
        <v>91.295652173913041</v>
      </c>
      <c r="J538">
        <v>1</v>
      </c>
    </row>
    <row r="539" spans="1:10" x14ac:dyDescent="0.35">
      <c r="A539" t="s">
        <v>317</v>
      </c>
      <c r="B539">
        <v>109</v>
      </c>
      <c r="C539">
        <v>62328</v>
      </c>
      <c r="D539" t="s">
        <v>893</v>
      </c>
      <c r="E539">
        <v>69.989999999999995</v>
      </c>
      <c r="F539">
        <v>40.963850000000001</v>
      </c>
      <c r="G539">
        <v>46188</v>
      </c>
      <c r="H539" t="s">
        <v>309</v>
      </c>
      <c r="I539">
        <v>60.860869565217385</v>
      </c>
      <c r="J539">
        <v>1</v>
      </c>
    </row>
    <row r="540" spans="1:10" x14ac:dyDescent="0.35">
      <c r="A540" t="s">
        <v>317</v>
      </c>
      <c r="B540">
        <v>109</v>
      </c>
      <c r="C540">
        <v>62328</v>
      </c>
      <c r="D540" t="s">
        <v>893</v>
      </c>
      <c r="E540">
        <v>69.989999999999995</v>
      </c>
      <c r="F540">
        <v>40.963850000000001</v>
      </c>
      <c r="G540">
        <v>46190</v>
      </c>
      <c r="H540" t="s">
        <v>316</v>
      </c>
      <c r="I540">
        <v>60.860869565217385</v>
      </c>
      <c r="J540">
        <v>1</v>
      </c>
    </row>
    <row r="541" spans="1:10" x14ac:dyDescent="0.35">
      <c r="A541" t="s">
        <v>317</v>
      </c>
      <c r="B541">
        <v>109</v>
      </c>
      <c r="C541">
        <v>62329</v>
      </c>
      <c r="D541" t="s">
        <v>894</v>
      </c>
      <c r="E541">
        <v>69.989999999999995</v>
      </c>
      <c r="F541">
        <v>40.963850000000001</v>
      </c>
      <c r="G541">
        <v>46189</v>
      </c>
      <c r="H541" t="s">
        <v>310</v>
      </c>
      <c r="I541">
        <v>60.860869565217385</v>
      </c>
      <c r="J541">
        <v>1</v>
      </c>
    </row>
    <row r="542" spans="1:10" x14ac:dyDescent="0.35">
      <c r="A542" t="s">
        <v>317</v>
      </c>
      <c r="B542">
        <v>101</v>
      </c>
      <c r="C542">
        <v>62333</v>
      </c>
      <c r="D542" t="s">
        <v>426</v>
      </c>
      <c r="E542">
        <v>69.989999999999995</v>
      </c>
      <c r="F542">
        <v>40.963850000000001</v>
      </c>
      <c r="G542">
        <v>46189</v>
      </c>
      <c r="H542" t="s">
        <v>310</v>
      </c>
      <c r="I542">
        <v>60.860869565217385</v>
      </c>
      <c r="J542">
        <v>1</v>
      </c>
    </row>
    <row r="543" spans="1:10" x14ac:dyDescent="0.35">
      <c r="A543" t="s">
        <v>14</v>
      </c>
      <c r="B543">
        <v>120</v>
      </c>
      <c r="C543">
        <v>62585</v>
      </c>
      <c r="D543" t="s">
        <v>281</v>
      </c>
      <c r="E543">
        <v>60</v>
      </c>
      <c r="F543">
        <v>26.17</v>
      </c>
      <c r="G543">
        <v>46189</v>
      </c>
      <c r="H543" t="s">
        <v>310</v>
      </c>
      <c r="I543">
        <v>6217.391304347826</v>
      </c>
      <c r="J543">
        <v>130</v>
      </c>
    </row>
    <row r="544" spans="1:10" x14ac:dyDescent="0.35">
      <c r="A544" t="s">
        <v>14</v>
      </c>
      <c r="B544">
        <v>101</v>
      </c>
      <c r="C544">
        <v>62622</v>
      </c>
      <c r="D544" t="s">
        <v>70</v>
      </c>
      <c r="E544">
        <v>26.99</v>
      </c>
      <c r="F544">
        <v>14.15</v>
      </c>
      <c r="G544">
        <v>46188</v>
      </c>
      <c r="H544" t="s">
        <v>309</v>
      </c>
      <c r="I544">
        <v>70.408695652173918</v>
      </c>
      <c r="J544">
        <v>3</v>
      </c>
    </row>
    <row r="545" spans="1:10" x14ac:dyDescent="0.35">
      <c r="A545" t="s">
        <v>14</v>
      </c>
      <c r="B545">
        <v>101</v>
      </c>
      <c r="C545">
        <v>62622</v>
      </c>
      <c r="D545" t="s">
        <v>70</v>
      </c>
      <c r="E545">
        <v>26.99</v>
      </c>
      <c r="F545">
        <v>14.15</v>
      </c>
      <c r="G545">
        <v>46190</v>
      </c>
      <c r="H545" t="s">
        <v>316</v>
      </c>
      <c r="I545">
        <v>91.530434782608694</v>
      </c>
      <c r="J545">
        <v>4</v>
      </c>
    </row>
    <row r="546" spans="1:10" x14ac:dyDescent="0.35">
      <c r="A546" t="s">
        <v>14</v>
      </c>
      <c r="B546">
        <v>101</v>
      </c>
      <c r="C546">
        <v>62622</v>
      </c>
      <c r="D546" t="s">
        <v>70</v>
      </c>
      <c r="E546">
        <v>26.99</v>
      </c>
      <c r="F546">
        <v>14.15</v>
      </c>
      <c r="G546">
        <v>46191</v>
      </c>
      <c r="H546" t="s">
        <v>960</v>
      </c>
      <c r="I546">
        <v>23.469565217391303</v>
      </c>
      <c r="J546">
        <v>1</v>
      </c>
    </row>
    <row r="547" spans="1:10" x14ac:dyDescent="0.35">
      <c r="A547" t="s">
        <v>14</v>
      </c>
      <c r="B547">
        <v>120</v>
      </c>
      <c r="C547">
        <v>62629</v>
      </c>
      <c r="D547" t="s">
        <v>282</v>
      </c>
      <c r="E547">
        <v>60</v>
      </c>
      <c r="F547">
        <v>33.18</v>
      </c>
      <c r="G547">
        <v>46189</v>
      </c>
      <c r="H547" t="s">
        <v>310</v>
      </c>
      <c r="I547">
        <v>1043.4782608695652</v>
      </c>
      <c r="J547">
        <v>20</v>
      </c>
    </row>
    <row r="548" spans="1:10" x14ac:dyDescent="0.35">
      <c r="A548" t="s">
        <v>317</v>
      </c>
      <c r="B548">
        <v>101</v>
      </c>
      <c r="C548">
        <v>62692</v>
      </c>
      <c r="D548" t="s">
        <v>434</v>
      </c>
      <c r="E548">
        <v>69.989999999999995</v>
      </c>
      <c r="F548">
        <v>43.867849999999997</v>
      </c>
      <c r="G548">
        <v>46190</v>
      </c>
      <c r="H548" t="s">
        <v>316</v>
      </c>
      <c r="I548">
        <v>57.817391304347822</v>
      </c>
      <c r="J548">
        <v>1</v>
      </c>
    </row>
    <row r="549" spans="1:10" x14ac:dyDescent="0.35">
      <c r="A549" t="s">
        <v>317</v>
      </c>
      <c r="B549">
        <v>109</v>
      </c>
      <c r="C549">
        <v>64321</v>
      </c>
      <c r="D549" t="s">
        <v>919</v>
      </c>
      <c r="E549">
        <v>31.99</v>
      </c>
      <c r="F549">
        <v>19.7093375</v>
      </c>
      <c r="G549">
        <v>46189</v>
      </c>
      <c r="H549" t="s">
        <v>310</v>
      </c>
      <c r="I549">
        <v>27.817391304347826</v>
      </c>
      <c r="J549">
        <v>1</v>
      </c>
    </row>
    <row r="550" spans="1:10" x14ac:dyDescent="0.35">
      <c r="A550" t="s">
        <v>317</v>
      </c>
      <c r="B550">
        <v>109</v>
      </c>
      <c r="C550">
        <v>64321</v>
      </c>
      <c r="D550" t="s">
        <v>919</v>
      </c>
      <c r="E550">
        <v>31.99</v>
      </c>
      <c r="F550">
        <v>19.7093375</v>
      </c>
      <c r="G550">
        <v>46190</v>
      </c>
      <c r="H550" t="s">
        <v>316</v>
      </c>
      <c r="I550">
        <v>54.243478260869566</v>
      </c>
      <c r="J550">
        <v>2</v>
      </c>
    </row>
    <row r="551" spans="1:10" x14ac:dyDescent="0.35">
      <c r="A551" t="s">
        <v>317</v>
      </c>
      <c r="B551">
        <v>109</v>
      </c>
      <c r="C551">
        <v>64321</v>
      </c>
      <c r="D551" t="s">
        <v>919</v>
      </c>
      <c r="E551">
        <v>31.99</v>
      </c>
      <c r="F551">
        <v>19.7093375</v>
      </c>
      <c r="G551">
        <v>46191</v>
      </c>
      <c r="H551" t="s">
        <v>960</v>
      </c>
      <c r="I551">
        <v>111.2695652173913</v>
      </c>
      <c r="J551">
        <v>4</v>
      </c>
    </row>
    <row r="552" spans="1:10" x14ac:dyDescent="0.35">
      <c r="A552" t="s">
        <v>317</v>
      </c>
      <c r="B552">
        <v>101</v>
      </c>
      <c r="C552">
        <v>64596</v>
      </c>
      <c r="D552" t="s">
        <v>444</v>
      </c>
      <c r="E552">
        <v>42.99</v>
      </c>
      <c r="F552">
        <v>27.290666666666667</v>
      </c>
      <c r="G552">
        <v>46188</v>
      </c>
      <c r="H552" t="s">
        <v>309</v>
      </c>
      <c r="I552">
        <v>74.765217391304347</v>
      </c>
      <c r="J552">
        <v>2</v>
      </c>
    </row>
    <row r="553" spans="1:10" x14ac:dyDescent="0.35">
      <c r="A553" t="s">
        <v>317</v>
      </c>
      <c r="B553">
        <v>101</v>
      </c>
      <c r="C553">
        <v>64596</v>
      </c>
      <c r="D553" t="s">
        <v>444</v>
      </c>
      <c r="E553">
        <v>42.99</v>
      </c>
      <c r="F553">
        <v>27.290666666666667</v>
      </c>
      <c r="G553">
        <v>46190</v>
      </c>
      <c r="H553" t="s">
        <v>316</v>
      </c>
      <c r="I553">
        <v>37.382608695652173</v>
      </c>
      <c r="J553">
        <v>1</v>
      </c>
    </row>
    <row r="554" spans="1:10" x14ac:dyDescent="0.35">
      <c r="A554" t="s">
        <v>804</v>
      </c>
      <c r="B554">
        <v>104</v>
      </c>
      <c r="C554">
        <v>66092</v>
      </c>
      <c r="D554" t="s">
        <v>931</v>
      </c>
      <c r="E554">
        <v>19.989999999999998</v>
      </c>
      <c r="F554">
        <v>12</v>
      </c>
      <c r="G554">
        <v>46188</v>
      </c>
      <c r="H554" t="s">
        <v>309</v>
      </c>
      <c r="I554">
        <v>17.382608695652173</v>
      </c>
      <c r="J554">
        <v>1</v>
      </c>
    </row>
    <row r="555" spans="1:10" x14ac:dyDescent="0.35">
      <c r="A555" t="s">
        <v>804</v>
      </c>
      <c r="B555">
        <v>104</v>
      </c>
      <c r="C555">
        <v>66092</v>
      </c>
      <c r="D555" t="s">
        <v>931</v>
      </c>
      <c r="E555">
        <v>19.989999999999998</v>
      </c>
      <c r="F555">
        <v>12</v>
      </c>
      <c r="G555">
        <v>46190</v>
      </c>
      <c r="H555" t="s">
        <v>316</v>
      </c>
      <c r="I555">
        <v>16.513043478260869</v>
      </c>
      <c r="J555">
        <v>1</v>
      </c>
    </row>
    <row r="556" spans="1:10" x14ac:dyDescent="0.35">
      <c r="A556" t="s">
        <v>804</v>
      </c>
      <c r="B556">
        <v>104</v>
      </c>
      <c r="C556">
        <v>66092</v>
      </c>
      <c r="D556" t="s">
        <v>931</v>
      </c>
      <c r="E556">
        <v>19.989999999999998</v>
      </c>
      <c r="F556">
        <v>12</v>
      </c>
      <c r="G556">
        <v>46191</v>
      </c>
      <c r="H556" t="s">
        <v>960</v>
      </c>
      <c r="I556">
        <v>52.14782608695652</v>
      </c>
      <c r="J556">
        <v>3</v>
      </c>
    </row>
    <row r="557" spans="1:10" x14ac:dyDescent="0.35">
      <c r="A557" t="s">
        <v>804</v>
      </c>
      <c r="B557">
        <v>104</v>
      </c>
      <c r="C557">
        <v>66093</v>
      </c>
      <c r="D557" t="s">
        <v>932</v>
      </c>
      <c r="E557">
        <v>19.989999999999998</v>
      </c>
      <c r="F557">
        <v>13.25</v>
      </c>
      <c r="G557">
        <v>46188</v>
      </c>
      <c r="H557" t="s">
        <v>309</v>
      </c>
      <c r="I557">
        <v>17.382608695652173</v>
      </c>
      <c r="J557">
        <v>1</v>
      </c>
    </row>
    <row r="558" spans="1:10" x14ac:dyDescent="0.35">
      <c r="A558" t="s">
        <v>804</v>
      </c>
      <c r="B558">
        <v>104</v>
      </c>
      <c r="C558">
        <v>66093</v>
      </c>
      <c r="D558" t="s">
        <v>932</v>
      </c>
      <c r="E558">
        <v>19.989999999999998</v>
      </c>
      <c r="F558">
        <v>13.25</v>
      </c>
      <c r="G558">
        <v>46189</v>
      </c>
      <c r="H558" t="s">
        <v>310</v>
      </c>
      <c r="I558">
        <v>34.765217391304347</v>
      </c>
      <c r="J558">
        <v>2</v>
      </c>
    </row>
    <row r="559" spans="1:10" x14ac:dyDescent="0.35">
      <c r="A559" t="s">
        <v>804</v>
      </c>
      <c r="B559">
        <v>104</v>
      </c>
      <c r="C559">
        <v>66093</v>
      </c>
      <c r="D559" t="s">
        <v>932</v>
      </c>
      <c r="E559">
        <v>19.989999999999998</v>
      </c>
      <c r="F559">
        <v>13.25</v>
      </c>
      <c r="G559">
        <v>46190</v>
      </c>
      <c r="H559" t="s">
        <v>316</v>
      </c>
      <c r="I559">
        <v>33.026086956521738</v>
      </c>
      <c r="J559">
        <v>2</v>
      </c>
    </row>
    <row r="560" spans="1:10" x14ac:dyDescent="0.35">
      <c r="A560" t="s">
        <v>804</v>
      </c>
      <c r="B560">
        <v>104</v>
      </c>
      <c r="C560">
        <v>66093</v>
      </c>
      <c r="D560" t="s">
        <v>932</v>
      </c>
      <c r="E560">
        <v>19.989999999999998</v>
      </c>
      <c r="F560">
        <v>13.25</v>
      </c>
      <c r="G560">
        <v>46191</v>
      </c>
      <c r="H560" t="s">
        <v>960</v>
      </c>
      <c r="I560">
        <v>86.913043478260875</v>
      </c>
      <c r="J560">
        <v>5</v>
      </c>
    </row>
    <row r="561" spans="1:10" x14ac:dyDescent="0.35">
      <c r="A561" t="s">
        <v>317</v>
      </c>
      <c r="B561">
        <v>101</v>
      </c>
      <c r="C561">
        <v>66653</v>
      </c>
      <c r="D561" t="s">
        <v>460</v>
      </c>
      <c r="E561">
        <v>49.99</v>
      </c>
      <c r="F561">
        <v>30.655766666666665</v>
      </c>
      <c r="G561">
        <v>46190</v>
      </c>
      <c r="H561" t="s">
        <v>316</v>
      </c>
      <c r="I561">
        <v>82.591304347826096</v>
      </c>
      <c r="J561">
        <v>2</v>
      </c>
    </row>
    <row r="562" spans="1:10" x14ac:dyDescent="0.35">
      <c r="A562" t="s">
        <v>317</v>
      </c>
      <c r="B562">
        <v>101</v>
      </c>
      <c r="C562">
        <v>66653</v>
      </c>
      <c r="D562" t="s">
        <v>460</v>
      </c>
      <c r="E562">
        <v>49.99</v>
      </c>
      <c r="F562">
        <v>30.655766666666665</v>
      </c>
      <c r="G562">
        <v>46191</v>
      </c>
      <c r="H562" t="s">
        <v>960</v>
      </c>
      <c r="I562">
        <v>173.87826086956522</v>
      </c>
      <c r="J562">
        <v>4</v>
      </c>
    </row>
    <row r="563" spans="1:10" x14ac:dyDescent="0.35">
      <c r="A563" t="s">
        <v>724</v>
      </c>
      <c r="B563">
        <v>112</v>
      </c>
      <c r="C563">
        <v>66728</v>
      </c>
      <c r="D563" t="s">
        <v>945</v>
      </c>
      <c r="E563">
        <v>79.989999999999995</v>
      </c>
      <c r="F563">
        <v>49.382599999999996</v>
      </c>
      <c r="G563">
        <v>46190</v>
      </c>
      <c r="H563" t="s">
        <v>316</v>
      </c>
      <c r="I563">
        <v>69.556521739130432</v>
      </c>
      <c r="J563">
        <v>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93C53-019E-4103-97DF-B174A1914065}">
  <dimension ref="A1:J563"/>
  <sheetViews>
    <sheetView topLeftCell="A458" workbookViewId="0">
      <selection activeCell="A2" sqref="A2:J563"/>
    </sheetView>
  </sheetViews>
  <sheetFormatPr defaultRowHeight="13" x14ac:dyDescent="0.35"/>
  <cols>
    <col min="1" max="1" width="36.5" bestFit="1" customWidth="1"/>
    <col min="2" max="2" width="18.796875" bestFit="1" customWidth="1"/>
    <col min="3" max="3" width="16.5" bestFit="1" customWidth="1"/>
    <col min="4" max="4" width="41.8984375" bestFit="1" customWidth="1"/>
    <col min="5" max="5" width="6.8984375" bestFit="1" customWidth="1"/>
    <col min="6" max="6" width="11.8984375" bestFit="1" customWidth="1"/>
    <col min="7" max="7" width="7.796875" bestFit="1" customWidth="1"/>
    <col min="8" max="8" width="11" bestFit="1" customWidth="1"/>
    <col min="9" max="9" width="18.59765625" bestFit="1" customWidth="1"/>
    <col min="10" max="10" width="17" bestFit="1" customWidth="1"/>
  </cols>
  <sheetData>
    <row r="1" spans="1:10" x14ac:dyDescent="0.35">
      <c r="A1" t="s">
        <v>0</v>
      </c>
      <c r="B1" t="s">
        <v>303</v>
      </c>
      <c r="C1" t="s">
        <v>1</v>
      </c>
      <c r="D1" t="s">
        <v>2</v>
      </c>
      <c r="E1" t="s">
        <v>3</v>
      </c>
      <c r="F1" t="s">
        <v>4</v>
      </c>
      <c r="G1" t="s">
        <v>311</v>
      </c>
      <c r="H1" t="s">
        <v>312</v>
      </c>
      <c r="I1" t="s">
        <v>6</v>
      </c>
      <c r="J1" t="s">
        <v>8</v>
      </c>
    </row>
    <row r="2" spans="1:10" x14ac:dyDescent="0.35">
      <c r="A2" t="s">
        <v>476</v>
      </c>
      <c r="B2">
        <v>109</v>
      </c>
      <c r="C2">
        <v>8913</v>
      </c>
      <c r="D2" t="s">
        <v>477</v>
      </c>
      <c r="E2">
        <v>9.99</v>
      </c>
      <c r="F2">
        <v>5.7391666666666667</v>
      </c>
      <c r="G2">
        <v>46188</v>
      </c>
      <c r="H2" t="s">
        <v>309</v>
      </c>
      <c r="I2">
        <v>26.060869565217391</v>
      </c>
      <c r="J2">
        <v>3</v>
      </c>
    </row>
    <row r="3" spans="1:10" x14ac:dyDescent="0.35">
      <c r="A3" t="s">
        <v>476</v>
      </c>
      <c r="B3">
        <v>109</v>
      </c>
      <c r="C3">
        <v>8913</v>
      </c>
      <c r="D3" t="s">
        <v>477</v>
      </c>
      <c r="E3">
        <v>9.99</v>
      </c>
      <c r="F3">
        <v>5.7391666666666667</v>
      </c>
      <c r="G3">
        <v>46189</v>
      </c>
      <c r="H3" t="s">
        <v>310</v>
      </c>
      <c r="I3">
        <v>26.060869565217391</v>
      </c>
      <c r="J3">
        <v>3</v>
      </c>
    </row>
    <row r="4" spans="1:10" x14ac:dyDescent="0.35">
      <c r="A4" t="s">
        <v>476</v>
      </c>
      <c r="B4">
        <v>109</v>
      </c>
      <c r="C4">
        <v>8913</v>
      </c>
      <c r="D4" t="s">
        <v>477</v>
      </c>
      <c r="E4">
        <v>9.99</v>
      </c>
      <c r="F4">
        <v>5.7391666666666667</v>
      </c>
      <c r="G4">
        <v>46191</v>
      </c>
      <c r="H4" t="s">
        <v>960</v>
      </c>
      <c r="I4">
        <v>8.6869565217391305</v>
      </c>
      <c r="J4">
        <v>1</v>
      </c>
    </row>
    <row r="5" spans="1:10" x14ac:dyDescent="0.35">
      <c r="A5" t="s">
        <v>476</v>
      </c>
      <c r="B5">
        <v>109</v>
      </c>
      <c r="C5">
        <v>8915</v>
      </c>
      <c r="D5" t="s">
        <v>478</v>
      </c>
      <c r="E5">
        <v>9.99</v>
      </c>
      <c r="F5">
        <v>5.7391666666666667</v>
      </c>
      <c r="G5">
        <v>46188</v>
      </c>
      <c r="H5" t="s">
        <v>309</v>
      </c>
      <c r="I5">
        <v>8.6869565217391305</v>
      </c>
      <c r="J5">
        <v>1</v>
      </c>
    </row>
    <row r="6" spans="1:10" x14ac:dyDescent="0.35">
      <c r="A6" t="s">
        <v>476</v>
      </c>
      <c r="B6">
        <v>109</v>
      </c>
      <c r="C6">
        <v>8915</v>
      </c>
      <c r="D6" t="s">
        <v>478</v>
      </c>
      <c r="E6">
        <v>9.99</v>
      </c>
      <c r="F6">
        <v>5.7391666666666667</v>
      </c>
      <c r="G6">
        <v>46190</v>
      </c>
      <c r="H6" t="s">
        <v>316</v>
      </c>
      <c r="I6">
        <v>17.373913043478261</v>
      </c>
      <c r="J6">
        <v>2</v>
      </c>
    </row>
    <row r="7" spans="1:10" x14ac:dyDescent="0.35">
      <c r="A7" t="s">
        <v>317</v>
      </c>
      <c r="B7">
        <v>106</v>
      </c>
      <c r="C7">
        <v>14582</v>
      </c>
      <c r="D7" t="s">
        <v>482</v>
      </c>
      <c r="E7">
        <v>22.99</v>
      </c>
      <c r="F7">
        <v>13.88095</v>
      </c>
      <c r="G7">
        <v>46191</v>
      </c>
      <c r="H7" t="s">
        <v>960</v>
      </c>
      <c r="I7">
        <v>19.991304347826087</v>
      </c>
      <c r="J7">
        <v>1</v>
      </c>
    </row>
    <row r="8" spans="1:10" x14ac:dyDescent="0.35">
      <c r="A8" t="s">
        <v>317</v>
      </c>
      <c r="B8">
        <v>106</v>
      </c>
      <c r="C8">
        <v>14712</v>
      </c>
      <c r="D8" t="s">
        <v>483</v>
      </c>
      <c r="E8">
        <v>51.99</v>
      </c>
      <c r="F8">
        <v>32.214849999999998</v>
      </c>
      <c r="G8">
        <v>46188</v>
      </c>
      <c r="H8" t="s">
        <v>309</v>
      </c>
      <c r="I8">
        <v>90.417391304347831</v>
      </c>
      <c r="J8">
        <v>2</v>
      </c>
    </row>
    <row r="9" spans="1:10" x14ac:dyDescent="0.35">
      <c r="A9" t="s">
        <v>317</v>
      </c>
      <c r="B9">
        <v>106</v>
      </c>
      <c r="C9">
        <v>14713</v>
      </c>
      <c r="D9" t="s">
        <v>484</v>
      </c>
      <c r="E9">
        <v>39.99</v>
      </c>
      <c r="F9">
        <v>25.062649999999998</v>
      </c>
      <c r="G9">
        <v>46188</v>
      </c>
      <c r="H9" t="s">
        <v>309</v>
      </c>
      <c r="I9">
        <v>34.77391304347826</v>
      </c>
      <c r="J9">
        <v>1</v>
      </c>
    </row>
    <row r="10" spans="1:10" x14ac:dyDescent="0.35">
      <c r="A10" t="s">
        <v>317</v>
      </c>
      <c r="B10">
        <v>106</v>
      </c>
      <c r="C10">
        <v>14713</v>
      </c>
      <c r="D10" t="s">
        <v>484</v>
      </c>
      <c r="E10">
        <v>39.99</v>
      </c>
      <c r="F10">
        <v>25.062649999999998</v>
      </c>
      <c r="G10">
        <v>46189</v>
      </c>
      <c r="H10" t="s">
        <v>310</v>
      </c>
      <c r="I10">
        <v>173.86956521739128</v>
      </c>
      <c r="J10">
        <v>5</v>
      </c>
    </row>
    <row r="11" spans="1:10" x14ac:dyDescent="0.35">
      <c r="A11" t="s">
        <v>317</v>
      </c>
      <c r="B11">
        <v>106</v>
      </c>
      <c r="C11">
        <v>14713</v>
      </c>
      <c r="D11" t="s">
        <v>484</v>
      </c>
      <c r="E11">
        <v>39.99</v>
      </c>
      <c r="F11">
        <v>25.062649999999998</v>
      </c>
      <c r="G11">
        <v>46190</v>
      </c>
      <c r="H11" t="s">
        <v>316</v>
      </c>
      <c r="I11">
        <v>34.77391304347826</v>
      </c>
      <c r="J11">
        <v>1</v>
      </c>
    </row>
    <row r="12" spans="1:10" x14ac:dyDescent="0.35">
      <c r="A12" t="s">
        <v>317</v>
      </c>
      <c r="B12">
        <v>106</v>
      </c>
      <c r="C12">
        <v>14713</v>
      </c>
      <c r="D12" t="s">
        <v>484</v>
      </c>
      <c r="E12">
        <v>39.99</v>
      </c>
      <c r="F12">
        <v>25.062649999999998</v>
      </c>
      <c r="G12">
        <v>46191</v>
      </c>
      <c r="H12" t="s">
        <v>960</v>
      </c>
      <c r="I12">
        <v>34.77391304347826</v>
      </c>
      <c r="J12">
        <v>1</v>
      </c>
    </row>
    <row r="13" spans="1:10" x14ac:dyDescent="0.35">
      <c r="A13" t="s">
        <v>317</v>
      </c>
      <c r="B13">
        <v>106</v>
      </c>
      <c r="C13">
        <v>14714</v>
      </c>
      <c r="D13" t="s">
        <v>485</v>
      </c>
      <c r="E13">
        <v>43.99</v>
      </c>
      <c r="F13">
        <v>27.177240000000001</v>
      </c>
      <c r="G13">
        <v>46188</v>
      </c>
      <c r="H13" t="s">
        <v>309</v>
      </c>
      <c r="I13">
        <v>38.252173913043478</v>
      </c>
      <c r="J13">
        <v>1</v>
      </c>
    </row>
    <row r="14" spans="1:10" x14ac:dyDescent="0.35">
      <c r="A14" t="s">
        <v>317</v>
      </c>
      <c r="B14">
        <v>106</v>
      </c>
      <c r="C14">
        <v>14716</v>
      </c>
      <c r="D14" t="s">
        <v>487</v>
      </c>
      <c r="E14">
        <v>43.99</v>
      </c>
      <c r="F14">
        <v>27.177240000000001</v>
      </c>
      <c r="G14">
        <v>46188</v>
      </c>
      <c r="H14" t="s">
        <v>309</v>
      </c>
      <c r="I14">
        <v>114.75652173913043</v>
      </c>
      <c r="J14">
        <v>3</v>
      </c>
    </row>
    <row r="15" spans="1:10" x14ac:dyDescent="0.35">
      <c r="A15" t="s">
        <v>317</v>
      </c>
      <c r="B15">
        <v>106</v>
      </c>
      <c r="C15">
        <v>14716</v>
      </c>
      <c r="D15" t="s">
        <v>487</v>
      </c>
      <c r="E15">
        <v>43.99</v>
      </c>
      <c r="F15">
        <v>27.177240000000001</v>
      </c>
      <c r="G15">
        <v>46191</v>
      </c>
      <c r="H15" t="s">
        <v>960</v>
      </c>
      <c r="I15">
        <v>76.504347826086956</v>
      </c>
      <c r="J15">
        <v>2</v>
      </c>
    </row>
    <row r="16" spans="1:10" x14ac:dyDescent="0.35">
      <c r="A16" t="s">
        <v>317</v>
      </c>
      <c r="B16">
        <v>106</v>
      </c>
      <c r="C16">
        <v>14721</v>
      </c>
      <c r="D16" t="s">
        <v>492</v>
      </c>
      <c r="E16">
        <v>42.99</v>
      </c>
      <c r="F16">
        <v>26.658679999999997</v>
      </c>
      <c r="G16">
        <v>46188</v>
      </c>
      <c r="H16" t="s">
        <v>309</v>
      </c>
      <c r="I16">
        <v>37.382608695652173</v>
      </c>
      <c r="J16">
        <v>1</v>
      </c>
    </row>
    <row r="17" spans="1:10" x14ac:dyDescent="0.35">
      <c r="A17" t="s">
        <v>317</v>
      </c>
      <c r="B17">
        <v>106</v>
      </c>
      <c r="C17">
        <v>14723</v>
      </c>
      <c r="D17" t="s">
        <v>494</v>
      </c>
      <c r="E17">
        <v>57.99</v>
      </c>
      <c r="F17">
        <v>36.126940000000005</v>
      </c>
      <c r="G17">
        <v>46189</v>
      </c>
      <c r="H17" t="s">
        <v>310</v>
      </c>
      <c r="I17">
        <v>50.426086956521743</v>
      </c>
      <c r="J17">
        <v>1</v>
      </c>
    </row>
    <row r="18" spans="1:10" x14ac:dyDescent="0.35">
      <c r="A18" t="s">
        <v>317</v>
      </c>
      <c r="B18">
        <v>106</v>
      </c>
      <c r="C18">
        <v>14728</v>
      </c>
      <c r="D18" t="s">
        <v>497</v>
      </c>
      <c r="E18">
        <v>51.99</v>
      </c>
      <c r="F18">
        <v>32.159280000000003</v>
      </c>
      <c r="G18">
        <v>46188</v>
      </c>
      <c r="H18" t="s">
        <v>309</v>
      </c>
      <c r="I18">
        <v>180.83478260869566</v>
      </c>
      <c r="J18">
        <v>4</v>
      </c>
    </row>
    <row r="19" spans="1:10" x14ac:dyDescent="0.35">
      <c r="A19" t="s">
        <v>317</v>
      </c>
      <c r="B19">
        <v>108</v>
      </c>
      <c r="C19">
        <v>14834</v>
      </c>
      <c r="D19" t="s">
        <v>499</v>
      </c>
      <c r="E19">
        <v>67.989999999999995</v>
      </c>
      <c r="F19">
        <v>41.68047</v>
      </c>
      <c r="G19">
        <v>46189</v>
      </c>
      <c r="H19" t="s">
        <v>310</v>
      </c>
      <c r="I19">
        <v>59.121739130434776</v>
      </c>
      <c r="J19">
        <v>1</v>
      </c>
    </row>
    <row r="20" spans="1:10" x14ac:dyDescent="0.35">
      <c r="A20" t="s">
        <v>317</v>
      </c>
      <c r="B20">
        <v>108</v>
      </c>
      <c r="C20">
        <v>14835</v>
      </c>
      <c r="D20" t="s">
        <v>500</v>
      </c>
      <c r="E20">
        <v>67.989999999999995</v>
      </c>
      <c r="F20">
        <v>41.68047</v>
      </c>
      <c r="G20">
        <v>46191</v>
      </c>
      <c r="H20" t="s">
        <v>960</v>
      </c>
      <c r="I20">
        <v>59.121739130434776</v>
      </c>
      <c r="J20">
        <v>1</v>
      </c>
    </row>
    <row r="21" spans="1:10" x14ac:dyDescent="0.35">
      <c r="A21" t="s">
        <v>317</v>
      </c>
      <c r="B21">
        <v>108</v>
      </c>
      <c r="C21">
        <v>14846</v>
      </c>
      <c r="D21" t="s">
        <v>501</v>
      </c>
      <c r="E21">
        <v>109.99</v>
      </c>
      <c r="F21">
        <v>67.861333333333334</v>
      </c>
      <c r="G21">
        <v>46189</v>
      </c>
      <c r="H21" t="s">
        <v>310</v>
      </c>
      <c r="I21">
        <v>95.643478260869557</v>
      </c>
      <c r="J21">
        <v>1</v>
      </c>
    </row>
    <row r="22" spans="1:10" x14ac:dyDescent="0.35">
      <c r="A22" t="s">
        <v>317</v>
      </c>
      <c r="B22">
        <v>108</v>
      </c>
      <c r="C22">
        <v>14847</v>
      </c>
      <c r="D22" t="s">
        <v>502</v>
      </c>
      <c r="E22">
        <v>109.99</v>
      </c>
      <c r="F22">
        <v>67.861333333333334</v>
      </c>
      <c r="G22">
        <v>46188</v>
      </c>
      <c r="H22" t="s">
        <v>309</v>
      </c>
      <c r="I22">
        <v>191.28695652173911</v>
      </c>
      <c r="J22">
        <v>2</v>
      </c>
    </row>
    <row r="23" spans="1:10" x14ac:dyDescent="0.35">
      <c r="A23" t="s">
        <v>317</v>
      </c>
      <c r="B23">
        <v>108</v>
      </c>
      <c r="C23">
        <v>14847</v>
      </c>
      <c r="D23" t="s">
        <v>502</v>
      </c>
      <c r="E23">
        <v>109.99</v>
      </c>
      <c r="F23">
        <v>67.861333333333334</v>
      </c>
      <c r="G23">
        <v>46189</v>
      </c>
      <c r="H23" t="s">
        <v>310</v>
      </c>
      <c r="I23">
        <v>95.643478260869557</v>
      </c>
      <c r="J23">
        <v>1</v>
      </c>
    </row>
    <row r="24" spans="1:10" x14ac:dyDescent="0.35">
      <c r="A24" t="s">
        <v>317</v>
      </c>
      <c r="B24">
        <v>108</v>
      </c>
      <c r="C24">
        <v>14847</v>
      </c>
      <c r="D24" t="s">
        <v>502</v>
      </c>
      <c r="E24">
        <v>109.99</v>
      </c>
      <c r="F24">
        <v>67.861333333333334</v>
      </c>
      <c r="G24">
        <v>46191</v>
      </c>
      <c r="H24" t="s">
        <v>960</v>
      </c>
      <c r="I24">
        <v>95.643478260869557</v>
      </c>
      <c r="J24">
        <v>1</v>
      </c>
    </row>
    <row r="25" spans="1:10" x14ac:dyDescent="0.35">
      <c r="A25" t="s">
        <v>317</v>
      </c>
      <c r="B25">
        <v>108</v>
      </c>
      <c r="C25">
        <v>14848</v>
      </c>
      <c r="D25" t="s">
        <v>503</v>
      </c>
      <c r="E25">
        <v>67.989999999999995</v>
      </c>
      <c r="F25">
        <v>41.68047</v>
      </c>
      <c r="G25">
        <v>46191</v>
      </c>
      <c r="H25" t="s">
        <v>960</v>
      </c>
      <c r="I25">
        <v>59.121739130434776</v>
      </c>
      <c r="J25">
        <v>1</v>
      </c>
    </row>
    <row r="26" spans="1:10" x14ac:dyDescent="0.35">
      <c r="A26" t="s">
        <v>317</v>
      </c>
      <c r="B26">
        <v>108</v>
      </c>
      <c r="C26">
        <v>14854</v>
      </c>
      <c r="D26" t="s">
        <v>505</v>
      </c>
      <c r="E26">
        <v>69.989999999999995</v>
      </c>
      <c r="F26">
        <v>43.867849999999997</v>
      </c>
      <c r="G26">
        <v>46188</v>
      </c>
      <c r="H26" t="s">
        <v>309</v>
      </c>
      <c r="I26">
        <v>60.860869565217385</v>
      </c>
      <c r="J26">
        <v>1</v>
      </c>
    </row>
    <row r="27" spans="1:10" x14ac:dyDescent="0.35">
      <c r="A27" t="s">
        <v>317</v>
      </c>
      <c r="B27">
        <v>108</v>
      </c>
      <c r="C27">
        <v>14854</v>
      </c>
      <c r="D27" t="s">
        <v>505</v>
      </c>
      <c r="E27">
        <v>69.989999999999995</v>
      </c>
      <c r="F27">
        <v>43.867849999999997</v>
      </c>
      <c r="G27">
        <v>46190</v>
      </c>
      <c r="H27" t="s">
        <v>316</v>
      </c>
      <c r="I27">
        <v>57.817391304347822</v>
      </c>
      <c r="J27">
        <v>1</v>
      </c>
    </row>
    <row r="28" spans="1:10" x14ac:dyDescent="0.35">
      <c r="A28" t="s">
        <v>317</v>
      </c>
      <c r="B28">
        <v>101</v>
      </c>
      <c r="C28">
        <v>14857</v>
      </c>
      <c r="D28" t="s">
        <v>321</v>
      </c>
      <c r="E28">
        <v>69.989999999999995</v>
      </c>
      <c r="F28">
        <v>43.867849999999997</v>
      </c>
      <c r="G28">
        <v>46190</v>
      </c>
      <c r="H28" t="s">
        <v>316</v>
      </c>
      <c r="I28">
        <v>57.817391304347822</v>
      </c>
      <c r="J28">
        <v>1</v>
      </c>
    </row>
    <row r="29" spans="1:10" x14ac:dyDescent="0.35">
      <c r="A29" t="s">
        <v>317</v>
      </c>
      <c r="B29">
        <v>101</v>
      </c>
      <c r="C29">
        <v>14858</v>
      </c>
      <c r="D29" t="s">
        <v>322</v>
      </c>
      <c r="E29">
        <v>69.989999999999995</v>
      </c>
      <c r="F29">
        <v>43.867849999999997</v>
      </c>
      <c r="G29">
        <v>46188</v>
      </c>
      <c r="H29" t="s">
        <v>309</v>
      </c>
      <c r="I29">
        <v>60.860869565217385</v>
      </c>
      <c r="J29">
        <v>1</v>
      </c>
    </row>
    <row r="30" spans="1:10" x14ac:dyDescent="0.35">
      <c r="A30" t="s">
        <v>317</v>
      </c>
      <c r="B30">
        <v>101</v>
      </c>
      <c r="C30">
        <v>14858</v>
      </c>
      <c r="D30" t="s">
        <v>322</v>
      </c>
      <c r="E30">
        <v>69.989999999999995</v>
      </c>
      <c r="F30">
        <v>43.867849999999997</v>
      </c>
      <c r="G30">
        <v>46190</v>
      </c>
      <c r="H30" t="s">
        <v>316</v>
      </c>
      <c r="I30">
        <v>60.860869565217385</v>
      </c>
      <c r="J30">
        <v>1</v>
      </c>
    </row>
    <row r="31" spans="1:10" x14ac:dyDescent="0.35">
      <c r="A31" t="s">
        <v>317</v>
      </c>
      <c r="B31">
        <v>108</v>
      </c>
      <c r="C31">
        <v>14859</v>
      </c>
      <c r="D31" t="s">
        <v>506</v>
      </c>
      <c r="E31">
        <v>69.989999999999995</v>
      </c>
      <c r="F31">
        <v>43.867849999999997</v>
      </c>
      <c r="G31">
        <v>46189</v>
      </c>
      <c r="H31" t="s">
        <v>310</v>
      </c>
      <c r="I31">
        <v>60.860869565217385</v>
      </c>
      <c r="J31">
        <v>1</v>
      </c>
    </row>
    <row r="32" spans="1:10" x14ac:dyDescent="0.35">
      <c r="A32" t="s">
        <v>317</v>
      </c>
      <c r="B32">
        <v>101</v>
      </c>
      <c r="C32">
        <v>14860</v>
      </c>
      <c r="D32" t="s">
        <v>323</v>
      </c>
      <c r="E32">
        <v>69.989999999999995</v>
      </c>
      <c r="F32">
        <v>43.867849999999997</v>
      </c>
      <c r="G32">
        <v>46191</v>
      </c>
      <c r="H32" t="s">
        <v>960</v>
      </c>
      <c r="I32">
        <v>60.860869565217385</v>
      </c>
      <c r="J32">
        <v>1</v>
      </c>
    </row>
    <row r="33" spans="1:10" x14ac:dyDescent="0.35">
      <c r="A33" t="s">
        <v>317</v>
      </c>
      <c r="B33">
        <v>105</v>
      </c>
      <c r="C33">
        <v>14934</v>
      </c>
      <c r="D33" t="s">
        <v>507</v>
      </c>
      <c r="E33">
        <v>32.99</v>
      </c>
      <c r="F33">
        <v>22.271466666666669</v>
      </c>
      <c r="G33">
        <v>46188</v>
      </c>
      <c r="H33" t="s">
        <v>309</v>
      </c>
      <c r="I33">
        <v>143.43478260869563</v>
      </c>
      <c r="J33">
        <v>5</v>
      </c>
    </row>
    <row r="34" spans="1:10" x14ac:dyDescent="0.35">
      <c r="A34" t="s">
        <v>317</v>
      </c>
      <c r="B34">
        <v>105</v>
      </c>
      <c r="C34">
        <v>14934</v>
      </c>
      <c r="D34" t="s">
        <v>507</v>
      </c>
      <c r="E34">
        <v>32.99</v>
      </c>
      <c r="F34">
        <v>22.271466666666669</v>
      </c>
      <c r="G34">
        <v>46189</v>
      </c>
      <c r="H34" t="s">
        <v>310</v>
      </c>
      <c r="I34">
        <v>86.060869565217388</v>
      </c>
      <c r="J34">
        <v>3</v>
      </c>
    </row>
    <row r="35" spans="1:10" x14ac:dyDescent="0.35">
      <c r="A35" t="s">
        <v>317</v>
      </c>
      <c r="B35">
        <v>105</v>
      </c>
      <c r="C35">
        <v>14934</v>
      </c>
      <c r="D35" t="s">
        <v>507</v>
      </c>
      <c r="E35">
        <v>32.99</v>
      </c>
      <c r="F35">
        <v>22.271466666666669</v>
      </c>
      <c r="G35">
        <v>46190</v>
      </c>
      <c r="H35" t="s">
        <v>316</v>
      </c>
      <c r="I35">
        <v>57.373913043478268</v>
      </c>
      <c r="J35">
        <v>2</v>
      </c>
    </row>
    <row r="36" spans="1:10" x14ac:dyDescent="0.35">
      <c r="A36" t="s">
        <v>317</v>
      </c>
      <c r="B36">
        <v>105</v>
      </c>
      <c r="C36">
        <v>14934</v>
      </c>
      <c r="D36" t="s">
        <v>507</v>
      </c>
      <c r="E36">
        <v>32.99</v>
      </c>
      <c r="F36">
        <v>22.271466666666669</v>
      </c>
      <c r="G36">
        <v>46191</v>
      </c>
      <c r="H36" t="s">
        <v>960</v>
      </c>
      <c r="I36">
        <v>86.060869565217388</v>
      </c>
      <c r="J36">
        <v>3</v>
      </c>
    </row>
    <row r="37" spans="1:10" x14ac:dyDescent="0.35">
      <c r="A37" t="s">
        <v>317</v>
      </c>
      <c r="B37">
        <v>107</v>
      </c>
      <c r="C37">
        <v>14936</v>
      </c>
      <c r="D37" t="s">
        <v>508</v>
      </c>
      <c r="E37">
        <v>44.99</v>
      </c>
      <c r="F37">
        <v>27.607716666666665</v>
      </c>
      <c r="G37">
        <v>46190</v>
      </c>
      <c r="H37" t="s">
        <v>316</v>
      </c>
      <c r="I37">
        <v>37.165217391304353</v>
      </c>
      <c r="J37">
        <v>1</v>
      </c>
    </row>
    <row r="38" spans="1:10" x14ac:dyDescent="0.35">
      <c r="A38" t="s">
        <v>317</v>
      </c>
      <c r="B38">
        <v>107</v>
      </c>
      <c r="C38">
        <v>14936</v>
      </c>
      <c r="D38" t="s">
        <v>508</v>
      </c>
      <c r="E38">
        <v>44.99</v>
      </c>
      <c r="F38">
        <v>27.607716666666665</v>
      </c>
      <c r="G38">
        <v>46191</v>
      </c>
      <c r="H38" t="s">
        <v>960</v>
      </c>
      <c r="I38">
        <v>39.121739130434783</v>
      </c>
      <c r="J38">
        <v>1</v>
      </c>
    </row>
    <row r="39" spans="1:10" x14ac:dyDescent="0.35">
      <c r="A39" t="s">
        <v>317</v>
      </c>
      <c r="B39">
        <v>105</v>
      </c>
      <c r="C39">
        <v>14937</v>
      </c>
      <c r="D39" t="s">
        <v>509</v>
      </c>
      <c r="E39">
        <v>24.99</v>
      </c>
      <c r="F39">
        <v>15.529409999999999</v>
      </c>
      <c r="G39">
        <v>46188</v>
      </c>
      <c r="H39" t="s">
        <v>309</v>
      </c>
      <c r="I39">
        <v>43.460869565217386</v>
      </c>
      <c r="J39">
        <v>2</v>
      </c>
    </row>
    <row r="40" spans="1:10" x14ac:dyDescent="0.35">
      <c r="A40" t="s">
        <v>317</v>
      </c>
      <c r="B40">
        <v>105</v>
      </c>
      <c r="C40">
        <v>14937</v>
      </c>
      <c r="D40" t="s">
        <v>509</v>
      </c>
      <c r="E40">
        <v>24.99</v>
      </c>
      <c r="F40">
        <v>15.529409999999999</v>
      </c>
      <c r="G40">
        <v>46189</v>
      </c>
      <c r="H40" t="s">
        <v>310</v>
      </c>
      <c r="I40">
        <v>173.84347826086955</v>
      </c>
      <c r="J40">
        <v>8</v>
      </c>
    </row>
    <row r="41" spans="1:10" x14ac:dyDescent="0.35">
      <c r="A41" t="s">
        <v>317</v>
      </c>
      <c r="B41">
        <v>105</v>
      </c>
      <c r="C41">
        <v>14937</v>
      </c>
      <c r="D41" t="s">
        <v>509</v>
      </c>
      <c r="E41">
        <v>24.99</v>
      </c>
      <c r="F41">
        <v>15.529409999999999</v>
      </c>
      <c r="G41">
        <v>46190</v>
      </c>
      <c r="H41" t="s">
        <v>316</v>
      </c>
      <c r="I41">
        <v>107.56521739130434</v>
      </c>
      <c r="J41">
        <v>5</v>
      </c>
    </row>
    <row r="42" spans="1:10" x14ac:dyDescent="0.35">
      <c r="A42" t="s">
        <v>317</v>
      </c>
      <c r="B42">
        <v>105</v>
      </c>
      <c r="C42">
        <v>14937</v>
      </c>
      <c r="D42" t="s">
        <v>509</v>
      </c>
      <c r="E42">
        <v>24.99</v>
      </c>
      <c r="F42">
        <v>15.529409999999999</v>
      </c>
      <c r="G42">
        <v>46191</v>
      </c>
      <c r="H42" t="s">
        <v>960</v>
      </c>
      <c r="I42">
        <v>293.35652173913047</v>
      </c>
      <c r="J42">
        <v>14</v>
      </c>
    </row>
    <row r="43" spans="1:10" x14ac:dyDescent="0.35">
      <c r="A43" t="s">
        <v>317</v>
      </c>
      <c r="B43">
        <v>105</v>
      </c>
      <c r="C43">
        <v>14942</v>
      </c>
      <c r="D43" t="s">
        <v>512</v>
      </c>
      <c r="E43">
        <v>26.99</v>
      </c>
      <c r="F43">
        <v>17.327516666666668</v>
      </c>
      <c r="G43">
        <v>46189</v>
      </c>
      <c r="H43" t="s">
        <v>310</v>
      </c>
      <c r="I43">
        <v>23.469565217391303</v>
      </c>
      <c r="J43">
        <v>1</v>
      </c>
    </row>
    <row r="44" spans="1:10" x14ac:dyDescent="0.35">
      <c r="A44" t="s">
        <v>317</v>
      </c>
      <c r="B44">
        <v>105</v>
      </c>
      <c r="C44">
        <v>14942</v>
      </c>
      <c r="D44" t="s">
        <v>512</v>
      </c>
      <c r="E44">
        <v>26.99</v>
      </c>
      <c r="F44">
        <v>17.327516666666668</v>
      </c>
      <c r="G44">
        <v>46190</v>
      </c>
      <c r="H44" t="s">
        <v>316</v>
      </c>
      <c r="I44">
        <v>69.234782608695653</v>
      </c>
      <c r="J44">
        <v>3</v>
      </c>
    </row>
    <row r="45" spans="1:10" x14ac:dyDescent="0.35">
      <c r="A45" t="s">
        <v>317</v>
      </c>
      <c r="B45">
        <v>105</v>
      </c>
      <c r="C45">
        <v>14942</v>
      </c>
      <c r="D45" t="s">
        <v>512</v>
      </c>
      <c r="E45">
        <v>26.99</v>
      </c>
      <c r="F45">
        <v>17.327516666666668</v>
      </c>
      <c r="G45">
        <v>46191</v>
      </c>
      <c r="H45" t="s">
        <v>960</v>
      </c>
      <c r="I45">
        <v>46.939130434782605</v>
      </c>
      <c r="J45">
        <v>2</v>
      </c>
    </row>
    <row r="46" spans="1:10" x14ac:dyDescent="0.35">
      <c r="A46" t="s">
        <v>317</v>
      </c>
      <c r="B46">
        <v>105</v>
      </c>
      <c r="C46">
        <v>14944</v>
      </c>
      <c r="D46" t="s">
        <v>513</v>
      </c>
      <c r="E46">
        <v>29.99</v>
      </c>
      <c r="F46">
        <v>18.186512499999999</v>
      </c>
      <c r="G46">
        <v>46189</v>
      </c>
      <c r="H46" t="s">
        <v>310</v>
      </c>
      <c r="I46">
        <v>26.078260869565216</v>
      </c>
      <c r="J46">
        <v>1</v>
      </c>
    </row>
    <row r="47" spans="1:10" x14ac:dyDescent="0.35">
      <c r="A47" t="s">
        <v>317</v>
      </c>
      <c r="B47">
        <v>105</v>
      </c>
      <c r="C47">
        <v>14944</v>
      </c>
      <c r="D47" t="s">
        <v>513</v>
      </c>
      <c r="E47">
        <v>29.99</v>
      </c>
      <c r="F47">
        <v>18.186512499999999</v>
      </c>
      <c r="G47">
        <v>46190</v>
      </c>
      <c r="H47" t="s">
        <v>316</v>
      </c>
      <c r="I47">
        <v>52.156521739130433</v>
      </c>
      <c r="J47">
        <v>2</v>
      </c>
    </row>
    <row r="48" spans="1:10" x14ac:dyDescent="0.35">
      <c r="A48" t="s">
        <v>317</v>
      </c>
      <c r="B48">
        <v>105</v>
      </c>
      <c r="C48">
        <v>14944</v>
      </c>
      <c r="D48" t="s">
        <v>513</v>
      </c>
      <c r="E48">
        <v>29.99</v>
      </c>
      <c r="F48">
        <v>18.186512499999999</v>
      </c>
      <c r="G48">
        <v>46191</v>
      </c>
      <c r="H48" t="s">
        <v>960</v>
      </c>
      <c r="I48">
        <v>26.078260869565216</v>
      </c>
      <c r="J48">
        <v>1</v>
      </c>
    </row>
    <row r="49" spans="1:10" x14ac:dyDescent="0.35">
      <c r="A49" t="s">
        <v>317</v>
      </c>
      <c r="B49">
        <v>111</v>
      </c>
      <c r="C49">
        <v>14947</v>
      </c>
      <c r="D49" t="s">
        <v>514</v>
      </c>
      <c r="E49">
        <v>37.99</v>
      </c>
      <c r="F49">
        <v>23.431950000000001</v>
      </c>
      <c r="G49">
        <v>46188</v>
      </c>
      <c r="H49" t="s">
        <v>309</v>
      </c>
      <c r="I49">
        <v>165.17391304347825</v>
      </c>
      <c r="J49">
        <v>5</v>
      </c>
    </row>
    <row r="50" spans="1:10" x14ac:dyDescent="0.35">
      <c r="A50" t="s">
        <v>317</v>
      </c>
      <c r="B50">
        <v>111</v>
      </c>
      <c r="C50">
        <v>14947</v>
      </c>
      <c r="D50" t="s">
        <v>514</v>
      </c>
      <c r="E50">
        <v>37.99</v>
      </c>
      <c r="F50">
        <v>23.431950000000001</v>
      </c>
      <c r="G50">
        <v>46189</v>
      </c>
      <c r="H50" t="s">
        <v>310</v>
      </c>
      <c r="I50">
        <v>33.03478260869565</v>
      </c>
      <c r="J50">
        <v>1</v>
      </c>
    </row>
    <row r="51" spans="1:10" x14ac:dyDescent="0.35">
      <c r="A51" t="s">
        <v>317</v>
      </c>
      <c r="B51">
        <v>111</v>
      </c>
      <c r="C51">
        <v>14947</v>
      </c>
      <c r="D51" t="s">
        <v>514</v>
      </c>
      <c r="E51">
        <v>37.99</v>
      </c>
      <c r="F51">
        <v>23.431950000000001</v>
      </c>
      <c r="G51">
        <v>46191</v>
      </c>
      <c r="H51" t="s">
        <v>960</v>
      </c>
      <c r="I51">
        <v>33.03478260869565</v>
      </c>
      <c r="J51">
        <v>1</v>
      </c>
    </row>
    <row r="52" spans="1:10" x14ac:dyDescent="0.35">
      <c r="A52" t="s">
        <v>317</v>
      </c>
      <c r="B52">
        <v>105</v>
      </c>
      <c r="C52">
        <v>14959</v>
      </c>
      <c r="D52" t="s">
        <v>520</v>
      </c>
      <c r="E52">
        <v>24.99</v>
      </c>
      <c r="F52">
        <v>15.246979999999999</v>
      </c>
      <c r="G52">
        <v>46190</v>
      </c>
      <c r="H52" t="s">
        <v>316</v>
      </c>
      <c r="I52">
        <v>41.286956521739128</v>
      </c>
      <c r="J52">
        <v>2</v>
      </c>
    </row>
    <row r="53" spans="1:10" x14ac:dyDescent="0.35">
      <c r="A53" t="s">
        <v>317</v>
      </c>
      <c r="B53">
        <v>105</v>
      </c>
      <c r="C53">
        <v>14959</v>
      </c>
      <c r="D53" t="s">
        <v>520</v>
      </c>
      <c r="E53">
        <v>24.99</v>
      </c>
      <c r="F53">
        <v>15.246979999999999</v>
      </c>
      <c r="G53">
        <v>46191</v>
      </c>
      <c r="H53" t="s">
        <v>960</v>
      </c>
      <c r="I53">
        <v>65.19130434782609</v>
      </c>
      <c r="J53">
        <v>3</v>
      </c>
    </row>
    <row r="54" spans="1:10" x14ac:dyDescent="0.35">
      <c r="A54" t="s">
        <v>317</v>
      </c>
      <c r="B54">
        <v>105</v>
      </c>
      <c r="C54">
        <v>14961</v>
      </c>
      <c r="D54" t="s">
        <v>522</v>
      </c>
      <c r="E54">
        <v>15.99</v>
      </c>
      <c r="F54">
        <v>9.5993916666666674</v>
      </c>
      <c r="G54">
        <v>46189</v>
      </c>
      <c r="H54" t="s">
        <v>310</v>
      </c>
      <c r="I54">
        <v>13.904347826086957</v>
      </c>
      <c r="J54">
        <v>1</v>
      </c>
    </row>
    <row r="55" spans="1:10" x14ac:dyDescent="0.35">
      <c r="A55" t="s">
        <v>317</v>
      </c>
      <c r="B55">
        <v>105</v>
      </c>
      <c r="C55">
        <v>14961</v>
      </c>
      <c r="D55" t="s">
        <v>522</v>
      </c>
      <c r="E55">
        <v>15.99</v>
      </c>
      <c r="F55">
        <v>9.5993916666666674</v>
      </c>
      <c r="G55">
        <v>46190</v>
      </c>
      <c r="H55" t="s">
        <v>316</v>
      </c>
      <c r="I55">
        <v>13.904347826086957</v>
      </c>
      <c r="J55">
        <v>1</v>
      </c>
    </row>
    <row r="56" spans="1:10" x14ac:dyDescent="0.35">
      <c r="A56" t="s">
        <v>317</v>
      </c>
      <c r="B56">
        <v>105</v>
      </c>
      <c r="C56">
        <v>14961</v>
      </c>
      <c r="D56" t="s">
        <v>522</v>
      </c>
      <c r="E56">
        <v>15.99</v>
      </c>
      <c r="F56">
        <v>9.5993916666666674</v>
      </c>
      <c r="G56">
        <v>46191</v>
      </c>
      <c r="H56" t="s">
        <v>960</v>
      </c>
      <c r="I56">
        <v>13.904347826086957</v>
      </c>
      <c r="J56">
        <v>1</v>
      </c>
    </row>
    <row r="57" spans="1:10" x14ac:dyDescent="0.35">
      <c r="A57" t="s">
        <v>317</v>
      </c>
      <c r="B57">
        <v>109</v>
      </c>
      <c r="C57">
        <v>14963</v>
      </c>
      <c r="D57" t="s">
        <v>524</v>
      </c>
      <c r="E57">
        <v>24.99</v>
      </c>
      <c r="F57">
        <v>12.880108333333332</v>
      </c>
      <c r="G57">
        <v>46189</v>
      </c>
      <c r="H57" t="s">
        <v>310</v>
      </c>
      <c r="I57">
        <v>21.730434782608693</v>
      </c>
      <c r="J57">
        <v>1</v>
      </c>
    </row>
    <row r="58" spans="1:10" x14ac:dyDescent="0.35">
      <c r="A58" t="s">
        <v>317</v>
      </c>
      <c r="B58">
        <v>109</v>
      </c>
      <c r="C58">
        <v>14963</v>
      </c>
      <c r="D58" t="s">
        <v>524</v>
      </c>
      <c r="E58">
        <v>24.99</v>
      </c>
      <c r="F58">
        <v>12.880108333333332</v>
      </c>
      <c r="G58">
        <v>46191</v>
      </c>
      <c r="H58" t="s">
        <v>960</v>
      </c>
      <c r="I58">
        <v>43.460869565217386</v>
      </c>
      <c r="J58">
        <v>2</v>
      </c>
    </row>
    <row r="59" spans="1:10" x14ac:dyDescent="0.35">
      <c r="A59" t="s">
        <v>317</v>
      </c>
      <c r="B59">
        <v>109</v>
      </c>
      <c r="C59">
        <v>14964</v>
      </c>
      <c r="D59" t="s">
        <v>525</v>
      </c>
      <c r="E59">
        <v>24.99</v>
      </c>
      <c r="F59">
        <v>12.880108333333332</v>
      </c>
      <c r="G59">
        <v>46188</v>
      </c>
      <c r="H59" t="s">
        <v>309</v>
      </c>
      <c r="I59">
        <v>43.460869565217386</v>
      </c>
      <c r="J59">
        <v>2</v>
      </c>
    </row>
    <row r="60" spans="1:10" x14ac:dyDescent="0.35">
      <c r="A60" t="s">
        <v>317</v>
      </c>
      <c r="B60">
        <v>109</v>
      </c>
      <c r="C60">
        <v>14964</v>
      </c>
      <c r="D60" t="s">
        <v>525</v>
      </c>
      <c r="E60">
        <v>24.99</v>
      </c>
      <c r="F60">
        <v>12.880108333333332</v>
      </c>
      <c r="G60">
        <v>46189</v>
      </c>
      <c r="H60" t="s">
        <v>310</v>
      </c>
      <c r="I60">
        <v>21.730434782608693</v>
      </c>
      <c r="J60">
        <v>1</v>
      </c>
    </row>
    <row r="61" spans="1:10" x14ac:dyDescent="0.35">
      <c r="A61" t="s">
        <v>317</v>
      </c>
      <c r="B61">
        <v>109</v>
      </c>
      <c r="C61">
        <v>14964</v>
      </c>
      <c r="D61" t="s">
        <v>525</v>
      </c>
      <c r="E61">
        <v>24.99</v>
      </c>
      <c r="F61">
        <v>12.880108333333332</v>
      </c>
      <c r="G61">
        <v>46190</v>
      </c>
      <c r="H61" t="s">
        <v>316</v>
      </c>
      <c r="I61">
        <v>63.017391304347825</v>
      </c>
      <c r="J61">
        <v>3</v>
      </c>
    </row>
    <row r="62" spans="1:10" x14ac:dyDescent="0.35">
      <c r="A62" t="s">
        <v>317</v>
      </c>
      <c r="B62">
        <v>105</v>
      </c>
      <c r="C62">
        <v>14965</v>
      </c>
      <c r="D62" t="s">
        <v>526</v>
      </c>
      <c r="E62">
        <v>21.99</v>
      </c>
      <c r="F62">
        <v>14.908975</v>
      </c>
      <c r="G62">
        <v>46189</v>
      </c>
      <c r="H62" t="s">
        <v>310</v>
      </c>
      <c r="I62">
        <v>21.99</v>
      </c>
      <c r="J62">
        <v>1</v>
      </c>
    </row>
    <row r="63" spans="1:10" x14ac:dyDescent="0.35">
      <c r="A63" t="s">
        <v>317</v>
      </c>
      <c r="B63">
        <v>105</v>
      </c>
      <c r="C63">
        <v>14965</v>
      </c>
      <c r="D63" t="s">
        <v>526</v>
      </c>
      <c r="E63">
        <v>21.99</v>
      </c>
      <c r="F63">
        <v>14.908975</v>
      </c>
      <c r="G63">
        <v>46190</v>
      </c>
      <c r="H63" t="s">
        <v>316</v>
      </c>
      <c r="I63">
        <v>21.99</v>
      </c>
      <c r="J63">
        <v>1</v>
      </c>
    </row>
    <row r="64" spans="1:10" x14ac:dyDescent="0.35">
      <c r="A64" t="s">
        <v>317</v>
      </c>
      <c r="B64">
        <v>105</v>
      </c>
      <c r="C64">
        <v>14967</v>
      </c>
      <c r="D64" t="s">
        <v>527</v>
      </c>
      <c r="E64">
        <v>22.99</v>
      </c>
      <c r="F64">
        <v>14.118466666666668</v>
      </c>
      <c r="G64">
        <v>46189</v>
      </c>
      <c r="H64" t="s">
        <v>310</v>
      </c>
      <c r="I64">
        <v>99.956521739130437</v>
      </c>
      <c r="J64">
        <v>5</v>
      </c>
    </row>
    <row r="65" spans="1:10" x14ac:dyDescent="0.35">
      <c r="A65" t="s">
        <v>317</v>
      </c>
      <c r="B65">
        <v>105</v>
      </c>
      <c r="C65">
        <v>14967</v>
      </c>
      <c r="D65" t="s">
        <v>527</v>
      </c>
      <c r="E65">
        <v>22.99</v>
      </c>
      <c r="F65">
        <v>14.118466666666668</v>
      </c>
      <c r="G65">
        <v>46190</v>
      </c>
      <c r="H65" t="s">
        <v>316</v>
      </c>
      <c r="I65">
        <v>39.982608695652175</v>
      </c>
      <c r="J65">
        <v>2</v>
      </c>
    </row>
    <row r="66" spans="1:10" x14ac:dyDescent="0.35">
      <c r="A66" t="s">
        <v>317</v>
      </c>
      <c r="B66">
        <v>107</v>
      </c>
      <c r="C66">
        <v>14970</v>
      </c>
      <c r="D66" t="s">
        <v>529</v>
      </c>
      <c r="E66">
        <v>19.989999999999998</v>
      </c>
      <c r="F66">
        <v>12.326425</v>
      </c>
      <c r="G66">
        <v>46190</v>
      </c>
      <c r="H66" t="s">
        <v>316</v>
      </c>
      <c r="I66">
        <v>34.765217391304347</v>
      </c>
      <c r="J66">
        <v>2</v>
      </c>
    </row>
    <row r="67" spans="1:10" x14ac:dyDescent="0.35">
      <c r="A67" t="s">
        <v>317</v>
      </c>
      <c r="B67">
        <v>107</v>
      </c>
      <c r="C67">
        <v>14970</v>
      </c>
      <c r="D67" t="s">
        <v>529</v>
      </c>
      <c r="E67">
        <v>19.989999999999998</v>
      </c>
      <c r="F67">
        <v>12.326425</v>
      </c>
      <c r="G67">
        <v>46191</v>
      </c>
      <c r="H67" t="s">
        <v>960</v>
      </c>
      <c r="I67">
        <v>34.765217391304347</v>
      </c>
      <c r="J67">
        <v>2</v>
      </c>
    </row>
    <row r="68" spans="1:10" x14ac:dyDescent="0.35">
      <c r="A68" t="s">
        <v>317</v>
      </c>
      <c r="B68">
        <v>105</v>
      </c>
      <c r="C68">
        <v>14971</v>
      </c>
      <c r="D68" t="s">
        <v>530</v>
      </c>
      <c r="E68">
        <v>13.99</v>
      </c>
      <c r="F68">
        <v>9.5773250000000001</v>
      </c>
      <c r="G68">
        <v>46189</v>
      </c>
      <c r="H68" t="s">
        <v>310</v>
      </c>
      <c r="I68">
        <v>12.165217391304347</v>
      </c>
      <c r="J68">
        <v>1</v>
      </c>
    </row>
    <row r="69" spans="1:10" x14ac:dyDescent="0.35">
      <c r="A69" t="s">
        <v>317</v>
      </c>
      <c r="B69">
        <v>101</v>
      </c>
      <c r="C69">
        <v>14976</v>
      </c>
      <c r="D69" t="s">
        <v>324</v>
      </c>
      <c r="E69">
        <v>62.99</v>
      </c>
      <c r="F69">
        <v>39.031133333333337</v>
      </c>
      <c r="G69">
        <v>46189</v>
      </c>
      <c r="H69" t="s">
        <v>310</v>
      </c>
      <c r="I69">
        <v>54.77391304347826</v>
      </c>
      <c r="J69">
        <v>1</v>
      </c>
    </row>
    <row r="70" spans="1:10" x14ac:dyDescent="0.35">
      <c r="A70" t="s">
        <v>317</v>
      </c>
      <c r="B70">
        <v>101</v>
      </c>
      <c r="C70">
        <v>14976</v>
      </c>
      <c r="D70" t="s">
        <v>324</v>
      </c>
      <c r="E70">
        <v>62.99</v>
      </c>
      <c r="F70">
        <v>39.031133333333337</v>
      </c>
      <c r="G70">
        <v>46190</v>
      </c>
      <c r="H70" t="s">
        <v>316</v>
      </c>
      <c r="I70">
        <v>109.54782608695652</v>
      </c>
      <c r="J70">
        <v>2</v>
      </c>
    </row>
    <row r="71" spans="1:10" x14ac:dyDescent="0.35">
      <c r="A71" t="s">
        <v>317</v>
      </c>
      <c r="B71">
        <v>101</v>
      </c>
      <c r="C71">
        <v>14976</v>
      </c>
      <c r="D71" t="s">
        <v>324</v>
      </c>
      <c r="E71">
        <v>62.99</v>
      </c>
      <c r="F71">
        <v>39.031133333333337</v>
      </c>
      <c r="G71">
        <v>46191</v>
      </c>
      <c r="H71" t="s">
        <v>960</v>
      </c>
      <c r="I71">
        <v>109.54782608695652</v>
      </c>
      <c r="J71">
        <v>2</v>
      </c>
    </row>
    <row r="72" spans="1:10" x14ac:dyDescent="0.35">
      <c r="A72" t="s">
        <v>317</v>
      </c>
      <c r="B72">
        <v>106</v>
      </c>
      <c r="C72">
        <v>14984</v>
      </c>
      <c r="D72" t="s">
        <v>531</v>
      </c>
      <c r="E72">
        <v>38.99</v>
      </c>
      <c r="F72">
        <v>24.260149999999999</v>
      </c>
      <c r="G72">
        <v>46188</v>
      </c>
      <c r="H72" t="s">
        <v>309</v>
      </c>
      <c r="I72">
        <v>33.904347826086962</v>
      </c>
      <c r="J72">
        <v>1</v>
      </c>
    </row>
    <row r="73" spans="1:10" x14ac:dyDescent="0.35">
      <c r="A73" t="s">
        <v>317</v>
      </c>
      <c r="B73">
        <v>107</v>
      </c>
      <c r="C73">
        <v>15080</v>
      </c>
      <c r="D73" t="s">
        <v>537</v>
      </c>
      <c r="E73">
        <v>117.99</v>
      </c>
      <c r="F73">
        <v>73.990016666666662</v>
      </c>
      <c r="G73">
        <v>46189</v>
      </c>
      <c r="H73" t="s">
        <v>310</v>
      </c>
      <c r="I73">
        <v>102.6</v>
      </c>
      <c r="J73">
        <v>1</v>
      </c>
    </row>
    <row r="74" spans="1:10" x14ac:dyDescent="0.35">
      <c r="A74" t="s">
        <v>317</v>
      </c>
      <c r="B74">
        <v>107</v>
      </c>
      <c r="C74">
        <v>15097</v>
      </c>
      <c r="D74" t="s">
        <v>541</v>
      </c>
      <c r="E74">
        <v>45.99</v>
      </c>
      <c r="F74">
        <v>28.530116666666668</v>
      </c>
      <c r="G74">
        <v>46191</v>
      </c>
      <c r="H74" t="s">
        <v>960</v>
      </c>
      <c r="I74">
        <v>79.982608695652175</v>
      </c>
      <c r="J74">
        <v>2</v>
      </c>
    </row>
    <row r="75" spans="1:10" x14ac:dyDescent="0.35">
      <c r="A75" t="s">
        <v>317</v>
      </c>
      <c r="B75">
        <v>107</v>
      </c>
      <c r="C75">
        <v>15283</v>
      </c>
      <c r="D75" t="s">
        <v>563</v>
      </c>
      <c r="E75">
        <v>71.989999999999995</v>
      </c>
      <c r="F75">
        <v>44.50665</v>
      </c>
      <c r="G75">
        <v>46190</v>
      </c>
      <c r="H75" t="s">
        <v>316</v>
      </c>
      <c r="I75">
        <v>62.599999999999994</v>
      </c>
      <c r="J75">
        <v>1</v>
      </c>
    </row>
    <row r="76" spans="1:10" x14ac:dyDescent="0.35">
      <c r="A76" t="s">
        <v>317</v>
      </c>
      <c r="B76">
        <v>107</v>
      </c>
      <c r="C76">
        <v>15285</v>
      </c>
      <c r="D76" t="s">
        <v>565</v>
      </c>
      <c r="E76">
        <v>71.989999999999995</v>
      </c>
      <c r="F76">
        <v>44.50665</v>
      </c>
      <c r="G76">
        <v>46190</v>
      </c>
      <c r="H76" t="s">
        <v>316</v>
      </c>
      <c r="I76">
        <v>62.599999999999994</v>
      </c>
      <c r="J76">
        <v>1</v>
      </c>
    </row>
    <row r="77" spans="1:10" x14ac:dyDescent="0.35">
      <c r="A77" t="s">
        <v>317</v>
      </c>
      <c r="B77">
        <v>109</v>
      </c>
      <c r="C77">
        <v>15287</v>
      </c>
      <c r="D77" t="s">
        <v>567</v>
      </c>
      <c r="E77">
        <v>43.99</v>
      </c>
      <c r="F77">
        <v>27.522083333333331</v>
      </c>
      <c r="G77">
        <v>46188</v>
      </c>
      <c r="H77" t="s">
        <v>309</v>
      </c>
      <c r="I77">
        <v>76.504347826086956</v>
      </c>
      <c r="J77">
        <v>2</v>
      </c>
    </row>
    <row r="78" spans="1:10" x14ac:dyDescent="0.35">
      <c r="A78" t="s">
        <v>317</v>
      </c>
      <c r="B78">
        <v>109</v>
      </c>
      <c r="C78">
        <v>15290</v>
      </c>
      <c r="D78" t="s">
        <v>570</v>
      </c>
      <c r="E78">
        <v>54.99</v>
      </c>
      <c r="F78">
        <v>34.594366666666666</v>
      </c>
      <c r="G78">
        <v>46191</v>
      </c>
      <c r="H78" t="s">
        <v>960</v>
      </c>
      <c r="I78">
        <v>47.817391304347829</v>
      </c>
      <c r="J78">
        <v>1</v>
      </c>
    </row>
    <row r="79" spans="1:10" x14ac:dyDescent="0.35">
      <c r="A79" t="s">
        <v>317</v>
      </c>
      <c r="B79">
        <v>107</v>
      </c>
      <c r="C79">
        <v>15297</v>
      </c>
      <c r="D79" t="s">
        <v>571</v>
      </c>
      <c r="E79">
        <v>49.99</v>
      </c>
      <c r="F79">
        <v>30.655766666666665</v>
      </c>
      <c r="G79">
        <v>46189</v>
      </c>
      <c r="H79" t="s">
        <v>310</v>
      </c>
      <c r="I79">
        <v>43.469565217391306</v>
      </c>
      <c r="J79">
        <v>1</v>
      </c>
    </row>
    <row r="80" spans="1:10" x14ac:dyDescent="0.35">
      <c r="A80" t="s">
        <v>317</v>
      </c>
      <c r="B80">
        <v>107</v>
      </c>
      <c r="C80">
        <v>15297</v>
      </c>
      <c r="D80" t="s">
        <v>571</v>
      </c>
      <c r="E80">
        <v>49.99</v>
      </c>
      <c r="F80">
        <v>30.655766666666665</v>
      </c>
      <c r="G80">
        <v>46191</v>
      </c>
      <c r="H80" t="s">
        <v>960</v>
      </c>
      <c r="I80">
        <v>43.469565217391306</v>
      </c>
      <c r="J80">
        <v>1</v>
      </c>
    </row>
    <row r="81" spans="1:10" x14ac:dyDescent="0.35">
      <c r="A81" t="s">
        <v>317</v>
      </c>
      <c r="B81">
        <v>101</v>
      </c>
      <c r="C81">
        <v>15305</v>
      </c>
      <c r="D81" t="s">
        <v>328</v>
      </c>
      <c r="E81">
        <v>71.989999999999995</v>
      </c>
      <c r="F81">
        <v>44.50665</v>
      </c>
      <c r="G81">
        <v>46189</v>
      </c>
      <c r="H81" t="s">
        <v>310</v>
      </c>
      <c r="I81">
        <v>62.599999999999994</v>
      </c>
      <c r="J81">
        <v>1</v>
      </c>
    </row>
    <row r="82" spans="1:10" x14ac:dyDescent="0.35">
      <c r="A82" t="s">
        <v>317</v>
      </c>
      <c r="B82">
        <v>107</v>
      </c>
      <c r="C82">
        <v>15306</v>
      </c>
      <c r="D82" t="s">
        <v>572</v>
      </c>
      <c r="E82">
        <v>71.989999999999995</v>
      </c>
      <c r="F82">
        <v>44.50665</v>
      </c>
      <c r="G82">
        <v>46189</v>
      </c>
      <c r="H82" t="s">
        <v>310</v>
      </c>
      <c r="I82">
        <v>62.599999999999994</v>
      </c>
      <c r="J82">
        <v>1</v>
      </c>
    </row>
    <row r="83" spans="1:10" x14ac:dyDescent="0.35">
      <c r="A83" t="s">
        <v>317</v>
      </c>
      <c r="B83">
        <v>106</v>
      </c>
      <c r="C83">
        <v>15780</v>
      </c>
      <c r="D83" t="s">
        <v>581</v>
      </c>
      <c r="E83">
        <v>59.99</v>
      </c>
      <c r="F83">
        <v>36.994506250000001</v>
      </c>
      <c r="G83">
        <v>46188</v>
      </c>
      <c r="H83" t="s">
        <v>309</v>
      </c>
      <c r="I83">
        <v>52.165217391304353</v>
      </c>
      <c r="J83">
        <v>1</v>
      </c>
    </row>
    <row r="84" spans="1:10" x14ac:dyDescent="0.35">
      <c r="A84" t="s">
        <v>317</v>
      </c>
      <c r="B84">
        <v>106</v>
      </c>
      <c r="C84">
        <v>15780</v>
      </c>
      <c r="D84" t="s">
        <v>581</v>
      </c>
      <c r="E84">
        <v>59.99</v>
      </c>
      <c r="F84">
        <v>36.994506250000001</v>
      </c>
      <c r="G84">
        <v>46189</v>
      </c>
      <c r="H84" t="s">
        <v>310</v>
      </c>
      <c r="I84">
        <v>104.33043478260871</v>
      </c>
      <c r="J84">
        <v>2</v>
      </c>
    </row>
    <row r="85" spans="1:10" x14ac:dyDescent="0.35">
      <c r="A85" t="s">
        <v>317</v>
      </c>
      <c r="B85">
        <v>106</v>
      </c>
      <c r="C85">
        <v>15780</v>
      </c>
      <c r="D85" t="s">
        <v>581</v>
      </c>
      <c r="E85">
        <v>59.99</v>
      </c>
      <c r="F85">
        <v>36.994506250000001</v>
      </c>
      <c r="G85">
        <v>46191</v>
      </c>
      <c r="H85" t="s">
        <v>960</v>
      </c>
      <c r="I85">
        <v>156.49565217391304</v>
      </c>
      <c r="J85">
        <v>3</v>
      </c>
    </row>
    <row r="86" spans="1:10" x14ac:dyDescent="0.35">
      <c r="A86" t="s">
        <v>317</v>
      </c>
      <c r="B86">
        <v>110</v>
      </c>
      <c r="C86">
        <v>15800</v>
      </c>
      <c r="D86" t="s">
        <v>583</v>
      </c>
      <c r="E86">
        <v>56.99</v>
      </c>
      <c r="F86">
        <v>35.372916666666669</v>
      </c>
      <c r="G86">
        <v>46191</v>
      </c>
      <c r="H86" t="s">
        <v>960</v>
      </c>
      <c r="I86">
        <v>99.113043478260877</v>
      </c>
      <c r="J86">
        <v>2</v>
      </c>
    </row>
    <row r="87" spans="1:10" x14ac:dyDescent="0.35">
      <c r="A87" t="s">
        <v>317</v>
      </c>
      <c r="B87">
        <v>106</v>
      </c>
      <c r="C87">
        <v>15822</v>
      </c>
      <c r="D87" t="s">
        <v>585</v>
      </c>
      <c r="E87">
        <v>59.99</v>
      </c>
      <c r="F87">
        <v>36.994506250000001</v>
      </c>
      <c r="G87">
        <v>46188</v>
      </c>
      <c r="H87" t="s">
        <v>309</v>
      </c>
      <c r="I87">
        <v>52.165217391304353</v>
      </c>
      <c r="J87">
        <v>1</v>
      </c>
    </row>
    <row r="88" spans="1:10" x14ac:dyDescent="0.35">
      <c r="A88" t="s">
        <v>317</v>
      </c>
      <c r="B88">
        <v>107</v>
      </c>
      <c r="C88">
        <v>15988</v>
      </c>
      <c r="D88" t="s">
        <v>599</v>
      </c>
      <c r="E88">
        <v>179.99</v>
      </c>
      <c r="F88">
        <v>113.3473</v>
      </c>
      <c r="G88">
        <v>46189</v>
      </c>
      <c r="H88" t="s">
        <v>310</v>
      </c>
      <c r="I88">
        <v>156.51304347826087</v>
      </c>
      <c r="J88">
        <v>1</v>
      </c>
    </row>
    <row r="89" spans="1:10" x14ac:dyDescent="0.35">
      <c r="A89" t="s">
        <v>317</v>
      </c>
      <c r="B89">
        <v>109</v>
      </c>
      <c r="C89">
        <v>16045</v>
      </c>
      <c r="D89" t="s">
        <v>603</v>
      </c>
      <c r="E89">
        <v>84.99</v>
      </c>
      <c r="F89">
        <v>53.668624999999999</v>
      </c>
      <c r="G89">
        <v>46188</v>
      </c>
      <c r="H89" t="s">
        <v>309</v>
      </c>
      <c r="I89">
        <v>147.8086956521739</v>
      </c>
      <c r="J89">
        <v>2</v>
      </c>
    </row>
    <row r="90" spans="1:10" x14ac:dyDescent="0.35">
      <c r="A90" t="s">
        <v>317</v>
      </c>
      <c r="B90">
        <v>109</v>
      </c>
      <c r="C90">
        <v>16047</v>
      </c>
      <c r="D90" t="s">
        <v>605</v>
      </c>
      <c r="E90">
        <v>84.99</v>
      </c>
      <c r="F90">
        <v>53.668624999999999</v>
      </c>
      <c r="G90">
        <v>46188</v>
      </c>
      <c r="H90" t="s">
        <v>309</v>
      </c>
      <c r="I90">
        <v>73.904347826086948</v>
      </c>
      <c r="J90">
        <v>1</v>
      </c>
    </row>
    <row r="91" spans="1:10" x14ac:dyDescent="0.35">
      <c r="A91" t="s">
        <v>317</v>
      </c>
      <c r="B91">
        <v>109</v>
      </c>
      <c r="C91">
        <v>16047</v>
      </c>
      <c r="D91" t="s">
        <v>605</v>
      </c>
      <c r="E91">
        <v>84.99</v>
      </c>
      <c r="F91">
        <v>53.668624999999999</v>
      </c>
      <c r="G91">
        <v>46189</v>
      </c>
      <c r="H91" t="s">
        <v>310</v>
      </c>
      <c r="I91">
        <v>73.904347826086948</v>
      </c>
      <c r="J91">
        <v>1</v>
      </c>
    </row>
    <row r="92" spans="1:10" x14ac:dyDescent="0.35">
      <c r="A92" t="s">
        <v>317</v>
      </c>
      <c r="B92">
        <v>109</v>
      </c>
      <c r="C92">
        <v>16048</v>
      </c>
      <c r="D92" t="s">
        <v>606</v>
      </c>
      <c r="E92">
        <v>84.99</v>
      </c>
      <c r="F92">
        <v>53.668624999999999</v>
      </c>
      <c r="G92">
        <v>46188</v>
      </c>
      <c r="H92" t="s">
        <v>309</v>
      </c>
      <c r="I92">
        <v>73.904347826086948</v>
      </c>
      <c r="J92">
        <v>1</v>
      </c>
    </row>
    <row r="93" spans="1:10" x14ac:dyDescent="0.35">
      <c r="A93" t="s">
        <v>317</v>
      </c>
      <c r="B93">
        <v>101</v>
      </c>
      <c r="C93">
        <v>16067</v>
      </c>
      <c r="D93" t="s">
        <v>349</v>
      </c>
      <c r="E93">
        <v>26.99</v>
      </c>
      <c r="F93">
        <v>16.816925000000001</v>
      </c>
      <c r="G93">
        <v>46188</v>
      </c>
      <c r="H93" t="s">
        <v>309</v>
      </c>
      <c r="I93">
        <v>23.469565217391303</v>
      </c>
      <c r="J93">
        <v>1</v>
      </c>
    </row>
    <row r="94" spans="1:10" x14ac:dyDescent="0.35">
      <c r="A94" t="s">
        <v>317</v>
      </c>
      <c r="B94">
        <v>101</v>
      </c>
      <c r="C94">
        <v>16067</v>
      </c>
      <c r="D94" t="s">
        <v>349</v>
      </c>
      <c r="E94">
        <v>26.99</v>
      </c>
      <c r="F94">
        <v>16.816925000000001</v>
      </c>
      <c r="G94">
        <v>46189</v>
      </c>
      <c r="H94" t="s">
        <v>310</v>
      </c>
      <c r="I94">
        <v>23.469565217391303</v>
      </c>
      <c r="J94">
        <v>1</v>
      </c>
    </row>
    <row r="95" spans="1:10" x14ac:dyDescent="0.35">
      <c r="A95" t="s">
        <v>317</v>
      </c>
      <c r="B95">
        <v>105</v>
      </c>
      <c r="C95">
        <v>16078</v>
      </c>
      <c r="D95" t="s">
        <v>611</v>
      </c>
      <c r="E95">
        <v>37.99</v>
      </c>
      <c r="F95">
        <v>23.413162499999999</v>
      </c>
      <c r="G95">
        <v>46189</v>
      </c>
      <c r="H95" t="s">
        <v>310</v>
      </c>
      <c r="I95">
        <v>33.03478260869565</v>
      </c>
      <c r="J95">
        <v>1</v>
      </c>
    </row>
    <row r="96" spans="1:10" x14ac:dyDescent="0.35">
      <c r="A96" t="s">
        <v>317</v>
      </c>
      <c r="B96">
        <v>105</v>
      </c>
      <c r="C96">
        <v>16078</v>
      </c>
      <c r="D96" t="s">
        <v>611</v>
      </c>
      <c r="E96">
        <v>37.99</v>
      </c>
      <c r="F96">
        <v>23.413162499999999</v>
      </c>
      <c r="G96">
        <v>46190</v>
      </c>
      <c r="H96" t="s">
        <v>316</v>
      </c>
      <c r="I96">
        <v>33.03478260869565</v>
      </c>
      <c r="J96">
        <v>1</v>
      </c>
    </row>
    <row r="97" spans="1:10" x14ac:dyDescent="0.35">
      <c r="A97" t="s">
        <v>317</v>
      </c>
      <c r="B97">
        <v>107</v>
      </c>
      <c r="C97">
        <v>16091</v>
      </c>
      <c r="D97" t="s">
        <v>618</v>
      </c>
      <c r="E97">
        <v>59.99</v>
      </c>
      <c r="F97">
        <v>38.153199999999998</v>
      </c>
      <c r="G97">
        <v>46189</v>
      </c>
      <c r="H97" t="s">
        <v>310</v>
      </c>
      <c r="I97">
        <v>52.165217391304353</v>
      </c>
      <c r="J97">
        <v>1</v>
      </c>
    </row>
    <row r="98" spans="1:10" x14ac:dyDescent="0.35">
      <c r="A98" t="s">
        <v>317</v>
      </c>
      <c r="B98">
        <v>107</v>
      </c>
      <c r="C98">
        <v>16123</v>
      </c>
      <c r="D98" t="s">
        <v>627</v>
      </c>
      <c r="E98">
        <v>89.99</v>
      </c>
      <c r="F98">
        <v>56.233649999999997</v>
      </c>
      <c r="G98">
        <v>46188</v>
      </c>
      <c r="H98" t="s">
        <v>309</v>
      </c>
      <c r="I98">
        <v>84.339130434782604</v>
      </c>
      <c r="J98">
        <v>1</v>
      </c>
    </row>
    <row r="99" spans="1:10" x14ac:dyDescent="0.35">
      <c r="A99" t="s">
        <v>317</v>
      </c>
      <c r="B99">
        <v>107</v>
      </c>
      <c r="C99">
        <v>16519</v>
      </c>
      <c r="D99" t="s">
        <v>631</v>
      </c>
      <c r="E99">
        <v>41.99</v>
      </c>
      <c r="F99">
        <v>26.324400000000001</v>
      </c>
      <c r="G99">
        <v>46188</v>
      </c>
      <c r="H99" t="s">
        <v>309</v>
      </c>
      <c r="I99">
        <v>73.026086956521738</v>
      </c>
      <c r="J99">
        <v>2</v>
      </c>
    </row>
    <row r="100" spans="1:10" x14ac:dyDescent="0.35">
      <c r="A100" t="s">
        <v>317</v>
      </c>
      <c r="B100">
        <v>107</v>
      </c>
      <c r="C100">
        <v>16519</v>
      </c>
      <c r="D100" t="s">
        <v>631</v>
      </c>
      <c r="E100">
        <v>41.99</v>
      </c>
      <c r="F100">
        <v>26.324400000000001</v>
      </c>
      <c r="G100">
        <v>46189</v>
      </c>
      <c r="H100" t="s">
        <v>310</v>
      </c>
      <c r="I100">
        <v>109.53913043478261</v>
      </c>
      <c r="J100">
        <v>3</v>
      </c>
    </row>
    <row r="101" spans="1:10" x14ac:dyDescent="0.35">
      <c r="A101" t="s">
        <v>317</v>
      </c>
      <c r="B101">
        <v>107</v>
      </c>
      <c r="C101">
        <v>16519</v>
      </c>
      <c r="D101" t="s">
        <v>631</v>
      </c>
      <c r="E101">
        <v>41.99</v>
      </c>
      <c r="F101">
        <v>26.324400000000001</v>
      </c>
      <c r="G101">
        <v>46190</v>
      </c>
      <c r="H101" t="s">
        <v>316</v>
      </c>
      <c r="I101">
        <v>36.513043478260869</v>
      </c>
      <c r="J101">
        <v>1</v>
      </c>
    </row>
    <row r="102" spans="1:10" x14ac:dyDescent="0.35">
      <c r="A102" t="s">
        <v>632</v>
      </c>
      <c r="B102">
        <v>105</v>
      </c>
      <c r="C102">
        <v>24081</v>
      </c>
      <c r="D102" t="s">
        <v>633</v>
      </c>
      <c r="E102">
        <v>17.989999999999998</v>
      </c>
      <c r="F102">
        <v>14.44</v>
      </c>
      <c r="G102">
        <v>46188</v>
      </c>
      <c r="H102" t="s">
        <v>309</v>
      </c>
      <c r="I102">
        <v>233.87</v>
      </c>
      <c r="J102">
        <v>13</v>
      </c>
    </row>
    <row r="103" spans="1:10" x14ac:dyDescent="0.35">
      <c r="A103" t="s">
        <v>632</v>
      </c>
      <c r="B103">
        <v>105</v>
      </c>
      <c r="C103">
        <v>24081</v>
      </c>
      <c r="D103" t="s">
        <v>633</v>
      </c>
      <c r="E103">
        <v>17.989999999999998</v>
      </c>
      <c r="F103">
        <v>14.44</v>
      </c>
      <c r="G103">
        <v>46189</v>
      </c>
      <c r="H103" t="s">
        <v>310</v>
      </c>
      <c r="I103">
        <v>107.94</v>
      </c>
      <c r="J103">
        <v>6</v>
      </c>
    </row>
    <row r="104" spans="1:10" x14ac:dyDescent="0.35">
      <c r="A104" t="s">
        <v>632</v>
      </c>
      <c r="B104">
        <v>105</v>
      </c>
      <c r="C104">
        <v>24081</v>
      </c>
      <c r="D104" t="s">
        <v>633</v>
      </c>
      <c r="E104">
        <v>17.989999999999998</v>
      </c>
      <c r="F104">
        <v>14.44</v>
      </c>
      <c r="G104">
        <v>46190</v>
      </c>
      <c r="H104" t="s">
        <v>316</v>
      </c>
      <c r="I104">
        <v>232.07</v>
      </c>
      <c r="J104">
        <v>13</v>
      </c>
    </row>
    <row r="105" spans="1:10" x14ac:dyDescent="0.35">
      <c r="A105" t="s">
        <v>632</v>
      </c>
      <c r="B105">
        <v>105</v>
      </c>
      <c r="C105">
        <v>24081</v>
      </c>
      <c r="D105" t="s">
        <v>633</v>
      </c>
      <c r="E105">
        <v>17.989999999999998</v>
      </c>
      <c r="F105">
        <v>14.44</v>
      </c>
      <c r="G105">
        <v>46191</v>
      </c>
      <c r="H105" t="s">
        <v>960</v>
      </c>
      <c r="I105">
        <v>53.97</v>
      </c>
      <c r="J105">
        <v>3</v>
      </c>
    </row>
    <row r="106" spans="1:10" x14ac:dyDescent="0.35">
      <c r="A106" t="s">
        <v>632</v>
      </c>
      <c r="B106">
        <v>105</v>
      </c>
      <c r="C106">
        <v>24083</v>
      </c>
      <c r="D106" t="s">
        <v>634</v>
      </c>
      <c r="E106">
        <v>19.989999999999998</v>
      </c>
      <c r="F106">
        <v>14.77</v>
      </c>
      <c r="G106">
        <v>46188</v>
      </c>
      <c r="H106" t="s">
        <v>309</v>
      </c>
      <c r="I106">
        <v>434.56521739130437</v>
      </c>
      <c r="J106">
        <v>25</v>
      </c>
    </row>
    <row r="107" spans="1:10" x14ac:dyDescent="0.35">
      <c r="A107" t="s">
        <v>632</v>
      </c>
      <c r="B107">
        <v>105</v>
      </c>
      <c r="C107">
        <v>24083</v>
      </c>
      <c r="D107" t="s">
        <v>634</v>
      </c>
      <c r="E107">
        <v>19.989999999999998</v>
      </c>
      <c r="F107">
        <v>14.77</v>
      </c>
      <c r="G107">
        <v>46189</v>
      </c>
      <c r="H107" t="s">
        <v>310</v>
      </c>
      <c r="I107">
        <v>417.18260869565222</v>
      </c>
      <c r="J107">
        <v>24</v>
      </c>
    </row>
    <row r="108" spans="1:10" x14ac:dyDescent="0.35">
      <c r="A108" t="s">
        <v>632</v>
      </c>
      <c r="B108">
        <v>105</v>
      </c>
      <c r="C108">
        <v>24083</v>
      </c>
      <c r="D108" t="s">
        <v>634</v>
      </c>
      <c r="E108">
        <v>19.989999999999998</v>
      </c>
      <c r="F108">
        <v>14.77</v>
      </c>
      <c r="G108">
        <v>46190</v>
      </c>
      <c r="H108" t="s">
        <v>316</v>
      </c>
      <c r="I108">
        <v>206.85217391304349</v>
      </c>
      <c r="J108">
        <v>12</v>
      </c>
    </row>
    <row r="109" spans="1:10" x14ac:dyDescent="0.35">
      <c r="A109" t="s">
        <v>632</v>
      </c>
      <c r="B109">
        <v>105</v>
      </c>
      <c r="C109">
        <v>24083</v>
      </c>
      <c r="D109" t="s">
        <v>634</v>
      </c>
      <c r="E109">
        <v>19.989999999999998</v>
      </c>
      <c r="F109">
        <v>14.77</v>
      </c>
      <c r="G109">
        <v>46191</v>
      </c>
      <c r="H109" t="s">
        <v>960</v>
      </c>
      <c r="I109">
        <v>278.12173913043478</v>
      </c>
      <c r="J109">
        <v>16</v>
      </c>
    </row>
    <row r="110" spans="1:10" x14ac:dyDescent="0.35">
      <c r="A110" t="s">
        <v>635</v>
      </c>
      <c r="B110">
        <v>105</v>
      </c>
      <c r="C110">
        <v>24084</v>
      </c>
      <c r="D110" t="s">
        <v>636</v>
      </c>
      <c r="E110">
        <v>29.49</v>
      </c>
      <c r="F110">
        <v>23.65</v>
      </c>
      <c r="G110">
        <v>46188</v>
      </c>
      <c r="H110" t="s">
        <v>309</v>
      </c>
      <c r="I110">
        <v>117.96</v>
      </c>
      <c r="J110">
        <v>4</v>
      </c>
    </row>
    <row r="111" spans="1:10" x14ac:dyDescent="0.35">
      <c r="A111" t="s">
        <v>635</v>
      </c>
      <c r="B111">
        <v>105</v>
      </c>
      <c r="C111">
        <v>24084</v>
      </c>
      <c r="D111" t="s">
        <v>636</v>
      </c>
      <c r="E111">
        <v>29.49</v>
      </c>
      <c r="F111">
        <v>23.65</v>
      </c>
      <c r="G111">
        <v>46189</v>
      </c>
      <c r="H111" t="s">
        <v>310</v>
      </c>
      <c r="I111">
        <v>235.92</v>
      </c>
      <c r="J111">
        <v>8</v>
      </c>
    </row>
    <row r="112" spans="1:10" x14ac:dyDescent="0.35">
      <c r="A112" t="s">
        <v>635</v>
      </c>
      <c r="B112">
        <v>105</v>
      </c>
      <c r="C112">
        <v>24084</v>
      </c>
      <c r="D112" t="s">
        <v>636</v>
      </c>
      <c r="E112">
        <v>29.49</v>
      </c>
      <c r="F112">
        <v>23.65</v>
      </c>
      <c r="G112">
        <v>46190</v>
      </c>
      <c r="H112" t="s">
        <v>316</v>
      </c>
      <c r="I112">
        <v>87</v>
      </c>
      <c r="J112">
        <v>3</v>
      </c>
    </row>
    <row r="113" spans="1:10" x14ac:dyDescent="0.35">
      <c r="A113" t="s">
        <v>635</v>
      </c>
      <c r="B113">
        <v>105</v>
      </c>
      <c r="C113">
        <v>24084</v>
      </c>
      <c r="D113" t="s">
        <v>636</v>
      </c>
      <c r="E113">
        <v>29.49</v>
      </c>
      <c r="F113">
        <v>23.65</v>
      </c>
      <c r="G113">
        <v>46191</v>
      </c>
      <c r="H113" t="s">
        <v>960</v>
      </c>
      <c r="I113">
        <v>58.98</v>
      </c>
      <c r="J113">
        <v>2</v>
      </c>
    </row>
    <row r="114" spans="1:10" x14ac:dyDescent="0.35">
      <c r="A114" t="s">
        <v>635</v>
      </c>
      <c r="B114">
        <v>105</v>
      </c>
      <c r="C114">
        <v>24086</v>
      </c>
      <c r="D114" t="s">
        <v>637</v>
      </c>
      <c r="E114">
        <v>19.989999999999998</v>
      </c>
      <c r="F114">
        <v>18.32</v>
      </c>
      <c r="G114">
        <v>46188</v>
      </c>
      <c r="H114" t="s">
        <v>309</v>
      </c>
      <c r="I114">
        <v>199.9</v>
      </c>
      <c r="J114">
        <v>10</v>
      </c>
    </row>
    <row r="115" spans="1:10" x14ac:dyDescent="0.35">
      <c r="A115" t="s">
        <v>635</v>
      </c>
      <c r="B115">
        <v>105</v>
      </c>
      <c r="C115">
        <v>24086</v>
      </c>
      <c r="D115" t="s">
        <v>637</v>
      </c>
      <c r="E115">
        <v>19.989999999999998</v>
      </c>
      <c r="F115">
        <v>18.32</v>
      </c>
      <c r="G115">
        <v>46189</v>
      </c>
      <c r="H115" t="s">
        <v>310</v>
      </c>
      <c r="I115">
        <v>139.93</v>
      </c>
      <c r="J115">
        <v>7</v>
      </c>
    </row>
    <row r="116" spans="1:10" x14ac:dyDescent="0.35">
      <c r="A116" t="s">
        <v>635</v>
      </c>
      <c r="B116">
        <v>105</v>
      </c>
      <c r="C116">
        <v>24086</v>
      </c>
      <c r="D116" t="s">
        <v>637</v>
      </c>
      <c r="E116">
        <v>19.989999999999998</v>
      </c>
      <c r="F116">
        <v>18.32</v>
      </c>
      <c r="G116">
        <v>46190</v>
      </c>
      <c r="H116" t="s">
        <v>316</v>
      </c>
      <c r="I116">
        <v>38.979999999999997</v>
      </c>
      <c r="J116">
        <v>2</v>
      </c>
    </row>
    <row r="117" spans="1:10" x14ac:dyDescent="0.35">
      <c r="A117" t="s">
        <v>635</v>
      </c>
      <c r="B117">
        <v>105</v>
      </c>
      <c r="C117">
        <v>24086</v>
      </c>
      <c r="D117" t="s">
        <v>637</v>
      </c>
      <c r="E117">
        <v>19.989999999999998</v>
      </c>
      <c r="F117">
        <v>18.32</v>
      </c>
      <c r="G117">
        <v>46191</v>
      </c>
      <c r="H117" t="s">
        <v>960</v>
      </c>
      <c r="I117">
        <v>59.97</v>
      </c>
      <c r="J117">
        <v>3</v>
      </c>
    </row>
    <row r="118" spans="1:10" x14ac:dyDescent="0.35">
      <c r="A118" t="s">
        <v>635</v>
      </c>
      <c r="B118">
        <v>105</v>
      </c>
      <c r="C118">
        <v>24088</v>
      </c>
      <c r="D118" t="s">
        <v>638</v>
      </c>
      <c r="E118">
        <v>16.489999999999998</v>
      </c>
      <c r="F118">
        <v>17.82</v>
      </c>
      <c r="G118">
        <v>46188</v>
      </c>
      <c r="H118" t="s">
        <v>309</v>
      </c>
      <c r="I118">
        <v>428.74</v>
      </c>
      <c r="J118">
        <v>26</v>
      </c>
    </row>
    <row r="119" spans="1:10" x14ac:dyDescent="0.35">
      <c r="A119" t="s">
        <v>635</v>
      </c>
      <c r="B119">
        <v>105</v>
      </c>
      <c r="C119">
        <v>24088</v>
      </c>
      <c r="D119" t="s">
        <v>638</v>
      </c>
      <c r="E119">
        <v>16.489999999999998</v>
      </c>
      <c r="F119">
        <v>17.82</v>
      </c>
      <c r="G119">
        <v>46189</v>
      </c>
      <c r="H119" t="s">
        <v>310</v>
      </c>
      <c r="I119">
        <v>478.21</v>
      </c>
      <c r="J119">
        <v>29</v>
      </c>
    </row>
    <row r="120" spans="1:10" x14ac:dyDescent="0.35">
      <c r="A120" t="s">
        <v>635</v>
      </c>
      <c r="B120">
        <v>105</v>
      </c>
      <c r="C120">
        <v>24088</v>
      </c>
      <c r="D120" t="s">
        <v>638</v>
      </c>
      <c r="E120">
        <v>16.489999999999998</v>
      </c>
      <c r="F120">
        <v>17.82</v>
      </c>
      <c r="G120">
        <v>46190</v>
      </c>
      <c r="H120" t="s">
        <v>316</v>
      </c>
      <c r="I120">
        <v>771.75</v>
      </c>
      <c r="J120">
        <v>48</v>
      </c>
    </row>
    <row r="121" spans="1:10" x14ac:dyDescent="0.35">
      <c r="A121" t="s">
        <v>635</v>
      </c>
      <c r="B121">
        <v>105</v>
      </c>
      <c r="C121">
        <v>24088</v>
      </c>
      <c r="D121" t="s">
        <v>638</v>
      </c>
      <c r="E121">
        <v>16.489999999999998</v>
      </c>
      <c r="F121">
        <v>17.82</v>
      </c>
      <c r="G121">
        <v>46191</v>
      </c>
      <c r="H121" t="s">
        <v>960</v>
      </c>
      <c r="I121">
        <v>395.76</v>
      </c>
      <c r="J121">
        <v>24</v>
      </c>
    </row>
    <row r="122" spans="1:10" x14ac:dyDescent="0.35">
      <c r="A122" t="s">
        <v>635</v>
      </c>
      <c r="B122">
        <v>105</v>
      </c>
      <c r="C122">
        <v>24089</v>
      </c>
      <c r="D122" t="s">
        <v>639</v>
      </c>
      <c r="E122">
        <v>23.99</v>
      </c>
      <c r="F122">
        <v>18.82</v>
      </c>
      <c r="G122">
        <v>46188</v>
      </c>
      <c r="H122" t="s">
        <v>309</v>
      </c>
      <c r="I122">
        <v>71.97</v>
      </c>
      <c r="J122">
        <v>3</v>
      </c>
    </row>
    <row r="123" spans="1:10" x14ac:dyDescent="0.35">
      <c r="A123" t="s">
        <v>635</v>
      </c>
      <c r="B123">
        <v>105</v>
      </c>
      <c r="C123">
        <v>24089</v>
      </c>
      <c r="D123" t="s">
        <v>639</v>
      </c>
      <c r="E123">
        <v>23.99</v>
      </c>
      <c r="F123">
        <v>18.82</v>
      </c>
      <c r="G123">
        <v>46189</v>
      </c>
      <c r="H123" t="s">
        <v>310</v>
      </c>
      <c r="I123">
        <v>95.96</v>
      </c>
      <c r="J123">
        <v>4</v>
      </c>
    </row>
    <row r="124" spans="1:10" x14ac:dyDescent="0.35">
      <c r="A124" t="s">
        <v>635</v>
      </c>
      <c r="B124">
        <v>105</v>
      </c>
      <c r="C124">
        <v>24089</v>
      </c>
      <c r="D124" t="s">
        <v>639</v>
      </c>
      <c r="E124">
        <v>23.99</v>
      </c>
      <c r="F124">
        <v>18.82</v>
      </c>
      <c r="G124">
        <v>46190</v>
      </c>
      <c r="H124" t="s">
        <v>316</v>
      </c>
      <c r="I124">
        <v>211.11</v>
      </c>
      <c r="J124">
        <v>9</v>
      </c>
    </row>
    <row r="125" spans="1:10" x14ac:dyDescent="0.35">
      <c r="A125" t="s">
        <v>635</v>
      </c>
      <c r="B125">
        <v>105</v>
      </c>
      <c r="C125">
        <v>24089</v>
      </c>
      <c r="D125" t="s">
        <v>639</v>
      </c>
      <c r="E125">
        <v>23.99</v>
      </c>
      <c r="F125">
        <v>18.82</v>
      </c>
      <c r="G125">
        <v>46191</v>
      </c>
      <c r="H125" t="s">
        <v>960</v>
      </c>
      <c r="I125">
        <v>23.99</v>
      </c>
      <c r="J125">
        <v>1</v>
      </c>
    </row>
    <row r="126" spans="1:10" x14ac:dyDescent="0.35">
      <c r="A126" t="s">
        <v>635</v>
      </c>
      <c r="B126">
        <v>105</v>
      </c>
      <c r="C126">
        <v>24090</v>
      </c>
      <c r="D126" t="s">
        <v>640</v>
      </c>
      <c r="E126">
        <v>21.99</v>
      </c>
      <c r="F126">
        <v>18.32</v>
      </c>
      <c r="G126">
        <v>46188</v>
      </c>
      <c r="H126" t="s">
        <v>309</v>
      </c>
      <c r="I126">
        <v>133.85217391304349</v>
      </c>
      <c r="J126">
        <v>7</v>
      </c>
    </row>
    <row r="127" spans="1:10" x14ac:dyDescent="0.35">
      <c r="A127" t="s">
        <v>635</v>
      </c>
      <c r="B127">
        <v>105</v>
      </c>
      <c r="C127">
        <v>24090</v>
      </c>
      <c r="D127" t="s">
        <v>640</v>
      </c>
      <c r="E127">
        <v>21.99</v>
      </c>
      <c r="F127">
        <v>18.32</v>
      </c>
      <c r="G127">
        <v>46189</v>
      </c>
      <c r="H127" t="s">
        <v>310</v>
      </c>
      <c r="I127">
        <v>133.85217391304349</v>
      </c>
      <c r="J127">
        <v>7</v>
      </c>
    </row>
    <row r="128" spans="1:10" x14ac:dyDescent="0.35">
      <c r="A128" t="s">
        <v>635</v>
      </c>
      <c r="B128">
        <v>105</v>
      </c>
      <c r="C128">
        <v>24090</v>
      </c>
      <c r="D128" t="s">
        <v>640</v>
      </c>
      <c r="E128">
        <v>21.99</v>
      </c>
      <c r="F128">
        <v>18.32</v>
      </c>
      <c r="G128">
        <v>46190</v>
      </c>
      <c r="H128" t="s">
        <v>316</v>
      </c>
      <c r="I128">
        <v>207.46956521739131</v>
      </c>
      <c r="J128">
        <v>11</v>
      </c>
    </row>
    <row r="129" spans="1:10" x14ac:dyDescent="0.35">
      <c r="A129" t="s">
        <v>635</v>
      </c>
      <c r="B129">
        <v>105</v>
      </c>
      <c r="C129">
        <v>24090</v>
      </c>
      <c r="D129" t="s">
        <v>640</v>
      </c>
      <c r="E129">
        <v>21.99</v>
      </c>
      <c r="F129">
        <v>18.32</v>
      </c>
      <c r="G129">
        <v>46191</v>
      </c>
      <c r="H129" t="s">
        <v>960</v>
      </c>
      <c r="I129">
        <v>191.21739130434784</v>
      </c>
      <c r="J129">
        <v>10</v>
      </c>
    </row>
    <row r="130" spans="1:10" x14ac:dyDescent="0.35">
      <c r="A130" t="s">
        <v>635</v>
      </c>
      <c r="B130">
        <v>105</v>
      </c>
      <c r="C130">
        <v>24092</v>
      </c>
      <c r="D130" t="s">
        <v>641</v>
      </c>
      <c r="E130">
        <v>17.989999999999998</v>
      </c>
      <c r="F130">
        <v>17.420000000000002</v>
      </c>
      <c r="G130">
        <v>46188</v>
      </c>
      <c r="H130" t="s">
        <v>309</v>
      </c>
      <c r="I130">
        <v>1868.5304347826082</v>
      </c>
      <c r="J130">
        <v>119</v>
      </c>
    </row>
    <row r="131" spans="1:10" x14ac:dyDescent="0.35">
      <c r="A131" t="s">
        <v>635</v>
      </c>
      <c r="B131">
        <v>105</v>
      </c>
      <c r="C131">
        <v>24092</v>
      </c>
      <c r="D131" t="s">
        <v>641</v>
      </c>
      <c r="E131">
        <v>17.989999999999998</v>
      </c>
      <c r="F131">
        <v>17.420000000000002</v>
      </c>
      <c r="G131">
        <v>46189</v>
      </c>
      <c r="H131" t="s">
        <v>310</v>
      </c>
      <c r="I131">
        <v>1626.9217391304348</v>
      </c>
      <c r="J131">
        <v>104</v>
      </c>
    </row>
    <row r="132" spans="1:10" x14ac:dyDescent="0.35">
      <c r="A132" t="s">
        <v>635</v>
      </c>
      <c r="B132">
        <v>105</v>
      </c>
      <c r="C132">
        <v>24092</v>
      </c>
      <c r="D132" t="s">
        <v>641</v>
      </c>
      <c r="E132">
        <v>17.989999999999998</v>
      </c>
      <c r="F132">
        <v>17.420000000000002</v>
      </c>
      <c r="G132">
        <v>46190</v>
      </c>
      <c r="H132" t="s">
        <v>316</v>
      </c>
      <c r="I132">
        <v>2036.7652173913045</v>
      </c>
      <c r="J132">
        <v>132</v>
      </c>
    </row>
    <row r="133" spans="1:10" x14ac:dyDescent="0.35">
      <c r="A133" t="s">
        <v>635</v>
      </c>
      <c r="B133">
        <v>105</v>
      </c>
      <c r="C133">
        <v>24092</v>
      </c>
      <c r="D133" t="s">
        <v>641</v>
      </c>
      <c r="E133">
        <v>17.989999999999998</v>
      </c>
      <c r="F133">
        <v>17.420000000000002</v>
      </c>
      <c r="G133">
        <v>46191</v>
      </c>
      <c r="H133" t="s">
        <v>960</v>
      </c>
      <c r="I133">
        <v>1628.6608695652174</v>
      </c>
      <c r="J133">
        <v>104</v>
      </c>
    </row>
    <row r="134" spans="1:10" x14ac:dyDescent="0.35">
      <c r="A134" t="s">
        <v>635</v>
      </c>
      <c r="B134">
        <v>105</v>
      </c>
      <c r="C134">
        <v>24093</v>
      </c>
      <c r="D134" t="s">
        <v>642</v>
      </c>
      <c r="E134">
        <v>29.99</v>
      </c>
      <c r="F134">
        <v>23.32</v>
      </c>
      <c r="G134">
        <v>46188</v>
      </c>
      <c r="H134" t="s">
        <v>309</v>
      </c>
      <c r="I134">
        <v>104.31304347826087</v>
      </c>
      <c r="J134">
        <v>4</v>
      </c>
    </row>
    <row r="135" spans="1:10" x14ac:dyDescent="0.35">
      <c r="A135" t="s">
        <v>635</v>
      </c>
      <c r="B135">
        <v>105</v>
      </c>
      <c r="C135">
        <v>24093</v>
      </c>
      <c r="D135" t="s">
        <v>642</v>
      </c>
      <c r="E135">
        <v>29.99</v>
      </c>
      <c r="F135">
        <v>23.32</v>
      </c>
      <c r="G135">
        <v>46189</v>
      </c>
      <c r="H135" t="s">
        <v>310</v>
      </c>
      <c r="I135">
        <v>52.156521739130433</v>
      </c>
      <c r="J135">
        <v>2</v>
      </c>
    </row>
    <row r="136" spans="1:10" x14ac:dyDescent="0.35">
      <c r="A136" t="s">
        <v>635</v>
      </c>
      <c r="B136">
        <v>105</v>
      </c>
      <c r="C136">
        <v>24093</v>
      </c>
      <c r="D136" t="s">
        <v>642</v>
      </c>
      <c r="E136">
        <v>29.99</v>
      </c>
      <c r="F136">
        <v>23.32</v>
      </c>
      <c r="G136">
        <v>46190</v>
      </c>
      <c r="H136" t="s">
        <v>316</v>
      </c>
      <c r="I136">
        <v>155.16521739130434</v>
      </c>
      <c r="J136">
        <v>6</v>
      </c>
    </row>
    <row r="137" spans="1:10" x14ac:dyDescent="0.35">
      <c r="A137" t="s">
        <v>635</v>
      </c>
      <c r="B137">
        <v>105</v>
      </c>
      <c r="C137">
        <v>24093</v>
      </c>
      <c r="D137" t="s">
        <v>642</v>
      </c>
      <c r="E137">
        <v>29.99</v>
      </c>
      <c r="F137">
        <v>23.32</v>
      </c>
      <c r="G137">
        <v>46191</v>
      </c>
      <c r="H137" t="s">
        <v>960</v>
      </c>
      <c r="I137">
        <v>78.234782608695653</v>
      </c>
      <c r="J137">
        <v>3</v>
      </c>
    </row>
    <row r="138" spans="1:10" x14ac:dyDescent="0.35">
      <c r="A138" t="s">
        <v>635</v>
      </c>
      <c r="B138">
        <v>105</v>
      </c>
      <c r="C138">
        <v>24105</v>
      </c>
      <c r="D138" t="s">
        <v>646</v>
      </c>
      <c r="E138">
        <v>30.49</v>
      </c>
      <c r="F138">
        <v>24.57</v>
      </c>
      <c r="G138">
        <v>46188</v>
      </c>
      <c r="H138" t="s">
        <v>309</v>
      </c>
      <c r="I138">
        <v>60.98</v>
      </c>
      <c r="J138">
        <v>2</v>
      </c>
    </row>
    <row r="139" spans="1:10" x14ac:dyDescent="0.35">
      <c r="A139" t="s">
        <v>635</v>
      </c>
      <c r="B139">
        <v>105</v>
      </c>
      <c r="C139">
        <v>24105</v>
      </c>
      <c r="D139" t="s">
        <v>646</v>
      </c>
      <c r="E139">
        <v>30.49</v>
      </c>
      <c r="F139">
        <v>24.57</v>
      </c>
      <c r="G139">
        <v>46190</v>
      </c>
      <c r="H139" t="s">
        <v>316</v>
      </c>
      <c r="I139">
        <v>89.95</v>
      </c>
      <c r="J139">
        <v>3</v>
      </c>
    </row>
    <row r="140" spans="1:10" x14ac:dyDescent="0.35">
      <c r="A140" t="s">
        <v>635</v>
      </c>
      <c r="B140">
        <v>105</v>
      </c>
      <c r="C140">
        <v>24108</v>
      </c>
      <c r="D140" t="s">
        <v>647</v>
      </c>
      <c r="E140">
        <v>24.99</v>
      </c>
      <c r="F140">
        <v>18.18</v>
      </c>
      <c r="G140">
        <v>46188</v>
      </c>
      <c r="H140" t="s">
        <v>309</v>
      </c>
      <c r="I140">
        <v>43.460869565217386</v>
      </c>
      <c r="J140">
        <v>2</v>
      </c>
    </row>
    <row r="141" spans="1:10" x14ac:dyDescent="0.35">
      <c r="A141" t="s">
        <v>635</v>
      </c>
      <c r="B141">
        <v>105</v>
      </c>
      <c r="C141">
        <v>24108</v>
      </c>
      <c r="D141" t="s">
        <v>647</v>
      </c>
      <c r="E141">
        <v>24.99</v>
      </c>
      <c r="F141">
        <v>18.18</v>
      </c>
      <c r="G141">
        <v>46189</v>
      </c>
      <c r="H141" t="s">
        <v>310</v>
      </c>
      <c r="I141">
        <v>86.921739130434773</v>
      </c>
      <c r="J141">
        <v>4</v>
      </c>
    </row>
    <row r="142" spans="1:10" x14ac:dyDescent="0.35">
      <c r="A142" t="s">
        <v>635</v>
      </c>
      <c r="B142">
        <v>105</v>
      </c>
      <c r="C142">
        <v>24108</v>
      </c>
      <c r="D142" t="s">
        <v>647</v>
      </c>
      <c r="E142">
        <v>24.99</v>
      </c>
      <c r="F142">
        <v>18.18</v>
      </c>
      <c r="G142">
        <v>46190</v>
      </c>
      <c r="H142" t="s">
        <v>316</v>
      </c>
      <c r="I142">
        <v>583.46086956521742</v>
      </c>
      <c r="J142">
        <v>28</v>
      </c>
    </row>
    <row r="143" spans="1:10" x14ac:dyDescent="0.35">
      <c r="A143" t="s">
        <v>635</v>
      </c>
      <c r="B143">
        <v>105</v>
      </c>
      <c r="C143">
        <v>24108</v>
      </c>
      <c r="D143" t="s">
        <v>647</v>
      </c>
      <c r="E143">
        <v>24.99</v>
      </c>
      <c r="F143">
        <v>18.18</v>
      </c>
      <c r="G143">
        <v>46191</v>
      </c>
      <c r="H143" t="s">
        <v>960</v>
      </c>
      <c r="I143">
        <v>173.84347826086955</v>
      </c>
      <c r="J143">
        <v>8</v>
      </c>
    </row>
    <row r="144" spans="1:10" x14ac:dyDescent="0.35">
      <c r="A144" t="s">
        <v>635</v>
      </c>
      <c r="B144">
        <v>105</v>
      </c>
      <c r="C144">
        <v>24109</v>
      </c>
      <c r="D144" t="s">
        <v>648</v>
      </c>
      <c r="E144">
        <v>24.99</v>
      </c>
      <c r="F144">
        <v>17.98</v>
      </c>
      <c r="G144">
        <v>46188</v>
      </c>
      <c r="H144" t="s">
        <v>309</v>
      </c>
      <c r="I144">
        <v>152.11304347826086</v>
      </c>
      <c r="J144">
        <v>7</v>
      </c>
    </row>
    <row r="145" spans="1:10" x14ac:dyDescent="0.35">
      <c r="A145" t="s">
        <v>635</v>
      </c>
      <c r="B145">
        <v>105</v>
      </c>
      <c r="C145">
        <v>24109</v>
      </c>
      <c r="D145" t="s">
        <v>648</v>
      </c>
      <c r="E145">
        <v>24.99</v>
      </c>
      <c r="F145">
        <v>17.98</v>
      </c>
      <c r="G145">
        <v>46189</v>
      </c>
      <c r="H145" t="s">
        <v>310</v>
      </c>
      <c r="I145">
        <v>108.65217391304348</v>
      </c>
      <c r="J145">
        <v>5</v>
      </c>
    </row>
    <row r="146" spans="1:10" x14ac:dyDescent="0.35">
      <c r="A146" t="s">
        <v>635</v>
      </c>
      <c r="B146">
        <v>105</v>
      </c>
      <c r="C146">
        <v>24109</v>
      </c>
      <c r="D146" t="s">
        <v>648</v>
      </c>
      <c r="E146">
        <v>24.99</v>
      </c>
      <c r="F146">
        <v>17.98</v>
      </c>
      <c r="G146">
        <v>46190</v>
      </c>
      <c r="H146" t="s">
        <v>316</v>
      </c>
      <c r="I146">
        <v>21.730434782608693</v>
      </c>
      <c r="J146">
        <v>1</v>
      </c>
    </row>
    <row r="147" spans="1:10" x14ac:dyDescent="0.35">
      <c r="A147" t="s">
        <v>635</v>
      </c>
      <c r="B147">
        <v>105</v>
      </c>
      <c r="C147">
        <v>24109</v>
      </c>
      <c r="D147" t="s">
        <v>648</v>
      </c>
      <c r="E147">
        <v>24.99</v>
      </c>
      <c r="F147">
        <v>17.98</v>
      </c>
      <c r="G147">
        <v>46191</v>
      </c>
      <c r="H147" t="s">
        <v>960</v>
      </c>
      <c r="I147">
        <v>130.38260869565218</v>
      </c>
      <c r="J147">
        <v>6</v>
      </c>
    </row>
    <row r="148" spans="1:10" x14ac:dyDescent="0.35">
      <c r="A148" t="s">
        <v>632</v>
      </c>
      <c r="B148">
        <v>105</v>
      </c>
      <c r="C148">
        <v>24286</v>
      </c>
      <c r="D148" t="s">
        <v>650</v>
      </c>
      <c r="E148">
        <v>21.99</v>
      </c>
      <c r="F148">
        <v>15.52</v>
      </c>
      <c r="G148">
        <v>46188</v>
      </c>
      <c r="H148" t="s">
        <v>309</v>
      </c>
      <c r="I148">
        <v>57.365217391304348</v>
      </c>
      <c r="J148">
        <v>3</v>
      </c>
    </row>
    <row r="149" spans="1:10" x14ac:dyDescent="0.35">
      <c r="A149" t="s">
        <v>632</v>
      </c>
      <c r="B149">
        <v>105</v>
      </c>
      <c r="C149">
        <v>24286</v>
      </c>
      <c r="D149" t="s">
        <v>650</v>
      </c>
      <c r="E149">
        <v>21.99</v>
      </c>
      <c r="F149">
        <v>15.52</v>
      </c>
      <c r="G149">
        <v>46189</v>
      </c>
      <c r="H149" t="s">
        <v>310</v>
      </c>
      <c r="I149">
        <v>57.365217391304348</v>
      </c>
      <c r="J149">
        <v>3</v>
      </c>
    </row>
    <row r="150" spans="1:10" x14ac:dyDescent="0.35">
      <c r="A150" t="s">
        <v>632</v>
      </c>
      <c r="B150">
        <v>105</v>
      </c>
      <c r="C150">
        <v>24286</v>
      </c>
      <c r="D150" t="s">
        <v>650</v>
      </c>
      <c r="E150">
        <v>21.99</v>
      </c>
      <c r="F150">
        <v>15.52</v>
      </c>
      <c r="G150">
        <v>46191</v>
      </c>
      <c r="H150" t="s">
        <v>960</v>
      </c>
      <c r="I150">
        <v>95.608695652173921</v>
      </c>
      <c r="J150">
        <v>5</v>
      </c>
    </row>
    <row r="151" spans="1:10" x14ac:dyDescent="0.35">
      <c r="A151" t="s">
        <v>632</v>
      </c>
      <c r="B151">
        <v>105</v>
      </c>
      <c r="C151">
        <v>24291</v>
      </c>
      <c r="D151" t="s">
        <v>651</v>
      </c>
      <c r="E151">
        <v>19.989999999999998</v>
      </c>
      <c r="F151">
        <v>15.3</v>
      </c>
      <c r="G151">
        <v>46188</v>
      </c>
      <c r="H151" t="s">
        <v>309</v>
      </c>
      <c r="I151">
        <v>59.97</v>
      </c>
      <c r="J151">
        <v>3</v>
      </c>
    </row>
    <row r="152" spans="1:10" x14ac:dyDescent="0.35">
      <c r="A152" t="s">
        <v>632</v>
      </c>
      <c r="B152">
        <v>105</v>
      </c>
      <c r="C152">
        <v>24291</v>
      </c>
      <c r="D152" t="s">
        <v>651</v>
      </c>
      <c r="E152">
        <v>19.989999999999998</v>
      </c>
      <c r="F152">
        <v>15.3</v>
      </c>
      <c r="G152">
        <v>46190</v>
      </c>
      <c r="H152" t="s">
        <v>316</v>
      </c>
      <c r="I152">
        <v>39.979999999999997</v>
      </c>
      <c r="J152">
        <v>2</v>
      </c>
    </row>
    <row r="153" spans="1:10" x14ac:dyDescent="0.35">
      <c r="A153" t="s">
        <v>632</v>
      </c>
      <c r="B153">
        <v>105</v>
      </c>
      <c r="C153">
        <v>24291</v>
      </c>
      <c r="D153" t="s">
        <v>651</v>
      </c>
      <c r="E153">
        <v>19.989999999999998</v>
      </c>
      <c r="F153">
        <v>15.3</v>
      </c>
      <c r="G153">
        <v>46191</v>
      </c>
      <c r="H153" t="s">
        <v>960</v>
      </c>
      <c r="I153">
        <v>79.959999999999994</v>
      </c>
      <c r="J153">
        <v>4</v>
      </c>
    </row>
    <row r="154" spans="1:10" x14ac:dyDescent="0.35">
      <c r="A154" t="s">
        <v>632</v>
      </c>
      <c r="B154">
        <v>105</v>
      </c>
      <c r="C154">
        <v>24298</v>
      </c>
      <c r="D154" t="s">
        <v>653</v>
      </c>
      <c r="E154">
        <v>20.99</v>
      </c>
      <c r="F154">
        <v>15.19</v>
      </c>
      <c r="G154">
        <v>46188</v>
      </c>
      <c r="H154" t="s">
        <v>309</v>
      </c>
      <c r="I154">
        <v>292.03478260869565</v>
      </c>
      <c r="J154">
        <v>16</v>
      </c>
    </row>
    <row r="155" spans="1:10" x14ac:dyDescent="0.35">
      <c r="A155" t="s">
        <v>632</v>
      </c>
      <c r="B155">
        <v>105</v>
      </c>
      <c r="C155">
        <v>24298</v>
      </c>
      <c r="D155" t="s">
        <v>653</v>
      </c>
      <c r="E155">
        <v>20.99</v>
      </c>
      <c r="F155">
        <v>15.19</v>
      </c>
      <c r="G155">
        <v>46189</v>
      </c>
      <c r="H155" t="s">
        <v>310</v>
      </c>
      <c r="I155">
        <v>273.78260869565219</v>
      </c>
      <c r="J155">
        <v>15</v>
      </c>
    </row>
    <row r="156" spans="1:10" x14ac:dyDescent="0.35">
      <c r="A156" t="s">
        <v>632</v>
      </c>
      <c r="B156">
        <v>105</v>
      </c>
      <c r="C156">
        <v>24298</v>
      </c>
      <c r="D156" t="s">
        <v>653</v>
      </c>
      <c r="E156">
        <v>20.99</v>
      </c>
      <c r="F156">
        <v>15.19</v>
      </c>
      <c r="G156">
        <v>46190</v>
      </c>
      <c r="H156" t="s">
        <v>316</v>
      </c>
      <c r="I156">
        <v>180.69565217391306</v>
      </c>
      <c r="J156">
        <v>10</v>
      </c>
    </row>
    <row r="157" spans="1:10" x14ac:dyDescent="0.35">
      <c r="A157" t="s">
        <v>632</v>
      </c>
      <c r="B157">
        <v>105</v>
      </c>
      <c r="C157">
        <v>24298</v>
      </c>
      <c r="D157" t="s">
        <v>653</v>
      </c>
      <c r="E157">
        <v>20.99</v>
      </c>
      <c r="F157">
        <v>15.19</v>
      </c>
      <c r="G157">
        <v>46191</v>
      </c>
      <c r="H157" t="s">
        <v>960</v>
      </c>
      <c r="I157">
        <v>127.76521739130436</v>
      </c>
      <c r="J157">
        <v>7</v>
      </c>
    </row>
    <row r="158" spans="1:10" x14ac:dyDescent="0.35">
      <c r="A158" t="s">
        <v>632</v>
      </c>
      <c r="B158">
        <v>105</v>
      </c>
      <c r="C158">
        <v>24303</v>
      </c>
      <c r="D158" t="s">
        <v>654</v>
      </c>
      <c r="E158">
        <v>20.99</v>
      </c>
      <c r="F158">
        <v>16.39</v>
      </c>
      <c r="G158">
        <v>46188</v>
      </c>
      <c r="H158" t="s">
        <v>309</v>
      </c>
      <c r="I158">
        <v>41.98</v>
      </c>
      <c r="J158">
        <v>2</v>
      </c>
    </row>
    <row r="159" spans="1:10" x14ac:dyDescent="0.35">
      <c r="A159" t="s">
        <v>632</v>
      </c>
      <c r="B159">
        <v>105</v>
      </c>
      <c r="C159">
        <v>24303</v>
      </c>
      <c r="D159" t="s">
        <v>654</v>
      </c>
      <c r="E159">
        <v>20.99</v>
      </c>
      <c r="F159">
        <v>16.39</v>
      </c>
      <c r="G159">
        <v>46189</v>
      </c>
      <c r="H159" t="s">
        <v>310</v>
      </c>
      <c r="I159">
        <v>41.98</v>
      </c>
      <c r="J159">
        <v>2</v>
      </c>
    </row>
    <row r="160" spans="1:10" x14ac:dyDescent="0.35">
      <c r="A160" t="s">
        <v>632</v>
      </c>
      <c r="B160">
        <v>105</v>
      </c>
      <c r="C160">
        <v>24303</v>
      </c>
      <c r="D160" t="s">
        <v>654</v>
      </c>
      <c r="E160">
        <v>20.99</v>
      </c>
      <c r="F160">
        <v>16.39</v>
      </c>
      <c r="G160">
        <v>46190</v>
      </c>
      <c r="H160" t="s">
        <v>316</v>
      </c>
      <c r="I160">
        <v>40.93</v>
      </c>
      <c r="J160">
        <v>2</v>
      </c>
    </row>
    <row r="161" spans="1:10" x14ac:dyDescent="0.35">
      <c r="A161" t="s">
        <v>632</v>
      </c>
      <c r="B161">
        <v>105</v>
      </c>
      <c r="C161">
        <v>24303</v>
      </c>
      <c r="D161" t="s">
        <v>654</v>
      </c>
      <c r="E161">
        <v>20.99</v>
      </c>
      <c r="F161">
        <v>16.39</v>
      </c>
      <c r="G161">
        <v>46191</v>
      </c>
      <c r="H161" t="s">
        <v>960</v>
      </c>
      <c r="I161">
        <v>41.98</v>
      </c>
      <c r="J161">
        <v>2</v>
      </c>
    </row>
    <row r="162" spans="1:10" x14ac:dyDescent="0.35">
      <c r="A162" t="s">
        <v>632</v>
      </c>
      <c r="B162">
        <v>105</v>
      </c>
      <c r="C162">
        <v>24304</v>
      </c>
      <c r="D162" t="s">
        <v>655</v>
      </c>
      <c r="E162">
        <v>13.99</v>
      </c>
      <c r="F162">
        <v>9.0299999999999994</v>
      </c>
      <c r="G162">
        <v>46189</v>
      </c>
      <c r="H162" t="s">
        <v>310</v>
      </c>
      <c r="I162">
        <v>12.165217391304347</v>
      </c>
      <c r="J162">
        <v>1</v>
      </c>
    </row>
    <row r="163" spans="1:10" x14ac:dyDescent="0.35">
      <c r="A163" t="s">
        <v>632</v>
      </c>
      <c r="B163">
        <v>105</v>
      </c>
      <c r="C163">
        <v>24304</v>
      </c>
      <c r="D163" t="s">
        <v>655</v>
      </c>
      <c r="E163">
        <v>13.99</v>
      </c>
      <c r="F163">
        <v>9.0299999999999994</v>
      </c>
      <c r="G163">
        <v>46190</v>
      </c>
      <c r="H163" t="s">
        <v>316</v>
      </c>
      <c r="I163">
        <v>23.721739130434784</v>
      </c>
      <c r="J163">
        <v>2</v>
      </c>
    </row>
    <row r="164" spans="1:10" x14ac:dyDescent="0.35">
      <c r="A164" t="s">
        <v>632</v>
      </c>
      <c r="B164">
        <v>105</v>
      </c>
      <c r="C164">
        <v>24304</v>
      </c>
      <c r="D164" t="s">
        <v>655</v>
      </c>
      <c r="E164">
        <v>13.99</v>
      </c>
      <c r="F164">
        <v>9.0299999999999994</v>
      </c>
      <c r="G164">
        <v>46191</v>
      </c>
      <c r="H164" t="s">
        <v>960</v>
      </c>
      <c r="I164">
        <v>12.165217391304347</v>
      </c>
      <c r="J164">
        <v>1</v>
      </c>
    </row>
    <row r="165" spans="1:10" x14ac:dyDescent="0.35">
      <c r="A165" t="s">
        <v>632</v>
      </c>
      <c r="B165">
        <v>105</v>
      </c>
      <c r="C165">
        <v>24305</v>
      </c>
      <c r="D165" t="s">
        <v>656</v>
      </c>
      <c r="E165">
        <v>13.99</v>
      </c>
      <c r="F165">
        <v>9.0299999999999994</v>
      </c>
      <c r="G165">
        <v>46189</v>
      </c>
      <c r="H165" t="s">
        <v>310</v>
      </c>
      <c r="I165">
        <v>12.165217391304347</v>
      </c>
      <c r="J165">
        <v>1</v>
      </c>
    </row>
    <row r="166" spans="1:10" x14ac:dyDescent="0.35">
      <c r="A166" t="s">
        <v>632</v>
      </c>
      <c r="B166">
        <v>105</v>
      </c>
      <c r="C166">
        <v>24305</v>
      </c>
      <c r="D166" t="s">
        <v>656</v>
      </c>
      <c r="E166">
        <v>13.99</v>
      </c>
      <c r="F166">
        <v>9.0299999999999994</v>
      </c>
      <c r="G166">
        <v>46190</v>
      </c>
      <c r="H166" t="s">
        <v>316</v>
      </c>
      <c r="I166">
        <v>36.495652173913044</v>
      </c>
      <c r="J166">
        <v>3</v>
      </c>
    </row>
    <row r="167" spans="1:10" x14ac:dyDescent="0.35">
      <c r="A167" t="s">
        <v>632</v>
      </c>
      <c r="B167">
        <v>105</v>
      </c>
      <c r="C167">
        <v>24306</v>
      </c>
      <c r="D167" t="s">
        <v>657</v>
      </c>
      <c r="E167">
        <v>13.99</v>
      </c>
      <c r="F167">
        <v>9.0299999999999994</v>
      </c>
      <c r="G167">
        <v>46188</v>
      </c>
      <c r="H167" t="s">
        <v>309</v>
      </c>
      <c r="I167">
        <v>12.165217391304347</v>
      </c>
      <c r="J167">
        <v>1</v>
      </c>
    </row>
    <row r="168" spans="1:10" x14ac:dyDescent="0.35">
      <c r="A168" t="s">
        <v>632</v>
      </c>
      <c r="B168">
        <v>105</v>
      </c>
      <c r="C168">
        <v>24306</v>
      </c>
      <c r="D168" t="s">
        <v>657</v>
      </c>
      <c r="E168">
        <v>13.99</v>
      </c>
      <c r="F168">
        <v>9.0299999999999994</v>
      </c>
      <c r="G168">
        <v>46189</v>
      </c>
      <c r="H168" t="s">
        <v>310</v>
      </c>
      <c r="I168">
        <v>24.330434782608695</v>
      </c>
      <c r="J168">
        <v>2</v>
      </c>
    </row>
    <row r="169" spans="1:10" x14ac:dyDescent="0.35">
      <c r="A169" t="s">
        <v>632</v>
      </c>
      <c r="B169">
        <v>105</v>
      </c>
      <c r="C169">
        <v>24306</v>
      </c>
      <c r="D169" t="s">
        <v>657</v>
      </c>
      <c r="E169">
        <v>13.99</v>
      </c>
      <c r="F169">
        <v>9.0299999999999994</v>
      </c>
      <c r="G169">
        <v>46190</v>
      </c>
      <c r="H169" t="s">
        <v>316</v>
      </c>
      <c r="I169">
        <v>11.556521739130433</v>
      </c>
      <c r="J169">
        <v>1</v>
      </c>
    </row>
    <row r="170" spans="1:10" x14ac:dyDescent="0.35">
      <c r="A170" t="s">
        <v>632</v>
      </c>
      <c r="B170">
        <v>105</v>
      </c>
      <c r="C170">
        <v>24307</v>
      </c>
      <c r="D170" t="s">
        <v>658</v>
      </c>
      <c r="E170">
        <v>13.99</v>
      </c>
      <c r="F170">
        <v>9.0299999999999994</v>
      </c>
      <c r="G170">
        <v>46189</v>
      </c>
      <c r="H170" t="s">
        <v>310</v>
      </c>
      <c r="I170">
        <v>12.165217391304347</v>
      </c>
      <c r="J170">
        <v>1</v>
      </c>
    </row>
    <row r="171" spans="1:10" x14ac:dyDescent="0.35">
      <c r="A171" t="s">
        <v>632</v>
      </c>
      <c r="B171">
        <v>105</v>
      </c>
      <c r="C171">
        <v>24308</v>
      </c>
      <c r="D171" t="s">
        <v>659</v>
      </c>
      <c r="E171">
        <v>24.99</v>
      </c>
      <c r="F171">
        <v>16.059999999999999</v>
      </c>
      <c r="G171">
        <v>46188</v>
      </c>
      <c r="H171" t="s">
        <v>309</v>
      </c>
      <c r="I171">
        <v>43.460869565217386</v>
      </c>
      <c r="J171">
        <v>2</v>
      </c>
    </row>
    <row r="172" spans="1:10" x14ac:dyDescent="0.35">
      <c r="A172" t="s">
        <v>632</v>
      </c>
      <c r="B172">
        <v>105</v>
      </c>
      <c r="C172">
        <v>24308</v>
      </c>
      <c r="D172" t="s">
        <v>659</v>
      </c>
      <c r="E172">
        <v>24.99</v>
      </c>
      <c r="F172">
        <v>16.059999999999999</v>
      </c>
      <c r="G172">
        <v>46189</v>
      </c>
      <c r="H172" t="s">
        <v>310</v>
      </c>
      <c r="I172">
        <v>43.460869565217386</v>
      </c>
      <c r="J172">
        <v>2</v>
      </c>
    </row>
    <row r="173" spans="1:10" x14ac:dyDescent="0.35">
      <c r="A173" t="s">
        <v>632</v>
      </c>
      <c r="B173">
        <v>105</v>
      </c>
      <c r="C173">
        <v>24308</v>
      </c>
      <c r="D173" t="s">
        <v>659</v>
      </c>
      <c r="E173">
        <v>24.99</v>
      </c>
      <c r="F173">
        <v>16.059999999999999</v>
      </c>
      <c r="G173">
        <v>46190</v>
      </c>
      <c r="H173" t="s">
        <v>316</v>
      </c>
      <c r="I173">
        <v>20.643478260869564</v>
      </c>
      <c r="J173">
        <v>1</v>
      </c>
    </row>
    <row r="174" spans="1:10" x14ac:dyDescent="0.35">
      <c r="A174" t="s">
        <v>632</v>
      </c>
      <c r="B174">
        <v>105</v>
      </c>
      <c r="C174">
        <v>24308</v>
      </c>
      <c r="D174" t="s">
        <v>659</v>
      </c>
      <c r="E174">
        <v>24.99</v>
      </c>
      <c r="F174">
        <v>16.059999999999999</v>
      </c>
      <c r="G174">
        <v>46191</v>
      </c>
      <c r="H174" t="s">
        <v>960</v>
      </c>
      <c r="I174">
        <v>65.19130434782609</v>
      </c>
      <c r="J174">
        <v>3</v>
      </c>
    </row>
    <row r="175" spans="1:10" x14ac:dyDescent="0.35">
      <c r="A175" t="s">
        <v>476</v>
      </c>
      <c r="B175">
        <v>105</v>
      </c>
      <c r="C175">
        <v>24619</v>
      </c>
      <c r="D175" t="s">
        <v>660</v>
      </c>
      <c r="E175">
        <v>21.99</v>
      </c>
      <c r="F175">
        <v>15.39</v>
      </c>
      <c r="G175">
        <v>46188</v>
      </c>
      <c r="H175" t="s">
        <v>309</v>
      </c>
      <c r="I175">
        <v>57.365217391304348</v>
      </c>
      <c r="J175">
        <v>3</v>
      </c>
    </row>
    <row r="176" spans="1:10" x14ac:dyDescent="0.35">
      <c r="A176" t="s">
        <v>476</v>
      </c>
      <c r="B176">
        <v>105</v>
      </c>
      <c r="C176">
        <v>24619</v>
      </c>
      <c r="D176" t="s">
        <v>660</v>
      </c>
      <c r="E176">
        <v>21.99</v>
      </c>
      <c r="F176">
        <v>15.39</v>
      </c>
      <c r="G176">
        <v>46189</v>
      </c>
      <c r="H176" t="s">
        <v>310</v>
      </c>
      <c r="I176">
        <v>133.85217391304349</v>
      </c>
      <c r="J176">
        <v>7</v>
      </c>
    </row>
    <row r="177" spans="1:10" x14ac:dyDescent="0.35">
      <c r="A177" t="s">
        <v>476</v>
      </c>
      <c r="B177">
        <v>105</v>
      </c>
      <c r="C177">
        <v>24619</v>
      </c>
      <c r="D177" t="s">
        <v>660</v>
      </c>
      <c r="E177">
        <v>21.99</v>
      </c>
      <c r="F177">
        <v>15.39</v>
      </c>
      <c r="G177">
        <v>46190</v>
      </c>
      <c r="H177" t="s">
        <v>316</v>
      </c>
      <c r="I177">
        <v>76.486956521739131</v>
      </c>
      <c r="J177">
        <v>4</v>
      </c>
    </row>
    <row r="178" spans="1:10" x14ac:dyDescent="0.35">
      <c r="A178" t="s">
        <v>476</v>
      </c>
      <c r="B178">
        <v>105</v>
      </c>
      <c r="C178">
        <v>24619</v>
      </c>
      <c r="D178" t="s">
        <v>660</v>
      </c>
      <c r="E178">
        <v>21.99</v>
      </c>
      <c r="F178">
        <v>15.39</v>
      </c>
      <c r="G178">
        <v>46191</v>
      </c>
      <c r="H178" t="s">
        <v>960</v>
      </c>
      <c r="I178">
        <v>133.85217391304349</v>
      </c>
      <c r="J178">
        <v>7</v>
      </c>
    </row>
    <row r="179" spans="1:10" x14ac:dyDescent="0.35">
      <c r="A179" t="s">
        <v>476</v>
      </c>
      <c r="B179">
        <v>105</v>
      </c>
      <c r="C179">
        <v>24620</v>
      </c>
      <c r="D179" t="s">
        <v>661</v>
      </c>
      <c r="E179">
        <v>18.989999999999998</v>
      </c>
      <c r="F179">
        <v>15.7</v>
      </c>
      <c r="G179">
        <v>46188</v>
      </c>
      <c r="H179" t="s">
        <v>309</v>
      </c>
      <c r="I179">
        <v>75.959999999999994</v>
      </c>
      <c r="J179">
        <v>4</v>
      </c>
    </row>
    <row r="180" spans="1:10" x14ac:dyDescent="0.35">
      <c r="A180" t="s">
        <v>476</v>
      </c>
      <c r="B180">
        <v>105</v>
      </c>
      <c r="C180">
        <v>24620</v>
      </c>
      <c r="D180" t="s">
        <v>661</v>
      </c>
      <c r="E180">
        <v>18.989999999999998</v>
      </c>
      <c r="F180">
        <v>15.7</v>
      </c>
      <c r="G180">
        <v>46189</v>
      </c>
      <c r="H180" t="s">
        <v>310</v>
      </c>
      <c r="I180">
        <v>94.95</v>
      </c>
      <c r="J180">
        <v>5</v>
      </c>
    </row>
    <row r="181" spans="1:10" x14ac:dyDescent="0.35">
      <c r="A181" t="s">
        <v>476</v>
      </c>
      <c r="B181">
        <v>105</v>
      </c>
      <c r="C181">
        <v>24620</v>
      </c>
      <c r="D181" t="s">
        <v>661</v>
      </c>
      <c r="E181">
        <v>18.989999999999998</v>
      </c>
      <c r="F181">
        <v>15.7</v>
      </c>
      <c r="G181">
        <v>46190</v>
      </c>
      <c r="H181" t="s">
        <v>316</v>
      </c>
      <c r="I181">
        <v>149.07</v>
      </c>
      <c r="J181">
        <v>8</v>
      </c>
    </row>
    <row r="182" spans="1:10" x14ac:dyDescent="0.35">
      <c r="A182" t="s">
        <v>476</v>
      </c>
      <c r="B182">
        <v>105</v>
      </c>
      <c r="C182">
        <v>24620</v>
      </c>
      <c r="D182" t="s">
        <v>661</v>
      </c>
      <c r="E182">
        <v>18.989999999999998</v>
      </c>
      <c r="F182">
        <v>15.7</v>
      </c>
      <c r="G182">
        <v>46191</v>
      </c>
      <c r="H182" t="s">
        <v>960</v>
      </c>
      <c r="I182">
        <v>56.97</v>
      </c>
      <c r="J182">
        <v>3</v>
      </c>
    </row>
    <row r="183" spans="1:10" x14ac:dyDescent="0.35">
      <c r="A183" t="s">
        <v>476</v>
      </c>
      <c r="B183">
        <v>105</v>
      </c>
      <c r="C183">
        <v>24621</v>
      </c>
      <c r="D183" t="s">
        <v>662</v>
      </c>
      <c r="E183">
        <v>25.99</v>
      </c>
      <c r="F183">
        <v>19.2</v>
      </c>
      <c r="G183">
        <v>46188</v>
      </c>
      <c r="H183" t="s">
        <v>309</v>
      </c>
      <c r="I183">
        <v>155.94</v>
      </c>
      <c r="J183">
        <v>6</v>
      </c>
    </row>
    <row r="184" spans="1:10" x14ac:dyDescent="0.35">
      <c r="A184" t="s">
        <v>476</v>
      </c>
      <c r="B184">
        <v>105</v>
      </c>
      <c r="C184">
        <v>24621</v>
      </c>
      <c r="D184" t="s">
        <v>662</v>
      </c>
      <c r="E184">
        <v>25.99</v>
      </c>
      <c r="F184">
        <v>19.2</v>
      </c>
      <c r="G184">
        <v>46191</v>
      </c>
      <c r="H184" t="s">
        <v>960</v>
      </c>
      <c r="I184">
        <v>51.98</v>
      </c>
      <c r="J184">
        <v>2</v>
      </c>
    </row>
    <row r="185" spans="1:10" x14ac:dyDescent="0.35">
      <c r="A185" t="s">
        <v>476</v>
      </c>
      <c r="B185">
        <v>105</v>
      </c>
      <c r="C185">
        <v>24626</v>
      </c>
      <c r="D185" t="s">
        <v>663</v>
      </c>
      <c r="E185">
        <v>25.99</v>
      </c>
      <c r="F185">
        <v>16.350000000000001</v>
      </c>
      <c r="G185">
        <v>46188</v>
      </c>
      <c r="H185" t="s">
        <v>309</v>
      </c>
      <c r="I185">
        <v>67.8</v>
      </c>
      <c r="J185">
        <v>3</v>
      </c>
    </row>
    <row r="186" spans="1:10" x14ac:dyDescent="0.35">
      <c r="A186" t="s">
        <v>476</v>
      </c>
      <c r="B186">
        <v>105</v>
      </c>
      <c r="C186">
        <v>24626</v>
      </c>
      <c r="D186" t="s">
        <v>663</v>
      </c>
      <c r="E186">
        <v>25.99</v>
      </c>
      <c r="F186">
        <v>16.350000000000001</v>
      </c>
      <c r="G186">
        <v>46189</v>
      </c>
      <c r="H186" t="s">
        <v>310</v>
      </c>
      <c r="I186">
        <v>45.199999999999996</v>
      </c>
      <c r="J186">
        <v>2</v>
      </c>
    </row>
    <row r="187" spans="1:10" x14ac:dyDescent="0.35">
      <c r="A187" t="s">
        <v>476</v>
      </c>
      <c r="B187">
        <v>105</v>
      </c>
      <c r="C187">
        <v>24626</v>
      </c>
      <c r="D187" t="s">
        <v>663</v>
      </c>
      <c r="E187">
        <v>25.99</v>
      </c>
      <c r="F187">
        <v>16.350000000000001</v>
      </c>
      <c r="G187">
        <v>46190</v>
      </c>
      <c r="H187" t="s">
        <v>316</v>
      </c>
      <c r="I187">
        <v>154.80869565217392</v>
      </c>
      <c r="J187">
        <v>7</v>
      </c>
    </row>
    <row r="188" spans="1:10" x14ac:dyDescent="0.35">
      <c r="A188" t="s">
        <v>476</v>
      </c>
      <c r="B188">
        <v>105</v>
      </c>
      <c r="C188">
        <v>24626</v>
      </c>
      <c r="D188" t="s">
        <v>663</v>
      </c>
      <c r="E188">
        <v>25.99</v>
      </c>
      <c r="F188">
        <v>16.350000000000001</v>
      </c>
      <c r="G188">
        <v>46191</v>
      </c>
      <c r="H188" t="s">
        <v>960</v>
      </c>
      <c r="I188">
        <v>158.20000000000002</v>
      </c>
      <c r="J188">
        <v>7</v>
      </c>
    </row>
    <row r="189" spans="1:10" x14ac:dyDescent="0.35">
      <c r="A189" t="s">
        <v>476</v>
      </c>
      <c r="B189">
        <v>105</v>
      </c>
      <c r="C189">
        <v>24631</v>
      </c>
      <c r="D189" t="s">
        <v>664</v>
      </c>
      <c r="E189">
        <v>23.99</v>
      </c>
      <c r="F189">
        <v>18.8</v>
      </c>
      <c r="G189">
        <v>46188</v>
      </c>
      <c r="H189" t="s">
        <v>309</v>
      </c>
      <c r="I189">
        <v>167.93</v>
      </c>
      <c r="J189">
        <v>7</v>
      </c>
    </row>
    <row r="190" spans="1:10" x14ac:dyDescent="0.35">
      <c r="A190" t="s">
        <v>476</v>
      </c>
      <c r="B190">
        <v>105</v>
      </c>
      <c r="C190">
        <v>24631</v>
      </c>
      <c r="D190" t="s">
        <v>664</v>
      </c>
      <c r="E190">
        <v>23.99</v>
      </c>
      <c r="F190">
        <v>18.8</v>
      </c>
      <c r="G190">
        <v>46189</v>
      </c>
      <c r="H190" t="s">
        <v>310</v>
      </c>
      <c r="I190">
        <v>47.98</v>
      </c>
      <c r="J190">
        <v>2</v>
      </c>
    </row>
    <row r="191" spans="1:10" x14ac:dyDescent="0.35">
      <c r="A191" t="s">
        <v>476</v>
      </c>
      <c r="B191">
        <v>105</v>
      </c>
      <c r="C191">
        <v>24631</v>
      </c>
      <c r="D191" t="s">
        <v>664</v>
      </c>
      <c r="E191">
        <v>23.99</v>
      </c>
      <c r="F191">
        <v>18.8</v>
      </c>
      <c r="G191">
        <v>46190</v>
      </c>
      <c r="H191" t="s">
        <v>316</v>
      </c>
      <c r="I191">
        <v>70.77</v>
      </c>
      <c r="J191">
        <v>3</v>
      </c>
    </row>
    <row r="192" spans="1:10" x14ac:dyDescent="0.35">
      <c r="A192" t="s">
        <v>476</v>
      </c>
      <c r="B192">
        <v>105</v>
      </c>
      <c r="C192">
        <v>24631</v>
      </c>
      <c r="D192" t="s">
        <v>664</v>
      </c>
      <c r="E192">
        <v>23.99</v>
      </c>
      <c r="F192">
        <v>18.8</v>
      </c>
      <c r="G192">
        <v>46191</v>
      </c>
      <c r="H192" t="s">
        <v>960</v>
      </c>
      <c r="I192">
        <v>119.95</v>
      </c>
      <c r="J192">
        <v>5</v>
      </c>
    </row>
    <row r="193" spans="1:10" x14ac:dyDescent="0.35">
      <c r="A193" t="s">
        <v>476</v>
      </c>
      <c r="B193">
        <v>105</v>
      </c>
      <c r="C193">
        <v>24633</v>
      </c>
      <c r="D193" t="s">
        <v>665</v>
      </c>
      <c r="E193">
        <v>25.99</v>
      </c>
      <c r="F193">
        <v>17.57</v>
      </c>
      <c r="G193">
        <v>46188</v>
      </c>
      <c r="H193" t="s">
        <v>309</v>
      </c>
      <c r="I193">
        <v>45.199999999999996</v>
      </c>
      <c r="J193">
        <v>2</v>
      </c>
    </row>
    <row r="194" spans="1:10" x14ac:dyDescent="0.35">
      <c r="A194" t="s">
        <v>476</v>
      </c>
      <c r="B194">
        <v>105</v>
      </c>
      <c r="C194">
        <v>24633</v>
      </c>
      <c r="D194" t="s">
        <v>665</v>
      </c>
      <c r="E194">
        <v>25.99</v>
      </c>
      <c r="F194">
        <v>17.57</v>
      </c>
      <c r="G194">
        <v>46189</v>
      </c>
      <c r="H194" t="s">
        <v>310</v>
      </c>
      <c r="I194">
        <v>67.8</v>
      </c>
      <c r="J194">
        <v>3</v>
      </c>
    </row>
    <row r="195" spans="1:10" x14ac:dyDescent="0.35">
      <c r="A195" t="s">
        <v>476</v>
      </c>
      <c r="B195">
        <v>105</v>
      </c>
      <c r="C195">
        <v>24633</v>
      </c>
      <c r="D195" t="s">
        <v>665</v>
      </c>
      <c r="E195">
        <v>25.99</v>
      </c>
      <c r="F195">
        <v>17.57</v>
      </c>
      <c r="G195">
        <v>46190</v>
      </c>
      <c r="H195" t="s">
        <v>316</v>
      </c>
      <c r="I195">
        <v>21.469565217391306</v>
      </c>
      <c r="J195">
        <v>1</v>
      </c>
    </row>
    <row r="196" spans="1:10" x14ac:dyDescent="0.35">
      <c r="A196" t="s">
        <v>476</v>
      </c>
      <c r="B196">
        <v>105</v>
      </c>
      <c r="C196">
        <v>24634</v>
      </c>
      <c r="D196" t="s">
        <v>666</v>
      </c>
      <c r="E196">
        <v>18.989999999999998</v>
      </c>
      <c r="F196">
        <v>14.5</v>
      </c>
      <c r="G196">
        <v>46188</v>
      </c>
      <c r="H196" t="s">
        <v>309</v>
      </c>
      <c r="I196">
        <v>75.959999999999994</v>
      </c>
      <c r="J196">
        <v>4</v>
      </c>
    </row>
    <row r="197" spans="1:10" x14ac:dyDescent="0.35">
      <c r="A197" t="s">
        <v>476</v>
      </c>
      <c r="B197">
        <v>105</v>
      </c>
      <c r="C197">
        <v>24634</v>
      </c>
      <c r="D197" t="s">
        <v>666</v>
      </c>
      <c r="E197">
        <v>18.989999999999998</v>
      </c>
      <c r="F197">
        <v>14.5</v>
      </c>
      <c r="G197">
        <v>46189</v>
      </c>
      <c r="H197" t="s">
        <v>310</v>
      </c>
      <c r="I197">
        <v>132.93</v>
      </c>
      <c r="J197">
        <v>7</v>
      </c>
    </row>
    <row r="198" spans="1:10" x14ac:dyDescent="0.35">
      <c r="A198" t="s">
        <v>476</v>
      </c>
      <c r="B198">
        <v>105</v>
      </c>
      <c r="C198">
        <v>24634</v>
      </c>
      <c r="D198" t="s">
        <v>666</v>
      </c>
      <c r="E198">
        <v>18.989999999999998</v>
      </c>
      <c r="F198">
        <v>14.5</v>
      </c>
      <c r="G198">
        <v>46190</v>
      </c>
      <c r="H198" t="s">
        <v>316</v>
      </c>
      <c r="I198">
        <v>56.02</v>
      </c>
      <c r="J198">
        <v>3</v>
      </c>
    </row>
    <row r="199" spans="1:10" x14ac:dyDescent="0.35">
      <c r="A199" t="s">
        <v>476</v>
      </c>
      <c r="B199">
        <v>105</v>
      </c>
      <c r="C199">
        <v>24634</v>
      </c>
      <c r="D199" t="s">
        <v>666</v>
      </c>
      <c r="E199">
        <v>18.989999999999998</v>
      </c>
      <c r="F199">
        <v>14.5</v>
      </c>
      <c r="G199">
        <v>46191</v>
      </c>
      <c r="H199" t="s">
        <v>960</v>
      </c>
      <c r="I199">
        <v>37.979999999999997</v>
      </c>
      <c r="J199">
        <v>2</v>
      </c>
    </row>
    <row r="200" spans="1:10" x14ac:dyDescent="0.35">
      <c r="A200" t="s">
        <v>476</v>
      </c>
      <c r="B200">
        <v>105</v>
      </c>
      <c r="C200">
        <v>24635</v>
      </c>
      <c r="D200" t="s">
        <v>667</v>
      </c>
      <c r="E200">
        <v>19.989999999999998</v>
      </c>
      <c r="F200">
        <v>14.35</v>
      </c>
      <c r="G200">
        <v>46188</v>
      </c>
      <c r="H200" t="s">
        <v>309</v>
      </c>
      <c r="I200">
        <v>139.06086956521739</v>
      </c>
      <c r="J200">
        <v>8</v>
      </c>
    </row>
    <row r="201" spans="1:10" x14ac:dyDescent="0.35">
      <c r="A201" t="s">
        <v>476</v>
      </c>
      <c r="B201">
        <v>105</v>
      </c>
      <c r="C201">
        <v>24635</v>
      </c>
      <c r="D201" t="s">
        <v>667</v>
      </c>
      <c r="E201">
        <v>19.989999999999998</v>
      </c>
      <c r="F201">
        <v>14.35</v>
      </c>
      <c r="G201">
        <v>46189</v>
      </c>
      <c r="H201" t="s">
        <v>310</v>
      </c>
      <c r="I201">
        <v>260.73913043478262</v>
      </c>
      <c r="J201">
        <v>15</v>
      </c>
    </row>
    <row r="202" spans="1:10" x14ac:dyDescent="0.35">
      <c r="A202" t="s">
        <v>476</v>
      </c>
      <c r="B202">
        <v>105</v>
      </c>
      <c r="C202">
        <v>24635</v>
      </c>
      <c r="D202" t="s">
        <v>667</v>
      </c>
      <c r="E202">
        <v>19.989999999999998</v>
      </c>
      <c r="F202">
        <v>14.35</v>
      </c>
      <c r="G202">
        <v>46190</v>
      </c>
      <c r="H202" t="s">
        <v>316</v>
      </c>
      <c r="I202">
        <v>172.95652173913044</v>
      </c>
      <c r="J202">
        <v>10</v>
      </c>
    </row>
    <row r="203" spans="1:10" x14ac:dyDescent="0.35">
      <c r="A203" t="s">
        <v>476</v>
      </c>
      <c r="B203">
        <v>105</v>
      </c>
      <c r="C203">
        <v>24635</v>
      </c>
      <c r="D203" t="s">
        <v>667</v>
      </c>
      <c r="E203">
        <v>19.989999999999998</v>
      </c>
      <c r="F203">
        <v>14.35</v>
      </c>
      <c r="G203">
        <v>46191</v>
      </c>
      <c r="H203" t="s">
        <v>960</v>
      </c>
      <c r="I203">
        <v>104.29565217391304</v>
      </c>
      <c r="J203">
        <v>6</v>
      </c>
    </row>
    <row r="204" spans="1:10" x14ac:dyDescent="0.35">
      <c r="A204" t="s">
        <v>476</v>
      </c>
      <c r="B204">
        <v>105</v>
      </c>
      <c r="C204">
        <v>24636</v>
      </c>
      <c r="D204" t="s">
        <v>668</v>
      </c>
      <c r="E204">
        <v>25.99</v>
      </c>
      <c r="F204">
        <v>16.36</v>
      </c>
      <c r="G204">
        <v>46190</v>
      </c>
      <c r="H204" t="s">
        <v>316</v>
      </c>
      <c r="I204">
        <v>45.199999999999996</v>
      </c>
      <c r="J204">
        <v>2</v>
      </c>
    </row>
    <row r="205" spans="1:10" x14ac:dyDescent="0.35">
      <c r="A205" t="s">
        <v>476</v>
      </c>
      <c r="B205">
        <v>105</v>
      </c>
      <c r="C205">
        <v>24639</v>
      </c>
      <c r="D205" t="s">
        <v>670</v>
      </c>
      <c r="E205">
        <v>25.99</v>
      </c>
      <c r="F205">
        <v>16.36</v>
      </c>
      <c r="G205">
        <v>46188</v>
      </c>
      <c r="H205" t="s">
        <v>309</v>
      </c>
      <c r="I205">
        <v>22.599999999999998</v>
      </c>
      <c r="J205">
        <v>1</v>
      </c>
    </row>
    <row r="206" spans="1:10" x14ac:dyDescent="0.35">
      <c r="A206" t="s">
        <v>476</v>
      </c>
      <c r="B206">
        <v>105</v>
      </c>
      <c r="C206">
        <v>24652</v>
      </c>
      <c r="D206" t="s">
        <v>671</v>
      </c>
      <c r="E206">
        <v>22.99</v>
      </c>
      <c r="F206">
        <v>14.35</v>
      </c>
      <c r="G206">
        <v>46188</v>
      </c>
      <c r="H206" t="s">
        <v>309</v>
      </c>
      <c r="I206">
        <v>279.87826086956522</v>
      </c>
      <c r="J206">
        <v>14</v>
      </c>
    </row>
    <row r="207" spans="1:10" x14ac:dyDescent="0.35">
      <c r="A207" t="s">
        <v>476</v>
      </c>
      <c r="B207">
        <v>105</v>
      </c>
      <c r="C207">
        <v>24652</v>
      </c>
      <c r="D207" t="s">
        <v>671</v>
      </c>
      <c r="E207">
        <v>22.99</v>
      </c>
      <c r="F207">
        <v>14.35</v>
      </c>
      <c r="G207">
        <v>46189</v>
      </c>
      <c r="H207" t="s">
        <v>310</v>
      </c>
      <c r="I207">
        <v>259.88695652173914</v>
      </c>
      <c r="J207">
        <v>13</v>
      </c>
    </row>
    <row r="208" spans="1:10" x14ac:dyDescent="0.35">
      <c r="A208" t="s">
        <v>476</v>
      </c>
      <c r="B208">
        <v>105</v>
      </c>
      <c r="C208">
        <v>24652</v>
      </c>
      <c r="D208" t="s">
        <v>671</v>
      </c>
      <c r="E208">
        <v>22.99</v>
      </c>
      <c r="F208">
        <v>14.35</v>
      </c>
      <c r="G208">
        <v>46190</v>
      </c>
      <c r="H208" t="s">
        <v>316</v>
      </c>
      <c r="I208">
        <v>197.91304347826087</v>
      </c>
      <c r="J208">
        <v>10</v>
      </c>
    </row>
    <row r="209" spans="1:10" x14ac:dyDescent="0.35">
      <c r="A209" t="s">
        <v>476</v>
      </c>
      <c r="B209">
        <v>105</v>
      </c>
      <c r="C209">
        <v>24652</v>
      </c>
      <c r="D209" t="s">
        <v>671</v>
      </c>
      <c r="E209">
        <v>22.99</v>
      </c>
      <c r="F209">
        <v>14.35</v>
      </c>
      <c r="G209">
        <v>46191</v>
      </c>
      <c r="H209" t="s">
        <v>960</v>
      </c>
      <c r="I209">
        <v>59.973913043478262</v>
      </c>
      <c r="J209">
        <v>3</v>
      </c>
    </row>
    <row r="210" spans="1:10" x14ac:dyDescent="0.35">
      <c r="A210" t="s">
        <v>476</v>
      </c>
      <c r="B210">
        <v>105</v>
      </c>
      <c r="C210">
        <v>24653</v>
      </c>
      <c r="D210" t="s">
        <v>672</v>
      </c>
      <c r="E210">
        <v>18.989999999999998</v>
      </c>
      <c r="F210">
        <v>14.5</v>
      </c>
      <c r="G210">
        <v>46188</v>
      </c>
      <c r="H210" t="s">
        <v>309</v>
      </c>
      <c r="I210">
        <v>37.979999999999997</v>
      </c>
      <c r="J210">
        <v>2</v>
      </c>
    </row>
    <row r="211" spans="1:10" x14ac:dyDescent="0.35">
      <c r="A211" t="s">
        <v>476</v>
      </c>
      <c r="B211">
        <v>105</v>
      </c>
      <c r="C211">
        <v>24653</v>
      </c>
      <c r="D211" t="s">
        <v>672</v>
      </c>
      <c r="E211">
        <v>18.989999999999998</v>
      </c>
      <c r="F211">
        <v>14.5</v>
      </c>
      <c r="G211">
        <v>46189</v>
      </c>
      <c r="H211" t="s">
        <v>310</v>
      </c>
      <c r="I211">
        <v>37.979999999999997</v>
      </c>
      <c r="J211">
        <v>2</v>
      </c>
    </row>
    <row r="212" spans="1:10" x14ac:dyDescent="0.35">
      <c r="A212" t="s">
        <v>476</v>
      </c>
      <c r="B212">
        <v>105</v>
      </c>
      <c r="C212">
        <v>24653</v>
      </c>
      <c r="D212" t="s">
        <v>672</v>
      </c>
      <c r="E212">
        <v>18.989999999999998</v>
      </c>
      <c r="F212">
        <v>14.5</v>
      </c>
      <c r="G212">
        <v>46190</v>
      </c>
      <c r="H212" t="s">
        <v>316</v>
      </c>
      <c r="I212">
        <v>18.04</v>
      </c>
      <c r="J212">
        <v>1</v>
      </c>
    </row>
    <row r="213" spans="1:10" x14ac:dyDescent="0.35">
      <c r="A213" t="s">
        <v>476</v>
      </c>
      <c r="B213">
        <v>105</v>
      </c>
      <c r="C213">
        <v>24653</v>
      </c>
      <c r="D213" t="s">
        <v>672</v>
      </c>
      <c r="E213">
        <v>18.989999999999998</v>
      </c>
      <c r="F213">
        <v>14.5</v>
      </c>
      <c r="G213">
        <v>46191</v>
      </c>
      <c r="H213" t="s">
        <v>960</v>
      </c>
      <c r="I213">
        <v>18.989999999999998</v>
      </c>
      <c r="J213">
        <v>1</v>
      </c>
    </row>
    <row r="214" spans="1:10" x14ac:dyDescent="0.35">
      <c r="A214" t="s">
        <v>359</v>
      </c>
      <c r="B214">
        <v>103</v>
      </c>
      <c r="C214">
        <v>32056</v>
      </c>
      <c r="D214" t="s">
        <v>673</v>
      </c>
      <c r="E214">
        <v>359</v>
      </c>
      <c r="F214">
        <v>191.73</v>
      </c>
      <c r="G214">
        <v>46190</v>
      </c>
      <c r="H214" t="s">
        <v>316</v>
      </c>
      <c r="I214">
        <v>9.3652173913043484</v>
      </c>
      <c r="J214">
        <v>0</v>
      </c>
    </row>
    <row r="215" spans="1:10" x14ac:dyDescent="0.35">
      <c r="A215" t="s">
        <v>359</v>
      </c>
      <c r="B215">
        <v>103</v>
      </c>
      <c r="C215">
        <v>32056</v>
      </c>
      <c r="D215" t="s">
        <v>673</v>
      </c>
      <c r="E215">
        <v>359</v>
      </c>
      <c r="F215">
        <v>191.73</v>
      </c>
      <c r="G215">
        <v>46191</v>
      </c>
      <c r="H215" t="s">
        <v>960</v>
      </c>
      <c r="I215">
        <v>6.2434782608695647</v>
      </c>
      <c r="J215">
        <v>0</v>
      </c>
    </row>
    <row r="216" spans="1:10" x14ac:dyDescent="0.35">
      <c r="A216" t="s">
        <v>14</v>
      </c>
      <c r="B216">
        <v>101</v>
      </c>
      <c r="C216">
        <v>32062</v>
      </c>
      <c r="D216" t="s">
        <v>51</v>
      </c>
      <c r="E216">
        <v>24.99</v>
      </c>
      <c r="F216">
        <v>9.68</v>
      </c>
      <c r="G216">
        <v>46190</v>
      </c>
      <c r="H216" t="s">
        <v>316</v>
      </c>
      <c r="I216">
        <v>43.460869565217386</v>
      </c>
      <c r="J216">
        <v>2</v>
      </c>
    </row>
    <row r="217" spans="1:10" x14ac:dyDescent="0.35">
      <c r="A217" t="s">
        <v>14</v>
      </c>
      <c r="B217">
        <v>101</v>
      </c>
      <c r="C217">
        <v>32063</v>
      </c>
      <c r="D217" t="s">
        <v>52</v>
      </c>
      <c r="E217">
        <v>19.989999999999998</v>
      </c>
      <c r="F217">
        <v>8.5</v>
      </c>
      <c r="G217">
        <v>46190</v>
      </c>
      <c r="H217" t="s">
        <v>316</v>
      </c>
      <c r="I217">
        <v>34.765217391304347</v>
      </c>
      <c r="J217">
        <v>2</v>
      </c>
    </row>
    <row r="218" spans="1:10" x14ac:dyDescent="0.35">
      <c r="A218" t="s">
        <v>14</v>
      </c>
      <c r="B218">
        <v>101</v>
      </c>
      <c r="C218">
        <v>32063</v>
      </c>
      <c r="D218" t="s">
        <v>52</v>
      </c>
      <c r="E218">
        <v>19.989999999999998</v>
      </c>
      <c r="F218">
        <v>8.5</v>
      </c>
      <c r="G218">
        <v>46191</v>
      </c>
      <c r="H218" t="s">
        <v>960</v>
      </c>
      <c r="I218">
        <v>17.382608695652173</v>
      </c>
      <c r="J218">
        <v>1</v>
      </c>
    </row>
    <row r="219" spans="1:10" x14ac:dyDescent="0.35">
      <c r="A219" t="s">
        <v>14</v>
      </c>
      <c r="B219">
        <v>102</v>
      </c>
      <c r="C219">
        <v>32066</v>
      </c>
      <c r="D219" t="s">
        <v>114</v>
      </c>
      <c r="E219">
        <v>10</v>
      </c>
      <c r="F219">
        <v>4.5</v>
      </c>
      <c r="G219">
        <v>46190</v>
      </c>
      <c r="H219" t="s">
        <v>316</v>
      </c>
      <c r="I219">
        <v>52.173913043478258</v>
      </c>
      <c r="J219">
        <v>6</v>
      </c>
    </row>
    <row r="220" spans="1:10" x14ac:dyDescent="0.35">
      <c r="A220" t="s">
        <v>14</v>
      </c>
      <c r="B220">
        <v>101</v>
      </c>
      <c r="C220">
        <v>32067</v>
      </c>
      <c r="D220" t="s">
        <v>29</v>
      </c>
      <c r="E220">
        <v>34.99</v>
      </c>
      <c r="F220">
        <v>15.91</v>
      </c>
      <c r="G220">
        <v>46189</v>
      </c>
      <c r="H220" t="s">
        <v>310</v>
      </c>
      <c r="I220">
        <v>121.70434782608696</v>
      </c>
      <c r="J220">
        <v>4</v>
      </c>
    </row>
    <row r="221" spans="1:10" x14ac:dyDescent="0.35">
      <c r="A221" t="s">
        <v>14</v>
      </c>
      <c r="B221">
        <v>101</v>
      </c>
      <c r="C221">
        <v>32067</v>
      </c>
      <c r="D221" t="s">
        <v>29</v>
      </c>
      <c r="E221">
        <v>34.99</v>
      </c>
      <c r="F221">
        <v>15.91</v>
      </c>
      <c r="G221">
        <v>46190</v>
      </c>
      <c r="H221" t="s">
        <v>316</v>
      </c>
      <c r="I221">
        <v>117.13913043478261</v>
      </c>
      <c r="J221">
        <v>4</v>
      </c>
    </row>
    <row r="222" spans="1:10" x14ac:dyDescent="0.35">
      <c r="A222" t="s">
        <v>14</v>
      </c>
      <c r="B222">
        <v>101</v>
      </c>
      <c r="C222">
        <v>32067</v>
      </c>
      <c r="D222" t="s">
        <v>29</v>
      </c>
      <c r="E222">
        <v>34.99</v>
      </c>
      <c r="F222">
        <v>15.91</v>
      </c>
      <c r="G222">
        <v>46191</v>
      </c>
      <c r="H222" t="s">
        <v>960</v>
      </c>
      <c r="I222">
        <v>30.42608695652174</v>
      </c>
      <c r="J222">
        <v>1</v>
      </c>
    </row>
    <row r="223" spans="1:10" x14ac:dyDescent="0.35">
      <c r="A223" t="s">
        <v>14</v>
      </c>
      <c r="B223">
        <v>102</v>
      </c>
      <c r="C223">
        <v>32127</v>
      </c>
      <c r="D223" t="s">
        <v>92</v>
      </c>
      <c r="E223">
        <v>11.99</v>
      </c>
      <c r="F223">
        <v>6.02</v>
      </c>
      <c r="G223">
        <v>46188</v>
      </c>
      <c r="H223" t="s">
        <v>309</v>
      </c>
      <c r="I223">
        <v>125.11304347826086</v>
      </c>
      <c r="J223">
        <v>12</v>
      </c>
    </row>
    <row r="224" spans="1:10" x14ac:dyDescent="0.35">
      <c r="A224" t="s">
        <v>14</v>
      </c>
      <c r="B224">
        <v>102</v>
      </c>
      <c r="C224">
        <v>32127</v>
      </c>
      <c r="D224" t="s">
        <v>92</v>
      </c>
      <c r="E224">
        <v>11.99</v>
      </c>
      <c r="F224">
        <v>6.02</v>
      </c>
      <c r="G224">
        <v>46189</v>
      </c>
      <c r="H224" t="s">
        <v>310</v>
      </c>
      <c r="I224">
        <v>93.834782608695647</v>
      </c>
      <c r="J224">
        <v>9</v>
      </c>
    </row>
    <row r="225" spans="1:10" x14ac:dyDescent="0.35">
      <c r="A225" t="s">
        <v>14</v>
      </c>
      <c r="B225">
        <v>102</v>
      </c>
      <c r="C225">
        <v>32127</v>
      </c>
      <c r="D225" t="s">
        <v>92</v>
      </c>
      <c r="E225">
        <v>11.99</v>
      </c>
      <c r="F225">
        <v>6.02</v>
      </c>
      <c r="G225">
        <v>46190</v>
      </c>
      <c r="H225" t="s">
        <v>316</v>
      </c>
      <c r="I225">
        <v>83.408695652173918</v>
      </c>
      <c r="J225">
        <v>8</v>
      </c>
    </row>
    <row r="226" spans="1:10" x14ac:dyDescent="0.35">
      <c r="A226" t="s">
        <v>14</v>
      </c>
      <c r="B226">
        <v>102</v>
      </c>
      <c r="C226">
        <v>32127</v>
      </c>
      <c r="D226" t="s">
        <v>92</v>
      </c>
      <c r="E226">
        <v>11.99</v>
      </c>
      <c r="F226">
        <v>6.02</v>
      </c>
      <c r="G226">
        <v>46191</v>
      </c>
      <c r="H226" t="s">
        <v>960</v>
      </c>
      <c r="I226">
        <v>145.96521739130435</v>
      </c>
      <c r="J226">
        <v>14</v>
      </c>
    </row>
    <row r="227" spans="1:10" x14ac:dyDescent="0.35">
      <c r="A227" t="s">
        <v>14</v>
      </c>
      <c r="B227">
        <v>102</v>
      </c>
      <c r="C227">
        <v>32128</v>
      </c>
      <c r="D227" t="s">
        <v>96</v>
      </c>
      <c r="E227">
        <v>18.989999999999998</v>
      </c>
      <c r="F227">
        <v>11</v>
      </c>
      <c r="G227">
        <v>46191</v>
      </c>
      <c r="H227" t="s">
        <v>960</v>
      </c>
      <c r="I227">
        <v>181.64347826086956</v>
      </c>
      <c r="J227">
        <v>11</v>
      </c>
    </row>
    <row r="228" spans="1:10" x14ac:dyDescent="0.35">
      <c r="A228" t="s">
        <v>14</v>
      </c>
      <c r="B228">
        <v>102</v>
      </c>
      <c r="C228">
        <v>32131</v>
      </c>
      <c r="D228" t="s">
        <v>94</v>
      </c>
      <c r="E228">
        <v>18.989999999999998</v>
      </c>
      <c r="F228">
        <v>9.1300000000000008</v>
      </c>
      <c r="G228">
        <v>46190</v>
      </c>
      <c r="H228" t="s">
        <v>316</v>
      </c>
      <c r="I228">
        <v>115.5913043478261</v>
      </c>
      <c r="J228">
        <v>7</v>
      </c>
    </row>
    <row r="229" spans="1:10" x14ac:dyDescent="0.35">
      <c r="A229" t="s">
        <v>14</v>
      </c>
      <c r="B229">
        <v>102</v>
      </c>
      <c r="C229">
        <v>32131</v>
      </c>
      <c r="D229" t="s">
        <v>94</v>
      </c>
      <c r="E229">
        <v>18.989999999999998</v>
      </c>
      <c r="F229">
        <v>9.1300000000000008</v>
      </c>
      <c r="G229">
        <v>46191</v>
      </c>
      <c r="H229" t="s">
        <v>960</v>
      </c>
      <c r="I229">
        <v>280.7217391304348</v>
      </c>
      <c r="J229">
        <v>17</v>
      </c>
    </row>
    <row r="230" spans="1:10" x14ac:dyDescent="0.35">
      <c r="A230" t="s">
        <v>14</v>
      </c>
      <c r="B230">
        <v>102</v>
      </c>
      <c r="C230">
        <v>32149</v>
      </c>
      <c r="D230" t="s">
        <v>118</v>
      </c>
      <c r="E230">
        <v>24.99</v>
      </c>
      <c r="F230">
        <v>13</v>
      </c>
      <c r="G230">
        <v>46191</v>
      </c>
      <c r="H230" t="s">
        <v>960</v>
      </c>
      <c r="I230">
        <v>86.921739130434773</v>
      </c>
      <c r="J230">
        <v>4</v>
      </c>
    </row>
    <row r="231" spans="1:10" x14ac:dyDescent="0.35">
      <c r="A231" t="s">
        <v>14</v>
      </c>
      <c r="B231">
        <v>102</v>
      </c>
      <c r="C231">
        <v>32152</v>
      </c>
      <c r="D231" t="s">
        <v>100</v>
      </c>
      <c r="E231">
        <v>12.99</v>
      </c>
      <c r="F231">
        <v>6.77</v>
      </c>
      <c r="G231">
        <v>46188</v>
      </c>
      <c r="H231" t="s">
        <v>309</v>
      </c>
      <c r="I231">
        <v>67.77391304347826</v>
      </c>
      <c r="J231">
        <v>6</v>
      </c>
    </row>
    <row r="232" spans="1:10" x14ac:dyDescent="0.35">
      <c r="A232" t="s">
        <v>14</v>
      </c>
      <c r="B232">
        <v>102</v>
      </c>
      <c r="C232">
        <v>32152</v>
      </c>
      <c r="D232" t="s">
        <v>100</v>
      </c>
      <c r="E232">
        <v>12.99</v>
      </c>
      <c r="F232">
        <v>6.77</v>
      </c>
      <c r="G232">
        <v>46189</v>
      </c>
      <c r="H232" t="s">
        <v>310</v>
      </c>
      <c r="I232">
        <v>22.591304347826089</v>
      </c>
      <c r="J232">
        <v>2</v>
      </c>
    </row>
    <row r="233" spans="1:10" x14ac:dyDescent="0.35">
      <c r="A233" t="s">
        <v>14</v>
      </c>
      <c r="B233">
        <v>102</v>
      </c>
      <c r="C233">
        <v>32152</v>
      </c>
      <c r="D233" t="s">
        <v>100</v>
      </c>
      <c r="E233">
        <v>12.99</v>
      </c>
      <c r="F233">
        <v>6.77</v>
      </c>
      <c r="G233">
        <v>46190</v>
      </c>
      <c r="H233" t="s">
        <v>316</v>
      </c>
      <c r="I233">
        <v>56.478260869565219</v>
      </c>
      <c r="J233">
        <v>5</v>
      </c>
    </row>
    <row r="234" spans="1:10" x14ac:dyDescent="0.35">
      <c r="A234" t="s">
        <v>14</v>
      </c>
      <c r="B234">
        <v>102</v>
      </c>
      <c r="C234">
        <v>32152</v>
      </c>
      <c r="D234" t="s">
        <v>100</v>
      </c>
      <c r="E234">
        <v>12.99</v>
      </c>
      <c r="F234">
        <v>6.77</v>
      </c>
      <c r="G234">
        <v>46191</v>
      </c>
      <c r="H234" t="s">
        <v>960</v>
      </c>
      <c r="I234">
        <v>33.88695652173913</v>
      </c>
      <c r="J234">
        <v>3</v>
      </c>
    </row>
    <row r="235" spans="1:10" x14ac:dyDescent="0.35">
      <c r="A235" t="s">
        <v>14</v>
      </c>
      <c r="B235">
        <v>102</v>
      </c>
      <c r="C235">
        <v>32153</v>
      </c>
      <c r="D235" t="s">
        <v>102</v>
      </c>
      <c r="E235">
        <v>8.99</v>
      </c>
      <c r="F235">
        <v>4.5599999999999996</v>
      </c>
      <c r="G235">
        <v>46188</v>
      </c>
      <c r="H235" t="s">
        <v>309</v>
      </c>
      <c r="I235">
        <v>46.904347826086955</v>
      </c>
      <c r="J235">
        <v>6</v>
      </c>
    </row>
    <row r="236" spans="1:10" x14ac:dyDescent="0.35">
      <c r="A236" t="s">
        <v>14</v>
      </c>
      <c r="B236">
        <v>102</v>
      </c>
      <c r="C236">
        <v>32153</v>
      </c>
      <c r="D236" t="s">
        <v>102</v>
      </c>
      <c r="E236">
        <v>8.99</v>
      </c>
      <c r="F236">
        <v>4.5599999999999996</v>
      </c>
      <c r="G236">
        <v>46189</v>
      </c>
      <c r="H236" t="s">
        <v>310</v>
      </c>
      <c r="I236">
        <v>62.539130434782606</v>
      </c>
      <c r="J236">
        <v>8</v>
      </c>
    </row>
    <row r="237" spans="1:10" x14ac:dyDescent="0.35">
      <c r="A237" t="s">
        <v>14</v>
      </c>
      <c r="B237">
        <v>102</v>
      </c>
      <c r="C237">
        <v>32153</v>
      </c>
      <c r="D237" t="s">
        <v>102</v>
      </c>
      <c r="E237">
        <v>8.99</v>
      </c>
      <c r="F237">
        <v>4.5599999999999996</v>
      </c>
      <c r="G237">
        <v>46190</v>
      </c>
      <c r="H237" t="s">
        <v>316</v>
      </c>
      <c r="I237">
        <v>39.086956521739133</v>
      </c>
      <c r="J237">
        <v>5</v>
      </c>
    </row>
    <row r="238" spans="1:10" x14ac:dyDescent="0.35">
      <c r="A238" t="s">
        <v>14</v>
      </c>
      <c r="B238">
        <v>102</v>
      </c>
      <c r="C238">
        <v>32153</v>
      </c>
      <c r="D238" t="s">
        <v>102</v>
      </c>
      <c r="E238">
        <v>8.99</v>
      </c>
      <c r="F238">
        <v>4.5599999999999996</v>
      </c>
      <c r="G238">
        <v>46191</v>
      </c>
      <c r="H238" t="s">
        <v>960</v>
      </c>
      <c r="I238">
        <v>109.44347826086957</v>
      </c>
      <c r="J238">
        <v>14</v>
      </c>
    </row>
    <row r="239" spans="1:10" x14ac:dyDescent="0.35">
      <c r="A239" t="s">
        <v>14</v>
      </c>
      <c r="B239">
        <v>102</v>
      </c>
      <c r="C239">
        <v>32855</v>
      </c>
      <c r="D239" t="s">
        <v>110</v>
      </c>
      <c r="E239">
        <v>17.989999999999998</v>
      </c>
      <c r="F239">
        <v>9.14</v>
      </c>
      <c r="G239">
        <v>46188</v>
      </c>
      <c r="H239" t="s">
        <v>309</v>
      </c>
      <c r="I239">
        <v>46.930434782608693</v>
      </c>
      <c r="J239">
        <v>3</v>
      </c>
    </row>
    <row r="240" spans="1:10" x14ac:dyDescent="0.35">
      <c r="A240" t="s">
        <v>14</v>
      </c>
      <c r="B240">
        <v>102</v>
      </c>
      <c r="C240">
        <v>32855</v>
      </c>
      <c r="D240" t="s">
        <v>110</v>
      </c>
      <c r="E240">
        <v>17.989999999999998</v>
      </c>
      <c r="F240">
        <v>9.14</v>
      </c>
      <c r="G240">
        <v>46189</v>
      </c>
      <c r="H240" t="s">
        <v>310</v>
      </c>
      <c r="I240">
        <v>31.286956521739128</v>
      </c>
      <c r="J240">
        <v>2</v>
      </c>
    </row>
    <row r="241" spans="1:10" x14ac:dyDescent="0.35">
      <c r="A241" t="s">
        <v>14</v>
      </c>
      <c r="B241">
        <v>102</v>
      </c>
      <c r="C241">
        <v>32855</v>
      </c>
      <c r="D241" t="s">
        <v>110</v>
      </c>
      <c r="E241">
        <v>17.989999999999998</v>
      </c>
      <c r="F241">
        <v>9.14</v>
      </c>
      <c r="G241">
        <v>46190</v>
      </c>
      <c r="H241" t="s">
        <v>316</v>
      </c>
      <c r="I241">
        <v>46.930434782608693</v>
      </c>
      <c r="J241">
        <v>3</v>
      </c>
    </row>
    <row r="242" spans="1:10" x14ac:dyDescent="0.35">
      <c r="A242" t="s">
        <v>14</v>
      </c>
      <c r="B242">
        <v>102</v>
      </c>
      <c r="C242">
        <v>32855</v>
      </c>
      <c r="D242" t="s">
        <v>110</v>
      </c>
      <c r="E242">
        <v>17.989999999999998</v>
      </c>
      <c r="F242">
        <v>9.14</v>
      </c>
      <c r="G242">
        <v>46191</v>
      </c>
      <c r="H242" t="s">
        <v>960</v>
      </c>
      <c r="I242">
        <v>15.643478260869564</v>
      </c>
      <c r="J242">
        <v>1</v>
      </c>
    </row>
    <row r="243" spans="1:10" x14ac:dyDescent="0.35">
      <c r="A243" t="s">
        <v>14</v>
      </c>
      <c r="B243">
        <v>102</v>
      </c>
      <c r="C243">
        <v>32857</v>
      </c>
      <c r="D243" t="s">
        <v>127</v>
      </c>
      <c r="E243">
        <v>130</v>
      </c>
      <c r="F243">
        <v>68.680000000000007</v>
      </c>
      <c r="G243">
        <v>46188</v>
      </c>
      <c r="H243" t="s">
        <v>309</v>
      </c>
      <c r="I243">
        <v>113.04347826086956</v>
      </c>
      <c r="J243">
        <v>1</v>
      </c>
    </row>
    <row r="244" spans="1:10" x14ac:dyDescent="0.35">
      <c r="A244" t="s">
        <v>14</v>
      </c>
      <c r="B244">
        <v>102</v>
      </c>
      <c r="C244">
        <v>32857</v>
      </c>
      <c r="D244" t="s">
        <v>127</v>
      </c>
      <c r="E244">
        <v>130</v>
      </c>
      <c r="F244">
        <v>68.680000000000007</v>
      </c>
      <c r="G244">
        <v>46190</v>
      </c>
      <c r="H244" t="s">
        <v>316</v>
      </c>
      <c r="I244">
        <v>113.04347826086956</v>
      </c>
      <c r="J244">
        <v>1</v>
      </c>
    </row>
    <row r="245" spans="1:10" x14ac:dyDescent="0.35">
      <c r="A245" t="s">
        <v>14</v>
      </c>
      <c r="B245">
        <v>101</v>
      </c>
      <c r="C245">
        <v>32858</v>
      </c>
      <c r="D245" t="s">
        <v>34</v>
      </c>
      <c r="E245">
        <v>3.8</v>
      </c>
      <c r="F245">
        <v>1.3</v>
      </c>
      <c r="G245">
        <v>46188</v>
      </c>
      <c r="H245" t="s">
        <v>309</v>
      </c>
      <c r="I245">
        <v>19.826086956521738</v>
      </c>
      <c r="J245">
        <v>6</v>
      </c>
    </row>
    <row r="246" spans="1:10" x14ac:dyDescent="0.35">
      <c r="A246" t="s">
        <v>14</v>
      </c>
      <c r="B246">
        <v>101</v>
      </c>
      <c r="C246">
        <v>32858</v>
      </c>
      <c r="D246" t="s">
        <v>34</v>
      </c>
      <c r="E246">
        <v>3.8</v>
      </c>
      <c r="F246">
        <v>1.3</v>
      </c>
      <c r="G246">
        <v>46189</v>
      </c>
      <c r="H246" t="s">
        <v>310</v>
      </c>
      <c r="I246">
        <v>102.43478260869566</v>
      </c>
      <c r="J246">
        <v>31</v>
      </c>
    </row>
    <row r="247" spans="1:10" x14ac:dyDescent="0.35">
      <c r="A247" t="s">
        <v>14</v>
      </c>
      <c r="B247">
        <v>101</v>
      </c>
      <c r="C247">
        <v>32858</v>
      </c>
      <c r="D247" t="s">
        <v>34</v>
      </c>
      <c r="E247">
        <v>3.8</v>
      </c>
      <c r="F247">
        <v>1.3</v>
      </c>
      <c r="G247">
        <v>46190</v>
      </c>
      <c r="H247" t="s">
        <v>316</v>
      </c>
      <c r="I247">
        <v>194.46086956521739</v>
      </c>
      <c r="J247">
        <v>59</v>
      </c>
    </row>
    <row r="248" spans="1:10" x14ac:dyDescent="0.35">
      <c r="A248" t="s">
        <v>14</v>
      </c>
      <c r="B248">
        <v>101</v>
      </c>
      <c r="C248">
        <v>32858</v>
      </c>
      <c r="D248" t="s">
        <v>34</v>
      </c>
      <c r="E248">
        <v>3.8</v>
      </c>
      <c r="F248">
        <v>1.3</v>
      </c>
      <c r="G248">
        <v>46191</v>
      </c>
      <c r="H248" t="s">
        <v>960</v>
      </c>
      <c r="I248">
        <v>29.739130434782609</v>
      </c>
      <c r="J248">
        <v>9</v>
      </c>
    </row>
    <row r="249" spans="1:10" x14ac:dyDescent="0.35">
      <c r="A249" t="s">
        <v>14</v>
      </c>
      <c r="B249">
        <v>101</v>
      </c>
      <c r="C249">
        <v>32859</v>
      </c>
      <c r="D249" t="s">
        <v>20</v>
      </c>
      <c r="E249">
        <v>20.99</v>
      </c>
      <c r="F249">
        <v>7.46</v>
      </c>
      <c r="G249">
        <v>46188</v>
      </c>
      <c r="H249" t="s">
        <v>309</v>
      </c>
      <c r="I249">
        <v>146.01739130434785</v>
      </c>
      <c r="J249">
        <v>8</v>
      </c>
    </row>
    <row r="250" spans="1:10" x14ac:dyDescent="0.35">
      <c r="A250" t="s">
        <v>14</v>
      </c>
      <c r="B250">
        <v>101</v>
      </c>
      <c r="C250">
        <v>32859</v>
      </c>
      <c r="D250" t="s">
        <v>20</v>
      </c>
      <c r="E250">
        <v>20.99</v>
      </c>
      <c r="F250">
        <v>7.46</v>
      </c>
      <c r="G250">
        <v>46189</v>
      </c>
      <c r="H250" t="s">
        <v>310</v>
      </c>
      <c r="I250">
        <v>200.77391304347827</v>
      </c>
      <c r="J250">
        <v>11</v>
      </c>
    </row>
    <row r="251" spans="1:10" x14ac:dyDescent="0.35">
      <c r="A251" t="s">
        <v>14</v>
      </c>
      <c r="B251">
        <v>101</v>
      </c>
      <c r="C251">
        <v>32859</v>
      </c>
      <c r="D251" t="s">
        <v>20</v>
      </c>
      <c r="E251">
        <v>20.99</v>
      </c>
      <c r="F251">
        <v>7.46</v>
      </c>
      <c r="G251">
        <v>46190</v>
      </c>
      <c r="H251" t="s">
        <v>316</v>
      </c>
      <c r="I251">
        <v>177.97391304347826</v>
      </c>
      <c r="J251">
        <v>10</v>
      </c>
    </row>
    <row r="252" spans="1:10" x14ac:dyDescent="0.35">
      <c r="A252" t="s">
        <v>14</v>
      </c>
      <c r="B252">
        <v>101</v>
      </c>
      <c r="C252">
        <v>32859</v>
      </c>
      <c r="D252" t="s">
        <v>20</v>
      </c>
      <c r="E252">
        <v>20.99</v>
      </c>
      <c r="F252">
        <v>7.46</v>
      </c>
      <c r="G252">
        <v>46191</v>
      </c>
      <c r="H252" t="s">
        <v>960</v>
      </c>
      <c r="I252">
        <v>219.02608695652174</v>
      </c>
      <c r="J252">
        <v>12</v>
      </c>
    </row>
    <row r="253" spans="1:10" x14ac:dyDescent="0.35">
      <c r="A253" t="s">
        <v>14</v>
      </c>
      <c r="B253">
        <v>101</v>
      </c>
      <c r="C253">
        <v>32860</v>
      </c>
      <c r="D253" t="s">
        <v>16</v>
      </c>
      <c r="E253">
        <v>18</v>
      </c>
      <c r="F253">
        <v>8.44</v>
      </c>
      <c r="G253">
        <v>46188</v>
      </c>
      <c r="H253" t="s">
        <v>309</v>
      </c>
      <c r="I253">
        <v>365.04347826086956</v>
      </c>
      <c r="J253">
        <v>20</v>
      </c>
    </row>
    <row r="254" spans="1:10" x14ac:dyDescent="0.35">
      <c r="A254" t="s">
        <v>14</v>
      </c>
      <c r="B254">
        <v>101</v>
      </c>
      <c r="C254">
        <v>32860</v>
      </c>
      <c r="D254" t="s">
        <v>16</v>
      </c>
      <c r="E254">
        <v>18</v>
      </c>
      <c r="F254">
        <v>8.44</v>
      </c>
      <c r="G254">
        <v>46189</v>
      </c>
      <c r="H254" t="s">
        <v>310</v>
      </c>
      <c r="I254">
        <v>200.77391304347825</v>
      </c>
      <c r="J254">
        <v>11</v>
      </c>
    </row>
    <row r="255" spans="1:10" x14ac:dyDescent="0.35">
      <c r="A255" t="s">
        <v>14</v>
      </c>
      <c r="B255">
        <v>101</v>
      </c>
      <c r="C255">
        <v>32860</v>
      </c>
      <c r="D255" t="s">
        <v>16</v>
      </c>
      <c r="E255">
        <v>18</v>
      </c>
      <c r="F255">
        <v>8.44</v>
      </c>
      <c r="G255">
        <v>46190</v>
      </c>
      <c r="H255" t="s">
        <v>316</v>
      </c>
      <c r="I255">
        <v>199.8608695652174</v>
      </c>
      <c r="J255">
        <v>11</v>
      </c>
    </row>
    <row r="256" spans="1:10" x14ac:dyDescent="0.35">
      <c r="A256" t="s">
        <v>14</v>
      </c>
      <c r="B256">
        <v>101</v>
      </c>
      <c r="C256">
        <v>32860</v>
      </c>
      <c r="D256" t="s">
        <v>16</v>
      </c>
      <c r="E256">
        <v>18</v>
      </c>
      <c r="F256">
        <v>8.44</v>
      </c>
      <c r="G256">
        <v>46191</v>
      </c>
      <c r="H256" t="s">
        <v>960</v>
      </c>
      <c r="I256">
        <v>419.79999999999995</v>
      </c>
      <c r="J256">
        <v>23</v>
      </c>
    </row>
    <row r="257" spans="1:10" x14ac:dyDescent="0.35">
      <c r="A257" t="s">
        <v>107</v>
      </c>
      <c r="B257">
        <v>102</v>
      </c>
      <c r="C257">
        <v>32863</v>
      </c>
      <c r="D257" t="s">
        <v>109</v>
      </c>
      <c r="E257">
        <v>17.989999999999998</v>
      </c>
      <c r="F257">
        <v>9.4</v>
      </c>
      <c r="G257">
        <v>46188</v>
      </c>
      <c r="H257" t="s">
        <v>309</v>
      </c>
      <c r="I257">
        <v>78.217391304347828</v>
      </c>
      <c r="J257">
        <v>5</v>
      </c>
    </row>
    <row r="258" spans="1:10" x14ac:dyDescent="0.35">
      <c r="A258" t="s">
        <v>107</v>
      </c>
      <c r="B258">
        <v>102</v>
      </c>
      <c r="C258">
        <v>32863</v>
      </c>
      <c r="D258" t="s">
        <v>109</v>
      </c>
      <c r="E258">
        <v>17.989999999999998</v>
      </c>
      <c r="F258">
        <v>9.4</v>
      </c>
      <c r="G258">
        <v>46189</v>
      </c>
      <c r="H258" t="s">
        <v>310</v>
      </c>
      <c r="I258">
        <v>62.573913043478257</v>
      </c>
      <c r="J258">
        <v>4</v>
      </c>
    </row>
    <row r="259" spans="1:10" x14ac:dyDescent="0.35">
      <c r="A259" t="s">
        <v>107</v>
      </c>
      <c r="B259">
        <v>102</v>
      </c>
      <c r="C259">
        <v>32863</v>
      </c>
      <c r="D259" t="s">
        <v>109</v>
      </c>
      <c r="E259">
        <v>17.989999999999998</v>
      </c>
      <c r="F259">
        <v>9.4</v>
      </c>
      <c r="G259">
        <v>46190</v>
      </c>
      <c r="H259" t="s">
        <v>316</v>
      </c>
      <c r="I259">
        <v>15.643478260869564</v>
      </c>
      <c r="J259">
        <v>1</v>
      </c>
    </row>
    <row r="260" spans="1:10" x14ac:dyDescent="0.35">
      <c r="A260" t="s">
        <v>107</v>
      </c>
      <c r="B260">
        <v>102</v>
      </c>
      <c r="C260">
        <v>32863</v>
      </c>
      <c r="D260" t="s">
        <v>109</v>
      </c>
      <c r="E260">
        <v>17.989999999999998</v>
      </c>
      <c r="F260">
        <v>9.4</v>
      </c>
      <c r="G260">
        <v>46191</v>
      </c>
      <c r="H260" t="s">
        <v>960</v>
      </c>
      <c r="I260">
        <v>93.860869565217385</v>
      </c>
      <c r="J260">
        <v>6</v>
      </c>
    </row>
    <row r="261" spans="1:10" x14ac:dyDescent="0.35">
      <c r="A261" t="s">
        <v>107</v>
      </c>
      <c r="B261">
        <v>102</v>
      </c>
      <c r="C261">
        <v>32864</v>
      </c>
      <c r="D261" t="s">
        <v>108</v>
      </c>
      <c r="E261">
        <v>9.99</v>
      </c>
      <c r="F261">
        <v>5</v>
      </c>
      <c r="G261">
        <v>46189</v>
      </c>
      <c r="H261" t="s">
        <v>310</v>
      </c>
      <c r="I261">
        <v>34.747826086956522</v>
      </c>
      <c r="J261">
        <v>4</v>
      </c>
    </row>
    <row r="262" spans="1:10" x14ac:dyDescent="0.35">
      <c r="A262" t="s">
        <v>107</v>
      </c>
      <c r="B262">
        <v>102</v>
      </c>
      <c r="C262">
        <v>32864</v>
      </c>
      <c r="D262" t="s">
        <v>108</v>
      </c>
      <c r="E262">
        <v>9.99</v>
      </c>
      <c r="F262">
        <v>5</v>
      </c>
      <c r="G262">
        <v>46190</v>
      </c>
      <c r="H262" t="s">
        <v>316</v>
      </c>
      <c r="I262">
        <v>43.434782608695656</v>
      </c>
      <c r="J262">
        <v>5</v>
      </c>
    </row>
    <row r="263" spans="1:10" x14ac:dyDescent="0.35">
      <c r="A263" t="s">
        <v>107</v>
      </c>
      <c r="B263">
        <v>102</v>
      </c>
      <c r="C263">
        <v>32864</v>
      </c>
      <c r="D263" t="s">
        <v>108</v>
      </c>
      <c r="E263">
        <v>9.99</v>
      </c>
      <c r="F263">
        <v>5</v>
      </c>
      <c r="G263">
        <v>46191</v>
      </c>
      <c r="H263" t="s">
        <v>960</v>
      </c>
      <c r="I263">
        <v>17.373913043478261</v>
      </c>
      <c r="J263">
        <v>2</v>
      </c>
    </row>
    <row r="264" spans="1:10" x14ac:dyDescent="0.35">
      <c r="A264" t="s">
        <v>14</v>
      </c>
      <c r="B264">
        <v>102</v>
      </c>
      <c r="C264">
        <v>32872</v>
      </c>
      <c r="D264" t="s">
        <v>98</v>
      </c>
      <c r="E264">
        <v>29.99</v>
      </c>
      <c r="F264">
        <v>11.79</v>
      </c>
      <c r="G264">
        <v>46188</v>
      </c>
      <c r="H264" t="s">
        <v>309</v>
      </c>
      <c r="I264">
        <v>69.547826086956519</v>
      </c>
      <c r="J264">
        <v>2</v>
      </c>
    </row>
    <row r="265" spans="1:10" x14ac:dyDescent="0.35">
      <c r="A265" t="s">
        <v>14</v>
      </c>
      <c r="B265">
        <v>102</v>
      </c>
      <c r="C265">
        <v>32872</v>
      </c>
      <c r="D265" t="s">
        <v>98</v>
      </c>
      <c r="E265">
        <v>29.99</v>
      </c>
      <c r="F265">
        <v>11.79</v>
      </c>
      <c r="G265">
        <v>46190</v>
      </c>
      <c r="H265" t="s">
        <v>316</v>
      </c>
      <c r="I265">
        <v>206.01739130434783</v>
      </c>
      <c r="J265">
        <v>8</v>
      </c>
    </row>
    <row r="266" spans="1:10" x14ac:dyDescent="0.35">
      <c r="A266" t="s">
        <v>14</v>
      </c>
      <c r="B266">
        <v>102</v>
      </c>
      <c r="C266">
        <v>32872</v>
      </c>
      <c r="D266" t="s">
        <v>98</v>
      </c>
      <c r="E266">
        <v>29.99</v>
      </c>
      <c r="F266">
        <v>11.79</v>
      </c>
      <c r="G266">
        <v>46191</v>
      </c>
      <c r="H266" t="s">
        <v>960</v>
      </c>
      <c r="I266">
        <v>286.8608695652174</v>
      </c>
      <c r="J266">
        <v>11</v>
      </c>
    </row>
    <row r="267" spans="1:10" x14ac:dyDescent="0.35">
      <c r="A267" t="s">
        <v>356</v>
      </c>
      <c r="B267">
        <v>102</v>
      </c>
      <c r="C267">
        <v>33011</v>
      </c>
      <c r="D267" t="s">
        <v>361</v>
      </c>
      <c r="E267">
        <v>3.99</v>
      </c>
      <c r="F267">
        <v>2.83</v>
      </c>
      <c r="G267">
        <v>46188</v>
      </c>
      <c r="H267" t="s">
        <v>309</v>
      </c>
      <c r="I267">
        <v>41.634782608695652</v>
      </c>
      <c r="J267">
        <v>12</v>
      </c>
    </row>
    <row r="268" spans="1:10" x14ac:dyDescent="0.35">
      <c r="A268" t="s">
        <v>14</v>
      </c>
      <c r="B268">
        <v>102</v>
      </c>
      <c r="C268">
        <v>33013</v>
      </c>
      <c r="D268" t="s">
        <v>148</v>
      </c>
      <c r="E268">
        <v>5.99</v>
      </c>
      <c r="F268">
        <v>3.1</v>
      </c>
      <c r="G268">
        <v>46189</v>
      </c>
      <c r="H268" t="s">
        <v>310</v>
      </c>
      <c r="I268">
        <v>15.626086956521739</v>
      </c>
      <c r="J268">
        <v>3</v>
      </c>
    </row>
    <row r="269" spans="1:10" x14ac:dyDescent="0.35">
      <c r="A269" t="s">
        <v>14</v>
      </c>
      <c r="B269">
        <v>102</v>
      </c>
      <c r="C269">
        <v>33019</v>
      </c>
      <c r="D269" t="s">
        <v>112</v>
      </c>
      <c r="E269">
        <v>14.99</v>
      </c>
      <c r="F269">
        <v>5.5</v>
      </c>
      <c r="G269">
        <v>46189</v>
      </c>
      <c r="H269" t="s">
        <v>310</v>
      </c>
      <c r="I269">
        <v>26.069565217391304</v>
      </c>
      <c r="J269">
        <v>2</v>
      </c>
    </row>
    <row r="270" spans="1:10" x14ac:dyDescent="0.35">
      <c r="A270" t="s">
        <v>14</v>
      </c>
      <c r="B270">
        <v>102</v>
      </c>
      <c r="C270">
        <v>33019</v>
      </c>
      <c r="D270" t="s">
        <v>112</v>
      </c>
      <c r="E270">
        <v>14.99</v>
      </c>
      <c r="F270">
        <v>5.5</v>
      </c>
      <c r="G270">
        <v>46190</v>
      </c>
      <c r="H270" t="s">
        <v>316</v>
      </c>
      <c r="I270">
        <v>13.034782608695652</v>
      </c>
      <c r="J270">
        <v>1</v>
      </c>
    </row>
    <row r="271" spans="1:10" x14ac:dyDescent="0.35">
      <c r="A271" t="s">
        <v>14</v>
      </c>
      <c r="B271">
        <v>102</v>
      </c>
      <c r="C271">
        <v>33019</v>
      </c>
      <c r="D271" t="s">
        <v>112</v>
      </c>
      <c r="E271">
        <v>14.99</v>
      </c>
      <c r="F271">
        <v>5.5</v>
      </c>
      <c r="G271">
        <v>46191</v>
      </c>
      <c r="H271" t="s">
        <v>960</v>
      </c>
      <c r="I271">
        <v>104.27826086956522</v>
      </c>
      <c r="J271">
        <v>8</v>
      </c>
    </row>
    <row r="272" spans="1:10" x14ac:dyDescent="0.35">
      <c r="A272" t="s">
        <v>14</v>
      </c>
      <c r="B272">
        <v>102</v>
      </c>
      <c r="C272">
        <v>33023</v>
      </c>
      <c r="D272" t="s">
        <v>113</v>
      </c>
      <c r="E272">
        <v>19.989999999999998</v>
      </c>
      <c r="F272">
        <v>10.23</v>
      </c>
      <c r="G272">
        <v>46191</v>
      </c>
      <c r="H272" t="s">
        <v>960</v>
      </c>
      <c r="I272">
        <v>17.382608695652173</v>
      </c>
      <c r="J272">
        <v>1</v>
      </c>
    </row>
    <row r="273" spans="1:10" x14ac:dyDescent="0.35">
      <c r="A273" t="s">
        <v>14</v>
      </c>
      <c r="B273">
        <v>102</v>
      </c>
      <c r="C273">
        <v>33031</v>
      </c>
      <c r="D273" t="s">
        <v>97</v>
      </c>
      <c r="E273">
        <v>17.989999999999998</v>
      </c>
      <c r="F273">
        <v>9.1199999999999992</v>
      </c>
      <c r="G273">
        <v>46188</v>
      </c>
      <c r="H273" t="s">
        <v>309</v>
      </c>
      <c r="I273">
        <v>140.7913043478261</v>
      </c>
      <c r="J273">
        <v>9</v>
      </c>
    </row>
    <row r="274" spans="1:10" x14ac:dyDescent="0.35">
      <c r="A274" t="s">
        <v>14</v>
      </c>
      <c r="B274">
        <v>102</v>
      </c>
      <c r="C274">
        <v>33031</v>
      </c>
      <c r="D274" t="s">
        <v>97</v>
      </c>
      <c r="E274">
        <v>17.989999999999998</v>
      </c>
      <c r="F274">
        <v>9.1199999999999992</v>
      </c>
      <c r="G274">
        <v>46191</v>
      </c>
      <c r="H274" t="s">
        <v>960</v>
      </c>
      <c r="I274">
        <v>46.930434782608693</v>
      </c>
      <c r="J274">
        <v>3</v>
      </c>
    </row>
    <row r="275" spans="1:10" x14ac:dyDescent="0.35">
      <c r="A275" t="s">
        <v>35</v>
      </c>
      <c r="B275">
        <v>102</v>
      </c>
      <c r="C275">
        <v>33032</v>
      </c>
      <c r="D275" t="s">
        <v>160</v>
      </c>
      <c r="E275">
        <v>28.99</v>
      </c>
      <c r="F275">
        <v>14.612666666666666</v>
      </c>
      <c r="G275">
        <v>46190</v>
      </c>
      <c r="H275" t="s">
        <v>316</v>
      </c>
      <c r="I275">
        <v>25.208695652173912</v>
      </c>
      <c r="J275">
        <v>1</v>
      </c>
    </row>
    <row r="276" spans="1:10" x14ac:dyDescent="0.35">
      <c r="A276" t="s">
        <v>35</v>
      </c>
      <c r="B276">
        <v>102</v>
      </c>
      <c r="C276">
        <v>33032</v>
      </c>
      <c r="D276" t="s">
        <v>160</v>
      </c>
      <c r="E276">
        <v>28.99</v>
      </c>
      <c r="F276">
        <v>14.612666666666666</v>
      </c>
      <c r="G276">
        <v>46191</v>
      </c>
      <c r="H276" t="s">
        <v>960</v>
      </c>
      <c r="I276">
        <v>75.626086956521732</v>
      </c>
      <c r="J276">
        <v>3</v>
      </c>
    </row>
    <row r="277" spans="1:10" x14ac:dyDescent="0.35">
      <c r="A277" t="s">
        <v>14</v>
      </c>
      <c r="B277">
        <v>102</v>
      </c>
      <c r="C277">
        <v>33995</v>
      </c>
      <c r="D277" t="s">
        <v>91</v>
      </c>
      <c r="E277">
        <v>15.99</v>
      </c>
      <c r="F277">
        <v>8.2200000000000006</v>
      </c>
      <c r="G277">
        <v>46188</v>
      </c>
      <c r="H277" t="s">
        <v>309</v>
      </c>
      <c r="I277">
        <v>278.08695652173913</v>
      </c>
      <c r="J277">
        <v>20</v>
      </c>
    </row>
    <row r="278" spans="1:10" x14ac:dyDescent="0.35">
      <c r="A278" t="s">
        <v>14</v>
      </c>
      <c r="B278">
        <v>102</v>
      </c>
      <c r="C278">
        <v>33995</v>
      </c>
      <c r="D278" t="s">
        <v>91</v>
      </c>
      <c r="E278">
        <v>15.99</v>
      </c>
      <c r="F278">
        <v>8.2200000000000006</v>
      </c>
      <c r="G278">
        <v>46189</v>
      </c>
      <c r="H278" t="s">
        <v>310</v>
      </c>
      <c r="I278">
        <v>97.330434782608705</v>
      </c>
      <c r="J278">
        <v>7</v>
      </c>
    </row>
    <row r="279" spans="1:10" x14ac:dyDescent="0.35">
      <c r="A279" t="s">
        <v>14</v>
      </c>
      <c r="B279">
        <v>102</v>
      </c>
      <c r="C279">
        <v>33995</v>
      </c>
      <c r="D279" t="s">
        <v>91</v>
      </c>
      <c r="E279">
        <v>15.99</v>
      </c>
      <c r="F279">
        <v>8.2200000000000006</v>
      </c>
      <c r="G279">
        <v>46190</v>
      </c>
      <c r="H279" t="s">
        <v>316</v>
      </c>
      <c r="I279">
        <v>97.330434782608705</v>
      </c>
      <c r="J279">
        <v>7</v>
      </c>
    </row>
    <row r="280" spans="1:10" x14ac:dyDescent="0.35">
      <c r="A280" t="s">
        <v>14</v>
      </c>
      <c r="B280">
        <v>102</v>
      </c>
      <c r="C280">
        <v>33995</v>
      </c>
      <c r="D280" t="s">
        <v>91</v>
      </c>
      <c r="E280">
        <v>15.99</v>
      </c>
      <c r="F280">
        <v>8.2200000000000006</v>
      </c>
      <c r="G280">
        <v>46191</v>
      </c>
      <c r="H280" t="s">
        <v>960</v>
      </c>
      <c r="I280">
        <v>139.04347826086956</v>
      </c>
      <c r="J280">
        <v>10</v>
      </c>
    </row>
    <row r="281" spans="1:10" x14ac:dyDescent="0.35">
      <c r="A281" t="s">
        <v>14</v>
      </c>
      <c r="B281">
        <v>101</v>
      </c>
      <c r="C281">
        <v>33997</v>
      </c>
      <c r="D281" t="s">
        <v>39</v>
      </c>
      <c r="E281">
        <v>14.99</v>
      </c>
      <c r="F281">
        <v>7.62</v>
      </c>
      <c r="G281">
        <v>46188</v>
      </c>
      <c r="H281" t="s">
        <v>309</v>
      </c>
      <c r="I281">
        <v>39.104347826086958</v>
      </c>
      <c r="J281">
        <v>3</v>
      </c>
    </row>
    <row r="282" spans="1:10" x14ac:dyDescent="0.35">
      <c r="A282" t="s">
        <v>14</v>
      </c>
      <c r="B282">
        <v>101</v>
      </c>
      <c r="C282">
        <v>33997</v>
      </c>
      <c r="D282" t="s">
        <v>39</v>
      </c>
      <c r="E282">
        <v>14.99</v>
      </c>
      <c r="F282">
        <v>7.62</v>
      </c>
      <c r="G282">
        <v>46189</v>
      </c>
      <c r="H282" t="s">
        <v>310</v>
      </c>
      <c r="I282">
        <v>52.139130434782608</v>
      </c>
      <c r="J282">
        <v>4</v>
      </c>
    </row>
    <row r="283" spans="1:10" x14ac:dyDescent="0.35">
      <c r="A283" t="s">
        <v>14</v>
      </c>
      <c r="B283">
        <v>101</v>
      </c>
      <c r="C283">
        <v>33997</v>
      </c>
      <c r="D283" t="s">
        <v>39</v>
      </c>
      <c r="E283">
        <v>14.99</v>
      </c>
      <c r="F283">
        <v>7.62</v>
      </c>
      <c r="G283">
        <v>46190</v>
      </c>
      <c r="H283" t="s">
        <v>316</v>
      </c>
      <c r="I283">
        <v>39.104347826086958</v>
      </c>
      <c r="J283">
        <v>3</v>
      </c>
    </row>
    <row r="284" spans="1:10" x14ac:dyDescent="0.35">
      <c r="A284" t="s">
        <v>14</v>
      </c>
      <c r="B284">
        <v>101</v>
      </c>
      <c r="C284">
        <v>33997</v>
      </c>
      <c r="D284" t="s">
        <v>39</v>
      </c>
      <c r="E284">
        <v>14.99</v>
      </c>
      <c r="F284">
        <v>7.62</v>
      </c>
      <c r="G284">
        <v>46191</v>
      </c>
      <c r="H284" t="s">
        <v>960</v>
      </c>
      <c r="I284">
        <v>143.38260869565215</v>
      </c>
      <c r="J284">
        <v>11</v>
      </c>
    </row>
    <row r="285" spans="1:10" x14ac:dyDescent="0.35">
      <c r="A285" t="s">
        <v>14</v>
      </c>
      <c r="B285">
        <v>101</v>
      </c>
      <c r="C285">
        <v>34004</v>
      </c>
      <c r="D285" t="s">
        <v>50</v>
      </c>
      <c r="E285">
        <v>1</v>
      </c>
      <c r="F285">
        <v>0.65</v>
      </c>
      <c r="G285">
        <v>46188</v>
      </c>
      <c r="H285" t="s">
        <v>309</v>
      </c>
      <c r="I285">
        <v>30.434782608695652</v>
      </c>
      <c r="J285">
        <v>35</v>
      </c>
    </row>
    <row r="286" spans="1:10" x14ac:dyDescent="0.35">
      <c r="A286" t="s">
        <v>14</v>
      </c>
      <c r="B286">
        <v>101</v>
      </c>
      <c r="C286">
        <v>34004</v>
      </c>
      <c r="D286" t="s">
        <v>50</v>
      </c>
      <c r="E286">
        <v>1</v>
      </c>
      <c r="F286">
        <v>0.65</v>
      </c>
      <c r="G286">
        <v>46189</v>
      </c>
      <c r="H286" t="s">
        <v>310</v>
      </c>
      <c r="I286">
        <v>6.9565217391304346</v>
      </c>
      <c r="J286">
        <v>8</v>
      </c>
    </row>
    <row r="287" spans="1:10" x14ac:dyDescent="0.35">
      <c r="A287" t="s">
        <v>14</v>
      </c>
      <c r="B287">
        <v>101</v>
      </c>
      <c r="C287">
        <v>34004</v>
      </c>
      <c r="D287" t="s">
        <v>50</v>
      </c>
      <c r="E287">
        <v>1</v>
      </c>
      <c r="F287">
        <v>0.65</v>
      </c>
      <c r="G287">
        <v>46190</v>
      </c>
      <c r="H287" t="s">
        <v>316</v>
      </c>
      <c r="I287">
        <v>13.043478260869565</v>
      </c>
      <c r="J287">
        <v>15</v>
      </c>
    </row>
    <row r="288" spans="1:10" x14ac:dyDescent="0.35">
      <c r="A288" t="s">
        <v>14</v>
      </c>
      <c r="B288">
        <v>101</v>
      </c>
      <c r="C288">
        <v>34004</v>
      </c>
      <c r="D288" t="s">
        <v>50</v>
      </c>
      <c r="E288">
        <v>1</v>
      </c>
      <c r="F288">
        <v>0.65</v>
      </c>
      <c r="G288">
        <v>46191</v>
      </c>
      <c r="H288" t="s">
        <v>960</v>
      </c>
      <c r="I288">
        <v>16.521739130434781</v>
      </c>
      <c r="J288">
        <v>19</v>
      </c>
    </row>
    <row r="289" spans="1:10" x14ac:dyDescent="0.35">
      <c r="A289" t="s">
        <v>14</v>
      </c>
      <c r="B289">
        <v>102</v>
      </c>
      <c r="C289">
        <v>34008</v>
      </c>
      <c r="D289" t="s">
        <v>104</v>
      </c>
      <c r="E289">
        <v>5.99</v>
      </c>
      <c r="F289">
        <v>4.32</v>
      </c>
      <c r="G289">
        <v>46188</v>
      </c>
      <c r="H289" t="s">
        <v>309</v>
      </c>
      <c r="I289">
        <v>72.921739130434787</v>
      </c>
      <c r="J289">
        <v>14</v>
      </c>
    </row>
    <row r="290" spans="1:10" x14ac:dyDescent="0.35">
      <c r="A290" t="s">
        <v>14</v>
      </c>
      <c r="B290">
        <v>102</v>
      </c>
      <c r="C290">
        <v>34008</v>
      </c>
      <c r="D290" t="s">
        <v>104</v>
      </c>
      <c r="E290">
        <v>5.99</v>
      </c>
      <c r="F290">
        <v>4.32</v>
      </c>
      <c r="G290">
        <v>46189</v>
      </c>
      <c r="H290" t="s">
        <v>310</v>
      </c>
      <c r="I290">
        <v>67.713043478260872</v>
      </c>
      <c r="J290">
        <v>13</v>
      </c>
    </row>
    <row r="291" spans="1:10" x14ac:dyDescent="0.35">
      <c r="A291" t="s">
        <v>14</v>
      </c>
      <c r="B291">
        <v>102</v>
      </c>
      <c r="C291">
        <v>34008</v>
      </c>
      <c r="D291" t="s">
        <v>104</v>
      </c>
      <c r="E291">
        <v>5.99</v>
      </c>
      <c r="F291">
        <v>4.32</v>
      </c>
      <c r="G291">
        <v>46190</v>
      </c>
      <c r="H291" t="s">
        <v>316</v>
      </c>
      <c r="I291">
        <v>83.339130434782618</v>
      </c>
      <c r="J291">
        <v>16</v>
      </c>
    </row>
    <row r="292" spans="1:10" x14ac:dyDescent="0.35">
      <c r="A292" t="s">
        <v>14</v>
      </c>
      <c r="B292">
        <v>102</v>
      </c>
      <c r="C292">
        <v>34008</v>
      </c>
      <c r="D292" t="s">
        <v>104</v>
      </c>
      <c r="E292">
        <v>5.99</v>
      </c>
      <c r="F292">
        <v>4.32</v>
      </c>
      <c r="G292">
        <v>46191</v>
      </c>
      <c r="H292" t="s">
        <v>960</v>
      </c>
      <c r="I292">
        <v>83.339130434782618</v>
      </c>
      <c r="J292">
        <v>16</v>
      </c>
    </row>
    <row r="293" spans="1:10" x14ac:dyDescent="0.35">
      <c r="A293" t="s">
        <v>14</v>
      </c>
      <c r="B293">
        <v>101</v>
      </c>
      <c r="C293">
        <v>34011</v>
      </c>
      <c r="D293" t="s">
        <v>66</v>
      </c>
      <c r="E293">
        <v>19.989999999999998</v>
      </c>
      <c r="F293">
        <v>2.63</v>
      </c>
      <c r="G293">
        <v>46190</v>
      </c>
      <c r="H293" t="s">
        <v>316</v>
      </c>
      <c r="I293">
        <v>17.382608695652173</v>
      </c>
      <c r="J293">
        <v>1</v>
      </c>
    </row>
    <row r="294" spans="1:10" x14ac:dyDescent="0.35">
      <c r="A294" t="s">
        <v>14</v>
      </c>
      <c r="B294">
        <v>101</v>
      </c>
      <c r="C294">
        <v>34011</v>
      </c>
      <c r="D294" t="s">
        <v>66</v>
      </c>
      <c r="E294">
        <v>19.989999999999998</v>
      </c>
      <c r="F294">
        <v>2.63</v>
      </c>
      <c r="G294">
        <v>46191</v>
      </c>
      <c r="H294" t="s">
        <v>960</v>
      </c>
      <c r="I294">
        <v>17.382608695652173</v>
      </c>
      <c r="J294">
        <v>1</v>
      </c>
    </row>
    <row r="295" spans="1:10" x14ac:dyDescent="0.35">
      <c r="A295" t="s">
        <v>14</v>
      </c>
      <c r="B295">
        <v>118</v>
      </c>
      <c r="C295">
        <v>34014</v>
      </c>
      <c r="D295" t="s">
        <v>258</v>
      </c>
      <c r="E295">
        <v>100</v>
      </c>
      <c r="F295">
        <v>52.03</v>
      </c>
      <c r="G295">
        <v>46188</v>
      </c>
      <c r="H295" t="s">
        <v>309</v>
      </c>
      <c r="I295">
        <v>86.956521739130437</v>
      </c>
      <c r="J295">
        <v>1</v>
      </c>
    </row>
    <row r="296" spans="1:10" x14ac:dyDescent="0.35">
      <c r="A296" t="s">
        <v>19</v>
      </c>
      <c r="B296">
        <v>102</v>
      </c>
      <c r="C296">
        <v>34015</v>
      </c>
      <c r="D296" t="s">
        <v>106</v>
      </c>
      <c r="E296">
        <v>29.99</v>
      </c>
      <c r="F296">
        <v>3.1788888888888889</v>
      </c>
      <c r="G296">
        <v>46188</v>
      </c>
      <c r="H296" t="s">
        <v>309</v>
      </c>
      <c r="I296">
        <v>78.234782608695653</v>
      </c>
      <c r="J296">
        <v>3</v>
      </c>
    </row>
    <row r="297" spans="1:10" x14ac:dyDescent="0.35">
      <c r="A297" t="s">
        <v>19</v>
      </c>
      <c r="B297">
        <v>102</v>
      </c>
      <c r="C297">
        <v>34015</v>
      </c>
      <c r="D297" t="s">
        <v>106</v>
      </c>
      <c r="E297">
        <v>29.99</v>
      </c>
      <c r="F297">
        <v>3.1788888888888889</v>
      </c>
      <c r="G297">
        <v>46189</v>
      </c>
      <c r="H297" t="s">
        <v>310</v>
      </c>
      <c r="I297">
        <v>26.078260869565216</v>
      </c>
      <c r="J297">
        <v>1</v>
      </c>
    </row>
    <row r="298" spans="1:10" x14ac:dyDescent="0.35">
      <c r="A298" t="s">
        <v>19</v>
      </c>
      <c r="B298">
        <v>102</v>
      </c>
      <c r="C298">
        <v>34015</v>
      </c>
      <c r="D298" t="s">
        <v>106</v>
      </c>
      <c r="E298">
        <v>29.99</v>
      </c>
      <c r="F298">
        <v>3.1788888888888889</v>
      </c>
      <c r="G298">
        <v>46190</v>
      </c>
      <c r="H298" t="s">
        <v>316</v>
      </c>
      <c r="I298">
        <v>208.62608695652173</v>
      </c>
      <c r="J298">
        <v>8</v>
      </c>
    </row>
    <row r="299" spans="1:10" x14ac:dyDescent="0.35">
      <c r="A299" t="s">
        <v>19</v>
      </c>
      <c r="B299">
        <v>102</v>
      </c>
      <c r="C299">
        <v>34015</v>
      </c>
      <c r="D299" t="s">
        <v>106</v>
      </c>
      <c r="E299">
        <v>29.99</v>
      </c>
      <c r="F299">
        <v>3.1788888888888889</v>
      </c>
      <c r="G299">
        <v>46191</v>
      </c>
      <c r="H299" t="s">
        <v>960</v>
      </c>
      <c r="I299">
        <v>156.46956521739131</v>
      </c>
      <c r="J299">
        <v>6</v>
      </c>
    </row>
    <row r="300" spans="1:10" x14ac:dyDescent="0.35">
      <c r="A300" t="s">
        <v>14</v>
      </c>
      <c r="B300">
        <v>101</v>
      </c>
      <c r="C300">
        <v>34022</v>
      </c>
      <c r="D300" t="s">
        <v>54</v>
      </c>
      <c r="E300">
        <v>5.99</v>
      </c>
      <c r="F300">
        <v>2.72</v>
      </c>
      <c r="G300">
        <v>46188</v>
      </c>
      <c r="H300" t="s">
        <v>309</v>
      </c>
      <c r="I300">
        <v>26.043478260869563</v>
      </c>
      <c r="J300">
        <v>5</v>
      </c>
    </row>
    <row r="301" spans="1:10" x14ac:dyDescent="0.35">
      <c r="A301" t="s">
        <v>14</v>
      </c>
      <c r="B301">
        <v>101</v>
      </c>
      <c r="C301">
        <v>34022</v>
      </c>
      <c r="D301" t="s">
        <v>54</v>
      </c>
      <c r="E301">
        <v>5.99</v>
      </c>
      <c r="F301">
        <v>2.72</v>
      </c>
      <c r="G301">
        <v>46190</v>
      </c>
      <c r="H301" t="s">
        <v>316</v>
      </c>
      <c r="I301">
        <v>10.417391304347827</v>
      </c>
      <c r="J301">
        <v>2</v>
      </c>
    </row>
    <row r="302" spans="1:10" x14ac:dyDescent="0.35">
      <c r="A302" t="s">
        <v>14</v>
      </c>
      <c r="B302">
        <v>101</v>
      </c>
      <c r="C302">
        <v>34023</v>
      </c>
      <c r="D302" t="s">
        <v>48</v>
      </c>
      <c r="E302">
        <v>6.99</v>
      </c>
      <c r="F302">
        <v>2.85</v>
      </c>
      <c r="G302">
        <v>46188</v>
      </c>
      <c r="H302" t="s">
        <v>309</v>
      </c>
      <c r="I302">
        <v>30.39130434782609</v>
      </c>
      <c r="J302">
        <v>5</v>
      </c>
    </row>
    <row r="303" spans="1:10" x14ac:dyDescent="0.35">
      <c r="A303" t="s">
        <v>14</v>
      </c>
      <c r="B303">
        <v>101</v>
      </c>
      <c r="C303">
        <v>34023</v>
      </c>
      <c r="D303" t="s">
        <v>48</v>
      </c>
      <c r="E303">
        <v>6.99</v>
      </c>
      <c r="F303">
        <v>2.85</v>
      </c>
      <c r="G303">
        <v>46189</v>
      </c>
      <c r="H303" t="s">
        <v>310</v>
      </c>
      <c r="I303">
        <v>24.31304347826087</v>
      </c>
      <c r="J303">
        <v>4</v>
      </c>
    </row>
    <row r="304" spans="1:10" x14ac:dyDescent="0.35">
      <c r="A304" t="s">
        <v>14</v>
      </c>
      <c r="B304">
        <v>101</v>
      </c>
      <c r="C304">
        <v>34023</v>
      </c>
      <c r="D304" t="s">
        <v>48</v>
      </c>
      <c r="E304">
        <v>6.99</v>
      </c>
      <c r="F304">
        <v>2.85</v>
      </c>
      <c r="G304">
        <v>46190</v>
      </c>
      <c r="H304" t="s">
        <v>316</v>
      </c>
      <c r="I304">
        <v>24.008695652173913</v>
      </c>
      <c r="J304">
        <v>4</v>
      </c>
    </row>
    <row r="305" spans="1:10" x14ac:dyDescent="0.35">
      <c r="A305" t="s">
        <v>14</v>
      </c>
      <c r="B305">
        <v>101</v>
      </c>
      <c r="C305">
        <v>34023</v>
      </c>
      <c r="D305" t="s">
        <v>48</v>
      </c>
      <c r="E305">
        <v>6.99</v>
      </c>
      <c r="F305">
        <v>2.85</v>
      </c>
      <c r="G305">
        <v>46191</v>
      </c>
      <c r="H305" t="s">
        <v>960</v>
      </c>
      <c r="I305">
        <v>24.31304347826087</v>
      </c>
      <c r="J305">
        <v>4</v>
      </c>
    </row>
    <row r="306" spans="1:10" x14ac:dyDescent="0.35">
      <c r="A306" t="s">
        <v>14</v>
      </c>
      <c r="B306">
        <v>101</v>
      </c>
      <c r="C306">
        <v>34024</v>
      </c>
      <c r="D306" t="s">
        <v>23</v>
      </c>
      <c r="E306">
        <v>37.99</v>
      </c>
      <c r="F306">
        <v>16.5</v>
      </c>
      <c r="G306">
        <v>46188</v>
      </c>
      <c r="H306" t="s">
        <v>309</v>
      </c>
      <c r="I306">
        <v>165.17391304347825</v>
      </c>
      <c r="J306">
        <v>5</v>
      </c>
    </row>
    <row r="307" spans="1:10" x14ac:dyDescent="0.35">
      <c r="A307" t="s">
        <v>14</v>
      </c>
      <c r="B307">
        <v>101</v>
      </c>
      <c r="C307">
        <v>34024</v>
      </c>
      <c r="D307" t="s">
        <v>23</v>
      </c>
      <c r="E307">
        <v>37.99</v>
      </c>
      <c r="F307">
        <v>16.5</v>
      </c>
      <c r="G307">
        <v>46189</v>
      </c>
      <c r="H307" t="s">
        <v>310</v>
      </c>
      <c r="I307">
        <v>33.03478260869565</v>
      </c>
      <c r="J307">
        <v>1</v>
      </c>
    </row>
    <row r="308" spans="1:10" x14ac:dyDescent="0.35">
      <c r="A308" t="s">
        <v>14</v>
      </c>
      <c r="B308">
        <v>101</v>
      </c>
      <c r="C308">
        <v>34024</v>
      </c>
      <c r="D308" t="s">
        <v>23</v>
      </c>
      <c r="E308">
        <v>37.99</v>
      </c>
      <c r="F308">
        <v>16.5</v>
      </c>
      <c r="G308">
        <v>46190</v>
      </c>
      <c r="H308" t="s">
        <v>316</v>
      </c>
      <c r="I308">
        <v>165.17391304347825</v>
      </c>
      <c r="J308">
        <v>5</v>
      </c>
    </row>
    <row r="309" spans="1:10" x14ac:dyDescent="0.35">
      <c r="A309" t="s">
        <v>14</v>
      </c>
      <c r="B309">
        <v>101</v>
      </c>
      <c r="C309">
        <v>34024</v>
      </c>
      <c r="D309" t="s">
        <v>23</v>
      </c>
      <c r="E309">
        <v>37.99</v>
      </c>
      <c r="F309">
        <v>16.5</v>
      </c>
      <c r="G309">
        <v>46191</v>
      </c>
      <c r="H309" t="s">
        <v>960</v>
      </c>
      <c r="I309">
        <v>132.1391304347826</v>
      </c>
      <c r="J309">
        <v>4</v>
      </c>
    </row>
    <row r="310" spans="1:10" x14ac:dyDescent="0.35">
      <c r="A310" t="s">
        <v>14</v>
      </c>
      <c r="B310">
        <v>106</v>
      </c>
      <c r="C310">
        <v>34027</v>
      </c>
      <c r="D310" t="s">
        <v>245</v>
      </c>
      <c r="E310">
        <v>27.99</v>
      </c>
      <c r="F310">
        <v>15.41</v>
      </c>
      <c r="G310">
        <v>46190</v>
      </c>
      <c r="H310" t="s">
        <v>316</v>
      </c>
      <c r="I310">
        <v>24.339130434782607</v>
      </c>
      <c r="J310">
        <v>1</v>
      </c>
    </row>
    <row r="311" spans="1:10" x14ac:dyDescent="0.35">
      <c r="A311" t="s">
        <v>14</v>
      </c>
      <c r="B311">
        <v>106</v>
      </c>
      <c r="C311">
        <v>34027</v>
      </c>
      <c r="D311" t="s">
        <v>245</v>
      </c>
      <c r="E311">
        <v>27.99</v>
      </c>
      <c r="F311">
        <v>15.41</v>
      </c>
      <c r="G311">
        <v>46191</v>
      </c>
      <c r="H311" t="s">
        <v>960</v>
      </c>
      <c r="I311">
        <v>48.678260869565214</v>
      </c>
      <c r="J311">
        <v>2</v>
      </c>
    </row>
    <row r="312" spans="1:10" x14ac:dyDescent="0.35">
      <c r="A312" t="s">
        <v>14</v>
      </c>
      <c r="B312">
        <v>118</v>
      </c>
      <c r="C312">
        <v>34033</v>
      </c>
      <c r="D312" t="s">
        <v>256</v>
      </c>
      <c r="E312">
        <v>120</v>
      </c>
      <c r="F312">
        <v>64.849999999999994</v>
      </c>
      <c r="G312">
        <v>46188</v>
      </c>
      <c r="H312" t="s">
        <v>309</v>
      </c>
      <c r="I312">
        <v>104.34782608695652</v>
      </c>
      <c r="J312">
        <v>1</v>
      </c>
    </row>
    <row r="313" spans="1:10" x14ac:dyDescent="0.35">
      <c r="A313" t="s">
        <v>14</v>
      </c>
      <c r="B313">
        <v>118</v>
      </c>
      <c r="C313">
        <v>34033</v>
      </c>
      <c r="D313" t="s">
        <v>256</v>
      </c>
      <c r="E313">
        <v>120</v>
      </c>
      <c r="F313">
        <v>64.849999999999994</v>
      </c>
      <c r="G313">
        <v>46189</v>
      </c>
      <c r="H313" t="s">
        <v>310</v>
      </c>
      <c r="I313">
        <v>104.34782608695652</v>
      </c>
      <c r="J313">
        <v>1</v>
      </c>
    </row>
    <row r="314" spans="1:10" x14ac:dyDescent="0.35">
      <c r="A314" t="s">
        <v>14</v>
      </c>
      <c r="B314">
        <v>101</v>
      </c>
      <c r="C314">
        <v>34041</v>
      </c>
      <c r="D314" t="s">
        <v>43</v>
      </c>
      <c r="E314">
        <v>6.99</v>
      </c>
      <c r="F314">
        <v>3.15</v>
      </c>
      <c r="G314">
        <v>46188</v>
      </c>
      <c r="H314" t="s">
        <v>309</v>
      </c>
      <c r="I314">
        <v>66.860869565217399</v>
      </c>
      <c r="J314">
        <v>11</v>
      </c>
    </row>
    <row r="315" spans="1:10" x14ac:dyDescent="0.35">
      <c r="A315" t="s">
        <v>14</v>
      </c>
      <c r="B315">
        <v>101</v>
      </c>
      <c r="C315">
        <v>34041</v>
      </c>
      <c r="D315" t="s">
        <v>43</v>
      </c>
      <c r="E315">
        <v>6.99</v>
      </c>
      <c r="F315">
        <v>3.15</v>
      </c>
      <c r="G315">
        <v>46189</v>
      </c>
      <c r="H315" t="s">
        <v>310</v>
      </c>
      <c r="I315">
        <v>42.547826086956519</v>
      </c>
      <c r="J315">
        <v>7</v>
      </c>
    </row>
    <row r="316" spans="1:10" x14ac:dyDescent="0.35">
      <c r="A316" t="s">
        <v>14</v>
      </c>
      <c r="B316">
        <v>101</v>
      </c>
      <c r="C316">
        <v>34041</v>
      </c>
      <c r="D316" t="s">
        <v>43</v>
      </c>
      <c r="E316">
        <v>6.99</v>
      </c>
      <c r="F316">
        <v>3.15</v>
      </c>
      <c r="G316">
        <v>46190</v>
      </c>
      <c r="H316" t="s">
        <v>316</v>
      </c>
      <c r="I316">
        <v>48.017391304347825</v>
      </c>
      <c r="J316">
        <v>8</v>
      </c>
    </row>
    <row r="317" spans="1:10" x14ac:dyDescent="0.35">
      <c r="A317" t="s">
        <v>14</v>
      </c>
      <c r="B317">
        <v>101</v>
      </c>
      <c r="C317">
        <v>34041</v>
      </c>
      <c r="D317" t="s">
        <v>43</v>
      </c>
      <c r="E317">
        <v>6.99</v>
      </c>
      <c r="F317">
        <v>3.15</v>
      </c>
      <c r="G317">
        <v>46191</v>
      </c>
      <c r="H317" t="s">
        <v>960</v>
      </c>
      <c r="I317">
        <v>54.704347826086952</v>
      </c>
      <c r="J317">
        <v>9</v>
      </c>
    </row>
    <row r="318" spans="1:10" x14ac:dyDescent="0.35">
      <c r="A318" t="s">
        <v>14</v>
      </c>
      <c r="B318">
        <v>101</v>
      </c>
      <c r="C318">
        <v>34042</v>
      </c>
      <c r="D318" t="s">
        <v>31</v>
      </c>
      <c r="E318">
        <v>9.5</v>
      </c>
      <c r="F318">
        <v>4.1500000000000004</v>
      </c>
      <c r="G318">
        <v>46188</v>
      </c>
      <c r="H318" t="s">
        <v>309</v>
      </c>
      <c r="I318">
        <v>49.565217391304344</v>
      </c>
      <c r="J318">
        <v>6</v>
      </c>
    </row>
    <row r="319" spans="1:10" x14ac:dyDescent="0.35">
      <c r="A319" t="s">
        <v>14</v>
      </c>
      <c r="B319">
        <v>101</v>
      </c>
      <c r="C319">
        <v>34042</v>
      </c>
      <c r="D319" t="s">
        <v>31</v>
      </c>
      <c r="E319">
        <v>9.5</v>
      </c>
      <c r="F319">
        <v>4.1500000000000004</v>
      </c>
      <c r="G319">
        <v>46189</v>
      </c>
      <c r="H319" t="s">
        <v>310</v>
      </c>
      <c r="I319">
        <v>90.869565217391312</v>
      </c>
      <c r="J319">
        <v>11</v>
      </c>
    </row>
    <row r="320" spans="1:10" x14ac:dyDescent="0.35">
      <c r="A320" t="s">
        <v>14</v>
      </c>
      <c r="B320">
        <v>101</v>
      </c>
      <c r="C320">
        <v>34042</v>
      </c>
      <c r="D320" t="s">
        <v>31</v>
      </c>
      <c r="E320">
        <v>9.5</v>
      </c>
      <c r="F320">
        <v>4.1500000000000004</v>
      </c>
      <c r="G320">
        <v>46190</v>
      </c>
      <c r="H320" t="s">
        <v>316</v>
      </c>
      <c r="I320">
        <v>97.052173913043475</v>
      </c>
      <c r="J320">
        <v>12</v>
      </c>
    </row>
    <row r="321" spans="1:10" x14ac:dyDescent="0.35">
      <c r="A321" t="s">
        <v>14</v>
      </c>
      <c r="B321">
        <v>101</v>
      </c>
      <c r="C321">
        <v>34042</v>
      </c>
      <c r="D321" t="s">
        <v>31</v>
      </c>
      <c r="E321">
        <v>9.5</v>
      </c>
      <c r="F321">
        <v>4.1500000000000004</v>
      </c>
      <c r="G321">
        <v>46191</v>
      </c>
      <c r="H321" t="s">
        <v>960</v>
      </c>
      <c r="I321">
        <v>49.565217391304344</v>
      </c>
      <c r="J321">
        <v>6</v>
      </c>
    </row>
    <row r="322" spans="1:10" x14ac:dyDescent="0.35">
      <c r="A322" t="s">
        <v>14</v>
      </c>
      <c r="B322">
        <v>101</v>
      </c>
      <c r="C322">
        <v>34046</v>
      </c>
      <c r="D322" t="s">
        <v>37</v>
      </c>
      <c r="E322">
        <v>19.989999999999998</v>
      </c>
      <c r="F322">
        <v>12.2</v>
      </c>
      <c r="G322">
        <v>46188</v>
      </c>
      <c r="H322" t="s">
        <v>309</v>
      </c>
      <c r="I322">
        <v>86.913043478260875</v>
      </c>
      <c r="J322">
        <v>5</v>
      </c>
    </row>
    <row r="323" spans="1:10" x14ac:dyDescent="0.35">
      <c r="A323" t="s">
        <v>14</v>
      </c>
      <c r="B323">
        <v>101</v>
      </c>
      <c r="C323">
        <v>34046</v>
      </c>
      <c r="D323" t="s">
        <v>37</v>
      </c>
      <c r="E323">
        <v>19.989999999999998</v>
      </c>
      <c r="F323">
        <v>12.2</v>
      </c>
      <c r="G323">
        <v>46189</v>
      </c>
      <c r="H323" t="s">
        <v>310</v>
      </c>
      <c r="I323">
        <v>69.530434782608694</v>
      </c>
      <c r="J323">
        <v>4</v>
      </c>
    </row>
    <row r="324" spans="1:10" x14ac:dyDescent="0.35">
      <c r="A324" t="s">
        <v>14</v>
      </c>
      <c r="B324">
        <v>101</v>
      </c>
      <c r="C324">
        <v>34053</v>
      </c>
      <c r="D324" t="s">
        <v>57</v>
      </c>
      <c r="E324">
        <v>15.99</v>
      </c>
      <c r="F324">
        <v>6.74</v>
      </c>
      <c r="G324">
        <v>46188</v>
      </c>
      <c r="H324" t="s">
        <v>309</v>
      </c>
      <c r="I324">
        <v>41.713043478260872</v>
      </c>
      <c r="J324">
        <v>3</v>
      </c>
    </row>
    <row r="325" spans="1:10" x14ac:dyDescent="0.35">
      <c r="A325" t="s">
        <v>14</v>
      </c>
      <c r="B325">
        <v>101</v>
      </c>
      <c r="C325">
        <v>34053</v>
      </c>
      <c r="D325" t="s">
        <v>57</v>
      </c>
      <c r="E325">
        <v>15.99</v>
      </c>
      <c r="F325">
        <v>6.74</v>
      </c>
      <c r="G325">
        <v>46189</v>
      </c>
      <c r="H325" t="s">
        <v>310</v>
      </c>
      <c r="I325">
        <v>55.617391304347827</v>
      </c>
      <c r="J325">
        <v>4</v>
      </c>
    </row>
    <row r="326" spans="1:10" x14ac:dyDescent="0.35">
      <c r="A326" t="s">
        <v>14</v>
      </c>
      <c r="B326">
        <v>101</v>
      </c>
      <c r="C326">
        <v>34059</v>
      </c>
      <c r="D326" t="s">
        <v>64</v>
      </c>
      <c r="E326">
        <v>6.99</v>
      </c>
      <c r="F326">
        <v>3.8</v>
      </c>
      <c r="G326">
        <v>46191</v>
      </c>
      <c r="H326" t="s">
        <v>960</v>
      </c>
      <c r="I326">
        <v>42.547826086956519</v>
      </c>
      <c r="J326">
        <v>7</v>
      </c>
    </row>
    <row r="327" spans="1:10" x14ac:dyDescent="0.35">
      <c r="A327" t="s">
        <v>14</v>
      </c>
      <c r="B327">
        <v>101</v>
      </c>
      <c r="C327">
        <v>34068</v>
      </c>
      <c r="D327" t="s">
        <v>74</v>
      </c>
      <c r="E327">
        <v>1.5</v>
      </c>
      <c r="F327">
        <v>0.59</v>
      </c>
      <c r="G327">
        <v>46188</v>
      </c>
      <c r="H327" t="s">
        <v>309</v>
      </c>
      <c r="I327">
        <v>20.869565217391305</v>
      </c>
      <c r="J327">
        <v>16</v>
      </c>
    </row>
    <row r="328" spans="1:10" x14ac:dyDescent="0.35">
      <c r="A328" t="s">
        <v>14</v>
      </c>
      <c r="B328">
        <v>101</v>
      </c>
      <c r="C328">
        <v>34070</v>
      </c>
      <c r="D328" t="s">
        <v>26</v>
      </c>
      <c r="E328">
        <v>12.99</v>
      </c>
      <c r="F328">
        <v>6.81</v>
      </c>
      <c r="G328">
        <v>46188</v>
      </c>
      <c r="H328" t="s">
        <v>309</v>
      </c>
      <c r="I328">
        <v>169.43478260869566</v>
      </c>
      <c r="J328">
        <v>15</v>
      </c>
    </row>
    <row r="329" spans="1:10" x14ac:dyDescent="0.35">
      <c r="A329" t="s">
        <v>14</v>
      </c>
      <c r="B329">
        <v>101</v>
      </c>
      <c r="C329">
        <v>34070</v>
      </c>
      <c r="D329" t="s">
        <v>26</v>
      </c>
      <c r="E329">
        <v>12.99</v>
      </c>
      <c r="F329">
        <v>6.81</v>
      </c>
      <c r="G329">
        <v>46189</v>
      </c>
      <c r="H329" t="s">
        <v>310</v>
      </c>
      <c r="I329">
        <v>101.66086956521738</v>
      </c>
      <c r="J329">
        <v>9</v>
      </c>
    </row>
    <row r="330" spans="1:10" x14ac:dyDescent="0.35">
      <c r="A330" t="s">
        <v>14</v>
      </c>
      <c r="B330">
        <v>101</v>
      </c>
      <c r="C330">
        <v>34070</v>
      </c>
      <c r="D330" t="s">
        <v>26</v>
      </c>
      <c r="E330">
        <v>12.99</v>
      </c>
      <c r="F330">
        <v>6.81</v>
      </c>
      <c r="G330">
        <v>46190</v>
      </c>
      <c r="H330" t="s">
        <v>316</v>
      </c>
      <c r="I330">
        <v>111.26086956521739</v>
      </c>
      <c r="J330">
        <v>10</v>
      </c>
    </row>
    <row r="331" spans="1:10" x14ac:dyDescent="0.35">
      <c r="A331" t="s">
        <v>14</v>
      </c>
      <c r="B331">
        <v>101</v>
      </c>
      <c r="C331">
        <v>34070</v>
      </c>
      <c r="D331" t="s">
        <v>26</v>
      </c>
      <c r="E331">
        <v>12.99</v>
      </c>
      <c r="F331">
        <v>6.81</v>
      </c>
      <c r="G331">
        <v>46191</v>
      </c>
      <c r="H331" t="s">
        <v>960</v>
      </c>
      <c r="I331">
        <v>395.3478260869565</v>
      </c>
      <c r="J331">
        <v>35</v>
      </c>
    </row>
    <row r="332" spans="1:10" x14ac:dyDescent="0.35">
      <c r="A332" t="s">
        <v>14</v>
      </c>
      <c r="B332">
        <v>104</v>
      </c>
      <c r="C332">
        <v>34079</v>
      </c>
      <c r="D332" t="s">
        <v>236</v>
      </c>
      <c r="E332">
        <v>60</v>
      </c>
      <c r="F332">
        <v>29.14</v>
      </c>
      <c r="G332">
        <v>46191</v>
      </c>
      <c r="H332" t="s">
        <v>960</v>
      </c>
      <c r="I332">
        <v>43.469565217391306</v>
      </c>
      <c r="J332">
        <v>1</v>
      </c>
    </row>
    <row r="333" spans="1:10" x14ac:dyDescent="0.35">
      <c r="A333" t="s">
        <v>14</v>
      </c>
      <c r="B333">
        <v>104</v>
      </c>
      <c r="C333">
        <v>34080</v>
      </c>
      <c r="D333" t="s">
        <v>234</v>
      </c>
      <c r="E333">
        <v>55</v>
      </c>
      <c r="F333">
        <v>24.25</v>
      </c>
      <c r="G333">
        <v>46189</v>
      </c>
      <c r="H333" t="s">
        <v>310</v>
      </c>
      <c r="I333">
        <v>43.469565217391306</v>
      </c>
      <c r="J333">
        <v>1</v>
      </c>
    </row>
    <row r="334" spans="1:10" x14ac:dyDescent="0.35">
      <c r="A334" t="s">
        <v>14</v>
      </c>
      <c r="B334">
        <v>104</v>
      </c>
      <c r="C334">
        <v>34080</v>
      </c>
      <c r="D334" t="s">
        <v>234</v>
      </c>
      <c r="E334">
        <v>55</v>
      </c>
      <c r="F334">
        <v>24.25</v>
      </c>
      <c r="G334">
        <v>46191</v>
      </c>
      <c r="H334" t="s">
        <v>960</v>
      </c>
      <c r="I334">
        <v>86.939130434782612</v>
      </c>
      <c r="J334">
        <v>2</v>
      </c>
    </row>
    <row r="335" spans="1:10" x14ac:dyDescent="0.35">
      <c r="A335" t="s">
        <v>14</v>
      </c>
      <c r="B335">
        <v>104</v>
      </c>
      <c r="C335">
        <v>34083</v>
      </c>
      <c r="D335" t="s">
        <v>233</v>
      </c>
      <c r="E335">
        <v>55</v>
      </c>
      <c r="F335">
        <v>25.97</v>
      </c>
      <c r="G335">
        <v>46188</v>
      </c>
      <c r="H335" t="s">
        <v>309</v>
      </c>
      <c r="I335">
        <v>43.469565217391306</v>
      </c>
      <c r="J335">
        <v>1</v>
      </c>
    </row>
    <row r="336" spans="1:10" x14ac:dyDescent="0.35">
      <c r="A336" t="s">
        <v>14</v>
      </c>
      <c r="B336">
        <v>104</v>
      </c>
      <c r="C336">
        <v>34083</v>
      </c>
      <c r="D336" t="s">
        <v>233</v>
      </c>
      <c r="E336">
        <v>55</v>
      </c>
      <c r="F336">
        <v>25.97</v>
      </c>
      <c r="G336">
        <v>46189</v>
      </c>
      <c r="H336" t="s">
        <v>310</v>
      </c>
      <c r="I336">
        <v>130.40869565217392</v>
      </c>
      <c r="J336">
        <v>3</v>
      </c>
    </row>
    <row r="337" spans="1:10" x14ac:dyDescent="0.35">
      <c r="A337" t="s">
        <v>14</v>
      </c>
      <c r="B337">
        <v>104</v>
      </c>
      <c r="C337">
        <v>34083</v>
      </c>
      <c r="D337" t="s">
        <v>233</v>
      </c>
      <c r="E337">
        <v>55</v>
      </c>
      <c r="F337">
        <v>25.97</v>
      </c>
      <c r="G337">
        <v>46190</v>
      </c>
      <c r="H337" t="s">
        <v>316</v>
      </c>
      <c r="I337">
        <v>130.40869565217392</v>
      </c>
      <c r="J337">
        <v>3</v>
      </c>
    </row>
    <row r="338" spans="1:10" x14ac:dyDescent="0.35">
      <c r="A338" t="s">
        <v>14</v>
      </c>
      <c r="B338">
        <v>104</v>
      </c>
      <c r="C338">
        <v>34083</v>
      </c>
      <c r="D338" t="s">
        <v>233</v>
      </c>
      <c r="E338">
        <v>55</v>
      </c>
      <c r="F338">
        <v>25.97</v>
      </c>
      <c r="G338">
        <v>46191</v>
      </c>
      <c r="H338" t="s">
        <v>960</v>
      </c>
      <c r="I338">
        <v>43.469565217391306</v>
      </c>
      <c r="J338">
        <v>1</v>
      </c>
    </row>
    <row r="339" spans="1:10" x14ac:dyDescent="0.35">
      <c r="A339" t="s">
        <v>14</v>
      </c>
      <c r="B339">
        <v>101</v>
      </c>
      <c r="C339">
        <v>34086</v>
      </c>
      <c r="D339" t="s">
        <v>60</v>
      </c>
      <c r="E339">
        <v>29.99</v>
      </c>
      <c r="F339">
        <v>10</v>
      </c>
      <c r="G339">
        <v>46188</v>
      </c>
      <c r="H339" t="s">
        <v>309</v>
      </c>
      <c r="I339">
        <v>5.2695652173913041</v>
      </c>
      <c r="J339">
        <v>0</v>
      </c>
    </row>
    <row r="340" spans="1:10" x14ac:dyDescent="0.35">
      <c r="A340" t="s">
        <v>14</v>
      </c>
      <c r="B340">
        <v>101</v>
      </c>
      <c r="C340">
        <v>34086</v>
      </c>
      <c r="D340" t="s">
        <v>60</v>
      </c>
      <c r="E340">
        <v>29.99</v>
      </c>
      <c r="F340">
        <v>10</v>
      </c>
      <c r="G340">
        <v>46190</v>
      </c>
      <c r="H340" t="s">
        <v>316</v>
      </c>
      <c r="I340">
        <v>9.5739130434782602</v>
      </c>
      <c r="J340">
        <v>0</v>
      </c>
    </row>
    <row r="341" spans="1:10" x14ac:dyDescent="0.35">
      <c r="A341" t="s">
        <v>14</v>
      </c>
      <c r="B341">
        <v>101</v>
      </c>
      <c r="C341">
        <v>34088</v>
      </c>
      <c r="D341" t="s">
        <v>44</v>
      </c>
      <c r="E341">
        <v>1.5</v>
      </c>
      <c r="F341">
        <v>0.68</v>
      </c>
      <c r="G341">
        <v>46189</v>
      </c>
      <c r="H341" t="s">
        <v>310</v>
      </c>
      <c r="I341">
        <v>117.39130434782609</v>
      </c>
      <c r="J341">
        <v>90</v>
      </c>
    </row>
    <row r="342" spans="1:10" x14ac:dyDescent="0.35">
      <c r="A342" t="s">
        <v>14</v>
      </c>
      <c r="B342">
        <v>101</v>
      </c>
      <c r="C342">
        <v>34091</v>
      </c>
      <c r="D342" t="s">
        <v>28</v>
      </c>
      <c r="E342">
        <v>17.989999999999998</v>
      </c>
      <c r="F342">
        <v>12.24</v>
      </c>
      <c r="G342">
        <v>46188</v>
      </c>
      <c r="H342" t="s">
        <v>309</v>
      </c>
      <c r="I342">
        <v>86.913043478260875</v>
      </c>
      <c r="J342">
        <v>5</v>
      </c>
    </row>
    <row r="343" spans="1:10" x14ac:dyDescent="0.35">
      <c r="A343" t="s">
        <v>14</v>
      </c>
      <c r="B343">
        <v>101</v>
      </c>
      <c r="C343">
        <v>34091</v>
      </c>
      <c r="D343" t="s">
        <v>28</v>
      </c>
      <c r="E343">
        <v>17.989999999999998</v>
      </c>
      <c r="F343">
        <v>12.24</v>
      </c>
      <c r="G343">
        <v>46189</v>
      </c>
      <c r="H343" t="s">
        <v>310</v>
      </c>
      <c r="I343">
        <v>86.913043478260875</v>
      </c>
      <c r="J343">
        <v>5</v>
      </c>
    </row>
    <row r="344" spans="1:10" x14ac:dyDescent="0.35">
      <c r="A344" t="s">
        <v>14</v>
      </c>
      <c r="B344">
        <v>101</v>
      </c>
      <c r="C344">
        <v>34091</v>
      </c>
      <c r="D344" t="s">
        <v>28</v>
      </c>
      <c r="E344">
        <v>17.989999999999998</v>
      </c>
      <c r="F344">
        <v>12.24</v>
      </c>
      <c r="G344">
        <v>46190</v>
      </c>
      <c r="H344" t="s">
        <v>316</v>
      </c>
      <c r="I344">
        <v>198.66956521739129</v>
      </c>
      <c r="J344">
        <v>13</v>
      </c>
    </row>
    <row r="345" spans="1:10" x14ac:dyDescent="0.35">
      <c r="A345" t="s">
        <v>14</v>
      </c>
      <c r="B345">
        <v>101</v>
      </c>
      <c r="C345">
        <v>34091</v>
      </c>
      <c r="D345" t="s">
        <v>28</v>
      </c>
      <c r="E345">
        <v>17.989999999999998</v>
      </c>
      <c r="F345">
        <v>12.24</v>
      </c>
      <c r="G345">
        <v>46191</v>
      </c>
      <c r="H345" t="s">
        <v>960</v>
      </c>
      <c r="I345">
        <v>125.14782608695651</v>
      </c>
      <c r="J345">
        <v>8</v>
      </c>
    </row>
    <row r="346" spans="1:10" x14ac:dyDescent="0.35">
      <c r="A346" t="s">
        <v>14</v>
      </c>
      <c r="B346">
        <v>101</v>
      </c>
      <c r="C346">
        <v>34092</v>
      </c>
      <c r="D346" t="s">
        <v>47</v>
      </c>
      <c r="E346">
        <v>4.99</v>
      </c>
      <c r="F346">
        <v>2.52</v>
      </c>
      <c r="G346">
        <v>46188</v>
      </c>
      <c r="H346" t="s">
        <v>309</v>
      </c>
      <c r="I346">
        <v>30.373913043478261</v>
      </c>
      <c r="J346">
        <v>7</v>
      </c>
    </row>
    <row r="347" spans="1:10" x14ac:dyDescent="0.35">
      <c r="A347" t="s">
        <v>14</v>
      </c>
      <c r="B347">
        <v>101</v>
      </c>
      <c r="C347">
        <v>34092</v>
      </c>
      <c r="D347" t="s">
        <v>47</v>
      </c>
      <c r="E347">
        <v>4.99</v>
      </c>
      <c r="F347">
        <v>2.52</v>
      </c>
      <c r="G347">
        <v>46189</v>
      </c>
      <c r="H347" t="s">
        <v>310</v>
      </c>
      <c r="I347">
        <v>8.6782608695652179</v>
      </c>
      <c r="J347">
        <v>2</v>
      </c>
    </row>
    <row r="348" spans="1:10" x14ac:dyDescent="0.35">
      <c r="A348" t="s">
        <v>14</v>
      </c>
      <c r="B348">
        <v>104</v>
      </c>
      <c r="C348">
        <v>34095</v>
      </c>
      <c r="D348" t="s">
        <v>235</v>
      </c>
      <c r="E348">
        <v>29.99</v>
      </c>
      <c r="F348">
        <v>12.52</v>
      </c>
      <c r="G348">
        <v>46191</v>
      </c>
      <c r="H348" t="s">
        <v>960</v>
      </c>
      <c r="I348">
        <v>104.31304347826087</v>
      </c>
      <c r="J348">
        <v>4</v>
      </c>
    </row>
    <row r="349" spans="1:10" x14ac:dyDescent="0.35">
      <c r="A349" t="s">
        <v>14</v>
      </c>
      <c r="B349">
        <v>102</v>
      </c>
      <c r="C349">
        <v>34102</v>
      </c>
      <c r="D349" t="s">
        <v>129</v>
      </c>
      <c r="E349">
        <v>9.99</v>
      </c>
      <c r="F349">
        <v>4.99</v>
      </c>
      <c r="G349">
        <v>46189</v>
      </c>
      <c r="H349" t="s">
        <v>310</v>
      </c>
      <c r="I349">
        <v>43.434782608695656</v>
      </c>
      <c r="J349">
        <v>5</v>
      </c>
    </row>
    <row r="350" spans="1:10" x14ac:dyDescent="0.35">
      <c r="A350" t="s">
        <v>14</v>
      </c>
      <c r="B350">
        <v>102</v>
      </c>
      <c r="C350">
        <v>34102</v>
      </c>
      <c r="D350" t="s">
        <v>129</v>
      </c>
      <c r="E350">
        <v>9.99</v>
      </c>
      <c r="F350">
        <v>4.99</v>
      </c>
      <c r="G350">
        <v>46190</v>
      </c>
      <c r="H350" t="s">
        <v>316</v>
      </c>
      <c r="I350">
        <v>26.060869565217391</v>
      </c>
      <c r="J350">
        <v>3</v>
      </c>
    </row>
    <row r="351" spans="1:10" x14ac:dyDescent="0.35">
      <c r="A351" t="s">
        <v>14</v>
      </c>
      <c r="B351">
        <v>119</v>
      </c>
      <c r="C351">
        <v>34105</v>
      </c>
      <c r="D351" t="s">
        <v>265</v>
      </c>
      <c r="E351">
        <v>79.989999999999995</v>
      </c>
      <c r="F351">
        <v>54.64</v>
      </c>
      <c r="G351">
        <v>46188</v>
      </c>
      <c r="H351" t="s">
        <v>309</v>
      </c>
      <c r="I351">
        <v>69.556521739130432</v>
      </c>
      <c r="J351">
        <v>1</v>
      </c>
    </row>
    <row r="352" spans="1:10" x14ac:dyDescent="0.35">
      <c r="A352" t="s">
        <v>14</v>
      </c>
      <c r="B352">
        <v>119</v>
      </c>
      <c r="C352">
        <v>34105</v>
      </c>
      <c r="D352" t="s">
        <v>265</v>
      </c>
      <c r="E352">
        <v>79.989999999999995</v>
      </c>
      <c r="F352">
        <v>54.64</v>
      </c>
      <c r="G352">
        <v>46190</v>
      </c>
      <c r="H352" t="s">
        <v>316</v>
      </c>
      <c r="I352">
        <v>208.66956521739129</v>
      </c>
      <c r="J352">
        <v>3</v>
      </c>
    </row>
    <row r="353" spans="1:10" x14ac:dyDescent="0.35">
      <c r="A353" t="s">
        <v>14</v>
      </c>
      <c r="B353">
        <v>104</v>
      </c>
      <c r="C353">
        <v>34118</v>
      </c>
      <c r="D353" t="s">
        <v>231</v>
      </c>
      <c r="E353">
        <v>29.99</v>
      </c>
      <c r="F353">
        <v>7.38</v>
      </c>
      <c r="G353">
        <v>46189</v>
      </c>
      <c r="H353" t="s">
        <v>310</v>
      </c>
      <c r="I353">
        <v>130.39130434782606</v>
      </c>
      <c r="J353">
        <v>5</v>
      </c>
    </row>
    <row r="354" spans="1:10" x14ac:dyDescent="0.35">
      <c r="A354" t="s">
        <v>14</v>
      </c>
      <c r="B354">
        <v>104</v>
      </c>
      <c r="C354">
        <v>34118</v>
      </c>
      <c r="D354" t="s">
        <v>231</v>
      </c>
      <c r="E354">
        <v>29.99</v>
      </c>
      <c r="F354">
        <v>7.38</v>
      </c>
      <c r="G354">
        <v>46190</v>
      </c>
      <c r="H354" t="s">
        <v>316</v>
      </c>
      <c r="I354">
        <v>204.71304347826086</v>
      </c>
      <c r="J354">
        <v>8</v>
      </c>
    </row>
    <row r="355" spans="1:10" x14ac:dyDescent="0.35">
      <c r="A355" t="s">
        <v>14</v>
      </c>
      <c r="B355">
        <v>101</v>
      </c>
      <c r="C355">
        <v>34119</v>
      </c>
      <c r="D355" t="s">
        <v>36</v>
      </c>
      <c r="E355">
        <v>3.3</v>
      </c>
      <c r="F355">
        <v>1.85</v>
      </c>
      <c r="G355">
        <v>46188</v>
      </c>
      <c r="H355" t="s">
        <v>309</v>
      </c>
      <c r="I355">
        <v>229.56521739130434</v>
      </c>
      <c r="J355">
        <v>80</v>
      </c>
    </row>
    <row r="356" spans="1:10" x14ac:dyDescent="0.35">
      <c r="A356" t="s">
        <v>14</v>
      </c>
      <c r="B356">
        <v>101</v>
      </c>
      <c r="C356">
        <v>34121</v>
      </c>
      <c r="D356" t="s">
        <v>25</v>
      </c>
      <c r="E356">
        <v>3.3</v>
      </c>
      <c r="F356">
        <v>1.85</v>
      </c>
      <c r="G356">
        <v>46191</v>
      </c>
      <c r="H356" t="s">
        <v>960</v>
      </c>
      <c r="I356">
        <v>143.47826086956522</v>
      </c>
      <c r="J356">
        <v>50</v>
      </c>
    </row>
    <row r="357" spans="1:10" x14ac:dyDescent="0.35">
      <c r="A357" t="s">
        <v>14</v>
      </c>
      <c r="B357">
        <v>102</v>
      </c>
      <c r="C357">
        <v>34122</v>
      </c>
      <c r="D357" t="s">
        <v>167</v>
      </c>
      <c r="E357">
        <v>25.99</v>
      </c>
      <c r="F357">
        <v>13.19</v>
      </c>
      <c r="G357">
        <v>46190</v>
      </c>
      <c r="H357" t="s">
        <v>316</v>
      </c>
      <c r="I357">
        <v>21.469565217391306</v>
      </c>
      <c r="J357">
        <v>1</v>
      </c>
    </row>
    <row r="358" spans="1:10" x14ac:dyDescent="0.35">
      <c r="A358" t="s">
        <v>19</v>
      </c>
      <c r="B358">
        <v>101</v>
      </c>
      <c r="C358">
        <v>34141</v>
      </c>
      <c r="D358" t="s">
        <v>24</v>
      </c>
      <c r="E358">
        <v>5</v>
      </c>
      <c r="F358">
        <v>3.3388750000000003</v>
      </c>
      <c r="G358">
        <v>46190</v>
      </c>
      <c r="H358" t="s">
        <v>316</v>
      </c>
      <c r="I358">
        <v>165.21739130434781</v>
      </c>
      <c r="J358">
        <v>40</v>
      </c>
    </row>
    <row r="359" spans="1:10" x14ac:dyDescent="0.35">
      <c r="A359" t="s">
        <v>413</v>
      </c>
      <c r="B359">
        <v>103</v>
      </c>
      <c r="C359">
        <v>34142</v>
      </c>
      <c r="D359" t="s">
        <v>208</v>
      </c>
      <c r="E359">
        <v>70.989999999999995</v>
      </c>
      <c r="F359">
        <v>36.56</v>
      </c>
      <c r="G359">
        <v>46190</v>
      </c>
      <c r="H359" t="s">
        <v>316</v>
      </c>
      <c r="I359">
        <v>10</v>
      </c>
      <c r="J359">
        <v>0</v>
      </c>
    </row>
    <row r="360" spans="1:10" x14ac:dyDescent="0.35">
      <c r="A360" t="s">
        <v>413</v>
      </c>
      <c r="B360">
        <v>103</v>
      </c>
      <c r="C360">
        <v>34142</v>
      </c>
      <c r="D360" t="s">
        <v>208</v>
      </c>
      <c r="E360">
        <v>70.989999999999995</v>
      </c>
      <c r="F360">
        <v>36.56</v>
      </c>
      <c r="G360">
        <v>46191</v>
      </c>
      <c r="H360" t="s">
        <v>960</v>
      </c>
      <c r="I360">
        <v>9.3826086956521735</v>
      </c>
      <c r="J360">
        <v>0</v>
      </c>
    </row>
    <row r="361" spans="1:10" x14ac:dyDescent="0.35">
      <c r="A361" t="s">
        <v>14</v>
      </c>
      <c r="B361">
        <v>101</v>
      </c>
      <c r="C361">
        <v>34687</v>
      </c>
      <c r="D361" t="s">
        <v>40</v>
      </c>
      <c r="E361">
        <v>3</v>
      </c>
      <c r="F361">
        <v>1.53</v>
      </c>
      <c r="G361">
        <v>46188</v>
      </c>
      <c r="H361" t="s">
        <v>309</v>
      </c>
      <c r="I361">
        <v>19.826086956521738</v>
      </c>
      <c r="J361">
        <v>6</v>
      </c>
    </row>
    <row r="362" spans="1:10" x14ac:dyDescent="0.35">
      <c r="A362" t="s">
        <v>14</v>
      </c>
      <c r="B362">
        <v>101</v>
      </c>
      <c r="C362">
        <v>34687</v>
      </c>
      <c r="D362" t="s">
        <v>40</v>
      </c>
      <c r="E362">
        <v>3</v>
      </c>
      <c r="F362">
        <v>1.53</v>
      </c>
      <c r="G362">
        <v>46189</v>
      </c>
      <c r="H362" t="s">
        <v>310</v>
      </c>
      <c r="I362">
        <v>3.3043478260869565</v>
      </c>
      <c r="J362">
        <v>1</v>
      </c>
    </row>
    <row r="363" spans="1:10" x14ac:dyDescent="0.35">
      <c r="A363" t="s">
        <v>14</v>
      </c>
      <c r="B363">
        <v>101</v>
      </c>
      <c r="C363">
        <v>34687</v>
      </c>
      <c r="D363" t="s">
        <v>40</v>
      </c>
      <c r="E363">
        <v>3</v>
      </c>
      <c r="F363">
        <v>1.53</v>
      </c>
      <c r="G363">
        <v>46190</v>
      </c>
      <c r="H363" t="s">
        <v>316</v>
      </c>
      <c r="I363">
        <v>23.130434782608695</v>
      </c>
      <c r="J363">
        <v>7</v>
      </c>
    </row>
    <row r="364" spans="1:10" x14ac:dyDescent="0.35">
      <c r="A364" t="s">
        <v>14</v>
      </c>
      <c r="B364">
        <v>101</v>
      </c>
      <c r="C364">
        <v>34690</v>
      </c>
      <c r="D364" t="s">
        <v>18</v>
      </c>
      <c r="E364">
        <v>16.989999999999998</v>
      </c>
      <c r="F364">
        <v>7.7</v>
      </c>
      <c r="G364">
        <v>46188</v>
      </c>
      <c r="H364" t="s">
        <v>309</v>
      </c>
      <c r="I364">
        <v>457.99130434782614</v>
      </c>
      <c r="J364">
        <v>31</v>
      </c>
    </row>
    <row r="365" spans="1:10" x14ac:dyDescent="0.35">
      <c r="A365" t="s">
        <v>14</v>
      </c>
      <c r="B365">
        <v>101</v>
      </c>
      <c r="C365">
        <v>34690</v>
      </c>
      <c r="D365" t="s">
        <v>18</v>
      </c>
      <c r="E365">
        <v>16.989999999999998</v>
      </c>
      <c r="F365">
        <v>7.7</v>
      </c>
      <c r="G365">
        <v>46189</v>
      </c>
      <c r="H365" t="s">
        <v>310</v>
      </c>
      <c r="I365">
        <v>398.89565217391305</v>
      </c>
      <c r="J365">
        <v>27</v>
      </c>
    </row>
    <row r="366" spans="1:10" x14ac:dyDescent="0.35">
      <c r="A366" t="s">
        <v>14</v>
      </c>
      <c r="B366">
        <v>101</v>
      </c>
      <c r="C366">
        <v>34690</v>
      </c>
      <c r="D366" t="s">
        <v>18</v>
      </c>
      <c r="E366">
        <v>16.989999999999998</v>
      </c>
      <c r="F366">
        <v>7.7</v>
      </c>
      <c r="G366">
        <v>46190</v>
      </c>
      <c r="H366" t="s">
        <v>316</v>
      </c>
      <c r="I366">
        <v>484.58260869565214</v>
      </c>
      <c r="J366">
        <v>33</v>
      </c>
    </row>
    <row r="367" spans="1:10" x14ac:dyDescent="0.35">
      <c r="A367" t="s">
        <v>14</v>
      </c>
      <c r="B367">
        <v>101</v>
      </c>
      <c r="C367">
        <v>34690</v>
      </c>
      <c r="D367" t="s">
        <v>18</v>
      </c>
      <c r="E367">
        <v>16.989999999999998</v>
      </c>
      <c r="F367">
        <v>7.7</v>
      </c>
      <c r="G367">
        <v>46191</v>
      </c>
      <c r="H367" t="s">
        <v>960</v>
      </c>
      <c r="I367">
        <v>457.99130434782614</v>
      </c>
      <c r="J367">
        <v>31</v>
      </c>
    </row>
    <row r="368" spans="1:10" x14ac:dyDescent="0.35">
      <c r="A368" t="s">
        <v>635</v>
      </c>
      <c r="B368">
        <v>105</v>
      </c>
      <c r="C368">
        <v>34727</v>
      </c>
      <c r="D368" t="s">
        <v>675</v>
      </c>
      <c r="E368">
        <v>30.49</v>
      </c>
      <c r="F368">
        <v>23.32</v>
      </c>
      <c r="G368">
        <v>46188</v>
      </c>
      <c r="H368" t="s">
        <v>309</v>
      </c>
      <c r="I368">
        <v>91.47</v>
      </c>
      <c r="J368">
        <v>3</v>
      </c>
    </row>
    <row r="369" spans="1:10" x14ac:dyDescent="0.35">
      <c r="A369" t="s">
        <v>635</v>
      </c>
      <c r="B369">
        <v>105</v>
      </c>
      <c r="C369">
        <v>34727</v>
      </c>
      <c r="D369" t="s">
        <v>675</v>
      </c>
      <c r="E369">
        <v>30.49</v>
      </c>
      <c r="F369">
        <v>23.32</v>
      </c>
      <c r="G369">
        <v>46189</v>
      </c>
      <c r="H369" t="s">
        <v>310</v>
      </c>
      <c r="I369">
        <v>182.94</v>
      </c>
      <c r="J369">
        <v>6</v>
      </c>
    </row>
    <row r="370" spans="1:10" x14ac:dyDescent="0.35">
      <c r="A370" t="s">
        <v>635</v>
      </c>
      <c r="B370">
        <v>105</v>
      </c>
      <c r="C370">
        <v>34727</v>
      </c>
      <c r="D370" t="s">
        <v>675</v>
      </c>
      <c r="E370">
        <v>30.49</v>
      </c>
      <c r="F370">
        <v>23.32</v>
      </c>
      <c r="G370">
        <v>46190</v>
      </c>
      <c r="H370" t="s">
        <v>316</v>
      </c>
      <c r="I370">
        <v>60.98</v>
      </c>
      <c r="J370">
        <v>2</v>
      </c>
    </row>
    <row r="371" spans="1:10" x14ac:dyDescent="0.35">
      <c r="A371" t="s">
        <v>635</v>
      </c>
      <c r="B371">
        <v>105</v>
      </c>
      <c r="C371">
        <v>34727</v>
      </c>
      <c r="D371" t="s">
        <v>675</v>
      </c>
      <c r="E371">
        <v>30.49</v>
      </c>
      <c r="F371">
        <v>23.32</v>
      </c>
      <c r="G371">
        <v>46191</v>
      </c>
      <c r="H371" t="s">
        <v>960</v>
      </c>
      <c r="I371">
        <v>121.96</v>
      </c>
      <c r="J371">
        <v>4</v>
      </c>
    </row>
    <row r="372" spans="1:10" x14ac:dyDescent="0.35">
      <c r="A372" t="s">
        <v>476</v>
      </c>
      <c r="B372">
        <v>109</v>
      </c>
      <c r="C372">
        <v>34931</v>
      </c>
      <c r="D372" t="s">
        <v>676</v>
      </c>
      <c r="E372">
        <v>9.99</v>
      </c>
      <c r="F372">
        <v>5.7391666666666667</v>
      </c>
      <c r="G372">
        <v>46188</v>
      </c>
      <c r="H372" t="s">
        <v>309</v>
      </c>
      <c r="I372">
        <v>34.747826086956522</v>
      </c>
      <c r="J372">
        <v>4</v>
      </c>
    </row>
    <row r="373" spans="1:10" x14ac:dyDescent="0.35">
      <c r="A373" t="s">
        <v>476</v>
      </c>
      <c r="B373">
        <v>109</v>
      </c>
      <c r="C373">
        <v>34931</v>
      </c>
      <c r="D373" t="s">
        <v>676</v>
      </c>
      <c r="E373">
        <v>9.99</v>
      </c>
      <c r="F373">
        <v>5.7391666666666667</v>
      </c>
      <c r="G373">
        <v>46189</v>
      </c>
      <c r="H373" t="s">
        <v>310</v>
      </c>
      <c r="I373">
        <v>8.6869565217391305</v>
      </c>
      <c r="J373">
        <v>1</v>
      </c>
    </row>
    <row r="374" spans="1:10" x14ac:dyDescent="0.35">
      <c r="A374" t="s">
        <v>476</v>
      </c>
      <c r="B374">
        <v>109</v>
      </c>
      <c r="C374">
        <v>34931</v>
      </c>
      <c r="D374" t="s">
        <v>676</v>
      </c>
      <c r="E374">
        <v>9.99</v>
      </c>
      <c r="F374">
        <v>5.7391666666666667</v>
      </c>
      <c r="G374">
        <v>46190</v>
      </c>
      <c r="H374" t="s">
        <v>316</v>
      </c>
      <c r="I374">
        <v>17.373913043478261</v>
      </c>
      <c r="J374">
        <v>2</v>
      </c>
    </row>
    <row r="375" spans="1:10" x14ac:dyDescent="0.35">
      <c r="A375" t="s">
        <v>476</v>
      </c>
      <c r="B375">
        <v>109</v>
      </c>
      <c r="C375">
        <v>34931</v>
      </c>
      <c r="D375" t="s">
        <v>676</v>
      </c>
      <c r="E375">
        <v>9.99</v>
      </c>
      <c r="F375">
        <v>5.7391666666666667</v>
      </c>
      <c r="G375">
        <v>46191</v>
      </c>
      <c r="H375" t="s">
        <v>960</v>
      </c>
      <c r="I375">
        <v>34.747826086956522</v>
      </c>
      <c r="J375">
        <v>4</v>
      </c>
    </row>
    <row r="376" spans="1:10" x14ac:dyDescent="0.35">
      <c r="A376" t="s">
        <v>476</v>
      </c>
      <c r="B376">
        <v>109</v>
      </c>
      <c r="C376">
        <v>34932</v>
      </c>
      <c r="D376" t="s">
        <v>677</v>
      </c>
      <c r="E376">
        <v>9.99</v>
      </c>
      <c r="F376">
        <v>5.7391666666666667</v>
      </c>
      <c r="G376">
        <v>46188</v>
      </c>
      <c r="H376" t="s">
        <v>309</v>
      </c>
      <c r="I376">
        <v>8.6869565217391305</v>
      </c>
      <c r="J376">
        <v>1</v>
      </c>
    </row>
    <row r="377" spans="1:10" x14ac:dyDescent="0.35">
      <c r="A377" t="s">
        <v>476</v>
      </c>
      <c r="B377">
        <v>109</v>
      </c>
      <c r="C377">
        <v>34932</v>
      </c>
      <c r="D377" t="s">
        <v>677</v>
      </c>
      <c r="E377">
        <v>9.99</v>
      </c>
      <c r="F377">
        <v>5.7391666666666667</v>
      </c>
      <c r="G377">
        <v>46189</v>
      </c>
      <c r="H377" t="s">
        <v>310</v>
      </c>
      <c r="I377">
        <v>26.060869565217391</v>
      </c>
      <c r="J377">
        <v>3</v>
      </c>
    </row>
    <row r="378" spans="1:10" x14ac:dyDescent="0.35">
      <c r="A378" t="s">
        <v>476</v>
      </c>
      <c r="B378">
        <v>109</v>
      </c>
      <c r="C378">
        <v>34932</v>
      </c>
      <c r="D378" t="s">
        <v>677</v>
      </c>
      <c r="E378">
        <v>9.99</v>
      </c>
      <c r="F378">
        <v>5.7391666666666667</v>
      </c>
      <c r="G378">
        <v>46190</v>
      </c>
      <c r="H378" t="s">
        <v>316</v>
      </c>
      <c r="I378">
        <v>8.6869565217391305</v>
      </c>
      <c r="J378">
        <v>1</v>
      </c>
    </row>
    <row r="379" spans="1:10" x14ac:dyDescent="0.35">
      <c r="A379" t="s">
        <v>476</v>
      </c>
      <c r="B379">
        <v>109</v>
      </c>
      <c r="C379">
        <v>34932</v>
      </c>
      <c r="D379" t="s">
        <v>677</v>
      </c>
      <c r="E379">
        <v>9.99</v>
      </c>
      <c r="F379">
        <v>5.7391666666666667</v>
      </c>
      <c r="G379">
        <v>46191</v>
      </c>
      <c r="H379" t="s">
        <v>960</v>
      </c>
      <c r="I379">
        <v>17.373913043478261</v>
      </c>
      <c r="J379">
        <v>2</v>
      </c>
    </row>
    <row r="380" spans="1:10" x14ac:dyDescent="0.35">
      <c r="A380" t="s">
        <v>476</v>
      </c>
      <c r="B380">
        <v>109</v>
      </c>
      <c r="C380">
        <v>34934</v>
      </c>
      <c r="D380" t="s">
        <v>678</v>
      </c>
      <c r="E380">
        <v>9.99</v>
      </c>
      <c r="F380">
        <v>5.7391666666666667</v>
      </c>
      <c r="G380">
        <v>46188</v>
      </c>
      <c r="H380" t="s">
        <v>309</v>
      </c>
      <c r="I380">
        <v>34.747826086956522</v>
      </c>
      <c r="J380">
        <v>4</v>
      </c>
    </row>
    <row r="381" spans="1:10" x14ac:dyDescent="0.35">
      <c r="A381" t="s">
        <v>476</v>
      </c>
      <c r="B381">
        <v>109</v>
      </c>
      <c r="C381">
        <v>34934</v>
      </c>
      <c r="D381" t="s">
        <v>678</v>
      </c>
      <c r="E381">
        <v>9.99</v>
      </c>
      <c r="F381">
        <v>5.7391666666666667</v>
      </c>
      <c r="G381">
        <v>46189</v>
      </c>
      <c r="H381" t="s">
        <v>310</v>
      </c>
      <c r="I381">
        <v>52.121739130434783</v>
      </c>
      <c r="J381">
        <v>6</v>
      </c>
    </row>
    <row r="382" spans="1:10" x14ac:dyDescent="0.35">
      <c r="A382" t="s">
        <v>476</v>
      </c>
      <c r="B382">
        <v>109</v>
      </c>
      <c r="C382">
        <v>34934</v>
      </c>
      <c r="D382" t="s">
        <v>678</v>
      </c>
      <c r="E382">
        <v>9.99</v>
      </c>
      <c r="F382">
        <v>5.7391666666666667</v>
      </c>
      <c r="G382">
        <v>46190</v>
      </c>
      <c r="H382" t="s">
        <v>316</v>
      </c>
      <c r="I382">
        <v>17.373913043478261</v>
      </c>
      <c r="J382">
        <v>2</v>
      </c>
    </row>
    <row r="383" spans="1:10" x14ac:dyDescent="0.35">
      <c r="A383" t="s">
        <v>476</v>
      </c>
      <c r="B383">
        <v>109</v>
      </c>
      <c r="C383">
        <v>34934</v>
      </c>
      <c r="D383" t="s">
        <v>678</v>
      </c>
      <c r="E383">
        <v>9.99</v>
      </c>
      <c r="F383">
        <v>5.7391666666666667</v>
      </c>
      <c r="G383">
        <v>46191</v>
      </c>
      <c r="H383" t="s">
        <v>960</v>
      </c>
      <c r="I383">
        <v>26.060869565217391</v>
      </c>
      <c r="J383">
        <v>3</v>
      </c>
    </row>
    <row r="384" spans="1:10" x14ac:dyDescent="0.35">
      <c r="A384" t="s">
        <v>476</v>
      </c>
      <c r="B384">
        <v>109</v>
      </c>
      <c r="C384">
        <v>34935</v>
      </c>
      <c r="D384" t="s">
        <v>679</v>
      </c>
      <c r="E384">
        <v>9.99</v>
      </c>
      <c r="F384">
        <v>5.7391666666666667</v>
      </c>
      <c r="G384">
        <v>46188</v>
      </c>
      <c r="H384" t="s">
        <v>309</v>
      </c>
      <c r="I384">
        <v>17.373913043478261</v>
      </c>
      <c r="J384">
        <v>2</v>
      </c>
    </row>
    <row r="385" spans="1:10" x14ac:dyDescent="0.35">
      <c r="A385" t="s">
        <v>476</v>
      </c>
      <c r="B385">
        <v>109</v>
      </c>
      <c r="C385">
        <v>34935</v>
      </c>
      <c r="D385" t="s">
        <v>679</v>
      </c>
      <c r="E385">
        <v>9.99</v>
      </c>
      <c r="F385">
        <v>5.7391666666666667</v>
      </c>
      <c r="G385">
        <v>46189</v>
      </c>
      <c r="H385" t="s">
        <v>310</v>
      </c>
      <c r="I385">
        <v>8.6869565217391305</v>
      </c>
      <c r="J385">
        <v>1</v>
      </c>
    </row>
    <row r="386" spans="1:10" x14ac:dyDescent="0.35">
      <c r="A386" t="s">
        <v>476</v>
      </c>
      <c r="B386">
        <v>109</v>
      </c>
      <c r="C386">
        <v>34935</v>
      </c>
      <c r="D386" t="s">
        <v>679</v>
      </c>
      <c r="E386">
        <v>9.99</v>
      </c>
      <c r="F386">
        <v>5.7391666666666667</v>
      </c>
      <c r="G386">
        <v>46190</v>
      </c>
      <c r="H386" t="s">
        <v>316</v>
      </c>
      <c r="I386">
        <v>17.373913043478261</v>
      </c>
      <c r="J386">
        <v>2</v>
      </c>
    </row>
    <row r="387" spans="1:10" x14ac:dyDescent="0.35">
      <c r="A387" t="s">
        <v>476</v>
      </c>
      <c r="B387">
        <v>109</v>
      </c>
      <c r="C387">
        <v>34935</v>
      </c>
      <c r="D387" t="s">
        <v>679</v>
      </c>
      <c r="E387">
        <v>9.99</v>
      </c>
      <c r="F387">
        <v>5.7391666666666667</v>
      </c>
      <c r="G387">
        <v>46191</v>
      </c>
      <c r="H387" t="s">
        <v>960</v>
      </c>
      <c r="I387">
        <v>26.060869565217391</v>
      </c>
      <c r="J387">
        <v>3</v>
      </c>
    </row>
    <row r="388" spans="1:10" x14ac:dyDescent="0.35">
      <c r="A388" t="s">
        <v>680</v>
      </c>
      <c r="B388">
        <v>108</v>
      </c>
      <c r="C388">
        <v>35048</v>
      </c>
      <c r="D388" t="s">
        <v>685</v>
      </c>
      <c r="E388">
        <v>85.99</v>
      </c>
      <c r="F388">
        <v>45.3</v>
      </c>
      <c r="G388">
        <v>46188</v>
      </c>
      <c r="H388" t="s">
        <v>309</v>
      </c>
      <c r="I388">
        <v>74.77391304347826</v>
      </c>
      <c r="J388">
        <v>1</v>
      </c>
    </row>
    <row r="389" spans="1:10" x14ac:dyDescent="0.35">
      <c r="A389" t="s">
        <v>680</v>
      </c>
      <c r="B389">
        <v>108</v>
      </c>
      <c r="C389">
        <v>38809</v>
      </c>
      <c r="D389" t="s">
        <v>691</v>
      </c>
      <c r="E389">
        <v>85.99</v>
      </c>
      <c r="F389">
        <v>45.3</v>
      </c>
      <c r="G389">
        <v>46188</v>
      </c>
      <c r="H389" t="s">
        <v>309</v>
      </c>
      <c r="I389">
        <v>74.77391304347826</v>
      </c>
      <c r="J389">
        <v>1</v>
      </c>
    </row>
    <row r="390" spans="1:10" x14ac:dyDescent="0.35">
      <c r="A390" t="s">
        <v>14</v>
      </c>
      <c r="B390">
        <v>102</v>
      </c>
      <c r="C390">
        <v>38977</v>
      </c>
      <c r="D390" t="s">
        <v>95</v>
      </c>
      <c r="E390">
        <v>18.989999999999998</v>
      </c>
      <c r="F390">
        <v>9.6999999999999993</v>
      </c>
      <c r="G390">
        <v>46188</v>
      </c>
      <c r="H390" t="s">
        <v>309</v>
      </c>
      <c r="I390">
        <v>132.10434782608695</v>
      </c>
      <c r="J390">
        <v>8</v>
      </c>
    </row>
    <row r="391" spans="1:10" x14ac:dyDescent="0.35">
      <c r="A391" t="s">
        <v>14</v>
      </c>
      <c r="B391">
        <v>102</v>
      </c>
      <c r="C391">
        <v>38977</v>
      </c>
      <c r="D391" t="s">
        <v>95</v>
      </c>
      <c r="E391">
        <v>18.989999999999998</v>
      </c>
      <c r="F391">
        <v>9.6999999999999993</v>
      </c>
      <c r="G391">
        <v>46189</v>
      </c>
      <c r="H391" t="s">
        <v>310</v>
      </c>
      <c r="I391">
        <v>132.10434782608695</v>
      </c>
      <c r="J391">
        <v>8</v>
      </c>
    </row>
    <row r="392" spans="1:10" x14ac:dyDescent="0.35">
      <c r="A392" t="s">
        <v>14</v>
      </c>
      <c r="B392">
        <v>102</v>
      </c>
      <c r="C392">
        <v>38977</v>
      </c>
      <c r="D392" t="s">
        <v>95</v>
      </c>
      <c r="E392">
        <v>18.989999999999998</v>
      </c>
      <c r="F392">
        <v>9.6999999999999993</v>
      </c>
      <c r="G392">
        <v>46190</v>
      </c>
      <c r="H392" t="s">
        <v>316</v>
      </c>
      <c r="I392">
        <v>132.10434782608695</v>
      </c>
      <c r="J392">
        <v>8</v>
      </c>
    </row>
    <row r="393" spans="1:10" x14ac:dyDescent="0.35">
      <c r="A393" t="s">
        <v>14</v>
      </c>
      <c r="B393">
        <v>102</v>
      </c>
      <c r="C393">
        <v>38977</v>
      </c>
      <c r="D393" t="s">
        <v>95</v>
      </c>
      <c r="E393">
        <v>18.989999999999998</v>
      </c>
      <c r="F393">
        <v>9.6999999999999993</v>
      </c>
      <c r="G393">
        <v>46191</v>
      </c>
      <c r="H393" t="s">
        <v>960</v>
      </c>
      <c r="I393">
        <v>115.5913043478261</v>
      </c>
      <c r="J393">
        <v>7</v>
      </c>
    </row>
    <row r="394" spans="1:10" x14ac:dyDescent="0.35">
      <c r="A394" t="s">
        <v>14</v>
      </c>
      <c r="B394">
        <v>102</v>
      </c>
      <c r="C394">
        <v>39422</v>
      </c>
      <c r="D394" t="s">
        <v>120</v>
      </c>
      <c r="E394">
        <v>15.99</v>
      </c>
      <c r="F394">
        <v>8.3000000000000007</v>
      </c>
      <c r="G394">
        <v>46188</v>
      </c>
      <c r="H394" t="s">
        <v>309</v>
      </c>
      <c r="I394">
        <v>13.904347826086957</v>
      </c>
      <c r="J394">
        <v>1</v>
      </c>
    </row>
    <row r="395" spans="1:10" x14ac:dyDescent="0.35">
      <c r="A395" t="s">
        <v>14</v>
      </c>
      <c r="B395">
        <v>102</v>
      </c>
      <c r="C395">
        <v>39422</v>
      </c>
      <c r="D395" t="s">
        <v>120</v>
      </c>
      <c r="E395">
        <v>15.99</v>
      </c>
      <c r="F395">
        <v>8.3000000000000007</v>
      </c>
      <c r="G395">
        <v>46189</v>
      </c>
      <c r="H395" t="s">
        <v>310</v>
      </c>
      <c r="I395">
        <v>13.904347826086957</v>
      </c>
      <c r="J395">
        <v>1</v>
      </c>
    </row>
    <row r="396" spans="1:10" x14ac:dyDescent="0.35">
      <c r="A396" t="s">
        <v>14</v>
      </c>
      <c r="B396">
        <v>118</v>
      </c>
      <c r="C396">
        <v>40305</v>
      </c>
      <c r="D396" t="s">
        <v>257</v>
      </c>
      <c r="E396">
        <v>9.99</v>
      </c>
      <c r="F396">
        <v>4.53</v>
      </c>
      <c r="G396">
        <v>46188</v>
      </c>
      <c r="H396" t="s">
        <v>309</v>
      </c>
      <c r="I396">
        <v>17.373913043478261</v>
      </c>
      <c r="J396">
        <v>2</v>
      </c>
    </row>
    <row r="397" spans="1:10" x14ac:dyDescent="0.35">
      <c r="A397" t="s">
        <v>14</v>
      </c>
      <c r="B397">
        <v>118</v>
      </c>
      <c r="C397">
        <v>40305</v>
      </c>
      <c r="D397" t="s">
        <v>257</v>
      </c>
      <c r="E397">
        <v>9.99</v>
      </c>
      <c r="F397">
        <v>4.53</v>
      </c>
      <c r="G397">
        <v>46189</v>
      </c>
      <c r="H397" t="s">
        <v>310</v>
      </c>
      <c r="I397">
        <v>86.869565217391312</v>
      </c>
      <c r="J397">
        <v>10</v>
      </c>
    </row>
    <row r="398" spans="1:10" x14ac:dyDescent="0.35">
      <c r="A398" t="s">
        <v>14</v>
      </c>
      <c r="B398">
        <v>118</v>
      </c>
      <c r="C398">
        <v>40305</v>
      </c>
      <c r="D398" t="s">
        <v>257</v>
      </c>
      <c r="E398">
        <v>9.99</v>
      </c>
      <c r="F398">
        <v>4.53</v>
      </c>
      <c r="G398">
        <v>46190</v>
      </c>
      <c r="H398" t="s">
        <v>316</v>
      </c>
      <c r="I398">
        <v>8.6869565217391305</v>
      </c>
      <c r="J398">
        <v>1</v>
      </c>
    </row>
    <row r="399" spans="1:10" x14ac:dyDescent="0.35">
      <c r="A399" t="s">
        <v>14</v>
      </c>
      <c r="B399">
        <v>117</v>
      </c>
      <c r="C399">
        <v>41620</v>
      </c>
      <c r="D399" t="s">
        <v>255</v>
      </c>
      <c r="E399">
        <v>15.99</v>
      </c>
      <c r="F399">
        <v>8.11</v>
      </c>
      <c r="G399">
        <v>46190</v>
      </c>
      <c r="H399" t="s">
        <v>316</v>
      </c>
      <c r="I399">
        <v>13.904347826086957</v>
      </c>
      <c r="J399">
        <v>1</v>
      </c>
    </row>
    <row r="400" spans="1:10" x14ac:dyDescent="0.35">
      <c r="A400" t="s">
        <v>14</v>
      </c>
      <c r="B400">
        <v>101</v>
      </c>
      <c r="C400">
        <v>42401</v>
      </c>
      <c r="D400" t="s">
        <v>38</v>
      </c>
      <c r="E400">
        <v>14.99</v>
      </c>
      <c r="F400">
        <v>6.62</v>
      </c>
      <c r="G400">
        <v>46189</v>
      </c>
      <c r="H400" t="s">
        <v>310</v>
      </c>
      <c r="I400">
        <v>130.34782608695653</v>
      </c>
      <c r="J400">
        <v>10</v>
      </c>
    </row>
    <row r="401" spans="1:10" x14ac:dyDescent="0.35">
      <c r="A401" t="s">
        <v>14</v>
      </c>
      <c r="B401">
        <v>101</v>
      </c>
      <c r="C401">
        <v>42401</v>
      </c>
      <c r="D401" t="s">
        <v>38</v>
      </c>
      <c r="E401">
        <v>14.99</v>
      </c>
      <c r="F401">
        <v>6.62</v>
      </c>
      <c r="G401">
        <v>46190</v>
      </c>
      <c r="H401" t="s">
        <v>316</v>
      </c>
      <c r="I401">
        <v>37.799999999999997</v>
      </c>
      <c r="J401">
        <v>3</v>
      </c>
    </row>
    <row r="402" spans="1:10" x14ac:dyDescent="0.35">
      <c r="A402" t="s">
        <v>14</v>
      </c>
      <c r="B402">
        <v>101</v>
      </c>
      <c r="C402">
        <v>42401</v>
      </c>
      <c r="D402" t="s">
        <v>38</v>
      </c>
      <c r="E402">
        <v>14.99</v>
      </c>
      <c r="F402">
        <v>6.62</v>
      </c>
      <c r="G402">
        <v>46191</v>
      </c>
      <c r="H402" t="s">
        <v>960</v>
      </c>
      <c r="I402">
        <v>65.173913043478265</v>
      </c>
      <c r="J402">
        <v>5</v>
      </c>
    </row>
    <row r="403" spans="1:10" x14ac:dyDescent="0.35">
      <c r="A403" t="s">
        <v>724</v>
      </c>
      <c r="B403">
        <v>112</v>
      </c>
      <c r="C403">
        <v>42767</v>
      </c>
      <c r="D403" t="s">
        <v>734</v>
      </c>
      <c r="E403">
        <v>79.989999999999995</v>
      </c>
      <c r="F403">
        <v>49.382599999999996</v>
      </c>
      <c r="G403">
        <v>46190</v>
      </c>
      <c r="H403" t="s">
        <v>316</v>
      </c>
      <c r="I403">
        <v>139.11304347826086</v>
      </c>
      <c r="J403">
        <v>2</v>
      </c>
    </row>
    <row r="404" spans="1:10" x14ac:dyDescent="0.35">
      <c r="A404" t="s">
        <v>724</v>
      </c>
      <c r="B404">
        <v>112</v>
      </c>
      <c r="C404">
        <v>42767</v>
      </c>
      <c r="D404" t="s">
        <v>734</v>
      </c>
      <c r="E404">
        <v>79.989999999999995</v>
      </c>
      <c r="F404">
        <v>49.382599999999996</v>
      </c>
      <c r="G404">
        <v>46191</v>
      </c>
      <c r="H404" t="s">
        <v>960</v>
      </c>
      <c r="I404">
        <v>208.66956521739129</v>
      </c>
      <c r="J404">
        <v>3</v>
      </c>
    </row>
    <row r="405" spans="1:10" x14ac:dyDescent="0.35">
      <c r="A405" t="s">
        <v>724</v>
      </c>
      <c r="B405">
        <v>112</v>
      </c>
      <c r="C405">
        <v>42768</v>
      </c>
      <c r="D405" t="s">
        <v>735</v>
      </c>
      <c r="E405">
        <v>169.99</v>
      </c>
      <c r="F405">
        <v>104.9478</v>
      </c>
      <c r="G405">
        <v>46190</v>
      </c>
      <c r="H405" t="s">
        <v>316</v>
      </c>
      <c r="I405">
        <v>147.81739130434784</v>
      </c>
      <c r="J405">
        <v>1</v>
      </c>
    </row>
    <row r="406" spans="1:10" x14ac:dyDescent="0.35">
      <c r="A406" t="s">
        <v>724</v>
      </c>
      <c r="B406">
        <v>112</v>
      </c>
      <c r="C406">
        <v>42769</v>
      </c>
      <c r="D406" t="s">
        <v>736</v>
      </c>
      <c r="E406">
        <v>67.989999999999995</v>
      </c>
      <c r="F406">
        <v>41.9739</v>
      </c>
      <c r="G406">
        <v>46188</v>
      </c>
      <c r="H406" t="s">
        <v>309</v>
      </c>
      <c r="I406">
        <v>59.121739130434776</v>
      </c>
      <c r="J406">
        <v>1</v>
      </c>
    </row>
    <row r="407" spans="1:10" x14ac:dyDescent="0.35">
      <c r="A407" t="s">
        <v>371</v>
      </c>
      <c r="B407">
        <v>102</v>
      </c>
      <c r="C407">
        <v>42797</v>
      </c>
      <c r="D407" t="s">
        <v>99</v>
      </c>
      <c r="E407">
        <v>11.99</v>
      </c>
      <c r="F407">
        <v>4.968</v>
      </c>
      <c r="G407">
        <v>46188</v>
      </c>
      <c r="H407" t="s">
        <v>309</v>
      </c>
      <c r="I407">
        <v>125.11304347826086</v>
      </c>
      <c r="J407">
        <v>12</v>
      </c>
    </row>
    <row r="408" spans="1:10" x14ac:dyDescent="0.35">
      <c r="A408" t="s">
        <v>371</v>
      </c>
      <c r="B408">
        <v>102</v>
      </c>
      <c r="C408">
        <v>42797</v>
      </c>
      <c r="D408" t="s">
        <v>99</v>
      </c>
      <c r="E408">
        <v>11.99</v>
      </c>
      <c r="F408">
        <v>4.968</v>
      </c>
      <c r="G408">
        <v>46189</v>
      </c>
      <c r="H408" t="s">
        <v>310</v>
      </c>
      <c r="I408">
        <v>72.982608695652175</v>
      </c>
      <c r="J408">
        <v>7</v>
      </c>
    </row>
    <row r="409" spans="1:10" x14ac:dyDescent="0.35">
      <c r="A409" t="s">
        <v>371</v>
      </c>
      <c r="B409">
        <v>102</v>
      </c>
      <c r="C409">
        <v>42797</v>
      </c>
      <c r="D409" t="s">
        <v>99</v>
      </c>
      <c r="E409">
        <v>11.99</v>
      </c>
      <c r="F409">
        <v>4.968</v>
      </c>
      <c r="G409">
        <v>46190</v>
      </c>
      <c r="H409" t="s">
        <v>316</v>
      </c>
      <c r="I409">
        <v>83.408695652173918</v>
      </c>
      <c r="J409">
        <v>8</v>
      </c>
    </row>
    <row r="410" spans="1:10" x14ac:dyDescent="0.35">
      <c r="A410" t="s">
        <v>371</v>
      </c>
      <c r="B410">
        <v>102</v>
      </c>
      <c r="C410">
        <v>42797</v>
      </c>
      <c r="D410" t="s">
        <v>99</v>
      </c>
      <c r="E410">
        <v>11.99</v>
      </c>
      <c r="F410">
        <v>4.968</v>
      </c>
      <c r="G410">
        <v>46191</v>
      </c>
      <c r="H410" t="s">
        <v>960</v>
      </c>
      <c r="I410">
        <v>104.26086956521739</v>
      </c>
      <c r="J410">
        <v>10</v>
      </c>
    </row>
    <row r="411" spans="1:10" x14ac:dyDescent="0.35">
      <c r="A411" t="s">
        <v>724</v>
      </c>
      <c r="B411">
        <v>112</v>
      </c>
      <c r="C411">
        <v>42871</v>
      </c>
      <c r="D411" t="s">
        <v>748</v>
      </c>
      <c r="E411">
        <v>96.99</v>
      </c>
      <c r="F411">
        <v>59.8782</v>
      </c>
      <c r="G411">
        <v>46190</v>
      </c>
      <c r="H411" t="s">
        <v>316</v>
      </c>
      <c r="I411">
        <v>168.67826086956521</v>
      </c>
      <c r="J411">
        <v>2</v>
      </c>
    </row>
    <row r="412" spans="1:10" x14ac:dyDescent="0.35">
      <c r="A412" t="s">
        <v>724</v>
      </c>
      <c r="B412">
        <v>112</v>
      </c>
      <c r="C412">
        <v>42871</v>
      </c>
      <c r="D412" t="s">
        <v>748</v>
      </c>
      <c r="E412">
        <v>96.99</v>
      </c>
      <c r="F412">
        <v>59.8782</v>
      </c>
      <c r="G412">
        <v>46191</v>
      </c>
      <c r="H412" t="s">
        <v>960</v>
      </c>
      <c r="I412">
        <v>84.339130434782604</v>
      </c>
      <c r="J412">
        <v>1</v>
      </c>
    </row>
    <row r="413" spans="1:10" x14ac:dyDescent="0.35">
      <c r="A413" t="s">
        <v>724</v>
      </c>
      <c r="B413">
        <v>112</v>
      </c>
      <c r="C413">
        <v>42873</v>
      </c>
      <c r="D413" t="s">
        <v>749</v>
      </c>
      <c r="E413">
        <v>44.99</v>
      </c>
      <c r="F413">
        <v>27.773900000000001</v>
      </c>
      <c r="G413">
        <v>46190</v>
      </c>
      <c r="H413" t="s">
        <v>316</v>
      </c>
      <c r="I413">
        <v>117.36521739130436</v>
      </c>
      <c r="J413">
        <v>3</v>
      </c>
    </row>
    <row r="414" spans="1:10" x14ac:dyDescent="0.35">
      <c r="A414" t="s">
        <v>724</v>
      </c>
      <c r="B414">
        <v>112</v>
      </c>
      <c r="C414">
        <v>42875</v>
      </c>
      <c r="D414" t="s">
        <v>750</v>
      </c>
      <c r="E414">
        <v>169.99</v>
      </c>
      <c r="F414">
        <v>104.9478</v>
      </c>
      <c r="G414">
        <v>46191</v>
      </c>
      <c r="H414" t="s">
        <v>960</v>
      </c>
      <c r="I414">
        <v>147.81739130434784</v>
      </c>
      <c r="J414">
        <v>1</v>
      </c>
    </row>
    <row r="415" spans="1:10" x14ac:dyDescent="0.35">
      <c r="A415" t="s">
        <v>724</v>
      </c>
      <c r="B415">
        <v>112</v>
      </c>
      <c r="C415">
        <v>42883</v>
      </c>
      <c r="D415" t="s">
        <v>751</v>
      </c>
      <c r="E415">
        <v>154.99</v>
      </c>
      <c r="F415">
        <v>95.686899999999994</v>
      </c>
      <c r="G415">
        <v>46190</v>
      </c>
      <c r="H415" t="s">
        <v>316</v>
      </c>
      <c r="I415">
        <v>943.41739130434792</v>
      </c>
      <c r="J415">
        <v>7</v>
      </c>
    </row>
    <row r="416" spans="1:10" x14ac:dyDescent="0.35">
      <c r="A416" t="s">
        <v>724</v>
      </c>
      <c r="B416">
        <v>112</v>
      </c>
      <c r="C416">
        <v>42899</v>
      </c>
      <c r="D416" t="s">
        <v>754</v>
      </c>
      <c r="E416">
        <v>61.99</v>
      </c>
      <c r="F416">
        <v>38.269500000000001</v>
      </c>
      <c r="G416">
        <v>46190</v>
      </c>
      <c r="H416" t="s">
        <v>316</v>
      </c>
      <c r="I416">
        <v>107.80869565217392</v>
      </c>
      <c r="J416">
        <v>2</v>
      </c>
    </row>
    <row r="417" spans="1:10" x14ac:dyDescent="0.35">
      <c r="A417" t="s">
        <v>724</v>
      </c>
      <c r="B417">
        <v>112</v>
      </c>
      <c r="C417">
        <v>42899</v>
      </c>
      <c r="D417" t="s">
        <v>754</v>
      </c>
      <c r="E417">
        <v>61.99</v>
      </c>
      <c r="F417">
        <v>38.269500000000001</v>
      </c>
      <c r="G417">
        <v>46191</v>
      </c>
      <c r="H417" t="s">
        <v>960</v>
      </c>
      <c r="I417">
        <v>53.904347826086962</v>
      </c>
      <c r="J417">
        <v>1</v>
      </c>
    </row>
    <row r="418" spans="1:10" x14ac:dyDescent="0.35">
      <c r="A418" t="s">
        <v>724</v>
      </c>
      <c r="B418">
        <v>112</v>
      </c>
      <c r="C418">
        <v>42901</v>
      </c>
      <c r="D418" t="s">
        <v>756</v>
      </c>
      <c r="E418">
        <v>67.989999999999995</v>
      </c>
      <c r="F418">
        <v>41.9739</v>
      </c>
      <c r="G418">
        <v>46190</v>
      </c>
      <c r="H418" t="s">
        <v>316</v>
      </c>
      <c r="I418">
        <v>354.73043478260871</v>
      </c>
      <c r="J418">
        <v>6</v>
      </c>
    </row>
    <row r="419" spans="1:10" x14ac:dyDescent="0.35">
      <c r="A419" t="s">
        <v>724</v>
      </c>
      <c r="B419">
        <v>112</v>
      </c>
      <c r="C419">
        <v>42906</v>
      </c>
      <c r="D419" t="s">
        <v>758</v>
      </c>
      <c r="E419">
        <v>65.989999999999995</v>
      </c>
      <c r="F419">
        <v>40.739100000000001</v>
      </c>
      <c r="G419">
        <v>46190</v>
      </c>
      <c r="H419" t="s">
        <v>316</v>
      </c>
      <c r="I419">
        <v>114.76521739130433</v>
      </c>
      <c r="J419">
        <v>2</v>
      </c>
    </row>
    <row r="420" spans="1:10" x14ac:dyDescent="0.35">
      <c r="A420" t="s">
        <v>724</v>
      </c>
      <c r="B420">
        <v>112</v>
      </c>
      <c r="C420">
        <v>42909</v>
      </c>
      <c r="D420" t="s">
        <v>761</v>
      </c>
      <c r="E420">
        <v>64.989999999999995</v>
      </c>
      <c r="F420">
        <v>40.121699999999997</v>
      </c>
      <c r="G420">
        <v>46191</v>
      </c>
      <c r="H420" t="s">
        <v>960</v>
      </c>
      <c r="I420">
        <v>56.513043478260869</v>
      </c>
      <c r="J420">
        <v>1</v>
      </c>
    </row>
    <row r="421" spans="1:10" x14ac:dyDescent="0.35">
      <c r="A421" t="s">
        <v>724</v>
      </c>
      <c r="B421">
        <v>112</v>
      </c>
      <c r="C421">
        <v>42912</v>
      </c>
      <c r="D421" t="s">
        <v>764</v>
      </c>
      <c r="E421">
        <v>64.989999999999995</v>
      </c>
      <c r="F421">
        <v>40.121699999999997</v>
      </c>
      <c r="G421">
        <v>46190</v>
      </c>
      <c r="H421" t="s">
        <v>316</v>
      </c>
      <c r="I421">
        <v>56.513043478260869</v>
      </c>
      <c r="J421">
        <v>1</v>
      </c>
    </row>
    <row r="422" spans="1:10" x14ac:dyDescent="0.35">
      <c r="A422" t="s">
        <v>724</v>
      </c>
      <c r="B422">
        <v>112</v>
      </c>
      <c r="C422">
        <v>42920</v>
      </c>
      <c r="D422" t="s">
        <v>769</v>
      </c>
      <c r="E422">
        <v>106.99</v>
      </c>
      <c r="F422">
        <v>66.052099999999996</v>
      </c>
      <c r="G422">
        <v>46189</v>
      </c>
      <c r="H422" t="s">
        <v>310</v>
      </c>
      <c r="I422">
        <v>93.03478260869565</v>
      </c>
      <c r="J422">
        <v>1</v>
      </c>
    </row>
    <row r="423" spans="1:10" x14ac:dyDescent="0.35">
      <c r="A423" t="s">
        <v>724</v>
      </c>
      <c r="B423">
        <v>112</v>
      </c>
      <c r="C423">
        <v>42922</v>
      </c>
      <c r="D423" t="s">
        <v>279</v>
      </c>
      <c r="E423">
        <v>134.99</v>
      </c>
      <c r="F423">
        <v>83.339100000000002</v>
      </c>
      <c r="G423">
        <v>46189</v>
      </c>
      <c r="H423" t="s">
        <v>310</v>
      </c>
      <c r="I423">
        <v>117.38260869565218</v>
      </c>
      <c r="J423">
        <v>1</v>
      </c>
    </row>
    <row r="424" spans="1:10" x14ac:dyDescent="0.35">
      <c r="A424" t="s">
        <v>724</v>
      </c>
      <c r="B424">
        <v>112</v>
      </c>
      <c r="C424">
        <v>42924</v>
      </c>
      <c r="D424" t="s">
        <v>772</v>
      </c>
      <c r="E424">
        <v>103.99</v>
      </c>
      <c r="F424">
        <v>64.2</v>
      </c>
      <c r="G424">
        <v>46190</v>
      </c>
      <c r="H424" t="s">
        <v>316</v>
      </c>
      <c r="I424">
        <v>180.85217391304346</v>
      </c>
      <c r="J424">
        <v>2</v>
      </c>
    </row>
    <row r="425" spans="1:10" x14ac:dyDescent="0.35">
      <c r="A425" t="s">
        <v>724</v>
      </c>
      <c r="B425">
        <v>112</v>
      </c>
      <c r="C425">
        <v>42924</v>
      </c>
      <c r="D425" t="s">
        <v>772</v>
      </c>
      <c r="E425">
        <v>103.99</v>
      </c>
      <c r="F425">
        <v>64.2</v>
      </c>
      <c r="G425">
        <v>46191</v>
      </c>
      <c r="H425" t="s">
        <v>960</v>
      </c>
      <c r="I425">
        <v>90.426086956521729</v>
      </c>
      <c r="J425">
        <v>1</v>
      </c>
    </row>
    <row r="426" spans="1:10" x14ac:dyDescent="0.35">
      <c r="A426" t="s">
        <v>14</v>
      </c>
      <c r="B426">
        <v>102</v>
      </c>
      <c r="C426">
        <v>42990</v>
      </c>
      <c r="D426" t="s">
        <v>93</v>
      </c>
      <c r="E426">
        <v>19.989999999999998</v>
      </c>
      <c r="F426">
        <v>10.85</v>
      </c>
      <c r="G426">
        <v>46188</v>
      </c>
      <c r="H426" t="s">
        <v>309</v>
      </c>
      <c r="I426">
        <v>121.67826086956522</v>
      </c>
      <c r="J426">
        <v>7</v>
      </c>
    </row>
    <row r="427" spans="1:10" x14ac:dyDescent="0.35">
      <c r="A427" t="s">
        <v>14</v>
      </c>
      <c r="B427">
        <v>102</v>
      </c>
      <c r="C427">
        <v>42990</v>
      </c>
      <c r="D427" t="s">
        <v>93</v>
      </c>
      <c r="E427">
        <v>19.989999999999998</v>
      </c>
      <c r="F427">
        <v>10.85</v>
      </c>
      <c r="G427">
        <v>46189</v>
      </c>
      <c r="H427" t="s">
        <v>310</v>
      </c>
      <c r="I427">
        <v>173.82608695652175</v>
      </c>
      <c r="J427">
        <v>10</v>
      </c>
    </row>
    <row r="428" spans="1:10" x14ac:dyDescent="0.35">
      <c r="A428" t="s">
        <v>14</v>
      </c>
      <c r="B428">
        <v>102</v>
      </c>
      <c r="C428">
        <v>42990</v>
      </c>
      <c r="D428" t="s">
        <v>93</v>
      </c>
      <c r="E428">
        <v>19.989999999999998</v>
      </c>
      <c r="F428">
        <v>10.85</v>
      </c>
      <c r="G428">
        <v>46190</v>
      </c>
      <c r="H428" t="s">
        <v>316</v>
      </c>
      <c r="I428">
        <v>86.043478260869563</v>
      </c>
      <c r="J428">
        <v>5</v>
      </c>
    </row>
    <row r="429" spans="1:10" x14ac:dyDescent="0.35">
      <c r="A429" t="s">
        <v>14</v>
      </c>
      <c r="B429">
        <v>102</v>
      </c>
      <c r="C429">
        <v>42990</v>
      </c>
      <c r="D429" t="s">
        <v>93</v>
      </c>
      <c r="E429">
        <v>19.989999999999998</v>
      </c>
      <c r="F429">
        <v>10.85</v>
      </c>
      <c r="G429">
        <v>46191</v>
      </c>
      <c r="H429" t="s">
        <v>960</v>
      </c>
      <c r="I429">
        <v>191.2086956521739</v>
      </c>
      <c r="J429">
        <v>11</v>
      </c>
    </row>
    <row r="430" spans="1:10" x14ac:dyDescent="0.35">
      <c r="A430" t="s">
        <v>724</v>
      </c>
      <c r="B430">
        <v>112</v>
      </c>
      <c r="C430">
        <v>43028</v>
      </c>
      <c r="D430" t="s">
        <v>776</v>
      </c>
      <c r="E430">
        <v>59.99</v>
      </c>
      <c r="F430">
        <v>37.034700000000001</v>
      </c>
      <c r="G430">
        <v>46190</v>
      </c>
      <c r="H430" t="s">
        <v>316</v>
      </c>
      <c r="I430">
        <v>104.33043478260871</v>
      </c>
      <c r="J430">
        <v>2</v>
      </c>
    </row>
    <row r="431" spans="1:10" x14ac:dyDescent="0.35">
      <c r="A431" t="s">
        <v>724</v>
      </c>
      <c r="B431">
        <v>112</v>
      </c>
      <c r="C431">
        <v>43127</v>
      </c>
      <c r="D431" t="s">
        <v>780</v>
      </c>
      <c r="E431">
        <v>62.99</v>
      </c>
      <c r="F431">
        <v>38.886899999999997</v>
      </c>
      <c r="G431">
        <v>46190</v>
      </c>
      <c r="H431" t="s">
        <v>316</v>
      </c>
      <c r="I431">
        <v>54.77391304347826</v>
      </c>
      <c r="J431">
        <v>1</v>
      </c>
    </row>
    <row r="432" spans="1:10" x14ac:dyDescent="0.35">
      <c r="A432" t="s">
        <v>724</v>
      </c>
      <c r="B432">
        <v>112</v>
      </c>
      <c r="C432">
        <v>43127</v>
      </c>
      <c r="D432" t="s">
        <v>780</v>
      </c>
      <c r="E432">
        <v>62.99</v>
      </c>
      <c r="F432">
        <v>38.886899999999997</v>
      </c>
      <c r="G432">
        <v>46191</v>
      </c>
      <c r="H432" t="s">
        <v>960</v>
      </c>
      <c r="I432">
        <v>54.77391304347826</v>
      </c>
      <c r="J432">
        <v>1</v>
      </c>
    </row>
    <row r="433" spans="1:10" x14ac:dyDescent="0.35">
      <c r="A433" t="s">
        <v>14</v>
      </c>
      <c r="B433">
        <v>104</v>
      </c>
      <c r="C433">
        <v>43309</v>
      </c>
      <c r="D433" t="s">
        <v>238</v>
      </c>
      <c r="E433">
        <v>13.99</v>
      </c>
      <c r="F433">
        <v>6.67</v>
      </c>
      <c r="G433">
        <v>46188</v>
      </c>
      <c r="H433" t="s">
        <v>309</v>
      </c>
      <c r="I433">
        <v>48.660869565217389</v>
      </c>
      <c r="J433">
        <v>4</v>
      </c>
    </row>
    <row r="434" spans="1:10" x14ac:dyDescent="0.35">
      <c r="A434" t="s">
        <v>14</v>
      </c>
      <c r="B434">
        <v>104</v>
      </c>
      <c r="C434">
        <v>43309</v>
      </c>
      <c r="D434" t="s">
        <v>238</v>
      </c>
      <c r="E434">
        <v>13.99</v>
      </c>
      <c r="F434">
        <v>6.67</v>
      </c>
      <c r="G434">
        <v>46189</v>
      </c>
      <c r="H434" t="s">
        <v>310</v>
      </c>
      <c r="I434">
        <v>12.165217391304347</v>
      </c>
      <c r="J434">
        <v>1</v>
      </c>
    </row>
    <row r="435" spans="1:10" x14ac:dyDescent="0.35">
      <c r="A435" t="s">
        <v>14</v>
      </c>
      <c r="B435">
        <v>104</v>
      </c>
      <c r="C435">
        <v>43309</v>
      </c>
      <c r="D435" t="s">
        <v>238</v>
      </c>
      <c r="E435">
        <v>13.99</v>
      </c>
      <c r="F435">
        <v>6.67</v>
      </c>
      <c r="G435">
        <v>46190</v>
      </c>
      <c r="H435" t="s">
        <v>316</v>
      </c>
      <c r="I435">
        <v>24.330434782608695</v>
      </c>
      <c r="J435">
        <v>2</v>
      </c>
    </row>
    <row r="436" spans="1:10" x14ac:dyDescent="0.35">
      <c r="A436" t="s">
        <v>14</v>
      </c>
      <c r="B436">
        <v>104</v>
      </c>
      <c r="C436">
        <v>43309</v>
      </c>
      <c r="D436" t="s">
        <v>238</v>
      </c>
      <c r="E436">
        <v>13.99</v>
      </c>
      <c r="F436">
        <v>6.67</v>
      </c>
      <c r="G436">
        <v>46191</v>
      </c>
      <c r="H436" t="s">
        <v>960</v>
      </c>
      <c r="I436">
        <v>24.330434782608695</v>
      </c>
      <c r="J436">
        <v>2</v>
      </c>
    </row>
    <row r="437" spans="1:10" x14ac:dyDescent="0.35">
      <c r="A437" t="s">
        <v>724</v>
      </c>
      <c r="B437">
        <v>112</v>
      </c>
      <c r="C437">
        <v>43618</v>
      </c>
      <c r="D437" t="s">
        <v>785</v>
      </c>
      <c r="E437">
        <v>62.99</v>
      </c>
      <c r="F437">
        <v>38.886899999999997</v>
      </c>
      <c r="G437">
        <v>46191</v>
      </c>
      <c r="H437" t="s">
        <v>960</v>
      </c>
      <c r="I437">
        <v>109.54782608695652</v>
      </c>
      <c r="J437">
        <v>2</v>
      </c>
    </row>
    <row r="438" spans="1:10" x14ac:dyDescent="0.35">
      <c r="A438" t="s">
        <v>724</v>
      </c>
      <c r="B438">
        <v>112</v>
      </c>
      <c r="C438">
        <v>43829</v>
      </c>
      <c r="D438" t="s">
        <v>788</v>
      </c>
      <c r="E438">
        <v>119.99</v>
      </c>
      <c r="F438">
        <v>74.078199999999995</v>
      </c>
      <c r="G438">
        <v>46191</v>
      </c>
      <c r="H438" t="s">
        <v>960</v>
      </c>
      <c r="I438">
        <v>104.3391304347826</v>
      </c>
      <c r="J438">
        <v>1</v>
      </c>
    </row>
    <row r="439" spans="1:10" x14ac:dyDescent="0.35">
      <c r="A439" t="s">
        <v>724</v>
      </c>
      <c r="B439">
        <v>112</v>
      </c>
      <c r="C439">
        <v>45161</v>
      </c>
      <c r="D439" t="s">
        <v>792</v>
      </c>
      <c r="E439">
        <v>67.989999999999995</v>
      </c>
      <c r="F439">
        <v>41.9739</v>
      </c>
      <c r="G439">
        <v>46190</v>
      </c>
      <c r="H439" t="s">
        <v>316</v>
      </c>
      <c r="I439">
        <v>59.121739130434776</v>
      </c>
      <c r="J439">
        <v>1</v>
      </c>
    </row>
    <row r="440" spans="1:10" x14ac:dyDescent="0.35">
      <c r="A440" t="s">
        <v>317</v>
      </c>
      <c r="B440">
        <v>106</v>
      </c>
      <c r="C440">
        <v>46182</v>
      </c>
      <c r="D440" t="s">
        <v>797</v>
      </c>
      <c r="E440">
        <v>59.99</v>
      </c>
      <c r="F440">
        <v>36.994506250000001</v>
      </c>
      <c r="G440">
        <v>46188</v>
      </c>
      <c r="H440" t="s">
        <v>309</v>
      </c>
      <c r="I440">
        <v>52.165217391304353</v>
      </c>
      <c r="J440">
        <v>1</v>
      </c>
    </row>
    <row r="441" spans="1:10" x14ac:dyDescent="0.35">
      <c r="A441" t="s">
        <v>317</v>
      </c>
      <c r="B441">
        <v>106</v>
      </c>
      <c r="C441">
        <v>46182</v>
      </c>
      <c r="D441" t="s">
        <v>797</v>
      </c>
      <c r="E441">
        <v>59.99</v>
      </c>
      <c r="F441">
        <v>36.994506250000001</v>
      </c>
      <c r="G441">
        <v>46189</v>
      </c>
      <c r="H441" t="s">
        <v>310</v>
      </c>
      <c r="I441">
        <v>104.33043478260871</v>
      </c>
      <c r="J441">
        <v>2</v>
      </c>
    </row>
    <row r="442" spans="1:10" x14ac:dyDescent="0.35">
      <c r="A442" t="s">
        <v>317</v>
      </c>
      <c r="B442">
        <v>106</v>
      </c>
      <c r="C442">
        <v>46182</v>
      </c>
      <c r="D442" t="s">
        <v>797</v>
      </c>
      <c r="E442">
        <v>59.99</v>
      </c>
      <c r="F442">
        <v>36.994506250000001</v>
      </c>
      <c r="G442">
        <v>46190</v>
      </c>
      <c r="H442" t="s">
        <v>316</v>
      </c>
      <c r="I442">
        <v>101.72173913043478</v>
      </c>
      <c r="J442">
        <v>2</v>
      </c>
    </row>
    <row r="443" spans="1:10" x14ac:dyDescent="0.35">
      <c r="A443" t="s">
        <v>724</v>
      </c>
      <c r="B443">
        <v>112</v>
      </c>
      <c r="C443">
        <v>46388</v>
      </c>
      <c r="D443" t="s">
        <v>798</v>
      </c>
      <c r="E443">
        <v>75.989999999999995</v>
      </c>
      <c r="F443">
        <v>46.912999999999997</v>
      </c>
      <c r="G443">
        <v>46191</v>
      </c>
      <c r="H443" t="s">
        <v>960</v>
      </c>
      <c r="I443">
        <v>66.078260869565213</v>
      </c>
      <c r="J443">
        <v>1</v>
      </c>
    </row>
    <row r="444" spans="1:10" x14ac:dyDescent="0.35">
      <c r="A444" t="s">
        <v>35</v>
      </c>
      <c r="B444">
        <v>102</v>
      </c>
      <c r="C444">
        <v>48620</v>
      </c>
      <c r="D444" t="s">
        <v>153</v>
      </c>
      <c r="E444">
        <v>37.99</v>
      </c>
      <c r="F444">
        <v>19.462499999999999</v>
      </c>
      <c r="G444">
        <v>46189</v>
      </c>
      <c r="H444" t="s">
        <v>310</v>
      </c>
      <c r="I444">
        <v>33.03478260869565</v>
      </c>
      <c r="J444">
        <v>1</v>
      </c>
    </row>
    <row r="445" spans="1:10" x14ac:dyDescent="0.35">
      <c r="A445" t="s">
        <v>35</v>
      </c>
      <c r="B445">
        <v>102</v>
      </c>
      <c r="C445">
        <v>48620</v>
      </c>
      <c r="D445" t="s">
        <v>153</v>
      </c>
      <c r="E445">
        <v>37.99</v>
      </c>
      <c r="F445">
        <v>19.462499999999999</v>
      </c>
      <c r="G445">
        <v>46190</v>
      </c>
      <c r="H445" t="s">
        <v>316</v>
      </c>
      <c r="I445">
        <v>66.0695652173913</v>
      </c>
      <c r="J445">
        <v>2</v>
      </c>
    </row>
    <row r="446" spans="1:10" x14ac:dyDescent="0.35">
      <c r="A446" t="s">
        <v>804</v>
      </c>
      <c r="B446">
        <v>111</v>
      </c>
      <c r="C446">
        <v>49316</v>
      </c>
      <c r="D446" t="s">
        <v>811</v>
      </c>
      <c r="E446">
        <v>22.99</v>
      </c>
      <c r="F446">
        <v>15</v>
      </c>
      <c r="G446">
        <v>46189</v>
      </c>
      <c r="H446" t="s">
        <v>310</v>
      </c>
      <c r="I446">
        <v>19.991304347826087</v>
      </c>
      <c r="J446">
        <v>1</v>
      </c>
    </row>
    <row r="447" spans="1:10" x14ac:dyDescent="0.35">
      <c r="A447" t="s">
        <v>804</v>
      </c>
      <c r="B447">
        <v>111</v>
      </c>
      <c r="C447">
        <v>49316</v>
      </c>
      <c r="D447" t="s">
        <v>811</v>
      </c>
      <c r="E447">
        <v>22.99</v>
      </c>
      <c r="F447">
        <v>15</v>
      </c>
      <c r="G447">
        <v>46191</v>
      </c>
      <c r="H447" t="s">
        <v>960</v>
      </c>
      <c r="I447">
        <v>39.982608695652175</v>
      </c>
      <c r="J447">
        <v>2</v>
      </c>
    </row>
    <row r="448" spans="1:10" x14ac:dyDescent="0.35">
      <c r="A448" t="s">
        <v>317</v>
      </c>
      <c r="B448">
        <v>110</v>
      </c>
      <c r="C448">
        <v>49803</v>
      </c>
      <c r="D448" t="s">
        <v>817</v>
      </c>
      <c r="E448">
        <v>99.99</v>
      </c>
      <c r="F448">
        <v>62.066974999999999</v>
      </c>
      <c r="G448">
        <v>46190</v>
      </c>
      <c r="H448" t="s">
        <v>316</v>
      </c>
      <c r="I448">
        <v>86.947826086956525</v>
      </c>
      <c r="J448">
        <v>1</v>
      </c>
    </row>
    <row r="449" spans="1:10" x14ac:dyDescent="0.35">
      <c r="A449" t="s">
        <v>317</v>
      </c>
      <c r="B449">
        <v>110</v>
      </c>
      <c r="C449">
        <v>49803</v>
      </c>
      <c r="D449" t="s">
        <v>817</v>
      </c>
      <c r="E449">
        <v>99.99</v>
      </c>
      <c r="F449">
        <v>62.066974999999999</v>
      </c>
      <c r="G449">
        <v>46191</v>
      </c>
      <c r="H449" t="s">
        <v>960</v>
      </c>
      <c r="I449">
        <v>86.947826086956525</v>
      </c>
      <c r="J449">
        <v>1</v>
      </c>
    </row>
    <row r="450" spans="1:10" x14ac:dyDescent="0.35">
      <c r="A450" t="s">
        <v>317</v>
      </c>
      <c r="B450">
        <v>110</v>
      </c>
      <c r="C450">
        <v>49804</v>
      </c>
      <c r="D450" t="s">
        <v>818</v>
      </c>
      <c r="E450">
        <v>99.99</v>
      </c>
      <c r="F450">
        <v>60.204949999999997</v>
      </c>
      <c r="G450">
        <v>46190</v>
      </c>
      <c r="H450" t="s">
        <v>316</v>
      </c>
      <c r="I450">
        <v>86.947826086956525</v>
      </c>
      <c r="J450">
        <v>1</v>
      </c>
    </row>
    <row r="451" spans="1:10" x14ac:dyDescent="0.35">
      <c r="A451" t="s">
        <v>317</v>
      </c>
      <c r="B451">
        <v>110</v>
      </c>
      <c r="C451">
        <v>49805</v>
      </c>
      <c r="D451" t="s">
        <v>819</v>
      </c>
      <c r="E451">
        <v>86.99</v>
      </c>
      <c r="F451">
        <v>54.272500000000001</v>
      </c>
      <c r="G451">
        <v>46191</v>
      </c>
      <c r="H451" t="s">
        <v>960</v>
      </c>
      <c r="I451">
        <v>75.643478260869557</v>
      </c>
      <c r="J451">
        <v>1</v>
      </c>
    </row>
    <row r="452" spans="1:10" x14ac:dyDescent="0.35">
      <c r="A452" t="s">
        <v>317</v>
      </c>
      <c r="B452">
        <v>110</v>
      </c>
      <c r="C452">
        <v>49807</v>
      </c>
      <c r="D452" t="s">
        <v>820</v>
      </c>
      <c r="E452">
        <v>99.99</v>
      </c>
      <c r="F452">
        <v>62.066974999999999</v>
      </c>
      <c r="G452">
        <v>46189</v>
      </c>
      <c r="H452" t="s">
        <v>310</v>
      </c>
      <c r="I452">
        <v>173.89565217391305</v>
      </c>
      <c r="J452">
        <v>2</v>
      </c>
    </row>
    <row r="453" spans="1:10" x14ac:dyDescent="0.35">
      <c r="A453" t="s">
        <v>317</v>
      </c>
      <c r="B453">
        <v>110</v>
      </c>
      <c r="C453">
        <v>49809</v>
      </c>
      <c r="D453" t="s">
        <v>821</v>
      </c>
      <c r="E453">
        <v>99.99</v>
      </c>
      <c r="F453">
        <v>62.066974999999999</v>
      </c>
      <c r="G453">
        <v>46189</v>
      </c>
      <c r="H453" t="s">
        <v>310</v>
      </c>
      <c r="I453">
        <v>86.947826086956525</v>
      </c>
      <c r="J453">
        <v>1</v>
      </c>
    </row>
    <row r="454" spans="1:10" x14ac:dyDescent="0.35">
      <c r="A454" t="s">
        <v>317</v>
      </c>
      <c r="B454">
        <v>110</v>
      </c>
      <c r="C454">
        <v>49809</v>
      </c>
      <c r="D454" t="s">
        <v>821</v>
      </c>
      <c r="E454">
        <v>99.99</v>
      </c>
      <c r="F454">
        <v>62.066974999999999</v>
      </c>
      <c r="G454">
        <v>46190</v>
      </c>
      <c r="H454" t="s">
        <v>316</v>
      </c>
      <c r="I454">
        <v>86.947826086956525</v>
      </c>
      <c r="J454">
        <v>1</v>
      </c>
    </row>
    <row r="455" spans="1:10" x14ac:dyDescent="0.35">
      <c r="A455" t="s">
        <v>19</v>
      </c>
      <c r="B455">
        <v>101</v>
      </c>
      <c r="C455">
        <v>50037</v>
      </c>
      <c r="D455" t="s">
        <v>22</v>
      </c>
      <c r="E455">
        <v>25.99</v>
      </c>
      <c r="F455">
        <v>13.4</v>
      </c>
      <c r="G455">
        <v>46188</v>
      </c>
      <c r="H455" t="s">
        <v>309</v>
      </c>
      <c r="I455">
        <v>158.20000000000002</v>
      </c>
      <c r="J455">
        <v>7</v>
      </c>
    </row>
    <row r="456" spans="1:10" x14ac:dyDescent="0.35">
      <c r="A456" t="s">
        <v>19</v>
      </c>
      <c r="B456">
        <v>101</v>
      </c>
      <c r="C456">
        <v>50037</v>
      </c>
      <c r="D456" t="s">
        <v>22</v>
      </c>
      <c r="E456">
        <v>25.99</v>
      </c>
      <c r="F456">
        <v>13.4</v>
      </c>
      <c r="G456">
        <v>46189</v>
      </c>
      <c r="H456" t="s">
        <v>310</v>
      </c>
      <c r="I456">
        <v>158.20000000000002</v>
      </c>
      <c r="J456">
        <v>7</v>
      </c>
    </row>
    <row r="457" spans="1:10" x14ac:dyDescent="0.35">
      <c r="A457" t="s">
        <v>19</v>
      </c>
      <c r="B457">
        <v>101</v>
      </c>
      <c r="C457">
        <v>50037</v>
      </c>
      <c r="D457" t="s">
        <v>22</v>
      </c>
      <c r="E457">
        <v>25.99</v>
      </c>
      <c r="F457">
        <v>13.4</v>
      </c>
      <c r="G457">
        <v>46190</v>
      </c>
      <c r="H457" t="s">
        <v>316</v>
      </c>
      <c r="I457">
        <v>178.53913043478261</v>
      </c>
      <c r="J457">
        <v>8</v>
      </c>
    </row>
    <row r="458" spans="1:10" x14ac:dyDescent="0.35">
      <c r="A458" t="s">
        <v>19</v>
      </c>
      <c r="B458">
        <v>101</v>
      </c>
      <c r="C458">
        <v>50037</v>
      </c>
      <c r="D458" t="s">
        <v>22</v>
      </c>
      <c r="E458">
        <v>25.99</v>
      </c>
      <c r="F458">
        <v>13.4</v>
      </c>
      <c r="G458">
        <v>46191</v>
      </c>
      <c r="H458" t="s">
        <v>960</v>
      </c>
      <c r="I458">
        <v>112.99999999999999</v>
      </c>
      <c r="J458">
        <v>5</v>
      </c>
    </row>
    <row r="459" spans="1:10" x14ac:dyDescent="0.35">
      <c r="A459" t="s">
        <v>317</v>
      </c>
      <c r="B459">
        <v>107</v>
      </c>
      <c r="C459">
        <v>50651</v>
      </c>
      <c r="D459" t="s">
        <v>826</v>
      </c>
      <c r="E459">
        <v>79.989999999999995</v>
      </c>
      <c r="F459">
        <v>48.031500000000001</v>
      </c>
      <c r="G459">
        <v>46189</v>
      </c>
      <c r="H459" t="s">
        <v>310</v>
      </c>
      <c r="I459">
        <v>139.11304347826086</v>
      </c>
      <c r="J459">
        <v>2</v>
      </c>
    </row>
    <row r="460" spans="1:10" x14ac:dyDescent="0.35">
      <c r="A460" t="s">
        <v>317</v>
      </c>
      <c r="B460">
        <v>107</v>
      </c>
      <c r="C460">
        <v>50651</v>
      </c>
      <c r="D460" t="s">
        <v>826</v>
      </c>
      <c r="E460">
        <v>79.989999999999995</v>
      </c>
      <c r="F460">
        <v>48.031500000000001</v>
      </c>
      <c r="G460">
        <v>46190</v>
      </c>
      <c r="H460" t="s">
        <v>316</v>
      </c>
      <c r="I460">
        <v>69.556521739130432</v>
      </c>
      <c r="J460">
        <v>1</v>
      </c>
    </row>
    <row r="461" spans="1:10" x14ac:dyDescent="0.35">
      <c r="A461" t="s">
        <v>317</v>
      </c>
      <c r="B461">
        <v>109</v>
      </c>
      <c r="C461">
        <v>50652</v>
      </c>
      <c r="D461" t="s">
        <v>827</v>
      </c>
      <c r="E461">
        <v>79.989999999999995</v>
      </c>
      <c r="F461">
        <v>48.031500000000001</v>
      </c>
      <c r="G461">
        <v>46188</v>
      </c>
      <c r="H461" t="s">
        <v>309</v>
      </c>
      <c r="I461">
        <v>69.556521739130432</v>
      </c>
      <c r="J461">
        <v>1</v>
      </c>
    </row>
    <row r="462" spans="1:10" x14ac:dyDescent="0.35">
      <c r="A462" t="s">
        <v>317</v>
      </c>
      <c r="B462">
        <v>109</v>
      </c>
      <c r="C462">
        <v>50652</v>
      </c>
      <c r="D462" t="s">
        <v>827</v>
      </c>
      <c r="E462">
        <v>79.989999999999995</v>
      </c>
      <c r="F462">
        <v>48.031500000000001</v>
      </c>
      <c r="G462">
        <v>46191</v>
      </c>
      <c r="H462" t="s">
        <v>960</v>
      </c>
      <c r="I462">
        <v>69.556521739130432</v>
      </c>
      <c r="J462">
        <v>1</v>
      </c>
    </row>
    <row r="463" spans="1:10" x14ac:dyDescent="0.35">
      <c r="A463" t="s">
        <v>19</v>
      </c>
      <c r="B463">
        <v>101</v>
      </c>
      <c r="C463">
        <v>51680</v>
      </c>
      <c r="D463" t="s">
        <v>33</v>
      </c>
      <c r="E463">
        <v>21.99</v>
      </c>
      <c r="F463">
        <v>12.14</v>
      </c>
      <c r="G463">
        <v>46188</v>
      </c>
      <c r="H463" t="s">
        <v>309</v>
      </c>
      <c r="I463">
        <v>57.365217391304348</v>
      </c>
      <c r="J463">
        <v>3</v>
      </c>
    </row>
    <row r="464" spans="1:10" x14ac:dyDescent="0.35">
      <c r="A464" t="s">
        <v>19</v>
      </c>
      <c r="B464">
        <v>101</v>
      </c>
      <c r="C464">
        <v>51680</v>
      </c>
      <c r="D464" t="s">
        <v>33</v>
      </c>
      <c r="E464">
        <v>21.99</v>
      </c>
      <c r="F464">
        <v>12.14</v>
      </c>
      <c r="G464">
        <v>46189</v>
      </c>
      <c r="H464" t="s">
        <v>310</v>
      </c>
      <c r="I464">
        <v>19.121739130434783</v>
      </c>
      <c r="J464">
        <v>1</v>
      </c>
    </row>
    <row r="465" spans="1:10" x14ac:dyDescent="0.35">
      <c r="A465" t="s">
        <v>19</v>
      </c>
      <c r="B465">
        <v>101</v>
      </c>
      <c r="C465">
        <v>51680</v>
      </c>
      <c r="D465" t="s">
        <v>33</v>
      </c>
      <c r="E465">
        <v>21.99</v>
      </c>
      <c r="F465">
        <v>12.14</v>
      </c>
      <c r="G465">
        <v>46190</v>
      </c>
      <c r="H465" t="s">
        <v>316</v>
      </c>
      <c r="I465">
        <v>19.121739130434783</v>
      </c>
      <c r="J465">
        <v>1</v>
      </c>
    </row>
    <row r="466" spans="1:10" x14ac:dyDescent="0.35">
      <c r="A466" t="s">
        <v>14</v>
      </c>
      <c r="B466">
        <v>102</v>
      </c>
      <c r="C466">
        <v>52943</v>
      </c>
      <c r="D466" t="s">
        <v>90</v>
      </c>
      <c r="E466">
        <v>31.99</v>
      </c>
      <c r="F466">
        <v>15.17</v>
      </c>
      <c r="G466">
        <v>46188</v>
      </c>
      <c r="H466" t="s">
        <v>309</v>
      </c>
      <c r="I466">
        <v>194.04347826086956</v>
      </c>
      <c r="J466">
        <v>7</v>
      </c>
    </row>
    <row r="467" spans="1:10" x14ac:dyDescent="0.35">
      <c r="A467" t="s">
        <v>14</v>
      </c>
      <c r="B467">
        <v>102</v>
      </c>
      <c r="C467">
        <v>52943</v>
      </c>
      <c r="D467" t="s">
        <v>90</v>
      </c>
      <c r="E467">
        <v>31.99</v>
      </c>
      <c r="F467">
        <v>15.17</v>
      </c>
      <c r="G467">
        <v>46189</v>
      </c>
      <c r="H467" t="s">
        <v>310</v>
      </c>
      <c r="I467">
        <v>133.09565217391304</v>
      </c>
      <c r="J467">
        <v>5</v>
      </c>
    </row>
    <row r="468" spans="1:10" x14ac:dyDescent="0.35">
      <c r="A468" t="s">
        <v>14</v>
      </c>
      <c r="B468">
        <v>102</v>
      </c>
      <c r="C468">
        <v>52943</v>
      </c>
      <c r="D468" t="s">
        <v>90</v>
      </c>
      <c r="E468">
        <v>31.99</v>
      </c>
      <c r="F468">
        <v>15.17</v>
      </c>
      <c r="G468">
        <v>46190</v>
      </c>
      <c r="H468" t="s">
        <v>316</v>
      </c>
      <c r="I468">
        <v>359.66956521739132</v>
      </c>
      <c r="J468">
        <v>13</v>
      </c>
    </row>
    <row r="469" spans="1:10" x14ac:dyDescent="0.35">
      <c r="A469" t="s">
        <v>14</v>
      </c>
      <c r="B469">
        <v>102</v>
      </c>
      <c r="C469">
        <v>52943</v>
      </c>
      <c r="D469" t="s">
        <v>90</v>
      </c>
      <c r="E469">
        <v>31.99</v>
      </c>
      <c r="F469">
        <v>15.17</v>
      </c>
      <c r="G469">
        <v>46191</v>
      </c>
      <c r="H469" t="s">
        <v>960</v>
      </c>
      <c r="I469">
        <v>127.41739130434783</v>
      </c>
      <c r="J469">
        <v>5</v>
      </c>
    </row>
    <row r="470" spans="1:10" x14ac:dyDescent="0.35">
      <c r="A470" t="s">
        <v>14</v>
      </c>
      <c r="B470">
        <v>106</v>
      </c>
      <c r="C470">
        <v>54018</v>
      </c>
      <c r="D470" t="s">
        <v>243</v>
      </c>
      <c r="E470">
        <v>18.989999999999998</v>
      </c>
      <c r="F470">
        <v>9.83</v>
      </c>
      <c r="G470">
        <v>46188</v>
      </c>
      <c r="H470" t="s">
        <v>309</v>
      </c>
      <c r="I470">
        <v>132.10434782608695</v>
      </c>
      <c r="J470">
        <v>8</v>
      </c>
    </row>
    <row r="471" spans="1:10" x14ac:dyDescent="0.35">
      <c r="A471" t="s">
        <v>14</v>
      </c>
      <c r="B471">
        <v>106</v>
      </c>
      <c r="C471">
        <v>54018</v>
      </c>
      <c r="D471" t="s">
        <v>243</v>
      </c>
      <c r="E471">
        <v>18.989999999999998</v>
      </c>
      <c r="F471">
        <v>9.83</v>
      </c>
      <c r="G471">
        <v>46189</v>
      </c>
      <c r="H471" t="s">
        <v>310</v>
      </c>
      <c r="I471">
        <v>49.539130434782606</v>
      </c>
      <c r="J471">
        <v>3</v>
      </c>
    </row>
    <row r="472" spans="1:10" x14ac:dyDescent="0.35">
      <c r="A472" t="s">
        <v>14</v>
      </c>
      <c r="B472">
        <v>106</v>
      </c>
      <c r="C472">
        <v>54018</v>
      </c>
      <c r="D472" t="s">
        <v>243</v>
      </c>
      <c r="E472">
        <v>18.989999999999998</v>
      </c>
      <c r="F472">
        <v>9.83</v>
      </c>
      <c r="G472">
        <v>46190</v>
      </c>
      <c r="H472" t="s">
        <v>316</v>
      </c>
      <c r="I472">
        <v>99.078260869565213</v>
      </c>
      <c r="J472">
        <v>6</v>
      </c>
    </row>
    <row r="473" spans="1:10" x14ac:dyDescent="0.35">
      <c r="A473" t="s">
        <v>14</v>
      </c>
      <c r="B473">
        <v>106</v>
      </c>
      <c r="C473">
        <v>54018</v>
      </c>
      <c r="D473" t="s">
        <v>243</v>
      </c>
      <c r="E473">
        <v>18.989999999999998</v>
      </c>
      <c r="F473">
        <v>9.83</v>
      </c>
      <c r="G473">
        <v>46191</v>
      </c>
      <c r="H473" t="s">
        <v>960</v>
      </c>
      <c r="I473">
        <v>198.15652173913043</v>
      </c>
      <c r="J473">
        <v>12</v>
      </c>
    </row>
    <row r="474" spans="1:10" x14ac:dyDescent="0.35">
      <c r="A474" t="s">
        <v>107</v>
      </c>
      <c r="B474">
        <v>102</v>
      </c>
      <c r="C474">
        <v>55095</v>
      </c>
      <c r="D474" t="s">
        <v>116</v>
      </c>
      <c r="E474">
        <v>5</v>
      </c>
      <c r="F474">
        <v>1.38</v>
      </c>
      <c r="G474">
        <v>46189</v>
      </c>
      <c r="H474" t="s">
        <v>310</v>
      </c>
      <c r="I474">
        <v>30.434782608695652</v>
      </c>
      <c r="J474">
        <v>7</v>
      </c>
    </row>
    <row r="475" spans="1:10" x14ac:dyDescent="0.35">
      <c r="A475" t="s">
        <v>107</v>
      </c>
      <c r="B475">
        <v>102</v>
      </c>
      <c r="C475">
        <v>55095</v>
      </c>
      <c r="D475" t="s">
        <v>116</v>
      </c>
      <c r="E475">
        <v>5</v>
      </c>
      <c r="F475">
        <v>1.38</v>
      </c>
      <c r="G475">
        <v>46190</v>
      </c>
      <c r="H475" t="s">
        <v>316</v>
      </c>
      <c r="I475">
        <v>99.565217391304344</v>
      </c>
      <c r="J475">
        <v>23</v>
      </c>
    </row>
    <row r="476" spans="1:10" x14ac:dyDescent="0.35">
      <c r="A476" t="s">
        <v>107</v>
      </c>
      <c r="B476">
        <v>102</v>
      </c>
      <c r="C476">
        <v>55095</v>
      </c>
      <c r="D476" t="s">
        <v>116</v>
      </c>
      <c r="E476">
        <v>5</v>
      </c>
      <c r="F476">
        <v>1.38</v>
      </c>
      <c r="G476">
        <v>46191</v>
      </c>
      <c r="H476" t="s">
        <v>960</v>
      </c>
      <c r="I476">
        <v>17.391304347826086</v>
      </c>
      <c r="J476">
        <v>4</v>
      </c>
    </row>
    <row r="477" spans="1:10" x14ac:dyDescent="0.35">
      <c r="A477" t="s">
        <v>14</v>
      </c>
      <c r="B477">
        <v>102</v>
      </c>
      <c r="C477">
        <v>55481</v>
      </c>
      <c r="D477" t="s">
        <v>105</v>
      </c>
      <c r="E477">
        <v>11.99</v>
      </c>
      <c r="F477">
        <v>5.0999999999999996</v>
      </c>
      <c r="G477">
        <v>46188</v>
      </c>
      <c r="H477" t="s">
        <v>309</v>
      </c>
      <c r="I477">
        <v>83.408695652173918</v>
      </c>
      <c r="J477">
        <v>8</v>
      </c>
    </row>
    <row r="478" spans="1:10" x14ac:dyDescent="0.35">
      <c r="A478" t="s">
        <v>14</v>
      </c>
      <c r="B478">
        <v>102</v>
      </c>
      <c r="C478">
        <v>55481</v>
      </c>
      <c r="D478" t="s">
        <v>105</v>
      </c>
      <c r="E478">
        <v>11.99</v>
      </c>
      <c r="F478">
        <v>5.0999999999999996</v>
      </c>
      <c r="G478">
        <v>46189</v>
      </c>
      <c r="H478" t="s">
        <v>310</v>
      </c>
      <c r="I478">
        <v>52.130434782608695</v>
      </c>
      <c r="J478">
        <v>5</v>
      </c>
    </row>
    <row r="479" spans="1:10" x14ac:dyDescent="0.35">
      <c r="A479" t="s">
        <v>14</v>
      </c>
      <c r="B479">
        <v>102</v>
      </c>
      <c r="C479">
        <v>55481</v>
      </c>
      <c r="D479" t="s">
        <v>105</v>
      </c>
      <c r="E479">
        <v>11.99</v>
      </c>
      <c r="F479">
        <v>5.0999999999999996</v>
      </c>
      <c r="G479">
        <v>46190</v>
      </c>
      <c r="H479" t="s">
        <v>316</v>
      </c>
      <c r="I479">
        <v>10.42608695652174</v>
      </c>
      <c r="J479">
        <v>1</v>
      </c>
    </row>
    <row r="480" spans="1:10" x14ac:dyDescent="0.35">
      <c r="A480" t="s">
        <v>367</v>
      </c>
      <c r="B480">
        <v>102</v>
      </c>
      <c r="C480">
        <v>56175</v>
      </c>
      <c r="D480" t="s">
        <v>396</v>
      </c>
      <c r="E480">
        <v>15.99</v>
      </c>
      <c r="F480">
        <v>8.11</v>
      </c>
      <c r="G480">
        <v>46188</v>
      </c>
      <c r="H480" t="s">
        <v>309</v>
      </c>
      <c r="I480">
        <v>27.808695652173913</v>
      </c>
      <c r="J480">
        <v>2</v>
      </c>
    </row>
    <row r="481" spans="1:10" x14ac:dyDescent="0.35">
      <c r="A481" t="s">
        <v>367</v>
      </c>
      <c r="B481">
        <v>102</v>
      </c>
      <c r="C481">
        <v>56267</v>
      </c>
      <c r="D481" t="s">
        <v>399</v>
      </c>
      <c r="E481">
        <v>15.99</v>
      </c>
      <c r="F481">
        <v>8.11</v>
      </c>
      <c r="G481">
        <v>46189</v>
      </c>
      <c r="H481" t="s">
        <v>310</v>
      </c>
      <c r="I481">
        <v>13.904347826086957</v>
      </c>
      <c r="J481">
        <v>1</v>
      </c>
    </row>
    <row r="482" spans="1:10" x14ac:dyDescent="0.35">
      <c r="A482" t="s">
        <v>367</v>
      </c>
      <c r="B482">
        <v>102</v>
      </c>
      <c r="C482">
        <v>56594</v>
      </c>
      <c r="D482" t="s">
        <v>400</v>
      </c>
      <c r="E482">
        <v>15.99</v>
      </c>
      <c r="F482">
        <v>8.11</v>
      </c>
      <c r="G482">
        <v>46188</v>
      </c>
      <c r="H482" t="s">
        <v>309</v>
      </c>
      <c r="I482">
        <v>13.904347826086957</v>
      </c>
      <c r="J482">
        <v>1</v>
      </c>
    </row>
    <row r="483" spans="1:10" x14ac:dyDescent="0.35">
      <c r="A483" t="s">
        <v>367</v>
      </c>
      <c r="B483">
        <v>102</v>
      </c>
      <c r="C483">
        <v>56914</v>
      </c>
      <c r="D483" t="s">
        <v>403</v>
      </c>
      <c r="E483">
        <v>15.99</v>
      </c>
      <c r="F483">
        <v>8.11</v>
      </c>
      <c r="G483">
        <v>46189</v>
      </c>
      <c r="H483" t="s">
        <v>310</v>
      </c>
      <c r="I483">
        <v>13.904347826086957</v>
      </c>
      <c r="J483">
        <v>1</v>
      </c>
    </row>
    <row r="484" spans="1:10" x14ac:dyDescent="0.35">
      <c r="A484" t="s">
        <v>14</v>
      </c>
      <c r="B484">
        <v>101</v>
      </c>
      <c r="C484">
        <v>57071</v>
      </c>
      <c r="D484" t="s">
        <v>53</v>
      </c>
      <c r="E484">
        <v>29.99</v>
      </c>
      <c r="F484">
        <v>12.66</v>
      </c>
      <c r="G484">
        <v>46190</v>
      </c>
      <c r="H484" t="s">
        <v>316</v>
      </c>
      <c r="I484">
        <v>26.078260869565216</v>
      </c>
      <c r="J484">
        <v>1</v>
      </c>
    </row>
    <row r="485" spans="1:10" x14ac:dyDescent="0.35">
      <c r="A485" t="s">
        <v>14</v>
      </c>
      <c r="B485">
        <v>101</v>
      </c>
      <c r="C485">
        <v>57071</v>
      </c>
      <c r="D485" t="s">
        <v>53</v>
      </c>
      <c r="E485">
        <v>29.99</v>
      </c>
      <c r="F485">
        <v>12.66</v>
      </c>
      <c r="G485">
        <v>46191</v>
      </c>
      <c r="H485" t="s">
        <v>960</v>
      </c>
      <c r="I485">
        <v>104.31304347826087</v>
      </c>
      <c r="J485">
        <v>4</v>
      </c>
    </row>
    <row r="486" spans="1:10" x14ac:dyDescent="0.35">
      <c r="A486" t="s">
        <v>14</v>
      </c>
      <c r="B486">
        <v>101</v>
      </c>
      <c r="C486">
        <v>57073</v>
      </c>
      <c r="D486" t="s">
        <v>21</v>
      </c>
      <c r="E486">
        <v>36.99</v>
      </c>
      <c r="F486">
        <v>16.05</v>
      </c>
      <c r="G486">
        <v>46188</v>
      </c>
      <c r="H486" t="s">
        <v>309</v>
      </c>
      <c r="I486">
        <v>225.15652173913043</v>
      </c>
      <c r="J486">
        <v>7</v>
      </c>
    </row>
    <row r="487" spans="1:10" x14ac:dyDescent="0.35">
      <c r="A487" t="s">
        <v>14</v>
      </c>
      <c r="B487">
        <v>101</v>
      </c>
      <c r="C487">
        <v>57073</v>
      </c>
      <c r="D487" t="s">
        <v>21</v>
      </c>
      <c r="E487">
        <v>36.99</v>
      </c>
      <c r="F487">
        <v>16.05</v>
      </c>
      <c r="G487">
        <v>46189</v>
      </c>
      <c r="H487" t="s">
        <v>310</v>
      </c>
      <c r="I487">
        <v>32.165217391304353</v>
      </c>
      <c r="J487">
        <v>1</v>
      </c>
    </row>
    <row r="488" spans="1:10" x14ac:dyDescent="0.35">
      <c r="A488" t="s">
        <v>14</v>
      </c>
      <c r="B488">
        <v>101</v>
      </c>
      <c r="C488">
        <v>57073</v>
      </c>
      <c r="D488" t="s">
        <v>21</v>
      </c>
      <c r="E488">
        <v>36.99</v>
      </c>
      <c r="F488">
        <v>16.05</v>
      </c>
      <c r="G488">
        <v>46191</v>
      </c>
      <c r="H488" t="s">
        <v>960</v>
      </c>
      <c r="I488">
        <v>192.99130434782609</v>
      </c>
      <c r="J488">
        <v>6</v>
      </c>
    </row>
    <row r="489" spans="1:10" x14ac:dyDescent="0.35">
      <c r="A489" t="s">
        <v>107</v>
      </c>
      <c r="B489">
        <v>102</v>
      </c>
      <c r="C489">
        <v>58147</v>
      </c>
      <c r="D489" t="s">
        <v>146</v>
      </c>
      <c r="E489">
        <v>16.989999999999998</v>
      </c>
      <c r="F489">
        <v>7.99</v>
      </c>
      <c r="G489">
        <v>46188</v>
      </c>
      <c r="H489" t="s">
        <v>309</v>
      </c>
      <c r="I489">
        <v>14.77391304347826</v>
      </c>
      <c r="J489">
        <v>1</v>
      </c>
    </row>
    <row r="490" spans="1:10" x14ac:dyDescent="0.35">
      <c r="A490" t="s">
        <v>14</v>
      </c>
      <c r="B490">
        <v>101</v>
      </c>
      <c r="C490">
        <v>58512</v>
      </c>
      <c r="D490" t="s">
        <v>30</v>
      </c>
      <c r="E490">
        <v>26.99</v>
      </c>
      <c r="F490">
        <v>10.66</v>
      </c>
      <c r="G490">
        <v>46188</v>
      </c>
      <c r="H490" t="s">
        <v>309</v>
      </c>
      <c r="I490">
        <v>70.408695652173918</v>
      </c>
      <c r="J490">
        <v>3</v>
      </c>
    </row>
    <row r="491" spans="1:10" x14ac:dyDescent="0.35">
      <c r="A491" t="s">
        <v>14</v>
      </c>
      <c r="B491">
        <v>101</v>
      </c>
      <c r="C491">
        <v>58512</v>
      </c>
      <c r="D491" t="s">
        <v>30</v>
      </c>
      <c r="E491">
        <v>26.99</v>
      </c>
      <c r="F491">
        <v>10.66</v>
      </c>
      <c r="G491">
        <v>46189</v>
      </c>
      <c r="H491" t="s">
        <v>310</v>
      </c>
      <c r="I491">
        <v>70.408695652173918</v>
      </c>
      <c r="J491">
        <v>3</v>
      </c>
    </row>
    <row r="492" spans="1:10" x14ac:dyDescent="0.35">
      <c r="A492" t="s">
        <v>14</v>
      </c>
      <c r="B492">
        <v>101</v>
      </c>
      <c r="C492">
        <v>58512</v>
      </c>
      <c r="D492" t="s">
        <v>30</v>
      </c>
      <c r="E492">
        <v>26.99</v>
      </c>
      <c r="F492">
        <v>10.66</v>
      </c>
      <c r="G492">
        <v>46190</v>
      </c>
      <c r="H492" t="s">
        <v>316</v>
      </c>
      <c r="I492">
        <v>70.408695652173918</v>
      </c>
      <c r="J492">
        <v>3</v>
      </c>
    </row>
    <row r="493" spans="1:10" x14ac:dyDescent="0.35">
      <c r="A493" t="s">
        <v>14</v>
      </c>
      <c r="B493">
        <v>101</v>
      </c>
      <c r="C493">
        <v>58767</v>
      </c>
      <c r="D493" t="s">
        <v>27</v>
      </c>
      <c r="E493">
        <v>19.989999999999998</v>
      </c>
      <c r="F493">
        <v>7.04</v>
      </c>
      <c r="G493">
        <v>46188</v>
      </c>
      <c r="H493" t="s">
        <v>309</v>
      </c>
      <c r="I493">
        <v>121.67826086956522</v>
      </c>
      <c r="J493">
        <v>7</v>
      </c>
    </row>
    <row r="494" spans="1:10" x14ac:dyDescent="0.35">
      <c r="A494" t="s">
        <v>14</v>
      </c>
      <c r="B494">
        <v>101</v>
      </c>
      <c r="C494">
        <v>58767</v>
      </c>
      <c r="D494" t="s">
        <v>27</v>
      </c>
      <c r="E494">
        <v>19.989999999999998</v>
      </c>
      <c r="F494">
        <v>7.04</v>
      </c>
      <c r="G494">
        <v>46189</v>
      </c>
      <c r="H494" t="s">
        <v>310</v>
      </c>
      <c r="I494">
        <v>52.14782608695652</v>
      </c>
      <c r="J494">
        <v>3</v>
      </c>
    </row>
    <row r="495" spans="1:10" x14ac:dyDescent="0.35">
      <c r="A495" t="s">
        <v>14</v>
      </c>
      <c r="B495">
        <v>101</v>
      </c>
      <c r="C495">
        <v>58767</v>
      </c>
      <c r="D495" t="s">
        <v>27</v>
      </c>
      <c r="E495">
        <v>19.989999999999998</v>
      </c>
      <c r="F495">
        <v>7.04</v>
      </c>
      <c r="G495">
        <v>46190</v>
      </c>
      <c r="H495" t="s">
        <v>316</v>
      </c>
      <c r="I495">
        <v>34.765217391304347</v>
      </c>
      <c r="J495">
        <v>2</v>
      </c>
    </row>
    <row r="496" spans="1:10" x14ac:dyDescent="0.35">
      <c r="A496" t="s">
        <v>14</v>
      </c>
      <c r="B496">
        <v>101</v>
      </c>
      <c r="C496">
        <v>58767</v>
      </c>
      <c r="D496" t="s">
        <v>27</v>
      </c>
      <c r="E496">
        <v>19.989999999999998</v>
      </c>
      <c r="F496">
        <v>7.04</v>
      </c>
      <c r="G496">
        <v>46191</v>
      </c>
      <c r="H496" t="s">
        <v>960</v>
      </c>
      <c r="I496">
        <v>52.14782608695652</v>
      </c>
      <c r="J496">
        <v>3</v>
      </c>
    </row>
    <row r="497" spans="1:10" x14ac:dyDescent="0.35">
      <c r="A497" t="s">
        <v>317</v>
      </c>
      <c r="B497">
        <v>105</v>
      </c>
      <c r="C497">
        <v>58843</v>
      </c>
      <c r="D497" t="s">
        <v>511</v>
      </c>
      <c r="E497">
        <v>24.99</v>
      </c>
      <c r="F497">
        <v>15.529409999999999</v>
      </c>
      <c r="G497">
        <v>46188</v>
      </c>
      <c r="H497" t="s">
        <v>309</v>
      </c>
      <c r="I497">
        <v>65.19130434782609</v>
      </c>
      <c r="J497">
        <v>3</v>
      </c>
    </row>
    <row r="498" spans="1:10" x14ac:dyDescent="0.35">
      <c r="A498" t="s">
        <v>317</v>
      </c>
      <c r="B498">
        <v>105</v>
      </c>
      <c r="C498">
        <v>58843</v>
      </c>
      <c r="D498" t="s">
        <v>511</v>
      </c>
      <c r="E498">
        <v>24.99</v>
      </c>
      <c r="F498">
        <v>15.529409999999999</v>
      </c>
      <c r="G498">
        <v>46189</v>
      </c>
      <c r="H498" t="s">
        <v>310</v>
      </c>
      <c r="I498">
        <v>369.41739130434786</v>
      </c>
      <c r="J498">
        <v>17</v>
      </c>
    </row>
    <row r="499" spans="1:10" x14ac:dyDescent="0.35">
      <c r="A499" t="s">
        <v>317</v>
      </c>
      <c r="B499">
        <v>105</v>
      </c>
      <c r="C499">
        <v>58843</v>
      </c>
      <c r="D499" t="s">
        <v>511</v>
      </c>
      <c r="E499">
        <v>24.99</v>
      </c>
      <c r="F499">
        <v>15.529409999999999</v>
      </c>
      <c r="G499">
        <v>46190</v>
      </c>
      <c r="H499" t="s">
        <v>316</v>
      </c>
      <c r="I499">
        <v>173.84347826086957</v>
      </c>
      <c r="J499">
        <v>8</v>
      </c>
    </row>
    <row r="500" spans="1:10" x14ac:dyDescent="0.35">
      <c r="A500" t="s">
        <v>317</v>
      </c>
      <c r="B500">
        <v>105</v>
      </c>
      <c r="C500">
        <v>58843</v>
      </c>
      <c r="D500" t="s">
        <v>511</v>
      </c>
      <c r="E500">
        <v>24.99</v>
      </c>
      <c r="F500">
        <v>15.529409999999999</v>
      </c>
      <c r="G500">
        <v>46191</v>
      </c>
      <c r="H500" t="s">
        <v>960</v>
      </c>
      <c r="I500">
        <v>733.4</v>
      </c>
      <c r="J500">
        <v>35</v>
      </c>
    </row>
    <row r="501" spans="1:10" x14ac:dyDescent="0.35">
      <c r="A501" t="s">
        <v>371</v>
      </c>
      <c r="B501">
        <v>103</v>
      </c>
      <c r="C501">
        <v>59233</v>
      </c>
      <c r="D501" t="s">
        <v>700</v>
      </c>
      <c r="E501">
        <v>14.99</v>
      </c>
      <c r="F501">
        <v>7.9799999999999995</v>
      </c>
      <c r="G501">
        <v>46188</v>
      </c>
      <c r="H501" t="s">
        <v>309</v>
      </c>
      <c r="I501">
        <v>13.034782608695652</v>
      </c>
      <c r="J501">
        <v>1</v>
      </c>
    </row>
    <row r="502" spans="1:10" x14ac:dyDescent="0.35">
      <c r="A502" t="s">
        <v>371</v>
      </c>
      <c r="B502">
        <v>103</v>
      </c>
      <c r="C502">
        <v>59233</v>
      </c>
      <c r="D502" t="s">
        <v>700</v>
      </c>
      <c r="E502">
        <v>14.99</v>
      </c>
      <c r="F502">
        <v>7.9799999999999995</v>
      </c>
      <c r="G502">
        <v>46189</v>
      </c>
      <c r="H502" t="s">
        <v>310</v>
      </c>
      <c r="I502">
        <v>26.069565217391304</v>
      </c>
      <c r="J502">
        <v>2</v>
      </c>
    </row>
    <row r="503" spans="1:10" x14ac:dyDescent="0.35">
      <c r="A503" t="s">
        <v>371</v>
      </c>
      <c r="B503">
        <v>103</v>
      </c>
      <c r="C503">
        <v>59233</v>
      </c>
      <c r="D503" t="s">
        <v>700</v>
      </c>
      <c r="E503">
        <v>14.99</v>
      </c>
      <c r="F503">
        <v>7.9799999999999995</v>
      </c>
      <c r="G503">
        <v>46191</v>
      </c>
      <c r="H503" t="s">
        <v>960</v>
      </c>
      <c r="I503">
        <v>26.069565217391304</v>
      </c>
      <c r="J503">
        <v>2</v>
      </c>
    </row>
    <row r="504" spans="1:10" x14ac:dyDescent="0.35">
      <c r="A504" t="s">
        <v>317</v>
      </c>
      <c r="B504">
        <v>101</v>
      </c>
      <c r="C504">
        <v>59274</v>
      </c>
      <c r="D504" t="s">
        <v>409</v>
      </c>
      <c r="E504">
        <v>21.99</v>
      </c>
      <c r="F504">
        <v>13.344114285714285</v>
      </c>
      <c r="G504">
        <v>46191</v>
      </c>
      <c r="H504" t="s">
        <v>960</v>
      </c>
      <c r="I504">
        <v>19.121739130434783</v>
      </c>
      <c r="J504">
        <v>1</v>
      </c>
    </row>
    <row r="505" spans="1:10" x14ac:dyDescent="0.35">
      <c r="A505" t="s">
        <v>14</v>
      </c>
      <c r="B505">
        <v>101</v>
      </c>
      <c r="C505">
        <v>59381</v>
      </c>
      <c r="D505" t="s">
        <v>15</v>
      </c>
      <c r="E505">
        <v>13.99</v>
      </c>
      <c r="F505">
        <v>7.36</v>
      </c>
      <c r="G505">
        <v>46188</v>
      </c>
      <c r="H505" t="s">
        <v>309</v>
      </c>
      <c r="I505">
        <v>1216.5217391304348</v>
      </c>
      <c r="J505">
        <v>100</v>
      </c>
    </row>
    <row r="506" spans="1:10" x14ac:dyDescent="0.35">
      <c r="A506" t="s">
        <v>14</v>
      </c>
      <c r="B506">
        <v>101</v>
      </c>
      <c r="C506">
        <v>59381</v>
      </c>
      <c r="D506" t="s">
        <v>15</v>
      </c>
      <c r="E506">
        <v>13.99</v>
      </c>
      <c r="F506">
        <v>7.36</v>
      </c>
      <c r="G506">
        <v>46189</v>
      </c>
      <c r="H506" t="s">
        <v>310</v>
      </c>
      <c r="I506">
        <v>1094.8695652173913</v>
      </c>
      <c r="J506">
        <v>90</v>
      </c>
    </row>
    <row r="507" spans="1:10" x14ac:dyDescent="0.35">
      <c r="A507" t="s">
        <v>14</v>
      </c>
      <c r="B507">
        <v>101</v>
      </c>
      <c r="C507">
        <v>59381</v>
      </c>
      <c r="D507" t="s">
        <v>15</v>
      </c>
      <c r="E507">
        <v>13.99</v>
      </c>
      <c r="F507">
        <v>7.36</v>
      </c>
      <c r="G507">
        <v>46190</v>
      </c>
      <c r="H507" t="s">
        <v>316</v>
      </c>
      <c r="I507">
        <v>1094.8608695652174</v>
      </c>
      <c r="J507">
        <v>91</v>
      </c>
    </row>
    <row r="508" spans="1:10" x14ac:dyDescent="0.35">
      <c r="A508" t="s">
        <v>14</v>
      </c>
      <c r="B508">
        <v>101</v>
      </c>
      <c r="C508">
        <v>59381</v>
      </c>
      <c r="D508" t="s">
        <v>15</v>
      </c>
      <c r="E508">
        <v>13.99</v>
      </c>
      <c r="F508">
        <v>7.36</v>
      </c>
      <c r="G508">
        <v>46191</v>
      </c>
      <c r="H508" t="s">
        <v>960</v>
      </c>
      <c r="I508">
        <v>1204.3565217391304</v>
      </c>
      <c r="J508">
        <v>99</v>
      </c>
    </row>
    <row r="509" spans="1:10" x14ac:dyDescent="0.35">
      <c r="A509" t="s">
        <v>14</v>
      </c>
      <c r="B509">
        <v>101</v>
      </c>
      <c r="C509">
        <v>59425</v>
      </c>
      <c r="D509" t="s">
        <v>17</v>
      </c>
      <c r="E509">
        <v>10.99</v>
      </c>
      <c r="F509">
        <v>6.3</v>
      </c>
      <c r="G509">
        <v>46188</v>
      </c>
      <c r="H509" t="s">
        <v>309</v>
      </c>
      <c r="I509">
        <v>659.4</v>
      </c>
      <c r="J509">
        <v>60</v>
      </c>
    </row>
    <row r="510" spans="1:10" x14ac:dyDescent="0.35">
      <c r="A510" t="s">
        <v>14</v>
      </c>
      <c r="B510">
        <v>101</v>
      </c>
      <c r="C510">
        <v>59425</v>
      </c>
      <c r="D510" t="s">
        <v>17</v>
      </c>
      <c r="E510">
        <v>10.99</v>
      </c>
      <c r="F510">
        <v>6.3</v>
      </c>
      <c r="G510">
        <v>46190</v>
      </c>
      <c r="H510" t="s">
        <v>316</v>
      </c>
      <c r="I510">
        <v>259.36</v>
      </c>
      <c r="J510">
        <v>24</v>
      </c>
    </row>
    <row r="511" spans="1:10" x14ac:dyDescent="0.35">
      <c r="A511" t="s">
        <v>14</v>
      </c>
      <c r="B511">
        <v>101</v>
      </c>
      <c r="C511">
        <v>59425</v>
      </c>
      <c r="D511" t="s">
        <v>17</v>
      </c>
      <c r="E511">
        <v>10.99</v>
      </c>
      <c r="F511">
        <v>6.3</v>
      </c>
      <c r="G511">
        <v>46191</v>
      </c>
      <c r="H511" t="s">
        <v>960</v>
      </c>
      <c r="I511">
        <v>164.85</v>
      </c>
      <c r="J511">
        <v>15</v>
      </c>
    </row>
    <row r="512" spans="1:10" x14ac:dyDescent="0.35">
      <c r="A512" t="s">
        <v>14</v>
      </c>
      <c r="B512">
        <v>102</v>
      </c>
      <c r="C512">
        <v>59477</v>
      </c>
      <c r="D512" t="s">
        <v>159</v>
      </c>
      <c r="E512">
        <v>5.99</v>
      </c>
      <c r="F512">
        <v>3.1</v>
      </c>
      <c r="G512">
        <v>46189</v>
      </c>
      <c r="H512" t="s">
        <v>310</v>
      </c>
      <c r="I512">
        <v>10.417391304347827</v>
      </c>
      <c r="J512">
        <v>2</v>
      </c>
    </row>
    <row r="513" spans="1:10" x14ac:dyDescent="0.35">
      <c r="A513" t="s">
        <v>14</v>
      </c>
      <c r="B513">
        <v>102</v>
      </c>
      <c r="C513">
        <v>59477</v>
      </c>
      <c r="D513" t="s">
        <v>159</v>
      </c>
      <c r="E513">
        <v>5.99</v>
      </c>
      <c r="F513">
        <v>3.1</v>
      </c>
      <c r="G513">
        <v>46190</v>
      </c>
      <c r="H513" t="s">
        <v>316</v>
      </c>
      <c r="I513">
        <v>20.834782608695654</v>
      </c>
      <c r="J513">
        <v>4</v>
      </c>
    </row>
    <row r="514" spans="1:10" x14ac:dyDescent="0.35">
      <c r="A514" t="s">
        <v>14</v>
      </c>
      <c r="B514">
        <v>102</v>
      </c>
      <c r="C514">
        <v>59477</v>
      </c>
      <c r="D514" t="s">
        <v>159</v>
      </c>
      <c r="E514">
        <v>5.99</v>
      </c>
      <c r="F514">
        <v>3.1</v>
      </c>
      <c r="G514">
        <v>46191</v>
      </c>
      <c r="H514" t="s">
        <v>960</v>
      </c>
      <c r="I514">
        <v>15.626086956521739</v>
      </c>
      <c r="J514">
        <v>3</v>
      </c>
    </row>
    <row r="515" spans="1:10" x14ac:dyDescent="0.35">
      <c r="A515" t="s">
        <v>371</v>
      </c>
      <c r="B515">
        <v>103</v>
      </c>
      <c r="C515">
        <v>60811</v>
      </c>
      <c r="D515" t="s">
        <v>873</v>
      </c>
      <c r="E515">
        <v>3</v>
      </c>
      <c r="F515">
        <v>1.59</v>
      </c>
      <c r="G515">
        <v>46190</v>
      </c>
      <c r="H515" t="s">
        <v>316</v>
      </c>
      <c r="I515">
        <v>10.434782608695652</v>
      </c>
      <c r="J515">
        <v>4</v>
      </c>
    </row>
    <row r="516" spans="1:10" x14ac:dyDescent="0.35">
      <c r="A516" t="s">
        <v>371</v>
      </c>
      <c r="B516">
        <v>103</v>
      </c>
      <c r="C516">
        <v>60813</v>
      </c>
      <c r="D516" t="s">
        <v>874</v>
      </c>
      <c r="E516">
        <v>12.99</v>
      </c>
      <c r="F516">
        <v>6.8199999999999994</v>
      </c>
      <c r="G516">
        <v>46188</v>
      </c>
      <c r="H516" t="s">
        <v>309</v>
      </c>
      <c r="I516">
        <v>79.069565217391315</v>
      </c>
      <c r="J516">
        <v>7</v>
      </c>
    </row>
    <row r="517" spans="1:10" x14ac:dyDescent="0.35">
      <c r="A517" t="s">
        <v>371</v>
      </c>
      <c r="B517">
        <v>103</v>
      </c>
      <c r="C517">
        <v>60813</v>
      </c>
      <c r="D517" t="s">
        <v>874</v>
      </c>
      <c r="E517">
        <v>12.99</v>
      </c>
      <c r="F517">
        <v>6.8199999999999994</v>
      </c>
      <c r="G517">
        <v>46189</v>
      </c>
      <c r="H517" t="s">
        <v>310</v>
      </c>
      <c r="I517">
        <v>45.182608695652178</v>
      </c>
      <c r="J517">
        <v>4</v>
      </c>
    </row>
    <row r="518" spans="1:10" x14ac:dyDescent="0.35">
      <c r="A518" t="s">
        <v>371</v>
      </c>
      <c r="B518">
        <v>103</v>
      </c>
      <c r="C518">
        <v>60813</v>
      </c>
      <c r="D518" t="s">
        <v>874</v>
      </c>
      <c r="E518">
        <v>12.99</v>
      </c>
      <c r="F518">
        <v>6.8199999999999994</v>
      </c>
      <c r="G518">
        <v>46190</v>
      </c>
      <c r="H518" t="s">
        <v>316</v>
      </c>
      <c r="I518">
        <v>33.88695652173913</v>
      </c>
      <c r="J518">
        <v>3</v>
      </c>
    </row>
    <row r="519" spans="1:10" x14ac:dyDescent="0.35">
      <c r="A519" t="s">
        <v>371</v>
      </c>
      <c r="B519">
        <v>103</v>
      </c>
      <c r="C519">
        <v>60813</v>
      </c>
      <c r="D519" t="s">
        <v>874</v>
      </c>
      <c r="E519">
        <v>12.99</v>
      </c>
      <c r="F519">
        <v>6.8199999999999994</v>
      </c>
      <c r="G519">
        <v>46191</v>
      </c>
      <c r="H519" t="s">
        <v>960</v>
      </c>
      <c r="I519">
        <v>22.591304347826089</v>
      </c>
      <c r="J519">
        <v>2</v>
      </c>
    </row>
    <row r="520" spans="1:10" x14ac:dyDescent="0.35">
      <c r="A520" t="s">
        <v>317</v>
      </c>
      <c r="B520">
        <v>107</v>
      </c>
      <c r="C520">
        <v>61786</v>
      </c>
      <c r="D520" t="s">
        <v>884</v>
      </c>
      <c r="E520">
        <v>21.99</v>
      </c>
      <c r="F520">
        <v>13.11445</v>
      </c>
      <c r="G520">
        <v>46189</v>
      </c>
      <c r="H520" t="s">
        <v>310</v>
      </c>
      <c r="I520">
        <v>57.365217391304348</v>
      </c>
      <c r="J520">
        <v>3</v>
      </c>
    </row>
    <row r="521" spans="1:10" x14ac:dyDescent="0.35">
      <c r="A521" t="s">
        <v>317</v>
      </c>
      <c r="B521">
        <v>107</v>
      </c>
      <c r="C521">
        <v>61786</v>
      </c>
      <c r="D521" t="s">
        <v>884</v>
      </c>
      <c r="E521">
        <v>21.99</v>
      </c>
      <c r="F521">
        <v>13.11445</v>
      </c>
      <c r="G521">
        <v>46190</v>
      </c>
      <c r="H521" t="s">
        <v>316</v>
      </c>
      <c r="I521">
        <v>37.286956521739128</v>
      </c>
      <c r="J521">
        <v>2</v>
      </c>
    </row>
    <row r="522" spans="1:10" x14ac:dyDescent="0.35">
      <c r="A522" t="s">
        <v>317</v>
      </c>
      <c r="B522">
        <v>107</v>
      </c>
      <c r="C522">
        <v>61786</v>
      </c>
      <c r="D522" t="s">
        <v>884</v>
      </c>
      <c r="E522">
        <v>21.99</v>
      </c>
      <c r="F522">
        <v>13.11445</v>
      </c>
      <c r="G522">
        <v>46191</v>
      </c>
      <c r="H522" t="s">
        <v>960</v>
      </c>
      <c r="I522">
        <v>76.486956521739131</v>
      </c>
      <c r="J522">
        <v>4</v>
      </c>
    </row>
    <row r="523" spans="1:10" x14ac:dyDescent="0.35">
      <c r="A523" t="s">
        <v>317</v>
      </c>
      <c r="B523">
        <v>109</v>
      </c>
      <c r="C523">
        <v>61787</v>
      </c>
      <c r="D523" t="s">
        <v>885</v>
      </c>
      <c r="E523">
        <v>23.99</v>
      </c>
      <c r="F523">
        <v>14.221549999999999</v>
      </c>
      <c r="G523">
        <v>46188</v>
      </c>
      <c r="H523" t="s">
        <v>309</v>
      </c>
      <c r="I523">
        <v>104.30434782608695</v>
      </c>
      <c r="J523">
        <v>5</v>
      </c>
    </row>
    <row r="524" spans="1:10" x14ac:dyDescent="0.35">
      <c r="A524" t="s">
        <v>14</v>
      </c>
      <c r="B524">
        <v>102</v>
      </c>
      <c r="C524">
        <v>61937</v>
      </c>
      <c r="D524" t="s">
        <v>122</v>
      </c>
      <c r="E524">
        <v>10</v>
      </c>
      <c r="F524">
        <v>2.67</v>
      </c>
      <c r="G524">
        <v>46188</v>
      </c>
      <c r="H524" t="s">
        <v>309</v>
      </c>
      <c r="I524">
        <v>104.34782608695652</v>
      </c>
      <c r="J524">
        <v>12</v>
      </c>
    </row>
    <row r="525" spans="1:10" x14ac:dyDescent="0.35">
      <c r="A525" t="s">
        <v>14</v>
      </c>
      <c r="B525">
        <v>102</v>
      </c>
      <c r="C525">
        <v>61938</v>
      </c>
      <c r="D525" t="s">
        <v>124</v>
      </c>
      <c r="E525">
        <v>10</v>
      </c>
      <c r="F525">
        <v>3.43</v>
      </c>
      <c r="G525">
        <v>46188</v>
      </c>
      <c r="H525" t="s">
        <v>309</v>
      </c>
      <c r="I525">
        <v>26.086956521739129</v>
      </c>
      <c r="J525">
        <v>3</v>
      </c>
    </row>
    <row r="526" spans="1:10" x14ac:dyDescent="0.35">
      <c r="A526" t="s">
        <v>14</v>
      </c>
      <c r="B526">
        <v>102</v>
      </c>
      <c r="C526">
        <v>61938</v>
      </c>
      <c r="D526" t="s">
        <v>124</v>
      </c>
      <c r="E526">
        <v>10</v>
      </c>
      <c r="F526">
        <v>3.43</v>
      </c>
      <c r="G526">
        <v>46190</v>
      </c>
      <c r="H526" t="s">
        <v>316</v>
      </c>
      <c r="I526">
        <v>8.695652173913043</v>
      </c>
      <c r="J526">
        <v>1</v>
      </c>
    </row>
    <row r="527" spans="1:10" x14ac:dyDescent="0.35">
      <c r="A527" t="s">
        <v>14</v>
      </c>
      <c r="B527">
        <v>102</v>
      </c>
      <c r="C527">
        <v>61939</v>
      </c>
      <c r="D527" t="s">
        <v>101</v>
      </c>
      <c r="E527">
        <v>10</v>
      </c>
      <c r="F527">
        <v>5.09</v>
      </c>
      <c r="G527">
        <v>46189</v>
      </c>
      <c r="H527" t="s">
        <v>310</v>
      </c>
      <c r="I527">
        <v>147.82608695652175</v>
      </c>
      <c r="J527">
        <v>17</v>
      </c>
    </row>
    <row r="528" spans="1:10" x14ac:dyDescent="0.35">
      <c r="A528" t="s">
        <v>14</v>
      </c>
      <c r="B528">
        <v>102</v>
      </c>
      <c r="C528">
        <v>61939</v>
      </c>
      <c r="D528" t="s">
        <v>101</v>
      </c>
      <c r="E528">
        <v>10</v>
      </c>
      <c r="F528">
        <v>5.09</v>
      </c>
      <c r="G528">
        <v>46190</v>
      </c>
      <c r="H528" t="s">
        <v>316</v>
      </c>
      <c r="I528">
        <v>164.78260869565219</v>
      </c>
      <c r="J528">
        <v>19</v>
      </c>
    </row>
    <row r="529" spans="1:10" x14ac:dyDescent="0.35">
      <c r="A529" t="s">
        <v>14</v>
      </c>
      <c r="B529">
        <v>102</v>
      </c>
      <c r="C529">
        <v>61939</v>
      </c>
      <c r="D529" t="s">
        <v>101</v>
      </c>
      <c r="E529">
        <v>10</v>
      </c>
      <c r="F529">
        <v>5.09</v>
      </c>
      <c r="G529">
        <v>46191</v>
      </c>
      <c r="H529" t="s">
        <v>960</v>
      </c>
      <c r="I529">
        <v>69.565217391304344</v>
      </c>
      <c r="J529">
        <v>8</v>
      </c>
    </row>
    <row r="530" spans="1:10" x14ac:dyDescent="0.35">
      <c r="A530" t="s">
        <v>14</v>
      </c>
      <c r="B530">
        <v>102</v>
      </c>
      <c r="C530">
        <v>61942</v>
      </c>
      <c r="D530" t="s">
        <v>123</v>
      </c>
      <c r="E530">
        <v>10</v>
      </c>
      <c r="F530">
        <v>3.73</v>
      </c>
      <c r="G530">
        <v>46191</v>
      </c>
      <c r="H530" t="s">
        <v>960</v>
      </c>
      <c r="I530">
        <v>8.695652173913043</v>
      </c>
      <c r="J530">
        <v>1</v>
      </c>
    </row>
    <row r="531" spans="1:10" x14ac:dyDescent="0.35">
      <c r="A531" t="s">
        <v>14</v>
      </c>
      <c r="B531">
        <v>101</v>
      </c>
      <c r="C531">
        <v>61947</v>
      </c>
      <c r="D531" t="s">
        <v>42</v>
      </c>
      <c r="E531">
        <v>28.99</v>
      </c>
      <c r="F531">
        <v>8.93</v>
      </c>
      <c r="G531">
        <v>46188</v>
      </c>
      <c r="H531" t="s">
        <v>309</v>
      </c>
      <c r="I531">
        <v>25.208695652173912</v>
      </c>
      <c r="J531">
        <v>1</v>
      </c>
    </row>
    <row r="532" spans="1:10" x14ac:dyDescent="0.35">
      <c r="A532" t="s">
        <v>14</v>
      </c>
      <c r="B532">
        <v>101</v>
      </c>
      <c r="C532">
        <v>61947</v>
      </c>
      <c r="D532" t="s">
        <v>42</v>
      </c>
      <c r="E532">
        <v>28.99</v>
      </c>
      <c r="F532">
        <v>8.93</v>
      </c>
      <c r="G532">
        <v>46189</v>
      </c>
      <c r="H532" t="s">
        <v>310</v>
      </c>
      <c r="I532">
        <v>25.208695652173912</v>
      </c>
      <c r="J532">
        <v>1</v>
      </c>
    </row>
    <row r="533" spans="1:10" x14ac:dyDescent="0.35">
      <c r="A533" t="s">
        <v>14</v>
      </c>
      <c r="B533">
        <v>101</v>
      </c>
      <c r="C533">
        <v>61947</v>
      </c>
      <c r="D533" t="s">
        <v>42</v>
      </c>
      <c r="E533">
        <v>28.99</v>
      </c>
      <c r="F533">
        <v>8.93</v>
      </c>
      <c r="G533">
        <v>46190</v>
      </c>
      <c r="H533" t="s">
        <v>316</v>
      </c>
      <c r="I533">
        <v>75.626086956521732</v>
      </c>
      <c r="J533">
        <v>3</v>
      </c>
    </row>
    <row r="534" spans="1:10" x14ac:dyDescent="0.35">
      <c r="A534" t="s">
        <v>14</v>
      </c>
      <c r="B534">
        <v>101</v>
      </c>
      <c r="C534">
        <v>61947</v>
      </c>
      <c r="D534" t="s">
        <v>42</v>
      </c>
      <c r="E534">
        <v>28.99</v>
      </c>
      <c r="F534">
        <v>8.93</v>
      </c>
      <c r="G534">
        <v>46191</v>
      </c>
      <c r="H534" t="s">
        <v>960</v>
      </c>
      <c r="I534">
        <v>50.417391304347824</v>
      </c>
      <c r="J534">
        <v>2</v>
      </c>
    </row>
    <row r="535" spans="1:10" x14ac:dyDescent="0.35">
      <c r="A535" t="s">
        <v>317</v>
      </c>
      <c r="B535">
        <v>101</v>
      </c>
      <c r="C535">
        <v>62319</v>
      </c>
      <c r="D535" t="s">
        <v>422</v>
      </c>
      <c r="E535">
        <v>49.99</v>
      </c>
      <c r="F535">
        <v>29.528099999999998</v>
      </c>
      <c r="G535">
        <v>46188</v>
      </c>
      <c r="H535" t="s">
        <v>309</v>
      </c>
      <c r="I535">
        <v>43.469565217391306</v>
      </c>
      <c r="J535">
        <v>1</v>
      </c>
    </row>
    <row r="536" spans="1:10" x14ac:dyDescent="0.35">
      <c r="A536" t="s">
        <v>317</v>
      </c>
      <c r="B536">
        <v>101</v>
      </c>
      <c r="C536">
        <v>62319</v>
      </c>
      <c r="D536" t="s">
        <v>422</v>
      </c>
      <c r="E536">
        <v>49.99</v>
      </c>
      <c r="F536">
        <v>29.528099999999998</v>
      </c>
      <c r="G536">
        <v>46189</v>
      </c>
      <c r="H536" t="s">
        <v>310</v>
      </c>
      <c r="I536">
        <v>86.939130434782612</v>
      </c>
      <c r="J536">
        <v>2</v>
      </c>
    </row>
    <row r="537" spans="1:10" x14ac:dyDescent="0.35">
      <c r="A537" t="s">
        <v>317</v>
      </c>
      <c r="B537">
        <v>101</v>
      </c>
      <c r="C537">
        <v>62326</v>
      </c>
      <c r="D537" t="s">
        <v>424</v>
      </c>
      <c r="E537">
        <v>189.99</v>
      </c>
      <c r="F537">
        <v>118.89879999999999</v>
      </c>
      <c r="G537">
        <v>46190</v>
      </c>
      <c r="H537" t="s">
        <v>316</v>
      </c>
      <c r="I537">
        <v>165.20869565217393</v>
      </c>
      <c r="J537">
        <v>1</v>
      </c>
    </row>
    <row r="538" spans="1:10" x14ac:dyDescent="0.35">
      <c r="A538" t="s">
        <v>317</v>
      </c>
      <c r="B538">
        <v>109</v>
      </c>
      <c r="C538">
        <v>62327</v>
      </c>
      <c r="D538" t="s">
        <v>892</v>
      </c>
      <c r="E538">
        <v>104.99</v>
      </c>
      <c r="F538">
        <v>65.781599999999997</v>
      </c>
      <c r="G538">
        <v>46188</v>
      </c>
      <c r="H538" t="s">
        <v>309</v>
      </c>
      <c r="I538">
        <v>91.295652173913041</v>
      </c>
      <c r="J538">
        <v>1</v>
      </c>
    </row>
    <row r="539" spans="1:10" x14ac:dyDescent="0.35">
      <c r="A539" t="s">
        <v>317</v>
      </c>
      <c r="B539">
        <v>109</v>
      </c>
      <c r="C539">
        <v>62328</v>
      </c>
      <c r="D539" t="s">
        <v>893</v>
      </c>
      <c r="E539">
        <v>69.989999999999995</v>
      </c>
      <c r="F539">
        <v>40.963850000000001</v>
      </c>
      <c r="G539">
        <v>46188</v>
      </c>
      <c r="H539" t="s">
        <v>309</v>
      </c>
      <c r="I539">
        <v>60.860869565217385</v>
      </c>
      <c r="J539">
        <v>1</v>
      </c>
    </row>
    <row r="540" spans="1:10" x14ac:dyDescent="0.35">
      <c r="A540" t="s">
        <v>317</v>
      </c>
      <c r="B540">
        <v>109</v>
      </c>
      <c r="C540">
        <v>62328</v>
      </c>
      <c r="D540" t="s">
        <v>893</v>
      </c>
      <c r="E540">
        <v>69.989999999999995</v>
      </c>
      <c r="F540">
        <v>40.963850000000001</v>
      </c>
      <c r="G540">
        <v>46190</v>
      </c>
      <c r="H540" t="s">
        <v>316</v>
      </c>
      <c r="I540">
        <v>60.860869565217385</v>
      </c>
      <c r="J540">
        <v>1</v>
      </c>
    </row>
    <row r="541" spans="1:10" x14ac:dyDescent="0.35">
      <c r="A541" t="s">
        <v>317</v>
      </c>
      <c r="B541">
        <v>109</v>
      </c>
      <c r="C541">
        <v>62329</v>
      </c>
      <c r="D541" t="s">
        <v>894</v>
      </c>
      <c r="E541">
        <v>69.989999999999995</v>
      </c>
      <c r="F541">
        <v>40.963850000000001</v>
      </c>
      <c r="G541">
        <v>46189</v>
      </c>
      <c r="H541" t="s">
        <v>310</v>
      </c>
      <c r="I541">
        <v>60.860869565217385</v>
      </c>
      <c r="J541">
        <v>1</v>
      </c>
    </row>
    <row r="542" spans="1:10" x14ac:dyDescent="0.35">
      <c r="A542" t="s">
        <v>317</v>
      </c>
      <c r="B542">
        <v>101</v>
      </c>
      <c r="C542">
        <v>62333</v>
      </c>
      <c r="D542" t="s">
        <v>426</v>
      </c>
      <c r="E542">
        <v>69.989999999999995</v>
      </c>
      <c r="F542">
        <v>40.963850000000001</v>
      </c>
      <c r="G542">
        <v>46189</v>
      </c>
      <c r="H542" t="s">
        <v>310</v>
      </c>
      <c r="I542">
        <v>60.860869565217385</v>
      </c>
      <c r="J542">
        <v>1</v>
      </c>
    </row>
    <row r="543" spans="1:10" x14ac:dyDescent="0.35">
      <c r="A543" t="s">
        <v>14</v>
      </c>
      <c r="B543">
        <v>120</v>
      </c>
      <c r="C543">
        <v>62585</v>
      </c>
      <c r="D543" t="s">
        <v>281</v>
      </c>
      <c r="E543">
        <v>60</v>
      </c>
      <c r="F543">
        <v>26.17</v>
      </c>
      <c r="G543">
        <v>46189</v>
      </c>
      <c r="H543" t="s">
        <v>310</v>
      </c>
      <c r="I543">
        <v>6217.391304347826</v>
      </c>
      <c r="J543">
        <v>130</v>
      </c>
    </row>
    <row r="544" spans="1:10" x14ac:dyDescent="0.35">
      <c r="A544" t="s">
        <v>14</v>
      </c>
      <c r="B544">
        <v>101</v>
      </c>
      <c r="C544">
        <v>62622</v>
      </c>
      <c r="D544" t="s">
        <v>70</v>
      </c>
      <c r="E544">
        <v>26.99</v>
      </c>
      <c r="F544">
        <v>14.15</v>
      </c>
      <c r="G544">
        <v>46188</v>
      </c>
      <c r="H544" t="s">
        <v>309</v>
      </c>
      <c r="I544">
        <v>70.408695652173918</v>
      </c>
      <c r="J544">
        <v>3</v>
      </c>
    </row>
    <row r="545" spans="1:10" x14ac:dyDescent="0.35">
      <c r="A545" t="s">
        <v>14</v>
      </c>
      <c r="B545">
        <v>101</v>
      </c>
      <c r="C545">
        <v>62622</v>
      </c>
      <c r="D545" t="s">
        <v>70</v>
      </c>
      <c r="E545">
        <v>26.99</v>
      </c>
      <c r="F545">
        <v>14.15</v>
      </c>
      <c r="G545">
        <v>46190</v>
      </c>
      <c r="H545" t="s">
        <v>316</v>
      </c>
      <c r="I545">
        <v>91.530434782608694</v>
      </c>
      <c r="J545">
        <v>4</v>
      </c>
    </row>
    <row r="546" spans="1:10" x14ac:dyDescent="0.35">
      <c r="A546" t="s">
        <v>14</v>
      </c>
      <c r="B546">
        <v>101</v>
      </c>
      <c r="C546">
        <v>62622</v>
      </c>
      <c r="D546" t="s">
        <v>70</v>
      </c>
      <c r="E546">
        <v>26.99</v>
      </c>
      <c r="F546">
        <v>14.15</v>
      </c>
      <c r="G546">
        <v>46191</v>
      </c>
      <c r="H546" t="s">
        <v>960</v>
      </c>
      <c r="I546">
        <v>23.469565217391303</v>
      </c>
      <c r="J546">
        <v>1</v>
      </c>
    </row>
    <row r="547" spans="1:10" x14ac:dyDescent="0.35">
      <c r="A547" t="s">
        <v>14</v>
      </c>
      <c r="B547">
        <v>120</v>
      </c>
      <c r="C547">
        <v>62629</v>
      </c>
      <c r="D547" t="s">
        <v>282</v>
      </c>
      <c r="E547">
        <v>60</v>
      </c>
      <c r="F547">
        <v>33.18</v>
      </c>
      <c r="G547">
        <v>46189</v>
      </c>
      <c r="H547" t="s">
        <v>310</v>
      </c>
      <c r="I547">
        <v>1043.4782608695652</v>
      </c>
      <c r="J547">
        <v>20</v>
      </c>
    </row>
    <row r="548" spans="1:10" x14ac:dyDescent="0.35">
      <c r="A548" t="s">
        <v>317</v>
      </c>
      <c r="B548">
        <v>101</v>
      </c>
      <c r="C548">
        <v>62692</v>
      </c>
      <c r="D548" t="s">
        <v>434</v>
      </c>
      <c r="E548">
        <v>69.989999999999995</v>
      </c>
      <c r="F548">
        <v>43.867849999999997</v>
      </c>
      <c r="G548">
        <v>46190</v>
      </c>
      <c r="H548" t="s">
        <v>316</v>
      </c>
      <c r="I548">
        <v>57.817391304347822</v>
      </c>
      <c r="J548">
        <v>1</v>
      </c>
    </row>
    <row r="549" spans="1:10" x14ac:dyDescent="0.35">
      <c r="A549" t="s">
        <v>317</v>
      </c>
      <c r="B549">
        <v>109</v>
      </c>
      <c r="C549">
        <v>64321</v>
      </c>
      <c r="D549" t="s">
        <v>919</v>
      </c>
      <c r="E549">
        <v>31.99</v>
      </c>
      <c r="F549">
        <v>19.7093375</v>
      </c>
      <c r="G549">
        <v>46189</v>
      </c>
      <c r="H549" t="s">
        <v>310</v>
      </c>
      <c r="I549">
        <v>27.817391304347826</v>
      </c>
      <c r="J549">
        <v>1</v>
      </c>
    </row>
    <row r="550" spans="1:10" x14ac:dyDescent="0.35">
      <c r="A550" t="s">
        <v>317</v>
      </c>
      <c r="B550">
        <v>109</v>
      </c>
      <c r="C550">
        <v>64321</v>
      </c>
      <c r="D550" t="s">
        <v>919</v>
      </c>
      <c r="E550">
        <v>31.99</v>
      </c>
      <c r="F550">
        <v>19.7093375</v>
      </c>
      <c r="G550">
        <v>46190</v>
      </c>
      <c r="H550" t="s">
        <v>316</v>
      </c>
      <c r="I550">
        <v>54.243478260869566</v>
      </c>
      <c r="J550">
        <v>2</v>
      </c>
    </row>
    <row r="551" spans="1:10" x14ac:dyDescent="0.35">
      <c r="A551" t="s">
        <v>317</v>
      </c>
      <c r="B551">
        <v>109</v>
      </c>
      <c r="C551">
        <v>64321</v>
      </c>
      <c r="D551" t="s">
        <v>919</v>
      </c>
      <c r="E551">
        <v>31.99</v>
      </c>
      <c r="F551">
        <v>19.7093375</v>
      </c>
      <c r="G551">
        <v>46191</v>
      </c>
      <c r="H551" t="s">
        <v>960</v>
      </c>
      <c r="I551">
        <v>111.2695652173913</v>
      </c>
      <c r="J551">
        <v>4</v>
      </c>
    </row>
    <row r="552" spans="1:10" x14ac:dyDescent="0.35">
      <c r="A552" t="s">
        <v>317</v>
      </c>
      <c r="B552">
        <v>101</v>
      </c>
      <c r="C552">
        <v>64596</v>
      </c>
      <c r="D552" t="s">
        <v>444</v>
      </c>
      <c r="E552">
        <v>42.99</v>
      </c>
      <c r="F552">
        <v>27.290666666666667</v>
      </c>
      <c r="G552">
        <v>46188</v>
      </c>
      <c r="H552" t="s">
        <v>309</v>
      </c>
      <c r="I552">
        <v>74.765217391304347</v>
      </c>
      <c r="J552">
        <v>2</v>
      </c>
    </row>
    <row r="553" spans="1:10" x14ac:dyDescent="0.35">
      <c r="A553" t="s">
        <v>317</v>
      </c>
      <c r="B553">
        <v>101</v>
      </c>
      <c r="C553">
        <v>64596</v>
      </c>
      <c r="D553" t="s">
        <v>444</v>
      </c>
      <c r="E553">
        <v>42.99</v>
      </c>
      <c r="F553">
        <v>27.290666666666667</v>
      </c>
      <c r="G553">
        <v>46190</v>
      </c>
      <c r="H553" t="s">
        <v>316</v>
      </c>
      <c r="I553">
        <v>37.382608695652173</v>
      </c>
      <c r="J553">
        <v>1</v>
      </c>
    </row>
    <row r="554" spans="1:10" x14ac:dyDescent="0.35">
      <c r="A554" t="s">
        <v>804</v>
      </c>
      <c r="B554">
        <v>104</v>
      </c>
      <c r="C554">
        <v>66092</v>
      </c>
      <c r="D554" t="s">
        <v>931</v>
      </c>
      <c r="E554">
        <v>19.989999999999998</v>
      </c>
      <c r="F554">
        <v>12</v>
      </c>
      <c r="G554">
        <v>46188</v>
      </c>
      <c r="H554" t="s">
        <v>309</v>
      </c>
      <c r="I554">
        <v>17.382608695652173</v>
      </c>
      <c r="J554">
        <v>1</v>
      </c>
    </row>
    <row r="555" spans="1:10" x14ac:dyDescent="0.35">
      <c r="A555" t="s">
        <v>804</v>
      </c>
      <c r="B555">
        <v>104</v>
      </c>
      <c r="C555">
        <v>66092</v>
      </c>
      <c r="D555" t="s">
        <v>931</v>
      </c>
      <c r="E555">
        <v>19.989999999999998</v>
      </c>
      <c r="F555">
        <v>12</v>
      </c>
      <c r="G555">
        <v>46190</v>
      </c>
      <c r="H555" t="s">
        <v>316</v>
      </c>
      <c r="I555">
        <v>16.513043478260869</v>
      </c>
      <c r="J555">
        <v>1</v>
      </c>
    </row>
    <row r="556" spans="1:10" x14ac:dyDescent="0.35">
      <c r="A556" t="s">
        <v>804</v>
      </c>
      <c r="B556">
        <v>104</v>
      </c>
      <c r="C556">
        <v>66092</v>
      </c>
      <c r="D556" t="s">
        <v>931</v>
      </c>
      <c r="E556">
        <v>19.989999999999998</v>
      </c>
      <c r="F556">
        <v>12</v>
      </c>
      <c r="G556">
        <v>46191</v>
      </c>
      <c r="H556" t="s">
        <v>960</v>
      </c>
      <c r="I556">
        <v>52.14782608695652</v>
      </c>
      <c r="J556">
        <v>3</v>
      </c>
    </row>
    <row r="557" spans="1:10" x14ac:dyDescent="0.35">
      <c r="A557" t="s">
        <v>804</v>
      </c>
      <c r="B557">
        <v>104</v>
      </c>
      <c r="C557">
        <v>66093</v>
      </c>
      <c r="D557" t="s">
        <v>932</v>
      </c>
      <c r="E557">
        <v>19.989999999999998</v>
      </c>
      <c r="F557">
        <v>13.25</v>
      </c>
      <c r="G557">
        <v>46188</v>
      </c>
      <c r="H557" t="s">
        <v>309</v>
      </c>
      <c r="I557">
        <v>17.382608695652173</v>
      </c>
      <c r="J557">
        <v>1</v>
      </c>
    </row>
    <row r="558" spans="1:10" x14ac:dyDescent="0.35">
      <c r="A558" t="s">
        <v>804</v>
      </c>
      <c r="B558">
        <v>104</v>
      </c>
      <c r="C558">
        <v>66093</v>
      </c>
      <c r="D558" t="s">
        <v>932</v>
      </c>
      <c r="E558">
        <v>19.989999999999998</v>
      </c>
      <c r="F558">
        <v>13.25</v>
      </c>
      <c r="G558">
        <v>46189</v>
      </c>
      <c r="H558" t="s">
        <v>310</v>
      </c>
      <c r="I558">
        <v>34.765217391304347</v>
      </c>
      <c r="J558">
        <v>2</v>
      </c>
    </row>
    <row r="559" spans="1:10" x14ac:dyDescent="0.35">
      <c r="A559" t="s">
        <v>804</v>
      </c>
      <c r="B559">
        <v>104</v>
      </c>
      <c r="C559">
        <v>66093</v>
      </c>
      <c r="D559" t="s">
        <v>932</v>
      </c>
      <c r="E559">
        <v>19.989999999999998</v>
      </c>
      <c r="F559">
        <v>13.25</v>
      </c>
      <c r="G559">
        <v>46190</v>
      </c>
      <c r="H559" t="s">
        <v>316</v>
      </c>
      <c r="I559">
        <v>33.026086956521738</v>
      </c>
      <c r="J559">
        <v>2</v>
      </c>
    </row>
    <row r="560" spans="1:10" x14ac:dyDescent="0.35">
      <c r="A560" t="s">
        <v>804</v>
      </c>
      <c r="B560">
        <v>104</v>
      </c>
      <c r="C560">
        <v>66093</v>
      </c>
      <c r="D560" t="s">
        <v>932</v>
      </c>
      <c r="E560">
        <v>19.989999999999998</v>
      </c>
      <c r="F560">
        <v>13.25</v>
      </c>
      <c r="G560">
        <v>46191</v>
      </c>
      <c r="H560" t="s">
        <v>960</v>
      </c>
      <c r="I560">
        <v>86.913043478260875</v>
      </c>
      <c r="J560">
        <v>5</v>
      </c>
    </row>
    <row r="561" spans="1:10" x14ac:dyDescent="0.35">
      <c r="A561" t="s">
        <v>317</v>
      </c>
      <c r="B561">
        <v>101</v>
      </c>
      <c r="C561">
        <v>66653</v>
      </c>
      <c r="D561" t="s">
        <v>460</v>
      </c>
      <c r="E561">
        <v>49.99</v>
      </c>
      <c r="F561">
        <v>30.655766666666665</v>
      </c>
      <c r="G561">
        <v>46190</v>
      </c>
      <c r="H561" t="s">
        <v>316</v>
      </c>
      <c r="I561">
        <v>82.591304347826096</v>
      </c>
      <c r="J561">
        <v>2</v>
      </c>
    </row>
    <row r="562" spans="1:10" x14ac:dyDescent="0.35">
      <c r="A562" t="s">
        <v>317</v>
      </c>
      <c r="B562">
        <v>101</v>
      </c>
      <c r="C562">
        <v>66653</v>
      </c>
      <c r="D562" t="s">
        <v>460</v>
      </c>
      <c r="E562">
        <v>49.99</v>
      </c>
      <c r="F562">
        <v>30.655766666666665</v>
      </c>
      <c r="G562">
        <v>46191</v>
      </c>
      <c r="H562" t="s">
        <v>960</v>
      </c>
      <c r="I562">
        <v>173.87826086956522</v>
      </c>
      <c r="J562">
        <v>4</v>
      </c>
    </row>
    <row r="563" spans="1:10" x14ac:dyDescent="0.35">
      <c r="A563" t="s">
        <v>724</v>
      </c>
      <c r="B563">
        <v>112</v>
      </c>
      <c r="C563">
        <v>66728</v>
      </c>
      <c r="D563" t="s">
        <v>945</v>
      </c>
      <c r="E563">
        <v>79.989999999999995</v>
      </c>
      <c r="F563">
        <v>49.382599999999996</v>
      </c>
      <c r="G563">
        <v>46190</v>
      </c>
      <c r="H563" t="s">
        <v>316</v>
      </c>
      <c r="I563">
        <v>69.556521739130432</v>
      </c>
      <c r="J563">
        <v>1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CAFD8-3203-4AC6-B109-4C616129355F}">
  <dimension ref="A1:N901"/>
  <sheetViews>
    <sheetView topLeftCell="A8" workbookViewId="0">
      <selection activeCell="C9" sqref="C9"/>
    </sheetView>
  </sheetViews>
  <sheetFormatPr defaultRowHeight="13" x14ac:dyDescent="0.35"/>
  <cols>
    <col min="1" max="1" width="36.5" bestFit="1" customWidth="1"/>
    <col min="2" max="2" width="8" bestFit="1" customWidth="1"/>
    <col min="4" max="4" width="37" customWidth="1"/>
  </cols>
  <sheetData>
    <row r="1" spans="1:14" x14ac:dyDescent="0.35">
      <c r="A1" s="40"/>
      <c r="B1" s="40"/>
      <c r="C1" s="40"/>
      <c r="D1" s="40"/>
      <c r="E1" s="41"/>
      <c r="F1" s="41"/>
      <c r="G1" s="41" t="s">
        <v>306</v>
      </c>
      <c r="H1" s="41" t="s">
        <v>307</v>
      </c>
      <c r="I1" s="41" t="s">
        <v>308</v>
      </c>
      <c r="J1" s="41" t="s">
        <v>307</v>
      </c>
      <c r="K1" s="41" t="s">
        <v>315</v>
      </c>
      <c r="L1" s="41" t="s">
        <v>307</v>
      </c>
      <c r="M1" s="41" t="s">
        <v>471</v>
      </c>
      <c r="N1" s="41" t="s">
        <v>307</v>
      </c>
    </row>
    <row r="2" spans="1:14" ht="39" x14ac:dyDescent="0.35">
      <c r="A2" s="2" t="s">
        <v>0</v>
      </c>
      <c r="B2" s="2" t="s">
        <v>303</v>
      </c>
      <c r="C2" s="2" t="s">
        <v>1</v>
      </c>
      <c r="D2" s="2" t="s">
        <v>2</v>
      </c>
      <c r="E2" s="10" t="s">
        <v>3</v>
      </c>
      <c r="F2" s="10" t="s">
        <v>4</v>
      </c>
      <c r="G2" s="10" t="s">
        <v>6</v>
      </c>
      <c r="H2" s="10" t="s">
        <v>8</v>
      </c>
      <c r="I2" s="10" t="s">
        <v>6</v>
      </c>
      <c r="J2" s="10" t="s">
        <v>8</v>
      </c>
      <c r="K2" s="10" t="s">
        <v>6</v>
      </c>
      <c r="L2" s="10" t="s">
        <v>8</v>
      </c>
      <c r="M2" s="10" t="s">
        <v>6</v>
      </c>
      <c r="N2" s="10" t="s">
        <v>8</v>
      </c>
    </row>
    <row r="3" spans="1:14" x14ac:dyDescent="0.35">
      <c r="A3" s="3" t="s">
        <v>317</v>
      </c>
      <c r="B3" s="4">
        <v>115</v>
      </c>
      <c r="C3" s="5">
        <v>2701</v>
      </c>
      <c r="D3" s="3" t="s">
        <v>472</v>
      </c>
      <c r="E3" s="16">
        <v>999.99</v>
      </c>
      <c r="F3" s="16">
        <v>700.03539999999998</v>
      </c>
      <c r="G3" s="36">
        <v>0</v>
      </c>
      <c r="H3" s="36">
        <v>0</v>
      </c>
      <c r="I3" s="36">
        <v>0</v>
      </c>
      <c r="J3" s="36">
        <v>0</v>
      </c>
      <c r="K3" s="36">
        <v>0</v>
      </c>
      <c r="L3" s="36">
        <v>0</v>
      </c>
      <c r="M3" s="36">
        <v>0</v>
      </c>
      <c r="N3" s="36">
        <v>0</v>
      </c>
    </row>
    <row r="4" spans="1:14" x14ac:dyDescent="0.35">
      <c r="A4" s="3" t="s">
        <v>317</v>
      </c>
      <c r="B4" s="4">
        <v>103</v>
      </c>
      <c r="C4" s="5">
        <v>2720</v>
      </c>
      <c r="D4" s="3" t="s">
        <v>473</v>
      </c>
      <c r="E4" s="16">
        <v>276.39</v>
      </c>
      <c r="F4" s="16">
        <v>182.42449999999999</v>
      </c>
      <c r="G4" s="36">
        <v>0</v>
      </c>
      <c r="H4" s="36">
        <v>0</v>
      </c>
      <c r="I4" s="36">
        <v>0</v>
      </c>
      <c r="J4" s="36">
        <v>0</v>
      </c>
      <c r="K4" s="36">
        <v>0</v>
      </c>
      <c r="L4" s="36">
        <v>0</v>
      </c>
      <c r="M4" s="36">
        <v>0</v>
      </c>
      <c r="N4" s="36">
        <v>0</v>
      </c>
    </row>
    <row r="5" spans="1:14" x14ac:dyDescent="0.35">
      <c r="A5" s="3" t="s">
        <v>317</v>
      </c>
      <c r="B5" s="4">
        <v>103</v>
      </c>
      <c r="C5" s="5">
        <v>2729</v>
      </c>
      <c r="D5" s="3" t="s">
        <v>474</v>
      </c>
      <c r="E5" s="16">
        <v>335.79</v>
      </c>
      <c r="F5" s="16">
        <v>221.62710000000001</v>
      </c>
      <c r="G5" s="36">
        <v>0</v>
      </c>
      <c r="H5" s="36">
        <v>0</v>
      </c>
      <c r="I5" s="36">
        <v>0</v>
      </c>
      <c r="J5" s="36">
        <v>0</v>
      </c>
      <c r="K5" s="36">
        <v>0</v>
      </c>
      <c r="L5" s="36">
        <v>0</v>
      </c>
      <c r="M5" s="36">
        <v>0</v>
      </c>
      <c r="N5" s="36">
        <v>0</v>
      </c>
    </row>
    <row r="6" spans="1:14" x14ac:dyDescent="0.35">
      <c r="A6" s="3" t="s">
        <v>317</v>
      </c>
      <c r="B6" s="4">
        <v>103</v>
      </c>
      <c r="C6" s="5">
        <v>2730</v>
      </c>
      <c r="D6" s="3" t="s">
        <v>475</v>
      </c>
      <c r="E6" s="16">
        <v>317.64999999999998</v>
      </c>
      <c r="F6" s="16">
        <v>209.6497</v>
      </c>
      <c r="G6" s="36">
        <v>0</v>
      </c>
      <c r="H6" s="36">
        <v>0</v>
      </c>
      <c r="I6" s="36">
        <v>0</v>
      </c>
      <c r="J6" s="36">
        <v>0</v>
      </c>
      <c r="K6" s="36">
        <v>0</v>
      </c>
      <c r="L6" s="36">
        <v>0</v>
      </c>
      <c r="M6" s="36">
        <v>0</v>
      </c>
      <c r="N6" s="36">
        <v>0</v>
      </c>
    </row>
    <row r="7" spans="1:14" x14ac:dyDescent="0.35">
      <c r="A7" s="3" t="s">
        <v>317</v>
      </c>
      <c r="B7" s="4">
        <v>101</v>
      </c>
      <c r="C7" s="5">
        <v>2733</v>
      </c>
      <c r="D7" s="3" t="s">
        <v>318</v>
      </c>
      <c r="E7" s="16">
        <v>621.19000000000005</v>
      </c>
      <c r="F7" s="16">
        <v>410</v>
      </c>
      <c r="G7" s="36">
        <v>0</v>
      </c>
      <c r="H7" s="36">
        <v>0</v>
      </c>
      <c r="I7" s="36">
        <v>0</v>
      </c>
      <c r="J7" s="36">
        <v>0</v>
      </c>
      <c r="K7" s="36">
        <v>0</v>
      </c>
      <c r="L7" s="36">
        <v>0</v>
      </c>
      <c r="M7" s="36">
        <v>0</v>
      </c>
      <c r="N7" s="36">
        <v>0</v>
      </c>
    </row>
    <row r="8" spans="1:14" x14ac:dyDescent="0.35">
      <c r="A8" s="3" t="s">
        <v>476</v>
      </c>
      <c r="B8" s="4">
        <v>109</v>
      </c>
      <c r="C8" s="5">
        <v>8913</v>
      </c>
      <c r="D8" s="3" t="s">
        <v>477</v>
      </c>
      <c r="E8" s="16">
        <v>9.99</v>
      </c>
      <c r="F8" s="16">
        <v>5.7391666666666667</v>
      </c>
      <c r="G8" s="36">
        <v>26.060869565217391</v>
      </c>
      <c r="H8" s="36">
        <v>3</v>
      </c>
      <c r="I8" s="36">
        <v>26.060869565217391</v>
      </c>
      <c r="J8" s="36">
        <v>3</v>
      </c>
      <c r="K8" s="36">
        <v>0</v>
      </c>
      <c r="L8" s="36">
        <v>0</v>
      </c>
      <c r="M8" s="36">
        <v>8.6869565217391305</v>
      </c>
      <c r="N8" s="36">
        <v>1</v>
      </c>
    </row>
    <row r="9" spans="1:14" x14ac:dyDescent="0.35">
      <c r="A9" s="3" t="s">
        <v>476</v>
      </c>
      <c r="B9" s="4">
        <v>109</v>
      </c>
      <c r="C9" s="5">
        <v>8915</v>
      </c>
      <c r="D9" s="3" t="s">
        <v>478</v>
      </c>
      <c r="E9" s="16">
        <v>9.99</v>
      </c>
      <c r="F9" s="16">
        <v>5.7391666666666667</v>
      </c>
      <c r="G9" s="36">
        <v>8.6869565217391305</v>
      </c>
      <c r="H9" s="36">
        <v>1</v>
      </c>
      <c r="I9" s="36">
        <v>0</v>
      </c>
      <c r="J9" s="36">
        <v>0</v>
      </c>
      <c r="K9" s="36">
        <v>17.373913043478261</v>
      </c>
      <c r="L9" s="36">
        <v>2</v>
      </c>
      <c r="M9" s="36">
        <v>0</v>
      </c>
      <c r="N9" s="36">
        <v>0</v>
      </c>
    </row>
    <row r="10" spans="1:14" x14ac:dyDescent="0.35">
      <c r="A10" s="3" t="s">
        <v>317</v>
      </c>
      <c r="B10" s="4">
        <v>113</v>
      </c>
      <c r="C10" s="5">
        <v>11523</v>
      </c>
      <c r="D10" s="3" t="s">
        <v>479</v>
      </c>
      <c r="E10" s="16">
        <v>31.99</v>
      </c>
      <c r="F10" s="16">
        <v>17.388622222222224</v>
      </c>
      <c r="G10" s="36">
        <v>0</v>
      </c>
      <c r="H10" s="36">
        <v>0</v>
      </c>
      <c r="I10" s="36">
        <v>0</v>
      </c>
      <c r="J10" s="36">
        <v>0</v>
      </c>
      <c r="K10" s="36">
        <v>0</v>
      </c>
      <c r="L10" s="36">
        <v>0</v>
      </c>
      <c r="M10" s="36">
        <v>0</v>
      </c>
      <c r="N10" s="36">
        <v>0</v>
      </c>
    </row>
    <row r="11" spans="1:14" x14ac:dyDescent="0.35">
      <c r="A11" s="3" t="s">
        <v>317</v>
      </c>
      <c r="B11" s="4">
        <v>101</v>
      </c>
      <c r="C11" s="5">
        <v>12670</v>
      </c>
      <c r="D11" s="3" t="s">
        <v>319</v>
      </c>
      <c r="E11" s="16">
        <v>49.99</v>
      </c>
      <c r="F11" s="16">
        <v>28.506091666666666</v>
      </c>
      <c r="G11" s="36">
        <v>0</v>
      </c>
      <c r="H11" s="36">
        <v>0</v>
      </c>
      <c r="I11" s="36">
        <v>0</v>
      </c>
      <c r="J11" s="36">
        <v>0</v>
      </c>
      <c r="K11" s="36">
        <v>0</v>
      </c>
      <c r="L11" s="36">
        <v>0</v>
      </c>
      <c r="M11" s="36">
        <v>0</v>
      </c>
      <c r="N11" s="36">
        <v>0</v>
      </c>
    </row>
    <row r="12" spans="1:14" x14ac:dyDescent="0.35">
      <c r="A12" s="3" t="s">
        <v>317</v>
      </c>
      <c r="B12" s="4">
        <v>103</v>
      </c>
      <c r="C12" s="5">
        <v>12677</v>
      </c>
      <c r="D12" s="3" t="s">
        <v>480</v>
      </c>
      <c r="E12" s="16">
        <v>580</v>
      </c>
      <c r="F12" s="16">
        <v>354.16660000000002</v>
      </c>
      <c r="G12" s="36">
        <v>0</v>
      </c>
      <c r="H12" s="36">
        <v>0</v>
      </c>
      <c r="I12" s="36">
        <v>0</v>
      </c>
      <c r="J12" s="36">
        <v>0</v>
      </c>
      <c r="K12" s="36">
        <v>0</v>
      </c>
      <c r="L12" s="36">
        <v>0</v>
      </c>
      <c r="M12" s="36">
        <v>0</v>
      </c>
      <c r="N12" s="36">
        <v>0</v>
      </c>
    </row>
    <row r="13" spans="1:14" x14ac:dyDescent="0.35">
      <c r="A13" s="3" t="s">
        <v>317</v>
      </c>
      <c r="B13" s="4">
        <v>110</v>
      </c>
      <c r="C13" s="5">
        <v>14543</v>
      </c>
      <c r="D13" s="3" t="s">
        <v>481</v>
      </c>
      <c r="E13" s="16">
        <v>48.99</v>
      </c>
      <c r="F13" s="16">
        <v>30.12068</v>
      </c>
      <c r="G13" s="36">
        <v>0</v>
      </c>
      <c r="H13" s="36">
        <v>0</v>
      </c>
      <c r="I13" s="36">
        <v>0</v>
      </c>
      <c r="J13" s="36">
        <v>0</v>
      </c>
      <c r="K13" s="36">
        <v>0</v>
      </c>
      <c r="L13" s="36">
        <v>0</v>
      </c>
      <c r="M13" s="36">
        <v>0</v>
      </c>
      <c r="N13" s="36">
        <v>0</v>
      </c>
    </row>
    <row r="14" spans="1:14" x14ac:dyDescent="0.35">
      <c r="A14" s="3" t="s">
        <v>317</v>
      </c>
      <c r="B14" s="4">
        <v>106</v>
      </c>
      <c r="C14" s="5">
        <v>14582</v>
      </c>
      <c r="D14" s="3" t="s">
        <v>482</v>
      </c>
      <c r="E14" s="16">
        <v>22.99</v>
      </c>
      <c r="F14" s="16">
        <v>13.88095</v>
      </c>
      <c r="G14" s="36">
        <v>0</v>
      </c>
      <c r="H14" s="36">
        <v>0</v>
      </c>
      <c r="I14" s="36">
        <v>0</v>
      </c>
      <c r="J14" s="36">
        <v>0</v>
      </c>
      <c r="K14" s="36">
        <v>0</v>
      </c>
      <c r="L14" s="36">
        <v>0</v>
      </c>
      <c r="M14" s="36">
        <v>19.991304347826087</v>
      </c>
      <c r="N14" s="36">
        <v>1</v>
      </c>
    </row>
    <row r="15" spans="1:14" x14ac:dyDescent="0.35">
      <c r="A15" s="3" t="s">
        <v>317</v>
      </c>
      <c r="B15" s="4">
        <v>101</v>
      </c>
      <c r="C15" s="5">
        <v>14596</v>
      </c>
      <c r="D15" s="3" t="s">
        <v>320</v>
      </c>
      <c r="E15" s="16">
        <v>22.99</v>
      </c>
      <c r="F15" s="16">
        <v>13.88095</v>
      </c>
      <c r="G15" s="36">
        <v>0</v>
      </c>
      <c r="H15" s="36">
        <v>0</v>
      </c>
      <c r="I15" s="36">
        <v>0</v>
      </c>
      <c r="J15" s="36">
        <v>0</v>
      </c>
      <c r="K15" s="36">
        <v>0</v>
      </c>
      <c r="L15" s="36">
        <v>0</v>
      </c>
      <c r="M15" s="36">
        <v>0</v>
      </c>
      <c r="N15" s="36">
        <v>0</v>
      </c>
    </row>
    <row r="16" spans="1:14" x14ac:dyDescent="0.35">
      <c r="A16" s="3" t="s">
        <v>317</v>
      </c>
      <c r="B16" s="4">
        <v>106</v>
      </c>
      <c r="C16" s="5">
        <v>14712</v>
      </c>
      <c r="D16" s="3" t="s">
        <v>483</v>
      </c>
      <c r="E16" s="16">
        <v>51.99</v>
      </c>
      <c r="F16" s="16">
        <v>32.214849999999998</v>
      </c>
      <c r="G16" s="36">
        <v>90.417391304347831</v>
      </c>
      <c r="H16" s="36">
        <v>2</v>
      </c>
      <c r="I16" s="36">
        <v>0</v>
      </c>
      <c r="J16" s="36">
        <v>0</v>
      </c>
      <c r="K16" s="36">
        <v>0</v>
      </c>
      <c r="L16" s="36">
        <v>0</v>
      </c>
      <c r="M16" s="36">
        <v>0</v>
      </c>
      <c r="N16" s="36">
        <v>0</v>
      </c>
    </row>
    <row r="17" spans="1:14" x14ac:dyDescent="0.35">
      <c r="A17" s="3" t="s">
        <v>317</v>
      </c>
      <c r="B17" s="4">
        <v>106</v>
      </c>
      <c r="C17" s="5">
        <v>14713</v>
      </c>
      <c r="D17" s="3" t="s">
        <v>484</v>
      </c>
      <c r="E17" s="16">
        <v>39.99</v>
      </c>
      <c r="F17" s="16">
        <v>25.062649999999998</v>
      </c>
      <c r="G17" s="36">
        <v>34.77391304347826</v>
      </c>
      <c r="H17" s="36">
        <v>1</v>
      </c>
      <c r="I17" s="36">
        <v>173.86956521739128</v>
      </c>
      <c r="J17" s="36">
        <v>5</v>
      </c>
      <c r="K17" s="36">
        <v>34.77391304347826</v>
      </c>
      <c r="L17" s="36">
        <v>1</v>
      </c>
      <c r="M17" s="36">
        <v>34.77391304347826</v>
      </c>
      <c r="N17" s="36">
        <v>1</v>
      </c>
    </row>
    <row r="18" spans="1:14" x14ac:dyDescent="0.35">
      <c r="A18" s="3" t="s">
        <v>317</v>
      </c>
      <c r="B18" s="4">
        <v>106</v>
      </c>
      <c r="C18" s="5">
        <v>14714</v>
      </c>
      <c r="D18" s="3" t="s">
        <v>485</v>
      </c>
      <c r="E18" s="16">
        <v>43.99</v>
      </c>
      <c r="F18" s="16">
        <v>27.177240000000001</v>
      </c>
      <c r="G18" s="36">
        <v>38.252173913043478</v>
      </c>
      <c r="H18" s="36">
        <v>1</v>
      </c>
      <c r="I18" s="36">
        <v>0</v>
      </c>
      <c r="J18" s="36">
        <v>0</v>
      </c>
      <c r="K18" s="36">
        <v>0</v>
      </c>
      <c r="L18" s="36">
        <v>0</v>
      </c>
      <c r="M18" s="36">
        <v>0</v>
      </c>
      <c r="N18" s="36">
        <v>0</v>
      </c>
    </row>
    <row r="19" spans="1:14" x14ac:dyDescent="0.35">
      <c r="A19" s="3" t="s">
        <v>317</v>
      </c>
      <c r="B19" s="4">
        <v>106</v>
      </c>
      <c r="C19" s="5">
        <v>14715</v>
      </c>
      <c r="D19" s="3" t="s">
        <v>486</v>
      </c>
      <c r="E19" s="16">
        <v>43.99</v>
      </c>
      <c r="F19" s="16">
        <v>27.177240000000001</v>
      </c>
      <c r="G19" s="36">
        <v>0</v>
      </c>
      <c r="H19" s="36">
        <v>0</v>
      </c>
      <c r="I19" s="36">
        <v>0</v>
      </c>
      <c r="J19" s="36">
        <v>0</v>
      </c>
      <c r="K19" s="36">
        <v>0</v>
      </c>
      <c r="L19" s="36">
        <v>0</v>
      </c>
      <c r="M19" s="36">
        <v>0</v>
      </c>
      <c r="N19" s="36">
        <v>0</v>
      </c>
    </row>
    <row r="20" spans="1:14" x14ac:dyDescent="0.35">
      <c r="A20" s="3" t="s">
        <v>317</v>
      </c>
      <c r="B20" s="4">
        <v>106</v>
      </c>
      <c r="C20" s="5">
        <v>14716</v>
      </c>
      <c r="D20" s="3" t="s">
        <v>487</v>
      </c>
      <c r="E20" s="16">
        <v>43.99</v>
      </c>
      <c r="F20" s="16">
        <v>27.177240000000001</v>
      </c>
      <c r="G20" s="36">
        <v>114.75652173913043</v>
      </c>
      <c r="H20" s="36">
        <v>3</v>
      </c>
      <c r="I20" s="36">
        <v>0</v>
      </c>
      <c r="J20" s="36">
        <v>0</v>
      </c>
      <c r="K20" s="36">
        <v>0</v>
      </c>
      <c r="L20" s="36">
        <v>0</v>
      </c>
      <c r="M20" s="36">
        <v>76.504347826086956</v>
      </c>
      <c r="N20" s="36">
        <v>2</v>
      </c>
    </row>
    <row r="21" spans="1:14" x14ac:dyDescent="0.35">
      <c r="A21" s="3" t="s">
        <v>317</v>
      </c>
      <c r="B21" s="4">
        <v>106</v>
      </c>
      <c r="C21" s="5">
        <v>14717</v>
      </c>
      <c r="D21" s="3" t="s">
        <v>488</v>
      </c>
      <c r="E21" s="16">
        <v>43.99</v>
      </c>
      <c r="F21" s="16">
        <v>27.177240000000001</v>
      </c>
      <c r="G21" s="36">
        <v>0</v>
      </c>
      <c r="H21" s="36">
        <v>0</v>
      </c>
      <c r="I21" s="36">
        <v>0</v>
      </c>
      <c r="J21" s="36">
        <v>0</v>
      </c>
      <c r="K21" s="36">
        <v>0</v>
      </c>
      <c r="L21" s="36">
        <v>0</v>
      </c>
      <c r="M21" s="36">
        <v>0</v>
      </c>
      <c r="N21" s="36">
        <v>0</v>
      </c>
    </row>
    <row r="22" spans="1:14" x14ac:dyDescent="0.35">
      <c r="A22" s="3" t="s">
        <v>317</v>
      </c>
      <c r="B22" s="4">
        <v>109</v>
      </c>
      <c r="C22" s="5">
        <v>14718</v>
      </c>
      <c r="D22" s="3" t="s">
        <v>489</v>
      </c>
      <c r="E22" s="16">
        <v>54.99</v>
      </c>
      <c r="F22" s="16">
        <v>34.176700000000004</v>
      </c>
      <c r="G22" s="36">
        <v>0</v>
      </c>
      <c r="H22" s="36">
        <v>0</v>
      </c>
      <c r="I22" s="36">
        <v>0</v>
      </c>
      <c r="J22" s="36">
        <v>0</v>
      </c>
      <c r="K22" s="36">
        <v>0</v>
      </c>
      <c r="L22" s="36">
        <v>0</v>
      </c>
      <c r="M22" s="36">
        <v>0</v>
      </c>
      <c r="N22" s="36">
        <v>0</v>
      </c>
    </row>
    <row r="23" spans="1:14" x14ac:dyDescent="0.35">
      <c r="A23" s="3" t="s">
        <v>317</v>
      </c>
      <c r="B23" s="4">
        <v>106</v>
      </c>
      <c r="C23" s="5">
        <v>14719</v>
      </c>
      <c r="D23" s="3" t="s">
        <v>490</v>
      </c>
      <c r="E23" s="16">
        <v>28.99</v>
      </c>
      <c r="F23" s="16">
        <v>18.022949999999998</v>
      </c>
      <c r="G23" s="36">
        <v>0</v>
      </c>
      <c r="H23" s="36">
        <v>0</v>
      </c>
      <c r="I23" s="36">
        <v>0</v>
      </c>
      <c r="J23" s="36">
        <v>0</v>
      </c>
      <c r="K23" s="36">
        <v>0</v>
      </c>
      <c r="L23" s="36">
        <v>0</v>
      </c>
      <c r="M23" s="36">
        <v>0</v>
      </c>
      <c r="N23" s="36">
        <v>0</v>
      </c>
    </row>
    <row r="24" spans="1:14" x14ac:dyDescent="0.35">
      <c r="A24" s="3" t="s">
        <v>317</v>
      </c>
      <c r="B24" s="4">
        <v>106</v>
      </c>
      <c r="C24" s="5">
        <v>14720</v>
      </c>
      <c r="D24" s="3" t="s">
        <v>491</v>
      </c>
      <c r="E24" s="16">
        <v>28.99</v>
      </c>
      <c r="F24" s="16">
        <v>18.022949999999998</v>
      </c>
      <c r="G24" s="36">
        <v>0</v>
      </c>
      <c r="H24" s="36">
        <v>0</v>
      </c>
      <c r="I24" s="36">
        <v>0</v>
      </c>
      <c r="J24" s="36">
        <v>0</v>
      </c>
      <c r="K24" s="36">
        <v>0</v>
      </c>
      <c r="L24" s="36">
        <v>0</v>
      </c>
      <c r="M24" s="36">
        <v>0</v>
      </c>
      <c r="N24" s="36">
        <v>0</v>
      </c>
    </row>
    <row r="25" spans="1:14" x14ac:dyDescent="0.35">
      <c r="A25" s="3" t="s">
        <v>317</v>
      </c>
      <c r="B25" s="4">
        <v>106</v>
      </c>
      <c r="C25" s="5">
        <v>14721</v>
      </c>
      <c r="D25" s="3" t="s">
        <v>492</v>
      </c>
      <c r="E25" s="16">
        <v>42.99</v>
      </c>
      <c r="F25" s="16">
        <v>26.658679999999997</v>
      </c>
      <c r="G25" s="36">
        <v>37.382608695652173</v>
      </c>
      <c r="H25" s="36">
        <v>1</v>
      </c>
      <c r="I25" s="36">
        <v>0</v>
      </c>
      <c r="J25" s="36">
        <v>0</v>
      </c>
      <c r="K25" s="36">
        <v>0</v>
      </c>
      <c r="L25" s="36">
        <v>0</v>
      </c>
      <c r="M25" s="36">
        <v>0</v>
      </c>
      <c r="N25" s="36">
        <v>0</v>
      </c>
    </row>
    <row r="26" spans="1:14" x14ac:dyDescent="0.35">
      <c r="A26" s="3" t="s">
        <v>317</v>
      </c>
      <c r="B26" s="4">
        <v>106</v>
      </c>
      <c r="C26" s="5">
        <v>14722</v>
      </c>
      <c r="D26" s="3" t="s">
        <v>493</v>
      </c>
      <c r="E26" s="16">
        <v>48.99</v>
      </c>
      <c r="F26" s="16">
        <v>30.480033333333335</v>
      </c>
      <c r="G26" s="36">
        <v>0</v>
      </c>
      <c r="H26" s="36">
        <v>0</v>
      </c>
      <c r="I26" s="36">
        <v>0</v>
      </c>
      <c r="J26" s="36">
        <v>0</v>
      </c>
      <c r="K26" s="36">
        <v>0</v>
      </c>
      <c r="L26" s="36">
        <v>0</v>
      </c>
      <c r="M26" s="36">
        <v>0</v>
      </c>
      <c r="N26" s="36">
        <v>0</v>
      </c>
    </row>
    <row r="27" spans="1:14" x14ac:dyDescent="0.35">
      <c r="A27" s="3" t="s">
        <v>317</v>
      </c>
      <c r="B27" s="4">
        <v>106</v>
      </c>
      <c r="C27" s="5">
        <v>14723</v>
      </c>
      <c r="D27" s="3" t="s">
        <v>494</v>
      </c>
      <c r="E27" s="16">
        <v>57.99</v>
      </c>
      <c r="F27" s="16">
        <v>36.126940000000005</v>
      </c>
      <c r="G27" s="36">
        <v>0</v>
      </c>
      <c r="H27" s="36">
        <v>0</v>
      </c>
      <c r="I27" s="36">
        <v>50.426086956521743</v>
      </c>
      <c r="J27" s="36">
        <v>1</v>
      </c>
      <c r="K27" s="36">
        <v>0</v>
      </c>
      <c r="L27" s="36">
        <v>0</v>
      </c>
      <c r="M27" s="36">
        <v>0</v>
      </c>
      <c r="N27" s="36">
        <v>0</v>
      </c>
    </row>
    <row r="28" spans="1:14" x14ac:dyDescent="0.35">
      <c r="A28" s="3" t="s">
        <v>317</v>
      </c>
      <c r="B28" s="4">
        <v>106</v>
      </c>
      <c r="C28" s="5">
        <v>14726</v>
      </c>
      <c r="D28" s="3" t="s">
        <v>495</v>
      </c>
      <c r="E28" s="16">
        <v>51.99</v>
      </c>
      <c r="F28" s="16">
        <v>32.159280000000003</v>
      </c>
      <c r="G28" s="36">
        <v>0</v>
      </c>
      <c r="H28" s="36">
        <v>0</v>
      </c>
      <c r="I28" s="36">
        <v>0</v>
      </c>
      <c r="J28" s="36">
        <v>0</v>
      </c>
      <c r="K28" s="36">
        <v>0</v>
      </c>
      <c r="L28" s="36">
        <v>0</v>
      </c>
      <c r="M28" s="36">
        <v>0</v>
      </c>
      <c r="N28" s="36">
        <v>0</v>
      </c>
    </row>
    <row r="29" spans="1:14" x14ac:dyDescent="0.35">
      <c r="A29" s="3" t="s">
        <v>317</v>
      </c>
      <c r="B29" s="4">
        <v>106</v>
      </c>
      <c r="C29" s="5">
        <v>14727</v>
      </c>
      <c r="D29" s="3" t="s">
        <v>496</v>
      </c>
      <c r="E29" s="16">
        <v>51.99</v>
      </c>
      <c r="F29" s="16">
        <v>32.159280000000003</v>
      </c>
      <c r="G29" s="36">
        <v>0</v>
      </c>
      <c r="H29" s="36">
        <v>0</v>
      </c>
      <c r="I29" s="36">
        <v>0</v>
      </c>
      <c r="J29" s="36">
        <v>0</v>
      </c>
      <c r="K29" s="36">
        <v>0</v>
      </c>
      <c r="L29" s="36">
        <v>0</v>
      </c>
      <c r="M29" s="36">
        <v>0</v>
      </c>
      <c r="N29" s="36">
        <v>0</v>
      </c>
    </row>
    <row r="30" spans="1:14" x14ac:dyDescent="0.35">
      <c r="A30" s="3" t="s">
        <v>317</v>
      </c>
      <c r="B30" s="4">
        <v>106</v>
      </c>
      <c r="C30" s="5">
        <v>14728</v>
      </c>
      <c r="D30" s="3" t="s">
        <v>497</v>
      </c>
      <c r="E30" s="16">
        <v>51.99</v>
      </c>
      <c r="F30" s="16">
        <v>32.159280000000003</v>
      </c>
      <c r="G30" s="36">
        <v>180.83478260869566</v>
      </c>
      <c r="H30" s="36">
        <v>4</v>
      </c>
      <c r="I30" s="36">
        <v>0</v>
      </c>
      <c r="J30" s="36">
        <v>0</v>
      </c>
      <c r="K30" s="36">
        <v>0</v>
      </c>
      <c r="L30" s="36">
        <v>0</v>
      </c>
      <c r="M30" s="36">
        <v>0</v>
      </c>
      <c r="N30" s="36">
        <v>0</v>
      </c>
    </row>
    <row r="31" spans="1:14" x14ac:dyDescent="0.35">
      <c r="A31" s="3" t="s">
        <v>317</v>
      </c>
      <c r="B31" s="4">
        <v>108</v>
      </c>
      <c r="C31" s="5">
        <v>14833</v>
      </c>
      <c r="D31" s="3" t="s">
        <v>498</v>
      </c>
      <c r="E31" s="16">
        <v>67.989999999999995</v>
      </c>
      <c r="F31" s="16">
        <v>41.68047</v>
      </c>
      <c r="G31" s="36">
        <v>0</v>
      </c>
      <c r="H31" s="36">
        <v>0</v>
      </c>
      <c r="I31" s="36">
        <v>0</v>
      </c>
      <c r="J31" s="36">
        <v>0</v>
      </c>
      <c r="K31" s="36">
        <v>0</v>
      </c>
      <c r="L31" s="36">
        <v>0</v>
      </c>
      <c r="M31" s="36">
        <v>0</v>
      </c>
      <c r="N31" s="36">
        <v>0</v>
      </c>
    </row>
    <row r="32" spans="1:14" x14ac:dyDescent="0.35">
      <c r="A32" s="3" t="s">
        <v>317</v>
      </c>
      <c r="B32" s="4">
        <v>108</v>
      </c>
      <c r="C32" s="5">
        <v>14834</v>
      </c>
      <c r="D32" s="3" t="s">
        <v>499</v>
      </c>
      <c r="E32" s="16">
        <v>67.989999999999995</v>
      </c>
      <c r="F32" s="16">
        <v>41.68047</v>
      </c>
      <c r="G32" s="36">
        <v>0</v>
      </c>
      <c r="H32" s="36">
        <v>0</v>
      </c>
      <c r="I32" s="36">
        <v>59.121739130434776</v>
      </c>
      <c r="J32" s="36">
        <v>1</v>
      </c>
      <c r="K32" s="36">
        <v>0</v>
      </c>
      <c r="L32" s="36">
        <v>0</v>
      </c>
      <c r="M32" s="36">
        <v>0</v>
      </c>
      <c r="N32" s="36">
        <v>0</v>
      </c>
    </row>
    <row r="33" spans="1:14" x14ac:dyDescent="0.35">
      <c r="A33" s="3" t="s">
        <v>317</v>
      </c>
      <c r="B33" s="4">
        <v>108</v>
      </c>
      <c r="C33" s="5">
        <v>14835</v>
      </c>
      <c r="D33" s="3" t="s">
        <v>500</v>
      </c>
      <c r="E33" s="16">
        <v>67.989999999999995</v>
      </c>
      <c r="F33" s="16">
        <v>41.68047</v>
      </c>
      <c r="G33" s="36">
        <v>0</v>
      </c>
      <c r="H33" s="36">
        <v>0</v>
      </c>
      <c r="I33" s="36">
        <v>0</v>
      </c>
      <c r="J33" s="36">
        <v>0</v>
      </c>
      <c r="K33" s="36">
        <v>0</v>
      </c>
      <c r="L33" s="36">
        <v>0</v>
      </c>
      <c r="M33" s="36">
        <v>59.121739130434776</v>
      </c>
      <c r="N33" s="36">
        <v>1</v>
      </c>
    </row>
    <row r="34" spans="1:14" x14ac:dyDescent="0.35">
      <c r="A34" s="3" t="s">
        <v>317</v>
      </c>
      <c r="B34" s="4">
        <v>108</v>
      </c>
      <c r="C34" s="5">
        <v>14846</v>
      </c>
      <c r="D34" s="3" t="s">
        <v>501</v>
      </c>
      <c r="E34" s="16">
        <v>109.99</v>
      </c>
      <c r="F34" s="16">
        <v>67.861333333333334</v>
      </c>
      <c r="G34" s="36">
        <v>0</v>
      </c>
      <c r="H34" s="36">
        <v>0</v>
      </c>
      <c r="I34" s="36">
        <v>95.643478260869557</v>
      </c>
      <c r="J34" s="36">
        <v>1</v>
      </c>
      <c r="K34" s="36">
        <v>0</v>
      </c>
      <c r="L34" s="36">
        <v>0</v>
      </c>
      <c r="M34" s="36">
        <v>0</v>
      </c>
      <c r="N34" s="36">
        <v>0</v>
      </c>
    </row>
    <row r="35" spans="1:14" x14ac:dyDescent="0.35">
      <c r="A35" s="3" t="s">
        <v>317</v>
      </c>
      <c r="B35" s="4">
        <v>108</v>
      </c>
      <c r="C35" s="5">
        <v>14847</v>
      </c>
      <c r="D35" s="3" t="s">
        <v>502</v>
      </c>
      <c r="E35" s="16">
        <v>109.99</v>
      </c>
      <c r="F35" s="16">
        <v>67.861333333333334</v>
      </c>
      <c r="G35" s="36">
        <v>191.28695652173911</v>
      </c>
      <c r="H35" s="36">
        <v>2</v>
      </c>
      <c r="I35" s="36">
        <v>95.643478260869557</v>
      </c>
      <c r="J35" s="36">
        <v>1</v>
      </c>
      <c r="K35" s="36">
        <v>0</v>
      </c>
      <c r="L35" s="36">
        <v>0</v>
      </c>
      <c r="M35" s="36">
        <v>95.643478260869557</v>
      </c>
      <c r="N35" s="36">
        <v>1</v>
      </c>
    </row>
    <row r="36" spans="1:14" x14ac:dyDescent="0.35">
      <c r="A36" s="3" t="s">
        <v>317</v>
      </c>
      <c r="B36" s="4">
        <v>108</v>
      </c>
      <c r="C36" s="5">
        <v>14848</v>
      </c>
      <c r="D36" s="3" t="s">
        <v>503</v>
      </c>
      <c r="E36" s="16">
        <v>67.989999999999995</v>
      </c>
      <c r="F36" s="16">
        <v>41.68047</v>
      </c>
      <c r="G36" s="36">
        <v>0</v>
      </c>
      <c r="H36" s="36">
        <v>0</v>
      </c>
      <c r="I36" s="36">
        <v>0</v>
      </c>
      <c r="J36" s="36">
        <v>0</v>
      </c>
      <c r="K36" s="36">
        <v>0</v>
      </c>
      <c r="L36" s="36">
        <v>0</v>
      </c>
      <c r="M36" s="36">
        <v>59.121739130434776</v>
      </c>
      <c r="N36" s="36">
        <v>1</v>
      </c>
    </row>
    <row r="37" spans="1:14" x14ac:dyDescent="0.35">
      <c r="A37" s="3" t="s">
        <v>317</v>
      </c>
      <c r="B37" s="4">
        <v>108</v>
      </c>
      <c r="C37" s="5">
        <v>14849</v>
      </c>
      <c r="D37" s="3" t="s">
        <v>504</v>
      </c>
      <c r="E37" s="16">
        <v>67.989999999999995</v>
      </c>
      <c r="F37" s="16">
        <v>42.009399999999999</v>
      </c>
      <c r="G37" s="36">
        <v>0</v>
      </c>
      <c r="H37" s="36">
        <v>0</v>
      </c>
      <c r="I37" s="36">
        <v>0</v>
      </c>
      <c r="J37" s="36">
        <v>0</v>
      </c>
      <c r="K37" s="36">
        <v>0</v>
      </c>
      <c r="L37" s="36">
        <v>0</v>
      </c>
      <c r="M37" s="36">
        <v>0</v>
      </c>
      <c r="N37" s="36">
        <v>0</v>
      </c>
    </row>
    <row r="38" spans="1:14" x14ac:dyDescent="0.35">
      <c r="A38" s="3" t="s">
        <v>317</v>
      </c>
      <c r="B38" s="4">
        <v>108</v>
      </c>
      <c r="C38" s="5">
        <v>14854</v>
      </c>
      <c r="D38" s="3" t="s">
        <v>505</v>
      </c>
      <c r="E38" s="16">
        <v>69.989999999999995</v>
      </c>
      <c r="F38" s="16">
        <v>43.867849999999997</v>
      </c>
      <c r="G38" s="36">
        <v>60.860869565217385</v>
      </c>
      <c r="H38" s="36">
        <v>1</v>
      </c>
      <c r="I38" s="36">
        <v>0</v>
      </c>
      <c r="J38" s="36">
        <v>0</v>
      </c>
      <c r="K38" s="36">
        <v>57.817391304347822</v>
      </c>
      <c r="L38" s="36">
        <v>1</v>
      </c>
      <c r="M38" s="36">
        <v>0</v>
      </c>
      <c r="N38" s="36">
        <v>0</v>
      </c>
    </row>
    <row r="39" spans="1:14" x14ac:dyDescent="0.35">
      <c r="A39" s="3" t="s">
        <v>317</v>
      </c>
      <c r="B39" s="4">
        <v>101</v>
      </c>
      <c r="C39" s="5">
        <v>14857</v>
      </c>
      <c r="D39" s="3" t="s">
        <v>321</v>
      </c>
      <c r="E39" s="16">
        <v>69.989999999999995</v>
      </c>
      <c r="F39" s="16">
        <v>43.867849999999997</v>
      </c>
      <c r="G39" s="36">
        <v>0</v>
      </c>
      <c r="H39" s="36">
        <v>0</v>
      </c>
      <c r="I39" s="36">
        <v>0</v>
      </c>
      <c r="J39" s="36">
        <v>0</v>
      </c>
      <c r="K39" s="36">
        <v>57.817391304347822</v>
      </c>
      <c r="L39" s="36">
        <v>1</v>
      </c>
      <c r="M39" s="36">
        <v>0</v>
      </c>
      <c r="N39" s="36">
        <v>0</v>
      </c>
    </row>
    <row r="40" spans="1:14" x14ac:dyDescent="0.35">
      <c r="A40" s="3" t="s">
        <v>317</v>
      </c>
      <c r="B40" s="4">
        <v>101</v>
      </c>
      <c r="C40" s="5">
        <v>14858</v>
      </c>
      <c r="D40" s="3" t="s">
        <v>322</v>
      </c>
      <c r="E40" s="16">
        <v>69.989999999999995</v>
      </c>
      <c r="F40" s="16">
        <v>43.867849999999997</v>
      </c>
      <c r="G40" s="36">
        <v>60.860869565217385</v>
      </c>
      <c r="H40" s="36">
        <v>1</v>
      </c>
      <c r="I40" s="36">
        <v>0</v>
      </c>
      <c r="J40" s="36">
        <v>0</v>
      </c>
      <c r="K40" s="36">
        <v>60.860869565217385</v>
      </c>
      <c r="L40" s="36">
        <v>1</v>
      </c>
      <c r="M40" s="36">
        <v>0</v>
      </c>
      <c r="N40" s="36">
        <v>0</v>
      </c>
    </row>
    <row r="41" spans="1:14" x14ac:dyDescent="0.35">
      <c r="A41" s="3" t="s">
        <v>317</v>
      </c>
      <c r="B41" s="4">
        <v>108</v>
      </c>
      <c r="C41" s="5">
        <v>14859</v>
      </c>
      <c r="D41" s="3" t="s">
        <v>506</v>
      </c>
      <c r="E41" s="16">
        <v>69.989999999999995</v>
      </c>
      <c r="F41" s="16">
        <v>43.867849999999997</v>
      </c>
      <c r="G41" s="36">
        <v>0</v>
      </c>
      <c r="H41" s="36">
        <v>0</v>
      </c>
      <c r="I41" s="36">
        <v>60.860869565217385</v>
      </c>
      <c r="J41" s="36">
        <v>1</v>
      </c>
      <c r="K41" s="36">
        <v>0</v>
      </c>
      <c r="L41" s="36">
        <v>0</v>
      </c>
      <c r="M41" s="36">
        <v>0</v>
      </c>
      <c r="N41" s="36">
        <v>0</v>
      </c>
    </row>
    <row r="42" spans="1:14" x14ac:dyDescent="0.35">
      <c r="A42" s="3" t="s">
        <v>317</v>
      </c>
      <c r="B42" s="4">
        <v>101</v>
      </c>
      <c r="C42" s="5">
        <v>14860</v>
      </c>
      <c r="D42" s="3" t="s">
        <v>323</v>
      </c>
      <c r="E42" s="16">
        <v>69.989999999999995</v>
      </c>
      <c r="F42" s="16">
        <v>43.867849999999997</v>
      </c>
      <c r="G42" s="36">
        <v>0</v>
      </c>
      <c r="H42" s="36">
        <v>0</v>
      </c>
      <c r="I42" s="36">
        <v>0</v>
      </c>
      <c r="J42" s="36">
        <v>0</v>
      </c>
      <c r="K42" s="36">
        <v>0</v>
      </c>
      <c r="L42" s="36">
        <v>0</v>
      </c>
      <c r="M42" s="36">
        <v>60.860869565217385</v>
      </c>
      <c r="N42" s="36">
        <v>1</v>
      </c>
    </row>
    <row r="43" spans="1:14" x14ac:dyDescent="0.35">
      <c r="A43" s="3" t="s">
        <v>317</v>
      </c>
      <c r="B43" s="4">
        <v>105</v>
      </c>
      <c r="C43" s="5">
        <v>14934</v>
      </c>
      <c r="D43" s="3" t="s">
        <v>507</v>
      </c>
      <c r="E43" s="16">
        <v>32.99</v>
      </c>
      <c r="F43" s="16">
        <v>22.271466666666669</v>
      </c>
      <c r="G43" s="36">
        <v>143.43478260869563</v>
      </c>
      <c r="H43" s="36">
        <v>5</v>
      </c>
      <c r="I43" s="36">
        <v>86.060869565217388</v>
      </c>
      <c r="J43" s="36">
        <v>3</v>
      </c>
      <c r="K43" s="36">
        <v>57.373913043478268</v>
      </c>
      <c r="L43" s="36">
        <v>2</v>
      </c>
      <c r="M43" s="36">
        <v>86.060869565217388</v>
      </c>
      <c r="N43" s="36">
        <v>3</v>
      </c>
    </row>
    <row r="44" spans="1:14" x14ac:dyDescent="0.35">
      <c r="A44" s="3" t="s">
        <v>317</v>
      </c>
      <c r="B44" s="4">
        <v>107</v>
      </c>
      <c r="C44" s="5">
        <v>14936</v>
      </c>
      <c r="D44" s="3" t="s">
        <v>508</v>
      </c>
      <c r="E44" s="16">
        <v>44.99</v>
      </c>
      <c r="F44" s="16">
        <v>27.607716666666665</v>
      </c>
      <c r="G44" s="36">
        <v>0</v>
      </c>
      <c r="H44" s="36">
        <v>0</v>
      </c>
      <c r="I44" s="36">
        <v>0</v>
      </c>
      <c r="J44" s="36">
        <v>0</v>
      </c>
      <c r="K44" s="36">
        <v>37.165217391304353</v>
      </c>
      <c r="L44" s="36">
        <v>1</v>
      </c>
      <c r="M44" s="36">
        <v>39.121739130434783</v>
      </c>
      <c r="N44" s="36">
        <v>1</v>
      </c>
    </row>
    <row r="45" spans="1:14" x14ac:dyDescent="0.35">
      <c r="A45" s="3" t="s">
        <v>317</v>
      </c>
      <c r="B45" s="4">
        <v>105</v>
      </c>
      <c r="C45" s="5">
        <v>14937</v>
      </c>
      <c r="D45" s="3" t="s">
        <v>509</v>
      </c>
      <c r="E45" s="16">
        <v>24.99</v>
      </c>
      <c r="F45" s="16">
        <v>15.529409999999999</v>
      </c>
      <c r="G45" s="36">
        <v>43.460869565217386</v>
      </c>
      <c r="H45" s="36">
        <v>2</v>
      </c>
      <c r="I45" s="36">
        <v>173.84347826086955</v>
      </c>
      <c r="J45" s="36">
        <v>8</v>
      </c>
      <c r="K45" s="36">
        <v>107.56521739130434</v>
      </c>
      <c r="L45" s="36">
        <v>5</v>
      </c>
      <c r="M45" s="36">
        <v>293.35652173913047</v>
      </c>
      <c r="N45" s="36">
        <v>14</v>
      </c>
    </row>
    <row r="46" spans="1:14" x14ac:dyDescent="0.35">
      <c r="A46" s="3" t="s">
        <v>317</v>
      </c>
      <c r="B46" s="4">
        <v>105</v>
      </c>
      <c r="C46" s="5">
        <v>14938</v>
      </c>
      <c r="D46" s="3" t="s">
        <v>510</v>
      </c>
      <c r="E46" s="16">
        <v>33.99</v>
      </c>
      <c r="F46" s="16">
        <v>20.647629999999999</v>
      </c>
      <c r="G46" s="36">
        <v>0</v>
      </c>
      <c r="H46" s="36">
        <v>0</v>
      </c>
      <c r="I46" s="36">
        <v>0</v>
      </c>
      <c r="J46" s="36">
        <v>0</v>
      </c>
      <c r="K46" s="36">
        <v>0</v>
      </c>
      <c r="L46" s="36">
        <v>0</v>
      </c>
      <c r="M46" s="36">
        <v>0</v>
      </c>
      <c r="N46" s="36">
        <v>0</v>
      </c>
    </row>
    <row r="47" spans="1:14" x14ac:dyDescent="0.35">
      <c r="A47" s="3" t="s">
        <v>317</v>
      </c>
      <c r="B47" s="4">
        <v>105</v>
      </c>
      <c r="C47" s="5">
        <v>14939</v>
      </c>
      <c r="D47" s="3" t="s">
        <v>511</v>
      </c>
      <c r="E47" s="16">
        <v>29.99</v>
      </c>
      <c r="F47" s="16">
        <v>18.186512499999999</v>
      </c>
      <c r="G47" s="36">
        <v>0</v>
      </c>
      <c r="H47" s="36">
        <v>0</v>
      </c>
      <c r="I47" s="36">
        <v>0</v>
      </c>
      <c r="J47" s="36">
        <v>0</v>
      </c>
      <c r="K47" s="36">
        <v>0</v>
      </c>
      <c r="L47" s="36">
        <v>0</v>
      </c>
      <c r="M47" s="36">
        <v>0</v>
      </c>
      <c r="N47" s="36">
        <v>0</v>
      </c>
    </row>
    <row r="48" spans="1:14" x14ac:dyDescent="0.35">
      <c r="A48" s="3" t="s">
        <v>317</v>
      </c>
      <c r="B48" s="4">
        <v>105</v>
      </c>
      <c r="C48" s="5">
        <v>14942</v>
      </c>
      <c r="D48" s="3" t="s">
        <v>512</v>
      </c>
      <c r="E48" s="16">
        <v>26.99</v>
      </c>
      <c r="F48" s="16">
        <v>17.327516666666668</v>
      </c>
      <c r="G48" s="36">
        <v>0</v>
      </c>
      <c r="H48" s="36">
        <v>0</v>
      </c>
      <c r="I48" s="36">
        <v>23.469565217391303</v>
      </c>
      <c r="J48" s="36">
        <v>1</v>
      </c>
      <c r="K48" s="36">
        <v>69.234782608695653</v>
      </c>
      <c r="L48" s="36">
        <v>3</v>
      </c>
      <c r="M48" s="36">
        <v>46.939130434782605</v>
      </c>
      <c r="N48" s="36">
        <v>2</v>
      </c>
    </row>
    <row r="49" spans="1:14" x14ac:dyDescent="0.35">
      <c r="A49" s="3" t="s">
        <v>317</v>
      </c>
      <c r="B49" s="4">
        <v>105</v>
      </c>
      <c r="C49" s="5">
        <v>14944</v>
      </c>
      <c r="D49" s="3" t="s">
        <v>513</v>
      </c>
      <c r="E49" s="16">
        <v>29.99</v>
      </c>
      <c r="F49" s="16">
        <v>18.186512499999999</v>
      </c>
      <c r="G49" s="36">
        <v>0</v>
      </c>
      <c r="H49" s="36">
        <v>0</v>
      </c>
      <c r="I49" s="36">
        <v>26.078260869565216</v>
      </c>
      <c r="J49" s="36">
        <v>1</v>
      </c>
      <c r="K49" s="36">
        <v>52.156521739130433</v>
      </c>
      <c r="L49" s="36">
        <v>2</v>
      </c>
      <c r="M49" s="36">
        <v>26.078260869565216</v>
      </c>
      <c r="N49" s="36">
        <v>1</v>
      </c>
    </row>
    <row r="50" spans="1:14" x14ac:dyDescent="0.35">
      <c r="A50" s="3" t="s">
        <v>317</v>
      </c>
      <c r="B50" s="4">
        <v>111</v>
      </c>
      <c r="C50" s="5">
        <v>14947</v>
      </c>
      <c r="D50" s="3" t="s">
        <v>514</v>
      </c>
      <c r="E50" s="16">
        <v>37.99</v>
      </c>
      <c r="F50" s="16">
        <v>23.431950000000001</v>
      </c>
      <c r="G50" s="36">
        <v>165.17391304347825</v>
      </c>
      <c r="H50" s="36">
        <v>5</v>
      </c>
      <c r="I50" s="36">
        <v>33.03478260869565</v>
      </c>
      <c r="J50" s="36">
        <v>1</v>
      </c>
      <c r="K50" s="36">
        <v>0</v>
      </c>
      <c r="L50" s="36">
        <v>0</v>
      </c>
      <c r="M50" s="36">
        <v>33.03478260869565</v>
      </c>
      <c r="N50" s="36">
        <v>1</v>
      </c>
    </row>
    <row r="51" spans="1:14" x14ac:dyDescent="0.35">
      <c r="A51" s="3" t="s">
        <v>317</v>
      </c>
      <c r="B51" s="4">
        <v>111</v>
      </c>
      <c r="C51" s="5">
        <v>14948</v>
      </c>
      <c r="D51" s="3" t="s">
        <v>515</v>
      </c>
      <c r="E51" s="16">
        <v>38.99</v>
      </c>
      <c r="F51" s="16">
        <v>24.260349999999999</v>
      </c>
      <c r="G51" s="36">
        <v>0</v>
      </c>
      <c r="H51" s="36">
        <v>0</v>
      </c>
      <c r="I51" s="36">
        <v>0</v>
      </c>
      <c r="J51" s="36">
        <v>0</v>
      </c>
      <c r="K51" s="36">
        <v>0</v>
      </c>
      <c r="L51" s="36">
        <v>0</v>
      </c>
      <c r="M51" s="36">
        <v>0</v>
      </c>
      <c r="N51" s="36">
        <v>0</v>
      </c>
    </row>
    <row r="52" spans="1:14" x14ac:dyDescent="0.35">
      <c r="A52" s="3" t="s">
        <v>317</v>
      </c>
      <c r="B52" s="4">
        <v>111</v>
      </c>
      <c r="C52" s="5">
        <v>14949</v>
      </c>
      <c r="D52" s="3" t="s">
        <v>516</v>
      </c>
      <c r="E52" s="16">
        <v>47.99</v>
      </c>
      <c r="F52" s="16">
        <v>29.691210000000002</v>
      </c>
      <c r="G52" s="36">
        <v>0</v>
      </c>
      <c r="H52" s="36">
        <v>0</v>
      </c>
      <c r="I52" s="36">
        <v>0</v>
      </c>
      <c r="J52" s="36">
        <v>0</v>
      </c>
      <c r="K52" s="36">
        <v>0</v>
      </c>
      <c r="L52" s="36">
        <v>0</v>
      </c>
      <c r="M52" s="36">
        <v>0</v>
      </c>
      <c r="N52" s="36">
        <v>0</v>
      </c>
    </row>
    <row r="53" spans="1:14" x14ac:dyDescent="0.35">
      <c r="A53" s="3" t="s">
        <v>317</v>
      </c>
      <c r="B53" s="4">
        <v>111</v>
      </c>
      <c r="C53" s="5">
        <v>14950</v>
      </c>
      <c r="D53" s="3" t="s">
        <v>517</v>
      </c>
      <c r="E53" s="16">
        <v>44.99</v>
      </c>
      <c r="F53" s="16">
        <v>27.023809999999997</v>
      </c>
      <c r="G53" s="36">
        <v>0</v>
      </c>
      <c r="H53" s="36">
        <v>0</v>
      </c>
      <c r="I53" s="36">
        <v>0</v>
      </c>
      <c r="J53" s="36">
        <v>0</v>
      </c>
      <c r="K53" s="36">
        <v>0</v>
      </c>
      <c r="L53" s="36">
        <v>0</v>
      </c>
      <c r="M53" s="36">
        <v>0</v>
      </c>
      <c r="N53" s="36">
        <v>0</v>
      </c>
    </row>
    <row r="54" spans="1:14" x14ac:dyDescent="0.35">
      <c r="A54" s="3" t="s">
        <v>317</v>
      </c>
      <c r="B54" s="4">
        <v>111</v>
      </c>
      <c r="C54" s="5">
        <v>14951</v>
      </c>
      <c r="D54" s="3" t="s">
        <v>518</v>
      </c>
      <c r="E54" s="16">
        <v>46.99</v>
      </c>
      <c r="F54" s="16">
        <v>28.777100000000001</v>
      </c>
      <c r="G54" s="36">
        <v>0</v>
      </c>
      <c r="H54" s="36">
        <v>0</v>
      </c>
      <c r="I54" s="36">
        <v>0</v>
      </c>
      <c r="J54" s="36">
        <v>0</v>
      </c>
      <c r="K54" s="36">
        <v>0</v>
      </c>
      <c r="L54" s="36">
        <v>0</v>
      </c>
      <c r="M54" s="36">
        <v>0</v>
      </c>
      <c r="N54" s="36">
        <v>0</v>
      </c>
    </row>
    <row r="55" spans="1:14" x14ac:dyDescent="0.35">
      <c r="A55" s="3" t="s">
        <v>317</v>
      </c>
      <c r="B55" s="4">
        <v>109</v>
      </c>
      <c r="C55" s="5">
        <v>14952</v>
      </c>
      <c r="D55" s="3" t="s">
        <v>519</v>
      </c>
      <c r="E55" s="16">
        <v>29.99</v>
      </c>
      <c r="F55" s="16">
        <v>18.379850000000001</v>
      </c>
      <c r="G55" s="36">
        <v>0</v>
      </c>
      <c r="H55" s="36">
        <v>0</v>
      </c>
      <c r="I55" s="36">
        <v>0</v>
      </c>
      <c r="J55" s="36">
        <v>0</v>
      </c>
      <c r="K55" s="36">
        <v>0</v>
      </c>
      <c r="L55" s="36">
        <v>0</v>
      </c>
      <c r="M55" s="36">
        <v>0</v>
      </c>
      <c r="N55" s="36">
        <v>0</v>
      </c>
    </row>
    <row r="56" spans="1:14" x14ac:dyDescent="0.35">
      <c r="A56" s="3" t="s">
        <v>317</v>
      </c>
      <c r="B56" s="4">
        <v>105</v>
      </c>
      <c r="C56" s="5">
        <v>14959</v>
      </c>
      <c r="D56" s="3" t="s">
        <v>520</v>
      </c>
      <c r="E56" s="16">
        <v>24.99</v>
      </c>
      <c r="F56" s="16">
        <v>15.246979999999999</v>
      </c>
      <c r="G56" s="36">
        <v>0</v>
      </c>
      <c r="H56" s="36">
        <v>0</v>
      </c>
      <c r="I56" s="36">
        <v>0</v>
      </c>
      <c r="J56" s="36">
        <v>0</v>
      </c>
      <c r="K56" s="36">
        <v>41.286956521739128</v>
      </c>
      <c r="L56" s="36">
        <v>2</v>
      </c>
      <c r="M56" s="36">
        <v>65.19130434782609</v>
      </c>
      <c r="N56" s="36">
        <v>3</v>
      </c>
    </row>
    <row r="57" spans="1:14" x14ac:dyDescent="0.35">
      <c r="A57" s="3" t="s">
        <v>317</v>
      </c>
      <c r="B57" s="4">
        <v>111</v>
      </c>
      <c r="C57" s="5">
        <v>14960</v>
      </c>
      <c r="D57" s="3" t="s">
        <v>521</v>
      </c>
      <c r="E57" s="16">
        <v>39.99</v>
      </c>
      <c r="F57" s="16">
        <v>23.704699999999999</v>
      </c>
      <c r="G57" s="36">
        <v>0</v>
      </c>
      <c r="H57" s="36">
        <v>0</v>
      </c>
      <c r="I57" s="36">
        <v>0</v>
      </c>
      <c r="J57" s="36">
        <v>0</v>
      </c>
      <c r="K57" s="36">
        <v>0</v>
      </c>
      <c r="L57" s="36">
        <v>0</v>
      </c>
      <c r="M57" s="36">
        <v>0</v>
      </c>
      <c r="N57" s="36">
        <v>0</v>
      </c>
    </row>
    <row r="58" spans="1:14" x14ac:dyDescent="0.35">
      <c r="A58" s="3" t="s">
        <v>317</v>
      </c>
      <c r="B58" s="4">
        <v>105</v>
      </c>
      <c r="C58" s="5">
        <v>14961</v>
      </c>
      <c r="D58" s="3" t="s">
        <v>522</v>
      </c>
      <c r="E58" s="16">
        <v>15.99</v>
      </c>
      <c r="F58" s="16">
        <v>9.5993916666666674</v>
      </c>
      <c r="G58" s="36">
        <v>0</v>
      </c>
      <c r="H58" s="36">
        <v>0</v>
      </c>
      <c r="I58" s="36">
        <v>13.904347826086957</v>
      </c>
      <c r="J58" s="36">
        <v>1</v>
      </c>
      <c r="K58" s="36">
        <v>13.904347826086957</v>
      </c>
      <c r="L58" s="36">
        <v>1</v>
      </c>
      <c r="M58" s="36">
        <v>13.904347826086957</v>
      </c>
      <c r="N58" s="36">
        <v>1</v>
      </c>
    </row>
    <row r="59" spans="1:14" x14ac:dyDescent="0.35">
      <c r="A59" s="3" t="s">
        <v>317</v>
      </c>
      <c r="B59" s="4">
        <v>105</v>
      </c>
      <c r="C59" s="5">
        <v>14962</v>
      </c>
      <c r="D59" s="3" t="s">
        <v>523</v>
      </c>
      <c r="E59" s="16">
        <v>19.989999999999998</v>
      </c>
      <c r="F59" s="16">
        <v>11.882824999999999</v>
      </c>
      <c r="G59" s="36">
        <v>0</v>
      </c>
      <c r="H59" s="36">
        <v>0</v>
      </c>
      <c r="I59" s="36">
        <v>0</v>
      </c>
      <c r="J59" s="36">
        <v>0</v>
      </c>
      <c r="K59" s="36">
        <v>0</v>
      </c>
      <c r="L59" s="36">
        <v>0</v>
      </c>
      <c r="M59" s="36">
        <v>0</v>
      </c>
      <c r="N59" s="36">
        <v>0</v>
      </c>
    </row>
    <row r="60" spans="1:14" x14ac:dyDescent="0.35">
      <c r="A60" s="3" t="s">
        <v>317</v>
      </c>
      <c r="B60" s="4">
        <v>109</v>
      </c>
      <c r="C60" s="5">
        <v>14963</v>
      </c>
      <c r="D60" s="3" t="s">
        <v>524</v>
      </c>
      <c r="E60" s="16">
        <v>24.99</v>
      </c>
      <c r="F60" s="16">
        <v>12.880108333333332</v>
      </c>
      <c r="G60" s="36">
        <v>0</v>
      </c>
      <c r="H60" s="36">
        <v>0</v>
      </c>
      <c r="I60" s="36">
        <v>21.730434782608693</v>
      </c>
      <c r="J60" s="36">
        <v>1</v>
      </c>
      <c r="K60" s="36">
        <v>0</v>
      </c>
      <c r="L60" s="36">
        <v>0</v>
      </c>
      <c r="M60" s="36">
        <v>43.460869565217386</v>
      </c>
      <c r="N60" s="36">
        <v>2</v>
      </c>
    </row>
    <row r="61" spans="1:14" x14ac:dyDescent="0.35">
      <c r="A61" s="3" t="s">
        <v>317</v>
      </c>
      <c r="B61" s="4">
        <v>109</v>
      </c>
      <c r="C61" s="5">
        <v>14964</v>
      </c>
      <c r="D61" s="3" t="s">
        <v>525</v>
      </c>
      <c r="E61" s="16">
        <v>24.99</v>
      </c>
      <c r="F61" s="16">
        <v>12.880108333333332</v>
      </c>
      <c r="G61" s="36">
        <v>43.460869565217386</v>
      </c>
      <c r="H61" s="36">
        <v>2</v>
      </c>
      <c r="I61" s="36">
        <v>21.730434782608693</v>
      </c>
      <c r="J61" s="36">
        <v>1</v>
      </c>
      <c r="K61" s="36">
        <v>63.017391304347825</v>
      </c>
      <c r="L61" s="36">
        <v>3</v>
      </c>
      <c r="M61" s="36">
        <v>0</v>
      </c>
      <c r="N61" s="36">
        <v>0</v>
      </c>
    </row>
    <row r="62" spans="1:14" x14ac:dyDescent="0.35">
      <c r="A62" s="3" t="s">
        <v>317</v>
      </c>
      <c r="B62" s="4">
        <v>105</v>
      </c>
      <c r="C62" s="5">
        <v>14965</v>
      </c>
      <c r="D62" s="3" t="s">
        <v>526</v>
      </c>
      <c r="E62" s="16">
        <v>21.99</v>
      </c>
      <c r="F62" s="16">
        <v>14.908975</v>
      </c>
      <c r="G62" s="36">
        <v>0</v>
      </c>
      <c r="H62" s="36">
        <v>0</v>
      </c>
      <c r="I62" s="36">
        <v>21.99</v>
      </c>
      <c r="J62" s="36">
        <v>1</v>
      </c>
      <c r="K62" s="36">
        <v>21.99</v>
      </c>
      <c r="L62" s="36">
        <v>1</v>
      </c>
      <c r="M62" s="36">
        <v>0</v>
      </c>
      <c r="N62" s="36">
        <v>0</v>
      </c>
    </row>
    <row r="63" spans="1:14" x14ac:dyDescent="0.35">
      <c r="A63" s="3" t="s">
        <v>317</v>
      </c>
      <c r="B63" s="4">
        <v>105</v>
      </c>
      <c r="C63" s="5">
        <v>14967</v>
      </c>
      <c r="D63" s="3" t="s">
        <v>527</v>
      </c>
      <c r="E63" s="16">
        <v>22.99</v>
      </c>
      <c r="F63" s="16">
        <v>14.118466666666668</v>
      </c>
      <c r="G63" s="36">
        <v>0</v>
      </c>
      <c r="H63" s="36">
        <v>0</v>
      </c>
      <c r="I63" s="36">
        <v>99.956521739130437</v>
      </c>
      <c r="J63" s="36">
        <v>5</v>
      </c>
      <c r="K63" s="36">
        <v>39.982608695652175</v>
      </c>
      <c r="L63" s="36">
        <v>2</v>
      </c>
      <c r="M63" s="36">
        <v>0</v>
      </c>
      <c r="N63" s="36">
        <v>0</v>
      </c>
    </row>
    <row r="64" spans="1:14" x14ac:dyDescent="0.35">
      <c r="A64" s="3" t="s">
        <v>317</v>
      </c>
      <c r="B64" s="4">
        <v>105</v>
      </c>
      <c r="C64" s="5">
        <v>14968</v>
      </c>
      <c r="D64" s="3" t="s">
        <v>528</v>
      </c>
      <c r="E64" s="16">
        <v>24.99</v>
      </c>
      <c r="F64" s="16">
        <v>14.848391666666666</v>
      </c>
      <c r="G64" s="36">
        <v>0</v>
      </c>
      <c r="H64" s="36">
        <v>0</v>
      </c>
      <c r="I64" s="36">
        <v>0</v>
      </c>
      <c r="J64" s="36">
        <v>0</v>
      </c>
      <c r="K64" s="36">
        <v>0</v>
      </c>
      <c r="L64" s="36">
        <v>0</v>
      </c>
      <c r="M64" s="36">
        <v>0</v>
      </c>
      <c r="N64" s="36">
        <v>0</v>
      </c>
    </row>
    <row r="65" spans="1:14" x14ac:dyDescent="0.35">
      <c r="A65" s="3" t="s">
        <v>317</v>
      </c>
      <c r="B65" s="4">
        <v>107</v>
      </c>
      <c r="C65" s="5">
        <v>14970</v>
      </c>
      <c r="D65" s="3" t="s">
        <v>529</v>
      </c>
      <c r="E65" s="16">
        <v>19.989999999999998</v>
      </c>
      <c r="F65" s="16">
        <v>12.326425</v>
      </c>
      <c r="G65" s="36">
        <v>0</v>
      </c>
      <c r="H65" s="36">
        <v>0</v>
      </c>
      <c r="I65" s="36">
        <v>0</v>
      </c>
      <c r="J65" s="36">
        <v>0</v>
      </c>
      <c r="K65" s="36">
        <v>34.765217391304347</v>
      </c>
      <c r="L65" s="36">
        <v>2</v>
      </c>
      <c r="M65" s="36">
        <v>34.765217391304347</v>
      </c>
      <c r="N65" s="36">
        <v>2</v>
      </c>
    </row>
    <row r="66" spans="1:14" x14ac:dyDescent="0.35">
      <c r="A66" s="3" t="s">
        <v>317</v>
      </c>
      <c r="B66" s="4">
        <v>105</v>
      </c>
      <c r="C66" s="5">
        <v>14971</v>
      </c>
      <c r="D66" s="3" t="s">
        <v>530</v>
      </c>
      <c r="E66" s="16">
        <v>13.99</v>
      </c>
      <c r="F66" s="16">
        <v>9.5773250000000001</v>
      </c>
      <c r="G66" s="36">
        <v>0</v>
      </c>
      <c r="H66" s="36">
        <v>0</v>
      </c>
      <c r="I66" s="36">
        <v>12.165217391304347</v>
      </c>
      <c r="J66" s="36">
        <v>1</v>
      </c>
      <c r="K66" s="36">
        <v>0</v>
      </c>
      <c r="L66" s="36">
        <v>0</v>
      </c>
      <c r="M66" s="36">
        <v>0</v>
      </c>
      <c r="N66" s="36">
        <v>0</v>
      </c>
    </row>
    <row r="67" spans="1:14" x14ac:dyDescent="0.35">
      <c r="A67" s="3" t="s">
        <v>317</v>
      </c>
      <c r="B67" s="4">
        <v>101</v>
      </c>
      <c r="C67" s="5">
        <v>14976</v>
      </c>
      <c r="D67" s="3" t="s">
        <v>324</v>
      </c>
      <c r="E67" s="16">
        <v>62.99</v>
      </c>
      <c r="F67" s="16">
        <v>39.031133333333337</v>
      </c>
      <c r="G67" s="36">
        <v>0</v>
      </c>
      <c r="H67" s="36">
        <v>0</v>
      </c>
      <c r="I67" s="36">
        <v>54.77391304347826</v>
      </c>
      <c r="J67" s="36">
        <v>1</v>
      </c>
      <c r="K67" s="36">
        <v>109.54782608695652</v>
      </c>
      <c r="L67" s="36">
        <v>2</v>
      </c>
      <c r="M67" s="36">
        <v>109.54782608695652</v>
      </c>
      <c r="N67" s="36">
        <v>2</v>
      </c>
    </row>
    <row r="68" spans="1:14" x14ac:dyDescent="0.35">
      <c r="A68" s="3" t="s">
        <v>317</v>
      </c>
      <c r="B68" s="4">
        <v>106</v>
      </c>
      <c r="C68" s="5">
        <v>14984</v>
      </c>
      <c r="D68" s="3" t="s">
        <v>531</v>
      </c>
      <c r="E68" s="16">
        <v>38.99</v>
      </c>
      <c r="F68" s="16">
        <v>24.260149999999999</v>
      </c>
      <c r="G68" s="36">
        <v>33.904347826086962</v>
      </c>
      <c r="H68" s="36">
        <v>1</v>
      </c>
      <c r="I68" s="36">
        <v>0</v>
      </c>
      <c r="J68" s="36">
        <v>0</v>
      </c>
      <c r="K68" s="36">
        <v>0</v>
      </c>
      <c r="L68" s="36">
        <v>0</v>
      </c>
      <c r="M68" s="36">
        <v>0</v>
      </c>
      <c r="N68" s="36">
        <v>0</v>
      </c>
    </row>
    <row r="69" spans="1:14" x14ac:dyDescent="0.35">
      <c r="A69" s="3" t="s">
        <v>317</v>
      </c>
      <c r="B69" s="4">
        <v>106</v>
      </c>
      <c r="C69" s="5">
        <v>14986</v>
      </c>
      <c r="D69" s="3" t="s">
        <v>532</v>
      </c>
      <c r="E69" s="16">
        <v>38.99</v>
      </c>
      <c r="F69" s="16">
        <v>24.194766666666666</v>
      </c>
      <c r="G69" s="36">
        <v>0</v>
      </c>
      <c r="H69" s="36">
        <v>0</v>
      </c>
      <c r="I69" s="36">
        <v>0</v>
      </c>
      <c r="J69" s="36">
        <v>0</v>
      </c>
      <c r="K69" s="36">
        <v>0</v>
      </c>
      <c r="L69" s="36">
        <v>0</v>
      </c>
      <c r="M69" s="36">
        <v>0</v>
      </c>
      <c r="N69" s="36">
        <v>0</v>
      </c>
    </row>
    <row r="70" spans="1:14" x14ac:dyDescent="0.35">
      <c r="A70" s="3" t="s">
        <v>317</v>
      </c>
      <c r="B70" s="4">
        <v>106</v>
      </c>
      <c r="C70" s="5">
        <v>14987</v>
      </c>
      <c r="D70" s="3" t="s">
        <v>533</v>
      </c>
      <c r="E70" s="16">
        <v>43.99</v>
      </c>
      <c r="F70" s="16">
        <v>27.406949999999998</v>
      </c>
      <c r="G70" s="36">
        <v>0</v>
      </c>
      <c r="H70" s="36">
        <v>0</v>
      </c>
      <c r="I70" s="36">
        <v>0</v>
      </c>
      <c r="J70" s="36">
        <v>0</v>
      </c>
      <c r="K70" s="36">
        <v>0</v>
      </c>
      <c r="L70" s="36">
        <v>0</v>
      </c>
      <c r="M70" s="36">
        <v>0</v>
      </c>
      <c r="N70" s="36">
        <v>0</v>
      </c>
    </row>
    <row r="71" spans="1:14" x14ac:dyDescent="0.35">
      <c r="A71" s="3" t="s">
        <v>317</v>
      </c>
      <c r="B71" s="4">
        <v>106</v>
      </c>
      <c r="C71" s="5">
        <v>14988</v>
      </c>
      <c r="D71" s="3" t="s">
        <v>534</v>
      </c>
      <c r="E71" s="16">
        <v>48.99</v>
      </c>
      <c r="F71" s="16">
        <v>30.384766666666668</v>
      </c>
      <c r="G71" s="36">
        <v>0</v>
      </c>
      <c r="H71" s="36">
        <v>0</v>
      </c>
      <c r="I71" s="36">
        <v>0</v>
      </c>
      <c r="J71" s="36">
        <v>0</v>
      </c>
      <c r="K71" s="36">
        <v>0</v>
      </c>
      <c r="L71" s="36">
        <v>0</v>
      </c>
      <c r="M71" s="36">
        <v>0</v>
      </c>
      <c r="N71" s="36">
        <v>0</v>
      </c>
    </row>
    <row r="72" spans="1:14" x14ac:dyDescent="0.35">
      <c r="A72" s="3" t="s">
        <v>317</v>
      </c>
      <c r="B72" s="4">
        <v>106</v>
      </c>
      <c r="C72" s="5">
        <v>14989</v>
      </c>
      <c r="D72" s="3" t="s">
        <v>535</v>
      </c>
      <c r="E72" s="16">
        <v>41.99</v>
      </c>
      <c r="F72" s="16">
        <v>25.6656625</v>
      </c>
      <c r="G72" s="36">
        <v>0</v>
      </c>
      <c r="H72" s="36">
        <v>0</v>
      </c>
      <c r="I72" s="36">
        <v>0</v>
      </c>
      <c r="J72" s="36">
        <v>0</v>
      </c>
      <c r="K72" s="36">
        <v>0</v>
      </c>
      <c r="L72" s="36">
        <v>0</v>
      </c>
      <c r="M72" s="36">
        <v>0</v>
      </c>
      <c r="N72" s="36">
        <v>0</v>
      </c>
    </row>
    <row r="73" spans="1:14" x14ac:dyDescent="0.35">
      <c r="A73" s="3" t="s">
        <v>317</v>
      </c>
      <c r="B73" s="4">
        <v>111</v>
      </c>
      <c r="C73" s="5">
        <v>14991</v>
      </c>
      <c r="D73" s="3" t="s">
        <v>536</v>
      </c>
      <c r="E73" s="16">
        <v>34.99</v>
      </c>
      <c r="F73" s="16">
        <v>20.451219999999999</v>
      </c>
      <c r="G73" s="36">
        <v>0</v>
      </c>
      <c r="H73" s="36">
        <v>0</v>
      </c>
      <c r="I73" s="36">
        <v>0</v>
      </c>
      <c r="J73" s="36">
        <v>0</v>
      </c>
      <c r="K73" s="36">
        <v>0</v>
      </c>
      <c r="L73" s="36">
        <v>0</v>
      </c>
      <c r="M73" s="36">
        <v>0</v>
      </c>
      <c r="N73" s="36">
        <v>0</v>
      </c>
    </row>
    <row r="74" spans="1:14" x14ac:dyDescent="0.35">
      <c r="A74" s="3" t="s">
        <v>317</v>
      </c>
      <c r="B74" s="4">
        <v>107</v>
      </c>
      <c r="C74" s="5">
        <v>15080</v>
      </c>
      <c r="D74" s="3" t="s">
        <v>537</v>
      </c>
      <c r="E74" s="16">
        <v>117.99</v>
      </c>
      <c r="F74" s="16">
        <v>73.990016666666662</v>
      </c>
      <c r="G74" s="36">
        <v>0</v>
      </c>
      <c r="H74" s="36">
        <v>0</v>
      </c>
      <c r="I74" s="36">
        <v>102.6</v>
      </c>
      <c r="J74" s="36">
        <v>1</v>
      </c>
      <c r="K74" s="36">
        <v>0</v>
      </c>
      <c r="L74" s="36">
        <v>0</v>
      </c>
      <c r="M74" s="36">
        <v>0</v>
      </c>
      <c r="N74" s="36">
        <v>0</v>
      </c>
    </row>
    <row r="75" spans="1:14" x14ac:dyDescent="0.35">
      <c r="A75" s="3" t="s">
        <v>317</v>
      </c>
      <c r="B75" s="4">
        <v>111</v>
      </c>
      <c r="C75" s="5">
        <v>15081</v>
      </c>
      <c r="D75" s="3" t="s">
        <v>538</v>
      </c>
      <c r="E75" s="16">
        <v>72.989999999999995</v>
      </c>
      <c r="F75" s="16">
        <v>45.088233333333335</v>
      </c>
      <c r="G75" s="36">
        <v>0</v>
      </c>
      <c r="H75" s="36">
        <v>0</v>
      </c>
      <c r="I75" s="36">
        <v>0</v>
      </c>
      <c r="J75" s="36">
        <v>0</v>
      </c>
      <c r="K75" s="36">
        <v>0</v>
      </c>
      <c r="L75" s="36">
        <v>0</v>
      </c>
      <c r="M75" s="36">
        <v>0</v>
      </c>
      <c r="N75" s="36">
        <v>0</v>
      </c>
    </row>
    <row r="76" spans="1:14" x14ac:dyDescent="0.35">
      <c r="A76" s="3" t="s">
        <v>317</v>
      </c>
      <c r="B76" s="4">
        <v>111</v>
      </c>
      <c r="C76" s="5">
        <v>15092</v>
      </c>
      <c r="D76" s="3" t="s">
        <v>539</v>
      </c>
      <c r="E76" s="16">
        <v>59.99</v>
      </c>
      <c r="F76" s="16">
        <v>37.301583333333333</v>
      </c>
      <c r="G76" s="36">
        <v>0</v>
      </c>
      <c r="H76" s="36">
        <v>0</v>
      </c>
      <c r="I76" s="36">
        <v>0</v>
      </c>
      <c r="J76" s="36">
        <v>0</v>
      </c>
      <c r="K76" s="36">
        <v>0</v>
      </c>
      <c r="L76" s="36">
        <v>0</v>
      </c>
      <c r="M76" s="36">
        <v>0</v>
      </c>
      <c r="N76" s="36">
        <v>0</v>
      </c>
    </row>
    <row r="77" spans="1:14" x14ac:dyDescent="0.35">
      <c r="A77" s="3" t="s">
        <v>317</v>
      </c>
      <c r="B77" s="4">
        <v>107</v>
      </c>
      <c r="C77" s="5">
        <v>15096</v>
      </c>
      <c r="D77" s="3" t="s">
        <v>540</v>
      </c>
      <c r="E77" s="16">
        <v>45.99</v>
      </c>
      <c r="F77" s="16">
        <v>28.530116666666668</v>
      </c>
      <c r="G77" s="36">
        <v>0</v>
      </c>
      <c r="H77" s="36">
        <v>0</v>
      </c>
      <c r="I77" s="36">
        <v>0</v>
      </c>
      <c r="J77" s="36">
        <v>0</v>
      </c>
      <c r="K77" s="36">
        <v>0</v>
      </c>
      <c r="L77" s="36">
        <v>0</v>
      </c>
      <c r="M77" s="36">
        <v>0</v>
      </c>
      <c r="N77" s="36">
        <v>0</v>
      </c>
    </row>
    <row r="78" spans="1:14" x14ac:dyDescent="0.35">
      <c r="A78" s="3" t="s">
        <v>317</v>
      </c>
      <c r="B78" s="4">
        <v>107</v>
      </c>
      <c r="C78" s="5">
        <v>15097</v>
      </c>
      <c r="D78" s="3" t="s">
        <v>541</v>
      </c>
      <c r="E78" s="16">
        <v>45.99</v>
      </c>
      <c r="F78" s="16">
        <v>28.530116666666668</v>
      </c>
      <c r="G78" s="36">
        <v>0</v>
      </c>
      <c r="H78" s="36">
        <v>0</v>
      </c>
      <c r="I78" s="36">
        <v>0</v>
      </c>
      <c r="J78" s="36">
        <v>0</v>
      </c>
      <c r="K78" s="36">
        <v>0</v>
      </c>
      <c r="L78" s="36">
        <v>0</v>
      </c>
      <c r="M78" s="36">
        <v>79.982608695652175</v>
      </c>
      <c r="N78" s="36">
        <v>2</v>
      </c>
    </row>
    <row r="79" spans="1:14" x14ac:dyDescent="0.35">
      <c r="A79" s="3" t="s">
        <v>317</v>
      </c>
      <c r="B79" s="4">
        <v>107</v>
      </c>
      <c r="C79" s="5">
        <v>15098</v>
      </c>
      <c r="D79" s="3" t="s">
        <v>542</v>
      </c>
      <c r="E79" s="16">
        <v>45.99</v>
      </c>
      <c r="F79" s="16">
        <v>28.530116666666668</v>
      </c>
      <c r="G79" s="36">
        <v>0</v>
      </c>
      <c r="H79" s="36">
        <v>0</v>
      </c>
      <c r="I79" s="36">
        <v>0</v>
      </c>
      <c r="J79" s="36">
        <v>0</v>
      </c>
      <c r="K79" s="36">
        <v>0</v>
      </c>
      <c r="L79" s="36">
        <v>0</v>
      </c>
      <c r="M79" s="36">
        <v>0</v>
      </c>
      <c r="N79" s="36">
        <v>0</v>
      </c>
    </row>
    <row r="80" spans="1:14" x14ac:dyDescent="0.35">
      <c r="A80" s="3" t="s">
        <v>317</v>
      </c>
      <c r="B80" s="4">
        <v>107</v>
      </c>
      <c r="C80" s="5">
        <v>15101</v>
      </c>
      <c r="D80" s="3" t="s">
        <v>543</v>
      </c>
      <c r="E80" s="16">
        <v>45.99</v>
      </c>
      <c r="F80" s="16">
        <v>28.530116666666668</v>
      </c>
      <c r="G80" s="36">
        <v>0</v>
      </c>
      <c r="H80" s="36">
        <v>0</v>
      </c>
      <c r="I80" s="36">
        <v>0</v>
      </c>
      <c r="J80" s="36">
        <v>0</v>
      </c>
      <c r="K80" s="36">
        <v>0</v>
      </c>
      <c r="L80" s="36">
        <v>0</v>
      </c>
      <c r="M80" s="36">
        <v>0</v>
      </c>
      <c r="N80" s="36">
        <v>0</v>
      </c>
    </row>
    <row r="81" spans="1:14" x14ac:dyDescent="0.35">
      <c r="A81" s="3" t="s">
        <v>317</v>
      </c>
      <c r="B81" s="4">
        <v>107</v>
      </c>
      <c r="C81" s="5">
        <v>15111</v>
      </c>
      <c r="D81" s="3" t="s">
        <v>544</v>
      </c>
      <c r="E81" s="16">
        <v>89.99</v>
      </c>
      <c r="F81" s="16">
        <v>56.050874999999998</v>
      </c>
      <c r="G81" s="36">
        <v>0</v>
      </c>
      <c r="H81" s="36">
        <v>0</v>
      </c>
      <c r="I81" s="36">
        <v>0</v>
      </c>
      <c r="J81" s="36">
        <v>0</v>
      </c>
      <c r="K81" s="36">
        <v>0</v>
      </c>
      <c r="L81" s="36">
        <v>0</v>
      </c>
      <c r="M81" s="36">
        <v>0</v>
      </c>
      <c r="N81" s="36">
        <v>0</v>
      </c>
    </row>
    <row r="82" spans="1:14" x14ac:dyDescent="0.35">
      <c r="A82" s="3" t="s">
        <v>317</v>
      </c>
      <c r="B82" s="4">
        <v>111</v>
      </c>
      <c r="C82" s="5">
        <v>15112</v>
      </c>
      <c r="D82" s="3" t="s">
        <v>545</v>
      </c>
      <c r="E82" s="16">
        <v>89.99</v>
      </c>
      <c r="F82" s="16">
        <v>56.050874999999998</v>
      </c>
      <c r="G82" s="36">
        <v>0</v>
      </c>
      <c r="H82" s="36">
        <v>0</v>
      </c>
      <c r="I82" s="36">
        <v>0</v>
      </c>
      <c r="J82" s="36">
        <v>0</v>
      </c>
      <c r="K82" s="36">
        <v>0</v>
      </c>
      <c r="L82" s="36">
        <v>0</v>
      </c>
      <c r="M82" s="36">
        <v>0</v>
      </c>
      <c r="N82" s="36">
        <v>0</v>
      </c>
    </row>
    <row r="83" spans="1:14" x14ac:dyDescent="0.35">
      <c r="A83" s="3" t="s">
        <v>317</v>
      </c>
      <c r="B83" s="4">
        <v>111</v>
      </c>
      <c r="C83" s="5">
        <v>15113</v>
      </c>
      <c r="D83" s="3" t="s">
        <v>546</v>
      </c>
      <c r="E83" s="16">
        <v>89.99</v>
      </c>
      <c r="F83" s="16">
        <v>56.050874999999998</v>
      </c>
      <c r="G83" s="36">
        <v>0</v>
      </c>
      <c r="H83" s="36">
        <v>0</v>
      </c>
      <c r="I83" s="36">
        <v>0</v>
      </c>
      <c r="J83" s="36">
        <v>0</v>
      </c>
      <c r="K83" s="36">
        <v>0</v>
      </c>
      <c r="L83" s="36">
        <v>0</v>
      </c>
      <c r="M83" s="36">
        <v>0</v>
      </c>
      <c r="N83" s="36">
        <v>0</v>
      </c>
    </row>
    <row r="84" spans="1:14" x14ac:dyDescent="0.35">
      <c r="A84" s="3" t="s">
        <v>317</v>
      </c>
      <c r="B84" s="4">
        <v>111</v>
      </c>
      <c r="C84" s="5">
        <v>15115</v>
      </c>
      <c r="D84" s="3" t="s">
        <v>547</v>
      </c>
      <c r="E84" s="16">
        <v>89.99</v>
      </c>
      <c r="F84" s="16">
        <v>56.050874999999998</v>
      </c>
      <c r="G84" s="36">
        <v>0</v>
      </c>
      <c r="H84" s="36">
        <v>0</v>
      </c>
      <c r="I84" s="36">
        <v>0</v>
      </c>
      <c r="J84" s="36">
        <v>0</v>
      </c>
      <c r="K84" s="36">
        <v>0</v>
      </c>
      <c r="L84" s="36">
        <v>0</v>
      </c>
      <c r="M84" s="36">
        <v>0</v>
      </c>
      <c r="N84" s="36">
        <v>0</v>
      </c>
    </row>
    <row r="85" spans="1:14" x14ac:dyDescent="0.35">
      <c r="A85" s="3" t="s">
        <v>317</v>
      </c>
      <c r="B85" s="4">
        <v>111</v>
      </c>
      <c r="C85" s="5">
        <v>15116</v>
      </c>
      <c r="D85" s="3" t="s">
        <v>548</v>
      </c>
      <c r="E85" s="16">
        <v>89.99</v>
      </c>
      <c r="F85" s="16">
        <v>56.055387500000002</v>
      </c>
      <c r="G85" s="36">
        <v>0</v>
      </c>
      <c r="H85" s="36">
        <v>0</v>
      </c>
      <c r="I85" s="36">
        <v>0</v>
      </c>
      <c r="J85" s="36">
        <v>0</v>
      </c>
      <c r="K85" s="36">
        <v>0</v>
      </c>
      <c r="L85" s="36">
        <v>0</v>
      </c>
      <c r="M85" s="36">
        <v>0</v>
      </c>
      <c r="N85" s="36">
        <v>0</v>
      </c>
    </row>
    <row r="86" spans="1:14" x14ac:dyDescent="0.35">
      <c r="A86" s="3" t="s">
        <v>317</v>
      </c>
      <c r="B86" s="4">
        <v>111</v>
      </c>
      <c r="C86" s="5">
        <v>15118</v>
      </c>
      <c r="D86" s="3" t="s">
        <v>549</v>
      </c>
      <c r="E86" s="16">
        <v>89.99</v>
      </c>
      <c r="F86" s="16">
        <v>55.882350000000002</v>
      </c>
      <c r="G86" s="36">
        <v>0</v>
      </c>
      <c r="H86" s="36">
        <v>0</v>
      </c>
      <c r="I86" s="36">
        <v>0</v>
      </c>
      <c r="J86" s="36">
        <v>0</v>
      </c>
      <c r="K86" s="36">
        <v>0</v>
      </c>
      <c r="L86" s="36">
        <v>0</v>
      </c>
      <c r="M86" s="36">
        <v>0</v>
      </c>
      <c r="N86" s="36">
        <v>0</v>
      </c>
    </row>
    <row r="87" spans="1:14" x14ac:dyDescent="0.35">
      <c r="A87" s="3" t="s">
        <v>317</v>
      </c>
      <c r="B87" s="4">
        <v>107</v>
      </c>
      <c r="C87" s="5">
        <v>15120</v>
      </c>
      <c r="D87" s="3" t="s">
        <v>550</v>
      </c>
      <c r="E87" s="16">
        <v>59.99</v>
      </c>
      <c r="F87" s="16">
        <v>37.144833333333331</v>
      </c>
      <c r="G87" s="36">
        <v>0</v>
      </c>
      <c r="H87" s="36">
        <v>0</v>
      </c>
      <c r="I87" s="36">
        <v>0</v>
      </c>
      <c r="J87" s="36">
        <v>0</v>
      </c>
      <c r="K87" s="36">
        <v>0</v>
      </c>
      <c r="L87" s="36">
        <v>0</v>
      </c>
      <c r="M87" s="36">
        <v>0</v>
      </c>
      <c r="N87" s="36">
        <v>0</v>
      </c>
    </row>
    <row r="88" spans="1:14" x14ac:dyDescent="0.35">
      <c r="A88" s="3" t="s">
        <v>317</v>
      </c>
      <c r="B88" s="4">
        <v>107</v>
      </c>
      <c r="C88" s="5">
        <v>15141</v>
      </c>
      <c r="D88" s="3" t="s">
        <v>551</v>
      </c>
      <c r="E88" s="16">
        <v>49.99</v>
      </c>
      <c r="F88" s="16">
        <v>31.320666666666668</v>
      </c>
      <c r="G88" s="36">
        <v>0</v>
      </c>
      <c r="H88" s="36">
        <v>0</v>
      </c>
      <c r="I88" s="36">
        <v>0</v>
      </c>
      <c r="J88" s="36">
        <v>0</v>
      </c>
      <c r="K88" s="36">
        <v>0</v>
      </c>
      <c r="L88" s="36">
        <v>0</v>
      </c>
      <c r="M88" s="36">
        <v>0</v>
      </c>
      <c r="N88" s="36">
        <v>0</v>
      </c>
    </row>
    <row r="89" spans="1:14" x14ac:dyDescent="0.35">
      <c r="A89" s="3" t="s">
        <v>317</v>
      </c>
      <c r="B89" s="4">
        <v>107</v>
      </c>
      <c r="C89" s="5">
        <v>15142</v>
      </c>
      <c r="D89" s="3" t="s">
        <v>552</v>
      </c>
      <c r="E89" s="16">
        <v>51.99</v>
      </c>
      <c r="F89" s="16">
        <v>31.952175</v>
      </c>
      <c r="G89" s="36">
        <v>0</v>
      </c>
      <c r="H89" s="36">
        <v>0</v>
      </c>
      <c r="I89" s="36">
        <v>0</v>
      </c>
      <c r="J89" s="36">
        <v>0</v>
      </c>
      <c r="K89" s="36">
        <v>0</v>
      </c>
      <c r="L89" s="36">
        <v>0</v>
      </c>
      <c r="M89" s="36">
        <v>0</v>
      </c>
      <c r="N89" s="36">
        <v>0</v>
      </c>
    </row>
    <row r="90" spans="1:14" x14ac:dyDescent="0.35">
      <c r="A90" s="3" t="s">
        <v>317</v>
      </c>
      <c r="B90" s="4">
        <v>101</v>
      </c>
      <c r="C90" s="5">
        <v>15205</v>
      </c>
      <c r="D90" s="3" t="s">
        <v>325</v>
      </c>
      <c r="E90" s="16">
        <v>14.99</v>
      </c>
      <c r="F90" s="16">
        <v>9.3998474999999999</v>
      </c>
      <c r="G90" s="36">
        <v>0</v>
      </c>
      <c r="H90" s="36">
        <v>0</v>
      </c>
      <c r="I90" s="36">
        <v>0</v>
      </c>
      <c r="J90" s="36">
        <v>0</v>
      </c>
      <c r="K90" s="36">
        <v>0</v>
      </c>
      <c r="L90" s="36">
        <v>0</v>
      </c>
      <c r="M90" s="36">
        <v>0</v>
      </c>
      <c r="N90" s="36">
        <v>0</v>
      </c>
    </row>
    <row r="91" spans="1:14" x14ac:dyDescent="0.35">
      <c r="A91" s="3" t="s">
        <v>317</v>
      </c>
      <c r="B91" s="4">
        <v>104</v>
      </c>
      <c r="C91" s="5">
        <v>15208</v>
      </c>
      <c r="D91" s="3" t="s">
        <v>553</v>
      </c>
      <c r="E91" s="16">
        <v>14.99</v>
      </c>
      <c r="F91" s="16">
        <v>9.3998474999999999</v>
      </c>
      <c r="G91" s="36">
        <v>0</v>
      </c>
      <c r="H91" s="36">
        <v>0</v>
      </c>
      <c r="I91" s="36">
        <v>0</v>
      </c>
      <c r="J91" s="36">
        <v>0</v>
      </c>
      <c r="K91" s="36">
        <v>0</v>
      </c>
      <c r="L91" s="36">
        <v>0</v>
      </c>
      <c r="M91" s="36">
        <v>0</v>
      </c>
      <c r="N91" s="36">
        <v>0</v>
      </c>
    </row>
    <row r="92" spans="1:14" x14ac:dyDescent="0.35">
      <c r="A92" s="3" t="s">
        <v>317</v>
      </c>
      <c r="B92" s="4">
        <v>104</v>
      </c>
      <c r="C92" s="5">
        <v>15212</v>
      </c>
      <c r="D92" s="3" t="s">
        <v>553</v>
      </c>
      <c r="E92" s="16">
        <v>35.99</v>
      </c>
      <c r="F92" s="16">
        <v>22.5837</v>
      </c>
      <c r="G92" s="36">
        <v>0</v>
      </c>
      <c r="H92" s="36">
        <v>0</v>
      </c>
      <c r="I92" s="36">
        <v>0</v>
      </c>
      <c r="J92" s="36">
        <v>0</v>
      </c>
      <c r="K92" s="36">
        <v>0</v>
      </c>
      <c r="L92" s="36">
        <v>0</v>
      </c>
      <c r="M92" s="36">
        <v>0</v>
      </c>
      <c r="N92" s="36">
        <v>0</v>
      </c>
    </row>
    <row r="93" spans="1:14" x14ac:dyDescent="0.35">
      <c r="A93" s="3" t="s">
        <v>317</v>
      </c>
      <c r="B93" s="4">
        <v>104</v>
      </c>
      <c r="C93" s="5">
        <v>15213</v>
      </c>
      <c r="D93" s="3" t="s">
        <v>554</v>
      </c>
      <c r="E93" s="16">
        <v>35.99</v>
      </c>
      <c r="F93" s="16">
        <v>22.5837</v>
      </c>
      <c r="G93" s="36">
        <v>0</v>
      </c>
      <c r="H93" s="36">
        <v>0</v>
      </c>
      <c r="I93" s="36">
        <v>0</v>
      </c>
      <c r="J93" s="36">
        <v>0</v>
      </c>
      <c r="K93" s="36">
        <v>0</v>
      </c>
      <c r="L93" s="36">
        <v>0</v>
      </c>
      <c r="M93" s="36">
        <v>0</v>
      </c>
      <c r="N93" s="36">
        <v>0</v>
      </c>
    </row>
    <row r="94" spans="1:14" x14ac:dyDescent="0.35">
      <c r="A94" s="3" t="s">
        <v>317</v>
      </c>
      <c r="B94" s="4">
        <v>104</v>
      </c>
      <c r="C94" s="5">
        <v>15214</v>
      </c>
      <c r="D94" s="3" t="s">
        <v>555</v>
      </c>
      <c r="E94" s="16">
        <v>35.99</v>
      </c>
      <c r="F94" s="16">
        <v>22.5837</v>
      </c>
      <c r="G94" s="36">
        <v>0</v>
      </c>
      <c r="H94" s="36">
        <v>0</v>
      </c>
      <c r="I94" s="36">
        <v>0</v>
      </c>
      <c r="J94" s="36">
        <v>0</v>
      </c>
      <c r="K94" s="36">
        <v>0</v>
      </c>
      <c r="L94" s="36">
        <v>0</v>
      </c>
      <c r="M94" s="36">
        <v>0</v>
      </c>
      <c r="N94" s="36">
        <v>0</v>
      </c>
    </row>
    <row r="95" spans="1:14" x14ac:dyDescent="0.35">
      <c r="A95" s="3" t="s">
        <v>317</v>
      </c>
      <c r="B95" s="4">
        <v>107</v>
      </c>
      <c r="C95" s="5">
        <v>15270</v>
      </c>
      <c r="D95" s="3" t="s">
        <v>556</v>
      </c>
      <c r="E95" s="16">
        <v>72.989999999999995</v>
      </c>
      <c r="F95" s="16">
        <v>45.359116666666665</v>
      </c>
      <c r="G95" s="36">
        <v>0</v>
      </c>
      <c r="H95" s="36">
        <v>0</v>
      </c>
      <c r="I95" s="36">
        <v>0</v>
      </c>
      <c r="J95" s="36">
        <v>0</v>
      </c>
      <c r="K95" s="36">
        <v>0</v>
      </c>
      <c r="L95" s="36">
        <v>0</v>
      </c>
      <c r="M95" s="36">
        <v>0</v>
      </c>
      <c r="N95" s="36">
        <v>0</v>
      </c>
    </row>
    <row r="96" spans="1:14" x14ac:dyDescent="0.35">
      <c r="A96" s="3" t="s">
        <v>317</v>
      </c>
      <c r="B96" s="4">
        <v>107</v>
      </c>
      <c r="C96" s="5">
        <v>15272</v>
      </c>
      <c r="D96" s="3" t="s">
        <v>557</v>
      </c>
      <c r="E96" s="16">
        <v>71.989999999999995</v>
      </c>
      <c r="F96" s="16">
        <v>44.50665</v>
      </c>
      <c r="G96" s="36">
        <v>0</v>
      </c>
      <c r="H96" s="36">
        <v>0</v>
      </c>
      <c r="I96" s="36">
        <v>0</v>
      </c>
      <c r="J96" s="36">
        <v>0</v>
      </c>
      <c r="K96" s="36">
        <v>0</v>
      </c>
      <c r="L96" s="36">
        <v>0</v>
      </c>
      <c r="M96" s="36">
        <v>0</v>
      </c>
      <c r="N96" s="36">
        <v>0</v>
      </c>
    </row>
    <row r="97" spans="1:14" x14ac:dyDescent="0.35">
      <c r="A97" s="3" t="s">
        <v>317</v>
      </c>
      <c r="B97" s="4">
        <v>101</v>
      </c>
      <c r="C97" s="5">
        <v>15273</v>
      </c>
      <c r="D97" s="3" t="s">
        <v>326</v>
      </c>
      <c r="E97" s="16">
        <v>71.989999999999995</v>
      </c>
      <c r="F97" s="16">
        <v>44.50665</v>
      </c>
      <c r="G97" s="36">
        <v>0</v>
      </c>
      <c r="H97" s="36">
        <v>0</v>
      </c>
      <c r="I97" s="36">
        <v>0</v>
      </c>
      <c r="J97" s="36">
        <v>0</v>
      </c>
      <c r="K97" s="36">
        <v>0</v>
      </c>
      <c r="L97" s="36">
        <v>0</v>
      </c>
      <c r="M97" s="36">
        <v>0</v>
      </c>
      <c r="N97" s="36">
        <v>0</v>
      </c>
    </row>
    <row r="98" spans="1:14" x14ac:dyDescent="0.35">
      <c r="A98" s="3" t="s">
        <v>317</v>
      </c>
      <c r="B98" s="4">
        <v>107</v>
      </c>
      <c r="C98" s="5">
        <v>15277</v>
      </c>
      <c r="D98" s="3" t="s">
        <v>558</v>
      </c>
      <c r="E98" s="16">
        <v>71.989999999999995</v>
      </c>
      <c r="F98" s="16">
        <v>44.50665</v>
      </c>
      <c r="G98" s="36">
        <v>0</v>
      </c>
      <c r="H98" s="36">
        <v>0</v>
      </c>
      <c r="I98" s="36">
        <v>0</v>
      </c>
      <c r="J98" s="36">
        <v>0</v>
      </c>
      <c r="K98" s="36">
        <v>0</v>
      </c>
      <c r="L98" s="36">
        <v>0</v>
      </c>
      <c r="M98" s="36">
        <v>0</v>
      </c>
      <c r="N98" s="36">
        <v>0</v>
      </c>
    </row>
    <row r="99" spans="1:14" x14ac:dyDescent="0.35">
      <c r="A99" s="3" t="s">
        <v>317</v>
      </c>
      <c r="B99" s="4">
        <v>109</v>
      </c>
      <c r="C99" s="5">
        <v>15278</v>
      </c>
      <c r="D99" s="3" t="s">
        <v>559</v>
      </c>
      <c r="E99" s="16">
        <v>43.99</v>
      </c>
      <c r="F99" s="16">
        <v>27.522083333333331</v>
      </c>
      <c r="G99" s="36">
        <v>0</v>
      </c>
      <c r="H99" s="36">
        <v>0</v>
      </c>
      <c r="I99" s="36">
        <v>0</v>
      </c>
      <c r="J99" s="36">
        <v>0</v>
      </c>
      <c r="K99" s="36">
        <v>0</v>
      </c>
      <c r="L99" s="36">
        <v>0</v>
      </c>
      <c r="M99" s="36">
        <v>0</v>
      </c>
      <c r="N99" s="36">
        <v>0</v>
      </c>
    </row>
    <row r="100" spans="1:14" x14ac:dyDescent="0.35">
      <c r="A100" s="3" t="s">
        <v>317</v>
      </c>
      <c r="B100" s="4">
        <v>109</v>
      </c>
      <c r="C100" s="5">
        <v>15280</v>
      </c>
      <c r="D100" s="3" t="s">
        <v>560</v>
      </c>
      <c r="E100" s="16">
        <v>43.99</v>
      </c>
      <c r="F100" s="16">
        <v>27.522083333333331</v>
      </c>
      <c r="G100" s="36">
        <v>0</v>
      </c>
      <c r="H100" s="36">
        <v>0</v>
      </c>
      <c r="I100" s="36">
        <v>0</v>
      </c>
      <c r="J100" s="36">
        <v>0</v>
      </c>
      <c r="K100" s="36">
        <v>0</v>
      </c>
      <c r="L100" s="36">
        <v>0</v>
      </c>
      <c r="M100" s="36">
        <v>0</v>
      </c>
      <c r="N100" s="36">
        <v>0</v>
      </c>
    </row>
    <row r="101" spans="1:14" x14ac:dyDescent="0.35">
      <c r="A101" s="3" t="s">
        <v>317</v>
      </c>
      <c r="B101" s="4">
        <v>107</v>
      </c>
      <c r="C101" s="5">
        <v>15281</v>
      </c>
      <c r="D101" s="3" t="s">
        <v>561</v>
      </c>
      <c r="E101" s="16">
        <v>71.989999999999995</v>
      </c>
      <c r="F101" s="16">
        <v>44.50665</v>
      </c>
      <c r="G101" s="36">
        <v>0</v>
      </c>
      <c r="H101" s="36">
        <v>0</v>
      </c>
      <c r="I101" s="36">
        <v>0</v>
      </c>
      <c r="J101" s="36">
        <v>0</v>
      </c>
      <c r="K101" s="36">
        <v>0</v>
      </c>
      <c r="L101" s="36">
        <v>0</v>
      </c>
      <c r="M101" s="36">
        <v>0</v>
      </c>
      <c r="N101" s="36">
        <v>0</v>
      </c>
    </row>
    <row r="102" spans="1:14" x14ac:dyDescent="0.35">
      <c r="A102" s="3" t="s">
        <v>317</v>
      </c>
      <c r="B102" s="4">
        <v>107</v>
      </c>
      <c r="C102" s="5">
        <v>15282</v>
      </c>
      <c r="D102" s="3" t="s">
        <v>562</v>
      </c>
      <c r="E102" s="16">
        <v>71.989999999999995</v>
      </c>
      <c r="F102" s="16">
        <v>44.50665</v>
      </c>
      <c r="G102" s="36">
        <v>0</v>
      </c>
      <c r="H102" s="36">
        <v>0</v>
      </c>
      <c r="I102" s="36">
        <v>0</v>
      </c>
      <c r="J102" s="36">
        <v>0</v>
      </c>
      <c r="K102" s="36">
        <v>0</v>
      </c>
      <c r="L102" s="36">
        <v>0</v>
      </c>
      <c r="M102" s="36">
        <v>0</v>
      </c>
      <c r="N102" s="36">
        <v>0</v>
      </c>
    </row>
    <row r="103" spans="1:14" x14ac:dyDescent="0.35">
      <c r="A103" s="3" t="s">
        <v>317</v>
      </c>
      <c r="B103" s="4">
        <v>107</v>
      </c>
      <c r="C103" s="5">
        <v>15283</v>
      </c>
      <c r="D103" s="3" t="s">
        <v>563</v>
      </c>
      <c r="E103" s="16">
        <v>71.989999999999995</v>
      </c>
      <c r="F103" s="16">
        <v>44.50665</v>
      </c>
      <c r="G103" s="36">
        <v>0</v>
      </c>
      <c r="H103" s="36">
        <v>0</v>
      </c>
      <c r="I103" s="36">
        <v>0</v>
      </c>
      <c r="J103" s="36">
        <v>0</v>
      </c>
      <c r="K103" s="36">
        <v>62.599999999999994</v>
      </c>
      <c r="L103" s="36">
        <v>1</v>
      </c>
      <c r="M103" s="36">
        <v>0</v>
      </c>
      <c r="N103" s="36">
        <v>0</v>
      </c>
    </row>
    <row r="104" spans="1:14" x14ac:dyDescent="0.35">
      <c r="A104" s="3" t="s">
        <v>317</v>
      </c>
      <c r="B104" s="4">
        <v>107</v>
      </c>
      <c r="C104" s="5">
        <v>15284</v>
      </c>
      <c r="D104" s="3" t="s">
        <v>564</v>
      </c>
      <c r="E104" s="16">
        <v>71.989999999999995</v>
      </c>
      <c r="F104" s="16">
        <v>44.50665</v>
      </c>
      <c r="G104" s="36">
        <v>0</v>
      </c>
      <c r="H104" s="36">
        <v>0</v>
      </c>
      <c r="I104" s="36">
        <v>0</v>
      </c>
      <c r="J104" s="36">
        <v>0</v>
      </c>
      <c r="K104" s="36">
        <v>0</v>
      </c>
      <c r="L104" s="36">
        <v>0</v>
      </c>
      <c r="M104" s="36">
        <v>0</v>
      </c>
      <c r="N104" s="36">
        <v>0</v>
      </c>
    </row>
    <row r="105" spans="1:14" x14ac:dyDescent="0.35">
      <c r="A105" s="3" t="s">
        <v>317</v>
      </c>
      <c r="B105" s="4">
        <v>107</v>
      </c>
      <c r="C105" s="5">
        <v>15285</v>
      </c>
      <c r="D105" s="3" t="s">
        <v>565</v>
      </c>
      <c r="E105" s="16">
        <v>71.989999999999995</v>
      </c>
      <c r="F105" s="16">
        <v>44.50665</v>
      </c>
      <c r="G105" s="36">
        <v>0</v>
      </c>
      <c r="H105" s="36">
        <v>0</v>
      </c>
      <c r="I105" s="36">
        <v>0</v>
      </c>
      <c r="J105" s="36">
        <v>0</v>
      </c>
      <c r="K105" s="36">
        <v>62.599999999999994</v>
      </c>
      <c r="L105" s="36">
        <v>1</v>
      </c>
      <c r="M105" s="36">
        <v>0</v>
      </c>
      <c r="N105" s="36">
        <v>0</v>
      </c>
    </row>
    <row r="106" spans="1:14" x14ac:dyDescent="0.35">
      <c r="A106" s="3" t="s">
        <v>317</v>
      </c>
      <c r="B106" s="4">
        <v>107</v>
      </c>
      <c r="C106" s="5">
        <v>15286</v>
      </c>
      <c r="D106" s="3" t="s">
        <v>566</v>
      </c>
      <c r="E106" s="16">
        <v>71.989999999999995</v>
      </c>
      <c r="F106" s="16">
        <v>44.50665</v>
      </c>
      <c r="G106" s="36">
        <v>0</v>
      </c>
      <c r="H106" s="36">
        <v>0</v>
      </c>
      <c r="I106" s="36">
        <v>0</v>
      </c>
      <c r="J106" s="36">
        <v>0</v>
      </c>
      <c r="K106" s="36">
        <v>0</v>
      </c>
      <c r="L106" s="36">
        <v>0</v>
      </c>
      <c r="M106" s="36">
        <v>0</v>
      </c>
      <c r="N106" s="36">
        <v>0</v>
      </c>
    </row>
    <row r="107" spans="1:14" x14ac:dyDescent="0.35">
      <c r="A107" s="3" t="s">
        <v>317</v>
      </c>
      <c r="B107" s="4">
        <v>109</v>
      </c>
      <c r="C107" s="5">
        <v>15287</v>
      </c>
      <c r="D107" s="3" t="s">
        <v>567</v>
      </c>
      <c r="E107" s="16">
        <v>43.99</v>
      </c>
      <c r="F107" s="16">
        <v>27.522083333333331</v>
      </c>
      <c r="G107" s="36">
        <v>76.504347826086956</v>
      </c>
      <c r="H107" s="36">
        <v>2</v>
      </c>
      <c r="I107" s="36">
        <v>0</v>
      </c>
      <c r="J107" s="36">
        <v>0</v>
      </c>
      <c r="K107" s="36">
        <v>0</v>
      </c>
      <c r="L107" s="36">
        <v>0</v>
      </c>
      <c r="M107" s="36">
        <v>0</v>
      </c>
      <c r="N107" s="36">
        <v>0</v>
      </c>
    </row>
    <row r="108" spans="1:14" x14ac:dyDescent="0.35">
      <c r="A108" s="3" t="s">
        <v>317</v>
      </c>
      <c r="B108" s="4">
        <v>111</v>
      </c>
      <c r="C108" s="5">
        <v>15288</v>
      </c>
      <c r="D108" s="3" t="s">
        <v>568</v>
      </c>
      <c r="E108" s="16">
        <v>49.99</v>
      </c>
      <c r="F108" s="16">
        <v>31.051583333333337</v>
      </c>
      <c r="G108" s="36">
        <v>0</v>
      </c>
      <c r="H108" s="36">
        <v>0</v>
      </c>
      <c r="I108" s="36">
        <v>0</v>
      </c>
      <c r="J108" s="36">
        <v>0</v>
      </c>
      <c r="K108" s="36">
        <v>0</v>
      </c>
      <c r="L108" s="36">
        <v>0</v>
      </c>
      <c r="M108" s="36">
        <v>0</v>
      </c>
      <c r="N108" s="36">
        <v>0</v>
      </c>
    </row>
    <row r="109" spans="1:14" x14ac:dyDescent="0.35">
      <c r="A109" s="3" t="s">
        <v>317</v>
      </c>
      <c r="B109" s="4">
        <v>111</v>
      </c>
      <c r="C109" s="5">
        <v>15289</v>
      </c>
      <c r="D109" s="3" t="s">
        <v>569</v>
      </c>
      <c r="E109" s="16">
        <v>65.989999999999995</v>
      </c>
      <c r="F109" s="16">
        <v>41.177616666666665</v>
      </c>
      <c r="G109" s="36">
        <v>0</v>
      </c>
      <c r="H109" s="36">
        <v>0</v>
      </c>
      <c r="I109" s="36">
        <v>0</v>
      </c>
      <c r="J109" s="36">
        <v>0</v>
      </c>
      <c r="K109" s="36">
        <v>0</v>
      </c>
      <c r="L109" s="36">
        <v>0</v>
      </c>
      <c r="M109" s="36">
        <v>0</v>
      </c>
      <c r="N109" s="36">
        <v>0</v>
      </c>
    </row>
    <row r="110" spans="1:14" x14ac:dyDescent="0.35">
      <c r="A110" s="3" t="s">
        <v>317</v>
      </c>
      <c r="B110" s="4">
        <v>109</v>
      </c>
      <c r="C110" s="5">
        <v>15290</v>
      </c>
      <c r="D110" s="3" t="s">
        <v>570</v>
      </c>
      <c r="E110" s="16">
        <v>54.99</v>
      </c>
      <c r="F110" s="16">
        <v>34.594366666666666</v>
      </c>
      <c r="G110" s="36">
        <v>0</v>
      </c>
      <c r="H110" s="36">
        <v>0</v>
      </c>
      <c r="I110" s="36">
        <v>0</v>
      </c>
      <c r="J110" s="36">
        <v>0</v>
      </c>
      <c r="K110" s="36">
        <v>0</v>
      </c>
      <c r="L110" s="36">
        <v>0</v>
      </c>
      <c r="M110" s="36">
        <v>47.817391304347829</v>
      </c>
      <c r="N110" s="36">
        <v>1</v>
      </c>
    </row>
    <row r="111" spans="1:14" x14ac:dyDescent="0.35">
      <c r="A111" s="3" t="s">
        <v>317</v>
      </c>
      <c r="B111" s="4">
        <v>107</v>
      </c>
      <c r="C111" s="5">
        <v>15295</v>
      </c>
      <c r="D111" s="3" t="s">
        <v>563</v>
      </c>
      <c r="E111" s="16">
        <v>49.99</v>
      </c>
      <c r="F111" s="16">
        <v>30.655766666666665</v>
      </c>
      <c r="G111" s="36">
        <v>0</v>
      </c>
      <c r="H111" s="36">
        <v>0</v>
      </c>
      <c r="I111" s="36">
        <v>0</v>
      </c>
      <c r="J111" s="36">
        <v>0</v>
      </c>
      <c r="K111" s="36">
        <v>0</v>
      </c>
      <c r="L111" s="36">
        <v>0</v>
      </c>
      <c r="M111" s="36">
        <v>0</v>
      </c>
      <c r="N111" s="36">
        <v>0</v>
      </c>
    </row>
    <row r="112" spans="1:14" x14ac:dyDescent="0.35">
      <c r="A112" s="3" t="s">
        <v>317</v>
      </c>
      <c r="B112" s="4">
        <v>107</v>
      </c>
      <c r="C112" s="5">
        <v>15296</v>
      </c>
      <c r="D112" s="3" t="s">
        <v>558</v>
      </c>
      <c r="E112" s="16">
        <v>49.99</v>
      </c>
      <c r="F112" s="16">
        <v>30.655766666666665</v>
      </c>
      <c r="G112" s="36">
        <v>0</v>
      </c>
      <c r="H112" s="36">
        <v>0</v>
      </c>
      <c r="I112" s="36">
        <v>0</v>
      </c>
      <c r="J112" s="36">
        <v>0</v>
      </c>
      <c r="K112" s="36">
        <v>0</v>
      </c>
      <c r="L112" s="36">
        <v>0</v>
      </c>
      <c r="M112" s="36">
        <v>0</v>
      </c>
      <c r="N112" s="36">
        <v>0</v>
      </c>
    </row>
    <row r="113" spans="1:14" x14ac:dyDescent="0.35">
      <c r="A113" s="3" t="s">
        <v>317</v>
      </c>
      <c r="B113" s="4">
        <v>107</v>
      </c>
      <c r="C113" s="5">
        <v>15297</v>
      </c>
      <c r="D113" s="3" t="s">
        <v>571</v>
      </c>
      <c r="E113" s="16">
        <v>49.99</v>
      </c>
      <c r="F113" s="16">
        <v>30.655766666666665</v>
      </c>
      <c r="G113" s="36">
        <v>0</v>
      </c>
      <c r="H113" s="36">
        <v>0</v>
      </c>
      <c r="I113" s="36">
        <v>43.469565217391306</v>
      </c>
      <c r="J113" s="36">
        <v>1</v>
      </c>
      <c r="K113" s="36">
        <v>0</v>
      </c>
      <c r="L113" s="36">
        <v>0</v>
      </c>
      <c r="M113" s="36">
        <v>43.469565217391306</v>
      </c>
      <c r="N113" s="36">
        <v>1</v>
      </c>
    </row>
    <row r="114" spans="1:14" x14ac:dyDescent="0.35">
      <c r="A114" s="3" t="s">
        <v>317</v>
      </c>
      <c r="B114" s="4">
        <v>101</v>
      </c>
      <c r="C114" s="5">
        <v>15304</v>
      </c>
      <c r="D114" s="3" t="s">
        <v>327</v>
      </c>
      <c r="E114" s="16">
        <v>71.989999999999995</v>
      </c>
      <c r="F114" s="16">
        <v>44.50665</v>
      </c>
      <c r="G114" s="36">
        <v>0</v>
      </c>
      <c r="H114" s="36">
        <v>0</v>
      </c>
      <c r="I114" s="36">
        <v>0</v>
      </c>
      <c r="J114" s="36">
        <v>0</v>
      </c>
      <c r="K114" s="36">
        <v>0</v>
      </c>
      <c r="L114" s="36">
        <v>0</v>
      </c>
      <c r="M114" s="36">
        <v>0</v>
      </c>
      <c r="N114" s="36">
        <v>0</v>
      </c>
    </row>
    <row r="115" spans="1:14" x14ac:dyDescent="0.35">
      <c r="A115" s="3" t="s">
        <v>317</v>
      </c>
      <c r="B115" s="4">
        <v>101</v>
      </c>
      <c r="C115" s="5">
        <v>15305</v>
      </c>
      <c r="D115" s="3" t="s">
        <v>328</v>
      </c>
      <c r="E115" s="16">
        <v>71.989999999999995</v>
      </c>
      <c r="F115" s="16">
        <v>44.50665</v>
      </c>
      <c r="G115" s="36">
        <v>0</v>
      </c>
      <c r="H115" s="36">
        <v>0</v>
      </c>
      <c r="I115" s="36">
        <v>62.599999999999994</v>
      </c>
      <c r="J115" s="36">
        <v>1</v>
      </c>
      <c r="K115" s="36">
        <v>0</v>
      </c>
      <c r="L115" s="36">
        <v>0</v>
      </c>
      <c r="M115" s="36">
        <v>0</v>
      </c>
      <c r="N115" s="36">
        <v>0</v>
      </c>
    </row>
    <row r="116" spans="1:14" x14ac:dyDescent="0.35">
      <c r="A116" s="3" t="s">
        <v>317</v>
      </c>
      <c r="B116" s="4">
        <v>107</v>
      </c>
      <c r="C116" s="5">
        <v>15306</v>
      </c>
      <c r="D116" s="3" t="s">
        <v>572</v>
      </c>
      <c r="E116" s="16">
        <v>71.989999999999995</v>
      </c>
      <c r="F116" s="16">
        <v>44.50665</v>
      </c>
      <c r="G116" s="36">
        <v>0</v>
      </c>
      <c r="H116" s="36">
        <v>0</v>
      </c>
      <c r="I116" s="36">
        <v>62.599999999999994</v>
      </c>
      <c r="J116" s="36">
        <v>1</v>
      </c>
      <c r="K116" s="36">
        <v>0</v>
      </c>
      <c r="L116" s="36">
        <v>0</v>
      </c>
      <c r="M116" s="36">
        <v>0</v>
      </c>
      <c r="N116" s="36">
        <v>0</v>
      </c>
    </row>
    <row r="117" spans="1:14" x14ac:dyDescent="0.35">
      <c r="A117" s="3" t="s">
        <v>317</v>
      </c>
      <c r="B117" s="4">
        <v>107</v>
      </c>
      <c r="C117" s="5">
        <v>15334</v>
      </c>
      <c r="D117" s="3" t="s">
        <v>573</v>
      </c>
      <c r="E117" s="16">
        <v>49.99</v>
      </c>
      <c r="F117" s="16">
        <v>30.655766666666665</v>
      </c>
      <c r="G117" s="36">
        <v>0</v>
      </c>
      <c r="H117" s="36">
        <v>0</v>
      </c>
      <c r="I117" s="36">
        <v>0</v>
      </c>
      <c r="J117" s="36">
        <v>0</v>
      </c>
      <c r="K117" s="36">
        <v>0</v>
      </c>
      <c r="L117" s="36">
        <v>0</v>
      </c>
      <c r="M117" s="36">
        <v>0</v>
      </c>
      <c r="N117" s="36">
        <v>0</v>
      </c>
    </row>
    <row r="118" spans="1:14" x14ac:dyDescent="0.35">
      <c r="A118" s="3" t="s">
        <v>317</v>
      </c>
      <c r="B118" s="4">
        <v>107</v>
      </c>
      <c r="C118" s="5">
        <v>15335</v>
      </c>
      <c r="D118" s="3" t="s">
        <v>574</v>
      </c>
      <c r="E118" s="16">
        <v>49.99</v>
      </c>
      <c r="F118" s="16">
        <v>30.655766666666665</v>
      </c>
      <c r="G118" s="36">
        <v>0</v>
      </c>
      <c r="H118" s="36">
        <v>0</v>
      </c>
      <c r="I118" s="36">
        <v>0</v>
      </c>
      <c r="J118" s="36">
        <v>0</v>
      </c>
      <c r="K118" s="36">
        <v>0</v>
      </c>
      <c r="L118" s="36">
        <v>0</v>
      </c>
      <c r="M118" s="36">
        <v>0</v>
      </c>
      <c r="N118" s="36">
        <v>0</v>
      </c>
    </row>
    <row r="119" spans="1:14" x14ac:dyDescent="0.35">
      <c r="A119" s="3" t="s">
        <v>317</v>
      </c>
      <c r="B119" s="4">
        <v>107</v>
      </c>
      <c r="C119" s="5">
        <v>15336</v>
      </c>
      <c r="D119" s="3" t="s">
        <v>329</v>
      </c>
      <c r="E119" s="16">
        <v>49.99</v>
      </c>
      <c r="F119" s="16">
        <v>30.655766666666665</v>
      </c>
      <c r="G119" s="36">
        <v>0</v>
      </c>
      <c r="H119" s="36">
        <v>0</v>
      </c>
      <c r="I119" s="36">
        <v>0</v>
      </c>
      <c r="J119" s="36">
        <v>0</v>
      </c>
      <c r="K119" s="36">
        <v>0</v>
      </c>
      <c r="L119" s="36">
        <v>0</v>
      </c>
      <c r="M119" s="36">
        <v>0</v>
      </c>
      <c r="N119" s="36">
        <v>0</v>
      </c>
    </row>
    <row r="120" spans="1:14" x14ac:dyDescent="0.35">
      <c r="A120" s="3" t="s">
        <v>317</v>
      </c>
      <c r="B120" s="4">
        <v>101</v>
      </c>
      <c r="C120" s="5">
        <v>15337</v>
      </c>
      <c r="D120" s="3" t="s">
        <v>329</v>
      </c>
      <c r="E120" s="16">
        <v>71.989999999999995</v>
      </c>
      <c r="F120" s="16">
        <v>44.50665</v>
      </c>
      <c r="G120" s="36">
        <v>0</v>
      </c>
      <c r="H120" s="36">
        <v>0</v>
      </c>
      <c r="I120" s="36">
        <v>0</v>
      </c>
      <c r="J120" s="36">
        <v>0</v>
      </c>
      <c r="K120" s="36">
        <v>0</v>
      </c>
      <c r="L120" s="36">
        <v>0</v>
      </c>
      <c r="M120" s="36">
        <v>0</v>
      </c>
      <c r="N120" s="36">
        <v>0</v>
      </c>
    </row>
    <row r="121" spans="1:14" x14ac:dyDescent="0.35">
      <c r="A121" s="3" t="s">
        <v>317</v>
      </c>
      <c r="B121" s="4">
        <v>107</v>
      </c>
      <c r="C121" s="5">
        <v>15339</v>
      </c>
      <c r="D121" s="3" t="s">
        <v>575</v>
      </c>
      <c r="E121" s="16">
        <v>109.99</v>
      </c>
      <c r="F121" s="16">
        <v>68.574399999999997</v>
      </c>
      <c r="G121" s="36">
        <v>0</v>
      </c>
      <c r="H121" s="36">
        <v>0</v>
      </c>
      <c r="I121" s="36">
        <v>0</v>
      </c>
      <c r="J121" s="36">
        <v>0</v>
      </c>
      <c r="K121" s="36">
        <v>0</v>
      </c>
      <c r="L121" s="36">
        <v>0</v>
      </c>
      <c r="M121" s="36">
        <v>0</v>
      </c>
      <c r="N121" s="36">
        <v>0</v>
      </c>
    </row>
    <row r="122" spans="1:14" x14ac:dyDescent="0.35">
      <c r="A122" s="3" t="s">
        <v>317</v>
      </c>
      <c r="B122" s="4">
        <v>105</v>
      </c>
      <c r="C122" s="5">
        <v>15755</v>
      </c>
      <c r="D122" s="3" t="s">
        <v>576</v>
      </c>
      <c r="E122" s="16">
        <v>51.99</v>
      </c>
      <c r="F122" s="16">
        <v>31.62275</v>
      </c>
      <c r="G122" s="36">
        <v>0</v>
      </c>
      <c r="H122" s="36">
        <v>0</v>
      </c>
      <c r="I122" s="36">
        <v>0</v>
      </c>
      <c r="J122" s="36">
        <v>0</v>
      </c>
      <c r="K122" s="36">
        <v>0</v>
      </c>
      <c r="L122" s="36">
        <v>0</v>
      </c>
      <c r="M122" s="36">
        <v>0</v>
      </c>
      <c r="N122" s="36">
        <v>0</v>
      </c>
    </row>
    <row r="123" spans="1:14" x14ac:dyDescent="0.35">
      <c r="A123" s="3" t="s">
        <v>317</v>
      </c>
      <c r="B123" s="4">
        <v>107</v>
      </c>
      <c r="C123" s="5">
        <v>15756</v>
      </c>
      <c r="D123" s="3" t="s">
        <v>577</v>
      </c>
      <c r="E123" s="16">
        <v>74.989999999999995</v>
      </c>
      <c r="F123" s="16">
        <v>46.516966666666669</v>
      </c>
      <c r="G123" s="36">
        <v>0</v>
      </c>
      <c r="H123" s="36">
        <v>0</v>
      </c>
      <c r="I123" s="36">
        <v>0</v>
      </c>
      <c r="J123" s="36">
        <v>0</v>
      </c>
      <c r="K123" s="36">
        <v>0</v>
      </c>
      <c r="L123" s="36">
        <v>0</v>
      </c>
      <c r="M123" s="36">
        <v>0</v>
      </c>
      <c r="N123" s="36">
        <v>0</v>
      </c>
    </row>
    <row r="124" spans="1:14" x14ac:dyDescent="0.35">
      <c r="A124" s="3" t="s">
        <v>317</v>
      </c>
      <c r="B124" s="4">
        <v>107</v>
      </c>
      <c r="C124" s="5">
        <v>15757</v>
      </c>
      <c r="D124" s="3" t="s">
        <v>578</v>
      </c>
      <c r="E124" s="16">
        <v>79.989999999999995</v>
      </c>
      <c r="F124" s="16">
        <v>50.088349999999998</v>
      </c>
      <c r="G124" s="36">
        <v>0</v>
      </c>
      <c r="H124" s="36">
        <v>0</v>
      </c>
      <c r="I124" s="36">
        <v>0</v>
      </c>
      <c r="J124" s="36">
        <v>0</v>
      </c>
      <c r="K124" s="36">
        <v>0</v>
      </c>
      <c r="L124" s="36">
        <v>0</v>
      </c>
      <c r="M124" s="36">
        <v>0</v>
      </c>
      <c r="N124" s="36">
        <v>0</v>
      </c>
    </row>
    <row r="125" spans="1:14" x14ac:dyDescent="0.35">
      <c r="A125" s="3" t="s">
        <v>317</v>
      </c>
      <c r="B125" s="4">
        <v>101</v>
      </c>
      <c r="C125" s="5">
        <v>15766</v>
      </c>
      <c r="D125" s="3" t="s">
        <v>330</v>
      </c>
      <c r="E125" s="16">
        <v>52.99</v>
      </c>
      <c r="F125" s="16">
        <v>32.459833333333329</v>
      </c>
      <c r="G125" s="36">
        <v>0</v>
      </c>
      <c r="H125" s="36">
        <v>0</v>
      </c>
      <c r="I125" s="36">
        <v>0</v>
      </c>
      <c r="J125" s="36">
        <v>0</v>
      </c>
      <c r="K125" s="36">
        <v>0</v>
      </c>
      <c r="L125" s="36">
        <v>0</v>
      </c>
      <c r="M125" s="36">
        <v>0</v>
      </c>
      <c r="N125" s="36">
        <v>0</v>
      </c>
    </row>
    <row r="126" spans="1:14" x14ac:dyDescent="0.35">
      <c r="A126" s="3" t="s">
        <v>317</v>
      </c>
      <c r="B126" s="4">
        <v>101</v>
      </c>
      <c r="C126" s="5">
        <v>15770</v>
      </c>
      <c r="D126" s="3" t="s">
        <v>331</v>
      </c>
      <c r="E126" s="16">
        <v>52.99</v>
      </c>
      <c r="F126" s="16">
        <v>32.459833333333329</v>
      </c>
      <c r="G126" s="36">
        <v>0</v>
      </c>
      <c r="H126" s="36">
        <v>0</v>
      </c>
      <c r="I126" s="36">
        <v>0</v>
      </c>
      <c r="J126" s="36">
        <v>0</v>
      </c>
      <c r="K126" s="36">
        <v>0</v>
      </c>
      <c r="L126" s="36">
        <v>0</v>
      </c>
      <c r="M126" s="36">
        <v>0</v>
      </c>
      <c r="N126" s="36">
        <v>0</v>
      </c>
    </row>
    <row r="127" spans="1:14" x14ac:dyDescent="0.35">
      <c r="A127" s="3" t="s">
        <v>317</v>
      </c>
      <c r="B127" s="4">
        <v>101</v>
      </c>
      <c r="C127" s="5">
        <v>15771</v>
      </c>
      <c r="D127" s="3" t="s">
        <v>332</v>
      </c>
      <c r="E127" s="16">
        <v>52.99</v>
      </c>
      <c r="F127" s="16">
        <v>32.459833333333329</v>
      </c>
      <c r="G127" s="36">
        <v>0</v>
      </c>
      <c r="H127" s="36">
        <v>0</v>
      </c>
      <c r="I127" s="36">
        <v>0</v>
      </c>
      <c r="J127" s="36">
        <v>0</v>
      </c>
      <c r="K127" s="36">
        <v>0</v>
      </c>
      <c r="L127" s="36">
        <v>0</v>
      </c>
      <c r="M127" s="36">
        <v>0</v>
      </c>
      <c r="N127" s="36">
        <v>0</v>
      </c>
    </row>
    <row r="128" spans="1:14" x14ac:dyDescent="0.35">
      <c r="A128" s="3" t="s">
        <v>317</v>
      </c>
      <c r="B128" s="4">
        <v>101</v>
      </c>
      <c r="C128" s="5">
        <v>15772</v>
      </c>
      <c r="D128" s="3" t="s">
        <v>333</v>
      </c>
      <c r="E128" s="16">
        <v>52.99</v>
      </c>
      <c r="F128" s="16">
        <v>33.068858333333331</v>
      </c>
      <c r="G128" s="36">
        <v>0</v>
      </c>
      <c r="H128" s="36">
        <v>0</v>
      </c>
      <c r="I128" s="36">
        <v>0</v>
      </c>
      <c r="J128" s="36">
        <v>0</v>
      </c>
      <c r="K128" s="36">
        <v>0</v>
      </c>
      <c r="L128" s="36">
        <v>0</v>
      </c>
      <c r="M128" s="36">
        <v>0</v>
      </c>
      <c r="N128" s="36">
        <v>0</v>
      </c>
    </row>
    <row r="129" spans="1:14" x14ac:dyDescent="0.35">
      <c r="A129" s="3" t="s">
        <v>317</v>
      </c>
      <c r="B129" s="4">
        <v>101</v>
      </c>
      <c r="C129" s="5">
        <v>15773</v>
      </c>
      <c r="D129" s="3" t="s">
        <v>334</v>
      </c>
      <c r="E129" s="16">
        <v>57.99</v>
      </c>
      <c r="F129" s="16">
        <v>35.469050000000003</v>
      </c>
      <c r="G129" s="36">
        <v>0</v>
      </c>
      <c r="H129" s="36">
        <v>0</v>
      </c>
      <c r="I129" s="36">
        <v>0</v>
      </c>
      <c r="J129" s="36">
        <v>0</v>
      </c>
      <c r="K129" s="36">
        <v>0</v>
      </c>
      <c r="L129" s="36">
        <v>0</v>
      </c>
      <c r="M129" s="36">
        <v>0</v>
      </c>
      <c r="N129" s="36">
        <v>0</v>
      </c>
    </row>
    <row r="130" spans="1:14" x14ac:dyDescent="0.35">
      <c r="A130" s="3" t="s">
        <v>317</v>
      </c>
      <c r="B130" s="4">
        <v>101</v>
      </c>
      <c r="C130" s="5">
        <v>15774</v>
      </c>
      <c r="D130" s="3" t="s">
        <v>335</v>
      </c>
      <c r="E130" s="16">
        <v>64.989999999999995</v>
      </c>
      <c r="F130" s="16">
        <v>39.992016666666665</v>
      </c>
      <c r="G130" s="36">
        <v>0</v>
      </c>
      <c r="H130" s="36">
        <v>0</v>
      </c>
      <c r="I130" s="36">
        <v>0</v>
      </c>
      <c r="J130" s="36">
        <v>0</v>
      </c>
      <c r="K130" s="36">
        <v>0</v>
      </c>
      <c r="L130" s="36">
        <v>0</v>
      </c>
      <c r="M130" s="36">
        <v>0</v>
      </c>
      <c r="N130" s="36">
        <v>0</v>
      </c>
    </row>
    <row r="131" spans="1:14" x14ac:dyDescent="0.35">
      <c r="A131" s="3" t="s">
        <v>317</v>
      </c>
      <c r="B131" s="4">
        <v>101</v>
      </c>
      <c r="C131" s="5">
        <v>15777</v>
      </c>
      <c r="D131" s="3" t="s">
        <v>336</v>
      </c>
      <c r="E131" s="16">
        <v>62.99</v>
      </c>
      <c r="F131" s="16">
        <v>38.492049999999999</v>
      </c>
      <c r="G131" s="36">
        <v>0</v>
      </c>
      <c r="H131" s="36">
        <v>0</v>
      </c>
      <c r="I131" s="36">
        <v>0</v>
      </c>
      <c r="J131" s="36">
        <v>0</v>
      </c>
      <c r="K131" s="36">
        <v>0</v>
      </c>
      <c r="L131" s="36">
        <v>0</v>
      </c>
      <c r="M131" s="36">
        <v>0</v>
      </c>
      <c r="N131" s="36">
        <v>0</v>
      </c>
    </row>
    <row r="132" spans="1:14" x14ac:dyDescent="0.35">
      <c r="A132" s="3" t="s">
        <v>317</v>
      </c>
      <c r="B132" s="4">
        <v>107</v>
      </c>
      <c r="C132" s="5">
        <v>15778</v>
      </c>
      <c r="D132" s="3" t="s">
        <v>579</v>
      </c>
      <c r="E132" s="16">
        <v>75.989999999999995</v>
      </c>
      <c r="F132" s="16">
        <v>47.475050000000003</v>
      </c>
      <c r="G132" s="36">
        <v>0</v>
      </c>
      <c r="H132" s="36">
        <v>0</v>
      </c>
      <c r="I132" s="36">
        <v>0</v>
      </c>
      <c r="J132" s="36">
        <v>0</v>
      </c>
      <c r="K132" s="36">
        <v>0</v>
      </c>
      <c r="L132" s="36">
        <v>0</v>
      </c>
      <c r="M132" s="36">
        <v>0</v>
      </c>
      <c r="N132" s="36">
        <v>0</v>
      </c>
    </row>
    <row r="133" spans="1:14" x14ac:dyDescent="0.35">
      <c r="A133" s="3" t="s">
        <v>317</v>
      </c>
      <c r="B133" s="4">
        <v>106</v>
      </c>
      <c r="C133" s="5">
        <v>15779</v>
      </c>
      <c r="D133" s="3" t="s">
        <v>580</v>
      </c>
      <c r="E133" s="16">
        <v>38.99</v>
      </c>
      <c r="F133" s="16">
        <v>23.88654166666667</v>
      </c>
      <c r="G133" s="36">
        <v>0</v>
      </c>
      <c r="H133" s="36">
        <v>0</v>
      </c>
      <c r="I133" s="36">
        <v>0</v>
      </c>
      <c r="J133" s="36">
        <v>0</v>
      </c>
      <c r="K133" s="36">
        <v>0</v>
      </c>
      <c r="L133" s="36">
        <v>0</v>
      </c>
      <c r="M133" s="36">
        <v>0</v>
      </c>
      <c r="N133" s="36">
        <v>0</v>
      </c>
    </row>
    <row r="134" spans="1:14" x14ac:dyDescent="0.35">
      <c r="A134" s="3" t="s">
        <v>317</v>
      </c>
      <c r="B134" s="4">
        <v>106</v>
      </c>
      <c r="C134" s="5">
        <v>15780</v>
      </c>
      <c r="D134" s="3" t="s">
        <v>581</v>
      </c>
      <c r="E134" s="16">
        <v>59.99</v>
      </c>
      <c r="F134" s="16">
        <v>36.994506250000001</v>
      </c>
      <c r="G134" s="36">
        <v>52.165217391304353</v>
      </c>
      <c r="H134" s="36">
        <v>1</v>
      </c>
      <c r="I134" s="36">
        <v>104.33043478260871</v>
      </c>
      <c r="J134" s="36">
        <v>2</v>
      </c>
      <c r="K134" s="36">
        <v>0</v>
      </c>
      <c r="L134" s="36">
        <v>0</v>
      </c>
      <c r="M134" s="36">
        <v>156.49565217391304</v>
      </c>
      <c r="N134" s="36">
        <v>3</v>
      </c>
    </row>
    <row r="135" spans="1:14" x14ac:dyDescent="0.35">
      <c r="A135" s="3" t="s">
        <v>317</v>
      </c>
      <c r="B135" s="4">
        <v>106</v>
      </c>
      <c r="C135" s="5">
        <v>15781</v>
      </c>
      <c r="D135" s="3" t="s">
        <v>582</v>
      </c>
      <c r="E135" s="16">
        <v>38.99</v>
      </c>
      <c r="F135" s="16">
        <v>23.88654166666667</v>
      </c>
      <c r="G135" s="36">
        <v>0</v>
      </c>
      <c r="H135" s="36">
        <v>0</v>
      </c>
      <c r="I135" s="36">
        <v>0</v>
      </c>
      <c r="J135" s="36">
        <v>0</v>
      </c>
      <c r="K135" s="36">
        <v>0</v>
      </c>
      <c r="L135" s="36">
        <v>0</v>
      </c>
      <c r="M135" s="36">
        <v>0</v>
      </c>
      <c r="N135" s="36">
        <v>0</v>
      </c>
    </row>
    <row r="136" spans="1:14" x14ac:dyDescent="0.35">
      <c r="A136" s="3" t="s">
        <v>317</v>
      </c>
      <c r="B136" s="4">
        <v>101</v>
      </c>
      <c r="C136" s="5">
        <v>15795</v>
      </c>
      <c r="D136" s="3" t="s">
        <v>337</v>
      </c>
      <c r="E136" s="16">
        <v>945</v>
      </c>
      <c r="F136" s="16">
        <v>575.39409999999998</v>
      </c>
      <c r="G136" s="36">
        <v>0</v>
      </c>
      <c r="H136" s="36">
        <v>0</v>
      </c>
      <c r="I136" s="36">
        <v>0</v>
      </c>
      <c r="J136" s="36">
        <v>0</v>
      </c>
      <c r="K136" s="36">
        <v>0</v>
      </c>
      <c r="L136" s="36">
        <v>0</v>
      </c>
      <c r="M136" s="36">
        <v>0</v>
      </c>
      <c r="N136" s="36">
        <v>0</v>
      </c>
    </row>
    <row r="137" spans="1:14" x14ac:dyDescent="0.35">
      <c r="A137" s="3" t="s">
        <v>317</v>
      </c>
      <c r="B137" s="4">
        <v>101</v>
      </c>
      <c r="C137" s="5">
        <v>15799</v>
      </c>
      <c r="D137" s="3" t="s">
        <v>338</v>
      </c>
      <c r="E137" s="16">
        <v>59.99</v>
      </c>
      <c r="F137" s="16">
        <v>37.729750000000003</v>
      </c>
      <c r="G137" s="36">
        <v>0</v>
      </c>
      <c r="H137" s="36">
        <v>0</v>
      </c>
      <c r="I137" s="36">
        <v>0</v>
      </c>
      <c r="J137" s="36">
        <v>0</v>
      </c>
      <c r="K137" s="36">
        <v>0</v>
      </c>
      <c r="L137" s="36">
        <v>0</v>
      </c>
      <c r="M137" s="36">
        <v>0</v>
      </c>
      <c r="N137" s="36">
        <v>0</v>
      </c>
    </row>
    <row r="138" spans="1:14" x14ac:dyDescent="0.35">
      <c r="A138" s="3" t="s">
        <v>317</v>
      </c>
      <c r="B138" s="4">
        <v>110</v>
      </c>
      <c r="C138" s="5">
        <v>15800</v>
      </c>
      <c r="D138" s="3" t="s">
        <v>583</v>
      </c>
      <c r="E138" s="16">
        <v>56.99</v>
      </c>
      <c r="F138" s="16">
        <v>35.372916666666669</v>
      </c>
      <c r="G138" s="36">
        <v>0</v>
      </c>
      <c r="H138" s="36">
        <v>0</v>
      </c>
      <c r="I138" s="36">
        <v>0</v>
      </c>
      <c r="J138" s="36">
        <v>0</v>
      </c>
      <c r="K138" s="36">
        <v>0</v>
      </c>
      <c r="L138" s="36">
        <v>0</v>
      </c>
      <c r="M138" s="36">
        <v>99.113043478260877</v>
      </c>
      <c r="N138" s="36">
        <v>2</v>
      </c>
    </row>
    <row r="139" spans="1:14" x14ac:dyDescent="0.35">
      <c r="A139" s="3" t="s">
        <v>317</v>
      </c>
      <c r="B139" s="4">
        <v>101</v>
      </c>
      <c r="C139" s="5">
        <v>15811</v>
      </c>
      <c r="D139" s="3" t="s">
        <v>339</v>
      </c>
      <c r="E139" s="16">
        <v>48.99</v>
      </c>
      <c r="F139" s="16">
        <v>30.185550000000003</v>
      </c>
      <c r="G139" s="36">
        <v>0</v>
      </c>
      <c r="H139" s="36">
        <v>0</v>
      </c>
      <c r="I139" s="36">
        <v>0</v>
      </c>
      <c r="J139" s="36">
        <v>0</v>
      </c>
      <c r="K139" s="36">
        <v>0</v>
      </c>
      <c r="L139" s="36">
        <v>0</v>
      </c>
      <c r="M139" s="36">
        <v>0</v>
      </c>
      <c r="N139" s="36">
        <v>0</v>
      </c>
    </row>
    <row r="140" spans="1:14" x14ac:dyDescent="0.35">
      <c r="A140" s="3" t="s">
        <v>317</v>
      </c>
      <c r="B140" s="4">
        <v>106</v>
      </c>
      <c r="C140" s="5">
        <v>15821</v>
      </c>
      <c r="D140" s="3" t="s">
        <v>584</v>
      </c>
      <c r="E140" s="16">
        <v>59.99</v>
      </c>
      <c r="F140" s="16">
        <v>36.994506250000001</v>
      </c>
      <c r="G140" s="36">
        <v>0</v>
      </c>
      <c r="H140" s="36">
        <v>0</v>
      </c>
      <c r="I140" s="36">
        <v>0</v>
      </c>
      <c r="J140" s="36">
        <v>0</v>
      </c>
      <c r="K140" s="36">
        <v>0</v>
      </c>
      <c r="L140" s="36">
        <v>0</v>
      </c>
      <c r="M140" s="36">
        <v>0</v>
      </c>
      <c r="N140" s="36">
        <v>0</v>
      </c>
    </row>
    <row r="141" spans="1:14" x14ac:dyDescent="0.35">
      <c r="A141" s="3" t="s">
        <v>317</v>
      </c>
      <c r="B141" s="4">
        <v>106</v>
      </c>
      <c r="C141" s="5">
        <v>15822</v>
      </c>
      <c r="D141" s="3" t="s">
        <v>585</v>
      </c>
      <c r="E141" s="16">
        <v>59.99</v>
      </c>
      <c r="F141" s="16">
        <v>36.994506250000001</v>
      </c>
      <c r="G141" s="36">
        <v>52.165217391304353</v>
      </c>
      <c r="H141" s="36">
        <v>1</v>
      </c>
      <c r="I141" s="36">
        <v>0</v>
      </c>
      <c r="J141" s="36">
        <v>0</v>
      </c>
      <c r="K141" s="36">
        <v>0</v>
      </c>
      <c r="L141" s="36">
        <v>0</v>
      </c>
      <c r="M141" s="36">
        <v>0</v>
      </c>
      <c r="N141" s="36">
        <v>0</v>
      </c>
    </row>
    <row r="142" spans="1:14" x14ac:dyDescent="0.35">
      <c r="A142" s="3" t="s">
        <v>317</v>
      </c>
      <c r="B142" s="4">
        <v>106</v>
      </c>
      <c r="C142" s="5">
        <v>15824</v>
      </c>
      <c r="D142" s="3" t="s">
        <v>586</v>
      </c>
      <c r="E142" s="16">
        <v>39.99</v>
      </c>
      <c r="F142" s="16">
        <v>24.895566666666667</v>
      </c>
      <c r="G142" s="36">
        <v>0</v>
      </c>
      <c r="H142" s="36">
        <v>0</v>
      </c>
      <c r="I142" s="36">
        <v>0</v>
      </c>
      <c r="J142" s="36">
        <v>0</v>
      </c>
      <c r="K142" s="36">
        <v>0</v>
      </c>
      <c r="L142" s="36">
        <v>0</v>
      </c>
      <c r="M142" s="36">
        <v>0</v>
      </c>
      <c r="N142" s="36">
        <v>0</v>
      </c>
    </row>
    <row r="143" spans="1:14" x14ac:dyDescent="0.35">
      <c r="A143" s="3" t="s">
        <v>317</v>
      </c>
      <c r="B143" s="4">
        <v>106</v>
      </c>
      <c r="C143" s="5">
        <v>15827</v>
      </c>
      <c r="D143" s="3" t="s">
        <v>586</v>
      </c>
      <c r="E143" s="16">
        <v>27.99</v>
      </c>
      <c r="F143" s="16">
        <v>16.99879</v>
      </c>
      <c r="G143" s="36">
        <v>0</v>
      </c>
      <c r="H143" s="36">
        <v>0</v>
      </c>
      <c r="I143" s="36">
        <v>0</v>
      </c>
      <c r="J143" s="36">
        <v>0</v>
      </c>
      <c r="K143" s="36">
        <v>0</v>
      </c>
      <c r="L143" s="36">
        <v>0</v>
      </c>
      <c r="M143" s="36">
        <v>0</v>
      </c>
      <c r="N143" s="36">
        <v>0</v>
      </c>
    </row>
    <row r="144" spans="1:14" x14ac:dyDescent="0.35">
      <c r="A144" s="3" t="s">
        <v>317</v>
      </c>
      <c r="B144" s="4">
        <v>105</v>
      </c>
      <c r="C144" s="5">
        <v>15838</v>
      </c>
      <c r="D144" s="3" t="s">
        <v>587</v>
      </c>
      <c r="E144" s="16">
        <v>38.99</v>
      </c>
      <c r="F144" s="16">
        <v>26.097375</v>
      </c>
      <c r="G144" s="36">
        <v>0</v>
      </c>
      <c r="H144" s="36">
        <v>0</v>
      </c>
      <c r="I144" s="36">
        <v>0</v>
      </c>
      <c r="J144" s="36">
        <v>0</v>
      </c>
      <c r="K144" s="36">
        <v>0</v>
      </c>
      <c r="L144" s="36">
        <v>0</v>
      </c>
      <c r="M144" s="36">
        <v>0</v>
      </c>
      <c r="N144" s="36">
        <v>0</v>
      </c>
    </row>
    <row r="145" spans="1:14" x14ac:dyDescent="0.35">
      <c r="A145" s="3" t="s">
        <v>317</v>
      </c>
      <c r="B145" s="4">
        <v>101</v>
      </c>
      <c r="C145" s="5">
        <v>15839</v>
      </c>
      <c r="D145" s="3" t="s">
        <v>340</v>
      </c>
      <c r="E145" s="16">
        <v>35.99</v>
      </c>
      <c r="F145" s="16">
        <v>22.138549999999999</v>
      </c>
      <c r="G145" s="36">
        <v>0</v>
      </c>
      <c r="H145" s="36">
        <v>0</v>
      </c>
      <c r="I145" s="36">
        <v>0</v>
      </c>
      <c r="J145" s="36">
        <v>0</v>
      </c>
      <c r="K145" s="36">
        <v>0</v>
      </c>
      <c r="L145" s="36">
        <v>0</v>
      </c>
      <c r="M145" s="36">
        <v>0</v>
      </c>
      <c r="N145" s="36">
        <v>0</v>
      </c>
    </row>
    <row r="146" spans="1:14" x14ac:dyDescent="0.35">
      <c r="A146" s="3" t="s">
        <v>317</v>
      </c>
      <c r="B146" s="4">
        <v>101</v>
      </c>
      <c r="C146" s="5">
        <v>15840</v>
      </c>
      <c r="D146" s="3" t="s">
        <v>341</v>
      </c>
      <c r="E146" s="16">
        <v>35.99</v>
      </c>
      <c r="F146" s="16">
        <v>22.138549999999999</v>
      </c>
      <c r="G146" s="36">
        <v>0</v>
      </c>
      <c r="H146" s="36">
        <v>0</v>
      </c>
      <c r="I146" s="36">
        <v>0</v>
      </c>
      <c r="J146" s="36">
        <v>0</v>
      </c>
      <c r="K146" s="36">
        <v>0</v>
      </c>
      <c r="L146" s="36">
        <v>0</v>
      </c>
      <c r="M146" s="36">
        <v>0</v>
      </c>
      <c r="N146" s="36">
        <v>0</v>
      </c>
    </row>
    <row r="147" spans="1:14" x14ac:dyDescent="0.35">
      <c r="A147" s="3" t="s">
        <v>317</v>
      </c>
      <c r="B147" s="4">
        <v>101</v>
      </c>
      <c r="C147" s="5">
        <v>15841</v>
      </c>
      <c r="D147" s="3" t="s">
        <v>342</v>
      </c>
      <c r="E147" s="16">
        <v>35.99</v>
      </c>
      <c r="F147" s="16">
        <v>22.138549999999999</v>
      </c>
      <c r="G147" s="36">
        <v>0</v>
      </c>
      <c r="H147" s="36">
        <v>0</v>
      </c>
      <c r="I147" s="36">
        <v>0</v>
      </c>
      <c r="J147" s="36">
        <v>0</v>
      </c>
      <c r="K147" s="36">
        <v>0</v>
      </c>
      <c r="L147" s="36">
        <v>0</v>
      </c>
      <c r="M147" s="36">
        <v>0</v>
      </c>
      <c r="N147" s="36">
        <v>0</v>
      </c>
    </row>
    <row r="148" spans="1:14" x14ac:dyDescent="0.35">
      <c r="A148" s="3" t="s">
        <v>317</v>
      </c>
      <c r="B148" s="4">
        <v>101</v>
      </c>
      <c r="C148" s="5">
        <v>15842</v>
      </c>
      <c r="D148" s="3" t="s">
        <v>343</v>
      </c>
      <c r="E148" s="16">
        <v>35.99</v>
      </c>
      <c r="F148" s="16">
        <v>22.137550000000001</v>
      </c>
      <c r="G148" s="36">
        <v>0</v>
      </c>
      <c r="H148" s="36">
        <v>0</v>
      </c>
      <c r="I148" s="36">
        <v>0</v>
      </c>
      <c r="J148" s="36">
        <v>0</v>
      </c>
      <c r="K148" s="36">
        <v>0</v>
      </c>
      <c r="L148" s="36">
        <v>0</v>
      </c>
      <c r="M148" s="36">
        <v>0</v>
      </c>
      <c r="N148" s="36">
        <v>0</v>
      </c>
    </row>
    <row r="149" spans="1:14" x14ac:dyDescent="0.35">
      <c r="A149" s="3" t="s">
        <v>317</v>
      </c>
      <c r="B149" s="4">
        <v>101</v>
      </c>
      <c r="C149" s="5">
        <v>15843</v>
      </c>
      <c r="D149" s="3" t="s">
        <v>344</v>
      </c>
      <c r="E149" s="16">
        <v>35.99</v>
      </c>
      <c r="F149" s="16">
        <v>22.138549999999999</v>
      </c>
      <c r="G149" s="36">
        <v>0</v>
      </c>
      <c r="H149" s="36">
        <v>0</v>
      </c>
      <c r="I149" s="36">
        <v>0</v>
      </c>
      <c r="J149" s="36">
        <v>0</v>
      </c>
      <c r="K149" s="36">
        <v>0</v>
      </c>
      <c r="L149" s="36">
        <v>0</v>
      </c>
      <c r="M149" s="36">
        <v>0</v>
      </c>
      <c r="N149" s="36">
        <v>0</v>
      </c>
    </row>
    <row r="150" spans="1:14" x14ac:dyDescent="0.35">
      <c r="A150" s="3" t="s">
        <v>317</v>
      </c>
      <c r="B150" s="4">
        <v>101</v>
      </c>
      <c r="C150" s="5">
        <v>15844</v>
      </c>
      <c r="D150" s="3" t="s">
        <v>345</v>
      </c>
      <c r="E150" s="16">
        <v>65.989999999999995</v>
      </c>
      <c r="F150" s="16">
        <v>40.863366666666671</v>
      </c>
      <c r="G150" s="36">
        <v>0</v>
      </c>
      <c r="H150" s="36">
        <v>0</v>
      </c>
      <c r="I150" s="36">
        <v>0</v>
      </c>
      <c r="J150" s="36">
        <v>0</v>
      </c>
      <c r="K150" s="36">
        <v>0</v>
      </c>
      <c r="L150" s="36">
        <v>0</v>
      </c>
      <c r="M150" s="36">
        <v>0</v>
      </c>
      <c r="N150" s="36">
        <v>0</v>
      </c>
    </row>
    <row r="151" spans="1:14" x14ac:dyDescent="0.35">
      <c r="A151" s="3" t="s">
        <v>317</v>
      </c>
      <c r="B151" s="4">
        <v>107</v>
      </c>
      <c r="C151" s="5">
        <v>15857</v>
      </c>
      <c r="D151" s="3" t="s">
        <v>588</v>
      </c>
      <c r="E151" s="16">
        <v>52.99</v>
      </c>
      <c r="F151" s="16">
        <v>33.346962499999997</v>
      </c>
      <c r="G151" s="36">
        <v>0</v>
      </c>
      <c r="H151" s="36">
        <v>0</v>
      </c>
      <c r="I151" s="36">
        <v>0</v>
      </c>
      <c r="J151" s="36">
        <v>0</v>
      </c>
      <c r="K151" s="36">
        <v>0</v>
      </c>
      <c r="L151" s="36">
        <v>0</v>
      </c>
      <c r="M151" s="36">
        <v>0</v>
      </c>
      <c r="N151" s="36">
        <v>0</v>
      </c>
    </row>
    <row r="152" spans="1:14" x14ac:dyDescent="0.35">
      <c r="A152" s="3" t="s">
        <v>317</v>
      </c>
      <c r="B152" s="4">
        <v>111</v>
      </c>
      <c r="C152" s="5">
        <v>15961</v>
      </c>
      <c r="D152" s="3" t="s">
        <v>589</v>
      </c>
      <c r="E152" s="16">
        <v>51.99</v>
      </c>
      <c r="F152" s="16">
        <v>32.066175000000001</v>
      </c>
      <c r="G152" s="36">
        <v>0</v>
      </c>
      <c r="H152" s="36">
        <v>0</v>
      </c>
      <c r="I152" s="36">
        <v>0</v>
      </c>
      <c r="J152" s="36">
        <v>0</v>
      </c>
      <c r="K152" s="36">
        <v>0</v>
      </c>
      <c r="L152" s="36">
        <v>0</v>
      </c>
      <c r="M152" s="36">
        <v>0</v>
      </c>
      <c r="N152" s="36">
        <v>0</v>
      </c>
    </row>
    <row r="153" spans="1:14" x14ac:dyDescent="0.35">
      <c r="A153" s="3" t="s">
        <v>317</v>
      </c>
      <c r="B153" s="4">
        <v>109</v>
      </c>
      <c r="C153" s="5">
        <v>15962</v>
      </c>
      <c r="D153" s="3" t="s">
        <v>590</v>
      </c>
      <c r="E153" s="16">
        <v>179.99</v>
      </c>
      <c r="F153" s="16">
        <v>113.3473</v>
      </c>
      <c r="G153" s="36">
        <v>0</v>
      </c>
      <c r="H153" s="36">
        <v>0</v>
      </c>
      <c r="I153" s="36">
        <v>0</v>
      </c>
      <c r="J153" s="36">
        <v>0</v>
      </c>
      <c r="K153" s="36">
        <v>0</v>
      </c>
      <c r="L153" s="36">
        <v>0</v>
      </c>
      <c r="M153" s="36">
        <v>0</v>
      </c>
      <c r="N153" s="36">
        <v>0</v>
      </c>
    </row>
    <row r="154" spans="1:14" x14ac:dyDescent="0.35">
      <c r="A154" s="3" t="s">
        <v>317</v>
      </c>
      <c r="B154" s="4">
        <v>109</v>
      </c>
      <c r="C154" s="5">
        <v>15963</v>
      </c>
      <c r="D154" s="3" t="s">
        <v>591</v>
      </c>
      <c r="E154" s="16">
        <v>179.99</v>
      </c>
      <c r="F154" s="16">
        <v>113.3473</v>
      </c>
      <c r="G154" s="36">
        <v>0</v>
      </c>
      <c r="H154" s="36">
        <v>0</v>
      </c>
      <c r="I154" s="36">
        <v>0</v>
      </c>
      <c r="J154" s="36">
        <v>0</v>
      </c>
      <c r="K154" s="36">
        <v>0</v>
      </c>
      <c r="L154" s="36">
        <v>0</v>
      </c>
      <c r="M154" s="36">
        <v>0</v>
      </c>
      <c r="N154" s="36">
        <v>0</v>
      </c>
    </row>
    <row r="155" spans="1:14" x14ac:dyDescent="0.35">
      <c r="A155" s="3" t="s">
        <v>317</v>
      </c>
      <c r="B155" s="4">
        <v>109</v>
      </c>
      <c r="C155" s="5">
        <v>15964</v>
      </c>
      <c r="D155" s="3" t="s">
        <v>592</v>
      </c>
      <c r="E155" s="16">
        <v>179.99</v>
      </c>
      <c r="F155" s="16">
        <v>113.3473</v>
      </c>
      <c r="G155" s="36">
        <v>0</v>
      </c>
      <c r="H155" s="36">
        <v>0</v>
      </c>
      <c r="I155" s="36">
        <v>0</v>
      </c>
      <c r="J155" s="36">
        <v>0</v>
      </c>
      <c r="K155" s="36">
        <v>0</v>
      </c>
      <c r="L155" s="36">
        <v>0</v>
      </c>
      <c r="M155" s="36">
        <v>0</v>
      </c>
      <c r="N155" s="36">
        <v>0</v>
      </c>
    </row>
    <row r="156" spans="1:14" x14ac:dyDescent="0.35">
      <c r="A156" s="3" t="s">
        <v>317</v>
      </c>
      <c r="B156" s="4">
        <v>109</v>
      </c>
      <c r="C156" s="5">
        <v>15969</v>
      </c>
      <c r="D156" s="3" t="s">
        <v>593</v>
      </c>
      <c r="E156" s="16">
        <v>199.99</v>
      </c>
      <c r="F156" s="16">
        <v>126.1682</v>
      </c>
      <c r="G156" s="36">
        <v>0</v>
      </c>
      <c r="H156" s="36">
        <v>0</v>
      </c>
      <c r="I156" s="36">
        <v>0</v>
      </c>
      <c r="J156" s="36">
        <v>0</v>
      </c>
      <c r="K156" s="36">
        <v>0</v>
      </c>
      <c r="L156" s="36">
        <v>0</v>
      </c>
      <c r="M156" s="36">
        <v>0</v>
      </c>
      <c r="N156" s="36">
        <v>0</v>
      </c>
    </row>
    <row r="157" spans="1:14" x14ac:dyDescent="0.35">
      <c r="A157" s="3" t="s">
        <v>317</v>
      </c>
      <c r="B157" s="4">
        <v>109</v>
      </c>
      <c r="C157" s="5">
        <v>15972</v>
      </c>
      <c r="D157" s="3" t="s">
        <v>594</v>
      </c>
      <c r="E157" s="16">
        <v>199.99</v>
      </c>
      <c r="F157" s="16">
        <v>126.1682</v>
      </c>
      <c r="G157" s="36">
        <v>0</v>
      </c>
      <c r="H157" s="36">
        <v>0</v>
      </c>
      <c r="I157" s="36">
        <v>0</v>
      </c>
      <c r="J157" s="36">
        <v>0</v>
      </c>
      <c r="K157" s="36">
        <v>0</v>
      </c>
      <c r="L157" s="36">
        <v>0</v>
      </c>
      <c r="M157" s="36">
        <v>0</v>
      </c>
      <c r="N157" s="36">
        <v>0</v>
      </c>
    </row>
    <row r="158" spans="1:14" x14ac:dyDescent="0.35">
      <c r="A158" s="3" t="s">
        <v>317</v>
      </c>
      <c r="B158" s="4">
        <v>107</v>
      </c>
      <c r="C158" s="5">
        <v>15978</v>
      </c>
      <c r="D158" s="3" t="s">
        <v>595</v>
      </c>
      <c r="E158" s="16">
        <v>102.99</v>
      </c>
      <c r="F158" s="16">
        <v>64.081833333333336</v>
      </c>
      <c r="G158" s="36">
        <v>0</v>
      </c>
      <c r="H158" s="36">
        <v>0</v>
      </c>
      <c r="I158" s="36">
        <v>0</v>
      </c>
      <c r="J158" s="36">
        <v>0</v>
      </c>
      <c r="K158" s="36">
        <v>0</v>
      </c>
      <c r="L158" s="36">
        <v>0</v>
      </c>
      <c r="M158" s="36">
        <v>0</v>
      </c>
      <c r="N158" s="36">
        <v>0</v>
      </c>
    </row>
    <row r="159" spans="1:14" x14ac:dyDescent="0.35">
      <c r="A159" s="3" t="s">
        <v>317</v>
      </c>
      <c r="B159" s="4">
        <v>107</v>
      </c>
      <c r="C159" s="5">
        <v>15983</v>
      </c>
      <c r="D159" s="3" t="s">
        <v>596</v>
      </c>
      <c r="E159" s="16">
        <v>109.99</v>
      </c>
      <c r="F159" s="16">
        <v>67.740949999999998</v>
      </c>
      <c r="G159" s="36">
        <v>0</v>
      </c>
      <c r="H159" s="36">
        <v>0</v>
      </c>
      <c r="I159" s="36">
        <v>0</v>
      </c>
      <c r="J159" s="36">
        <v>0</v>
      </c>
      <c r="K159" s="36">
        <v>0</v>
      </c>
      <c r="L159" s="36">
        <v>0</v>
      </c>
      <c r="M159" s="36">
        <v>0</v>
      </c>
      <c r="N159" s="36">
        <v>0</v>
      </c>
    </row>
    <row r="160" spans="1:14" x14ac:dyDescent="0.35">
      <c r="A160" s="3" t="s">
        <v>317</v>
      </c>
      <c r="B160" s="4">
        <v>107</v>
      </c>
      <c r="C160" s="5">
        <v>15984</v>
      </c>
      <c r="D160" s="3" t="s">
        <v>597</v>
      </c>
      <c r="E160" s="16">
        <v>106.99</v>
      </c>
      <c r="F160" s="16">
        <v>65.467866666666666</v>
      </c>
      <c r="G160" s="36">
        <v>0</v>
      </c>
      <c r="H160" s="36">
        <v>0</v>
      </c>
      <c r="I160" s="36">
        <v>0</v>
      </c>
      <c r="J160" s="36">
        <v>0</v>
      </c>
      <c r="K160" s="36">
        <v>0</v>
      </c>
      <c r="L160" s="36">
        <v>0</v>
      </c>
      <c r="M160" s="36">
        <v>0</v>
      </c>
      <c r="N160" s="36">
        <v>0</v>
      </c>
    </row>
    <row r="161" spans="1:14" x14ac:dyDescent="0.35">
      <c r="A161" s="3" t="s">
        <v>317</v>
      </c>
      <c r="B161" s="4">
        <v>107</v>
      </c>
      <c r="C161" s="5">
        <v>15985</v>
      </c>
      <c r="D161" s="3" t="s">
        <v>598</v>
      </c>
      <c r="E161" s="16">
        <v>102.99</v>
      </c>
      <c r="F161" s="16">
        <v>64.224900000000005</v>
      </c>
      <c r="G161" s="36">
        <v>0</v>
      </c>
      <c r="H161" s="36">
        <v>0</v>
      </c>
      <c r="I161" s="36">
        <v>0</v>
      </c>
      <c r="J161" s="36">
        <v>0</v>
      </c>
      <c r="K161" s="36">
        <v>0</v>
      </c>
      <c r="L161" s="36">
        <v>0</v>
      </c>
      <c r="M161" s="36">
        <v>0</v>
      </c>
      <c r="N161" s="36">
        <v>0</v>
      </c>
    </row>
    <row r="162" spans="1:14" x14ac:dyDescent="0.35">
      <c r="A162" s="3" t="s">
        <v>317</v>
      </c>
      <c r="B162" s="4">
        <v>107</v>
      </c>
      <c r="C162" s="5">
        <v>15988</v>
      </c>
      <c r="D162" s="3" t="s">
        <v>599</v>
      </c>
      <c r="E162" s="16">
        <v>179.99</v>
      </c>
      <c r="F162" s="16">
        <v>113.3473</v>
      </c>
      <c r="G162" s="36">
        <v>0</v>
      </c>
      <c r="H162" s="36">
        <v>0</v>
      </c>
      <c r="I162" s="36">
        <v>156.51304347826087</v>
      </c>
      <c r="J162" s="36">
        <v>1</v>
      </c>
      <c r="K162" s="36">
        <v>0</v>
      </c>
      <c r="L162" s="36">
        <v>0</v>
      </c>
      <c r="M162" s="36">
        <v>0</v>
      </c>
      <c r="N162" s="36">
        <v>0</v>
      </c>
    </row>
    <row r="163" spans="1:14" x14ac:dyDescent="0.35">
      <c r="A163" s="3" t="s">
        <v>317</v>
      </c>
      <c r="B163" s="4">
        <v>109</v>
      </c>
      <c r="C163" s="5">
        <v>15997</v>
      </c>
      <c r="D163" s="3" t="s">
        <v>600</v>
      </c>
      <c r="E163" s="16">
        <v>199.99</v>
      </c>
      <c r="F163" s="16">
        <v>126.1682</v>
      </c>
      <c r="G163" s="36">
        <v>0</v>
      </c>
      <c r="H163" s="36">
        <v>0</v>
      </c>
      <c r="I163" s="36">
        <v>0</v>
      </c>
      <c r="J163" s="36">
        <v>0</v>
      </c>
      <c r="K163" s="36">
        <v>0</v>
      </c>
      <c r="L163" s="36">
        <v>0</v>
      </c>
      <c r="M163" s="36">
        <v>0</v>
      </c>
      <c r="N163" s="36">
        <v>0</v>
      </c>
    </row>
    <row r="164" spans="1:14" x14ac:dyDescent="0.35">
      <c r="A164" s="3" t="s">
        <v>317</v>
      </c>
      <c r="B164" s="4">
        <v>109</v>
      </c>
      <c r="C164" s="5">
        <v>16020</v>
      </c>
      <c r="D164" s="3" t="s">
        <v>601</v>
      </c>
      <c r="E164" s="16">
        <v>179.99</v>
      </c>
      <c r="F164" s="16">
        <v>113.3473</v>
      </c>
      <c r="G164" s="36">
        <v>0</v>
      </c>
      <c r="H164" s="36">
        <v>0</v>
      </c>
      <c r="I164" s="36">
        <v>0</v>
      </c>
      <c r="J164" s="36">
        <v>0</v>
      </c>
      <c r="K164" s="36">
        <v>0</v>
      </c>
      <c r="L164" s="36">
        <v>0</v>
      </c>
      <c r="M164" s="36">
        <v>0</v>
      </c>
      <c r="N164" s="36">
        <v>0</v>
      </c>
    </row>
    <row r="165" spans="1:14" x14ac:dyDescent="0.35">
      <c r="A165" s="3" t="s">
        <v>317</v>
      </c>
      <c r="B165" s="4">
        <v>109</v>
      </c>
      <c r="C165" s="5">
        <v>16022</v>
      </c>
      <c r="D165" s="3" t="s">
        <v>602</v>
      </c>
      <c r="E165" s="16">
        <v>179.99</v>
      </c>
      <c r="F165" s="16">
        <v>113.3473</v>
      </c>
      <c r="G165" s="36">
        <v>0</v>
      </c>
      <c r="H165" s="36">
        <v>0</v>
      </c>
      <c r="I165" s="36">
        <v>0</v>
      </c>
      <c r="J165" s="36">
        <v>0</v>
      </c>
      <c r="K165" s="36">
        <v>0</v>
      </c>
      <c r="L165" s="36">
        <v>0</v>
      </c>
      <c r="M165" s="36">
        <v>0</v>
      </c>
      <c r="N165" s="36">
        <v>0</v>
      </c>
    </row>
    <row r="166" spans="1:14" x14ac:dyDescent="0.35">
      <c r="A166" s="3" t="s">
        <v>317</v>
      </c>
      <c r="B166" s="4">
        <v>109</v>
      </c>
      <c r="C166" s="5">
        <v>16045</v>
      </c>
      <c r="D166" s="3" t="s">
        <v>603</v>
      </c>
      <c r="E166" s="16">
        <v>84.99</v>
      </c>
      <c r="F166" s="16">
        <v>53.668624999999999</v>
      </c>
      <c r="G166" s="36">
        <v>147.8086956521739</v>
      </c>
      <c r="H166" s="36">
        <v>2</v>
      </c>
      <c r="I166" s="36">
        <v>0</v>
      </c>
      <c r="J166" s="36">
        <v>0</v>
      </c>
      <c r="K166" s="36">
        <v>0</v>
      </c>
      <c r="L166" s="36">
        <v>0</v>
      </c>
      <c r="M166" s="36">
        <v>0</v>
      </c>
      <c r="N166" s="36">
        <v>0</v>
      </c>
    </row>
    <row r="167" spans="1:14" x14ac:dyDescent="0.35">
      <c r="A167" s="3" t="s">
        <v>317</v>
      </c>
      <c r="B167" s="4">
        <v>109</v>
      </c>
      <c r="C167" s="5">
        <v>16046</v>
      </c>
      <c r="D167" s="3" t="s">
        <v>604</v>
      </c>
      <c r="E167" s="16">
        <v>84.99</v>
      </c>
      <c r="F167" s="16">
        <v>53.668624999999999</v>
      </c>
      <c r="G167" s="36">
        <v>0</v>
      </c>
      <c r="H167" s="36">
        <v>0</v>
      </c>
      <c r="I167" s="36">
        <v>0</v>
      </c>
      <c r="J167" s="36">
        <v>0</v>
      </c>
      <c r="K167" s="36">
        <v>0</v>
      </c>
      <c r="L167" s="36">
        <v>0</v>
      </c>
      <c r="M167" s="36">
        <v>0</v>
      </c>
      <c r="N167" s="36">
        <v>0</v>
      </c>
    </row>
    <row r="168" spans="1:14" x14ac:dyDescent="0.35">
      <c r="A168" s="3" t="s">
        <v>317</v>
      </c>
      <c r="B168" s="4">
        <v>109</v>
      </c>
      <c r="C168" s="5">
        <v>16047</v>
      </c>
      <c r="D168" s="3" t="s">
        <v>605</v>
      </c>
      <c r="E168" s="16">
        <v>84.99</v>
      </c>
      <c r="F168" s="16">
        <v>53.668624999999999</v>
      </c>
      <c r="G168" s="36">
        <v>73.904347826086948</v>
      </c>
      <c r="H168" s="36">
        <v>1</v>
      </c>
      <c r="I168" s="36">
        <v>73.904347826086948</v>
      </c>
      <c r="J168" s="36">
        <v>1</v>
      </c>
      <c r="K168" s="36">
        <v>0</v>
      </c>
      <c r="L168" s="36">
        <v>0</v>
      </c>
      <c r="M168" s="36">
        <v>0</v>
      </c>
      <c r="N168" s="36">
        <v>0</v>
      </c>
    </row>
    <row r="169" spans="1:14" x14ac:dyDescent="0.35">
      <c r="A169" s="3" t="s">
        <v>317</v>
      </c>
      <c r="B169" s="4">
        <v>109</v>
      </c>
      <c r="C169" s="5">
        <v>16048</v>
      </c>
      <c r="D169" s="3" t="s">
        <v>606</v>
      </c>
      <c r="E169" s="16">
        <v>84.99</v>
      </c>
      <c r="F169" s="16">
        <v>53.668624999999999</v>
      </c>
      <c r="G169" s="36">
        <v>73.904347826086948</v>
      </c>
      <c r="H169" s="36">
        <v>1</v>
      </c>
      <c r="I169" s="36">
        <v>0</v>
      </c>
      <c r="J169" s="36">
        <v>0</v>
      </c>
      <c r="K169" s="36">
        <v>0</v>
      </c>
      <c r="L169" s="36">
        <v>0</v>
      </c>
      <c r="M169" s="36">
        <v>0</v>
      </c>
      <c r="N169" s="36">
        <v>0</v>
      </c>
    </row>
    <row r="170" spans="1:14" x14ac:dyDescent="0.35">
      <c r="A170" s="3" t="s">
        <v>317</v>
      </c>
      <c r="B170" s="4">
        <v>109</v>
      </c>
      <c r="C170" s="5">
        <v>16049</v>
      </c>
      <c r="D170" s="3" t="s">
        <v>607</v>
      </c>
      <c r="E170" s="16">
        <v>84.99</v>
      </c>
      <c r="F170" s="16">
        <v>53.668624999999999</v>
      </c>
      <c r="G170" s="36">
        <v>0</v>
      </c>
      <c r="H170" s="36">
        <v>0</v>
      </c>
      <c r="I170" s="36">
        <v>0</v>
      </c>
      <c r="J170" s="36">
        <v>0</v>
      </c>
      <c r="K170" s="36">
        <v>0</v>
      </c>
      <c r="L170" s="36">
        <v>0</v>
      </c>
      <c r="M170" s="36">
        <v>0</v>
      </c>
      <c r="N170" s="36">
        <v>0</v>
      </c>
    </row>
    <row r="171" spans="1:14" x14ac:dyDescent="0.35">
      <c r="A171" s="3" t="s">
        <v>317</v>
      </c>
      <c r="B171" s="4">
        <v>101</v>
      </c>
      <c r="C171" s="5">
        <v>16056</v>
      </c>
      <c r="D171" s="3" t="s">
        <v>346</v>
      </c>
      <c r="E171" s="16">
        <v>92.99</v>
      </c>
      <c r="F171" s="16">
        <v>58.793824999999998</v>
      </c>
      <c r="G171" s="36">
        <v>0</v>
      </c>
      <c r="H171" s="36">
        <v>0</v>
      </c>
      <c r="I171" s="36">
        <v>0</v>
      </c>
      <c r="J171" s="36">
        <v>0</v>
      </c>
      <c r="K171" s="36">
        <v>0</v>
      </c>
      <c r="L171" s="36">
        <v>0</v>
      </c>
      <c r="M171" s="36">
        <v>0</v>
      </c>
      <c r="N171" s="36">
        <v>0</v>
      </c>
    </row>
    <row r="172" spans="1:14" x14ac:dyDescent="0.35">
      <c r="A172" s="3" t="s">
        <v>317</v>
      </c>
      <c r="B172" s="4">
        <v>101</v>
      </c>
      <c r="C172" s="5">
        <v>16058</v>
      </c>
      <c r="D172" s="3" t="s">
        <v>347</v>
      </c>
      <c r="E172" s="16">
        <v>99.99</v>
      </c>
      <c r="F172" s="16">
        <v>63.478499999999997</v>
      </c>
      <c r="G172" s="36">
        <v>0</v>
      </c>
      <c r="H172" s="36">
        <v>0</v>
      </c>
      <c r="I172" s="36">
        <v>0</v>
      </c>
      <c r="J172" s="36">
        <v>0</v>
      </c>
      <c r="K172" s="36">
        <v>0</v>
      </c>
      <c r="L172" s="36">
        <v>0</v>
      </c>
      <c r="M172" s="36">
        <v>0</v>
      </c>
      <c r="N172" s="36">
        <v>0</v>
      </c>
    </row>
    <row r="173" spans="1:14" x14ac:dyDescent="0.35">
      <c r="A173" s="3" t="s">
        <v>317</v>
      </c>
      <c r="B173" s="4">
        <v>109</v>
      </c>
      <c r="C173" s="5">
        <v>16059</v>
      </c>
      <c r="D173" s="3" t="s">
        <v>608</v>
      </c>
      <c r="E173" s="16">
        <v>99.99</v>
      </c>
      <c r="F173" s="16">
        <v>63.478499999999997</v>
      </c>
      <c r="G173" s="36">
        <v>0</v>
      </c>
      <c r="H173" s="36">
        <v>0</v>
      </c>
      <c r="I173" s="36">
        <v>0</v>
      </c>
      <c r="J173" s="36">
        <v>0</v>
      </c>
      <c r="K173" s="36">
        <v>0</v>
      </c>
      <c r="L173" s="36">
        <v>0</v>
      </c>
      <c r="M173" s="36">
        <v>0</v>
      </c>
      <c r="N173" s="36">
        <v>0</v>
      </c>
    </row>
    <row r="174" spans="1:14" x14ac:dyDescent="0.35">
      <c r="A174" s="3" t="s">
        <v>317</v>
      </c>
      <c r="B174" s="4">
        <v>101</v>
      </c>
      <c r="C174" s="5">
        <v>16060</v>
      </c>
      <c r="D174" s="3" t="s">
        <v>348</v>
      </c>
      <c r="E174" s="16">
        <v>99.99</v>
      </c>
      <c r="F174" s="16">
        <v>63.478499999999997</v>
      </c>
      <c r="G174" s="36">
        <v>0</v>
      </c>
      <c r="H174" s="36">
        <v>0</v>
      </c>
      <c r="I174" s="36">
        <v>0</v>
      </c>
      <c r="J174" s="36">
        <v>0</v>
      </c>
      <c r="K174" s="36">
        <v>0</v>
      </c>
      <c r="L174" s="36">
        <v>0</v>
      </c>
      <c r="M174" s="36">
        <v>0</v>
      </c>
      <c r="N174" s="36">
        <v>0</v>
      </c>
    </row>
    <row r="175" spans="1:14" x14ac:dyDescent="0.35">
      <c r="A175" s="3" t="s">
        <v>317</v>
      </c>
      <c r="B175" s="4">
        <v>109</v>
      </c>
      <c r="C175" s="5">
        <v>16061</v>
      </c>
      <c r="D175" s="3" t="s">
        <v>609</v>
      </c>
      <c r="E175" s="16">
        <v>99.99</v>
      </c>
      <c r="F175" s="16">
        <v>63.478499999999997</v>
      </c>
      <c r="G175" s="36">
        <v>0</v>
      </c>
      <c r="H175" s="36">
        <v>0</v>
      </c>
      <c r="I175" s="36">
        <v>0</v>
      </c>
      <c r="J175" s="36">
        <v>0</v>
      </c>
      <c r="K175" s="36">
        <v>0</v>
      </c>
      <c r="L175" s="36">
        <v>0</v>
      </c>
      <c r="M175" s="36">
        <v>0</v>
      </c>
      <c r="N175" s="36">
        <v>0</v>
      </c>
    </row>
    <row r="176" spans="1:14" x14ac:dyDescent="0.35">
      <c r="A176" s="3" t="s">
        <v>317</v>
      </c>
      <c r="B176" s="4">
        <v>105</v>
      </c>
      <c r="C176" s="5">
        <v>16066</v>
      </c>
      <c r="D176" s="3" t="s">
        <v>610</v>
      </c>
      <c r="E176" s="16">
        <v>26.99</v>
      </c>
      <c r="F176" s="16">
        <v>16.816925000000001</v>
      </c>
      <c r="G176" s="36">
        <v>0</v>
      </c>
      <c r="H176" s="36">
        <v>0</v>
      </c>
      <c r="I176" s="36">
        <v>0</v>
      </c>
      <c r="J176" s="36">
        <v>0</v>
      </c>
      <c r="K176" s="36">
        <v>0</v>
      </c>
      <c r="L176" s="36">
        <v>0</v>
      </c>
      <c r="M176" s="36">
        <v>0</v>
      </c>
      <c r="N176" s="36">
        <v>0</v>
      </c>
    </row>
    <row r="177" spans="1:14" x14ac:dyDescent="0.35">
      <c r="A177" s="3" t="s">
        <v>317</v>
      </c>
      <c r="B177" s="4">
        <v>101</v>
      </c>
      <c r="C177" s="5">
        <v>16067</v>
      </c>
      <c r="D177" s="3" t="s">
        <v>349</v>
      </c>
      <c r="E177" s="16">
        <v>26.99</v>
      </c>
      <c r="F177" s="16">
        <v>16.816925000000001</v>
      </c>
      <c r="G177" s="36">
        <v>23.469565217391303</v>
      </c>
      <c r="H177" s="36">
        <v>1</v>
      </c>
      <c r="I177" s="36">
        <v>23.469565217391303</v>
      </c>
      <c r="J177" s="36">
        <v>1</v>
      </c>
      <c r="K177" s="36">
        <v>0</v>
      </c>
      <c r="L177" s="36">
        <v>0</v>
      </c>
      <c r="M177" s="36">
        <v>0</v>
      </c>
      <c r="N177" s="36">
        <v>0</v>
      </c>
    </row>
    <row r="178" spans="1:14" x14ac:dyDescent="0.35">
      <c r="A178" s="3" t="s">
        <v>317</v>
      </c>
      <c r="B178" s="4">
        <v>105</v>
      </c>
      <c r="C178" s="5">
        <v>16078</v>
      </c>
      <c r="D178" s="3" t="s">
        <v>611</v>
      </c>
      <c r="E178" s="16">
        <v>37.99</v>
      </c>
      <c r="F178" s="16">
        <v>23.413162499999999</v>
      </c>
      <c r="G178" s="36">
        <v>0</v>
      </c>
      <c r="H178" s="36">
        <v>0</v>
      </c>
      <c r="I178" s="36">
        <v>33.03478260869565</v>
      </c>
      <c r="J178" s="36">
        <v>1</v>
      </c>
      <c r="K178" s="36">
        <v>33.03478260869565</v>
      </c>
      <c r="L178" s="36">
        <v>1</v>
      </c>
      <c r="M178" s="36">
        <v>0</v>
      </c>
      <c r="N178" s="36">
        <v>0</v>
      </c>
    </row>
    <row r="179" spans="1:14" x14ac:dyDescent="0.35">
      <c r="A179" s="3" t="s">
        <v>317</v>
      </c>
      <c r="B179" s="4">
        <v>107</v>
      </c>
      <c r="C179" s="5">
        <v>16079</v>
      </c>
      <c r="D179" s="3" t="s">
        <v>612</v>
      </c>
      <c r="E179" s="16">
        <v>37.99</v>
      </c>
      <c r="F179" s="16">
        <v>23.413162499999999</v>
      </c>
      <c r="G179" s="36">
        <v>0</v>
      </c>
      <c r="H179" s="36">
        <v>0</v>
      </c>
      <c r="I179" s="36">
        <v>0</v>
      </c>
      <c r="J179" s="36">
        <v>0</v>
      </c>
      <c r="K179" s="36">
        <v>0</v>
      </c>
      <c r="L179" s="36">
        <v>0</v>
      </c>
      <c r="M179" s="36">
        <v>0</v>
      </c>
      <c r="N179" s="36">
        <v>0</v>
      </c>
    </row>
    <row r="180" spans="1:14" x14ac:dyDescent="0.35">
      <c r="A180" s="3" t="s">
        <v>317</v>
      </c>
      <c r="B180" s="4">
        <v>109</v>
      </c>
      <c r="C180" s="5">
        <v>16082</v>
      </c>
      <c r="D180" s="3" t="s">
        <v>613</v>
      </c>
      <c r="E180" s="16">
        <v>36.99</v>
      </c>
      <c r="F180" s="16">
        <v>25.053916666666666</v>
      </c>
      <c r="G180" s="36">
        <v>0</v>
      </c>
      <c r="H180" s="36">
        <v>0</v>
      </c>
      <c r="I180" s="36">
        <v>0</v>
      </c>
      <c r="J180" s="36">
        <v>0</v>
      </c>
      <c r="K180" s="36">
        <v>0</v>
      </c>
      <c r="L180" s="36">
        <v>0</v>
      </c>
      <c r="M180" s="36">
        <v>0</v>
      </c>
      <c r="N180" s="36">
        <v>0</v>
      </c>
    </row>
    <row r="181" spans="1:14" x14ac:dyDescent="0.35">
      <c r="A181" s="3" t="s">
        <v>317</v>
      </c>
      <c r="B181" s="4">
        <v>107</v>
      </c>
      <c r="C181" s="5">
        <v>16085</v>
      </c>
      <c r="D181" s="3" t="s">
        <v>614</v>
      </c>
      <c r="E181" s="16">
        <v>53.99</v>
      </c>
      <c r="F181" s="16">
        <v>33.508975</v>
      </c>
      <c r="G181" s="36">
        <v>0</v>
      </c>
      <c r="H181" s="36">
        <v>0</v>
      </c>
      <c r="I181" s="36">
        <v>0</v>
      </c>
      <c r="J181" s="36">
        <v>0</v>
      </c>
      <c r="K181" s="36">
        <v>0</v>
      </c>
      <c r="L181" s="36">
        <v>0</v>
      </c>
      <c r="M181" s="36">
        <v>0</v>
      </c>
      <c r="N181" s="36">
        <v>0</v>
      </c>
    </row>
    <row r="182" spans="1:14" x14ac:dyDescent="0.35">
      <c r="A182" s="3" t="s">
        <v>317</v>
      </c>
      <c r="B182" s="4">
        <v>107</v>
      </c>
      <c r="C182" s="5">
        <v>16087</v>
      </c>
      <c r="D182" s="3" t="s">
        <v>615</v>
      </c>
      <c r="E182" s="16">
        <v>46.99</v>
      </c>
      <c r="F182" s="16">
        <v>29.593250000000001</v>
      </c>
      <c r="G182" s="36">
        <v>0</v>
      </c>
      <c r="H182" s="36">
        <v>0</v>
      </c>
      <c r="I182" s="36">
        <v>0</v>
      </c>
      <c r="J182" s="36">
        <v>0</v>
      </c>
      <c r="K182" s="36">
        <v>0</v>
      </c>
      <c r="L182" s="36">
        <v>0</v>
      </c>
      <c r="M182" s="36">
        <v>0</v>
      </c>
      <c r="N182" s="36">
        <v>0</v>
      </c>
    </row>
    <row r="183" spans="1:14" x14ac:dyDescent="0.35">
      <c r="A183" s="3" t="s">
        <v>317</v>
      </c>
      <c r="B183" s="4">
        <v>107</v>
      </c>
      <c r="C183" s="5">
        <v>16088</v>
      </c>
      <c r="D183" s="3" t="s">
        <v>616</v>
      </c>
      <c r="E183" s="16">
        <v>46.99</v>
      </c>
      <c r="F183" s="16">
        <v>29.593250000000001</v>
      </c>
      <c r="G183" s="36">
        <v>0</v>
      </c>
      <c r="H183" s="36">
        <v>0</v>
      </c>
      <c r="I183" s="36">
        <v>0</v>
      </c>
      <c r="J183" s="36">
        <v>0</v>
      </c>
      <c r="K183" s="36">
        <v>0</v>
      </c>
      <c r="L183" s="36">
        <v>0</v>
      </c>
      <c r="M183" s="36">
        <v>0</v>
      </c>
      <c r="N183" s="36">
        <v>0</v>
      </c>
    </row>
    <row r="184" spans="1:14" x14ac:dyDescent="0.35">
      <c r="A184" s="3" t="s">
        <v>317</v>
      </c>
      <c r="B184" s="4">
        <v>107</v>
      </c>
      <c r="C184" s="5">
        <v>16089</v>
      </c>
      <c r="D184" s="3" t="s">
        <v>617</v>
      </c>
      <c r="E184" s="16">
        <v>59.99</v>
      </c>
      <c r="F184" s="16">
        <v>38.153199999999998</v>
      </c>
      <c r="G184" s="36">
        <v>0</v>
      </c>
      <c r="H184" s="36">
        <v>0</v>
      </c>
      <c r="I184" s="36">
        <v>0</v>
      </c>
      <c r="J184" s="36">
        <v>0</v>
      </c>
      <c r="K184" s="36">
        <v>0</v>
      </c>
      <c r="L184" s="36">
        <v>0</v>
      </c>
      <c r="M184" s="36">
        <v>0</v>
      </c>
      <c r="N184" s="36">
        <v>0</v>
      </c>
    </row>
    <row r="185" spans="1:14" x14ac:dyDescent="0.35">
      <c r="A185" s="3" t="s">
        <v>317</v>
      </c>
      <c r="B185" s="4">
        <v>107</v>
      </c>
      <c r="C185" s="5">
        <v>16091</v>
      </c>
      <c r="D185" s="3" t="s">
        <v>618</v>
      </c>
      <c r="E185" s="16">
        <v>59.99</v>
      </c>
      <c r="F185" s="16">
        <v>38.153199999999998</v>
      </c>
      <c r="G185" s="36">
        <v>0</v>
      </c>
      <c r="H185" s="36">
        <v>0</v>
      </c>
      <c r="I185" s="36">
        <v>52.165217391304353</v>
      </c>
      <c r="J185" s="36">
        <v>1</v>
      </c>
      <c r="K185" s="36">
        <v>0</v>
      </c>
      <c r="L185" s="36">
        <v>0</v>
      </c>
      <c r="M185" s="36">
        <v>0</v>
      </c>
      <c r="N185" s="36">
        <v>0</v>
      </c>
    </row>
    <row r="186" spans="1:14" x14ac:dyDescent="0.35">
      <c r="A186" s="3" t="s">
        <v>317</v>
      </c>
      <c r="B186" s="4">
        <v>111</v>
      </c>
      <c r="C186" s="5">
        <v>16092</v>
      </c>
      <c r="D186" s="3" t="s">
        <v>619</v>
      </c>
      <c r="E186" s="16">
        <v>129.99</v>
      </c>
      <c r="F186" s="16">
        <v>80.531733333333335</v>
      </c>
      <c r="G186" s="36">
        <v>0</v>
      </c>
      <c r="H186" s="36">
        <v>0</v>
      </c>
      <c r="I186" s="36">
        <v>0</v>
      </c>
      <c r="J186" s="36">
        <v>0</v>
      </c>
      <c r="K186" s="36">
        <v>0</v>
      </c>
      <c r="L186" s="36">
        <v>0</v>
      </c>
      <c r="M186" s="36">
        <v>0</v>
      </c>
      <c r="N186" s="36">
        <v>0</v>
      </c>
    </row>
    <row r="187" spans="1:14" x14ac:dyDescent="0.35">
      <c r="A187" s="3" t="s">
        <v>317</v>
      </c>
      <c r="B187" s="4">
        <v>111</v>
      </c>
      <c r="C187" s="5">
        <v>16093</v>
      </c>
      <c r="D187" s="3" t="s">
        <v>619</v>
      </c>
      <c r="E187" s="16">
        <v>219.99</v>
      </c>
      <c r="F187" s="16">
        <v>134.15673333333334</v>
      </c>
      <c r="G187" s="36">
        <v>0</v>
      </c>
      <c r="H187" s="36">
        <v>0</v>
      </c>
      <c r="I187" s="36">
        <v>0</v>
      </c>
      <c r="J187" s="36">
        <v>0</v>
      </c>
      <c r="K187" s="36">
        <v>0</v>
      </c>
      <c r="L187" s="36">
        <v>0</v>
      </c>
      <c r="M187" s="36">
        <v>0</v>
      </c>
      <c r="N187" s="36">
        <v>0</v>
      </c>
    </row>
    <row r="188" spans="1:14" x14ac:dyDescent="0.35">
      <c r="A188" s="3" t="s">
        <v>317</v>
      </c>
      <c r="B188" s="4">
        <v>111</v>
      </c>
      <c r="C188" s="5">
        <v>16094</v>
      </c>
      <c r="D188" s="3" t="s">
        <v>620</v>
      </c>
      <c r="E188" s="16">
        <v>78.989999999999995</v>
      </c>
      <c r="F188" s="16">
        <v>48.908725000000004</v>
      </c>
      <c r="G188" s="36">
        <v>0</v>
      </c>
      <c r="H188" s="36">
        <v>0</v>
      </c>
      <c r="I188" s="36">
        <v>0</v>
      </c>
      <c r="J188" s="36">
        <v>0</v>
      </c>
      <c r="K188" s="36">
        <v>0</v>
      </c>
      <c r="L188" s="36">
        <v>0</v>
      </c>
      <c r="M188" s="36">
        <v>0</v>
      </c>
      <c r="N188" s="36">
        <v>0</v>
      </c>
    </row>
    <row r="189" spans="1:14" x14ac:dyDescent="0.35">
      <c r="A189" s="3" t="s">
        <v>317</v>
      </c>
      <c r="B189" s="4">
        <v>111</v>
      </c>
      <c r="C189" s="5">
        <v>16095</v>
      </c>
      <c r="D189" s="3" t="s">
        <v>621</v>
      </c>
      <c r="E189" s="16">
        <v>84.99</v>
      </c>
      <c r="F189" s="16">
        <v>52.716299999999997</v>
      </c>
      <c r="G189" s="36">
        <v>0</v>
      </c>
      <c r="H189" s="36">
        <v>0</v>
      </c>
      <c r="I189" s="36">
        <v>0</v>
      </c>
      <c r="J189" s="36">
        <v>0</v>
      </c>
      <c r="K189" s="36">
        <v>0</v>
      </c>
      <c r="L189" s="36">
        <v>0</v>
      </c>
      <c r="M189" s="36">
        <v>0</v>
      </c>
      <c r="N189" s="36">
        <v>0</v>
      </c>
    </row>
    <row r="190" spans="1:14" x14ac:dyDescent="0.35">
      <c r="A190" s="3" t="s">
        <v>317</v>
      </c>
      <c r="B190" s="4">
        <v>107</v>
      </c>
      <c r="C190" s="5">
        <v>16099</v>
      </c>
      <c r="D190" s="3" t="s">
        <v>622</v>
      </c>
      <c r="E190" s="16">
        <v>62.99</v>
      </c>
      <c r="F190" s="16">
        <v>38.960799999999999</v>
      </c>
      <c r="G190" s="36">
        <v>0</v>
      </c>
      <c r="H190" s="36">
        <v>0</v>
      </c>
      <c r="I190" s="36">
        <v>0</v>
      </c>
      <c r="J190" s="36">
        <v>0</v>
      </c>
      <c r="K190" s="36">
        <v>0</v>
      </c>
      <c r="L190" s="36">
        <v>0</v>
      </c>
      <c r="M190" s="36">
        <v>0</v>
      </c>
      <c r="N190" s="36">
        <v>0</v>
      </c>
    </row>
    <row r="191" spans="1:14" x14ac:dyDescent="0.35">
      <c r="A191" s="3" t="s">
        <v>317</v>
      </c>
      <c r="B191" s="4">
        <v>107</v>
      </c>
      <c r="C191" s="5">
        <v>16119</v>
      </c>
      <c r="D191" s="3" t="s">
        <v>623</v>
      </c>
      <c r="E191" s="16">
        <v>89.99</v>
      </c>
      <c r="F191" s="16">
        <v>56.233649999999997</v>
      </c>
      <c r="G191" s="36">
        <v>0</v>
      </c>
      <c r="H191" s="36">
        <v>0</v>
      </c>
      <c r="I191" s="36">
        <v>0</v>
      </c>
      <c r="J191" s="36">
        <v>0</v>
      </c>
      <c r="K191" s="36">
        <v>0</v>
      </c>
      <c r="L191" s="36">
        <v>0</v>
      </c>
      <c r="M191" s="36">
        <v>0</v>
      </c>
      <c r="N191" s="36">
        <v>0</v>
      </c>
    </row>
    <row r="192" spans="1:14" x14ac:dyDescent="0.35">
      <c r="A192" s="3" t="s">
        <v>317</v>
      </c>
      <c r="B192" s="4">
        <v>107</v>
      </c>
      <c r="C192" s="5">
        <v>16120</v>
      </c>
      <c r="D192" s="3" t="s">
        <v>624</v>
      </c>
      <c r="E192" s="16">
        <v>89.99</v>
      </c>
      <c r="F192" s="16">
        <v>56.233649999999997</v>
      </c>
      <c r="G192" s="36">
        <v>0</v>
      </c>
      <c r="H192" s="36">
        <v>0</v>
      </c>
      <c r="I192" s="36">
        <v>0</v>
      </c>
      <c r="J192" s="36">
        <v>0</v>
      </c>
      <c r="K192" s="36">
        <v>0</v>
      </c>
      <c r="L192" s="36">
        <v>0</v>
      </c>
      <c r="M192" s="36">
        <v>0</v>
      </c>
      <c r="N192" s="36">
        <v>0</v>
      </c>
    </row>
    <row r="193" spans="1:14" x14ac:dyDescent="0.35">
      <c r="A193" s="3" t="s">
        <v>317</v>
      </c>
      <c r="B193" s="4">
        <v>107</v>
      </c>
      <c r="C193" s="5">
        <v>16121</v>
      </c>
      <c r="D193" s="3" t="s">
        <v>625</v>
      </c>
      <c r="E193" s="16">
        <v>89.99</v>
      </c>
      <c r="F193" s="16">
        <v>56.233649999999997</v>
      </c>
      <c r="G193" s="36">
        <v>0</v>
      </c>
      <c r="H193" s="36">
        <v>0</v>
      </c>
      <c r="I193" s="36">
        <v>0</v>
      </c>
      <c r="J193" s="36">
        <v>0</v>
      </c>
      <c r="K193" s="36">
        <v>0</v>
      </c>
      <c r="L193" s="36">
        <v>0</v>
      </c>
      <c r="M193" s="36">
        <v>0</v>
      </c>
      <c r="N193" s="36">
        <v>0</v>
      </c>
    </row>
    <row r="194" spans="1:14" x14ac:dyDescent="0.35">
      <c r="A194" s="3" t="s">
        <v>317</v>
      </c>
      <c r="B194" s="4">
        <v>107</v>
      </c>
      <c r="C194" s="5">
        <v>16122</v>
      </c>
      <c r="D194" s="3" t="s">
        <v>626</v>
      </c>
      <c r="E194" s="16">
        <v>89.99</v>
      </c>
      <c r="F194" s="16">
        <v>56.233649999999997</v>
      </c>
      <c r="G194" s="36">
        <v>0</v>
      </c>
      <c r="H194" s="36">
        <v>0</v>
      </c>
      <c r="I194" s="36">
        <v>0</v>
      </c>
      <c r="J194" s="36">
        <v>0</v>
      </c>
      <c r="K194" s="36">
        <v>0</v>
      </c>
      <c r="L194" s="36">
        <v>0</v>
      </c>
      <c r="M194" s="36">
        <v>0</v>
      </c>
      <c r="N194" s="36">
        <v>0</v>
      </c>
    </row>
    <row r="195" spans="1:14" x14ac:dyDescent="0.35">
      <c r="A195" s="3" t="s">
        <v>317</v>
      </c>
      <c r="B195" s="4">
        <v>107</v>
      </c>
      <c r="C195" s="5">
        <v>16123</v>
      </c>
      <c r="D195" s="3" t="s">
        <v>627</v>
      </c>
      <c r="E195" s="16">
        <v>89.99</v>
      </c>
      <c r="F195" s="16">
        <v>56.233649999999997</v>
      </c>
      <c r="G195" s="36">
        <v>84.339130434782604</v>
      </c>
      <c r="H195" s="36">
        <v>1</v>
      </c>
      <c r="I195" s="36">
        <v>0</v>
      </c>
      <c r="J195" s="36">
        <v>0</v>
      </c>
      <c r="K195" s="36">
        <v>0</v>
      </c>
      <c r="L195" s="36">
        <v>0</v>
      </c>
      <c r="M195" s="36">
        <v>0</v>
      </c>
      <c r="N195" s="36">
        <v>0</v>
      </c>
    </row>
    <row r="196" spans="1:14" x14ac:dyDescent="0.35">
      <c r="A196" s="3" t="s">
        <v>317</v>
      </c>
      <c r="B196" s="4">
        <v>107</v>
      </c>
      <c r="C196" s="5">
        <v>16146</v>
      </c>
      <c r="D196" s="3" t="s">
        <v>628</v>
      </c>
      <c r="E196" s="16">
        <v>29.99</v>
      </c>
      <c r="F196" s="16">
        <v>19.003183333333332</v>
      </c>
      <c r="G196" s="36">
        <v>0</v>
      </c>
      <c r="H196" s="36">
        <v>0</v>
      </c>
      <c r="I196" s="36">
        <v>0</v>
      </c>
      <c r="J196" s="36">
        <v>0</v>
      </c>
      <c r="K196" s="36">
        <v>0</v>
      </c>
      <c r="L196" s="36">
        <v>0</v>
      </c>
      <c r="M196" s="36">
        <v>0</v>
      </c>
      <c r="N196" s="36">
        <v>0</v>
      </c>
    </row>
    <row r="197" spans="1:14" x14ac:dyDescent="0.35">
      <c r="A197" s="3" t="s">
        <v>317</v>
      </c>
      <c r="B197" s="4">
        <v>109</v>
      </c>
      <c r="C197" s="5">
        <v>16434</v>
      </c>
      <c r="D197" s="3" t="s">
        <v>629</v>
      </c>
      <c r="E197" s="16">
        <v>84.99</v>
      </c>
      <c r="F197" s="16">
        <v>51.839849999999998</v>
      </c>
      <c r="G197" s="36">
        <v>0</v>
      </c>
      <c r="H197" s="36">
        <v>0</v>
      </c>
      <c r="I197" s="36">
        <v>0</v>
      </c>
      <c r="J197" s="36">
        <v>0</v>
      </c>
      <c r="K197" s="36">
        <v>0</v>
      </c>
      <c r="L197" s="36">
        <v>0</v>
      </c>
      <c r="M197" s="36">
        <v>0</v>
      </c>
      <c r="N197" s="36">
        <v>0</v>
      </c>
    </row>
    <row r="198" spans="1:14" x14ac:dyDescent="0.35">
      <c r="A198" s="3" t="s">
        <v>317</v>
      </c>
      <c r="B198" s="4">
        <v>109</v>
      </c>
      <c r="C198" s="5">
        <v>16518</v>
      </c>
      <c r="D198" s="3" t="s">
        <v>630</v>
      </c>
      <c r="E198" s="16">
        <v>109.99</v>
      </c>
      <c r="F198" s="16">
        <v>68.936000000000007</v>
      </c>
      <c r="G198" s="36">
        <v>0</v>
      </c>
      <c r="H198" s="36">
        <v>0</v>
      </c>
      <c r="I198" s="36">
        <v>0</v>
      </c>
      <c r="J198" s="36">
        <v>0</v>
      </c>
      <c r="K198" s="36">
        <v>0</v>
      </c>
      <c r="L198" s="36">
        <v>0</v>
      </c>
      <c r="M198" s="36">
        <v>0</v>
      </c>
      <c r="N198" s="36">
        <v>0</v>
      </c>
    </row>
    <row r="199" spans="1:14" x14ac:dyDescent="0.35">
      <c r="A199" s="3" t="s">
        <v>317</v>
      </c>
      <c r="B199" s="4">
        <v>107</v>
      </c>
      <c r="C199" s="5">
        <v>16519</v>
      </c>
      <c r="D199" s="3" t="s">
        <v>631</v>
      </c>
      <c r="E199" s="16">
        <v>41.99</v>
      </c>
      <c r="F199" s="16">
        <v>26.324400000000001</v>
      </c>
      <c r="G199" s="36">
        <v>73.026086956521738</v>
      </c>
      <c r="H199" s="36">
        <v>2</v>
      </c>
      <c r="I199" s="36">
        <v>109.53913043478261</v>
      </c>
      <c r="J199" s="36">
        <v>3</v>
      </c>
      <c r="K199" s="36">
        <v>36.513043478260869</v>
      </c>
      <c r="L199" s="36">
        <v>1</v>
      </c>
      <c r="M199" s="36">
        <v>0</v>
      </c>
      <c r="N199" s="36">
        <v>0</v>
      </c>
    </row>
    <row r="200" spans="1:14" x14ac:dyDescent="0.35">
      <c r="A200" s="3" t="s">
        <v>317</v>
      </c>
      <c r="B200" s="4">
        <v>101</v>
      </c>
      <c r="C200" s="5">
        <v>16663</v>
      </c>
      <c r="D200" s="3" t="s">
        <v>350</v>
      </c>
      <c r="E200" s="16">
        <v>36.99</v>
      </c>
      <c r="F200" s="16">
        <v>23.019766666666666</v>
      </c>
      <c r="G200" s="36">
        <v>0</v>
      </c>
      <c r="H200" s="36">
        <v>0</v>
      </c>
      <c r="I200" s="36">
        <v>0</v>
      </c>
      <c r="J200" s="36">
        <v>0</v>
      </c>
      <c r="K200" s="36">
        <v>0</v>
      </c>
      <c r="L200" s="36">
        <v>0</v>
      </c>
      <c r="M200" s="36">
        <v>0</v>
      </c>
      <c r="N200" s="36">
        <v>0</v>
      </c>
    </row>
    <row r="201" spans="1:14" x14ac:dyDescent="0.35">
      <c r="A201" s="3" t="s">
        <v>351</v>
      </c>
      <c r="B201" s="4">
        <v>117</v>
      </c>
      <c r="C201" s="5">
        <v>24044</v>
      </c>
      <c r="D201" s="3" t="s">
        <v>352</v>
      </c>
      <c r="E201" s="16">
        <v>227.99</v>
      </c>
      <c r="F201" s="16">
        <v>136.72</v>
      </c>
      <c r="G201" s="36">
        <v>0</v>
      </c>
      <c r="H201" s="36">
        <v>0</v>
      </c>
      <c r="I201" s="36">
        <v>0</v>
      </c>
      <c r="J201" s="36">
        <v>0</v>
      </c>
      <c r="K201" s="36">
        <v>0</v>
      </c>
      <c r="L201" s="36">
        <v>0</v>
      </c>
      <c r="M201" s="36">
        <v>0</v>
      </c>
      <c r="N201" s="36">
        <v>0</v>
      </c>
    </row>
    <row r="202" spans="1:14" x14ac:dyDescent="0.35">
      <c r="A202" s="3" t="s">
        <v>351</v>
      </c>
      <c r="B202" s="4">
        <v>117</v>
      </c>
      <c r="C202" s="5">
        <v>24045</v>
      </c>
      <c r="D202" s="3" t="s">
        <v>353</v>
      </c>
      <c r="E202" s="16">
        <v>244.99</v>
      </c>
      <c r="F202" s="16">
        <v>146.72999999999999</v>
      </c>
      <c r="G202" s="36">
        <v>0</v>
      </c>
      <c r="H202" s="36">
        <v>0</v>
      </c>
      <c r="I202" s="36">
        <v>0</v>
      </c>
      <c r="J202" s="36">
        <v>0</v>
      </c>
      <c r="K202" s="36">
        <v>0</v>
      </c>
      <c r="L202" s="36">
        <v>0</v>
      </c>
      <c r="M202" s="36">
        <v>0</v>
      </c>
      <c r="N202" s="36">
        <v>0</v>
      </c>
    </row>
    <row r="203" spans="1:14" x14ac:dyDescent="0.35">
      <c r="A203" s="3" t="s">
        <v>351</v>
      </c>
      <c r="B203" s="4">
        <v>117</v>
      </c>
      <c r="C203" s="5">
        <v>24046</v>
      </c>
      <c r="D203" s="3" t="s">
        <v>354</v>
      </c>
      <c r="E203" s="16">
        <v>11.99</v>
      </c>
      <c r="F203" s="16">
        <v>11</v>
      </c>
      <c r="G203" s="36">
        <v>0</v>
      </c>
      <c r="H203" s="36">
        <v>0</v>
      </c>
      <c r="I203" s="36">
        <v>0</v>
      </c>
      <c r="J203" s="36">
        <v>0</v>
      </c>
      <c r="K203" s="36">
        <v>0</v>
      </c>
      <c r="L203" s="36">
        <v>0</v>
      </c>
      <c r="M203" s="36">
        <v>0</v>
      </c>
      <c r="N203" s="36">
        <v>0</v>
      </c>
    </row>
    <row r="204" spans="1:14" x14ac:dyDescent="0.35">
      <c r="A204" s="3" t="s">
        <v>351</v>
      </c>
      <c r="B204" s="4">
        <v>117</v>
      </c>
      <c r="C204" s="5">
        <v>24047</v>
      </c>
      <c r="D204" s="3" t="s">
        <v>355</v>
      </c>
      <c r="E204" s="16">
        <v>230.99</v>
      </c>
      <c r="F204" s="16">
        <v>138.11000000000001</v>
      </c>
      <c r="G204" s="36">
        <v>0</v>
      </c>
      <c r="H204" s="36">
        <v>0</v>
      </c>
      <c r="I204" s="36">
        <v>0</v>
      </c>
      <c r="J204" s="36">
        <v>0</v>
      </c>
      <c r="K204" s="36">
        <v>0</v>
      </c>
      <c r="L204" s="36">
        <v>0</v>
      </c>
      <c r="M204" s="36">
        <v>0</v>
      </c>
      <c r="N204" s="36">
        <v>0</v>
      </c>
    </row>
    <row r="205" spans="1:14" x14ac:dyDescent="0.35">
      <c r="A205" s="3" t="s">
        <v>632</v>
      </c>
      <c r="B205" s="4">
        <v>105</v>
      </c>
      <c r="C205" s="5">
        <v>24081</v>
      </c>
      <c r="D205" s="3" t="s">
        <v>633</v>
      </c>
      <c r="E205" s="16">
        <v>17.989999999999998</v>
      </c>
      <c r="F205" s="16">
        <v>14.44</v>
      </c>
      <c r="G205" s="36">
        <v>233.87</v>
      </c>
      <c r="H205" s="36">
        <v>13</v>
      </c>
      <c r="I205" s="36">
        <v>107.94</v>
      </c>
      <c r="J205" s="36">
        <v>6</v>
      </c>
      <c r="K205" s="36">
        <v>232.07</v>
      </c>
      <c r="L205" s="36">
        <v>13</v>
      </c>
      <c r="M205" s="36">
        <v>53.97</v>
      </c>
      <c r="N205" s="36">
        <v>3</v>
      </c>
    </row>
    <row r="206" spans="1:14" x14ac:dyDescent="0.35">
      <c r="A206" s="3" t="s">
        <v>632</v>
      </c>
      <c r="B206" s="4">
        <v>105</v>
      </c>
      <c r="C206" s="5">
        <v>24083</v>
      </c>
      <c r="D206" s="3" t="s">
        <v>634</v>
      </c>
      <c r="E206" s="16">
        <v>19.989999999999998</v>
      </c>
      <c r="F206" s="16">
        <v>14.77</v>
      </c>
      <c r="G206" s="36">
        <v>434.56521739130437</v>
      </c>
      <c r="H206" s="36">
        <v>25</v>
      </c>
      <c r="I206" s="36">
        <v>417.18260869565222</v>
      </c>
      <c r="J206" s="36">
        <v>24</v>
      </c>
      <c r="K206" s="36">
        <v>206.85217391304349</v>
      </c>
      <c r="L206" s="36">
        <v>12</v>
      </c>
      <c r="M206" s="36">
        <v>278.12173913043478</v>
      </c>
      <c r="N206" s="36">
        <v>16</v>
      </c>
    </row>
    <row r="207" spans="1:14" x14ac:dyDescent="0.35">
      <c r="A207" s="3" t="s">
        <v>635</v>
      </c>
      <c r="B207" s="4">
        <v>105</v>
      </c>
      <c r="C207" s="5">
        <v>24084</v>
      </c>
      <c r="D207" s="3" t="s">
        <v>636</v>
      </c>
      <c r="E207" s="16">
        <v>29.49</v>
      </c>
      <c r="F207" s="16">
        <v>23.65</v>
      </c>
      <c r="G207" s="36">
        <v>117.96</v>
      </c>
      <c r="H207" s="36">
        <v>4</v>
      </c>
      <c r="I207" s="36">
        <v>235.92</v>
      </c>
      <c r="J207" s="36">
        <v>8</v>
      </c>
      <c r="K207" s="36">
        <v>87</v>
      </c>
      <c r="L207" s="36">
        <v>3</v>
      </c>
      <c r="M207" s="36">
        <v>58.98</v>
      </c>
      <c r="N207" s="36">
        <v>2</v>
      </c>
    </row>
    <row r="208" spans="1:14" x14ac:dyDescent="0.35">
      <c r="A208" s="3" t="s">
        <v>635</v>
      </c>
      <c r="B208" s="4">
        <v>105</v>
      </c>
      <c r="C208" s="5">
        <v>24086</v>
      </c>
      <c r="D208" s="3" t="s">
        <v>637</v>
      </c>
      <c r="E208" s="16">
        <v>19.989999999999998</v>
      </c>
      <c r="F208" s="16">
        <v>18.32</v>
      </c>
      <c r="G208" s="36">
        <v>199.9</v>
      </c>
      <c r="H208" s="36">
        <v>10</v>
      </c>
      <c r="I208" s="36">
        <v>139.93</v>
      </c>
      <c r="J208" s="36">
        <v>7</v>
      </c>
      <c r="K208" s="36">
        <v>38.979999999999997</v>
      </c>
      <c r="L208" s="36">
        <v>2</v>
      </c>
      <c r="M208" s="36">
        <v>59.97</v>
      </c>
      <c r="N208" s="36">
        <v>3</v>
      </c>
    </row>
    <row r="209" spans="1:14" x14ac:dyDescent="0.35">
      <c r="A209" s="3" t="s">
        <v>635</v>
      </c>
      <c r="B209" s="4">
        <v>105</v>
      </c>
      <c r="C209" s="5">
        <v>24088</v>
      </c>
      <c r="D209" s="3" t="s">
        <v>638</v>
      </c>
      <c r="E209" s="16">
        <v>16.489999999999998</v>
      </c>
      <c r="F209" s="16">
        <v>17.82</v>
      </c>
      <c r="G209" s="36">
        <v>428.74</v>
      </c>
      <c r="H209" s="36">
        <v>26</v>
      </c>
      <c r="I209" s="36">
        <v>478.21</v>
      </c>
      <c r="J209" s="36">
        <v>29</v>
      </c>
      <c r="K209" s="36">
        <v>771.75</v>
      </c>
      <c r="L209" s="36">
        <v>48</v>
      </c>
      <c r="M209" s="36">
        <v>395.76</v>
      </c>
      <c r="N209" s="36">
        <v>24</v>
      </c>
    </row>
    <row r="210" spans="1:14" x14ac:dyDescent="0.35">
      <c r="A210" s="3" t="s">
        <v>635</v>
      </c>
      <c r="B210" s="4">
        <v>105</v>
      </c>
      <c r="C210" s="5">
        <v>24089</v>
      </c>
      <c r="D210" s="3" t="s">
        <v>639</v>
      </c>
      <c r="E210" s="16">
        <v>23.99</v>
      </c>
      <c r="F210" s="16">
        <v>18.82</v>
      </c>
      <c r="G210" s="36">
        <v>71.97</v>
      </c>
      <c r="H210" s="36">
        <v>3</v>
      </c>
      <c r="I210" s="36">
        <v>95.96</v>
      </c>
      <c r="J210" s="36">
        <v>4</v>
      </c>
      <c r="K210" s="36">
        <v>211.11</v>
      </c>
      <c r="L210" s="36">
        <v>9</v>
      </c>
      <c r="M210" s="36">
        <v>23.99</v>
      </c>
      <c r="N210" s="36">
        <v>1</v>
      </c>
    </row>
    <row r="211" spans="1:14" x14ac:dyDescent="0.35">
      <c r="A211" s="3" t="s">
        <v>635</v>
      </c>
      <c r="B211" s="4">
        <v>105</v>
      </c>
      <c r="C211" s="5">
        <v>24090</v>
      </c>
      <c r="D211" s="3" t="s">
        <v>640</v>
      </c>
      <c r="E211" s="16">
        <v>21.99</v>
      </c>
      <c r="F211" s="16">
        <v>18.32</v>
      </c>
      <c r="G211" s="36">
        <v>133.85217391304349</v>
      </c>
      <c r="H211" s="36">
        <v>7</v>
      </c>
      <c r="I211" s="36">
        <v>133.85217391304349</v>
      </c>
      <c r="J211" s="36">
        <v>7</v>
      </c>
      <c r="K211" s="36">
        <v>207.46956521739131</v>
      </c>
      <c r="L211" s="36">
        <v>11</v>
      </c>
      <c r="M211" s="36">
        <v>191.21739130434784</v>
      </c>
      <c r="N211" s="36">
        <v>10</v>
      </c>
    </row>
    <row r="212" spans="1:14" x14ac:dyDescent="0.35">
      <c r="A212" s="3" t="s">
        <v>635</v>
      </c>
      <c r="B212" s="4">
        <v>105</v>
      </c>
      <c r="C212" s="5">
        <v>24092</v>
      </c>
      <c r="D212" s="3" t="s">
        <v>641</v>
      </c>
      <c r="E212" s="16">
        <v>17.989999999999998</v>
      </c>
      <c r="F212" s="16">
        <v>17.420000000000002</v>
      </c>
      <c r="G212" s="36">
        <v>1868.5304347826082</v>
      </c>
      <c r="H212" s="36">
        <v>119</v>
      </c>
      <c r="I212" s="36">
        <v>1626.9217391304348</v>
      </c>
      <c r="J212" s="36">
        <v>104</v>
      </c>
      <c r="K212" s="36">
        <v>2036.7652173913045</v>
      </c>
      <c r="L212" s="36">
        <v>132</v>
      </c>
      <c r="M212" s="36">
        <v>1628.6608695652174</v>
      </c>
      <c r="N212" s="36">
        <v>104</v>
      </c>
    </row>
    <row r="213" spans="1:14" x14ac:dyDescent="0.35">
      <c r="A213" s="3" t="s">
        <v>635</v>
      </c>
      <c r="B213" s="4">
        <v>105</v>
      </c>
      <c r="C213" s="5">
        <v>24093</v>
      </c>
      <c r="D213" s="3" t="s">
        <v>642</v>
      </c>
      <c r="E213" s="16">
        <v>29.99</v>
      </c>
      <c r="F213" s="16">
        <v>23.32</v>
      </c>
      <c r="G213" s="36">
        <v>104.31304347826087</v>
      </c>
      <c r="H213" s="36">
        <v>4</v>
      </c>
      <c r="I213" s="36">
        <v>52.156521739130433</v>
      </c>
      <c r="J213" s="36">
        <v>2</v>
      </c>
      <c r="K213" s="36">
        <v>155.16521739130434</v>
      </c>
      <c r="L213" s="36">
        <v>6</v>
      </c>
      <c r="M213" s="36">
        <v>78.234782608695653</v>
      </c>
      <c r="N213" s="36">
        <v>3</v>
      </c>
    </row>
    <row r="214" spans="1:14" x14ac:dyDescent="0.35">
      <c r="A214" s="3" t="s">
        <v>635</v>
      </c>
      <c r="B214" s="4">
        <v>105</v>
      </c>
      <c r="C214" s="5">
        <v>24094</v>
      </c>
      <c r="D214" s="3" t="s">
        <v>643</v>
      </c>
      <c r="E214" s="16">
        <v>24.99</v>
      </c>
      <c r="F214" s="16">
        <v>16.239999999999998</v>
      </c>
      <c r="G214" s="36">
        <v>0</v>
      </c>
      <c r="H214" s="36">
        <v>0</v>
      </c>
      <c r="I214" s="36">
        <v>0</v>
      </c>
      <c r="J214" s="36">
        <v>0</v>
      </c>
      <c r="K214" s="36">
        <v>0</v>
      </c>
      <c r="L214" s="36">
        <v>0</v>
      </c>
      <c r="M214" s="36">
        <v>0</v>
      </c>
      <c r="N214" s="36">
        <v>0</v>
      </c>
    </row>
    <row r="215" spans="1:14" x14ac:dyDescent="0.35">
      <c r="A215" s="3" t="s">
        <v>635</v>
      </c>
      <c r="B215" s="4">
        <v>105</v>
      </c>
      <c r="C215" s="5">
        <v>24095</v>
      </c>
      <c r="D215" s="3" t="s">
        <v>644</v>
      </c>
      <c r="E215" s="16">
        <v>24.99</v>
      </c>
      <c r="F215" s="16">
        <v>16.68</v>
      </c>
      <c r="G215" s="36">
        <v>0</v>
      </c>
      <c r="H215" s="36">
        <v>0</v>
      </c>
      <c r="I215" s="36">
        <v>0</v>
      </c>
      <c r="J215" s="36">
        <v>0</v>
      </c>
      <c r="K215" s="36">
        <v>0</v>
      </c>
      <c r="L215" s="36">
        <v>0</v>
      </c>
      <c r="M215" s="36">
        <v>0</v>
      </c>
      <c r="N215" s="36">
        <v>0</v>
      </c>
    </row>
    <row r="216" spans="1:14" x14ac:dyDescent="0.35">
      <c r="A216" s="3" t="s">
        <v>635</v>
      </c>
      <c r="B216" s="4">
        <v>105</v>
      </c>
      <c r="C216" s="5">
        <v>24096</v>
      </c>
      <c r="D216" s="3" t="s">
        <v>645</v>
      </c>
      <c r="E216" s="16">
        <v>24.99</v>
      </c>
      <c r="F216" s="16">
        <v>16.68</v>
      </c>
      <c r="G216" s="36">
        <v>0</v>
      </c>
      <c r="H216" s="36">
        <v>0</v>
      </c>
      <c r="I216" s="36">
        <v>0</v>
      </c>
      <c r="J216" s="36">
        <v>0</v>
      </c>
      <c r="K216" s="36">
        <v>0</v>
      </c>
      <c r="L216" s="36">
        <v>0</v>
      </c>
      <c r="M216" s="36">
        <v>0</v>
      </c>
      <c r="N216" s="36">
        <v>0</v>
      </c>
    </row>
    <row r="217" spans="1:14" x14ac:dyDescent="0.35">
      <c r="A217" s="3" t="s">
        <v>635</v>
      </c>
      <c r="B217" s="4">
        <v>105</v>
      </c>
      <c r="C217" s="5">
        <v>24105</v>
      </c>
      <c r="D217" s="3" t="s">
        <v>646</v>
      </c>
      <c r="E217" s="16">
        <v>30.49</v>
      </c>
      <c r="F217" s="16">
        <v>24.57</v>
      </c>
      <c r="G217" s="36">
        <v>60.98</v>
      </c>
      <c r="H217" s="36">
        <v>2</v>
      </c>
      <c r="I217" s="36">
        <v>0</v>
      </c>
      <c r="J217" s="36">
        <v>0</v>
      </c>
      <c r="K217" s="36">
        <v>89.95</v>
      </c>
      <c r="L217" s="36">
        <v>3</v>
      </c>
      <c r="M217" s="36">
        <v>0</v>
      </c>
      <c r="N217" s="36">
        <v>0</v>
      </c>
    </row>
    <row r="218" spans="1:14" x14ac:dyDescent="0.35">
      <c r="A218" s="3" t="s">
        <v>635</v>
      </c>
      <c r="B218" s="4">
        <v>105</v>
      </c>
      <c r="C218" s="5">
        <v>24108</v>
      </c>
      <c r="D218" s="3" t="s">
        <v>647</v>
      </c>
      <c r="E218" s="16">
        <v>24.99</v>
      </c>
      <c r="F218" s="16">
        <v>18.18</v>
      </c>
      <c r="G218" s="36">
        <v>43.460869565217386</v>
      </c>
      <c r="H218" s="36">
        <v>2</v>
      </c>
      <c r="I218" s="36">
        <v>86.921739130434773</v>
      </c>
      <c r="J218" s="36">
        <v>4</v>
      </c>
      <c r="K218" s="36">
        <v>583.46086956521742</v>
      </c>
      <c r="L218" s="36">
        <v>28</v>
      </c>
      <c r="M218" s="36">
        <v>173.84347826086955</v>
      </c>
      <c r="N218" s="36">
        <v>8</v>
      </c>
    </row>
    <row r="219" spans="1:14" x14ac:dyDescent="0.35">
      <c r="A219" s="3" t="s">
        <v>635</v>
      </c>
      <c r="B219" s="4">
        <v>105</v>
      </c>
      <c r="C219" s="5">
        <v>24109</v>
      </c>
      <c r="D219" s="3" t="s">
        <v>648</v>
      </c>
      <c r="E219" s="16">
        <v>24.99</v>
      </c>
      <c r="F219" s="16">
        <v>17.98</v>
      </c>
      <c r="G219" s="36">
        <v>152.11304347826086</v>
      </c>
      <c r="H219" s="36">
        <v>7</v>
      </c>
      <c r="I219" s="36">
        <v>108.65217391304348</v>
      </c>
      <c r="J219" s="36">
        <v>5</v>
      </c>
      <c r="K219" s="36">
        <v>21.730434782608693</v>
      </c>
      <c r="L219" s="36">
        <v>1</v>
      </c>
      <c r="M219" s="36">
        <v>130.38260869565218</v>
      </c>
      <c r="N219" s="36">
        <v>6</v>
      </c>
    </row>
    <row r="220" spans="1:14" x14ac:dyDescent="0.35">
      <c r="A220" s="3" t="s">
        <v>632</v>
      </c>
      <c r="B220" s="4">
        <v>105</v>
      </c>
      <c r="C220" s="5">
        <v>24282</v>
      </c>
      <c r="D220" s="3" t="s">
        <v>649</v>
      </c>
      <c r="E220" s="16">
        <v>17.989999999999998</v>
      </c>
      <c r="F220" s="16">
        <v>15.3</v>
      </c>
      <c r="G220" s="36">
        <v>0</v>
      </c>
      <c r="H220" s="36">
        <v>0</v>
      </c>
      <c r="I220" s="36">
        <v>0</v>
      </c>
      <c r="J220" s="36">
        <v>0</v>
      </c>
      <c r="K220" s="36">
        <v>0</v>
      </c>
      <c r="L220" s="36">
        <v>0</v>
      </c>
      <c r="M220" s="36">
        <v>0</v>
      </c>
      <c r="N220" s="36">
        <v>0</v>
      </c>
    </row>
    <row r="221" spans="1:14" x14ac:dyDescent="0.35">
      <c r="A221" s="3" t="s">
        <v>632</v>
      </c>
      <c r="B221" s="4">
        <v>105</v>
      </c>
      <c r="C221" s="5">
        <v>24286</v>
      </c>
      <c r="D221" s="3" t="s">
        <v>650</v>
      </c>
      <c r="E221" s="16">
        <v>21.99</v>
      </c>
      <c r="F221" s="16">
        <v>15.52</v>
      </c>
      <c r="G221" s="36">
        <v>57.365217391304348</v>
      </c>
      <c r="H221" s="36">
        <v>3</v>
      </c>
      <c r="I221" s="36">
        <v>57.365217391304348</v>
      </c>
      <c r="J221" s="36">
        <v>3</v>
      </c>
      <c r="K221" s="36">
        <v>0</v>
      </c>
      <c r="L221" s="36">
        <v>0</v>
      </c>
      <c r="M221" s="36">
        <v>95.608695652173921</v>
      </c>
      <c r="N221" s="36">
        <v>5</v>
      </c>
    </row>
    <row r="222" spans="1:14" x14ac:dyDescent="0.35">
      <c r="A222" s="3" t="s">
        <v>632</v>
      </c>
      <c r="B222" s="4">
        <v>105</v>
      </c>
      <c r="C222" s="5">
        <v>24291</v>
      </c>
      <c r="D222" s="3" t="s">
        <v>651</v>
      </c>
      <c r="E222" s="16">
        <v>19.989999999999998</v>
      </c>
      <c r="F222" s="16">
        <v>15.3</v>
      </c>
      <c r="G222" s="36">
        <v>59.97</v>
      </c>
      <c r="H222" s="36">
        <v>3</v>
      </c>
      <c r="I222" s="36">
        <v>0</v>
      </c>
      <c r="J222" s="36">
        <v>0</v>
      </c>
      <c r="K222" s="36">
        <v>39.979999999999997</v>
      </c>
      <c r="L222" s="36">
        <v>2</v>
      </c>
      <c r="M222" s="36">
        <v>79.959999999999994</v>
      </c>
      <c r="N222" s="36">
        <v>4</v>
      </c>
    </row>
    <row r="223" spans="1:14" x14ac:dyDescent="0.35">
      <c r="A223" s="3" t="s">
        <v>632</v>
      </c>
      <c r="B223" s="4">
        <v>105</v>
      </c>
      <c r="C223" s="5">
        <v>24297</v>
      </c>
      <c r="D223" s="3" t="s">
        <v>652</v>
      </c>
      <c r="E223" s="16">
        <v>17.989999999999998</v>
      </c>
      <c r="F223" s="16">
        <v>15.3</v>
      </c>
      <c r="G223" s="36">
        <v>0</v>
      </c>
      <c r="H223" s="36">
        <v>0</v>
      </c>
      <c r="I223" s="36">
        <v>0</v>
      </c>
      <c r="J223" s="36">
        <v>0</v>
      </c>
      <c r="K223" s="36">
        <v>0</v>
      </c>
      <c r="L223" s="36">
        <v>0</v>
      </c>
      <c r="M223" s="36">
        <v>0</v>
      </c>
      <c r="N223" s="36">
        <v>0</v>
      </c>
    </row>
    <row r="224" spans="1:14" x14ac:dyDescent="0.35">
      <c r="A224" s="3" t="s">
        <v>632</v>
      </c>
      <c r="B224" s="4">
        <v>105</v>
      </c>
      <c r="C224" s="5">
        <v>24298</v>
      </c>
      <c r="D224" s="3" t="s">
        <v>653</v>
      </c>
      <c r="E224" s="16">
        <v>20.99</v>
      </c>
      <c r="F224" s="16">
        <v>15.19</v>
      </c>
      <c r="G224" s="36">
        <v>292.03478260869565</v>
      </c>
      <c r="H224" s="36">
        <v>16</v>
      </c>
      <c r="I224" s="36">
        <v>273.78260869565219</v>
      </c>
      <c r="J224" s="36">
        <v>15</v>
      </c>
      <c r="K224" s="36">
        <v>180.69565217391306</v>
      </c>
      <c r="L224" s="36">
        <v>10</v>
      </c>
      <c r="M224" s="36">
        <v>127.76521739130436</v>
      </c>
      <c r="N224" s="36">
        <v>7</v>
      </c>
    </row>
    <row r="225" spans="1:14" x14ac:dyDescent="0.35">
      <c r="A225" s="3" t="s">
        <v>632</v>
      </c>
      <c r="B225" s="4">
        <v>105</v>
      </c>
      <c r="C225" s="5">
        <v>24303</v>
      </c>
      <c r="D225" s="3" t="s">
        <v>654</v>
      </c>
      <c r="E225" s="16">
        <v>20.99</v>
      </c>
      <c r="F225" s="16">
        <v>16.39</v>
      </c>
      <c r="G225" s="36">
        <v>41.98</v>
      </c>
      <c r="H225" s="36">
        <v>2</v>
      </c>
      <c r="I225" s="36">
        <v>41.98</v>
      </c>
      <c r="J225" s="36">
        <v>2</v>
      </c>
      <c r="K225" s="36">
        <v>40.93</v>
      </c>
      <c r="L225" s="36">
        <v>2</v>
      </c>
      <c r="M225" s="36">
        <v>41.98</v>
      </c>
      <c r="N225" s="36">
        <v>2</v>
      </c>
    </row>
    <row r="226" spans="1:14" x14ac:dyDescent="0.35">
      <c r="A226" s="3" t="s">
        <v>632</v>
      </c>
      <c r="B226" s="4">
        <v>105</v>
      </c>
      <c r="C226" s="5">
        <v>24304</v>
      </c>
      <c r="D226" s="3" t="s">
        <v>655</v>
      </c>
      <c r="E226" s="16">
        <v>13.99</v>
      </c>
      <c r="F226" s="16">
        <v>9.0299999999999994</v>
      </c>
      <c r="G226" s="36">
        <v>0</v>
      </c>
      <c r="H226" s="36">
        <v>0</v>
      </c>
      <c r="I226" s="36">
        <v>12.165217391304347</v>
      </c>
      <c r="J226" s="36">
        <v>1</v>
      </c>
      <c r="K226" s="36">
        <v>23.721739130434784</v>
      </c>
      <c r="L226" s="36">
        <v>2</v>
      </c>
      <c r="M226" s="36">
        <v>12.165217391304347</v>
      </c>
      <c r="N226" s="36">
        <v>1</v>
      </c>
    </row>
    <row r="227" spans="1:14" x14ac:dyDescent="0.35">
      <c r="A227" s="3" t="s">
        <v>632</v>
      </c>
      <c r="B227" s="4">
        <v>105</v>
      </c>
      <c r="C227" s="5">
        <v>24305</v>
      </c>
      <c r="D227" s="3" t="s">
        <v>656</v>
      </c>
      <c r="E227" s="16">
        <v>13.99</v>
      </c>
      <c r="F227" s="16">
        <v>9.0299999999999994</v>
      </c>
      <c r="G227" s="36">
        <v>0</v>
      </c>
      <c r="H227" s="36">
        <v>0</v>
      </c>
      <c r="I227" s="36">
        <v>12.165217391304347</v>
      </c>
      <c r="J227" s="36">
        <v>1</v>
      </c>
      <c r="K227" s="36">
        <v>36.495652173913044</v>
      </c>
      <c r="L227" s="36">
        <v>3</v>
      </c>
      <c r="M227" s="36">
        <v>0</v>
      </c>
      <c r="N227" s="36">
        <v>0</v>
      </c>
    </row>
    <row r="228" spans="1:14" x14ac:dyDescent="0.35">
      <c r="A228" s="3" t="s">
        <v>632</v>
      </c>
      <c r="B228" s="4">
        <v>105</v>
      </c>
      <c r="C228" s="5">
        <v>24306</v>
      </c>
      <c r="D228" s="3" t="s">
        <v>657</v>
      </c>
      <c r="E228" s="16">
        <v>13.99</v>
      </c>
      <c r="F228" s="16">
        <v>9.0299999999999994</v>
      </c>
      <c r="G228" s="36">
        <v>12.165217391304347</v>
      </c>
      <c r="H228" s="36">
        <v>1</v>
      </c>
      <c r="I228" s="36">
        <v>24.330434782608695</v>
      </c>
      <c r="J228" s="36">
        <v>2</v>
      </c>
      <c r="K228" s="36">
        <v>11.556521739130433</v>
      </c>
      <c r="L228" s="36">
        <v>1</v>
      </c>
      <c r="M228" s="36">
        <v>0</v>
      </c>
      <c r="N228" s="36">
        <v>0</v>
      </c>
    </row>
    <row r="229" spans="1:14" x14ac:dyDescent="0.35">
      <c r="A229" s="3" t="s">
        <v>632</v>
      </c>
      <c r="B229" s="4">
        <v>105</v>
      </c>
      <c r="C229" s="5">
        <v>24307</v>
      </c>
      <c r="D229" s="3" t="s">
        <v>658</v>
      </c>
      <c r="E229" s="16">
        <v>13.99</v>
      </c>
      <c r="F229" s="16">
        <v>9.0299999999999994</v>
      </c>
      <c r="G229" s="36">
        <v>0</v>
      </c>
      <c r="H229" s="36">
        <v>0</v>
      </c>
      <c r="I229" s="36">
        <v>12.165217391304347</v>
      </c>
      <c r="J229" s="36">
        <v>1</v>
      </c>
      <c r="K229" s="36">
        <v>0</v>
      </c>
      <c r="L229" s="36">
        <v>0</v>
      </c>
      <c r="M229" s="36">
        <v>0</v>
      </c>
      <c r="N229" s="36">
        <v>0</v>
      </c>
    </row>
    <row r="230" spans="1:14" x14ac:dyDescent="0.35">
      <c r="A230" s="3" t="s">
        <v>632</v>
      </c>
      <c r="B230" s="4">
        <v>105</v>
      </c>
      <c r="C230" s="5">
        <v>24308</v>
      </c>
      <c r="D230" s="3" t="s">
        <v>659</v>
      </c>
      <c r="E230" s="16">
        <v>24.99</v>
      </c>
      <c r="F230" s="16">
        <v>16.059999999999999</v>
      </c>
      <c r="G230" s="36">
        <v>43.460869565217386</v>
      </c>
      <c r="H230" s="36">
        <v>2</v>
      </c>
      <c r="I230" s="36">
        <v>43.460869565217386</v>
      </c>
      <c r="J230" s="36">
        <v>2</v>
      </c>
      <c r="K230" s="36">
        <v>20.643478260869564</v>
      </c>
      <c r="L230" s="36">
        <v>1</v>
      </c>
      <c r="M230" s="36">
        <v>65.19130434782609</v>
      </c>
      <c r="N230" s="36">
        <v>3</v>
      </c>
    </row>
    <row r="231" spans="1:14" x14ac:dyDescent="0.35">
      <c r="A231" s="3" t="s">
        <v>476</v>
      </c>
      <c r="B231" s="4">
        <v>105</v>
      </c>
      <c r="C231" s="5">
        <v>24619</v>
      </c>
      <c r="D231" s="3" t="s">
        <v>660</v>
      </c>
      <c r="E231" s="16">
        <v>21.99</v>
      </c>
      <c r="F231" s="16">
        <v>15.39</v>
      </c>
      <c r="G231" s="36">
        <v>57.365217391304348</v>
      </c>
      <c r="H231" s="36">
        <v>3</v>
      </c>
      <c r="I231" s="36">
        <v>133.85217391304349</v>
      </c>
      <c r="J231" s="36">
        <v>7</v>
      </c>
      <c r="K231" s="36">
        <v>76.486956521739131</v>
      </c>
      <c r="L231" s="36">
        <v>4</v>
      </c>
      <c r="M231" s="36">
        <v>133.85217391304349</v>
      </c>
      <c r="N231" s="36">
        <v>7</v>
      </c>
    </row>
    <row r="232" spans="1:14" x14ac:dyDescent="0.35">
      <c r="A232" s="3" t="s">
        <v>476</v>
      </c>
      <c r="B232" s="4">
        <v>105</v>
      </c>
      <c r="C232" s="5">
        <v>24620</v>
      </c>
      <c r="D232" s="3" t="s">
        <v>661</v>
      </c>
      <c r="E232" s="16">
        <v>18.989999999999998</v>
      </c>
      <c r="F232" s="16">
        <v>15.7</v>
      </c>
      <c r="G232" s="36">
        <v>75.959999999999994</v>
      </c>
      <c r="H232" s="36">
        <v>4</v>
      </c>
      <c r="I232" s="36">
        <v>94.95</v>
      </c>
      <c r="J232" s="36">
        <v>5</v>
      </c>
      <c r="K232" s="36">
        <v>149.07</v>
      </c>
      <c r="L232" s="36">
        <v>8</v>
      </c>
      <c r="M232" s="36">
        <v>56.97</v>
      </c>
      <c r="N232" s="36">
        <v>3</v>
      </c>
    </row>
    <row r="233" spans="1:14" x14ac:dyDescent="0.35">
      <c r="A233" s="3" t="s">
        <v>476</v>
      </c>
      <c r="B233" s="4">
        <v>105</v>
      </c>
      <c r="C233" s="5">
        <v>24621</v>
      </c>
      <c r="D233" s="3" t="s">
        <v>662</v>
      </c>
      <c r="E233" s="16">
        <v>25.99</v>
      </c>
      <c r="F233" s="16">
        <v>19.2</v>
      </c>
      <c r="G233" s="36">
        <v>155.94</v>
      </c>
      <c r="H233" s="36">
        <v>6</v>
      </c>
      <c r="I233" s="36">
        <v>0</v>
      </c>
      <c r="J233" s="36">
        <v>0</v>
      </c>
      <c r="K233" s="36">
        <v>0</v>
      </c>
      <c r="L233" s="36">
        <v>0</v>
      </c>
      <c r="M233" s="36">
        <v>51.98</v>
      </c>
      <c r="N233" s="36">
        <v>2</v>
      </c>
    </row>
    <row r="234" spans="1:14" x14ac:dyDescent="0.35">
      <c r="A234" s="3" t="s">
        <v>476</v>
      </c>
      <c r="B234" s="4">
        <v>105</v>
      </c>
      <c r="C234" s="5">
        <v>24626</v>
      </c>
      <c r="D234" s="3" t="s">
        <v>663</v>
      </c>
      <c r="E234" s="16">
        <v>25.99</v>
      </c>
      <c r="F234" s="16">
        <v>16.350000000000001</v>
      </c>
      <c r="G234" s="36">
        <v>67.8</v>
      </c>
      <c r="H234" s="36">
        <v>3</v>
      </c>
      <c r="I234" s="36">
        <v>45.199999999999996</v>
      </c>
      <c r="J234" s="36">
        <v>2</v>
      </c>
      <c r="K234" s="36">
        <v>154.80869565217392</v>
      </c>
      <c r="L234" s="36">
        <v>7</v>
      </c>
      <c r="M234" s="36">
        <v>158.20000000000002</v>
      </c>
      <c r="N234" s="36">
        <v>7</v>
      </c>
    </row>
    <row r="235" spans="1:14" x14ac:dyDescent="0.35">
      <c r="A235" s="3" t="s">
        <v>476</v>
      </c>
      <c r="B235" s="4">
        <v>105</v>
      </c>
      <c r="C235" s="5">
        <v>24631</v>
      </c>
      <c r="D235" s="3" t="s">
        <v>664</v>
      </c>
      <c r="E235" s="16">
        <v>23.99</v>
      </c>
      <c r="F235" s="16">
        <v>18.8</v>
      </c>
      <c r="G235" s="36">
        <v>167.93</v>
      </c>
      <c r="H235" s="36">
        <v>7</v>
      </c>
      <c r="I235" s="36">
        <v>47.98</v>
      </c>
      <c r="J235" s="36">
        <v>2</v>
      </c>
      <c r="K235" s="36">
        <v>70.77</v>
      </c>
      <c r="L235" s="36">
        <v>3</v>
      </c>
      <c r="M235" s="36">
        <v>119.95</v>
      </c>
      <c r="N235" s="36">
        <v>5</v>
      </c>
    </row>
    <row r="236" spans="1:14" x14ac:dyDescent="0.35">
      <c r="A236" s="3" t="s">
        <v>476</v>
      </c>
      <c r="B236" s="4">
        <v>105</v>
      </c>
      <c r="C236" s="5">
        <v>24633</v>
      </c>
      <c r="D236" s="3" t="s">
        <v>665</v>
      </c>
      <c r="E236" s="16">
        <v>25.99</v>
      </c>
      <c r="F236" s="16">
        <v>17.57</v>
      </c>
      <c r="G236" s="36">
        <v>45.199999999999996</v>
      </c>
      <c r="H236" s="36">
        <v>2</v>
      </c>
      <c r="I236" s="36">
        <v>67.8</v>
      </c>
      <c r="J236" s="36">
        <v>3</v>
      </c>
      <c r="K236" s="36">
        <v>21.469565217391306</v>
      </c>
      <c r="L236" s="36">
        <v>1</v>
      </c>
      <c r="M236" s="36">
        <v>0</v>
      </c>
      <c r="N236" s="36">
        <v>0</v>
      </c>
    </row>
    <row r="237" spans="1:14" x14ac:dyDescent="0.35">
      <c r="A237" s="3" t="s">
        <v>476</v>
      </c>
      <c r="B237" s="4">
        <v>105</v>
      </c>
      <c r="C237" s="5">
        <v>24634</v>
      </c>
      <c r="D237" s="3" t="s">
        <v>666</v>
      </c>
      <c r="E237" s="16">
        <v>18.989999999999998</v>
      </c>
      <c r="F237" s="16">
        <v>14.5</v>
      </c>
      <c r="G237" s="36">
        <v>75.959999999999994</v>
      </c>
      <c r="H237" s="36">
        <v>4</v>
      </c>
      <c r="I237" s="36">
        <v>132.93</v>
      </c>
      <c r="J237" s="36">
        <v>7</v>
      </c>
      <c r="K237" s="36">
        <v>56.02</v>
      </c>
      <c r="L237" s="36">
        <v>3</v>
      </c>
      <c r="M237" s="36">
        <v>37.979999999999997</v>
      </c>
      <c r="N237" s="36">
        <v>2</v>
      </c>
    </row>
    <row r="238" spans="1:14" x14ac:dyDescent="0.35">
      <c r="A238" s="3" t="s">
        <v>476</v>
      </c>
      <c r="B238" s="4">
        <v>105</v>
      </c>
      <c r="C238" s="5">
        <v>24635</v>
      </c>
      <c r="D238" s="3" t="s">
        <v>667</v>
      </c>
      <c r="E238" s="16">
        <v>19.989999999999998</v>
      </c>
      <c r="F238" s="16">
        <v>14.35</v>
      </c>
      <c r="G238" s="36">
        <v>139.06086956521739</v>
      </c>
      <c r="H238" s="36">
        <v>8</v>
      </c>
      <c r="I238" s="36">
        <v>260.73913043478262</v>
      </c>
      <c r="J238" s="36">
        <v>15</v>
      </c>
      <c r="K238" s="36">
        <v>172.95652173913044</v>
      </c>
      <c r="L238" s="36">
        <v>10</v>
      </c>
      <c r="M238" s="36">
        <v>104.29565217391304</v>
      </c>
      <c r="N238" s="36">
        <v>6</v>
      </c>
    </row>
    <row r="239" spans="1:14" x14ac:dyDescent="0.35">
      <c r="A239" s="3" t="s">
        <v>476</v>
      </c>
      <c r="B239" s="4">
        <v>105</v>
      </c>
      <c r="C239" s="5">
        <v>24636</v>
      </c>
      <c r="D239" s="3" t="s">
        <v>668</v>
      </c>
      <c r="E239" s="16">
        <v>25.99</v>
      </c>
      <c r="F239" s="16">
        <v>16.36</v>
      </c>
      <c r="G239" s="36">
        <v>0</v>
      </c>
      <c r="H239" s="36">
        <v>0</v>
      </c>
      <c r="I239" s="36">
        <v>0</v>
      </c>
      <c r="J239" s="36">
        <v>0</v>
      </c>
      <c r="K239" s="36">
        <v>45.199999999999996</v>
      </c>
      <c r="L239" s="36">
        <v>2</v>
      </c>
      <c r="M239" s="36">
        <v>0</v>
      </c>
      <c r="N239" s="36">
        <v>0</v>
      </c>
    </row>
    <row r="240" spans="1:14" x14ac:dyDescent="0.35">
      <c r="A240" s="3" t="s">
        <v>476</v>
      </c>
      <c r="B240" s="4">
        <v>105</v>
      </c>
      <c r="C240" s="5">
        <v>24637</v>
      </c>
      <c r="D240" s="3" t="s">
        <v>669</v>
      </c>
      <c r="E240" s="16">
        <v>26.99</v>
      </c>
      <c r="F240" s="16">
        <v>16.96</v>
      </c>
      <c r="G240" s="36">
        <v>0</v>
      </c>
      <c r="H240" s="36">
        <v>0</v>
      </c>
      <c r="I240" s="36">
        <v>0</v>
      </c>
      <c r="J240" s="36">
        <v>0</v>
      </c>
      <c r="K240" s="36">
        <v>0</v>
      </c>
      <c r="L240" s="36">
        <v>0</v>
      </c>
      <c r="M240" s="36">
        <v>0</v>
      </c>
      <c r="N240" s="36">
        <v>0</v>
      </c>
    </row>
    <row r="241" spans="1:14" x14ac:dyDescent="0.35">
      <c r="A241" s="3" t="s">
        <v>476</v>
      </c>
      <c r="B241" s="4">
        <v>105</v>
      </c>
      <c r="C241" s="5">
        <v>24639</v>
      </c>
      <c r="D241" s="3" t="s">
        <v>670</v>
      </c>
      <c r="E241" s="16">
        <v>25.99</v>
      </c>
      <c r="F241" s="16">
        <v>16.36</v>
      </c>
      <c r="G241" s="36">
        <v>22.599999999999998</v>
      </c>
      <c r="H241" s="36">
        <v>1</v>
      </c>
      <c r="I241" s="36">
        <v>0</v>
      </c>
      <c r="J241" s="36">
        <v>0</v>
      </c>
      <c r="K241" s="36">
        <v>0</v>
      </c>
      <c r="L241" s="36">
        <v>0</v>
      </c>
      <c r="M241" s="36">
        <v>0</v>
      </c>
      <c r="N241" s="36">
        <v>0</v>
      </c>
    </row>
    <row r="242" spans="1:14" x14ac:dyDescent="0.35">
      <c r="A242" s="3" t="s">
        <v>476</v>
      </c>
      <c r="B242" s="4">
        <v>105</v>
      </c>
      <c r="C242" s="5">
        <v>24652</v>
      </c>
      <c r="D242" s="3" t="s">
        <v>671</v>
      </c>
      <c r="E242" s="16">
        <v>22.99</v>
      </c>
      <c r="F242" s="16">
        <v>14.35</v>
      </c>
      <c r="G242" s="36">
        <v>279.87826086956522</v>
      </c>
      <c r="H242" s="36">
        <v>14</v>
      </c>
      <c r="I242" s="36">
        <v>259.88695652173914</v>
      </c>
      <c r="J242" s="36">
        <v>13</v>
      </c>
      <c r="K242" s="36">
        <v>197.91304347826087</v>
      </c>
      <c r="L242" s="36">
        <v>10</v>
      </c>
      <c r="M242" s="36">
        <v>59.973913043478262</v>
      </c>
      <c r="N242" s="36">
        <v>3</v>
      </c>
    </row>
    <row r="243" spans="1:14" x14ac:dyDescent="0.35">
      <c r="A243" s="3" t="s">
        <v>476</v>
      </c>
      <c r="B243" s="4">
        <v>105</v>
      </c>
      <c r="C243" s="5">
        <v>24653</v>
      </c>
      <c r="D243" s="3" t="s">
        <v>672</v>
      </c>
      <c r="E243" s="16">
        <v>18.989999999999998</v>
      </c>
      <c r="F243" s="16">
        <v>14.5</v>
      </c>
      <c r="G243" s="36">
        <v>37.979999999999997</v>
      </c>
      <c r="H243" s="36">
        <v>2</v>
      </c>
      <c r="I243" s="36">
        <v>37.979999999999997</v>
      </c>
      <c r="J243" s="36">
        <v>2</v>
      </c>
      <c r="K243" s="36">
        <v>18.04</v>
      </c>
      <c r="L243" s="36">
        <v>1</v>
      </c>
      <c r="M243" s="36">
        <v>18.989999999999998</v>
      </c>
      <c r="N243" s="36">
        <v>1</v>
      </c>
    </row>
    <row r="244" spans="1:14" x14ac:dyDescent="0.35">
      <c r="A244" s="3" t="s">
        <v>359</v>
      </c>
      <c r="B244" s="4">
        <v>103</v>
      </c>
      <c r="C244" s="5">
        <v>32056</v>
      </c>
      <c r="D244" s="3" t="s">
        <v>673</v>
      </c>
      <c r="E244" s="16">
        <v>359</v>
      </c>
      <c r="F244" s="16">
        <v>191.73</v>
      </c>
      <c r="G244" s="36">
        <v>0</v>
      </c>
      <c r="H244" s="36">
        <v>0</v>
      </c>
      <c r="I244" s="36">
        <v>0</v>
      </c>
      <c r="J244" s="36">
        <v>0</v>
      </c>
      <c r="K244" s="36">
        <v>9.3652173913043484</v>
      </c>
      <c r="L244" s="36">
        <v>0.03</v>
      </c>
      <c r="M244" s="36">
        <v>6.2434782608695647</v>
      </c>
      <c r="N244" s="36">
        <v>0.02</v>
      </c>
    </row>
    <row r="245" spans="1:14" x14ac:dyDescent="0.35">
      <c r="A245" s="3" t="s">
        <v>14</v>
      </c>
      <c r="B245" s="4">
        <v>101</v>
      </c>
      <c r="C245" s="5">
        <v>32062</v>
      </c>
      <c r="D245" s="3" t="s">
        <v>51</v>
      </c>
      <c r="E245" s="16">
        <v>24.99</v>
      </c>
      <c r="F245" s="16">
        <v>9.68</v>
      </c>
      <c r="G245" s="36">
        <v>0</v>
      </c>
      <c r="H245" s="36">
        <v>0</v>
      </c>
      <c r="I245" s="36">
        <v>0</v>
      </c>
      <c r="J245" s="36">
        <v>0</v>
      </c>
      <c r="K245" s="36">
        <v>43.460869565217386</v>
      </c>
      <c r="L245" s="36">
        <v>2</v>
      </c>
      <c r="M245" s="36">
        <v>0</v>
      </c>
      <c r="N245" s="36">
        <v>0</v>
      </c>
    </row>
    <row r="246" spans="1:14" x14ac:dyDescent="0.35">
      <c r="A246" s="3" t="s">
        <v>14</v>
      </c>
      <c r="B246" s="4">
        <v>101</v>
      </c>
      <c r="C246" s="5">
        <v>32063</v>
      </c>
      <c r="D246" s="3" t="s">
        <v>52</v>
      </c>
      <c r="E246" s="16">
        <v>19.989999999999998</v>
      </c>
      <c r="F246" s="16">
        <v>8.5</v>
      </c>
      <c r="G246" s="36">
        <v>0</v>
      </c>
      <c r="H246" s="36">
        <v>0</v>
      </c>
      <c r="I246" s="36">
        <v>0</v>
      </c>
      <c r="J246" s="36">
        <v>0</v>
      </c>
      <c r="K246" s="36">
        <v>34.765217391304347</v>
      </c>
      <c r="L246" s="36">
        <v>2</v>
      </c>
      <c r="M246" s="36">
        <v>17.382608695652173</v>
      </c>
      <c r="N246" s="36">
        <v>1</v>
      </c>
    </row>
    <row r="247" spans="1:14" x14ac:dyDescent="0.35">
      <c r="A247" s="3" t="s">
        <v>14</v>
      </c>
      <c r="B247" s="4">
        <v>102</v>
      </c>
      <c r="C247" s="5">
        <v>32066</v>
      </c>
      <c r="D247" s="3" t="s">
        <v>114</v>
      </c>
      <c r="E247" s="16">
        <v>10</v>
      </c>
      <c r="F247" s="16">
        <v>4.5</v>
      </c>
      <c r="G247" s="36">
        <v>0</v>
      </c>
      <c r="H247" s="36">
        <v>0</v>
      </c>
      <c r="I247" s="36">
        <v>0</v>
      </c>
      <c r="J247" s="36">
        <v>0</v>
      </c>
      <c r="K247" s="36">
        <v>52.173913043478258</v>
      </c>
      <c r="L247" s="36">
        <v>6</v>
      </c>
      <c r="M247" s="36">
        <v>0</v>
      </c>
      <c r="N247" s="36">
        <v>0</v>
      </c>
    </row>
    <row r="248" spans="1:14" x14ac:dyDescent="0.35">
      <c r="A248" s="3" t="s">
        <v>14</v>
      </c>
      <c r="B248" s="4">
        <v>101</v>
      </c>
      <c r="C248" s="5">
        <v>32067</v>
      </c>
      <c r="D248" s="3" t="s">
        <v>29</v>
      </c>
      <c r="E248" s="16">
        <v>34.99</v>
      </c>
      <c r="F248" s="16">
        <v>15.91</v>
      </c>
      <c r="G248" s="36">
        <v>0</v>
      </c>
      <c r="H248" s="36">
        <v>0</v>
      </c>
      <c r="I248" s="36">
        <v>121.70434782608696</v>
      </c>
      <c r="J248" s="36">
        <v>4</v>
      </c>
      <c r="K248" s="36">
        <v>117.13913043478261</v>
      </c>
      <c r="L248" s="36">
        <v>4</v>
      </c>
      <c r="M248" s="36">
        <v>30.42608695652174</v>
      </c>
      <c r="N248" s="36">
        <v>1</v>
      </c>
    </row>
    <row r="249" spans="1:14" x14ac:dyDescent="0.35">
      <c r="A249" s="3" t="s">
        <v>14</v>
      </c>
      <c r="B249" s="4">
        <v>102</v>
      </c>
      <c r="C249" s="5">
        <v>32124</v>
      </c>
      <c r="D249" s="3" t="s">
        <v>174</v>
      </c>
      <c r="E249" s="16">
        <v>47.99</v>
      </c>
      <c r="F249" s="16">
        <v>10.44</v>
      </c>
      <c r="G249" s="36">
        <v>0</v>
      </c>
      <c r="H249" s="36">
        <v>0</v>
      </c>
      <c r="I249" s="36">
        <v>0</v>
      </c>
      <c r="J249" s="36">
        <v>0</v>
      </c>
      <c r="K249" s="36">
        <v>0</v>
      </c>
      <c r="L249" s="36">
        <v>0</v>
      </c>
      <c r="M249" s="36">
        <v>0</v>
      </c>
      <c r="N249" s="36">
        <v>0</v>
      </c>
    </row>
    <row r="250" spans="1:14" x14ac:dyDescent="0.35">
      <c r="A250" s="3" t="s">
        <v>14</v>
      </c>
      <c r="B250" s="4">
        <v>102</v>
      </c>
      <c r="C250" s="5">
        <v>32125</v>
      </c>
      <c r="D250" s="3" t="s">
        <v>162</v>
      </c>
      <c r="E250" s="16">
        <v>3</v>
      </c>
      <c r="F250" s="16">
        <v>1.29</v>
      </c>
      <c r="G250" s="36">
        <v>0</v>
      </c>
      <c r="H250" s="36">
        <v>0</v>
      </c>
      <c r="I250" s="36">
        <v>0</v>
      </c>
      <c r="J250" s="36">
        <v>0</v>
      </c>
      <c r="K250" s="36">
        <v>0</v>
      </c>
      <c r="L250" s="36">
        <v>0</v>
      </c>
      <c r="M250" s="36">
        <v>0</v>
      </c>
      <c r="N250" s="36">
        <v>0</v>
      </c>
    </row>
    <row r="251" spans="1:14" x14ac:dyDescent="0.35">
      <c r="A251" s="3" t="s">
        <v>14</v>
      </c>
      <c r="B251" s="4">
        <v>102</v>
      </c>
      <c r="C251" s="5">
        <v>32127</v>
      </c>
      <c r="D251" s="3" t="s">
        <v>92</v>
      </c>
      <c r="E251" s="16">
        <v>11.99</v>
      </c>
      <c r="F251" s="16">
        <v>6.02</v>
      </c>
      <c r="G251" s="36">
        <v>125.11304347826086</v>
      </c>
      <c r="H251" s="36">
        <v>12</v>
      </c>
      <c r="I251" s="36">
        <v>93.834782608695647</v>
      </c>
      <c r="J251" s="36">
        <v>9</v>
      </c>
      <c r="K251" s="36">
        <v>83.408695652173918</v>
      </c>
      <c r="L251" s="36">
        <v>8</v>
      </c>
      <c r="M251" s="36">
        <v>145.96521739130435</v>
      </c>
      <c r="N251" s="36">
        <v>14</v>
      </c>
    </row>
    <row r="252" spans="1:14" x14ac:dyDescent="0.35">
      <c r="A252" s="3" t="s">
        <v>14</v>
      </c>
      <c r="B252" s="4">
        <v>102</v>
      </c>
      <c r="C252" s="5">
        <v>32128</v>
      </c>
      <c r="D252" s="3" t="s">
        <v>96</v>
      </c>
      <c r="E252" s="16">
        <v>18.989999999999998</v>
      </c>
      <c r="F252" s="16">
        <v>11</v>
      </c>
      <c r="G252" s="36">
        <v>0</v>
      </c>
      <c r="H252" s="36">
        <v>0</v>
      </c>
      <c r="I252" s="36">
        <v>0</v>
      </c>
      <c r="J252" s="36">
        <v>0</v>
      </c>
      <c r="K252" s="36">
        <v>0</v>
      </c>
      <c r="L252" s="36">
        <v>0</v>
      </c>
      <c r="M252" s="36">
        <v>181.64347826086956</v>
      </c>
      <c r="N252" s="36">
        <v>11</v>
      </c>
    </row>
    <row r="253" spans="1:14" x14ac:dyDescent="0.35">
      <c r="A253" s="3" t="s">
        <v>14</v>
      </c>
      <c r="B253" s="4">
        <v>119</v>
      </c>
      <c r="C253" s="5">
        <v>32130</v>
      </c>
      <c r="D253" s="3" t="s">
        <v>273</v>
      </c>
      <c r="E253" s="16">
        <v>140</v>
      </c>
      <c r="F253" s="16">
        <v>92.6</v>
      </c>
      <c r="G253" s="36">
        <v>0</v>
      </c>
      <c r="H253" s="36">
        <v>0</v>
      </c>
      <c r="I253" s="36">
        <v>0</v>
      </c>
      <c r="J253" s="36">
        <v>0</v>
      </c>
      <c r="K253" s="36">
        <v>0</v>
      </c>
      <c r="L253" s="36">
        <v>0</v>
      </c>
      <c r="M253" s="36">
        <v>0</v>
      </c>
      <c r="N253" s="36">
        <v>0</v>
      </c>
    </row>
    <row r="254" spans="1:14" x14ac:dyDescent="0.35">
      <c r="A254" s="3" t="s">
        <v>14</v>
      </c>
      <c r="B254" s="4">
        <v>102</v>
      </c>
      <c r="C254" s="5">
        <v>32131</v>
      </c>
      <c r="D254" s="3" t="s">
        <v>94</v>
      </c>
      <c r="E254" s="16">
        <v>18.989999999999998</v>
      </c>
      <c r="F254" s="16">
        <v>9.1300000000000008</v>
      </c>
      <c r="G254" s="36">
        <v>0</v>
      </c>
      <c r="H254" s="36">
        <v>0</v>
      </c>
      <c r="I254" s="36">
        <v>0</v>
      </c>
      <c r="J254" s="36">
        <v>0</v>
      </c>
      <c r="K254" s="36">
        <v>115.5913043478261</v>
      </c>
      <c r="L254" s="36">
        <v>7</v>
      </c>
      <c r="M254" s="36">
        <v>280.7217391304348</v>
      </c>
      <c r="N254" s="36">
        <v>17</v>
      </c>
    </row>
    <row r="255" spans="1:14" x14ac:dyDescent="0.35">
      <c r="A255" s="3" t="s">
        <v>356</v>
      </c>
      <c r="B255" s="4">
        <v>101</v>
      </c>
      <c r="C255" s="5">
        <v>32136</v>
      </c>
      <c r="D255" s="3" t="s">
        <v>357</v>
      </c>
      <c r="E255" s="16">
        <v>22.99</v>
      </c>
      <c r="F255" s="16">
        <v>7.89</v>
      </c>
      <c r="G255" s="36">
        <v>0</v>
      </c>
      <c r="H255" s="36">
        <v>0</v>
      </c>
      <c r="I255" s="36">
        <v>0</v>
      </c>
      <c r="J255" s="36">
        <v>0</v>
      </c>
      <c r="K255" s="36">
        <v>0</v>
      </c>
      <c r="L255" s="36">
        <v>0</v>
      </c>
      <c r="M255" s="36">
        <v>0</v>
      </c>
      <c r="N255" s="36">
        <v>0</v>
      </c>
    </row>
    <row r="256" spans="1:14" x14ac:dyDescent="0.35">
      <c r="A256" s="3" t="s">
        <v>356</v>
      </c>
      <c r="B256" s="4">
        <v>102</v>
      </c>
      <c r="C256" s="5">
        <v>32147</v>
      </c>
      <c r="D256" s="3" t="s">
        <v>358</v>
      </c>
      <c r="E256" s="16">
        <v>250</v>
      </c>
      <c r="F256" s="16">
        <v>92.73</v>
      </c>
      <c r="G256" s="36">
        <v>0</v>
      </c>
      <c r="H256" s="36">
        <v>0</v>
      </c>
      <c r="I256" s="36">
        <v>0</v>
      </c>
      <c r="J256" s="36">
        <v>0</v>
      </c>
      <c r="K256" s="36">
        <v>0</v>
      </c>
      <c r="L256" s="36">
        <v>0</v>
      </c>
      <c r="M256" s="36">
        <v>0</v>
      </c>
      <c r="N256" s="36">
        <v>0</v>
      </c>
    </row>
    <row r="257" spans="1:14" x14ac:dyDescent="0.35">
      <c r="A257" s="3" t="s">
        <v>14</v>
      </c>
      <c r="B257" s="4">
        <v>102</v>
      </c>
      <c r="C257" s="5">
        <v>32149</v>
      </c>
      <c r="D257" s="3" t="s">
        <v>118</v>
      </c>
      <c r="E257" s="16">
        <v>24.99</v>
      </c>
      <c r="F257" s="16">
        <v>13</v>
      </c>
      <c r="G257" s="36">
        <v>0</v>
      </c>
      <c r="H257" s="36">
        <v>0</v>
      </c>
      <c r="I257" s="36">
        <v>0</v>
      </c>
      <c r="J257" s="36">
        <v>0</v>
      </c>
      <c r="K257" s="36">
        <v>0</v>
      </c>
      <c r="L257" s="36">
        <v>0</v>
      </c>
      <c r="M257" s="36">
        <v>86.921739130434773</v>
      </c>
      <c r="N257" s="36">
        <v>4</v>
      </c>
    </row>
    <row r="258" spans="1:14" x14ac:dyDescent="0.35">
      <c r="A258" s="3" t="s">
        <v>14</v>
      </c>
      <c r="B258" s="4">
        <v>102</v>
      </c>
      <c r="C258" s="5">
        <v>32150</v>
      </c>
      <c r="D258" s="3" t="s">
        <v>128</v>
      </c>
      <c r="E258" s="16">
        <v>8.99</v>
      </c>
      <c r="F258" s="16">
        <v>4.53</v>
      </c>
      <c r="G258" s="36">
        <v>0</v>
      </c>
      <c r="H258" s="36">
        <v>0</v>
      </c>
      <c r="I258" s="36">
        <v>0</v>
      </c>
      <c r="J258" s="36">
        <v>0</v>
      </c>
      <c r="K258" s="36">
        <v>0</v>
      </c>
      <c r="L258" s="36">
        <v>0</v>
      </c>
      <c r="M258" s="36">
        <v>0</v>
      </c>
      <c r="N258" s="36">
        <v>0</v>
      </c>
    </row>
    <row r="259" spans="1:14" x14ac:dyDescent="0.35">
      <c r="A259" s="3" t="s">
        <v>14</v>
      </c>
      <c r="B259" s="4">
        <v>102</v>
      </c>
      <c r="C259" s="5">
        <v>32151</v>
      </c>
      <c r="D259" s="3" t="s">
        <v>164</v>
      </c>
      <c r="E259" s="16">
        <v>12.99</v>
      </c>
      <c r="F259" s="16">
        <v>6.88</v>
      </c>
      <c r="G259" s="36">
        <v>0</v>
      </c>
      <c r="H259" s="36">
        <v>0</v>
      </c>
      <c r="I259" s="36">
        <v>0</v>
      </c>
      <c r="J259" s="36">
        <v>0</v>
      </c>
      <c r="K259" s="36">
        <v>0</v>
      </c>
      <c r="L259" s="36">
        <v>0</v>
      </c>
      <c r="M259" s="36">
        <v>0</v>
      </c>
      <c r="N259" s="36">
        <v>0</v>
      </c>
    </row>
    <row r="260" spans="1:14" x14ac:dyDescent="0.35">
      <c r="A260" s="3" t="s">
        <v>14</v>
      </c>
      <c r="B260" s="4">
        <v>102</v>
      </c>
      <c r="C260" s="5">
        <v>32152</v>
      </c>
      <c r="D260" s="3" t="s">
        <v>100</v>
      </c>
      <c r="E260" s="16">
        <v>12.99</v>
      </c>
      <c r="F260" s="16">
        <v>6.77</v>
      </c>
      <c r="G260" s="36">
        <v>67.77391304347826</v>
      </c>
      <c r="H260" s="36">
        <v>6</v>
      </c>
      <c r="I260" s="36">
        <v>22.591304347826089</v>
      </c>
      <c r="J260" s="36">
        <v>2</v>
      </c>
      <c r="K260" s="36">
        <v>56.478260869565219</v>
      </c>
      <c r="L260" s="36">
        <v>5</v>
      </c>
      <c r="M260" s="36">
        <v>33.88695652173913</v>
      </c>
      <c r="N260" s="36">
        <v>3</v>
      </c>
    </row>
    <row r="261" spans="1:14" x14ac:dyDescent="0.35">
      <c r="A261" s="3" t="s">
        <v>14</v>
      </c>
      <c r="B261" s="4">
        <v>102</v>
      </c>
      <c r="C261" s="5">
        <v>32153</v>
      </c>
      <c r="D261" s="3" t="s">
        <v>102</v>
      </c>
      <c r="E261" s="16">
        <v>8.99</v>
      </c>
      <c r="F261" s="16">
        <v>4.5599999999999996</v>
      </c>
      <c r="G261" s="36">
        <v>46.904347826086955</v>
      </c>
      <c r="H261" s="36">
        <v>6</v>
      </c>
      <c r="I261" s="36">
        <v>62.539130434782606</v>
      </c>
      <c r="J261" s="36">
        <v>8</v>
      </c>
      <c r="K261" s="36">
        <v>39.086956521739133</v>
      </c>
      <c r="L261" s="36">
        <v>5</v>
      </c>
      <c r="M261" s="36">
        <v>109.44347826086957</v>
      </c>
      <c r="N261" s="36">
        <v>14</v>
      </c>
    </row>
    <row r="262" spans="1:14" x14ac:dyDescent="0.35">
      <c r="A262" s="3" t="s">
        <v>14</v>
      </c>
      <c r="B262" s="4">
        <v>102</v>
      </c>
      <c r="C262" s="5">
        <v>32155</v>
      </c>
      <c r="D262" s="3" t="s">
        <v>171</v>
      </c>
      <c r="E262" s="16">
        <v>11.99</v>
      </c>
      <c r="F262" s="16">
        <v>5.87</v>
      </c>
      <c r="G262" s="36">
        <v>0</v>
      </c>
      <c r="H262" s="36">
        <v>0</v>
      </c>
      <c r="I262" s="36">
        <v>0</v>
      </c>
      <c r="J262" s="36">
        <v>0</v>
      </c>
      <c r="K262" s="36">
        <v>0</v>
      </c>
      <c r="L262" s="36">
        <v>0</v>
      </c>
      <c r="M262" s="36">
        <v>0</v>
      </c>
      <c r="N262" s="36">
        <v>0</v>
      </c>
    </row>
    <row r="263" spans="1:14" x14ac:dyDescent="0.35">
      <c r="A263" s="3" t="s">
        <v>359</v>
      </c>
      <c r="B263" s="4">
        <v>102</v>
      </c>
      <c r="C263" s="5">
        <v>32853</v>
      </c>
      <c r="D263" s="3" t="s">
        <v>360</v>
      </c>
      <c r="E263" s="16">
        <v>25.99</v>
      </c>
      <c r="F263" s="16">
        <v>8.5</v>
      </c>
      <c r="G263" s="36">
        <v>0</v>
      </c>
      <c r="H263" s="36">
        <v>0</v>
      </c>
      <c r="I263" s="36">
        <v>0</v>
      </c>
      <c r="J263" s="36">
        <v>0</v>
      </c>
      <c r="K263" s="36">
        <v>0</v>
      </c>
      <c r="L263" s="36">
        <v>0</v>
      </c>
      <c r="M263" s="36">
        <v>0</v>
      </c>
      <c r="N263" s="36">
        <v>0</v>
      </c>
    </row>
    <row r="264" spans="1:14" x14ac:dyDescent="0.35">
      <c r="A264" s="3" t="s">
        <v>14</v>
      </c>
      <c r="B264" s="4">
        <v>102</v>
      </c>
      <c r="C264" s="5">
        <v>32855</v>
      </c>
      <c r="D264" s="3" t="s">
        <v>110</v>
      </c>
      <c r="E264" s="16">
        <v>17.989999999999998</v>
      </c>
      <c r="F264" s="16">
        <v>9.14</v>
      </c>
      <c r="G264" s="36">
        <v>46.930434782608693</v>
      </c>
      <c r="H264" s="36">
        <v>3</v>
      </c>
      <c r="I264" s="36">
        <v>31.286956521739128</v>
      </c>
      <c r="J264" s="36">
        <v>2</v>
      </c>
      <c r="K264" s="36">
        <v>46.930434782608693</v>
      </c>
      <c r="L264" s="36">
        <v>3</v>
      </c>
      <c r="M264" s="36">
        <v>15.643478260869564</v>
      </c>
      <c r="N264" s="36">
        <v>1</v>
      </c>
    </row>
    <row r="265" spans="1:14" x14ac:dyDescent="0.35">
      <c r="A265" s="3" t="s">
        <v>14</v>
      </c>
      <c r="B265" s="4">
        <v>102</v>
      </c>
      <c r="C265" s="5">
        <v>32857</v>
      </c>
      <c r="D265" s="3" t="s">
        <v>127</v>
      </c>
      <c r="E265" s="16">
        <v>130</v>
      </c>
      <c r="F265" s="16">
        <v>68.680000000000007</v>
      </c>
      <c r="G265" s="36">
        <v>113.04347826086956</v>
      </c>
      <c r="H265" s="36">
        <v>1</v>
      </c>
      <c r="I265" s="36">
        <v>0</v>
      </c>
      <c r="J265" s="36">
        <v>0</v>
      </c>
      <c r="K265" s="36">
        <v>113.04347826086956</v>
      </c>
      <c r="L265" s="36">
        <v>1</v>
      </c>
      <c r="M265" s="36">
        <v>0</v>
      </c>
      <c r="N265" s="36">
        <v>0</v>
      </c>
    </row>
    <row r="266" spans="1:14" x14ac:dyDescent="0.35">
      <c r="A266" s="3" t="s">
        <v>14</v>
      </c>
      <c r="B266" s="4">
        <v>101</v>
      </c>
      <c r="C266" s="5">
        <v>32858</v>
      </c>
      <c r="D266" s="3" t="s">
        <v>34</v>
      </c>
      <c r="E266" s="16">
        <v>3.8</v>
      </c>
      <c r="F266" s="16">
        <v>1.3</v>
      </c>
      <c r="G266" s="36">
        <v>19.826086956521738</v>
      </c>
      <c r="H266" s="36">
        <v>6</v>
      </c>
      <c r="I266" s="36">
        <v>102.43478260869566</v>
      </c>
      <c r="J266" s="36">
        <v>31</v>
      </c>
      <c r="K266" s="36">
        <v>194.46086956521739</v>
      </c>
      <c r="L266" s="36">
        <v>59</v>
      </c>
      <c r="M266" s="36">
        <v>29.739130434782609</v>
      </c>
      <c r="N266" s="36">
        <v>9</v>
      </c>
    </row>
    <row r="267" spans="1:14" x14ac:dyDescent="0.35">
      <c r="A267" s="3" t="s">
        <v>14</v>
      </c>
      <c r="B267" s="4">
        <v>101</v>
      </c>
      <c r="C267" s="5">
        <v>32859</v>
      </c>
      <c r="D267" s="3" t="s">
        <v>20</v>
      </c>
      <c r="E267" s="16">
        <v>20.99</v>
      </c>
      <c r="F267" s="16">
        <v>7.46</v>
      </c>
      <c r="G267" s="36">
        <v>146.01739130434785</v>
      </c>
      <c r="H267" s="36">
        <v>8</v>
      </c>
      <c r="I267" s="36">
        <v>200.77391304347827</v>
      </c>
      <c r="J267" s="36">
        <v>11</v>
      </c>
      <c r="K267" s="36">
        <v>177.97391304347826</v>
      </c>
      <c r="L267" s="36">
        <v>10</v>
      </c>
      <c r="M267" s="36">
        <v>219.02608695652174</v>
      </c>
      <c r="N267" s="36">
        <v>12</v>
      </c>
    </row>
    <row r="268" spans="1:14" x14ac:dyDescent="0.35">
      <c r="A268" s="3" t="s">
        <v>14</v>
      </c>
      <c r="B268" s="4">
        <v>101</v>
      </c>
      <c r="C268" s="5">
        <v>32860</v>
      </c>
      <c r="D268" s="3" t="s">
        <v>16</v>
      </c>
      <c r="E268" s="16">
        <v>18</v>
      </c>
      <c r="F268" s="16">
        <v>8.44</v>
      </c>
      <c r="G268" s="36">
        <v>365.04347826086956</v>
      </c>
      <c r="H268" s="36">
        <v>20</v>
      </c>
      <c r="I268" s="36">
        <v>200.77391304347825</v>
      </c>
      <c r="J268" s="36">
        <v>11</v>
      </c>
      <c r="K268" s="36">
        <v>199.8608695652174</v>
      </c>
      <c r="L268" s="36">
        <v>11</v>
      </c>
      <c r="M268" s="36">
        <v>419.79999999999995</v>
      </c>
      <c r="N268" s="36">
        <v>23</v>
      </c>
    </row>
    <row r="269" spans="1:14" x14ac:dyDescent="0.35">
      <c r="A269" s="3" t="s">
        <v>14</v>
      </c>
      <c r="B269" s="4">
        <v>101</v>
      </c>
      <c r="C269" s="5">
        <v>32862</v>
      </c>
      <c r="D269" s="3" t="s">
        <v>68</v>
      </c>
      <c r="E269" s="16">
        <v>9.99</v>
      </c>
      <c r="F269" s="16">
        <v>5.14</v>
      </c>
      <c r="G269" s="36">
        <v>0</v>
      </c>
      <c r="H269" s="36">
        <v>0</v>
      </c>
      <c r="I269" s="36">
        <v>0</v>
      </c>
      <c r="J269" s="36">
        <v>0</v>
      </c>
      <c r="K269" s="36">
        <v>0</v>
      </c>
      <c r="L269" s="36">
        <v>0</v>
      </c>
      <c r="M269" s="36">
        <v>0</v>
      </c>
      <c r="N269" s="36">
        <v>0</v>
      </c>
    </row>
    <row r="270" spans="1:14" x14ac:dyDescent="0.35">
      <c r="A270" s="3" t="s">
        <v>107</v>
      </c>
      <c r="B270" s="4">
        <v>102</v>
      </c>
      <c r="C270" s="5">
        <v>32863</v>
      </c>
      <c r="D270" s="3" t="s">
        <v>109</v>
      </c>
      <c r="E270" s="16">
        <v>17.989999999999998</v>
      </c>
      <c r="F270" s="16">
        <v>9.4</v>
      </c>
      <c r="G270" s="36">
        <v>78.217391304347828</v>
      </c>
      <c r="H270" s="36">
        <v>5</v>
      </c>
      <c r="I270" s="36">
        <v>62.573913043478257</v>
      </c>
      <c r="J270" s="36">
        <v>4</v>
      </c>
      <c r="K270" s="36">
        <v>15.643478260869564</v>
      </c>
      <c r="L270" s="36">
        <v>1</v>
      </c>
      <c r="M270" s="36">
        <v>93.860869565217385</v>
      </c>
      <c r="N270" s="36">
        <v>6</v>
      </c>
    </row>
    <row r="271" spans="1:14" x14ac:dyDescent="0.35">
      <c r="A271" s="3" t="s">
        <v>107</v>
      </c>
      <c r="B271" s="4">
        <v>102</v>
      </c>
      <c r="C271" s="5">
        <v>32864</v>
      </c>
      <c r="D271" s="3" t="s">
        <v>108</v>
      </c>
      <c r="E271" s="16">
        <v>9.99</v>
      </c>
      <c r="F271" s="16">
        <v>5</v>
      </c>
      <c r="G271" s="36">
        <v>0</v>
      </c>
      <c r="H271" s="36">
        <v>0</v>
      </c>
      <c r="I271" s="36">
        <v>34.747826086956522</v>
      </c>
      <c r="J271" s="36">
        <v>4</v>
      </c>
      <c r="K271" s="36">
        <v>43.434782608695656</v>
      </c>
      <c r="L271" s="36">
        <v>5</v>
      </c>
      <c r="M271" s="36">
        <v>17.373913043478261</v>
      </c>
      <c r="N271" s="36">
        <v>2</v>
      </c>
    </row>
    <row r="272" spans="1:14" x14ac:dyDescent="0.35">
      <c r="A272" s="3" t="s">
        <v>14</v>
      </c>
      <c r="B272" s="4">
        <v>102</v>
      </c>
      <c r="C272" s="5">
        <v>32868</v>
      </c>
      <c r="D272" s="3" t="s">
        <v>175</v>
      </c>
      <c r="E272" s="16">
        <v>5.99</v>
      </c>
      <c r="F272" s="16">
        <v>3.31</v>
      </c>
      <c r="G272" s="36">
        <v>0</v>
      </c>
      <c r="H272" s="36">
        <v>0</v>
      </c>
      <c r="I272" s="36">
        <v>0</v>
      </c>
      <c r="J272" s="36">
        <v>0</v>
      </c>
      <c r="K272" s="36">
        <v>0</v>
      </c>
      <c r="L272" s="36">
        <v>0</v>
      </c>
      <c r="M272" s="36">
        <v>0</v>
      </c>
      <c r="N272" s="36">
        <v>0</v>
      </c>
    </row>
    <row r="273" spans="1:14" x14ac:dyDescent="0.35">
      <c r="A273" s="3" t="s">
        <v>14</v>
      </c>
      <c r="B273" s="4">
        <v>102</v>
      </c>
      <c r="C273" s="5">
        <v>32869</v>
      </c>
      <c r="D273" s="3" t="s">
        <v>139</v>
      </c>
      <c r="E273" s="16">
        <v>3.5</v>
      </c>
      <c r="F273" s="16">
        <v>2.12</v>
      </c>
      <c r="G273" s="36">
        <v>0</v>
      </c>
      <c r="H273" s="36">
        <v>0</v>
      </c>
      <c r="I273" s="36">
        <v>0</v>
      </c>
      <c r="J273" s="36">
        <v>0</v>
      </c>
      <c r="K273" s="36">
        <v>0</v>
      </c>
      <c r="L273" s="36">
        <v>0</v>
      </c>
      <c r="M273" s="36">
        <v>0</v>
      </c>
      <c r="N273" s="36">
        <v>0</v>
      </c>
    </row>
    <row r="274" spans="1:14" x14ac:dyDescent="0.35">
      <c r="A274" s="3" t="s">
        <v>14</v>
      </c>
      <c r="B274" s="4">
        <v>101</v>
      </c>
      <c r="C274" s="5">
        <v>32871</v>
      </c>
      <c r="D274" s="3" t="s">
        <v>73</v>
      </c>
      <c r="E274" s="16">
        <v>8.99</v>
      </c>
      <c r="F274" s="16">
        <v>5</v>
      </c>
      <c r="G274" s="36">
        <v>0</v>
      </c>
      <c r="H274" s="36">
        <v>0</v>
      </c>
      <c r="I274" s="36">
        <v>0</v>
      </c>
      <c r="J274" s="36">
        <v>0</v>
      </c>
      <c r="K274" s="36">
        <v>0</v>
      </c>
      <c r="L274" s="36">
        <v>0</v>
      </c>
      <c r="M274" s="36">
        <v>0</v>
      </c>
      <c r="N274" s="36">
        <v>0</v>
      </c>
    </row>
    <row r="275" spans="1:14" x14ac:dyDescent="0.35">
      <c r="A275" s="3" t="s">
        <v>14</v>
      </c>
      <c r="B275" s="4">
        <v>102</v>
      </c>
      <c r="C275" s="5">
        <v>32872</v>
      </c>
      <c r="D275" s="3" t="s">
        <v>98</v>
      </c>
      <c r="E275" s="16">
        <v>29.99</v>
      </c>
      <c r="F275" s="16">
        <v>11.79</v>
      </c>
      <c r="G275" s="36">
        <v>69.547826086956519</v>
      </c>
      <c r="H275" s="36">
        <v>2</v>
      </c>
      <c r="I275" s="36">
        <v>0</v>
      </c>
      <c r="J275" s="36">
        <v>0</v>
      </c>
      <c r="K275" s="36">
        <v>206.01739130434783</v>
      </c>
      <c r="L275" s="36">
        <v>8</v>
      </c>
      <c r="M275" s="36">
        <v>286.8608695652174</v>
      </c>
      <c r="N275" s="36">
        <v>11</v>
      </c>
    </row>
    <row r="276" spans="1:14" x14ac:dyDescent="0.35">
      <c r="A276" s="3" t="s">
        <v>356</v>
      </c>
      <c r="B276" s="4">
        <v>102</v>
      </c>
      <c r="C276" s="5">
        <v>33011</v>
      </c>
      <c r="D276" s="3" t="s">
        <v>361</v>
      </c>
      <c r="E276" s="16">
        <v>3.99</v>
      </c>
      <c r="F276" s="16">
        <v>2.83</v>
      </c>
      <c r="G276" s="36">
        <v>41.634782608695652</v>
      </c>
      <c r="H276" s="36">
        <v>12</v>
      </c>
      <c r="I276" s="36">
        <v>0</v>
      </c>
      <c r="J276" s="36">
        <v>0</v>
      </c>
      <c r="K276" s="36">
        <v>0</v>
      </c>
      <c r="L276" s="36">
        <v>0</v>
      </c>
      <c r="M276" s="36">
        <v>0</v>
      </c>
      <c r="N276" s="36">
        <v>0</v>
      </c>
    </row>
    <row r="277" spans="1:14" x14ac:dyDescent="0.35">
      <c r="A277" s="3" t="s">
        <v>14</v>
      </c>
      <c r="B277" s="4">
        <v>102</v>
      </c>
      <c r="C277" s="5">
        <v>33012</v>
      </c>
      <c r="D277" s="3" t="s">
        <v>149</v>
      </c>
      <c r="E277" s="16">
        <v>47.99</v>
      </c>
      <c r="F277" s="16">
        <v>27.08</v>
      </c>
      <c r="G277" s="36">
        <v>0</v>
      </c>
      <c r="H277" s="36">
        <v>0</v>
      </c>
      <c r="I277" s="36">
        <v>0</v>
      </c>
      <c r="J277" s="36">
        <v>0</v>
      </c>
      <c r="K277" s="36">
        <v>0</v>
      </c>
      <c r="L277" s="36">
        <v>0</v>
      </c>
      <c r="M277" s="36">
        <v>0</v>
      </c>
      <c r="N277" s="36">
        <v>0</v>
      </c>
    </row>
    <row r="278" spans="1:14" x14ac:dyDescent="0.35">
      <c r="A278" s="3" t="s">
        <v>14</v>
      </c>
      <c r="B278" s="4">
        <v>102</v>
      </c>
      <c r="C278" s="5">
        <v>33013</v>
      </c>
      <c r="D278" s="3" t="s">
        <v>148</v>
      </c>
      <c r="E278" s="16">
        <v>5.99</v>
      </c>
      <c r="F278" s="16">
        <v>3.1</v>
      </c>
      <c r="G278" s="36">
        <v>0</v>
      </c>
      <c r="H278" s="36">
        <v>0</v>
      </c>
      <c r="I278" s="36">
        <v>15.626086956521739</v>
      </c>
      <c r="J278" s="36">
        <v>3</v>
      </c>
      <c r="K278" s="36">
        <v>0</v>
      </c>
      <c r="L278" s="36">
        <v>0</v>
      </c>
      <c r="M278" s="36">
        <v>0</v>
      </c>
      <c r="N278" s="36">
        <v>0</v>
      </c>
    </row>
    <row r="279" spans="1:14" x14ac:dyDescent="0.35">
      <c r="A279" s="3" t="s">
        <v>14</v>
      </c>
      <c r="B279" s="4">
        <v>119</v>
      </c>
      <c r="C279" s="5">
        <v>33017</v>
      </c>
      <c r="D279" s="3" t="s">
        <v>277</v>
      </c>
      <c r="E279" s="16">
        <v>69.989999999999995</v>
      </c>
      <c r="F279" s="16">
        <v>32.450000000000003</v>
      </c>
      <c r="G279" s="36">
        <v>0</v>
      </c>
      <c r="H279" s="36">
        <v>0</v>
      </c>
      <c r="I279" s="36">
        <v>0</v>
      </c>
      <c r="J279" s="36">
        <v>0</v>
      </c>
      <c r="K279" s="36">
        <v>0</v>
      </c>
      <c r="L279" s="36">
        <v>0</v>
      </c>
      <c r="M279" s="36">
        <v>0</v>
      </c>
      <c r="N279" s="36">
        <v>0</v>
      </c>
    </row>
    <row r="280" spans="1:14" x14ac:dyDescent="0.35">
      <c r="A280" s="3" t="s">
        <v>14</v>
      </c>
      <c r="B280" s="4">
        <v>102</v>
      </c>
      <c r="C280" s="5">
        <v>33019</v>
      </c>
      <c r="D280" s="3" t="s">
        <v>112</v>
      </c>
      <c r="E280" s="16">
        <v>14.99</v>
      </c>
      <c r="F280" s="16">
        <v>5.5</v>
      </c>
      <c r="G280" s="36">
        <v>0</v>
      </c>
      <c r="H280" s="36">
        <v>0</v>
      </c>
      <c r="I280" s="36">
        <v>26.069565217391304</v>
      </c>
      <c r="J280" s="36">
        <v>2</v>
      </c>
      <c r="K280" s="36">
        <v>13.034782608695652</v>
      </c>
      <c r="L280" s="36">
        <v>1</v>
      </c>
      <c r="M280" s="36">
        <v>104.27826086956522</v>
      </c>
      <c r="N280" s="36">
        <v>8</v>
      </c>
    </row>
    <row r="281" spans="1:14" x14ac:dyDescent="0.35">
      <c r="A281" s="3" t="s">
        <v>14</v>
      </c>
      <c r="B281" s="4">
        <v>118</v>
      </c>
      <c r="C281" s="5">
        <v>33021</v>
      </c>
      <c r="D281" s="3" t="s">
        <v>263</v>
      </c>
      <c r="E281" s="16">
        <v>130</v>
      </c>
      <c r="F281" s="16">
        <v>64.900000000000006</v>
      </c>
      <c r="G281" s="36">
        <v>0</v>
      </c>
      <c r="H281" s="36">
        <v>0</v>
      </c>
      <c r="I281" s="36">
        <v>0</v>
      </c>
      <c r="J281" s="36">
        <v>0</v>
      </c>
      <c r="K281" s="36">
        <v>0</v>
      </c>
      <c r="L281" s="36">
        <v>0</v>
      </c>
      <c r="M281" s="36">
        <v>0</v>
      </c>
      <c r="N281" s="36">
        <v>0</v>
      </c>
    </row>
    <row r="282" spans="1:14" x14ac:dyDescent="0.35">
      <c r="A282" s="3" t="s">
        <v>14</v>
      </c>
      <c r="B282" s="4">
        <v>102</v>
      </c>
      <c r="C282" s="5">
        <v>33023</v>
      </c>
      <c r="D282" s="3" t="s">
        <v>113</v>
      </c>
      <c r="E282" s="16">
        <v>19.989999999999998</v>
      </c>
      <c r="F282" s="16">
        <v>10.23</v>
      </c>
      <c r="G282" s="36">
        <v>0</v>
      </c>
      <c r="H282" s="36">
        <v>0</v>
      </c>
      <c r="I282" s="36">
        <v>0</v>
      </c>
      <c r="J282" s="36">
        <v>0</v>
      </c>
      <c r="K282" s="36">
        <v>0</v>
      </c>
      <c r="L282" s="36">
        <v>0</v>
      </c>
      <c r="M282" s="36">
        <v>17.382608695652173</v>
      </c>
      <c r="N282" s="36">
        <v>1</v>
      </c>
    </row>
    <row r="283" spans="1:14" x14ac:dyDescent="0.35">
      <c r="A283" s="3" t="s">
        <v>14</v>
      </c>
      <c r="B283" s="4">
        <v>102</v>
      </c>
      <c r="C283" s="5">
        <v>33025</v>
      </c>
      <c r="D283" s="3" t="s">
        <v>121</v>
      </c>
      <c r="E283" s="16">
        <v>5.99</v>
      </c>
      <c r="F283" s="16">
        <v>2.95</v>
      </c>
      <c r="G283" s="36">
        <v>0</v>
      </c>
      <c r="H283" s="36">
        <v>0</v>
      </c>
      <c r="I283" s="36">
        <v>0</v>
      </c>
      <c r="J283" s="36">
        <v>0</v>
      </c>
      <c r="K283" s="36">
        <v>0</v>
      </c>
      <c r="L283" s="36">
        <v>0</v>
      </c>
      <c r="M283" s="36">
        <v>0</v>
      </c>
      <c r="N283" s="36">
        <v>0</v>
      </c>
    </row>
    <row r="284" spans="1:14" x14ac:dyDescent="0.35">
      <c r="A284" s="3" t="s">
        <v>14</v>
      </c>
      <c r="B284" s="4">
        <v>101</v>
      </c>
      <c r="C284" s="5">
        <v>33027</v>
      </c>
      <c r="D284" s="3" t="s">
        <v>85</v>
      </c>
      <c r="E284" s="16">
        <v>19.989999999999998</v>
      </c>
      <c r="F284" s="16">
        <v>7.94</v>
      </c>
      <c r="G284" s="36">
        <v>0</v>
      </c>
      <c r="H284" s="36">
        <v>0</v>
      </c>
      <c r="I284" s="36">
        <v>0</v>
      </c>
      <c r="J284" s="36">
        <v>0</v>
      </c>
      <c r="K284" s="36">
        <v>0</v>
      </c>
      <c r="L284" s="36">
        <v>0</v>
      </c>
      <c r="M284" s="36">
        <v>0</v>
      </c>
      <c r="N284" s="36">
        <v>0</v>
      </c>
    </row>
    <row r="285" spans="1:14" x14ac:dyDescent="0.35">
      <c r="A285" s="3" t="s">
        <v>14</v>
      </c>
      <c r="B285" s="4">
        <v>102</v>
      </c>
      <c r="C285" s="5">
        <v>33031</v>
      </c>
      <c r="D285" s="3" t="s">
        <v>97</v>
      </c>
      <c r="E285" s="16">
        <v>17.989999999999998</v>
      </c>
      <c r="F285" s="16">
        <v>9.1199999999999992</v>
      </c>
      <c r="G285" s="36">
        <v>140.7913043478261</v>
      </c>
      <c r="H285" s="36">
        <v>9</v>
      </c>
      <c r="I285" s="36">
        <v>0</v>
      </c>
      <c r="J285" s="36">
        <v>0</v>
      </c>
      <c r="K285" s="36">
        <v>0</v>
      </c>
      <c r="L285" s="36">
        <v>0</v>
      </c>
      <c r="M285" s="36">
        <v>46.930434782608693</v>
      </c>
      <c r="N285" s="36">
        <v>3</v>
      </c>
    </row>
    <row r="286" spans="1:14" x14ac:dyDescent="0.35">
      <c r="A286" s="3" t="s">
        <v>35</v>
      </c>
      <c r="B286" s="4">
        <v>102</v>
      </c>
      <c r="C286" s="5">
        <v>33032</v>
      </c>
      <c r="D286" s="3" t="s">
        <v>160</v>
      </c>
      <c r="E286" s="16">
        <v>28.99</v>
      </c>
      <c r="F286" s="16">
        <v>14.612666666666666</v>
      </c>
      <c r="G286" s="36">
        <v>0</v>
      </c>
      <c r="H286" s="36">
        <v>0</v>
      </c>
      <c r="I286" s="36">
        <v>0</v>
      </c>
      <c r="J286" s="36">
        <v>0</v>
      </c>
      <c r="K286" s="36">
        <v>25.208695652173912</v>
      </c>
      <c r="L286" s="36">
        <v>1</v>
      </c>
      <c r="M286" s="36">
        <v>75.626086956521732</v>
      </c>
      <c r="N286" s="36">
        <v>3</v>
      </c>
    </row>
    <row r="287" spans="1:14" x14ac:dyDescent="0.35">
      <c r="A287" s="3" t="s">
        <v>14</v>
      </c>
      <c r="B287" s="4">
        <v>102</v>
      </c>
      <c r="C287" s="5">
        <v>33036</v>
      </c>
      <c r="D287" s="3" t="s">
        <v>119</v>
      </c>
      <c r="E287" s="16">
        <v>400</v>
      </c>
      <c r="F287" s="16">
        <v>204.01</v>
      </c>
      <c r="G287" s="36">
        <v>0</v>
      </c>
      <c r="H287" s="36">
        <v>0</v>
      </c>
      <c r="I287" s="36">
        <v>0</v>
      </c>
      <c r="J287" s="36">
        <v>0</v>
      </c>
      <c r="K287" s="36">
        <v>0</v>
      </c>
      <c r="L287" s="36">
        <v>0</v>
      </c>
      <c r="M287" s="36">
        <v>0</v>
      </c>
      <c r="N287" s="36">
        <v>0</v>
      </c>
    </row>
    <row r="288" spans="1:14" x14ac:dyDescent="0.35">
      <c r="A288" s="3" t="s">
        <v>14</v>
      </c>
      <c r="B288" s="4">
        <v>119</v>
      </c>
      <c r="C288" s="5">
        <v>33037</v>
      </c>
      <c r="D288" s="3" t="s">
        <v>274</v>
      </c>
      <c r="E288" s="16">
        <v>59.99</v>
      </c>
      <c r="F288" s="16">
        <v>23.44</v>
      </c>
      <c r="G288" s="36">
        <v>0</v>
      </c>
      <c r="H288" s="36">
        <v>0</v>
      </c>
      <c r="I288" s="36">
        <v>0</v>
      </c>
      <c r="J288" s="36">
        <v>0</v>
      </c>
      <c r="K288" s="36">
        <v>0</v>
      </c>
      <c r="L288" s="36">
        <v>0</v>
      </c>
      <c r="M288" s="36">
        <v>0</v>
      </c>
      <c r="N288" s="36">
        <v>0</v>
      </c>
    </row>
    <row r="289" spans="1:14" x14ac:dyDescent="0.35">
      <c r="A289" s="3" t="s">
        <v>14</v>
      </c>
      <c r="B289" s="4">
        <v>119</v>
      </c>
      <c r="C289" s="5">
        <v>33038</v>
      </c>
      <c r="D289" s="3" t="s">
        <v>272</v>
      </c>
      <c r="E289" s="16">
        <v>35.99</v>
      </c>
      <c r="F289" s="16">
        <v>18</v>
      </c>
      <c r="G289" s="36">
        <v>0</v>
      </c>
      <c r="H289" s="36">
        <v>0</v>
      </c>
      <c r="I289" s="36">
        <v>0</v>
      </c>
      <c r="J289" s="36">
        <v>0</v>
      </c>
      <c r="K289" s="36">
        <v>0</v>
      </c>
      <c r="L289" s="36">
        <v>0</v>
      </c>
      <c r="M289" s="36">
        <v>0</v>
      </c>
      <c r="N289" s="36">
        <v>0</v>
      </c>
    </row>
    <row r="290" spans="1:14" x14ac:dyDescent="0.35">
      <c r="A290" s="3" t="s">
        <v>14</v>
      </c>
      <c r="B290" s="4">
        <v>103</v>
      </c>
      <c r="C290" s="5">
        <v>33040</v>
      </c>
      <c r="D290" s="3" t="s">
        <v>210</v>
      </c>
      <c r="E290" s="16">
        <v>30</v>
      </c>
      <c r="F290" s="16">
        <v>18.260000000000002</v>
      </c>
      <c r="G290" s="36">
        <v>0</v>
      </c>
      <c r="H290" s="36">
        <v>0</v>
      </c>
      <c r="I290" s="36">
        <v>0</v>
      </c>
      <c r="J290" s="36">
        <v>0</v>
      </c>
      <c r="K290" s="36">
        <v>0</v>
      </c>
      <c r="L290" s="36">
        <v>0</v>
      </c>
      <c r="M290" s="36">
        <v>0</v>
      </c>
      <c r="N290" s="36">
        <v>0</v>
      </c>
    </row>
    <row r="291" spans="1:14" x14ac:dyDescent="0.35">
      <c r="A291" s="3" t="s">
        <v>14</v>
      </c>
      <c r="B291" s="4">
        <v>103</v>
      </c>
      <c r="C291" s="5">
        <v>33041</v>
      </c>
      <c r="D291" s="3" t="s">
        <v>222</v>
      </c>
      <c r="E291" s="16">
        <v>10</v>
      </c>
      <c r="F291" s="16">
        <v>1.5</v>
      </c>
      <c r="G291" s="36">
        <v>0</v>
      </c>
      <c r="H291" s="36">
        <v>0</v>
      </c>
      <c r="I291" s="36">
        <v>0</v>
      </c>
      <c r="J291" s="36">
        <v>0</v>
      </c>
      <c r="K291" s="36">
        <v>0</v>
      </c>
      <c r="L291" s="36">
        <v>0</v>
      </c>
      <c r="M291" s="36">
        <v>0</v>
      </c>
      <c r="N291" s="36">
        <v>0</v>
      </c>
    </row>
    <row r="292" spans="1:14" x14ac:dyDescent="0.35">
      <c r="A292" s="3" t="s">
        <v>14</v>
      </c>
      <c r="B292" s="4">
        <v>103</v>
      </c>
      <c r="C292" s="5">
        <v>33042</v>
      </c>
      <c r="D292" s="3" t="s">
        <v>214</v>
      </c>
      <c r="E292" s="16">
        <v>20</v>
      </c>
      <c r="F292" s="16">
        <v>10.23</v>
      </c>
      <c r="G292" s="36">
        <v>0</v>
      </c>
      <c r="H292" s="36">
        <v>0</v>
      </c>
      <c r="I292" s="36">
        <v>0</v>
      </c>
      <c r="J292" s="36">
        <v>0</v>
      </c>
      <c r="K292" s="36">
        <v>0</v>
      </c>
      <c r="L292" s="36">
        <v>0</v>
      </c>
      <c r="M292" s="36">
        <v>0</v>
      </c>
      <c r="N292" s="36">
        <v>0</v>
      </c>
    </row>
    <row r="293" spans="1:14" x14ac:dyDescent="0.35">
      <c r="A293" s="3" t="s">
        <v>14</v>
      </c>
      <c r="B293" s="4">
        <v>103</v>
      </c>
      <c r="C293" s="5">
        <v>33043</v>
      </c>
      <c r="D293" s="3" t="s">
        <v>223</v>
      </c>
      <c r="E293" s="16">
        <v>15</v>
      </c>
      <c r="F293" s="16">
        <v>4.26</v>
      </c>
      <c r="G293" s="36">
        <v>0</v>
      </c>
      <c r="H293" s="36">
        <v>0</v>
      </c>
      <c r="I293" s="36">
        <v>0</v>
      </c>
      <c r="J293" s="36">
        <v>0</v>
      </c>
      <c r="K293" s="36">
        <v>0</v>
      </c>
      <c r="L293" s="36">
        <v>0</v>
      </c>
      <c r="M293" s="36">
        <v>0</v>
      </c>
      <c r="N293" s="36">
        <v>0</v>
      </c>
    </row>
    <row r="294" spans="1:14" x14ac:dyDescent="0.35">
      <c r="A294" s="3" t="s">
        <v>14</v>
      </c>
      <c r="B294" s="4">
        <v>103</v>
      </c>
      <c r="C294" s="5">
        <v>33044</v>
      </c>
      <c r="D294" s="3" t="s">
        <v>219</v>
      </c>
      <c r="E294" s="16">
        <v>15</v>
      </c>
      <c r="F294" s="16">
        <v>10.23</v>
      </c>
      <c r="G294" s="36">
        <v>0</v>
      </c>
      <c r="H294" s="36">
        <v>0</v>
      </c>
      <c r="I294" s="36">
        <v>0</v>
      </c>
      <c r="J294" s="36">
        <v>0</v>
      </c>
      <c r="K294" s="36">
        <v>0</v>
      </c>
      <c r="L294" s="36">
        <v>0</v>
      </c>
      <c r="M294" s="36">
        <v>0</v>
      </c>
      <c r="N294" s="36">
        <v>0</v>
      </c>
    </row>
    <row r="295" spans="1:14" x14ac:dyDescent="0.35">
      <c r="A295" s="3" t="s">
        <v>14</v>
      </c>
      <c r="B295" s="4">
        <v>103</v>
      </c>
      <c r="C295" s="5">
        <v>33045</v>
      </c>
      <c r="D295" s="3" t="s">
        <v>224</v>
      </c>
      <c r="E295" s="16">
        <v>10</v>
      </c>
      <c r="F295" s="16">
        <v>2.5</v>
      </c>
      <c r="G295" s="36">
        <v>0</v>
      </c>
      <c r="H295" s="36">
        <v>0</v>
      </c>
      <c r="I295" s="36">
        <v>0</v>
      </c>
      <c r="J295" s="36">
        <v>0</v>
      </c>
      <c r="K295" s="36">
        <v>0</v>
      </c>
      <c r="L295" s="36">
        <v>0</v>
      </c>
      <c r="M295" s="36">
        <v>0</v>
      </c>
      <c r="N295" s="36">
        <v>0</v>
      </c>
    </row>
    <row r="296" spans="1:14" x14ac:dyDescent="0.35">
      <c r="A296" s="3" t="s">
        <v>14</v>
      </c>
      <c r="B296" s="4">
        <v>103</v>
      </c>
      <c r="C296" s="5">
        <v>33046</v>
      </c>
      <c r="D296" s="3" t="s">
        <v>225</v>
      </c>
      <c r="E296" s="16">
        <v>10</v>
      </c>
      <c r="F296" s="16">
        <v>3.39</v>
      </c>
      <c r="G296" s="36">
        <v>0</v>
      </c>
      <c r="H296" s="36">
        <v>0</v>
      </c>
      <c r="I296" s="36">
        <v>0</v>
      </c>
      <c r="J296" s="36">
        <v>0</v>
      </c>
      <c r="K296" s="36">
        <v>0</v>
      </c>
      <c r="L296" s="36">
        <v>0</v>
      </c>
      <c r="M296" s="36">
        <v>0</v>
      </c>
      <c r="N296" s="36">
        <v>0</v>
      </c>
    </row>
    <row r="297" spans="1:14" x14ac:dyDescent="0.35">
      <c r="A297" s="3" t="s">
        <v>14</v>
      </c>
      <c r="B297" s="4">
        <v>103</v>
      </c>
      <c r="C297" s="5">
        <v>33047</v>
      </c>
      <c r="D297" s="3" t="s">
        <v>216</v>
      </c>
      <c r="E297" s="16">
        <v>15</v>
      </c>
      <c r="F297" s="16">
        <v>6.99</v>
      </c>
      <c r="G297" s="36">
        <v>0</v>
      </c>
      <c r="H297" s="36">
        <v>0</v>
      </c>
      <c r="I297" s="36">
        <v>0</v>
      </c>
      <c r="J297" s="36">
        <v>0</v>
      </c>
      <c r="K297" s="36">
        <v>0</v>
      </c>
      <c r="L297" s="36">
        <v>0</v>
      </c>
      <c r="M297" s="36">
        <v>0</v>
      </c>
      <c r="N297" s="36">
        <v>0</v>
      </c>
    </row>
    <row r="298" spans="1:14" x14ac:dyDescent="0.35">
      <c r="A298" s="3" t="s">
        <v>14</v>
      </c>
      <c r="B298" s="4">
        <v>103</v>
      </c>
      <c r="C298" s="5">
        <v>33048</v>
      </c>
      <c r="D298" s="3" t="s">
        <v>220</v>
      </c>
      <c r="E298" s="16">
        <v>15</v>
      </c>
      <c r="F298" s="16">
        <v>7.77</v>
      </c>
      <c r="G298" s="36">
        <v>0</v>
      </c>
      <c r="H298" s="36">
        <v>0</v>
      </c>
      <c r="I298" s="36">
        <v>0</v>
      </c>
      <c r="J298" s="36">
        <v>0</v>
      </c>
      <c r="K298" s="36">
        <v>0</v>
      </c>
      <c r="L298" s="36">
        <v>0</v>
      </c>
      <c r="M298" s="36">
        <v>0</v>
      </c>
      <c r="N298" s="36">
        <v>0</v>
      </c>
    </row>
    <row r="299" spans="1:14" x14ac:dyDescent="0.35">
      <c r="A299" s="3" t="s">
        <v>14</v>
      </c>
      <c r="B299" s="4">
        <v>103</v>
      </c>
      <c r="C299" s="5">
        <v>33049</v>
      </c>
      <c r="D299" s="3" t="s">
        <v>226</v>
      </c>
      <c r="E299" s="16">
        <v>10</v>
      </c>
      <c r="F299" s="16">
        <v>2.3199999999999998</v>
      </c>
      <c r="G299" s="36">
        <v>0</v>
      </c>
      <c r="H299" s="36">
        <v>0</v>
      </c>
      <c r="I299" s="36">
        <v>0</v>
      </c>
      <c r="J299" s="36">
        <v>0</v>
      </c>
      <c r="K299" s="36">
        <v>0</v>
      </c>
      <c r="L299" s="36">
        <v>0</v>
      </c>
      <c r="M299" s="36">
        <v>0</v>
      </c>
      <c r="N299" s="36">
        <v>0</v>
      </c>
    </row>
    <row r="300" spans="1:14" x14ac:dyDescent="0.35">
      <c r="A300" s="3" t="s">
        <v>14</v>
      </c>
      <c r="B300" s="4">
        <v>103</v>
      </c>
      <c r="C300" s="5">
        <v>33050</v>
      </c>
      <c r="D300" s="3" t="s">
        <v>227</v>
      </c>
      <c r="E300" s="16">
        <v>10</v>
      </c>
      <c r="F300" s="16">
        <v>4.5599999999999996</v>
      </c>
      <c r="G300" s="36">
        <v>0</v>
      </c>
      <c r="H300" s="36">
        <v>0</v>
      </c>
      <c r="I300" s="36">
        <v>0</v>
      </c>
      <c r="J300" s="36">
        <v>0</v>
      </c>
      <c r="K300" s="36">
        <v>0</v>
      </c>
      <c r="L300" s="36">
        <v>0</v>
      </c>
      <c r="M300" s="36">
        <v>0</v>
      </c>
      <c r="N300" s="36">
        <v>0</v>
      </c>
    </row>
    <row r="301" spans="1:14" x14ac:dyDescent="0.35">
      <c r="A301" s="3" t="s">
        <v>14</v>
      </c>
      <c r="B301" s="4">
        <v>103</v>
      </c>
      <c r="C301" s="5">
        <v>33051</v>
      </c>
      <c r="D301" s="3" t="s">
        <v>221</v>
      </c>
      <c r="E301" s="16">
        <v>10</v>
      </c>
      <c r="F301" s="16">
        <v>5.04</v>
      </c>
      <c r="G301" s="36">
        <v>0</v>
      </c>
      <c r="H301" s="36">
        <v>0</v>
      </c>
      <c r="I301" s="36">
        <v>0</v>
      </c>
      <c r="J301" s="36">
        <v>0</v>
      </c>
      <c r="K301" s="36">
        <v>0</v>
      </c>
      <c r="L301" s="36">
        <v>0</v>
      </c>
      <c r="M301" s="36">
        <v>0</v>
      </c>
      <c r="N301" s="36">
        <v>0</v>
      </c>
    </row>
    <row r="302" spans="1:14" x14ac:dyDescent="0.35">
      <c r="A302" s="3" t="s">
        <v>14</v>
      </c>
      <c r="B302" s="4">
        <v>103</v>
      </c>
      <c r="C302" s="5">
        <v>33988</v>
      </c>
      <c r="D302" s="3" t="s">
        <v>217</v>
      </c>
      <c r="E302" s="16">
        <v>15</v>
      </c>
      <c r="F302" s="16">
        <v>9.1300000000000008</v>
      </c>
      <c r="G302" s="36">
        <v>0</v>
      </c>
      <c r="H302" s="36">
        <v>0</v>
      </c>
      <c r="I302" s="36">
        <v>0</v>
      </c>
      <c r="J302" s="36">
        <v>0</v>
      </c>
      <c r="K302" s="36">
        <v>0</v>
      </c>
      <c r="L302" s="36">
        <v>0</v>
      </c>
      <c r="M302" s="36">
        <v>0</v>
      </c>
      <c r="N302" s="36">
        <v>0</v>
      </c>
    </row>
    <row r="303" spans="1:14" x14ac:dyDescent="0.35">
      <c r="A303" s="3" t="s">
        <v>14</v>
      </c>
      <c r="B303" s="4">
        <v>103</v>
      </c>
      <c r="C303" s="5">
        <v>33989</v>
      </c>
      <c r="D303" s="3" t="s">
        <v>212</v>
      </c>
      <c r="E303" s="16">
        <v>30</v>
      </c>
      <c r="F303" s="16">
        <v>20.81</v>
      </c>
      <c r="G303" s="36">
        <v>0</v>
      </c>
      <c r="H303" s="36">
        <v>0</v>
      </c>
      <c r="I303" s="36">
        <v>0</v>
      </c>
      <c r="J303" s="36">
        <v>0</v>
      </c>
      <c r="K303" s="36">
        <v>0</v>
      </c>
      <c r="L303" s="36">
        <v>0</v>
      </c>
      <c r="M303" s="36">
        <v>0</v>
      </c>
      <c r="N303" s="36">
        <v>0</v>
      </c>
    </row>
    <row r="304" spans="1:14" x14ac:dyDescent="0.35">
      <c r="A304" s="3" t="s">
        <v>14</v>
      </c>
      <c r="B304" s="4">
        <v>103</v>
      </c>
      <c r="C304" s="5">
        <v>33990</v>
      </c>
      <c r="D304" s="3" t="s">
        <v>207</v>
      </c>
      <c r="E304" s="16">
        <v>21.99</v>
      </c>
      <c r="F304" s="16">
        <v>11.11</v>
      </c>
      <c r="G304" s="36">
        <v>0</v>
      </c>
      <c r="H304" s="36">
        <v>0</v>
      </c>
      <c r="I304" s="36">
        <v>0</v>
      </c>
      <c r="J304" s="36">
        <v>0</v>
      </c>
      <c r="K304" s="36">
        <v>0</v>
      </c>
      <c r="L304" s="36">
        <v>0</v>
      </c>
      <c r="M304" s="36">
        <v>0</v>
      </c>
      <c r="N304" s="36">
        <v>0</v>
      </c>
    </row>
    <row r="305" spans="1:14" x14ac:dyDescent="0.35">
      <c r="A305" s="3" t="s">
        <v>14</v>
      </c>
      <c r="B305" s="4">
        <v>118</v>
      </c>
      <c r="C305" s="5">
        <v>33991</v>
      </c>
      <c r="D305" s="3" t="s">
        <v>264</v>
      </c>
      <c r="E305" s="16">
        <v>100</v>
      </c>
      <c r="F305" s="16">
        <v>51.82</v>
      </c>
      <c r="G305" s="36">
        <v>0</v>
      </c>
      <c r="H305" s="36">
        <v>0</v>
      </c>
      <c r="I305" s="36">
        <v>0</v>
      </c>
      <c r="J305" s="36">
        <v>0</v>
      </c>
      <c r="K305" s="36">
        <v>0</v>
      </c>
      <c r="L305" s="36">
        <v>0</v>
      </c>
      <c r="M305" s="36">
        <v>0</v>
      </c>
      <c r="N305" s="36">
        <v>0</v>
      </c>
    </row>
    <row r="306" spans="1:14" x14ac:dyDescent="0.35">
      <c r="A306" s="3" t="s">
        <v>14</v>
      </c>
      <c r="B306" s="4">
        <v>102</v>
      </c>
      <c r="C306" s="5">
        <v>33995</v>
      </c>
      <c r="D306" s="3" t="s">
        <v>91</v>
      </c>
      <c r="E306" s="16">
        <v>15.99</v>
      </c>
      <c r="F306" s="16">
        <v>8.2200000000000006</v>
      </c>
      <c r="G306" s="36">
        <v>278.08695652173913</v>
      </c>
      <c r="H306" s="36">
        <v>20</v>
      </c>
      <c r="I306" s="36">
        <v>97.330434782608705</v>
      </c>
      <c r="J306" s="36">
        <v>7</v>
      </c>
      <c r="K306" s="36">
        <v>97.330434782608705</v>
      </c>
      <c r="L306" s="36">
        <v>7</v>
      </c>
      <c r="M306" s="36">
        <v>139.04347826086956</v>
      </c>
      <c r="N306" s="36">
        <v>10</v>
      </c>
    </row>
    <row r="307" spans="1:14" x14ac:dyDescent="0.35">
      <c r="A307" s="3" t="s">
        <v>14</v>
      </c>
      <c r="B307" s="4">
        <v>101</v>
      </c>
      <c r="C307" s="5">
        <v>33997</v>
      </c>
      <c r="D307" s="3" t="s">
        <v>39</v>
      </c>
      <c r="E307" s="16">
        <v>14.99</v>
      </c>
      <c r="F307" s="16">
        <v>7.62</v>
      </c>
      <c r="G307" s="36">
        <v>39.104347826086958</v>
      </c>
      <c r="H307" s="36">
        <v>3</v>
      </c>
      <c r="I307" s="36">
        <v>52.139130434782608</v>
      </c>
      <c r="J307" s="36">
        <v>4</v>
      </c>
      <c r="K307" s="36">
        <v>39.104347826086958</v>
      </c>
      <c r="L307" s="36">
        <v>3</v>
      </c>
      <c r="M307" s="36">
        <v>143.38260869565215</v>
      </c>
      <c r="N307" s="36">
        <v>11</v>
      </c>
    </row>
    <row r="308" spans="1:14" x14ac:dyDescent="0.35">
      <c r="A308" s="3" t="s">
        <v>14</v>
      </c>
      <c r="B308" s="4">
        <v>119</v>
      </c>
      <c r="C308" s="5">
        <v>34003</v>
      </c>
      <c r="D308" s="3" t="s">
        <v>266</v>
      </c>
      <c r="E308" s="16">
        <v>120</v>
      </c>
      <c r="F308" s="16">
        <v>62.47</v>
      </c>
      <c r="G308" s="36">
        <v>0</v>
      </c>
      <c r="H308" s="36">
        <v>0</v>
      </c>
      <c r="I308" s="36">
        <v>0</v>
      </c>
      <c r="J308" s="36">
        <v>0</v>
      </c>
      <c r="K308" s="36">
        <v>0</v>
      </c>
      <c r="L308" s="36">
        <v>0</v>
      </c>
      <c r="M308" s="36">
        <v>0</v>
      </c>
      <c r="N308" s="36">
        <v>0</v>
      </c>
    </row>
    <row r="309" spans="1:14" x14ac:dyDescent="0.35">
      <c r="A309" s="3" t="s">
        <v>14</v>
      </c>
      <c r="B309" s="4">
        <v>101</v>
      </c>
      <c r="C309" s="5">
        <v>34004</v>
      </c>
      <c r="D309" s="3" t="s">
        <v>50</v>
      </c>
      <c r="E309" s="16">
        <v>1</v>
      </c>
      <c r="F309" s="16">
        <v>0.65</v>
      </c>
      <c r="G309" s="36">
        <v>30.434782608695652</v>
      </c>
      <c r="H309" s="36">
        <v>35</v>
      </c>
      <c r="I309" s="36">
        <v>6.9565217391304346</v>
      </c>
      <c r="J309" s="36">
        <v>8</v>
      </c>
      <c r="K309" s="36">
        <v>13.043478260869565</v>
      </c>
      <c r="L309" s="36">
        <v>15</v>
      </c>
      <c r="M309" s="36">
        <v>16.521739130434781</v>
      </c>
      <c r="N309" s="36">
        <v>19</v>
      </c>
    </row>
    <row r="310" spans="1:14" x14ac:dyDescent="0.35">
      <c r="A310" s="3" t="s">
        <v>14</v>
      </c>
      <c r="B310" s="4">
        <v>101</v>
      </c>
      <c r="C310" s="5">
        <v>34006</v>
      </c>
      <c r="D310" s="3" t="s">
        <v>63</v>
      </c>
      <c r="E310" s="16">
        <v>10.99</v>
      </c>
      <c r="F310" s="16">
        <v>6.3</v>
      </c>
      <c r="G310" s="36">
        <v>0</v>
      </c>
      <c r="H310" s="36">
        <v>0</v>
      </c>
      <c r="I310" s="36">
        <v>0</v>
      </c>
      <c r="J310" s="36">
        <v>0</v>
      </c>
      <c r="K310" s="36">
        <v>0</v>
      </c>
      <c r="L310" s="36">
        <v>0</v>
      </c>
      <c r="M310" s="36">
        <v>0</v>
      </c>
      <c r="N310" s="36">
        <v>0</v>
      </c>
    </row>
    <row r="311" spans="1:14" x14ac:dyDescent="0.35">
      <c r="A311" s="3" t="s">
        <v>14</v>
      </c>
      <c r="B311" s="4">
        <v>102</v>
      </c>
      <c r="C311" s="5">
        <v>34008</v>
      </c>
      <c r="D311" s="3" t="s">
        <v>104</v>
      </c>
      <c r="E311" s="16">
        <v>5.99</v>
      </c>
      <c r="F311" s="16">
        <v>4.32</v>
      </c>
      <c r="G311" s="36">
        <v>72.921739130434787</v>
      </c>
      <c r="H311" s="36">
        <v>14</v>
      </c>
      <c r="I311" s="36">
        <v>67.713043478260872</v>
      </c>
      <c r="J311" s="36">
        <v>13</v>
      </c>
      <c r="K311" s="36">
        <v>83.339130434782618</v>
      </c>
      <c r="L311" s="36">
        <v>16</v>
      </c>
      <c r="M311" s="36">
        <v>83.339130434782618</v>
      </c>
      <c r="N311" s="36">
        <v>16</v>
      </c>
    </row>
    <row r="312" spans="1:14" x14ac:dyDescent="0.35">
      <c r="A312" s="3" t="s">
        <v>14</v>
      </c>
      <c r="B312" s="4">
        <v>101</v>
      </c>
      <c r="C312" s="5">
        <v>34011</v>
      </c>
      <c r="D312" s="3" t="s">
        <v>66</v>
      </c>
      <c r="E312" s="16">
        <v>19.989999999999998</v>
      </c>
      <c r="F312" s="16">
        <v>2.63</v>
      </c>
      <c r="G312" s="36">
        <v>0</v>
      </c>
      <c r="H312" s="36">
        <v>0</v>
      </c>
      <c r="I312" s="36">
        <v>0</v>
      </c>
      <c r="J312" s="36">
        <v>0</v>
      </c>
      <c r="K312" s="36">
        <v>17.382608695652173</v>
      </c>
      <c r="L312" s="36">
        <v>1</v>
      </c>
      <c r="M312" s="36">
        <v>17.382608695652173</v>
      </c>
      <c r="N312" s="36">
        <v>1</v>
      </c>
    </row>
    <row r="313" spans="1:14" x14ac:dyDescent="0.35">
      <c r="A313" s="3" t="s">
        <v>14</v>
      </c>
      <c r="B313" s="4">
        <v>118</v>
      </c>
      <c r="C313" s="5">
        <v>34014</v>
      </c>
      <c r="D313" s="3" t="s">
        <v>258</v>
      </c>
      <c r="E313" s="16">
        <v>100</v>
      </c>
      <c r="F313" s="16">
        <v>52.03</v>
      </c>
      <c r="G313" s="36">
        <v>86.956521739130437</v>
      </c>
      <c r="H313" s="36">
        <v>1</v>
      </c>
      <c r="I313" s="36">
        <v>0</v>
      </c>
      <c r="J313" s="36">
        <v>0</v>
      </c>
      <c r="K313" s="36">
        <v>0</v>
      </c>
      <c r="L313" s="36">
        <v>0</v>
      </c>
      <c r="M313" s="36">
        <v>0</v>
      </c>
      <c r="N313" s="36">
        <v>0</v>
      </c>
    </row>
    <row r="314" spans="1:14" x14ac:dyDescent="0.35">
      <c r="A314" s="3" t="s">
        <v>19</v>
      </c>
      <c r="B314" s="4">
        <v>102</v>
      </c>
      <c r="C314" s="5">
        <v>34015</v>
      </c>
      <c r="D314" s="3" t="s">
        <v>106</v>
      </c>
      <c r="E314" s="16">
        <v>29.99</v>
      </c>
      <c r="F314" s="16">
        <v>3.1788888888888889</v>
      </c>
      <c r="G314" s="36">
        <v>78.234782608695653</v>
      </c>
      <c r="H314" s="36">
        <v>3</v>
      </c>
      <c r="I314" s="36">
        <v>26.078260869565216</v>
      </c>
      <c r="J314" s="36">
        <v>1</v>
      </c>
      <c r="K314" s="36">
        <v>208.62608695652173</v>
      </c>
      <c r="L314" s="36">
        <v>8</v>
      </c>
      <c r="M314" s="36">
        <v>156.46956521739131</v>
      </c>
      <c r="N314" s="36">
        <v>6</v>
      </c>
    </row>
    <row r="315" spans="1:14" x14ac:dyDescent="0.35">
      <c r="A315" s="3" t="s">
        <v>14</v>
      </c>
      <c r="B315" s="4">
        <v>101</v>
      </c>
      <c r="C315" s="5">
        <v>34019</v>
      </c>
      <c r="D315" s="3" t="s">
        <v>56</v>
      </c>
      <c r="E315" s="16">
        <v>5.99</v>
      </c>
      <c r="F315" s="16">
        <v>3.12</v>
      </c>
      <c r="G315" s="36">
        <v>0</v>
      </c>
      <c r="H315" s="36">
        <v>0</v>
      </c>
      <c r="I315" s="36">
        <v>0</v>
      </c>
      <c r="J315" s="36">
        <v>0</v>
      </c>
      <c r="K315" s="36">
        <v>0</v>
      </c>
      <c r="L315" s="36">
        <v>0</v>
      </c>
      <c r="M315" s="36">
        <v>0</v>
      </c>
      <c r="N315" s="36">
        <v>0</v>
      </c>
    </row>
    <row r="316" spans="1:14" x14ac:dyDescent="0.35">
      <c r="A316" s="3" t="s">
        <v>14</v>
      </c>
      <c r="B316" s="4">
        <v>102</v>
      </c>
      <c r="C316" s="5">
        <v>34021</v>
      </c>
      <c r="D316" s="3" t="s">
        <v>168</v>
      </c>
      <c r="E316" s="16">
        <v>32.99</v>
      </c>
      <c r="F316" s="16">
        <v>15.39</v>
      </c>
      <c r="G316" s="36">
        <v>0</v>
      </c>
      <c r="H316" s="36">
        <v>0</v>
      </c>
      <c r="I316" s="36">
        <v>0</v>
      </c>
      <c r="J316" s="36">
        <v>0</v>
      </c>
      <c r="K316" s="36">
        <v>0</v>
      </c>
      <c r="L316" s="36">
        <v>0</v>
      </c>
      <c r="M316" s="36">
        <v>0</v>
      </c>
      <c r="N316" s="36">
        <v>0</v>
      </c>
    </row>
    <row r="317" spans="1:14" x14ac:dyDescent="0.35">
      <c r="A317" s="3" t="s">
        <v>14</v>
      </c>
      <c r="B317" s="4">
        <v>101</v>
      </c>
      <c r="C317" s="5">
        <v>34022</v>
      </c>
      <c r="D317" s="3" t="s">
        <v>54</v>
      </c>
      <c r="E317" s="16">
        <v>5.99</v>
      </c>
      <c r="F317" s="16">
        <v>2.72</v>
      </c>
      <c r="G317" s="36">
        <v>26.043478260869563</v>
      </c>
      <c r="H317" s="36">
        <v>5</v>
      </c>
      <c r="I317" s="36">
        <v>0</v>
      </c>
      <c r="J317" s="36">
        <v>0</v>
      </c>
      <c r="K317" s="36">
        <v>10.417391304347827</v>
      </c>
      <c r="L317" s="36">
        <v>2</v>
      </c>
      <c r="M317" s="36">
        <v>0</v>
      </c>
      <c r="N317" s="36">
        <v>0</v>
      </c>
    </row>
    <row r="318" spans="1:14" x14ac:dyDescent="0.35">
      <c r="A318" s="3" t="s">
        <v>14</v>
      </c>
      <c r="B318" s="4">
        <v>101</v>
      </c>
      <c r="C318" s="5">
        <v>34023</v>
      </c>
      <c r="D318" s="3" t="s">
        <v>48</v>
      </c>
      <c r="E318" s="16">
        <v>6.99</v>
      </c>
      <c r="F318" s="16">
        <v>2.85</v>
      </c>
      <c r="G318" s="36">
        <v>30.39130434782609</v>
      </c>
      <c r="H318" s="36">
        <v>5</v>
      </c>
      <c r="I318" s="36">
        <v>24.31304347826087</v>
      </c>
      <c r="J318" s="36">
        <v>4</v>
      </c>
      <c r="K318" s="36">
        <v>24.008695652173913</v>
      </c>
      <c r="L318" s="36">
        <v>4</v>
      </c>
      <c r="M318" s="36">
        <v>24.31304347826087</v>
      </c>
      <c r="N318" s="36">
        <v>4</v>
      </c>
    </row>
    <row r="319" spans="1:14" x14ac:dyDescent="0.35">
      <c r="A319" s="3" t="s">
        <v>14</v>
      </c>
      <c r="B319" s="4">
        <v>101</v>
      </c>
      <c r="C319" s="5">
        <v>34024</v>
      </c>
      <c r="D319" s="3" t="s">
        <v>23</v>
      </c>
      <c r="E319" s="16">
        <v>37.99</v>
      </c>
      <c r="F319" s="16">
        <v>16.5</v>
      </c>
      <c r="G319" s="36">
        <v>165.17391304347825</v>
      </c>
      <c r="H319" s="36">
        <v>5</v>
      </c>
      <c r="I319" s="36">
        <v>33.03478260869565</v>
      </c>
      <c r="J319" s="36">
        <v>1</v>
      </c>
      <c r="K319" s="36">
        <v>165.17391304347825</v>
      </c>
      <c r="L319" s="36">
        <v>5</v>
      </c>
      <c r="M319" s="36">
        <v>132.1391304347826</v>
      </c>
      <c r="N319" s="36">
        <v>4</v>
      </c>
    </row>
    <row r="320" spans="1:14" x14ac:dyDescent="0.35">
      <c r="A320" s="3" t="s">
        <v>14</v>
      </c>
      <c r="B320" s="4">
        <v>118</v>
      </c>
      <c r="C320" s="5">
        <v>34025</v>
      </c>
      <c r="D320" s="3" t="s">
        <v>261</v>
      </c>
      <c r="E320" s="16">
        <v>120</v>
      </c>
      <c r="F320" s="16">
        <v>62.39</v>
      </c>
      <c r="G320" s="36">
        <v>0</v>
      </c>
      <c r="H320" s="36">
        <v>0</v>
      </c>
      <c r="I320" s="36">
        <v>0</v>
      </c>
      <c r="J320" s="36">
        <v>0</v>
      </c>
      <c r="K320" s="36">
        <v>0</v>
      </c>
      <c r="L320" s="36">
        <v>0</v>
      </c>
      <c r="M320" s="36">
        <v>0</v>
      </c>
      <c r="N320" s="36">
        <v>0</v>
      </c>
    </row>
    <row r="321" spans="1:14" x14ac:dyDescent="0.35">
      <c r="A321" s="3" t="s">
        <v>14</v>
      </c>
      <c r="B321" s="4">
        <v>106</v>
      </c>
      <c r="C321" s="5">
        <v>34027</v>
      </c>
      <c r="D321" s="3" t="s">
        <v>245</v>
      </c>
      <c r="E321" s="16">
        <v>27.99</v>
      </c>
      <c r="F321" s="16">
        <v>15.41</v>
      </c>
      <c r="G321" s="36">
        <v>0</v>
      </c>
      <c r="H321" s="36">
        <v>0</v>
      </c>
      <c r="I321" s="36">
        <v>0</v>
      </c>
      <c r="J321" s="36">
        <v>0</v>
      </c>
      <c r="K321" s="36">
        <v>24.339130434782607</v>
      </c>
      <c r="L321" s="36">
        <v>1</v>
      </c>
      <c r="M321" s="36">
        <v>48.678260869565214</v>
      </c>
      <c r="N321" s="36">
        <v>2</v>
      </c>
    </row>
    <row r="322" spans="1:14" x14ac:dyDescent="0.35">
      <c r="A322" s="3" t="s">
        <v>14</v>
      </c>
      <c r="B322" s="4">
        <v>106</v>
      </c>
      <c r="C322" s="5">
        <v>34028</v>
      </c>
      <c r="D322" s="3" t="s">
        <v>244</v>
      </c>
      <c r="E322" s="16">
        <v>26.99</v>
      </c>
      <c r="F322" s="16">
        <v>15.3</v>
      </c>
      <c r="G322" s="36">
        <v>0</v>
      </c>
      <c r="H322" s="36">
        <v>0</v>
      </c>
      <c r="I322" s="36">
        <v>0</v>
      </c>
      <c r="J322" s="36">
        <v>0</v>
      </c>
      <c r="K322" s="36">
        <v>0</v>
      </c>
      <c r="L322" s="36">
        <v>0</v>
      </c>
      <c r="M322" s="36">
        <v>0</v>
      </c>
      <c r="N322" s="36">
        <v>0</v>
      </c>
    </row>
    <row r="323" spans="1:14" x14ac:dyDescent="0.35">
      <c r="A323" s="3" t="s">
        <v>14</v>
      </c>
      <c r="B323" s="4">
        <v>118</v>
      </c>
      <c r="C323" s="5">
        <v>34033</v>
      </c>
      <c r="D323" s="3" t="s">
        <v>256</v>
      </c>
      <c r="E323" s="16">
        <v>120</v>
      </c>
      <c r="F323" s="16">
        <v>64.849999999999994</v>
      </c>
      <c r="G323" s="36">
        <v>104.34782608695652</v>
      </c>
      <c r="H323" s="36">
        <v>1</v>
      </c>
      <c r="I323" s="36">
        <v>104.34782608695652</v>
      </c>
      <c r="J323" s="36">
        <v>1</v>
      </c>
      <c r="K323" s="36">
        <v>0</v>
      </c>
      <c r="L323" s="36">
        <v>0</v>
      </c>
      <c r="M323" s="36">
        <v>0</v>
      </c>
      <c r="N323" s="36">
        <v>0</v>
      </c>
    </row>
    <row r="324" spans="1:14" x14ac:dyDescent="0.35">
      <c r="A324" s="3" t="s">
        <v>14</v>
      </c>
      <c r="B324" s="4">
        <v>117</v>
      </c>
      <c r="C324" s="5">
        <v>34034</v>
      </c>
      <c r="D324" s="3" t="s">
        <v>253</v>
      </c>
      <c r="E324" s="16">
        <v>19.989999999999998</v>
      </c>
      <c r="F324" s="16">
        <v>8.43</v>
      </c>
      <c r="G324" s="36">
        <v>0</v>
      </c>
      <c r="H324" s="36">
        <v>0</v>
      </c>
      <c r="I324" s="36">
        <v>0</v>
      </c>
      <c r="J324" s="36">
        <v>0</v>
      </c>
      <c r="K324" s="36">
        <v>0</v>
      </c>
      <c r="L324" s="36">
        <v>0</v>
      </c>
      <c r="M324" s="36">
        <v>0</v>
      </c>
      <c r="N324" s="36">
        <v>0</v>
      </c>
    </row>
    <row r="325" spans="1:14" x14ac:dyDescent="0.35">
      <c r="A325" s="3" t="s">
        <v>14</v>
      </c>
      <c r="B325" s="4">
        <v>102</v>
      </c>
      <c r="C325" s="5">
        <v>34037</v>
      </c>
      <c r="D325" s="3" t="s">
        <v>157</v>
      </c>
      <c r="E325" s="16">
        <v>29.99</v>
      </c>
      <c r="F325" s="16">
        <v>16.43</v>
      </c>
      <c r="G325" s="36">
        <v>0</v>
      </c>
      <c r="H325" s="36">
        <v>0</v>
      </c>
      <c r="I325" s="36">
        <v>0</v>
      </c>
      <c r="J325" s="36">
        <v>0</v>
      </c>
      <c r="K325" s="36">
        <v>0</v>
      </c>
      <c r="L325" s="36">
        <v>0</v>
      </c>
      <c r="M325" s="36">
        <v>0</v>
      </c>
      <c r="N325" s="36">
        <v>0</v>
      </c>
    </row>
    <row r="326" spans="1:14" x14ac:dyDescent="0.35">
      <c r="A326" s="3" t="s">
        <v>14</v>
      </c>
      <c r="B326" s="4">
        <v>102</v>
      </c>
      <c r="C326" s="5">
        <v>34039</v>
      </c>
      <c r="D326" s="3" t="s">
        <v>115</v>
      </c>
      <c r="E326" s="16">
        <v>11.99</v>
      </c>
      <c r="F326" s="16">
        <v>5.62</v>
      </c>
      <c r="G326" s="36">
        <v>0</v>
      </c>
      <c r="H326" s="36">
        <v>0</v>
      </c>
      <c r="I326" s="36">
        <v>0</v>
      </c>
      <c r="J326" s="36">
        <v>0</v>
      </c>
      <c r="K326" s="36">
        <v>0</v>
      </c>
      <c r="L326" s="36">
        <v>0</v>
      </c>
      <c r="M326" s="36">
        <v>0</v>
      </c>
      <c r="N326" s="36">
        <v>0</v>
      </c>
    </row>
    <row r="327" spans="1:14" x14ac:dyDescent="0.35">
      <c r="A327" s="3" t="s">
        <v>14</v>
      </c>
      <c r="B327" s="4">
        <v>118</v>
      </c>
      <c r="C327" s="5">
        <v>34040</v>
      </c>
      <c r="D327" s="3" t="s">
        <v>262</v>
      </c>
      <c r="E327" s="16">
        <v>80</v>
      </c>
      <c r="F327" s="16">
        <v>36.909999999999997</v>
      </c>
      <c r="G327" s="36">
        <v>0</v>
      </c>
      <c r="H327" s="36">
        <v>0</v>
      </c>
      <c r="I327" s="36">
        <v>0</v>
      </c>
      <c r="J327" s="36">
        <v>0</v>
      </c>
      <c r="K327" s="36">
        <v>0</v>
      </c>
      <c r="L327" s="36">
        <v>0</v>
      </c>
      <c r="M327" s="36">
        <v>0</v>
      </c>
      <c r="N327" s="36">
        <v>0</v>
      </c>
    </row>
    <row r="328" spans="1:14" x14ac:dyDescent="0.35">
      <c r="A328" s="3" t="s">
        <v>14</v>
      </c>
      <c r="B328" s="4">
        <v>101</v>
      </c>
      <c r="C328" s="5">
        <v>34041</v>
      </c>
      <c r="D328" s="3" t="s">
        <v>43</v>
      </c>
      <c r="E328" s="16">
        <v>6.99</v>
      </c>
      <c r="F328" s="16">
        <v>3.15</v>
      </c>
      <c r="G328" s="36">
        <v>66.860869565217399</v>
      </c>
      <c r="H328" s="36">
        <v>11</v>
      </c>
      <c r="I328" s="36">
        <v>42.547826086956519</v>
      </c>
      <c r="J328" s="36">
        <v>7</v>
      </c>
      <c r="K328" s="36">
        <v>48.017391304347825</v>
      </c>
      <c r="L328" s="36">
        <v>8</v>
      </c>
      <c r="M328" s="36">
        <v>54.704347826086952</v>
      </c>
      <c r="N328" s="36">
        <v>9</v>
      </c>
    </row>
    <row r="329" spans="1:14" x14ac:dyDescent="0.35">
      <c r="A329" s="3" t="s">
        <v>14</v>
      </c>
      <c r="B329" s="4">
        <v>101</v>
      </c>
      <c r="C329" s="5">
        <v>34042</v>
      </c>
      <c r="D329" s="3" t="s">
        <v>31</v>
      </c>
      <c r="E329" s="16">
        <v>9.5</v>
      </c>
      <c r="F329" s="16">
        <v>4.1500000000000004</v>
      </c>
      <c r="G329" s="36">
        <v>49.565217391304344</v>
      </c>
      <c r="H329" s="36">
        <v>6</v>
      </c>
      <c r="I329" s="36">
        <v>90.869565217391312</v>
      </c>
      <c r="J329" s="36">
        <v>11</v>
      </c>
      <c r="K329" s="36">
        <v>97.052173913043475</v>
      </c>
      <c r="L329" s="36">
        <v>12</v>
      </c>
      <c r="M329" s="36">
        <v>49.565217391304344</v>
      </c>
      <c r="N329" s="36">
        <v>6</v>
      </c>
    </row>
    <row r="330" spans="1:14" x14ac:dyDescent="0.35">
      <c r="A330" s="3" t="s">
        <v>14</v>
      </c>
      <c r="B330" s="4">
        <v>101</v>
      </c>
      <c r="C330" s="5">
        <v>34046</v>
      </c>
      <c r="D330" s="3" t="s">
        <v>37</v>
      </c>
      <c r="E330" s="16">
        <v>19.989999999999998</v>
      </c>
      <c r="F330" s="16">
        <v>12.2</v>
      </c>
      <c r="G330" s="36">
        <v>86.913043478260875</v>
      </c>
      <c r="H330" s="36">
        <v>5</v>
      </c>
      <c r="I330" s="36">
        <v>69.530434782608694</v>
      </c>
      <c r="J330" s="36">
        <v>4</v>
      </c>
      <c r="K330" s="36">
        <v>0</v>
      </c>
      <c r="L330" s="36">
        <v>0</v>
      </c>
      <c r="M330" s="36">
        <v>0</v>
      </c>
      <c r="N330" s="36">
        <v>0</v>
      </c>
    </row>
    <row r="331" spans="1:14" x14ac:dyDescent="0.35">
      <c r="A331" s="3" t="s">
        <v>19</v>
      </c>
      <c r="B331" s="4">
        <v>101</v>
      </c>
      <c r="C331" s="5">
        <v>34047</v>
      </c>
      <c r="D331" s="3" t="s">
        <v>87</v>
      </c>
      <c r="E331" s="16">
        <v>3.99</v>
      </c>
      <c r="F331" s="16">
        <v>2.120625</v>
      </c>
      <c r="G331" s="36">
        <v>0</v>
      </c>
      <c r="H331" s="36">
        <v>0</v>
      </c>
      <c r="I331" s="36">
        <v>0</v>
      </c>
      <c r="J331" s="36">
        <v>0</v>
      </c>
      <c r="K331" s="36">
        <v>0</v>
      </c>
      <c r="L331" s="36">
        <v>0</v>
      </c>
      <c r="M331" s="36">
        <v>0</v>
      </c>
      <c r="N331" s="36">
        <v>0</v>
      </c>
    </row>
    <row r="332" spans="1:14" x14ac:dyDescent="0.35">
      <c r="A332" s="3" t="s">
        <v>14</v>
      </c>
      <c r="B332" s="4">
        <v>101</v>
      </c>
      <c r="C332" s="5">
        <v>34052</v>
      </c>
      <c r="D332" s="3" t="s">
        <v>71</v>
      </c>
      <c r="E332" s="16">
        <v>24.99</v>
      </c>
      <c r="F332" s="16">
        <v>8.1</v>
      </c>
      <c r="G332" s="36">
        <v>0</v>
      </c>
      <c r="H332" s="36">
        <v>0</v>
      </c>
      <c r="I332" s="36">
        <v>0</v>
      </c>
      <c r="J332" s="36">
        <v>0</v>
      </c>
      <c r="K332" s="36">
        <v>0</v>
      </c>
      <c r="L332" s="36">
        <v>0</v>
      </c>
      <c r="M332" s="36">
        <v>0</v>
      </c>
      <c r="N332" s="36">
        <v>0</v>
      </c>
    </row>
    <row r="333" spans="1:14" x14ac:dyDescent="0.35">
      <c r="A333" s="3" t="s">
        <v>14</v>
      </c>
      <c r="B333" s="4">
        <v>101</v>
      </c>
      <c r="C333" s="5">
        <v>34053</v>
      </c>
      <c r="D333" s="3" t="s">
        <v>57</v>
      </c>
      <c r="E333" s="16">
        <v>15.99</v>
      </c>
      <c r="F333" s="16">
        <v>6.74</v>
      </c>
      <c r="G333" s="36">
        <v>41.713043478260872</v>
      </c>
      <c r="H333" s="36">
        <v>3</v>
      </c>
      <c r="I333" s="36">
        <v>55.617391304347827</v>
      </c>
      <c r="J333" s="36">
        <v>4</v>
      </c>
      <c r="K333" s="36">
        <v>0</v>
      </c>
      <c r="L333" s="36">
        <v>0</v>
      </c>
      <c r="M333" s="36">
        <v>0</v>
      </c>
      <c r="N333" s="36">
        <v>0</v>
      </c>
    </row>
    <row r="334" spans="1:14" x14ac:dyDescent="0.35">
      <c r="A334" s="3" t="s">
        <v>14</v>
      </c>
      <c r="B334" s="4">
        <v>118</v>
      </c>
      <c r="C334" s="5">
        <v>34054</v>
      </c>
      <c r="D334" s="3" t="s">
        <v>259</v>
      </c>
      <c r="E334" s="16">
        <v>100</v>
      </c>
      <c r="F334" s="16">
        <v>54.36</v>
      </c>
      <c r="G334" s="36">
        <v>0</v>
      </c>
      <c r="H334" s="36">
        <v>0</v>
      </c>
      <c r="I334" s="36">
        <v>0</v>
      </c>
      <c r="J334" s="36">
        <v>0</v>
      </c>
      <c r="K334" s="36">
        <v>0</v>
      </c>
      <c r="L334" s="36">
        <v>0</v>
      </c>
      <c r="M334" s="36">
        <v>0</v>
      </c>
      <c r="N334" s="36">
        <v>0</v>
      </c>
    </row>
    <row r="335" spans="1:14" x14ac:dyDescent="0.35">
      <c r="A335" s="3" t="s">
        <v>14</v>
      </c>
      <c r="B335" s="4">
        <v>101</v>
      </c>
      <c r="C335" s="5">
        <v>34059</v>
      </c>
      <c r="D335" s="3" t="s">
        <v>64</v>
      </c>
      <c r="E335" s="16">
        <v>6.99</v>
      </c>
      <c r="F335" s="16">
        <v>3.8</v>
      </c>
      <c r="G335" s="36">
        <v>0</v>
      </c>
      <c r="H335" s="36">
        <v>0</v>
      </c>
      <c r="I335" s="36">
        <v>0</v>
      </c>
      <c r="J335" s="36">
        <v>0</v>
      </c>
      <c r="K335" s="36">
        <v>0</v>
      </c>
      <c r="L335" s="36">
        <v>0</v>
      </c>
      <c r="M335" s="36">
        <v>42.547826086956519</v>
      </c>
      <c r="N335" s="36">
        <v>7</v>
      </c>
    </row>
    <row r="336" spans="1:14" x14ac:dyDescent="0.35">
      <c r="A336" s="3" t="s">
        <v>356</v>
      </c>
      <c r="B336" s="4">
        <v>102</v>
      </c>
      <c r="C336" s="5">
        <v>34061</v>
      </c>
      <c r="D336" s="3" t="s">
        <v>150</v>
      </c>
      <c r="E336" s="16">
        <v>39.99</v>
      </c>
      <c r="F336" s="16">
        <v>17.68</v>
      </c>
      <c r="G336" s="36">
        <v>0</v>
      </c>
      <c r="H336" s="36">
        <v>0</v>
      </c>
      <c r="I336" s="36">
        <v>0</v>
      </c>
      <c r="J336" s="36">
        <v>0</v>
      </c>
      <c r="K336" s="36">
        <v>0</v>
      </c>
      <c r="L336" s="36">
        <v>0</v>
      </c>
      <c r="M336" s="36">
        <v>0</v>
      </c>
      <c r="N336" s="36">
        <v>0</v>
      </c>
    </row>
    <row r="337" spans="1:14" x14ac:dyDescent="0.35">
      <c r="A337" s="3" t="s">
        <v>14</v>
      </c>
      <c r="B337" s="4">
        <v>101</v>
      </c>
      <c r="C337" s="5">
        <v>34068</v>
      </c>
      <c r="D337" s="3" t="s">
        <v>74</v>
      </c>
      <c r="E337" s="16">
        <v>1.5</v>
      </c>
      <c r="F337" s="16">
        <v>0.59</v>
      </c>
      <c r="G337" s="36">
        <v>20.869565217391305</v>
      </c>
      <c r="H337" s="36">
        <v>16</v>
      </c>
      <c r="I337" s="36">
        <v>0</v>
      </c>
      <c r="J337" s="36">
        <v>0</v>
      </c>
      <c r="K337" s="36">
        <v>0</v>
      </c>
      <c r="L337" s="36">
        <v>0</v>
      </c>
      <c r="M337" s="36">
        <v>0</v>
      </c>
      <c r="N337" s="36">
        <v>0</v>
      </c>
    </row>
    <row r="338" spans="1:14" x14ac:dyDescent="0.35">
      <c r="A338" s="3" t="s">
        <v>14</v>
      </c>
      <c r="B338" s="4">
        <v>101</v>
      </c>
      <c r="C338" s="5">
        <v>34070</v>
      </c>
      <c r="D338" s="3" t="s">
        <v>26</v>
      </c>
      <c r="E338" s="16">
        <v>12.99</v>
      </c>
      <c r="F338" s="16">
        <v>6.81</v>
      </c>
      <c r="G338" s="36">
        <v>169.43478260869566</v>
      </c>
      <c r="H338" s="36">
        <v>15</v>
      </c>
      <c r="I338" s="36">
        <v>101.66086956521738</v>
      </c>
      <c r="J338" s="36">
        <v>9</v>
      </c>
      <c r="K338" s="36">
        <v>111.26086956521739</v>
      </c>
      <c r="L338" s="36">
        <v>10</v>
      </c>
      <c r="M338" s="36">
        <v>395.3478260869565</v>
      </c>
      <c r="N338" s="36">
        <v>35</v>
      </c>
    </row>
    <row r="339" spans="1:14" x14ac:dyDescent="0.35">
      <c r="A339" s="3" t="s">
        <v>14</v>
      </c>
      <c r="B339" s="4">
        <v>102</v>
      </c>
      <c r="C339" s="5">
        <v>34074</v>
      </c>
      <c r="D339" s="3" t="s">
        <v>140</v>
      </c>
      <c r="E339" s="16">
        <v>21.99</v>
      </c>
      <c r="F339" s="16">
        <v>12.33</v>
      </c>
      <c r="G339" s="36">
        <v>0</v>
      </c>
      <c r="H339" s="36">
        <v>0</v>
      </c>
      <c r="I339" s="36">
        <v>0</v>
      </c>
      <c r="J339" s="36">
        <v>0</v>
      </c>
      <c r="K339" s="36">
        <v>0</v>
      </c>
      <c r="L339" s="36">
        <v>0</v>
      </c>
      <c r="M339" s="36">
        <v>0</v>
      </c>
      <c r="N339" s="36">
        <v>0</v>
      </c>
    </row>
    <row r="340" spans="1:14" x14ac:dyDescent="0.35">
      <c r="A340" s="3" t="s">
        <v>14</v>
      </c>
      <c r="B340" s="4">
        <v>104</v>
      </c>
      <c r="C340" s="5">
        <v>34075</v>
      </c>
      <c r="D340" s="3" t="s">
        <v>240</v>
      </c>
      <c r="E340" s="16">
        <v>69.989999999999995</v>
      </c>
      <c r="F340" s="16">
        <v>36.1</v>
      </c>
      <c r="G340" s="36">
        <v>0</v>
      </c>
      <c r="H340" s="36">
        <v>0</v>
      </c>
      <c r="I340" s="36">
        <v>0</v>
      </c>
      <c r="J340" s="36">
        <v>0</v>
      </c>
      <c r="K340" s="36">
        <v>0</v>
      </c>
      <c r="L340" s="36">
        <v>0</v>
      </c>
      <c r="M340" s="36">
        <v>0</v>
      </c>
      <c r="N340" s="36">
        <v>0</v>
      </c>
    </row>
    <row r="341" spans="1:14" x14ac:dyDescent="0.35">
      <c r="A341" s="3" t="s">
        <v>359</v>
      </c>
      <c r="B341" s="4">
        <v>103</v>
      </c>
      <c r="C341" s="5">
        <v>34076</v>
      </c>
      <c r="D341" s="3" t="s">
        <v>228</v>
      </c>
      <c r="E341" s="16">
        <v>114.99</v>
      </c>
      <c r="F341" s="16">
        <v>59.83</v>
      </c>
      <c r="G341" s="36">
        <v>0</v>
      </c>
      <c r="H341" s="36">
        <v>0</v>
      </c>
      <c r="I341" s="36">
        <v>0</v>
      </c>
      <c r="J341" s="36">
        <v>0</v>
      </c>
      <c r="K341" s="36">
        <v>0</v>
      </c>
      <c r="L341" s="36">
        <v>0</v>
      </c>
      <c r="M341" s="36">
        <v>0</v>
      </c>
      <c r="N341" s="36">
        <v>0</v>
      </c>
    </row>
    <row r="342" spans="1:14" x14ac:dyDescent="0.35">
      <c r="A342" s="3" t="s">
        <v>14</v>
      </c>
      <c r="B342" s="4">
        <v>104</v>
      </c>
      <c r="C342" s="5">
        <v>34079</v>
      </c>
      <c r="D342" s="3" t="s">
        <v>236</v>
      </c>
      <c r="E342" s="16">
        <v>60</v>
      </c>
      <c r="F342" s="16">
        <v>29.14</v>
      </c>
      <c r="G342" s="36">
        <v>0</v>
      </c>
      <c r="H342" s="36">
        <v>0</v>
      </c>
      <c r="I342" s="36">
        <v>0</v>
      </c>
      <c r="J342" s="36">
        <v>0</v>
      </c>
      <c r="K342" s="36">
        <v>0</v>
      </c>
      <c r="L342" s="36">
        <v>0</v>
      </c>
      <c r="M342" s="36">
        <v>43.469565217391306</v>
      </c>
      <c r="N342" s="36">
        <v>1</v>
      </c>
    </row>
    <row r="343" spans="1:14" x14ac:dyDescent="0.35">
      <c r="A343" s="3" t="s">
        <v>14</v>
      </c>
      <c r="B343" s="4">
        <v>104</v>
      </c>
      <c r="C343" s="5">
        <v>34080</v>
      </c>
      <c r="D343" s="3" t="s">
        <v>234</v>
      </c>
      <c r="E343" s="16">
        <v>55</v>
      </c>
      <c r="F343" s="16">
        <v>24.25</v>
      </c>
      <c r="G343" s="36">
        <v>0</v>
      </c>
      <c r="H343" s="36">
        <v>0</v>
      </c>
      <c r="I343" s="36">
        <v>43.469565217391306</v>
      </c>
      <c r="J343" s="36">
        <v>1</v>
      </c>
      <c r="K343" s="36">
        <v>0</v>
      </c>
      <c r="L343" s="36">
        <v>0</v>
      </c>
      <c r="M343" s="36">
        <v>86.939130434782612</v>
      </c>
      <c r="N343" s="36">
        <v>2</v>
      </c>
    </row>
    <row r="344" spans="1:14" x14ac:dyDescent="0.35">
      <c r="A344" s="3" t="s">
        <v>14</v>
      </c>
      <c r="B344" s="4">
        <v>104</v>
      </c>
      <c r="C344" s="5">
        <v>34081</v>
      </c>
      <c r="D344" s="3" t="s">
        <v>232</v>
      </c>
      <c r="E344" s="16">
        <v>29.99</v>
      </c>
      <c r="F344" s="16">
        <v>14.34</v>
      </c>
      <c r="G344" s="36">
        <v>0</v>
      </c>
      <c r="H344" s="36">
        <v>0</v>
      </c>
      <c r="I344" s="36">
        <v>0</v>
      </c>
      <c r="J344" s="36">
        <v>0</v>
      </c>
      <c r="K344" s="36">
        <v>0</v>
      </c>
      <c r="L344" s="36">
        <v>0</v>
      </c>
      <c r="M344" s="36">
        <v>0</v>
      </c>
      <c r="N344" s="36">
        <v>0</v>
      </c>
    </row>
    <row r="345" spans="1:14" x14ac:dyDescent="0.35">
      <c r="A345" s="3" t="s">
        <v>14</v>
      </c>
      <c r="B345" s="4">
        <v>104</v>
      </c>
      <c r="C345" s="5">
        <v>34082</v>
      </c>
      <c r="D345" s="3" t="s">
        <v>237</v>
      </c>
      <c r="E345" s="16">
        <v>55</v>
      </c>
      <c r="F345" s="16">
        <v>25.03</v>
      </c>
      <c r="G345" s="36">
        <v>0</v>
      </c>
      <c r="H345" s="36">
        <v>0</v>
      </c>
      <c r="I345" s="36">
        <v>0</v>
      </c>
      <c r="J345" s="36">
        <v>0</v>
      </c>
      <c r="K345" s="36">
        <v>0</v>
      </c>
      <c r="L345" s="36">
        <v>0</v>
      </c>
      <c r="M345" s="36">
        <v>0</v>
      </c>
      <c r="N345" s="36">
        <v>0</v>
      </c>
    </row>
    <row r="346" spans="1:14" x14ac:dyDescent="0.35">
      <c r="A346" s="3" t="s">
        <v>14</v>
      </c>
      <c r="B346" s="4">
        <v>104</v>
      </c>
      <c r="C346" s="5">
        <v>34083</v>
      </c>
      <c r="D346" s="3" t="s">
        <v>233</v>
      </c>
      <c r="E346" s="16">
        <v>55</v>
      </c>
      <c r="F346" s="16">
        <v>25.97</v>
      </c>
      <c r="G346" s="36">
        <v>43.469565217391306</v>
      </c>
      <c r="H346" s="36">
        <v>1</v>
      </c>
      <c r="I346" s="36">
        <v>130.40869565217392</v>
      </c>
      <c r="J346" s="36">
        <v>3</v>
      </c>
      <c r="K346" s="36">
        <v>130.40869565217392</v>
      </c>
      <c r="L346" s="36">
        <v>3</v>
      </c>
      <c r="M346" s="36">
        <v>43.469565217391306</v>
      </c>
      <c r="N346" s="36">
        <v>1</v>
      </c>
    </row>
    <row r="347" spans="1:14" x14ac:dyDescent="0.35">
      <c r="A347" s="3" t="s">
        <v>14</v>
      </c>
      <c r="B347" s="4">
        <v>101</v>
      </c>
      <c r="C347" s="5">
        <v>34086</v>
      </c>
      <c r="D347" s="3" t="s">
        <v>60</v>
      </c>
      <c r="E347" s="16">
        <v>29.99</v>
      </c>
      <c r="F347" s="16">
        <v>10</v>
      </c>
      <c r="G347" s="36">
        <v>5.2695652173913041</v>
      </c>
      <c r="H347" s="36">
        <v>0.20200000000000001</v>
      </c>
      <c r="I347" s="36">
        <v>0</v>
      </c>
      <c r="J347" s="36">
        <v>0</v>
      </c>
      <c r="K347" s="36">
        <v>9.5739130434782602</v>
      </c>
      <c r="L347" s="36">
        <v>0.376</v>
      </c>
      <c r="M347" s="36">
        <v>0</v>
      </c>
      <c r="N347" s="36">
        <v>0</v>
      </c>
    </row>
    <row r="348" spans="1:14" x14ac:dyDescent="0.35">
      <c r="A348" s="3" t="s">
        <v>14</v>
      </c>
      <c r="B348" s="4">
        <v>103</v>
      </c>
      <c r="C348" s="5">
        <v>34087</v>
      </c>
      <c r="D348" s="3" t="s">
        <v>213</v>
      </c>
      <c r="E348" s="16">
        <v>99.99</v>
      </c>
      <c r="F348" s="16">
        <v>54.67</v>
      </c>
      <c r="G348" s="36">
        <v>0</v>
      </c>
      <c r="H348" s="36">
        <v>0</v>
      </c>
      <c r="I348" s="36">
        <v>0</v>
      </c>
      <c r="J348" s="36">
        <v>0</v>
      </c>
      <c r="K348" s="36">
        <v>0</v>
      </c>
      <c r="L348" s="36">
        <v>0</v>
      </c>
      <c r="M348" s="36">
        <v>0</v>
      </c>
      <c r="N348" s="36">
        <v>0</v>
      </c>
    </row>
    <row r="349" spans="1:14" x14ac:dyDescent="0.35">
      <c r="A349" s="3" t="s">
        <v>14</v>
      </c>
      <c r="B349" s="4">
        <v>101</v>
      </c>
      <c r="C349" s="5">
        <v>34088</v>
      </c>
      <c r="D349" s="3" t="s">
        <v>44</v>
      </c>
      <c r="E349" s="16">
        <v>1.5</v>
      </c>
      <c r="F349" s="16">
        <v>0.68</v>
      </c>
      <c r="G349" s="36">
        <v>0</v>
      </c>
      <c r="H349" s="36">
        <v>0</v>
      </c>
      <c r="I349" s="36">
        <v>117.39130434782609</v>
      </c>
      <c r="J349" s="36">
        <v>90</v>
      </c>
      <c r="K349" s="36">
        <v>0</v>
      </c>
      <c r="L349" s="36">
        <v>0</v>
      </c>
      <c r="M349" s="36">
        <v>0</v>
      </c>
      <c r="N349" s="36">
        <v>0</v>
      </c>
    </row>
    <row r="350" spans="1:14" x14ac:dyDescent="0.35">
      <c r="A350" s="3" t="s">
        <v>14</v>
      </c>
      <c r="B350" s="4">
        <v>102</v>
      </c>
      <c r="C350" s="5">
        <v>34089</v>
      </c>
      <c r="D350" s="3" t="s">
        <v>180</v>
      </c>
      <c r="E350" s="16">
        <v>39.99</v>
      </c>
      <c r="F350" s="16">
        <v>29.01</v>
      </c>
      <c r="G350" s="36">
        <v>0</v>
      </c>
      <c r="H350" s="36">
        <v>0</v>
      </c>
      <c r="I350" s="36">
        <v>0</v>
      </c>
      <c r="J350" s="36">
        <v>0</v>
      </c>
      <c r="K350" s="36">
        <v>0</v>
      </c>
      <c r="L350" s="36">
        <v>0</v>
      </c>
      <c r="M350" s="36">
        <v>0</v>
      </c>
      <c r="N350" s="36">
        <v>0</v>
      </c>
    </row>
    <row r="351" spans="1:14" x14ac:dyDescent="0.35">
      <c r="A351" s="3" t="s">
        <v>14</v>
      </c>
      <c r="B351" s="4">
        <v>102</v>
      </c>
      <c r="C351" s="5">
        <v>34090</v>
      </c>
      <c r="D351" s="3" t="s">
        <v>144</v>
      </c>
      <c r="E351" s="16">
        <v>3.99</v>
      </c>
      <c r="F351" s="16">
        <v>1.3</v>
      </c>
      <c r="G351" s="36">
        <v>0</v>
      </c>
      <c r="H351" s="36">
        <v>0</v>
      </c>
      <c r="I351" s="36">
        <v>0</v>
      </c>
      <c r="J351" s="36">
        <v>0</v>
      </c>
      <c r="K351" s="36">
        <v>0</v>
      </c>
      <c r="L351" s="36">
        <v>0</v>
      </c>
      <c r="M351" s="36">
        <v>0</v>
      </c>
      <c r="N351" s="36">
        <v>0</v>
      </c>
    </row>
    <row r="352" spans="1:14" x14ac:dyDescent="0.35">
      <c r="A352" s="3" t="s">
        <v>14</v>
      </c>
      <c r="B352" s="4">
        <v>101</v>
      </c>
      <c r="C352" s="5">
        <v>34091</v>
      </c>
      <c r="D352" s="3" t="s">
        <v>28</v>
      </c>
      <c r="E352" s="16">
        <v>17.989999999999998</v>
      </c>
      <c r="F352" s="16">
        <v>12.24</v>
      </c>
      <c r="G352" s="36">
        <v>86.913043478260875</v>
      </c>
      <c r="H352" s="36">
        <v>5</v>
      </c>
      <c r="I352" s="36">
        <v>86.913043478260875</v>
      </c>
      <c r="J352" s="36">
        <v>5</v>
      </c>
      <c r="K352" s="36">
        <v>198.66956521739129</v>
      </c>
      <c r="L352" s="36">
        <v>13</v>
      </c>
      <c r="M352" s="36">
        <v>125.14782608695651</v>
      </c>
      <c r="N352" s="36">
        <v>8</v>
      </c>
    </row>
    <row r="353" spans="1:14" x14ac:dyDescent="0.35">
      <c r="A353" s="3" t="s">
        <v>14</v>
      </c>
      <c r="B353" s="4">
        <v>101</v>
      </c>
      <c r="C353" s="5">
        <v>34092</v>
      </c>
      <c r="D353" s="3" t="s">
        <v>47</v>
      </c>
      <c r="E353" s="16">
        <v>4.99</v>
      </c>
      <c r="F353" s="16">
        <v>2.52</v>
      </c>
      <c r="G353" s="36">
        <v>30.373913043478261</v>
      </c>
      <c r="H353" s="36">
        <v>7</v>
      </c>
      <c r="I353" s="36">
        <v>8.6782608695652179</v>
      </c>
      <c r="J353" s="36">
        <v>2</v>
      </c>
      <c r="K353" s="36">
        <v>0</v>
      </c>
      <c r="L353" s="36">
        <v>0</v>
      </c>
      <c r="M353" s="36">
        <v>0</v>
      </c>
      <c r="N353" s="36">
        <v>0</v>
      </c>
    </row>
    <row r="354" spans="1:14" x14ac:dyDescent="0.35">
      <c r="A354" s="3" t="s">
        <v>359</v>
      </c>
      <c r="B354" s="4">
        <v>103</v>
      </c>
      <c r="C354" s="5">
        <v>34094</v>
      </c>
      <c r="D354" s="3" t="s">
        <v>229</v>
      </c>
      <c r="E354" s="16">
        <v>302.99</v>
      </c>
      <c r="F354" s="16">
        <v>157.83000000000001</v>
      </c>
      <c r="G354" s="36">
        <v>0</v>
      </c>
      <c r="H354" s="36">
        <v>0</v>
      </c>
      <c r="I354" s="36">
        <v>0</v>
      </c>
      <c r="J354" s="36">
        <v>0</v>
      </c>
      <c r="K354" s="36">
        <v>0</v>
      </c>
      <c r="L354" s="36">
        <v>0</v>
      </c>
      <c r="M354" s="36">
        <v>0</v>
      </c>
      <c r="N354" s="36">
        <v>0</v>
      </c>
    </row>
    <row r="355" spans="1:14" x14ac:dyDescent="0.35">
      <c r="A355" s="3" t="s">
        <v>14</v>
      </c>
      <c r="B355" s="4">
        <v>104</v>
      </c>
      <c r="C355" s="5">
        <v>34095</v>
      </c>
      <c r="D355" s="3" t="s">
        <v>235</v>
      </c>
      <c r="E355" s="16">
        <v>29.99</v>
      </c>
      <c r="F355" s="16">
        <v>12.52</v>
      </c>
      <c r="G355" s="36">
        <v>0</v>
      </c>
      <c r="H355" s="36">
        <v>0</v>
      </c>
      <c r="I355" s="36">
        <v>0</v>
      </c>
      <c r="J355" s="36">
        <v>0</v>
      </c>
      <c r="K355" s="36">
        <v>0</v>
      </c>
      <c r="L355" s="36">
        <v>0</v>
      </c>
      <c r="M355" s="36">
        <v>104.31304347826087</v>
      </c>
      <c r="N355" s="36">
        <v>4</v>
      </c>
    </row>
    <row r="356" spans="1:14" x14ac:dyDescent="0.35">
      <c r="A356" s="3" t="s">
        <v>14</v>
      </c>
      <c r="B356" s="4">
        <v>103</v>
      </c>
      <c r="C356" s="5">
        <v>34100</v>
      </c>
      <c r="D356" s="3" t="s">
        <v>211</v>
      </c>
      <c r="E356" s="16">
        <v>402.99</v>
      </c>
      <c r="F356" s="16">
        <v>210</v>
      </c>
      <c r="G356" s="36">
        <v>0</v>
      </c>
      <c r="H356" s="36">
        <v>0</v>
      </c>
      <c r="I356" s="36">
        <v>0</v>
      </c>
      <c r="J356" s="36">
        <v>0</v>
      </c>
      <c r="K356" s="36">
        <v>0</v>
      </c>
      <c r="L356" s="36">
        <v>0</v>
      </c>
      <c r="M356" s="36">
        <v>0</v>
      </c>
      <c r="N356" s="36">
        <v>0</v>
      </c>
    </row>
    <row r="357" spans="1:14" x14ac:dyDescent="0.35">
      <c r="A357" s="3" t="s">
        <v>359</v>
      </c>
      <c r="B357" s="4">
        <v>103</v>
      </c>
      <c r="C357" s="5">
        <v>34101</v>
      </c>
      <c r="D357" s="3" t="s">
        <v>209</v>
      </c>
      <c r="E357" s="16">
        <v>216.99</v>
      </c>
      <c r="F357" s="16">
        <v>117.59</v>
      </c>
      <c r="G357" s="36">
        <v>0</v>
      </c>
      <c r="H357" s="36">
        <v>0</v>
      </c>
      <c r="I357" s="36">
        <v>0</v>
      </c>
      <c r="J357" s="36">
        <v>0</v>
      </c>
      <c r="K357" s="36">
        <v>0</v>
      </c>
      <c r="L357" s="36">
        <v>0</v>
      </c>
      <c r="M357" s="36">
        <v>0</v>
      </c>
      <c r="N357" s="36">
        <v>0</v>
      </c>
    </row>
    <row r="358" spans="1:14" x14ac:dyDescent="0.35">
      <c r="A358" s="3" t="s">
        <v>14</v>
      </c>
      <c r="B358" s="4">
        <v>102</v>
      </c>
      <c r="C358" s="5">
        <v>34102</v>
      </c>
      <c r="D358" s="3" t="s">
        <v>129</v>
      </c>
      <c r="E358" s="16">
        <v>9.99</v>
      </c>
      <c r="F358" s="16">
        <v>4.99</v>
      </c>
      <c r="G358" s="36">
        <v>0</v>
      </c>
      <c r="H358" s="36">
        <v>0</v>
      </c>
      <c r="I358" s="36">
        <v>43.434782608695656</v>
      </c>
      <c r="J358" s="36">
        <v>5</v>
      </c>
      <c r="K358" s="36">
        <v>26.060869565217391</v>
      </c>
      <c r="L358" s="36">
        <v>3</v>
      </c>
      <c r="M358" s="36">
        <v>0</v>
      </c>
      <c r="N358" s="36">
        <v>0</v>
      </c>
    </row>
    <row r="359" spans="1:14" x14ac:dyDescent="0.35">
      <c r="A359" s="3" t="s">
        <v>14</v>
      </c>
      <c r="B359" s="4">
        <v>119</v>
      </c>
      <c r="C359" s="5">
        <v>34105</v>
      </c>
      <c r="D359" s="3" t="s">
        <v>265</v>
      </c>
      <c r="E359" s="16">
        <v>79.989999999999995</v>
      </c>
      <c r="F359" s="16">
        <v>54.64</v>
      </c>
      <c r="G359" s="36">
        <v>69.556521739130432</v>
      </c>
      <c r="H359" s="36">
        <v>1</v>
      </c>
      <c r="I359" s="36">
        <v>0</v>
      </c>
      <c r="J359" s="36">
        <v>0</v>
      </c>
      <c r="K359" s="36">
        <v>208.66956521739129</v>
      </c>
      <c r="L359" s="36">
        <v>3</v>
      </c>
      <c r="M359" s="36">
        <v>0</v>
      </c>
      <c r="N359" s="36">
        <v>0</v>
      </c>
    </row>
    <row r="360" spans="1:14" x14ac:dyDescent="0.35">
      <c r="A360" s="3" t="s">
        <v>14</v>
      </c>
      <c r="B360" s="4">
        <v>102</v>
      </c>
      <c r="C360" s="5">
        <v>34106</v>
      </c>
      <c r="D360" s="3" t="s">
        <v>131</v>
      </c>
      <c r="E360" s="16">
        <v>11.99</v>
      </c>
      <c r="F360" s="16">
        <v>6.35</v>
      </c>
      <c r="G360" s="36">
        <v>0</v>
      </c>
      <c r="H360" s="36">
        <v>0</v>
      </c>
      <c r="I360" s="36">
        <v>0</v>
      </c>
      <c r="J360" s="36">
        <v>0</v>
      </c>
      <c r="K360" s="36">
        <v>0</v>
      </c>
      <c r="L360" s="36">
        <v>0</v>
      </c>
      <c r="M360" s="36">
        <v>0</v>
      </c>
      <c r="N360" s="36">
        <v>0</v>
      </c>
    </row>
    <row r="361" spans="1:14" x14ac:dyDescent="0.35">
      <c r="A361" s="3" t="s">
        <v>19</v>
      </c>
      <c r="B361" s="4">
        <v>101</v>
      </c>
      <c r="C361" s="5">
        <v>34113</v>
      </c>
      <c r="D361" s="3" t="s">
        <v>56</v>
      </c>
      <c r="E361" s="16">
        <v>3.99</v>
      </c>
      <c r="F361" s="16">
        <v>2.1386000000000003</v>
      </c>
      <c r="G361" s="36">
        <v>0</v>
      </c>
      <c r="H361" s="36">
        <v>0</v>
      </c>
      <c r="I361" s="36">
        <v>0</v>
      </c>
      <c r="J361" s="36">
        <v>0</v>
      </c>
      <c r="K361" s="36">
        <v>0</v>
      </c>
      <c r="L361" s="36">
        <v>0</v>
      </c>
      <c r="M361" s="36">
        <v>0</v>
      </c>
      <c r="N361" s="36">
        <v>0</v>
      </c>
    </row>
    <row r="362" spans="1:14" x14ac:dyDescent="0.35">
      <c r="A362" s="3" t="s">
        <v>14</v>
      </c>
      <c r="B362" s="4">
        <v>104</v>
      </c>
      <c r="C362" s="5">
        <v>34118</v>
      </c>
      <c r="D362" s="3" t="s">
        <v>231</v>
      </c>
      <c r="E362" s="16">
        <v>29.99</v>
      </c>
      <c r="F362" s="16">
        <v>7.38</v>
      </c>
      <c r="G362" s="36">
        <v>0</v>
      </c>
      <c r="H362" s="36">
        <v>0</v>
      </c>
      <c r="I362" s="36">
        <v>130.39130434782606</v>
      </c>
      <c r="J362" s="36">
        <v>5</v>
      </c>
      <c r="K362" s="36">
        <v>204.71304347826086</v>
      </c>
      <c r="L362" s="36">
        <v>8</v>
      </c>
      <c r="M362" s="36">
        <v>0</v>
      </c>
      <c r="N362" s="36">
        <v>0</v>
      </c>
    </row>
    <row r="363" spans="1:14" x14ac:dyDescent="0.35">
      <c r="A363" s="3" t="s">
        <v>14</v>
      </c>
      <c r="B363" s="4">
        <v>101</v>
      </c>
      <c r="C363" s="5">
        <v>34119</v>
      </c>
      <c r="D363" s="3" t="s">
        <v>36</v>
      </c>
      <c r="E363" s="16">
        <v>3.3</v>
      </c>
      <c r="F363" s="16">
        <v>1.85</v>
      </c>
      <c r="G363" s="36">
        <v>229.56521739130434</v>
      </c>
      <c r="H363" s="36">
        <v>80</v>
      </c>
      <c r="I363" s="36">
        <v>0</v>
      </c>
      <c r="J363" s="36">
        <v>0</v>
      </c>
      <c r="K363" s="36">
        <v>0</v>
      </c>
      <c r="L363" s="36">
        <v>0</v>
      </c>
      <c r="M363" s="36">
        <v>0</v>
      </c>
      <c r="N363" s="36">
        <v>0</v>
      </c>
    </row>
    <row r="364" spans="1:14" x14ac:dyDescent="0.35">
      <c r="A364" s="3" t="s">
        <v>14</v>
      </c>
      <c r="B364" s="4">
        <v>102</v>
      </c>
      <c r="C364" s="5">
        <v>34120</v>
      </c>
      <c r="D364" s="3" t="s">
        <v>134</v>
      </c>
      <c r="E364" s="16">
        <v>8.99</v>
      </c>
      <c r="F364" s="16">
        <v>4.99</v>
      </c>
      <c r="G364" s="36">
        <v>0</v>
      </c>
      <c r="H364" s="36">
        <v>0</v>
      </c>
      <c r="I364" s="36">
        <v>0</v>
      </c>
      <c r="J364" s="36">
        <v>0</v>
      </c>
      <c r="K364" s="36">
        <v>0</v>
      </c>
      <c r="L364" s="36">
        <v>0</v>
      </c>
      <c r="M364" s="36">
        <v>0</v>
      </c>
      <c r="N364" s="36">
        <v>0</v>
      </c>
    </row>
    <row r="365" spans="1:14" x14ac:dyDescent="0.35">
      <c r="A365" s="3" t="s">
        <v>14</v>
      </c>
      <c r="B365" s="4">
        <v>101</v>
      </c>
      <c r="C365" s="5">
        <v>34121</v>
      </c>
      <c r="D365" s="3" t="s">
        <v>25</v>
      </c>
      <c r="E365" s="16">
        <v>3.3</v>
      </c>
      <c r="F365" s="16">
        <v>1.85</v>
      </c>
      <c r="G365" s="36">
        <v>0</v>
      </c>
      <c r="H365" s="36">
        <v>0</v>
      </c>
      <c r="I365" s="36">
        <v>0</v>
      </c>
      <c r="J365" s="36">
        <v>0</v>
      </c>
      <c r="K365" s="36">
        <v>0</v>
      </c>
      <c r="L365" s="36">
        <v>0</v>
      </c>
      <c r="M365" s="36">
        <v>143.47826086956522</v>
      </c>
      <c r="N365" s="36">
        <v>50</v>
      </c>
    </row>
    <row r="366" spans="1:14" x14ac:dyDescent="0.35">
      <c r="A366" s="3" t="s">
        <v>14</v>
      </c>
      <c r="B366" s="4">
        <v>102</v>
      </c>
      <c r="C366" s="5">
        <v>34122</v>
      </c>
      <c r="D366" s="3" t="s">
        <v>167</v>
      </c>
      <c r="E366" s="16">
        <v>25.99</v>
      </c>
      <c r="F366" s="16">
        <v>13.19</v>
      </c>
      <c r="G366" s="36">
        <v>0</v>
      </c>
      <c r="H366" s="36">
        <v>0</v>
      </c>
      <c r="I366" s="36">
        <v>0</v>
      </c>
      <c r="J366" s="36">
        <v>0</v>
      </c>
      <c r="K366" s="36">
        <v>21.469565217391306</v>
      </c>
      <c r="L366" s="36">
        <v>1</v>
      </c>
      <c r="M366" s="36">
        <v>0</v>
      </c>
      <c r="N366" s="36">
        <v>0</v>
      </c>
    </row>
    <row r="367" spans="1:14" x14ac:dyDescent="0.35">
      <c r="A367" s="3" t="s">
        <v>14</v>
      </c>
      <c r="B367" s="4">
        <v>120</v>
      </c>
      <c r="C367" s="5">
        <v>34124</v>
      </c>
      <c r="D367" s="3" t="s">
        <v>283</v>
      </c>
      <c r="E367" s="16">
        <v>29.99</v>
      </c>
      <c r="F367" s="16">
        <v>12.33</v>
      </c>
      <c r="G367" s="36">
        <v>0</v>
      </c>
      <c r="H367" s="36">
        <v>0</v>
      </c>
      <c r="I367" s="36">
        <v>0</v>
      </c>
      <c r="J367" s="36">
        <v>0</v>
      </c>
      <c r="K367" s="36">
        <v>0</v>
      </c>
      <c r="L367" s="36">
        <v>0</v>
      </c>
      <c r="M367" s="36">
        <v>0</v>
      </c>
      <c r="N367" s="36">
        <v>0</v>
      </c>
    </row>
    <row r="368" spans="1:14" x14ac:dyDescent="0.35">
      <c r="A368" s="3" t="s">
        <v>19</v>
      </c>
      <c r="B368" s="4">
        <v>101</v>
      </c>
      <c r="C368" s="5">
        <v>34132</v>
      </c>
      <c r="D368" s="3" t="s">
        <v>55</v>
      </c>
      <c r="E368" s="16">
        <v>3.99</v>
      </c>
      <c r="F368" s="16">
        <v>2.1095999999999999</v>
      </c>
      <c r="G368" s="36">
        <v>0</v>
      </c>
      <c r="H368" s="36">
        <v>0</v>
      </c>
      <c r="I368" s="36">
        <v>0</v>
      </c>
      <c r="J368" s="36">
        <v>0</v>
      </c>
      <c r="K368" s="36">
        <v>0</v>
      </c>
      <c r="L368" s="36">
        <v>0</v>
      </c>
      <c r="M368" s="36">
        <v>0</v>
      </c>
      <c r="N368" s="36">
        <v>0</v>
      </c>
    </row>
    <row r="369" spans="1:14" x14ac:dyDescent="0.35">
      <c r="A369" s="3" t="s">
        <v>359</v>
      </c>
      <c r="B369" s="4">
        <v>103</v>
      </c>
      <c r="C369" s="5">
        <v>34134</v>
      </c>
      <c r="D369" s="3" t="s">
        <v>215</v>
      </c>
      <c r="E369" s="16">
        <v>313.99</v>
      </c>
      <c r="F369" s="16">
        <v>163.47229999999999</v>
      </c>
      <c r="G369" s="36">
        <v>0</v>
      </c>
      <c r="H369" s="36">
        <v>0</v>
      </c>
      <c r="I369" s="36">
        <v>0</v>
      </c>
      <c r="J369" s="36">
        <v>0</v>
      </c>
      <c r="K369" s="36">
        <v>0</v>
      </c>
      <c r="L369" s="36">
        <v>0</v>
      </c>
      <c r="M369" s="36">
        <v>0</v>
      </c>
      <c r="N369" s="36">
        <v>0</v>
      </c>
    </row>
    <row r="370" spans="1:14" x14ac:dyDescent="0.35">
      <c r="A370" s="3" t="s">
        <v>14</v>
      </c>
      <c r="B370" s="4">
        <v>103</v>
      </c>
      <c r="C370" s="5">
        <v>34135</v>
      </c>
      <c r="D370" s="3" t="s">
        <v>230</v>
      </c>
      <c r="E370" s="16">
        <v>189.99</v>
      </c>
      <c r="F370" s="16">
        <v>61</v>
      </c>
      <c r="G370" s="36">
        <v>0</v>
      </c>
      <c r="H370" s="36">
        <v>0</v>
      </c>
      <c r="I370" s="36">
        <v>0</v>
      </c>
      <c r="J370" s="36">
        <v>0</v>
      </c>
      <c r="K370" s="36">
        <v>0</v>
      </c>
      <c r="L370" s="36">
        <v>0</v>
      </c>
      <c r="M370" s="36">
        <v>0</v>
      </c>
      <c r="N370" s="36">
        <v>0</v>
      </c>
    </row>
    <row r="371" spans="1:14" x14ac:dyDescent="0.35">
      <c r="A371" s="3" t="s">
        <v>359</v>
      </c>
      <c r="B371" s="4">
        <v>103</v>
      </c>
      <c r="C371" s="5">
        <v>34136</v>
      </c>
      <c r="D371" s="3" t="s">
        <v>218</v>
      </c>
      <c r="E371" s="16">
        <v>112.99</v>
      </c>
      <c r="F371" s="16">
        <v>60.22</v>
      </c>
      <c r="G371" s="36">
        <v>0</v>
      </c>
      <c r="H371" s="36">
        <v>0</v>
      </c>
      <c r="I371" s="36">
        <v>0</v>
      </c>
      <c r="J371" s="36">
        <v>0</v>
      </c>
      <c r="K371" s="36">
        <v>0</v>
      </c>
      <c r="L371" s="36">
        <v>0</v>
      </c>
      <c r="M371" s="36">
        <v>0</v>
      </c>
      <c r="N371" s="36">
        <v>0</v>
      </c>
    </row>
    <row r="372" spans="1:14" x14ac:dyDescent="0.35">
      <c r="A372" s="3" t="s">
        <v>14</v>
      </c>
      <c r="B372" s="4">
        <v>102</v>
      </c>
      <c r="C372" s="5">
        <v>34139</v>
      </c>
      <c r="D372" s="3" t="s">
        <v>141</v>
      </c>
      <c r="E372" s="16">
        <v>49.99</v>
      </c>
      <c r="F372" s="16">
        <v>26.72</v>
      </c>
      <c r="G372" s="36">
        <v>0</v>
      </c>
      <c r="H372" s="36">
        <v>0</v>
      </c>
      <c r="I372" s="36">
        <v>0</v>
      </c>
      <c r="J372" s="36">
        <v>0</v>
      </c>
      <c r="K372" s="36">
        <v>0</v>
      </c>
      <c r="L372" s="36">
        <v>0</v>
      </c>
      <c r="M372" s="36">
        <v>0</v>
      </c>
      <c r="N372" s="36">
        <v>0</v>
      </c>
    </row>
    <row r="373" spans="1:14" x14ac:dyDescent="0.35">
      <c r="A373" s="3" t="s">
        <v>14</v>
      </c>
      <c r="B373" s="4">
        <v>119</v>
      </c>
      <c r="C373" s="5">
        <v>34140</v>
      </c>
      <c r="D373" s="3" t="s">
        <v>267</v>
      </c>
      <c r="E373" s="16">
        <v>385</v>
      </c>
      <c r="F373" s="16">
        <v>201.52</v>
      </c>
      <c r="G373" s="36">
        <v>0</v>
      </c>
      <c r="H373" s="36">
        <v>0</v>
      </c>
      <c r="I373" s="36">
        <v>0</v>
      </c>
      <c r="J373" s="36">
        <v>0</v>
      </c>
      <c r="K373" s="36">
        <v>0</v>
      </c>
      <c r="L373" s="36">
        <v>0</v>
      </c>
      <c r="M373" s="36">
        <v>0</v>
      </c>
      <c r="N373" s="36">
        <v>0</v>
      </c>
    </row>
    <row r="374" spans="1:14" x14ac:dyDescent="0.35">
      <c r="A374" s="3" t="s">
        <v>19</v>
      </c>
      <c r="B374" s="4">
        <v>101</v>
      </c>
      <c r="C374" s="5">
        <v>34141</v>
      </c>
      <c r="D374" s="3" t="s">
        <v>24</v>
      </c>
      <c r="E374" s="16">
        <v>5</v>
      </c>
      <c r="F374" s="16">
        <v>3.3388750000000003</v>
      </c>
      <c r="G374" s="36">
        <v>0</v>
      </c>
      <c r="H374" s="36">
        <v>0</v>
      </c>
      <c r="I374" s="36">
        <v>0</v>
      </c>
      <c r="J374" s="36">
        <v>0</v>
      </c>
      <c r="K374" s="36">
        <v>165.21739130434781</v>
      </c>
      <c r="L374" s="36">
        <v>40</v>
      </c>
      <c r="M374" s="36">
        <v>0</v>
      </c>
      <c r="N374" s="36">
        <v>0</v>
      </c>
    </row>
    <row r="375" spans="1:14" x14ac:dyDescent="0.35">
      <c r="A375" s="3" t="s">
        <v>413</v>
      </c>
      <c r="B375" s="4">
        <v>103</v>
      </c>
      <c r="C375" s="5">
        <v>34142</v>
      </c>
      <c r="D375" s="3" t="s">
        <v>208</v>
      </c>
      <c r="E375" s="16">
        <v>70.989999999999995</v>
      </c>
      <c r="F375" s="16">
        <v>36.56</v>
      </c>
      <c r="G375" s="36">
        <v>0</v>
      </c>
      <c r="H375" s="36">
        <v>0</v>
      </c>
      <c r="I375" s="36">
        <v>0</v>
      </c>
      <c r="J375" s="36">
        <v>0</v>
      </c>
      <c r="K375" s="36">
        <v>10</v>
      </c>
      <c r="L375" s="36">
        <v>0.16200000000000001</v>
      </c>
      <c r="M375" s="36">
        <v>9.3826086956521735</v>
      </c>
      <c r="N375" s="36">
        <v>0.152</v>
      </c>
    </row>
    <row r="376" spans="1:14" x14ac:dyDescent="0.35">
      <c r="A376" s="3" t="s">
        <v>359</v>
      </c>
      <c r="B376" s="4">
        <v>103</v>
      </c>
      <c r="C376" s="5">
        <v>34336</v>
      </c>
      <c r="D376" s="3" t="s">
        <v>674</v>
      </c>
      <c r="E376" s="16">
        <v>265.99</v>
      </c>
      <c r="F376" s="16">
        <v>138.65</v>
      </c>
      <c r="G376" s="36">
        <v>0</v>
      </c>
      <c r="H376" s="36">
        <v>0</v>
      </c>
      <c r="I376" s="36">
        <v>0</v>
      </c>
      <c r="J376" s="36">
        <v>0</v>
      </c>
      <c r="K376" s="36">
        <v>0</v>
      </c>
      <c r="L376" s="36">
        <v>0</v>
      </c>
      <c r="M376" s="36">
        <v>0</v>
      </c>
      <c r="N376" s="36">
        <v>0</v>
      </c>
    </row>
    <row r="377" spans="1:14" x14ac:dyDescent="0.35">
      <c r="A377" s="3" t="s">
        <v>14</v>
      </c>
      <c r="B377" s="4">
        <v>101</v>
      </c>
      <c r="C377" s="5">
        <v>34687</v>
      </c>
      <c r="D377" s="3" t="s">
        <v>40</v>
      </c>
      <c r="E377" s="16">
        <v>3</v>
      </c>
      <c r="F377" s="16">
        <v>1.53</v>
      </c>
      <c r="G377" s="36">
        <v>19.826086956521738</v>
      </c>
      <c r="H377" s="36">
        <v>6</v>
      </c>
      <c r="I377" s="36">
        <v>3.3043478260869565</v>
      </c>
      <c r="J377" s="36">
        <v>1</v>
      </c>
      <c r="K377" s="36">
        <v>23.130434782608695</v>
      </c>
      <c r="L377" s="36">
        <v>7</v>
      </c>
      <c r="M377" s="36">
        <v>0</v>
      </c>
      <c r="N377" s="36">
        <v>0</v>
      </c>
    </row>
    <row r="378" spans="1:14" x14ac:dyDescent="0.35">
      <c r="A378" s="3" t="s">
        <v>14</v>
      </c>
      <c r="B378" s="4">
        <v>101</v>
      </c>
      <c r="C378" s="5">
        <v>34690</v>
      </c>
      <c r="D378" s="3" t="s">
        <v>18</v>
      </c>
      <c r="E378" s="16">
        <v>16.989999999999998</v>
      </c>
      <c r="F378" s="16">
        <v>7.7</v>
      </c>
      <c r="G378" s="36">
        <v>457.99130434782614</v>
      </c>
      <c r="H378" s="36">
        <v>31</v>
      </c>
      <c r="I378" s="36">
        <v>398.89565217391305</v>
      </c>
      <c r="J378" s="36">
        <v>27</v>
      </c>
      <c r="K378" s="36">
        <v>484.58260869565214</v>
      </c>
      <c r="L378" s="36">
        <v>33</v>
      </c>
      <c r="M378" s="36">
        <v>457.99130434782614</v>
      </c>
      <c r="N378" s="36">
        <v>31</v>
      </c>
    </row>
    <row r="379" spans="1:14" x14ac:dyDescent="0.35">
      <c r="A379" s="3" t="s">
        <v>635</v>
      </c>
      <c r="B379" s="4">
        <v>105</v>
      </c>
      <c r="C379" s="5">
        <v>34727</v>
      </c>
      <c r="D379" s="3" t="s">
        <v>675</v>
      </c>
      <c r="E379" s="16">
        <v>30.49</v>
      </c>
      <c r="F379" s="16">
        <v>23.32</v>
      </c>
      <c r="G379" s="36">
        <v>91.47</v>
      </c>
      <c r="H379" s="36">
        <v>3</v>
      </c>
      <c r="I379" s="36">
        <v>182.94</v>
      </c>
      <c r="J379" s="36">
        <v>6</v>
      </c>
      <c r="K379" s="36">
        <v>60.98</v>
      </c>
      <c r="L379" s="36">
        <v>2</v>
      </c>
      <c r="M379" s="36">
        <v>121.96</v>
      </c>
      <c r="N379" s="36">
        <v>4</v>
      </c>
    </row>
    <row r="380" spans="1:14" x14ac:dyDescent="0.35">
      <c r="A380" s="3" t="s">
        <v>476</v>
      </c>
      <c r="B380" s="4">
        <v>109</v>
      </c>
      <c r="C380" s="5">
        <v>34931</v>
      </c>
      <c r="D380" s="3" t="s">
        <v>676</v>
      </c>
      <c r="E380" s="16">
        <v>9.99</v>
      </c>
      <c r="F380" s="16">
        <v>5.7391666666666667</v>
      </c>
      <c r="G380" s="36">
        <v>34.747826086956522</v>
      </c>
      <c r="H380" s="36">
        <v>4</v>
      </c>
      <c r="I380" s="36">
        <v>8.6869565217391305</v>
      </c>
      <c r="J380" s="36">
        <v>1</v>
      </c>
      <c r="K380" s="36">
        <v>17.373913043478261</v>
      </c>
      <c r="L380" s="36">
        <v>2</v>
      </c>
      <c r="M380" s="36">
        <v>34.747826086956522</v>
      </c>
      <c r="N380" s="36">
        <v>4</v>
      </c>
    </row>
    <row r="381" spans="1:14" x14ac:dyDescent="0.35">
      <c r="A381" s="3" t="s">
        <v>476</v>
      </c>
      <c r="B381" s="4">
        <v>109</v>
      </c>
      <c r="C381" s="5">
        <v>34932</v>
      </c>
      <c r="D381" s="3" t="s">
        <v>677</v>
      </c>
      <c r="E381" s="16">
        <v>9.99</v>
      </c>
      <c r="F381" s="16">
        <v>5.7391666666666667</v>
      </c>
      <c r="G381" s="36">
        <v>8.6869565217391305</v>
      </c>
      <c r="H381" s="36">
        <v>1</v>
      </c>
      <c r="I381" s="36">
        <v>26.060869565217391</v>
      </c>
      <c r="J381" s="36">
        <v>3</v>
      </c>
      <c r="K381" s="36">
        <v>8.6869565217391305</v>
      </c>
      <c r="L381" s="36">
        <v>1</v>
      </c>
      <c r="M381" s="36">
        <v>17.373913043478261</v>
      </c>
      <c r="N381" s="36">
        <v>2</v>
      </c>
    </row>
    <row r="382" spans="1:14" x14ac:dyDescent="0.35">
      <c r="A382" s="3" t="s">
        <v>476</v>
      </c>
      <c r="B382" s="4">
        <v>109</v>
      </c>
      <c r="C382" s="5">
        <v>34934</v>
      </c>
      <c r="D382" s="3" t="s">
        <v>678</v>
      </c>
      <c r="E382" s="16">
        <v>9.99</v>
      </c>
      <c r="F382" s="16">
        <v>5.7391666666666667</v>
      </c>
      <c r="G382" s="36">
        <v>34.747826086956522</v>
      </c>
      <c r="H382" s="36">
        <v>4</v>
      </c>
      <c r="I382" s="36">
        <v>52.121739130434783</v>
      </c>
      <c r="J382" s="36">
        <v>6</v>
      </c>
      <c r="K382" s="36">
        <v>17.373913043478261</v>
      </c>
      <c r="L382" s="36">
        <v>2</v>
      </c>
      <c r="M382" s="36">
        <v>26.060869565217391</v>
      </c>
      <c r="N382" s="36">
        <v>3</v>
      </c>
    </row>
    <row r="383" spans="1:14" x14ac:dyDescent="0.35">
      <c r="A383" s="3" t="s">
        <v>476</v>
      </c>
      <c r="B383" s="4">
        <v>109</v>
      </c>
      <c r="C383" s="5">
        <v>34935</v>
      </c>
      <c r="D383" s="3" t="s">
        <v>679</v>
      </c>
      <c r="E383" s="16">
        <v>9.99</v>
      </c>
      <c r="F383" s="16">
        <v>5.7391666666666667</v>
      </c>
      <c r="G383" s="36">
        <v>17.373913043478261</v>
      </c>
      <c r="H383" s="36">
        <v>2</v>
      </c>
      <c r="I383" s="36">
        <v>8.6869565217391305</v>
      </c>
      <c r="J383" s="36">
        <v>1</v>
      </c>
      <c r="K383" s="36">
        <v>17.373913043478261</v>
      </c>
      <c r="L383" s="36">
        <v>2</v>
      </c>
      <c r="M383" s="36">
        <v>26.060869565217391</v>
      </c>
      <c r="N383" s="36">
        <v>3</v>
      </c>
    </row>
    <row r="384" spans="1:14" x14ac:dyDescent="0.35">
      <c r="A384" s="3" t="s">
        <v>680</v>
      </c>
      <c r="B384" s="4">
        <v>108</v>
      </c>
      <c r="C384" s="5">
        <v>35044</v>
      </c>
      <c r="D384" s="3" t="s">
        <v>681</v>
      </c>
      <c r="E384" s="16">
        <v>85.99</v>
      </c>
      <c r="F384" s="16">
        <v>45.3</v>
      </c>
      <c r="G384" s="36">
        <v>0</v>
      </c>
      <c r="H384" s="36">
        <v>0</v>
      </c>
      <c r="I384" s="36">
        <v>0</v>
      </c>
      <c r="J384" s="36">
        <v>0</v>
      </c>
      <c r="K384" s="36">
        <v>0</v>
      </c>
      <c r="L384" s="36">
        <v>0</v>
      </c>
      <c r="M384" s="36">
        <v>0</v>
      </c>
      <c r="N384" s="36">
        <v>0</v>
      </c>
    </row>
    <row r="385" spans="1:14" x14ac:dyDescent="0.35">
      <c r="A385" s="3" t="s">
        <v>680</v>
      </c>
      <c r="B385" s="4">
        <v>108</v>
      </c>
      <c r="C385" s="5">
        <v>35045</v>
      </c>
      <c r="D385" s="3" t="s">
        <v>682</v>
      </c>
      <c r="E385" s="16">
        <v>85.99</v>
      </c>
      <c r="F385" s="16">
        <v>45.3</v>
      </c>
      <c r="G385" s="36">
        <v>0</v>
      </c>
      <c r="H385" s="36">
        <v>0</v>
      </c>
      <c r="I385" s="36">
        <v>0</v>
      </c>
      <c r="J385" s="36">
        <v>0</v>
      </c>
      <c r="K385" s="36">
        <v>0</v>
      </c>
      <c r="L385" s="36">
        <v>0</v>
      </c>
      <c r="M385" s="36">
        <v>0</v>
      </c>
      <c r="N385" s="36">
        <v>0</v>
      </c>
    </row>
    <row r="386" spans="1:14" x14ac:dyDescent="0.35">
      <c r="A386" s="3" t="s">
        <v>680</v>
      </c>
      <c r="B386" s="4">
        <v>108</v>
      </c>
      <c r="C386" s="5">
        <v>35046</v>
      </c>
      <c r="D386" s="3" t="s">
        <v>683</v>
      </c>
      <c r="E386" s="16">
        <v>85.99</v>
      </c>
      <c r="F386" s="16">
        <v>45.3</v>
      </c>
      <c r="G386" s="36">
        <v>0</v>
      </c>
      <c r="H386" s="36">
        <v>0</v>
      </c>
      <c r="I386" s="36">
        <v>0</v>
      </c>
      <c r="J386" s="36">
        <v>0</v>
      </c>
      <c r="K386" s="36">
        <v>0</v>
      </c>
      <c r="L386" s="36">
        <v>0</v>
      </c>
      <c r="M386" s="36">
        <v>0</v>
      </c>
      <c r="N386" s="36">
        <v>0</v>
      </c>
    </row>
    <row r="387" spans="1:14" x14ac:dyDescent="0.35">
      <c r="A387" s="3" t="s">
        <v>680</v>
      </c>
      <c r="B387" s="4">
        <v>108</v>
      </c>
      <c r="C387" s="5">
        <v>35047</v>
      </c>
      <c r="D387" s="3" t="s">
        <v>684</v>
      </c>
      <c r="E387" s="16">
        <v>85.99</v>
      </c>
      <c r="F387" s="16">
        <v>45.3</v>
      </c>
      <c r="G387" s="36">
        <v>0</v>
      </c>
      <c r="H387" s="36">
        <v>0</v>
      </c>
      <c r="I387" s="36">
        <v>0</v>
      </c>
      <c r="J387" s="36">
        <v>0</v>
      </c>
      <c r="K387" s="36">
        <v>0</v>
      </c>
      <c r="L387" s="36">
        <v>0</v>
      </c>
      <c r="M387" s="36">
        <v>0</v>
      </c>
      <c r="N387" s="36">
        <v>0</v>
      </c>
    </row>
    <row r="388" spans="1:14" x14ac:dyDescent="0.35">
      <c r="A388" s="3" t="s">
        <v>680</v>
      </c>
      <c r="B388" s="4">
        <v>108</v>
      </c>
      <c r="C388" s="5">
        <v>35048</v>
      </c>
      <c r="D388" s="3" t="s">
        <v>685</v>
      </c>
      <c r="E388" s="16">
        <v>85.99</v>
      </c>
      <c r="F388" s="16">
        <v>45.3</v>
      </c>
      <c r="G388" s="36">
        <v>74.77391304347826</v>
      </c>
      <c r="H388" s="36">
        <v>1</v>
      </c>
      <c r="I388" s="36">
        <v>0</v>
      </c>
      <c r="J388" s="36">
        <v>0</v>
      </c>
      <c r="K388" s="36">
        <v>0</v>
      </c>
      <c r="L388" s="36">
        <v>0</v>
      </c>
      <c r="M388" s="36">
        <v>0</v>
      </c>
      <c r="N388" s="36">
        <v>0</v>
      </c>
    </row>
    <row r="389" spans="1:14" x14ac:dyDescent="0.35">
      <c r="A389" s="3" t="s">
        <v>680</v>
      </c>
      <c r="B389" s="4">
        <v>108</v>
      </c>
      <c r="C389" s="5">
        <v>35049</v>
      </c>
      <c r="D389" s="3" t="s">
        <v>686</v>
      </c>
      <c r="E389" s="16">
        <v>91.99</v>
      </c>
      <c r="F389" s="16">
        <v>48.4</v>
      </c>
      <c r="G389" s="36">
        <v>0</v>
      </c>
      <c r="H389" s="36">
        <v>0</v>
      </c>
      <c r="I389" s="36">
        <v>0</v>
      </c>
      <c r="J389" s="36">
        <v>0</v>
      </c>
      <c r="K389" s="36">
        <v>0</v>
      </c>
      <c r="L389" s="36">
        <v>0</v>
      </c>
      <c r="M389" s="36">
        <v>0</v>
      </c>
      <c r="N389" s="36">
        <v>0</v>
      </c>
    </row>
    <row r="390" spans="1:14" x14ac:dyDescent="0.35">
      <c r="A390" s="3" t="s">
        <v>680</v>
      </c>
      <c r="B390" s="4">
        <v>108</v>
      </c>
      <c r="C390" s="5">
        <v>35050</v>
      </c>
      <c r="D390" s="3" t="s">
        <v>687</v>
      </c>
      <c r="E390" s="16">
        <v>85.99</v>
      </c>
      <c r="F390" s="16">
        <v>45.3</v>
      </c>
      <c r="G390" s="36">
        <v>0</v>
      </c>
      <c r="H390" s="36">
        <v>0</v>
      </c>
      <c r="I390" s="36">
        <v>0</v>
      </c>
      <c r="J390" s="36">
        <v>0</v>
      </c>
      <c r="K390" s="36">
        <v>0</v>
      </c>
      <c r="L390" s="36">
        <v>0</v>
      </c>
      <c r="M390" s="36">
        <v>0</v>
      </c>
      <c r="N390" s="36">
        <v>0</v>
      </c>
    </row>
    <row r="391" spans="1:14" x14ac:dyDescent="0.35">
      <c r="A391" s="3" t="s">
        <v>680</v>
      </c>
      <c r="B391" s="4">
        <v>108</v>
      </c>
      <c r="C391" s="5">
        <v>38806</v>
      </c>
      <c r="D391" s="3" t="s">
        <v>688</v>
      </c>
      <c r="E391" s="16">
        <v>91.99</v>
      </c>
      <c r="F391" s="16">
        <v>48.4</v>
      </c>
      <c r="G391" s="36">
        <v>0</v>
      </c>
      <c r="H391" s="36">
        <v>0</v>
      </c>
      <c r="I391" s="36">
        <v>0</v>
      </c>
      <c r="J391" s="36">
        <v>0</v>
      </c>
      <c r="K391" s="36">
        <v>0</v>
      </c>
      <c r="L391" s="36">
        <v>0</v>
      </c>
      <c r="M391" s="36">
        <v>0</v>
      </c>
      <c r="N391" s="36">
        <v>0</v>
      </c>
    </row>
    <row r="392" spans="1:14" x14ac:dyDescent="0.35">
      <c r="A392" s="3" t="s">
        <v>680</v>
      </c>
      <c r="B392" s="4">
        <v>108</v>
      </c>
      <c r="C392" s="5">
        <v>38807</v>
      </c>
      <c r="D392" s="3" t="s">
        <v>689</v>
      </c>
      <c r="E392" s="16">
        <v>85.99</v>
      </c>
      <c r="F392" s="16">
        <v>45.3</v>
      </c>
      <c r="G392" s="36">
        <v>0</v>
      </c>
      <c r="H392" s="36">
        <v>0</v>
      </c>
      <c r="I392" s="36">
        <v>0</v>
      </c>
      <c r="J392" s="36">
        <v>0</v>
      </c>
      <c r="K392" s="36">
        <v>0</v>
      </c>
      <c r="L392" s="36">
        <v>0</v>
      </c>
      <c r="M392" s="36">
        <v>0</v>
      </c>
      <c r="N392" s="36">
        <v>0</v>
      </c>
    </row>
    <row r="393" spans="1:14" x14ac:dyDescent="0.35">
      <c r="A393" s="3" t="s">
        <v>680</v>
      </c>
      <c r="B393" s="4">
        <v>108</v>
      </c>
      <c r="C393" s="5">
        <v>38808</v>
      </c>
      <c r="D393" s="3" t="s">
        <v>690</v>
      </c>
      <c r="E393" s="16">
        <v>85.99</v>
      </c>
      <c r="F393" s="16">
        <v>45.3</v>
      </c>
      <c r="G393" s="36">
        <v>0</v>
      </c>
      <c r="H393" s="36">
        <v>0</v>
      </c>
      <c r="I393" s="36">
        <v>0</v>
      </c>
      <c r="J393" s="36">
        <v>0</v>
      </c>
      <c r="K393" s="36">
        <v>0</v>
      </c>
      <c r="L393" s="36">
        <v>0</v>
      </c>
      <c r="M393" s="36">
        <v>0</v>
      </c>
      <c r="N393" s="36">
        <v>0</v>
      </c>
    </row>
    <row r="394" spans="1:14" x14ac:dyDescent="0.35">
      <c r="A394" s="3" t="s">
        <v>680</v>
      </c>
      <c r="B394" s="4">
        <v>108</v>
      </c>
      <c r="C394" s="5">
        <v>38809</v>
      </c>
      <c r="D394" s="3" t="s">
        <v>691</v>
      </c>
      <c r="E394" s="16">
        <v>85.99</v>
      </c>
      <c r="F394" s="16">
        <v>45.3</v>
      </c>
      <c r="G394" s="36">
        <v>74.77391304347826</v>
      </c>
      <c r="H394" s="36">
        <v>1</v>
      </c>
      <c r="I394" s="36">
        <v>0</v>
      </c>
      <c r="J394" s="36">
        <v>0</v>
      </c>
      <c r="K394" s="36">
        <v>0</v>
      </c>
      <c r="L394" s="36">
        <v>0</v>
      </c>
      <c r="M394" s="36">
        <v>0</v>
      </c>
      <c r="N394" s="36">
        <v>0</v>
      </c>
    </row>
    <row r="395" spans="1:14" x14ac:dyDescent="0.35">
      <c r="A395" s="3" t="s">
        <v>35</v>
      </c>
      <c r="B395" s="4">
        <v>102</v>
      </c>
      <c r="C395" s="5">
        <v>38815</v>
      </c>
      <c r="D395" s="3" t="s">
        <v>184</v>
      </c>
      <c r="E395" s="16">
        <v>10.85</v>
      </c>
      <c r="F395" s="16">
        <v>5.9985000000000008</v>
      </c>
      <c r="G395" s="36">
        <v>0</v>
      </c>
      <c r="H395" s="36">
        <v>0</v>
      </c>
      <c r="I395" s="36">
        <v>0</v>
      </c>
      <c r="J395" s="36">
        <v>0</v>
      </c>
      <c r="K395" s="36">
        <v>0</v>
      </c>
      <c r="L395" s="36">
        <v>0</v>
      </c>
      <c r="M395" s="36">
        <v>0</v>
      </c>
      <c r="N395" s="36">
        <v>0</v>
      </c>
    </row>
    <row r="396" spans="1:14" x14ac:dyDescent="0.35">
      <c r="A396" s="3" t="s">
        <v>35</v>
      </c>
      <c r="B396" s="4">
        <v>102</v>
      </c>
      <c r="C396" s="5">
        <v>38816</v>
      </c>
      <c r="D396" s="3" t="s">
        <v>185</v>
      </c>
      <c r="E396" s="16">
        <v>7.99</v>
      </c>
      <c r="F396" s="16">
        <v>4.1160000000000005</v>
      </c>
      <c r="G396" s="36">
        <v>0</v>
      </c>
      <c r="H396" s="36">
        <v>0</v>
      </c>
      <c r="I396" s="36">
        <v>0</v>
      </c>
      <c r="J396" s="36">
        <v>0</v>
      </c>
      <c r="K396" s="36">
        <v>0</v>
      </c>
      <c r="L396" s="36">
        <v>0</v>
      </c>
      <c r="M396" s="36">
        <v>0</v>
      </c>
      <c r="N396" s="36">
        <v>0</v>
      </c>
    </row>
    <row r="397" spans="1:14" x14ac:dyDescent="0.35">
      <c r="A397" s="3" t="s">
        <v>35</v>
      </c>
      <c r="B397" s="4">
        <v>102</v>
      </c>
      <c r="C397" s="5">
        <v>38908</v>
      </c>
      <c r="D397" s="3" t="s">
        <v>186</v>
      </c>
      <c r="E397" s="16">
        <v>7.99</v>
      </c>
      <c r="F397" s="16">
        <v>4.3630833333333339</v>
      </c>
      <c r="G397" s="36">
        <v>0</v>
      </c>
      <c r="H397" s="36">
        <v>0</v>
      </c>
      <c r="I397" s="36">
        <v>0</v>
      </c>
      <c r="J397" s="36">
        <v>0</v>
      </c>
      <c r="K397" s="36">
        <v>0</v>
      </c>
      <c r="L397" s="36">
        <v>0</v>
      </c>
      <c r="M397" s="36">
        <v>0</v>
      </c>
      <c r="N397" s="36">
        <v>0</v>
      </c>
    </row>
    <row r="398" spans="1:14" x14ac:dyDescent="0.35">
      <c r="A398" s="3" t="s">
        <v>359</v>
      </c>
      <c r="B398" s="4">
        <v>103</v>
      </c>
      <c r="C398" s="5">
        <v>38909</v>
      </c>
      <c r="D398" s="3" t="s">
        <v>692</v>
      </c>
      <c r="E398" s="16">
        <v>82.99</v>
      </c>
      <c r="F398" s="16">
        <v>42.97</v>
      </c>
      <c r="G398" s="36">
        <v>0</v>
      </c>
      <c r="H398" s="36">
        <v>0</v>
      </c>
      <c r="I398" s="36">
        <v>0</v>
      </c>
      <c r="J398" s="36">
        <v>0</v>
      </c>
      <c r="K398" s="36">
        <v>0</v>
      </c>
      <c r="L398" s="36">
        <v>0</v>
      </c>
      <c r="M398" s="36">
        <v>0</v>
      </c>
      <c r="N398" s="36">
        <v>0</v>
      </c>
    </row>
    <row r="399" spans="1:14" x14ac:dyDescent="0.35">
      <c r="A399" s="3" t="s">
        <v>359</v>
      </c>
      <c r="B399" s="4">
        <v>103</v>
      </c>
      <c r="C399" s="5">
        <v>38911</v>
      </c>
      <c r="D399" s="3" t="s">
        <v>693</v>
      </c>
      <c r="E399" s="16">
        <v>134.99</v>
      </c>
      <c r="F399" s="16">
        <v>72.180000000000007</v>
      </c>
      <c r="G399" s="36">
        <v>0</v>
      </c>
      <c r="H399" s="36">
        <v>0</v>
      </c>
      <c r="I399" s="36">
        <v>0</v>
      </c>
      <c r="J399" s="36">
        <v>0</v>
      </c>
      <c r="K399" s="36">
        <v>0</v>
      </c>
      <c r="L399" s="36">
        <v>0</v>
      </c>
      <c r="M399" s="36">
        <v>0</v>
      </c>
      <c r="N399" s="36">
        <v>0</v>
      </c>
    </row>
    <row r="400" spans="1:14" x14ac:dyDescent="0.35">
      <c r="A400" s="3" t="s">
        <v>359</v>
      </c>
      <c r="B400" s="4">
        <v>103</v>
      </c>
      <c r="C400" s="5">
        <v>38912</v>
      </c>
      <c r="D400" s="3" t="s">
        <v>694</v>
      </c>
      <c r="E400" s="16">
        <v>105.99</v>
      </c>
      <c r="F400" s="16">
        <v>57.39</v>
      </c>
      <c r="G400" s="36">
        <v>0</v>
      </c>
      <c r="H400" s="36">
        <v>0</v>
      </c>
      <c r="I400" s="36">
        <v>0</v>
      </c>
      <c r="J400" s="36">
        <v>0</v>
      </c>
      <c r="K400" s="36">
        <v>0</v>
      </c>
      <c r="L400" s="36">
        <v>0</v>
      </c>
      <c r="M400" s="36">
        <v>0</v>
      </c>
      <c r="N400" s="36">
        <v>0</v>
      </c>
    </row>
    <row r="401" spans="1:14" x14ac:dyDescent="0.35">
      <c r="A401" s="3" t="s">
        <v>356</v>
      </c>
      <c r="B401" s="4">
        <v>105</v>
      </c>
      <c r="C401" s="5">
        <v>38941</v>
      </c>
      <c r="D401" s="3" t="s">
        <v>695</v>
      </c>
      <c r="E401" s="16">
        <v>11.99</v>
      </c>
      <c r="F401" s="16">
        <v>12.7</v>
      </c>
      <c r="G401" s="36">
        <v>0</v>
      </c>
      <c r="H401" s="36">
        <v>0</v>
      </c>
      <c r="I401" s="36">
        <v>0</v>
      </c>
      <c r="J401" s="36">
        <v>0</v>
      </c>
      <c r="K401" s="36">
        <v>0</v>
      </c>
      <c r="L401" s="36">
        <v>0</v>
      </c>
      <c r="M401" s="36">
        <v>0</v>
      </c>
      <c r="N401" s="36">
        <v>0</v>
      </c>
    </row>
    <row r="402" spans="1:14" x14ac:dyDescent="0.35">
      <c r="A402" s="3" t="s">
        <v>351</v>
      </c>
      <c r="B402" s="4">
        <v>117</v>
      </c>
      <c r="C402" s="5">
        <v>38947</v>
      </c>
      <c r="D402" s="3" t="s">
        <v>362</v>
      </c>
      <c r="E402" s="16">
        <v>230.99</v>
      </c>
      <c r="F402" s="16">
        <v>120.3</v>
      </c>
      <c r="G402" s="36">
        <v>0</v>
      </c>
      <c r="H402" s="36">
        <v>0</v>
      </c>
      <c r="I402" s="36">
        <v>0</v>
      </c>
      <c r="J402" s="36">
        <v>0</v>
      </c>
      <c r="K402" s="36">
        <v>0</v>
      </c>
      <c r="L402" s="36">
        <v>0</v>
      </c>
      <c r="M402" s="36">
        <v>0</v>
      </c>
      <c r="N402" s="36">
        <v>0</v>
      </c>
    </row>
    <row r="403" spans="1:14" x14ac:dyDescent="0.35">
      <c r="A403" s="3" t="s">
        <v>351</v>
      </c>
      <c r="B403" s="4">
        <v>117</v>
      </c>
      <c r="C403" s="5">
        <v>38948</v>
      </c>
      <c r="D403" s="3" t="s">
        <v>363</v>
      </c>
      <c r="E403" s="16">
        <v>182.99</v>
      </c>
      <c r="F403" s="16">
        <v>109.79</v>
      </c>
      <c r="G403" s="36">
        <v>0</v>
      </c>
      <c r="H403" s="36">
        <v>0</v>
      </c>
      <c r="I403" s="36">
        <v>0</v>
      </c>
      <c r="J403" s="36">
        <v>0</v>
      </c>
      <c r="K403" s="36">
        <v>0</v>
      </c>
      <c r="L403" s="36">
        <v>0</v>
      </c>
      <c r="M403" s="36">
        <v>0</v>
      </c>
      <c r="N403" s="36">
        <v>0</v>
      </c>
    </row>
    <row r="404" spans="1:14" x14ac:dyDescent="0.35">
      <c r="A404" s="3" t="s">
        <v>14</v>
      </c>
      <c r="B404" s="4">
        <v>102</v>
      </c>
      <c r="C404" s="5">
        <v>38977</v>
      </c>
      <c r="D404" s="3" t="s">
        <v>95</v>
      </c>
      <c r="E404" s="16">
        <v>18.989999999999998</v>
      </c>
      <c r="F404" s="16">
        <v>9.6999999999999993</v>
      </c>
      <c r="G404" s="36">
        <v>132.10434782608695</v>
      </c>
      <c r="H404" s="36">
        <v>8</v>
      </c>
      <c r="I404" s="36">
        <v>132.10434782608695</v>
      </c>
      <c r="J404" s="36">
        <v>8</v>
      </c>
      <c r="K404" s="36">
        <v>132.10434782608695</v>
      </c>
      <c r="L404" s="36">
        <v>8</v>
      </c>
      <c r="M404" s="36">
        <v>115.5913043478261</v>
      </c>
      <c r="N404" s="36">
        <v>7</v>
      </c>
    </row>
    <row r="405" spans="1:14" x14ac:dyDescent="0.35">
      <c r="A405" s="3" t="s">
        <v>35</v>
      </c>
      <c r="B405" s="4">
        <v>102</v>
      </c>
      <c r="C405" s="5">
        <v>38983</v>
      </c>
      <c r="D405" s="3" t="s">
        <v>187</v>
      </c>
      <c r="E405" s="16">
        <v>10.85</v>
      </c>
      <c r="F405" s="16">
        <v>5.9985000000000008</v>
      </c>
      <c r="G405" s="36">
        <v>0</v>
      </c>
      <c r="H405" s="36">
        <v>0</v>
      </c>
      <c r="I405" s="36">
        <v>0</v>
      </c>
      <c r="J405" s="36">
        <v>0</v>
      </c>
      <c r="K405" s="36">
        <v>0</v>
      </c>
      <c r="L405" s="36">
        <v>0</v>
      </c>
      <c r="M405" s="36">
        <v>0</v>
      </c>
      <c r="N405" s="36">
        <v>0</v>
      </c>
    </row>
    <row r="406" spans="1:14" x14ac:dyDescent="0.35">
      <c r="A406" s="3" t="s">
        <v>696</v>
      </c>
      <c r="B406" s="4">
        <v>103</v>
      </c>
      <c r="C406" s="5">
        <v>39018</v>
      </c>
      <c r="D406" s="3" t="s">
        <v>697</v>
      </c>
      <c r="E406" s="16">
        <v>165.99</v>
      </c>
      <c r="F406" s="16">
        <v>100</v>
      </c>
      <c r="G406" s="36">
        <v>0</v>
      </c>
      <c r="H406" s="36">
        <v>0</v>
      </c>
      <c r="I406" s="36">
        <v>0</v>
      </c>
      <c r="J406" s="36">
        <v>0</v>
      </c>
      <c r="K406" s="36">
        <v>0</v>
      </c>
      <c r="L406" s="36">
        <v>0</v>
      </c>
      <c r="M406" s="36">
        <v>0</v>
      </c>
      <c r="N406" s="36">
        <v>0</v>
      </c>
    </row>
    <row r="407" spans="1:14" x14ac:dyDescent="0.35">
      <c r="A407" s="3" t="s">
        <v>35</v>
      </c>
      <c r="B407" s="4">
        <v>102</v>
      </c>
      <c r="C407" s="5">
        <v>39025</v>
      </c>
      <c r="D407" s="3" t="s">
        <v>188</v>
      </c>
      <c r="E407" s="16">
        <v>330.99</v>
      </c>
      <c r="F407" s="16">
        <v>182.6</v>
      </c>
      <c r="G407" s="36">
        <v>0</v>
      </c>
      <c r="H407" s="36">
        <v>0</v>
      </c>
      <c r="I407" s="36">
        <v>0</v>
      </c>
      <c r="J407" s="36">
        <v>0</v>
      </c>
      <c r="K407" s="36">
        <v>0</v>
      </c>
      <c r="L407" s="36">
        <v>0</v>
      </c>
      <c r="M407" s="36">
        <v>0</v>
      </c>
      <c r="N407" s="36">
        <v>0</v>
      </c>
    </row>
    <row r="408" spans="1:14" x14ac:dyDescent="0.35">
      <c r="A408" s="3" t="s">
        <v>359</v>
      </c>
      <c r="B408" s="4">
        <v>103</v>
      </c>
      <c r="C408" s="5">
        <v>39220</v>
      </c>
      <c r="D408" s="3" t="s">
        <v>698</v>
      </c>
      <c r="E408" s="16">
        <v>147.99</v>
      </c>
      <c r="F408" s="16">
        <v>76.97</v>
      </c>
      <c r="G408" s="36">
        <v>0</v>
      </c>
      <c r="H408" s="36">
        <v>0</v>
      </c>
      <c r="I408" s="36">
        <v>0</v>
      </c>
      <c r="J408" s="36">
        <v>0</v>
      </c>
      <c r="K408" s="36">
        <v>0</v>
      </c>
      <c r="L408" s="36">
        <v>0</v>
      </c>
      <c r="M408" s="36">
        <v>0</v>
      </c>
      <c r="N408" s="36">
        <v>0</v>
      </c>
    </row>
    <row r="409" spans="1:14" x14ac:dyDescent="0.35">
      <c r="A409" s="3" t="s">
        <v>359</v>
      </c>
      <c r="B409" s="4">
        <v>103</v>
      </c>
      <c r="C409" s="5">
        <v>39222</v>
      </c>
      <c r="D409" s="3" t="s">
        <v>699</v>
      </c>
      <c r="E409" s="16">
        <v>89.99</v>
      </c>
      <c r="F409" s="16">
        <v>48.6</v>
      </c>
      <c r="G409" s="36">
        <v>0</v>
      </c>
      <c r="H409" s="36">
        <v>0</v>
      </c>
      <c r="I409" s="36">
        <v>0</v>
      </c>
      <c r="J409" s="36">
        <v>0</v>
      </c>
      <c r="K409" s="36">
        <v>0</v>
      </c>
      <c r="L409" s="36">
        <v>0</v>
      </c>
      <c r="M409" s="36">
        <v>0</v>
      </c>
      <c r="N409" s="36">
        <v>0</v>
      </c>
    </row>
    <row r="410" spans="1:14" x14ac:dyDescent="0.35">
      <c r="A410" s="3" t="s">
        <v>371</v>
      </c>
      <c r="B410" s="4">
        <v>103</v>
      </c>
      <c r="C410" s="5">
        <v>39399</v>
      </c>
      <c r="D410" s="3" t="s">
        <v>700</v>
      </c>
      <c r="E410" s="16">
        <v>14.99</v>
      </c>
      <c r="F410" s="16">
        <v>7.9799999999999995</v>
      </c>
      <c r="G410" s="36">
        <v>0</v>
      </c>
      <c r="H410" s="36">
        <v>0</v>
      </c>
      <c r="I410" s="36">
        <v>0</v>
      </c>
      <c r="J410" s="36">
        <v>0</v>
      </c>
      <c r="K410" s="36">
        <v>0</v>
      </c>
      <c r="L410" s="36">
        <v>0</v>
      </c>
      <c r="M410" s="36">
        <v>0</v>
      </c>
      <c r="N410" s="36">
        <v>0</v>
      </c>
    </row>
    <row r="411" spans="1:14" x14ac:dyDescent="0.35">
      <c r="A411" s="3" t="s">
        <v>35</v>
      </c>
      <c r="B411" s="4">
        <v>102</v>
      </c>
      <c r="C411" s="5">
        <v>39421</v>
      </c>
      <c r="D411" s="3" t="s">
        <v>189</v>
      </c>
      <c r="E411" s="16">
        <v>28.99</v>
      </c>
      <c r="F411" s="16">
        <v>16.567</v>
      </c>
      <c r="G411" s="36">
        <v>0</v>
      </c>
      <c r="H411" s="36">
        <v>0</v>
      </c>
      <c r="I411" s="36">
        <v>0</v>
      </c>
      <c r="J411" s="36">
        <v>0</v>
      </c>
      <c r="K411" s="36">
        <v>0</v>
      </c>
      <c r="L411" s="36">
        <v>0</v>
      </c>
      <c r="M411" s="36">
        <v>0</v>
      </c>
      <c r="N411" s="36">
        <v>0</v>
      </c>
    </row>
    <row r="412" spans="1:14" x14ac:dyDescent="0.35">
      <c r="A412" s="3" t="s">
        <v>14</v>
      </c>
      <c r="B412" s="4">
        <v>102</v>
      </c>
      <c r="C412" s="5">
        <v>39422</v>
      </c>
      <c r="D412" s="3" t="s">
        <v>120</v>
      </c>
      <c r="E412" s="16">
        <v>15.99</v>
      </c>
      <c r="F412" s="16">
        <v>8.3000000000000007</v>
      </c>
      <c r="G412" s="36">
        <v>13.904347826086957</v>
      </c>
      <c r="H412" s="36">
        <v>1</v>
      </c>
      <c r="I412" s="36">
        <v>13.904347826086957</v>
      </c>
      <c r="J412" s="36">
        <v>1</v>
      </c>
      <c r="K412" s="36">
        <v>0</v>
      </c>
      <c r="L412" s="36">
        <v>0</v>
      </c>
      <c r="M412" s="36">
        <v>0</v>
      </c>
      <c r="N412" s="36">
        <v>0</v>
      </c>
    </row>
    <row r="413" spans="1:14" x14ac:dyDescent="0.35">
      <c r="A413" s="3" t="s">
        <v>359</v>
      </c>
      <c r="B413" s="4">
        <v>103</v>
      </c>
      <c r="C413" s="5">
        <v>39493</v>
      </c>
      <c r="D413" s="3" t="s">
        <v>701</v>
      </c>
      <c r="E413" s="16">
        <v>486</v>
      </c>
      <c r="F413" s="16">
        <v>260</v>
      </c>
      <c r="G413" s="36">
        <v>0</v>
      </c>
      <c r="H413" s="36">
        <v>0</v>
      </c>
      <c r="I413" s="36">
        <v>0</v>
      </c>
      <c r="J413" s="36">
        <v>0</v>
      </c>
      <c r="K413" s="36">
        <v>0</v>
      </c>
      <c r="L413" s="36">
        <v>0</v>
      </c>
      <c r="M413" s="36">
        <v>0</v>
      </c>
      <c r="N413" s="36">
        <v>0</v>
      </c>
    </row>
    <row r="414" spans="1:14" x14ac:dyDescent="0.35">
      <c r="A414" s="3" t="s">
        <v>317</v>
      </c>
      <c r="B414" s="4">
        <v>101</v>
      </c>
      <c r="C414" s="5">
        <v>39536</v>
      </c>
      <c r="D414" s="3" t="s">
        <v>364</v>
      </c>
      <c r="E414" s="16">
        <v>38.99</v>
      </c>
      <c r="F414" s="16">
        <v>24.413912499999999</v>
      </c>
      <c r="G414" s="36">
        <v>0</v>
      </c>
      <c r="H414" s="36">
        <v>0</v>
      </c>
      <c r="I414" s="36">
        <v>0</v>
      </c>
      <c r="J414" s="36">
        <v>0</v>
      </c>
      <c r="K414" s="36">
        <v>0</v>
      </c>
      <c r="L414" s="36">
        <v>0</v>
      </c>
      <c r="M414" s="36">
        <v>0</v>
      </c>
      <c r="N414" s="36">
        <v>0</v>
      </c>
    </row>
    <row r="415" spans="1:14" x14ac:dyDescent="0.35">
      <c r="A415" s="3" t="s">
        <v>702</v>
      </c>
      <c r="B415" s="4">
        <v>103</v>
      </c>
      <c r="C415" s="5">
        <v>39566</v>
      </c>
      <c r="D415" s="3" t="s">
        <v>703</v>
      </c>
      <c r="E415" s="16">
        <v>0</v>
      </c>
      <c r="F415" s="16">
        <v>104.85</v>
      </c>
      <c r="G415" s="36">
        <v>0</v>
      </c>
      <c r="H415" s="36">
        <v>0</v>
      </c>
      <c r="I415" s="36">
        <v>0</v>
      </c>
      <c r="J415" s="36">
        <v>0</v>
      </c>
      <c r="K415" s="36">
        <v>0</v>
      </c>
      <c r="L415" s="36">
        <v>0</v>
      </c>
      <c r="M415" s="36">
        <v>0</v>
      </c>
      <c r="N415" s="36">
        <v>0</v>
      </c>
    </row>
    <row r="416" spans="1:14" x14ac:dyDescent="0.35">
      <c r="A416" s="3" t="s">
        <v>359</v>
      </c>
      <c r="B416" s="4">
        <v>103</v>
      </c>
      <c r="C416" s="5">
        <v>39591</v>
      </c>
      <c r="D416" s="3" t="s">
        <v>704</v>
      </c>
      <c r="E416" s="16">
        <v>93.99</v>
      </c>
      <c r="F416" s="16">
        <v>48.6</v>
      </c>
      <c r="G416" s="36">
        <v>0</v>
      </c>
      <c r="H416" s="36">
        <v>0</v>
      </c>
      <c r="I416" s="36">
        <v>0</v>
      </c>
      <c r="J416" s="36">
        <v>0</v>
      </c>
      <c r="K416" s="36">
        <v>0</v>
      </c>
      <c r="L416" s="36">
        <v>0</v>
      </c>
      <c r="M416" s="36">
        <v>0</v>
      </c>
      <c r="N416" s="36">
        <v>0</v>
      </c>
    </row>
    <row r="417" spans="1:14" x14ac:dyDescent="0.35">
      <c r="A417" s="3" t="s">
        <v>359</v>
      </c>
      <c r="B417" s="4">
        <v>103</v>
      </c>
      <c r="C417" s="5">
        <v>39592</v>
      </c>
      <c r="D417" s="3" t="s">
        <v>705</v>
      </c>
      <c r="E417" s="16">
        <v>206.99</v>
      </c>
      <c r="F417" s="16">
        <v>112.29</v>
      </c>
      <c r="G417" s="36">
        <v>0</v>
      </c>
      <c r="H417" s="36">
        <v>0</v>
      </c>
      <c r="I417" s="36">
        <v>0</v>
      </c>
      <c r="J417" s="36">
        <v>0</v>
      </c>
      <c r="K417" s="36">
        <v>0</v>
      </c>
      <c r="L417" s="36">
        <v>0</v>
      </c>
      <c r="M417" s="36">
        <v>0</v>
      </c>
      <c r="N417" s="36">
        <v>0</v>
      </c>
    </row>
    <row r="418" spans="1:14" x14ac:dyDescent="0.35">
      <c r="A418" s="3" t="s">
        <v>14</v>
      </c>
      <c r="B418" s="4">
        <v>101</v>
      </c>
      <c r="C418" s="5">
        <v>39750</v>
      </c>
      <c r="D418" s="3" t="s">
        <v>76</v>
      </c>
      <c r="E418" s="16">
        <v>39.99</v>
      </c>
      <c r="F418" s="16">
        <v>16.100000000000001</v>
      </c>
      <c r="G418" s="36">
        <v>0</v>
      </c>
      <c r="H418" s="36">
        <v>0</v>
      </c>
      <c r="I418" s="36">
        <v>0</v>
      </c>
      <c r="J418" s="36">
        <v>0</v>
      </c>
      <c r="K418" s="36">
        <v>0</v>
      </c>
      <c r="L418" s="36">
        <v>0</v>
      </c>
      <c r="M418" s="36">
        <v>0</v>
      </c>
      <c r="N418" s="36">
        <v>0</v>
      </c>
    </row>
    <row r="419" spans="1:14" x14ac:dyDescent="0.35">
      <c r="A419" s="3" t="s">
        <v>356</v>
      </c>
      <c r="B419" s="4">
        <v>103</v>
      </c>
      <c r="C419" s="5">
        <v>39863</v>
      </c>
      <c r="D419" s="3" t="s">
        <v>706</v>
      </c>
      <c r="E419" s="16">
        <v>179.99</v>
      </c>
      <c r="F419" s="16">
        <v>95.5</v>
      </c>
      <c r="G419" s="36">
        <v>0</v>
      </c>
      <c r="H419" s="36">
        <v>0</v>
      </c>
      <c r="I419" s="36">
        <v>0</v>
      </c>
      <c r="J419" s="36">
        <v>0</v>
      </c>
      <c r="K419" s="36">
        <v>0</v>
      </c>
      <c r="L419" s="36">
        <v>0</v>
      </c>
      <c r="M419" s="36">
        <v>0</v>
      </c>
      <c r="N419" s="36">
        <v>0</v>
      </c>
    </row>
    <row r="420" spans="1:14" x14ac:dyDescent="0.35">
      <c r="A420" s="3" t="s">
        <v>356</v>
      </c>
      <c r="B420" s="4">
        <v>103</v>
      </c>
      <c r="C420" s="5">
        <v>39865</v>
      </c>
      <c r="D420" s="3" t="s">
        <v>707</v>
      </c>
      <c r="E420" s="16">
        <v>142.99</v>
      </c>
      <c r="F420" s="16">
        <v>74.166600000000003</v>
      </c>
      <c r="G420" s="36">
        <v>0</v>
      </c>
      <c r="H420" s="36">
        <v>0</v>
      </c>
      <c r="I420" s="36">
        <v>0</v>
      </c>
      <c r="J420" s="36">
        <v>0</v>
      </c>
      <c r="K420" s="36">
        <v>0</v>
      </c>
      <c r="L420" s="36">
        <v>0</v>
      </c>
      <c r="M420" s="36">
        <v>0</v>
      </c>
      <c r="N420" s="36">
        <v>0</v>
      </c>
    </row>
    <row r="421" spans="1:14" x14ac:dyDescent="0.35">
      <c r="A421" s="3" t="s">
        <v>359</v>
      </c>
      <c r="B421" s="4">
        <v>103</v>
      </c>
      <c r="C421" s="5">
        <v>39881</v>
      </c>
      <c r="D421" s="3" t="s">
        <v>708</v>
      </c>
      <c r="E421" s="16">
        <v>149.99</v>
      </c>
      <c r="F421" s="16">
        <v>81.678100000000001</v>
      </c>
      <c r="G421" s="36">
        <v>0</v>
      </c>
      <c r="H421" s="36">
        <v>0</v>
      </c>
      <c r="I421" s="36">
        <v>0</v>
      </c>
      <c r="J421" s="36">
        <v>0</v>
      </c>
      <c r="K421" s="36">
        <v>0</v>
      </c>
      <c r="L421" s="36">
        <v>0</v>
      </c>
      <c r="M421" s="36">
        <v>0</v>
      </c>
      <c r="N421" s="36">
        <v>0</v>
      </c>
    </row>
    <row r="422" spans="1:14" x14ac:dyDescent="0.35">
      <c r="A422" s="3" t="s">
        <v>359</v>
      </c>
      <c r="B422" s="4">
        <v>103</v>
      </c>
      <c r="C422" s="5">
        <v>39882</v>
      </c>
      <c r="D422" s="3" t="s">
        <v>709</v>
      </c>
      <c r="E422" s="16">
        <v>224.99</v>
      </c>
      <c r="F422" s="16">
        <v>112.6</v>
      </c>
      <c r="G422" s="36">
        <v>0</v>
      </c>
      <c r="H422" s="36">
        <v>0</v>
      </c>
      <c r="I422" s="36">
        <v>0</v>
      </c>
      <c r="J422" s="36">
        <v>0</v>
      </c>
      <c r="K422" s="36">
        <v>0</v>
      </c>
      <c r="L422" s="36">
        <v>0</v>
      </c>
      <c r="M422" s="36">
        <v>0</v>
      </c>
      <c r="N422" s="36">
        <v>0</v>
      </c>
    </row>
    <row r="423" spans="1:14" x14ac:dyDescent="0.35">
      <c r="A423" s="3" t="s">
        <v>632</v>
      </c>
      <c r="B423" s="4">
        <v>105</v>
      </c>
      <c r="C423" s="5">
        <v>39921</v>
      </c>
      <c r="D423" s="3" t="s">
        <v>710</v>
      </c>
      <c r="E423" s="16">
        <v>13.99</v>
      </c>
      <c r="F423" s="16">
        <v>10.08</v>
      </c>
      <c r="G423" s="36">
        <v>0</v>
      </c>
      <c r="H423" s="36">
        <v>0</v>
      </c>
      <c r="I423" s="36">
        <v>0</v>
      </c>
      <c r="J423" s="36">
        <v>0</v>
      </c>
      <c r="K423" s="36">
        <v>0</v>
      </c>
      <c r="L423" s="36">
        <v>0</v>
      </c>
      <c r="M423" s="36">
        <v>0</v>
      </c>
      <c r="N423" s="36">
        <v>0</v>
      </c>
    </row>
    <row r="424" spans="1:14" x14ac:dyDescent="0.35">
      <c r="A424" s="3" t="s">
        <v>632</v>
      </c>
      <c r="B424" s="4">
        <v>105</v>
      </c>
      <c r="C424" s="5">
        <v>39922</v>
      </c>
      <c r="D424" s="3" t="s">
        <v>711</v>
      </c>
      <c r="E424" s="16">
        <v>13.99</v>
      </c>
      <c r="F424" s="16">
        <v>10.08</v>
      </c>
      <c r="G424" s="36">
        <v>0</v>
      </c>
      <c r="H424" s="36">
        <v>0</v>
      </c>
      <c r="I424" s="36">
        <v>0</v>
      </c>
      <c r="J424" s="36">
        <v>0</v>
      </c>
      <c r="K424" s="36">
        <v>0</v>
      </c>
      <c r="L424" s="36">
        <v>0</v>
      </c>
      <c r="M424" s="36">
        <v>0</v>
      </c>
      <c r="N424" s="36">
        <v>0</v>
      </c>
    </row>
    <row r="425" spans="1:14" x14ac:dyDescent="0.35">
      <c r="A425" s="3" t="s">
        <v>35</v>
      </c>
      <c r="B425" s="4">
        <v>102</v>
      </c>
      <c r="C425" s="5">
        <v>39963</v>
      </c>
      <c r="D425" s="3" t="s">
        <v>190</v>
      </c>
      <c r="E425" s="16">
        <v>5.4</v>
      </c>
      <c r="F425" s="16">
        <v>2.9407999999999999</v>
      </c>
      <c r="G425" s="36">
        <v>0</v>
      </c>
      <c r="H425" s="36">
        <v>0</v>
      </c>
      <c r="I425" s="36">
        <v>0</v>
      </c>
      <c r="J425" s="36">
        <v>0</v>
      </c>
      <c r="K425" s="36">
        <v>0</v>
      </c>
      <c r="L425" s="36">
        <v>0</v>
      </c>
      <c r="M425" s="36">
        <v>0</v>
      </c>
      <c r="N425" s="36">
        <v>0</v>
      </c>
    </row>
    <row r="426" spans="1:14" x14ac:dyDescent="0.35">
      <c r="A426" s="3" t="s">
        <v>14</v>
      </c>
      <c r="B426" s="4">
        <v>102</v>
      </c>
      <c r="C426" s="5">
        <v>40065</v>
      </c>
      <c r="D426" s="3" t="s">
        <v>103</v>
      </c>
      <c r="E426" s="16">
        <v>27.99</v>
      </c>
      <c r="F426" s="16">
        <v>15.7</v>
      </c>
      <c r="G426" s="36">
        <v>0</v>
      </c>
      <c r="H426" s="36">
        <v>0</v>
      </c>
      <c r="I426" s="36">
        <v>0</v>
      </c>
      <c r="J426" s="36">
        <v>0</v>
      </c>
      <c r="K426" s="36">
        <v>0</v>
      </c>
      <c r="L426" s="36">
        <v>0</v>
      </c>
      <c r="M426" s="36">
        <v>0</v>
      </c>
      <c r="N426" s="36">
        <v>0</v>
      </c>
    </row>
    <row r="427" spans="1:14" x14ac:dyDescent="0.35">
      <c r="A427" s="3" t="s">
        <v>14</v>
      </c>
      <c r="B427" s="4">
        <v>101</v>
      </c>
      <c r="C427" s="5">
        <v>40158</v>
      </c>
      <c r="D427" s="3" t="s">
        <v>58</v>
      </c>
      <c r="E427" s="16">
        <v>11.99</v>
      </c>
      <c r="F427" s="16">
        <v>6.05</v>
      </c>
      <c r="G427" s="36">
        <v>0</v>
      </c>
      <c r="H427" s="36">
        <v>0</v>
      </c>
      <c r="I427" s="36">
        <v>0</v>
      </c>
      <c r="J427" s="36">
        <v>0</v>
      </c>
      <c r="K427" s="36">
        <v>0</v>
      </c>
      <c r="L427" s="36">
        <v>0</v>
      </c>
      <c r="M427" s="36">
        <v>0</v>
      </c>
      <c r="N427" s="36">
        <v>0</v>
      </c>
    </row>
    <row r="428" spans="1:14" x14ac:dyDescent="0.35">
      <c r="A428" s="3" t="s">
        <v>317</v>
      </c>
      <c r="B428" s="4">
        <v>107</v>
      </c>
      <c r="C428" s="5">
        <v>40273</v>
      </c>
      <c r="D428" s="3" t="s">
        <v>712</v>
      </c>
      <c r="E428" s="16">
        <v>55.99</v>
      </c>
      <c r="F428" s="16">
        <v>25.29</v>
      </c>
      <c r="G428" s="36">
        <v>0</v>
      </c>
      <c r="H428" s="36">
        <v>0</v>
      </c>
      <c r="I428" s="36">
        <v>0</v>
      </c>
      <c r="J428" s="36">
        <v>0</v>
      </c>
      <c r="K428" s="36">
        <v>0</v>
      </c>
      <c r="L428" s="36">
        <v>0</v>
      </c>
      <c r="M428" s="36">
        <v>0</v>
      </c>
      <c r="N428" s="36">
        <v>0</v>
      </c>
    </row>
    <row r="429" spans="1:14" x14ac:dyDescent="0.35">
      <c r="A429" s="3" t="s">
        <v>14</v>
      </c>
      <c r="B429" s="4">
        <v>118</v>
      </c>
      <c r="C429" s="5">
        <v>40305</v>
      </c>
      <c r="D429" s="3" t="s">
        <v>257</v>
      </c>
      <c r="E429" s="16">
        <v>9.99</v>
      </c>
      <c r="F429" s="16">
        <v>4.53</v>
      </c>
      <c r="G429" s="36">
        <v>17.373913043478261</v>
      </c>
      <c r="H429" s="36">
        <v>2</v>
      </c>
      <c r="I429" s="36">
        <v>86.869565217391312</v>
      </c>
      <c r="J429" s="36">
        <v>10</v>
      </c>
      <c r="K429" s="36">
        <v>8.6869565217391305</v>
      </c>
      <c r="L429" s="36">
        <v>1</v>
      </c>
      <c r="M429" s="36">
        <v>0</v>
      </c>
      <c r="N429" s="36">
        <v>0</v>
      </c>
    </row>
    <row r="430" spans="1:14" x14ac:dyDescent="0.35">
      <c r="A430" s="3" t="s">
        <v>35</v>
      </c>
      <c r="B430" s="4">
        <v>102</v>
      </c>
      <c r="C430" s="5">
        <v>40364</v>
      </c>
      <c r="D430" s="3" t="s">
        <v>191</v>
      </c>
      <c r="E430" s="16">
        <v>4.99</v>
      </c>
      <c r="F430" s="16">
        <v>2.8072500000000002</v>
      </c>
      <c r="G430" s="36">
        <v>0</v>
      </c>
      <c r="H430" s="36">
        <v>0</v>
      </c>
      <c r="I430" s="36">
        <v>0</v>
      </c>
      <c r="J430" s="36">
        <v>0</v>
      </c>
      <c r="K430" s="36">
        <v>0</v>
      </c>
      <c r="L430" s="36">
        <v>0</v>
      </c>
      <c r="M430" s="36">
        <v>0</v>
      </c>
      <c r="N430" s="36">
        <v>0</v>
      </c>
    </row>
    <row r="431" spans="1:14" x14ac:dyDescent="0.35">
      <c r="A431" s="3" t="s">
        <v>713</v>
      </c>
      <c r="B431" s="4">
        <v>103</v>
      </c>
      <c r="C431" s="5">
        <v>40477</v>
      </c>
      <c r="D431" s="3" t="s">
        <v>714</v>
      </c>
      <c r="E431" s="16">
        <v>199.99</v>
      </c>
      <c r="F431" s="16">
        <v>104</v>
      </c>
      <c r="G431" s="36">
        <v>0</v>
      </c>
      <c r="H431" s="36">
        <v>0</v>
      </c>
      <c r="I431" s="36">
        <v>0</v>
      </c>
      <c r="J431" s="36">
        <v>0</v>
      </c>
      <c r="K431" s="36">
        <v>0</v>
      </c>
      <c r="L431" s="36">
        <v>0</v>
      </c>
      <c r="M431" s="36">
        <v>0</v>
      </c>
      <c r="N431" s="36">
        <v>0</v>
      </c>
    </row>
    <row r="432" spans="1:14" x14ac:dyDescent="0.35">
      <c r="A432" s="3" t="s">
        <v>14</v>
      </c>
      <c r="B432" s="4">
        <v>104</v>
      </c>
      <c r="C432" s="5">
        <v>40732</v>
      </c>
      <c r="D432" s="3" t="s">
        <v>239</v>
      </c>
      <c r="E432" s="16">
        <v>15</v>
      </c>
      <c r="F432" s="16">
        <v>7.38</v>
      </c>
      <c r="G432" s="36">
        <v>0</v>
      </c>
      <c r="H432" s="36">
        <v>0</v>
      </c>
      <c r="I432" s="36">
        <v>0</v>
      </c>
      <c r="J432" s="36">
        <v>0</v>
      </c>
      <c r="K432" s="36">
        <v>0</v>
      </c>
      <c r="L432" s="36">
        <v>0</v>
      </c>
      <c r="M432" s="36">
        <v>0</v>
      </c>
      <c r="N432" s="36">
        <v>0</v>
      </c>
    </row>
    <row r="433" spans="1:14" x14ac:dyDescent="0.35">
      <c r="A433" s="3" t="s">
        <v>14</v>
      </c>
      <c r="B433" s="4">
        <v>118</v>
      </c>
      <c r="C433" s="5">
        <v>40809</v>
      </c>
      <c r="D433" s="3" t="s">
        <v>260</v>
      </c>
      <c r="E433" s="16">
        <v>15.99</v>
      </c>
      <c r="F433" s="16">
        <v>6.5</v>
      </c>
      <c r="G433" s="36">
        <v>0</v>
      </c>
      <c r="H433" s="36">
        <v>0</v>
      </c>
      <c r="I433" s="36">
        <v>0</v>
      </c>
      <c r="J433" s="36">
        <v>0</v>
      </c>
      <c r="K433" s="36">
        <v>0</v>
      </c>
      <c r="L433" s="36">
        <v>0</v>
      </c>
      <c r="M433" s="36">
        <v>0</v>
      </c>
      <c r="N433" s="36">
        <v>0</v>
      </c>
    </row>
    <row r="434" spans="1:14" x14ac:dyDescent="0.35">
      <c r="A434" s="3" t="s">
        <v>317</v>
      </c>
      <c r="B434" s="4">
        <v>107</v>
      </c>
      <c r="C434" s="5">
        <v>40844</v>
      </c>
      <c r="D434" s="3" t="s">
        <v>715</v>
      </c>
      <c r="E434" s="16">
        <v>39.99</v>
      </c>
      <c r="F434" s="16">
        <v>24.806049999999999</v>
      </c>
      <c r="G434" s="36">
        <v>0</v>
      </c>
      <c r="H434" s="36">
        <v>0</v>
      </c>
      <c r="I434" s="36">
        <v>0</v>
      </c>
      <c r="J434" s="36">
        <v>0</v>
      </c>
      <c r="K434" s="36">
        <v>0</v>
      </c>
      <c r="L434" s="36">
        <v>0</v>
      </c>
      <c r="M434" s="36">
        <v>0</v>
      </c>
      <c r="N434" s="36">
        <v>0</v>
      </c>
    </row>
    <row r="435" spans="1:14" x14ac:dyDescent="0.35">
      <c r="A435" s="3" t="s">
        <v>359</v>
      </c>
      <c r="B435" s="4">
        <v>102</v>
      </c>
      <c r="C435" s="5">
        <v>40926</v>
      </c>
      <c r="D435" s="3" t="s">
        <v>365</v>
      </c>
      <c r="E435" s="16">
        <v>55.99</v>
      </c>
      <c r="F435" s="16">
        <v>32.22</v>
      </c>
      <c r="G435" s="36">
        <v>0</v>
      </c>
      <c r="H435" s="36">
        <v>0</v>
      </c>
      <c r="I435" s="36">
        <v>0</v>
      </c>
      <c r="J435" s="36">
        <v>0</v>
      </c>
      <c r="K435" s="36">
        <v>0</v>
      </c>
      <c r="L435" s="36">
        <v>0</v>
      </c>
      <c r="M435" s="36">
        <v>0</v>
      </c>
      <c r="N435" s="36">
        <v>0</v>
      </c>
    </row>
    <row r="436" spans="1:14" x14ac:dyDescent="0.35">
      <c r="A436" s="3" t="s">
        <v>359</v>
      </c>
      <c r="B436" s="4">
        <v>102</v>
      </c>
      <c r="C436" s="5">
        <v>41078</v>
      </c>
      <c r="D436" s="3" t="s">
        <v>366</v>
      </c>
      <c r="E436" s="16">
        <v>61.99</v>
      </c>
      <c r="F436" s="16">
        <v>33.53</v>
      </c>
      <c r="G436" s="36">
        <v>0</v>
      </c>
      <c r="H436" s="36">
        <v>0</v>
      </c>
      <c r="I436" s="36">
        <v>0</v>
      </c>
      <c r="J436" s="36">
        <v>0</v>
      </c>
      <c r="K436" s="36">
        <v>0</v>
      </c>
      <c r="L436" s="36">
        <v>0</v>
      </c>
      <c r="M436" s="36">
        <v>0</v>
      </c>
      <c r="N436" s="36">
        <v>0</v>
      </c>
    </row>
    <row r="437" spans="1:14" x14ac:dyDescent="0.35">
      <c r="A437" s="3" t="s">
        <v>359</v>
      </c>
      <c r="B437" s="4">
        <v>103</v>
      </c>
      <c r="C437" s="5">
        <v>41079</v>
      </c>
      <c r="D437" s="3" t="s">
        <v>716</v>
      </c>
      <c r="E437" s="16">
        <v>279.99</v>
      </c>
      <c r="F437" s="16">
        <v>147.18</v>
      </c>
      <c r="G437" s="36">
        <v>0</v>
      </c>
      <c r="H437" s="36">
        <v>0</v>
      </c>
      <c r="I437" s="36">
        <v>0</v>
      </c>
      <c r="J437" s="36">
        <v>0</v>
      </c>
      <c r="K437" s="36">
        <v>0</v>
      </c>
      <c r="L437" s="36">
        <v>0</v>
      </c>
      <c r="M437" s="36">
        <v>0</v>
      </c>
      <c r="N437" s="36">
        <v>0</v>
      </c>
    </row>
    <row r="438" spans="1:14" x14ac:dyDescent="0.35">
      <c r="A438" s="3" t="s">
        <v>14</v>
      </c>
      <c r="B438" s="4">
        <v>101</v>
      </c>
      <c r="C438" s="5">
        <v>41464</v>
      </c>
      <c r="D438" s="3" t="s">
        <v>45</v>
      </c>
      <c r="E438" s="16">
        <v>16.989999999999998</v>
      </c>
      <c r="F438" s="16">
        <v>7.73</v>
      </c>
      <c r="G438" s="36">
        <v>0</v>
      </c>
      <c r="H438" s="36">
        <v>0</v>
      </c>
      <c r="I438" s="36">
        <v>0</v>
      </c>
      <c r="J438" s="36">
        <v>0</v>
      </c>
      <c r="K438" s="36">
        <v>0</v>
      </c>
      <c r="L438" s="36">
        <v>0</v>
      </c>
      <c r="M438" s="36">
        <v>0</v>
      </c>
      <c r="N438" s="36">
        <v>0</v>
      </c>
    </row>
    <row r="439" spans="1:14" x14ac:dyDescent="0.35">
      <c r="A439" s="3" t="s">
        <v>14</v>
      </c>
      <c r="B439" s="4">
        <v>117</v>
      </c>
      <c r="C439" s="5">
        <v>41620</v>
      </c>
      <c r="D439" s="3" t="s">
        <v>255</v>
      </c>
      <c r="E439" s="16">
        <v>15.99</v>
      </c>
      <c r="F439" s="16">
        <v>8.11</v>
      </c>
      <c r="G439" s="36">
        <v>0</v>
      </c>
      <c r="H439" s="36">
        <v>0</v>
      </c>
      <c r="I439" s="36">
        <v>0</v>
      </c>
      <c r="J439" s="36">
        <v>0</v>
      </c>
      <c r="K439" s="36">
        <v>13.904347826086957</v>
      </c>
      <c r="L439" s="36">
        <v>1</v>
      </c>
      <c r="M439" s="36">
        <v>0</v>
      </c>
      <c r="N439" s="36">
        <v>0</v>
      </c>
    </row>
    <row r="440" spans="1:14" x14ac:dyDescent="0.35">
      <c r="A440" s="3" t="s">
        <v>359</v>
      </c>
      <c r="B440" s="4">
        <v>103</v>
      </c>
      <c r="C440" s="5">
        <v>41637</v>
      </c>
      <c r="D440" s="3" t="s">
        <v>717</v>
      </c>
      <c r="E440" s="16">
        <v>122.99</v>
      </c>
      <c r="F440" s="16">
        <v>64.09</v>
      </c>
      <c r="G440" s="36">
        <v>0</v>
      </c>
      <c r="H440" s="36">
        <v>0</v>
      </c>
      <c r="I440" s="36">
        <v>0</v>
      </c>
      <c r="J440" s="36">
        <v>0</v>
      </c>
      <c r="K440" s="36">
        <v>0</v>
      </c>
      <c r="L440" s="36">
        <v>0</v>
      </c>
      <c r="M440" s="36">
        <v>0</v>
      </c>
      <c r="N440" s="36">
        <v>0</v>
      </c>
    </row>
    <row r="441" spans="1:14" x14ac:dyDescent="0.35">
      <c r="A441" s="3" t="s">
        <v>359</v>
      </c>
      <c r="B441" s="4">
        <v>103</v>
      </c>
      <c r="C441" s="5">
        <v>41638</v>
      </c>
      <c r="D441" s="3" t="s">
        <v>718</v>
      </c>
      <c r="E441" s="16">
        <v>289.99</v>
      </c>
      <c r="F441" s="16">
        <v>143.44</v>
      </c>
      <c r="G441" s="36">
        <v>0</v>
      </c>
      <c r="H441" s="36">
        <v>0</v>
      </c>
      <c r="I441" s="36">
        <v>0</v>
      </c>
      <c r="J441" s="36">
        <v>0</v>
      </c>
      <c r="K441" s="36">
        <v>0</v>
      </c>
      <c r="L441" s="36">
        <v>0</v>
      </c>
      <c r="M441" s="36">
        <v>0</v>
      </c>
      <c r="N441" s="36">
        <v>0</v>
      </c>
    </row>
    <row r="442" spans="1:14" x14ac:dyDescent="0.35">
      <c r="A442" s="3" t="s">
        <v>367</v>
      </c>
      <c r="B442" s="4">
        <v>116</v>
      </c>
      <c r="C442" s="5">
        <v>41821</v>
      </c>
      <c r="D442" s="3" t="s">
        <v>368</v>
      </c>
      <c r="E442" s="16">
        <v>22</v>
      </c>
      <c r="F442" s="16">
        <v>10.75</v>
      </c>
      <c r="G442" s="36">
        <v>0</v>
      </c>
      <c r="H442" s="36">
        <v>0</v>
      </c>
      <c r="I442" s="36">
        <v>0</v>
      </c>
      <c r="J442" s="36">
        <v>0</v>
      </c>
      <c r="K442" s="36">
        <v>0</v>
      </c>
      <c r="L442" s="36">
        <v>0</v>
      </c>
      <c r="M442" s="36">
        <v>0</v>
      </c>
      <c r="N442" s="36">
        <v>0</v>
      </c>
    </row>
    <row r="443" spans="1:14" x14ac:dyDescent="0.35">
      <c r="A443" s="3" t="s">
        <v>359</v>
      </c>
      <c r="B443" s="4">
        <v>103</v>
      </c>
      <c r="C443" s="5">
        <v>41946</v>
      </c>
      <c r="D443" s="3" t="s">
        <v>719</v>
      </c>
      <c r="E443" s="16">
        <v>57.99</v>
      </c>
      <c r="F443" s="16">
        <v>30.267900000000001</v>
      </c>
      <c r="G443" s="36">
        <v>0</v>
      </c>
      <c r="H443" s="36">
        <v>0</v>
      </c>
      <c r="I443" s="36">
        <v>0</v>
      </c>
      <c r="J443" s="36">
        <v>0</v>
      </c>
      <c r="K443" s="36">
        <v>0</v>
      </c>
      <c r="L443" s="36">
        <v>0</v>
      </c>
      <c r="M443" s="36">
        <v>0</v>
      </c>
      <c r="N443" s="36">
        <v>0</v>
      </c>
    </row>
    <row r="444" spans="1:14" x14ac:dyDescent="0.35">
      <c r="A444" s="3" t="s">
        <v>359</v>
      </c>
      <c r="B444" s="4">
        <v>103</v>
      </c>
      <c r="C444" s="5">
        <v>42112</v>
      </c>
      <c r="D444" s="3" t="s">
        <v>720</v>
      </c>
      <c r="E444" s="16">
        <v>83.99</v>
      </c>
      <c r="F444" s="16">
        <v>45.459899999999998</v>
      </c>
      <c r="G444" s="36">
        <v>0</v>
      </c>
      <c r="H444" s="36">
        <v>0</v>
      </c>
      <c r="I444" s="36">
        <v>0</v>
      </c>
      <c r="J444" s="36">
        <v>0</v>
      </c>
      <c r="K444" s="36">
        <v>0</v>
      </c>
      <c r="L444" s="36">
        <v>0</v>
      </c>
      <c r="M444" s="36">
        <v>0</v>
      </c>
      <c r="N444" s="36">
        <v>0</v>
      </c>
    </row>
    <row r="445" spans="1:14" x14ac:dyDescent="0.35">
      <c r="A445" s="3" t="s">
        <v>317</v>
      </c>
      <c r="B445" s="4">
        <v>101</v>
      </c>
      <c r="C445" s="5">
        <v>42162</v>
      </c>
      <c r="D445" s="3" t="s">
        <v>369</v>
      </c>
      <c r="E445" s="16">
        <v>25.99</v>
      </c>
      <c r="F445" s="16">
        <v>15.19318125</v>
      </c>
      <c r="G445" s="36">
        <v>0</v>
      </c>
      <c r="H445" s="36">
        <v>0</v>
      </c>
      <c r="I445" s="36">
        <v>0</v>
      </c>
      <c r="J445" s="36">
        <v>0</v>
      </c>
      <c r="K445" s="36">
        <v>0</v>
      </c>
      <c r="L445" s="36">
        <v>0</v>
      </c>
      <c r="M445" s="36">
        <v>0</v>
      </c>
      <c r="N445" s="36">
        <v>0</v>
      </c>
    </row>
    <row r="446" spans="1:14" x14ac:dyDescent="0.35">
      <c r="A446" s="3" t="s">
        <v>317</v>
      </c>
      <c r="B446" s="4">
        <v>109</v>
      </c>
      <c r="C446" s="5">
        <v>42165</v>
      </c>
      <c r="D446" s="3" t="s">
        <v>721</v>
      </c>
      <c r="E446" s="16">
        <v>72.989999999999995</v>
      </c>
      <c r="F446" s="16">
        <v>45.37</v>
      </c>
      <c r="G446" s="36">
        <v>0</v>
      </c>
      <c r="H446" s="36">
        <v>0</v>
      </c>
      <c r="I446" s="36">
        <v>0</v>
      </c>
      <c r="J446" s="36">
        <v>0</v>
      </c>
      <c r="K446" s="36">
        <v>0</v>
      </c>
      <c r="L446" s="36">
        <v>0</v>
      </c>
      <c r="M446" s="36">
        <v>0</v>
      </c>
      <c r="N446" s="36">
        <v>0</v>
      </c>
    </row>
    <row r="447" spans="1:14" x14ac:dyDescent="0.35">
      <c r="A447" s="3" t="s">
        <v>317</v>
      </c>
      <c r="B447" s="4">
        <v>109</v>
      </c>
      <c r="C447" s="5">
        <v>42166</v>
      </c>
      <c r="D447" s="3" t="s">
        <v>722</v>
      </c>
      <c r="E447" s="16">
        <v>72.989999999999995</v>
      </c>
      <c r="F447" s="16">
        <v>45.37</v>
      </c>
      <c r="G447" s="36">
        <v>0</v>
      </c>
      <c r="H447" s="36">
        <v>0</v>
      </c>
      <c r="I447" s="36">
        <v>0</v>
      </c>
      <c r="J447" s="36">
        <v>0</v>
      </c>
      <c r="K447" s="36">
        <v>0</v>
      </c>
      <c r="L447" s="36">
        <v>0</v>
      </c>
      <c r="M447" s="36">
        <v>0</v>
      </c>
      <c r="N447" s="36">
        <v>0</v>
      </c>
    </row>
    <row r="448" spans="1:14" x14ac:dyDescent="0.35">
      <c r="A448" s="3" t="s">
        <v>317</v>
      </c>
      <c r="B448" s="4">
        <v>109</v>
      </c>
      <c r="C448" s="5">
        <v>42167</v>
      </c>
      <c r="D448" s="3" t="s">
        <v>723</v>
      </c>
      <c r="E448" s="16">
        <v>72.989999999999995</v>
      </c>
      <c r="F448" s="16">
        <v>45.37</v>
      </c>
      <c r="G448" s="36">
        <v>0</v>
      </c>
      <c r="H448" s="36">
        <v>0</v>
      </c>
      <c r="I448" s="36">
        <v>0</v>
      </c>
      <c r="J448" s="36">
        <v>0</v>
      </c>
      <c r="K448" s="36">
        <v>0</v>
      </c>
      <c r="L448" s="36">
        <v>0</v>
      </c>
      <c r="M448" s="36">
        <v>0</v>
      </c>
      <c r="N448" s="36">
        <v>0</v>
      </c>
    </row>
    <row r="449" spans="1:14" x14ac:dyDescent="0.35">
      <c r="A449" s="3" t="s">
        <v>317</v>
      </c>
      <c r="B449" s="4">
        <v>117</v>
      </c>
      <c r="C449" s="5">
        <v>42169</v>
      </c>
      <c r="D449" s="3" t="s">
        <v>370</v>
      </c>
      <c r="E449" s="16">
        <v>32.99</v>
      </c>
      <c r="F449" s="16">
        <v>19.55</v>
      </c>
      <c r="G449" s="36">
        <v>0</v>
      </c>
      <c r="H449" s="36">
        <v>0</v>
      </c>
      <c r="I449" s="36">
        <v>0</v>
      </c>
      <c r="J449" s="36">
        <v>0</v>
      </c>
      <c r="K449" s="36">
        <v>0</v>
      </c>
      <c r="L449" s="36">
        <v>0</v>
      </c>
      <c r="M449" s="36">
        <v>0</v>
      </c>
      <c r="N449" s="36">
        <v>0</v>
      </c>
    </row>
    <row r="450" spans="1:14" x14ac:dyDescent="0.35">
      <c r="A450" s="3" t="s">
        <v>14</v>
      </c>
      <c r="B450" s="4">
        <v>106</v>
      </c>
      <c r="C450" s="5">
        <v>42296</v>
      </c>
      <c r="D450" s="3" t="s">
        <v>246</v>
      </c>
      <c r="E450" s="16">
        <v>4.99</v>
      </c>
      <c r="F450" s="16">
        <v>2.97</v>
      </c>
      <c r="G450" s="36">
        <v>0</v>
      </c>
      <c r="H450" s="36">
        <v>0</v>
      </c>
      <c r="I450" s="36">
        <v>0</v>
      </c>
      <c r="J450" s="36">
        <v>0</v>
      </c>
      <c r="K450" s="36">
        <v>0</v>
      </c>
      <c r="L450" s="36">
        <v>0</v>
      </c>
      <c r="M450" s="36">
        <v>0</v>
      </c>
      <c r="N450" s="36">
        <v>0</v>
      </c>
    </row>
    <row r="451" spans="1:14" x14ac:dyDescent="0.35">
      <c r="A451" s="3" t="s">
        <v>14</v>
      </c>
      <c r="B451" s="4">
        <v>101</v>
      </c>
      <c r="C451" s="5">
        <v>42401</v>
      </c>
      <c r="D451" s="3" t="s">
        <v>38</v>
      </c>
      <c r="E451" s="16">
        <v>14.99</v>
      </c>
      <c r="F451" s="16">
        <v>6.62</v>
      </c>
      <c r="G451" s="36">
        <v>0</v>
      </c>
      <c r="H451" s="36">
        <v>0</v>
      </c>
      <c r="I451" s="36">
        <v>130.34782608695653</v>
      </c>
      <c r="J451" s="36">
        <v>10</v>
      </c>
      <c r="K451" s="36">
        <v>37.799999999999997</v>
      </c>
      <c r="L451" s="36">
        <v>3</v>
      </c>
      <c r="M451" s="36">
        <v>65.173913043478265</v>
      </c>
      <c r="N451" s="36">
        <v>5</v>
      </c>
    </row>
    <row r="452" spans="1:14" x14ac:dyDescent="0.35">
      <c r="A452" s="3" t="s">
        <v>724</v>
      </c>
      <c r="B452" s="4">
        <v>112</v>
      </c>
      <c r="C452" s="5">
        <v>42648</v>
      </c>
      <c r="D452" s="3" t="s">
        <v>725</v>
      </c>
      <c r="E452" s="16">
        <v>162.99</v>
      </c>
      <c r="F452" s="16">
        <v>100.62609999999999</v>
      </c>
      <c r="G452" s="36">
        <v>0</v>
      </c>
      <c r="H452" s="36">
        <v>0</v>
      </c>
      <c r="I452" s="36">
        <v>0</v>
      </c>
      <c r="J452" s="36">
        <v>0</v>
      </c>
      <c r="K452" s="36">
        <v>0</v>
      </c>
      <c r="L452" s="36">
        <v>0</v>
      </c>
      <c r="M452" s="36">
        <v>0</v>
      </c>
      <c r="N452" s="36">
        <v>0</v>
      </c>
    </row>
    <row r="453" spans="1:14" x14ac:dyDescent="0.35">
      <c r="A453" s="3" t="s">
        <v>724</v>
      </c>
      <c r="B453" s="4">
        <v>112</v>
      </c>
      <c r="C453" s="5">
        <v>42650</v>
      </c>
      <c r="D453" s="3" t="s">
        <v>726</v>
      </c>
      <c r="E453" s="16">
        <v>105.99</v>
      </c>
      <c r="F453" s="16">
        <v>65.434700000000007</v>
      </c>
      <c r="G453" s="36">
        <v>0</v>
      </c>
      <c r="H453" s="36">
        <v>0</v>
      </c>
      <c r="I453" s="36">
        <v>0</v>
      </c>
      <c r="J453" s="36">
        <v>0</v>
      </c>
      <c r="K453" s="36">
        <v>0</v>
      </c>
      <c r="L453" s="36">
        <v>0</v>
      </c>
      <c r="M453" s="36">
        <v>0</v>
      </c>
      <c r="N453" s="36">
        <v>0</v>
      </c>
    </row>
    <row r="454" spans="1:14" x14ac:dyDescent="0.35">
      <c r="A454" s="3" t="s">
        <v>724</v>
      </c>
      <c r="B454" s="4">
        <v>112</v>
      </c>
      <c r="C454" s="5">
        <v>42653</v>
      </c>
      <c r="D454" s="3" t="s">
        <v>727</v>
      </c>
      <c r="E454" s="16">
        <v>179.99</v>
      </c>
      <c r="F454" s="16">
        <v>111.1217</v>
      </c>
      <c r="G454" s="36">
        <v>0</v>
      </c>
      <c r="H454" s="36">
        <v>0</v>
      </c>
      <c r="I454" s="36">
        <v>0</v>
      </c>
      <c r="J454" s="36">
        <v>0</v>
      </c>
      <c r="K454" s="36">
        <v>0</v>
      </c>
      <c r="L454" s="36">
        <v>0</v>
      </c>
      <c r="M454" s="36">
        <v>0</v>
      </c>
      <c r="N454" s="36">
        <v>0</v>
      </c>
    </row>
    <row r="455" spans="1:14" x14ac:dyDescent="0.35">
      <c r="A455" s="3" t="s">
        <v>19</v>
      </c>
      <c r="B455" s="4">
        <v>102</v>
      </c>
      <c r="C455" s="5">
        <v>42674</v>
      </c>
      <c r="D455" s="3" t="s">
        <v>183</v>
      </c>
      <c r="E455" s="16">
        <v>5.49</v>
      </c>
      <c r="F455" s="16">
        <v>2.788416666666667</v>
      </c>
      <c r="G455" s="36">
        <v>0</v>
      </c>
      <c r="H455" s="36">
        <v>0</v>
      </c>
      <c r="I455" s="36">
        <v>0</v>
      </c>
      <c r="J455" s="36">
        <v>0</v>
      </c>
      <c r="K455" s="36">
        <v>0</v>
      </c>
      <c r="L455" s="36">
        <v>0</v>
      </c>
      <c r="M455" s="36">
        <v>0</v>
      </c>
      <c r="N455" s="36">
        <v>0</v>
      </c>
    </row>
    <row r="456" spans="1:14" x14ac:dyDescent="0.35">
      <c r="A456" s="3" t="s">
        <v>359</v>
      </c>
      <c r="B456" s="4">
        <v>103</v>
      </c>
      <c r="C456" s="5">
        <v>42738</v>
      </c>
      <c r="D456" s="3" t="s">
        <v>728</v>
      </c>
      <c r="E456" s="16">
        <v>106.99</v>
      </c>
      <c r="F456" s="16">
        <v>57.51</v>
      </c>
      <c r="G456" s="36">
        <v>0</v>
      </c>
      <c r="H456" s="36">
        <v>0</v>
      </c>
      <c r="I456" s="36">
        <v>0</v>
      </c>
      <c r="J456" s="36">
        <v>0</v>
      </c>
      <c r="K456" s="36">
        <v>0</v>
      </c>
      <c r="L456" s="36">
        <v>0</v>
      </c>
      <c r="M456" s="36">
        <v>0</v>
      </c>
      <c r="N456" s="36">
        <v>0</v>
      </c>
    </row>
    <row r="457" spans="1:14" x14ac:dyDescent="0.35">
      <c r="A457" s="3" t="s">
        <v>702</v>
      </c>
      <c r="B457" s="4">
        <v>103</v>
      </c>
      <c r="C457" s="5">
        <v>42740</v>
      </c>
      <c r="D457" s="3" t="s">
        <v>729</v>
      </c>
      <c r="E457" s="16">
        <v>0</v>
      </c>
      <c r="F457" s="16">
        <v>104.85</v>
      </c>
      <c r="G457" s="36">
        <v>0</v>
      </c>
      <c r="H457" s="36">
        <v>0</v>
      </c>
      <c r="I457" s="36">
        <v>0</v>
      </c>
      <c r="J457" s="36">
        <v>0</v>
      </c>
      <c r="K457" s="36">
        <v>0</v>
      </c>
      <c r="L457" s="36">
        <v>0</v>
      </c>
      <c r="M457" s="36">
        <v>0</v>
      </c>
      <c r="N457" s="36">
        <v>0</v>
      </c>
    </row>
    <row r="458" spans="1:14" x14ac:dyDescent="0.35">
      <c r="A458" s="3" t="s">
        <v>730</v>
      </c>
      <c r="B458" s="4">
        <v>103</v>
      </c>
      <c r="C458" s="5">
        <v>42742</v>
      </c>
      <c r="D458" s="3" t="s">
        <v>731</v>
      </c>
      <c r="E458" s="16">
        <v>36.99</v>
      </c>
      <c r="F458" s="16">
        <v>19.13</v>
      </c>
      <c r="G458" s="36">
        <v>0</v>
      </c>
      <c r="H458" s="36">
        <v>0</v>
      </c>
      <c r="I458" s="36">
        <v>0</v>
      </c>
      <c r="J458" s="36">
        <v>0</v>
      </c>
      <c r="K458" s="36">
        <v>0</v>
      </c>
      <c r="L458" s="36">
        <v>0</v>
      </c>
      <c r="M458" s="36">
        <v>0</v>
      </c>
      <c r="N458" s="36">
        <v>0</v>
      </c>
    </row>
    <row r="459" spans="1:14" x14ac:dyDescent="0.35">
      <c r="A459" s="3" t="s">
        <v>730</v>
      </c>
      <c r="B459" s="4">
        <v>103</v>
      </c>
      <c r="C459" s="5">
        <v>42743</v>
      </c>
      <c r="D459" s="3" t="s">
        <v>732</v>
      </c>
      <c r="E459" s="16">
        <v>33.99</v>
      </c>
      <c r="F459" s="16">
        <v>19.13</v>
      </c>
      <c r="G459" s="36">
        <v>0</v>
      </c>
      <c r="H459" s="36">
        <v>0</v>
      </c>
      <c r="I459" s="36">
        <v>0</v>
      </c>
      <c r="J459" s="36">
        <v>0</v>
      </c>
      <c r="K459" s="36">
        <v>0</v>
      </c>
      <c r="L459" s="36">
        <v>0</v>
      </c>
      <c r="M459" s="36">
        <v>0</v>
      </c>
      <c r="N459" s="36">
        <v>0</v>
      </c>
    </row>
    <row r="460" spans="1:14" x14ac:dyDescent="0.35">
      <c r="A460" s="3" t="s">
        <v>702</v>
      </c>
      <c r="B460" s="4">
        <v>103</v>
      </c>
      <c r="C460" s="5">
        <v>42747</v>
      </c>
      <c r="D460" s="3" t="s">
        <v>733</v>
      </c>
      <c r="E460" s="16">
        <v>0</v>
      </c>
      <c r="F460" s="16">
        <v>142.6</v>
      </c>
      <c r="G460" s="36">
        <v>0</v>
      </c>
      <c r="H460" s="36">
        <v>0</v>
      </c>
      <c r="I460" s="36">
        <v>0</v>
      </c>
      <c r="J460" s="36">
        <v>0</v>
      </c>
      <c r="K460" s="36">
        <v>0</v>
      </c>
      <c r="L460" s="36">
        <v>0</v>
      </c>
      <c r="M460" s="36">
        <v>0</v>
      </c>
      <c r="N460" s="36">
        <v>0</v>
      </c>
    </row>
    <row r="461" spans="1:14" x14ac:dyDescent="0.35">
      <c r="A461" s="3" t="s">
        <v>724</v>
      </c>
      <c r="B461" s="4">
        <v>112</v>
      </c>
      <c r="C461" s="5">
        <v>42767</v>
      </c>
      <c r="D461" s="3" t="s">
        <v>734</v>
      </c>
      <c r="E461" s="16">
        <v>79.989999999999995</v>
      </c>
      <c r="F461" s="16">
        <v>49.382599999999996</v>
      </c>
      <c r="G461" s="36">
        <v>0</v>
      </c>
      <c r="H461" s="36">
        <v>0</v>
      </c>
      <c r="I461" s="36">
        <v>0</v>
      </c>
      <c r="J461" s="36">
        <v>0</v>
      </c>
      <c r="K461" s="36">
        <v>139.11304347826086</v>
      </c>
      <c r="L461" s="36">
        <v>2</v>
      </c>
      <c r="M461" s="36">
        <v>208.66956521739129</v>
      </c>
      <c r="N461" s="36">
        <v>3</v>
      </c>
    </row>
    <row r="462" spans="1:14" x14ac:dyDescent="0.35">
      <c r="A462" s="3" t="s">
        <v>724</v>
      </c>
      <c r="B462" s="4">
        <v>112</v>
      </c>
      <c r="C462" s="5">
        <v>42768</v>
      </c>
      <c r="D462" s="3" t="s">
        <v>735</v>
      </c>
      <c r="E462" s="16">
        <v>169.99</v>
      </c>
      <c r="F462" s="16">
        <v>104.9478</v>
      </c>
      <c r="G462" s="36">
        <v>0</v>
      </c>
      <c r="H462" s="36">
        <v>0</v>
      </c>
      <c r="I462" s="36">
        <v>0</v>
      </c>
      <c r="J462" s="36">
        <v>0</v>
      </c>
      <c r="K462" s="36">
        <v>147.81739130434784</v>
      </c>
      <c r="L462" s="36">
        <v>1</v>
      </c>
      <c r="M462" s="36">
        <v>0</v>
      </c>
      <c r="N462" s="36">
        <v>0</v>
      </c>
    </row>
    <row r="463" spans="1:14" x14ac:dyDescent="0.35">
      <c r="A463" s="3" t="s">
        <v>724</v>
      </c>
      <c r="B463" s="4">
        <v>112</v>
      </c>
      <c r="C463" s="5">
        <v>42769</v>
      </c>
      <c r="D463" s="3" t="s">
        <v>736</v>
      </c>
      <c r="E463" s="16">
        <v>67.989999999999995</v>
      </c>
      <c r="F463" s="16">
        <v>41.9739</v>
      </c>
      <c r="G463" s="36">
        <v>59.121739130434776</v>
      </c>
      <c r="H463" s="36">
        <v>1</v>
      </c>
      <c r="I463" s="36">
        <v>0</v>
      </c>
      <c r="J463" s="36">
        <v>0</v>
      </c>
      <c r="K463" s="36">
        <v>0</v>
      </c>
      <c r="L463" s="36">
        <v>0</v>
      </c>
      <c r="M463" s="36">
        <v>0</v>
      </c>
      <c r="N463" s="36">
        <v>0</v>
      </c>
    </row>
    <row r="464" spans="1:14" x14ac:dyDescent="0.35">
      <c r="A464" s="3" t="s">
        <v>730</v>
      </c>
      <c r="B464" s="4">
        <v>103</v>
      </c>
      <c r="C464" s="5">
        <v>42791</v>
      </c>
      <c r="D464" s="3" t="s">
        <v>737</v>
      </c>
      <c r="E464" s="16">
        <v>36.99</v>
      </c>
      <c r="F464" s="16">
        <v>19.13</v>
      </c>
      <c r="G464" s="36">
        <v>0</v>
      </c>
      <c r="H464" s="36">
        <v>0</v>
      </c>
      <c r="I464" s="36">
        <v>0</v>
      </c>
      <c r="J464" s="36">
        <v>0</v>
      </c>
      <c r="K464" s="36">
        <v>0</v>
      </c>
      <c r="L464" s="36">
        <v>0</v>
      </c>
      <c r="M464" s="36">
        <v>0</v>
      </c>
      <c r="N464" s="36">
        <v>0</v>
      </c>
    </row>
    <row r="465" spans="1:14" x14ac:dyDescent="0.35">
      <c r="A465" s="3" t="s">
        <v>371</v>
      </c>
      <c r="B465" s="4">
        <v>102</v>
      </c>
      <c r="C465" s="5">
        <v>42797</v>
      </c>
      <c r="D465" s="3" t="s">
        <v>99</v>
      </c>
      <c r="E465" s="16">
        <v>11.99</v>
      </c>
      <c r="F465" s="16">
        <v>4.968</v>
      </c>
      <c r="G465" s="36">
        <v>125.11304347826086</v>
      </c>
      <c r="H465" s="36">
        <v>12</v>
      </c>
      <c r="I465" s="36">
        <v>72.982608695652175</v>
      </c>
      <c r="J465" s="36">
        <v>7</v>
      </c>
      <c r="K465" s="36">
        <v>83.408695652173918</v>
      </c>
      <c r="L465" s="36">
        <v>8</v>
      </c>
      <c r="M465" s="36">
        <v>104.26086956521739</v>
      </c>
      <c r="N465" s="36">
        <v>10</v>
      </c>
    </row>
    <row r="466" spans="1:14" x14ac:dyDescent="0.35">
      <c r="A466" s="3" t="s">
        <v>738</v>
      </c>
      <c r="B466" s="4">
        <v>103</v>
      </c>
      <c r="C466" s="5">
        <v>42816</v>
      </c>
      <c r="D466" s="3" t="s">
        <v>739</v>
      </c>
      <c r="E466" s="16">
        <v>244.99</v>
      </c>
      <c r="F466" s="16">
        <v>0</v>
      </c>
      <c r="G466" s="36">
        <v>0</v>
      </c>
      <c r="H466" s="36">
        <v>0</v>
      </c>
      <c r="I466" s="36">
        <v>0</v>
      </c>
      <c r="J466" s="36">
        <v>0</v>
      </c>
      <c r="K466" s="36">
        <v>0</v>
      </c>
      <c r="L466" s="36">
        <v>0</v>
      </c>
      <c r="M466" s="36">
        <v>0</v>
      </c>
      <c r="N466" s="36">
        <v>0</v>
      </c>
    </row>
    <row r="467" spans="1:14" x14ac:dyDescent="0.35">
      <c r="A467" s="3" t="s">
        <v>738</v>
      </c>
      <c r="B467" s="4">
        <v>103</v>
      </c>
      <c r="C467" s="5">
        <v>42817</v>
      </c>
      <c r="D467" s="3" t="s">
        <v>740</v>
      </c>
      <c r="E467" s="16">
        <v>230.99</v>
      </c>
      <c r="F467" s="16">
        <v>0</v>
      </c>
      <c r="G467" s="36">
        <v>0</v>
      </c>
      <c r="H467" s="36">
        <v>0</v>
      </c>
      <c r="I467" s="36">
        <v>0</v>
      </c>
      <c r="J467" s="36">
        <v>0</v>
      </c>
      <c r="K467" s="36">
        <v>0</v>
      </c>
      <c r="L467" s="36">
        <v>0</v>
      </c>
      <c r="M467" s="36">
        <v>0</v>
      </c>
      <c r="N467" s="36">
        <v>0</v>
      </c>
    </row>
    <row r="468" spans="1:14" x14ac:dyDescent="0.35">
      <c r="A468" s="3" t="s">
        <v>738</v>
      </c>
      <c r="B468" s="4">
        <v>103</v>
      </c>
      <c r="C468" s="5">
        <v>42818</v>
      </c>
      <c r="D468" s="3" t="s">
        <v>741</v>
      </c>
      <c r="E468" s="16">
        <v>182.99</v>
      </c>
      <c r="F468" s="16">
        <v>0</v>
      </c>
      <c r="G468" s="36">
        <v>0</v>
      </c>
      <c r="H468" s="36">
        <v>0</v>
      </c>
      <c r="I468" s="36">
        <v>0</v>
      </c>
      <c r="J468" s="36">
        <v>0</v>
      </c>
      <c r="K468" s="36">
        <v>0</v>
      </c>
      <c r="L468" s="36">
        <v>0</v>
      </c>
      <c r="M468" s="36">
        <v>0</v>
      </c>
      <c r="N468" s="36">
        <v>0</v>
      </c>
    </row>
    <row r="469" spans="1:14" x14ac:dyDescent="0.35">
      <c r="A469" s="3" t="s">
        <v>738</v>
      </c>
      <c r="B469" s="4">
        <v>103</v>
      </c>
      <c r="C469" s="5">
        <v>42819</v>
      </c>
      <c r="D469" s="3" t="s">
        <v>742</v>
      </c>
      <c r="E469" s="16">
        <v>11.99</v>
      </c>
      <c r="F469" s="16">
        <v>0</v>
      </c>
      <c r="G469" s="36">
        <v>0</v>
      </c>
      <c r="H469" s="36">
        <v>0</v>
      </c>
      <c r="I469" s="36">
        <v>0</v>
      </c>
      <c r="J469" s="36">
        <v>0</v>
      </c>
      <c r="K469" s="36">
        <v>0</v>
      </c>
      <c r="L469" s="36">
        <v>0</v>
      </c>
      <c r="M469" s="36">
        <v>0</v>
      </c>
      <c r="N469" s="36">
        <v>0</v>
      </c>
    </row>
    <row r="470" spans="1:14" x14ac:dyDescent="0.35">
      <c r="A470" s="3" t="s">
        <v>738</v>
      </c>
      <c r="B470" s="4">
        <v>103</v>
      </c>
      <c r="C470" s="5">
        <v>42820</v>
      </c>
      <c r="D470" s="3" t="s">
        <v>743</v>
      </c>
      <c r="E470" s="16">
        <v>230.99</v>
      </c>
      <c r="F470" s="16">
        <v>0</v>
      </c>
      <c r="G470" s="36">
        <v>0</v>
      </c>
      <c r="H470" s="36">
        <v>0</v>
      </c>
      <c r="I470" s="36">
        <v>0</v>
      </c>
      <c r="J470" s="36">
        <v>0</v>
      </c>
      <c r="K470" s="36">
        <v>0</v>
      </c>
      <c r="L470" s="36">
        <v>0</v>
      </c>
      <c r="M470" s="36">
        <v>0</v>
      </c>
      <c r="N470" s="36">
        <v>0</v>
      </c>
    </row>
    <row r="471" spans="1:14" x14ac:dyDescent="0.35">
      <c r="A471" s="3" t="s">
        <v>738</v>
      </c>
      <c r="B471" s="4">
        <v>103</v>
      </c>
      <c r="C471" s="5">
        <v>42821</v>
      </c>
      <c r="D471" s="3" t="s">
        <v>744</v>
      </c>
      <c r="E471" s="16">
        <v>227.99</v>
      </c>
      <c r="F471" s="16">
        <v>0</v>
      </c>
      <c r="G471" s="36">
        <v>0</v>
      </c>
      <c r="H471" s="36">
        <v>0</v>
      </c>
      <c r="I471" s="36">
        <v>0</v>
      </c>
      <c r="J471" s="36">
        <v>0</v>
      </c>
      <c r="K471" s="36">
        <v>0</v>
      </c>
      <c r="L471" s="36">
        <v>0</v>
      </c>
      <c r="M471" s="36">
        <v>0</v>
      </c>
      <c r="N471" s="36">
        <v>0</v>
      </c>
    </row>
    <row r="472" spans="1:14" x14ac:dyDescent="0.35">
      <c r="A472" s="3" t="s">
        <v>738</v>
      </c>
      <c r="B472" s="4">
        <v>103</v>
      </c>
      <c r="C472" s="5">
        <v>42822</v>
      </c>
      <c r="D472" s="3" t="s">
        <v>745</v>
      </c>
      <c r="E472" s="16">
        <v>9.99</v>
      </c>
      <c r="F472" s="16">
        <v>0</v>
      </c>
      <c r="G472" s="36">
        <v>0</v>
      </c>
      <c r="H472" s="36">
        <v>0</v>
      </c>
      <c r="I472" s="36">
        <v>0</v>
      </c>
      <c r="J472" s="36">
        <v>0</v>
      </c>
      <c r="K472" s="36">
        <v>0</v>
      </c>
      <c r="L472" s="36">
        <v>0</v>
      </c>
      <c r="M472" s="36">
        <v>0</v>
      </c>
      <c r="N472" s="36">
        <v>0</v>
      </c>
    </row>
    <row r="473" spans="1:14" x14ac:dyDescent="0.35">
      <c r="A473" s="3" t="s">
        <v>738</v>
      </c>
      <c r="B473" s="4">
        <v>103</v>
      </c>
      <c r="C473" s="5">
        <v>42823</v>
      </c>
      <c r="D473" s="3" t="s">
        <v>746</v>
      </c>
      <c r="E473" s="16">
        <v>28</v>
      </c>
      <c r="F473" s="16">
        <v>0</v>
      </c>
      <c r="G473" s="36">
        <v>0</v>
      </c>
      <c r="H473" s="36">
        <v>0</v>
      </c>
      <c r="I473" s="36">
        <v>0</v>
      </c>
      <c r="J473" s="36">
        <v>0</v>
      </c>
      <c r="K473" s="36">
        <v>0</v>
      </c>
      <c r="L473" s="36">
        <v>0</v>
      </c>
      <c r="M473" s="36">
        <v>0</v>
      </c>
      <c r="N473" s="36">
        <v>0</v>
      </c>
    </row>
    <row r="474" spans="1:14" x14ac:dyDescent="0.35">
      <c r="A474" s="3" t="s">
        <v>738</v>
      </c>
      <c r="B474" s="4">
        <v>103</v>
      </c>
      <c r="C474" s="5">
        <v>42849</v>
      </c>
      <c r="D474" s="3" t="s">
        <v>747</v>
      </c>
      <c r="E474" s="16">
        <v>70.989999999999995</v>
      </c>
      <c r="F474" s="16">
        <v>0</v>
      </c>
      <c r="G474" s="36">
        <v>0</v>
      </c>
      <c r="H474" s="36">
        <v>0</v>
      </c>
      <c r="I474" s="36">
        <v>0</v>
      </c>
      <c r="J474" s="36">
        <v>0</v>
      </c>
      <c r="K474" s="36">
        <v>0</v>
      </c>
      <c r="L474" s="36">
        <v>0</v>
      </c>
      <c r="M474" s="36">
        <v>0</v>
      </c>
      <c r="N474" s="36">
        <v>0</v>
      </c>
    </row>
    <row r="475" spans="1:14" x14ac:dyDescent="0.35">
      <c r="A475" s="3" t="s">
        <v>724</v>
      </c>
      <c r="B475" s="4">
        <v>112</v>
      </c>
      <c r="C475" s="5">
        <v>42871</v>
      </c>
      <c r="D475" s="3" t="s">
        <v>748</v>
      </c>
      <c r="E475" s="16">
        <v>96.99</v>
      </c>
      <c r="F475" s="16">
        <v>59.8782</v>
      </c>
      <c r="G475" s="36">
        <v>0</v>
      </c>
      <c r="H475" s="36">
        <v>0</v>
      </c>
      <c r="I475" s="36">
        <v>0</v>
      </c>
      <c r="J475" s="36">
        <v>0</v>
      </c>
      <c r="K475" s="36">
        <v>168.67826086956521</v>
      </c>
      <c r="L475" s="36">
        <v>2</v>
      </c>
      <c r="M475" s="36">
        <v>84.339130434782604</v>
      </c>
      <c r="N475" s="36">
        <v>1</v>
      </c>
    </row>
    <row r="476" spans="1:14" x14ac:dyDescent="0.35">
      <c r="A476" s="3" t="s">
        <v>724</v>
      </c>
      <c r="B476" s="4">
        <v>112</v>
      </c>
      <c r="C476" s="5">
        <v>42873</v>
      </c>
      <c r="D476" s="3" t="s">
        <v>749</v>
      </c>
      <c r="E476" s="16">
        <v>44.99</v>
      </c>
      <c r="F476" s="16">
        <v>27.773900000000001</v>
      </c>
      <c r="G476" s="36">
        <v>0</v>
      </c>
      <c r="H476" s="36">
        <v>0</v>
      </c>
      <c r="I476" s="36">
        <v>0</v>
      </c>
      <c r="J476" s="36">
        <v>0</v>
      </c>
      <c r="K476" s="36">
        <v>117.36521739130436</v>
      </c>
      <c r="L476" s="36">
        <v>3</v>
      </c>
      <c r="M476" s="36">
        <v>0</v>
      </c>
      <c r="N476" s="36">
        <v>0</v>
      </c>
    </row>
    <row r="477" spans="1:14" x14ac:dyDescent="0.35">
      <c r="A477" s="3" t="s">
        <v>724</v>
      </c>
      <c r="B477" s="4">
        <v>112</v>
      </c>
      <c r="C477" s="5">
        <v>42875</v>
      </c>
      <c r="D477" s="3" t="s">
        <v>750</v>
      </c>
      <c r="E477" s="16">
        <v>169.99</v>
      </c>
      <c r="F477" s="16">
        <v>104.9478</v>
      </c>
      <c r="G477" s="36">
        <v>0</v>
      </c>
      <c r="H477" s="36">
        <v>0</v>
      </c>
      <c r="I477" s="36">
        <v>0</v>
      </c>
      <c r="J477" s="36">
        <v>0</v>
      </c>
      <c r="K477" s="36">
        <v>0</v>
      </c>
      <c r="L477" s="36">
        <v>0</v>
      </c>
      <c r="M477" s="36">
        <v>147.81739130434784</v>
      </c>
      <c r="N477" s="36">
        <v>1</v>
      </c>
    </row>
    <row r="478" spans="1:14" x14ac:dyDescent="0.35">
      <c r="A478" s="3" t="s">
        <v>724</v>
      </c>
      <c r="B478" s="4">
        <v>112</v>
      </c>
      <c r="C478" s="5">
        <v>42883</v>
      </c>
      <c r="D478" s="3" t="s">
        <v>751</v>
      </c>
      <c r="E478" s="16">
        <v>154.99</v>
      </c>
      <c r="F478" s="16">
        <v>95.686899999999994</v>
      </c>
      <c r="G478" s="36">
        <v>0</v>
      </c>
      <c r="H478" s="36">
        <v>0</v>
      </c>
      <c r="I478" s="36">
        <v>0</v>
      </c>
      <c r="J478" s="36">
        <v>0</v>
      </c>
      <c r="K478" s="36">
        <v>943.41739130434792</v>
      </c>
      <c r="L478" s="36">
        <v>7</v>
      </c>
      <c r="M478" s="36">
        <v>0</v>
      </c>
      <c r="N478" s="36">
        <v>0</v>
      </c>
    </row>
    <row r="479" spans="1:14" x14ac:dyDescent="0.35">
      <c r="A479" s="3" t="s">
        <v>724</v>
      </c>
      <c r="B479" s="4">
        <v>112</v>
      </c>
      <c r="C479" s="5">
        <v>42893</v>
      </c>
      <c r="D479" s="3" t="s">
        <v>752</v>
      </c>
      <c r="E479" s="16">
        <v>156.99</v>
      </c>
      <c r="F479" s="16">
        <v>96.921700000000001</v>
      </c>
      <c r="G479" s="36">
        <v>0</v>
      </c>
      <c r="H479" s="36">
        <v>0</v>
      </c>
      <c r="I479" s="36">
        <v>0</v>
      </c>
      <c r="J479" s="36">
        <v>0</v>
      </c>
      <c r="K479" s="36">
        <v>0</v>
      </c>
      <c r="L479" s="36">
        <v>0</v>
      </c>
      <c r="M479" s="36">
        <v>0</v>
      </c>
      <c r="N479" s="36">
        <v>0</v>
      </c>
    </row>
    <row r="480" spans="1:14" x14ac:dyDescent="0.35">
      <c r="A480" s="3" t="s">
        <v>724</v>
      </c>
      <c r="B480" s="4">
        <v>112</v>
      </c>
      <c r="C480" s="5">
        <v>42898</v>
      </c>
      <c r="D480" s="3" t="s">
        <v>753</v>
      </c>
      <c r="E480" s="16">
        <v>93.99</v>
      </c>
      <c r="F480" s="16">
        <v>58.0261</v>
      </c>
      <c r="G480" s="36">
        <v>0</v>
      </c>
      <c r="H480" s="36">
        <v>0</v>
      </c>
      <c r="I480" s="36">
        <v>0</v>
      </c>
      <c r="J480" s="36">
        <v>0</v>
      </c>
      <c r="K480" s="36">
        <v>0</v>
      </c>
      <c r="L480" s="36">
        <v>0</v>
      </c>
      <c r="M480" s="36">
        <v>0</v>
      </c>
      <c r="N480" s="36">
        <v>0</v>
      </c>
    </row>
    <row r="481" spans="1:14" x14ac:dyDescent="0.35">
      <c r="A481" s="3" t="s">
        <v>724</v>
      </c>
      <c r="B481" s="4">
        <v>112</v>
      </c>
      <c r="C481" s="5">
        <v>42899</v>
      </c>
      <c r="D481" s="3" t="s">
        <v>754</v>
      </c>
      <c r="E481" s="16">
        <v>61.99</v>
      </c>
      <c r="F481" s="16">
        <v>38.269500000000001</v>
      </c>
      <c r="G481" s="36">
        <v>0</v>
      </c>
      <c r="H481" s="36">
        <v>0</v>
      </c>
      <c r="I481" s="36">
        <v>0</v>
      </c>
      <c r="J481" s="36">
        <v>0</v>
      </c>
      <c r="K481" s="36">
        <v>107.80869565217392</v>
      </c>
      <c r="L481" s="36">
        <v>2</v>
      </c>
      <c r="M481" s="36">
        <v>53.904347826086962</v>
      </c>
      <c r="N481" s="36">
        <v>1</v>
      </c>
    </row>
    <row r="482" spans="1:14" x14ac:dyDescent="0.35">
      <c r="A482" s="3" t="s">
        <v>724</v>
      </c>
      <c r="B482" s="4">
        <v>112</v>
      </c>
      <c r="C482" s="5">
        <v>42900</v>
      </c>
      <c r="D482" s="3" t="s">
        <v>755</v>
      </c>
      <c r="E482" s="16">
        <v>107.99</v>
      </c>
      <c r="F482" s="16">
        <v>66.669499999999999</v>
      </c>
      <c r="G482" s="36">
        <v>0</v>
      </c>
      <c r="H482" s="36">
        <v>0</v>
      </c>
      <c r="I482" s="36">
        <v>0</v>
      </c>
      <c r="J482" s="36">
        <v>0</v>
      </c>
      <c r="K482" s="36">
        <v>0</v>
      </c>
      <c r="L482" s="36">
        <v>0</v>
      </c>
      <c r="M482" s="36">
        <v>0</v>
      </c>
      <c r="N482" s="36">
        <v>0</v>
      </c>
    </row>
    <row r="483" spans="1:14" x14ac:dyDescent="0.35">
      <c r="A483" s="3" t="s">
        <v>724</v>
      </c>
      <c r="B483" s="4">
        <v>112</v>
      </c>
      <c r="C483" s="5">
        <v>42901</v>
      </c>
      <c r="D483" s="3" t="s">
        <v>756</v>
      </c>
      <c r="E483" s="16">
        <v>67.989999999999995</v>
      </c>
      <c r="F483" s="16">
        <v>41.9739</v>
      </c>
      <c r="G483" s="36">
        <v>0</v>
      </c>
      <c r="H483" s="36">
        <v>0</v>
      </c>
      <c r="I483" s="36">
        <v>0</v>
      </c>
      <c r="J483" s="36">
        <v>0</v>
      </c>
      <c r="K483" s="36">
        <v>354.73043478260871</v>
      </c>
      <c r="L483" s="36">
        <v>6</v>
      </c>
      <c r="M483" s="36">
        <v>0</v>
      </c>
      <c r="N483" s="36">
        <v>0</v>
      </c>
    </row>
    <row r="484" spans="1:14" x14ac:dyDescent="0.35">
      <c r="A484" s="3" t="s">
        <v>724</v>
      </c>
      <c r="B484" s="4">
        <v>112</v>
      </c>
      <c r="C484" s="5">
        <v>42902</v>
      </c>
      <c r="D484" s="3" t="s">
        <v>757</v>
      </c>
      <c r="E484" s="16">
        <v>76.989999999999995</v>
      </c>
      <c r="F484" s="16">
        <v>47.5304</v>
      </c>
      <c r="G484" s="36">
        <v>0</v>
      </c>
      <c r="H484" s="36">
        <v>0</v>
      </c>
      <c r="I484" s="36">
        <v>0</v>
      </c>
      <c r="J484" s="36">
        <v>0</v>
      </c>
      <c r="K484" s="36">
        <v>0</v>
      </c>
      <c r="L484" s="36">
        <v>0</v>
      </c>
      <c r="M484" s="36">
        <v>0</v>
      </c>
      <c r="N484" s="36">
        <v>0</v>
      </c>
    </row>
    <row r="485" spans="1:14" x14ac:dyDescent="0.35">
      <c r="A485" s="3" t="s">
        <v>724</v>
      </c>
      <c r="B485" s="4">
        <v>112</v>
      </c>
      <c r="C485" s="5">
        <v>42906</v>
      </c>
      <c r="D485" s="3" t="s">
        <v>758</v>
      </c>
      <c r="E485" s="16">
        <v>65.989999999999995</v>
      </c>
      <c r="F485" s="16">
        <v>40.739100000000001</v>
      </c>
      <c r="G485" s="36">
        <v>0</v>
      </c>
      <c r="H485" s="36">
        <v>0</v>
      </c>
      <c r="I485" s="36">
        <v>0</v>
      </c>
      <c r="J485" s="36">
        <v>0</v>
      </c>
      <c r="K485" s="36">
        <v>114.76521739130433</v>
      </c>
      <c r="L485" s="36">
        <v>2</v>
      </c>
      <c r="M485" s="36">
        <v>0</v>
      </c>
      <c r="N485" s="36">
        <v>0</v>
      </c>
    </row>
    <row r="486" spans="1:14" x14ac:dyDescent="0.35">
      <c r="A486" s="3" t="s">
        <v>724</v>
      </c>
      <c r="B486" s="4">
        <v>112</v>
      </c>
      <c r="C486" s="5">
        <v>42907</v>
      </c>
      <c r="D486" s="3" t="s">
        <v>759</v>
      </c>
      <c r="E486" s="16">
        <v>69.989999999999995</v>
      </c>
      <c r="F486" s="16">
        <v>43.2087</v>
      </c>
      <c r="G486" s="36">
        <v>0</v>
      </c>
      <c r="H486" s="36">
        <v>0</v>
      </c>
      <c r="I486" s="36">
        <v>0</v>
      </c>
      <c r="J486" s="36">
        <v>0</v>
      </c>
      <c r="K486" s="36">
        <v>0</v>
      </c>
      <c r="L486" s="36">
        <v>0</v>
      </c>
      <c r="M486" s="36">
        <v>0</v>
      </c>
      <c r="N486" s="36">
        <v>0</v>
      </c>
    </row>
    <row r="487" spans="1:14" x14ac:dyDescent="0.35">
      <c r="A487" s="3" t="s">
        <v>724</v>
      </c>
      <c r="B487" s="4">
        <v>112</v>
      </c>
      <c r="C487" s="5">
        <v>42908</v>
      </c>
      <c r="D487" s="3" t="s">
        <v>760</v>
      </c>
      <c r="E487" s="16">
        <v>103.99</v>
      </c>
      <c r="F487" s="16">
        <v>64.2</v>
      </c>
      <c r="G487" s="36">
        <v>0</v>
      </c>
      <c r="H487" s="36">
        <v>0</v>
      </c>
      <c r="I487" s="36">
        <v>0</v>
      </c>
      <c r="J487" s="36">
        <v>0</v>
      </c>
      <c r="K487" s="36">
        <v>0</v>
      </c>
      <c r="L487" s="36">
        <v>0</v>
      </c>
      <c r="M487" s="36">
        <v>0</v>
      </c>
      <c r="N487" s="36">
        <v>0</v>
      </c>
    </row>
    <row r="488" spans="1:14" x14ac:dyDescent="0.35">
      <c r="A488" s="3" t="s">
        <v>724</v>
      </c>
      <c r="B488" s="4">
        <v>112</v>
      </c>
      <c r="C488" s="5">
        <v>42909</v>
      </c>
      <c r="D488" s="3" t="s">
        <v>761</v>
      </c>
      <c r="E488" s="16">
        <v>64.989999999999995</v>
      </c>
      <c r="F488" s="16">
        <v>40.121699999999997</v>
      </c>
      <c r="G488" s="36">
        <v>0</v>
      </c>
      <c r="H488" s="36">
        <v>0</v>
      </c>
      <c r="I488" s="36">
        <v>0</v>
      </c>
      <c r="J488" s="36">
        <v>0</v>
      </c>
      <c r="K488" s="36">
        <v>0</v>
      </c>
      <c r="L488" s="36">
        <v>0</v>
      </c>
      <c r="M488" s="36">
        <v>56.513043478260869</v>
      </c>
      <c r="N488" s="36">
        <v>1</v>
      </c>
    </row>
    <row r="489" spans="1:14" x14ac:dyDescent="0.35">
      <c r="A489" s="3" t="s">
        <v>724</v>
      </c>
      <c r="B489" s="4">
        <v>112</v>
      </c>
      <c r="C489" s="5">
        <v>42910</v>
      </c>
      <c r="D489" s="3" t="s">
        <v>762</v>
      </c>
      <c r="E489" s="16">
        <v>93.99</v>
      </c>
      <c r="F489" s="16">
        <v>58.0261</v>
      </c>
      <c r="G489" s="36">
        <v>0</v>
      </c>
      <c r="H489" s="36">
        <v>0</v>
      </c>
      <c r="I489" s="36">
        <v>0</v>
      </c>
      <c r="J489" s="36">
        <v>0</v>
      </c>
      <c r="K489" s="36">
        <v>0</v>
      </c>
      <c r="L489" s="36">
        <v>0</v>
      </c>
      <c r="M489" s="36">
        <v>0</v>
      </c>
      <c r="N489" s="36">
        <v>0</v>
      </c>
    </row>
    <row r="490" spans="1:14" x14ac:dyDescent="0.35">
      <c r="A490" s="3" t="s">
        <v>724</v>
      </c>
      <c r="B490" s="4">
        <v>112</v>
      </c>
      <c r="C490" s="5">
        <v>42911</v>
      </c>
      <c r="D490" s="3" t="s">
        <v>763</v>
      </c>
      <c r="E490" s="16">
        <v>99.99</v>
      </c>
      <c r="F490" s="16">
        <v>61.730400000000003</v>
      </c>
      <c r="G490" s="36">
        <v>0</v>
      </c>
      <c r="H490" s="36">
        <v>0</v>
      </c>
      <c r="I490" s="36">
        <v>0</v>
      </c>
      <c r="J490" s="36">
        <v>0</v>
      </c>
      <c r="K490" s="36">
        <v>0</v>
      </c>
      <c r="L490" s="36">
        <v>0</v>
      </c>
      <c r="M490" s="36">
        <v>0</v>
      </c>
      <c r="N490" s="36">
        <v>0</v>
      </c>
    </row>
    <row r="491" spans="1:14" x14ac:dyDescent="0.35">
      <c r="A491" s="3" t="s">
        <v>724</v>
      </c>
      <c r="B491" s="4">
        <v>112</v>
      </c>
      <c r="C491" s="5">
        <v>42912</v>
      </c>
      <c r="D491" s="3" t="s">
        <v>764</v>
      </c>
      <c r="E491" s="16">
        <v>64.989999999999995</v>
      </c>
      <c r="F491" s="16">
        <v>40.121699999999997</v>
      </c>
      <c r="G491" s="36">
        <v>0</v>
      </c>
      <c r="H491" s="36">
        <v>0</v>
      </c>
      <c r="I491" s="36">
        <v>0</v>
      </c>
      <c r="J491" s="36">
        <v>0</v>
      </c>
      <c r="K491" s="36">
        <v>56.513043478260869</v>
      </c>
      <c r="L491" s="36">
        <v>1</v>
      </c>
      <c r="M491" s="36">
        <v>0</v>
      </c>
      <c r="N491" s="36">
        <v>0</v>
      </c>
    </row>
    <row r="492" spans="1:14" x14ac:dyDescent="0.35">
      <c r="A492" s="3" t="s">
        <v>724</v>
      </c>
      <c r="B492" s="4">
        <v>112</v>
      </c>
      <c r="C492" s="5">
        <v>42914</v>
      </c>
      <c r="D492" s="3" t="s">
        <v>765</v>
      </c>
      <c r="E492" s="16">
        <v>67.989999999999995</v>
      </c>
      <c r="F492" s="16">
        <v>41.9739</v>
      </c>
      <c r="G492" s="36">
        <v>0</v>
      </c>
      <c r="H492" s="36">
        <v>0</v>
      </c>
      <c r="I492" s="36">
        <v>0</v>
      </c>
      <c r="J492" s="36">
        <v>0</v>
      </c>
      <c r="K492" s="36">
        <v>0</v>
      </c>
      <c r="L492" s="36">
        <v>0</v>
      </c>
      <c r="M492" s="36">
        <v>0</v>
      </c>
      <c r="N492" s="36">
        <v>0</v>
      </c>
    </row>
    <row r="493" spans="1:14" x14ac:dyDescent="0.35">
      <c r="A493" s="3" t="s">
        <v>724</v>
      </c>
      <c r="B493" s="4">
        <v>112</v>
      </c>
      <c r="C493" s="5">
        <v>42915</v>
      </c>
      <c r="D493" s="3" t="s">
        <v>766</v>
      </c>
      <c r="E493" s="16">
        <v>109.99</v>
      </c>
      <c r="F493" s="16">
        <v>67.904300000000006</v>
      </c>
      <c r="G493" s="36">
        <v>0</v>
      </c>
      <c r="H493" s="36">
        <v>0</v>
      </c>
      <c r="I493" s="36">
        <v>0</v>
      </c>
      <c r="J493" s="36">
        <v>0</v>
      </c>
      <c r="K493" s="36">
        <v>0</v>
      </c>
      <c r="L493" s="36">
        <v>0</v>
      </c>
      <c r="M493" s="36">
        <v>0</v>
      </c>
      <c r="N493" s="36">
        <v>0</v>
      </c>
    </row>
    <row r="494" spans="1:14" x14ac:dyDescent="0.35">
      <c r="A494" s="3" t="s">
        <v>724</v>
      </c>
      <c r="B494" s="4">
        <v>112</v>
      </c>
      <c r="C494" s="5">
        <v>42916</v>
      </c>
      <c r="D494" s="3" t="s">
        <v>767</v>
      </c>
      <c r="E494" s="16">
        <v>67.989999999999995</v>
      </c>
      <c r="F494" s="16">
        <v>41.9739</v>
      </c>
      <c r="G494" s="36">
        <v>0</v>
      </c>
      <c r="H494" s="36">
        <v>0</v>
      </c>
      <c r="I494" s="36">
        <v>0</v>
      </c>
      <c r="J494" s="36">
        <v>0</v>
      </c>
      <c r="K494" s="36">
        <v>0</v>
      </c>
      <c r="L494" s="36">
        <v>0</v>
      </c>
      <c r="M494" s="36">
        <v>0</v>
      </c>
      <c r="N494" s="36">
        <v>0</v>
      </c>
    </row>
    <row r="495" spans="1:14" x14ac:dyDescent="0.35">
      <c r="A495" s="3" t="s">
        <v>724</v>
      </c>
      <c r="B495" s="4">
        <v>112</v>
      </c>
      <c r="C495" s="5">
        <v>42919</v>
      </c>
      <c r="D495" s="3" t="s">
        <v>768</v>
      </c>
      <c r="E495" s="16">
        <v>99.99</v>
      </c>
      <c r="F495" s="16">
        <v>61.730400000000003</v>
      </c>
      <c r="G495" s="36">
        <v>0</v>
      </c>
      <c r="H495" s="36">
        <v>0</v>
      </c>
      <c r="I495" s="36">
        <v>0</v>
      </c>
      <c r="J495" s="36">
        <v>0</v>
      </c>
      <c r="K495" s="36">
        <v>0</v>
      </c>
      <c r="L495" s="36">
        <v>0</v>
      </c>
      <c r="M495" s="36">
        <v>0</v>
      </c>
      <c r="N495" s="36">
        <v>0</v>
      </c>
    </row>
    <row r="496" spans="1:14" x14ac:dyDescent="0.35">
      <c r="A496" s="3" t="s">
        <v>724</v>
      </c>
      <c r="B496" s="4">
        <v>112</v>
      </c>
      <c r="C496" s="5">
        <v>42920</v>
      </c>
      <c r="D496" s="3" t="s">
        <v>769</v>
      </c>
      <c r="E496" s="16">
        <v>106.99</v>
      </c>
      <c r="F496" s="16">
        <v>66.052099999999996</v>
      </c>
      <c r="G496" s="36">
        <v>0</v>
      </c>
      <c r="H496" s="36">
        <v>0</v>
      </c>
      <c r="I496" s="36">
        <v>93.03478260869565</v>
      </c>
      <c r="J496" s="36">
        <v>1</v>
      </c>
      <c r="K496" s="36">
        <v>0</v>
      </c>
      <c r="L496" s="36">
        <v>0</v>
      </c>
      <c r="M496" s="36">
        <v>0</v>
      </c>
      <c r="N496" s="36">
        <v>0</v>
      </c>
    </row>
    <row r="497" spans="1:14" x14ac:dyDescent="0.35">
      <c r="A497" s="3" t="s">
        <v>724</v>
      </c>
      <c r="B497" s="4">
        <v>112</v>
      </c>
      <c r="C497" s="5">
        <v>42921</v>
      </c>
      <c r="D497" s="3" t="s">
        <v>770</v>
      </c>
      <c r="E497" s="16">
        <v>97.99</v>
      </c>
      <c r="F497" s="16">
        <v>60.495600000000003</v>
      </c>
      <c r="G497" s="36">
        <v>0</v>
      </c>
      <c r="H497" s="36">
        <v>0</v>
      </c>
      <c r="I497" s="36">
        <v>0</v>
      </c>
      <c r="J497" s="36">
        <v>0</v>
      </c>
      <c r="K497" s="36">
        <v>0</v>
      </c>
      <c r="L497" s="36">
        <v>0</v>
      </c>
      <c r="M497" s="36">
        <v>0</v>
      </c>
      <c r="N497" s="36">
        <v>0</v>
      </c>
    </row>
    <row r="498" spans="1:14" x14ac:dyDescent="0.35">
      <c r="A498" s="3" t="s">
        <v>724</v>
      </c>
      <c r="B498" s="4">
        <v>112</v>
      </c>
      <c r="C498" s="5">
        <v>42922</v>
      </c>
      <c r="D498" s="3" t="s">
        <v>279</v>
      </c>
      <c r="E498" s="16">
        <v>134.99</v>
      </c>
      <c r="F498" s="16">
        <v>83.339100000000002</v>
      </c>
      <c r="G498" s="36">
        <v>0</v>
      </c>
      <c r="H498" s="36">
        <v>0</v>
      </c>
      <c r="I498" s="36">
        <v>117.38260869565218</v>
      </c>
      <c r="J498" s="36">
        <v>1</v>
      </c>
      <c r="K498" s="36">
        <v>0</v>
      </c>
      <c r="L498" s="36">
        <v>0</v>
      </c>
      <c r="M498" s="36">
        <v>0</v>
      </c>
      <c r="N498" s="36">
        <v>0</v>
      </c>
    </row>
    <row r="499" spans="1:14" x14ac:dyDescent="0.35">
      <c r="A499" s="3" t="s">
        <v>724</v>
      </c>
      <c r="B499" s="4">
        <v>112</v>
      </c>
      <c r="C499" s="5">
        <v>42923</v>
      </c>
      <c r="D499" s="3" t="s">
        <v>771</v>
      </c>
      <c r="E499" s="16">
        <v>124.99</v>
      </c>
      <c r="F499" s="16">
        <v>82.104299999999995</v>
      </c>
      <c r="G499" s="36">
        <v>0</v>
      </c>
      <c r="H499" s="36">
        <v>0</v>
      </c>
      <c r="I499" s="36">
        <v>0</v>
      </c>
      <c r="J499" s="36">
        <v>0</v>
      </c>
      <c r="K499" s="36">
        <v>0</v>
      </c>
      <c r="L499" s="36">
        <v>0</v>
      </c>
      <c r="M499" s="36">
        <v>0</v>
      </c>
      <c r="N499" s="36">
        <v>0</v>
      </c>
    </row>
    <row r="500" spans="1:14" x14ac:dyDescent="0.35">
      <c r="A500" s="3" t="s">
        <v>724</v>
      </c>
      <c r="B500" s="4">
        <v>112</v>
      </c>
      <c r="C500" s="5">
        <v>42924</v>
      </c>
      <c r="D500" s="3" t="s">
        <v>772</v>
      </c>
      <c r="E500" s="16">
        <v>103.99</v>
      </c>
      <c r="F500" s="16">
        <v>64.2</v>
      </c>
      <c r="G500" s="36">
        <v>0</v>
      </c>
      <c r="H500" s="36">
        <v>0</v>
      </c>
      <c r="I500" s="36">
        <v>0</v>
      </c>
      <c r="J500" s="36">
        <v>0</v>
      </c>
      <c r="K500" s="36">
        <v>180.85217391304346</v>
      </c>
      <c r="L500" s="36">
        <v>2</v>
      </c>
      <c r="M500" s="36">
        <v>90.426086956521729</v>
      </c>
      <c r="N500" s="36">
        <v>1</v>
      </c>
    </row>
    <row r="501" spans="1:14" x14ac:dyDescent="0.35">
      <c r="A501" s="3" t="s">
        <v>724</v>
      </c>
      <c r="B501" s="4">
        <v>112</v>
      </c>
      <c r="C501" s="5">
        <v>42925</v>
      </c>
      <c r="D501" s="3" t="s">
        <v>773</v>
      </c>
      <c r="E501" s="16">
        <v>79.989999999999995</v>
      </c>
      <c r="F501" s="16">
        <v>49.382599999999996</v>
      </c>
      <c r="G501" s="36">
        <v>0</v>
      </c>
      <c r="H501" s="36">
        <v>0</v>
      </c>
      <c r="I501" s="36">
        <v>0</v>
      </c>
      <c r="J501" s="36">
        <v>0</v>
      </c>
      <c r="K501" s="36">
        <v>0</v>
      </c>
      <c r="L501" s="36">
        <v>0</v>
      </c>
      <c r="M501" s="36">
        <v>0</v>
      </c>
      <c r="N501" s="36">
        <v>0</v>
      </c>
    </row>
    <row r="502" spans="1:14" x14ac:dyDescent="0.35">
      <c r="A502" s="3" t="s">
        <v>738</v>
      </c>
      <c r="B502" s="4">
        <v>103</v>
      </c>
      <c r="C502" s="5">
        <v>42954</v>
      </c>
      <c r="D502" s="3" t="s">
        <v>774</v>
      </c>
      <c r="E502" s="16">
        <v>60</v>
      </c>
      <c r="F502" s="16">
        <v>0</v>
      </c>
      <c r="G502" s="36">
        <v>0</v>
      </c>
      <c r="H502" s="36">
        <v>0</v>
      </c>
      <c r="I502" s="36">
        <v>0</v>
      </c>
      <c r="J502" s="36">
        <v>0</v>
      </c>
      <c r="K502" s="36">
        <v>0</v>
      </c>
      <c r="L502" s="36">
        <v>0</v>
      </c>
      <c r="M502" s="36">
        <v>0</v>
      </c>
      <c r="N502" s="36">
        <v>0</v>
      </c>
    </row>
    <row r="503" spans="1:14" x14ac:dyDescent="0.35">
      <c r="A503" s="3" t="s">
        <v>359</v>
      </c>
      <c r="B503" s="4">
        <v>103</v>
      </c>
      <c r="C503" s="5">
        <v>42955</v>
      </c>
      <c r="D503" s="3" t="s">
        <v>775</v>
      </c>
      <c r="E503" s="16">
        <v>49.99</v>
      </c>
      <c r="F503" s="16">
        <v>27.93</v>
      </c>
      <c r="G503" s="36">
        <v>0</v>
      </c>
      <c r="H503" s="36">
        <v>0</v>
      </c>
      <c r="I503" s="36">
        <v>0</v>
      </c>
      <c r="J503" s="36">
        <v>0</v>
      </c>
      <c r="K503" s="36">
        <v>0</v>
      </c>
      <c r="L503" s="36">
        <v>0</v>
      </c>
      <c r="M503" s="36">
        <v>0</v>
      </c>
      <c r="N503" s="36">
        <v>0</v>
      </c>
    </row>
    <row r="504" spans="1:14" x14ac:dyDescent="0.35">
      <c r="A504" s="3" t="s">
        <v>14</v>
      </c>
      <c r="B504" s="4">
        <v>102</v>
      </c>
      <c r="C504" s="5">
        <v>42990</v>
      </c>
      <c r="D504" s="3" t="s">
        <v>93</v>
      </c>
      <c r="E504" s="16">
        <v>19.989999999999998</v>
      </c>
      <c r="F504" s="16">
        <v>10.85</v>
      </c>
      <c r="G504" s="36">
        <v>121.67826086956522</v>
      </c>
      <c r="H504" s="36">
        <v>7</v>
      </c>
      <c r="I504" s="36">
        <v>173.82608695652175</v>
      </c>
      <c r="J504" s="36">
        <v>10</v>
      </c>
      <c r="K504" s="36">
        <v>86.043478260869563</v>
      </c>
      <c r="L504" s="36">
        <v>5</v>
      </c>
      <c r="M504" s="36">
        <v>191.2086956521739</v>
      </c>
      <c r="N504" s="36">
        <v>11</v>
      </c>
    </row>
    <row r="505" spans="1:14" x14ac:dyDescent="0.35">
      <c r="A505" s="3" t="s">
        <v>724</v>
      </c>
      <c r="B505" s="4">
        <v>112</v>
      </c>
      <c r="C505" s="5">
        <v>43028</v>
      </c>
      <c r="D505" s="3" t="s">
        <v>776</v>
      </c>
      <c r="E505" s="16">
        <v>59.99</v>
      </c>
      <c r="F505" s="16">
        <v>37.034700000000001</v>
      </c>
      <c r="G505" s="36">
        <v>0</v>
      </c>
      <c r="H505" s="36">
        <v>0</v>
      </c>
      <c r="I505" s="36">
        <v>0</v>
      </c>
      <c r="J505" s="36">
        <v>0</v>
      </c>
      <c r="K505" s="36">
        <v>104.33043478260871</v>
      </c>
      <c r="L505" s="36">
        <v>2</v>
      </c>
      <c r="M505" s="36">
        <v>0</v>
      </c>
      <c r="N505" s="36">
        <v>0</v>
      </c>
    </row>
    <row r="506" spans="1:14" x14ac:dyDescent="0.35">
      <c r="A506" s="3" t="s">
        <v>359</v>
      </c>
      <c r="B506" s="4">
        <v>103</v>
      </c>
      <c r="C506" s="5">
        <v>43041</v>
      </c>
      <c r="D506" s="3" t="s">
        <v>777</v>
      </c>
      <c r="E506" s="16">
        <v>114.99</v>
      </c>
      <c r="F506" s="16">
        <v>59.83</v>
      </c>
      <c r="G506" s="36">
        <v>0</v>
      </c>
      <c r="H506" s="36">
        <v>0</v>
      </c>
      <c r="I506" s="36">
        <v>0</v>
      </c>
      <c r="J506" s="36">
        <v>0</v>
      </c>
      <c r="K506" s="36">
        <v>0</v>
      </c>
      <c r="L506" s="36">
        <v>0</v>
      </c>
      <c r="M506" s="36">
        <v>0</v>
      </c>
      <c r="N506" s="36">
        <v>0</v>
      </c>
    </row>
    <row r="507" spans="1:14" x14ac:dyDescent="0.35">
      <c r="A507" s="3" t="s">
        <v>724</v>
      </c>
      <c r="B507" s="4">
        <v>112</v>
      </c>
      <c r="C507" s="5">
        <v>43125</v>
      </c>
      <c r="D507" s="3" t="s">
        <v>778</v>
      </c>
      <c r="E507" s="16">
        <v>69.989999999999995</v>
      </c>
      <c r="F507" s="16">
        <v>43.2087</v>
      </c>
      <c r="G507" s="36">
        <v>0</v>
      </c>
      <c r="H507" s="36">
        <v>0</v>
      </c>
      <c r="I507" s="36">
        <v>0</v>
      </c>
      <c r="J507" s="36">
        <v>0</v>
      </c>
      <c r="K507" s="36">
        <v>0</v>
      </c>
      <c r="L507" s="36">
        <v>0</v>
      </c>
      <c r="M507" s="36">
        <v>0</v>
      </c>
      <c r="N507" s="36">
        <v>0</v>
      </c>
    </row>
    <row r="508" spans="1:14" x14ac:dyDescent="0.35">
      <c r="A508" s="3" t="s">
        <v>724</v>
      </c>
      <c r="B508" s="4">
        <v>112</v>
      </c>
      <c r="C508" s="5">
        <v>43126</v>
      </c>
      <c r="D508" s="3" t="s">
        <v>779</v>
      </c>
      <c r="E508" s="16">
        <v>69.989999999999995</v>
      </c>
      <c r="F508" s="16">
        <v>43.2087</v>
      </c>
      <c r="G508" s="36">
        <v>0</v>
      </c>
      <c r="H508" s="36">
        <v>0</v>
      </c>
      <c r="I508" s="36">
        <v>0</v>
      </c>
      <c r="J508" s="36">
        <v>0</v>
      </c>
      <c r="K508" s="36">
        <v>0</v>
      </c>
      <c r="L508" s="36">
        <v>0</v>
      </c>
      <c r="M508" s="36">
        <v>0</v>
      </c>
      <c r="N508" s="36">
        <v>0</v>
      </c>
    </row>
    <row r="509" spans="1:14" x14ac:dyDescent="0.35">
      <c r="A509" s="3" t="s">
        <v>724</v>
      </c>
      <c r="B509" s="4">
        <v>112</v>
      </c>
      <c r="C509" s="5">
        <v>43127</v>
      </c>
      <c r="D509" s="3" t="s">
        <v>780</v>
      </c>
      <c r="E509" s="16">
        <v>62.99</v>
      </c>
      <c r="F509" s="16">
        <v>38.886899999999997</v>
      </c>
      <c r="G509" s="36">
        <v>0</v>
      </c>
      <c r="H509" s="36">
        <v>0</v>
      </c>
      <c r="I509" s="36">
        <v>0</v>
      </c>
      <c r="J509" s="36">
        <v>0</v>
      </c>
      <c r="K509" s="36">
        <v>54.77391304347826</v>
      </c>
      <c r="L509" s="36">
        <v>1</v>
      </c>
      <c r="M509" s="36">
        <v>54.77391304347826</v>
      </c>
      <c r="N509" s="36">
        <v>1</v>
      </c>
    </row>
    <row r="510" spans="1:14" x14ac:dyDescent="0.35">
      <c r="A510" s="3" t="s">
        <v>738</v>
      </c>
      <c r="B510" s="4">
        <v>103</v>
      </c>
      <c r="C510" s="5">
        <v>43150</v>
      </c>
      <c r="D510" s="3" t="s">
        <v>781</v>
      </c>
      <c r="E510" s="16">
        <v>45.99</v>
      </c>
      <c r="F510" s="16">
        <v>0</v>
      </c>
      <c r="G510" s="36">
        <v>0</v>
      </c>
      <c r="H510" s="36">
        <v>0</v>
      </c>
      <c r="I510" s="36">
        <v>0</v>
      </c>
      <c r="J510" s="36">
        <v>0</v>
      </c>
      <c r="K510" s="36">
        <v>0</v>
      </c>
      <c r="L510" s="36">
        <v>0</v>
      </c>
      <c r="M510" s="36">
        <v>0</v>
      </c>
      <c r="N510" s="36">
        <v>0</v>
      </c>
    </row>
    <row r="511" spans="1:14" x14ac:dyDescent="0.35">
      <c r="A511" s="3" t="s">
        <v>738</v>
      </c>
      <c r="B511" s="4">
        <v>103</v>
      </c>
      <c r="C511" s="5">
        <v>43151</v>
      </c>
      <c r="D511" s="3" t="s">
        <v>782</v>
      </c>
      <c r="E511" s="16">
        <v>60</v>
      </c>
      <c r="F511" s="16">
        <v>0</v>
      </c>
      <c r="G511" s="36">
        <v>0</v>
      </c>
      <c r="H511" s="36">
        <v>0</v>
      </c>
      <c r="I511" s="36">
        <v>0</v>
      </c>
      <c r="J511" s="36">
        <v>0</v>
      </c>
      <c r="K511" s="36">
        <v>0</v>
      </c>
      <c r="L511" s="36">
        <v>0</v>
      </c>
      <c r="M511" s="36">
        <v>0</v>
      </c>
      <c r="N511" s="36">
        <v>0</v>
      </c>
    </row>
    <row r="512" spans="1:14" x14ac:dyDescent="0.35">
      <c r="A512" s="3" t="s">
        <v>738</v>
      </c>
      <c r="B512" s="4">
        <v>103</v>
      </c>
      <c r="C512" s="5">
        <v>43152</v>
      </c>
      <c r="D512" s="3" t="s">
        <v>783</v>
      </c>
      <c r="E512" s="16">
        <v>28</v>
      </c>
      <c r="F512" s="16">
        <v>0</v>
      </c>
      <c r="G512" s="36">
        <v>0</v>
      </c>
      <c r="H512" s="36">
        <v>0</v>
      </c>
      <c r="I512" s="36">
        <v>0</v>
      </c>
      <c r="J512" s="36">
        <v>0</v>
      </c>
      <c r="K512" s="36">
        <v>0</v>
      </c>
      <c r="L512" s="36">
        <v>0</v>
      </c>
      <c r="M512" s="36">
        <v>0</v>
      </c>
      <c r="N512" s="36">
        <v>0</v>
      </c>
    </row>
    <row r="513" spans="1:14" x14ac:dyDescent="0.35">
      <c r="A513" s="3" t="s">
        <v>14</v>
      </c>
      <c r="B513" s="4">
        <v>104</v>
      </c>
      <c r="C513" s="5">
        <v>43309</v>
      </c>
      <c r="D513" s="3" t="s">
        <v>238</v>
      </c>
      <c r="E513" s="16">
        <v>13.99</v>
      </c>
      <c r="F513" s="16">
        <v>6.67</v>
      </c>
      <c r="G513" s="36">
        <v>48.660869565217389</v>
      </c>
      <c r="H513" s="36">
        <v>4</v>
      </c>
      <c r="I513" s="36">
        <v>12.165217391304347</v>
      </c>
      <c r="J513" s="36">
        <v>1</v>
      </c>
      <c r="K513" s="36">
        <v>24.330434782608695</v>
      </c>
      <c r="L513" s="36">
        <v>2</v>
      </c>
      <c r="M513" s="36">
        <v>24.330434782608695</v>
      </c>
      <c r="N513" s="36">
        <v>2</v>
      </c>
    </row>
    <row r="514" spans="1:14" x14ac:dyDescent="0.35">
      <c r="A514" s="3" t="s">
        <v>317</v>
      </c>
      <c r="B514" s="4">
        <v>110</v>
      </c>
      <c r="C514" s="5">
        <v>43398</v>
      </c>
      <c r="D514" s="3" t="s">
        <v>784</v>
      </c>
      <c r="E514" s="16">
        <v>22.99</v>
      </c>
      <c r="F514" s="16">
        <v>13.88095</v>
      </c>
      <c r="G514" s="36">
        <v>0</v>
      </c>
      <c r="H514" s="36">
        <v>0</v>
      </c>
      <c r="I514" s="36">
        <v>0</v>
      </c>
      <c r="J514" s="36">
        <v>0</v>
      </c>
      <c r="K514" s="36">
        <v>0</v>
      </c>
      <c r="L514" s="36">
        <v>0</v>
      </c>
      <c r="M514" s="36">
        <v>0</v>
      </c>
      <c r="N514" s="36">
        <v>0</v>
      </c>
    </row>
    <row r="515" spans="1:14" x14ac:dyDescent="0.35">
      <c r="A515" s="3" t="s">
        <v>371</v>
      </c>
      <c r="B515" s="4">
        <v>101</v>
      </c>
      <c r="C515" s="5">
        <v>43420</v>
      </c>
      <c r="D515" s="3" t="s">
        <v>77</v>
      </c>
      <c r="E515" s="16">
        <v>13.99</v>
      </c>
      <c r="F515" s="16">
        <v>6.5</v>
      </c>
      <c r="G515" s="36">
        <v>0</v>
      </c>
      <c r="H515" s="36">
        <v>0</v>
      </c>
      <c r="I515" s="36">
        <v>0</v>
      </c>
      <c r="J515" s="36">
        <v>0</v>
      </c>
      <c r="K515" s="36">
        <v>0</v>
      </c>
      <c r="L515" s="36">
        <v>0</v>
      </c>
      <c r="M515" s="36">
        <v>0</v>
      </c>
      <c r="N515" s="36">
        <v>0</v>
      </c>
    </row>
    <row r="516" spans="1:14" x14ac:dyDescent="0.35">
      <c r="A516" s="3" t="s">
        <v>724</v>
      </c>
      <c r="B516" s="4">
        <v>112</v>
      </c>
      <c r="C516" s="5">
        <v>43567</v>
      </c>
      <c r="D516" s="3" t="s">
        <v>785</v>
      </c>
      <c r="E516" s="16">
        <v>99.99</v>
      </c>
      <c r="F516" s="16">
        <v>61.730400000000003</v>
      </c>
      <c r="G516" s="36">
        <v>0</v>
      </c>
      <c r="H516" s="36">
        <v>0</v>
      </c>
      <c r="I516" s="36">
        <v>0</v>
      </c>
      <c r="J516" s="36">
        <v>0</v>
      </c>
      <c r="K516" s="36">
        <v>0</v>
      </c>
      <c r="L516" s="36">
        <v>0</v>
      </c>
      <c r="M516" s="36">
        <v>0</v>
      </c>
      <c r="N516" s="36">
        <v>0</v>
      </c>
    </row>
    <row r="517" spans="1:14" x14ac:dyDescent="0.35">
      <c r="A517" s="3" t="s">
        <v>786</v>
      </c>
      <c r="B517" s="4">
        <v>108</v>
      </c>
      <c r="C517" s="5">
        <v>43600</v>
      </c>
      <c r="D517" s="3" t="s">
        <v>787</v>
      </c>
      <c r="E517" s="16">
        <v>20</v>
      </c>
      <c r="F517" s="16">
        <v>15</v>
      </c>
      <c r="G517" s="36">
        <v>0</v>
      </c>
      <c r="H517" s="36">
        <v>0</v>
      </c>
      <c r="I517" s="36">
        <v>0</v>
      </c>
      <c r="J517" s="36">
        <v>0</v>
      </c>
      <c r="K517" s="36">
        <v>0</v>
      </c>
      <c r="L517" s="36">
        <v>0</v>
      </c>
      <c r="M517" s="36">
        <v>0</v>
      </c>
      <c r="N517" s="36">
        <v>0</v>
      </c>
    </row>
    <row r="518" spans="1:14" x14ac:dyDescent="0.35">
      <c r="A518" s="3" t="s">
        <v>724</v>
      </c>
      <c r="B518" s="4">
        <v>112</v>
      </c>
      <c r="C518" s="5">
        <v>43618</v>
      </c>
      <c r="D518" s="3" t="s">
        <v>785</v>
      </c>
      <c r="E518" s="16">
        <v>62.99</v>
      </c>
      <c r="F518" s="16">
        <v>38.886899999999997</v>
      </c>
      <c r="G518" s="36">
        <v>0</v>
      </c>
      <c r="H518" s="36">
        <v>0</v>
      </c>
      <c r="I518" s="36">
        <v>0</v>
      </c>
      <c r="J518" s="36">
        <v>0</v>
      </c>
      <c r="K518" s="36">
        <v>0</v>
      </c>
      <c r="L518" s="36">
        <v>0</v>
      </c>
      <c r="M518" s="36">
        <v>109.54782608695652</v>
      </c>
      <c r="N518" s="36">
        <v>2</v>
      </c>
    </row>
    <row r="519" spans="1:14" x14ac:dyDescent="0.35">
      <c r="A519" s="3" t="s">
        <v>724</v>
      </c>
      <c r="B519" s="4">
        <v>112</v>
      </c>
      <c r="C519" s="5">
        <v>43829</v>
      </c>
      <c r="D519" s="3" t="s">
        <v>788</v>
      </c>
      <c r="E519" s="16">
        <v>119.99</v>
      </c>
      <c r="F519" s="16">
        <v>74.078199999999995</v>
      </c>
      <c r="G519" s="36">
        <v>0</v>
      </c>
      <c r="H519" s="36">
        <v>0</v>
      </c>
      <c r="I519" s="36">
        <v>0</v>
      </c>
      <c r="J519" s="36">
        <v>0</v>
      </c>
      <c r="K519" s="36">
        <v>0</v>
      </c>
      <c r="L519" s="36">
        <v>0</v>
      </c>
      <c r="M519" s="36">
        <v>104.3391304347826</v>
      </c>
      <c r="N519" s="36">
        <v>1</v>
      </c>
    </row>
    <row r="520" spans="1:14" x14ac:dyDescent="0.35">
      <c r="A520" s="3" t="s">
        <v>359</v>
      </c>
      <c r="B520" s="4">
        <v>109</v>
      </c>
      <c r="C520" s="5">
        <v>43981</v>
      </c>
      <c r="D520" s="3" t="s">
        <v>789</v>
      </c>
      <c r="E520" s="16">
        <v>402.99</v>
      </c>
      <c r="F520" s="16">
        <v>210</v>
      </c>
      <c r="G520" s="36">
        <v>0</v>
      </c>
      <c r="H520" s="36">
        <v>0</v>
      </c>
      <c r="I520" s="36">
        <v>0</v>
      </c>
      <c r="J520" s="36">
        <v>0</v>
      </c>
      <c r="K520" s="36">
        <v>0</v>
      </c>
      <c r="L520" s="36">
        <v>0</v>
      </c>
      <c r="M520" s="36">
        <v>0</v>
      </c>
      <c r="N520" s="36">
        <v>0</v>
      </c>
    </row>
    <row r="521" spans="1:14" x14ac:dyDescent="0.35">
      <c r="A521" s="3" t="s">
        <v>317</v>
      </c>
      <c r="B521" s="4">
        <v>109</v>
      </c>
      <c r="C521" s="5">
        <v>44655</v>
      </c>
      <c r="D521" s="3" t="s">
        <v>790</v>
      </c>
      <c r="E521" s="16">
        <v>51.99</v>
      </c>
      <c r="F521" s="16">
        <v>31.899799999999999</v>
      </c>
      <c r="G521" s="36">
        <v>0</v>
      </c>
      <c r="H521" s="36">
        <v>0</v>
      </c>
      <c r="I521" s="36">
        <v>0</v>
      </c>
      <c r="J521" s="36">
        <v>0</v>
      </c>
      <c r="K521" s="36">
        <v>0</v>
      </c>
      <c r="L521" s="36">
        <v>0</v>
      </c>
      <c r="M521" s="36">
        <v>0</v>
      </c>
      <c r="N521" s="36">
        <v>0</v>
      </c>
    </row>
    <row r="522" spans="1:14" x14ac:dyDescent="0.35">
      <c r="A522" s="3" t="s">
        <v>317</v>
      </c>
      <c r="B522" s="4">
        <v>109</v>
      </c>
      <c r="C522" s="5">
        <v>44656</v>
      </c>
      <c r="D522" s="3" t="s">
        <v>791</v>
      </c>
      <c r="E522" s="16">
        <v>51.99</v>
      </c>
      <c r="F522" s="16">
        <v>31.899799999999999</v>
      </c>
      <c r="G522" s="36">
        <v>0</v>
      </c>
      <c r="H522" s="36">
        <v>0</v>
      </c>
      <c r="I522" s="36">
        <v>0</v>
      </c>
      <c r="J522" s="36">
        <v>0</v>
      </c>
      <c r="K522" s="36">
        <v>0</v>
      </c>
      <c r="L522" s="36">
        <v>0</v>
      </c>
      <c r="M522" s="36">
        <v>0</v>
      </c>
      <c r="N522" s="36">
        <v>0</v>
      </c>
    </row>
    <row r="523" spans="1:14" x14ac:dyDescent="0.35">
      <c r="A523" s="3" t="s">
        <v>724</v>
      </c>
      <c r="B523" s="4">
        <v>112</v>
      </c>
      <c r="C523" s="5">
        <v>45161</v>
      </c>
      <c r="D523" s="3" t="s">
        <v>792</v>
      </c>
      <c r="E523" s="16">
        <v>67.989999999999995</v>
      </c>
      <c r="F523" s="16">
        <v>41.9739</v>
      </c>
      <c r="G523" s="36">
        <v>0</v>
      </c>
      <c r="H523" s="36">
        <v>0</v>
      </c>
      <c r="I523" s="36">
        <v>0</v>
      </c>
      <c r="J523" s="36">
        <v>0</v>
      </c>
      <c r="K523" s="36">
        <v>59.121739130434776</v>
      </c>
      <c r="L523" s="36">
        <v>1</v>
      </c>
      <c r="M523" s="36">
        <v>0</v>
      </c>
      <c r="N523" s="36">
        <v>0</v>
      </c>
    </row>
    <row r="524" spans="1:14" x14ac:dyDescent="0.35">
      <c r="A524" s="3" t="s">
        <v>724</v>
      </c>
      <c r="B524" s="4">
        <v>112</v>
      </c>
      <c r="C524" s="5">
        <v>45334</v>
      </c>
      <c r="D524" s="3" t="s">
        <v>793</v>
      </c>
      <c r="E524" s="16">
        <v>62.99</v>
      </c>
      <c r="F524" s="16">
        <v>38.886899999999997</v>
      </c>
      <c r="G524" s="36">
        <v>0</v>
      </c>
      <c r="H524" s="36">
        <v>0</v>
      </c>
      <c r="I524" s="36">
        <v>0</v>
      </c>
      <c r="J524" s="36">
        <v>0</v>
      </c>
      <c r="K524" s="36">
        <v>0</v>
      </c>
      <c r="L524" s="36">
        <v>0</v>
      </c>
      <c r="M524" s="36">
        <v>0</v>
      </c>
      <c r="N524" s="36">
        <v>0</v>
      </c>
    </row>
    <row r="525" spans="1:14" x14ac:dyDescent="0.35">
      <c r="A525" s="3" t="s">
        <v>702</v>
      </c>
      <c r="B525" s="4">
        <v>103</v>
      </c>
      <c r="C525" s="5">
        <v>45708</v>
      </c>
      <c r="D525" s="3" t="s">
        <v>794</v>
      </c>
      <c r="E525" s="16">
        <v>0</v>
      </c>
      <c r="F525" s="16">
        <v>104.85</v>
      </c>
      <c r="G525" s="36">
        <v>0</v>
      </c>
      <c r="H525" s="36">
        <v>0</v>
      </c>
      <c r="I525" s="36">
        <v>0</v>
      </c>
      <c r="J525" s="36">
        <v>0</v>
      </c>
      <c r="K525" s="36">
        <v>0</v>
      </c>
      <c r="L525" s="36">
        <v>0</v>
      </c>
      <c r="M525" s="36">
        <v>0</v>
      </c>
      <c r="N525" s="36">
        <v>0</v>
      </c>
    </row>
    <row r="526" spans="1:14" x14ac:dyDescent="0.35">
      <c r="A526" s="3" t="s">
        <v>702</v>
      </c>
      <c r="B526" s="4">
        <v>111</v>
      </c>
      <c r="C526" s="5">
        <v>45712</v>
      </c>
      <c r="D526" s="3" t="s">
        <v>795</v>
      </c>
      <c r="E526" s="16">
        <v>6.5</v>
      </c>
      <c r="F526" s="16">
        <v>4.46</v>
      </c>
      <c r="G526" s="36">
        <v>0</v>
      </c>
      <c r="H526" s="36">
        <v>0</v>
      </c>
      <c r="I526" s="36">
        <v>0</v>
      </c>
      <c r="J526" s="36">
        <v>0</v>
      </c>
      <c r="K526" s="36">
        <v>0</v>
      </c>
      <c r="L526" s="36">
        <v>0</v>
      </c>
      <c r="M526" s="36">
        <v>0</v>
      </c>
      <c r="N526" s="36">
        <v>0</v>
      </c>
    </row>
    <row r="527" spans="1:14" x14ac:dyDescent="0.35">
      <c r="A527" s="3" t="s">
        <v>14</v>
      </c>
      <c r="B527" s="4">
        <v>113</v>
      </c>
      <c r="C527" s="5">
        <v>46072</v>
      </c>
      <c r="D527" s="3" t="s">
        <v>252</v>
      </c>
      <c r="E527" s="16">
        <v>44.99</v>
      </c>
      <c r="F527" s="16">
        <v>26.64</v>
      </c>
      <c r="G527" s="36">
        <v>0</v>
      </c>
      <c r="H527" s="36">
        <v>0</v>
      </c>
      <c r="I527" s="36">
        <v>0</v>
      </c>
      <c r="J527" s="36">
        <v>0</v>
      </c>
      <c r="K527" s="36">
        <v>0</v>
      </c>
      <c r="L527" s="36">
        <v>0</v>
      </c>
      <c r="M527" s="36">
        <v>0</v>
      </c>
      <c r="N527" s="36">
        <v>0</v>
      </c>
    </row>
    <row r="528" spans="1:14" x14ac:dyDescent="0.35">
      <c r="A528" s="3" t="s">
        <v>317</v>
      </c>
      <c r="B528" s="4">
        <v>109</v>
      </c>
      <c r="C528" s="5">
        <v>46077</v>
      </c>
      <c r="D528" s="3" t="s">
        <v>796</v>
      </c>
      <c r="E528" s="16">
        <v>165.99</v>
      </c>
      <c r="F528" s="16">
        <v>104.07210000000001</v>
      </c>
      <c r="G528" s="36">
        <v>0</v>
      </c>
      <c r="H528" s="36">
        <v>0</v>
      </c>
      <c r="I528" s="36">
        <v>0</v>
      </c>
      <c r="J528" s="36">
        <v>0</v>
      </c>
      <c r="K528" s="36">
        <v>0</v>
      </c>
      <c r="L528" s="36">
        <v>0</v>
      </c>
      <c r="M528" s="36">
        <v>0</v>
      </c>
      <c r="N528" s="36">
        <v>0</v>
      </c>
    </row>
    <row r="529" spans="1:14" x14ac:dyDescent="0.35">
      <c r="A529" s="3" t="s">
        <v>317</v>
      </c>
      <c r="B529" s="4">
        <v>106</v>
      </c>
      <c r="C529" s="5">
        <v>46182</v>
      </c>
      <c r="D529" s="3" t="s">
        <v>797</v>
      </c>
      <c r="E529" s="16">
        <v>59.99</v>
      </c>
      <c r="F529" s="16">
        <v>36.994506250000001</v>
      </c>
      <c r="G529" s="36">
        <v>52.165217391304353</v>
      </c>
      <c r="H529" s="36">
        <v>1</v>
      </c>
      <c r="I529" s="36">
        <v>104.33043478260871</v>
      </c>
      <c r="J529" s="36">
        <v>2</v>
      </c>
      <c r="K529" s="36">
        <v>101.72173913043478</v>
      </c>
      <c r="L529" s="36">
        <v>2</v>
      </c>
      <c r="M529" s="36">
        <v>0</v>
      </c>
      <c r="N529" s="36">
        <v>0</v>
      </c>
    </row>
    <row r="530" spans="1:14" x14ac:dyDescent="0.35">
      <c r="A530" s="3" t="s">
        <v>724</v>
      </c>
      <c r="B530" s="4">
        <v>112</v>
      </c>
      <c r="C530" s="5">
        <v>46388</v>
      </c>
      <c r="D530" s="3" t="s">
        <v>798</v>
      </c>
      <c r="E530" s="16">
        <v>75.989999999999995</v>
      </c>
      <c r="F530" s="16">
        <v>46.912999999999997</v>
      </c>
      <c r="G530" s="36">
        <v>0</v>
      </c>
      <c r="H530" s="36">
        <v>0</v>
      </c>
      <c r="I530" s="36">
        <v>0</v>
      </c>
      <c r="J530" s="36">
        <v>0</v>
      </c>
      <c r="K530" s="36">
        <v>0</v>
      </c>
      <c r="L530" s="36">
        <v>0</v>
      </c>
      <c r="M530" s="36">
        <v>66.078260869565213</v>
      </c>
      <c r="N530" s="36">
        <v>1</v>
      </c>
    </row>
    <row r="531" spans="1:14" x14ac:dyDescent="0.35">
      <c r="A531" s="3" t="s">
        <v>359</v>
      </c>
      <c r="B531" s="4">
        <v>103</v>
      </c>
      <c r="C531" s="5">
        <v>46687</v>
      </c>
      <c r="D531" s="3" t="s">
        <v>799</v>
      </c>
      <c r="E531" s="16">
        <v>99.99</v>
      </c>
      <c r="F531" s="16">
        <v>55.21</v>
      </c>
      <c r="G531" s="36">
        <v>0</v>
      </c>
      <c r="H531" s="36">
        <v>0</v>
      </c>
      <c r="I531" s="36">
        <v>0</v>
      </c>
      <c r="J531" s="36">
        <v>0</v>
      </c>
      <c r="K531" s="36">
        <v>0</v>
      </c>
      <c r="L531" s="36">
        <v>0</v>
      </c>
      <c r="M531" s="36">
        <v>0</v>
      </c>
      <c r="N531" s="36">
        <v>0</v>
      </c>
    </row>
    <row r="532" spans="1:14" x14ac:dyDescent="0.35">
      <c r="A532" s="3" t="s">
        <v>14</v>
      </c>
      <c r="B532" s="4">
        <v>102</v>
      </c>
      <c r="C532" s="5">
        <v>46797</v>
      </c>
      <c r="D532" s="3" t="s">
        <v>161</v>
      </c>
      <c r="E532" s="16">
        <v>39.99</v>
      </c>
      <c r="F532" s="16">
        <v>25</v>
      </c>
      <c r="G532" s="36">
        <v>0</v>
      </c>
      <c r="H532" s="36">
        <v>0</v>
      </c>
      <c r="I532" s="36">
        <v>0</v>
      </c>
      <c r="J532" s="36">
        <v>0</v>
      </c>
      <c r="K532" s="36">
        <v>0</v>
      </c>
      <c r="L532" s="36">
        <v>0</v>
      </c>
      <c r="M532" s="36">
        <v>0</v>
      </c>
      <c r="N532" s="36">
        <v>0</v>
      </c>
    </row>
    <row r="533" spans="1:14" x14ac:dyDescent="0.35">
      <c r="A533" s="3" t="s">
        <v>19</v>
      </c>
      <c r="B533" s="4">
        <v>102</v>
      </c>
      <c r="C533" s="5">
        <v>46909</v>
      </c>
      <c r="D533" s="3" t="s">
        <v>152</v>
      </c>
      <c r="E533" s="16">
        <v>10.99</v>
      </c>
      <c r="F533" s="16">
        <v>5.7054999999999998</v>
      </c>
      <c r="G533" s="36">
        <v>0</v>
      </c>
      <c r="H533" s="36">
        <v>0</v>
      </c>
      <c r="I533" s="36">
        <v>0</v>
      </c>
      <c r="J533" s="36">
        <v>0</v>
      </c>
      <c r="K533" s="36">
        <v>0</v>
      </c>
      <c r="L533" s="36">
        <v>0</v>
      </c>
      <c r="M533" s="36">
        <v>0</v>
      </c>
      <c r="N533" s="36">
        <v>0</v>
      </c>
    </row>
    <row r="534" spans="1:14" x14ac:dyDescent="0.35">
      <c r="A534" s="3" t="s">
        <v>317</v>
      </c>
      <c r="B534" s="4">
        <v>101</v>
      </c>
      <c r="C534" s="5">
        <v>47453</v>
      </c>
      <c r="D534" s="3" t="s">
        <v>372</v>
      </c>
      <c r="E534" s="16">
        <v>39.99</v>
      </c>
      <c r="F534" s="16">
        <v>25.283157142857142</v>
      </c>
      <c r="G534" s="36">
        <v>0</v>
      </c>
      <c r="H534" s="36">
        <v>0</v>
      </c>
      <c r="I534" s="36">
        <v>0</v>
      </c>
      <c r="J534" s="36">
        <v>0</v>
      </c>
      <c r="K534" s="36">
        <v>0</v>
      </c>
      <c r="L534" s="36">
        <v>0</v>
      </c>
      <c r="M534" s="36">
        <v>0</v>
      </c>
      <c r="N534" s="36">
        <v>0</v>
      </c>
    </row>
    <row r="535" spans="1:14" x14ac:dyDescent="0.35">
      <c r="A535" s="3" t="s">
        <v>317</v>
      </c>
      <c r="B535" s="4">
        <v>107</v>
      </c>
      <c r="C535" s="5">
        <v>48392</v>
      </c>
      <c r="D535" s="3" t="s">
        <v>800</v>
      </c>
      <c r="E535" s="16">
        <v>29.99</v>
      </c>
      <c r="F535" s="16">
        <v>17.935974999999999</v>
      </c>
      <c r="G535" s="36">
        <v>0</v>
      </c>
      <c r="H535" s="36">
        <v>0</v>
      </c>
      <c r="I535" s="36">
        <v>0</v>
      </c>
      <c r="J535" s="36">
        <v>0</v>
      </c>
      <c r="K535" s="36">
        <v>0</v>
      </c>
      <c r="L535" s="36">
        <v>0</v>
      </c>
      <c r="M535" s="36">
        <v>0</v>
      </c>
      <c r="N535" s="36">
        <v>0</v>
      </c>
    </row>
    <row r="536" spans="1:14" x14ac:dyDescent="0.35">
      <c r="A536" s="3" t="s">
        <v>317</v>
      </c>
      <c r="B536" s="4">
        <v>106</v>
      </c>
      <c r="C536" s="5">
        <v>48496</v>
      </c>
      <c r="D536" s="3" t="s">
        <v>801</v>
      </c>
      <c r="E536" s="16">
        <v>43.99</v>
      </c>
      <c r="F536" s="16">
        <v>27.226793749999999</v>
      </c>
      <c r="G536" s="36">
        <v>0</v>
      </c>
      <c r="H536" s="36">
        <v>0</v>
      </c>
      <c r="I536" s="36">
        <v>0</v>
      </c>
      <c r="J536" s="36">
        <v>0</v>
      </c>
      <c r="K536" s="36">
        <v>0</v>
      </c>
      <c r="L536" s="36">
        <v>0</v>
      </c>
      <c r="M536" s="36">
        <v>0</v>
      </c>
      <c r="N536" s="36">
        <v>0</v>
      </c>
    </row>
    <row r="537" spans="1:14" x14ac:dyDescent="0.35">
      <c r="A537" s="3" t="s">
        <v>317</v>
      </c>
      <c r="B537" s="4">
        <v>106</v>
      </c>
      <c r="C537" s="5">
        <v>48497</v>
      </c>
      <c r="D537" s="3" t="s">
        <v>802</v>
      </c>
      <c r="E537" s="16">
        <v>51.99</v>
      </c>
      <c r="F537" s="16">
        <v>32.083824999999997</v>
      </c>
      <c r="G537" s="36">
        <v>0</v>
      </c>
      <c r="H537" s="36">
        <v>0</v>
      </c>
      <c r="I537" s="36">
        <v>0</v>
      </c>
      <c r="J537" s="36">
        <v>0</v>
      </c>
      <c r="K537" s="36">
        <v>0</v>
      </c>
      <c r="L537" s="36">
        <v>0</v>
      </c>
      <c r="M537" s="36">
        <v>0</v>
      </c>
      <c r="N537" s="36">
        <v>0</v>
      </c>
    </row>
    <row r="538" spans="1:14" x14ac:dyDescent="0.35">
      <c r="A538" s="3" t="s">
        <v>317</v>
      </c>
      <c r="B538" s="4">
        <v>106</v>
      </c>
      <c r="C538" s="5">
        <v>48498</v>
      </c>
      <c r="D538" s="3" t="s">
        <v>803</v>
      </c>
      <c r="E538" s="16">
        <v>28.99</v>
      </c>
      <c r="F538" s="16">
        <v>18.022949999999998</v>
      </c>
      <c r="G538" s="36">
        <v>0</v>
      </c>
      <c r="H538" s="36">
        <v>0</v>
      </c>
      <c r="I538" s="36">
        <v>0</v>
      </c>
      <c r="J538" s="36">
        <v>0</v>
      </c>
      <c r="K538" s="36">
        <v>0</v>
      </c>
      <c r="L538" s="36">
        <v>0</v>
      </c>
      <c r="M538" s="36">
        <v>0</v>
      </c>
      <c r="N538" s="36">
        <v>0</v>
      </c>
    </row>
    <row r="539" spans="1:14" x14ac:dyDescent="0.35">
      <c r="A539" s="3" t="s">
        <v>804</v>
      </c>
      <c r="B539" s="4">
        <v>111</v>
      </c>
      <c r="C539" s="5">
        <v>48596</v>
      </c>
      <c r="D539" s="3" t="s">
        <v>805</v>
      </c>
      <c r="E539" s="16">
        <v>22.99</v>
      </c>
      <c r="F539" s="16">
        <v>13.5</v>
      </c>
      <c r="G539" s="36">
        <v>0</v>
      </c>
      <c r="H539" s="36">
        <v>0</v>
      </c>
      <c r="I539" s="36">
        <v>0</v>
      </c>
      <c r="J539" s="36">
        <v>0</v>
      </c>
      <c r="K539" s="36">
        <v>0</v>
      </c>
      <c r="L539" s="36">
        <v>0</v>
      </c>
      <c r="M539" s="36">
        <v>0</v>
      </c>
      <c r="N539" s="36">
        <v>0</v>
      </c>
    </row>
    <row r="540" spans="1:14" x14ac:dyDescent="0.35">
      <c r="A540" s="3" t="s">
        <v>804</v>
      </c>
      <c r="B540" s="4">
        <v>111</v>
      </c>
      <c r="C540" s="5">
        <v>48597</v>
      </c>
      <c r="D540" s="3" t="s">
        <v>806</v>
      </c>
      <c r="E540" s="16">
        <v>22.99</v>
      </c>
      <c r="F540" s="16">
        <v>15</v>
      </c>
      <c r="G540" s="36">
        <v>0</v>
      </c>
      <c r="H540" s="36">
        <v>0</v>
      </c>
      <c r="I540" s="36">
        <v>0</v>
      </c>
      <c r="J540" s="36">
        <v>0</v>
      </c>
      <c r="K540" s="36">
        <v>0</v>
      </c>
      <c r="L540" s="36">
        <v>0</v>
      </c>
      <c r="M540" s="36">
        <v>0</v>
      </c>
      <c r="N540" s="36">
        <v>0</v>
      </c>
    </row>
    <row r="541" spans="1:14" x14ac:dyDescent="0.35">
      <c r="A541" s="3" t="s">
        <v>804</v>
      </c>
      <c r="B541" s="4">
        <v>111</v>
      </c>
      <c r="C541" s="5">
        <v>48598</v>
      </c>
      <c r="D541" s="3" t="s">
        <v>807</v>
      </c>
      <c r="E541" s="16">
        <v>22.99</v>
      </c>
      <c r="F541" s="16">
        <v>15</v>
      </c>
      <c r="G541" s="36">
        <v>0</v>
      </c>
      <c r="H541" s="36">
        <v>0</v>
      </c>
      <c r="I541" s="36">
        <v>0</v>
      </c>
      <c r="J541" s="36">
        <v>0</v>
      </c>
      <c r="K541" s="36">
        <v>0</v>
      </c>
      <c r="L541" s="36">
        <v>0</v>
      </c>
      <c r="M541" s="36">
        <v>0</v>
      </c>
      <c r="N541" s="36">
        <v>0</v>
      </c>
    </row>
    <row r="542" spans="1:14" x14ac:dyDescent="0.35">
      <c r="A542" s="3" t="s">
        <v>804</v>
      </c>
      <c r="B542" s="4">
        <v>111</v>
      </c>
      <c r="C542" s="5">
        <v>48599</v>
      </c>
      <c r="D542" s="3" t="s">
        <v>808</v>
      </c>
      <c r="E542" s="16">
        <v>22.99</v>
      </c>
      <c r="F542" s="16">
        <v>15</v>
      </c>
      <c r="G542" s="36">
        <v>0</v>
      </c>
      <c r="H542" s="36">
        <v>0</v>
      </c>
      <c r="I542" s="36">
        <v>0</v>
      </c>
      <c r="J542" s="36">
        <v>0</v>
      </c>
      <c r="K542" s="36">
        <v>0</v>
      </c>
      <c r="L542" s="36">
        <v>0</v>
      </c>
      <c r="M542" s="36">
        <v>0</v>
      </c>
      <c r="N542" s="36">
        <v>0</v>
      </c>
    </row>
    <row r="543" spans="1:14" x14ac:dyDescent="0.35">
      <c r="A543" s="3" t="s">
        <v>19</v>
      </c>
      <c r="B543" s="4">
        <v>109</v>
      </c>
      <c r="C543" s="5">
        <v>48604</v>
      </c>
      <c r="D543" s="3" t="s">
        <v>250</v>
      </c>
      <c r="E543" s="16">
        <v>189.99</v>
      </c>
      <c r="F543" s="16">
        <v>107.69200000000001</v>
      </c>
      <c r="G543" s="36">
        <v>0</v>
      </c>
      <c r="H543" s="36">
        <v>0</v>
      </c>
      <c r="I543" s="36">
        <v>0</v>
      </c>
      <c r="J543" s="36">
        <v>0</v>
      </c>
      <c r="K543" s="36">
        <v>0</v>
      </c>
      <c r="L543" s="36">
        <v>0</v>
      </c>
      <c r="M543" s="36">
        <v>0</v>
      </c>
      <c r="N543" s="36">
        <v>0</v>
      </c>
    </row>
    <row r="544" spans="1:14" x14ac:dyDescent="0.35">
      <c r="A544" s="3" t="s">
        <v>35</v>
      </c>
      <c r="B544" s="4">
        <v>102</v>
      </c>
      <c r="C544" s="5">
        <v>48620</v>
      </c>
      <c r="D544" s="3" t="s">
        <v>153</v>
      </c>
      <c r="E544" s="16">
        <v>37.99</v>
      </c>
      <c r="F544" s="16">
        <v>19.462499999999999</v>
      </c>
      <c r="G544" s="36">
        <v>0</v>
      </c>
      <c r="H544" s="36">
        <v>0</v>
      </c>
      <c r="I544" s="36">
        <v>33.03478260869565</v>
      </c>
      <c r="J544" s="36">
        <v>1</v>
      </c>
      <c r="K544" s="36">
        <v>66.0695652173913</v>
      </c>
      <c r="L544" s="36">
        <v>2</v>
      </c>
      <c r="M544" s="36">
        <v>0</v>
      </c>
      <c r="N544" s="36">
        <v>0</v>
      </c>
    </row>
    <row r="545" spans="1:14" x14ac:dyDescent="0.35">
      <c r="A545" s="3" t="s">
        <v>35</v>
      </c>
      <c r="B545" s="4">
        <v>102</v>
      </c>
      <c r="C545" s="5">
        <v>48683</v>
      </c>
      <c r="D545" s="3" t="s">
        <v>192</v>
      </c>
      <c r="E545" s="16">
        <v>11.99</v>
      </c>
      <c r="F545" s="16">
        <v>7.0248571428571429</v>
      </c>
      <c r="G545" s="36">
        <v>0</v>
      </c>
      <c r="H545" s="36">
        <v>0</v>
      </c>
      <c r="I545" s="36">
        <v>0</v>
      </c>
      <c r="J545" s="36">
        <v>0</v>
      </c>
      <c r="K545" s="36">
        <v>0</v>
      </c>
      <c r="L545" s="36">
        <v>0</v>
      </c>
      <c r="M545" s="36">
        <v>0</v>
      </c>
      <c r="N545" s="36">
        <v>0</v>
      </c>
    </row>
    <row r="546" spans="1:14" x14ac:dyDescent="0.35">
      <c r="A546" s="3" t="s">
        <v>107</v>
      </c>
      <c r="B546" s="4">
        <v>102</v>
      </c>
      <c r="C546" s="5">
        <v>48861</v>
      </c>
      <c r="D546" s="3" t="s">
        <v>111</v>
      </c>
      <c r="E546" s="16">
        <v>50</v>
      </c>
      <c r="F546" s="16">
        <v>30</v>
      </c>
      <c r="G546" s="36">
        <v>0</v>
      </c>
      <c r="H546" s="36">
        <v>0</v>
      </c>
      <c r="I546" s="36">
        <v>0</v>
      </c>
      <c r="J546" s="36">
        <v>0</v>
      </c>
      <c r="K546" s="36">
        <v>0</v>
      </c>
      <c r="L546" s="36">
        <v>0</v>
      </c>
      <c r="M546" s="36">
        <v>0</v>
      </c>
      <c r="N546" s="36">
        <v>0</v>
      </c>
    </row>
    <row r="547" spans="1:14" x14ac:dyDescent="0.35">
      <c r="A547" s="3" t="s">
        <v>730</v>
      </c>
      <c r="B547" s="4">
        <v>103</v>
      </c>
      <c r="C547" s="5">
        <v>48980</v>
      </c>
      <c r="D547" s="3" t="s">
        <v>809</v>
      </c>
      <c r="E547" s="16">
        <v>44.99</v>
      </c>
      <c r="F547" s="16">
        <v>22.52</v>
      </c>
      <c r="G547" s="36">
        <v>0</v>
      </c>
      <c r="H547" s="36">
        <v>0</v>
      </c>
      <c r="I547" s="36">
        <v>0</v>
      </c>
      <c r="J547" s="36">
        <v>0</v>
      </c>
      <c r="K547" s="36">
        <v>0</v>
      </c>
      <c r="L547" s="36">
        <v>0</v>
      </c>
      <c r="M547" s="36">
        <v>0</v>
      </c>
      <c r="N547" s="36">
        <v>0</v>
      </c>
    </row>
    <row r="548" spans="1:14" x14ac:dyDescent="0.35">
      <c r="A548" s="3" t="s">
        <v>359</v>
      </c>
      <c r="B548" s="4">
        <v>103</v>
      </c>
      <c r="C548" s="5">
        <v>49033</v>
      </c>
      <c r="D548" s="3" t="s">
        <v>810</v>
      </c>
      <c r="E548" s="16">
        <v>216.99</v>
      </c>
      <c r="F548" s="16">
        <v>112.98</v>
      </c>
      <c r="G548" s="36">
        <v>0</v>
      </c>
      <c r="H548" s="36">
        <v>0</v>
      </c>
      <c r="I548" s="36">
        <v>0</v>
      </c>
      <c r="J548" s="36">
        <v>0</v>
      </c>
      <c r="K548" s="36">
        <v>0</v>
      </c>
      <c r="L548" s="36">
        <v>0</v>
      </c>
      <c r="M548" s="36">
        <v>0</v>
      </c>
      <c r="N548" s="36">
        <v>0</v>
      </c>
    </row>
    <row r="549" spans="1:14" x14ac:dyDescent="0.35">
      <c r="A549" s="3" t="s">
        <v>804</v>
      </c>
      <c r="B549" s="4">
        <v>111</v>
      </c>
      <c r="C549" s="5">
        <v>49316</v>
      </c>
      <c r="D549" s="3" t="s">
        <v>811</v>
      </c>
      <c r="E549" s="16">
        <v>22.99</v>
      </c>
      <c r="F549" s="16">
        <v>15</v>
      </c>
      <c r="G549" s="36">
        <v>0</v>
      </c>
      <c r="H549" s="36">
        <v>0</v>
      </c>
      <c r="I549" s="36">
        <v>19.991304347826087</v>
      </c>
      <c r="J549" s="36">
        <v>1</v>
      </c>
      <c r="K549" s="36">
        <v>0</v>
      </c>
      <c r="L549" s="36">
        <v>0</v>
      </c>
      <c r="M549" s="36">
        <v>39.982608695652175</v>
      </c>
      <c r="N549" s="36">
        <v>2</v>
      </c>
    </row>
    <row r="550" spans="1:14" x14ac:dyDescent="0.35">
      <c r="A550" s="3" t="s">
        <v>359</v>
      </c>
      <c r="B550" s="4">
        <v>103</v>
      </c>
      <c r="C550" s="5">
        <v>49479</v>
      </c>
      <c r="D550" s="3" t="s">
        <v>812</v>
      </c>
      <c r="E550" s="16">
        <v>112.99</v>
      </c>
      <c r="F550" s="16">
        <v>61.36</v>
      </c>
      <c r="G550" s="36">
        <v>0</v>
      </c>
      <c r="H550" s="36">
        <v>0</v>
      </c>
      <c r="I550" s="36">
        <v>0</v>
      </c>
      <c r="J550" s="36">
        <v>0</v>
      </c>
      <c r="K550" s="36">
        <v>0</v>
      </c>
      <c r="L550" s="36">
        <v>0</v>
      </c>
      <c r="M550" s="36">
        <v>0</v>
      </c>
      <c r="N550" s="36">
        <v>0</v>
      </c>
    </row>
    <row r="551" spans="1:14" x14ac:dyDescent="0.35">
      <c r="A551" s="3" t="s">
        <v>738</v>
      </c>
      <c r="B551" s="4">
        <v>103</v>
      </c>
      <c r="C551" s="5">
        <v>49481</v>
      </c>
      <c r="D551" s="3" t="s">
        <v>813</v>
      </c>
      <c r="E551" s="16">
        <v>21.32</v>
      </c>
      <c r="F551" s="16">
        <v>0</v>
      </c>
      <c r="G551" s="36">
        <v>0</v>
      </c>
      <c r="H551" s="36">
        <v>0</v>
      </c>
      <c r="I551" s="36">
        <v>0</v>
      </c>
      <c r="J551" s="36">
        <v>0</v>
      </c>
      <c r="K551" s="36">
        <v>0</v>
      </c>
      <c r="L551" s="36">
        <v>0</v>
      </c>
      <c r="M551" s="36">
        <v>0</v>
      </c>
      <c r="N551" s="36">
        <v>0</v>
      </c>
    </row>
    <row r="552" spans="1:14" x14ac:dyDescent="0.35">
      <c r="A552" s="3" t="s">
        <v>738</v>
      </c>
      <c r="B552" s="4">
        <v>103</v>
      </c>
      <c r="C552" s="5">
        <v>49482</v>
      </c>
      <c r="D552" s="3" t="s">
        <v>745</v>
      </c>
      <c r="E552" s="16">
        <v>19.989999999999998</v>
      </c>
      <c r="F552" s="16">
        <v>0</v>
      </c>
      <c r="G552" s="36">
        <v>0</v>
      </c>
      <c r="H552" s="36">
        <v>0</v>
      </c>
      <c r="I552" s="36">
        <v>0</v>
      </c>
      <c r="J552" s="36">
        <v>0</v>
      </c>
      <c r="K552" s="36">
        <v>0</v>
      </c>
      <c r="L552" s="36">
        <v>0</v>
      </c>
      <c r="M552" s="36">
        <v>0</v>
      </c>
      <c r="N552" s="36">
        <v>0</v>
      </c>
    </row>
    <row r="553" spans="1:14" x14ac:dyDescent="0.35">
      <c r="A553" s="3" t="s">
        <v>738</v>
      </c>
      <c r="B553" s="4">
        <v>103</v>
      </c>
      <c r="C553" s="5">
        <v>49483</v>
      </c>
      <c r="D553" s="3" t="s">
        <v>814</v>
      </c>
      <c r="E553" s="16">
        <v>0.45</v>
      </c>
      <c r="F553" s="16">
        <v>0</v>
      </c>
      <c r="G553" s="36">
        <v>0</v>
      </c>
      <c r="H553" s="36">
        <v>0</v>
      </c>
      <c r="I553" s="36">
        <v>0</v>
      </c>
      <c r="J553" s="36">
        <v>0</v>
      </c>
      <c r="K553" s="36">
        <v>0</v>
      </c>
      <c r="L553" s="36">
        <v>0</v>
      </c>
      <c r="M553" s="36">
        <v>0</v>
      </c>
      <c r="N553" s="36">
        <v>0</v>
      </c>
    </row>
    <row r="554" spans="1:14" x14ac:dyDescent="0.35">
      <c r="A554" s="3" t="s">
        <v>465</v>
      </c>
      <c r="B554" s="4">
        <v>103</v>
      </c>
      <c r="C554" s="5">
        <v>49764</v>
      </c>
      <c r="D554" s="3" t="s">
        <v>815</v>
      </c>
      <c r="E554" s="16">
        <v>15.99</v>
      </c>
      <c r="F554" s="16">
        <v>8.2605000000000004</v>
      </c>
      <c r="G554" s="36">
        <v>0</v>
      </c>
      <c r="H554" s="36">
        <v>0</v>
      </c>
      <c r="I554" s="36">
        <v>0</v>
      </c>
      <c r="J554" s="36">
        <v>0</v>
      </c>
      <c r="K554" s="36">
        <v>0</v>
      </c>
      <c r="L554" s="36">
        <v>0</v>
      </c>
      <c r="M554" s="36">
        <v>0</v>
      </c>
      <c r="N554" s="36">
        <v>0</v>
      </c>
    </row>
    <row r="555" spans="1:14" x14ac:dyDescent="0.35">
      <c r="A555" s="3" t="s">
        <v>465</v>
      </c>
      <c r="B555" s="4">
        <v>110</v>
      </c>
      <c r="C555" s="5">
        <v>49765</v>
      </c>
      <c r="D555" s="3" t="s">
        <v>816</v>
      </c>
      <c r="E555" s="16">
        <v>20.99</v>
      </c>
      <c r="F555" s="16">
        <v>11.3055</v>
      </c>
      <c r="G555" s="36">
        <v>0</v>
      </c>
      <c r="H555" s="36">
        <v>0</v>
      </c>
      <c r="I555" s="36">
        <v>0</v>
      </c>
      <c r="J555" s="36">
        <v>0</v>
      </c>
      <c r="K555" s="36">
        <v>0</v>
      </c>
      <c r="L555" s="36">
        <v>0</v>
      </c>
      <c r="M555" s="36">
        <v>0</v>
      </c>
      <c r="N555" s="36">
        <v>0</v>
      </c>
    </row>
    <row r="556" spans="1:14" x14ac:dyDescent="0.35">
      <c r="A556" s="3" t="s">
        <v>317</v>
      </c>
      <c r="B556" s="4">
        <v>110</v>
      </c>
      <c r="C556" s="5">
        <v>49803</v>
      </c>
      <c r="D556" s="3" t="s">
        <v>817</v>
      </c>
      <c r="E556" s="16">
        <v>99.99</v>
      </c>
      <c r="F556" s="16">
        <v>62.066974999999999</v>
      </c>
      <c r="G556" s="36">
        <v>0</v>
      </c>
      <c r="H556" s="36">
        <v>0</v>
      </c>
      <c r="I556" s="36">
        <v>0</v>
      </c>
      <c r="J556" s="36">
        <v>0</v>
      </c>
      <c r="K556" s="36">
        <v>86.947826086956525</v>
      </c>
      <c r="L556" s="36">
        <v>1</v>
      </c>
      <c r="M556" s="36">
        <v>86.947826086956525</v>
      </c>
      <c r="N556" s="36">
        <v>1</v>
      </c>
    </row>
    <row r="557" spans="1:14" x14ac:dyDescent="0.35">
      <c r="A557" s="3" t="s">
        <v>317</v>
      </c>
      <c r="B557" s="4">
        <v>110</v>
      </c>
      <c r="C557" s="5">
        <v>49804</v>
      </c>
      <c r="D557" s="3" t="s">
        <v>818</v>
      </c>
      <c r="E557" s="16">
        <v>99.99</v>
      </c>
      <c r="F557" s="16">
        <v>60.204949999999997</v>
      </c>
      <c r="G557" s="36">
        <v>0</v>
      </c>
      <c r="H557" s="36">
        <v>0</v>
      </c>
      <c r="I557" s="36">
        <v>0</v>
      </c>
      <c r="J557" s="36">
        <v>0</v>
      </c>
      <c r="K557" s="36">
        <v>86.947826086956525</v>
      </c>
      <c r="L557" s="36">
        <v>1</v>
      </c>
      <c r="M557" s="36">
        <v>0</v>
      </c>
      <c r="N557" s="36">
        <v>0</v>
      </c>
    </row>
    <row r="558" spans="1:14" x14ac:dyDescent="0.35">
      <c r="A558" s="3" t="s">
        <v>317</v>
      </c>
      <c r="B558" s="4">
        <v>110</v>
      </c>
      <c r="C558" s="5">
        <v>49805</v>
      </c>
      <c r="D558" s="3" t="s">
        <v>819</v>
      </c>
      <c r="E558" s="16">
        <v>86.99</v>
      </c>
      <c r="F558" s="16">
        <v>54.272500000000001</v>
      </c>
      <c r="G558" s="36">
        <v>0</v>
      </c>
      <c r="H558" s="36">
        <v>0</v>
      </c>
      <c r="I558" s="36">
        <v>0</v>
      </c>
      <c r="J558" s="36">
        <v>0</v>
      </c>
      <c r="K558" s="36">
        <v>0</v>
      </c>
      <c r="L558" s="36">
        <v>0</v>
      </c>
      <c r="M558" s="36">
        <v>75.643478260869557</v>
      </c>
      <c r="N558" s="36">
        <v>1</v>
      </c>
    </row>
    <row r="559" spans="1:14" x14ac:dyDescent="0.35">
      <c r="A559" s="3" t="s">
        <v>317</v>
      </c>
      <c r="B559" s="4">
        <v>110</v>
      </c>
      <c r="C559" s="5">
        <v>49807</v>
      </c>
      <c r="D559" s="3" t="s">
        <v>820</v>
      </c>
      <c r="E559" s="16">
        <v>99.99</v>
      </c>
      <c r="F559" s="16">
        <v>62.066974999999999</v>
      </c>
      <c r="G559" s="36">
        <v>0</v>
      </c>
      <c r="H559" s="36">
        <v>0</v>
      </c>
      <c r="I559" s="36">
        <v>173.89565217391305</v>
      </c>
      <c r="J559" s="36">
        <v>2</v>
      </c>
      <c r="K559" s="36">
        <v>0</v>
      </c>
      <c r="L559" s="36">
        <v>0</v>
      </c>
      <c r="M559" s="36">
        <v>0</v>
      </c>
      <c r="N559" s="36">
        <v>0</v>
      </c>
    </row>
    <row r="560" spans="1:14" x14ac:dyDescent="0.35">
      <c r="A560" s="3" t="s">
        <v>317</v>
      </c>
      <c r="B560" s="4">
        <v>110</v>
      </c>
      <c r="C560" s="5">
        <v>49809</v>
      </c>
      <c r="D560" s="3" t="s">
        <v>821</v>
      </c>
      <c r="E560" s="16">
        <v>99.99</v>
      </c>
      <c r="F560" s="16">
        <v>62.066974999999999</v>
      </c>
      <c r="G560" s="36">
        <v>0</v>
      </c>
      <c r="H560" s="36">
        <v>0</v>
      </c>
      <c r="I560" s="36">
        <v>86.947826086956525</v>
      </c>
      <c r="J560" s="36">
        <v>1</v>
      </c>
      <c r="K560" s="36">
        <v>86.947826086956525</v>
      </c>
      <c r="L560" s="36">
        <v>1</v>
      </c>
      <c r="M560" s="36">
        <v>0</v>
      </c>
      <c r="N560" s="36">
        <v>0</v>
      </c>
    </row>
    <row r="561" spans="1:14" x14ac:dyDescent="0.35">
      <c r="A561" s="3" t="s">
        <v>317</v>
      </c>
      <c r="B561" s="4">
        <v>110</v>
      </c>
      <c r="C561" s="5">
        <v>49830</v>
      </c>
      <c r="D561" s="3" t="s">
        <v>822</v>
      </c>
      <c r="E561" s="16">
        <v>99.99</v>
      </c>
      <c r="F561" s="16">
        <v>60.508079999999993</v>
      </c>
      <c r="G561" s="36">
        <v>0</v>
      </c>
      <c r="H561" s="36">
        <v>0</v>
      </c>
      <c r="I561" s="36">
        <v>0</v>
      </c>
      <c r="J561" s="36">
        <v>0</v>
      </c>
      <c r="K561" s="36">
        <v>0</v>
      </c>
      <c r="L561" s="36">
        <v>0</v>
      </c>
      <c r="M561" s="36">
        <v>0</v>
      </c>
      <c r="N561" s="36">
        <v>0</v>
      </c>
    </row>
    <row r="562" spans="1:14" x14ac:dyDescent="0.35">
      <c r="A562" s="3" t="s">
        <v>356</v>
      </c>
      <c r="B562" s="4">
        <v>102</v>
      </c>
      <c r="C562" s="5">
        <v>49933</v>
      </c>
      <c r="D562" s="3" t="s">
        <v>373</v>
      </c>
      <c r="E562" s="16">
        <v>216.99</v>
      </c>
      <c r="F562" s="16">
        <v>115.6</v>
      </c>
      <c r="G562" s="36">
        <v>0</v>
      </c>
      <c r="H562" s="36">
        <v>0</v>
      </c>
      <c r="I562" s="36">
        <v>0</v>
      </c>
      <c r="J562" s="36">
        <v>0</v>
      </c>
      <c r="K562" s="36">
        <v>0</v>
      </c>
      <c r="L562" s="36">
        <v>0</v>
      </c>
      <c r="M562" s="36">
        <v>0</v>
      </c>
      <c r="N562" s="36">
        <v>0</v>
      </c>
    </row>
    <row r="563" spans="1:14" x14ac:dyDescent="0.35">
      <c r="A563" s="3" t="s">
        <v>19</v>
      </c>
      <c r="B563" s="4">
        <v>101</v>
      </c>
      <c r="C563" s="5">
        <v>50037</v>
      </c>
      <c r="D563" s="3" t="s">
        <v>22</v>
      </c>
      <c r="E563" s="16">
        <v>25.99</v>
      </c>
      <c r="F563" s="16">
        <v>13.4</v>
      </c>
      <c r="G563" s="36">
        <v>158.20000000000002</v>
      </c>
      <c r="H563" s="36">
        <v>7</v>
      </c>
      <c r="I563" s="36">
        <v>158.20000000000002</v>
      </c>
      <c r="J563" s="36">
        <v>7</v>
      </c>
      <c r="K563" s="36">
        <v>178.53913043478261</v>
      </c>
      <c r="L563" s="36">
        <v>8</v>
      </c>
      <c r="M563" s="36">
        <v>112.99999999999999</v>
      </c>
      <c r="N563" s="36">
        <v>5</v>
      </c>
    </row>
    <row r="564" spans="1:14" x14ac:dyDescent="0.35">
      <c r="A564" s="3" t="s">
        <v>635</v>
      </c>
      <c r="B564" s="4">
        <v>105</v>
      </c>
      <c r="C564" s="5">
        <v>50116</v>
      </c>
      <c r="D564" s="3" t="s">
        <v>823</v>
      </c>
      <c r="E564" s="16">
        <v>22.99</v>
      </c>
      <c r="F564" s="16">
        <v>15.7</v>
      </c>
      <c r="G564" s="36">
        <v>0</v>
      </c>
      <c r="H564" s="36">
        <v>0</v>
      </c>
      <c r="I564" s="36">
        <v>0</v>
      </c>
      <c r="J564" s="36">
        <v>0</v>
      </c>
      <c r="K564" s="36">
        <v>0</v>
      </c>
      <c r="L564" s="36">
        <v>0</v>
      </c>
      <c r="M564" s="36">
        <v>0</v>
      </c>
      <c r="N564" s="36">
        <v>0</v>
      </c>
    </row>
    <row r="565" spans="1:14" x14ac:dyDescent="0.35">
      <c r="A565" s="3" t="s">
        <v>635</v>
      </c>
      <c r="B565" s="4">
        <v>105</v>
      </c>
      <c r="C565" s="5">
        <v>50117</v>
      </c>
      <c r="D565" s="3" t="s">
        <v>824</v>
      </c>
      <c r="E565" s="16">
        <v>19.989999999999998</v>
      </c>
      <c r="F565" s="16">
        <v>15.8</v>
      </c>
      <c r="G565" s="36">
        <v>0</v>
      </c>
      <c r="H565" s="36">
        <v>0</v>
      </c>
      <c r="I565" s="36">
        <v>0</v>
      </c>
      <c r="J565" s="36">
        <v>0</v>
      </c>
      <c r="K565" s="36">
        <v>0</v>
      </c>
      <c r="L565" s="36">
        <v>0</v>
      </c>
      <c r="M565" s="36">
        <v>0</v>
      </c>
      <c r="N565" s="36">
        <v>0</v>
      </c>
    </row>
    <row r="566" spans="1:14" x14ac:dyDescent="0.35">
      <c r="A566" s="3" t="s">
        <v>317</v>
      </c>
      <c r="B566" s="4">
        <v>101</v>
      </c>
      <c r="C566" s="5">
        <v>50626</v>
      </c>
      <c r="D566" s="3" t="s">
        <v>374</v>
      </c>
      <c r="E566" s="16">
        <v>52.99</v>
      </c>
      <c r="F566" s="16">
        <v>33.467258333333334</v>
      </c>
      <c r="G566" s="36">
        <v>0</v>
      </c>
      <c r="H566" s="36">
        <v>0</v>
      </c>
      <c r="I566" s="36">
        <v>0</v>
      </c>
      <c r="J566" s="36">
        <v>0</v>
      </c>
      <c r="K566" s="36">
        <v>0</v>
      </c>
      <c r="L566" s="36">
        <v>0</v>
      </c>
      <c r="M566" s="36">
        <v>0</v>
      </c>
      <c r="N566" s="36">
        <v>0</v>
      </c>
    </row>
    <row r="567" spans="1:14" x14ac:dyDescent="0.35">
      <c r="A567" s="3" t="s">
        <v>317</v>
      </c>
      <c r="B567" s="4">
        <v>101</v>
      </c>
      <c r="C567" s="5">
        <v>50627</v>
      </c>
      <c r="D567" s="3" t="s">
        <v>375</v>
      </c>
      <c r="E567" s="16">
        <v>52.99</v>
      </c>
      <c r="F567" s="16">
        <v>33.467258333333334</v>
      </c>
      <c r="G567" s="36">
        <v>0</v>
      </c>
      <c r="H567" s="36">
        <v>0</v>
      </c>
      <c r="I567" s="36">
        <v>0</v>
      </c>
      <c r="J567" s="36">
        <v>0</v>
      </c>
      <c r="K567" s="36">
        <v>0</v>
      </c>
      <c r="L567" s="36">
        <v>0</v>
      </c>
      <c r="M567" s="36">
        <v>0</v>
      </c>
      <c r="N567" s="36">
        <v>0</v>
      </c>
    </row>
    <row r="568" spans="1:14" x14ac:dyDescent="0.35">
      <c r="A568" s="3" t="s">
        <v>317</v>
      </c>
      <c r="B568" s="4">
        <v>101</v>
      </c>
      <c r="C568" s="5">
        <v>50628</v>
      </c>
      <c r="D568" s="3" t="s">
        <v>376</v>
      </c>
      <c r="E568" s="16">
        <v>52.99</v>
      </c>
      <c r="F568" s="16">
        <v>33.467258333333334</v>
      </c>
      <c r="G568" s="36">
        <v>0</v>
      </c>
      <c r="H568" s="36">
        <v>0</v>
      </c>
      <c r="I568" s="36">
        <v>0</v>
      </c>
      <c r="J568" s="36">
        <v>0</v>
      </c>
      <c r="K568" s="36">
        <v>0</v>
      </c>
      <c r="L568" s="36">
        <v>0</v>
      </c>
      <c r="M568" s="36">
        <v>0</v>
      </c>
      <c r="N568" s="36">
        <v>0</v>
      </c>
    </row>
    <row r="569" spans="1:14" x14ac:dyDescent="0.35">
      <c r="A569" s="3" t="s">
        <v>317</v>
      </c>
      <c r="B569" s="4">
        <v>109</v>
      </c>
      <c r="C569" s="5">
        <v>50649</v>
      </c>
      <c r="D569" s="3" t="s">
        <v>825</v>
      </c>
      <c r="E569" s="16">
        <v>79.989999999999995</v>
      </c>
      <c r="F569" s="16">
        <v>48.031500000000001</v>
      </c>
      <c r="G569" s="36">
        <v>0</v>
      </c>
      <c r="H569" s="36">
        <v>0</v>
      </c>
      <c r="I569" s="36">
        <v>0</v>
      </c>
      <c r="J569" s="36">
        <v>0</v>
      </c>
      <c r="K569" s="36">
        <v>0</v>
      </c>
      <c r="L569" s="36">
        <v>0</v>
      </c>
      <c r="M569" s="36">
        <v>0</v>
      </c>
      <c r="N569" s="36">
        <v>0</v>
      </c>
    </row>
    <row r="570" spans="1:14" x14ac:dyDescent="0.35">
      <c r="A570" s="3" t="s">
        <v>317</v>
      </c>
      <c r="B570" s="4">
        <v>107</v>
      </c>
      <c r="C570" s="5">
        <v>50651</v>
      </c>
      <c r="D570" s="3" t="s">
        <v>826</v>
      </c>
      <c r="E570" s="16">
        <v>79.989999999999995</v>
      </c>
      <c r="F570" s="16">
        <v>48.031500000000001</v>
      </c>
      <c r="G570" s="36">
        <v>0</v>
      </c>
      <c r="H570" s="36">
        <v>0</v>
      </c>
      <c r="I570" s="36">
        <v>139.11304347826086</v>
      </c>
      <c r="J570" s="36">
        <v>2</v>
      </c>
      <c r="K570" s="36">
        <v>69.556521739130432</v>
      </c>
      <c r="L570" s="36">
        <v>1</v>
      </c>
      <c r="M570" s="36">
        <v>0</v>
      </c>
      <c r="N570" s="36">
        <v>0</v>
      </c>
    </row>
    <row r="571" spans="1:14" x14ac:dyDescent="0.35">
      <c r="A571" s="3" t="s">
        <v>317</v>
      </c>
      <c r="B571" s="4">
        <v>109</v>
      </c>
      <c r="C571" s="5">
        <v>50652</v>
      </c>
      <c r="D571" s="3" t="s">
        <v>827</v>
      </c>
      <c r="E571" s="16">
        <v>79.989999999999995</v>
      </c>
      <c r="F571" s="16">
        <v>48.031500000000001</v>
      </c>
      <c r="G571" s="36">
        <v>69.556521739130432</v>
      </c>
      <c r="H571" s="36">
        <v>1</v>
      </c>
      <c r="I571" s="36">
        <v>0</v>
      </c>
      <c r="J571" s="36">
        <v>0</v>
      </c>
      <c r="K571" s="36">
        <v>0</v>
      </c>
      <c r="L571" s="36">
        <v>0</v>
      </c>
      <c r="M571" s="36">
        <v>69.556521739130432</v>
      </c>
      <c r="N571" s="36">
        <v>1</v>
      </c>
    </row>
    <row r="572" spans="1:14" x14ac:dyDescent="0.35">
      <c r="A572" s="3" t="s">
        <v>14</v>
      </c>
      <c r="B572" s="4">
        <v>102</v>
      </c>
      <c r="C572" s="5">
        <v>50682</v>
      </c>
      <c r="D572" s="3" t="s">
        <v>132</v>
      </c>
      <c r="E572" s="16">
        <v>15.99</v>
      </c>
      <c r="F572" s="16">
        <v>7.86</v>
      </c>
      <c r="G572" s="36">
        <v>0</v>
      </c>
      <c r="H572" s="36">
        <v>0</v>
      </c>
      <c r="I572" s="36">
        <v>0</v>
      </c>
      <c r="J572" s="36">
        <v>0</v>
      </c>
      <c r="K572" s="36">
        <v>0</v>
      </c>
      <c r="L572" s="36">
        <v>0</v>
      </c>
      <c r="M572" s="36">
        <v>0</v>
      </c>
      <c r="N572" s="36">
        <v>0</v>
      </c>
    </row>
    <row r="573" spans="1:14" x14ac:dyDescent="0.35">
      <c r="A573" s="3" t="s">
        <v>317</v>
      </c>
      <c r="B573" s="4">
        <v>103</v>
      </c>
      <c r="C573" s="5">
        <v>51117</v>
      </c>
      <c r="D573" s="3" t="s">
        <v>828</v>
      </c>
      <c r="E573" s="16">
        <v>522.15</v>
      </c>
      <c r="F573" s="16">
        <v>395.34879999999998</v>
      </c>
      <c r="G573" s="36">
        <v>0</v>
      </c>
      <c r="H573" s="36">
        <v>0</v>
      </c>
      <c r="I573" s="36">
        <v>0</v>
      </c>
      <c r="J573" s="36">
        <v>0</v>
      </c>
      <c r="K573" s="36">
        <v>0</v>
      </c>
      <c r="L573" s="36">
        <v>0</v>
      </c>
      <c r="M573" s="36">
        <v>0</v>
      </c>
      <c r="N573" s="36">
        <v>0</v>
      </c>
    </row>
    <row r="574" spans="1:14" x14ac:dyDescent="0.35">
      <c r="A574" s="3" t="s">
        <v>377</v>
      </c>
      <c r="B574" s="4">
        <v>101</v>
      </c>
      <c r="C574" s="5">
        <v>51414</v>
      </c>
      <c r="D574" s="3" t="s">
        <v>378</v>
      </c>
      <c r="E574" s="16">
        <v>76.989999999999995</v>
      </c>
      <c r="F574" s="16">
        <v>39</v>
      </c>
      <c r="G574" s="36">
        <v>0</v>
      </c>
      <c r="H574" s="36">
        <v>0</v>
      </c>
      <c r="I574" s="36">
        <v>0</v>
      </c>
      <c r="J574" s="36">
        <v>0</v>
      </c>
      <c r="K574" s="36">
        <v>0</v>
      </c>
      <c r="L574" s="36">
        <v>0</v>
      </c>
      <c r="M574" s="36">
        <v>0</v>
      </c>
      <c r="N574" s="36">
        <v>0</v>
      </c>
    </row>
    <row r="575" spans="1:14" x14ac:dyDescent="0.35">
      <c r="A575" s="3" t="s">
        <v>317</v>
      </c>
      <c r="B575" s="4">
        <v>103</v>
      </c>
      <c r="C575" s="5">
        <v>51556</v>
      </c>
      <c r="D575" s="3" t="s">
        <v>829</v>
      </c>
      <c r="E575" s="16">
        <v>316.95</v>
      </c>
      <c r="F575" s="16">
        <v>209.18639999999999</v>
      </c>
      <c r="G575" s="36">
        <v>0</v>
      </c>
      <c r="H575" s="36">
        <v>0</v>
      </c>
      <c r="I575" s="36">
        <v>0</v>
      </c>
      <c r="J575" s="36">
        <v>0</v>
      </c>
      <c r="K575" s="36">
        <v>0</v>
      </c>
      <c r="L575" s="36">
        <v>0</v>
      </c>
      <c r="M575" s="36">
        <v>0</v>
      </c>
      <c r="N575" s="36">
        <v>0</v>
      </c>
    </row>
    <row r="576" spans="1:14" x14ac:dyDescent="0.35">
      <c r="A576" s="3" t="s">
        <v>317</v>
      </c>
      <c r="B576" s="4">
        <v>103</v>
      </c>
      <c r="C576" s="5">
        <v>51573</v>
      </c>
      <c r="D576" s="3" t="s">
        <v>830</v>
      </c>
      <c r="E576" s="16">
        <v>598.65</v>
      </c>
      <c r="F576" s="16">
        <v>418.90390000000002</v>
      </c>
      <c r="G576" s="36">
        <v>0</v>
      </c>
      <c r="H576" s="36">
        <v>0</v>
      </c>
      <c r="I576" s="36">
        <v>0</v>
      </c>
      <c r="J576" s="36">
        <v>0</v>
      </c>
      <c r="K576" s="36">
        <v>0</v>
      </c>
      <c r="L576" s="36">
        <v>0</v>
      </c>
      <c r="M576" s="36">
        <v>0</v>
      </c>
      <c r="N576" s="36">
        <v>0</v>
      </c>
    </row>
    <row r="577" spans="1:14" x14ac:dyDescent="0.35">
      <c r="A577" s="3" t="s">
        <v>317</v>
      </c>
      <c r="B577" s="4">
        <v>103</v>
      </c>
      <c r="C577" s="5">
        <v>51575</v>
      </c>
      <c r="D577" s="3" t="s">
        <v>831</v>
      </c>
      <c r="E577" s="16">
        <v>901.85</v>
      </c>
      <c r="F577" s="16">
        <v>631.07339999999999</v>
      </c>
      <c r="G577" s="36">
        <v>0</v>
      </c>
      <c r="H577" s="36">
        <v>0</v>
      </c>
      <c r="I577" s="36">
        <v>0</v>
      </c>
      <c r="J577" s="36">
        <v>0</v>
      </c>
      <c r="K577" s="36">
        <v>0</v>
      </c>
      <c r="L577" s="36">
        <v>0</v>
      </c>
      <c r="M577" s="36">
        <v>0</v>
      </c>
      <c r="N577" s="36">
        <v>0</v>
      </c>
    </row>
    <row r="578" spans="1:14" x14ac:dyDescent="0.35">
      <c r="A578" s="3" t="s">
        <v>19</v>
      </c>
      <c r="B578" s="4">
        <v>101</v>
      </c>
      <c r="C578" s="5">
        <v>51680</v>
      </c>
      <c r="D578" s="3" t="s">
        <v>33</v>
      </c>
      <c r="E578" s="16">
        <v>21.99</v>
      </c>
      <c r="F578" s="16">
        <v>12.14</v>
      </c>
      <c r="G578" s="36">
        <v>57.365217391304348</v>
      </c>
      <c r="H578" s="36">
        <v>3</v>
      </c>
      <c r="I578" s="36">
        <v>19.121739130434783</v>
      </c>
      <c r="J578" s="36">
        <v>1</v>
      </c>
      <c r="K578" s="36">
        <v>19.121739130434783</v>
      </c>
      <c r="L578" s="36">
        <v>1</v>
      </c>
      <c r="M578" s="36">
        <v>0</v>
      </c>
      <c r="N578" s="36">
        <v>0</v>
      </c>
    </row>
    <row r="579" spans="1:14" x14ac:dyDescent="0.35">
      <c r="A579" s="3" t="s">
        <v>724</v>
      </c>
      <c r="B579" s="4">
        <v>112</v>
      </c>
      <c r="C579" s="5">
        <v>52034</v>
      </c>
      <c r="D579" s="3" t="s">
        <v>832</v>
      </c>
      <c r="E579" s="16">
        <v>99.99</v>
      </c>
      <c r="F579" s="16">
        <v>61.730400000000003</v>
      </c>
      <c r="G579" s="36">
        <v>0</v>
      </c>
      <c r="H579" s="36">
        <v>0</v>
      </c>
      <c r="I579" s="36">
        <v>0</v>
      </c>
      <c r="J579" s="36">
        <v>0</v>
      </c>
      <c r="K579" s="36">
        <v>0</v>
      </c>
      <c r="L579" s="36">
        <v>0</v>
      </c>
      <c r="M579" s="36">
        <v>0</v>
      </c>
      <c r="N579" s="36">
        <v>0</v>
      </c>
    </row>
    <row r="580" spans="1:14" x14ac:dyDescent="0.35">
      <c r="A580" s="3" t="s">
        <v>359</v>
      </c>
      <c r="B580" s="4">
        <v>101</v>
      </c>
      <c r="C580" s="5">
        <v>52224</v>
      </c>
      <c r="D580" s="3" t="s">
        <v>379</v>
      </c>
      <c r="E580" s="16">
        <v>499.99</v>
      </c>
      <c r="F580" s="16">
        <v>275.29000000000002</v>
      </c>
      <c r="G580" s="36">
        <v>0</v>
      </c>
      <c r="H580" s="36">
        <v>0</v>
      </c>
      <c r="I580" s="36">
        <v>0</v>
      </c>
      <c r="J580" s="36">
        <v>0</v>
      </c>
      <c r="K580" s="36">
        <v>0</v>
      </c>
      <c r="L580" s="36">
        <v>0</v>
      </c>
      <c r="M580" s="36">
        <v>0</v>
      </c>
      <c r="N580" s="36">
        <v>0</v>
      </c>
    </row>
    <row r="581" spans="1:14" x14ac:dyDescent="0.35">
      <c r="A581" s="3" t="s">
        <v>317</v>
      </c>
      <c r="B581" s="4">
        <v>101</v>
      </c>
      <c r="C581" s="5">
        <v>52397</v>
      </c>
      <c r="D581" s="3" t="s">
        <v>380</v>
      </c>
      <c r="E581" s="16">
        <v>69.989999999999995</v>
      </c>
      <c r="F581" s="16">
        <v>43.867849999999997</v>
      </c>
      <c r="G581" s="36">
        <v>0</v>
      </c>
      <c r="H581" s="36">
        <v>0</v>
      </c>
      <c r="I581" s="36">
        <v>0</v>
      </c>
      <c r="J581" s="36">
        <v>0</v>
      </c>
      <c r="K581" s="36">
        <v>0</v>
      </c>
      <c r="L581" s="36">
        <v>0</v>
      </c>
      <c r="M581" s="36">
        <v>0</v>
      </c>
      <c r="N581" s="36">
        <v>0</v>
      </c>
    </row>
    <row r="582" spans="1:14" x14ac:dyDescent="0.35">
      <c r="A582" s="3" t="s">
        <v>14</v>
      </c>
      <c r="B582" s="4">
        <v>102</v>
      </c>
      <c r="C582" s="5">
        <v>52943</v>
      </c>
      <c r="D582" s="3" t="s">
        <v>90</v>
      </c>
      <c r="E582" s="16">
        <v>31.99</v>
      </c>
      <c r="F582" s="16">
        <v>15.17</v>
      </c>
      <c r="G582" s="36">
        <v>194.04347826086956</v>
      </c>
      <c r="H582" s="36">
        <v>6.976</v>
      </c>
      <c r="I582" s="36">
        <v>133.09565217391304</v>
      </c>
      <c r="J582" s="36">
        <v>4.7850000000000001</v>
      </c>
      <c r="K582" s="36">
        <v>359.66956521739132</v>
      </c>
      <c r="L582" s="36">
        <v>13.128</v>
      </c>
      <c r="M582" s="36">
        <v>127.41739130434783</v>
      </c>
      <c r="N582" s="36">
        <v>4.58</v>
      </c>
    </row>
    <row r="583" spans="1:14" x14ac:dyDescent="0.35">
      <c r="A583" s="3" t="s">
        <v>14</v>
      </c>
      <c r="B583" s="4">
        <v>102</v>
      </c>
      <c r="C583" s="5">
        <v>53119</v>
      </c>
      <c r="D583" s="3" t="s">
        <v>147</v>
      </c>
      <c r="E583" s="16">
        <v>4.99</v>
      </c>
      <c r="F583" s="16">
        <v>1.29</v>
      </c>
      <c r="G583" s="36">
        <v>0</v>
      </c>
      <c r="H583" s="36">
        <v>0</v>
      </c>
      <c r="I583" s="36">
        <v>0</v>
      </c>
      <c r="J583" s="36">
        <v>0</v>
      </c>
      <c r="K583" s="36">
        <v>0</v>
      </c>
      <c r="L583" s="36">
        <v>0</v>
      </c>
      <c r="M583" s="36">
        <v>0</v>
      </c>
      <c r="N583" s="36">
        <v>0</v>
      </c>
    </row>
    <row r="584" spans="1:14" x14ac:dyDescent="0.35">
      <c r="A584" s="3" t="s">
        <v>381</v>
      </c>
      <c r="B584" s="4">
        <v>119</v>
      </c>
      <c r="C584" s="5">
        <v>53121</v>
      </c>
      <c r="D584" s="3" t="s">
        <v>382</v>
      </c>
      <c r="E584" s="16">
        <v>84.99</v>
      </c>
      <c r="F584" s="16">
        <v>44.32</v>
      </c>
      <c r="G584" s="36">
        <v>0</v>
      </c>
      <c r="H584" s="36">
        <v>0</v>
      </c>
      <c r="I584" s="36">
        <v>0</v>
      </c>
      <c r="J584" s="36">
        <v>0</v>
      </c>
      <c r="K584" s="36">
        <v>0</v>
      </c>
      <c r="L584" s="36">
        <v>0</v>
      </c>
      <c r="M584" s="36">
        <v>0</v>
      </c>
      <c r="N584" s="36">
        <v>0</v>
      </c>
    </row>
    <row r="585" spans="1:14" x14ac:dyDescent="0.35">
      <c r="A585" s="3" t="s">
        <v>381</v>
      </c>
      <c r="B585" s="4">
        <v>119</v>
      </c>
      <c r="C585" s="5">
        <v>53122</v>
      </c>
      <c r="D585" s="3" t="s">
        <v>383</v>
      </c>
      <c r="E585" s="16">
        <v>85.99</v>
      </c>
      <c r="F585" s="16">
        <v>30.8</v>
      </c>
      <c r="G585" s="36">
        <v>0</v>
      </c>
      <c r="H585" s="36">
        <v>0</v>
      </c>
      <c r="I585" s="36">
        <v>0</v>
      </c>
      <c r="J585" s="36">
        <v>0</v>
      </c>
      <c r="K585" s="36">
        <v>0</v>
      </c>
      <c r="L585" s="36">
        <v>0</v>
      </c>
      <c r="M585" s="36">
        <v>0</v>
      </c>
      <c r="N585" s="36">
        <v>0</v>
      </c>
    </row>
    <row r="586" spans="1:14" x14ac:dyDescent="0.35">
      <c r="A586" s="3" t="s">
        <v>381</v>
      </c>
      <c r="B586" s="4">
        <v>119</v>
      </c>
      <c r="C586" s="5">
        <v>53123</v>
      </c>
      <c r="D586" s="3" t="s">
        <v>384</v>
      </c>
      <c r="E586" s="16">
        <v>57.99</v>
      </c>
      <c r="F586" s="16">
        <v>29.4</v>
      </c>
      <c r="G586" s="36">
        <v>0</v>
      </c>
      <c r="H586" s="36">
        <v>0</v>
      </c>
      <c r="I586" s="36">
        <v>0</v>
      </c>
      <c r="J586" s="36">
        <v>0</v>
      </c>
      <c r="K586" s="36">
        <v>0</v>
      </c>
      <c r="L586" s="36">
        <v>0</v>
      </c>
      <c r="M586" s="36">
        <v>0</v>
      </c>
      <c r="N586" s="36">
        <v>0</v>
      </c>
    </row>
    <row r="587" spans="1:14" x14ac:dyDescent="0.35">
      <c r="A587" s="3" t="s">
        <v>381</v>
      </c>
      <c r="B587" s="4">
        <v>103</v>
      </c>
      <c r="C587" s="5">
        <v>53124</v>
      </c>
      <c r="D587" s="3" t="s">
        <v>833</v>
      </c>
      <c r="E587" s="16">
        <v>62.99</v>
      </c>
      <c r="F587" s="16">
        <v>32.76</v>
      </c>
      <c r="G587" s="36">
        <v>0</v>
      </c>
      <c r="H587" s="36">
        <v>0</v>
      </c>
      <c r="I587" s="36">
        <v>0</v>
      </c>
      <c r="J587" s="36">
        <v>0</v>
      </c>
      <c r="K587" s="36">
        <v>0</v>
      </c>
      <c r="L587" s="36">
        <v>0</v>
      </c>
      <c r="M587" s="36">
        <v>0</v>
      </c>
      <c r="N587" s="36">
        <v>0</v>
      </c>
    </row>
    <row r="588" spans="1:14" x14ac:dyDescent="0.35">
      <c r="A588" s="3" t="s">
        <v>381</v>
      </c>
      <c r="B588" s="4">
        <v>119</v>
      </c>
      <c r="C588" s="5">
        <v>53130</v>
      </c>
      <c r="D588" s="3" t="s">
        <v>385</v>
      </c>
      <c r="E588" s="16">
        <v>191.99</v>
      </c>
      <c r="F588" s="16">
        <v>104.9</v>
      </c>
      <c r="G588" s="36">
        <v>0</v>
      </c>
      <c r="H588" s="36">
        <v>0</v>
      </c>
      <c r="I588" s="36">
        <v>0</v>
      </c>
      <c r="J588" s="36">
        <v>0</v>
      </c>
      <c r="K588" s="36">
        <v>0</v>
      </c>
      <c r="L588" s="36">
        <v>0</v>
      </c>
      <c r="M588" s="36">
        <v>0</v>
      </c>
      <c r="N588" s="36">
        <v>0</v>
      </c>
    </row>
    <row r="589" spans="1:14" x14ac:dyDescent="0.35">
      <c r="A589" s="3" t="s">
        <v>381</v>
      </c>
      <c r="B589" s="4">
        <v>119</v>
      </c>
      <c r="C589" s="5">
        <v>53131</v>
      </c>
      <c r="D589" s="3" t="s">
        <v>386</v>
      </c>
      <c r="E589" s="16">
        <v>191.99</v>
      </c>
      <c r="F589" s="16">
        <v>104.9</v>
      </c>
      <c r="G589" s="36">
        <v>0</v>
      </c>
      <c r="H589" s="36">
        <v>0</v>
      </c>
      <c r="I589" s="36">
        <v>0</v>
      </c>
      <c r="J589" s="36">
        <v>0</v>
      </c>
      <c r="K589" s="36">
        <v>0</v>
      </c>
      <c r="L589" s="36">
        <v>0</v>
      </c>
      <c r="M589" s="36">
        <v>0</v>
      </c>
      <c r="N589" s="36">
        <v>0</v>
      </c>
    </row>
    <row r="590" spans="1:14" x14ac:dyDescent="0.35">
      <c r="A590" s="3" t="s">
        <v>381</v>
      </c>
      <c r="B590" s="4">
        <v>119</v>
      </c>
      <c r="C590" s="5">
        <v>53132</v>
      </c>
      <c r="D590" s="3" t="s">
        <v>387</v>
      </c>
      <c r="E590" s="16">
        <v>191.99</v>
      </c>
      <c r="F590" s="16">
        <v>104.9</v>
      </c>
      <c r="G590" s="36">
        <v>0</v>
      </c>
      <c r="H590" s="36">
        <v>0</v>
      </c>
      <c r="I590" s="36">
        <v>0</v>
      </c>
      <c r="J590" s="36">
        <v>0</v>
      </c>
      <c r="K590" s="36">
        <v>0</v>
      </c>
      <c r="L590" s="36">
        <v>0</v>
      </c>
      <c r="M590" s="36">
        <v>0</v>
      </c>
      <c r="N590" s="36">
        <v>0</v>
      </c>
    </row>
    <row r="591" spans="1:14" x14ac:dyDescent="0.35">
      <c r="A591" s="3" t="s">
        <v>381</v>
      </c>
      <c r="B591" s="4">
        <v>119</v>
      </c>
      <c r="C591" s="5">
        <v>53133</v>
      </c>
      <c r="D591" s="3" t="s">
        <v>388</v>
      </c>
      <c r="E591" s="16">
        <v>191.99</v>
      </c>
      <c r="F591" s="16">
        <v>104.9</v>
      </c>
      <c r="G591" s="36">
        <v>0</v>
      </c>
      <c r="H591" s="36">
        <v>0</v>
      </c>
      <c r="I591" s="36">
        <v>0</v>
      </c>
      <c r="J591" s="36">
        <v>0</v>
      </c>
      <c r="K591" s="36">
        <v>0</v>
      </c>
      <c r="L591" s="36">
        <v>0</v>
      </c>
      <c r="M591" s="36">
        <v>0</v>
      </c>
      <c r="N591" s="36">
        <v>0</v>
      </c>
    </row>
    <row r="592" spans="1:14" x14ac:dyDescent="0.35">
      <c r="A592" s="3" t="s">
        <v>381</v>
      </c>
      <c r="B592" s="4">
        <v>119</v>
      </c>
      <c r="C592" s="5">
        <v>53134</v>
      </c>
      <c r="D592" s="3" t="s">
        <v>389</v>
      </c>
      <c r="E592" s="16">
        <v>101.99</v>
      </c>
      <c r="F592" s="16">
        <v>51.65</v>
      </c>
      <c r="G592" s="36">
        <v>0</v>
      </c>
      <c r="H592" s="36">
        <v>0</v>
      </c>
      <c r="I592" s="36">
        <v>0</v>
      </c>
      <c r="J592" s="36">
        <v>0</v>
      </c>
      <c r="K592" s="36">
        <v>0</v>
      </c>
      <c r="L592" s="36">
        <v>0</v>
      </c>
      <c r="M592" s="36">
        <v>0</v>
      </c>
      <c r="N592" s="36">
        <v>0</v>
      </c>
    </row>
    <row r="593" spans="1:14" x14ac:dyDescent="0.35">
      <c r="A593" s="3" t="s">
        <v>381</v>
      </c>
      <c r="B593" s="4">
        <v>103</v>
      </c>
      <c r="C593" s="5">
        <v>53138</v>
      </c>
      <c r="D593" s="3" t="s">
        <v>834</v>
      </c>
      <c r="E593" s="16">
        <v>199.99</v>
      </c>
      <c r="F593" s="16">
        <v>112.5333</v>
      </c>
      <c r="G593" s="36">
        <v>0</v>
      </c>
      <c r="H593" s="36">
        <v>0</v>
      </c>
      <c r="I593" s="36">
        <v>0</v>
      </c>
      <c r="J593" s="36">
        <v>0</v>
      </c>
      <c r="K593" s="36">
        <v>0</v>
      </c>
      <c r="L593" s="36">
        <v>0</v>
      </c>
      <c r="M593" s="36">
        <v>0</v>
      </c>
      <c r="N593" s="36">
        <v>0</v>
      </c>
    </row>
    <row r="594" spans="1:14" x14ac:dyDescent="0.35">
      <c r="A594" s="3" t="s">
        <v>381</v>
      </c>
      <c r="B594" s="4">
        <v>119</v>
      </c>
      <c r="C594" s="5">
        <v>53139</v>
      </c>
      <c r="D594" s="3" t="s">
        <v>390</v>
      </c>
      <c r="E594" s="16">
        <v>124.99</v>
      </c>
      <c r="F594" s="16">
        <v>64.857100000000003</v>
      </c>
      <c r="G594" s="36">
        <v>0</v>
      </c>
      <c r="H594" s="36">
        <v>0</v>
      </c>
      <c r="I594" s="36">
        <v>0</v>
      </c>
      <c r="J594" s="36">
        <v>0</v>
      </c>
      <c r="K594" s="36">
        <v>0</v>
      </c>
      <c r="L594" s="36">
        <v>0</v>
      </c>
      <c r="M594" s="36">
        <v>0</v>
      </c>
      <c r="N594" s="36">
        <v>0</v>
      </c>
    </row>
    <row r="595" spans="1:14" x14ac:dyDescent="0.35">
      <c r="A595" s="3" t="s">
        <v>14</v>
      </c>
      <c r="B595" s="4">
        <v>102</v>
      </c>
      <c r="C595" s="5">
        <v>53141</v>
      </c>
      <c r="D595" s="3" t="s">
        <v>137</v>
      </c>
      <c r="E595" s="16">
        <v>9.99</v>
      </c>
      <c r="F595" s="16">
        <v>3.26</v>
      </c>
      <c r="G595" s="36">
        <v>0</v>
      </c>
      <c r="H595" s="36">
        <v>0</v>
      </c>
      <c r="I595" s="36">
        <v>0</v>
      </c>
      <c r="J595" s="36">
        <v>0</v>
      </c>
      <c r="K595" s="36">
        <v>0</v>
      </c>
      <c r="L595" s="36">
        <v>0</v>
      </c>
      <c r="M595" s="36">
        <v>0</v>
      </c>
      <c r="N595" s="36">
        <v>0</v>
      </c>
    </row>
    <row r="596" spans="1:14" x14ac:dyDescent="0.35">
      <c r="A596" s="3" t="s">
        <v>14</v>
      </c>
      <c r="B596" s="4">
        <v>102</v>
      </c>
      <c r="C596" s="5">
        <v>53210</v>
      </c>
      <c r="D596" s="3" t="s">
        <v>156</v>
      </c>
      <c r="E596" s="16">
        <v>100</v>
      </c>
      <c r="F596" s="16">
        <v>22.26</v>
      </c>
      <c r="G596" s="36">
        <v>0</v>
      </c>
      <c r="H596" s="36">
        <v>0</v>
      </c>
      <c r="I596" s="36">
        <v>0</v>
      </c>
      <c r="J596" s="36">
        <v>0</v>
      </c>
      <c r="K596" s="36">
        <v>0</v>
      </c>
      <c r="L596" s="36">
        <v>0</v>
      </c>
      <c r="M596" s="36">
        <v>0</v>
      </c>
      <c r="N596" s="36">
        <v>0</v>
      </c>
    </row>
    <row r="597" spans="1:14" x14ac:dyDescent="0.35">
      <c r="A597" s="3" t="s">
        <v>14</v>
      </c>
      <c r="B597" s="4">
        <v>102</v>
      </c>
      <c r="C597" s="5">
        <v>53212</v>
      </c>
      <c r="D597" s="3" t="s">
        <v>125</v>
      </c>
      <c r="E597" s="16">
        <v>29.99</v>
      </c>
      <c r="F597" s="16">
        <v>15.38</v>
      </c>
      <c r="G597" s="36">
        <v>0</v>
      </c>
      <c r="H597" s="36">
        <v>0</v>
      </c>
      <c r="I597" s="36">
        <v>0</v>
      </c>
      <c r="J597" s="36">
        <v>0</v>
      </c>
      <c r="K597" s="36">
        <v>0</v>
      </c>
      <c r="L597" s="36">
        <v>0</v>
      </c>
      <c r="M597" s="36">
        <v>0</v>
      </c>
      <c r="N597" s="36">
        <v>0</v>
      </c>
    </row>
    <row r="598" spans="1:14" x14ac:dyDescent="0.35">
      <c r="A598" s="3" t="s">
        <v>14</v>
      </c>
      <c r="B598" s="4">
        <v>102</v>
      </c>
      <c r="C598" s="5">
        <v>53225</v>
      </c>
      <c r="D598" s="3" t="s">
        <v>136</v>
      </c>
      <c r="E598" s="16">
        <v>17.989999999999998</v>
      </c>
      <c r="F598" s="16">
        <v>10.039999999999999</v>
      </c>
      <c r="G598" s="36">
        <v>0</v>
      </c>
      <c r="H598" s="36">
        <v>0</v>
      </c>
      <c r="I598" s="36">
        <v>0</v>
      </c>
      <c r="J598" s="36">
        <v>0</v>
      </c>
      <c r="K598" s="36">
        <v>0</v>
      </c>
      <c r="L598" s="36">
        <v>0</v>
      </c>
      <c r="M598" s="36">
        <v>0</v>
      </c>
      <c r="N598" s="36">
        <v>0</v>
      </c>
    </row>
    <row r="599" spans="1:14" x14ac:dyDescent="0.35">
      <c r="A599" s="3" t="s">
        <v>14</v>
      </c>
      <c r="B599" s="4">
        <v>102</v>
      </c>
      <c r="C599" s="5">
        <v>53226</v>
      </c>
      <c r="D599" s="3" t="s">
        <v>130</v>
      </c>
      <c r="E599" s="16">
        <v>15.99</v>
      </c>
      <c r="F599" s="16">
        <v>5.13</v>
      </c>
      <c r="G599" s="36">
        <v>0</v>
      </c>
      <c r="H599" s="36">
        <v>0</v>
      </c>
      <c r="I599" s="36">
        <v>0</v>
      </c>
      <c r="J599" s="36">
        <v>0</v>
      </c>
      <c r="K599" s="36">
        <v>0</v>
      </c>
      <c r="L599" s="36">
        <v>0</v>
      </c>
      <c r="M599" s="36">
        <v>0</v>
      </c>
      <c r="N599" s="36">
        <v>0</v>
      </c>
    </row>
    <row r="600" spans="1:14" x14ac:dyDescent="0.35">
      <c r="A600" s="3" t="s">
        <v>351</v>
      </c>
      <c r="B600" s="4">
        <v>117</v>
      </c>
      <c r="C600" s="5">
        <v>53395</v>
      </c>
      <c r="D600" s="3" t="s">
        <v>391</v>
      </c>
      <c r="E600" s="16">
        <v>333.99</v>
      </c>
      <c r="F600" s="16">
        <v>173.74</v>
      </c>
      <c r="G600" s="36">
        <v>0</v>
      </c>
      <c r="H600" s="36">
        <v>0</v>
      </c>
      <c r="I600" s="36">
        <v>0</v>
      </c>
      <c r="J600" s="36">
        <v>0</v>
      </c>
      <c r="K600" s="36">
        <v>0</v>
      </c>
      <c r="L600" s="36">
        <v>0</v>
      </c>
      <c r="M600" s="36">
        <v>0</v>
      </c>
      <c r="N600" s="36">
        <v>0</v>
      </c>
    </row>
    <row r="601" spans="1:14" x14ac:dyDescent="0.35">
      <c r="A601" s="3" t="s">
        <v>351</v>
      </c>
      <c r="B601" s="4">
        <v>117</v>
      </c>
      <c r="C601" s="5">
        <v>53396</v>
      </c>
      <c r="D601" s="3" t="s">
        <v>392</v>
      </c>
      <c r="E601" s="16">
        <v>312.99</v>
      </c>
      <c r="F601" s="16">
        <v>162.97</v>
      </c>
      <c r="G601" s="36">
        <v>0</v>
      </c>
      <c r="H601" s="36">
        <v>0</v>
      </c>
      <c r="I601" s="36">
        <v>0</v>
      </c>
      <c r="J601" s="36">
        <v>0</v>
      </c>
      <c r="K601" s="36">
        <v>0</v>
      </c>
      <c r="L601" s="36">
        <v>0</v>
      </c>
      <c r="M601" s="36">
        <v>0</v>
      </c>
      <c r="N601" s="36">
        <v>0</v>
      </c>
    </row>
    <row r="602" spans="1:14" x14ac:dyDescent="0.35">
      <c r="A602" s="3" t="s">
        <v>730</v>
      </c>
      <c r="B602" s="4">
        <v>103</v>
      </c>
      <c r="C602" s="5">
        <v>53401</v>
      </c>
      <c r="D602" s="3" t="s">
        <v>835</v>
      </c>
      <c r="E602" s="16">
        <v>40.99</v>
      </c>
      <c r="F602" s="16">
        <v>23.48</v>
      </c>
      <c r="G602" s="36">
        <v>0</v>
      </c>
      <c r="H602" s="36">
        <v>0</v>
      </c>
      <c r="I602" s="36">
        <v>0</v>
      </c>
      <c r="J602" s="36">
        <v>0</v>
      </c>
      <c r="K602" s="36">
        <v>0</v>
      </c>
      <c r="L602" s="36">
        <v>0</v>
      </c>
      <c r="M602" s="36">
        <v>0</v>
      </c>
      <c r="N602" s="36">
        <v>0</v>
      </c>
    </row>
    <row r="603" spans="1:14" x14ac:dyDescent="0.35">
      <c r="A603" s="3" t="s">
        <v>730</v>
      </c>
      <c r="B603" s="4">
        <v>103</v>
      </c>
      <c r="C603" s="5">
        <v>53402</v>
      </c>
      <c r="D603" s="3" t="s">
        <v>836</v>
      </c>
      <c r="E603" s="16">
        <v>40.99</v>
      </c>
      <c r="F603" s="16">
        <v>24.09</v>
      </c>
      <c r="G603" s="36">
        <v>0</v>
      </c>
      <c r="H603" s="36">
        <v>0</v>
      </c>
      <c r="I603" s="36">
        <v>0</v>
      </c>
      <c r="J603" s="36">
        <v>0</v>
      </c>
      <c r="K603" s="36">
        <v>0</v>
      </c>
      <c r="L603" s="36">
        <v>0</v>
      </c>
      <c r="M603" s="36">
        <v>0</v>
      </c>
      <c r="N603" s="36">
        <v>0</v>
      </c>
    </row>
    <row r="604" spans="1:14" x14ac:dyDescent="0.35">
      <c r="A604" s="3" t="s">
        <v>107</v>
      </c>
      <c r="B604" s="4">
        <v>102</v>
      </c>
      <c r="C604" s="5">
        <v>53410</v>
      </c>
      <c r="D604" s="3" t="s">
        <v>126</v>
      </c>
      <c r="E604" s="16">
        <v>52</v>
      </c>
      <c r="F604" s="16">
        <v>28.2</v>
      </c>
      <c r="G604" s="36">
        <v>0</v>
      </c>
      <c r="H604" s="36">
        <v>0</v>
      </c>
      <c r="I604" s="36">
        <v>0</v>
      </c>
      <c r="J604" s="36">
        <v>0</v>
      </c>
      <c r="K604" s="36">
        <v>0</v>
      </c>
      <c r="L604" s="36">
        <v>0</v>
      </c>
      <c r="M604" s="36">
        <v>0</v>
      </c>
      <c r="N604" s="36">
        <v>0</v>
      </c>
    </row>
    <row r="605" spans="1:14" x14ac:dyDescent="0.35">
      <c r="A605" s="3" t="s">
        <v>14</v>
      </c>
      <c r="B605" s="4">
        <v>101</v>
      </c>
      <c r="C605" s="5">
        <v>53497</v>
      </c>
      <c r="D605" s="3" t="s">
        <v>61</v>
      </c>
      <c r="E605" s="16">
        <v>79.989999999999995</v>
      </c>
      <c r="F605" s="16">
        <v>32.200000000000003</v>
      </c>
      <c r="G605" s="36">
        <v>0</v>
      </c>
      <c r="H605" s="36">
        <v>0</v>
      </c>
      <c r="I605" s="36">
        <v>0</v>
      </c>
      <c r="J605" s="36">
        <v>0</v>
      </c>
      <c r="K605" s="36">
        <v>0</v>
      </c>
      <c r="L605" s="36">
        <v>0</v>
      </c>
      <c r="M605" s="36">
        <v>0</v>
      </c>
      <c r="N605" s="36">
        <v>0</v>
      </c>
    </row>
    <row r="606" spans="1:14" x14ac:dyDescent="0.35">
      <c r="A606" s="3" t="s">
        <v>14</v>
      </c>
      <c r="B606" s="4">
        <v>101</v>
      </c>
      <c r="C606" s="5">
        <v>53528</v>
      </c>
      <c r="D606" s="3" t="s">
        <v>59</v>
      </c>
      <c r="E606" s="16">
        <v>28.99</v>
      </c>
      <c r="F606" s="16">
        <v>14.86</v>
      </c>
      <c r="G606" s="36">
        <v>0</v>
      </c>
      <c r="H606" s="36">
        <v>0</v>
      </c>
      <c r="I606" s="36">
        <v>0</v>
      </c>
      <c r="J606" s="36">
        <v>0</v>
      </c>
      <c r="K606" s="36">
        <v>0</v>
      </c>
      <c r="L606" s="36">
        <v>0</v>
      </c>
      <c r="M606" s="36">
        <v>0</v>
      </c>
      <c r="N606" s="36">
        <v>0</v>
      </c>
    </row>
    <row r="607" spans="1:14" x14ac:dyDescent="0.35">
      <c r="A607" s="3" t="s">
        <v>632</v>
      </c>
      <c r="B607" s="4">
        <v>105</v>
      </c>
      <c r="C607" s="5">
        <v>53982</v>
      </c>
      <c r="D607" s="3" t="s">
        <v>837</v>
      </c>
      <c r="E607" s="16">
        <v>13.99</v>
      </c>
      <c r="F607" s="16">
        <v>10.08</v>
      </c>
      <c r="G607" s="36">
        <v>0</v>
      </c>
      <c r="H607" s="36">
        <v>0</v>
      </c>
      <c r="I607" s="36">
        <v>0</v>
      </c>
      <c r="J607" s="36">
        <v>0</v>
      </c>
      <c r="K607" s="36">
        <v>0</v>
      </c>
      <c r="L607" s="36">
        <v>0</v>
      </c>
      <c r="M607" s="36">
        <v>0</v>
      </c>
      <c r="N607" s="36">
        <v>0</v>
      </c>
    </row>
    <row r="608" spans="1:14" x14ac:dyDescent="0.35">
      <c r="A608" s="3" t="s">
        <v>359</v>
      </c>
      <c r="B608" s="4">
        <v>103</v>
      </c>
      <c r="C608" s="5">
        <v>53987</v>
      </c>
      <c r="D608" s="3" t="s">
        <v>838</v>
      </c>
      <c r="E608" s="16">
        <v>79.989999999999995</v>
      </c>
      <c r="F608" s="16">
        <v>44.288899999999998</v>
      </c>
      <c r="G608" s="36">
        <v>0</v>
      </c>
      <c r="H608" s="36">
        <v>0</v>
      </c>
      <c r="I608" s="36">
        <v>0</v>
      </c>
      <c r="J608" s="36">
        <v>0</v>
      </c>
      <c r="K608" s="36">
        <v>0</v>
      </c>
      <c r="L608" s="36">
        <v>0</v>
      </c>
      <c r="M608" s="36">
        <v>0</v>
      </c>
      <c r="N608" s="36">
        <v>0</v>
      </c>
    </row>
    <row r="609" spans="1:14" x14ac:dyDescent="0.35">
      <c r="A609" s="3" t="s">
        <v>713</v>
      </c>
      <c r="B609" s="4">
        <v>103</v>
      </c>
      <c r="C609" s="5">
        <v>54001</v>
      </c>
      <c r="D609" s="3" t="s">
        <v>839</v>
      </c>
      <c r="E609" s="16">
        <v>178.99</v>
      </c>
      <c r="F609" s="16">
        <v>93</v>
      </c>
      <c r="G609" s="36">
        <v>0</v>
      </c>
      <c r="H609" s="36">
        <v>0</v>
      </c>
      <c r="I609" s="36">
        <v>0</v>
      </c>
      <c r="J609" s="36">
        <v>0</v>
      </c>
      <c r="K609" s="36">
        <v>0</v>
      </c>
      <c r="L609" s="36">
        <v>0</v>
      </c>
      <c r="M609" s="36">
        <v>0</v>
      </c>
      <c r="N609" s="36">
        <v>0</v>
      </c>
    </row>
    <row r="610" spans="1:14" x14ac:dyDescent="0.35">
      <c r="A610" s="3" t="s">
        <v>14</v>
      </c>
      <c r="B610" s="4">
        <v>106</v>
      </c>
      <c r="C610" s="5">
        <v>54018</v>
      </c>
      <c r="D610" s="3" t="s">
        <v>243</v>
      </c>
      <c r="E610" s="16">
        <v>18.989999999999998</v>
      </c>
      <c r="F610" s="16">
        <v>9.83</v>
      </c>
      <c r="G610" s="36">
        <v>132.10434782608695</v>
      </c>
      <c r="H610" s="36">
        <v>8</v>
      </c>
      <c r="I610" s="36">
        <v>49.539130434782606</v>
      </c>
      <c r="J610" s="36">
        <v>3</v>
      </c>
      <c r="K610" s="36">
        <v>99.078260869565213</v>
      </c>
      <c r="L610" s="36">
        <v>6</v>
      </c>
      <c r="M610" s="36">
        <v>198.15652173913043</v>
      </c>
      <c r="N610" s="36">
        <v>12</v>
      </c>
    </row>
    <row r="611" spans="1:14" x14ac:dyDescent="0.35">
      <c r="A611" s="3" t="s">
        <v>14</v>
      </c>
      <c r="B611" s="4">
        <v>106</v>
      </c>
      <c r="C611" s="5">
        <v>54019</v>
      </c>
      <c r="D611" s="3" t="s">
        <v>247</v>
      </c>
      <c r="E611" s="16">
        <v>23.99</v>
      </c>
      <c r="F611" s="16">
        <v>10.37</v>
      </c>
      <c r="G611" s="36">
        <v>0</v>
      </c>
      <c r="H611" s="36">
        <v>0</v>
      </c>
      <c r="I611" s="36">
        <v>0</v>
      </c>
      <c r="J611" s="36">
        <v>0</v>
      </c>
      <c r="K611" s="36">
        <v>0</v>
      </c>
      <c r="L611" s="36">
        <v>0</v>
      </c>
      <c r="M611" s="36">
        <v>0</v>
      </c>
      <c r="N611" s="36">
        <v>0</v>
      </c>
    </row>
    <row r="612" spans="1:14" x14ac:dyDescent="0.35">
      <c r="A612" s="3" t="s">
        <v>724</v>
      </c>
      <c r="B612" s="4">
        <v>112</v>
      </c>
      <c r="C612" s="5">
        <v>54199</v>
      </c>
      <c r="D612" s="3" t="s">
        <v>840</v>
      </c>
      <c r="E612" s="16">
        <v>99.99</v>
      </c>
      <c r="F612" s="16">
        <v>61.730400000000003</v>
      </c>
      <c r="G612" s="36">
        <v>0</v>
      </c>
      <c r="H612" s="36">
        <v>0</v>
      </c>
      <c r="I612" s="36">
        <v>0</v>
      </c>
      <c r="J612" s="36">
        <v>0</v>
      </c>
      <c r="K612" s="36">
        <v>0</v>
      </c>
      <c r="L612" s="36">
        <v>0</v>
      </c>
      <c r="M612" s="36">
        <v>0</v>
      </c>
      <c r="N612" s="36">
        <v>0</v>
      </c>
    </row>
    <row r="613" spans="1:14" x14ac:dyDescent="0.35">
      <c r="A613" s="3" t="s">
        <v>14</v>
      </c>
      <c r="B613" s="4">
        <v>101</v>
      </c>
      <c r="C613" s="5">
        <v>54228</v>
      </c>
      <c r="D613" s="3" t="s">
        <v>62</v>
      </c>
      <c r="E613" s="16">
        <v>13.99</v>
      </c>
      <c r="F613" s="16">
        <v>7.37</v>
      </c>
      <c r="G613" s="36">
        <v>0</v>
      </c>
      <c r="H613" s="36">
        <v>0</v>
      </c>
      <c r="I613" s="36">
        <v>0</v>
      </c>
      <c r="J613" s="36">
        <v>0</v>
      </c>
      <c r="K613" s="36">
        <v>0</v>
      </c>
      <c r="L613" s="36">
        <v>0</v>
      </c>
      <c r="M613" s="36">
        <v>0</v>
      </c>
      <c r="N613" s="36">
        <v>0</v>
      </c>
    </row>
    <row r="614" spans="1:14" x14ac:dyDescent="0.35">
      <c r="A614" s="3" t="s">
        <v>841</v>
      </c>
      <c r="B614" s="4">
        <v>103</v>
      </c>
      <c r="C614" s="5">
        <v>54316</v>
      </c>
      <c r="D614" s="3" t="s">
        <v>842</v>
      </c>
      <c r="E614" s="16">
        <v>33.99</v>
      </c>
      <c r="F614" s="16">
        <v>20.5</v>
      </c>
      <c r="G614" s="36">
        <v>0</v>
      </c>
      <c r="H614" s="36">
        <v>0</v>
      </c>
      <c r="I614" s="36">
        <v>0</v>
      </c>
      <c r="J614" s="36">
        <v>0</v>
      </c>
      <c r="K614" s="36">
        <v>0</v>
      </c>
      <c r="L614" s="36">
        <v>0</v>
      </c>
      <c r="M614" s="36">
        <v>0</v>
      </c>
      <c r="N614" s="36">
        <v>0</v>
      </c>
    </row>
    <row r="615" spans="1:14" x14ac:dyDescent="0.35">
      <c r="A615" s="3" t="s">
        <v>14</v>
      </c>
      <c r="B615" s="4">
        <v>102</v>
      </c>
      <c r="C615" s="5">
        <v>54430</v>
      </c>
      <c r="D615" s="3" t="s">
        <v>133</v>
      </c>
      <c r="E615" s="16">
        <v>21.99</v>
      </c>
      <c r="F615" s="16">
        <v>9.9600000000000009</v>
      </c>
      <c r="G615" s="36">
        <v>0</v>
      </c>
      <c r="H615" s="36">
        <v>0</v>
      </c>
      <c r="I615" s="36">
        <v>0</v>
      </c>
      <c r="J615" s="36">
        <v>0</v>
      </c>
      <c r="K615" s="36">
        <v>0</v>
      </c>
      <c r="L615" s="36">
        <v>0</v>
      </c>
      <c r="M615" s="36">
        <v>0</v>
      </c>
      <c r="N615" s="36">
        <v>0</v>
      </c>
    </row>
    <row r="616" spans="1:14" x14ac:dyDescent="0.35">
      <c r="A616" s="3" t="s">
        <v>404</v>
      </c>
      <c r="B616" s="4">
        <v>103</v>
      </c>
      <c r="C616" s="5">
        <v>54433</v>
      </c>
      <c r="D616" s="3" t="s">
        <v>843</v>
      </c>
      <c r="E616" s="16">
        <v>175.99</v>
      </c>
      <c r="F616" s="16">
        <v>107.99</v>
      </c>
      <c r="G616" s="36">
        <v>0</v>
      </c>
      <c r="H616" s="36">
        <v>0</v>
      </c>
      <c r="I616" s="36">
        <v>0</v>
      </c>
      <c r="J616" s="36">
        <v>0</v>
      </c>
      <c r="K616" s="36">
        <v>0</v>
      </c>
      <c r="L616" s="36">
        <v>0</v>
      </c>
      <c r="M616" s="36">
        <v>0</v>
      </c>
      <c r="N616" s="36">
        <v>0</v>
      </c>
    </row>
    <row r="617" spans="1:14" x14ac:dyDescent="0.35">
      <c r="A617" s="3" t="s">
        <v>14</v>
      </c>
      <c r="B617" s="4">
        <v>101</v>
      </c>
      <c r="C617" s="5">
        <v>54546</v>
      </c>
      <c r="D617" s="3" t="s">
        <v>75</v>
      </c>
      <c r="E617" s="16">
        <v>5.99</v>
      </c>
      <c r="F617" s="16">
        <v>2.5299999999999998</v>
      </c>
      <c r="G617" s="36">
        <v>0</v>
      </c>
      <c r="H617" s="36">
        <v>0</v>
      </c>
      <c r="I617" s="36">
        <v>0</v>
      </c>
      <c r="J617" s="36">
        <v>0</v>
      </c>
      <c r="K617" s="36">
        <v>0</v>
      </c>
      <c r="L617" s="36">
        <v>0</v>
      </c>
      <c r="M617" s="36">
        <v>0</v>
      </c>
      <c r="N617" s="36">
        <v>0</v>
      </c>
    </row>
    <row r="618" spans="1:14" x14ac:dyDescent="0.35">
      <c r="A618" s="3" t="s">
        <v>14</v>
      </c>
      <c r="B618" s="4">
        <v>101</v>
      </c>
      <c r="C618" s="5">
        <v>54547</v>
      </c>
      <c r="D618" s="3" t="s">
        <v>49</v>
      </c>
      <c r="E618" s="16">
        <v>9.99</v>
      </c>
      <c r="F618" s="16">
        <v>3.23</v>
      </c>
      <c r="G618" s="36">
        <v>0</v>
      </c>
      <c r="H618" s="36">
        <v>0</v>
      </c>
      <c r="I618" s="36">
        <v>0</v>
      </c>
      <c r="J618" s="36">
        <v>0</v>
      </c>
      <c r="K618" s="36">
        <v>0</v>
      </c>
      <c r="L618" s="36">
        <v>0</v>
      </c>
      <c r="M618" s="36">
        <v>0</v>
      </c>
      <c r="N618" s="36">
        <v>0</v>
      </c>
    </row>
    <row r="619" spans="1:14" x14ac:dyDescent="0.35">
      <c r="A619" s="3" t="s">
        <v>841</v>
      </c>
      <c r="B619" s="4">
        <v>103</v>
      </c>
      <c r="C619" s="5">
        <v>54554</v>
      </c>
      <c r="D619" s="3" t="s">
        <v>844</v>
      </c>
      <c r="E619" s="16">
        <v>80.989999999999995</v>
      </c>
      <c r="F619" s="16">
        <v>48</v>
      </c>
      <c r="G619" s="36">
        <v>0</v>
      </c>
      <c r="H619" s="36">
        <v>0</v>
      </c>
      <c r="I619" s="36">
        <v>0</v>
      </c>
      <c r="J619" s="36">
        <v>0</v>
      </c>
      <c r="K619" s="36">
        <v>0</v>
      </c>
      <c r="L619" s="36">
        <v>0</v>
      </c>
      <c r="M619" s="36">
        <v>0</v>
      </c>
      <c r="N619" s="36">
        <v>0</v>
      </c>
    </row>
    <row r="620" spans="1:14" x14ac:dyDescent="0.35">
      <c r="A620" s="3" t="s">
        <v>841</v>
      </c>
      <c r="B620" s="4">
        <v>103</v>
      </c>
      <c r="C620" s="5">
        <v>54555</v>
      </c>
      <c r="D620" s="3" t="s">
        <v>845</v>
      </c>
      <c r="E620" s="16">
        <v>91.99</v>
      </c>
      <c r="F620" s="16">
        <v>64</v>
      </c>
      <c r="G620" s="36">
        <v>0</v>
      </c>
      <c r="H620" s="36">
        <v>0</v>
      </c>
      <c r="I620" s="36">
        <v>0</v>
      </c>
      <c r="J620" s="36">
        <v>0</v>
      </c>
      <c r="K620" s="36">
        <v>0</v>
      </c>
      <c r="L620" s="36">
        <v>0</v>
      </c>
      <c r="M620" s="36">
        <v>0</v>
      </c>
      <c r="N620" s="36">
        <v>0</v>
      </c>
    </row>
    <row r="621" spans="1:14" x14ac:dyDescent="0.35">
      <c r="A621" s="3" t="s">
        <v>841</v>
      </c>
      <c r="B621" s="4">
        <v>103</v>
      </c>
      <c r="C621" s="5">
        <v>54556</v>
      </c>
      <c r="D621" s="3" t="s">
        <v>846</v>
      </c>
      <c r="E621" s="16">
        <v>71.989999999999995</v>
      </c>
      <c r="F621" s="16">
        <v>50</v>
      </c>
      <c r="G621" s="36">
        <v>0</v>
      </c>
      <c r="H621" s="36">
        <v>0</v>
      </c>
      <c r="I621" s="36">
        <v>0</v>
      </c>
      <c r="J621" s="36">
        <v>0</v>
      </c>
      <c r="K621" s="36">
        <v>0</v>
      </c>
      <c r="L621" s="36">
        <v>0</v>
      </c>
      <c r="M621" s="36">
        <v>0</v>
      </c>
      <c r="N621" s="36">
        <v>0</v>
      </c>
    </row>
    <row r="622" spans="1:14" x14ac:dyDescent="0.35">
      <c r="A622" s="3" t="s">
        <v>14</v>
      </c>
      <c r="B622" s="4">
        <v>101</v>
      </c>
      <c r="C622" s="5">
        <v>54617</v>
      </c>
      <c r="D622" s="3" t="s">
        <v>83</v>
      </c>
      <c r="E622" s="16">
        <v>30.99</v>
      </c>
      <c r="F622" s="16">
        <v>12.4</v>
      </c>
      <c r="G622" s="36">
        <v>0</v>
      </c>
      <c r="H622" s="36">
        <v>0</v>
      </c>
      <c r="I622" s="36">
        <v>0</v>
      </c>
      <c r="J622" s="36">
        <v>0</v>
      </c>
      <c r="K622" s="36">
        <v>0</v>
      </c>
      <c r="L622" s="36">
        <v>0</v>
      </c>
      <c r="M622" s="36">
        <v>0</v>
      </c>
      <c r="N622" s="36">
        <v>0</v>
      </c>
    </row>
    <row r="623" spans="1:14" x14ac:dyDescent="0.35">
      <c r="A623" s="3" t="s">
        <v>35</v>
      </c>
      <c r="B623" s="4">
        <v>102</v>
      </c>
      <c r="C623" s="5">
        <v>54652</v>
      </c>
      <c r="D623" s="3" t="s">
        <v>193</v>
      </c>
      <c r="E623" s="16">
        <v>21.99</v>
      </c>
      <c r="F623" s="16">
        <v>10.989749999999999</v>
      </c>
      <c r="G623" s="36">
        <v>0</v>
      </c>
      <c r="H623" s="36">
        <v>0</v>
      </c>
      <c r="I623" s="36">
        <v>0</v>
      </c>
      <c r="J623" s="36">
        <v>0</v>
      </c>
      <c r="K623" s="36">
        <v>0</v>
      </c>
      <c r="L623" s="36">
        <v>0</v>
      </c>
      <c r="M623" s="36">
        <v>0</v>
      </c>
      <c r="N623" s="36">
        <v>0</v>
      </c>
    </row>
    <row r="624" spans="1:14" x14ac:dyDescent="0.35">
      <c r="A624" s="3" t="s">
        <v>377</v>
      </c>
      <c r="B624" s="4">
        <v>101</v>
      </c>
      <c r="C624" s="5">
        <v>54740</v>
      </c>
      <c r="D624" s="3" t="s">
        <v>393</v>
      </c>
      <c r="E624" s="16">
        <v>74.989999999999995</v>
      </c>
      <c r="F624" s="16">
        <v>39</v>
      </c>
      <c r="G624" s="36">
        <v>0</v>
      </c>
      <c r="H624" s="36">
        <v>0</v>
      </c>
      <c r="I624" s="36">
        <v>0</v>
      </c>
      <c r="J624" s="36">
        <v>0</v>
      </c>
      <c r="K624" s="36">
        <v>0</v>
      </c>
      <c r="L624" s="36">
        <v>0</v>
      </c>
      <c r="M624" s="36">
        <v>0</v>
      </c>
      <c r="N624" s="36">
        <v>0</v>
      </c>
    </row>
    <row r="625" spans="1:14" x14ac:dyDescent="0.35">
      <c r="A625" s="3" t="s">
        <v>317</v>
      </c>
      <c r="B625" s="4">
        <v>111</v>
      </c>
      <c r="C625" s="5">
        <v>54882</v>
      </c>
      <c r="D625" s="3" t="s">
        <v>847</v>
      </c>
      <c r="E625" s="16">
        <v>184.99</v>
      </c>
      <c r="F625" s="16">
        <v>116.49606666666666</v>
      </c>
      <c r="G625" s="36">
        <v>0</v>
      </c>
      <c r="H625" s="36">
        <v>0</v>
      </c>
      <c r="I625" s="36">
        <v>0</v>
      </c>
      <c r="J625" s="36">
        <v>0</v>
      </c>
      <c r="K625" s="36">
        <v>0</v>
      </c>
      <c r="L625" s="36">
        <v>0</v>
      </c>
      <c r="M625" s="36">
        <v>0</v>
      </c>
      <c r="N625" s="36">
        <v>0</v>
      </c>
    </row>
    <row r="626" spans="1:14" x14ac:dyDescent="0.35">
      <c r="A626" s="3" t="s">
        <v>317</v>
      </c>
      <c r="B626" s="4">
        <v>111</v>
      </c>
      <c r="C626" s="5">
        <v>54883</v>
      </c>
      <c r="D626" s="3" t="s">
        <v>848</v>
      </c>
      <c r="E626" s="16">
        <v>204.99</v>
      </c>
      <c r="F626" s="16">
        <v>127.14569999999999</v>
      </c>
      <c r="G626" s="36">
        <v>0</v>
      </c>
      <c r="H626" s="36">
        <v>0</v>
      </c>
      <c r="I626" s="36">
        <v>0</v>
      </c>
      <c r="J626" s="36">
        <v>0</v>
      </c>
      <c r="K626" s="36">
        <v>0</v>
      </c>
      <c r="L626" s="36">
        <v>0</v>
      </c>
      <c r="M626" s="36">
        <v>0</v>
      </c>
      <c r="N626" s="36">
        <v>0</v>
      </c>
    </row>
    <row r="627" spans="1:14" x14ac:dyDescent="0.35">
      <c r="A627" s="3" t="s">
        <v>107</v>
      </c>
      <c r="B627" s="4">
        <v>102</v>
      </c>
      <c r="C627" s="5">
        <v>55095</v>
      </c>
      <c r="D627" s="3" t="s">
        <v>116</v>
      </c>
      <c r="E627" s="16">
        <v>5</v>
      </c>
      <c r="F627" s="16">
        <v>1.38</v>
      </c>
      <c r="G627" s="36">
        <v>0</v>
      </c>
      <c r="H627" s="36">
        <v>0</v>
      </c>
      <c r="I627" s="36">
        <v>30.434782608695652</v>
      </c>
      <c r="J627" s="36">
        <v>7</v>
      </c>
      <c r="K627" s="36">
        <v>99.565217391304344</v>
      </c>
      <c r="L627" s="36">
        <v>23</v>
      </c>
      <c r="M627" s="36">
        <v>17.391304347826086</v>
      </c>
      <c r="N627" s="36">
        <v>4</v>
      </c>
    </row>
    <row r="628" spans="1:14" x14ac:dyDescent="0.35">
      <c r="A628" s="3" t="s">
        <v>14</v>
      </c>
      <c r="B628" s="4">
        <v>102</v>
      </c>
      <c r="C628" s="5">
        <v>55481</v>
      </c>
      <c r="D628" s="3" t="s">
        <v>105</v>
      </c>
      <c r="E628" s="16">
        <v>11.99</v>
      </c>
      <c r="F628" s="16">
        <v>5.0999999999999996</v>
      </c>
      <c r="G628" s="36">
        <v>83.408695652173918</v>
      </c>
      <c r="H628" s="36">
        <v>8</v>
      </c>
      <c r="I628" s="36">
        <v>52.130434782608695</v>
      </c>
      <c r="J628" s="36">
        <v>5</v>
      </c>
      <c r="K628" s="36">
        <v>10.42608695652174</v>
      </c>
      <c r="L628" s="36">
        <v>1</v>
      </c>
      <c r="M628" s="36">
        <v>0</v>
      </c>
      <c r="N628" s="36">
        <v>0</v>
      </c>
    </row>
    <row r="629" spans="1:14" x14ac:dyDescent="0.35">
      <c r="A629" s="3" t="s">
        <v>14</v>
      </c>
      <c r="B629" s="4">
        <v>102</v>
      </c>
      <c r="C629" s="5">
        <v>55482</v>
      </c>
      <c r="D629" s="3" t="s">
        <v>145</v>
      </c>
      <c r="E629" s="16">
        <v>13.99</v>
      </c>
      <c r="F629" s="16">
        <v>5.44</v>
      </c>
      <c r="G629" s="36">
        <v>0</v>
      </c>
      <c r="H629" s="36">
        <v>0</v>
      </c>
      <c r="I629" s="36">
        <v>0</v>
      </c>
      <c r="J629" s="36">
        <v>0</v>
      </c>
      <c r="K629" s="36">
        <v>0</v>
      </c>
      <c r="L629" s="36">
        <v>0</v>
      </c>
      <c r="M629" s="36">
        <v>0</v>
      </c>
      <c r="N629" s="36">
        <v>0</v>
      </c>
    </row>
    <row r="630" spans="1:14" x14ac:dyDescent="0.35">
      <c r="A630" s="3" t="s">
        <v>317</v>
      </c>
      <c r="B630" s="4">
        <v>103</v>
      </c>
      <c r="C630" s="5">
        <v>55599</v>
      </c>
      <c r="D630" s="3" t="s">
        <v>849</v>
      </c>
      <c r="E630" s="16">
        <v>12.49</v>
      </c>
      <c r="F630" s="16">
        <v>6.4669311111111121</v>
      </c>
      <c r="G630" s="36">
        <v>0</v>
      </c>
      <c r="H630" s="36">
        <v>0</v>
      </c>
      <c r="I630" s="36">
        <v>0</v>
      </c>
      <c r="J630" s="36">
        <v>0</v>
      </c>
      <c r="K630" s="36">
        <v>0</v>
      </c>
      <c r="L630" s="36">
        <v>0</v>
      </c>
      <c r="M630" s="36">
        <v>0</v>
      </c>
      <c r="N630" s="36">
        <v>0</v>
      </c>
    </row>
    <row r="631" spans="1:14" x14ac:dyDescent="0.35">
      <c r="A631" s="3" t="s">
        <v>356</v>
      </c>
      <c r="B631" s="4">
        <v>103</v>
      </c>
      <c r="C631" s="5">
        <v>55626</v>
      </c>
      <c r="D631" s="3" t="s">
        <v>850</v>
      </c>
      <c r="E631" s="16">
        <v>151.99</v>
      </c>
      <c r="F631" s="16">
        <v>85.1</v>
      </c>
      <c r="G631" s="36">
        <v>0</v>
      </c>
      <c r="H631" s="36">
        <v>0</v>
      </c>
      <c r="I631" s="36">
        <v>0</v>
      </c>
      <c r="J631" s="36">
        <v>0</v>
      </c>
      <c r="K631" s="36">
        <v>0</v>
      </c>
      <c r="L631" s="36">
        <v>0</v>
      </c>
      <c r="M631" s="36">
        <v>0</v>
      </c>
      <c r="N631" s="36">
        <v>0</v>
      </c>
    </row>
    <row r="632" spans="1:14" x14ac:dyDescent="0.35">
      <c r="A632" s="3" t="s">
        <v>356</v>
      </c>
      <c r="B632" s="4">
        <v>102</v>
      </c>
      <c r="C632" s="5">
        <v>55627</v>
      </c>
      <c r="D632" s="3" t="s">
        <v>394</v>
      </c>
      <c r="E632" s="16">
        <v>135.99</v>
      </c>
      <c r="F632" s="16">
        <v>72.8</v>
      </c>
      <c r="G632" s="36">
        <v>0</v>
      </c>
      <c r="H632" s="36">
        <v>0</v>
      </c>
      <c r="I632" s="36">
        <v>0</v>
      </c>
      <c r="J632" s="36">
        <v>0</v>
      </c>
      <c r="K632" s="36">
        <v>0</v>
      </c>
      <c r="L632" s="36">
        <v>0</v>
      </c>
      <c r="M632" s="36">
        <v>0</v>
      </c>
      <c r="N632" s="36">
        <v>0</v>
      </c>
    </row>
    <row r="633" spans="1:14" x14ac:dyDescent="0.35">
      <c r="A633" s="3" t="s">
        <v>730</v>
      </c>
      <c r="B633" s="4">
        <v>103</v>
      </c>
      <c r="C633" s="5">
        <v>55735</v>
      </c>
      <c r="D633" s="3" t="s">
        <v>851</v>
      </c>
      <c r="E633" s="16">
        <v>33.99</v>
      </c>
      <c r="F633" s="16">
        <v>19.13</v>
      </c>
      <c r="G633" s="36">
        <v>0</v>
      </c>
      <c r="H633" s="36">
        <v>0</v>
      </c>
      <c r="I633" s="36">
        <v>0</v>
      </c>
      <c r="J633" s="36">
        <v>0</v>
      </c>
      <c r="K633" s="36">
        <v>0</v>
      </c>
      <c r="L633" s="36">
        <v>0</v>
      </c>
      <c r="M633" s="36">
        <v>0</v>
      </c>
      <c r="N633" s="36">
        <v>0</v>
      </c>
    </row>
    <row r="634" spans="1:14" x14ac:dyDescent="0.35">
      <c r="A634" s="3" t="s">
        <v>730</v>
      </c>
      <c r="B634" s="4">
        <v>103</v>
      </c>
      <c r="C634" s="5">
        <v>55736</v>
      </c>
      <c r="D634" s="3" t="s">
        <v>852</v>
      </c>
      <c r="E634" s="16">
        <v>33.99</v>
      </c>
      <c r="F634" s="16">
        <v>17.22</v>
      </c>
      <c r="G634" s="36">
        <v>0</v>
      </c>
      <c r="H634" s="36">
        <v>0</v>
      </c>
      <c r="I634" s="36">
        <v>0</v>
      </c>
      <c r="J634" s="36">
        <v>0</v>
      </c>
      <c r="K634" s="36">
        <v>0</v>
      </c>
      <c r="L634" s="36">
        <v>0</v>
      </c>
      <c r="M634" s="36">
        <v>0</v>
      </c>
      <c r="N634" s="36">
        <v>0</v>
      </c>
    </row>
    <row r="635" spans="1:14" x14ac:dyDescent="0.35">
      <c r="A635" s="3" t="s">
        <v>730</v>
      </c>
      <c r="B635" s="4">
        <v>103</v>
      </c>
      <c r="C635" s="5">
        <v>55737</v>
      </c>
      <c r="D635" s="3" t="s">
        <v>853</v>
      </c>
      <c r="E635" s="16">
        <v>33.99</v>
      </c>
      <c r="F635" s="16">
        <v>19.13</v>
      </c>
      <c r="G635" s="36">
        <v>0</v>
      </c>
      <c r="H635" s="36">
        <v>0</v>
      </c>
      <c r="I635" s="36">
        <v>0</v>
      </c>
      <c r="J635" s="36">
        <v>0</v>
      </c>
      <c r="K635" s="36">
        <v>0</v>
      </c>
      <c r="L635" s="36">
        <v>0</v>
      </c>
      <c r="M635" s="36">
        <v>0</v>
      </c>
      <c r="N635" s="36">
        <v>0</v>
      </c>
    </row>
    <row r="636" spans="1:14" x14ac:dyDescent="0.35">
      <c r="A636" s="3" t="s">
        <v>702</v>
      </c>
      <c r="B636" s="4">
        <v>109</v>
      </c>
      <c r="C636" s="5">
        <v>55738</v>
      </c>
      <c r="D636" s="3" t="s">
        <v>854</v>
      </c>
      <c r="E636" s="16">
        <v>0</v>
      </c>
      <c r="F636" s="16">
        <v>17.22</v>
      </c>
      <c r="G636" s="36">
        <v>0</v>
      </c>
      <c r="H636" s="36">
        <v>0</v>
      </c>
      <c r="I636" s="36">
        <v>0</v>
      </c>
      <c r="J636" s="36">
        <v>0</v>
      </c>
      <c r="K636" s="36">
        <v>0</v>
      </c>
      <c r="L636" s="36">
        <v>0</v>
      </c>
      <c r="M636" s="36">
        <v>0</v>
      </c>
      <c r="N636" s="36">
        <v>0</v>
      </c>
    </row>
    <row r="637" spans="1:14" x14ac:dyDescent="0.35">
      <c r="A637" s="3" t="s">
        <v>724</v>
      </c>
      <c r="B637" s="4">
        <v>112</v>
      </c>
      <c r="C637" s="5">
        <v>55996</v>
      </c>
      <c r="D637" s="3" t="s">
        <v>855</v>
      </c>
      <c r="E637" s="16">
        <v>74.989999999999995</v>
      </c>
      <c r="F637" s="16">
        <v>46.912999999999997</v>
      </c>
      <c r="G637" s="36">
        <v>0</v>
      </c>
      <c r="H637" s="36">
        <v>0</v>
      </c>
      <c r="I637" s="36">
        <v>0</v>
      </c>
      <c r="J637" s="36">
        <v>0</v>
      </c>
      <c r="K637" s="36">
        <v>0</v>
      </c>
      <c r="L637" s="36">
        <v>0</v>
      </c>
      <c r="M637" s="36">
        <v>0</v>
      </c>
      <c r="N637" s="36">
        <v>0</v>
      </c>
    </row>
    <row r="638" spans="1:14" x14ac:dyDescent="0.35">
      <c r="A638" s="3" t="s">
        <v>367</v>
      </c>
      <c r="B638" s="4">
        <v>102</v>
      </c>
      <c r="C638" s="5">
        <v>56174</v>
      </c>
      <c r="D638" s="3" t="s">
        <v>395</v>
      </c>
      <c r="E638" s="16">
        <v>15.99</v>
      </c>
      <c r="F638" s="16">
        <v>8.11</v>
      </c>
      <c r="G638" s="36">
        <v>0</v>
      </c>
      <c r="H638" s="36">
        <v>0</v>
      </c>
      <c r="I638" s="36">
        <v>0</v>
      </c>
      <c r="J638" s="36">
        <v>0</v>
      </c>
      <c r="K638" s="36">
        <v>0</v>
      </c>
      <c r="L638" s="36">
        <v>0</v>
      </c>
      <c r="M638" s="36">
        <v>0</v>
      </c>
      <c r="N638" s="36">
        <v>0</v>
      </c>
    </row>
    <row r="639" spans="1:14" x14ac:dyDescent="0.35">
      <c r="A639" s="3" t="s">
        <v>367</v>
      </c>
      <c r="B639" s="4">
        <v>102</v>
      </c>
      <c r="C639" s="5">
        <v>56175</v>
      </c>
      <c r="D639" s="3" t="s">
        <v>396</v>
      </c>
      <c r="E639" s="16">
        <v>15.99</v>
      </c>
      <c r="F639" s="16">
        <v>8.11</v>
      </c>
      <c r="G639" s="36">
        <v>27.808695652173913</v>
      </c>
      <c r="H639" s="36">
        <v>2</v>
      </c>
      <c r="I639" s="36">
        <v>0</v>
      </c>
      <c r="J639" s="36">
        <v>0</v>
      </c>
      <c r="K639" s="36">
        <v>0</v>
      </c>
      <c r="L639" s="36">
        <v>0</v>
      </c>
      <c r="M639" s="36">
        <v>0</v>
      </c>
      <c r="N639" s="36">
        <v>0</v>
      </c>
    </row>
    <row r="640" spans="1:14" x14ac:dyDescent="0.35">
      <c r="A640" s="3" t="s">
        <v>367</v>
      </c>
      <c r="B640" s="4">
        <v>102</v>
      </c>
      <c r="C640" s="5">
        <v>56177</v>
      </c>
      <c r="D640" s="3" t="s">
        <v>397</v>
      </c>
      <c r="E640" s="16">
        <v>15.99</v>
      </c>
      <c r="F640" s="16">
        <v>8.11</v>
      </c>
      <c r="G640" s="36">
        <v>0</v>
      </c>
      <c r="H640" s="36">
        <v>0</v>
      </c>
      <c r="I640" s="36">
        <v>0</v>
      </c>
      <c r="J640" s="36">
        <v>0</v>
      </c>
      <c r="K640" s="36">
        <v>0</v>
      </c>
      <c r="L640" s="36">
        <v>0</v>
      </c>
      <c r="M640" s="36">
        <v>0</v>
      </c>
      <c r="N640" s="36">
        <v>0</v>
      </c>
    </row>
    <row r="641" spans="1:14" x14ac:dyDescent="0.35">
      <c r="A641" s="3" t="s">
        <v>367</v>
      </c>
      <c r="B641" s="4">
        <v>101</v>
      </c>
      <c r="C641" s="5">
        <v>56248</v>
      </c>
      <c r="D641" s="3" t="s">
        <v>398</v>
      </c>
      <c r="E641" s="16">
        <v>4.26</v>
      </c>
      <c r="F641" s="16">
        <v>1.75</v>
      </c>
      <c r="G641" s="36">
        <v>0</v>
      </c>
      <c r="H641" s="36">
        <v>0</v>
      </c>
      <c r="I641" s="36">
        <v>0</v>
      </c>
      <c r="J641" s="36">
        <v>0</v>
      </c>
      <c r="K641" s="36">
        <v>0</v>
      </c>
      <c r="L641" s="36">
        <v>0</v>
      </c>
      <c r="M641" s="36">
        <v>0</v>
      </c>
      <c r="N641" s="36">
        <v>0</v>
      </c>
    </row>
    <row r="642" spans="1:14" x14ac:dyDescent="0.35">
      <c r="A642" s="3" t="s">
        <v>367</v>
      </c>
      <c r="B642" s="4">
        <v>102</v>
      </c>
      <c r="C642" s="5">
        <v>56267</v>
      </c>
      <c r="D642" s="3" t="s">
        <v>399</v>
      </c>
      <c r="E642" s="16">
        <v>15.99</v>
      </c>
      <c r="F642" s="16">
        <v>8.11</v>
      </c>
      <c r="G642" s="36">
        <v>0</v>
      </c>
      <c r="H642" s="36">
        <v>0</v>
      </c>
      <c r="I642" s="36">
        <v>13.904347826086957</v>
      </c>
      <c r="J642" s="36">
        <v>1</v>
      </c>
      <c r="K642" s="36">
        <v>0</v>
      </c>
      <c r="L642" s="36">
        <v>0</v>
      </c>
      <c r="M642" s="36">
        <v>0</v>
      </c>
      <c r="N642" s="36">
        <v>0</v>
      </c>
    </row>
    <row r="643" spans="1:14" x14ac:dyDescent="0.35">
      <c r="A643" s="3" t="s">
        <v>14</v>
      </c>
      <c r="B643" s="4">
        <v>101</v>
      </c>
      <c r="C643" s="5">
        <v>56350</v>
      </c>
      <c r="D643" s="3" t="s">
        <v>69</v>
      </c>
      <c r="E643" s="16">
        <v>4.99</v>
      </c>
      <c r="F643" s="16">
        <v>2.61</v>
      </c>
      <c r="G643" s="36">
        <v>0</v>
      </c>
      <c r="H643" s="36">
        <v>0</v>
      </c>
      <c r="I643" s="36">
        <v>0</v>
      </c>
      <c r="J643" s="36">
        <v>0</v>
      </c>
      <c r="K643" s="36">
        <v>0</v>
      </c>
      <c r="L643" s="36">
        <v>0</v>
      </c>
      <c r="M643" s="36">
        <v>0</v>
      </c>
      <c r="N643" s="36">
        <v>0</v>
      </c>
    </row>
    <row r="644" spans="1:14" x14ac:dyDescent="0.35">
      <c r="A644" s="3" t="s">
        <v>19</v>
      </c>
      <c r="B644" s="4">
        <v>102</v>
      </c>
      <c r="C644" s="5">
        <v>56514</v>
      </c>
      <c r="D644" s="3" t="s">
        <v>194</v>
      </c>
      <c r="E644" s="16">
        <v>269.99</v>
      </c>
      <c r="F644" s="16">
        <v>141.47833333333332</v>
      </c>
      <c r="G644" s="36">
        <v>0</v>
      </c>
      <c r="H644" s="36">
        <v>0</v>
      </c>
      <c r="I644" s="36">
        <v>0</v>
      </c>
      <c r="J644" s="36">
        <v>0</v>
      </c>
      <c r="K644" s="36">
        <v>0</v>
      </c>
      <c r="L644" s="36">
        <v>0</v>
      </c>
      <c r="M644" s="36">
        <v>0</v>
      </c>
      <c r="N644" s="36">
        <v>0</v>
      </c>
    </row>
    <row r="645" spans="1:14" x14ac:dyDescent="0.35">
      <c r="A645" s="3" t="s">
        <v>367</v>
      </c>
      <c r="B645" s="4">
        <v>102</v>
      </c>
      <c r="C645" s="5">
        <v>56594</v>
      </c>
      <c r="D645" s="3" t="s">
        <v>400</v>
      </c>
      <c r="E645" s="16">
        <v>15.99</v>
      </c>
      <c r="F645" s="16">
        <v>8.11</v>
      </c>
      <c r="G645" s="36">
        <v>13.904347826086957</v>
      </c>
      <c r="H645" s="36">
        <v>1</v>
      </c>
      <c r="I645" s="36">
        <v>0</v>
      </c>
      <c r="J645" s="36">
        <v>0</v>
      </c>
      <c r="K645" s="36">
        <v>0</v>
      </c>
      <c r="L645" s="36">
        <v>0</v>
      </c>
      <c r="M645" s="36">
        <v>0</v>
      </c>
      <c r="N645" s="36">
        <v>0</v>
      </c>
    </row>
    <row r="646" spans="1:14" x14ac:dyDescent="0.35">
      <c r="A646" s="3" t="s">
        <v>317</v>
      </c>
      <c r="B646" s="4">
        <v>101</v>
      </c>
      <c r="C646" s="5">
        <v>56705</v>
      </c>
      <c r="D646" s="3" t="s">
        <v>401</v>
      </c>
      <c r="E646" s="16">
        <v>29.99</v>
      </c>
      <c r="F646" s="16">
        <v>19</v>
      </c>
      <c r="G646" s="36">
        <v>0</v>
      </c>
      <c r="H646" s="36">
        <v>0</v>
      </c>
      <c r="I646" s="36">
        <v>0</v>
      </c>
      <c r="J646" s="36">
        <v>0</v>
      </c>
      <c r="K646" s="36">
        <v>0</v>
      </c>
      <c r="L646" s="36">
        <v>0</v>
      </c>
      <c r="M646" s="36">
        <v>0</v>
      </c>
      <c r="N646" s="36">
        <v>0</v>
      </c>
    </row>
    <row r="647" spans="1:14" x14ac:dyDescent="0.35">
      <c r="A647" s="3" t="s">
        <v>317</v>
      </c>
      <c r="B647" s="4">
        <v>101</v>
      </c>
      <c r="C647" s="5">
        <v>56706</v>
      </c>
      <c r="D647" s="3" t="s">
        <v>402</v>
      </c>
      <c r="E647" s="16">
        <v>29.99</v>
      </c>
      <c r="F647" s="16">
        <v>19</v>
      </c>
      <c r="G647" s="36">
        <v>0</v>
      </c>
      <c r="H647" s="36">
        <v>0</v>
      </c>
      <c r="I647" s="36">
        <v>0</v>
      </c>
      <c r="J647" s="36">
        <v>0</v>
      </c>
      <c r="K647" s="36">
        <v>0</v>
      </c>
      <c r="L647" s="36">
        <v>0</v>
      </c>
      <c r="M647" s="36">
        <v>0</v>
      </c>
      <c r="N647" s="36">
        <v>0</v>
      </c>
    </row>
    <row r="648" spans="1:14" x14ac:dyDescent="0.35">
      <c r="A648" s="3" t="s">
        <v>14</v>
      </c>
      <c r="B648" s="4">
        <v>104</v>
      </c>
      <c r="C648" s="5">
        <v>56805</v>
      </c>
      <c r="D648" s="3" t="s">
        <v>241</v>
      </c>
      <c r="E648" s="16">
        <v>15</v>
      </c>
      <c r="F648" s="16">
        <v>29.47</v>
      </c>
      <c r="G648" s="36">
        <v>0</v>
      </c>
      <c r="H648" s="36">
        <v>0</v>
      </c>
      <c r="I648" s="36">
        <v>0</v>
      </c>
      <c r="J648" s="36">
        <v>0</v>
      </c>
      <c r="K648" s="36">
        <v>0</v>
      </c>
      <c r="L648" s="36">
        <v>0</v>
      </c>
      <c r="M648" s="36">
        <v>0</v>
      </c>
      <c r="N648" s="36">
        <v>0</v>
      </c>
    </row>
    <row r="649" spans="1:14" x14ac:dyDescent="0.35">
      <c r="A649" s="3" t="s">
        <v>367</v>
      </c>
      <c r="B649" s="4">
        <v>102</v>
      </c>
      <c r="C649" s="5">
        <v>56914</v>
      </c>
      <c r="D649" s="3" t="s">
        <v>403</v>
      </c>
      <c r="E649" s="16">
        <v>15.99</v>
      </c>
      <c r="F649" s="16">
        <v>8.11</v>
      </c>
      <c r="G649" s="36">
        <v>0</v>
      </c>
      <c r="H649" s="36">
        <v>0</v>
      </c>
      <c r="I649" s="36">
        <v>13.904347826086957</v>
      </c>
      <c r="J649" s="36">
        <v>1</v>
      </c>
      <c r="K649" s="36">
        <v>0</v>
      </c>
      <c r="L649" s="36">
        <v>0</v>
      </c>
      <c r="M649" s="36">
        <v>0</v>
      </c>
      <c r="N649" s="36">
        <v>0</v>
      </c>
    </row>
    <row r="650" spans="1:14" x14ac:dyDescent="0.35">
      <c r="A650" s="3" t="s">
        <v>14</v>
      </c>
      <c r="B650" s="4">
        <v>101</v>
      </c>
      <c r="C650" s="5">
        <v>57071</v>
      </c>
      <c r="D650" s="3" t="s">
        <v>53</v>
      </c>
      <c r="E650" s="16">
        <v>29.99</v>
      </c>
      <c r="F650" s="16">
        <v>12.66</v>
      </c>
      <c r="G650" s="36">
        <v>0</v>
      </c>
      <c r="H650" s="36">
        <v>0</v>
      </c>
      <c r="I650" s="36">
        <v>0</v>
      </c>
      <c r="J650" s="36">
        <v>0</v>
      </c>
      <c r="K650" s="36">
        <v>26.078260869565216</v>
      </c>
      <c r="L650" s="36">
        <v>1</v>
      </c>
      <c r="M650" s="36">
        <v>104.31304347826087</v>
      </c>
      <c r="N650" s="36">
        <v>4</v>
      </c>
    </row>
    <row r="651" spans="1:14" x14ac:dyDescent="0.35">
      <c r="A651" s="3" t="s">
        <v>14</v>
      </c>
      <c r="B651" s="4">
        <v>101</v>
      </c>
      <c r="C651" s="5">
        <v>57073</v>
      </c>
      <c r="D651" s="3" t="s">
        <v>21</v>
      </c>
      <c r="E651" s="16">
        <v>36.99</v>
      </c>
      <c r="F651" s="16">
        <v>16.05</v>
      </c>
      <c r="G651" s="36">
        <v>225.15652173913043</v>
      </c>
      <c r="H651" s="36">
        <v>7</v>
      </c>
      <c r="I651" s="36">
        <v>32.165217391304353</v>
      </c>
      <c r="J651" s="36">
        <v>1</v>
      </c>
      <c r="K651" s="36">
        <v>0</v>
      </c>
      <c r="L651" s="36">
        <v>0</v>
      </c>
      <c r="M651" s="36">
        <v>192.99130434782609</v>
      </c>
      <c r="N651" s="36">
        <v>6</v>
      </c>
    </row>
    <row r="652" spans="1:14" x14ac:dyDescent="0.35">
      <c r="A652" s="3" t="s">
        <v>14</v>
      </c>
      <c r="B652" s="4">
        <v>101</v>
      </c>
      <c r="C652" s="5">
        <v>57167</v>
      </c>
      <c r="D652" s="3" t="s">
        <v>32</v>
      </c>
      <c r="E652" s="16">
        <v>16.989999999999998</v>
      </c>
      <c r="F652" s="16">
        <v>7.4</v>
      </c>
      <c r="G652" s="36">
        <v>0</v>
      </c>
      <c r="H652" s="36">
        <v>0</v>
      </c>
      <c r="I652" s="36">
        <v>0</v>
      </c>
      <c r="J652" s="36">
        <v>0</v>
      </c>
      <c r="K652" s="36">
        <v>0</v>
      </c>
      <c r="L652" s="36">
        <v>0</v>
      </c>
      <c r="M652" s="36">
        <v>0</v>
      </c>
      <c r="N652" s="36">
        <v>0</v>
      </c>
    </row>
    <row r="653" spans="1:14" x14ac:dyDescent="0.35">
      <c r="A653" s="3" t="s">
        <v>317</v>
      </c>
      <c r="B653" s="4">
        <v>103</v>
      </c>
      <c r="C653" s="5">
        <v>57172</v>
      </c>
      <c r="D653" s="3" t="s">
        <v>856</v>
      </c>
      <c r="E653" s="16">
        <v>27.99</v>
      </c>
      <c r="F653" s="16">
        <v>16.675816666666666</v>
      </c>
      <c r="G653" s="36">
        <v>0</v>
      </c>
      <c r="H653" s="36">
        <v>0</v>
      </c>
      <c r="I653" s="36">
        <v>0</v>
      </c>
      <c r="J653" s="36">
        <v>0</v>
      </c>
      <c r="K653" s="36">
        <v>0</v>
      </c>
      <c r="L653" s="36">
        <v>0</v>
      </c>
      <c r="M653" s="36">
        <v>0</v>
      </c>
      <c r="N653" s="36">
        <v>0</v>
      </c>
    </row>
    <row r="654" spans="1:14" x14ac:dyDescent="0.35">
      <c r="A654" s="3" t="s">
        <v>317</v>
      </c>
      <c r="B654" s="4">
        <v>103</v>
      </c>
      <c r="C654" s="5">
        <v>57173</v>
      </c>
      <c r="D654" s="3" t="s">
        <v>857</v>
      </c>
      <c r="E654" s="16">
        <v>36.99</v>
      </c>
      <c r="F654" s="16">
        <v>22.251468750000001</v>
      </c>
      <c r="G654" s="36">
        <v>0</v>
      </c>
      <c r="H654" s="36">
        <v>0</v>
      </c>
      <c r="I654" s="36">
        <v>0</v>
      </c>
      <c r="J654" s="36">
        <v>0</v>
      </c>
      <c r="K654" s="36">
        <v>0</v>
      </c>
      <c r="L654" s="36">
        <v>0</v>
      </c>
      <c r="M654" s="36">
        <v>0</v>
      </c>
      <c r="N654" s="36">
        <v>0</v>
      </c>
    </row>
    <row r="655" spans="1:14" x14ac:dyDescent="0.35">
      <c r="A655" s="3" t="s">
        <v>404</v>
      </c>
      <c r="B655" s="4">
        <v>117</v>
      </c>
      <c r="C655" s="5">
        <v>58039</v>
      </c>
      <c r="D655" s="3" t="s">
        <v>405</v>
      </c>
      <c r="E655" s="16">
        <v>225</v>
      </c>
      <c r="F655" s="16">
        <v>114.99</v>
      </c>
      <c r="G655" s="36">
        <v>0</v>
      </c>
      <c r="H655" s="36">
        <v>0</v>
      </c>
      <c r="I655" s="36">
        <v>0</v>
      </c>
      <c r="J655" s="36">
        <v>0</v>
      </c>
      <c r="K655" s="36">
        <v>0</v>
      </c>
      <c r="L655" s="36">
        <v>0</v>
      </c>
      <c r="M655" s="36">
        <v>0</v>
      </c>
      <c r="N655" s="36">
        <v>0</v>
      </c>
    </row>
    <row r="656" spans="1:14" x14ac:dyDescent="0.35">
      <c r="A656" s="3" t="s">
        <v>14</v>
      </c>
      <c r="B656" s="4">
        <v>102</v>
      </c>
      <c r="C656" s="5">
        <v>58045</v>
      </c>
      <c r="D656" s="3" t="s">
        <v>181</v>
      </c>
      <c r="E656" s="16">
        <v>2.5</v>
      </c>
      <c r="F656" s="16">
        <v>1.29</v>
      </c>
      <c r="G656" s="36">
        <v>0</v>
      </c>
      <c r="H656" s="36">
        <v>0</v>
      </c>
      <c r="I656" s="36">
        <v>0</v>
      </c>
      <c r="J656" s="36">
        <v>0</v>
      </c>
      <c r="K656" s="36">
        <v>0</v>
      </c>
      <c r="L656" s="36">
        <v>0</v>
      </c>
      <c r="M656" s="36">
        <v>0</v>
      </c>
      <c r="N656" s="36">
        <v>0</v>
      </c>
    </row>
    <row r="657" spans="1:14" x14ac:dyDescent="0.35">
      <c r="A657" s="3" t="s">
        <v>107</v>
      </c>
      <c r="B657" s="4">
        <v>102</v>
      </c>
      <c r="C657" s="5">
        <v>58147</v>
      </c>
      <c r="D657" s="3" t="s">
        <v>146</v>
      </c>
      <c r="E657" s="16">
        <v>16.989999999999998</v>
      </c>
      <c r="F657" s="16">
        <v>7.99</v>
      </c>
      <c r="G657" s="36">
        <v>14.77391304347826</v>
      </c>
      <c r="H657" s="36">
        <v>1</v>
      </c>
      <c r="I657" s="36">
        <v>0</v>
      </c>
      <c r="J657" s="36">
        <v>0</v>
      </c>
      <c r="K657" s="36">
        <v>0</v>
      </c>
      <c r="L657" s="36">
        <v>0</v>
      </c>
      <c r="M657" s="36">
        <v>0</v>
      </c>
      <c r="N657" s="36">
        <v>0</v>
      </c>
    </row>
    <row r="658" spans="1:14" x14ac:dyDescent="0.35">
      <c r="A658" s="3" t="s">
        <v>359</v>
      </c>
      <c r="B658" s="4">
        <v>119</v>
      </c>
      <c r="C658" s="5">
        <v>58322</v>
      </c>
      <c r="D658" s="3" t="s">
        <v>406</v>
      </c>
      <c r="E658" s="16">
        <v>66.989999999999995</v>
      </c>
      <c r="F658" s="16">
        <v>36.58</v>
      </c>
      <c r="G658" s="36">
        <v>0</v>
      </c>
      <c r="H658" s="36">
        <v>0</v>
      </c>
      <c r="I658" s="36">
        <v>0</v>
      </c>
      <c r="J658" s="36">
        <v>0</v>
      </c>
      <c r="K658" s="36">
        <v>0</v>
      </c>
      <c r="L658" s="36">
        <v>0</v>
      </c>
      <c r="M658" s="36">
        <v>0</v>
      </c>
      <c r="N658" s="36">
        <v>0</v>
      </c>
    </row>
    <row r="659" spans="1:14" x14ac:dyDescent="0.35">
      <c r="A659" s="3" t="s">
        <v>804</v>
      </c>
      <c r="B659" s="4">
        <v>111</v>
      </c>
      <c r="C659" s="5">
        <v>58367</v>
      </c>
      <c r="D659" s="3" t="s">
        <v>858</v>
      </c>
      <c r="E659" s="16">
        <v>22.99</v>
      </c>
      <c r="F659" s="16">
        <v>15</v>
      </c>
      <c r="G659" s="36">
        <v>0</v>
      </c>
      <c r="H659" s="36">
        <v>0</v>
      </c>
      <c r="I659" s="36">
        <v>0</v>
      </c>
      <c r="J659" s="36">
        <v>0</v>
      </c>
      <c r="K659" s="36">
        <v>0</v>
      </c>
      <c r="L659" s="36">
        <v>0</v>
      </c>
      <c r="M659" s="36">
        <v>0</v>
      </c>
      <c r="N659" s="36">
        <v>0</v>
      </c>
    </row>
    <row r="660" spans="1:14" x14ac:dyDescent="0.35">
      <c r="A660" s="3" t="s">
        <v>14</v>
      </c>
      <c r="B660" s="4">
        <v>104</v>
      </c>
      <c r="C660" s="5">
        <v>58452</v>
      </c>
      <c r="D660" s="3" t="s">
        <v>242</v>
      </c>
      <c r="E660" s="16">
        <v>120</v>
      </c>
      <c r="F660" s="16">
        <v>58.51</v>
      </c>
      <c r="G660" s="36">
        <v>0</v>
      </c>
      <c r="H660" s="36">
        <v>0</v>
      </c>
      <c r="I660" s="36">
        <v>0</v>
      </c>
      <c r="J660" s="36">
        <v>0</v>
      </c>
      <c r="K660" s="36">
        <v>0</v>
      </c>
      <c r="L660" s="36">
        <v>0</v>
      </c>
      <c r="M660" s="36">
        <v>0</v>
      </c>
      <c r="N660" s="36">
        <v>0</v>
      </c>
    </row>
    <row r="661" spans="1:14" x14ac:dyDescent="0.35">
      <c r="A661" s="3" t="s">
        <v>14</v>
      </c>
      <c r="B661" s="4">
        <v>101</v>
      </c>
      <c r="C661" s="5">
        <v>58512</v>
      </c>
      <c r="D661" s="3" t="s">
        <v>30</v>
      </c>
      <c r="E661" s="16">
        <v>26.99</v>
      </c>
      <c r="F661" s="16">
        <v>10.66</v>
      </c>
      <c r="G661" s="36">
        <v>70.408695652173918</v>
      </c>
      <c r="H661" s="36">
        <v>3</v>
      </c>
      <c r="I661" s="36">
        <v>70.408695652173918</v>
      </c>
      <c r="J661" s="36">
        <v>3</v>
      </c>
      <c r="K661" s="36">
        <v>70.408695652173918</v>
      </c>
      <c r="L661" s="36">
        <v>3</v>
      </c>
      <c r="M661" s="36">
        <v>0</v>
      </c>
      <c r="N661" s="36">
        <v>0</v>
      </c>
    </row>
    <row r="662" spans="1:14" x14ac:dyDescent="0.35">
      <c r="A662" s="3" t="s">
        <v>14</v>
      </c>
      <c r="B662" s="4">
        <v>101</v>
      </c>
      <c r="C662" s="5">
        <v>58763</v>
      </c>
      <c r="D662" s="3" t="s">
        <v>78</v>
      </c>
      <c r="E662" s="16">
        <v>3.2</v>
      </c>
      <c r="F662" s="16">
        <v>1.62</v>
      </c>
      <c r="G662" s="36">
        <v>0</v>
      </c>
      <c r="H662" s="36">
        <v>0</v>
      </c>
      <c r="I662" s="36">
        <v>0</v>
      </c>
      <c r="J662" s="36">
        <v>0</v>
      </c>
      <c r="K662" s="36">
        <v>0</v>
      </c>
      <c r="L662" s="36">
        <v>0</v>
      </c>
      <c r="M662" s="36">
        <v>0</v>
      </c>
      <c r="N662" s="36">
        <v>0</v>
      </c>
    </row>
    <row r="663" spans="1:14" x14ac:dyDescent="0.35">
      <c r="A663" s="3" t="s">
        <v>14</v>
      </c>
      <c r="B663" s="4">
        <v>101</v>
      </c>
      <c r="C663" s="5">
        <v>58767</v>
      </c>
      <c r="D663" s="3" t="s">
        <v>27</v>
      </c>
      <c r="E663" s="16">
        <v>19.989999999999998</v>
      </c>
      <c r="F663" s="16">
        <v>7.04</v>
      </c>
      <c r="G663" s="36">
        <v>121.67826086956522</v>
      </c>
      <c r="H663" s="36">
        <v>7</v>
      </c>
      <c r="I663" s="36">
        <v>52.14782608695652</v>
      </c>
      <c r="J663" s="36">
        <v>3</v>
      </c>
      <c r="K663" s="36">
        <v>34.765217391304347</v>
      </c>
      <c r="L663" s="36">
        <v>2</v>
      </c>
      <c r="M663" s="36">
        <v>52.14782608695652</v>
      </c>
      <c r="N663" s="36">
        <v>3</v>
      </c>
    </row>
    <row r="664" spans="1:14" x14ac:dyDescent="0.35">
      <c r="A664" s="3" t="s">
        <v>317</v>
      </c>
      <c r="B664" s="4">
        <v>105</v>
      </c>
      <c r="C664" s="5">
        <v>58843</v>
      </c>
      <c r="D664" s="3" t="s">
        <v>511</v>
      </c>
      <c r="E664" s="16">
        <v>24.99</v>
      </c>
      <c r="F664" s="16">
        <v>15.529409999999999</v>
      </c>
      <c r="G664" s="36">
        <v>65.19130434782609</v>
      </c>
      <c r="H664" s="36">
        <v>3</v>
      </c>
      <c r="I664" s="36">
        <v>369.41739130434786</v>
      </c>
      <c r="J664" s="36">
        <v>17</v>
      </c>
      <c r="K664" s="36">
        <v>173.84347826086957</v>
      </c>
      <c r="L664" s="36">
        <v>8</v>
      </c>
      <c r="M664" s="36">
        <v>733.4</v>
      </c>
      <c r="N664" s="36">
        <v>35</v>
      </c>
    </row>
    <row r="665" spans="1:14" x14ac:dyDescent="0.35">
      <c r="A665" s="3" t="s">
        <v>359</v>
      </c>
      <c r="B665" s="4">
        <v>119</v>
      </c>
      <c r="C665" s="5">
        <v>58844</v>
      </c>
      <c r="D665" s="3" t="s">
        <v>407</v>
      </c>
      <c r="E665" s="16">
        <v>84.99</v>
      </c>
      <c r="F665" s="16">
        <v>45.3</v>
      </c>
      <c r="G665" s="36">
        <v>0</v>
      </c>
      <c r="H665" s="36">
        <v>0</v>
      </c>
      <c r="I665" s="36">
        <v>0</v>
      </c>
      <c r="J665" s="36">
        <v>0</v>
      </c>
      <c r="K665" s="36">
        <v>0</v>
      </c>
      <c r="L665" s="36">
        <v>0</v>
      </c>
      <c r="M665" s="36">
        <v>0</v>
      </c>
      <c r="N665" s="36">
        <v>0</v>
      </c>
    </row>
    <row r="666" spans="1:14" x14ac:dyDescent="0.35">
      <c r="A666" s="3" t="s">
        <v>14</v>
      </c>
      <c r="B666" s="4">
        <v>102</v>
      </c>
      <c r="C666" s="5">
        <v>59058</v>
      </c>
      <c r="D666" s="3" t="s">
        <v>135</v>
      </c>
      <c r="E666" s="16">
        <v>5.99</v>
      </c>
      <c r="F666" s="16">
        <v>3.1</v>
      </c>
      <c r="G666" s="36">
        <v>0</v>
      </c>
      <c r="H666" s="36">
        <v>0</v>
      </c>
      <c r="I666" s="36">
        <v>0</v>
      </c>
      <c r="J666" s="36">
        <v>0</v>
      </c>
      <c r="K666" s="36">
        <v>0</v>
      </c>
      <c r="L666" s="36">
        <v>0</v>
      </c>
      <c r="M666" s="36">
        <v>0</v>
      </c>
      <c r="N666" s="36">
        <v>0</v>
      </c>
    </row>
    <row r="667" spans="1:14" x14ac:dyDescent="0.35">
      <c r="A667" s="3" t="s">
        <v>14</v>
      </c>
      <c r="B667" s="4">
        <v>102</v>
      </c>
      <c r="C667" s="5">
        <v>59220</v>
      </c>
      <c r="D667" s="3" t="s">
        <v>163</v>
      </c>
      <c r="E667" s="16">
        <v>5.99</v>
      </c>
      <c r="F667" s="16">
        <v>3.1</v>
      </c>
      <c r="G667" s="36">
        <v>0</v>
      </c>
      <c r="H667" s="36">
        <v>0</v>
      </c>
      <c r="I667" s="36">
        <v>0</v>
      </c>
      <c r="J667" s="36">
        <v>0</v>
      </c>
      <c r="K667" s="36">
        <v>0</v>
      </c>
      <c r="L667" s="36">
        <v>0</v>
      </c>
      <c r="M667" s="36">
        <v>0</v>
      </c>
      <c r="N667" s="36">
        <v>0</v>
      </c>
    </row>
    <row r="668" spans="1:14" x14ac:dyDescent="0.35">
      <c r="A668" s="3" t="s">
        <v>14</v>
      </c>
      <c r="B668" s="4">
        <v>102</v>
      </c>
      <c r="C668" s="5">
        <v>59221</v>
      </c>
      <c r="D668" s="3" t="s">
        <v>158</v>
      </c>
      <c r="E668" s="16">
        <v>5.99</v>
      </c>
      <c r="F668" s="16">
        <v>3.1</v>
      </c>
      <c r="G668" s="36">
        <v>0</v>
      </c>
      <c r="H668" s="36">
        <v>0</v>
      </c>
      <c r="I668" s="36">
        <v>0</v>
      </c>
      <c r="J668" s="36">
        <v>0</v>
      </c>
      <c r="K668" s="36">
        <v>0</v>
      </c>
      <c r="L668" s="36">
        <v>0</v>
      </c>
      <c r="M668" s="36">
        <v>0</v>
      </c>
      <c r="N668" s="36">
        <v>0</v>
      </c>
    </row>
    <row r="669" spans="1:14" x14ac:dyDescent="0.35">
      <c r="A669" s="3" t="s">
        <v>14</v>
      </c>
      <c r="B669" s="4">
        <v>102</v>
      </c>
      <c r="C669" s="5">
        <v>59222</v>
      </c>
      <c r="D669" s="3" t="s">
        <v>178</v>
      </c>
      <c r="E669" s="16">
        <v>5.99</v>
      </c>
      <c r="F669" s="16">
        <v>3.1</v>
      </c>
      <c r="G669" s="36">
        <v>0</v>
      </c>
      <c r="H669" s="36">
        <v>0</v>
      </c>
      <c r="I669" s="36">
        <v>0</v>
      </c>
      <c r="J669" s="36">
        <v>0</v>
      </c>
      <c r="K669" s="36">
        <v>0</v>
      </c>
      <c r="L669" s="36">
        <v>0</v>
      </c>
      <c r="M669" s="36">
        <v>0</v>
      </c>
      <c r="N669" s="36">
        <v>0</v>
      </c>
    </row>
    <row r="670" spans="1:14" x14ac:dyDescent="0.35">
      <c r="A670" s="3" t="s">
        <v>14</v>
      </c>
      <c r="B670" s="4">
        <v>102</v>
      </c>
      <c r="C670" s="5">
        <v>59223</v>
      </c>
      <c r="D670" s="3" t="s">
        <v>179</v>
      </c>
      <c r="E670" s="16">
        <v>5.99</v>
      </c>
      <c r="F670" s="16">
        <v>3.1</v>
      </c>
      <c r="G670" s="36">
        <v>0</v>
      </c>
      <c r="H670" s="36">
        <v>0</v>
      </c>
      <c r="I670" s="36">
        <v>0</v>
      </c>
      <c r="J670" s="36">
        <v>0</v>
      </c>
      <c r="K670" s="36">
        <v>0</v>
      </c>
      <c r="L670" s="36">
        <v>0</v>
      </c>
      <c r="M670" s="36">
        <v>0</v>
      </c>
      <c r="N670" s="36">
        <v>0</v>
      </c>
    </row>
    <row r="671" spans="1:14" x14ac:dyDescent="0.35">
      <c r="A671" s="3" t="s">
        <v>371</v>
      </c>
      <c r="B671" s="4">
        <v>103</v>
      </c>
      <c r="C671" s="5">
        <v>59233</v>
      </c>
      <c r="D671" s="3" t="s">
        <v>700</v>
      </c>
      <c r="E671" s="16">
        <v>14.99</v>
      </c>
      <c r="F671" s="16">
        <v>7.9799999999999995</v>
      </c>
      <c r="G671" s="36">
        <v>13.034782608695652</v>
      </c>
      <c r="H671" s="36">
        <v>1</v>
      </c>
      <c r="I671" s="36">
        <v>26.069565217391304</v>
      </c>
      <c r="J671" s="36">
        <v>2</v>
      </c>
      <c r="K671" s="36">
        <v>0</v>
      </c>
      <c r="L671" s="36">
        <v>0</v>
      </c>
      <c r="M671" s="36">
        <v>26.069565217391304</v>
      </c>
      <c r="N671" s="36">
        <v>2</v>
      </c>
    </row>
    <row r="672" spans="1:14" x14ac:dyDescent="0.35">
      <c r="A672" s="3" t="s">
        <v>371</v>
      </c>
      <c r="B672" s="4">
        <v>103</v>
      </c>
      <c r="C672" s="5">
        <v>59234</v>
      </c>
      <c r="D672" s="3" t="s">
        <v>859</v>
      </c>
      <c r="E672" s="16">
        <v>223.99</v>
      </c>
      <c r="F672" s="16">
        <v>116.533</v>
      </c>
      <c r="G672" s="36">
        <v>0</v>
      </c>
      <c r="H672" s="36">
        <v>0</v>
      </c>
      <c r="I672" s="36">
        <v>0</v>
      </c>
      <c r="J672" s="36">
        <v>0</v>
      </c>
      <c r="K672" s="36">
        <v>0</v>
      </c>
      <c r="L672" s="36">
        <v>0</v>
      </c>
      <c r="M672" s="36">
        <v>0</v>
      </c>
      <c r="N672" s="36">
        <v>0</v>
      </c>
    </row>
    <row r="673" spans="1:14" x14ac:dyDescent="0.35">
      <c r="A673" s="3" t="s">
        <v>371</v>
      </c>
      <c r="B673" s="4">
        <v>119</v>
      </c>
      <c r="C673" s="5">
        <v>59235</v>
      </c>
      <c r="D673" s="3" t="s">
        <v>408</v>
      </c>
      <c r="E673" s="16">
        <v>330.99</v>
      </c>
      <c r="F673" s="16">
        <v>172.32300000000001</v>
      </c>
      <c r="G673" s="36">
        <v>0</v>
      </c>
      <c r="H673" s="36">
        <v>0</v>
      </c>
      <c r="I673" s="36">
        <v>0</v>
      </c>
      <c r="J673" s="36">
        <v>0</v>
      </c>
      <c r="K673" s="36">
        <v>0</v>
      </c>
      <c r="L673" s="36">
        <v>0</v>
      </c>
      <c r="M673" s="36">
        <v>0</v>
      </c>
      <c r="N673" s="36">
        <v>0</v>
      </c>
    </row>
    <row r="674" spans="1:14" x14ac:dyDescent="0.35">
      <c r="A674" s="3" t="s">
        <v>804</v>
      </c>
      <c r="B674" s="4">
        <v>111</v>
      </c>
      <c r="C674" s="5">
        <v>59267</v>
      </c>
      <c r="D674" s="3" t="s">
        <v>860</v>
      </c>
      <c r="E674" s="16">
        <v>22.99</v>
      </c>
      <c r="F674" s="16">
        <v>15</v>
      </c>
      <c r="G674" s="36">
        <v>0</v>
      </c>
      <c r="H674" s="36">
        <v>0</v>
      </c>
      <c r="I674" s="36">
        <v>0</v>
      </c>
      <c r="J674" s="36">
        <v>0</v>
      </c>
      <c r="K674" s="36">
        <v>0</v>
      </c>
      <c r="L674" s="36">
        <v>0</v>
      </c>
      <c r="M674" s="36">
        <v>0</v>
      </c>
      <c r="N674" s="36">
        <v>0</v>
      </c>
    </row>
    <row r="675" spans="1:14" x14ac:dyDescent="0.35">
      <c r="A675" s="3" t="s">
        <v>317</v>
      </c>
      <c r="B675" s="4">
        <v>101</v>
      </c>
      <c r="C675" s="5">
        <v>59274</v>
      </c>
      <c r="D675" s="3" t="s">
        <v>409</v>
      </c>
      <c r="E675" s="16">
        <v>21.99</v>
      </c>
      <c r="F675" s="16">
        <v>13.344114285714285</v>
      </c>
      <c r="G675" s="36">
        <v>0</v>
      </c>
      <c r="H675" s="36">
        <v>0</v>
      </c>
      <c r="I675" s="36">
        <v>0</v>
      </c>
      <c r="J675" s="36">
        <v>0</v>
      </c>
      <c r="K675" s="36">
        <v>0</v>
      </c>
      <c r="L675" s="36">
        <v>0</v>
      </c>
      <c r="M675" s="36">
        <v>19.121739130434783</v>
      </c>
      <c r="N675" s="36">
        <v>1</v>
      </c>
    </row>
    <row r="676" spans="1:14" x14ac:dyDescent="0.35">
      <c r="A676" s="3" t="s">
        <v>317</v>
      </c>
      <c r="B676" s="4">
        <v>103</v>
      </c>
      <c r="C676" s="5">
        <v>59293</v>
      </c>
      <c r="D676" s="3" t="s">
        <v>861</v>
      </c>
      <c r="E676" s="16">
        <v>513.04999999999995</v>
      </c>
      <c r="F676" s="16">
        <v>296.55169999999998</v>
      </c>
      <c r="G676" s="36">
        <v>0</v>
      </c>
      <c r="H676" s="36">
        <v>0</v>
      </c>
      <c r="I676" s="36">
        <v>0</v>
      </c>
      <c r="J676" s="36">
        <v>0</v>
      </c>
      <c r="K676" s="36">
        <v>0</v>
      </c>
      <c r="L676" s="36">
        <v>0</v>
      </c>
      <c r="M676" s="36">
        <v>0</v>
      </c>
      <c r="N676" s="36">
        <v>0</v>
      </c>
    </row>
    <row r="677" spans="1:14" x14ac:dyDescent="0.35">
      <c r="A677" s="3" t="s">
        <v>14</v>
      </c>
      <c r="B677" s="4">
        <v>101</v>
      </c>
      <c r="C677" s="5">
        <v>59381</v>
      </c>
      <c r="D677" s="3" t="s">
        <v>15</v>
      </c>
      <c r="E677" s="16">
        <v>13.99</v>
      </c>
      <c r="F677" s="16">
        <v>7.36</v>
      </c>
      <c r="G677" s="36">
        <v>1216.5217391304348</v>
      </c>
      <c r="H677" s="36">
        <v>100</v>
      </c>
      <c r="I677" s="36">
        <v>1094.8695652173913</v>
      </c>
      <c r="J677" s="36">
        <v>90</v>
      </c>
      <c r="K677" s="36">
        <v>1094.8608695652174</v>
      </c>
      <c r="L677" s="36">
        <v>91</v>
      </c>
      <c r="M677" s="36">
        <v>1204.3565217391304</v>
      </c>
      <c r="N677" s="36">
        <v>99</v>
      </c>
    </row>
    <row r="678" spans="1:14" x14ac:dyDescent="0.35">
      <c r="A678" s="3" t="s">
        <v>14</v>
      </c>
      <c r="B678" s="4">
        <v>101</v>
      </c>
      <c r="C678" s="5">
        <v>59425</v>
      </c>
      <c r="D678" s="3" t="s">
        <v>17</v>
      </c>
      <c r="E678" s="16">
        <v>10.99</v>
      </c>
      <c r="F678" s="16">
        <v>6.3</v>
      </c>
      <c r="G678" s="36">
        <v>659.4</v>
      </c>
      <c r="H678" s="36">
        <v>60</v>
      </c>
      <c r="I678" s="36">
        <v>0</v>
      </c>
      <c r="J678" s="36">
        <v>0</v>
      </c>
      <c r="K678" s="36">
        <v>259.36</v>
      </c>
      <c r="L678" s="36">
        <v>24</v>
      </c>
      <c r="M678" s="36">
        <v>164.85</v>
      </c>
      <c r="N678" s="36">
        <v>15</v>
      </c>
    </row>
    <row r="679" spans="1:14" x14ac:dyDescent="0.35">
      <c r="A679" s="3" t="s">
        <v>14</v>
      </c>
      <c r="B679" s="4">
        <v>102</v>
      </c>
      <c r="C679" s="5">
        <v>59477</v>
      </c>
      <c r="D679" s="3" t="s">
        <v>159</v>
      </c>
      <c r="E679" s="16">
        <v>5.99</v>
      </c>
      <c r="F679" s="16">
        <v>3.1</v>
      </c>
      <c r="G679" s="36">
        <v>0</v>
      </c>
      <c r="H679" s="36">
        <v>0</v>
      </c>
      <c r="I679" s="36">
        <v>10.417391304347827</v>
      </c>
      <c r="J679" s="36">
        <v>2</v>
      </c>
      <c r="K679" s="36">
        <v>20.834782608695654</v>
      </c>
      <c r="L679" s="36">
        <v>4</v>
      </c>
      <c r="M679" s="36">
        <v>15.626086956521739</v>
      </c>
      <c r="N679" s="36">
        <v>3</v>
      </c>
    </row>
    <row r="680" spans="1:14" x14ac:dyDescent="0.35">
      <c r="A680" s="3" t="s">
        <v>317</v>
      </c>
      <c r="B680" s="4">
        <v>111</v>
      </c>
      <c r="C680" s="5">
        <v>59896</v>
      </c>
      <c r="D680" s="3" t="s">
        <v>862</v>
      </c>
      <c r="E680" s="16">
        <v>194.99</v>
      </c>
      <c r="F680" s="16">
        <v>121.37896666666667</v>
      </c>
      <c r="G680" s="36">
        <v>0</v>
      </c>
      <c r="H680" s="36">
        <v>0</v>
      </c>
      <c r="I680" s="36">
        <v>0</v>
      </c>
      <c r="J680" s="36">
        <v>0</v>
      </c>
      <c r="K680" s="36">
        <v>0</v>
      </c>
      <c r="L680" s="36">
        <v>0</v>
      </c>
      <c r="M680" s="36">
        <v>0</v>
      </c>
      <c r="N680" s="36">
        <v>0</v>
      </c>
    </row>
    <row r="681" spans="1:14" x14ac:dyDescent="0.35">
      <c r="A681" s="3" t="s">
        <v>863</v>
      </c>
      <c r="B681" s="4">
        <v>109</v>
      </c>
      <c r="C681" s="5">
        <v>60075</v>
      </c>
      <c r="D681" s="3" t="s">
        <v>864</v>
      </c>
      <c r="E681" s="16">
        <v>59.99</v>
      </c>
      <c r="F681" s="16">
        <v>40.5</v>
      </c>
      <c r="G681" s="36">
        <v>0</v>
      </c>
      <c r="H681" s="36">
        <v>0</v>
      </c>
      <c r="I681" s="36">
        <v>0</v>
      </c>
      <c r="J681" s="36">
        <v>0</v>
      </c>
      <c r="K681" s="36">
        <v>0</v>
      </c>
      <c r="L681" s="36">
        <v>0</v>
      </c>
      <c r="M681" s="36">
        <v>0</v>
      </c>
      <c r="N681" s="36">
        <v>0</v>
      </c>
    </row>
    <row r="682" spans="1:14" x14ac:dyDescent="0.35">
      <c r="A682" s="3" t="s">
        <v>863</v>
      </c>
      <c r="B682" s="4">
        <v>109</v>
      </c>
      <c r="C682" s="5">
        <v>60076</v>
      </c>
      <c r="D682" s="3" t="s">
        <v>865</v>
      </c>
      <c r="E682" s="16">
        <v>49.99</v>
      </c>
      <c r="F682" s="16">
        <v>30.5</v>
      </c>
      <c r="G682" s="36">
        <v>0</v>
      </c>
      <c r="H682" s="36">
        <v>0</v>
      </c>
      <c r="I682" s="36">
        <v>0</v>
      </c>
      <c r="J682" s="36">
        <v>0</v>
      </c>
      <c r="K682" s="36">
        <v>0</v>
      </c>
      <c r="L682" s="36">
        <v>0</v>
      </c>
      <c r="M682" s="36">
        <v>0</v>
      </c>
      <c r="N682" s="36">
        <v>0</v>
      </c>
    </row>
    <row r="683" spans="1:14" x14ac:dyDescent="0.35">
      <c r="A683" s="3" t="s">
        <v>863</v>
      </c>
      <c r="B683" s="4">
        <v>109</v>
      </c>
      <c r="C683" s="5">
        <v>60080</v>
      </c>
      <c r="D683" s="3" t="s">
        <v>866</v>
      </c>
      <c r="E683" s="16">
        <v>29.99</v>
      </c>
      <c r="F683" s="16">
        <v>16.8</v>
      </c>
      <c r="G683" s="36">
        <v>0</v>
      </c>
      <c r="H683" s="36">
        <v>0</v>
      </c>
      <c r="I683" s="36">
        <v>0</v>
      </c>
      <c r="J683" s="36">
        <v>0</v>
      </c>
      <c r="K683" s="36">
        <v>0</v>
      </c>
      <c r="L683" s="36">
        <v>0</v>
      </c>
      <c r="M683" s="36">
        <v>0</v>
      </c>
      <c r="N683" s="36">
        <v>0</v>
      </c>
    </row>
    <row r="684" spans="1:14" x14ac:dyDescent="0.35">
      <c r="A684" s="3" t="s">
        <v>317</v>
      </c>
      <c r="B684" s="4">
        <v>107</v>
      </c>
      <c r="C684" s="5">
        <v>60390</v>
      </c>
      <c r="D684" s="3" t="s">
        <v>867</v>
      </c>
      <c r="E684" s="16">
        <v>199.99</v>
      </c>
      <c r="F684" s="16">
        <v>126.1682</v>
      </c>
      <c r="G684" s="36">
        <v>0</v>
      </c>
      <c r="H684" s="36">
        <v>0</v>
      </c>
      <c r="I684" s="36">
        <v>0</v>
      </c>
      <c r="J684" s="36">
        <v>0</v>
      </c>
      <c r="K684" s="36">
        <v>0</v>
      </c>
      <c r="L684" s="36">
        <v>0</v>
      </c>
      <c r="M684" s="36">
        <v>0</v>
      </c>
      <c r="N684" s="36">
        <v>0</v>
      </c>
    </row>
    <row r="685" spans="1:14" x14ac:dyDescent="0.35">
      <c r="A685" s="3" t="s">
        <v>317</v>
      </c>
      <c r="B685" s="4">
        <v>107</v>
      </c>
      <c r="C685" s="5">
        <v>60391</v>
      </c>
      <c r="D685" s="3" t="s">
        <v>868</v>
      </c>
      <c r="E685" s="16">
        <v>199.99</v>
      </c>
      <c r="F685" s="16">
        <v>126.16755000000001</v>
      </c>
      <c r="G685" s="36">
        <v>0</v>
      </c>
      <c r="H685" s="36">
        <v>0</v>
      </c>
      <c r="I685" s="36">
        <v>0</v>
      </c>
      <c r="J685" s="36">
        <v>0</v>
      </c>
      <c r="K685" s="36">
        <v>0</v>
      </c>
      <c r="L685" s="36">
        <v>0</v>
      </c>
      <c r="M685" s="36">
        <v>0</v>
      </c>
      <c r="N685" s="36">
        <v>0</v>
      </c>
    </row>
    <row r="686" spans="1:14" x14ac:dyDescent="0.35">
      <c r="A686" s="3" t="s">
        <v>317</v>
      </c>
      <c r="B686" s="4">
        <v>107</v>
      </c>
      <c r="C686" s="5">
        <v>60392</v>
      </c>
      <c r="D686" s="3" t="s">
        <v>869</v>
      </c>
      <c r="E686" s="16">
        <v>199.99</v>
      </c>
      <c r="F686" s="16">
        <v>126.1682</v>
      </c>
      <c r="G686" s="36">
        <v>0</v>
      </c>
      <c r="H686" s="36">
        <v>0</v>
      </c>
      <c r="I686" s="36">
        <v>0</v>
      </c>
      <c r="J686" s="36">
        <v>0</v>
      </c>
      <c r="K686" s="36">
        <v>0</v>
      </c>
      <c r="L686" s="36">
        <v>0</v>
      </c>
      <c r="M686" s="36">
        <v>0</v>
      </c>
      <c r="N686" s="36">
        <v>0</v>
      </c>
    </row>
    <row r="687" spans="1:14" x14ac:dyDescent="0.35">
      <c r="A687" s="3" t="s">
        <v>317</v>
      </c>
      <c r="B687" s="4">
        <v>107</v>
      </c>
      <c r="C687" s="5">
        <v>60393</v>
      </c>
      <c r="D687" s="3" t="s">
        <v>870</v>
      </c>
      <c r="E687" s="16">
        <v>199.99</v>
      </c>
      <c r="F687" s="16">
        <v>126.1682</v>
      </c>
      <c r="G687" s="36">
        <v>0</v>
      </c>
      <c r="H687" s="36">
        <v>0</v>
      </c>
      <c r="I687" s="36">
        <v>0</v>
      </c>
      <c r="J687" s="36">
        <v>0</v>
      </c>
      <c r="K687" s="36">
        <v>0</v>
      </c>
      <c r="L687" s="36">
        <v>0</v>
      </c>
      <c r="M687" s="36">
        <v>0</v>
      </c>
      <c r="N687" s="36">
        <v>0</v>
      </c>
    </row>
    <row r="688" spans="1:14" x14ac:dyDescent="0.35">
      <c r="A688" s="3" t="s">
        <v>317</v>
      </c>
      <c r="B688" s="4">
        <v>107</v>
      </c>
      <c r="C688" s="5">
        <v>60394</v>
      </c>
      <c r="D688" s="3" t="s">
        <v>871</v>
      </c>
      <c r="E688" s="16">
        <v>199.99</v>
      </c>
      <c r="F688" s="16">
        <v>126.16755000000001</v>
      </c>
      <c r="G688" s="36">
        <v>0</v>
      </c>
      <c r="H688" s="36">
        <v>0</v>
      </c>
      <c r="I688" s="36">
        <v>0</v>
      </c>
      <c r="J688" s="36">
        <v>0</v>
      </c>
      <c r="K688" s="36">
        <v>0</v>
      </c>
      <c r="L688" s="36">
        <v>0</v>
      </c>
      <c r="M688" s="36">
        <v>0</v>
      </c>
      <c r="N688" s="36">
        <v>0</v>
      </c>
    </row>
    <row r="689" spans="1:14" x14ac:dyDescent="0.35">
      <c r="A689" s="3" t="s">
        <v>14</v>
      </c>
      <c r="B689" s="4">
        <v>119</v>
      </c>
      <c r="C689" s="5">
        <v>60694</v>
      </c>
      <c r="D689" s="3" t="s">
        <v>269</v>
      </c>
      <c r="E689" s="16">
        <v>160</v>
      </c>
      <c r="F689" s="16">
        <v>106.8</v>
      </c>
      <c r="G689" s="36">
        <v>0</v>
      </c>
      <c r="H689" s="36">
        <v>0</v>
      </c>
      <c r="I689" s="36">
        <v>0</v>
      </c>
      <c r="J689" s="36">
        <v>0</v>
      </c>
      <c r="K689" s="36">
        <v>0</v>
      </c>
      <c r="L689" s="36">
        <v>0</v>
      </c>
      <c r="M689" s="36">
        <v>0</v>
      </c>
      <c r="N689" s="36">
        <v>0</v>
      </c>
    </row>
    <row r="690" spans="1:14" x14ac:dyDescent="0.35">
      <c r="A690" s="3" t="s">
        <v>724</v>
      </c>
      <c r="B690" s="4">
        <v>112</v>
      </c>
      <c r="C690" s="5">
        <v>60730</v>
      </c>
      <c r="D690" s="3" t="s">
        <v>872</v>
      </c>
      <c r="E690" s="16">
        <v>64.989999999999995</v>
      </c>
      <c r="F690" s="16">
        <v>40.121699999999997</v>
      </c>
      <c r="G690" s="36">
        <v>0</v>
      </c>
      <c r="H690" s="36">
        <v>0</v>
      </c>
      <c r="I690" s="36">
        <v>0</v>
      </c>
      <c r="J690" s="36">
        <v>0</v>
      </c>
      <c r="K690" s="36">
        <v>0</v>
      </c>
      <c r="L690" s="36">
        <v>0</v>
      </c>
      <c r="M690" s="36">
        <v>0</v>
      </c>
      <c r="N690" s="36">
        <v>0</v>
      </c>
    </row>
    <row r="691" spans="1:14" x14ac:dyDescent="0.35">
      <c r="A691" s="3" t="s">
        <v>371</v>
      </c>
      <c r="B691" s="4">
        <v>103</v>
      </c>
      <c r="C691" s="5">
        <v>60811</v>
      </c>
      <c r="D691" s="3" t="s">
        <v>873</v>
      </c>
      <c r="E691" s="16">
        <v>3</v>
      </c>
      <c r="F691" s="16">
        <v>1.59</v>
      </c>
      <c r="G691" s="36">
        <v>0</v>
      </c>
      <c r="H691" s="36">
        <v>0</v>
      </c>
      <c r="I691" s="36">
        <v>0</v>
      </c>
      <c r="J691" s="36">
        <v>0</v>
      </c>
      <c r="K691" s="36">
        <v>10.434782608695652</v>
      </c>
      <c r="L691" s="36">
        <v>4</v>
      </c>
      <c r="M691" s="36">
        <v>0</v>
      </c>
      <c r="N691" s="36">
        <v>0</v>
      </c>
    </row>
    <row r="692" spans="1:14" x14ac:dyDescent="0.35">
      <c r="A692" s="3" t="s">
        <v>371</v>
      </c>
      <c r="B692" s="4">
        <v>119</v>
      </c>
      <c r="C692" s="5">
        <v>60812</v>
      </c>
      <c r="D692" s="3" t="s">
        <v>410</v>
      </c>
      <c r="E692" s="16">
        <v>14</v>
      </c>
      <c r="F692" s="16">
        <v>5.5296250000000002</v>
      </c>
      <c r="G692" s="36">
        <v>0</v>
      </c>
      <c r="H692" s="36">
        <v>0</v>
      </c>
      <c r="I692" s="36">
        <v>0</v>
      </c>
      <c r="J692" s="36">
        <v>0</v>
      </c>
      <c r="K692" s="36">
        <v>0</v>
      </c>
      <c r="L692" s="36">
        <v>0</v>
      </c>
      <c r="M692" s="36">
        <v>0</v>
      </c>
      <c r="N692" s="36">
        <v>0</v>
      </c>
    </row>
    <row r="693" spans="1:14" x14ac:dyDescent="0.35">
      <c r="A693" s="3" t="s">
        <v>371</v>
      </c>
      <c r="B693" s="4">
        <v>103</v>
      </c>
      <c r="C693" s="5">
        <v>60813</v>
      </c>
      <c r="D693" s="3" t="s">
        <v>874</v>
      </c>
      <c r="E693" s="16">
        <v>12.99</v>
      </c>
      <c r="F693" s="16">
        <v>6.8199999999999994</v>
      </c>
      <c r="G693" s="36">
        <v>79.069565217391315</v>
      </c>
      <c r="H693" s="36">
        <v>7</v>
      </c>
      <c r="I693" s="36">
        <v>45.182608695652178</v>
      </c>
      <c r="J693" s="36">
        <v>4</v>
      </c>
      <c r="K693" s="36">
        <v>33.88695652173913</v>
      </c>
      <c r="L693" s="36">
        <v>3</v>
      </c>
      <c r="M693" s="36">
        <v>22.591304347826089</v>
      </c>
      <c r="N693" s="36">
        <v>2</v>
      </c>
    </row>
    <row r="694" spans="1:14" x14ac:dyDescent="0.35">
      <c r="A694" s="3" t="s">
        <v>14</v>
      </c>
      <c r="B694" s="4">
        <v>101</v>
      </c>
      <c r="C694" s="5">
        <v>60832</v>
      </c>
      <c r="D694" s="3" t="s">
        <v>41</v>
      </c>
      <c r="E694" s="16">
        <v>10</v>
      </c>
      <c r="F694" s="16">
        <v>7.36</v>
      </c>
      <c r="G694" s="36">
        <v>0</v>
      </c>
      <c r="H694" s="36">
        <v>0</v>
      </c>
      <c r="I694" s="36">
        <v>0</v>
      </c>
      <c r="J694" s="36">
        <v>0</v>
      </c>
      <c r="K694" s="36">
        <v>0</v>
      </c>
      <c r="L694" s="36">
        <v>0</v>
      </c>
      <c r="M694" s="36">
        <v>0</v>
      </c>
      <c r="N694" s="36">
        <v>0</v>
      </c>
    </row>
    <row r="695" spans="1:14" x14ac:dyDescent="0.35">
      <c r="A695" s="3" t="s">
        <v>371</v>
      </c>
      <c r="B695" s="4">
        <v>119</v>
      </c>
      <c r="C695" s="5">
        <v>60841</v>
      </c>
      <c r="D695" s="3" t="s">
        <v>411</v>
      </c>
      <c r="E695" s="16">
        <v>12</v>
      </c>
      <c r="F695" s="16">
        <v>5.88</v>
      </c>
      <c r="G695" s="36">
        <v>0</v>
      </c>
      <c r="H695" s="36">
        <v>0</v>
      </c>
      <c r="I695" s="36">
        <v>0</v>
      </c>
      <c r="J695" s="36">
        <v>0</v>
      </c>
      <c r="K695" s="36">
        <v>0</v>
      </c>
      <c r="L695" s="36">
        <v>0</v>
      </c>
      <c r="M695" s="36">
        <v>0</v>
      </c>
      <c r="N695" s="36">
        <v>0</v>
      </c>
    </row>
    <row r="696" spans="1:14" x14ac:dyDescent="0.35">
      <c r="A696" s="3" t="s">
        <v>317</v>
      </c>
      <c r="B696" s="4">
        <v>111</v>
      </c>
      <c r="C696" s="5">
        <v>60956</v>
      </c>
      <c r="D696" s="3" t="s">
        <v>875</v>
      </c>
      <c r="E696" s="16">
        <v>37.99</v>
      </c>
      <c r="F696" s="16">
        <v>23.431950000000001</v>
      </c>
      <c r="G696" s="36">
        <v>0</v>
      </c>
      <c r="H696" s="36">
        <v>0</v>
      </c>
      <c r="I696" s="36">
        <v>0</v>
      </c>
      <c r="J696" s="36">
        <v>0</v>
      </c>
      <c r="K696" s="36">
        <v>0</v>
      </c>
      <c r="L696" s="36">
        <v>0</v>
      </c>
      <c r="M696" s="36">
        <v>0</v>
      </c>
      <c r="N696" s="36">
        <v>0</v>
      </c>
    </row>
    <row r="697" spans="1:14" x14ac:dyDescent="0.35">
      <c r="A697" s="3" t="s">
        <v>14</v>
      </c>
      <c r="B697" s="4">
        <v>102</v>
      </c>
      <c r="C697" s="5">
        <v>61014</v>
      </c>
      <c r="D697" s="3" t="s">
        <v>169</v>
      </c>
      <c r="E697" s="16">
        <v>5.99</v>
      </c>
      <c r="F697" s="16">
        <v>3.1</v>
      </c>
      <c r="G697" s="36">
        <v>0</v>
      </c>
      <c r="H697" s="36">
        <v>0</v>
      </c>
      <c r="I697" s="36">
        <v>0</v>
      </c>
      <c r="J697" s="36">
        <v>0</v>
      </c>
      <c r="K697" s="36">
        <v>0</v>
      </c>
      <c r="L697" s="36">
        <v>0</v>
      </c>
      <c r="M697" s="36">
        <v>0</v>
      </c>
      <c r="N697" s="36">
        <v>0</v>
      </c>
    </row>
    <row r="698" spans="1:14" x14ac:dyDescent="0.35">
      <c r="A698" s="3" t="s">
        <v>14</v>
      </c>
      <c r="B698" s="4">
        <v>101</v>
      </c>
      <c r="C698" s="5">
        <v>61018</v>
      </c>
      <c r="D698" s="3" t="s">
        <v>82</v>
      </c>
      <c r="E698" s="16">
        <v>4</v>
      </c>
      <c r="F698" s="16">
        <v>2.2599999999999998</v>
      </c>
      <c r="G698" s="36">
        <v>0</v>
      </c>
      <c r="H698" s="36">
        <v>0</v>
      </c>
      <c r="I698" s="36">
        <v>0</v>
      </c>
      <c r="J698" s="36">
        <v>0</v>
      </c>
      <c r="K698" s="36">
        <v>0</v>
      </c>
      <c r="L698" s="36">
        <v>0</v>
      </c>
      <c r="M698" s="36">
        <v>0</v>
      </c>
      <c r="N698" s="36">
        <v>0</v>
      </c>
    </row>
    <row r="699" spans="1:14" x14ac:dyDescent="0.35">
      <c r="A699" s="3" t="s">
        <v>371</v>
      </c>
      <c r="B699" s="4">
        <v>119</v>
      </c>
      <c r="C699" s="5">
        <v>61053</v>
      </c>
      <c r="D699" s="3" t="s">
        <v>412</v>
      </c>
      <c r="E699" s="16">
        <v>16.989999999999998</v>
      </c>
      <c r="F699" s="16">
        <v>10.011607142857143</v>
      </c>
      <c r="G699" s="36">
        <v>0</v>
      </c>
      <c r="H699" s="36">
        <v>0</v>
      </c>
      <c r="I699" s="36">
        <v>0</v>
      </c>
      <c r="J699" s="36">
        <v>0</v>
      </c>
      <c r="K699" s="36">
        <v>0</v>
      </c>
      <c r="L699" s="36">
        <v>0</v>
      </c>
      <c r="M699" s="36">
        <v>0</v>
      </c>
      <c r="N699" s="36">
        <v>0</v>
      </c>
    </row>
    <row r="700" spans="1:14" x14ac:dyDescent="0.35">
      <c r="A700" s="3" t="s">
        <v>413</v>
      </c>
      <c r="B700" s="4">
        <v>117</v>
      </c>
      <c r="C700" s="5">
        <v>61102</v>
      </c>
      <c r="D700" s="3" t="s">
        <v>414</v>
      </c>
      <c r="E700" s="16">
        <v>61.99</v>
      </c>
      <c r="F700" s="16">
        <v>29.52</v>
      </c>
      <c r="G700" s="36">
        <v>0</v>
      </c>
      <c r="H700" s="36">
        <v>0</v>
      </c>
      <c r="I700" s="36">
        <v>0</v>
      </c>
      <c r="J700" s="36">
        <v>0</v>
      </c>
      <c r="K700" s="36">
        <v>0</v>
      </c>
      <c r="L700" s="36">
        <v>0</v>
      </c>
      <c r="M700" s="36">
        <v>0</v>
      </c>
      <c r="N700" s="36">
        <v>0</v>
      </c>
    </row>
    <row r="701" spans="1:14" x14ac:dyDescent="0.35">
      <c r="A701" s="3" t="s">
        <v>876</v>
      </c>
      <c r="B701" s="4">
        <v>104</v>
      </c>
      <c r="C701" s="5">
        <v>61185</v>
      </c>
      <c r="D701" s="3" t="s">
        <v>877</v>
      </c>
      <c r="E701" s="16">
        <v>26.99</v>
      </c>
      <c r="F701" s="16">
        <v>16.5</v>
      </c>
      <c r="G701" s="36">
        <v>0</v>
      </c>
      <c r="H701" s="36">
        <v>0</v>
      </c>
      <c r="I701" s="36">
        <v>0</v>
      </c>
      <c r="J701" s="36">
        <v>0</v>
      </c>
      <c r="K701" s="36">
        <v>0</v>
      </c>
      <c r="L701" s="36">
        <v>0</v>
      </c>
      <c r="M701" s="36">
        <v>0</v>
      </c>
      <c r="N701" s="36">
        <v>0</v>
      </c>
    </row>
    <row r="702" spans="1:14" x14ac:dyDescent="0.35">
      <c r="A702" s="3" t="s">
        <v>876</v>
      </c>
      <c r="B702" s="4">
        <v>104</v>
      </c>
      <c r="C702" s="5">
        <v>61186</v>
      </c>
      <c r="D702" s="3" t="s">
        <v>878</v>
      </c>
      <c r="E702" s="16">
        <v>17.989999999999998</v>
      </c>
      <c r="F702" s="16">
        <v>10.5</v>
      </c>
      <c r="G702" s="36">
        <v>0</v>
      </c>
      <c r="H702" s="36">
        <v>0</v>
      </c>
      <c r="I702" s="36">
        <v>0</v>
      </c>
      <c r="J702" s="36">
        <v>0</v>
      </c>
      <c r="K702" s="36">
        <v>0</v>
      </c>
      <c r="L702" s="36">
        <v>0</v>
      </c>
      <c r="M702" s="36">
        <v>0</v>
      </c>
      <c r="N702" s="36">
        <v>0</v>
      </c>
    </row>
    <row r="703" spans="1:14" x14ac:dyDescent="0.35">
      <c r="A703" s="3" t="s">
        <v>876</v>
      </c>
      <c r="B703" s="4">
        <v>104</v>
      </c>
      <c r="C703" s="5">
        <v>61187</v>
      </c>
      <c r="D703" s="3" t="s">
        <v>879</v>
      </c>
      <c r="E703" s="16">
        <v>26.99</v>
      </c>
      <c r="F703" s="16">
        <v>16.5</v>
      </c>
      <c r="G703" s="36">
        <v>0</v>
      </c>
      <c r="H703" s="36">
        <v>0</v>
      </c>
      <c r="I703" s="36">
        <v>0</v>
      </c>
      <c r="J703" s="36">
        <v>0</v>
      </c>
      <c r="K703" s="36">
        <v>0</v>
      </c>
      <c r="L703" s="36">
        <v>0</v>
      </c>
      <c r="M703" s="36">
        <v>0</v>
      </c>
      <c r="N703" s="36">
        <v>0</v>
      </c>
    </row>
    <row r="704" spans="1:14" x14ac:dyDescent="0.35">
      <c r="A704" s="3" t="s">
        <v>876</v>
      </c>
      <c r="B704" s="4">
        <v>104</v>
      </c>
      <c r="C704" s="5">
        <v>61188</v>
      </c>
      <c r="D704" s="3" t="s">
        <v>880</v>
      </c>
      <c r="E704" s="16">
        <v>13.99</v>
      </c>
      <c r="F704" s="16">
        <v>1.4</v>
      </c>
      <c r="G704" s="36">
        <v>0</v>
      </c>
      <c r="H704" s="36">
        <v>0</v>
      </c>
      <c r="I704" s="36">
        <v>0</v>
      </c>
      <c r="J704" s="36">
        <v>0</v>
      </c>
      <c r="K704" s="36">
        <v>0</v>
      </c>
      <c r="L704" s="36">
        <v>0</v>
      </c>
      <c r="M704" s="36">
        <v>0</v>
      </c>
      <c r="N704" s="36">
        <v>0</v>
      </c>
    </row>
    <row r="705" spans="1:14" x14ac:dyDescent="0.35">
      <c r="A705" s="3" t="s">
        <v>876</v>
      </c>
      <c r="B705" s="4">
        <v>104</v>
      </c>
      <c r="C705" s="5">
        <v>61189</v>
      </c>
      <c r="D705" s="3" t="s">
        <v>881</v>
      </c>
      <c r="E705" s="16">
        <v>13.99</v>
      </c>
      <c r="F705" s="16">
        <v>1.4</v>
      </c>
      <c r="G705" s="36">
        <v>0</v>
      </c>
      <c r="H705" s="36">
        <v>0</v>
      </c>
      <c r="I705" s="36">
        <v>0</v>
      </c>
      <c r="J705" s="36">
        <v>0</v>
      </c>
      <c r="K705" s="36">
        <v>0</v>
      </c>
      <c r="L705" s="36">
        <v>0</v>
      </c>
      <c r="M705" s="36">
        <v>0</v>
      </c>
      <c r="N705" s="36">
        <v>0</v>
      </c>
    </row>
    <row r="706" spans="1:14" x14ac:dyDescent="0.35">
      <c r="A706" s="3" t="s">
        <v>876</v>
      </c>
      <c r="B706" s="4">
        <v>104</v>
      </c>
      <c r="C706" s="5">
        <v>61190</v>
      </c>
      <c r="D706" s="3" t="s">
        <v>882</v>
      </c>
      <c r="E706" s="16">
        <v>13.99</v>
      </c>
      <c r="F706" s="16">
        <v>1.4</v>
      </c>
      <c r="G706" s="36">
        <v>0</v>
      </c>
      <c r="H706" s="36">
        <v>0</v>
      </c>
      <c r="I706" s="36">
        <v>0</v>
      </c>
      <c r="J706" s="36">
        <v>0</v>
      </c>
      <c r="K706" s="36">
        <v>0</v>
      </c>
      <c r="L706" s="36">
        <v>0</v>
      </c>
      <c r="M706" s="36">
        <v>0</v>
      </c>
      <c r="N706" s="36">
        <v>0</v>
      </c>
    </row>
    <row r="707" spans="1:14" x14ac:dyDescent="0.35">
      <c r="A707" s="3" t="s">
        <v>371</v>
      </c>
      <c r="B707" s="4">
        <v>119</v>
      </c>
      <c r="C707" s="5">
        <v>61337</v>
      </c>
      <c r="D707" s="3" t="s">
        <v>415</v>
      </c>
      <c r="E707" s="16">
        <v>3.49</v>
      </c>
      <c r="F707" s="16">
        <v>1.8360000000000001</v>
      </c>
      <c r="G707" s="36">
        <v>0</v>
      </c>
      <c r="H707" s="36">
        <v>0</v>
      </c>
      <c r="I707" s="36">
        <v>0</v>
      </c>
      <c r="J707" s="36">
        <v>0</v>
      </c>
      <c r="K707" s="36">
        <v>0</v>
      </c>
      <c r="L707" s="36">
        <v>0</v>
      </c>
      <c r="M707" s="36">
        <v>0</v>
      </c>
      <c r="N707" s="36">
        <v>0</v>
      </c>
    </row>
    <row r="708" spans="1:14" x14ac:dyDescent="0.35">
      <c r="A708" s="3" t="s">
        <v>317</v>
      </c>
      <c r="B708" s="4">
        <v>101</v>
      </c>
      <c r="C708" s="5">
        <v>61657</v>
      </c>
      <c r="D708" s="3" t="s">
        <v>416</v>
      </c>
      <c r="E708" s="16">
        <v>159.99</v>
      </c>
      <c r="F708" s="16">
        <v>104.60464999999999</v>
      </c>
      <c r="G708" s="36">
        <v>0</v>
      </c>
      <c r="H708" s="36">
        <v>0</v>
      </c>
      <c r="I708" s="36">
        <v>0</v>
      </c>
      <c r="J708" s="36">
        <v>0</v>
      </c>
      <c r="K708" s="36">
        <v>0</v>
      </c>
      <c r="L708" s="36">
        <v>0</v>
      </c>
      <c r="M708" s="36">
        <v>0</v>
      </c>
      <c r="N708" s="36">
        <v>0</v>
      </c>
    </row>
    <row r="709" spans="1:14" x14ac:dyDescent="0.35">
      <c r="A709" s="3" t="s">
        <v>317</v>
      </c>
      <c r="B709" s="4">
        <v>101</v>
      </c>
      <c r="C709" s="5">
        <v>61658</v>
      </c>
      <c r="D709" s="3" t="s">
        <v>417</v>
      </c>
      <c r="E709" s="16">
        <v>189.99</v>
      </c>
      <c r="F709" s="16">
        <v>125.01445000000001</v>
      </c>
      <c r="G709" s="36">
        <v>0</v>
      </c>
      <c r="H709" s="36">
        <v>0</v>
      </c>
      <c r="I709" s="36">
        <v>0</v>
      </c>
      <c r="J709" s="36">
        <v>0</v>
      </c>
      <c r="K709" s="36">
        <v>0</v>
      </c>
      <c r="L709" s="36">
        <v>0</v>
      </c>
      <c r="M709" s="36">
        <v>0</v>
      </c>
      <c r="N709" s="36">
        <v>0</v>
      </c>
    </row>
    <row r="710" spans="1:14" x14ac:dyDescent="0.35">
      <c r="A710" s="3" t="s">
        <v>317</v>
      </c>
      <c r="B710" s="4">
        <v>101</v>
      </c>
      <c r="C710" s="5">
        <v>61659</v>
      </c>
      <c r="D710" s="3" t="s">
        <v>418</v>
      </c>
      <c r="E710" s="16">
        <v>79.989999999999995</v>
      </c>
      <c r="F710" s="16">
        <v>32.823656249999999</v>
      </c>
      <c r="G710" s="36">
        <v>0</v>
      </c>
      <c r="H710" s="36">
        <v>0</v>
      </c>
      <c r="I710" s="36">
        <v>0</v>
      </c>
      <c r="J710" s="36">
        <v>0</v>
      </c>
      <c r="K710" s="36">
        <v>0</v>
      </c>
      <c r="L710" s="36">
        <v>0</v>
      </c>
      <c r="M710" s="36">
        <v>0</v>
      </c>
      <c r="N710" s="36">
        <v>0</v>
      </c>
    </row>
    <row r="711" spans="1:14" x14ac:dyDescent="0.35">
      <c r="A711" s="3" t="s">
        <v>724</v>
      </c>
      <c r="B711" s="4">
        <v>112</v>
      </c>
      <c r="C711" s="5">
        <v>61784</v>
      </c>
      <c r="D711" s="3" t="s">
        <v>883</v>
      </c>
      <c r="E711" s="16">
        <v>139.99</v>
      </c>
      <c r="F711" s="16">
        <v>86.426100000000005</v>
      </c>
      <c r="G711" s="36">
        <v>0</v>
      </c>
      <c r="H711" s="36">
        <v>0</v>
      </c>
      <c r="I711" s="36">
        <v>0</v>
      </c>
      <c r="J711" s="36">
        <v>0</v>
      </c>
      <c r="K711" s="36">
        <v>0</v>
      </c>
      <c r="L711" s="36">
        <v>0</v>
      </c>
      <c r="M711" s="36">
        <v>0</v>
      </c>
      <c r="N711" s="36">
        <v>0</v>
      </c>
    </row>
    <row r="712" spans="1:14" x14ac:dyDescent="0.35">
      <c r="A712" s="3" t="s">
        <v>317</v>
      </c>
      <c r="B712" s="4">
        <v>107</v>
      </c>
      <c r="C712" s="5">
        <v>61786</v>
      </c>
      <c r="D712" s="3" t="s">
        <v>884</v>
      </c>
      <c r="E712" s="16">
        <v>21.99</v>
      </c>
      <c r="F712" s="16">
        <v>13.11445</v>
      </c>
      <c r="G712" s="36">
        <v>0</v>
      </c>
      <c r="H712" s="36">
        <v>0</v>
      </c>
      <c r="I712" s="36">
        <v>57.365217391304348</v>
      </c>
      <c r="J712" s="36">
        <v>3</v>
      </c>
      <c r="K712" s="36">
        <v>37.286956521739128</v>
      </c>
      <c r="L712" s="36">
        <v>2</v>
      </c>
      <c r="M712" s="36">
        <v>76.486956521739131</v>
      </c>
      <c r="N712" s="36">
        <v>4</v>
      </c>
    </row>
    <row r="713" spans="1:14" x14ac:dyDescent="0.35">
      <c r="A713" s="3" t="s">
        <v>317</v>
      </c>
      <c r="B713" s="4">
        <v>109</v>
      </c>
      <c r="C713" s="5">
        <v>61787</v>
      </c>
      <c r="D713" s="3" t="s">
        <v>885</v>
      </c>
      <c r="E713" s="16">
        <v>23.99</v>
      </c>
      <c r="F713" s="16">
        <v>14.221549999999999</v>
      </c>
      <c r="G713" s="36">
        <v>104.30434782608695</v>
      </c>
      <c r="H713" s="36">
        <v>5</v>
      </c>
      <c r="I713" s="36">
        <v>0</v>
      </c>
      <c r="J713" s="36">
        <v>0</v>
      </c>
      <c r="K713" s="36">
        <v>0</v>
      </c>
      <c r="L713" s="36">
        <v>0</v>
      </c>
      <c r="M713" s="36">
        <v>0</v>
      </c>
      <c r="N713" s="36">
        <v>0</v>
      </c>
    </row>
    <row r="714" spans="1:14" x14ac:dyDescent="0.35">
      <c r="A714" s="3" t="s">
        <v>317</v>
      </c>
      <c r="B714" s="4">
        <v>107</v>
      </c>
      <c r="C714" s="5">
        <v>61788</v>
      </c>
      <c r="D714" s="3" t="s">
        <v>886</v>
      </c>
      <c r="E714" s="16">
        <v>21.99</v>
      </c>
      <c r="F714" s="16">
        <v>13.11445</v>
      </c>
      <c r="G714" s="36">
        <v>0</v>
      </c>
      <c r="H714" s="36">
        <v>0</v>
      </c>
      <c r="I714" s="36">
        <v>0</v>
      </c>
      <c r="J714" s="36">
        <v>0</v>
      </c>
      <c r="K714" s="36">
        <v>0</v>
      </c>
      <c r="L714" s="36">
        <v>0</v>
      </c>
      <c r="M714" s="36">
        <v>0</v>
      </c>
      <c r="N714" s="36">
        <v>0</v>
      </c>
    </row>
    <row r="715" spans="1:14" x14ac:dyDescent="0.35">
      <c r="A715" s="3" t="s">
        <v>317</v>
      </c>
      <c r="B715" s="4">
        <v>109</v>
      </c>
      <c r="C715" s="5">
        <v>61789</v>
      </c>
      <c r="D715" s="3" t="s">
        <v>887</v>
      </c>
      <c r="E715" s="16">
        <v>23.99</v>
      </c>
      <c r="F715" s="16">
        <v>14.221549999999999</v>
      </c>
      <c r="G715" s="36">
        <v>0</v>
      </c>
      <c r="H715" s="36">
        <v>0</v>
      </c>
      <c r="I715" s="36">
        <v>0</v>
      </c>
      <c r="J715" s="36">
        <v>0</v>
      </c>
      <c r="K715" s="36">
        <v>0</v>
      </c>
      <c r="L715" s="36">
        <v>0</v>
      </c>
      <c r="M715" s="36">
        <v>0</v>
      </c>
      <c r="N715" s="36">
        <v>0</v>
      </c>
    </row>
    <row r="716" spans="1:14" x14ac:dyDescent="0.35">
      <c r="A716" s="3" t="s">
        <v>317</v>
      </c>
      <c r="B716" s="4">
        <v>109</v>
      </c>
      <c r="C716" s="5">
        <v>61790</v>
      </c>
      <c r="D716" s="3" t="s">
        <v>888</v>
      </c>
      <c r="E716" s="16">
        <v>26.99</v>
      </c>
      <c r="F716" s="16">
        <v>16.242160000000002</v>
      </c>
      <c r="G716" s="36">
        <v>0</v>
      </c>
      <c r="H716" s="36">
        <v>0</v>
      </c>
      <c r="I716" s="36">
        <v>0</v>
      </c>
      <c r="J716" s="36">
        <v>0</v>
      </c>
      <c r="K716" s="36">
        <v>0</v>
      </c>
      <c r="L716" s="36">
        <v>0</v>
      </c>
      <c r="M716" s="36">
        <v>0</v>
      </c>
      <c r="N716" s="36">
        <v>0</v>
      </c>
    </row>
    <row r="717" spans="1:14" x14ac:dyDescent="0.35">
      <c r="A717" s="3" t="s">
        <v>14</v>
      </c>
      <c r="B717" s="4">
        <v>117</v>
      </c>
      <c r="C717" s="5">
        <v>61814</v>
      </c>
      <c r="D717" s="3" t="s">
        <v>254</v>
      </c>
      <c r="E717" s="16">
        <v>10</v>
      </c>
      <c r="F717" s="16">
        <v>3.39</v>
      </c>
      <c r="G717" s="36">
        <v>0</v>
      </c>
      <c r="H717" s="36">
        <v>0</v>
      </c>
      <c r="I717" s="36">
        <v>0</v>
      </c>
      <c r="J717" s="36">
        <v>0</v>
      </c>
      <c r="K717" s="36">
        <v>0</v>
      </c>
      <c r="L717" s="36">
        <v>0</v>
      </c>
      <c r="M717" s="36">
        <v>0</v>
      </c>
      <c r="N717" s="36">
        <v>0</v>
      </c>
    </row>
    <row r="718" spans="1:14" x14ac:dyDescent="0.35">
      <c r="A718" s="3" t="s">
        <v>317</v>
      </c>
      <c r="B718" s="4">
        <v>107</v>
      </c>
      <c r="C718" s="5">
        <v>61845</v>
      </c>
      <c r="D718" s="3" t="s">
        <v>889</v>
      </c>
      <c r="E718" s="16">
        <v>199.99</v>
      </c>
      <c r="F718" s="16">
        <v>126.18295000000001</v>
      </c>
      <c r="G718" s="36">
        <v>0</v>
      </c>
      <c r="H718" s="36">
        <v>0</v>
      </c>
      <c r="I718" s="36">
        <v>0</v>
      </c>
      <c r="J718" s="36">
        <v>0</v>
      </c>
      <c r="K718" s="36">
        <v>0</v>
      </c>
      <c r="L718" s="36">
        <v>0</v>
      </c>
      <c r="M718" s="36">
        <v>0</v>
      </c>
      <c r="N718" s="36">
        <v>0</v>
      </c>
    </row>
    <row r="719" spans="1:14" x14ac:dyDescent="0.35">
      <c r="A719" s="3" t="s">
        <v>19</v>
      </c>
      <c r="B719" s="4">
        <v>102</v>
      </c>
      <c r="C719" s="5">
        <v>61923</v>
      </c>
      <c r="D719" s="3" t="s">
        <v>195</v>
      </c>
      <c r="E719" s="16">
        <v>79.989999999999995</v>
      </c>
      <c r="F719" s="16">
        <v>41.475000000000001</v>
      </c>
      <c r="G719" s="36">
        <v>0</v>
      </c>
      <c r="H719" s="36">
        <v>0</v>
      </c>
      <c r="I719" s="36">
        <v>0</v>
      </c>
      <c r="J719" s="36">
        <v>0</v>
      </c>
      <c r="K719" s="36">
        <v>0</v>
      </c>
      <c r="L719" s="36">
        <v>0</v>
      </c>
      <c r="M719" s="36">
        <v>0</v>
      </c>
      <c r="N719" s="36">
        <v>0</v>
      </c>
    </row>
    <row r="720" spans="1:14" x14ac:dyDescent="0.35">
      <c r="A720" s="3" t="s">
        <v>19</v>
      </c>
      <c r="B720" s="4">
        <v>102</v>
      </c>
      <c r="C720" s="5">
        <v>61925</v>
      </c>
      <c r="D720" s="3" t="s">
        <v>196</v>
      </c>
      <c r="E720" s="16">
        <v>79.989999999999995</v>
      </c>
      <c r="F720" s="16">
        <v>41.475000000000001</v>
      </c>
      <c r="G720" s="36">
        <v>0</v>
      </c>
      <c r="H720" s="36">
        <v>0</v>
      </c>
      <c r="I720" s="36">
        <v>0</v>
      </c>
      <c r="J720" s="36">
        <v>0</v>
      </c>
      <c r="K720" s="36">
        <v>0</v>
      </c>
      <c r="L720" s="36">
        <v>0</v>
      </c>
      <c r="M720" s="36">
        <v>0</v>
      </c>
      <c r="N720" s="36">
        <v>0</v>
      </c>
    </row>
    <row r="721" spans="1:14" x14ac:dyDescent="0.35">
      <c r="A721" s="3" t="s">
        <v>19</v>
      </c>
      <c r="B721" s="4">
        <v>102</v>
      </c>
      <c r="C721" s="5">
        <v>61926</v>
      </c>
      <c r="D721" s="3" t="s">
        <v>197</v>
      </c>
      <c r="E721" s="16">
        <v>79.989999999999995</v>
      </c>
      <c r="F721" s="16">
        <v>41.475000000000001</v>
      </c>
      <c r="G721" s="36">
        <v>0</v>
      </c>
      <c r="H721" s="36">
        <v>0</v>
      </c>
      <c r="I721" s="36">
        <v>0</v>
      </c>
      <c r="J721" s="36">
        <v>0</v>
      </c>
      <c r="K721" s="36">
        <v>0</v>
      </c>
      <c r="L721" s="36">
        <v>0</v>
      </c>
      <c r="M721" s="36">
        <v>0</v>
      </c>
      <c r="N721" s="36">
        <v>0</v>
      </c>
    </row>
    <row r="722" spans="1:14" x14ac:dyDescent="0.35">
      <c r="A722" s="3" t="s">
        <v>19</v>
      </c>
      <c r="B722" s="4">
        <v>102</v>
      </c>
      <c r="C722" s="5">
        <v>61928</v>
      </c>
      <c r="D722" s="3" t="s">
        <v>176</v>
      </c>
      <c r="E722" s="16">
        <v>79.989999999999995</v>
      </c>
      <c r="F722" s="16">
        <v>44.62</v>
      </c>
      <c r="G722" s="36">
        <v>0</v>
      </c>
      <c r="H722" s="36">
        <v>0</v>
      </c>
      <c r="I722" s="36">
        <v>0</v>
      </c>
      <c r="J722" s="36">
        <v>0</v>
      </c>
      <c r="K722" s="36">
        <v>0</v>
      </c>
      <c r="L722" s="36">
        <v>0</v>
      </c>
      <c r="M722" s="36">
        <v>0</v>
      </c>
      <c r="N722" s="36">
        <v>0</v>
      </c>
    </row>
    <row r="723" spans="1:14" x14ac:dyDescent="0.35">
      <c r="A723" s="3" t="s">
        <v>19</v>
      </c>
      <c r="B723" s="4">
        <v>102</v>
      </c>
      <c r="C723" s="5">
        <v>61929</v>
      </c>
      <c r="D723" s="3" t="s">
        <v>170</v>
      </c>
      <c r="E723" s="16">
        <v>79.989999999999995</v>
      </c>
      <c r="F723" s="16">
        <v>44.62</v>
      </c>
      <c r="G723" s="36">
        <v>0</v>
      </c>
      <c r="H723" s="36">
        <v>0</v>
      </c>
      <c r="I723" s="36">
        <v>0</v>
      </c>
      <c r="J723" s="36">
        <v>0</v>
      </c>
      <c r="K723" s="36">
        <v>0</v>
      </c>
      <c r="L723" s="36">
        <v>0</v>
      </c>
      <c r="M723" s="36">
        <v>0</v>
      </c>
      <c r="N723" s="36">
        <v>0</v>
      </c>
    </row>
    <row r="724" spans="1:14" x14ac:dyDescent="0.35">
      <c r="A724" s="3" t="s">
        <v>14</v>
      </c>
      <c r="B724" s="4">
        <v>102</v>
      </c>
      <c r="C724" s="5">
        <v>61937</v>
      </c>
      <c r="D724" s="3" t="s">
        <v>122</v>
      </c>
      <c r="E724" s="16">
        <v>10</v>
      </c>
      <c r="F724" s="16">
        <v>2.67</v>
      </c>
      <c r="G724" s="36">
        <v>104.34782608695652</v>
      </c>
      <c r="H724" s="36">
        <v>12</v>
      </c>
      <c r="I724" s="36">
        <v>0</v>
      </c>
      <c r="J724" s="36">
        <v>0</v>
      </c>
      <c r="K724" s="36">
        <v>0</v>
      </c>
      <c r="L724" s="36">
        <v>0</v>
      </c>
      <c r="M724" s="36">
        <v>0</v>
      </c>
      <c r="N724" s="36">
        <v>0</v>
      </c>
    </row>
    <row r="725" spans="1:14" x14ac:dyDescent="0.35">
      <c r="A725" s="3" t="s">
        <v>14</v>
      </c>
      <c r="B725" s="4">
        <v>102</v>
      </c>
      <c r="C725" s="5">
        <v>61938</v>
      </c>
      <c r="D725" s="3" t="s">
        <v>124</v>
      </c>
      <c r="E725" s="16">
        <v>10</v>
      </c>
      <c r="F725" s="16">
        <v>3.43</v>
      </c>
      <c r="G725" s="36">
        <v>26.086956521739129</v>
      </c>
      <c r="H725" s="36">
        <v>3</v>
      </c>
      <c r="I725" s="36">
        <v>0</v>
      </c>
      <c r="J725" s="36">
        <v>0</v>
      </c>
      <c r="K725" s="36">
        <v>8.695652173913043</v>
      </c>
      <c r="L725" s="36">
        <v>1</v>
      </c>
      <c r="M725" s="36">
        <v>0</v>
      </c>
      <c r="N725" s="36">
        <v>0</v>
      </c>
    </row>
    <row r="726" spans="1:14" x14ac:dyDescent="0.35">
      <c r="A726" s="3" t="s">
        <v>14</v>
      </c>
      <c r="B726" s="4">
        <v>102</v>
      </c>
      <c r="C726" s="5">
        <v>61939</v>
      </c>
      <c r="D726" s="3" t="s">
        <v>101</v>
      </c>
      <c r="E726" s="16">
        <v>10</v>
      </c>
      <c r="F726" s="16">
        <v>5.09</v>
      </c>
      <c r="G726" s="36">
        <v>0</v>
      </c>
      <c r="H726" s="36">
        <v>0</v>
      </c>
      <c r="I726" s="36">
        <v>147.82608695652175</v>
      </c>
      <c r="J726" s="36">
        <v>17</v>
      </c>
      <c r="K726" s="36">
        <v>164.78260869565219</v>
      </c>
      <c r="L726" s="36">
        <v>19</v>
      </c>
      <c r="M726" s="36">
        <v>69.565217391304344</v>
      </c>
      <c r="N726" s="36">
        <v>8</v>
      </c>
    </row>
    <row r="727" spans="1:14" x14ac:dyDescent="0.35">
      <c r="A727" s="3" t="s">
        <v>14</v>
      </c>
      <c r="B727" s="4">
        <v>102</v>
      </c>
      <c r="C727" s="5">
        <v>61940</v>
      </c>
      <c r="D727" s="3" t="s">
        <v>117</v>
      </c>
      <c r="E727" s="16">
        <v>10</v>
      </c>
      <c r="F727" s="16">
        <v>3.28</v>
      </c>
      <c r="G727" s="36">
        <v>0</v>
      </c>
      <c r="H727" s="36">
        <v>0</v>
      </c>
      <c r="I727" s="36">
        <v>0</v>
      </c>
      <c r="J727" s="36">
        <v>0</v>
      </c>
      <c r="K727" s="36">
        <v>0</v>
      </c>
      <c r="L727" s="36">
        <v>0</v>
      </c>
      <c r="M727" s="36">
        <v>0</v>
      </c>
      <c r="N727" s="36">
        <v>0</v>
      </c>
    </row>
    <row r="728" spans="1:14" x14ac:dyDescent="0.35">
      <c r="A728" s="3" t="s">
        <v>14</v>
      </c>
      <c r="B728" s="4">
        <v>102</v>
      </c>
      <c r="C728" s="5">
        <v>61941</v>
      </c>
      <c r="D728" s="3" t="s">
        <v>143</v>
      </c>
      <c r="E728" s="16">
        <v>10</v>
      </c>
      <c r="F728" s="16">
        <v>3.4432999999999998</v>
      </c>
      <c r="G728" s="36">
        <v>0</v>
      </c>
      <c r="H728" s="36">
        <v>0</v>
      </c>
      <c r="I728" s="36">
        <v>0</v>
      </c>
      <c r="J728" s="36">
        <v>0</v>
      </c>
      <c r="K728" s="36">
        <v>0</v>
      </c>
      <c r="L728" s="36">
        <v>0</v>
      </c>
      <c r="M728" s="36">
        <v>0</v>
      </c>
      <c r="N728" s="36">
        <v>0</v>
      </c>
    </row>
    <row r="729" spans="1:14" x14ac:dyDescent="0.35">
      <c r="A729" s="3" t="s">
        <v>14</v>
      </c>
      <c r="B729" s="4">
        <v>102</v>
      </c>
      <c r="C729" s="5">
        <v>61942</v>
      </c>
      <c r="D729" s="3" t="s">
        <v>123</v>
      </c>
      <c r="E729" s="16">
        <v>10</v>
      </c>
      <c r="F729" s="16">
        <v>3.73</v>
      </c>
      <c r="G729" s="36">
        <v>0</v>
      </c>
      <c r="H729" s="36">
        <v>0</v>
      </c>
      <c r="I729" s="36">
        <v>0</v>
      </c>
      <c r="J729" s="36">
        <v>0</v>
      </c>
      <c r="K729" s="36">
        <v>0</v>
      </c>
      <c r="L729" s="36">
        <v>0</v>
      </c>
      <c r="M729" s="36">
        <v>8.695652173913043</v>
      </c>
      <c r="N729" s="36">
        <v>1</v>
      </c>
    </row>
    <row r="730" spans="1:14" x14ac:dyDescent="0.35">
      <c r="A730" s="3" t="s">
        <v>14</v>
      </c>
      <c r="B730" s="4">
        <v>102</v>
      </c>
      <c r="C730" s="5">
        <v>61943</v>
      </c>
      <c r="D730" s="3" t="s">
        <v>154</v>
      </c>
      <c r="E730" s="16">
        <v>10</v>
      </c>
      <c r="F730" s="16">
        <v>3.71</v>
      </c>
      <c r="G730" s="36">
        <v>0</v>
      </c>
      <c r="H730" s="36">
        <v>0</v>
      </c>
      <c r="I730" s="36">
        <v>0</v>
      </c>
      <c r="J730" s="36">
        <v>0</v>
      </c>
      <c r="K730" s="36">
        <v>0</v>
      </c>
      <c r="L730" s="36">
        <v>0</v>
      </c>
      <c r="M730" s="36">
        <v>0</v>
      </c>
      <c r="N730" s="36">
        <v>0</v>
      </c>
    </row>
    <row r="731" spans="1:14" x14ac:dyDescent="0.35">
      <c r="A731" s="3" t="s">
        <v>14</v>
      </c>
      <c r="B731" s="4">
        <v>101</v>
      </c>
      <c r="C731" s="5">
        <v>61947</v>
      </c>
      <c r="D731" s="3" t="s">
        <v>42</v>
      </c>
      <c r="E731" s="16">
        <v>28.99</v>
      </c>
      <c r="F731" s="16">
        <v>8.93</v>
      </c>
      <c r="G731" s="36">
        <v>25.208695652173912</v>
      </c>
      <c r="H731" s="36">
        <v>1</v>
      </c>
      <c r="I731" s="36">
        <v>25.208695652173912</v>
      </c>
      <c r="J731" s="36">
        <v>1</v>
      </c>
      <c r="K731" s="36">
        <v>75.626086956521732</v>
      </c>
      <c r="L731" s="36">
        <v>3</v>
      </c>
      <c r="M731" s="36">
        <v>50.417391304347824</v>
      </c>
      <c r="N731" s="36">
        <v>2</v>
      </c>
    </row>
    <row r="732" spans="1:14" x14ac:dyDescent="0.35">
      <c r="A732" s="3" t="s">
        <v>14</v>
      </c>
      <c r="B732" s="4">
        <v>101</v>
      </c>
      <c r="C732" s="5">
        <v>61949</v>
      </c>
      <c r="D732" s="3" t="s">
        <v>84</v>
      </c>
      <c r="E732" s="16">
        <v>10</v>
      </c>
      <c r="F732" s="16">
        <v>6.28</v>
      </c>
      <c r="G732" s="36">
        <v>0</v>
      </c>
      <c r="H732" s="36">
        <v>0</v>
      </c>
      <c r="I732" s="36">
        <v>0</v>
      </c>
      <c r="J732" s="36">
        <v>0</v>
      </c>
      <c r="K732" s="36">
        <v>0</v>
      </c>
      <c r="L732" s="36">
        <v>0</v>
      </c>
      <c r="M732" s="36">
        <v>0</v>
      </c>
      <c r="N732" s="36">
        <v>0</v>
      </c>
    </row>
    <row r="733" spans="1:14" x14ac:dyDescent="0.35">
      <c r="A733" s="3" t="s">
        <v>14</v>
      </c>
      <c r="B733" s="4">
        <v>101</v>
      </c>
      <c r="C733" s="5">
        <v>61950</v>
      </c>
      <c r="D733" s="3" t="s">
        <v>72</v>
      </c>
      <c r="E733" s="16">
        <v>10</v>
      </c>
      <c r="F733" s="16">
        <v>6.19</v>
      </c>
      <c r="G733" s="36">
        <v>0</v>
      </c>
      <c r="H733" s="36">
        <v>0</v>
      </c>
      <c r="I733" s="36">
        <v>0</v>
      </c>
      <c r="J733" s="36">
        <v>0</v>
      </c>
      <c r="K733" s="36">
        <v>0</v>
      </c>
      <c r="L733" s="36">
        <v>0</v>
      </c>
      <c r="M733" s="36">
        <v>0</v>
      </c>
      <c r="N733" s="36">
        <v>0</v>
      </c>
    </row>
    <row r="734" spans="1:14" x14ac:dyDescent="0.35">
      <c r="A734" s="3" t="s">
        <v>14</v>
      </c>
      <c r="B734" s="4">
        <v>112</v>
      </c>
      <c r="C734" s="5">
        <v>61978</v>
      </c>
      <c r="D734" s="3" t="s">
        <v>251</v>
      </c>
      <c r="E734" s="16">
        <v>199.99</v>
      </c>
      <c r="F734" s="16">
        <v>126.16</v>
      </c>
      <c r="G734" s="36">
        <v>0</v>
      </c>
      <c r="H734" s="36">
        <v>0</v>
      </c>
      <c r="I734" s="36">
        <v>0</v>
      </c>
      <c r="J734" s="36">
        <v>0</v>
      </c>
      <c r="K734" s="36">
        <v>0</v>
      </c>
      <c r="L734" s="36">
        <v>0</v>
      </c>
      <c r="M734" s="36">
        <v>0</v>
      </c>
      <c r="N734" s="36">
        <v>0</v>
      </c>
    </row>
    <row r="735" spans="1:14" x14ac:dyDescent="0.35">
      <c r="A735" s="3" t="s">
        <v>367</v>
      </c>
      <c r="B735" s="4">
        <v>102</v>
      </c>
      <c r="C735" s="5">
        <v>62031</v>
      </c>
      <c r="D735" s="3" t="s">
        <v>419</v>
      </c>
      <c r="E735" s="16">
        <v>25.99</v>
      </c>
      <c r="F735" s="16">
        <v>15.22</v>
      </c>
      <c r="G735" s="36">
        <v>0</v>
      </c>
      <c r="H735" s="36">
        <v>0</v>
      </c>
      <c r="I735" s="36">
        <v>0</v>
      </c>
      <c r="J735" s="36">
        <v>0</v>
      </c>
      <c r="K735" s="36">
        <v>0</v>
      </c>
      <c r="L735" s="36">
        <v>0</v>
      </c>
      <c r="M735" s="36">
        <v>0</v>
      </c>
      <c r="N735" s="36">
        <v>0</v>
      </c>
    </row>
    <row r="736" spans="1:14" x14ac:dyDescent="0.35">
      <c r="A736" s="3" t="s">
        <v>14</v>
      </c>
      <c r="B736" s="4">
        <v>102</v>
      </c>
      <c r="C736" s="5">
        <v>62290</v>
      </c>
      <c r="D736" s="3" t="s">
        <v>151</v>
      </c>
      <c r="E736" s="16">
        <v>10</v>
      </c>
      <c r="F736" s="16">
        <v>3.77</v>
      </c>
      <c r="G736" s="36">
        <v>0</v>
      </c>
      <c r="H736" s="36">
        <v>0</v>
      </c>
      <c r="I736" s="36">
        <v>0</v>
      </c>
      <c r="J736" s="36">
        <v>0</v>
      </c>
      <c r="K736" s="36">
        <v>0</v>
      </c>
      <c r="L736" s="36">
        <v>0</v>
      </c>
      <c r="M736" s="36">
        <v>0</v>
      </c>
      <c r="N736" s="36">
        <v>0</v>
      </c>
    </row>
    <row r="737" spans="1:14" x14ac:dyDescent="0.35">
      <c r="A737" s="3" t="s">
        <v>317</v>
      </c>
      <c r="B737" s="4">
        <v>101</v>
      </c>
      <c r="C737" s="5">
        <v>62302</v>
      </c>
      <c r="D737" s="3" t="s">
        <v>420</v>
      </c>
      <c r="E737" s="16">
        <v>39.99</v>
      </c>
      <c r="F737" s="16">
        <v>23.0421625</v>
      </c>
      <c r="G737" s="36">
        <v>0</v>
      </c>
      <c r="H737" s="36">
        <v>0</v>
      </c>
      <c r="I737" s="36">
        <v>0</v>
      </c>
      <c r="J737" s="36">
        <v>0</v>
      </c>
      <c r="K737" s="36">
        <v>0</v>
      </c>
      <c r="L737" s="36">
        <v>0</v>
      </c>
      <c r="M737" s="36">
        <v>0</v>
      </c>
      <c r="N737" s="36">
        <v>0</v>
      </c>
    </row>
    <row r="738" spans="1:14" x14ac:dyDescent="0.35">
      <c r="A738" s="3" t="s">
        <v>317</v>
      </c>
      <c r="B738" s="4">
        <v>101</v>
      </c>
      <c r="C738" s="5">
        <v>62318</v>
      </c>
      <c r="D738" s="3" t="s">
        <v>421</v>
      </c>
      <c r="E738" s="16">
        <v>89.99</v>
      </c>
      <c r="F738" s="16">
        <v>55.301200000000001</v>
      </c>
      <c r="G738" s="36">
        <v>0</v>
      </c>
      <c r="H738" s="36">
        <v>0</v>
      </c>
      <c r="I738" s="36">
        <v>0</v>
      </c>
      <c r="J738" s="36">
        <v>0</v>
      </c>
      <c r="K738" s="36">
        <v>0</v>
      </c>
      <c r="L738" s="36">
        <v>0</v>
      </c>
      <c r="M738" s="36">
        <v>0</v>
      </c>
      <c r="N738" s="36">
        <v>0</v>
      </c>
    </row>
    <row r="739" spans="1:14" x14ac:dyDescent="0.35">
      <c r="A739" s="3" t="s">
        <v>317</v>
      </c>
      <c r="B739" s="4">
        <v>101</v>
      </c>
      <c r="C739" s="5">
        <v>62319</v>
      </c>
      <c r="D739" s="3" t="s">
        <v>422</v>
      </c>
      <c r="E739" s="16">
        <v>49.99</v>
      </c>
      <c r="F739" s="16">
        <v>29.528099999999998</v>
      </c>
      <c r="G739" s="36">
        <v>43.469565217391306</v>
      </c>
      <c r="H739" s="36">
        <v>1</v>
      </c>
      <c r="I739" s="36">
        <v>86.939130434782612</v>
      </c>
      <c r="J739" s="36">
        <v>2</v>
      </c>
      <c r="K739" s="36">
        <v>0</v>
      </c>
      <c r="L739" s="36">
        <v>0</v>
      </c>
      <c r="M739" s="36">
        <v>0</v>
      </c>
      <c r="N739" s="36">
        <v>0</v>
      </c>
    </row>
    <row r="740" spans="1:14" x14ac:dyDescent="0.35">
      <c r="A740" s="3" t="s">
        <v>317</v>
      </c>
      <c r="B740" s="4">
        <v>109</v>
      </c>
      <c r="C740" s="5">
        <v>62320</v>
      </c>
      <c r="D740" s="3" t="s">
        <v>890</v>
      </c>
      <c r="E740" s="16">
        <v>49.99</v>
      </c>
      <c r="F740" s="16">
        <v>29.528099999999998</v>
      </c>
      <c r="G740" s="36">
        <v>0</v>
      </c>
      <c r="H740" s="36">
        <v>0</v>
      </c>
      <c r="I740" s="36">
        <v>0</v>
      </c>
      <c r="J740" s="36">
        <v>0</v>
      </c>
      <c r="K740" s="36">
        <v>0</v>
      </c>
      <c r="L740" s="36">
        <v>0</v>
      </c>
      <c r="M740" s="36">
        <v>0</v>
      </c>
      <c r="N740" s="36">
        <v>0</v>
      </c>
    </row>
    <row r="741" spans="1:14" x14ac:dyDescent="0.35">
      <c r="A741" s="3" t="s">
        <v>317</v>
      </c>
      <c r="B741" s="4">
        <v>101</v>
      </c>
      <c r="C741" s="5">
        <v>62321</v>
      </c>
      <c r="D741" s="3" t="s">
        <v>423</v>
      </c>
      <c r="E741" s="16">
        <v>59.99</v>
      </c>
      <c r="F741" s="16">
        <v>35.628733333333336</v>
      </c>
      <c r="G741" s="36">
        <v>0</v>
      </c>
      <c r="H741" s="36">
        <v>0</v>
      </c>
      <c r="I741" s="36">
        <v>0</v>
      </c>
      <c r="J741" s="36">
        <v>0</v>
      </c>
      <c r="K741" s="36">
        <v>0</v>
      </c>
      <c r="L741" s="36">
        <v>0</v>
      </c>
      <c r="M741" s="36">
        <v>0</v>
      </c>
      <c r="N741" s="36">
        <v>0</v>
      </c>
    </row>
    <row r="742" spans="1:14" x14ac:dyDescent="0.35">
      <c r="A742" s="3" t="s">
        <v>317</v>
      </c>
      <c r="B742" s="4">
        <v>109</v>
      </c>
      <c r="C742" s="5">
        <v>62325</v>
      </c>
      <c r="D742" s="3" t="s">
        <v>891</v>
      </c>
      <c r="E742" s="16">
        <v>169.99</v>
      </c>
      <c r="F742" s="16">
        <v>106.25</v>
      </c>
      <c r="G742" s="36">
        <v>0</v>
      </c>
      <c r="H742" s="36">
        <v>0</v>
      </c>
      <c r="I742" s="36">
        <v>0</v>
      </c>
      <c r="J742" s="36">
        <v>0</v>
      </c>
      <c r="K742" s="36">
        <v>0</v>
      </c>
      <c r="L742" s="36">
        <v>0</v>
      </c>
      <c r="M742" s="36">
        <v>0</v>
      </c>
      <c r="N742" s="36">
        <v>0</v>
      </c>
    </row>
    <row r="743" spans="1:14" x14ac:dyDescent="0.35">
      <c r="A743" s="3" t="s">
        <v>317</v>
      </c>
      <c r="B743" s="4">
        <v>101</v>
      </c>
      <c r="C743" s="5">
        <v>62326</v>
      </c>
      <c r="D743" s="3" t="s">
        <v>424</v>
      </c>
      <c r="E743" s="16">
        <v>189.99</v>
      </c>
      <c r="F743" s="16">
        <v>118.89879999999999</v>
      </c>
      <c r="G743" s="36">
        <v>0</v>
      </c>
      <c r="H743" s="36">
        <v>0</v>
      </c>
      <c r="I743" s="36">
        <v>0</v>
      </c>
      <c r="J743" s="36">
        <v>0</v>
      </c>
      <c r="K743" s="36">
        <v>165.20869565217393</v>
      </c>
      <c r="L743" s="36">
        <v>1</v>
      </c>
      <c r="M743" s="36">
        <v>0</v>
      </c>
      <c r="N743" s="36">
        <v>0</v>
      </c>
    </row>
    <row r="744" spans="1:14" x14ac:dyDescent="0.35">
      <c r="A744" s="3" t="s">
        <v>317</v>
      </c>
      <c r="B744" s="4">
        <v>109</v>
      </c>
      <c r="C744" s="5">
        <v>62327</v>
      </c>
      <c r="D744" s="3" t="s">
        <v>892</v>
      </c>
      <c r="E744" s="16">
        <v>104.99</v>
      </c>
      <c r="F744" s="16">
        <v>65.781599999999997</v>
      </c>
      <c r="G744" s="36">
        <v>91.295652173913041</v>
      </c>
      <c r="H744" s="36">
        <v>1</v>
      </c>
      <c r="I744" s="36">
        <v>0</v>
      </c>
      <c r="J744" s="36">
        <v>0</v>
      </c>
      <c r="K744" s="36">
        <v>0</v>
      </c>
      <c r="L744" s="36">
        <v>0</v>
      </c>
      <c r="M744" s="36">
        <v>0</v>
      </c>
      <c r="N744" s="36">
        <v>0</v>
      </c>
    </row>
    <row r="745" spans="1:14" x14ac:dyDescent="0.35">
      <c r="A745" s="3" t="s">
        <v>317</v>
      </c>
      <c r="B745" s="4">
        <v>109</v>
      </c>
      <c r="C745" s="5">
        <v>62328</v>
      </c>
      <c r="D745" s="3" t="s">
        <v>893</v>
      </c>
      <c r="E745" s="16">
        <v>69.989999999999995</v>
      </c>
      <c r="F745" s="16">
        <v>40.963850000000001</v>
      </c>
      <c r="G745" s="36">
        <v>60.860869565217385</v>
      </c>
      <c r="H745" s="36">
        <v>1</v>
      </c>
      <c r="I745" s="36">
        <v>0</v>
      </c>
      <c r="J745" s="36">
        <v>0</v>
      </c>
      <c r="K745" s="36">
        <v>60.860869565217385</v>
      </c>
      <c r="L745" s="36">
        <v>1</v>
      </c>
      <c r="M745" s="36">
        <v>0</v>
      </c>
      <c r="N745" s="36">
        <v>0</v>
      </c>
    </row>
    <row r="746" spans="1:14" x14ac:dyDescent="0.35">
      <c r="A746" s="3" t="s">
        <v>317</v>
      </c>
      <c r="B746" s="4">
        <v>109</v>
      </c>
      <c r="C746" s="5">
        <v>62329</v>
      </c>
      <c r="D746" s="3" t="s">
        <v>894</v>
      </c>
      <c r="E746" s="16">
        <v>69.989999999999995</v>
      </c>
      <c r="F746" s="16">
        <v>40.963850000000001</v>
      </c>
      <c r="G746" s="36">
        <v>0</v>
      </c>
      <c r="H746" s="36">
        <v>0</v>
      </c>
      <c r="I746" s="36">
        <v>60.860869565217385</v>
      </c>
      <c r="J746" s="36">
        <v>1</v>
      </c>
      <c r="K746" s="36">
        <v>0</v>
      </c>
      <c r="L746" s="36">
        <v>0</v>
      </c>
      <c r="M746" s="36">
        <v>0</v>
      </c>
      <c r="N746" s="36">
        <v>0</v>
      </c>
    </row>
    <row r="747" spans="1:14" x14ac:dyDescent="0.35">
      <c r="A747" s="3" t="s">
        <v>317</v>
      </c>
      <c r="B747" s="4">
        <v>109</v>
      </c>
      <c r="C747" s="5">
        <v>62331</v>
      </c>
      <c r="D747" s="3" t="s">
        <v>895</v>
      </c>
      <c r="E747" s="16">
        <v>69.989999999999995</v>
      </c>
      <c r="F747" s="16">
        <v>40.963850000000001</v>
      </c>
      <c r="G747" s="36">
        <v>0</v>
      </c>
      <c r="H747" s="36">
        <v>0</v>
      </c>
      <c r="I747" s="36">
        <v>0</v>
      </c>
      <c r="J747" s="36">
        <v>0</v>
      </c>
      <c r="K747" s="36">
        <v>0</v>
      </c>
      <c r="L747" s="36">
        <v>0</v>
      </c>
      <c r="M747" s="36">
        <v>0</v>
      </c>
      <c r="N747" s="36">
        <v>0</v>
      </c>
    </row>
    <row r="748" spans="1:14" x14ac:dyDescent="0.35">
      <c r="A748" s="3" t="s">
        <v>317</v>
      </c>
      <c r="B748" s="4">
        <v>101</v>
      </c>
      <c r="C748" s="5">
        <v>62332</v>
      </c>
      <c r="D748" s="3" t="s">
        <v>425</v>
      </c>
      <c r="E748" s="16">
        <v>69.989999999999995</v>
      </c>
      <c r="F748" s="16">
        <v>40.963850000000001</v>
      </c>
      <c r="G748" s="36">
        <v>0</v>
      </c>
      <c r="H748" s="36">
        <v>0</v>
      </c>
      <c r="I748" s="36">
        <v>0</v>
      </c>
      <c r="J748" s="36">
        <v>0</v>
      </c>
      <c r="K748" s="36">
        <v>0</v>
      </c>
      <c r="L748" s="36">
        <v>0</v>
      </c>
      <c r="M748" s="36">
        <v>0</v>
      </c>
      <c r="N748" s="36">
        <v>0</v>
      </c>
    </row>
    <row r="749" spans="1:14" x14ac:dyDescent="0.35">
      <c r="A749" s="3" t="s">
        <v>317</v>
      </c>
      <c r="B749" s="4">
        <v>101</v>
      </c>
      <c r="C749" s="5">
        <v>62333</v>
      </c>
      <c r="D749" s="3" t="s">
        <v>426</v>
      </c>
      <c r="E749" s="16">
        <v>69.989999999999995</v>
      </c>
      <c r="F749" s="16">
        <v>40.963850000000001</v>
      </c>
      <c r="G749" s="36">
        <v>0</v>
      </c>
      <c r="H749" s="36">
        <v>0</v>
      </c>
      <c r="I749" s="36">
        <v>60.860869565217385</v>
      </c>
      <c r="J749" s="36">
        <v>1</v>
      </c>
      <c r="K749" s="36">
        <v>0</v>
      </c>
      <c r="L749" s="36">
        <v>0</v>
      </c>
      <c r="M749" s="36">
        <v>0</v>
      </c>
      <c r="N749" s="36">
        <v>0</v>
      </c>
    </row>
    <row r="750" spans="1:14" x14ac:dyDescent="0.35">
      <c r="A750" s="3" t="s">
        <v>317</v>
      </c>
      <c r="B750" s="4">
        <v>101</v>
      </c>
      <c r="C750" s="5">
        <v>62334</v>
      </c>
      <c r="D750" s="3" t="s">
        <v>427</v>
      </c>
      <c r="E750" s="16">
        <v>69.989999999999995</v>
      </c>
      <c r="F750" s="16">
        <v>40.963850000000001</v>
      </c>
      <c r="G750" s="36">
        <v>0</v>
      </c>
      <c r="H750" s="36">
        <v>0</v>
      </c>
      <c r="I750" s="36">
        <v>0</v>
      </c>
      <c r="J750" s="36">
        <v>0</v>
      </c>
      <c r="K750" s="36">
        <v>0</v>
      </c>
      <c r="L750" s="36">
        <v>0</v>
      </c>
      <c r="M750" s="36">
        <v>0</v>
      </c>
      <c r="N750" s="36">
        <v>0</v>
      </c>
    </row>
    <row r="751" spans="1:14" x14ac:dyDescent="0.35">
      <c r="A751" s="3" t="s">
        <v>317</v>
      </c>
      <c r="B751" s="4">
        <v>101</v>
      </c>
      <c r="C751" s="5">
        <v>62335</v>
      </c>
      <c r="D751" s="3" t="s">
        <v>428</v>
      </c>
      <c r="E751" s="16">
        <v>69.989999999999995</v>
      </c>
      <c r="F751" s="16">
        <v>40.963850000000001</v>
      </c>
      <c r="G751" s="36">
        <v>0</v>
      </c>
      <c r="H751" s="36">
        <v>0</v>
      </c>
      <c r="I751" s="36">
        <v>0</v>
      </c>
      <c r="J751" s="36">
        <v>0</v>
      </c>
      <c r="K751" s="36">
        <v>0</v>
      </c>
      <c r="L751" s="36">
        <v>0</v>
      </c>
      <c r="M751" s="36">
        <v>0</v>
      </c>
      <c r="N751" s="36">
        <v>0</v>
      </c>
    </row>
    <row r="752" spans="1:14" x14ac:dyDescent="0.35">
      <c r="A752" s="3" t="s">
        <v>876</v>
      </c>
      <c r="B752" s="4">
        <v>104</v>
      </c>
      <c r="C752" s="5">
        <v>62357</v>
      </c>
      <c r="D752" s="3" t="s">
        <v>896</v>
      </c>
      <c r="E752" s="16">
        <v>30.99</v>
      </c>
      <c r="F752" s="16">
        <v>18.4375</v>
      </c>
      <c r="G752" s="36">
        <v>0</v>
      </c>
      <c r="H752" s="36">
        <v>0</v>
      </c>
      <c r="I752" s="36">
        <v>0</v>
      </c>
      <c r="J752" s="36">
        <v>0</v>
      </c>
      <c r="K752" s="36">
        <v>0</v>
      </c>
      <c r="L752" s="36">
        <v>0</v>
      </c>
      <c r="M752" s="36">
        <v>0</v>
      </c>
      <c r="N752" s="36">
        <v>0</v>
      </c>
    </row>
    <row r="753" spans="1:14" x14ac:dyDescent="0.35">
      <c r="A753" s="3" t="s">
        <v>876</v>
      </c>
      <c r="B753" s="4">
        <v>104</v>
      </c>
      <c r="C753" s="5">
        <v>62358</v>
      </c>
      <c r="D753" s="3" t="s">
        <v>897</v>
      </c>
      <c r="E753" s="16">
        <v>30.99</v>
      </c>
      <c r="F753" s="16">
        <v>18.4375</v>
      </c>
      <c r="G753" s="36">
        <v>0</v>
      </c>
      <c r="H753" s="36">
        <v>0</v>
      </c>
      <c r="I753" s="36">
        <v>0</v>
      </c>
      <c r="J753" s="36">
        <v>0</v>
      </c>
      <c r="K753" s="36">
        <v>0</v>
      </c>
      <c r="L753" s="36">
        <v>0</v>
      </c>
      <c r="M753" s="36">
        <v>0</v>
      </c>
      <c r="N753" s="36">
        <v>0</v>
      </c>
    </row>
    <row r="754" spans="1:14" x14ac:dyDescent="0.35">
      <c r="A754" s="3" t="s">
        <v>876</v>
      </c>
      <c r="B754" s="4">
        <v>104</v>
      </c>
      <c r="C754" s="5">
        <v>62359</v>
      </c>
      <c r="D754" s="3" t="s">
        <v>898</v>
      </c>
      <c r="E754" s="16">
        <v>30.99</v>
      </c>
      <c r="F754" s="16">
        <v>18.4375</v>
      </c>
      <c r="G754" s="36">
        <v>0</v>
      </c>
      <c r="H754" s="36">
        <v>0</v>
      </c>
      <c r="I754" s="36">
        <v>0</v>
      </c>
      <c r="J754" s="36">
        <v>0</v>
      </c>
      <c r="K754" s="36">
        <v>0</v>
      </c>
      <c r="L754" s="36">
        <v>0</v>
      </c>
      <c r="M754" s="36">
        <v>0</v>
      </c>
      <c r="N754" s="36">
        <v>0</v>
      </c>
    </row>
    <row r="755" spans="1:14" x14ac:dyDescent="0.35">
      <c r="A755" s="3" t="s">
        <v>876</v>
      </c>
      <c r="B755" s="4">
        <v>104</v>
      </c>
      <c r="C755" s="5">
        <v>62360</v>
      </c>
      <c r="D755" s="3" t="s">
        <v>899</v>
      </c>
      <c r="E755" s="16">
        <v>30.99</v>
      </c>
      <c r="F755" s="16">
        <v>18.4375</v>
      </c>
      <c r="G755" s="36">
        <v>0</v>
      </c>
      <c r="H755" s="36">
        <v>0</v>
      </c>
      <c r="I755" s="36">
        <v>0</v>
      </c>
      <c r="J755" s="36">
        <v>0</v>
      </c>
      <c r="K755" s="36">
        <v>0</v>
      </c>
      <c r="L755" s="36">
        <v>0</v>
      </c>
      <c r="M755" s="36">
        <v>0</v>
      </c>
      <c r="N755" s="36">
        <v>0</v>
      </c>
    </row>
    <row r="756" spans="1:14" x14ac:dyDescent="0.35">
      <c r="A756" s="3" t="s">
        <v>14</v>
      </c>
      <c r="B756" s="4">
        <v>101</v>
      </c>
      <c r="C756" s="5">
        <v>62390</v>
      </c>
      <c r="D756" s="3" t="s">
        <v>67</v>
      </c>
      <c r="E756" s="16">
        <v>19.989999999999998</v>
      </c>
      <c r="F756" s="16">
        <v>7.43</v>
      </c>
      <c r="G756" s="36">
        <v>0</v>
      </c>
      <c r="H756" s="36">
        <v>0</v>
      </c>
      <c r="I756" s="36">
        <v>0</v>
      </c>
      <c r="J756" s="36">
        <v>0</v>
      </c>
      <c r="K756" s="36">
        <v>0</v>
      </c>
      <c r="L756" s="36">
        <v>0</v>
      </c>
      <c r="M756" s="36">
        <v>0</v>
      </c>
      <c r="N756" s="36">
        <v>0</v>
      </c>
    </row>
    <row r="757" spans="1:14" x14ac:dyDescent="0.35">
      <c r="A757" s="3" t="s">
        <v>14</v>
      </c>
      <c r="B757" s="4">
        <v>119</v>
      </c>
      <c r="C757" s="5">
        <v>62457</v>
      </c>
      <c r="D757" s="3" t="s">
        <v>270</v>
      </c>
      <c r="E757" s="16">
        <v>100</v>
      </c>
      <c r="F757" s="16">
        <v>53.89</v>
      </c>
      <c r="G757" s="36">
        <v>0</v>
      </c>
      <c r="H757" s="36">
        <v>0</v>
      </c>
      <c r="I757" s="36">
        <v>0</v>
      </c>
      <c r="J757" s="36">
        <v>0</v>
      </c>
      <c r="K757" s="36">
        <v>0</v>
      </c>
      <c r="L757" s="36">
        <v>0</v>
      </c>
      <c r="M757" s="36">
        <v>0</v>
      </c>
      <c r="N757" s="36">
        <v>0</v>
      </c>
    </row>
    <row r="758" spans="1:14" x14ac:dyDescent="0.35">
      <c r="A758" s="3" t="s">
        <v>367</v>
      </c>
      <c r="B758" s="4">
        <v>116</v>
      </c>
      <c r="C758" s="5">
        <v>62479</v>
      </c>
      <c r="D758" s="3" t="s">
        <v>429</v>
      </c>
      <c r="E758" s="16">
        <v>35</v>
      </c>
      <c r="F758" s="16">
        <v>18.32</v>
      </c>
      <c r="G758" s="36">
        <v>0</v>
      </c>
      <c r="H758" s="36">
        <v>0</v>
      </c>
      <c r="I758" s="36">
        <v>0</v>
      </c>
      <c r="J758" s="36">
        <v>0</v>
      </c>
      <c r="K758" s="36">
        <v>0</v>
      </c>
      <c r="L758" s="36">
        <v>0</v>
      </c>
      <c r="M758" s="36">
        <v>0</v>
      </c>
      <c r="N758" s="36">
        <v>0</v>
      </c>
    </row>
    <row r="759" spans="1:14" x14ac:dyDescent="0.35">
      <c r="A759" s="3" t="s">
        <v>371</v>
      </c>
      <c r="B759" s="4">
        <v>119</v>
      </c>
      <c r="C759" s="5">
        <v>62480</v>
      </c>
      <c r="D759" s="3" t="s">
        <v>430</v>
      </c>
      <c r="E759" s="16">
        <v>223.99</v>
      </c>
      <c r="F759" s="16">
        <v>116.533</v>
      </c>
      <c r="G759" s="36">
        <v>0</v>
      </c>
      <c r="H759" s="36">
        <v>0</v>
      </c>
      <c r="I759" s="36">
        <v>0</v>
      </c>
      <c r="J759" s="36">
        <v>0</v>
      </c>
      <c r="K759" s="36">
        <v>0</v>
      </c>
      <c r="L759" s="36">
        <v>0</v>
      </c>
      <c r="M759" s="36">
        <v>0</v>
      </c>
      <c r="N759" s="36">
        <v>0</v>
      </c>
    </row>
    <row r="760" spans="1:14" x14ac:dyDescent="0.35">
      <c r="A760" s="3" t="s">
        <v>371</v>
      </c>
      <c r="B760" s="4">
        <v>119</v>
      </c>
      <c r="C760" s="5">
        <v>62481</v>
      </c>
      <c r="D760" s="3" t="s">
        <v>431</v>
      </c>
      <c r="E760" s="16">
        <v>66.989999999999995</v>
      </c>
      <c r="F760" s="16">
        <v>35.230000000000004</v>
      </c>
      <c r="G760" s="36">
        <v>0</v>
      </c>
      <c r="H760" s="36">
        <v>0</v>
      </c>
      <c r="I760" s="36">
        <v>0</v>
      </c>
      <c r="J760" s="36">
        <v>0</v>
      </c>
      <c r="K760" s="36">
        <v>0</v>
      </c>
      <c r="L760" s="36">
        <v>0</v>
      </c>
      <c r="M760" s="36">
        <v>0</v>
      </c>
      <c r="N760" s="36">
        <v>0</v>
      </c>
    </row>
    <row r="761" spans="1:14" x14ac:dyDescent="0.35">
      <c r="A761" s="3" t="s">
        <v>371</v>
      </c>
      <c r="B761" s="4">
        <v>119</v>
      </c>
      <c r="C761" s="5">
        <v>62482</v>
      </c>
      <c r="D761" s="3" t="s">
        <v>432</v>
      </c>
      <c r="E761" s="16">
        <v>56.99</v>
      </c>
      <c r="F761" s="16">
        <v>29.61</v>
      </c>
      <c r="G761" s="36">
        <v>0</v>
      </c>
      <c r="H761" s="36">
        <v>0</v>
      </c>
      <c r="I761" s="36">
        <v>0</v>
      </c>
      <c r="J761" s="36">
        <v>0</v>
      </c>
      <c r="K761" s="36">
        <v>0</v>
      </c>
      <c r="L761" s="36">
        <v>0</v>
      </c>
      <c r="M761" s="36">
        <v>0</v>
      </c>
      <c r="N761" s="36">
        <v>0</v>
      </c>
    </row>
    <row r="762" spans="1:14" x14ac:dyDescent="0.35">
      <c r="A762" s="3" t="s">
        <v>371</v>
      </c>
      <c r="B762" s="4">
        <v>119</v>
      </c>
      <c r="C762" s="5">
        <v>62483</v>
      </c>
      <c r="D762" s="3" t="s">
        <v>433</v>
      </c>
      <c r="E762" s="16">
        <v>115.99</v>
      </c>
      <c r="F762" s="16">
        <v>60.598333333333329</v>
      </c>
      <c r="G762" s="36">
        <v>0</v>
      </c>
      <c r="H762" s="36">
        <v>0</v>
      </c>
      <c r="I762" s="36">
        <v>0</v>
      </c>
      <c r="J762" s="36">
        <v>0</v>
      </c>
      <c r="K762" s="36">
        <v>0</v>
      </c>
      <c r="L762" s="36">
        <v>0</v>
      </c>
      <c r="M762" s="36">
        <v>0</v>
      </c>
      <c r="N762" s="36">
        <v>0</v>
      </c>
    </row>
    <row r="763" spans="1:14" x14ac:dyDescent="0.35">
      <c r="A763" s="3" t="s">
        <v>14</v>
      </c>
      <c r="B763" s="4">
        <v>102</v>
      </c>
      <c r="C763" s="5">
        <v>62499</v>
      </c>
      <c r="D763" s="3" t="s">
        <v>142</v>
      </c>
      <c r="E763" s="16">
        <v>12.99</v>
      </c>
      <c r="F763" s="16">
        <v>6.69</v>
      </c>
      <c r="G763" s="36">
        <v>0</v>
      </c>
      <c r="H763" s="36">
        <v>0</v>
      </c>
      <c r="I763" s="36">
        <v>0</v>
      </c>
      <c r="J763" s="36">
        <v>0</v>
      </c>
      <c r="K763" s="36">
        <v>0</v>
      </c>
      <c r="L763" s="36">
        <v>0</v>
      </c>
      <c r="M763" s="36">
        <v>0</v>
      </c>
      <c r="N763" s="36">
        <v>0</v>
      </c>
    </row>
    <row r="764" spans="1:14" x14ac:dyDescent="0.35">
      <c r="A764" s="3" t="s">
        <v>876</v>
      </c>
      <c r="B764" s="4">
        <v>104</v>
      </c>
      <c r="C764" s="5">
        <v>62576</v>
      </c>
      <c r="D764" s="3" t="s">
        <v>900</v>
      </c>
      <c r="E764" s="16">
        <v>26.99</v>
      </c>
      <c r="F764" s="16">
        <v>16.5</v>
      </c>
      <c r="G764" s="36">
        <v>0</v>
      </c>
      <c r="H764" s="36">
        <v>0</v>
      </c>
      <c r="I764" s="36">
        <v>0</v>
      </c>
      <c r="J764" s="36">
        <v>0</v>
      </c>
      <c r="K764" s="36">
        <v>0</v>
      </c>
      <c r="L764" s="36">
        <v>0</v>
      </c>
      <c r="M764" s="36">
        <v>0</v>
      </c>
      <c r="N764" s="36">
        <v>0</v>
      </c>
    </row>
    <row r="765" spans="1:14" x14ac:dyDescent="0.35">
      <c r="A765" s="3" t="s">
        <v>876</v>
      </c>
      <c r="B765" s="4">
        <v>104</v>
      </c>
      <c r="C765" s="5">
        <v>62577</v>
      </c>
      <c r="D765" s="3" t="s">
        <v>901</v>
      </c>
      <c r="E765" s="16">
        <v>22.99</v>
      </c>
      <c r="F765" s="16">
        <v>12</v>
      </c>
      <c r="G765" s="36">
        <v>0</v>
      </c>
      <c r="H765" s="36">
        <v>0</v>
      </c>
      <c r="I765" s="36">
        <v>0</v>
      </c>
      <c r="J765" s="36">
        <v>0</v>
      </c>
      <c r="K765" s="36">
        <v>0</v>
      </c>
      <c r="L765" s="36">
        <v>0</v>
      </c>
      <c r="M765" s="36">
        <v>0</v>
      </c>
      <c r="N765" s="36">
        <v>0</v>
      </c>
    </row>
    <row r="766" spans="1:14" x14ac:dyDescent="0.35">
      <c r="A766" s="3" t="s">
        <v>876</v>
      </c>
      <c r="B766" s="4">
        <v>104</v>
      </c>
      <c r="C766" s="5">
        <v>62578</v>
      </c>
      <c r="D766" s="3" t="s">
        <v>902</v>
      </c>
      <c r="E766" s="16">
        <v>26.99</v>
      </c>
      <c r="F766" s="16">
        <v>16.5</v>
      </c>
      <c r="G766" s="36">
        <v>0</v>
      </c>
      <c r="H766" s="36">
        <v>0</v>
      </c>
      <c r="I766" s="36">
        <v>0</v>
      </c>
      <c r="J766" s="36">
        <v>0</v>
      </c>
      <c r="K766" s="36">
        <v>0</v>
      </c>
      <c r="L766" s="36">
        <v>0</v>
      </c>
      <c r="M766" s="36">
        <v>0</v>
      </c>
      <c r="N766" s="36">
        <v>0</v>
      </c>
    </row>
    <row r="767" spans="1:14" x14ac:dyDescent="0.35">
      <c r="A767" s="3" t="s">
        <v>14</v>
      </c>
      <c r="B767" s="4">
        <v>120</v>
      </c>
      <c r="C767" s="5">
        <v>62585</v>
      </c>
      <c r="D767" s="3" t="s">
        <v>281</v>
      </c>
      <c r="E767" s="16">
        <v>60</v>
      </c>
      <c r="F767" s="16">
        <v>26.17</v>
      </c>
      <c r="G767" s="36">
        <v>0</v>
      </c>
      <c r="H767" s="36">
        <v>0</v>
      </c>
      <c r="I767" s="36">
        <v>6217.391304347826</v>
      </c>
      <c r="J767" s="36">
        <v>130</v>
      </c>
      <c r="K767" s="36">
        <v>0</v>
      </c>
      <c r="L767" s="36">
        <v>0</v>
      </c>
      <c r="M767" s="36">
        <v>0</v>
      </c>
      <c r="N767" s="36">
        <v>0</v>
      </c>
    </row>
    <row r="768" spans="1:14" x14ac:dyDescent="0.35">
      <c r="A768" s="3" t="s">
        <v>14</v>
      </c>
      <c r="B768" s="4">
        <v>109</v>
      </c>
      <c r="C768" s="5">
        <v>62614</v>
      </c>
      <c r="D768" s="3" t="s">
        <v>249</v>
      </c>
      <c r="E768" s="16">
        <v>7.99</v>
      </c>
      <c r="F768" s="16">
        <v>5.54</v>
      </c>
      <c r="G768" s="36">
        <v>0</v>
      </c>
      <c r="H768" s="36">
        <v>0</v>
      </c>
      <c r="I768" s="36">
        <v>0</v>
      </c>
      <c r="J768" s="36">
        <v>0</v>
      </c>
      <c r="K768" s="36">
        <v>0</v>
      </c>
      <c r="L768" s="36">
        <v>0</v>
      </c>
      <c r="M768" s="36">
        <v>0</v>
      </c>
      <c r="N768" s="36">
        <v>0</v>
      </c>
    </row>
    <row r="769" spans="1:14" x14ac:dyDescent="0.35">
      <c r="A769" s="3" t="s">
        <v>14</v>
      </c>
      <c r="B769" s="4">
        <v>119</v>
      </c>
      <c r="C769" s="5">
        <v>62620</v>
      </c>
      <c r="D769" s="3" t="s">
        <v>268</v>
      </c>
      <c r="E769" s="16">
        <v>65.989999999999995</v>
      </c>
      <c r="F769" s="16">
        <v>46.29</v>
      </c>
      <c r="G769" s="36">
        <v>0</v>
      </c>
      <c r="H769" s="36">
        <v>0</v>
      </c>
      <c r="I769" s="36">
        <v>0</v>
      </c>
      <c r="J769" s="36">
        <v>0</v>
      </c>
      <c r="K769" s="36">
        <v>0</v>
      </c>
      <c r="L769" s="36">
        <v>0</v>
      </c>
      <c r="M769" s="36">
        <v>0</v>
      </c>
      <c r="N769" s="36">
        <v>0</v>
      </c>
    </row>
    <row r="770" spans="1:14" x14ac:dyDescent="0.35">
      <c r="A770" s="3" t="s">
        <v>14</v>
      </c>
      <c r="B770" s="4">
        <v>101</v>
      </c>
      <c r="C770" s="5">
        <v>62621</v>
      </c>
      <c r="D770" s="3" t="s">
        <v>79</v>
      </c>
      <c r="E770" s="16">
        <v>26.99</v>
      </c>
      <c r="F770" s="16">
        <v>14.15</v>
      </c>
      <c r="G770" s="36">
        <v>0</v>
      </c>
      <c r="H770" s="36">
        <v>0</v>
      </c>
      <c r="I770" s="36">
        <v>0</v>
      </c>
      <c r="J770" s="36">
        <v>0</v>
      </c>
      <c r="K770" s="36">
        <v>0</v>
      </c>
      <c r="L770" s="36">
        <v>0</v>
      </c>
      <c r="M770" s="36">
        <v>0</v>
      </c>
      <c r="N770" s="36">
        <v>0</v>
      </c>
    </row>
    <row r="771" spans="1:14" x14ac:dyDescent="0.35">
      <c r="A771" s="3" t="s">
        <v>14</v>
      </c>
      <c r="B771" s="4">
        <v>101</v>
      </c>
      <c r="C771" s="5">
        <v>62622</v>
      </c>
      <c r="D771" s="3" t="s">
        <v>70</v>
      </c>
      <c r="E771" s="16">
        <v>26.99</v>
      </c>
      <c r="F771" s="16">
        <v>14.15</v>
      </c>
      <c r="G771" s="36">
        <v>70.408695652173918</v>
      </c>
      <c r="H771" s="36">
        <v>3</v>
      </c>
      <c r="I771" s="36">
        <v>0</v>
      </c>
      <c r="J771" s="36">
        <v>0</v>
      </c>
      <c r="K771" s="36">
        <v>91.530434782608694</v>
      </c>
      <c r="L771" s="36">
        <v>4</v>
      </c>
      <c r="M771" s="36">
        <v>23.469565217391303</v>
      </c>
      <c r="N771" s="36">
        <v>1</v>
      </c>
    </row>
    <row r="772" spans="1:14" x14ac:dyDescent="0.35">
      <c r="A772" s="3" t="s">
        <v>14</v>
      </c>
      <c r="B772" s="4">
        <v>102</v>
      </c>
      <c r="C772" s="5">
        <v>62623</v>
      </c>
      <c r="D772" s="3" t="s">
        <v>165</v>
      </c>
      <c r="E772" s="16">
        <v>15.99</v>
      </c>
      <c r="F772" s="16">
        <v>8.31</v>
      </c>
      <c r="G772" s="36">
        <v>0</v>
      </c>
      <c r="H772" s="36">
        <v>0</v>
      </c>
      <c r="I772" s="36">
        <v>0</v>
      </c>
      <c r="J772" s="36">
        <v>0</v>
      </c>
      <c r="K772" s="36">
        <v>0</v>
      </c>
      <c r="L772" s="36">
        <v>0</v>
      </c>
      <c r="M772" s="36">
        <v>0</v>
      </c>
      <c r="N772" s="36">
        <v>0</v>
      </c>
    </row>
    <row r="773" spans="1:14" x14ac:dyDescent="0.35">
      <c r="A773" s="3" t="s">
        <v>14</v>
      </c>
      <c r="B773" s="4">
        <v>101</v>
      </c>
      <c r="C773" s="5">
        <v>62627</v>
      </c>
      <c r="D773" s="3" t="s">
        <v>80</v>
      </c>
      <c r="E773" s="16">
        <v>20.99</v>
      </c>
      <c r="F773" s="16">
        <v>12.88</v>
      </c>
      <c r="G773" s="36">
        <v>0</v>
      </c>
      <c r="H773" s="36">
        <v>0</v>
      </c>
      <c r="I773" s="36">
        <v>0</v>
      </c>
      <c r="J773" s="36">
        <v>0</v>
      </c>
      <c r="K773" s="36">
        <v>0</v>
      </c>
      <c r="L773" s="36">
        <v>0</v>
      </c>
      <c r="M773" s="36">
        <v>0</v>
      </c>
      <c r="N773" s="36">
        <v>0</v>
      </c>
    </row>
    <row r="774" spans="1:14" x14ac:dyDescent="0.35">
      <c r="A774" s="3" t="s">
        <v>14</v>
      </c>
      <c r="B774" s="4">
        <v>120</v>
      </c>
      <c r="C774" s="5">
        <v>62629</v>
      </c>
      <c r="D774" s="3" t="s">
        <v>282</v>
      </c>
      <c r="E774" s="16">
        <v>60</v>
      </c>
      <c r="F774" s="16">
        <v>33.18</v>
      </c>
      <c r="G774" s="36">
        <v>0</v>
      </c>
      <c r="H774" s="36">
        <v>0</v>
      </c>
      <c r="I774" s="36">
        <v>1043.4782608695652</v>
      </c>
      <c r="J774" s="36">
        <v>20</v>
      </c>
      <c r="K774" s="36">
        <v>0</v>
      </c>
      <c r="L774" s="36">
        <v>0</v>
      </c>
      <c r="M774" s="36">
        <v>0</v>
      </c>
      <c r="N774" s="36">
        <v>0</v>
      </c>
    </row>
    <row r="775" spans="1:14" x14ac:dyDescent="0.35">
      <c r="A775" s="3" t="s">
        <v>317</v>
      </c>
      <c r="B775" s="4">
        <v>101</v>
      </c>
      <c r="C775" s="5">
        <v>62692</v>
      </c>
      <c r="D775" s="3" t="s">
        <v>434</v>
      </c>
      <c r="E775" s="16">
        <v>69.989999999999995</v>
      </c>
      <c r="F775" s="16">
        <v>43.867849999999997</v>
      </c>
      <c r="G775" s="36">
        <v>0</v>
      </c>
      <c r="H775" s="36">
        <v>0</v>
      </c>
      <c r="I775" s="36">
        <v>0</v>
      </c>
      <c r="J775" s="36">
        <v>0</v>
      </c>
      <c r="K775" s="36">
        <v>57.817391304347822</v>
      </c>
      <c r="L775" s="36">
        <v>1</v>
      </c>
      <c r="M775" s="36">
        <v>0</v>
      </c>
      <c r="N775" s="36">
        <v>0</v>
      </c>
    </row>
    <row r="776" spans="1:14" x14ac:dyDescent="0.35">
      <c r="A776" s="3" t="s">
        <v>14</v>
      </c>
      <c r="B776" s="4">
        <v>101</v>
      </c>
      <c r="C776" s="5">
        <v>62788</v>
      </c>
      <c r="D776" s="3" t="s">
        <v>46</v>
      </c>
      <c r="E776" s="16">
        <v>26.99</v>
      </c>
      <c r="F776" s="16">
        <v>10.66</v>
      </c>
      <c r="G776" s="36">
        <v>0</v>
      </c>
      <c r="H776" s="36">
        <v>0</v>
      </c>
      <c r="I776" s="36">
        <v>0</v>
      </c>
      <c r="J776" s="36">
        <v>0</v>
      </c>
      <c r="K776" s="36">
        <v>0</v>
      </c>
      <c r="L776" s="36">
        <v>0</v>
      </c>
      <c r="M776" s="36">
        <v>0</v>
      </c>
      <c r="N776" s="36">
        <v>0</v>
      </c>
    </row>
    <row r="777" spans="1:14" x14ac:dyDescent="0.35">
      <c r="A777" s="3" t="s">
        <v>903</v>
      </c>
      <c r="B777" s="4">
        <v>109</v>
      </c>
      <c r="C777" s="5">
        <v>62856</v>
      </c>
      <c r="D777" s="3" t="s">
        <v>904</v>
      </c>
      <c r="E777" s="16">
        <v>200</v>
      </c>
      <c r="F777" s="16">
        <v>150</v>
      </c>
      <c r="G777" s="36">
        <v>0</v>
      </c>
      <c r="H777" s="36">
        <v>0</v>
      </c>
      <c r="I777" s="36">
        <v>0</v>
      </c>
      <c r="J777" s="36">
        <v>0</v>
      </c>
      <c r="K777" s="36">
        <v>0</v>
      </c>
      <c r="L777" s="36">
        <v>0</v>
      </c>
      <c r="M777" s="36">
        <v>0</v>
      </c>
      <c r="N777" s="36">
        <v>0</v>
      </c>
    </row>
    <row r="778" spans="1:14" x14ac:dyDescent="0.35">
      <c r="A778" s="3" t="s">
        <v>903</v>
      </c>
      <c r="B778" s="4">
        <v>109</v>
      </c>
      <c r="C778" s="5">
        <v>62857</v>
      </c>
      <c r="D778" s="3" t="s">
        <v>905</v>
      </c>
      <c r="E778" s="16">
        <v>200</v>
      </c>
      <c r="F778" s="16">
        <v>150</v>
      </c>
      <c r="G778" s="36">
        <v>0</v>
      </c>
      <c r="H778" s="36">
        <v>0</v>
      </c>
      <c r="I778" s="36">
        <v>0</v>
      </c>
      <c r="J778" s="36">
        <v>0</v>
      </c>
      <c r="K778" s="36">
        <v>0</v>
      </c>
      <c r="L778" s="36">
        <v>0</v>
      </c>
      <c r="M778" s="36">
        <v>0</v>
      </c>
      <c r="N778" s="36">
        <v>0</v>
      </c>
    </row>
    <row r="779" spans="1:14" x14ac:dyDescent="0.35">
      <c r="A779" s="3" t="s">
        <v>903</v>
      </c>
      <c r="B779" s="4">
        <v>109</v>
      </c>
      <c r="C779" s="5">
        <v>62858</v>
      </c>
      <c r="D779" s="3" t="s">
        <v>906</v>
      </c>
      <c r="E779" s="16">
        <v>200</v>
      </c>
      <c r="F779" s="16">
        <v>150</v>
      </c>
      <c r="G779" s="36">
        <v>0</v>
      </c>
      <c r="H779" s="36">
        <v>0</v>
      </c>
      <c r="I779" s="36">
        <v>0</v>
      </c>
      <c r="J779" s="36">
        <v>0</v>
      </c>
      <c r="K779" s="36">
        <v>0</v>
      </c>
      <c r="L779" s="36">
        <v>0</v>
      </c>
      <c r="M779" s="36">
        <v>0</v>
      </c>
      <c r="N779" s="36">
        <v>0</v>
      </c>
    </row>
    <row r="780" spans="1:14" x14ac:dyDescent="0.35">
      <c r="A780" s="3" t="s">
        <v>903</v>
      </c>
      <c r="B780" s="4">
        <v>109</v>
      </c>
      <c r="C780" s="5">
        <v>62859</v>
      </c>
      <c r="D780" s="3" t="s">
        <v>907</v>
      </c>
      <c r="E780" s="16">
        <v>95</v>
      </c>
      <c r="F780" s="16">
        <v>70</v>
      </c>
      <c r="G780" s="36">
        <v>0</v>
      </c>
      <c r="H780" s="36">
        <v>0</v>
      </c>
      <c r="I780" s="36">
        <v>0</v>
      </c>
      <c r="J780" s="36">
        <v>0</v>
      </c>
      <c r="K780" s="36">
        <v>0</v>
      </c>
      <c r="L780" s="36">
        <v>0</v>
      </c>
      <c r="M780" s="36">
        <v>0</v>
      </c>
      <c r="N780" s="36">
        <v>0</v>
      </c>
    </row>
    <row r="781" spans="1:14" x14ac:dyDescent="0.35">
      <c r="A781" s="3" t="s">
        <v>359</v>
      </c>
      <c r="B781" s="4">
        <v>103</v>
      </c>
      <c r="C781" s="5">
        <v>62864</v>
      </c>
      <c r="D781" s="3" t="s">
        <v>694</v>
      </c>
      <c r="E781" s="16">
        <v>76.989999999999995</v>
      </c>
      <c r="F781" s="16">
        <v>43.054499999999997</v>
      </c>
      <c r="G781" s="36">
        <v>0</v>
      </c>
      <c r="H781" s="36">
        <v>0</v>
      </c>
      <c r="I781" s="36">
        <v>0</v>
      </c>
      <c r="J781" s="36">
        <v>0</v>
      </c>
      <c r="K781" s="36">
        <v>0</v>
      </c>
      <c r="L781" s="36">
        <v>0</v>
      </c>
      <c r="M781" s="36">
        <v>0</v>
      </c>
      <c r="N781" s="36">
        <v>0</v>
      </c>
    </row>
    <row r="782" spans="1:14" x14ac:dyDescent="0.35">
      <c r="A782" s="3" t="s">
        <v>371</v>
      </c>
      <c r="B782" s="4">
        <v>119</v>
      </c>
      <c r="C782" s="5">
        <v>62932</v>
      </c>
      <c r="D782" s="3" t="s">
        <v>435</v>
      </c>
      <c r="E782" s="16">
        <v>66.989999999999995</v>
      </c>
      <c r="F782" s="16">
        <v>34.54</v>
      </c>
      <c r="G782" s="36">
        <v>0</v>
      </c>
      <c r="H782" s="36">
        <v>0</v>
      </c>
      <c r="I782" s="36">
        <v>0</v>
      </c>
      <c r="J782" s="36">
        <v>0</v>
      </c>
      <c r="K782" s="36">
        <v>0</v>
      </c>
      <c r="L782" s="36">
        <v>0</v>
      </c>
      <c r="M782" s="36">
        <v>0</v>
      </c>
      <c r="N782" s="36">
        <v>0</v>
      </c>
    </row>
    <row r="783" spans="1:14" x14ac:dyDescent="0.35">
      <c r="A783" s="3" t="s">
        <v>371</v>
      </c>
      <c r="B783" s="4">
        <v>103</v>
      </c>
      <c r="C783" s="5">
        <v>62933</v>
      </c>
      <c r="D783" s="3" t="s">
        <v>908</v>
      </c>
      <c r="E783" s="16">
        <v>258.99</v>
      </c>
      <c r="F783" s="16">
        <v>133.38</v>
      </c>
      <c r="G783" s="36">
        <v>0</v>
      </c>
      <c r="H783" s="36">
        <v>0</v>
      </c>
      <c r="I783" s="36">
        <v>0</v>
      </c>
      <c r="J783" s="36">
        <v>0</v>
      </c>
      <c r="K783" s="36">
        <v>0</v>
      </c>
      <c r="L783" s="36">
        <v>0</v>
      </c>
      <c r="M783" s="36">
        <v>0</v>
      </c>
      <c r="N783" s="36">
        <v>0</v>
      </c>
    </row>
    <row r="784" spans="1:14" x14ac:dyDescent="0.35">
      <c r="A784" s="3" t="s">
        <v>356</v>
      </c>
      <c r="B784" s="4">
        <v>103</v>
      </c>
      <c r="C784" s="5">
        <v>62993</v>
      </c>
      <c r="D784" s="3" t="s">
        <v>909</v>
      </c>
      <c r="E784" s="16">
        <v>136.99</v>
      </c>
      <c r="F784" s="16">
        <v>73.599999999999994</v>
      </c>
      <c r="G784" s="36">
        <v>0</v>
      </c>
      <c r="H784" s="36">
        <v>0</v>
      </c>
      <c r="I784" s="36">
        <v>0</v>
      </c>
      <c r="J784" s="36">
        <v>0</v>
      </c>
      <c r="K784" s="36">
        <v>0</v>
      </c>
      <c r="L784" s="36">
        <v>0</v>
      </c>
      <c r="M784" s="36">
        <v>0</v>
      </c>
      <c r="N784" s="36">
        <v>0</v>
      </c>
    </row>
    <row r="785" spans="1:14" x14ac:dyDescent="0.35">
      <c r="A785" s="3" t="s">
        <v>14</v>
      </c>
      <c r="B785" s="4">
        <v>102</v>
      </c>
      <c r="C785" s="5">
        <v>63394</v>
      </c>
      <c r="D785" s="3" t="s">
        <v>138</v>
      </c>
      <c r="E785" s="16">
        <v>26.97</v>
      </c>
      <c r="F785" s="16">
        <v>13.68</v>
      </c>
      <c r="G785" s="36">
        <v>0</v>
      </c>
      <c r="H785" s="36">
        <v>0</v>
      </c>
      <c r="I785" s="36">
        <v>0</v>
      </c>
      <c r="J785" s="36">
        <v>0</v>
      </c>
      <c r="K785" s="36">
        <v>0</v>
      </c>
      <c r="L785" s="36">
        <v>0</v>
      </c>
      <c r="M785" s="36">
        <v>0</v>
      </c>
      <c r="N785" s="36">
        <v>0</v>
      </c>
    </row>
    <row r="786" spans="1:14" x14ac:dyDescent="0.35">
      <c r="A786" s="3" t="s">
        <v>317</v>
      </c>
      <c r="B786" s="4">
        <v>101</v>
      </c>
      <c r="C786" s="5">
        <v>63563</v>
      </c>
      <c r="D786" s="3" t="s">
        <v>436</v>
      </c>
      <c r="E786" s="16">
        <v>38.99</v>
      </c>
      <c r="F786" s="16">
        <v>24.4</v>
      </c>
      <c r="G786" s="36">
        <v>0</v>
      </c>
      <c r="H786" s="36">
        <v>0</v>
      </c>
      <c r="I786" s="36">
        <v>0</v>
      </c>
      <c r="J786" s="36">
        <v>0</v>
      </c>
      <c r="K786" s="36">
        <v>0</v>
      </c>
      <c r="L786" s="36">
        <v>0</v>
      </c>
      <c r="M786" s="36">
        <v>0</v>
      </c>
      <c r="N786" s="36">
        <v>0</v>
      </c>
    </row>
    <row r="787" spans="1:14" x14ac:dyDescent="0.35">
      <c r="A787" s="3" t="s">
        <v>804</v>
      </c>
      <c r="B787" s="4">
        <v>111</v>
      </c>
      <c r="C787" s="5">
        <v>63578</v>
      </c>
      <c r="D787" s="3" t="s">
        <v>910</v>
      </c>
      <c r="E787" s="16">
        <v>34.99</v>
      </c>
      <c r="F787" s="16">
        <v>18</v>
      </c>
      <c r="G787" s="36">
        <v>0</v>
      </c>
      <c r="H787" s="36">
        <v>0</v>
      </c>
      <c r="I787" s="36">
        <v>0</v>
      </c>
      <c r="J787" s="36">
        <v>0</v>
      </c>
      <c r="K787" s="36">
        <v>0</v>
      </c>
      <c r="L787" s="36">
        <v>0</v>
      </c>
      <c r="M787" s="36">
        <v>0</v>
      </c>
      <c r="N787" s="36">
        <v>0</v>
      </c>
    </row>
    <row r="788" spans="1:14" x14ac:dyDescent="0.35">
      <c r="A788" s="3" t="s">
        <v>371</v>
      </c>
      <c r="B788" s="4">
        <v>119</v>
      </c>
      <c r="C788" s="5">
        <v>63796</v>
      </c>
      <c r="D788" s="3" t="s">
        <v>437</v>
      </c>
      <c r="E788" s="16">
        <v>33.99</v>
      </c>
      <c r="F788" s="16">
        <v>17.5</v>
      </c>
      <c r="G788" s="36">
        <v>0</v>
      </c>
      <c r="H788" s="36">
        <v>0</v>
      </c>
      <c r="I788" s="36">
        <v>0</v>
      </c>
      <c r="J788" s="36">
        <v>0</v>
      </c>
      <c r="K788" s="36">
        <v>0</v>
      </c>
      <c r="L788" s="36">
        <v>0</v>
      </c>
      <c r="M788" s="36">
        <v>0</v>
      </c>
      <c r="N788" s="36">
        <v>0</v>
      </c>
    </row>
    <row r="789" spans="1:14" x14ac:dyDescent="0.35">
      <c r="A789" s="3" t="s">
        <v>371</v>
      </c>
      <c r="B789" s="4">
        <v>119</v>
      </c>
      <c r="C789" s="5">
        <v>63797</v>
      </c>
      <c r="D789" s="3" t="s">
        <v>438</v>
      </c>
      <c r="E789" s="16">
        <v>31.99</v>
      </c>
      <c r="F789" s="16">
        <v>16.68</v>
      </c>
      <c r="G789" s="36">
        <v>0</v>
      </c>
      <c r="H789" s="36">
        <v>0</v>
      </c>
      <c r="I789" s="36">
        <v>0</v>
      </c>
      <c r="J789" s="36">
        <v>0</v>
      </c>
      <c r="K789" s="36">
        <v>0</v>
      </c>
      <c r="L789" s="36">
        <v>0</v>
      </c>
      <c r="M789" s="36">
        <v>0</v>
      </c>
      <c r="N789" s="36">
        <v>0</v>
      </c>
    </row>
    <row r="790" spans="1:14" x14ac:dyDescent="0.35">
      <c r="A790" s="3" t="s">
        <v>14</v>
      </c>
      <c r="B790" s="4">
        <v>119</v>
      </c>
      <c r="C790" s="5">
        <v>63798</v>
      </c>
      <c r="D790" s="3" t="s">
        <v>275</v>
      </c>
      <c r="E790" s="16">
        <v>79.989999999999995</v>
      </c>
      <c r="F790" s="16">
        <v>42.68</v>
      </c>
      <c r="G790" s="36">
        <v>0</v>
      </c>
      <c r="H790" s="36">
        <v>0</v>
      </c>
      <c r="I790" s="36">
        <v>0</v>
      </c>
      <c r="J790" s="36">
        <v>0</v>
      </c>
      <c r="K790" s="36">
        <v>0</v>
      </c>
      <c r="L790" s="36">
        <v>0</v>
      </c>
      <c r="M790" s="36">
        <v>0</v>
      </c>
      <c r="N790" s="36">
        <v>0</v>
      </c>
    </row>
    <row r="791" spans="1:14" x14ac:dyDescent="0.35">
      <c r="A791" s="3" t="s">
        <v>14</v>
      </c>
      <c r="B791" s="4">
        <v>101</v>
      </c>
      <c r="C791" s="5">
        <v>63800</v>
      </c>
      <c r="D791" s="3" t="s">
        <v>88</v>
      </c>
      <c r="E791" s="16">
        <v>23.99</v>
      </c>
      <c r="F791" s="16">
        <v>11.87</v>
      </c>
      <c r="G791" s="36">
        <v>0</v>
      </c>
      <c r="H791" s="36">
        <v>0</v>
      </c>
      <c r="I791" s="36">
        <v>0</v>
      </c>
      <c r="J791" s="36">
        <v>0</v>
      </c>
      <c r="K791" s="36">
        <v>0</v>
      </c>
      <c r="L791" s="36">
        <v>0</v>
      </c>
      <c r="M791" s="36">
        <v>0</v>
      </c>
      <c r="N791" s="36">
        <v>0</v>
      </c>
    </row>
    <row r="792" spans="1:14" x14ac:dyDescent="0.35">
      <c r="A792" s="3" t="s">
        <v>35</v>
      </c>
      <c r="B792" s="4">
        <v>102</v>
      </c>
      <c r="C792" s="5">
        <v>63898</v>
      </c>
      <c r="D792" s="3" t="s">
        <v>198</v>
      </c>
      <c r="E792" s="16">
        <v>330.99</v>
      </c>
      <c r="F792" s="16">
        <v>179.16</v>
      </c>
      <c r="G792" s="36">
        <v>0</v>
      </c>
      <c r="H792" s="36">
        <v>0</v>
      </c>
      <c r="I792" s="36">
        <v>0</v>
      </c>
      <c r="J792" s="36">
        <v>0</v>
      </c>
      <c r="K792" s="36">
        <v>0</v>
      </c>
      <c r="L792" s="36">
        <v>0</v>
      </c>
      <c r="M792" s="36">
        <v>0</v>
      </c>
      <c r="N792" s="36">
        <v>0</v>
      </c>
    </row>
    <row r="793" spans="1:14" x14ac:dyDescent="0.35">
      <c r="A793" s="3" t="s">
        <v>377</v>
      </c>
      <c r="B793" s="4">
        <v>117</v>
      </c>
      <c r="C793" s="5">
        <v>63920</v>
      </c>
      <c r="D793" s="3" t="s">
        <v>439</v>
      </c>
      <c r="E793" s="16">
        <v>383.99</v>
      </c>
      <c r="F793" s="16">
        <v>195</v>
      </c>
      <c r="G793" s="36">
        <v>0</v>
      </c>
      <c r="H793" s="36">
        <v>0</v>
      </c>
      <c r="I793" s="36">
        <v>0</v>
      </c>
      <c r="J793" s="36">
        <v>0</v>
      </c>
      <c r="K793" s="36">
        <v>0</v>
      </c>
      <c r="L793" s="36">
        <v>0</v>
      </c>
      <c r="M793" s="36">
        <v>0</v>
      </c>
      <c r="N793" s="36">
        <v>0</v>
      </c>
    </row>
    <row r="794" spans="1:14" x14ac:dyDescent="0.35">
      <c r="A794" s="3" t="s">
        <v>371</v>
      </c>
      <c r="B794" s="4">
        <v>101</v>
      </c>
      <c r="C794" s="5">
        <v>64097</v>
      </c>
      <c r="D794" s="3" t="s">
        <v>440</v>
      </c>
      <c r="E794" s="16">
        <v>26.99</v>
      </c>
      <c r="F794" s="16">
        <v>15.7</v>
      </c>
      <c r="G794" s="36">
        <v>0</v>
      </c>
      <c r="H794" s="36">
        <v>0</v>
      </c>
      <c r="I794" s="36">
        <v>0</v>
      </c>
      <c r="J794" s="36">
        <v>0</v>
      </c>
      <c r="K794" s="36">
        <v>0</v>
      </c>
      <c r="L794" s="36">
        <v>0</v>
      </c>
      <c r="M794" s="36">
        <v>0</v>
      </c>
      <c r="N794" s="36">
        <v>0</v>
      </c>
    </row>
    <row r="795" spans="1:14" x14ac:dyDescent="0.35">
      <c r="A795" s="3" t="s">
        <v>317</v>
      </c>
      <c r="B795" s="4">
        <v>111</v>
      </c>
      <c r="C795" s="5">
        <v>64098</v>
      </c>
      <c r="D795" s="3" t="s">
        <v>911</v>
      </c>
      <c r="E795" s="16">
        <v>199.99</v>
      </c>
      <c r="F795" s="16">
        <v>120.48191666666666</v>
      </c>
      <c r="G795" s="36">
        <v>0</v>
      </c>
      <c r="H795" s="36">
        <v>0</v>
      </c>
      <c r="I795" s="36">
        <v>0</v>
      </c>
      <c r="J795" s="36">
        <v>0</v>
      </c>
      <c r="K795" s="36">
        <v>0</v>
      </c>
      <c r="L795" s="36">
        <v>0</v>
      </c>
      <c r="M795" s="36">
        <v>0</v>
      </c>
      <c r="N795" s="36">
        <v>0</v>
      </c>
    </row>
    <row r="796" spans="1:14" x14ac:dyDescent="0.35">
      <c r="A796" s="3" t="s">
        <v>317</v>
      </c>
      <c r="B796" s="4">
        <v>111</v>
      </c>
      <c r="C796" s="5">
        <v>64099</v>
      </c>
      <c r="D796" s="3" t="s">
        <v>912</v>
      </c>
      <c r="E796" s="16">
        <v>69.989999999999995</v>
      </c>
      <c r="F796" s="16">
        <v>43.265050000000002</v>
      </c>
      <c r="G796" s="36">
        <v>0</v>
      </c>
      <c r="H796" s="36">
        <v>0</v>
      </c>
      <c r="I796" s="36">
        <v>0</v>
      </c>
      <c r="J796" s="36">
        <v>0</v>
      </c>
      <c r="K796" s="36">
        <v>0</v>
      </c>
      <c r="L796" s="36">
        <v>0</v>
      </c>
      <c r="M796" s="36">
        <v>0</v>
      </c>
      <c r="N796" s="36">
        <v>0</v>
      </c>
    </row>
    <row r="797" spans="1:14" x14ac:dyDescent="0.35">
      <c r="A797" s="3" t="s">
        <v>317</v>
      </c>
      <c r="B797" s="4">
        <v>111</v>
      </c>
      <c r="C797" s="5">
        <v>64100</v>
      </c>
      <c r="D797" s="3" t="s">
        <v>913</v>
      </c>
      <c r="E797" s="16">
        <v>69.989999999999995</v>
      </c>
      <c r="F797" s="16">
        <v>43.265050000000002</v>
      </c>
      <c r="G797" s="36">
        <v>0</v>
      </c>
      <c r="H797" s="36">
        <v>0</v>
      </c>
      <c r="I797" s="36">
        <v>0</v>
      </c>
      <c r="J797" s="36">
        <v>0</v>
      </c>
      <c r="K797" s="36">
        <v>0</v>
      </c>
      <c r="L797" s="36">
        <v>0</v>
      </c>
      <c r="M797" s="36">
        <v>0</v>
      </c>
      <c r="N797" s="36">
        <v>0</v>
      </c>
    </row>
    <row r="798" spans="1:14" x14ac:dyDescent="0.35">
      <c r="A798" s="3" t="s">
        <v>317</v>
      </c>
      <c r="B798" s="4">
        <v>111</v>
      </c>
      <c r="C798" s="5">
        <v>64101</v>
      </c>
      <c r="D798" s="3" t="s">
        <v>914</v>
      </c>
      <c r="E798" s="16">
        <v>69.989999999999995</v>
      </c>
      <c r="F798" s="16">
        <v>43.265050000000002</v>
      </c>
      <c r="G798" s="36">
        <v>0</v>
      </c>
      <c r="H798" s="36">
        <v>0</v>
      </c>
      <c r="I798" s="36">
        <v>0</v>
      </c>
      <c r="J798" s="36">
        <v>0</v>
      </c>
      <c r="K798" s="36">
        <v>0</v>
      </c>
      <c r="L798" s="36">
        <v>0</v>
      </c>
      <c r="M798" s="36">
        <v>0</v>
      </c>
      <c r="N798" s="36">
        <v>0</v>
      </c>
    </row>
    <row r="799" spans="1:14" x14ac:dyDescent="0.35">
      <c r="A799" s="3" t="s">
        <v>317</v>
      </c>
      <c r="B799" s="4">
        <v>111</v>
      </c>
      <c r="C799" s="5">
        <v>64102</v>
      </c>
      <c r="D799" s="3" t="s">
        <v>915</v>
      </c>
      <c r="E799" s="16">
        <v>89.99</v>
      </c>
      <c r="F799" s="16">
        <v>53.571416666666664</v>
      </c>
      <c r="G799" s="36">
        <v>0</v>
      </c>
      <c r="H799" s="36">
        <v>0</v>
      </c>
      <c r="I799" s="36">
        <v>0</v>
      </c>
      <c r="J799" s="36">
        <v>0</v>
      </c>
      <c r="K799" s="36">
        <v>0</v>
      </c>
      <c r="L799" s="36">
        <v>0</v>
      </c>
      <c r="M799" s="36">
        <v>0</v>
      </c>
      <c r="N799" s="36">
        <v>0</v>
      </c>
    </row>
    <row r="800" spans="1:14" x14ac:dyDescent="0.35">
      <c r="A800" s="3" t="s">
        <v>317</v>
      </c>
      <c r="B800" s="4">
        <v>111</v>
      </c>
      <c r="C800" s="5">
        <v>64103</v>
      </c>
      <c r="D800" s="3" t="s">
        <v>916</v>
      </c>
      <c r="E800" s="16">
        <v>64.989999999999995</v>
      </c>
      <c r="F800" s="16">
        <v>40.784300000000002</v>
      </c>
      <c r="G800" s="36">
        <v>0</v>
      </c>
      <c r="H800" s="36">
        <v>0</v>
      </c>
      <c r="I800" s="36">
        <v>0</v>
      </c>
      <c r="J800" s="36">
        <v>0</v>
      </c>
      <c r="K800" s="36">
        <v>0</v>
      </c>
      <c r="L800" s="36">
        <v>0</v>
      </c>
      <c r="M800" s="36">
        <v>0</v>
      </c>
      <c r="N800" s="36">
        <v>0</v>
      </c>
    </row>
    <row r="801" spans="1:14" x14ac:dyDescent="0.35">
      <c r="A801" s="3" t="s">
        <v>317</v>
      </c>
      <c r="B801" s="4">
        <v>111</v>
      </c>
      <c r="C801" s="5">
        <v>64104</v>
      </c>
      <c r="D801" s="3" t="s">
        <v>917</v>
      </c>
      <c r="E801" s="16">
        <v>42.99</v>
      </c>
      <c r="F801" s="16">
        <v>26.627216666666666</v>
      </c>
      <c r="G801" s="36">
        <v>0</v>
      </c>
      <c r="H801" s="36">
        <v>0</v>
      </c>
      <c r="I801" s="36">
        <v>0</v>
      </c>
      <c r="J801" s="36">
        <v>0</v>
      </c>
      <c r="K801" s="36">
        <v>0</v>
      </c>
      <c r="L801" s="36">
        <v>0</v>
      </c>
      <c r="M801" s="36">
        <v>0</v>
      </c>
      <c r="N801" s="36">
        <v>0</v>
      </c>
    </row>
    <row r="802" spans="1:14" x14ac:dyDescent="0.35">
      <c r="A802" s="3" t="s">
        <v>317</v>
      </c>
      <c r="B802" s="4">
        <v>111</v>
      </c>
      <c r="C802" s="5">
        <v>64105</v>
      </c>
      <c r="D802" s="3" t="s">
        <v>918</v>
      </c>
      <c r="E802" s="16">
        <v>32.99</v>
      </c>
      <c r="F802" s="16">
        <v>20.476183333333335</v>
      </c>
      <c r="G802" s="36">
        <v>0</v>
      </c>
      <c r="H802" s="36">
        <v>0</v>
      </c>
      <c r="I802" s="36">
        <v>0</v>
      </c>
      <c r="J802" s="36">
        <v>0</v>
      </c>
      <c r="K802" s="36">
        <v>0</v>
      </c>
      <c r="L802" s="36">
        <v>0</v>
      </c>
      <c r="M802" s="36">
        <v>0</v>
      </c>
      <c r="N802" s="36">
        <v>0</v>
      </c>
    </row>
    <row r="803" spans="1:14" x14ac:dyDescent="0.35">
      <c r="A803" s="3" t="s">
        <v>317</v>
      </c>
      <c r="B803" s="4">
        <v>109</v>
      </c>
      <c r="C803" s="5">
        <v>64320</v>
      </c>
      <c r="D803" s="3" t="s">
        <v>529</v>
      </c>
      <c r="E803" s="16">
        <v>35.99</v>
      </c>
      <c r="F803" s="16">
        <v>22.535209999999999</v>
      </c>
      <c r="G803" s="36">
        <v>0</v>
      </c>
      <c r="H803" s="36">
        <v>0</v>
      </c>
      <c r="I803" s="36">
        <v>0</v>
      </c>
      <c r="J803" s="36">
        <v>0</v>
      </c>
      <c r="K803" s="36">
        <v>0</v>
      </c>
      <c r="L803" s="36">
        <v>0</v>
      </c>
      <c r="M803" s="36">
        <v>0</v>
      </c>
      <c r="N803" s="36">
        <v>0</v>
      </c>
    </row>
    <row r="804" spans="1:14" x14ac:dyDescent="0.35">
      <c r="A804" s="3" t="s">
        <v>317</v>
      </c>
      <c r="B804" s="4">
        <v>109</v>
      </c>
      <c r="C804" s="5">
        <v>64321</v>
      </c>
      <c r="D804" s="3" t="s">
        <v>919</v>
      </c>
      <c r="E804" s="16">
        <v>31.99</v>
      </c>
      <c r="F804" s="16">
        <v>19.7093375</v>
      </c>
      <c r="G804" s="36">
        <v>0</v>
      </c>
      <c r="H804" s="36">
        <v>0</v>
      </c>
      <c r="I804" s="36">
        <v>27.817391304347826</v>
      </c>
      <c r="J804" s="36">
        <v>1</v>
      </c>
      <c r="K804" s="36">
        <v>54.243478260869566</v>
      </c>
      <c r="L804" s="36">
        <v>2</v>
      </c>
      <c r="M804" s="36">
        <v>111.2695652173913</v>
      </c>
      <c r="N804" s="36">
        <v>4</v>
      </c>
    </row>
    <row r="805" spans="1:14" x14ac:dyDescent="0.35">
      <c r="A805" s="3" t="s">
        <v>317</v>
      </c>
      <c r="B805" s="4">
        <v>101</v>
      </c>
      <c r="C805" s="5">
        <v>64390</v>
      </c>
      <c r="D805" s="3" t="s">
        <v>441</v>
      </c>
      <c r="E805" s="16">
        <v>199.99</v>
      </c>
      <c r="F805" s="16">
        <v>127.40941000000001</v>
      </c>
      <c r="G805" s="36">
        <v>0</v>
      </c>
      <c r="H805" s="36">
        <v>0</v>
      </c>
      <c r="I805" s="36">
        <v>0</v>
      </c>
      <c r="J805" s="36">
        <v>0</v>
      </c>
      <c r="K805" s="36">
        <v>0</v>
      </c>
      <c r="L805" s="36">
        <v>0</v>
      </c>
      <c r="M805" s="36">
        <v>0</v>
      </c>
      <c r="N805" s="36">
        <v>0</v>
      </c>
    </row>
    <row r="806" spans="1:14" x14ac:dyDescent="0.35">
      <c r="A806" s="3" t="s">
        <v>317</v>
      </c>
      <c r="B806" s="4">
        <v>101</v>
      </c>
      <c r="C806" s="5">
        <v>64391</v>
      </c>
      <c r="D806" s="3" t="s">
        <v>442</v>
      </c>
      <c r="E806" s="16">
        <v>149.99</v>
      </c>
      <c r="F806" s="16">
        <v>95.557050000000004</v>
      </c>
      <c r="G806" s="36">
        <v>0</v>
      </c>
      <c r="H806" s="36">
        <v>0</v>
      </c>
      <c r="I806" s="36">
        <v>0</v>
      </c>
      <c r="J806" s="36">
        <v>0</v>
      </c>
      <c r="K806" s="36">
        <v>0</v>
      </c>
      <c r="L806" s="36">
        <v>0</v>
      </c>
      <c r="M806" s="36">
        <v>0</v>
      </c>
      <c r="N806" s="36">
        <v>0</v>
      </c>
    </row>
    <row r="807" spans="1:14" x14ac:dyDescent="0.35">
      <c r="A807" s="3" t="s">
        <v>317</v>
      </c>
      <c r="B807" s="4">
        <v>101</v>
      </c>
      <c r="C807" s="5">
        <v>64392</v>
      </c>
      <c r="D807" s="3" t="s">
        <v>443</v>
      </c>
      <c r="E807" s="16">
        <v>119.99</v>
      </c>
      <c r="F807" s="16">
        <v>76.42528999999999</v>
      </c>
      <c r="G807" s="36">
        <v>0</v>
      </c>
      <c r="H807" s="36">
        <v>0</v>
      </c>
      <c r="I807" s="36">
        <v>0</v>
      </c>
      <c r="J807" s="36">
        <v>0</v>
      </c>
      <c r="K807" s="36">
        <v>0</v>
      </c>
      <c r="L807" s="36">
        <v>0</v>
      </c>
      <c r="M807" s="36">
        <v>0</v>
      </c>
      <c r="N807" s="36">
        <v>0</v>
      </c>
    </row>
    <row r="808" spans="1:14" x14ac:dyDescent="0.35">
      <c r="A808" s="3" t="s">
        <v>371</v>
      </c>
      <c r="B808" s="4">
        <v>103</v>
      </c>
      <c r="C808" s="5">
        <v>64393</v>
      </c>
      <c r="D808" s="3" t="s">
        <v>920</v>
      </c>
      <c r="E808" s="16">
        <v>235.99</v>
      </c>
      <c r="F808" s="16">
        <v>122.938</v>
      </c>
      <c r="G808" s="36">
        <v>0</v>
      </c>
      <c r="H808" s="36">
        <v>0</v>
      </c>
      <c r="I808" s="36">
        <v>0</v>
      </c>
      <c r="J808" s="36">
        <v>0</v>
      </c>
      <c r="K808" s="36">
        <v>0</v>
      </c>
      <c r="L808" s="36">
        <v>0</v>
      </c>
      <c r="M808" s="36">
        <v>0</v>
      </c>
      <c r="N808" s="36">
        <v>0</v>
      </c>
    </row>
    <row r="809" spans="1:14" x14ac:dyDescent="0.35">
      <c r="A809" s="3" t="s">
        <v>14</v>
      </c>
      <c r="B809" s="4">
        <v>107</v>
      </c>
      <c r="C809" s="5">
        <v>64416</v>
      </c>
      <c r="D809" s="3" t="s">
        <v>248</v>
      </c>
      <c r="E809" s="16">
        <v>49.99</v>
      </c>
      <c r="F809" s="16">
        <v>32.549999999999997</v>
      </c>
      <c r="G809" s="36">
        <v>0</v>
      </c>
      <c r="H809" s="36">
        <v>0</v>
      </c>
      <c r="I809" s="36">
        <v>0</v>
      </c>
      <c r="J809" s="36">
        <v>0</v>
      </c>
      <c r="K809" s="36">
        <v>0</v>
      </c>
      <c r="L809" s="36">
        <v>0</v>
      </c>
      <c r="M809" s="36">
        <v>0</v>
      </c>
      <c r="N809" s="36">
        <v>0</v>
      </c>
    </row>
    <row r="810" spans="1:14" x14ac:dyDescent="0.35">
      <c r="A810" s="3" t="s">
        <v>367</v>
      </c>
      <c r="B810" s="4">
        <v>101</v>
      </c>
      <c r="C810" s="5">
        <v>64488</v>
      </c>
      <c r="D810" s="3" t="s">
        <v>398</v>
      </c>
      <c r="E810" s="16">
        <v>2</v>
      </c>
      <c r="F810" s="16">
        <v>1.75</v>
      </c>
      <c r="G810" s="36">
        <v>0</v>
      </c>
      <c r="H810" s="36">
        <v>0</v>
      </c>
      <c r="I810" s="36">
        <v>0</v>
      </c>
      <c r="J810" s="36">
        <v>0</v>
      </c>
      <c r="K810" s="36">
        <v>0</v>
      </c>
      <c r="L810" s="36">
        <v>0</v>
      </c>
      <c r="M810" s="36">
        <v>0</v>
      </c>
      <c r="N810" s="36">
        <v>0</v>
      </c>
    </row>
    <row r="811" spans="1:14" x14ac:dyDescent="0.35">
      <c r="A811" s="3" t="s">
        <v>317</v>
      </c>
      <c r="B811" s="4">
        <v>101</v>
      </c>
      <c r="C811" s="5">
        <v>64596</v>
      </c>
      <c r="D811" s="3" t="s">
        <v>444</v>
      </c>
      <c r="E811" s="16">
        <v>42.99</v>
      </c>
      <c r="F811" s="16">
        <v>27.290666666666667</v>
      </c>
      <c r="G811" s="36">
        <v>74.765217391304347</v>
      </c>
      <c r="H811" s="36">
        <v>2</v>
      </c>
      <c r="I811" s="36">
        <v>0</v>
      </c>
      <c r="J811" s="36">
        <v>0</v>
      </c>
      <c r="K811" s="36">
        <v>37.382608695652173</v>
      </c>
      <c r="L811" s="36">
        <v>1</v>
      </c>
      <c r="M811" s="36">
        <v>0</v>
      </c>
      <c r="N811" s="36">
        <v>0</v>
      </c>
    </row>
    <row r="812" spans="1:14" x14ac:dyDescent="0.35">
      <c r="A812" s="3" t="s">
        <v>317</v>
      </c>
      <c r="B812" s="4">
        <v>101</v>
      </c>
      <c r="C812" s="5">
        <v>64614</v>
      </c>
      <c r="D812" s="3" t="s">
        <v>445</v>
      </c>
      <c r="E812" s="16">
        <v>149.99</v>
      </c>
      <c r="F812" s="16">
        <v>98.592690000000005</v>
      </c>
      <c r="G812" s="36">
        <v>0</v>
      </c>
      <c r="H812" s="36">
        <v>0</v>
      </c>
      <c r="I812" s="36">
        <v>0</v>
      </c>
      <c r="J812" s="36">
        <v>0</v>
      </c>
      <c r="K812" s="36">
        <v>0</v>
      </c>
      <c r="L812" s="36">
        <v>0</v>
      </c>
      <c r="M812" s="36">
        <v>0</v>
      </c>
      <c r="N812" s="36">
        <v>0</v>
      </c>
    </row>
    <row r="813" spans="1:14" x14ac:dyDescent="0.35">
      <c r="A813" s="3" t="s">
        <v>317</v>
      </c>
      <c r="B813" s="4">
        <v>101</v>
      </c>
      <c r="C813" s="5">
        <v>64615</v>
      </c>
      <c r="D813" s="3" t="s">
        <v>446</v>
      </c>
      <c r="E813" s="16">
        <v>237.59</v>
      </c>
      <c r="F813" s="16">
        <v>148.43432000000001</v>
      </c>
      <c r="G813" s="36">
        <v>0</v>
      </c>
      <c r="H813" s="36">
        <v>0</v>
      </c>
      <c r="I813" s="36">
        <v>0</v>
      </c>
      <c r="J813" s="36">
        <v>0</v>
      </c>
      <c r="K813" s="36">
        <v>0</v>
      </c>
      <c r="L813" s="36">
        <v>0</v>
      </c>
      <c r="M813" s="36">
        <v>0</v>
      </c>
      <c r="N813" s="36">
        <v>0</v>
      </c>
    </row>
    <row r="814" spans="1:14" x14ac:dyDescent="0.35">
      <c r="A814" s="3" t="s">
        <v>14</v>
      </c>
      <c r="B814" s="4">
        <v>119</v>
      </c>
      <c r="C814" s="5">
        <v>64632</v>
      </c>
      <c r="D814" s="3" t="s">
        <v>278</v>
      </c>
      <c r="E814" s="16">
        <v>140</v>
      </c>
      <c r="F814" s="16">
        <v>62.14</v>
      </c>
      <c r="G814" s="36">
        <v>0</v>
      </c>
      <c r="H814" s="36">
        <v>0</v>
      </c>
      <c r="I814" s="36">
        <v>0</v>
      </c>
      <c r="J814" s="36">
        <v>0</v>
      </c>
      <c r="K814" s="36">
        <v>0</v>
      </c>
      <c r="L814" s="36">
        <v>0</v>
      </c>
      <c r="M814" s="36">
        <v>0</v>
      </c>
      <c r="N814" s="36">
        <v>0</v>
      </c>
    </row>
    <row r="815" spans="1:14" x14ac:dyDescent="0.35">
      <c r="A815" s="3" t="s">
        <v>14</v>
      </c>
      <c r="B815" s="4">
        <v>119</v>
      </c>
      <c r="C815" s="5">
        <v>64633</v>
      </c>
      <c r="D815" s="3" t="s">
        <v>271</v>
      </c>
      <c r="E815" s="16">
        <v>8.99</v>
      </c>
      <c r="F815" s="16">
        <v>3.8</v>
      </c>
      <c r="G815" s="36">
        <v>0</v>
      </c>
      <c r="H815" s="36">
        <v>0</v>
      </c>
      <c r="I815" s="36">
        <v>0</v>
      </c>
      <c r="J815" s="36">
        <v>0</v>
      </c>
      <c r="K815" s="36">
        <v>0</v>
      </c>
      <c r="L815" s="36">
        <v>0</v>
      </c>
      <c r="M815" s="36">
        <v>0</v>
      </c>
      <c r="N815" s="36">
        <v>0</v>
      </c>
    </row>
    <row r="816" spans="1:14" x14ac:dyDescent="0.35">
      <c r="A816" s="3" t="s">
        <v>317</v>
      </c>
      <c r="B816" s="4">
        <v>101</v>
      </c>
      <c r="C816" s="5">
        <v>64711</v>
      </c>
      <c r="D816" s="3" t="s">
        <v>447</v>
      </c>
      <c r="E816" s="16">
        <v>69.989999999999995</v>
      </c>
      <c r="F816" s="16">
        <v>42.759033333333328</v>
      </c>
      <c r="G816" s="36">
        <v>0</v>
      </c>
      <c r="H816" s="36">
        <v>0</v>
      </c>
      <c r="I816" s="36">
        <v>0</v>
      </c>
      <c r="J816" s="36">
        <v>0</v>
      </c>
      <c r="K816" s="36">
        <v>0</v>
      </c>
      <c r="L816" s="36">
        <v>0</v>
      </c>
      <c r="M816" s="36">
        <v>0</v>
      </c>
      <c r="N816" s="36">
        <v>0</v>
      </c>
    </row>
    <row r="817" spans="1:14" x14ac:dyDescent="0.35">
      <c r="A817" s="3" t="s">
        <v>317</v>
      </c>
      <c r="B817" s="4">
        <v>101</v>
      </c>
      <c r="C817" s="5">
        <v>64712</v>
      </c>
      <c r="D817" s="3" t="s">
        <v>448</v>
      </c>
      <c r="E817" s="16">
        <v>69.989999999999995</v>
      </c>
      <c r="F817" s="16">
        <v>42.759033333333328</v>
      </c>
      <c r="G817" s="36">
        <v>0</v>
      </c>
      <c r="H817" s="36">
        <v>0</v>
      </c>
      <c r="I817" s="36">
        <v>0</v>
      </c>
      <c r="J817" s="36">
        <v>0</v>
      </c>
      <c r="K817" s="36">
        <v>0</v>
      </c>
      <c r="L817" s="36">
        <v>0</v>
      </c>
      <c r="M817" s="36">
        <v>0</v>
      </c>
      <c r="N817" s="36">
        <v>0</v>
      </c>
    </row>
    <row r="818" spans="1:14" x14ac:dyDescent="0.35">
      <c r="A818" s="3" t="s">
        <v>317</v>
      </c>
      <c r="B818" s="4">
        <v>101</v>
      </c>
      <c r="C818" s="5">
        <v>64713</v>
      </c>
      <c r="D818" s="3" t="s">
        <v>449</v>
      </c>
      <c r="E818" s="16">
        <v>69.989999999999995</v>
      </c>
      <c r="F818" s="16">
        <v>42.759033333333328</v>
      </c>
      <c r="G818" s="36">
        <v>0</v>
      </c>
      <c r="H818" s="36">
        <v>0</v>
      </c>
      <c r="I818" s="36">
        <v>0</v>
      </c>
      <c r="J818" s="36">
        <v>0</v>
      </c>
      <c r="K818" s="36">
        <v>0</v>
      </c>
      <c r="L818" s="36">
        <v>0</v>
      </c>
      <c r="M818" s="36">
        <v>0</v>
      </c>
      <c r="N818" s="36">
        <v>0</v>
      </c>
    </row>
    <row r="819" spans="1:14" x14ac:dyDescent="0.35">
      <c r="A819" s="3" t="s">
        <v>317</v>
      </c>
      <c r="B819" s="4">
        <v>101</v>
      </c>
      <c r="C819" s="5">
        <v>64714</v>
      </c>
      <c r="D819" s="3" t="s">
        <v>450</v>
      </c>
      <c r="E819" s="16">
        <v>69.989999999999995</v>
      </c>
      <c r="F819" s="16">
        <v>42.759033333333328</v>
      </c>
      <c r="G819" s="36">
        <v>0</v>
      </c>
      <c r="H819" s="36">
        <v>0</v>
      </c>
      <c r="I819" s="36">
        <v>0</v>
      </c>
      <c r="J819" s="36">
        <v>0</v>
      </c>
      <c r="K819" s="36">
        <v>0</v>
      </c>
      <c r="L819" s="36">
        <v>0</v>
      </c>
      <c r="M819" s="36">
        <v>0</v>
      </c>
      <c r="N819" s="36">
        <v>0</v>
      </c>
    </row>
    <row r="820" spans="1:14" x14ac:dyDescent="0.35">
      <c r="A820" s="3" t="s">
        <v>14</v>
      </c>
      <c r="B820" s="4">
        <v>120</v>
      </c>
      <c r="C820" s="5">
        <v>64761</v>
      </c>
      <c r="D820" s="3" t="s">
        <v>286</v>
      </c>
      <c r="E820" s="16">
        <v>69.989999999999995</v>
      </c>
      <c r="F820" s="16">
        <v>42.18</v>
      </c>
      <c r="G820" s="36">
        <v>0</v>
      </c>
      <c r="H820" s="36">
        <v>0</v>
      </c>
      <c r="I820" s="36">
        <v>0</v>
      </c>
      <c r="J820" s="36">
        <v>0</v>
      </c>
      <c r="K820" s="36">
        <v>0</v>
      </c>
      <c r="L820" s="36">
        <v>0</v>
      </c>
      <c r="M820" s="36">
        <v>0</v>
      </c>
      <c r="N820" s="36">
        <v>0</v>
      </c>
    </row>
    <row r="821" spans="1:14" x14ac:dyDescent="0.35">
      <c r="A821" s="3" t="s">
        <v>14</v>
      </c>
      <c r="B821" s="4">
        <v>120</v>
      </c>
      <c r="C821" s="5">
        <v>64762</v>
      </c>
      <c r="D821" s="3" t="s">
        <v>285</v>
      </c>
      <c r="E821" s="16">
        <v>69.989999999999995</v>
      </c>
      <c r="F821" s="16">
        <v>37.380000000000003</v>
      </c>
      <c r="G821" s="36">
        <v>0</v>
      </c>
      <c r="H821" s="36">
        <v>0</v>
      </c>
      <c r="I821" s="36">
        <v>0</v>
      </c>
      <c r="J821" s="36">
        <v>0</v>
      </c>
      <c r="K821" s="36">
        <v>0</v>
      </c>
      <c r="L821" s="36">
        <v>0</v>
      </c>
      <c r="M821" s="36">
        <v>0</v>
      </c>
      <c r="N821" s="36">
        <v>0</v>
      </c>
    </row>
    <row r="822" spans="1:14" x14ac:dyDescent="0.35">
      <c r="A822" s="3" t="s">
        <v>14</v>
      </c>
      <c r="B822" s="4">
        <v>120</v>
      </c>
      <c r="C822" s="5">
        <v>64763</v>
      </c>
      <c r="D822" s="3" t="s">
        <v>284</v>
      </c>
      <c r="E822" s="16">
        <v>38</v>
      </c>
      <c r="F822" s="16">
        <v>18.920000000000002</v>
      </c>
      <c r="G822" s="36">
        <v>0</v>
      </c>
      <c r="H822" s="36">
        <v>0</v>
      </c>
      <c r="I822" s="36">
        <v>0</v>
      </c>
      <c r="J822" s="36">
        <v>0</v>
      </c>
      <c r="K822" s="36">
        <v>0</v>
      </c>
      <c r="L822" s="36">
        <v>0</v>
      </c>
      <c r="M822" s="36">
        <v>0</v>
      </c>
      <c r="N822" s="36">
        <v>0</v>
      </c>
    </row>
    <row r="823" spans="1:14" x14ac:dyDescent="0.35">
      <c r="A823" s="3" t="s">
        <v>371</v>
      </c>
      <c r="B823" s="4">
        <v>103</v>
      </c>
      <c r="C823" s="5">
        <v>64801</v>
      </c>
      <c r="D823" s="3" t="s">
        <v>921</v>
      </c>
      <c r="E823" s="16">
        <v>20</v>
      </c>
      <c r="F823" s="16">
        <v>10.77</v>
      </c>
      <c r="G823" s="36">
        <v>0</v>
      </c>
      <c r="H823" s="36">
        <v>0</v>
      </c>
      <c r="I823" s="36">
        <v>0</v>
      </c>
      <c r="J823" s="36">
        <v>0</v>
      </c>
      <c r="K823" s="36">
        <v>0</v>
      </c>
      <c r="L823" s="36">
        <v>0</v>
      </c>
      <c r="M823" s="36">
        <v>0</v>
      </c>
      <c r="N823" s="36">
        <v>0</v>
      </c>
    </row>
    <row r="824" spans="1:14" x14ac:dyDescent="0.35">
      <c r="A824" s="3" t="s">
        <v>371</v>
      </c>
      <c r="B824" s="4">
        <v>103</v>
      </c>
      <c r="C824" s="5">
        <v>64802</v>
      </c>
      <c r="D824" s="3" t="s">
        <v>922</v>
      </c>
      <c r="E824" s="16">
        <v>7.99</v>
      </c>
      <c r="F824" s="16">
        <v>4.13</v>
      </c>
      <c r="G824" s="36">
        <v>0</v>
      </c>
      <c r="H824" s="36">
        <v>0</v>
      </c>
      <c r="I824" s="36">
        <v>0</v>
      </c>
      <c r="J824" s="36">
        <v>0</v>
      </c>
      <c r="K824" s="36">
        <v>0</v>
      </c>
      <c r="L824" s="36">
        <v>0</v>
      </c>
      <c r="M824" s="36">
        <v>0</v>
      </c>
      <c r="N824" s="36">
        <v>0</v>
      </c>
    </row>
    <row r="825" spans="1:14" x14ac:dyDescent="0.35">
      <c r="A825" s="3" t="s">
        <v>317</v>
      </c>
      <c r="B825" s="4">
        <v>107</v>
      </c>
      <c r="C825" s="5">
        <v>64917</v>
      </c>
      <c r="D825" s="3" t="s">
        <v>923</v>
      </c>
      <c r="E825" s="16">
        <v>169.99</v>
      </c>
      <c r="F825" s="16">
        <v>106.80515</v>
      </c>
      <c r="G825" s="36">
        <v>0</v>
      </c>
      <c r="H825" s="36">
        <v>0</v>
      </c>
      <c r="I825" s="36">
        <v>0</v>
      </c>
      <c r="J825" s="36">
        <v>0</v>
      </c>
      <c r="K825" s="36">
        <v>0</v>
      </c>
      <c r="L825" s="36">
        <v>0</v>
      </c>
      <c r="M825" s="36">
        <v>0</v>
      </c>
      <c r="N825" s="36">
        <v>0</v>
      </c>
    </row>
    <row r="826" spans="1:14" x14ac:dyDescent="0.35">
      <c r="A826" s="3" t="s">
        <v>317</v>
      </c>
      <c r="B826" s="4">
        <v>101</v>
      </c>
      <c r="C826" s="5">
        <v>65024</v>
      </c>
      <c r="D826" s="3" t="s">
        <v>451</v>
      </c>
      <c r="E826" s="16">
        <v>71.989999999999995</v>
      </c>
      <c r="F826" s="16">
        <v>45.418750000000003</v>
      </c>
      <c r="G826" s="36">
        <v>0</v>
      </c>
      <c r="H826" s="36">
        <v>0</v>
      </c>
      <c r="I826" s="36">
        <v>0</v>
      </c>
      <c r="J826" s="36">
        <v>0</v>
      </c>
      <c r="K826" s="36">
        <v>0</v>
      </c>
      <c r="L826" s="36">
        <v>0</v>
      </c>
      <c r="M826" s="36">
        <v>0</v>
      </c>
      <c r="N826" s="36">
        <v>0</v>
      </c>
    </row>
    <row r="827" spans="1:14" x14ac:dyDescent="0.35">
      <c r="A827" s="3" t="s">
        <v>317</v>
      </c>
      <c r="B827" s="4">
        <v>101</v>
      </c>
      <c r="C827" s="5">
        <v>65025</v>
      </c>
      <c r="D827" s="3" t="s">
        <v>452</v>
      </c>
      <c r="E827" s="16">
        <v>129.99</v>
      </c>
      <c r="F827" s="16">
        <v>82.593216666666663</v>
      </c>
      <c r="G827" s="36">
        <v>0</v>
      </c>
      <c r="H827" s="36">
        <v>0</v>
      </c>
      <c r="I827" s="36">
        <v>0</v>
      </c>
      <c r="J827" s="36">
        <v>0</v>
      </c>
      <c r="K827" s="36">
        <v>0</v>
      </c>
      <c r="L827" s="36">
        <v>0</v>
      </c>
      <c r="M827" s="36">
        <v>0</v>
      </c>
      <c r="N827" s="36">
        <v>0</v>
      </c>
    </row>
    <row r="828" spans="1:14" x14ac:dyDescent="0.35">
      <c r="A828" s="3" t="s">
        <v>317</v>
      </c>
      <c r="B828" s="4">
        <v>106</v>
      </c>
      <c r="C828" s="5">
        <v>65026</v>
      </c>
      <c r="D828" s="3" t="s">
        <v>924</v>
      </c>
      <c r="E828" s="16">
        <v>52.99</v>
      </c>
      <c r="F828" s="16">
        <v>33.055550000000004</v>
      </c>
      <c r="G828" s="36">
        <v>0</v>
      </c>
      <c r="H828" s="36">
        <v>0</v>
      </c>
      <c r="I828" s="36">
        <v>0</v>
      </c>
      <c r="J828" s="36">
        <v>0</v>
      </c>
      <c r="K828" s="36">
        <v>0</v>
      </c>
      <c r="L828" s="36">
        <v>0</v>
      </c>
      <c r="M828" s="36">
        <v>0</v>
      </c>
      <c r="N828" s="36">
        <v>0</v>
      </c>
    </row>
    <row r="829" spans="1:14" x14ac:dyDescent="0.35">
      <c r="A829" s="3" t="s">
        <v>317</v>
      </c>
      <c r="B829" s="4">
        <v>106</v>
      </c>
      <c r="C829" s="5">
        <v>65027</v>
      </c>
      <c r="D829" s="3" t="s">
        <v>925</v>
      </c>
      <c r="E829" s="16">
        <v>52.99</v>
      </c>
      <c r="F829" s="16">
        <v>32.776783333333334</v>
      </c>
      <c r="G829" s="36">
        <v>0</v>
      </c>
      <c r="H829" s="36">
        <v>0</v>
      </c>
      <c r="I829" s="36">
        <v>0</v>
      </c>
      <c r="J829" s="36">
        <v>0</v>
      </c>
      <c r="K829" s="36">
        <v>0</v>
      </c>
      <c r="L829" s="36">
        <v>0</v>
      </c>
      <c r="M829" s="36">
        <v>0</v>
      </c>
      <c r="N829" s="36">
        <v>0</v>
      </c>
    </row>
    <row r="830" spans="1:14" x14ac:dyDescent="0.35">
      <c r="A830" s="3" t="s">
        <v>317</v>
      </c>
      <c r="B830" s="4">
        <v>106</v>
      </c>
      <c r="C830" s="5">
        <v>65028</v>
      </c>
      <c r="D830" s="3" t="s">
        <v>926</v>
      </c>
      <c r="E830" s="16">
        <v>48.99</v>
      </c>
      <c r="F830" s="16">
        <v>30.067858333333334</v>
      </c>
      <c r="G830" s="36">
        <v>0</v>
      </c>
      <c r="H830" s="36">
        <v>0</v>
      </c>
      <c r="I830" s="36">
        <v>0</v>
      </c>
      <c r="J830" s="36">
        <v>0</v>
      </c>
      <c r="K830" s="36">
        <v>0</v>
      </c>
      <c r="L830" s="36">
        <v>0</v>
      </c>
      <c r="M830" s="36">
        <v>0</v>
      </c>
      <c r="N830" s="36">
        <v>0</v>
      </c>
    </row>
    <row r="831" spans="1:14" x14ac:dyDescent="0.35">
      <c r="A831" s="3" t="s">
        <v>317</v>
      </c>
      <c r="B831" s="4">
        <v>106</v>
      </c>
      <c r="C831" s="5">
        <v>65029</v>
      </c>
      <c r="D831" s="3" t="s">
        <v>927</v>
      </c>
      <c r="E831" s="16">
        <v>51.99</v>
      </c>
      <c r="F831" s="16">
        <v>31.904758333333334</v>
      </c>
      <c r="G831" s="36">
        <v>0</v>
      </c>
      <c r="H831" s="36">
        <v>0</v>
      </c>
      <c r="I831" s="36">
        <v>0</v>
      </c>
      <c r="J831" s="36">
        <v>0</v>
      </c>
      <c r="K831" s="36">
        <v>0</v>
      </c>
      <c r="L831" s="36">
        <v>0</v>
      </c>
      <c r="M831" s="36">
        <v>0</v>
      </c>
      <c r="N831" s="36">
        <v>0</v>
      </c>
    </row>
    <row r="832" spans="1:14" x14ac:dyDescent="0.35">
      <c r="A832" s="3" t="s">
        <v>724</v>
      </c>
      <c r="B832" s="4">
        <v>112</v>
      </c>
      <c r="C832" s="5">
        <v>65225</v>
      </c>
      <c r="D832" s="3" t="s">
        <v>928</v>
      </c>
      <c r="E832" s="16">
        <v>96.99</v>
      </c>
      <c r="F832" s="16">
        <v>59.878300000000003</v>
      </c>
      <c r="G832" s="36">
        <v>0</v>
      </c>
      <c r="H832" s="36">
        <v>0</v>
      </c>
      <c r="I832" s="36">
        <v>0</v>
      </c>
      <c r="J832" s="36">
        <v>0</v>
      </c>
      <c r="K832" s="36">
        <v>0</v>
      </c>
      <c r="L832" s="36">
        <v>0</v>
      </c>
      <c r="M832" s="36">
        <v>0</v>
      </c>
      <c r="N832" s="36">
        <v>0</v>
      </c>
    </row>
    <row r="833" spans="1:14" x14ac:dyDescent="0.35">
      <c r="A833" s="3" t="s">
        <v>14</v>
      </c>
      <c r="B833" s="4">
        <v>119</v>
      </c>
      <c r="C833" s="5">
        <v>65238</v>
      </c>
      <c r="D833" s="3" t="s">
        <v>279</v>
      </c>
      <c r="E833" s="16">
        <v>120</v>
      </c>
      <c r="F833" s="16">
        <v>82.1</v>
      </c>
      <c r="G833" s="36">
        <v>0</v>
      </c>
      <c r="H833" s="36">
        <v>0</v>
      </c>
      <c r="I833" s="36">
        <v>0</v>
      </c>
      <c r="J833" s="36">
        <v>0</v>
      </c>
      <c r="K833" s="36">
        <v>0</v>
      </c>
      <c r="L833" s="36">
        <v>0</v>
      </c>
      <c r="M833" s="36">
        <v>0</v>
      </c>
      <c r="N833" s="36">
        <v>0</v>
      </c>
    </row>
    <row r="834" spans="1:14" x14ac:dyDescent="0.35">
      <c r="A834" s="3" t="s">
        <v>14</v>
      </c>
      <c r="B834" s="4">
        <v>119</v>
      </c>
      <c r="C834" s="5">
        <v>65239</v>
      </c>
      <c r="D834" s="3" t="s">
        <v>280</v>
      </c>
      <c r="E834" s="16">
        <v>70</v>
      </c>
      <c r="F834" s="16">
        <v>48.14</v>
      </c>
      <c r="G834" s="36">
        <v>0</v>
      </c>
      <c r="H834" s="36">
        <v>0</v>
      </c>
      <c r="I834" s="36">
        <v>0</v>
      </c>
      <c r="J834" s="36">
        <v>0</v>
      </c>
      <c r="K834" s="36">
        <v>0</v>
      </c>
      <c r="L834" s="36">
        <v>0</v>
      </c>
      <c r="M834" s="36">
        <v>0</v>
      </c>
      <c r="N834" s="36">
        <v>0</v>
      </c>
    </row>
    <row r="835" spans="1:14" x14ac:dyDescent="0.35">
      <c r="A835" s="3" t="s">
        <v>724</v>
      </c>
      <c r="B835" s="4">
        <v>112</v>
      </c>
      <c r="C835" s="5">
        <v>65274</v>
      </c>
      <c r="D835" s="3" t="s">
        <v>929</v>
      </c>
      <c r="E835" s="16">
        <v>99.99</v>
      </c>
      <c r="F835" s="16">
        <v>61.730400000000003</v>
      </c>
      <c r="G835" s="36">
        <v>0</v>
      </c>
      <c r="H835" s="36">
        <v>0</v>
      </c>
      <c r="I835" s="36">
        <v>0</v>
      </c>
      <c r="J835" s="36">
        <v>0</v>
      </c>
      <c r="K835" s="36">
        <v>0</v>
      </c>
      <c r="L835" s="36">
        <v>0</v>
      </c>
      <c r="M835" s="36">
        <v>0</v>
      </c>
      <c r="N835" s="36">
        <v>0</v>
      </c>
    </row>
    <row r="836" spans="1:14" x14ac:dyDescent="0.35">
      <c r="A836" s="3" t="s">
        <v>14</v>
      </c>
      <c r="B836" s="4">
        <v>102</v>
      </c>
      <c r="C836" s="5">
        <v>65506</v>
      </c>
      <c r="D836" s="3" t="s">
        <v>172</v>
      </c>
      <c r="E836" s="16">
        <v>14.99</v>
      </c>
      <c r="F836" s="16">
        <v>7.72</v>
      </c>
      <c r="G836" s="36">
        <v>0</v>
      </c>
      <c r="H836" s="36">
        <v>0</v>
      </c>
      <c r="I836" s="36">
        <v>0</v>
      </c>
      <c r="J836" s="36">
        <v>0</v>
      </c>
      <c r="K836" s="36">
        <v>0</v>
      </c>
      <c r="L836" s="36">
        <v>0</v>
      </c>
      <c r="M836" s="36">
        <v>0</v>
      </c>
      <c r="N836" s="36">
        <v>0</v>
      </c>
    </row>
    <row r="837" spans="1:14" x14ac:dyDescent="0.35">
      <c r="A837" s="3" t="s">
        <v>14</v>
      </c>
      <c r="B837" s="4">
        <v>101</v>
      </c>
      <c r="C837" s="5">
        <v>65681</v>
      </c>
      <c r="D837" s="3" t="s">
        <v>65</v>
      </c>
      <c r="E837" s="16">
        <v>29.99</v>
      </c>
      <c r="F837" s="16">
        <v>16.03</v>
      </c>
      <c r="G837" s="36">
        <v>0</v>
      </c>
      <c r="H837" s="36">
        <v>0</v>
      </c>
      <c r="I837" s="36">
        <v>0</v>
      </c>
      <c r="J837" s="36">
        <v>0</v>
      </c>
      <c r="K837" s="36">
        <v>0</v>
      </c>
      <c r="L837" s="36">
        <v>0</v>
      </c>
      <c r="M837" s="36">
        <v>0</v>
      </c>
      <c r="N837" s="36">
        <v>0</v>
      </c>
    </row>
    <row r="838" spans="1:14" x14ac:dyDescent="0.35">
      <c r="A838" s="3" t="s">
        <v>317</v>
      </c>
      <c r="B838" s="4">
        <v>101</v>
      </c>
      <c r="C838" s="5">
        <v>65739</v>
      </c>
      <c r="D838" s="3" t="s">
        <v>453</v>
      </c>
      <c r="E838" s="16">
        <v>99.99</v>
      </c>
      <c r="F838" s="16">
        <v>64.748530000000002</v>
      </c>
      <c r="G838" s="36">
        <v>0</v>
      </c>
      <c r="H838" s="36">
        <v>0</v>
      </c>
      <c r="I838" s="36">
        <v>0</v>
      </c>
      <c r="J838" s="36">
        <v>0</v>
      </c>
      <c r="K838" s="36">
        <v>0</v>
      </c>
      <c r="L838" s="36">
        <v>0</v>
      </c>
      <c r="M838" s="36">
        <v>0</v>
      </c>
      <c r="N838" s="36">
        <v>0</v>
      </c>
    </row>
    <row r="839" spans="1:14" x14ac:dyDescent="0.35">
      <c r="A839" s="3" t="s">
        <v>317</v>
      </c>
      <c r="B839" s="4">
        <v>101</v>
      </c>
      <c r="C839" s="5">
        <v>65740</v>
      </c>
      <c r="D839" s="3" t="s">
        <v>454</v>
      </c>
      <c r="E839" s="16">
        <v>159.99</v>
      </c>
      <c r="F839" s="16">
        <v>101.7647</v>
      </c>
      <c r="G839" s="36">
        <v>0</v>
      </c>
      <c r="H839" s="36">
        <v>0</v>
      </c>
      <c r="I839" s="36">
        <v>0</v>
      </c>
      <c r="J839" s="36">
        <v>0</v>
      </c>
      <c r="K839" s="36">
        <v>0</v>
      </c>
      <c r="L839" s="36">
        <v>0</v>
      </c>
      <c r="M839" s="36">
        <v>0</v>
      </c>
      <c r="N839" s="36">
        <v>0</v>
      </c>
    </row>
    <row r="840" spans="1:14" x14ac:dyDescent="0.35">
      <c r="A840" s="3" t="s">
        <v>317</v>
      </c>
      <c r="B840" s="4">
        <v>101</v>
      </c>
      <c r="C840" s="5">
        <v>65741</v>
      </c>
      <c r="D840" s="3" t="s">
        <v>455</v>
      </c>
      <c r="E840" s="16">
        <v>189.99</v>
      </c>
      <c r="F840" s="16">
        <v>121.1</v>
      </c>
      <c r="G840" s="36">
        <v>0</v>
      </c>
      <c r="H840" s="36">
        <v>0</v>
      </c>
      <c r="I840" s="36">
        <v>0</v>
      </c>
      <c r="J840" s="36">
        <v>0</v>
      </c>
      <c r="K840" s="36">
        <v>0</v>
      </c>
      <c r="L840" s="36">
        <v>0</v>
      </c>
      <c r="M840" s="36">
        <v>0</v>
      </c>
      <c r="N840" s="36">
        <v>0</v>
      </c>
    </row>
    <row r="841" spans="1:14" x14ac:dyDescent="0.35">
      <c r="A841" s="3" t="s">
        <v>730</v>
      </c>
      <c r="B841" s="4">
        <v>103</v>
      </c>
      <c r="C841" s="5">
        <v>65777</v>
      </c>
      <c r="D841" s="3" t="s">
        <v>836</v>
      </c>
      <c r="E841" s="16">
        <v>79.989999999999995</v>
      </c>
      <c r="F841" s="16">
        <v>45.83</v>
      </c>
      <c r="G841" s="36">
        <v>0</v>
      </c>
      <c r="H841" s="36">
        <v>0</v>
      </c>
      <c r="I841" s="36">
        <v>0</v>
      </c>
      <c r="J841" s="36">
        <v>0</v>
      </c>
      <c r="K841" s="36">
        <v>0</v>
      </c>
      <c r="L841" s="36">
        <v>0</v>
      </c>
      <c r="M841" s="36">
        <v>0</v>
      </c>
      <c r="N841" s="36">
        <v>0</v>
      </c>
    </row>
    <row r="842" spans="1:14" x14ac:dyDescent="0.35">
      <c r="A842" s="3" t="s">
        <v>317</v>
      </c>
      <c r="B842" s="4">
        <v>101</v>
      </c>
      <c r="C842" s="5">
        <v>65792</v>
      </c>
      <c r="D842" s="3" t="s">
        <v>456</v>
      </c>
      <c r="E842" s="16">
        <v>52.99</v>
      </c>
      <c r="F842" s="16">
        <v>33.364849999999997</v>
      </c>
      <c r="G842" s="36">
        <v>0</v>
      </c>
      <c r="H842" s="36">
        <v>0</v>
      </c>
      <c r="I842" s="36">
        <v>0</v>
      </c>
      <c r="J842" s="36">
        <v>0</v>
      </c>
      <c r="K842" s="36">
        <v>0</v>
      </c>
      <c r="L842" s="36">
        <v>0</v>
      </c>
      <c r="M842" s="36">
        <v>0</v>
      </c>
      <c r="N842" s="36">
        <v>0</v>
      </c>
    </row>
    <row r="843" spans="1:14" x14ac:dyDescent="0.35">
      <c r="A843" s="3" t="s">
        <v>317</v>
      </c>
      <c r="B843" s="4">
        <v>101</v>
      </c>
      <c r="C843" s="5">
        <v>65793</v>
      </c>
      <c r="D843" s="3" t="s">
        <v>457</v>
      </c>
      <c r="E843" s="16">
        <v>48.99</v>
      </c>
      <c r="F843" s="16">
        <v>30.723587500000001</v>
      </c>
      <c r="G843" s="36">
        <v>0</v>
      </c>
      <c r="H843" s="36">
        <v>0</v>
      </c>
      <c r="I843" s="36">
        <v>0</v>
      </c>
      <c r="J843" s="36">
        <v>0</v>
      </c>
      <c r="K843" s="36">
        <v>0</v>
      </c>
      <c r="L843" s="36">
        <v>0</v>
      </c>
      <c r="M843" s="36">
        <v>0</v>
      </c>
      <c r="N843" s="36">
        <v>0</v>
      </c>
    </row>
    <row r="844" spans="1:14" x14ac:dyDescent="0.35">
      <c r="A844" s="3" t="s">
        <v>317</v>
      </c>
      <c r="B844" s="4">
        <v>101</v>
      </c>
      <c r="C844" s="5">
        <v>65794</v>
      </c>
      <c r="D844" s="3" t="s">
        <v>458</v>
      </c>
      <c r="E844" s="16">
        <v>48.99</v>
      </c>
      <c r="F844" s="16">
        <v>30.723587500000001</v>
      </c>
      <c r="G844" s="36">
        <v>0</v>
      </c>
      <c r="H844" s="36">
        <v>0</v>
      </c>
      <c r="I844" s="36">
        <v>0</v>
      </c>
      <c r="J844" s="36">
        <v>0</v>
      </c>
      <c r="K844" s="36">
        <v>0</v>
      </c>
      <c r="L844" s="36">
        <v>0</v>
      </c>
      <c r="M844" s="36">
        <v>0</v>
      </c>
      <c r="N844" s="36">
        <v>0</v>
      </c>
    </row>
    <row r="845" spans="1:14" x14ac:dyDescent="0.35">
      <c r="A845" s="3" t="s">
        <v>317</v>
      </c>
      <c r="B845" s="4">
        <v>111</v>
      </c>
      <c r="C845" s="5">
        <v>65795</v>
      </c>
      <c r="D845" s="3" t="s">
        <v>930</v>
      </c>
      <c r="E845" s="16">
        <v>179.99</v>
      </c>
      <c r="F845" s="16">
        <v>110.65475000000001</v>
      </c>
      <c r="G845" s="36">
        <v>0</v>
      </c>
      <c r="H845" s="36">
        <v>0</v>
      </c>
      <c r="I845" s="36">
        <v>0</v>
      </c>
      <c r="J845" s="36">
        <v>0</v>
      </c>
      <c r="K845" s="36">
        <v>0</v>
      </c>
      <c r="L845" s="36">
        <v>0</v>
      </c>
      <c r="M845" s="36">
        <v>0</v>
      </c>
      <c r="N845" s="36">
        <v>0</v>
      </c>
    </row>
    <row r="846" spans="1:14" x14ac:dyDescent="0.35">
      <c r="A846" s="3" t="s">
        <v>317</v>
      </c>
      <c r="B846" s="4">
        <v>101</v>
      </c>
      <c r="C846" s="5">
        <v>65796</v>
      </c>
      <c r="D846" s="3" t="s">
        <v>459</v>
      </c>
      <c r="E846" s="16">
        <v>43.99</v>
      </c>
      <c r="F846" s="16">
        <v>27.3046875</v>
      </c>
      <c r="G846" s="36">
        <v>0</v>
      </c>
      <c r="H846" s="36">
        <v>0</v>
      </c>
      <c r="I846" s="36">
        <v>0</v>
      </c>
      <c r="J846" s="36">
        <v>0</v>
      </c>
      <c r="K846" s="36">
        <v>0</v>
      </c>
      <c r="L846" s="36">
        <v>0</v>
      </c>
      <c r="M846" s="36">
        <v>0</v>
      </c>
      <c r="N846" s="36">
        <v>0</v>
      </c>
    </row>
    <row r="847" spans="1:14" x14ac:dyDescent="0.35">
      <c r="A847" s="3" t="s">
        <v>804</v>
      </c>
      <c r="B847" s="4">
        <v>104</v>
      </c>
      <c r="C847" s="5">
        <v>66092</v>
      </c>
      <c r="D847" s="3" t="s">
        <v>931</v>
      </c>
      <c r="E847" s="16">
        <v>19.989999999999998</v>
      </c>
      <c r="F847" s="16">
        <v>12</v>
      </c>
      <c r="G847" s="36">
        <v>17.382608695652173</v>
      </c>
      <c r="H847" s="36">
        <v>1</v>
      </c>
      <c r="I847" s="36">
        <v>0</v>
      </c>
      <c r="J847" s="36">
        <v>0</v>
      </c>
      <c r="K847" s="36">
        <v>16.513043478260869</v>
      </c>
      <c r="L847" s="36">
        <v>1</v>
      </c>
      <c r="M847" s="36">
        <v>52.14782608695652</v>
      </c>
      <c r="N847" s="36">
        <v>3</v>
      </c>
    </row>
    <row r="848" spans="1:14" x14ac:dyDescent="0.35">
      <c r="A848" s="3" t="s">
        <v>804</v>
      </c>
      <c r="B848" s="4">
        <v>104</v>
      </c>
      <c r="C848" s="5">
        <v>66093</v>
      </c>
      <c r="D848" s="3" t="s">
        <v>932</v>
      </c>
      <c r="E848" s="16">
        <v>19.989999999999998</v>
      </c>
      <c r="F848" s="16">
        <v>13.25</v>
      </c>
      <c r="G848" s="36">
        <v>17.382608695652173</v>
      </c>
      <c r="H848" s="36">
        <v>1</v>
      </c>
      <c r="I848" s="36">
        <v>34.765217391304347</v>
      </c>
      <c r="J848" s="36">
        <v>2</v>
      </c>
      <c r="K848" s="36">
        <v>33.026086956521738</v>
      </c>
      <c r="L848" s="36">
        <v>2</v>
      </c>
      <c r="M848" s="36">
        <v>86.913043478260875</v>
      </c>
      <c r="N848" s="36">
        <v>5</v>
      </c>
    </row>
    <row r="849" spans="1:14" x14ac:dyDescent="0.35">
      <c r="A849" s="3" t="s">
        <v>359</v>
      </c>
      <c r="B849" s="4">
        <v>103</v>
      </c>
      <c r="C849" s="5">
        <v>66187</v>
      </c>
      <c r="D849" s="3" t="s">
        <v>933</v>
      </c>
      <c r="E849" s="16">
        <v>99.99</v>
      </c>
      <c r="F849" s="16">
        <v>55.967700000000001</v>
      </c>
      <c r="G849" s="36">
        <v>0</v>
      </c>
      <c r="H849" s="36">
        <v>0</v>
      </c>
      <c r="I849" s="36">
        <v>0</v>
      </c>
      <c r="J849" s="36">
        <v>0</v>
      </c>
      <c r="K849" s="36">
        <v>0</v>
      </c>
      <c r="L849" s="36">
        <v>0</v>
      </c>
      <c r="M849" s="36">
        <v>0</v>
      </c>
      <c r="N849" s="36">
        <v>0</v>
      </c>
    </row>
    <row r="850" spans="1:14" x14ac:dyDescent="0.35">
      <c r="A850" s="3" t="s">
        <v>35</v>
      </c>
      <c r="B850" s="4">
        <v>102</v>
      </c>
      <c r="C850" s="5">
        <v>66308</v>
      </c>
      <c r="D850" s="3" t="s">
        <v>199</v>
      </c>
      <c r="E850" s="16">
        <v>10.85</v>
      </c>
      <c r="F850" s="16">
        <v>5.6590000000000007</v>
      </c>
      <c r="G850" s="36">
        <v>0</v>
      </c>
      <c r="H850" s="36">
        <v>0</v>
      </c>
      <c r="I850" s="36">
        <v>0</v>
      </c>
      <c r="J850" s="36">
        <v>0</v>
      </c>
      <c r="K850" s="36">
        <v>0</v>
      </c>
      <c r="L850" s="36">
        <v>0</v>
      </c>
      <c r="M850" s="36">
        <v>0</v>
      </c>
      <c r="N850" s="36">
        <v>0</v>
      </c>
    </row>
    <row r="851" spans="1:14" x14ac:dyDescent="0.35">
      <c r="A851" s="3" t="s">
        <v>14</v>
      </c>
      <c r="B851" s="4">
        <v>102</v>
      </c>
      <c r="C851" s="5">
        <v>66434</v>
      </c>
      <c r="D851" s="3" t="s">
        <v>173</v>
      </c>
      <c r="E851" s="16">
        <v>13.99</v>
      </c>
      <c r="F851" s="16">
        <v>9.14</v>
      </c>
      <c r="G851" s="36">
        <v>0</v>
      </c>
      <c r="H851" s="36">
        <v>0</v>
      </c>
      <c r="I851" s="36">
        <v>0</v>
      </c>
      <c r="J851" s="36">
        <v>0</v>
      </c>
      <c r="K851" s="36">
        <v>0</v>
      </c>
      <c r="L851" s="36">
        <v>0</v>
      </c>
      <c r="M851" s="36">
        <v>0</v>
      </c>
      <c r="N851" s="36">
        <v>0</v>
      </c>
    </row>
    <row r="852" spans="1:14" x14ac:dyDescent="0.35">
      <c r="A852" s="3" t="s">
        <v>14</v>
      </c>
      <c r="B852" s="4">
        <v>102</v>
      </c>
      <c r="C852" s="5">
        <v>66435</v>
      </c>
      <c r="D852" s="3" t="s">
        <v>177</v>
      </c>
      <c r="E852" s="16">
        <v>11.99</v>
      </c>
      <c r="F852" s="16">
        <v>7.6</v>
      </c>
      <c r="G852" s="36">
        <v>0</v>
      </c>
      <c r="H852" s="36">
        <v>0</v>
      </c>
      <c r="I852" s="36">
        <v>0</v>
      </c>
      <c r="J852" s="36">
        <v>0</v>
      </c>
      <c r="K852" s="36">
        <v>0</v>
      </c>
      <c r="L852" s="36">
        <v>0</v>
      </c>
      <c r="M852" s="36">
        <v>0</v>
      </c>
      <c r="N852" s="36">
        <v>0</v>
      </c>
    </row>
    <row r="853" spans="1:14" x14ac:dyDescent="0.35">
      <c r="A853" s="3" t="s">
        <v>317</v>
      </c>
      <c r="B853" s="4">
        <v>101</v>
      </c>
      <c r="C853" s="5">
        <v>66653</v>
      </c>
      <c r="D853" s="3" t="s">
        <v>460</v>
      </c>
      <c r="E853" s="16">
        <v>49.99</v>
      </c>
      <c r="F853" s="16">
        <v>30.655766666666665</v>
      </c>
      <c r="G853" s="36">
        <v>0</v>
      </c>
      <c r="H853" s="36">
        <v>0</v>
      </c>
      <c r="I853" s="36">
        <v>0</v>
      </c>
      <c r="J853" s="36">
        <v>0</v>
      </c>
      <c r="K853" s="36">
        <v>82.591304347826096</v>
      </c>
      <c r="L853" s="36">
        <v>2</v>
      </c>
      <c r="M853" s="36">
        <v>173.87826086956522</v>
      </c>
      <c r="N853" s="36">
        <v>4</v>
      </c>
    </row>
    <row r="854" spans="1:14" x14ac:dyDescent="0.35">
      <c r="A854" s="3" t="s">
        <v>317</v>
      </c>
      <c r="B854" s="4">
        <v>101</v>
      </c>
      <c r="C854" s="5">
        <v>66654</v>
      </c>
      <c r="D854" s="3" t="s">
        <v>461</v>
      </c>
      <c r="E854" s="16">
        <v>49.99</v>
      </c>
      <c r="F854" s="16">
        <v>30.655766666666665</v>
      </c>
      <c r="G854" s="36">
        <v>0</v>
      </c>
      <c r="H854" s="36">
        <v>0</v>
      </c>
      <c r="I854" s="36">
        <v>0</v>
      </c>
      <c r="J854" s="36">
        <v>0</v>
      </c>
      <c r="K854" s="36">
        <v>0</v>
      </c>
      <c r="L854" s="36">
        <v>0</v>
      </c>
      <c r="M854" s="36">
        <v>0</v>
      </c>
      <c r="N854" s="36">
        <v>0</v>
      </c>
    </row>
    <row r="855" spans="1:14" x14ac:dyDescent="0.35">
      <c r="A855" s="3" t="s">
        <v>317</v>
      </c>
      <c r="B855" s="4">
        <v>101</v>
      </c>
      <c r="C855" s="5">
        <v>66655</v>
      </c>
      <c r="D855" s="3" t="s">
        <v>462</v>
      </c>
      <c r="E855" s="16">
        <v>49.99</v>
      </c>
      <c r="F855" s="16">
        <v>30.655766666666665</v>
      </c>
      <c r="G855" s="36">
        <v>0</v>
      </c>
      <c r="H855" s="36">
        <v>0</v>
      </c>
      <c r="I855" s="36">
        <v>0</v>
      </c>
      <c r="J855" s="36">
        <v>0</v>
      </c>
      <c r="K855" s="36">
        <v>0</v>
      </c>
      <c r="L855" s="36">
        <v>0</v>
      </c>
      <c r="M855" s="36">
        <v>0</v>
      </c>
      <c r="N855" s="36">
        <v>0</v>
      </c>
    </row>
    <row r="856" spans="1:14" x14ac:dyDescent="0.35">
      <c r="A856" s="3" t="s">
        <v>317</v>
      </c>
      <c r="B856" s="4">
        <v>101</v>
      </c>
      <c r="C856" s="5">
        <v>66656</v>
      </c>
      <c r="D856" s="3" t="s">
        <v>463</v>
      </c>
      <c r="E856" s="16">
        <v>31.99</v>
      </c>
      <c r="F856" s="16">
        <v>19.670829166666667</v>
      </c>
      <c r="G856" s="36">
        <v>0</v>
      </c>
      <c r="H856" s="36">
        <v>0</v>
      </c>
      <c r="I856" s="36">
        <v>0</v>
      </c>
      <c r="J856" s="36">
        <v>0</v>
      </c>
      <c r="K856" s="36">
        <v>0</v>
      </c>
      <c r="L856" s="36">
        <v>0</v>
      </c>
      <c r="M856" s="36">
        <v>0</v>
      </c>
      <c r="N856" s="36">
        <v>0</v>
      </c>
    </row>
    <row r="857" spans="1:14" x14ac:dyDescent="0.35">
      <c r="A857" s="3" t="s">
        <v>317</v>
      </c>
      <c r="B857" s="4">
        <v>107</v>
      </c>
      <c r="C857" s="5">
        <v>66657</v>
      </c>
      <c r="D857" s="3" t="s">
        <v>934</v>
      </c>
      <c r="E857" s="16">
        <v>119.99</v>
      </c>
      <c r="F857" s="16">
        <v>73.869024999999993</v>
      </c>
      <c r="G857" s="36">
        <v>0</v>
      </c>
      <c r="H857" s="36">
        <v>0</v>
      </c>
      <c r="I857" s="36">
        <v>0</v>
      </c>
      <c r="J857" s="36">
        <v>0</v>
      </c>
      <c r="K857" s="36">
        <v>0</v>
      </c>
      <c r="L857" s="36">
        <v>0</v>
      </c>
      <c r="M857" s="36">
        <v>0</v>
      </c>
      <c r="N857" s="36">
        <v>0</v>
      </c>
    </row>
    <row r="858" spans="1:14" x14ac:dyDescent="0.35">
      <c r="A858" s="3" t="s">
        <v>317</v>
      </c>
      <c r="B858" s="4">
        <v>107</v>
      </c>
      <c r="C858" s="5">
        <v>66658</v>
      </c>
      <c r="D858" s="3" t="s">
        <v>935</v>
      </c>
      <c r="E858" s="16">
        <v>84.99</v>
      </c>
      <c r="F858" s="16">
        <v>51.977899999999998</v>
      </c>
      <c r="G858" s="36">
        <v>0</v>
      </c>
      <c r="H858" s="36">
        <v>0</v>
      </c>
      <c r="I858" s="36">
        <v>0</v>
      </c>
      <c r="J858" s="36">
        <v>0</v>
      </c>
      <c r="K858" s="36">
        <v>0</v>
      </c>
      <c r="L858" s="36">
        <v>0</v>
      </c>
      <c r="M858" s="36">
        <v>0</v>
      </c>
      <c r="N858" s="36">
        <v>0</v>
      </c>
    </row>
    <row r="859" spans="1:14" x14ac:dyDescent="0.35">
      <c r="A859" s="3" t="s">
        <v>317</v>
      </c>
      <c r="B859" s="4">
        <v>107</v>
      </c>
      <c r="C859" s="5">
        <v>66659</v>
      </c>
      <c r="D859" s="3" t="s">
        <v>936</v>
      </c>
      <c r="E859" s="16">
        <v>69.989999999999995</v>
      </c>
      <c r="F859" s="16">
        <v>42.594366666666666</v>
      </c>
      <c r="G859" s="36">
        <v>0</v>
      </c>
      <c r="H859" s="36">
        <v>0</v>
      </c>
      <c r="I859" s="36">
        <v>0</v>
      </c>
      <c r="J859" s="36">
        <v>0</v>
      </c>
      <c r="K859" s="36">
        <v>0</v>
      </c>
      <c r="L859" s="36">
        <v>0</v>
      </c>
      <c r="M859" s="36">
        <v>0</v>
      </c>
      <c r="N859" s="36">
        <v>0</v>
      </c>
    </row>
    <row r="860" spans="1:14" x14ac:dyDescent="0.35">
      <c r="A860" s="3" t="s">
        <v>317</v>
      </c>
      <c r="B860" s="4">
        <v>107</v>
      </c>
      <c r="C860" s="5">
        <v>66660</v>
      </c>
      <c r="D860" s="3" t="s">
        <v>937</v>
      </c>
      <c r="E860" s="16">
        <v>59.99</v>
      </c>
      <c r="F860" s="16">
        <v>36.566250000000004</v>
      </c>
      <c r="G860" s="36">
        <v>0</v>
      </c>
      <c r="H860" s="36">
        <v>0</v>
      </c>
      <c r="I860" s="36">
        <v>0</v>
      </c>
      <c r="J860" s="36">
        <v>0</v>
      </c>
      <c r="K860" s="36">
        <v>0</v>
      </c>
      <c r="L860" s="36">
        <v>0</v>
      </c>
      <c r="M860" s="36">
        <v>0</v>
      </c>
      <c r="N860" s="36">
        <v>0</v>
      </c>
    </row>
    <row r="861" spans="1:14" x14ac:dyDescent="0.35">
      <c r="A861" s="3" t="s">
        <v>317</v>
      </c>
      <c r="B861" s="4">
        <v>106</v>
      </c>
      <c r="C861" s="5">
        <v>66661</v>
      </c>
      <c r="D861" s="3" t="s">
        <v>938</v>
      </c>
      <c r="E861" s="16">
        <v>56.99</v>
      </c>
      <c r="F861" s="16">
        <v>34.086333333333336</v>
      </c>
      <c r="G861" s="36">
        <v>0</v>
      </c>
      <c r="H861" s="36">
        <v>0</v>
      </c>
      <c r="I861" s="36">
        <v>0</v>
      </c>
      <c r="J861" s="36">
        <v>0</v>
      </c>
      <c r="K861" s="36">
        <v>0</v>
      </c>
      <c r="L861" s="36">
        <v>0</v>
      </c>
      <c r="M861" s="36">
        <v>0</v>
      </c>
      <c r="N861" s="36">
        <v>0</v>
      </c>
    </row>
    <row r="862" spans="1:14" x14ac:dyDescent="0.35">
      <c r="A862" s="3" t="s">
        <v>317</v>
      </c>
      <c r="B862" s="4">
        <v>106</v>
      </c>
      <c r="C862" s="5">
        <v>66662</v>
      </c>
      <c r="D862" s="3" t="s">
        <v>939</v>
      </c>
      <c r="E862" s="16">
        <v>56.99</v>
      </c>
      <c r="F862" s="16">
        <v>34.086333333333336</v>
      </c>
      <c r="G862" s="36">
        <v>0</v>
      </c>
      <c r="H862" s="36">
        <v>0</v>
      </c>
      <c r="I862" s="36">
        <v>0</v>
      </c>
      <c r="J862" s="36">
        <v>0</v>
      </c>
      <c r="K862" s="36">
        <v>0</v>
      </c>
      <c r="L862" s="36">
        <v>0</v>
      </c>
      <c r="M862" s="36">
        <v>0</v>
      </c>
      <c r="N862" s="36">
        <v>0</v>
      </c>
    </row>
    <row r="863" spans="1:14" x14ac:dyDescent="0.35">
      <c r="A863" s="3" t="s">
        <v>317</v>
      </c>
      <c r="B863" s="4">
        <v>106</v>
      </c>
      <c r="C863" s="5">
        <v>66663</v>
      </c>
      <c r="D863" s="3" t="s">
        <v>940</v>
      </c>
      <c r="E863" s="16">
        <v>59.99</v>
      </c>
      <c r="F863" s="16">
        <v>36.417149999999999</v>
      </c>
      <c r="G863" s="36">
        <v>0</v>
      </c>
      <c r="H863" s="36">
        <v>0</v>
      </c>
      <c r="I863" s="36">
        <v>0</v>
      </c>
      <c r="J863" s="36">
        <v>0</v>
      </c>
      <c r="K863" s="36">
        <v>0</v>
      </c>
      <c r="L863" s="36">
        <v>0</v>
      </c>
      <c r="M863" s="36">
        <v>0</v>
      </c>
      <c r="N863" s="36">
        <v>0</v>
      </c>
    </row>
    <row r="864" spans="1:14" x14ac:dyDescent="0.35">
      <c r="A864" s="3" t="s">
        <v>317</v>
      </c>
      <c r="B864" s="4">
        <v>106</v>
      </c>
      <c r="C864" s="5">
        <v>66664</v>
      </c>
      <c r="D864" s="3" t="s">
        <v>941</v>
      </c>
      <c r="E864" s="16">
        <v>59.99</v>
      </c>
      <c r="F864" s="16">
        <v>36.417149999999999</v>
      </c>
      <c r="G864" s="36">
        <v>0</v>
      </c>
      <c r="H864" s="36">
        <v>0</v>
      </c>
      <c r="I864" s="36">
        <v>0</v>
      </c>
      <c r="J864" s="36">
        <v>0</v>
      </c>
      <c r="K864" s="36">
        <v>0</v>
      </c>
      <c r="L864" s="36">
        <v>0</v>
      </c>
      <c r="M864" s="36">
        <v>0</v>
      </c>
      <c r="N864" s="36">
        <v>0</v>
      </c>
    </row>
    <row r="865" spans="1:14" x14ac:dyDescent="0.35">
      <c r="A865" s="3" t="s">
        <v>317</v>
      </c>
      <c r="B865" s="4">
        <v>106</v>
      </c>
      <c r="C865" s="5">
        <v>66665</v>
      </c>
      <c r="D865" s="3" t="s">
        <v>942</v>
      </c>
      <c r="E865" s="16">
        <v>56.99</v>
      </c>
      <c r="F865" s="16">
        <v>34.086333333333336</v>
      </c>
      <c r="G865" s="36">
        <v>0</v>
      </c>
      <c r="H865" s="36">
        <v>0</v>
      </c>
      <c r="I865" s="36">
        <v>0</v>
      </c>
      <c r="J865" s="36">
        <v>0</v>
      </c>
      <c r="K865" s="36">
        <v>0</v>
      </c>
      <c r="L865" s="36">
        <v>0</v>
      </c>
      <c r="M865" s="36">
        <v>0</v>
      </c>
      <c r="N865" s="36">
        <v>0</v>
      </c>
    </row>
    <row r="866" spans="1:14" x14ac:dyDescent="0.35">
      <c r="A866" s="3" t="s">
        <v>317</v>
      </c>
      <c r="B866" s="4">
        <v>109</v>
      </c>
      <c r="C866" s="5">
        <v>66666</v>
      </c>
      <c r="D866" s="3" t="s">
        <v>943</v>
      </c>
      <c r="E866" s="16">
        <v>66.989999999999995</v>
      </c>
      <c r="F866" s="16">
        <v>40.953800000000001</v>
      </c>
      <c r="G866" s="36">
        <v>0</v>
      </c>
      <c r="H866" s="36">
        <v>0</v>
      </c>
      <c r="I866" s="36">
        <v>0</v>
      </c>
      <c r="J866" s="36">
        <v>0</v>
      </c>
      <c r="K866" s="36">
        <v>0</v>
      </c>
      <c r="L866" s="36">
        <v>0</v>
      </c>
      <c r="M866" s="36">
        <v>0</v>
      </c>
      <c r="N866" s="36">
        <v>0</v>
      </c>
    </row>
    <row r="867" spans="1:14" x14ac:dyDescent="0.35">
      <c r="A867" s="3" t="s">
        <v>317</v>
      </c>
      <c r="B867" s="4">
        <v>109</v>
      </c>
      <c r="C867" s="5">
        <v>66667</v>
      </c>
      <c r="D867" s="3" t="s">
        <v>944</v>
      </c>
      <c r="E867" s="16">
        <v>49.99</v>
      </c>
      <c r="F867" s="16">
        <v>29.9498</v>
      </c>
      <c r="G867" s="36">
        <v>0</v>
      </c>
      <c r="H867" s="36">
        <v>0</v>
      </c>
      <c r="I867" s="36">
        <v>0</v>
      </c>
      <c r="J867" s="36">
        <v>0</v>
      </c>
      <c r="K867" s="36">
        <v>0</v>
      </c>
      <c r="L867" s="36">
        <v>0</v>
      </c>
      <c r="M867" s="36">
        <v>0</v>
      </c>
      <c r="N867" s="36">
        <v>0</v>
      </c>
    </row>
    <row r="868" spans="1:14" x14ac:dyDescent="0.35">
      <c r="A868" s="3" t="s">
        <v>724</v>
      </c>
      <c r="B868" s="4">
        <v>112</v>
      </c>
      <c r="C868" s="5">
        <v>66728</v>
      </c>
      <c r="D868" s="3" t="s">
        <v>945</v>
      </c>
      <c r="E868" s="16">
        <v>79.989999999999995</v>
      </c>
      <c r="F868" s="16">
        <v>49.382599999999996</v>
      </c>
      <c r="G868" s="36">
        <v>0</v>
      </c>
      <c r="H868" s="36">
        <v>0</v>
      </c>
      <c r="I868" s="36">
        <v>0</v>
      </c>
      <c r="J868" s="36">
        <v>0</v>
      </c>
      <c r="K868" s="36">
        <v>69.556521739130432</v>
      </c>
      <c r="L868" s="36">
        <v>1</v>
      </c>
      <c r="M868" s="36">
        <v>0</v>
      </c>
      <c r="N868" s="36">
        <v>0</v>
      </c>
    </row>
    <row r="869" spans="1:14" x14ac:dyDescent="0.35">
      <c r="A869" s="3" t="s">
        <v>724</v>
      </c>
      <c r="B869" s="4">
        <v>112</v>
      </c>
      <c r="C869" s="5">
        <v>66729</v>
      </c>
      <c r="D869" s="3" t="s">
        <v>946</v>
      </c>
      <c r="E869" s="16">
        <v>169.99</v>
      </c>
      <c r="F869" s="16">
        <v>104.9478</v>
      </c>
      <c r="G869" s="36">
        <v>0</v>
      </c>
      <c r="H869" s="36">
        <v>0</v>
      </c>
      <c r="I869" s="36">
        <v>0</v>
      </c>
      <c r="J869" s="36">
        <v>0</v>
      </c>
      <c r="K869" s="36">
        <v>0</v>
      </c>
      <c r="L869" s="36">
        <v>0</v>
      </c>
      <c r="M869" s="36">
        <v>0</v>
      </c>
      <c r="N869" s="36">
        <v>0</v>
      </c>
    </row>
    <row r="870" spans="1:14" x14ac:dyDescent="0.35">
      <c r="A870" s="3" t="s">
        <v>317</v>
      </c>
      <c r="B870" s="4">
        <v>106</v>
      </c>
      <c r="C870" s="5">
        <v>66799</v>
      </c>
      <c r="D870" s="3" t="s">
        <v>947</v>
      </c>
      <c r="E870" s="16">
        <v>59.99</v>
      </c>
      <c r="F870" s="16">
        <v>36.417149999999999</v>
      </c>
      <c r="G870" s="36">
        <v>0</v>
      </c>
      <c r="H870" s="36">
        <v>0</v>
      </c>
      <c r="I870" s="36">
        <v>0</v>
      </c>
      <c r="J870" s="36">
        <v>0</v>
      </c>
      <c r="K870" s="36">
        <v>0</v>
      </c>
      <c r="L870" s="36">
        <v>0</v>
      </c>
      <c r="M870" s="36">
        <v>0</v>
      </c>
      <c r="N870" s="36">
        <v>0</v>
      </c>
    </row>
    <row r="871" spans="1:14" x14ac:dyDescent="0.35">
      <c r="A871" s="3" t="s">
        <v>317</v>
      </c>
      <c r="B871" s="4">
        <v>101</v>
      </c>
      <c r="C871" s="5">
        <v>66803</v>
      </c>
      <c r="D871" s="3" t="s">
        <v>464</v>
      </c>
      <c r="E871" s="16">
        <v>57.99</v>
      </c>
      <c r="F871" s="16">
        <v>36.701500000000003</v>
      </c>
      <c r="G871" s="36">
        <v>0</v>
      </c>
      <c r="H871" s="36">
        <v>0</v>
      </c>
      <c r="I871" s="36">
        <v>0</v>
      </c>
      <c r="J871" s="36">
        <v>0</v>
      </c>
      <c r="K871" s="36">
        <v>0</v>
      </c>
      <c r="L871" s="36">
        <v>0</v>
      </c>
      <c r="M871" s="36">
        <v>0</v>
      </c>
      <c r="N871" s="36">
        <v>0</v>
      </c>
    </row>
    <row r="872" spans="1:14" x14ac:dyDescent="0.35">
      <c r="A872" s="3" t="s">
        <v>35</v>
      </c>
      <c r="B872" s="4">
        <v>101</v>
      </c>
      <c r="C872" s="5">
        <v>66806</v>
      </c>
      <c r="D872" s="3" t="s">
        <v>81</v>
      </c>
      <c r="E872" s="16">
        <v>33.99</v>
      </c>
      <c r="F872" s="16">
        <v>17.418749999999999</v>
      </c>
      <c r="G872" s="36">
        <v>0</v>
      </c>
      <c r="H872" s="36">
        <v>0</v>
      </c>
      <c r="I872" s="36">
        <v>0</v>
      </c>
      <c r="J872" s="36">
        <v>0</v>
      </c>
      <c r="K872" s="36">
        <v>0</v>
      </c>
      <c r="L872" s="36">
        <v>0</v>
      </c>
      <c r="M872" s="36">
        <v>0</v>
      </c>
      <c r="N872" s="36">
        <v>0</v>
      </c>
    </row>
    <row r="873" spans="1:14" x14ac:dyDescent="0.35">
      <c r="A873" s="3" t="s">
        <v>14</v>
      </c>
      <c r="B873" s="4">
        <v>102</v>
      </c>
      <c r="C873" s="5">
        <v>66950</v>
      </c>
      <c r="D873" s="3" t="s">
        <v>182</v>
      </c>
      <c r="E873" s="16">
        <v>29.99</v>
      </c>
      <c r="F873" s="16">
        <v>28.95</v>
      </c>
      <c r="G873" s="36">
        <v>0</v>
      </c>
      <c r="H873" s="36">
        <v>0</v>
      </c>
      <c r="I873" s="36">
        <v>0</v>
      </c>
      <c r="J873" s="36">
        <v>0</v>
      </c>
      <c r="K873" s="36">
        <v>0</v>
      </c>
      <c r="L873" s="36">
        <v>0</v>
      </c>
      <c r="M873" s="36">
        <v>0</v>
      </c>
      <c r="N873" s="36">
        <v>0</v>
      </c>
    </row>
    <row r="874" spans="1:14" x14ac:dyDescent="0.35">
      <c r="A874" s="3" t="s">
        <v>14</v>
      </c>
      <c r="B874" s="4">
        <v>102</v>
      </c>
      <c r="C874" s="5">
        <v>66951</v>
      </c>
      <c r="D874" s="3" t="s">
        <v>166</v>
      </c>
      <c r="E874" s="16">
        <v>29.99</v>
      </c>
      <c r="F874" s="16">
        <v>28.95</v>
      </c>
      <c r="G874" s="36">
        <v>0</v>
      </c>
      <c r="H874" s="36">
        <v>0</v>
      </c>
      <c r="I874" s="36">
        <v>0</v>
      </c>
      <c r="J874" s="36">
        <v>0</v>
      </c>
      <c r="K874" s="36">
        <v>0</v>
      </c>
      <c r="L874" s="36">
        <v>0</v>
      </c>
      <c r="M874" s="36">
        <v>0</v>
      </c>
      <c r="N874" s="36">
        <v>0</v>
      </c>
    </row>
    <row r="875" spans="1:14" x14ac:dyDescent="0.35">
      <c r="A875" s="3" t="s">
        <v>14</v>
      </c>
      <c r="B875" s="4">
        <v>102</v>
      </c>
      <c r="C875" s="5">
        <v>66952</v>
      </c>
      <c r="D875" s="3" t="s">
        <v>155</v>
      </c>
      <c r="E875" s="16">
        <v>29.99</v>
      </c>
      <c r="F875" s="16">
        <v>28.95</v>
      </c>
      <c r="G875" s="36">
        <v>0</v>
      </c>
      <c r="H875" s="36">
        <v>0</v>
      </c>
      <c r="I875" s="36">
        <v>0</v>
      </c>
      <c r="J875" s="36">
        <v>0</v>
      </c>
      <c r="K875" s="36">
        <v>0</v>
      </c>
      <c r="L875" s="36">
        <v>0</v>
      </c>
      <c r="M875" s="36">
        <v>0</v>
      </c>
      <c r="N875" s="36">
        <v>0</v>
      </c>
    </row>
    <row r="876" spans="1:14" x14ac:dyDescent="0.35">
      <c r="A876" s="3" t="s">
        <v>14</v>
      </c>
      <c r="B876" s="4">
        <v>101</v>
      </c>
      <c r="C876" s="5">
        <v>67140</v>
      </c>
      <c r="D876" s="3" t="s">
        <v>89</v>
      </c>
      <c r="E876" s="16">
        <v>2</v>
      </c>
      <c r="F876" s="16">
        <v>0.68</v>
      </c>
      <c r="G876" s="36">
        <v>0</v>
      </c>
      <c r="H876" s="36">
        <v>0</v>
      </c>
      <c r="I876" s="36">
        <v>0</v>
      </c>
      <c r="J876" s="36">
        <v>0</v>
      </c>
      <c r="K876" s="36">
        <v>0</v>
      </c>
      <c r="L876" s="36">
        <v>0</v>
      </c>
      <c r="M876" s="36">
        <v>0</v>
      </c>
      <c r="N876" s="36">
        <v>0</v>
      </c>
    </row>
    <row r="877" spans="1:14" x14ac:dyDescent="0.35">
      <c r="A877" s="3" t="s">
        <v>359</v>
      </c>
      <c r="B877" s="4">
        <v>103</v>
      </c>
      <c r="C877" s="5">
        <v>67236</v>
      </c>
      <c r="D877" s="3" t="s">
        <v>948</v>
      </c>
      <c r="E877" s="16">
        <v>157.99</v>
      </c>
      <c r="F877" s="16">
        <v>82.1</v>
      </c>
      <c r="G877" s="36">
        <v>0</v>
      </c>
      <c r="H877" s="36">
        <v>0</v>
      </c>
      <c r="I877" s="36">
        <v>0</v>
      </c>
      <c r="J877" s="36">
        <v>0</v>
      </c>
      <c r="K877" s="36">
        <v>0</v>
      </c>
      <c r="L877" s="36">
        <v>0</v>
      </c>
      <c r="M877" s="36">
        <v>0</v>
      </c>
      <c r="N877" s="36">
        <v>0</v>
      </c>
    </row>
    <row r="878" spans="1:14" x14ac:dyDescent="0.35">
      <c r="A878" s="3" t="s">
        <v>359</v>
      </c>
      <c r="B878" s="4">
        <v>103</v>
      </c>
      <c r="C878" s="5">
        <v>67237</v>
      </c>
      <c r="D878" s="3" t="s">
        <v>949</v>
      </c>
      <c r="E878" s="16">
        <v>100.99</v>
      </c>
      <c r="F878" s="16">
        <v>52.33</v>
      </c>
      <c r="G878" s="36">
        <v>0</v>
      </c>
      <c r="H878" s="36">
        <v>0</v>
      </c>
      <c r="I878" s="36">
        <v>0</v>
      </c>
      <c r="J878" s="36">
        <v>0</v>
      </c>
      <c r="K878" s="36">
        <v>0</v>
      </c>
      <c r="L878" s="36">
        <v>0</v>
      </c>
      <c r="M878" s="36">
        <v>0</v>
      </c>
      <c r="N878" s="36">
        <v>0</v>
      </c>
    </row>
    <row r="879" spans="1:14" x14ac:dyDescent="0.35">
      <c r="A879" s="3" t="s">
        <v>359</v>
      </c>
      <c r="B879" s="4">
        <v>103</v>
      </c>
      <c r="C879" s="5">
        <v>67238</v>
      </c>
      <c r="D879" s="3" t="s">
        <v>950</v>
      </c>
      <c r="E879" s="16">
        <v>190.99</v>
      </c>
      <c r="F879" s="16">
        <v>99.54</v>
      </c>
      <c r="G879" s="36">
        <v>0</v>
      </c>
      <c r="H879" s="36">
        <v>0</v>
      </c>
      <c r="I879" s="36">
        <v>0</v>
      </c>
      <c r="J879" s="36">
        <v>0</v>
      </c>
      <c r="K879" s="36">
        <v>0</v>
      </c>
      <c r="L879" s="36">
        <v>0</v>
      </c>
      <c r="M879" s="36">
        <v>0</v>
      </c>
      <c r="N879" s="36">
        <v>0</v>
      </c>
    </row>
    <row r="880" spans="1:14" x14ac:dyDescent="0.35">
      <c r="A880" s="3" t="s">
        <v>359</v>
      </c>
      <c r="B880" s="4">
        <v>103</v>
      </c>
      <c r="C880" s="5">
        <v>67239</v>
      </c>
      <c r="D880" s="3" t="s">
        <v>951</v>
      </c>
      <c r="E880" s="16">
        <v>157.99</v>
      </c>
      <c r="F880" s="16">
        <v>82.32</v>
      </c>
      <c r="G880" s="36">
        <v>0</v>
      </c>
      <c r="H880" s="36">
        <v>0</v>
      </c>
      <c r="I880" s="36">
        <v>0</v>
      </c>
      <c r="J880" s="36">
        <v>0</v>
      </c>
      <c r="K880" s="36">
        <v>0</v>
      </c>
      <c r="L880" s="36">
        <v>0</v>
      </c>
      <c r="M880" s="36">
        <v>0</v>
      </c>
      <c r="N880" s="36">
        <v>0</v>
      </c>
    </row>
    <row r="881" spans="1:14" x14ac:dyDescent="0.35">
      <c r="A881" s="3" t="s">
        <v>359</v>
      </c>
      <c r="B881" s="4">
        <v>103</v>
      </c>
      <c r="C881" s="5">
        <v>67240</v>
      </c>
      <c r="D881" s="3" t="s">
        <v>952</v>
      </c>
      <c r="E881" s="16">
        <v>73.989999999999995</v>
      </c>
      <c r="F881" s="16">
        <v>38.369999999999997</v>
      </c>
      <c r="G881" s="36">
        <v>0</v>
      </c>
      <c r="H881" s="36">
        <v>0</v>
      </c>
      <c r="I881" s="36">
        <v>0</v>
      </c>
      <c r="J881" s="36">
        <v>0</v>
      </c>
      <c r="K881" s="36">
        <v>0</v>
      </c>
      <c r="L881" s="36">
        <v>0</v>
      </c>
      <c r="M881" s="36">
        <v>0</v>
      </c>
      <c r="N881" s="36">
        <v>0</v>
      </c>
    </row>
    <row r="882" spans="1:14" x14ac:dyDescent="0.35">
      <c r="A882" s="3" t="s">
        <v>14</v>
      </c>
      <c r="B882" s="4">
        <v>102</v>
      </c>
      <c r="C882" s="5">
        <v>67241</v>
      </c>
      <c r="D882" s="3" t="s">
        <v>200</v>
      </c>
      <c r="E882" s="16">
        <v>15.99</v>
      </c>
      <c r="F882" s="16">
        <v>6.2</v>
      </c>
      <c r="G882" s="36">
        <v>0</v>
      </c>
      <c r="H882" s="36">
        <v>0</v>
      </c>
      <c r="I882" s="36">
        <v>0</v>
      </c>
      <c r="J882" s="36">
        <v>0</v>
      </c>
      <c r="K882" s="36">
        <v>0</v>
      </c>
      <c r="L882" s="36">
        <v>0</v>
      </c>
      <c r="M882" s="36">
        <v>0</v>
      </c>
      <c r="N882" s="36">
        <v>0</v>
      </c>
    </row>
    <row r="883" spans="1:14" x14ac:dyDescent="0.35">
      <c r="A883" s="3" t="s">
        <v>14</v>
      </c>
      <c r="B883" s="4">
        <v>102</v>
      </c>
      <c r="C883" s="5">
        <v>67242</v>
      </c>
      <c r="D883" s="3" t="s">
        <v>201</v>
      </c>
      <c r="E883" s="16">
        <v>13.99</v>
      </c>
      <c r="F883" s="16">
        <v>3.8</v>
      </c>
      <c r="G883" s="36">
        <v>0</v>
      </c>
      <c r="H883" s="36">
        <v>0</v>
      </c>
      <c r="I883" s="36">
        <v>0</v>
      </c>
      <c r="J883" s="36">
        <v>0</v>
      </c>
      <c r="K883" s="36">
        <v>0</v>
      </c>
      <c r="L883" s="36">
        <v>0</v>
      </c>
      <c r="M883" s="36">
        <v>0</v>
      </c>
      <c r="N883" s="36">
        <v>0</v>
      </c>
    </row>
    <row r="884" spans="1:14" x14ac:dyDescent="0.35">
      <c r="A884" s="3" t="s">
        <v>14</v>
      </c>
      <c r="B884" s="4">
        <v>102</v>
      </c>
      <c r="C884" s="5">
        <v>67243</v>
      </c>
      <c r="D884" s="3" t="s">
        <v>202</v>
      </c>
      <c r="E884" s="16">
        <v>30.99</v>
      </c>
      <c r="F884" s="16">
        <v>9.5</v>
      </c>
      <c r="G884" s="36">
        <v>0</v>
      </c>
      <c r="H884" s="36">
        <v>0</v>
      </c>
      <c r="I884" s="36">
        <v>0</v>
      </c>
      <c r="J884" s="36">
        <v>0</v>
      </c>
      <c r="K884" s="36">
        <v>0</v>
      </c>
      <c r="L884" s="36">
        <v>0</v>
      </c>
      <c r="M884" s="36">
        <v>0</v>
      </c>
      <c r="N884" s="36">
        <v>0</v>
      </c>
    </row>
    <row r="885" spans="1:14" x14ac:dyDescent="0.35">
      <c r="A885" s="3" t="s">
        <v>14</v>
      </c>
      <c r="B885" s="4">
        <v>102</v>
      </c>
      <c r="C885" s="5">
        <v>67244</v>
      </c>
      <c r="D885" s="3" t="s">
        <v>203</v>
      </c>
      <c r="E885" s="16">
        <v>35.99</v>
      </c>
      <c r="F885" s="16">
        <v>12.5</v>
      </c>
      <c r="G885" s="36">
        <v>0</v>
      </c>
      <c r="H885" s="36">
        <v>0</v>
      </c>
      <c r="I885" s="36">
        <v>0</v>
      </c>
      <c r="J885" s="36">
        <v>0</v>
      </c>
      <c r="K885" s="36">
        <v>0</v>
      </c>
      <c r="L885" s="36">
        <v>0</v>
      </c>
      <c r="M885" s="36">
        <v>0</v>
      </c>
      <c r="N885" s="36">
        <v>0</v>
      </c>
    </row>
    <row r="886" spans="1:14" x14ac:dyDescent="0.35">
      <c r="A886" s="3" t="s">
        <v>14</v>
      </c>
      <c r="B886" s="4">
        <v>102</v>
      </c>
      <c r="C886" s="5">
        <v>67245</v>
      </c>
      <c r="D886" s="3" t="s">
        <v>204</v>
      </c>
      <c r="E886" s="16">
        <v>26.99</v>
      </c>
      <c r="F886" s="16">
        <v>7.8</v>
      </c>
      <c r="G886" s="36">
        <v>0</v>
      </c>
      <c r="H886" s="36">
        <v>0</v>
      </c>
      <c r="I886" s="36">
        <v>0</v>
      </c>
      <c r="J886" s="36">
        <v>0</v>
      </c>
      <c r="K886" s="36">
        <v>0</v>
      </c>
      <c r="L886" s="36">
        <v>0</v>
      </c>
      <c r="M886" s="36">
        <v>0</v>
      </c>
      <c r="N886" s="36">
        <v>0</v>
      </c>
    </row>
    <row r="887" spans="1:14" x14ac:dyDescent="0.35">
      <c r="A887" s="3" t="s">
        <v>14</v>
      </c>
      <c r="B887" s="4">
        <v>102</v>
      </c>
      <c r="C887" s="5">
        <v>67246</v>
      </c>
      <c r="D887" s="3" t="s">
        <v>94</v>
      </c>
      <c r="E887" s="16">
        <v>26.99</v>
      </c>
      <c r="F887" s="16">
        <v>7.8</v>
      </c>
      <c r="G887" s="36">
        <v>0</v>
      </c>
      <c r="H887" s="36">
        <v>0</v>
      </c>
      <c r="I887" s="36">
        <v>0</v>
      </c>
      <c r="J887" s="36">
        <v>0</v>
      </c>
      <c r="K887" s="36">
        <v>0</v>
      </c>
      <c r="L887" s="36">
        <v>0</v>
      </c>
      <c r="M887" s="36">
        <v>0</v>
      </c>
      <c r="N887" s="36">
        <v>0</v>
      </c>
    </row>
    <row r="888" spans="1:14" x14ac:dyDescent="0.35">
      <c r="A888" s="3" t="s">
        <v>14</v>
      </c>
      <c r="B888" s="4">
        <v>102</v>
      </c>
      <c r="C888" s="5">
        <v>67247</v>
      </c>
      <c r="D888" s="3" t="s">
        <v>205</v>
      </c>
      <c r="E888" s="16">
        <v>15.99</v>
      </c>
      <c r="F888" s="16">
        <v>8.0500000000000007</v>
      </c>
      <c r="G888" s="36">
        <v>0</v>
      </c>
      <c r="H888" s="36">
        <v>0</v>
      </c>
      <c r="I888" s="36">
        <v>0</v>
      </c>
      <c r="J888" s="36">
        <v>0</v>
      </c>
      <c r="K888" s="36">
        <v>0</v>
      </c>
      <c r="L888" s="36">
        <v>0</v>
      </c>
      <c r="M888" s="36">
        <v>0</v>
      </c>
      <c r="N888" s="36">
        <v>0</v>
      </c>
    </row>
    <row r="889" spans="1:14" x14ac:dyDescent="0.35">
      <c r="A889" s="3" t="s">
        <v>14</v>
      </c>
      <c r="B889" s="4">
        <v>102</v>
      </c>
      <c r="C889" s="5">
        <v>67301</v>
      </c>
      <c r="D889" s="3" t="s">
        <v>206</v>
      </c>
      <c r="E889" s="16">
        <v>15.99</v>
      </c>
      <c r="F889" s="16">
        <v>9.99</v>
      </c>
      <c r="G889" s="36">
        <v>0</v>
      </c>
      <c r="H889" s="36">
        <v>0</v>
      </c>
      <c r="I889" s="36">
        <v>0</v>
      </c>
      <c r="J889" s="36">
        <v>0</v>
      </c>
      <c r="K889" s="36">
        <v>0</v>
      </c>
      <c r="L889" s="36">
        <v>0</v>
      </c>
      <c r="M889" s="36">
        <v>0</v>
      </c>
      <c r="N889" s="36">
        <v>0</v>
      </c>
    </row>
    <row r="890" spans="1:14" x14ac:dyDescent="0.35">
      <c r="A890" s="3" t="s">
        <v>724</v>
      </c>
      <c r="B890" s="4">
        <v>112</v>
      </c>
      <c r="C890" s="5">
        <v>67302</v>
      </c>
      <c r="D890" s="3" t="s">
        <v>953</v>
      </c>
      <c r="E890" s="16">
        <v>103.99</v>
      </c>
      <c r="F890" s="16">
        <v>64.2</v>
      </c>
      <c r="G890" s="36">
        <v>0</v>
      </c>
      <c r="H890" s="36">
        <v>0</v>
      </c>
      <c r="I890" s="36">
        <v>0</v>
      </c>
      <c r="J890" s="36">
        <v>0</v>
      </c>
      <c r="K890" s="36">
        <v>0</v>
      </c>
      <c r="L890" s="36">
        <v>0</v>
      </c>
      <c r="M890" s="36">
        <v>0</v>
      </c>
      <c r="N890" s="36">
        <v>0</v>
      </c>
    </row>
    <row r="891" spans="1:14" x14ac:dyDescent="0.35">
      <c r="A891" s="3" t="s">
        <v>465</v>
      </c>
      <c r="B891" s="4">
        <v>102</v>
      </c>
      <c r="C891" s="5">
        <v>67418</v>
      </c>
      <c r="D891" s="3" t="s">
        <v>466</v>
      </c>
      <c r="E891" s="16">
        <v>273.99</v>
      </c>
      <c r="F891" s="16">
        <v>142.87222222222221</v>
      </c>
      <c r="G891" s="36">
        <v>0</v>
      </c>
      <c r="H891" s="36">
        <v>0</v>
      </c>
      <c r="I891" s="36">
        <v>0</v>
      </c>
      <c r="J891" s="36">
        <v>0</v>
      </c>
      <c r="K891" s="36">
        <v>0</v>
      </c>
      <c r="L891" s="36">
        <v>0</v>
      </c>
      <c r="M891" s="36">
        <v>0</v>
      </c>
      <c r="N891" s="36">
        <v>0</v>
      </c>
    </row>
    <row r="892" spans="1:14" x14ac:dyDescent="0.35">
      <c r="A892" s="3" t="s">
        <v>317</v>
      </c>
      <c r="B892" s="4">
        <v>101</v>
      </c>
      <c r="C892" s="5">
        <v>99990101</v>
      </c>
      <c r="D892" s="3" t="s">
        <v>467</v>
      </c>
      <c r="E892" s="16">
        <v>1</v>
      </c>
      <c r="F892" s="16">
        <v>0.61399999999999999</v>
      </c>
      <c r="G892" s="36">
        <v>0</v>
      </c>
      <c r="H892" s="36">
        <v>0</v>
      </c>
      <c r="I892" s="36">
        <v>0</v>
      </c>
      <c r="J892" s="36">
        <v>0</v>
      </c>
      <c r="K892" s="36">
        <v>0</v>
      </c>
      <c r="L892" s="36">
        <v>0</v>
      </c>
      <c r="M892" s="36">
        <v>0</v>
      </c>
      <c r="N892" s="36">
        <v>0</v>
      </c>
    </row>
    <row r="893" spans="1:14" x14ac:dyDescent="0.35">
      <c r="A893" s="3" t="s">
        <v>317</v>
      </c>
      <c r="B893" s="4">
        <v>102</v>
      </c>
      <c r="C893" s="5">
        <v>99990102</v>
      </c>
      <c r="D893" s="3" t="s">
        <v>468</v>
      </c>
      <c r="E893" s="16">
        <v>1</v>
      </c>
      <c r="F893" s="16">
        <v>0.61399999999999999</v>
      </c>
      <c r="G893" s="36">
        <v>0</v>
      </c>
      <c r="H893" s="36">
        <v>0</v>
      </c>
      <c r="I893" s="36">
        <v>0</v>
      </c>
      <c r="J893" s="36">
        <v>0</v>
      </c>
      <c r="K893" s="36">
        <v>0</v>
      </c>
      <c r="L893" s="36">
        <v>0</v>
      </c>
      <c r="M893" s="36">
        <v>0</v>
      </c>
      <c r="N893" s="36">
        <v>0</v>
      </c>
    </row>
    <row r="894" spans="1:14" x14ac:dyDescent="0.35">
      <c r="A894" s="3" t="s">
        <v>317</v>
      </c>
      <c r="B894" s="4">
        <v>103</v>
      </c>
      <c r="C894" s="5">
        <v>99990103</v>
      </c>
      <c r="D894" s="3" t="s">
        <v>954</v>
      </c>
      <c r="E894" s="16">
        <v>1</v>
      </c>
      <c r="F894" s="16">
        <v>0.61399999999999999</v>
      </c>
      <c r="G894" s="36">
        <v>0</v>
      </c>
      <c r="H894" s="36">
        <v>0</v>
      </c>
      <c r="I894" s="36">
        <v>0</v>
      </c>
      <c r="J894" s="36">
        <v>0</v>
      </c>
      <c r="K894" s="36">
        <v>0</v>
      </c>
      <c r="L894" s="36">
        <v>0</v>
      </c>
      <c r="M894" s="36">
        <v>0</v>
      </c>
      <c r="N894" s="36">
        <v>0</v>
      </c>
    </row>
    <row r="895" spans="1:14" x14ac:dyDescent="0.35">
      <c r="A895" s="3" t="s">
        <v>635</v>
      </c>
      <c r="B895" s="4">
        <v>105</v>
      </c>
      <c r="C895" s="5">
        <v>99990105</v>
      </c>
      <c r="D895" s="3" t="s">
        <v>955</v>
      </c>
      <c r="E895" s="16">
        <v>1</v>
      </c>
      <c r="F895" s="16">
        <v>0</v>
      </c>
      <c r="G895" s="36">
        <v>0</v>
      </c>
      <c r="H895" s="36">
        <v>0</v>
      </c>
      <c r="I895" s="36">
        <v>0</v>
      </c>
      <c r="J895" s="36">
        <v>0</v>
      </c>
      <c r="K895" s="36">
        <v>0</v>
      </c>
      <c r="L895" s="36">
        <v>0</v>
      </c>
      <c r="M895" s="36">
        <v>0</v>
      </c>
      <c r="N895" s="36">
        <v>0</v>
      </c>
    </row>
    <row r="896" spans="1:14" x14ac:dyDescent="0.35">
      <c r="A896" s="3" t="s">
        <v>317</v>
      </c>
      <c r="B896" s="4">
        <v>107</v>
      </c>
      <c r="C896" s="5">
        <v>99990107</v>
      </c>
      <c r="D896" s="3" t="s">
        <v>956</v>
      </c>
      <c r="E896" s="16">
        <v>1</v>
      </c>
      <c r="F896" s="16">
        <v>0.61399999999999999</v>
      </c>
      <c r="G896" s="36">
        <v>0</v>
      </c>
      <c r="H896" s="36">
        <v>0</v>
      </c>
      <c r="I896" s="36">
        <v>0</v>
      </c>
      <c r="J896" s="36">
        <v>0</v>
      </c>
      <c r="K896" s="36">
        <v>0</v>
      </c>
      <c r="L896" s="36">
        <v>0</v>
      </c>
      <c r="M896" s="36">
        <v>0</v>
      </c>
      <c r="N896" s="36">
        <v>0</v>
      </c>
    </row>
    <row r="897" spans="1:14" x14ac:dyDescent="0.35">
      <c r="A897" s="3" t="s">
        <v>317</v>
      </c>
      <c r="B897" s="4">
        <v>109</v>
      </c>
      <c r="C897" s="5">
        <v>99990109</v>
      </c>
      <c r="D897" s="3" t="s">
        <v>957</v>
      </c>
      <c r="E897" s="16">
        <v>1</v>
      </c>
      <c r="F897" s="16">
        <v>0.61399999999999999</v>
      </c>
      <c r="G897" s="36">
        <v>0</v>
      </c>
      <c r="H897" s="36">
        <v>0</v>
      </c>
      <c r="I897" s="36">
        <v>0</v>
      </c>
      <c r="J897" s="36">
        <v>0</v>
      </c>
      <c r="K897" s="36">
        <v>0</v>
      </c>
      <c r="L897" s="36">
        <v>0</v>
      </c>
      <c r="M897" s="36">
        <v>0</v>
      </c>
      <c r="N897" s="36">
        <v>0</v>
      </c>
    </row>
    <row r="898" spans="1:14" x14ac:dyDescent="0.35">
      <c r="A898" s="3" t="s">
        <v>317</v>
      </c>
      <c r="B898" s="4">
        <v>110</v>
      </c>
      <c r="C898" s="5">
        <v>99990110</v>
      </c>
      <c r="D898" s="3" t="s">
        <v>958</v>
      </c>
      <c r="E898" s="16">
        <v>1</v>
      </c>
      <c r="F898" s="16">
        <v>0.61399999999999999</v>
      </c>
      <c r="G898" s="36">
        <v>0</v>
      </c>
      <c r="H898" s="36">
        <v>0</v>
      </c>
      <c r="I898" s="36">
        <v>0</v>
      </c>
      <c r="J898" s="36">
        <v>0</v>
      </c>
      <c r="K898" s="36">
        <v>0</v>
      </c>
      <c r="L898" s="36">
        <v>0</v>
      </c>
      <c r="M898" s="36">
        <v>0</v>
      </c>
      <c r="N898" s="36">
        <v>0</v>
      </c>
    </row>
    <row r="899" spans="1:14" x14ac:dyDescent="0.35">
      <c r="A899" s="3" t="s">
        <v>317</v>
      </c>
      <c r="B899" s="4">
        <v>118</v>
      </c>
      <c r="C899" s="5">
        <v>99990118</v>
      </c>
      <c r="D899" s="3" t="s">
        <v>469</v>
      </c>
      <c r="E899" s="16">
        <v>1</v>
      </c>
      <c r="F899" s="16">
        <v>0</v>
      </c>
      <c r="G899" s="36">
        <v>0</v>
      </c>
      <c r="H899" s="36">
        <v>0</v>
      </c>
      <c r="I899" s="36">
        <v>0</v>
      </c>
      <c r="J899" s="36">
        <v>0</v>
      </c>
      <c r="K899" s="36">
        <v>0</v>
      </c>
      <c r="L899" s="36">
        <v>0</v>
      </c>
      <c r="M899" s="36">
        <v>0</v>
      </c>
      <c r="N899" s="36">
        <v>0</v>
      </c>
    </row>
    <row r="900" spans="1:14" x14ac:dyDescent="0.35">
      <c r="A900" s="3" t="s">
        <v>317</v>
      </c>
      <c r="B900" s="4">
        <v>119</v>
      </c>
      <c r="C900" s="5">
        <v>99990119</v>
      </c>
      <c r="D900" s="3" t="s">
        <v>470</v>
      </c>
      <c r="E900" s="16">
        <v>1</v>
      </c>
      <c r="F900" s="16">
        <v>0</v>
      </c>
      <c r="G900" s="36">
        <v>0</v>
      </c>
      <c r="H900" s="36">
        <v>0</v>
      </c>
      <c r="I900" s="36">
        <v>0</v>
      </c>
      <c r="J900" s="36">
        <v>0</v>
      </c>
      <c r="K900" s="36">
        <v>0</v>
      </c>
      <c r="L900" s="36">
        <v>0</v>
      </c>
      <c r="M900" s="36">
        <v>0</v>
      </c>
      <c r="N900" s="36">
        <v>0</v>
      </c>
    </row>
    <row r="901" spans="1:14" x14ac:dyDescent="0.35">
      <c r="A901" s="3" t="s">
        <v>317</v>
      </c>
      <c r="B901" s="4">
        <v>1142</v>
      </c>
      <c r="C901" s="5">
        <v>99991142</v>
      </c>
      <c r="D901" s="3" t="s">
        <v>959</v>
      </c>
      <c r="E901" s="16">
        <v>1</v>
      </c>
      <c r="F901" s="16">
        <v>0</v>
      </c>
      <c r="G901" s="36">
        <v>0</v>
      </c>
      <c r="H901" s="36">
        <v>0</v>
      </c>
      <c r="I901" s="36">
        <v>0</v>
      </c>
      <c r="J901" s="36">
        <v>0</v>
      </c>
      <c r="K901" s="36">
        <v>0</v>
      </c>
      <c r="L901" s="36">
        <v>0</v>
      </c>
      <c r="M901" s="36">
        <v>0</v>
      </c>
      <c r="N901" s="36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98AF0-10D7-43A0-BBC9-00652270CF17}">
  <sheetPr codeName="Sheet3">
    <pageSetUpPr fitToPage="1"/>
  </sheetPr>
  <dimension ref="A1:K57"/>
  <sheetViews>
    <sheetView workbookViewId="0">
      <selection activeCell="C10" sqref="C10"/>
    </sheetView>
  </sheetViews>
  <sheetFormatPr defaultRowHeight="13" x14ac:dyDescent="0.35"/>
  <cols>
    <col min="1" max="1" width="12.69921875" customWidth="1"/>
    <col min="2" max="2" width="38.3984375" bestFit="1" customWidth="1"/>
    <col min="3" max="3" width="10.19921875" bestFit="1" customWidth="1"/>
    <col min="4" max="4" width="11.8984375" bestFit="1" customWidth="1"/>
    <col min="5" max="5" width="8.8984375" bestFit="1" customWidth="1"/>
    <col min="6" max="6" width="10.59765625" bestFit="1" customWidth="1"/>
    <col min="7" max="7" width="10.796875" bestFit="1" customWidth="1"/>
    <col min="8" max="8" width="10.59765625" bestFit="1" customWidth="1"/>
    <col min="9" max="10" width="13.8984375" bestFit="1" customWidth="1"/>
    <col min="11" max="11" width="7.8984375" customWidth="1"/>
  </cols>
  <sheetData>
    <row r="1" spans="1:11" ht="30" customHeight="1" x14ac:dyDescent="0.35">
      <c r="A1" s="70" t="s">
        <v>302</v>
      </c>
      <c r="B1" s="70"/>
      <c r="C1" s="70"/>
      <c r="D1" s="70"/>
      <c r="E1" s="70"/>
      <c r="F1" s="70"/>
      <c r="G1" s="70"/>
      <c r="H1" s="70"/>
      <c r="I1" s="70"/>
      <c r="J1" s="70"/>
    </row>
    <row r="2" spans="1:11" ht="10" customHeight="1" x14ac:dyDescent="0.35">
      <c r="A2" s="23"/>
      <c r="B2" s="23"/>
      <c r="C2" s="24" t="s">
        <v>296</v>
      </c>
      <c r="D2" s="23"/>
      <c r="E2" s="23"/>
      <c r="F2" s="23"/>
      <c r="G2" s="23"/>
      <c r="H2" s="23"/>
      <c r="I2" s="23"/>
    </row>
    <row r="3" spans="1:11" s="22" customFormat="1" ht="38.5" customHeight="1" x14ac:dyDescent="0.35">
      <c r="A3" s="25" t="s">
        <v>1</v>
      </c>
      <c r="B3" s="25" t="s">
        <v>2</v>
      </c>
      <c r="C3" s="25" t="s">
        <v>298</v>
      </c>
      <c r="D3" s="25" t="s">
        <v>304</v>
      </c>
      <c r="E3" s="25" t="s">
        <v>297</v>
      </c>
      <c r="F3" s="25" t="s">
        <v>299</v>
      </c>
      <c r="G3" s="25" t="s">
        <v>300</v>
      </c>
      <c r="H3" s="25" t="s">
        <v>301</v>
      </c>
      <c r="I3" s="38" t="s">
        <v>305</v>
      </c>
      <c r="J3"/>
      <c r="K3"/>
    </row>
    <row r="4" spans="1:11" s="30" customFormat="1" ht="17" customHeight="1" x14ac:dyDescent="0.35">
      <c r="A4" s="48">
        <v>59381</v>
      </c>
      <c r="B4" s="23" t="s">
        <v>15</v>
      </c>
      <c r="C4" s="26">
        <v>780</v>
      </c>
      <c r="D4" s="27">
        <v>13.99</v>
      </c>
      <c r="E4" s="27">
        <v>7.36</v>
      </c>
      <c r="F4" s="28">
        <v>10912.2</v>
      </c>
      <c r="G4" s="28">
        <v>5740.8</v>
      </c>
      <c r="H4" s="28">
        <v>5171.4000000000005</v>
      </c>
      <c r="I4" s="29">
        <v>0.47390993566833456</v>
      </c>
      <c r="J4"/>
    </row>
    <row r="5" spans="1:11" s="30" customFormat="1" ht="17" customHeight="1" x14ac:dyDescent="0.35">
      <c r="A5" s="48">
        <v>59425</v>
      </c>
      <c r="B5" s="23" t="s">
        <v>17</v>
      </c>
      <c r="C5" s="26">
        <v>240</v>
      </c>
      <c r="D5" s="27">
        <v>10.99</v>
      </c>
      <c r="E5" s="27">
        <v>6.3</v>
      </c>
      <c r="F5" s="28">
        <v>2637.6</v>
      </c>
      <c r="G5" s="28">
        <v>1512</v>
      </c>
      <c r="H5" s="28">
        <v>1125.5999999999999</v>
      </c>
      <c r="I5" s="29">
        <v>0.42675159235668786</v>
      </c>
      <c r="J5"/>
    </row>
    <row r="6" spans="1:11" s="30" customFormat="1" ht="17" customHeight="1" x14ac:dyDescent="0.35">
      <c r="A6" s="48">
        <v>52943</v>
      </c>
      <c r="B6" s="23" t="s">
        <v>90</v>
      </c>
      <c r="C6" s="26">
        <v>213</v>
      </c>
      <c r="D6" s="27">
        <v>31.99</v>
      </c>
      <c r="E6" s="27">
        <v>15.17</v>
      </c>
      <c r="F6" s="28">
        <v>6813.87</v>
      </c>
      <c r="G6" s="28">
        <v>3231.21</v>
      </c>
      <c r="H6" s="28">
        <v>3582.66</v>
      </c>
      <c r="I6" s="29">
        <v>0.52578930915911226</v>
      </c>
      <c r="J6"/>
    </row>
    <row r="7" spans="1:11" s="30" customFormat="1" ht="17" customHeight="1" x14ac:dyDescent="0.35">
      <c r="A7" s="48">
        <v>34690</v>
      </c>
      <c r="B7" s="23" t="s">
        <v>18</v>
      </c>
      <c r="C7" s="26">
        <v>184</v>
      </c>
      <c r="D7" s="27">
        <v>16.989999999999998</v>
      </c>
      <c r="E7" s="27">
        <v>7.7</v>
      </c>
      <c r="F7" s="28">
        <v>3126.16</v>
      </c>
      <c r="G7" s="28">
        <v>1416.8</v>
      </c>
      <c r="H7" s="28">
        <v>1709.36</v>
      </c>
      <c r="I7" s="29">
        <v>0.54679223072395522</v>
      </c>
      <c r="J7"/>
    </row>
    <row r="8" spans="1:11" s="30" customFormat="1" ht="17" customHeight="1" x14ac:dyDescent="0.35">
      <c r="A8" s="48">
        <v>34141</v>
      </c>
      <c r="B8" s="23" t="s">
        <v>24</v>
      </c>
      <c r="C8" s="26">
        <v>144</v>
      </c>
      <c r="D8" s="27">
        <v>5</v>
      </c>
      <c r="E8" s="27">
        <v>3.3388749999999998</v>
      </c>
      <c r="F8" s="28">
        <v>720</v>
      </c>
      <c r="G8" s="28">
        <v>480.798</v>
      </c>
      <c r="H8" s="28">
        <v>239.202</v>
      </c>
      <c r="I8" s="29">
        <v>0.33222499999999999</v>
      </c>
      <c r="J8"/>
    </row>
    <row r="9" spans="1:11" s="30" customFormat="1" ht="17" customHeight="1" x14ac:dyDescent="0.35">
      <c r="A9" s="48">
        <v>32859</v>
      </c>
      <c r="B9" s="23" t="s">
        <v>20</v>
      </c>
      <c r="C9" s="26">
        <v>104.666666666667</v>
      </c>
      <c r="D9" s="27">
        <v>41.98</v>
      </c>
      <c r="E9" s="27">
        <v>14.92</v>
      </c>
      <c r="F9" s="28">
        <v>2196.9533333333402</v>
      </c>
      <c r="G9" s="28">
        <v>780.81333333333578</v>
      </c>
      <c r="H9" s="28">
        <v>1416.1400000000044</v>
      </c>
      <c r="I9" s="29">
        <v>0.64459266317293951</v>
      </c>
      <c r="J9"/>
    </row>
    <row r="10" spans="1:11" s="30" customFormat="1" ht="17" customHeight="1" x14ac:dyDescent="0.35">
      <c r="A10" s="48">
        <v>54018</v>
      </c>
      <c r="B10" s="23" t="s">
        <v>243</v>
      </c>
      <c r="C10" s="26">
        <v>93</v>
      </c>
      <c r="D10" s="27">
        <v>18.989999999999998</v>
      </c>
      <c r="E10" s="27">
        <v>9.83</v>
      </c>
      <c r="F10" s="28">
        <v>1766.07</v>
      </c>
      <c r="G10" s="28">
        <v>914.19</v>
      </c>
      <c r="H10" s="28">
        <v>851.87999999999988</v>
      </c>
      <c r="I10" s="29">
        <v>0.48235913638757233</v>
      </c>
      <c r="J10"/>
    </row>
    <row r="11" spans="1:11" s="30" customFormat="1" ht="17" customHeight="1" x14ac:dyDescent="0.35">
      <c r="A11" s="48">
        <v>34041</v>
      </c>
      <c r="B11" s="23" t="s">
        <v>43</v>
      </c>
      <c r="C11" s="26">
        <v>70</v>
      </c>
      <c r="D11" s="27">
        <v>6.99</v>
      </c>
      <c r="E11" s="27">
        <v>3.15</v>
      </c>
      <c r="F11" s="28">
        <v>489.3</v>
      </c>
      <c r="G11" s="28">
        <v>220.5</v>
      </c>
      <c r="H11" s="28">
        <v>268.8</v>
      </c>
      <c r="I11" s="29">
        <v>0.54935622317596566</v>
      </c>
      <c r="J11"/>
    </row>
    <row r="12" spans="1:11" s="30" customFormat="1" ht="17" customHeight="1" x14ac:dyDescent="0.35">
      <c r="A12" s="48">
        <v>50037</v>
      </c>
      <c r="B12" s="23" t="s">
        <v>22</v>
      </c>
      <c r="C12" s="26">
        <v>65</v>
      </c>
      <c r="D12" s="27">
        <v>25.99</v>
      </c>
      <c r="E12" s="27">
        <v>13.4</v>
      </c>
      <c r="F12" s="28">
        <v>1689.35</v>
      </c>
      <c r="G12" s="28">
        <v>871</v>
      </c>
      <c r="H12" s="28">
        <v>818.34999999999991</v>
      </c>
      <c r="I12" s="29">
        <v>0.48441708349365137</v>
      </c>
      <c r="J12"/>
    </row>
    <row r="13" spans="1:11" s="30" customFormat="1" ht="17" customHeight="1" x14ac:dyDescent="0.35">
      <c r="A13" s="48">
        <v>34046</v>
      </c>
      <c r="B13" s="23" t="s">
        <v>37</v>
      </c>
      <c r="C13" s="26">
        <v>50</v>
      </c>
      <c r="D13" s="27">
        <v>19.989999999999998</v>
      </c>
      <c r="E13" s="27">
        <v>12.2</v>
      </c>
      <c r="F13" s="28">
        <v>999.49999999999989</v>
      </c>
      <c r="G13" s="28">
        <v>610</v>
      </c>
      <c r="H13" s="28">
        <v>389.49999999999989</v>
      </c>
      <c r="I13" s="29">
        <v>0.3896948474237118</v>
      </c>
      <c r="J13"/>
    </row>
    <row r="14" spans="1:11" s="30" customFormat="1" ht="17" customHeight="1" x14ac:dyDescent="0.35">
      <c r="A14" s="48">
        <v>34042</v>
      </c>
      <c r="B14" s="23" t="s">
        <v>31</v>
      </c>
      <c r="C14" s="26">
        <v>48</v>
      </c>
      <c r="D14" s="27">
        <v>9.5</v>
      </c>
      <c r="E14" s="27">
        <v>4.1500000000000004</v>
      </c>
      <c r="F14" s="28">
        <v>456</v>
      </c>
      <c r="G14" s="28">
        <v>199.20000000000002</v>
      </c>
      <c r="H14" s="28">
        <v>256.79999999999995</v>
      </c>
      <c r="I14" s="29">
        <v>0.56315789473684197</v>
      </c>
      <c r="J14"/>
    </row>
    <row r="15" spans="1:11" s="30" customFormat="1" ht="17" customHeight="1" x14ac:dyDescent="0.35">
      <c r="A15" s="48">
        <v>34091</v>
      </c>
      <c r="B15" s="23" t="s">
        <v>28</v>
      </c>
      <c r="C15" s="26">
        <v>40</v>
      </c>
      <c r="D15" s="27">
        <v>17.989999999999998</v>
      </c>
      <c r="E15" s="27">
        <v>12.24</v>
      </c>
      <c r="F15" s="28">
        <v>719.59999999999991</v>
      </c>
      <c r="G15" s="28">
        <v>489.6</v>
      </c>
      <c r="H15" s="28">
        <v>229.99999999999989</v>
      </c>
      <c r="I15" s="29">
        <v>0.31962201222901598</v>
      </c>
      <c r="J15"/>
    </row>
    <row r="16" spans="1:11" s="30" customFormat="1" ht="17" customHeight="1" x14ac:dyDescent="0.35">
      <c r="A16" s="48">
        <v>41464</v>
      </c>
      <c r="B16" s="23" t="s">
        <v>45</v>
      </c>
      <c r="C16" s="26">
        <v>36</v>
      </c>
      <c r="D16" s="27">
        <v>16.989999999999998</v>
      </c>
      <c r="E16" s="27">
        <v>7.73</v>
      </c>
      <c r="F16" s="28">
        <v>611.64</v>
      </c>
      <c r="G16" s="28">
        <v>278.28000000000003</v>
      </c>
      <c r="H16" s="28">
        <v>333.35999999999996</v>
      </c>
      <c r="I16" s="29">
        <v>0.54502648616833427</v>
      </c>
      <c r="J16"/>
    </row>
    <row r="17" spans="1:10" s="30" customFormat="1" ht="17" customHeight="1" x14ac:dyDescent="0.35">
      <c r="A17" s="48">
        <v>57073</v>
      </c>
      <c r="B17" s="23" t="s">
        <v>21</v>
      </c>
      <c r="C17" s="26">
        <v>36</v>
      </c>
      <c r="D17" s="27">
        <v>36.99</v>
      </c>
      <c r="E17" s="27">
        <v>16.05</v>
      </c>
      <c r="F17" s="28">
        <v>1331.64</v>
      </c>
      <c r="G17" s="28">
        <v>577.80000000000007</v>
      </c>
      <c r="H17" s="28">
        <v>753.84</v>
      </c>
      <c r="I17" s="29">
        <v>0.56609894566098939</v>
      </c>
      <c r="J17"/>
    </row>
    <row r="18" spans="1:10" s="30" customFormat="1" ht="17" customHeight="1" x14ac:dyDescent="0.35">
      <c r="A18" s="48">
        <v>34024</v>
      </c>
      <c r="B18" s="23" t="s">
        <v>23</v>
      </c>
      <c r="C18" s="26">
        <v>36</v>
      </c>
      <c r="D18" s="27">
        <v>37.99</v>
      </c>
      <c r="E18" s="27">
        <v>16.5</v>
      </c>
      <c r="F18" s="28">
        <v>1367.64</v>
      </c>
      <c r="G18" s="28">
        <v>594</v>
      </c>
      <c r="H18" s="28">
        <v>773.6400000000001</v>
      </c>
      <c r="I18" s="29">
        <v>0.56567517767833642</v>
      </c>
      <c r="J18"/>
    </row>
    <row r="19" spans="1:10" s="30" customFormat="1" ht="17" customHeight="1" x14ac:dyDescent="0.35">
      <c r="A19" s="48">
        <v>51680</v>
      </c>
      <c r="B19" s="23" t="s">
        <v>33</v>
      </c>
      <c r="C19" s="26">
        <v>34</v>
      </c>
      <c r="D19" s="27">
        <v>21.99</v>
      </c>
      <c r="E19" s="27">
        <v>12.14</v>
      </c>
      <c r="F19" s="28">
        <v>747.66</v>
      </c>
      <c r="G19" s="28">
        <v>412.76</v>
      </c>
      <c r="H19" s="28">
        <v>334.9</v>
      </c>
      <c r="I19" s="29">
        <v>0.44793087767166895</v>
      </c>
      <c r="J19"/>
    </row>
    <row r="20" spans="1:10" s="30" customFormat="1" ht="17" customHeight="1" x14ac:dyDescent="0.35">
      <c r="A20" s="48">
        <v>32127</v>
      </c>
      <c r="B20" s="23" t="s">
        <v>92</v>
      </c>
      <c r="C20" s="26">
        <v>32</v>
      </c>
      <c r="D20" s="27">
        <v>11.99</v>
      </c>
      <c r="E20" s="27">
        <v>6.02</v>
      </c>
      <c r="F20" s="28">
        <v>383.68</v>
      </c>
      <c r="G20" s="28">
        <v>192.64</v>
      </c>
      <c r="H20" s="28">
        <v>191.04000000000002</v>
      </c>
      <c r="I20" s="29">
        <v>0.49791492910758972</v>
      </c>
      <c r="J20"/>
    </row>
    <row r="21" spans="1:10" s="30" customFormat="1" ht="17" customHeight="1" x14ac:dyDescent="0.35">
      <c r="A21" s="48">
        <v>33997</v>
      </c>
      <c r="B21" s="23" t="s">
        <v>39</v>
      </c>
      <c r="C21" s="26">
        <v>30</v>
      </c>
      <c r="D21" s="27">
        <v>14.99</v>
      </c>
      <c r="E21" s="27">
        <v>7.62</v>
      </c>
      <c r="F21" s="28">
        <v>449.7</v>
      </c>
      <c r="G21" s="28">
        <v>228.6</v>
      </c>
      <c r="H21" s="28">
        <v>221.1</v>
      </c>
      <c r="I21" s="29">
        <v>0.49166110740493663</v>
      </c>
      <c r="J21"/>
    </row>
    <row r="22" spans="1:10" s="30" customFormat="1" ht="17" customHeight="1" x14ac:dyDescent="0.35">
      <c r="A22" s="48">
        <v>34023</v>
      </c>
      <c r="B22" s="23" t="s">
        <v>48</v>
      </c>
      <c r="C22" s="26">
        <v>28</v>
      </c>
      <c r="D22" s="27">
        <v>6.99</v>
      </c>
      <c r="E22" s="27">
        <v>2.85</v>
      </c>
      <c r="F22" s="28">
        <v>195.72</v>
      </c>
      <c r="G22" s="28">
        <v>79.8</v>
      </c>
      <c r="H22" s="28">
        <v>115.92</v>
      </c>
      <c r="I22" s="29">
        <v>0.59227467811158796</v>
      </c>
      <c r="J22"/>
    </row>
    <row r="23" spans="1:10" s="30" customFormat="1" ht="17" customHeight="1" x14ac:dyDescent="0.35">
      <c r="A23" s="48">
        <v>34022</v>
      </c>
      <c r="B23" s="23" t="s">
        <v>54</v>
      </c>
      <c r="C23" s="26">
        <v>24</v>
      </c>
      <c r="D23" s="27">
        <v>5.99</v>
      </c>
      <c r="E23" s="27">
        <v>2.72</v>
      </c>
      <c r="F23" s="28">
        <v>143.76</v>
      </c>
      <c r="G23" s="28">
        <v>65.28</v>
      </c>
      <c r="H23" s="28">
        <v>78.47999999999999</v>
      </c>
      <c r="I23" s="29">
        <v>0.54590984974958257</v>
      </c>
      <c r="J23"/>
    </row>
    <row r="24" spans="1:10" s="30" customFormat="1" ht="17" customHeight="1" x14ac:dyDescent="0.35">
      <c r="A24" s="48">
        <v>34034</v>
      </c>
      <c r="B24" s="23" t="s">
        <v>253</v>
      </c>
      <c r="C24" s="26">
        <v>24</v>
      </c>
      <c r="D24" s="27">
        <v>19.989999999999998</v>
      </c>
      <c r="E24" s="27">
        <v>8.43</v>
      </c>
      <c r="F24" s="28">
        <v>479.76</v>
      </c>
      <c r="G24" s="28">
        <v>202.32</v>
      </c>
      <c r="H24" s="28">
        <v>277.44</v>
      </c>
      <c r="I24" s="29">
        <v>0.5782891445722862</v>
      </c>
      <c r="J24"/>
    </row>
    <row r="25" spans="1:10" s="30" customFormat="1" ht="17" customHeight="1" x14ac:dyDescent="0.35">
      <c r="A25" s="48">
        <v>61939</v>
      </c>
      <c r="B25" s="23" t="s">
        <v>101</v>
      </c>
      <c r="C25" s="26">
        <v>24</v>
      </c>
      <c r="D25" s="27">
        <v>10</v>
      </c>
      <c r="E25" s="27">
        <v>5.09</v>
      </c>
      <c r="F25" s="28">
        <v>240</v>
      </c>
      <c r="G25" s="28">
        <v>122.16</v>
      </c>
      <c r="H25" s="28">
        <v>117.84</v>
      </c>
      <c r="I25" s="29">
        <v>0.49099999999999999</v>
      </c>
      <c r="J25"/>
    </row>
    <row r="26" spans="1:10" s="30" customFormat="1" ht="17" customHeight="1" x14ac:dyDescent="0.35">
      <c r="A26" s="48">
        <v>33995</v>
      </c>
      <c r="B26" s="23" t="s">
        <v>91</v>
      </c>
      <c r="C26" s="26">
        <v>16</v>
      </c>
      <c r="D26" s="27">
        <v>15.99</v>
      </c>
      <c r="E26" s="27">
        <v>8.2200000000000006</v>
      </c>
      <c r="F26" s="28">
        <v>255.84</v>
      </c>
      <c r="G26" s="28">
        <v>131.52000000000001</v>
      </c>
      <c r="H26" s="28">
        <v>124.32</v>
      </c>
      <c r="I26" s="29">
        <v>0.48592870544090055</v>
      </c>
      <c r="J26"/>
    </row>
    <row r="27" spans="1:10" s="30" customFormat="1" ht="17" customHeight="1" x14ac:dyDescent="0.35">
      <c r="A27" s="48">
        <v>42990</v>
      </c>
      <c r="B27" s="23" t="s">
        <v>93</v>
      </c>
      <c r="C27" s="26">
        <v>16</v>
      </c>
      <c r="D27" s="27">
        <v>19.989999999999998</v>
      </c>
      <c r="E27" s="27">
        <v>10.85</v>
      </c>
      <c r="F27" s="28">
        <v>319.83999999999997</v>
      </c>
      <c r="G27" s="28">
        <v>173.6</v>
      </c>
      <c r="H27" s="28">
        <v>146.23999999999998</v>
      </c>
      <c r="I27" s="29">
        <v>0.45722861430715356</v>
      </c>
      <c r="J27"/>
    </row>
    <row r="28" spans="1:10" s="30" customFormat="1" ht="17" customHeight="1" x14ac:dyDescent="0.35">
      <c r="A28" s="48">
        <v>34095</v>
      </c>
      <c r="B28" s="23" t="s">
        <v>235</v>
      </c>
      <c r="C28" s="26">
        <v>15</v>
      </c>
      <c r="D28" s="27">
        <v>29.99</v>
      </c>
      <c r="E28" s="27">
        <v>12.52</v>
      </c>
      <c r="F28" s="28">
        <v>449.84999999999997</v>
      </c>
      <c r="G28" s="28">
        <v>187.79999999999998</v>
      </c>
      <c r="H28" s="28">
        <v>262.04999999999995</v>
      </c>
      <c r="I28" s="29">
        <v>0.58252750916972318</v>
      </c>
      <c r="J28"/>
    </row>
    <row r="29" spans="1:10" s="30" customFormat="1" ht="17" customHeight="1" x14ac:dyDescent="0.35">
      <c r="A29" s="48">
        <v>34008</v>
      </c>
      <c r="B29" s="23" t="s">
        <v>104</v>
      </c>
      <c r="C29" s="26">
        <v>12</v>
      </c>
      <c r="D29" s="27">
        <v>5.99</v>
      </c>
      <c r="E29" s="27">
        <v>4.32</v>
      </c>
      <c r="F29" s="28">
        <v>71.88</v>
      </c>
      <c r="G29" s="28">
        <v>51.84</v>
      </c>
      <c r="H29" s="28">
        <v>20.039999999999992</v>
      </c>
      <c r="I29" s="29">
        <v>0.27879799666110172</v>
      </c>
      <c r="J29"/>
    </row>
    <row r="30" spans="1:10" s="30" customFormat="1" ht="17" customHeight="1" x14ac:dyDescent="0.35">
      <c r="A30" s="48">
        <v>61938</v>
      </c>
      <c r="B30" s="23" t="s">
        <v>124</v>
      </c>
      <c r="C30" s="26">
        <v>12</v>
      </c>
      <c r="D30" s="27">
        <v>10</v>
      </c>
      <c r="E30" s="27">
        <v>3.43</v>
      </c>
      <c r="F30" s="28">
        <v>120</v>
      </c>
      <c r="G30" s="28">
        <v>41.160000000000004</v>
      </c>
      <c r="H30" s="28">
        <v>78.84</v>
      </c>
      <c r="I30" s="29">
        <v>0.65700000000000003</v>
      </c>
      <c r="J30"/>
    </row>
    <row r="31" spans="1:10" s="30" customFormat="1" ht="17" customHeight="1" x14ac:dyDescent="0.35">
      <c r="A31" s="48">
        <v>42797</v>
      </c>
      <c r="B31" s="23" t="s">
        <v>99</v>
      </c>
      <c r="C31" s="26">
        <v>10</v>
      </c>
      <c r="D31" s="27">
        <v>23.98</v>
      </c>
      <c r="E31" s="27">
        <v>9.9359999999999999</v>
      </c>
      <c r="F31" s="28">
        <v>119.9</v>
      </c>
      <c r="G31" s="28">
        <v>49.68</v>
      </c>
      <c r="H31" s="28">
        <v>70.22</v>
      </c>
      <c r="I31" s="29">
        <v>0.58565471226021681</v>
      </c>
      <c r="J31"/>
    </row>
    <row r="32" spans="1:10" s="30" customFormat="1" ht="17" customHeight="1" x14ac:dyDescent="0.35">
      <c r="A32" s="48">
        <v>34083</v>
      </c>
      <c r="B32" s="23" t="s">
        <v>233</v>
      </c>
      <c r="C32" s="26">
        <v>10</v>
      </c>
      <c r="D32" s="27">
        <v>55</v>
      </c>
      <c r="E32" s="27">
        <v>25.97</v>
      </c>
      <c r="F32" s="28">
        <v>550</v>
      </c>
      <c r="G32" s="28">
        <v>259.7</v>
      </c>
      <c r="H32" s="28">
        <v>290.3</v>
      </c>
      <c r="I32" s="29">
        <v>0.52781818181818185</v>
      </c>
      <c r="J32"/>
    </row>
    <row r="33" spans="1:10" s="30" customFormat="1" ht="17" customHeight="1" x14ac:dyDescent="0.35">
      <c r="A33" s="48">
        <v>61937</v>
      </c>
      <c r="B33" s="23" t="s">
        <v>122</v>
      </c>
      <c r="C33" s="26">
        <v>10</v>
      </c>
      <c r="D33" s="27">
        <v>10</v>
      </c>
      <c r="E33" s="27">
        <v>2.67</v>
      </c>
      <c r="F33" s="28">
        <v>100</v>
      </c>
      <c r="G33" s="28">
        <v>26.7</v>
      </c>
      <c r="H33" s="28">
        <v>73.3</v>
      </c>
      <c r="I33" s="29">
        <v>0.73299999999999998</v>
      </c>
      <c r="J33"/>
    </row>
    <row r="34" spans="1:10" s="30" customFormat="1" ht="17" customHeight="1" x14ac:dyDescent="0.35">
      <c r="A34" s="48">
        <v>32131</v>
      </c>
      <c r="B34" s="23" t="s">
        <v>94</v>
      </c>
      <c r="C34" s="26">
        <v>8</v>
      </c>
      <c r="D34" s="27">
        <v>18.989999999999998</v>
      </c>
      <c r="E34" s="27">
        <v>9.1300000000000008</v>
      </c>
      <c r="F34" s="28">
        <v>151.91999999999999</v>
      </c>
      <c r="G34" s="28">
        <v>73.040000000000006</v>
      </c>
      <c r="H34" s="28">
        <v>78.879999999999981</v>
      </c>
      <c r="I34" s="29">
        <v>0.51922064244339117</v>
      </c>
      <c r="J34"/>
    </row>
    <row r="35" spans="1:10" s="30" customFormat="1" ht="17" customHeight="1" x14ac:dyDescent="0.35">
      <c r="A35" s="48">
        <v>32872</v>
      </c>
      <c r="B35" s="23" t="s">
        <v>98</v>
      </c>
      <c r="C35" s="26">
        <v>8</v>
      </c>
      <c r="D35" s="27">
        <v>29.99</v>
      </c>
      <c r="E35" s="27">
        <v>11.79</v>
      </c>
      <c r="F35" s="28">
        <v>239.92</v>
      </c>
      <c r="G35" s="28">
        <v>94.32</v>
      </c>
      <c r="H35" s="28">
        <v>145.6</v>
      </c>
      <c r="I35" s="29">
        <v>0.60686895631877291</v>
      </c>
      <c r="J35"/>
    </row>
    <row r="36" spans="1:10" s="30" customFormat="1" ht="17" customHeight="1" x14ac:dyDescent="0.35">
      <c r="A36" s="48">
        <v>33031</v>
      </c>
      <c r="B36" s="23" t="s">
        <v>97</v>
      </c>
      <c r="C36" s="26">
        <v>8</v>
      </c>
      <c r="D36" s="27">
        <v>17.989999999999998</v>
      </c>
      <c r="E36" s="27">
        <v>9.1199999999999992</v>
      </c>
      <c r="F36" s="28">
        <v>143.91999999999999</v>
      </c>
      <c r="G36" s="28">
        <v>72.959999999999994</v>
      </c>
      <c r="H36" s="28">
        <v>70.959999999999994</v>
      </c>
      <c r="I36" s="29">
        <v>0.49305169538632576</v>
      </c>
      <c r="J36"/>
    </row>
    <row r="37" spans="1:10" s="30" customFormat="1" ht="17" customHeight="1" x14ac:dyDescent="0.35">
      <c r="A37" s="48">
        <v>32067</v>
      </c>
      <c r="B37" s="23" t="s">
        <v>29</v>
      </c>
      <c r="C37" s="26">
        <v>8</v>
      </c>
      <c r="D37" s="27">
        <v>34.99</v>
      </c>
      <c r="E37" s="27">
        <v>15.91</v>
      </c>
      <c r="F37" s="28">
        <v>279.92</v>
      </c>
      <c r="G37" s="28">
        <v>127.28</v>
      </c>
      <c r="H37" s="28">
        <v>152.64000000000001</v>
      </c>
      <c r="I37" s="29">
        <v>0.54529865675907407</v>
      </c>
      <c r="J37"/>
    </row>
    <row r="38" spans="1:10" s="30" customFormat="1" ht="17" customHeight="1" x14ac:dyDescent="0.35">
      <c r="A38" s="48">
        <v>61947</v>
      </c>
      <c r="B38" s="23" t="s">
        <v>42</v>
      </c>
      <c r="C38" s="26">
        <v>8</v>
      </c>
      <c r="D38" s="27">
        <v>28.99</v>
      </c>
      <c r="E38" s="27">
        <v>8.93</v>
      </c>
      <c r="F38" s="28">
        <v>231.92</v>
      </c>
      <c r="G38" s="28">
        <v>71.44</v>
      </c>
      <c r="H38" s="28">
        <v>160.47999999999999</v>
      </c>
      <c r="I38" s="29">
        <v>0.69196274577440497</v>
      </c>
      <c r="J38"/>
    </row>
    <row r="39" spans="1:10" s="30" customFormat="1" ht="17" customHeight="1" x14ac:dyDescent="0.35">
      <c r="A39" s="48">
        <v>34015</v>
      </c>
      <c r="B39" s="23" t="s">
        <v>106</v>
      </c>
      <c r="C39" s="26">
        <v>6</v>
      </c>
      <c r="D39" s="27">
        <v>29.99</v>
      </c>
      <c r="E39" s="27">
        <v>3.1788888888888902</v>
      </c>
      <c r="F39" s="28">
        <v>179.94</v>
      </c>
      <c r="G39" s="28">
        <v>19.073333333333341</v>
      </c>
      <c r="H39" s="28">
        <v>160.86666666666665</v>
      </c>
      <c r="I39" s="29">
        <v>0.89400170427179415</v>
      </c>
      <c r="J39"/>
    </row>
    <row r="40" spans="1:10" s="30" customFormat="1" ht="17" customHeight="1" x14ac:dyDescent="0.35">
      <c r="A40" s="48">
        <v>34011</v>
      </c>
      <c r="B40" s="23" t="s">
        <v>66</v>
      </c>
      <c r="C40" s="26">
        <v>6</v>
      </c>
      <c r="D40" s="27">
        <v>19.989999999999998</v>
      </c>
      <c r="E40" s="27">
        <v>2.63</v>
      </c>
      <c r="F40" s="28">
        <v>119.94</v>
      </c>
      <c r="G40" s="28">
        <v>15.78</v>
      </c>
      <c r="H40" s="28">
        <v>104.16</v>
      </c>
      <c r="I40" s="29">
        <v>0.86843421710855428</v>
      </c>
      <c r="J40"/>
    </row>
    <row r="41" spans="1:10" s="30" customFormat="1" ht="17" customHeight="1" x14ac:dyDescent="0.35">
      <c r="A41" s="48">
        <v>41620</v>
      </c>
      <c r="B41" s="23" t="s">
        <v>255</v>
      </c>
      <c r="C41" s="26">
        <v>6</v>
      </c>
      <c r="D41" s="27">
        <v>15.99</v>
      </c>
      <c r="E41" s="27">
        <v>8.11</v>
      </c>
      <c r="F41" s="28">
        <v>95.94</v>
      </c>
      <c r="G41" s="28">
        <v>48.66</v>
      </c>
      <c r="H41" s="28">
        <v>47.28</v>
      </c>
      <c r="I41" s="29">
        <v>0.49280800500312699</v>
      </c>
      <c r="J41"/>
    </row>
    <row r="42" spans="1:10" s="30" customFormat="1" ht="17" customHeight="1" x14ac:dyDescent="0.35">
      <c r="A42" s="48">
        <v>32855</v>
      </c>
      <c r="B42" s="23" t="s">
        <v>110</v>
      </c>
      <c r="C42" s="26">
        <v>6</v>
      </c>
      <c r="D42" s="27">
        <v>17.989999999999998</v>
      </c>
      <c r="E42" s="27">
        <v>9.14</v>
      </c>
      <c r="F42" s="28">
        <v>107.94</v>
      </c>
      <c r="G42" s="28">
        <v>54.84</v>
      </c>
      <c r="H42" s="28">
        <v>53.099999999999994</v>
      </c>
      <c r="I42" s="29">
        <v>0.49193996664813783</v>
      </c>
      <c r="J42"/>
    </row>
    <row r="43" spans="1:10" s="30" customFormat="1" ht="17" customHeight="1" x14ac:dyDescent="0.35">
      <c r="A43" s="48">
        <v>39422</v>
      </c>
      <c r="B43" s="23" t="s">
        <v>120</v>
      </c>
      <c r="C43" s="26">
        <v>6</v>
      </c>
      <c r="D43" s="27">
        <v>15.99</v>
      </c>
      <c r="E43" s="27">
        <v>8.3000000000000007</v>
      </c>
      <c r="F43" s="28">
        <v>95.94</v>
      </c>
      <c r="G43" s="28">
        <v>49.800000000000004</v>
      </c>
      <c r="H43" s="28">
        <v>46.139999999999993</v>
      </c>
      <c r="I43" s="29">
        <v>0.48092557848655404</v>
      </c>
      <c r="J43"/>
    </row>
    <row r="44" spans="1:10" s="30" customFormat="1" ht="17" customHeight="1" x14ac:dyDescent="0.35">
      <c r="A44" s="48">
        <v>32063</v>
      </c>
      <c r="B44" s="23" t="s">
        <v>52</v>
      </c>
      <c r="C44" s="26">
        <v>6</v>
      </c>
      <c r="D44" s="27">
        <v>19.989999999999998</v>
      </c>
      <c r="E44" s="27">
        <v>8.5</v>
      </c>
      <c r="F44" s="28">
        <v>119.94</v>
      </c>
      <c r="G44" s="28">
        <v>51</v>
      </c>
      <c r="H44" s="28">
        <v>68.94</v>
      </c>
      <c r="I44" s="29">
        <v>0.57478739369684839</v>
      </c>
      <c r="J44"/>
    </row>
    <row r="45" spans="1:10" s="30" customFormat="1" ht="17" customHeight="1" x14ac:dyDescent="0.35">
      <c r="A45" s="48">
        <v>32062</v>
      </c>
      <c r="B45" s="23" t="s">
        <v>51</v>
      </c>
      <c r="C45" s="26">
        <v>6</v>
      </c>
      <c r="D45" s="27">
        <v>24.99</v>
      </c>
      <c r="E45" s="27">
        <v>9.68</v>
      </c>
      <c r="F45" s="28">
        <v>149.94</v>
      </c>
      <c r="G45" s="28">
        <v>58.08</v>
      </c>
      <c r="H45" s="28">
        <v>91.86</v>
      </c>
      <c r="I45" s="29">
        <v>0.61264505802320934</v>
      </c>
      <c r="J45"/>
    </row>
    <row r="46" spans="1:10" s="30" customFormat="1" ht="17" customHeight="1" x14ac:dyDescent="0.35">
      <c r="A46" s="48">
        <v>55481</v>
      </c>
      <c r="B46" s="23" t="s">
        <v>105</v>
      </c>
      <c r="C46" s="26">
        <v>6</v>
      </c>
      <c r="D46" s="27">
        <v>11.99</v>
      </c>
      <c r="E46" s="27">
        <v>5.0999999999999996</v>
      </c>
      <c r="F46" s="28">
        <v>71.94</v>
      </c>
      <c r="G46" s="28">
        <v>30.599999999999998</v>
      </c>
      <c r="H46" s="28">
        <v>41.34</v>
      </c>
      <c r="I46" s="29">
        <v>0.57464553794829032</v>
      </c>
      <c r="J46"/>
    </row>
    <row r="47" spans="1:10" s="30" customFormat="1" ht="17" customHeight="1" x14ac:dyDescent="0.35">
      <c r="A47" s="48">
        <v>32152</v>
      </c>
      <c r="B47" s="23" t="s">
        <v>100</v>
      </c>
      <c r="C47" s="26">
        <v>6</v>
      </c>
      <c r="D47" s="27">
        <v>12.99</v>
      </c>
      <c r="E47" s="27">
        <v>6.77</v>
      </c>
      <c r="F47" s="28">
        <v>77.94</v>
      </c>
      <c r="G47" s="28">
        <v>40.619999999999997</v>
      </c>
      <c r="H47" s="28">
        <v>37.32</v>
      </c>
      <c r="I47" s="29">
        <v>0.47882986913010012</v>
      </c>
      <c r="J47"/>
    </row>
    <row r="48" spans="1:10" s="30" customFormat="1" ht="17" customHeight="1" x14ac:dyDescent="0.35">
      <c r="A48" s="48">
        <v>34053</v>
      </c>
      <c r="B48" s="23" t="s">
        <v>57</v>
      </c>
      <c r="C48" s="26">
        <v>6</v>
      </c>
      <c r="D48" s="27">
        <v>15.99</v>
      </c>
      <c r="E48" s="27">
        <v>6.74</v>
      </c>
      <c r="F48" s="28">
        <v>95.94</v>
      </c>
      <c r="G48" s="28">
        <v>40.44</v>
      </c>
      <c r="H48" s="28">
        <v>55.5</v>
      </c>
      <c r="I48" s="29">
        <v>0.57848655409631022</v>
      </c>
      <c r="J48"/>
    </row>
    <row r="49" spans="1:10" s="30" customFormat="1" ht="17" customHeight="1" x14ac:dyDescent="0.35">
      <c r="A49" s="48">
        <v>34082</v>
      </c>
      <c r="B49" s="23" t="s">
        <v>237</v>
      </c>
      <c r="C49" s="26">
        <v>5</v>
      </c>
      <c r="D49" s="27">
        <v>55</v>
      </c>
      <c r="E49" s="27">
        <v>25.03</v>
      </c>
      <c r="F49" s="28">
        <v>275</v>
      </c>
      <c r="G49" s="28">
        <v>125.15</v>
      </c>
      <c r="H49" s="28">
        <v>149.85</v>
      </c>
      <c r="I49" s="29">
        <v>0.5449090909090909</v>
      </c>
      <c r="J49"/>
    </row>
    <row r="50" spans="1:10" s="30" customFormat="1" ht="17" customHeight="1" x14ac:dyDescent="0.35">
      <c r="A50" s="48">
        <v>34079</v>
      </c>
      <c r="B50" s="23" t="s">
        <v>236</v>
      </c>
      <c r="C50" s="26">
        <v>3</v>
      </c>
      <c r="D50" s="27">
        <v>60</v>
      </c>
      <c r="E50" s="27">
        <v>29.14</v>
      </c>
      <c r="F50" s="28">
        <v>180</v>
      </c>
      <c r="G50" s="28">
        <v>87.42</v>
      </c>
      <c r="H50" s="28">
        <v>92.58</v>
      </c>
      <c r="I50" s="29">
        <v>0.51433333333333331</v>
      </c>
      <c r="J50"/>
    </row>
    <row r="51" spans="1:10" s="30" customFormat="1" ht="17" customHeight="1" x14ac:dyDescent="0.35">
      <c r="A51" s="49" t="s">
        <v>295</v>
      </c>
      <c r="B51" s="31"/>
      <c r="C51" s="32">
        <v>2544.666666666667</v>
      </c>
      <c r="D51" s="33">
        <v>1007.0900000000003</v>
      </c>
      <c r="E51" s="33">
        <v>450.02376388888894</v>
      </c>
      <c r="F51" s="34">
        <v>43083.113333333335</v>
      </c>
      <c r="G51" s="34">
        <v>21203.054666666671</v>
      </c>
      <c r="H51" s="34">
        <v>21880.058666666671</v>
      </c>
      <c r="I51" s="35">
        <v>0.50785695307999246</v>
      </c>
      <c r="J51"/>
    </row>
    <row r="52" spans="1:10" s="30" customFormat="1" ht="17" customHeight="1" x14ac:dyDescent="0.35">
      <c r="A52"/>
      <c r="B52"/>
      <c r="C52"/>
      <c r="D52"/>
      <c r="E52"/>
      <c r="F52"/>
      <c r="G52"/>
      <c r="H52"/>
      <c r="I52"/>
      <c r="J52"/>
    </row>
    <row r="53" spans="1:10" s="30" customFormat="1" ht="17" customHeight="1" x14ac:dyDescent="0.35">
      <c r="A53"/>
      <c r="B53"/>
      <c r="C53"/>
      <c r="D53"/>
      <c r="E53"/>
      <c r="F53"/>
      <c r="G53"/>
      <c r="H53"/>
      <c r="I53"/>
      <c r="J53"/>
    </row>
    <row r="54" spans="1:10" s="30" customFormat="1" ht="17" customHeight="1" x14ac:dyDescent="0.35">
      <c r="A54"/>
      <c r="B54"/>
      <c r="C54"/>
      <c r="D54"/>
      <c r="E54"/>
      <c r="F54"/>
      <c r="G54"/>
      <c r="H54"/>
      <c r="I54"/>
      <c r="J54"/>
    </row>
    <row r="55" spans="1:10" s="30" customFormat="1" ht="17" customHeight="1" x14ac:dyDescent="0.35">
      <c r="A55"/>
      <c r="B55"/>
      <c r="C55"/>
      <c r="D55"/>
      <c r="E55"/>
      <c r="F55"/>
      <c r="G55"/>
      <c r="H55"/>
      <c r="I55"/>
      <c r="J55"/>
    </row>
    <row r="56" spans="1:10" s="30" customFormat="1" ht="17" customHeight="1" x14ac:dyDescent="0.35">
      <c r="A56"/>
      <c r="B56"/>
      <c r="C56"/>
      <c r="D56"/>
      <c r="E56"/>
      <c r="F56"/>
      <c r="G56"/>
      <c r="H56"/>
      <c r="I56"/>
      <c r="J56"/>
    </row>
    <row r="57" spans="1:10" s="30" customFormat="1" ht="17" customHeight="1" x14ac:dyDescent="0.35">
      <c r="A57"/>
      <c r="B57"/>
      <c r="C57"/>
      <c r="D57"/>
      <c r="E57"/>
      <c r="F57"/>
      <c r="G57"/>
      <c r="H57"/>
      <c r="I57"/>
      <c r="J57"/>
    </row>
  </sheetData>
  <mergeCells count="1">
    <mergeCell ref="A1:J1"/>
  </mergeCells>
  <printOptions horizontalCentered="1"/>
  <pageMargins left="6.9444444444444441E-3" right="6.9444444444444441E-3" top="6.9444444444444441E-3" bottom="6.9444444444444441E-3" header="0.3" footer="0.3"/>
  <pageSetup paperSize="9" scale="91"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6BBCC-E794-4989-916C-2556F26A822A}">
  <dimension ref="A1"/>
  <sheetViews>
    <sheetView workbookViewId="0">
      <selection activeCell="B8" sqref="B8"/>
    </sheetView>
  </sheetViews>
  <sheetFormatPr defaultRowHeight="13" x14ac:dyDescent="0.3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24AA79B-42E1-43BF-B4E7-2CC6DA259C1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Production Plan</vt:lpstr>
      <vt:lpstr>Planned vs Actual</vt:lpstr>
      <vt:lpstr>Planned vs Actual Pivot</vt:lpstr>
      <vt:lpstr>Actuals</vt:lpstr>
      <vt:lpstr>Actuals_data</vt:lpstr>
      <vt:lpstr>Actuals Import</vt:lpstr>
      <vt:lpstr>Pivot Production plan</vt:lpstr>
      <vt:lpstr>Plan vs Actual Pivot</vt:lpstr>
      <vt:lpstr>Bake_prod</vt:lpstr>
      <vt:lpstr>'Pivot Production plan'!Print_Area</vt:lpstr>
      <vt:lpstr>'Pivot Production plan'!Print_Titles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Gerhard Stimie</cp:lastModifiedBy>
  <cp:lastPrinted>2026-06-18T08:23:26Z</cp:lastPrinted>
  <dcterms:created xsi:type="dcterms:W3CDTF">2026-06-16T15:56:46Z</dcterms:created>
  <dcterms:modified xsi:type="dcterms:W3CDTF">2026-06-19T16:55:30Z</dcterms:modified>
</cp:coreProperties>
</file>